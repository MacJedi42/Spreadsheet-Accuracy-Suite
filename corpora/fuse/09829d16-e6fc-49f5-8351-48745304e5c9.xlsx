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75" windowWidth="14955" windowHeight="8895"/>
  </bookViews>
  <sheets>
    <sheet name="Districts" sheetId="1" r:id="rId1"/>
    <sheet name="Charters" sheetId="2" r:id="rId2"/>
    <sheet name="Sheet1" sheetId="3" r:id="rId3"/>
  </sheets>
  <definedNames>
    <definedName name="_xlnm.Print_Area" localSheetId="1">Charters!$B$1:$O$87</definedName>
  </definedNames>
  <calcPr calcId="145621"/>
</workbook>
</file>

<file path=xl/calcChain.xml><?xml version="1.0" encoding="utf-8"?>
<calcChain xmlns="http://schemas.openxmlformats.org/spreadsheetml/2006/main">
  <c r="F83" i="2" l="1"/>
  <c r="N70" i="2"/>
  <c r="O70" i="2" s="1"/>
  <c r="N56" i="2"/>
  <c r="O56" i="2" s="1"/>
  <c r="N38" i="2"/>
  <c r="O38" i="2" s="1"/>
  <c r="N27" i="2"/>
  <c r="N10" i="2"/>
  <c r="O10" i="2" s="1"/>
  <c r="O27" i="2"/>
  <c r="M83" i="2"/>
  <c r="L83" i="2"/>
  <c r="K83" i="2"/>
  <c r="J83" i="2"/>
  <c r="I83" i="2"/>
  <c r="N82" i="2"/>
  <c r="O82" i="2" s="1"/>
  <c r="N8" i="2"/>
  <c r="O8" i="2" s="1"/>
  <c r="N9" i="2"/>
  <c r="O9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7" i="2"/>
  <c r="O7" i="2" s="1"/>
  <c r="G83" i="2"/>
  <c r="H83" i="2"/>
  <c r="J48" i="1"/>
  <c r="K48" i="1"/>
  <c r="L48" i="1"/>
  <c r="M48" i="1"/>
  <c r="I48" i="1"/>
  <c r="H48" i="1"/>
  <c r="G48" i="1"/>
  <c r="F48" i="1"/>
  <c r="N47" i="1"/>
  <c r="O4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7" i="1"/>
  <c r="O7" i="1" s="1"/>
  <c r="N83" i="2" l="1"/>
  <c r="O83" i="2"/>
  <c r="N48" i="1"/>
  <c r="O48" i="1" l="1"/>
  <c r="N50" i="1"/>
  <c r="O50" i="1" s="1"/>
</calcChain>
</file>

<file path=xl/sharedStrings.xml><?xml version="1.0" encoding="utf-8"?>
<sst xmlns="http://schemas.openxmlformats.org/spreadsheetml/2006/main" count="254" uniqueCount="158">
  <si>
    <t>DISTRICT</t>
  </si>
  <si>
    <t>Soc. Sec.</t>
  </si>
  <si>
    <t>Retirement</t>
  </si>
  <si>
    <t>Health Insurance</t>
  </si>
  <si>
    <t>Dental Insurance</t>
  </si>
  <si>
    <t>Life Insurance</t>
  </si>
  <si>
    <t>Industrial Insurance</t>
  </si>
  <si>
    <t>Unemployment Insurance</t>
  </si>
  <si>
    <t>Long-Term Disability</t>
  </si>
  <si>
    <t>Total Benefits</t>
  </si>
  <si>
    <t>Total Compensation</t>
  </si>
  <si>
    <t>DISTRICT MEDIAN</t>
  </si>
  <si>
    <t>Educator Salary and Benefits</t>
  </si>
  <si>
    <t>Local Education Agencies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</si>
  <si>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</si>
  <si>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</si>
  <si>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</si>
  <si>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</si>
  <si>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</si>
  <si>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</si>
  <si>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</si>
  <si>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</si>
  <si>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</si>
  <si>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</si>
  <si>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</si>
  <si>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</si>
  <si>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</si>
  <si>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Classroom Teachers</t>
  </si>
  <si>
    <t>CHARTER MEDIAN</t>
  </si>
  <si>
    <t>CHARTER SCHOOL</t>
  </si>
  <si>
    <t>GRAND TOTAL MEDIAN</t>
  </si>
  <si>
    <t>School Administrators' Median Salary</t>
  </si>
  <si>
    <t>Median Beginning Salary</t>
  </si>
  <si>
    <t>Median Salary</t>
  </si>
  <si>
    <t>Notes:</t>
  </si>
  <si>
    <t>1. All median salaries are based on individual educator data from the CACTUS database.</t>
  </si>
  <si>
    <t>2. All categories of benefits are based on the actual amount of the portion of the premium paid by the LEA for family coverage for an employee .  This data is taken from the Year-End Web Survey.</t>
  </si>
  <si>
    <t>Good Foundation Academy</t>
  </si>
  <si>
    <t>Maria Montessori</t>
  </si>
  <si>
    <t>Quail Run Primary School</t>
  </si>
  <si>
    <t>Summit Academy High</t>
  </si>
  <si>
    <t>Weilenmann School of Discovery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</si>
  <si>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</si>
  <si>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</si>
  <si>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</si>
  <si>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</si>
  <si>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</si>
  <si>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</si>
  <si>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</si>
  <si>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</si>
  <si>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</si>
  <si>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</si>
  <si>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</si>
  <si>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</si>
  <si>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</si>
  <si>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</si>
  <si>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</si>
  <si>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</si>
  <si>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</si>
  <si>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</si>
  <si>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</si>
  <si>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</si>
  <si>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</si>
  <si>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</si>
  <si>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</si>
  <si>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</si>
  <si>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</si>
  <si>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</si>
  <si>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</si>
  <si>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</si>
  <si>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</si>
  <si>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</si>
  <si>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</si>
  <si>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</si>
  <si>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</si>
  <si>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</si>
  <si>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</si>
  <si>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</si>
  <si>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</si>
  <si>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</si>
  <si>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</si>
  <si>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</si>
  <si>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</si>
  <si>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American Leadership Academy</t>
  </si>
  <si>
    <t>American Preparatory Academy</t>
  </si>
  <si>
    <t>Beehive Science &amp; Technology Academy (bs</t>
  </si>
  <si>
    <t>Canyon Rim Academy</t>
  </si>
  <si>
    <t>Channing Hall</t>
  </si>
  <si>
    <t>City Academy</t>
  </si>
  <si>
    <t>Dual Immersion Academy</t>
  </si>
  <si>
    <t>East Hollywood High</t>
  </si>
  <si>
    <t>Edith Bowen Laboratory School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</si>
  <si>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</si>
  <si>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</si>
  <si>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</si>
  <si>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</si>
  <si>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</si>
  <si>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</si>
  <si>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Guadalupe School</t>
  </si>
  <si>
    <t>Hawthorn Academy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</si>
  <si>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</si>
  <si>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</si>
  <si>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</si>
  <si>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</si>
  <si>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</si>
  <si>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</si>
  <si>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</si>
  <si>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</si>
  <si>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</si>
  <si>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</si>
  <si>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</si>
  <si>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</si>
  <si>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</si>
  <si>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</si>
  <si>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</si>
  <si>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</si>
  <si>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</si>
  <si>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</si>
  <si>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</si>
  <si>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</si>
  <si>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</si>
  <si>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</si>
  <si>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</si>
  <si>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</si>
  <si>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</si>
  <si>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</si>
  <si>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</si>
  <si>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</si>
  <si>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</si>
  <si>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Soldier Hollow Charter School</t>
  </si>
  <si>
    <t>Spectrum Academy</t>
  </si>
  <si>
    <t>Success Academy</t>
  </si>
  <si>
    <t>Success School</t>
  </si>
  <si>
    <t>Summit Academy</t>
  </si>
  <si>
    <t>Syracuse Arts Academy</t>
  </si>
  <si>
    <t>Thomas Edison - North</t>
  </si>
  <si>
    <t>Timpanogos Academy</t>
  </si>
  <si>
    <t>Uintah River High</t>
  </si>
  <si>
    <t>Utah Virtual Academy</t>
  </si>
  <si>
    <t>Venture Academy</t>
  </si>
  <si>
    <t>Wasatch Peak Academy</t>
  </si>
  <si>
    <t>Bear River Charter School</t>
  </si>
  <si>
    <t>Educator Salary and Benefits (Charter Schools)</t>
  </si>
  <si>
    <t>Academy for Math Engineering &amp; Science (AMES)</t>
  </si>
  <si>
    <t>C.S. Lewis Academy</t>
  </si>
  <si>
    <t>Da Vinci Academy</t>
  </si>
  <si>
    <t>Early Light Academy at Daybreak</t>
  </si>
  <si>
    <t>Karl G. Maeser Preparatory Academy</t>
  </si>
  <si>
    <t>No. UT Acad. for Math, Engineering &amp; Science (NUAMES)</t>
  </si>
  <si>
    <t>Salt Lake Center for Science Education</t>
  </si>
  <si>
    <t>Salt Lake School for The Performing Arts</t>
  </si>
  <si>
    <t>Tuacahn High School for the Performing A</t>
  </si>
  <si>
    <t>Utah County Academy of Science (UCAS)</t>
  </si>
  <si>
    <t>Vista at Entrada</t>
  </si>
  <si>
    <t>Walden School of Liberal Arts</t>
  </si>
  <si>
    <t>FY 2011</t>
  </si>
  <si>
    <t>*</t>
  </si>
  <si>
    <t>3. LEA's with * in the benefits categories did not submit data their Year End Web Survey (YEWS).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</si>
</sst>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$&quot;* #,##0_);_(&quot;$&quot;* \(#,##0\);_(&quot;$&quot;* &quot;-&quot;_);_(@_)"/>
  </numFmts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name val="Helvetica"/>
      <family val="2"/>
    </font>
    <font>
      <b/>
      <sz val="14"/>
      <name val="Helvetica"/>
      <family val="2"/>
    </font>
    <font>
      <b/>
      <sz val="12"/>
      <name val="Helvetica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color indexed="64"/>
      <name val="Arial"/>
      <family val="2"/>
    </font>
    <font>
      <b/>
      <sz val="9"/>
      <color indexed="64"/>
      <name val="Arial"/>
      <family val="2"/>
    </font>
    <font>
      <sz val="8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3" fontId="0" fillId="0" borderId="0" xfId="0" applyNumberFormat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5" fillId="0" borderId="1" xfId="0" applyNumberFormat="1" applyFont="1" applyBorder="1" applyAlignment="1">
      <alignment horizontal="center" wrapText="1"/>
    </xf>
    <xf numFmtId="3" fontId="5" fillId="0" borderId="2" xfId="0" applyNumberFormat="1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wrapText="1"/>
    </xf>
    <xf numFmtId="3" fontId="1" fillId="0" borderId="5" xfId="0" applyNumberFormat="1" applyFont="1" applyFill="1" applyBorder="1" applyAlignment="1"/>
    <xf numFmtId="3" fontId="1" fillId="0" borderId="5" xfId="0" applyNumberFormat="1" applyFont="1" applyFill="1" applyBorder="1"/>
    <xf numFmtId="3" fontId="1" fillId="0" borderId="6" xfId="0" applyNumberFormat="1" applyFont="1" applyBorder="1"/>
    <xf numFmtId="3" fontId="5" fillId="0" borderId="1" xfId="0" applyNumberFormat="1" applyFont="1" applyBorder="1" applyAlignment="1"/>
    <xf numFmtId="0" fontId="5" fillId="0" borderId="4" xfId="0" applyFont="1" applyBorder="1"/>
    <xf numFmtId="3" fontId="1" fillId="0" borderId="0" xfId="0" applyNumberFormat="1" applyFont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0" xfId="0" applyNumberFormat="1" applyFont="1" applyFill="1" applyBorder="1" applyAlignment="1"/>
    <xf numFmtId="3" fontId="1" fillId="0" borderId="0" xfId="0" applyNumberFormat="1" applyFont="1" applyAlignment="1"/>
    <xf numFmtId="3" fontId="5" fillId="0" borderId="0" xfId="0" applyNumberFormat="1" applyFont="1" applyFill="1" applyBorder="1" applyAlignment="1">
      <alignment horizontal="left" indent="1"/>
    </xf>
    <xf numFmtId="42" fontId="4" fillId="0" borderId="7" xfId="0" applyNumberFormat="1" applyFont="1" applyBorder="1"/>
    <xf numFmtId="42" fontId="10" fillId="0" borderId="10" xfId="0" applyNumberFormat="1" applyFont="1" applyBorder="1" applyAlignment="1">
      <alignment vertical="top"/>
    </xf>
    <xf numFmtId="42" fontId="10" fillId="0" borderId="6" xfId="0" applyNumberFormat="1" applyFont="1" applyBorder="1" applyAlignment="1">
      <alignment vertical="top"/>
    </xf>
    <xf numFmtId="42" fontId="1" fillId="0" borderId="4" xfId="0" applyNumberFormat="1" applyFont="1" applyBorder="1"/>
    <xf numFmtId="42" fontId="1" fillId="0" borderId="0" xfId="0" applyNumberFormat="1" applyFont="1" applyBorder="1"/>
    <xf numFmtId="42" fontId="1" fillId="0" borderId="2" xfId="0" applyNumberFormat="1" applyFont="1" applyBorder="1"/>
    <xf numFmtId="42" fontId="1" fillId="0" borderId="8" xfId="0" applyNumberFormat="1" applyFont="1" applyBorder="1"/>
    <xf numFmtId="3" fontId="4" fillId="0" borderId="12" xfId="0" applyNumberFormat="1" applyFont="1" applyBorder="1" applyAlignment="1">
      <alignment horizontal="center" vertical="center"/>
    </xf>
    <xf numFmtId="42" fontId="4" fillId="0" borderId="1" xfId="0" applyNumberFormat="1" applyFont="1" applyBorder="1"/>
    <xf numFmtId="42" fontId="4" fillId="0" borderId="8" xfId="0" applyNumberFormat="1" applyFont="1" applyBorder="1"/>
    <xf numFmtId="42" fontId="10" fillId="0" borderId="0" xfId="0" applyNumberFormat="1" applyFont="1" applyBorder="1" applyAlignment="1">
      <alignment horizontal="left" vertical="top"/>
    </xf>
    <xf numFmtId="42" fontId="10" fillId="0" borderId="13" xfId="0" applyNumberFormat="1" applyFont="1" applyBorder="1" applyAlignment="1">
      <alignment horizontal="left" vertical="top"/>
    </xf>
    <xf numFmtId="42" fontId="11" fillId="0" borderId="0" xfId="0" applyNumberFormat="1" applyFont="1" applyAlignment="1">
      <alignment vertical="top"/>
    </xf>
    <xf numFmtId="0" fontId="1" fillId="0" borderId="1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3" fontId="1" fillId="0" borderId="4" xfId="0" applyNumberFormat="1" applyFont="1" applyBorder="1" applyAlignment="1"/>
    <xf numFmtId="0" fontId="0" fillId="0" borderId="0" xfId="0" applyAlignment="1">
      <alignment wrapText="1"/>
    </xf>
    <xf numFmtId="3" fontId="4" fillId="0" borderId="4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/>
    </xf>
    <xf numFmtId="42" fontId="10" fillId="0" borderId="16" xfId="0" applyNumberFormat="1" applyFont="1" applyBorder="1" applyAlignment="1">
      <alignment horizontal="left" vertical="top"/>
    </xf>
    <xf numFmtId="42" fontId="10" fillId="0" borderId="17" xfId="0" applyNumberFormat="1" applyFont="1" applyBorder="1" applyAlignment="1">
      <alignment horizontal="left" vertical="top"/>
    </xf>
    <xf numFmtId="42" fontId="10" fillId="0" borderId="18" xfId="0" applyNumberFormat="1" applyFont="1" applyBorder="1" applyAlignment="1">
      <alignment horizontal="left" vertical="top"/>
    </xf>
    <xf numFmtId="42" fontId="10" fillId="0" borderId="19" xfId="0" applyNumberFormat="1" applyFont="1" applyBorder="1" applyAlignment="1">
      <alignment horizontal="left" vertical="top"/>
    </xf>
    <xf numFmtId="42" fontId="10" fillId="0" borderId="20" xfId="0" applyNumberFormat="1" applyFont="1" applyBorder="1" applyAlignment="1">
      <alignment horizontal="left" vertical="top"/>
    </xf>
    <xf numFmtId="3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42" fontId="10" fillId="0" borderId="22" xfId="0" applyNumberFormat="1" applyFont="1" applyBorder="1" applyAlignment="1">
      <alignment horizontal="left" vertical="top"/>
    </xf>
    <xf numFmtId="42" fontId="10" fillId="0" borderId="23" xfId="0" applyNumberFormat="1" applyFont="1" applyBorder="1" applyAlignment="1">
      <alignment horizontal="left" vertical="top"/>
    </xf>
    <xf numFmtId="42" fontId="10" fillId="0" borderId="24" xfId="0" applyNumberFormat="1" applyFont="1" applyBorder="1" applyAlignment="1">
      <alignment horizontal="left" vertical="top"/>
    </xf>
    <xf numFmtId="42" fontId="5" fillId="0" borderId="21" xfId="0" applyNumberFormat="1" applyFont="1" applyBorder="1"/>
    <xf numFmtId="0" fontId="12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center" vertical="top"/>
    </xf>
    <xf numFmtId="4" fontId="10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42" fontId="10" fillId="0" borderId="25" xfId="0" applyNumberFormat="1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left" vertical="top"/>
    </xf>
    <xf numFmtId="42" fontId="10" fillId="0" borderId="7" xfId="0" applyNumberFormat="1" applyFont="1" applyBorder="1" applyAlignment="1">
      <alignment horizontal="left" vertical="top"/>
    </xf>
    <xf numFmtId="42" fontId="5" fillId="0" borderId="26" xfId="0" applyNumberFormat="1" applyFont="1" applyBorder="1"/>
    <xf numFmtId="42" fontId="10" fillId="0" borderId="8" xfId="0" applyNumberFormat="1" applyFont="1" applyBorder="1" applyAlignment="1">
      <alignment horizontal="left" vertical="top"/>
    </xf>
    <xf numFmtId="3" fontId="3" fillId="0" borderId="5" xfId="0" applyNumberFormat="1" applyFont="1" applyBorder="1" applyAlignment="1">
      <alignment horizontal="center" vertical="center"/>
    </xf>
    <xf numFmtId="42" fontId="4" fillId="0" borderId="10" xfId="0" applyNumberFormat="1" applyFont="1" applyBorder="1"/>
    <xf numFmtId="42" fontId="4" fillId="0" borderId="6" xfId="0" applyNumberFormat="1" applyFont="1" applyBorder="1"/>
    <xf numFmtId="3" fontId="5" fillId="0" borderId="12" xfId="0" applyNumberFormat="1" applyFont="1" applyBorder="1" applyAlignment="1">
      <alignment horizontal="center" wrapText="1"/>
    </xf>
    <xf numFmtId="42" fontId="4" fillId="0" borderId="16" xfId="0" applyNumberFormat="1" applyFont="1" applyBorder="1"/>
    <xf numFmtId="42" fontId="4" fillId="0" borderId="17" xfId="0" applyNumberFormat="1" applyFont="1" applyBorder="1"/>
    <xf numFmtId="3" fontId="3" fillId="0" borderId="27" xfId="0" applyNumberFormat="1" applyFont="1" applyBorder="1" applyAlignment="1">
      <alignment horizontal="center" vertical="center"/>
    </xf>
    <xf numFmtId="42" fontId="5" fillId="0" borderId="6" xfId="0" applyNumberFormat="1" applyFont="1" applyBorder="1"/>
    <xf numFmtId="42" fontId="1" fillId="0" borderId="13" xfId="0" applyNumberFormat="1" applyFont="1" applyBorder="1" applyAlignment="1">
      <alignment horizontal="right"/>
    </xf>
    <xf numFmtId="42" fontId="10" fillId="0" borderId="29" xfId="0" applyNumberFormat="1" applyFont="1" applyBorder="1" applyAlignment="1">
      <alignment vertical="top"/>
    </xf>
    <xf numFmtId="42" fontId="4" fillId="0" borderId="28" xfId="0" applyNumberFormat="1" applyFont="1" applyBorder="1"/>
    <xf numFmtId="42" fontId="10" fillId="0" borderId="0" xfId="0" applyNumberFormat="1" applyFont="1" applyBorder="1" applyAlignment="1">
      <alignment vertical="top"/>
    </xf>
    <xf numFmtId="42" fontId="10" fillId="0" borderId="13" xfId="0" applyNumberFormat="1" applyFont="1" applyBorder="1" applyAlignment="1">
      <alignment vertical="top"/>
    </xf>
    <xf numFmtId="42" fontId="10" fillId="0" borderId="30" xfId="0" applyNumberFormat="1" applyFont="1" applyBorder="1" applyAlignment="1">
      <alignment vertical="top"/>
    </xf>
    <xf numFmtId="42" fontId="10" fillId="0" borderId="31" xfId="0" applyNumberFormat="1" applyFont="1" applyBorder="1" applyAlignment="1">
      <alignment vertical="top"/>
    </xf>
    <xf numFmtId="42" fontId="11" fillId="0" borderId="6" xfId="0" applyNumberFormat="1" applyFont="1" applyBorder="1" applyAlignment="1">
      <alignment vertical="top"/>
    </xf>
    <xf numFmtId="42" fontId="5" fillId="0" borderId="2" xfId="0" applyNumberFormat="1" applyFont="1" applyBorder="1"/>
    <xf numFmtId="42" fontId="1" fillId="0" borderId="5" xfId="0" applyNumberFormat="1" applyFont="1" applyBorder="1"/>
    <xf numFmtId="42" fontId="4" fillId="0" borderId="12" xfId="0" applyNumberFormat="1" applyFont="1" applyBorder="1"/>
    <xf numFmtId="42" fontId="4" fillId="0" borderId="32" xfId="0" applyNumberFormat="1" applyFont="1" applyBorder="1"/>
    <xf numFmtId="42" fontId="4" fillId="0" borderId="31" xfId="0" applyNumberFormat="1" applyFont="1" applyBorder="1"/>
    <xf numFmtId="42" fontId="4" fillId="0" borderId="33" xfId="0" applyNumberFormat="1" applyFont="1" applyBorder="1"/>
    <xf numFmtId="42" fontId="5" fillId="0" borderId="13" xfId="0" applyNumberFormat="1" applyFont="1" applyBorder="1"/>
    <xf numFmtId="42" fontId="10" fillId="0" borderId="32" xfId="0" applyNumberFormat="1" applyFont="1" applyBorder="1" applyAlignment="1">
      <alignment vertical="top"/>
    </xf>
    <xf numFmtId="42" fontId="10" fillId="0" borderId="33" xfId="0" applyNumberFormat="1" applyFont="1" applyBorder="1" applyAlignment="1">
      <alignment vertical="top"/>
    </xf>
    <xf numFmtId="42" fontId="1" fillId="0" borderId="31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wrapText="1"/>
    </xf>
    <xf numFmtId="42" fontId="1" fillId="0" borderId="13" xfId="0" applyNumberFormat="1" applyFont="1" applyBorder="1"/>
    <xf numFmtId="3" fontId="8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0" borderId="9" xfId="0" applyNumberFormat="1" applyFont="1" applyBorder="1" applyAlignment="1"/>
    <xf numFmtId="3" fontId="1" fillId="0" borderId="6" xfId="0" applyNumberFormat="1" applyFont="1" applyBorder="1" applyAlignment="1"/>
    <xf numFmtId="3" fontId="1" fillId="0" borderId="1" xfId="0" applyNumberFormat="1" applyFont="1" applyBorder="1" applyAlignment="1">
      <alignment horizontal="center" wrapText="1"/>
    </xf>
    <xf numFmtId="3" fontId="4" fillId="0" borderId="8" xfId="0" applyNumberFormat="1" applyFont="1" applyBorder="1" applyAlignment="1"/>
    <xf numFmtId="3" fontId="1" fillId="0" borderId="11" xfId="0" applyNumberFormat="1" applyFont="1" applyBorder="1" applyAlignment="1">
      <alignment horizontal="center"/>
    </xf>
    <xf numFmtId="3" fontId="4" fillId="0" borderId="11" xfId="0" applyNumberFormat="1" applyFont="1" applyBorder="1" applyAlignment="1"/>
    <xf numFmtId="3" fontId="4" fillId="0" borderId="2" xfId="0" applyNumberFormat="1" applyFont="1" applyBorder="1" applyAlignment="1"/>
    <xf numFmtId="3" fontId="4" fillId="0" borderId="3" xfId="0" applyNumberFormat="1" applyFont="1" applyBorder="1" applyAlignment="1"/>
    <xf numFmtId="3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5" fillId="0" borderId="1" xfId="0" applyNumberFormat="1" applyFont="1" applyBorder="1" applyAlignment="1"/>
    <xf numFmtId="3" fontId="5" fillId="0" borderId="8" xfId="0" applyNumberFormat="1" applyFont="1" applyBorder="1" applyAlignment="1"/>
    <xf numFmtId="3" fontId="5" fillId="0" borderId="12" xfId="0" applyNumberFormat="1" applyFont="1" applyBorder="1" applyAlignment="1">
      <alignment horizontal="center" wrapText="1"/>
    </xf>
    <xf numFmtId="3" fontId="3" fillId="0" borderId="13" xfId="0" applyNumberFormat="1" applyFont="1" applyBorder="1" applyAlignment="1"/>
    <xf numFmtId="3" fontId="5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3" fontId="3" fillId="0" borderId="3" xfId="0" applyNumberFormat="1" applyFont="1" applyBorder="1" applyAlignment="1"/>
    <xf numFmtId="42" fontId="10" fillId="0" borderId="23" xfId="0" applyNumberFormat="1" applyFont="1" applyBorder="1" applyAlignment="1">
      <alignment horizontal="center" vertical="top"/>
    </xf>
    <xf numFmtId="42" fontId="10" fillId="0" borderId="16" xfId="0" applyNumberFormat="1" applyFont="1" applyBorder="1" applyAlignment="1">
      <alignment horizontal="center" vertical="top"/>
    </xf>
    <xf numFmtId="42" fontId="10" fillId="0" borderId="0" xfId="0" applyNumberFormat="1" applyFont="1" applyBorder="1" applyAlignment="1">
      <alignment horizontal="center" vertical="top"/>
    </xf>
    <xf numFmtId="42" fontId="10" fillId="0" borderId="24" xfId="0" applyNumberFormat="1" applyFont="1" applyBorder="1" applyAlignment="1">
      <alignment horizontal="center" vertical="top"/>
    </xf>
    <xf numFmtId="42" fontId="10" fillId="0" borderId="17" xfId="0" applyNumberFormat="1" applyFont="1" applyBorder="1" applyAlignment="1">
      <alignment horizontal="center" vertical="top"/>
    </xf>
    <xf numFmtId="42" fontId="10" fillId="0" borderId="13" xfId="0" applyNumberFormat="1" applyFont="1" applyBorder="1" applyAlignment="1">
      <alignment horizontal="center" vertical="top"/>
    </xf>
    <xf numFmtId="42" fontId="5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7"/>
  <sheetViews>
    <sheetView tabSelected="1" zoomScaleNormal="100" workbookViewId="0"/>
  </sheetViews>
  <sheetFormatPr defaultRowHeight="12.75" x14ac:dyDescent="0.2"/>
  <cols>
    <col min="1" max="1" width="4.7109375" style="2" customWidth="1"/>
    <col min="2" max="2" width="24.85546875" style="14" customWidth="1"/>
    <col min="3" max="3" width="18" style="2" customWidth="1"/>
    <col min="4" max="4" width="15.42578125" style="2" customWidth="1"/>
    <col min="5" max="5" width="13.5703125" style="2" customWidth="1"/>
    <col min="6" max="6" width="10.85546875" style="2" customWidth="1"/>
    <col min="7" max="7" width="11.42578125" style="2" customWidth="1"/>
    <col min="8" max="8" width="11.140625" style="2" customWidth="1"/>
    <col min="9" max="9" width="10.7109375" style="2" customWidth="1"/>
    <col min="10" max="10" width="10.140625" style="2" customWidth="1"/>
    <col min="11" max="11" width="10.28515625" style="2" customWidth="1"/>
    <col min="12" max="12" width="14.85546875" style="2" bestFit="1" customWidth="1"/>
    <col min="13" max="13" width="12" style="2" customWidth="1"/>
    <col min="14" max="14" width="10.28515625" style="2" customWidth="1"/>
    <col min="15" max="15" width="14.5703125" style="2" customWidth="1"/>
    <col min="16" max="16384" width="9.140625" style="2"/>
  </cols>
  <sheetData>
    <row r="1" spans="1:19" ht="18" x14ac:dyDescent="0.25">
      <c r="B1" s="96" t="s">
        <v>12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9" ht="15.75" x14ac:dyDescent="0.25">
      <c r="B2" s="97" t="s">
        <v>155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1:19" ht="13.5" thickBot="1" x14ac:dyDescent="0.25"/>
    <row r="4" spans="1:19" ht="16.5" customHeight="1" thickBot="1" x14ac:dyDescent="0.25">
      <c r="B4" s="98" t="s">
        <v>13</v>
      </c>
      <c r="C4" s="100" t="s">
        <v>31</v>
      </c>
      <c r="D4" s="102" t="s">
        <v>27</v>
      </c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105"/>
    </row>
    <row r="5" spans="1:19" ht="45" customHeight="1" thickBot="1" x14ac:dyDescent="0.25">
      <c r="B5" s="99"/>
      <c r="C5" s="101"/>
      <c r="D5" s="94" t="s">
        <v>32</v>
      </c>
      <c r="E5" s="7" t="s">
        <v>33</v>
      </c>
      <c r="F5" s="7" t="s">
        <v>1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8" t="s">
        <v>8</v>
      </c>
      <c r="N5" s="8" t="s">
        <v>9</v>
      </c>
      <c r="O5" s="8" t="s">
        <v>10</v>
      </c>
    </row>
    <row r="6" spans="1:19" ht="16.5" customHeight="1" thickBot="1" x14ac:dyDescent="0.25">
      <c r="B6" s="38" t="s">
        <v>0</v>
      </c>
      <c r="C6" s="40" t="s">
        <v>14</v>
      </c>
      <c r="D6" s="93" t="s">
        <v>15</v>
      </c>
      <c r="E6" s="92" t="s">
        <v>16</v>
      </c>
      <c r="F6" s="41" t="s">
        <v>17</v>
      </c>
      <c r="G6" s="41" t="s">
        <v>18</v>
      </c>
      <c r="H6" s="42" t="s">
        <v>19</v>
      </c>
      <c r="I6" s="42" t="s">
        <v>20</v>
      </c>
      <c r="J6" s="42" t="s">
        <v>21</v>
      </c>
      <c r="K6" s="42" t="s">
        <v>22</v>
      </c>
      <c r="L6" s="42" t="s">
        <v>23</v>
      </c>
      <c r="M6" s="43" t="s">
        <v>24</v>
      </c>
      <c r="N6" s="28" t="s">
        <v>25</v>
      </c>
      <c r="O6" s="28" t="s">
        <v>26</v>
      </c>
      <c r="P6" s="39"/>
      <c r="Q6" s="39"/>
    </row>
    <row r="7" spans="1:19" ht="12.75" customHeight="1" x14ac:dyDescent="0.2">
      <c r="A7" s="1"/>
      <c r="B7" s="34" t="s">
        <v>42</v>
      </c>
      <c r="C7" s="22">
        <v>82904.97</v>
      </c>
      <c r="D7" s="22">
        <v>32051.13</v>
      </c>
      <c r="E7" s="77">
        <v>42244.11</v>
      </c>
      <c r="F7" s="77">
        <v>3458.4839000000002</v>
      </c>
      <c r="G7" s="77">
        <v>8056.23</v>
      </c>
      <c r="H7" s="77">
        <v>13052</v>
      </c>
      <c r="I7" s="77">
        <v>0</v>
      </c>
      <c r="J7" s="77">
        <v>35.880000000000003</v>
      </c>
      <c r="K7" s="77">
        <v>158.22999999999999</v>
      </c>
      <c r="L7" s="77">
        <v>38.729999999999997</v>
      </c>
      <c r="M7" s="89">
        <v>132</v>
      </c>
      <c r="N7" s="84">
        <f>SUM(F7:M7)</f>
        <v>24931.553899999999</v>
      </c>
      <c r="O7" s="29">
        <f>SUM(E7+N7)</f>
        <v>67175.6639</v>
      </c>
      <c r="P7" s="55"/>
      <c r="Q7" s="56"/>
      <c r="R7" s="57"/>
      <c r="S7" s="57"/>
    </row>
    <row r="8" spans="1:19" ht="12.75" customHeight="1" x14ac:dyDescent="0.2">
      <c r="A8" s="1"/>
      <c r="B8" s="34" t="s">
        <v>43</v>
      </c>
      <c r="C8" s="22">
        <v>70036.5</v>
      </c>
      <c r="D8" s="22">
        <v>33172</v>
      </c>
      <c r="E8" s="77">
        <v>50238</v>
      </c>
      <c r="F8" s="77">
        <v>3656.0695999999998</v>
      </c>
      <c r="G8" s="77">
        <v>8653.4</v>
      </c>
      <c r="H8" s="77">
        <v>9566.67</v>
      </c>
      <c r="I8" s="77">
        <v>711.63</v>
      </c>
      <c r="J8" s="77">
        <v>57.15</v>
      </c>
      <c r="K8" s="77">
        <v>315.45999999999998</v>
      </c>
      <c r="L8" s="77">
        <v>0</v>
      </c>
      <c r="M8" s="89">
        <v>114.3</v>
      </c>
      <c r="N8" s="85">
        <f t="shared" ref="N8:N47" si="0">SUM(F8:M8)</f>
        <v>23074.679600000003</v>
      </c>
      <c r="O8" s="21">
        <f t="shared" ref="O8:O50" si="1">SUM(E8+N8)</f>
        <v>73312.679600000003</v>
      </c>
      <c r="P8" s="55"/>
      <c r="Q8" s="56"/>
      <c r="R8" s="57"/>
      <c r="S8" s="57"/>
    </row>
    <row r="9" spans="1:19" ht="12.75" customHeight="1" x14ac:dyDescent="0.2">
      <c r="A9" s="1"/>
      <c r="B9" s="34" t="s">
        <v>44</v>
      </c>
      <c r="C9" s="22">
        <v>75087</v>
      </c>
      <c r="D9" s="22">
        <v>30792</v>
      </c>
      <c r="E9" s="77">
        <v>45503</v>
      </c>
      <c r="F9" s="77">
        <v>3384.614</v>
      </c>
      <c r="G9" s="77">
        <v>6955.0499</v>
      </c>
      <c r="H9" s="77">
        <v>9173.1200000000008</v>
      </c>
      <c r="I9" s="77">
        <v>0</v>
      </c>
      <c r="J9" s="77">
        <v>101.4</v>
      </c>
      <c r="K9" s="77">
        <v>146.85</v>
      </c>
      <c r="L9" s="77">
        <v>44.243299999999998</v>
      </c>
      <c r="M9" s="89">
        <v>0</v>
      </c>
      <c r="N9" s="85">
        <f t="shared" si="0"/>
        <v>19805.2772</v>
      </c>
      <c r="O9" s="21">
        <f t="shared" si="1"/>
        <v>65308.277199999997</v>
      </c>
      <c r="P9" s="55"/>
      <c r="Q9" s="56"/>
      <c r="R9" s="57"/>
      <c r="S9" s="57"/>
    </row>
    <row r="10" spans="1:19" ht="12.75" customHeight="1" x14ac:dyDescent="0.2">
      <c r="A10" s="1"/>
      <c r="B10" s="34" t="s">
        <v>45</v>
      </c>
      <c r="C10" s="22">
        <v>85963</v>
      </c>
      <c r="D10" s="22">
        <v>31255</v>
      </c>
      <c r="E10" s="77">
        <v>48551</v>
      </c>
      <c r="F10" s="77">
        <v>3685.1725000000001</v>
      </c>
      <c r="G10" s="77">
        <v>8584.2800000000007</v>
      </c>
      <c r="H10" s="77">
        <v>10144.709999999999</v>
      </c>
      <c r="I10" s="77">
        <v>0</v>
      </c>
      <c r="J10" s="77">
        <v>25.68</v>
      </c>
      <c r="K10" s="77">
        <v>133.68</v>
      </c>
      <c r="L10" s="77">
        <v>48.172199999999997</v>
      </c>
      <c r="M10" s="89">
        <v>120.6</v>
      </c>
      <c r="N10" s="85">
        <f t="shared" si="0"/>
        <v>22742.294699999999</v>
      </c>
      <c r="O10" s="21">
        <f t="shared" si="1"/>
        <v>71293.294699999999</v>
      </c>
      <c r="P10" s="55"/>
      <c r="Q10" s="56"/>
      <c r="R10" s="57"/>
      <c r="S10" s="57"/>
    </row>
    <row r="11" spans="1:19" ht="12.75" customHeight="1" thickBot="1" x14ac:dyDescent="0.25">
      <c r="A11" s="1"/>
      <c r="B11" s="35" t="s">
        <v>46</v>
      </c>
      <c r="C11" s="23">
        <v>84766</v>
      </c>
      <c r="D11" s="23">
        <v>31526</v>
      </c>
      <c r="E11" s="78">
        <v>45230</v>
      </c>
      <c r="F11" s="78">
        <v>3487.6534000000001</v>
      </c>
      <c r="G11" s="78">
        <v>8124.18</v>
      </c>
      <c r="H11" s="78">
        <v>6775</v>
      </c>
      <c r="I11" s="78">
        <v>0</v>
      </c>
      <c r="J11" s="78">
        <v>53.76</v>
      </c>
      <c r="K11" s="78">
        <v>364.73</v>
      </c>
      <c r="L11" s="78">
        <v>45.590200000000003</v>
      </c>
      <c r="M11" s="80">
        <v>156.6</v>
      </c>
      <c r="N11" s="86">
        <f t="shared" si="0"/>
        <v>19007.513599999995</v>
      </c>
      <c r="O11" s="30">
        <f t="shared" si="1"/>
        <v>64237.513599999991</v>
      </c>
      <c r="P11" s="55"/>
      <c r="Q11" s="56"/>
      <c r="R11" s="57"/>
      <c r="S11" s="57"/>
    </row>
    <row r="12" spans="1:19" ht="12.75" customHeight="1" x14ac:dyDescent="0.2">
      <c r="A12" s="1"/>
      <c r="B12" s="34" t="s">
        <v>47</v>
      </c>
      <c r="C12" s="22">
        <v>69727.360000000001</v>
      </c>
      <c r="D12" s="22">
        <v>32913</v>
      </c>
      <c r="E12" s="77">
        <v>48067</v>
      </c>
      <c r="F12" s="77">
        <v>3391.4798999999998</v>
      </c>
      <c r="G12" s="77">
        <v>6969.1585999999998</v>
      </c>
      <c r="H12" s="77">
        <v>16615</v>
      </c>
      <c r="I12" s="77">
        <v>0</v>
      </c>
      <c r="J12" s="77">
        <v>63.17</v>
      </c>
      <c r="K12" s="77">
        <v>360.4</v>
      </c>
      <c r="L12" s="77">
        <v>44.333100000000002</v>
      </c>
      <c r="M12" s="89">
        <v>0</v>
      </c>
      <c r="N12" s="84">
        <f t="shared" si="0"/>
        <v>27443.5416</v>
      </c>
      <c r="O12" s="29">
        <f t="shared" si="1"/>
        <v>75510.541599999997</v>
      </c>
      <c r="P12" s="55"/>
      <c r="Q12" s="56"/>
      <c r="R12" s="57"/>
      <c r="S12" s="57"/>
    </row>
    <row r="13" spans="1:19" ht="12.75" customHeight="1" x14ac:dyDescent="0.2">
      <c r="A13" s="1"/>
      <c r="B13" s="34" t="s">
        <v>48</v>
      </c>
      <c r="C13" s="22">
        <v>68690</v>
      </c>
      <c r="D13" s="22">
        <v>24592.55</v>
      </c>
      <c r="E13" s="77">
        <v>41428</v>
      </c>
      <c r="F13" s="77">
        <v>3367.7006000000001</v>
      </c>
      <c r="G13" s="77">
        <v>6920.2946000000002</v>
      </c>
      <c r="H13" s="77">
        <v>13992</v>
      </c>
      <c r="I13" s="77">
        <v>0</v>
      </c>
      <c r="J13" s="77">
        <v>60.25</v>
      </c>
      <c r="K13" s="77">
        <v>374.26</v>
      </c>
      <c r="L13" s="77">
        <v>44.022199999999998</v>
      </c>
      <c r="M13" s="89">
        <v>154.99</v>
      </c>
      <c r="N13" s="85">
        <f t="shared" si="0"/>
        <v>24913.517400000001</v>
      </c>
      <c r="O13" s="21">
        <f t="shared" si="1"/>
        <v>66341.517399999997</v>
      </c>
      <c r="P13" s="55"/>
      <c r="Q13" s="56"/>
      <c r="R13" s="57"/>
      <c r="S13" s="57"/>
    </row>
    <row r="14" spans="1:19" ht="12.75" customHeight="1" x14ac:dyDescent="0.2">
      <c r="A14" s="1"/>
      <c r="B14" s="34" t="s">
        <v>49</v>
      </c>
      <c r="C14" s="22">
        <v>75060.5</v>
      </c>
      <c r="D14" s="22">
        <v>32658</v>
      </c>
      <c r="E14" s="77">
        <v>48523</v>
      </c>
      <c r="F14" s="77">
        <v>3596.0409</v>
      </c>
      <c r="G14" s="77">
        <v>8376.66</v>
      </c>
      <c r="H14" s="77">
        <v>12111</v>
      </c>
      <c r="I14" s="77">
        <v>908.54</v>
      </c>
      <c r="J14" s="77">
        <v>58.23</v>
      </c>
      <c r="K14" s="77">
        <v>72.34</v>
      </c>
      <c r="L14" s="77">
        <v>50.97</v>
      </c>
      <c r="M14" s="89">
        <v>89.45</v>
      </c>
      <c r="N14" s="85">
        <f t="shared" si="0"/>
        <v>25263.230900000002</v>
      </c>
      <c r="O14" s="21">
        <f t="shared" si="1"/>
        <v>73786.230899999995</v>
      </c>
      <c r="P14" s="55"/>
      <c r="Q14" s="56"/>
      <c r="R14" s="57"/>
      <c r="S14" s="57"/>
    </row>
    <row r="15" spans="1:19" ht="12.75" customHeight="1" x14ac:dyDescent="0.2">
      <c r="A15" s="1"/>
      <c r="B15" s="34" t="s">
        <v>50</v>
      </c>
      <c r="C15" s="22">
        <v>73609</v>
      </c>
      <c r="D15" s="22">
        <v>32120</v>
      </c>
      <c r="E15" s="77">
        <v>43040</v>
      </c>
      <c r="F15" s="77">
        <v>3357.7647999999999</v>
      </c>
      <c r="G15" s="77">
        <v>7821.62</v>
      </c>
      <c r="H15" s="77">
        <v>9737</v>
      </c>
      <c r="I15" s="77">
        <v>0</v>
      </c>
      <c r="J15" s="77">
        <v>68.94</v>
      </c>
      <c r="K15" s="77">
        <v>119.88</v>
      </c>
      <c r="L15" s="77">
        <v>33.299999999999997</v>
      </c>
      <c r="M15" s="89">
        <v>121</v>
      </c>
      <c r="N15" s="85">
        <f t="shared" si="0"/>
        <v>21259.504799999999</v>
      </c>
      <c r="O15" s="21">
        <f t="shared" si="1"/>
        <v>64299.504799999995</v>
      </c>
      <c r="P15" s="55"/>
      <c r="Q15" s="56"/>
      <c r="R15" s="57"/>
      <c r="S15" s="57"/>
    </row>
    <row r="16" spans="1:19" ht="12.75" customHeight="1" thickBot="1" x14ac:dyDescent="0.25">
      <c r="A16" s="1"/>
      <c r="B16" s="35" t="s">
        <v>51</v>
      </c>
      <c r="C16" s="23">
        <v>79547.5</v>
      </c>
      <c r="D16" s="23">
        <v>33240</v>
      </c>
      <c r="E16" s="78">
        <v>50690</v>
      </c>
      <c r="F16" s="78">
        <v>3673.3593999999998</v>
      </c>
      <c r="G16" s="78">
        <v>7548.3933999999999</v>
      </c>
      <c r="H16" s="78">
        <v>15260</v>
      </c>
      <c r="I16" s="78">
        <v>756</v>
      </c>
      <c r="J16" s="78">
        <v>56.4</v>
      </c>
      <c r="K16" s="78">
        <v>340</v>
      </c>
      <c r="L16" s="78">
        <v>48.017800000000001</v>
      </c>
      <c r="M16" s="80">
        <v>68.900000000000006</v>
      </c>
      <c r="N16" s="86">
        <f t="shared" si="0"/>
        <v>27751.070600000006</v>
      </c>
      <c r="O16" s="30">
        <f t="shared" si="1"/>
        <v>78441.070600000006</v>
      </c>
      <c r="P16" s="55"/>
      <c r="Q16" s="56"/>
      <c r="R16" s="57"/>
      <c r="S16" s="57"/>
    </row>
    <row r="17" spans="1:19" ht="12.75" customHeight="1" x14ac:dyDescent="0.2">
      <c r="A17" s="1"/>
      <c r="B17" s="34" t="s">
        <v>52</v>
      </c>
      <c r="C17" s="22">
        <v>53098.615000000005</v>
      </c>
      <c r="D17" s="22"/>
      <c r="E17" s="77">
        <v>49427</v>
      </c>
      <c r="F17" s="77">
        <v>3655.4468999999999</v>
      </c>
      <c r="G17" s="77">
        <v>7511.5851000000002</v>
      </c>
      <c r="H17" s="77">
        <v>10628</v>
      </c>
      <c r="I17" s="77">
        <v>1151</v>
      </c>
      <c r="J17" s="77">
        <v>142</v>
      </c>
      <c r="K17" s="77">
        <v>208</v>
      </c>
      <c r="L17" s="77">
        <v>47.7836</v>
      </c>
      <c r="M17" s="89">
        <v>181.58</v>
      </c>
      <c r="N17" s="84">
        <f t="shared" si="0"/>
        <v>23525.3956</v>
      </c>
      <c r="O17" s="29">
        <f t="shared" si="1"/>
        <v>72952.395600000003</v>
      </c>
      <c r="P17" s="55"/>
      <c r="Q17" s="56"/>
      <c r="R17" s="57"/>
      <c r="S17" s="57"/>
    </row>
    <row r="18" spans="1:19" ht="12.75" customHeight="1" x14ac:dyDescent="0.2">
      <c r="A18" s="1"/>
      <c r="B18" s="34" t="s">
        <v>53</v>
      </c>
      <c r="C18" s="22">
        <v>70772</v>
      </c>
      <c r="D18" s="22">
        <v>31121</v>
      </c>
      <c r="E18" s="77">
        <v>44514</v>
      </c>
      <c r="F18" s="77">
        <v>3380.1257000000001</v>
      </c>
      <c r="G18" s="77">
        <v>7873.7</v>
      </c>
      <c r="H18" s="77">
        <v>6878.7</v>
      </c>
      <c r="I18" s="77">
        <v>0</v>
      </c>
      <c r="J18" s="77">
        <v>61.1</v>
      </c>
      <c r="K18" s="77">
        <v>301.31</v>
      </c>
      <c r="L18" s="77">
        <v>44.184699999999999</v>
      </c>
      <c r="M18" s="89">
        <v>212.97</v>
      </c>
      <c r="N18" s="85">
        <f t="shared" si="0"/>
        <v>18752.090400000001</v>
      </c>
      <c r="O18" s="21">
        <f t="shared" si="1"/>
        <v>63266.090400000001</v>
      </c>
      <c r="P18" s="55"/>
      <c r="Q18" s="56"/>
      <c r="R18" s="57"/>
      <c r="S18" s="57"/>
    </row>
    <row r="19" spans="1:19" ht="12.75" customHeight="1" x14ac:dyDescent="0.2">
      <c r="A19" s="1"/>
      <c r="B19" s="34" t="s">
        <v>54</v>
      </c>
      <c r="C19" s="22">
        <v>80257</v>
      </c>
      <c r="D19" s="22">
        <v>32126</v>
      </c>
      <c r="E19" s="77">
        <v>47338</v>
      </c>
      <c r="F19" s="77">
        <v>3530.1698000000001</v>
      </c>
      <c r="G19" s="77">
        <v>7254.1527999999998</v>
      </c>
      <c r="H19" s="77">
        <v>8851</v>
      </c>
      <c r="I19" s="77">
        <v>0</v>
      </c>
      <c r="J19" s="77">
        <v>50</v>
      </c>
      <c r="K19" s="77">
        <v>322</v>
      </c>
      <c r="L19" s="77">
        <v>46.146000000000001</v>
      </c>
      <c r="M19" s="89">
        <v>0</v>
      </c>
      <c r="N19" s="85">
        <f t="shared" si="0"/>
        <v>20053.4686</v>
      </c>
      <c r="O19" s="21">
        <f t="shared" si="1"/>
        <v>67391.468599999993</v>
      </c>
      <c r="P19" s="55"/>
      <c r="Q19" s="56"/>
      <c r="R19" s="57"/>
      <c r="S19" s="57"/>
    </row>
    <row r="20" spans="1:19" ht="12.75" customHeight="1" x14ac:dyDescent="0.2">
      <c r="A20" s="1"/>
      <c r="B20" s="34" t="s">
        <v>55</v>
      </c>
      <c r="C20" s="22">
        <v>71312.5</v>
      </c>
      <c r="D20" s="22">
        <v>28664</v>
      </c>
      <c r="E20" s="77">
        <v>40906</v>
      </c>
      <c r="F20" s="77">
        <v>3119.9468999999999</v>
      </c>
      <c r="G20" s="77">
        <v>7267.85</v>
      </c>
      <c r="H20" s="77">
        <v>12775.68</v>
      </c>
      <c r="I20" s="77">
        <v>914.11</v>
      </c>
      <c r="J20" s="77">
        <v>82.01</v>
      </c>
      <c r="K20" s="77">
        <v>158.81</v>
      </c>
      <c r="L20" s="77">
        <v>0</v>
      </c>
      <c r="M20" s="89">
        <v>112.2</v>
      </c>
      <c r="N20" s="85">
        <f t="shared" si="0"/>
        <v>24430.606900000002</v>
      </c>
      <c r="O20" s="21">
        <f t="shared" si="1"/>
        <v>65336.606899999999</v>
      </c>
      <c r="P20" s="55"/>
      <c r="Q20" s="56"/>
      <c r="R20" s="57"/>
      <c r="S20" s="57"/>
    </row>
    <row r="21" spans="1:19" ht="12.75" customHeight="1" thickBot="1" x14ac:dyDescent="0.25">
      <c r="A21" s="1"/>
      <c r="B21" s="35" t="s">
        <v>56</v>
      </c>
      <c r="C21" s="23">
        <v>86331</v>
      </c>
      <c r="D21" s="23">
        <v>32889</v>
      </c>
      <c r="E21" s="78">
        <v>44709</v>
      </c>
      <c r="F21" s="78">
        <v>3524.4063000000001</v>
      </c>
      <c r="G21" s="78">
        <v>7242.3092999999999</v>
      </c>
      <c r="H21" s="78">
        <v>10967.26</v>
      </c>
      <c r="I21" s="78">
        <v>0</v>
      </c>
      <c r="J21" s="78">
        <v>61.2</v>
      </c>
      <c r="K21" s="78">
        <v>361.41</v>
      </c>
      <c r="L21" s="78">
        <v>46.070700000000002</v>
      </c>
      <c r="M21" s="80">
        <v>156.6</v>
      </c>
      <c r="N21" s="86">
        <f t="shared" si="0"/>
        <v>22359.256299999997</v>
      </c>
      <c r="O21" s="30">
        <f t="shared" si="1"/>
        <v>67068.256299999994</v>
      </c>
      <c r="P21" s="55"/>
      <c r="Q21" s="56"/>
      <c r="R21" s="57"/>
      <c r="S21" s="57"/>
    </row>
    <row r="22" spans="1:19" ht="12.75" customHeight="1" x14ac:dyDescent="0.2">
      <c r="A22" s="1"/>
      <c r="B22" s="34" t="s">
        <v>57</v>
      </c>
      <c r="C22" s="22">
        <v>72105.475000000006</v>
      </c>
      <c r="D22" s="22">
        <v>32342</v>
      </c>
      <c r="E22" s="77">
        <v>46943</v>
      </c>
      <c r="F22" s="77">
        <v>3474.8442</v>
      </c>
      <c r="G22" s="77">
        <v>7916.02</v>
      </c>
      <c r="H22" s="77">
        <v>6867.5</v>
      </c>
      <c r="I22" s="77">
        <v>0</v>
      </c>
      <c r="J22" s="77">
        <v>88.03</v>
      </c>
      <c r="K22" s="77">
        <v>187</v>
      </c>
      <c r="L22" s="77">
        <v>47.07</v>
      </c>
      <c r="M22" s="89">
        <v>265.58</v>
      </c>
      <c r="N22" s="84">
        <f t="shared" si="0"/>
        <v>18846.0442</v>
      </c>
      <c r="O22" s="29">
        <f t="shared" si="1"/>
        <v>65789.044200000004</v>
      </c>
      <c r="P22" s="55"/>
      <c r="Q22" s="56"/>
      <c r="R22" s="57"/>
      <c r="S22" s="57"/>
    </row>
    <row r="23" spans="1:19" ht="12.75" customHeight="1" x14ac:dyDescent="0.2">
      <c r="A23" s="1"/>
      <c r="B23" s="34" t="s">
        <v>58</v>
      </c>
      <c r="C23" s="22">
        <v>59487</v>
      </c>
      <c r="D23" s="22">
        <v>39176</v>
      </c>
      <c r="E23" s="77">
        <v>44910</v>
      </c>
      <c r="F23" s="77">
        <v>3516.4594000000002</v>
      </c>
      <c r="G23" s="77">
        <v>7225.9794000000002</v>
      </c>
      <c r="H23" s="77">
        <v>16368</v>
      </c>
      <c r="I23" s="77">
        <v>1174</v>
      </c>
      <c r="J23" s="77">
        <v>53</v>
      </c>
      <c r="K23" s="77">
        <v>145</v>
      </c>
      <c r="L23" s="77">
        <v>46</v>
      </c>
      <c r="M23" s="89">
        <v>232</v>
      </c>
      <c r="N23" s="85">
        <f t="shared" si="0"/>
        <v>28760.4388</v>
      </c>
      <c r="O23" s="21">
        <f t="shared" si="1"/>
        <v>73670.438800000004</v>
      </c>
      <c r="P23" s="55"/>
      <c r="Q23" s="56"/>
      <c r="R23" s="57"/>
      <c r="S23" s="57"/>
    </row>
    <row r="24" spans="1:19" ht="12.75" customHeight="1" x14ac:dyDescent="0.2">
      <c r="A24" s="1"/>
      <c r="B24" s="34" t="s">
        <v>59</v>
      </c>
      <c r="C24" s="22">
        <v>78330</v>
      </c>
      <c r="D24" s="22">
        <v>18920</v>
      </c>
      <c r="E24" s="77">
        <v>46128</v>
      </c>
      <c r="F24" s="77">
        <v>3561.6035999999999</v>
      </c>
      <c r="G24" s="77">
        <v>8296.44</v>
      </c>
      <c r="H24" s="77">
        <v>13032</v>
      </c>
      <c r="I24" s="77">
        <v>0</v>
      </c>
      <c r="J24" s="77">
        <v>105.6</v>
      </c>
      <c r="K24" s="77">
        <v>244.8</v>
      </c>
      <c r="L24" s="77">
        <v>23.75</v>
      </c>
      <c r="M24" s="89">
        <v>97.92</v>
      </c>
      <c r="N24" s="85">
        <f t="shared" si="0"/>
        <v>25362.113599999997</v>
      </c>
      <c r="O24" s="21">
        <f t="shared" si="1"/>
        <v>71490.113599999997</v>
      </c>
      <c r="P24" s="55"/>
      <c r="Q24" s="56"/>
      <c r="R24" s="57"/>
      <c r="S24" s="57"/>
    </row>
    <row r="25" spans="1:19" ht="12.75" customHeight="1" x14ac:dyDescent="0.2">
      <c r="A25" s="1"/>
      <c r="B25" s="34" t="s">
        <v>60</v>
      </c>
      <c r="C25" s="22">
        <v>69877</v>
      </c>
      <c r="D25" s="22">
        <v>32368.5</v>
      </c>
      <c r="E25" s="77">
        <v>52038</v>
      </c>
      <c r="F25" s="77">
        <v>3871.8301999999999</v>
      </c>
      <c r="G25" s="77">
        <v>9019.09</v>
      </c>
      <c r="H25" s="77">
        <v>13032</v>
      </c>
      <c r="I25" s="77">
        <v>1305.5999999999999</v>
      </c>
      <c r="J25" s="77">
        <v>48.12</v>
      </c>
      <c r="K25" s="77">
        <v>391.2</v>
      </c>
      <c r="L25" s="77">
        <v>7.05</v>
      </c>
      <c r="M25" s="89">
        <v>141.47999999999999</v>
      </c>
      <c r="N25" s="85">
        <f t="shared" si="0"/>
        <v>27816.370199999998</v>
      </c>
      <c r="O25" s="21">
        <f t="shared" si="1"/>
        <v>79854.370200000005</v>
      </c>
      <c r="P25" s="55"/>
      <c r="Q25" s="56"/>
      <c r="R25" s="57"/>
      <c r="S25" s="57"/>
    </row>
    <row r="26" spans="1:19" ht="12.75" customHeight="1" thickBot="1" x14ac:dyDescent="0.25">
      <c r="A26" s="1"/>
      <c r="B26" s="35" t="s">
        <v>61</v>
      </c>
      <c r="C26" s="23">
        <v>73406</v>
      </c>
      <c r="D26" s="23">
        <v>33430</v>
      </c>
      <c r="E26" s="78">
        <v>42932</v>
      </c>
      <c r="F26" s="78">
        <v>3363.5994000000001</v>
      </c>
      <c r="G26" s="78">
        <v>6911.8671000000004</v>
      </c>
      <c r="H26" s="78">
        <v>15825.6</v>
      </c>
      <c r="I26" s="78">
        <v>0</v>
      </c>
      <c r="J26" s="78">
        <v>98.52</v>
      </c>
      <c r="K26" s="78">
        <v>224</v>
      </c>
      <c r="L26" s="78">
        <v>43.968600000000002</v>
      </c>
      <c r="M26" s="80">
        <v>79.14</v>
      </c>
      <c r="N26" s="86">
        <f t="shared" si="0"/>
        <v>26546.695100000001</v>
      </c>
      <c r="O26" s="30">
        <f t="shared" si="1"/>
        <v>69478.695099999997</v>
      </c>
      <c r="P26" s="55"/>
      <c r="Q26" s="56"/>
      <c r="R26" s="57"/>
      <c r="S26" s="57"/>
    </row>
    <row r="27" spans="1:19" ht="12.75" customHeight="1" x14ac:dyDescent="0.2">
      <c r="A27" s="1"/>
      <c r="B27" s="34" t="s">
        <v>62</v>
      </c>
      <c r="C27" s="22">
        <v>85849</v>
      </c>
      <c r="D27" s="22">
        <v>35172</v>
      </c>
      <c r="E27" s="77">
        <v>50772</v>
      </c>
      <c r="F27" s="77">
        <v>3837.7411000000002</v>
      </c>
      <c r="G27" s="77">
        <v>8387.8472000000002</v>
      </c>
      <c r="H27" s="77">
        <v>9651</v>
      </c>
      <c r="I27" s="77">
        <v>0</v>
      </c>
      <c r="J27" s="77">
        <v>104</v>
      </c>
      <c r="K27" s="77">
        <v>237</v>
      </c>
      <c r="L27" s="77">
        <v>50.166600000000003</v>
      </c>
      <c r="M27" s="89">
        <v>141.96</v>
      </c>
      <c r="N27" s="84">
        <f t="shared" si="0"/>
        <v>22409.714899999999</v>
      </c>
      <c r="O27" s="29">
        <f t="shared" si="1"/>
        <v>73181.714899999992</v>
      </c>
      <c r="P27" s="55"/>
      <c r="Q27" s="56"/>
      <c r="R27" s="57"/>
      <c r="S27" s="57"/>
    </row>
    <row r="28" spans="1:19" ht="12.75" customHeight="1" x14ac:dyDescent="0.2">
      <c r="A28" s="1"/>
      <c r="B28" s="34" t="s">
        <v>63</v>
      </c>
      <c r="C28" s="22">
        <v>80007</v>
      </c>
      <c r="D28" s="22">
        <v>27812</v>
      </c>
      <c r="E28" s="77">
        <v>41777</v>
      </c>
      <c r="F28" s="77">
        <v>3114.6768000000002</v>
      </c>
      <c r="G28" s="77">
        <v>6400.3555999999999</v>
      </c>
      <c r="H28" s="77">
        <v>10226</v>
      </c>
      <c r="I28" s="77">
        <v>0</v>
      </c>
      <c r="J28" s="77">
        <v>62.04</v>
      </c>
      <c r="K28" s="77">
        <v>164.54</v>
      </c>
      <c r="L28" s="77">
        <v>40.714700000000001</v>
      </c>
      <c r="M28" s="89">
        <v>56.16</v>
      </c>
      <c r="N28" s="85">
        <f t="shared" si="0"/>
        <v>20064.487100000002</v>
      </c>
      <c r="O28" s="21">
        <f t="shared" si="1"/>
        <v>61841.487099999998</v>
      </c>
      <c r="P28" s="55"/>
      <c r="Q28" s="56"/>
      <c r="R28" s="57"/>
      <c r="S28" s="57"/>
    </row>
    <row r="29" spans="1:19" ht="12.75" customHeight="1" x14ac:dyDescent="0.2">
      <c r="A29" s="1"/>
      <c r="B29" s="34" t="s">
        <v>64</v>
      </c>
      <c r="C29" s="22">
        <v>65741.5</v>
      </c>
      <c r="D29" s="22">
        <v>32098</v>
      </c>
      <c r="E29" s="77">
        <v>45201.5</v>
      </c>
      <c r="F29" s="77">
        <v>3338.2885999999999</v>
      </c>
      <c r="G29" s="77">
        <v>7776</v>
      </c>
      <c r="H29" s="77">
        <v>16716</v>
      </c>
      <c r="I29" s="77">
        <v>0</v>
      </c>
      <c r="J29" s="77">
        <v>58</v>
      </c>
      <c r="K29" s="77">
        <v>261</v>
      </c>
      <c r="L29" s="77">
        <v>4</v>
      </c>
      <c r="M29" s="89">
        <v>95</v>
      </c>
      <c r="N29" s="85">
        <f t="shared" si="0"/>
        <v>28248.2886</v>
      </c>
      <c r="O29" s="21">
        <f t="shared" si="1"/>
        <v>73449.7886</v>
      </c>
      <c r="P29" s="55"/>
      <c r="Q29" s="56"/>
      <c r="R29" s="57"/>
      <c r="S29" s="57"/>
    </row>
    <row r="30" spans="1:19" ht="12.75" customHeight="1" x14ac:dyDescent="0.2">
      <c r="A30" s="1"/>
      <c r="B30" s="34" t="s">
        <v>65</v>
      </c>
      <c r="C30" s="22">
        <v>69971.5</v>
      </c>
      <c r="D30" s="22">
        <v>20352.385000000002</v>
      </c>
      <c r="E30" s="77">
        <v>48126</v>
      </c>
      <c r="F30" s="77">
        <v>3490.4074000000001</v>
      </c>
      <c r="G30" s="77">
        <v>8951.48</v>
      </c>
      <c r="H30" s="77">
        <v>14050.48</v>
      </c>
      <c r="I30" s="77">
        <v>907</v>
      </c>
      <c r="J30" s="77">
        <v>42.22</v>
      </c>
      <c r="K30" s="77">
        <v>253.5</v>
      </c>
      <c r="L30" s="77">
        <v>47.81</v>
      </c>
      <c r="M30" s="89">
        <v>185.13</v>
      </c>
      <c r="N30" s="85">
        <f t="shared" si="0"/>
        <v>27928.027400000003</v>
      </c>
      <c r="O30" s="21">
        <f t="shared" si="1"/>
        <v>76054.027400000006</v>
      </c>
      <c r="P30" s="55"/>
      <c r="Q30" s="56"/>
      <c r="R30" s="57"/>
      <c r="S30" s="57"/>
    </row>
    <row r="31" spans="1:19" ht="12.75" customHeight="1" thickBot="1" x14ac:dyDescent="0.25">
      <c r="A31" s="1"/>
      <c r="B31" s="35" t="s">
        <v>66</v>
      </c>
      <c r="C31" s="23">
        <v>79495</v>
      </c>
      <c r="D31" s="23">
        <v>33283</v>
      </c>
      <c r="E31" s="78">
        <v>43676</v>
      </c>
      <c r="F31" s="78">
        <v>3406.7132999999999</v>
      </c>
      <c r="G31" s="78">
        <v>7000.4618</v>
      </c>
      <c r="H31" s="78">
        <v>8407.7900000000009</v>
      </c>
      <c r="I31" s="78">
        <v>543.08000000000004</v>
      </c>
      <c r="J31" s="78">
        <v>28.44</v>
      </c>
      <c r="K31" s="78">
        <v>113.76</v>
      </c>
      <c r="L31" s="78">
        <v>113.76</v>
      </c>
      <c r="M31" s="80">
        <v>273.02</v>
      </c>
      <c r="N31" s="86">
        <f t="shared" si="0"/>
        <v>19887.025099999999</v>
      </c>
      <c r="O31" s="30">
        <f t="shared" si="1"/>
        <v>63563.025099999999</v>
      </c>
      <c r="P31" s="55"/>
      <c r="Q31" s="56"/>
      <c r="R31" s="57"/>
      <c r="S31" s="57"/>
    </row>
    <row r="32" spans="1:19" ht="12.75" customHeight="1" x14ac:dyDescent="0.2">
      <c r="A32" s="1"/>
      <c r="B32" s="34" t="s">
        <v>67</v>
      </c>
      <c r="C32" s="22">
        <v>91003.5</v>
      </c>
      <c r="D32" s="22">
        <v>40442</v>
      </c>
      <c r="E32" s="77">
        <v>58244</v>
      </c>
      <c r="F32" s="77">
        <v>4451.1471000000001</v>
      </c>
      <c r="G32" s="77">
        <v>9146.6710000000003</v>
      </c>
      <c r="H32" s="77">
        <v>8472</v>
      </c>
      <c r="I32" s="77">
        <v>695</v>
      </c>
      <c r="J32" s="77">
        <v>59.81</v>
      </c>
      <c r="K32" s="77">
        <v>361</v>
      </c>
      <c r="L32" s="77">
        <v>38.68</v>
      </c>
      <c r="M32" s="89">
        <v>113</v>
      </c>
      <c r="N32" s="84">
        <f t="shared" si="0"/>
        <v>23337.308100000002</v>
      </c>
      <c r="O32" s="29">
        <f t="shared" si="1"/>
        <v>81581.308099999995</v>
      </c>
      <c r="P32" s="55"/>
      <c r="Q32" s="56"/>
      <c r="R32" s="57"/>
      <c r="S32" s="57"/>
    </row>
    <row r="33" spans="1:19" ht="12.75" customHeight="1" x14ac:dyDescent="0.2">
      <c r="A33" s="1"/>
      <c r="B33" s="34" t="s">
        <v>68</v>
      </c>
      <c r="C33" s="22">
        <v>48616.5</v>
      </c>
      <c r="D33" s="22">
        <v>32235</v>
      </c>
      <c r="E33" s="77">
        <v>47270</v>
      </c>
      <c r="F33" s="77">
        <v>3448.0790999999999</v>
      </c>
      <c r="G33" s="77">
        <v>7085.4646000000002</v>
      </c>
      <c r="H33" s="77">
        <v>13380</v>
      </c>
      <c r="I33" s="77">
        <v>0</v>
      </c>
      <c r="J33" s="77">
        <v>60.6</v>
      </c>
      <c r="K33" s="77">
        <v>190</v>
      </c>
      <c r="L33" s="77">
        <v>45.072899999999997</v>
      </c>
      <c r="M33" s="89">
        <v>38.93</v>
      </c>
      <c r="N33" s="85">
        <f t="shared" si="0"/>
        <v>24248.1466</v>
      </c>
      <c r="O33" s="21">
        <f t="shared" si="1"/>
        <v>71518.146600000007</v>
      </c>
      <c r="P33" s="55"/>
      <c r="Q33" s="56"/>
      <c r="R33" s="57"/>
      <c r="S33" s="57"/>
    </row>
    <row r="34" spans="1:19" ht="12.75" customHeight="1" x14ac:dyDescent="0.2">
      <c r="A34" s="1"/>
      <c r="B34" s="34" t="s">
        <v>69</v>
      </c>
      <c r="C34" s="22">
        <v>79859.5</v>
      </c>
      <c r="D34" s="22">
        <v>33800</v>
      </c>
      <c r="E34" s="77">
        <v>45925.67</v>
      </c>
      <c r="F34" s="77">
        <v>3517.8631999999998</v>
      </c>
      <c r="G34" s="77">
        <v>7228.8639999999996</v>
      </c>
      <c r="H34" s="77">
        <v>9699.6</v>
      </c>
      <c r="I34" s="77">
        <v>0</v>
      </c>
      <c r="J34" s="77">
        <v>38.04</v>
      </c>
      <c r="K34" s="77">
        <v>459.85</v>
      </c>
      <c r="L34" s="77">
        <v>45.985100000000003</v>
      </c>
      <c r="M34" s="89">
        <v>174.74</v>
      </c>
      <c r="N34" s="85">
        <f t="shared" si="0"/>
        <v>21164.942300000002</v>
      </c>
      <c r="O34" s="21">
        <f t="shared" si="1"/>
        <v>67090.612300000008</v>
      </c>
      <c r="P34" s="55"/>
      <c r="Q34" s="56"/>
      <c r="R34" s="57"/>
      <c r="S34" s="57"/>
    </row>
    <row r="35" spans="1:19" ht="12.75" customHeight="1" x14ac:dyDescent="0.2">
      <c r="A35" s="1"/>
      <c r="B35" s="34" t="s">
        <v>70</v>
      </c>
      <c r="C35" s="22">
        <v>69023</v>
      </c>
      <c r="D35" s="22">
        <v>34022.5</v>
      </c>
      <c r="E35" s="77">
        <v>50901</v>
      </c>
      <c r="F35" s="77">
        <v>3638.9283</v>
      </c>
      <c r="G35" s="77">
        <v>7477.6409000000003</v>
      </c>
      <c r="H35" s="77">
        <v>16380</v>
      </c>
      <c r="I35" s="77">
        <v>940.8</v>
      </c>
      <c r="J35" s="77">
        <v>8.94</v>
      </c>
      <c r="K35" s="77">
        <v>39.64</v>
      </c>
      <c r="L35" s="77">
        <v>47.567700000000002</v>
      </c>
      <c r="M35" s="89">
        <v>219.29</v>
      </c>
      <c r="N35" s="85">
        <f t="shared" si="0"/>
        <v>28752.806899999996</v>
      </c>
      <c r="O35" s="21">
        <f t="shared" si="1"/>
        <v>79653.806899999996</v>
      </c>
      <c r="P35" s="55"/>
      <c r="Q35" s="56"/>
      <c r="R35" s="57"/>
      <c r="S35" s="57"/>
    </row>
    <row r="36" spans="1:19" ht="12.75" customHeight="1" thickBot="1" x14ac:dyDescent="0.25">
      <c r="A36" s="1"/>
      <c r="B36" s="35" t="s">
        <v>71</v>
      </c>
      <c r="C36" s="23">
        <v>69264</v>
      </c>
      <c r="D36" s="23">
        <v>37280</v>
      </c>
      <c r="E36" s="78">
        <v>51233.5</v>
      </c>
      <c r="F36" s="78">
        <v>3856.2249999999999</v>
      </c>
      <c r="G36" s="78">
        <v>8176.2052000000003</v>
      </c>
      <c r="H36" s="78">
        <v>8030</v>
      </c>
      <c r="I36" s="78">
        <v>585</v>
      </c>
      <c r="J36" s="78">
        <v>123</v>
      </c>
      <c r="K36" s="78">
        <v>176.42</v>
      </c>
      <c r="L36" s="78">
        <v>36.29</v>
      </c>
      <c r="M36" s="80">
        <v>245</v>
      </c>
      <c r="N36" s="86">
        <f t="shared" si="0"/>
        <v>21228.140200000002</v>
      </c>
      <c r="O36" s="30">
        <f t="shared" si="1"/>
        <v>72461.640199999994</v>
      </c>
      <c r="P36" s="55"/>
      <c r="Q36" s="56"/>
      <c r="R36" s="57"/>
      <c r="S36" s="57"/>
    </row>
    <row r="37" spans="1:19" ht="12.75" customHeight="1" x14ac:dyDescent="0.2">
      <c r="A37" s="1"/>
      <c r="B37" s="34" t="s">
        <v>72</v>
      </c>
      <c r="C37" s="22">
        <v>77883.5</v>
      </c>
      <c r="D37" s="22">
        <v>37149</v>
      </c>
      <c r="E37" s="77">
        <v>53070.5</v>
      </c>
      <c r="F37" s="77">
        <v>3930.6518999999998</v>
      </c>
      <c r="G37" s="77">
        <v>8077.1041999999998</v>
      </c>
      <c r="H37" s="77">
        <v>9612</v>
      </c>
      <c r="I37" s="77">
        <v>0</v>
      </c>
      <c r="J37" s="77">
        <v>115.92</v>
      </c>
      <c r="K37" s="77">
        <v>0</v>
      </c>
      <c r="L37" s="77">
        <v>51.381100000000004</v>
      </c>
      <c r="M37" s="89">
        <v>145.91999999999999</v>
      </c>
      <c r="N37" s="84">
        <f t="shared" si="0"/>
        <v>21932.977199999994</v>
      </c>
      <c r="O37" s="29">
        <f t="shared" si="1"/>
        <v>75003.477199999994</v>
      </c>
      <c r="P37" s="55"/>
      <c r="Q37" s="56"/>
      <c r="R37" s="57"/>
      <c r="S37" s="57"/>
    </row>
    <row r="38" spans="1:19" ht="12.75" customHeight="1" x14ac:dyDescent="0.2">
      <c r="A38" s="1"/>
      <c r="B38" s="34" t="s">
        <v>73</v>
      </c>
      <c r="C38" s="22">
        <v>72390</v>
      </c>
      <c r="D38" s="22">
        <v>35000</v>
      </c>
      <c r="E38" s="77">
        <v>40164</v>
      </c>
      <c r="F38" s="77">
        <v>3195.8395</v>
      </c>
      <c r="G38" s="77">
        <v>7444.43</v>
      </c>
      <c r="H38" s="77">
        <v>8240.4</v>
      </c>
      <c r="I38" s="77">
        <v>0</v>
      </c>
      <c r="J38" s="77">
        <v>50</v>
      </c>
      <c r="K38" s="77">
        <v>267.36</v>
      </c>
      <c r="L38" s="77">
        <v>0</v>
      </c>
      <c r="M38" s="89">
        <v>122.82</v>
      </c>
      <c r="N38" s="85">
        <f t="shared" si="0"/>
        <v>19320.8495</v>
      </c>
      <c r="O38" s="21">
        <f t="shared" si="1"/>
        <v>59484.849499999997</v>
      </c>
      <c r="P38" s="55"/>
      <c r="Q38" s="56"/>
      <c r="R38" s="57"/>
      <c r="S38" s="57"/>
    </row>
    <row r="39" spans="1:19" ht="12.75" customHeight="1" x14ac:dyDescent="0.2">
      <c r="A39" s="1"/>
      <c r="B39" s="34" t="s">
        <v>74</v>
      </c>
      <c r="C39" s="22">
        <v>75147</v>
      </c>
      <c r="D39" s="22">
        <v>32969</v>
      </c>
      <c r="E39" s="77">
        <v>50003</v>
      </c>
      <c r="F39" s="77">
        <v>3510.2538</v>
      </c>
      <c r="G39" s="77">
        <v>7213.2272999999996</v>
      </c>
      <c r="H39" s="77">
        <v>13032</v>
      </c>
      <c r="I39" s="77">
        <v>0</v>
      </c>
      <c r="J39" s="77">
        <v>102</v>
      </c>
      <c r="K39" s="77">
        <v>337</v>
      </c>
      <c r="L39" s="77">
        <v>45.8857</v>
      </c>
      <c r="M39" s="89">
        <v>162</v>
      </c>
      <c r="N39" s="85">
        <f t="shared" si="0"/>
        <v>24402.366799999996</v>
      </c>
      <c r="O39" s="21">
        <f t="shared" si="1"/>
        <v>74405.366799999989</v>
      </c>
      <c r="P39" s="55"/>
      <c r="Q39" s="56"/>
      <c r="R39" s="57"/>
      <c r="S39" s="57"/>
    </row>
    <row r="40" spans="1:19" ht="12.75" customHeight="1" x14ac:dyDescent="0.2">
      <c r="A40" s="1"/>
      <c r="B40" s="34" t="s">
        <v>75</v>
      </c>
      <c r="C40" s="22">
        <v>77925</v>
      </c>
      <c r="D40" s="22">
        <v>34956</v>
      </c>
      <c r="E40" s="77">
        <v>49910</v>
      </c>
      <c r="F40" s="77">
        <v>3778.5461</v>
      </c>
      <c r="G40" s="77">
        <v>8801.7900000000009</v>
      </c>
      <c r="H40" s="77">
        <v>13032</v>
      </c>
      <c r="I40" s="77">
        <v>600</v>
      </c>
      <c r="J40" s="77">
        <v>90.48</v>
      </c>
      <c r="K40" s="77">
        <v>287.27</v>
      </c>
      <c r="L40" s="77">
        <v>1.06</v>
      </c>
      <c r="M40" s="89">
        <v>112.92</v>
      </c>
      <c r="N40" s="85">
        <f t="shared" si="0"/>
        <v>26704.0661</v>
      </c>
      <c r="O40" s="21">
        <f t="shared" si="1"/>
        <v>76614.066099999996</v>
      </c>
      <c r="P40" s="55"/>
      <c r="Q40" s="56"/>
      <c r="R40" s="57"/>
      <c r="S40" s="57"/>
    </row>
    <row r="41" spans="1:19" ht="12.75" customHeight="1" thickBot="1" x14ac:dyDescent="0.25">
      <c r="A41" s="1"/>
      <c r="B41" s="35" t="s">
        <v>76</v>
      </c>
      <c r="C41" s="23">
        <v>79099</v>
      </c>
      <c r="D41" s="23">
        <v>32813</v>
      </c>
      <c r="E41" s="78">
        <v>42544</v>
      </c>
      <c r="F41" s="78">
        <v>3832.8719000000001</v>
      </c>
      <c r="G41" s="78">
        <v>8928.34</v>
      </c>
      <c r="H41" s="78">
        <v>9720</v>
      </c>
      <c r="I41" s="78">
        <v>1188</v>
      </c>
      <c r="J41" s="78">
        <v>73</v>
      </c>
      <c r="K41" s="78">
        <v>2.5</v>
      </c>
      <c r="L41" s="78">
        <v>50.1</v>
      </c>
      <c r="M41" s="80">
        <v>220.45</v>
      </c>
      <c r="N41" s="86">
        <f t="shared" si="0"/>
        <v>24015.261900000001</v>
      </c>
      <c r="O41" s="30">
        <f t="shared" si="1"/>
        <v>66559.261899999998</v>
      </c>
      <c r="P41" s="55"/>
      <c r="Q41" s="56"/>
      <c r="R41" s="57"/>
      <c r="S41" s="57"/>
    </row>
    <row r="42" spans="1:19" ht="12.75" customHeight="1" x14ac:dyDescent="0.2">
      <c r="A42" s="1"/>
      <c r="B42" s="34" t="s">
        <v>77</v>
      </c>
      <c r="C42" s="22">
        <v>63563.5</v>
      </c>
      <c r="D42" s="22">
        <v>32102</v>
      </c>
      <c r="E42" s="77">
        <v>53027</v>
      </c>
      <c r="F42" s="77">
        <v>3351.7442000000001</v>
      </c>
      <c r="G42" s="77">
        <v>6887.5057999999999</v>
      </c>
      <c r="H42" s="77">
        <v>10291</v>
      </c>
      <c r="I42" s="77">
        <v>390</v>
      </c>
      <c r="J42" s="77">
        <v>41</v>
      </c>
      <c r="K42" s="77">
        <v>195</v>
      </c>
      <c r="L42" s="77">
        <v>43.813699999999997</v>
      </c>
      <c r="M42" s="89">
        <v>64</v>
      </c>
      <c r="N42" s="85">
        <f t="shared" si="0"/>
        <v>21264.063699999999</v>
      </c>
      <c r="O42" s="21">
        <f t="shared" si="1"/>
        <v>74291.063699999999</v>
      </c>
      <c r="P42" s="55"/>
      <c r="Q42" s="56"/>
      <c r="R42" s="57"/>
      <c r="S42" s="57"/>
    </row>
    <row r="43" spans="1:19" ht="12.75" customHeight="1" x14ac:dyDescent="0.2">
      <c r="A43" s="1"/>
      <c r="B43" s="34" t="s">
        <v>78</v>
      </c>
      <c r="C43" s="22">
        <v>74535</v>
      </c>
      <c r="D43" s="22">
        <v>33091</v>
      </c>
      <c r="E43" s="77">
        <v>49172</v>
      </c>
      <c r="F43" s="77">
        <v>3604.8552</v>
      </c>
      <c r="G43" s="77">
        <v>7407.62</v>
      </c>
      <c r="H43" s="77">
        <v>13224</v>
      </c>
      <c r="I43" s="77">
        <v>0</v>
      </c>
      <c r="J43" s="77">
        <v>125</v>
      </c>
      <c r="K43" s="77">
        <v>400.54</v>
      </c>
      <c r="L43" s="77">
        <v>47.122300000000003</v>
      </c>
      <c r="M43" s="89">
        <v>212.05</v>
      </c>
      <c r="N43" s="85">
        <f t="shared" si="0"/>
        <v>25021.1875</v>
      </c>
      <c r="O43" s="21">
        <f t="shared" si="1"/>
        <v>74193.1875</v>
      </c>
      <c r="P43" s="55"/>
      <c r="Q43" s="56"/>
      <c r="R43" s="57"/>
      <c r="S43" s="57"/>
    </row>
    <row r="44" spans="1:19" ht="12.75" customHeight="1" x14ac:dyDescent="0.2">
      <c r="A44" s="1"/>
      <c r="B44" s="34" t="s">
        <v>79</v>
      </c>
      <c r="C44" s="22">
        <v>86993.5</v>
      </c>
      <c r="D44" s="22">
        <v>35033</v>
      </c>
      <c r="E44" s="77">
        <v>49943</v>
      </c>
      <c r="F44" s="77">
        <v>3575.9344000000001</v>
      </c>
      <c r="G44" s="77">
        <v>8329.82</v>
      </c>
      <c r="H44" s="77">
        <v>13200</v>
      </c>
      <c r="I44" s="77">
        <v>1368</v>
      </c>
      <c r="J44" s="77">
        <v>55.98</v>
      </c>
      <c r="K44" s="77">
        <v>140.22999999999999</v>
      </c>
      <c r="L44" s="77">
        <v>46.744199999999999</v>
      </c>
      <c r="M44" s="89">
        <v>138.83000000000001</v>
      </c>
      <c r="N44" s="85">
        <f t="shared" si="0"/>
        <v>26855.5386</v>
      </c>
      <c r="O44" s="21">
        <f t="shared" si="1"/>
        <v>76798.5386</v>
      </c>
      <c r="P44" s="55"/>
      <c r="Q44" s="56"/>
      <c r="R44" s="57"/>
      <c r="S44" s="57"/>
    </row>
    <row r="45" spans="1:19" ht="12.75" customHeight="1" x14ac:dyDescent="0.2">
      <c r="A45" s="1"/>
      <c r="B45" s="34" t="s">
        <v>80</v>
      </c>
      <c r="C45" s="22">
        <v>80607.5</v>
      </c>
      <c r="D45" s="22">
        <v>34696</v>
      </c>
      <c r="E45" s="77">
        <v>46896</v>
      </c>
      <c r="F45" s="77">
        <v>3571.8845000000001</v>
      </c>
      <c r="G45" s="77">
        <v>7339.8724000000002</v>
      </c>
      <c r="H45" s="77">
        <v>10494</v>
      </c>
      <c r="I45" s="77">
        <v>821</v>
      </c>
      <c r="J45" s="77">
        <v>36</v>
      </c>
      <c r="K45" s="77">
        <v>205.25</v>
      </c>
      <c r="L45" s="77">
        <v>50.88</v>
      </c>
      <c r="M45" s="89">
        <v>202</v>
      </c>
      <c r="N45" s="85">
        <f t="shared" si="0"/>
        <v>22720.886900000001</v>
      </c>
      <c r="O45" s="21">
        <f t="shared" si="1"/>
        <v>69616.886899999998</v>
      </c>
      <c r="P45" s="55"/>
      <c r="Q45" s="56"/>
      <c r="R45" s="57"/>
      <c r="S45" s="57"/>
    </row>
    <row r="46" spans="1:19" ht="13.5" customHeight="1" x14ac:dyDescent="0.2">
      <c r="A46" s="1"/>
      <c r="B46" s="34" t="s">
        <v>81</v>
      </c>
      <c r="C46" s="22">
        <v>47179</v>
      </c>
      <c r="D46" s="22">
        <v>30058</v>
      </c>
      <c r="E46" s="77">
        <v>43957</v>
      </c>
      <c r="F46" s="77">
        <v>3180.6459</v>
      </c>
      <c r="G46" s="77">
        <v>6535.9153999999999</v>
      </c>
      <c r="H46" s="77">
        <v>10663.7</v>
      </c>
      <c r="I46" s="77">
        <v>1192.3399999999999</v>
      </c>
      <c r="J46" s="77">
        <v>81.61</v>
      </c>
      <c r="K46" s="77">
        <v>103.13</v>
      </c>
      <c r="L46" s="77">
        <v>41.577100000000002</v>
      </c>
      <c r="M46" s="89">
        <v>212.13</v>
      </c>
      <c r="N46" s="85">
        <f t="shared" si="0"/>
        <v>22011.0484</v>
      </c>
      <c r="O46" s="21">
        <f t="shared" si="1"/>
        <v>65968.0484</v>
      </c>
      <c r="P46" s="55"/>
      <c r="Q46" s="56"/>
      <c r="R46" s="57"/>
      <c r="S46" s="57"/>
    </row>
    <row r="47" spans="1:19" ht="13.5" customHeight="1" thickBot="1" x14ac:dyDescent="0.25">
      <c r="A47" s="1"/>
      <c r="B47" s="36" t="s">
        <v>82</v>
      </c>
      <c r="C47" s="75">
        <v>76762</v>
      </c>
      <c r="D47" s="75">
        <v>33649</v>
      </c>
      <c r="E47" s="79">
        <v>44582.5</v>
      </c>
      <c r="F47" s="79">
        <v>3321.194</v>
      </c>
      <c r="G47" s="79">
        <v>6824.7280000000001</v>
      </c>
      <c r="H47" s="79">
        <v>10253.4</v>
      </c>
      <c r="I47" s="79">
        <v>0</v>
      </c>
      <c r="J47" s="79">
        <v>48.72</v>
      </c>
      <c r="K47" s="79">
        <v>104.25</v>
      </c>
      <c r="L47" s="79">
        <v>58.68</v>
      </c>
      <c r="M47" s="90">
        <v>74.400000000000006</v>
      </c>
      <c r="N47" s="87">
        <f t="shared" si="0"/>
        <v>20685.372000000003</v>
      </c>
      <c r="O47" s="76">
        <f t="shared" si="1"/>
        <v>65267.872000000003</v>
      </c>
      <c r="P47" s="55"/>
      <c r="Q47" s="56"/>
      <c r="R47" s="57"/>
      <c r="S47" s="57"/>
    </row>
    <row r="48" spans="1:19" ht="14.25" thickTop="1" thickBot="1" x14ac:dyDescent="0.25">
      <c r="B48" s="9" t="s">
        <v>11</v>
      </c>
      <c r="C48" s="33">
        <v>78840</v>
      </c>
      <c r="D48" s="81">
        <v>32889</v>
      </c>
      <c r="E48" s="74">
        <v>46448</v>
      </c>
      <c r="F48" s="74">
        <f t="shared" ref="F48:N48" si="2">MEDIAN(F7:F47)</f>
        <v>3516.4594000000002</v>
      </c>
      <c r="G48" s="74">
        <f t="shared" si="2"/>
        <v>7511.5851000000002</v>
      </c>
      <c r="H48" s="74">
        <f t="shared" si="2"/>
        <v>10628</v>
      </c>
      <c r="I48" s="74">
        <f t="shared" si="2"/>
        <v>0</v>
      </c>
      <c r="J48" s="74">
        <f t="shared" si="2"/>
        <v>60.25</v>
      </c>
      <c r="K48" s="74">
        <f t="shared" si="2"/>
        <v>208</v>
      </c>
      <c r="L48" s="74">
        <f t="shared" si="2"/>
        <v>45.590200000000003</v>
      </c>
      <c r="M48" s="91">
        <f t="shared" si="2"/>
        <v>138.83000000000001</v>
      </c>
      <c r="N48" s="74">
        <f t="shared" si="2"/>
        <v>23337.308100000002</v>
      </c>
      <c r="O48" s="27">
        <f t="shared" si="1"/>
        <v>69785.308099999995</v>
      </c>
      <c r="P48"/>
      <c r="Q48"/>
    </row>
    <row r="49" spans="1:17" ht="13.5" thickBot="1" x14ac:dyDescent="0.25">
      <c r="A49" s="3"/>
      <c r="B49" s="10" t="s">
        <v>28</v>
      </c>
      <c r="C49" s="64">
        <v>65000</v>
      </c>
      <c r="D49" s="88">
        <v>33000</v>
      </c>
      <c r="E49" s="82">
        <v>35000</v>
      </c>
      <c r="F49" s="25">
        <v>2771.3456000000001</v>
      </c>
      <c r="G49" s="25">
        <v>2327</v>
      </c>
      <c r="H49" s="25">
        <v>7053.38</v>
      </c>
      <c r="I49" s="25">
        <v>0</v>
      </c>
      <c r="J49" s="25">
        <v>0</v>
      </c>
      <c r="K49" s="25">
        <v>102.5</v>
      </c>
      <c r="L49" s="25">
        <v>99.05</v>
      </c>
      <c r="M49" s="25">
        <v>0</v>
      </c>
      <c r="N49" s="24">
        <v>11765.366599999999</v>
      </c>
      <c r="O49" s="24">
        <v>46788.824999999997</v>
      </c>
      <c r="P49"/>
      <c r="Q49"/>
    </row>
    <row r="50" spans="1:17" ht="13.5" thickBot="1" x14ac:dyDescent="0.25">
      <c r="A50" s="3"/>
      <c r="B50" s="11" t="s">
        <v>30</v>
      </c>
      <c r="C50" s="24">
        <v>78312</v>
      </c>
      <c r="D50" s="83">
        <v>32889</v>
      </c>
      <c r="E50" s="95">
        <v>45329</v>
      </c>
      <c r="F50" s="26">
        <v>3114.6768000000002</v>
      </c>
      <c r="G50" s="26">
        <v>5932.9056</v>
      </c>
      <c r="H50" s="26">
        <v>8700</v>
      </c>
      <c r="I50" s="26">
        <v>0</v>
      </c>
      <c r="J50" s="26">
        <v>35.880000000000003</v>
      </c>
      <c r="K50" s="26">
        <v>124</v>
      </c>
      <c r="L50" s="26">
        <v>46.146000000000001</v>
      </c>
      <c r="M50" s="26">
        <v>0</v>
      </c>
      <c r="N50" s="27">
        <f>MEDIAN(N48:N49)</f>
        <v>17551.337350000002</v>
      </c>
      <c r="O50" s="24">
        <f t="shared" si="1"/>
        <v>62880.337350000002</v>
      </c>
    </row>
    <row r="51" spans="1:17" x14ac:dyDescent="0.2">
      <c r="A51" s="3"/>
    </row>
    <row r="52" spans="1:17" x14ac:dyDescent="0.2">
      <c r="A52" s="3"/>
      <c r="B52" s="18" t="s">
        <v>34</v>
      </c>
    </row>
    <row r="53" spans="1:17" x14ac:dyDescent="0.2">
      <c r="A53" s="3"/>
      <c r="B53" s="14" t="s">
        <v>35</v>
      </c>
    </row>
    <row r="54" spans="1:17" x14ac:dyDescent="0.2">
      <c r="A54" s="3"/>
      <c r="B54" s="19" t="s">
        <v>36</v>
      </c>
    </row>
    <row r="55" spans="1:17" x14ac:dyDescent="0.2">
      <c r="A55" s="3"/>
    </row>
    <row r="56" spans="1:17" x14ac:dyDescent="0.2">
      <c r="A56" s="3"/>
      <c r="B56" s="20"/>
    </row>
    <row r="57" spans="1:17" x14ac:dyDescent="0.2">
      <c r="A57" s="3"/>
    </row>
    <row r="58" spans="1:17" x14ac:dyDescent="0.2">
      <c r="A58" s="3"/>
    </row>
    <row r="59" spans="1:17" x14ac:dyDescent="0.2">
      <c r="A59" s="3"/>
    </row>
    <row r="60" spans="1:17" x14ac:dyDescent="0.2">
      <c r="A60" s="3"/>
    </row>
    <row r="61" spans="1:17" x14ac:dyDescent="0.2">
      <c r="A61" s="3"/>
    </row>
    <row r="62" spans="1:17" x14ac:dyDescent="0.2">
      <c r="A62" s="3"/>
    </row>
    <row r="63" spans="1:17" x14ac:dyDescent="0.2">
      <c r="A63" s="3"/>
    </row>
    <row r="64" spans="1:17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</sheetData>
  <mergeCells count="5">
    <mergeCell ref="B1:O1"/>
    <mergeCell ref="B2:O2"/>
    <mergeCell ref="B4:B5"/>
    <mergeCell ref="C4:C5"/>
    <mergeCell ref="D4:O4"/>
  </mergeCells>
  <phoneticPr fontId="2" type="noConversion"/>
  <printOptions horizontalCentered="1"/>
  <pageMargins left="0.25" right="0.25" top="0.75" bottom="0.75" header="0.3" footer="0.3"/>
  <pageSetup scale="70" orientation="landscape" r:id="rId1"/>
  <headerFooter alignWithMargins="0">
    <oddFooter xml:space="preserve">&amp;L&amp;8DATA SOURCE:
Columns [1] to [3]:  CACTUS Database, June 30, 2010
Columns [4] to [11]:  Year-End Web Survey FY 2010
COMPILED BY:  Data and Statistics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88"/>
  <sheetViews>
    <sheetView zoomScaleNormal="100" workbookViewId="0">
      <pane ySplit="2655" topLeftCell="A35" activePane="bottomLeft"/>
      <selection activeCell="A34" sqref="A34"/>
      <selection pane="bottomLeft" activeCell="P69" sqref="P69"/>
    </sheetView>
  </sheetViews>
  <sheetFormatPr defaultRowHeight="12.75" x14ac:dyDescent="0.2"/>
  <cols>
    <col min="2" max="2" width="33" style="37" customWidth="1"/>
    <col min="3" max="3" width="18" customWidth="1"/>
    <col min="4" max="4" width="15.42578125" customWidth="1"/>
    <col min="5" max="5" width="13.5703125" customWidth="1"/>
    <col min="6" max="6" width="10.85546875" customWidth="1"/>
    <col min="7" max="7" width="11.42578125" customWidth="1"/>
    <col min="8" max="8" width="11.140625" customWidth="1"/>
    <col min="9" max="9" width="10.7109375" customWidth="1"/>
    <col min="10" max="10" width="10.140625" customWidth="1"/>
    <col min="11" max="11" width="10.28515625" customWidth="1"/>
    <col min="12" max="12" width="15.28515625" customWidth="1"/>
    <col min="13" max="13" width="12" customWidth="1"/>
    <col min="14" max="14" width="10.28515625" customWidth="1"/>
    <col min="15" max="15" width="14.5703125" customWidth="1"/>
  </cols>
  <sheetData>
    <row r="1" spans="2:19" ht="18" x14ac:dyDescent="0.25">
      <c r="B1" s="106" t="s">
        <v>142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2:19" ht="15.75" x14ac:dyDescent="0.25">
      <c r="B2" s="107" t="s">
        <v>155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2:19" ht="13.5" thickBot="1" x14ac:dyDescent="0.25">
      <c r="B3" s="1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9" ht="17.25" customHeight="1" thickBot="1" x14ac:dyDescent="0.25">
      <c r="B4" s="108" t="s">
        <v>13</v>
      </c>
      <c r="C4" s="110" t="s">
        <v>31</v>
      </c>
      <c r="D4" s="112" t="s">
        <v>27</v>
      </c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4"/>
    </row>
    <row r="5" spans="2:19" ht="39" thickBot="1" x14ac:dyDescent="0.25">
      <c r="B5" s="109"/>
      <c r="C5" s="111"/>
      <c r="D5" s="4" t="s">
        <v>32</v>
      </c>
      <c r="E5" s="6" t="s">
        <v>33</v>
      </c>
      <c r="F5" s="5" t="s">
        <v>1</v>
      </c>
      <c r="G5" s="5" t="s">
        <v>2</v>
      </c>
      <c r="H5" s="5" t="s">
        <v>3</v>
      </c>
      <c r="I5" s="5" t="s">
        <v>4</v>
      </c>
      <c r="J5" s="5" t="s">
        <v>5</v>
      </c>
      <c r="K5" s="5" t="s">
        <v>6</v>
      </c>
      <c r="L5" s="5" t="s">
        <v>7</v>
      </c>
      <c r="M5" s="5" t="s">
        <v>8</v>
      </c>
      <c r="N5" s="6" t="s">
        <v>9</v>
      </c>
      <c r="O5" s="69" t="s">
        <v>10</v>
      </c>
    </row>
    <row r="6" spans="2:19" ht="16.5" customHeight="1" thickBot="1" x14ac:dyDescent="0.25">
      <c r="B6" s="12" t="s">
        <v>29</v>
      </c>
      <c r="C6" s="61" t="s">
        <v>14</v>
      </c>
      <c r="D6" s="60" t="s">
        <v>15</v>
      </c>
      <c r="E6" s="60" t="s">
        <v>16</v>
      </c>
      <c r="F6" s="49" t="s">
        <v>17</v>
      </c>
      <c r="G6" s="49" t="s">
        <v>18</v>
      </c>
      <c r="H6" s="50" t="s">
        <v>19</v>
      </c>
      <c r="I6" s="50" t="s">
        <v>20</v>
      </c>
      <c r="J6" s="50" t="s">
        <v>21</v>
      </c>
      <c r="K6" s="50" t="s">
        <v>22</v>
      </c>
      <c r="L6" s="50" t="s">
        <v>23</v>
      </c>
      <c r="M6" s="50" t="s">
        <v>24</v>
      </c>
      <c r="N6" s="66" t="s">
        <v>25</v>
      </c>
      <c r="O6" s="72" t="s">
        <v>26</v>
      </c>
    </row>
    <row r="7" spans="2:19" x14ac:dyDescent="0.2">
      <c r="B7" s="15" t="s">
        <v>143</v>
      </c>
      <c r="C7" s="62">
        <v>90000</v>
      </c>
      <c r="D7" s="62"/>
      <c r="E7" s="62">
        <v>45907.38</v>
      </c>
      <c r="F7" s="51">
        <v>3586.6895</v>
      </c>
      <c r="G7" s="46">
        <v>8354.48</v>
      </c>
      <c r="H7" s="46">
        <v>11230</v>
      </c>
      <c r="I7" s="46">
        <v>480</v>
      </c>
      <c r="J7" s="46">
        <v>118.8</v>
      </c>
      <c r="K7" s="46">
        <v>187.54</v>
      </c>
      <c r="L7" s="46">
        <v>187.54</v>
      </c>
      <c r="M7" s="31">
        <v>281.31</v>
      </c>
      <c r="N7" s="67">
        <f>SUM(F7:M7)</f>
        <v>24426.359500000002</v>
      </c>
      <c r="O7" s="70">
        <f>SUM(E7+N7)</f>
        <v>70333.739499999996</v>
      </c>
      <c r="P7" s="58"/>
      <c r="Q7" s="56"/>
      <c r="R7" s="57"/>
      <c r="S7" s="57"/>
    </row>
    <row r="8" spans="2:19" x14ac:dyDescent="0.2">
      <c r="B8" s="16" t="s">
        <v>83</v>
      </c>
      <c r="C8" s="63">
        <v>88166.005000000005</v>
      </c>
      <c r="D8" s="63">
        <v>31500</v>
      </c>
      <c r="E8" s="63">
        <v>32546</v>
      </c>
      <c r="F8" s="52">
        <v>2685.2035999999998</v>
      </c>
      <c r="G8" s="44">
        <v>5517.83</v>
      </c>
      <c r="H8" s="44">
        <v>9909</v>
      </c>
      <c r="I8" s="44">
        <v>502</v>
      </c>
      <c r="J8" s="44">
        <v>0</v>
      </c>
      <c r="K8" s="44">
        <v>182</v>
      </c>
      <c r="L8" s="44">
        <v>35.100700000000003</v>
      </c>
      <c r="M8" s="31">
        <v>0</v>
      </c>
      <c r="N8" s="67">
        <f t="shared" ref="N8:N76" si="0">SUM(F8:M8)</f>
        <v>18831.134299999998</v>
      </c>
      <c r="O8" s="70">
        <f t="shared" ref="O8:O71" si="1">SUM(E8+N8)</f>
        <v>51377.134299999998</v>
      </c>
      <c r="P8" s="58"/>
      <c r="Q8" s="56"/>
      <c r="R8" s="57"/>
      <c r="S8" s="57"/>
    </row>
    <row r="9" spans="2:19" x14ac:dyDescent="0.2">
      <c r="B9" s="16" t="s">
        <v>84</v>
      </c>
      <c r="C9" s="63">
        <v>40000</v>
      </c>
      <c r="D9" s="63">
        <v>32407</v>
      </c>
      <c r="E9" s="63">
        <v>32407</v>
      </c>
      <c r="F9" s="52">
        <v>2567.8364999999999</v>
      </c>
      <c r="G9" s="44">
        <v>5276.6522000000004</v>
      </c>
      <c r="H9" s="44">
        <v>3273</v>
      </c>
      <c r="I9" s="44">
        <v>299</v>
      </c>
      <c r="J9" s="44">
        <v>35</v>
      </c>
      <c r="K9" s="44">
        <v>121</v>
      </c>
      <c r="L9" s="44">
        <v>34</v>
      </c>
      <c r="M9" s="31">
        <v>43.5</v>
      </c>
      <c r="N9" s="67">
        <f t="shared" si="0"/>
        <v>11649.9887</v>
      </c>
      <c r="O9" s="70">
        <f t="shared" si="1"/>
        <v>44056.988700000002</v>
      </c>
      <c r="P9" s="58"/>
      <c r="Q9" s="56"/>
      <c r="R9" s="57"/>
      <c r="S9" s="57"/>
    </row>
    <row r="10" spans="2:19" x14ac:dyDescent="0.2">
      <c r="B10" s="16" t="s">
        <v>141</v>
      </c>
      <c r="C10" s="63"/>
      <c r="D10" s="63">
        <v>34500</v>
      </c>
      <c r="E10" s="63">
        <v>35000</v>
      </c>
      <c r="F10" s="52">
        <v>2616.3000000000002</v>
      </c>
      <c r="G10" s="44">
        <v>2394</v>
      </c>
      <c r="H10" s="44">
        <v>6795.59</v>
      </c>
      <c r="I10" s="44">
        <v>924.02</v>
      </c>
      <c r="J10" s="44">
        <v>0</v>
      </c>
      <c r="K10" s="44">
        <v>99.18</v>
      </c>
      <c r="L10" s="44">
        <v>684</v>
      </c>
      <c r="M10" s="31">
        <v>0</v>
      </c>
      <c r="N10" s="67">
        <f t="shared" si="0"/>
        <v>13513.09</v>
      </c>
      <c r="O10" s="70">
        <f t="shared" si="1"/>
        <v>48513.09</v>
      </c>
      <c r="P10" s="58"/>
      <c r="Q10" s="56"/>
      <c r="R10" s="57"/>
      <c r="S10" s="57"/>
    </row>
    <row r="11" spans="2:19" ht="13.5" thickBot="1" x14ac:dyDescent="0.25">
      <c r="B11" s="17" t="s">
        <v>85</v>
      </c>
      <c r="C11" s="65"/>
      <c r="D11" s="65">
        <v>32778.03</v>
      </c>
      <c r="E11" s="65">
        <v>33706.370000000003</v>
      </c>
      <c r="F11" s="53">
        <v>2585.1010000000001</v>
      </c>
      <c r="G11" s="45">
        <v>0</v>
      </c>
      <c r="H11" s="45">
        <v>3486</v>
      </c>
      <c r="I11" s="45">
        <v>0</v>
      </c>
      <c r="J11" s="45">
        <v>0</v>
      </c>
      <c r="K11" s="45">
        <v>0</v>
      </c>
      <c r="L11" s="45">
        <v>334</v>
      </c>
      <c r="M11" s="32">
        <v>0</v>
      </c>
      <c r="N11" s="68">
        <f t="shared" si="0"/>
        <v>6405.1010000000006</v>
      </c>
      <c r="O11" s="71">
        <f t="shared" si="1"/>
        <v>40111.471000000005</v>
      </c>
      <c r="P11" s="58"/>
      <c r="Q11" s="56"/>
      <c r="R11" s="57"/>
      <c r="S11" s="57"/>
    </row>
    <row r="12" spans="2:19" x14ac:dyDescent="0.2">
      <c r="B12" s="15" t="s">
        <v>86</v>
      </c>
      <c r="C12" s="63">
        <v>70000</v>
      </c>
      <c r="D12" s="63">
        <v>35650</v>
      </c>
      <c r="E12" s="63">
        <v>37175</v>
      </c>
      <c r="F12" s="115" t="s">
        <v>156</v>
      </c>
      <c r="G12" s="116" t="s">
        <v>156</v>
      </c>
      <c r="H12" s="116" t="s">
        <v>156</v>
      </c>
      <c r="I12" s="116" t="s">
        <v>156</v>
      </c>
      <c r="J12" s="116" t="s">
        <v>156</v>
      </c>
      <c r="K12" s="116" t="s">
        <v>156</v>
      </c>
      <c r="L12" s="116" t="s">
        <v>156</v>
      </c>
      <c r="M12" s="117" t="s">
        <v>156</v>
      </c>
      <c r="N12" s="67">
        <f t="shared" si="0"/>
        <v>0</v>
      </c>
      <c r="O12" s="70">
        <f t="shared" si="1"/>
        <v>37175</v>
      </c>
      <c r="P12" s="58"/>
      <c r="Q12" s="56"/>
      <c r="R12" s="57"/>
      <c r="S12" s="57"/>
    </row>
    <row r="13" spans="2:19" x14ac:dyDescent="0.2">
      <c r="B13" s="16" t="s">
        <v>87</v>
      </c>
      <c r="C13" s="63">
        <v>69720</v>
      </c>
      <c r="D13" s="63">
        <v>32500</v>
      </c>
      <c r="E13" s="63">
        <v>36346.5</v>
      </c>
      <c r="F13" s="52">
        <v>2866.1192000000001</v>
      </c>
      <c r="G13" s="44">
        <v>2327</v>
      </c>
      <c r="H13" s="44">
        <v>3837</v>
      </c>
      <c r="I13" s="44">
        <v>388</v>
      </c>
      <c r="J13" s="44">
        <v>60</v>
      </c>
      <c r="K13" s="44">
        <v>120</v>
      </c>
      <c r="L13" s="44">
        <v>105</v>
      </c>
      <c r="M13" s="31">
        <v>0</v>
      </c>
      <c r="N13" s="67">
        <f t="shared" si="0"/>
        <v>9703.119200000001</v>
      </c>
      <c r="O13" s="70">
        <f t="shared" si="1"/>
        <v>46049.619200000001</v>
      </c>
      <c r="P13" s="58"/>
      <c r="Q13" s="56"/>
      <c r="R13" s="57"/>
      <c r="S13" s="57"/>
    </row>
    <row r="14" spans="2:19" x14ac:dyDescent="0.2">
      <c r="B14" s="16" t="s">
        <v>88</v>
      </c>
      <c r="C14" s="63">
        <v>53033.33</v>
      </c>
      <c r="D14" s="63">
        <v>32200</v>
      </c>
      <c r="E14" s="63">
        <v>34250</v>
      </c>
      <c r="F14" s="52">
        <v>2875.5967999999998</v>
      </c>
      <c r="G14" s="44">
        <v>1503.58</v>
      </c>
      <c r="H14" s="44">
        <v>5638.43</v>
      </c>
      <c r="I14" s="44">
        <v>0</v>
      </c>
      <c r="J14" s="44">
        <v>0</v>
      </c>
      <c r="K14" s="44">
        <v>124</v>
      </c>
      <c r="L14" s="44">
        <v>37.589500000000001</v>
      </c>
      <c r="M14" s="31">
        <v>0</v>
      </c>
      <c r="N14" s="67">
        <f t="shared" si="0"/>
        <v>10179.1963</v>
      </c>
      <c r="O14" s="70">
        <f t="shared" si="1"/>
        <v>44429.196299999996</v>
      </c>
      <c r="P14" s="58"/>
      <c r="Q14" s="56"/>
      <c r="R14" s="57"/>
      <c r="S14" s="57"/>
    </row>
    <row r="15" spans="2:19" x14ac:dyDescent="0.2">
      <c r="B15" s="16" t="s">
        <v>144</v>
      </c>
      <c r="C15" s="63"/>
      <c r="D15" s="63">
        <v>30000</v>
      </c>
      <c r="E15" s="63">
        <v>32000</v>
      </c>
      <c r="F15" s="52">
        <v>2343.3341999999998</v>
      </c>
      <c r="G15" s="44">
        <v>0</v>
      </c>
      <c r="H15" s="44">
        <v>6943.56</v>
      </c>
      <c r="I15" s="44">
        <v>0</v>
      </c>
      <c r="J15" s="44">
        <v>0</v>
      </c>
      <c r="K15" s="44">
        <v>0</v>
      </c>
      <c r="L15" s="44">
        <v>30.631799999999998</v>
      </c>
      <c r="M15" s="31">
        <v>0</v>
      </c>
      <c r="N15" s="67">
        <f t="shared" si="0"/>
        <v>9317.5259999999998</v>
      </c>
      <c r="O15" s="70">
        <f t="shared" si="1"/>
        <v>41317.525999999998</v>
      </c>
      <c r="P15" s="58"/>
      <c r="Q15" s="56"/>
      <c r="R15" s="57"/>
      <c r="S15" s="57"/>
    </row>
    <row r="16" spans="2:19" ht="13.5" thickBot="1" x14ac:dyDescent="0.25">
      <c r="B16" s="17" t="s">
        <v>145</v>
      </c>
      <c r="C16" s="65">
        <v>57525</v>
      </c>
      <c r="D16" s="65">
        <v>33000</v>
      </c>
      <c r="E16" s="65">
        <v>39850</v>
      </c>
      <c r="F16" s="53">
        <v>2995.2694999999999</v>
      </c>
      <c r="G16" s="45">
        <v>0</v>
      </c>
      <c r="H16" s="45">
        <v>5764.22</v>
      </c>
      <c r="I16" s="45">
        <v>590.72</v>
      </c>
      <c r="J16" s="45">
        <v>78</v>
      </c>
      <c r="K16" s="45">
        <v>113.55</v>
      </c>
      <c r="L16" s="45">
        <v>939.69</v>
      </c>
      <c r="M16" s="32">
        <v>0</v>
      </c>
      <c r="N16" s="68">
        <f t="shared" si="0"/>
        <v>10481.449499999999</v>
      </c>
      <c r="O16" s="71">
        <f t="shared" si="1"/>
        <v>50331.449500000002</v>
      </c>
      <c r="P16" s="58"/>
      <c r="Q16" s="56"/>
      <c r="R16" s="57"/>
      <c r="S16" s="57"/>
    </row>
    <row r="17" spans="2:19" x14ac:dyDescent="0.2">
      <c r="B17" s="15" t="s">
        <v>89</v>
      </c>
      <c r="C17" s="63">
        <v>75999.960000000006</v>
      </c>
      <c r="D17" s="63">
        <v>35000</v>
      </c>
      <c r="E17" s="63">
        <v>40450</v>
      </c>
      <c r="F17" s="52">
        <v>2976.2952</v>
      </c>
      <c r="G17" s="44">
        <v>2075.4499999999998</v>
      </c>
      <c r="H17" s="44">
        <v>2575.0500000000002</v>
      </c>
      <c r="I17" s="44">
        <v>0</v>
      </c>
      <c r="J17" s="44">
        <v>0</v>
      </c>
      <c r="K17" s="44">
        <v>194</v>
      </c>
      <c r="L17" s="44">
        <v>297</v>
      </c>
      <c r="M17" s="31">
        <v>0</v>
      </c>
      <c r="N17" s="67">
        <f t="shared" si="0"/>
        <v>8117.7951999999996</v>
      </c>
      <c r="O17" s="70">
        <f t="shared" si="1"/>
        <v>48567.7952</v>
      </c>
      <c r="P17" s="58"/>
      <c r="Q17" s="56"/>
      <c r="R17" s="57"/>
      <c r="S17" s="57"/>
    </row>
    <row r="18" spans="2:19" x14ac:dyDescent="0.2">
      <c r="B18" s="16" t="s">
        <v>146</v>
      </c>
      <c r="C18" s="63">
        <v>70000</v>
      </c>
      <c r="D18" s="63">
        <v>30000</v>
      </c>
      <c r="E18" s="63">
        <v>34500</v>
      </c>
      <c r="F18" s="52">
        <v>2712.4766</v>
      </c>
      <c r="G18" s="44">
        <v>0</v>
      </c>
      <c r="H18" s="44">
        <v>7500</v>
      </c>
      <c r="I18" s="44">
        <v>0</v>
      </c>
      <c r="J18" s="44">
        <v>0</v>
      </c>
      <c r="K18" s="44">
        <v>92.15</v>
      </c>
      <c r="L18" s="44">
        <v>831.93</v>
      </c>
      <c r="M18" s="31">
        <v>0</v>
      </c>
      <c r="N18" s="67">
        <f t="shared" si="0"/>
        <v>11136.5566</v>
      </c>
      <c r="O18" s="70">
        <f t="shared" si="1"/>
        <v>45636.556599999996</v>
      </c>
      <c r="P18" s="58"/>
      <c r="Q18" s="56"/>
      <c r="R18" s="57"/>
      <c r="S18" s="57"/>
    </row>
    <row r="19" spans="2:19" x14ac:dyDescent="0.2">
      <c r="B19" s="16" t="s">
        <v>90</v>
      </c>
      <c r="C19" s="63"/>
      <c r="D19" s="63">
        <v>33400</v>
      </c>
      <c r="E19" s="63">
        <v>33000</v>
      </c>
      <c r="F19" s="52">
        <v>2519.0019000000002</v>
      </c>
      <c r="G19" s="44">
        <v>5176.3019999999997</v>
      </c>
      <c r="H19" s="44">
        <v>3840</v>
      </c>
      <c r="I19" s="44">
        <v>242.4</v>
      </c>
      <c r="J19" s="44">
        <v>0</v>
      </c>
      <c r="K19" s="44">
        <v>210</v>
      </c>
      <c r="L19" s="44">
        <v>38.56</v>
      </c>
      <c r="M19" s="31">
        <v>0</v>
      </c>
      <c r="N19" s="67">
        <f t="shared" si="0"/>
        <v>12026.263899999998</v>
      </c>
      <c r="O19" s="70">
        <f t="shared" si="1"/>
        <v>45026.263899999998</v>
      </c>
      <c r="P19" s="58"/>
      <c r="Q19" s="56"/>
      <c r="R19" s="57"/>
      <c r="S19" s="57"/>
    </row>
    <row r="20" spans="2:19" x14ac:dyDescent="0.2">
      <c r="B20" s="16" t="s">
        <v>91</v>
      </c>
      <c r="C20" s="63">
        <v>58461.54</v>
      </c>
      <c r="D20" s="63"/>
      <c r="E20" s="63">
        <v>46592.415000000001</v>
      </c>
      <c r="F20" s="115" t="s">
        <v>156</v>
      </c>
      <c r="G20" s="116" t="s">
        <v>156</v>
      </c>
      <c r="H20" s="116" t="s">
        <v>156</v>
      </c>
      <c r="I20" s="116" t="s">
        <v>156</v>
      </c>
      <c r="J20" s="116" t="s">
        <v>156</v>
      </c>
      <c r="K20" s="116" t="s">
        <v>156</v>
      </c>
      <c r="L20" s="116" t="s">
        <v>156</v>
      </c>
      <c r="M20" s="117" t="s">
        <v>156</v>
      </c>
      <c r="N20" s="67">
        <f t="shared" si="0"/>
        <v>0</v>
      </c>
      <c r="O20" s="70">
        <f t="shared" si="1"/>
        <v>46592.415000000001</v>
      </c>
      <c r="P20" s="58"/>
      <c r="Q20" s="56"/>
      <c r="R20" s="57"/>
      <c r="S20" s="57"/>
    </row>
    <row r="21" spans="2:19" ht="13.5" thickBot="1" x14ac:dyDescent="0.25">
      <c r="B21" s="17" t="s">
        <v>92</v>
      </c>
      <c r="C21" s="65"/>
      <c r="D21" s="65">
        <v>27700.83</v>
      </c>
      <c r="E21" s="65">
        <v>36011.08</v>
      </c>
      <c r="F21" s="53">
        <v>2823.4566</v>
      </c>
      <c r="G21" s="45">
        <v>2583.56</v>
      </c>
      <c r="H21" s="45">
        <v>6293.36</v>
      </c>
      <c r="I21" s="45">
        <v>489.23</v>
      </c>
      <c r="J21" s="45">
        <v>29.38</v>
      </c>
      <c r="K21" s="45">
        <v>109.89</v>
      </c>
      <c r="L21" s="45">
        <v>130.68</v>
      </c>
      <c r="M21" s="32">
        <v>0</v>
      </c>
      <c r="N21" s="68">
        <f t="shared" si="0"/>
        <v>12459.556599999998</v>
      </c>
      <c r="O21" s="71">
        <f t="shared" si="1"/>
        <v>48470.636599999998</v>
      </c>
      <c r="P21" s="58"/>
      <c r="Q21" s="56"/>
      <c r="R21" s="57"/>
      <c r="S21" s="57"/>
    </row>
    <row r="22" spans="2:19" x14ac:dyDescent="0.2">
      <c r="B22" s="15" t="s">
        <v>93</v>
      </c>
      <c r="C22" s="63">
        <v>45000</v>
      </c>
      <c r="D22" s="63">
        <v>32200</v>
      </c>
      <c r="E22" s="63">
        <v>32300</v>
      </c>
      <c r="F22" s="52">
        <v>2504.4486000000002</v>
      </c>
      <c r="G22" s="44">
        <v>1966.07</v>
      </c>
      <c r="H22" s="44">
        <v>6000</v>
      </c>
      <c r="I22" s="44">
        <v>0</v>
      </c>
      <c r="J22" s="44">
        <v>36</v>
      </c>
      <c r="K22" s="44">
        <v>130.94999999999999</v>
      </c>
      <c r="L22" s="44">
        <v>589.28</v>
      </c>
      <c r="M22" s="31">
        <v>0</v>
      </c>
      <c r="N22" s="67">
        <f t="shared" si="0"/>
        <v>11226.748600000001</v>
      </c>
      <c r="O22" s="70">
        <f t="shared" si="1"/>
        <v>43526.748599999999</v>
      </c>
      <c r="P22" s="58"/>
      <c r="Q22" s="56"/>
      <c r="R22" s="57"/>
      <c r="S22" s="57"/>
    </row>
    <row r="23" spans="2:19" x14ac:dyDescent="0.2">
      <c r="B23" s="16" t="s">
        <v>94</v>
      </c>
      <c r="C23" s="63">
        <v>53846.15</v>
      </c>
      <c r="D23" s="63">
        <v>31600</v>
      </c>
      <c r="E23" s="63">
        <v>33320.5</v>
      </c>
      <c r="F23" s="52">
        <v>2632.6174999999998</v>
      </c>
      <c r="G23" s="44">
        <v>5409.7708000000002</v>
      </c>
      <c r="H23" s="44">
        <v>0</v>
      </c>
      <c r="I23" s="44">
        <v>0</v>
      </c>
      <c r="J23" s="44">
        <v>0</v>
      </c>
      <c r="K23" s="44">
        <v>0</v>
      </c>
      <c r="L23" s="44">
        <v>34.4133</v>
      </c>
      <c r="M23" s="31">
        <v>0</v>
      </c>
      <c r="N23" s="67">
        <f t="shared" si="0"/>
        <v>8076.8016000000007</v>
      </c>
      <c r="O23" s="70">
        <f t="shared" si="1"/>
        <v>41397.301599999999</v>
      </c>
      <c r="P23" s="58"/>
      <c r="Q23" s="56"/>
      <c r="R23" s="57"/>
      <c r="S23" s="57"/>
    </row>
    <row r="24" spans="2:19" x14ac:dyDescent="0.2">
      <c r="B24" s="16" t="s">
        <v>95</v>
      </c>
      <c r="C24" s="63">
        <v>89000</v>
      </c>
      <c r="D24" s="63">
        <v>32347.195</v>
      </c>
      <c r="E24" s="63">
        <v>33644.86</v>
      </c>
      <c r="F24" s="52">
        <v>2858.1196</v>
      </c>
      <c r="G24" s="44">
        <v>5873.1554999999998</v>
      </c>
      <c r="H24" s="44">
        <v>11681.88</v>
      </c>
      <c r="I24" s="44">
        <v>0</v>
      </c>
      <c r="J24" s="44">
        <v>7.5</v>
      </c>
      <c r="K24" s="44">
        <v>3000</v>
      </c>
      <c r="L24" s="44">
        <v>37.360999999999997</v>
      </c>
      <c r="M24" s="31">
        <v>0</v>
      </c>
      <c r="N24" s="67">
        <f t="shared" si="0"/>
        <v>23458.016099999997</v>
      </c>
      <c r="O24" s="70">
        <f t="shared" si="1"/>
        <v>57102.876099999994</v>
      </c>
      <c r="P24" s="58"/>
      <c r="Q24" s="56"/>
      <c r="R24" s="57"/>
      <c r="S24" s="57"/>
    </row>
    <row r="25" spans="2:19" x14ac:dyDescent="0.2">
      <c r="B25" s="16" t="s">
        <v>96</v>
      </c>
      <c r="C25" s="63">
        <v>55000</v>
      </c>
      <c r="D25" s="63">
        <v>28700</v>
      </c>
      <c r="E25" s="63">
        <v>33970</v>
      </c>
      <c r="F25" s="52">
        <v>2542.3161</v>
      </c>
      <c r="G25" s="44">
        <v>1661.65</v>
      </c>
      <c r="H25" s="44">
        <v>4800</v>
      </c>
      <c r="I25" s="44">
        <v>0</v>
      </c>
      <c r="J25" s="44">
        <v>0</v>
      </c>
      <c r="K25" s="44">
        <v>0</v>
      </c>
      <c r="L25" s="44">
        <v>664.66</v>
      </c>
      <c r="M25" s="31">
        <v>0</v>
      </c>
      <c r="N25" s="67">
        <f t="shared" si="0"/>
        <v>9668.6260999999995</v>
      </c>
      <c r="O25" s="70">
        <f t="shared" si="1"/>
        <v>43638.626100000001</v>
      </c>
      <c r="P25" s="58"/>
      <c r="Q25" s="56"/>
      <c r="R25" s="57"/>
      <c r="S25" s="57"/>
    </row>
    <row r="26" spans="2:19" ht="13.5" thickBot="1" x14ac:dyDescent="0.25">
      <c r="B26" s="17" t="s">
        <v>97</v>
      </c>
      <c r="C26" s="65">
        <v>44774.23</v>
      </c>
      <c r="D26" s="65">
        <v>30383</v>
      </c>
      <c r="E26" s="65">
        <v>31930</v>
      </c>
      <c r="F26" s="59">
        <v>2435.9773</v>
      </c>
      <c r="G26" s="47">
        <v>1835.32</v>
      </c>
      <c r="H26" s="47">
        <v>4971.72</v>
      </c>
      <c r="I26" s="47">
        <v>0</v>
      </c>
      <c r="J26" s="47">
        <v>0</v>
      </c>
      <c r="K26" s="47">
        <v>113.79</v>
      </c>
      <c r="L26" s="47">
        <v>96.83</v>
      </c>
      <c r="M26" s="48">
        <v>0</v>
      </c>
      <c r="N26" s="68">
        <f t="shared" si="0"/>
        <v>9453.6373000000003</v>
      </c>
      <c r="O26" s="71">
        <f t="shared" si="1"/>
        <v>41383.637300000002</v>
      </c>
      <c r="P26" s="58"/>
      <c r="Q26" s="56"/>
      <c r="R26" s="57"/>
      <c r="S26" s="57"/>
    </row>
    <row r="27" spans="2:19" x14ac:dyDescent="0.2">
      <c r="B27" s="15" t="s">
        <v>37</v>
      </c>
      <c r="C27" s="63">
        <v>60000</v>
      </c>
      <c r="D27" s="63">
        <v>32000</v>
      </c>
      <c r="E27" s="63">
        <v>33000</v>
      </c>
      <c r="F27" s="52">
        <v>2606.1003000000001</v>
      </c>
      <c r="G27" s="44">
        <v>0</v>
      </c>
      <c r="H27" s="44">
        <v>7066.79</v>
      </c>
      <c r="I27" s="44">
        <v>0</v>
      </c>
      <c r="J27" s="44">
        <v>26.16</v>
      </c>
      <c r="K27" s="44">
        <v>98.79</v>
      </c>
      <c r="L27" s="44">
        <v>408.84</v>
      </c>
      <c r="M27" s="31">
        <v>0</v>
      </c>
      <c r="N27" s="67">
        <f t="shared" si="0"/>
        <v>10206.6803</v>
      </c>
      <c r="O27" s="70">
        <f t="shared" si="1"/>
        <v>43206.6803</v>
      </c>
      <c r="P27" s="58"/>
      <c r="Q27" s="56"/>
      <c r="R27" s="57"/>
      <c r="S27" s="57"/>
    </row>
    <row r="28" spans="2:19" x14ac:dyDescent="0.2">
      <c r="B28" s="16" t="s">
        <v>98</v>
      </c>
      <c r="C28" s="63">
        <v>70560</v>
      </c>
      <c r="D28" s="63"/>
      <c r="E28" s="63">
        <v>39400</v>
      </c>
      <c r="F28" s="52">
        <v>3440.9852999999998</v>
      </c>
      <c r="G28" s="44">
        <v>1349.41</v>
      </c>
      <c r="H28" s="44">
        <v>4004.4</v>
      </c>
      <c r="I28" s="44">
        <v>171</v>
      </c>
      <c r="J28" s="44">
        <v>224.28</v>
      </c>
      <c r="K28" s="44">
        <v>127.19</v>
      </c>
      <c r="L28" s="44">
        <v>99.05</v>
      </c>
      <c r="M28" s="31">
        <v>555.96</v>
      </c>
      <c r="N28" s="67">
        <f t="shared" si="0"/>
        <v>9972.2753000000012</v>
      </c>
      <c r="O28" s="70">
        <f t="shared" si="1"/>
        <v>49372.275300000001</v>
      </c>
      <c r="P28" s="58"/>
      <c r="Q28" s="56"/>
      <c r="R28" s="57"/>
      <c r="S28" s="57"/>
    </row>
    <row r="29" spans="2:19" x14ac:dyDescent="0.2">
      <c r="B29" s="16" t="s">
        <v>99</v>
      </c>
      <c r="C29" s="63">
        <v>51840.384999999995</v>
      </c>
      <c r="D29" s="63">
        <v>19620</v>
      </c>
      <c r="E29" s="63">
        <v>32960</v>
      </c>
      <c r="F29" s="52">
        <v>2519.8418999999999</v>
      </c>
      <c r="G29" s="44">
        <v>0</v>
      </c>
      <c r="H29" s="44">
        <v>7500</v>
      </c>
      <c r="I29" s="44">
        <v>0</v>
      </c>
      <c r="J29" s="44">
        <v>0</v>
      </c>
      <c r="K29" s="44">
        <v>85.78</v>
      </c>
      <c r="L29" s="44">
        <v>747.05</v>
      </c>
      <c r="M29" s="31">
        <v>0</v>
      </c>
      <c r="N29" s="67">
        <f t="shared" si="0"/>
        <v>10852.671899999999</v>
      </c>
      <c r="O29" s="70">
        <f t="shared" si="1"/>
        <v>43812.671900000001</v>
      </c>
      <c r="P29" s="58"/>
      <c r="Q29" s="56"/>
      <c r="R29" s="57"/>
      <c r="S29" s="57"/>
    </row>
    <row r="30" spans="2:19" x14ac:dyDescent="0.2">
      <c r="B30" s="16" t="s">
        <v>100</v>
      </c>
      <c r="C30" s="63">
        <v>86733</v>
      </c>
      <c r="D30" s="63"/>
      <c r="E30" s="63">
        <v>44882</v>
      </c>
      <c r="F30" s="52">
        <v>3310.1053000000002</v>
      </c>
      <c r="G30" s="44">
        <v>6801.9417999999996</v>
      </c>
      <c r="H30" s="44">
        <v>3851.5</v>
      </c>
      <c r="I30" s="44">
        <v>0</v>
      </c>
      <c r="J30" s="44">
        <v>0</v>
      </c>
      <c r="K30" s="44">
        <v>140.57</v>
      </c>
      <c r="L30" s="44">
        <v>423.24</v>
      </c>
      <c r="M30" s="31">
        <v>0</v>
      </c>
      <c r="N30" s="67">
        <f t="shared" si="0"/>
        <v>14527.357099999999</v>
      </c>
      <c r="O30" s="70">
        <f t="shared" si="1"/>
        <v>59409.357100000001</v>
      </c>
      <c r="P30" s="58"/>
      <c r="Q30" s="56"/>
      <c r="R30" s="57"/>
      <c r="S30" s="57"/>
    </row>
    <row r="31" spans="2:19" ht="13.5" thickBot="1" x14ac:dyDescent="0.25">
      <c r="B31" s="17" t="s">
        <v>101</v>
      </c>
      <c r="C31" s="65">
        <v>87214</v>
      </c>
      <c r="D31" s="65">
        <v>35720</v>
      </c>
      <c r="E31" s="65">
        <v>47906</v>
      </c>
      <c r="F31" s="53">
        <v>3598.5126</v>
      </c>
      <c r="G31" s="45">
        <v>7394.5905000000002</v>
      </c>
      <c r="H31" s="45">
        <v>8820.11</v>
      </c>
      <c r="I31" s="45">
        <v>0</v>
      </c>
      <c r="J31" s="45">
        <v>0</v>
      </c>
      <c r="K31" s="45">
        <v>371.77</v>
      </c>
      <c r="L31" s="45">
        <v>47.039400000000001</v>
      </c>
      <c r="M31" s="32">
        <v>156.6</v>
      </c>
      <c r="N31" s="68">
        <f t="shared" si="0"/>
        <v>20388.622500000001</v>
      </c>
      <c r="O31" s="71">
        <f t="shared" si="1"/>
        <v>68294.622499999998</v>
      </c>
      <c r="P31" s="58"/>
      <c r="Q31" s="56"/>
      <c r="R31" s="57"/>
      <c r="S31" s="57"/>
    </row>
    <row r="32" spans="2:19" x14ac:dyDescent="0.2">
      <c r="B32" s="15" t="s">
        <v>102</v>
      </c>
      <c r="C32" s="63">
        <v>68057</v>
      </c>
      <c r="D32" s="63"/>
      <c r="E32" s="63">
        <v>36818</v>
      </c>
      <c r="F32" s="52">
        <v>2881.7671999999998</v>
      </c>
      <c r="G32" s="44">
        <v>2448.56</v>
      </c>
      <c r="H32" s="44">
        <v>12430.48</v>
      </c>
      <c r="I32" s="44">
        <v>773.56</v>
      </c>
      <c r="J32" s="44">
        <v>88.55</v>
      </c>
      <c r="K32" s="44">
        <v>77.47</v>
      </c>
      <c r="L32" s="44">
        <v>57.78</v>
      </c>
      <c r="M32" s="31">
        <v>122.72</v>
      </c>
      <c r="N32" s="67">
        <f t="shared" si="0"/>
        <v>18880.887200000001</v>
      </c>
      <c r="O32" s="70">
        <f t="shared" si="1"/>
        <v>55698.887199999997</v>
      </c>
      <c r="P32" s="58"/>
      <c r="Q32" s="56"/>
      <c r="R32" s="57"/>
      <c r="S32" s="57"/>
    </row>
    <row r="33" spans="2:19" x14ac:dyDescent="0.2">
      <c r="B33" s="16" t="s">
        <v>147</v>
      </c>
      <c r="C33" s="63">
        <v>50000</v>
      </c>
      <c r="D33" s="63">
        <v>32250</v>
      </c>
      <c r="E33" s="63">
        <v>32500</v>
      </c>
      <c r="F33" s="52">
        <v>2671.3715999999999</v>
      </c>
      <c r="G33" s="44">
        <v>1396.8</v>
      </c>
      <c r="H33" s="44">
        <v>631.16</v>
      </c>
      <c r="I33" s="44">
        <v>0</v>
      </c>
      <c r="J33" s="44">
        <v>96.75</v>
      </c>
      <c r="K33" s="44">
        <v>70.540000000000006</v>
      </c>
      <c r="L33" s="44">
        <v>34.919899999999998</v>
      </c>
      <c r="M33" s="31">
        <v>89.51</v>
      </c>
      <c r="N33" s="67">
        <f t="shared" si="0"/>
        <v>4991.0514999999996</v>
      </c>
      <c r="O33" s="70">
        <f t="shared" si="1"/>
        <v>37491.051500000001</v>
      </c>
      <c r="P33" s="58"/>
      <c r="Q33" s="56"/>
      <c r="R33" s="57"/>
      <c r="S33" s="57"/>
    </row>
    <row r="34" spans="2:19" x14ac:dyDescent="0.2">
      <c r="B34" s="16" t="s">
        <v>103</v>
      </c>
      <c r="C34" s="63">
        <v>70500</v>
      </c>
      <c r="D34" s="63">
        <v>32000</v>
      </c>
      <c r="E34" s="63">
        <v>34990</v>
      </c>
      <c r="F34" s="52">
        <v>2748.2134999999998</v>
      </c>
      <c r="G34" s="44">
        <v>2514.6999999999998</v>
      </c>
      <c r="H34" s="44">
        <v>9746.1200000000008</v>
      </c>
      <c r="I34" s="44">
        <v>763.38</v>
      </c>
      <c r="J34" s="44">
        <v>0</v>
      </c>
      <c r="K34" s="44">
        <v>181.12</v>
      </c>
      <c r="L34" s="44">
        <v>35.924399999999999</v>
      </c>
      <c r="M34" s="31">
        <v>0</v>
      </c>
      <c r="N34" s="67">
        <f t="shared" si="0"/>
        <v>15989.457900000001</v>
      </c>
      <c r="O34" s="70">
        <f t="shared" si="1"/>
        <v>50979.457900000001</v>
      </c>
      <c r="P34" s="58"/>
      <c r="Q34" s="56"/>
      <c r="R34" s="57"/>
      <c r="S34" s="57"/>
    </row>
    <row r="35" spans="2:19" x14ac:dyDescent="0.2">
      <c r="B35" s="16" t="s">
        <v>104</v>
      </c>
      <c r="C35" s="63">
        <v>62841.5</v>
      </c>
      <c r="D35" s="63">
        <v>33368</v>
      </c>
      <c r="E35" s="63">
        <v>33368</v>
      </c>
      <c r="F35" s="115" t="s">
        <v>156</v>
      </c>
      <c r="G35" s="116" t="s">
        <v>156</v>
      </c>
      <c r="H35" s="116" t="s">
        <v>156</v>
      </c>
      <c r="I35" s="116" t="s">
        <v>156</v>
      </c>
      <c r="J35" s="116" t="s">
        <v>156</v>
      </c>
      <c r="K35" s="116" t="s">
        <v>156</v>
      </c>
      <c r="L35" s="116" t="s">
        <v>156</v>
      </c>
      <c r="M35" s="117" t="s">
        <v>156</v>
      </c>
      <c r="N35" s="67">
        <f t="shared" si="0"/>
        <v>0</v>
      </c>
      <c r="O35" s="70">
        <f t="shared" si="1"/>
        <v>33368</v>
      </c>
      <c r="P35" s="58"/>
      <c r="Q35" s="56"/>
      <c r="R35" s="57"/>
      <c r="S35" s="57"/>
    </row>
    <row r="36" spans="2:19" ht="13.5" thickBot="1" x14ac:dyDescent="0.25">
      <c r="B36" s="17" t="s">
        <v>105</v>
      </c>
      <c r="C36" s="65">
        <v>105913.5</v>
      </c>
      <c r="D36" s="65">
        <v>32006</v>
      </c>
      <c r="E36" s="65">
        <v>33333.33</v>
      </c>
      <c r="F36" s="53">
        <v>0</v>
      </c>
      <c r="G36" s="45">
        <v>1E-3</v>
      </c>
      <c r="H36" s="45">
        <v>0</v>
      </c>
      <c r="I36" s="45">
        <v>0</v>
      </c>
      <c r="J36" s="45">
        <v>0</v>
      </c>
      <c r="K36" s="45">
        <v>0</v>
      </c>
      <c r="L36" s="45">
        <v>1E-3</v>
      </c>
      <c r="M36" s="32">
        <v>0</v>
      </c>
      <c r="N36" s="68">
        <f t="shared" si="0"/>
        <v>2E-3</v>
      </c>
      <c r="O36" s="71">
        <f t="shared" si="1"/>
        <v>33333.332000000002</v>
      </c>
      <c r="P36" s="58"/>
      <c r="Q36" s="56"/>
      <c r="R36" s="57"/>
      <c r="S36" s="57"/>
    </row>
    <row r="37" spans="2:19" x14ac:dyDescent="0.2">
      <c r="B37" s="15" t="s">
        <v>106</v>
      </c>
      <c r="C37" s="63">
        <v>62500</v>
      </c>
      <c r="D37" s="63">
        <v>33000</v>
      </c>
      <c r="E37" s="63">
        <v>34000</v>
      </c>
      <c r="F37" s="52">
        <v>2771.3456000000001</v>
      </c>
      <c r="G37" s="44">
        <v>562.87</v>
      </c>
      <c r="H37" s="44">
        <v>7809.36</v>
      </c>
      <c r="I37" s="44">
        <v>575.55999999999995</v>
      </c>
      <c r="J37" s="44">
        <v>42</v>
      </c>
      <c r="K37" s="44">
        <v>80</v>
      </c>
      <c r="L37" s="44">
        <v>36.226700000000001</v>
      </c>
      <c r="M37" s="31">
        <v>90</v>
      </c>
      <c r="N37" s="67">
        <f t="shared" si="0"/>
        <v>11967.362299999999</v>
      </c>
      <c r="O37" s="70">
        <f t="shared" si="1"/>
        <v>45967.362300000001</v>
      </c>
      <c r="P37" s="58"/>
      <c r="Q37" s="56"/>
      <c r="R37" s="57"/>
      <c r="S37" s="57"/>
    </row>
    <row r="38" spans="2:19" x14ac:dyDescent="0.2">
      <c r="B38" s="16" t="s">
        <v>38</v>
      </c>
      <c r="C38" s="63"/>
      <c r="D38" s="63">
        <v>34684</v>
      </c>
      <c r="E38" s="63">
        <v>34900</v>
      </c>
      <c r="F38" s="52">
        <v>2687.4450000000002</v>
      </c>
      <c r="G38" s="44">
        <v>0</v>
      </c>
      <c r="H38" s="44">
        <v>7800</v>
      </c>
      <c r="I38" s="44">
        <v>0</v>
      </c>
      <c r="J38" s="44">
        <v>0</v>
      </c>
      <c r="K38" s="44">
        <v>91.45</v>
      </c>
      <c r="L38" s="44">
        <v>660.45</v>
      </c>
      <c r="M38" s="31">
        <v>0</v>
      </c>
      <c r="N38" s="67">
        <f t="shared" si="0"/>
        <v>11239.345000000001</v>
      </c>
      <c r="O38" s="70">
        <f t="shared" si="1"/>
        <v>46139.345000000001</v>
      </c>
      <c r="P38" s="58"/>
      <c r="Q38" s="56"/>
      <c r="R38" s="57"/>
      <c r="S38" s="57"/>
    </row>
    <row r="39" spans="2:19" x14ac:dyDescent="0.2">
      <c r="B39" s="16" t="s">
        <v>107</v>
      </c>
      <c r="C39" s="63">
        <v>79086.12</v>
      </c>
      <c r="D39" s="63">
        <v>21333.33</v>
      </c>
      <c r="E39" s="63">
        <v>33150</v>
      </c>
      <c r="F39" s="52">
        <v>2962.4670999999998</v>
      </c>
      <c r="G39" s="44">
        <v>1865.57</v>
      </c>
      <c r="H39" s="44">
        <v>7053.38</v>
      </c>
      <c r="I39" s="44">
        <v>881.76</v>
      </c>
      <c r="J39" s="44">
        <v>36.53</v>
      </c>
      <c r="K39" s="44">
        <v>0</v>
      </c>
      <c r="L39" s="44">
        <v>222.93</v>
      </c>
      <c r="M39" s="31">
        <v>0</v>
      </c>
      <c r="N39" s="67">
        <f t="shared" si="0"/>
        <v>13022.6371</v>
      </c>
      <c r="O39" s="70">
        <f t="shared" si="1"/>
        <v>46172.6371</v>
      </c>
      <c r="P39" s="58"/>
      <c r="Q39" s="56"/>
      <c r="R39" s="57"/>
      <c r="S39" s="57"/>
    </row>
    <row r="40" spans="2:19" x14ac:dyDescent="0.2">
      <c r="B40" s="16" t="s">
        <v>108</v>
      </c>
      <c r="C40" s="63">
        <v>55000</v>
      </c>
      <c r="D40" s="63"/>
      <c r="E40" s="63">
        <v>31500</v>
      </c>
      <c r="F40" s="52">
        <v>2409.75</v>
      </c>
      <c r="G40" s="44">
        <v>0</v>
      </c>
      <c r="H40" s="44">
        <v>3000</v>
      </c>
      <c r="I40" s="44">
        <v>0</v>
      </c>
      <c r="J40" s="44">
        <v>0</v>
      </c>
      <c r="K40" s="44">
        <v>0</v>
      </c>
      <c r="L40" s="44">
        <v>31.5</v>
      </c>
      <c r="M40" s="31">
        <v>0</v>
      </c>
      <c r="N40" s="67">
        <f t="shared" si="0"/>
        <v>5441.25</v>
      </c>
      <c r="O40" s="70">
        <f t="shared" si="1"/>
        <v>36941.25</v>
      </c>
      <c r="P40" s="58"/>
      <c r="Q40" s="56"/>
      <c r="R40" s="57"/>
      <c r="S40" s="57"/>
    </row>
    <row r="41" spans="2:19" ht="13.5" thickBot="1" x14ac:dyDescent="0.25">
      <c r="B41" s="17" t="s">
        <v>109</v>
      </c>
      <c r="C41" s="65"/>
      <c r="D41" s="65">
        <v>33500</v>
      </c>
      <c r="E41" s="65">
        <v>35867.75</v>
      </c>
      <c r="F41" s="53">
        <v>2852.3652000000002</v>
      </c>
      <c r="G41" s="45">
        <v>5861.3308999999999</v>
      </c>
      <c r="H41" s="45">
        <v>10133.34</v>
      </c>
      <c r="I41" s="45">
        <v>0</v>
      </c>
      <c r="J41" s="45">
        <v>0</v>
      </c>
      <c r="K41" s="45">
        <v>123.57</v>
      </c>
      <c r="L41" s="45">
        <v>37.28</v>
      </c>
      <c r="M41" s="32">
        <v>0</v>
      </c>
      <c r="N41" s="68">
        <f t="shared" si="0"/>
        <v>19007.8861</v>
      </c>
      <c r="O41" s="71">
        <f t="shared" si="1"/>
        <v>54875.636100000003</v>
      </c>
      <c r="P41" s="58"/>
      <c r="Q41" s="56"/>
      <c r="R41" s="57"/>
      <c r="S41" s="57"/>
    </row>
    <row r="42" spans="2:19" x14ac:dyDescent="0.2">
      <c r="B42" s="15" t="s">
        <v>110</v>
      </c>
      <c r="C42" s="63">
        <v>50000</v>
      </c>
      <c r="D42" s="63">
        <v>27160</v>
      </c>
      <c r="E42" s="63">
        <v>33900</v>
      </c>
      <c r="F42" s="52">
        <v>2638.2921999999999</v>
      </c>
      <c r="G42" s="44">
        <v>1379.49</v>
      </c>
      <c r="H42" s="44">
        <v>8010</v>
      </c>
      <c r="I42" s="44">
        <v>0</v>
      </c>
      <c r="J42" s="44">
        <v>0</v>
      </c>
      <c r="K42" s="44">
        <v>86.21</v>
      </c>
      <c r="L42" s="44">
        <v>34.487499999999997</v>
      </c>
      <c r="M42" s="31">
        <v>0</v>
      </c>
      <c r="N42" s="67">
        <f t="shared" si="0"/>
        <v>12148.479699999998</v>
      </c>
      <c r="O42" s="70">
        <f t="shared" si="1"/>
        <v>46048.479699999996</v>
      </c>
      <c r="P42" s="58"/>
      <c r="Q42" s="56"/>
      <c r="R42" s="57"/>
      <c r="S42" s="57"/>
    </row>
    <row r="43" spans="2:19" x14ac:dyDescent="0.2">
      <c r="B43" s="16" t="s">
        <v>111</v>
      </c>
      <c r="C43" s="63">
        <v>90700</v>
      </c>
      <c r="D43" s="63">
        <v>32000</v>
      </c>
      <c r="E43" s="63">
        <v>34200</v>
      </c>
      <c r="F43" s="52">
        <v>2598.4319</v>
      </c>
      <c r="G43" s="44">
        <v>1019</v>
      </c>
      <c r="H43" s="44">
        <v>2213</v>
      </c>
      <c r="I43" s="44">
        <v>0</v>
      </c>
      <c r="J43" s="44">
        <v>0</v>
      </c>
      <c r="K43" s="44">
        <v>136</v>
      </c>
      <c r="L43" s="44">
        <v>679</v>
      </c>
      <c r="M43" s="31">
        <v>0</v>
      </c>
      <c r="N43" s="67">
        <f t="shared" si="0"/>
        <v>6645.4318999999996</v>
      </c>
      <c r="O43" s="70">
        <f t="shared" si="1"/>
        <v>40845.431899999996</v>
      </c>
      <c r="P43" s="58"/>
      <c r="Q43" s="56"/>
      <c r="R43" s="57"/>
      <c r="S43" s="57"/>
    </row>
    <row r="44" spans="2:19" x14ac:dyDescent="0.2">
      <c r="B44" s="16" t="s">
        <v>148</v>
      </c>
      <c r="C44" s="63">
        <v>94000</v>
      </c>
      <c r="D44" s="63">
        <v>39000</v>
      </c>
      <c r="E44" s="63">
        <v>45800</v>
      </c>
      <c r="F44" s="52">
        <v>3644.8416999999999</v>
      </c>
      <c r="G44" s="44">
        <v>7489.7924000000003</v>
      </c>
      <c r="H44" s="44">
        <v>7300</v>
      </c>
      <c r="I44" s="44">
        <v>970</v>
      </c>
      <c r="J44" s="44">
        <v>180</v>
      </c>
      <c r="K44" s="44">
        <v>300</v>
      </c>
      <c r="L44" s="44">
        <v>175</v>
      </c>
      <c r="M44" s="31">
        <v>201</v>
      </c>
      <c r="N44" s="67">
        <f t="shared" si="0"/>
        <v>20260.634099999999</v>
      </c>
      <c r="O44" s="70">
        <f t="shared" si="1"/>
        <v>66060.634099999996</v>
      </c>
      <c r="P44" s="58"/>
      <c r="Q44" s="56"/>
      <c r="R44" s="57"/>
      <c r="S44" s="57"/>
    </row>
    <row r="45" spans="2:19" x14ac:dyDescent="0.2">
      <c r="B45" s="16" t="s">
        <v>112</v>
      </c>
      <c r="C45" s="63">
        <v>95000</v>
      </c>
      <c r="D45" s="63">
        <v>33000</v>
      </c>
      <c r="E45" s="63">
        <v>34200</v>
      </c>
      <c r="F45" s="52">
        <v>2684.3850000000002</v>
      </c>
      <c r="G45" s="44">
        <v>5697.48</v>
      </c>
      <c r="H45" s="44">
        <v>3658.86</v>
      </c>
      <c r="I45" s="44">
        <v>138.28</v>
      </c>
      <c r="J45" s="44">
        <v>28</v>
      </c>
      <c r="K45" s="44">
        <v>148.41999999999999</v>
      </c>
      <c r="L45" s="44">
        <v>233.4</v>
      </c>
      <c r="M45" s="31">
        <v>0</v>
      </c>
      <c r="N45" s="67">
        <f t="shared" si="0"/>
        <v>12588.825000000001</v>
      </c>
      <c r="O45" s="70">
        <f t="shared" si="1"/>
        <v>46788.824999999997</v>
      </c>
      <c r="P45" s="58"/>
      <c r="Q45" s="56"/>
      <c r="R45" s="57"/>
      <c r="S45" s="57"/>
    </row>
    <row r="46" spans="2:19" ht="13.5" thickBot="1" x14ac:dyDescent="0.25">
      <c r="B46" s="17" t="s">
        <v>113</v>
      </c>
      <c r="C46" s="65">
        <v>67320</v>
      </c>
      <c r="D46" s="65">
        <v>34872.5</v>
      </c>
      <c r="E46" s="65">
        <v>38995.5</v>
      </c>
      <c r="F46" s="53">
        <v>3014.8757000000001</v>
      </c>
      <c r="G46" s="45">
        <v>0</v>
      </c>
      <c r="H46" s="45">
        <v>8400</v>
      </c>
      <c r="I46" s="45">
        <v>0</v>
      </c>
      <c r="J46" s="45">
        <v>0</v>
      </c>
      <c r="K46" s="45">
        <v>102.46</v>
      </c>
      <c r="L46" s="45">
        <v>890.79</v>
      </c>
      <c r="M46" s="32">
        <v>0</v>
      </c>
      <c r="N46" s="68">
        <f t="shared" si="0"/>
        <v>12408.125700000001</v>
      </c>
      <c r="O46" s="71">
        <f t="shared" si="1"/>
        <v>51403.625700000004</v>
      </c>
      <c r="P46" s="58"/>
      <c r="Q46" s="56"/>
      <c r="R46" s="57"/>
      <c r="S46" s="57"/>
    </row>
    <row r="47" spans="2:19" x14ac:dyDescent="0.2">
      <c r="B47" s="15" t="s">
        <v>114</v>
      </c>
      <c r="C47" s="63">
        <v>61808</v>
      </c>
      <c r="D47" s="63">
        <v>34252</v>
      </c>
      <c r="E47" s="63">
        <v>37053</v>
      </c>
      <c r="F47" s="52">
        <v>3055.6525000000001</v>
      </c>
      <c r="G47" s="44">
        <v>718.9</v>
      </c>
      <c r="H47" s="44">
        <v>6900</v>
      </c>
      <c r="I47" s="44">
        <v>0</v>
      </c>
      <c r="J47" s="44">
        <v>0</v>
      </c>
      <c r="K47" s="44">
        <v>103.85</v>
      </c>
      <c r="L47" s="44">
        <v>897.84</v>
      </c>
      <c r="M47" s="31">
        <v>0</v>
      </c>
      <c r="N47" s="67">
        <f t="shared" si="0"/>
        <v>11676.2425</v>
      </c>
      <c r="O47" s="70">
        <f t="shared" si="1"/>
        <v>48729.2425</v>
      </c>
      <c r="P47" s="58"/>
      <c r="Q47" s="56"/>
      <c r="R47" s="57"/>
      <c r="S47" s="57"/>
    </row>
    <row r="48" spans="2:19" x14ac:dyDescent="0.2">
      <c r="B48" s="16" t="s">
        <v>115</v>
      </c>
      <c r="C48" s="63">
        <v>40000</v>
      </c>
      <c r="D48" s="63">
        <v>32518</v>
      </c>
      <c r="E48" s="63">
        <v>34043</v>
      </c>
      <c r="F48" s="52">
        <v>2720.0929000000001</v>
      </c>
      <c r="G48" s="44">
        <v>711.14</v>
      </c>
      <c r="H48" s="44">
        <v>10965.96</v>
      </c>
      <c r="I48" s="44">
        <v>0</v>
      </c>
      <c r="J48" s="44">
        <v>1.85</v>
      </c>
      <c r="K48" s="44">
        <v>252.1</v>
      </c>
      <c r="L48" s="44">
        <v>35.556800000000003</v>
      </c>
      <c r="M48" s="31">
        <v>0</v>
      </c>
      <c r="N48" s="67">
        <f t="shared" si="0"/>
        <v>14686.699699999999</v>
      </c>
      <c r="O48" s="70">
        <f t="shared" si="1"/>
        <v>48729.699699999997</v>
      </c>
      <c r="P48" s="58"/>
      <c r="Q48" s="56"/>
      <c r="R48" s="57"/>
      <c r="S48" s="57"/>
    </row>
    <row r="49" spans="2:19" x14ac:dyDescent="0.2">
      <c r="B49" s="16" t="s">
        <v>116</v>
      </c>
      <c r="C49" s="63">
        <v>63381.25</v>
      </c>
      <c r="D49" s="63">
        <v>34000</v>
      </c>
      <c r="E49" s="63">
        <v>37486</v>
      </c>
      <c r="F49" s="52">
        <v>3017.6527000000001</v>
      </c>
      <c r="G49" s="44">
        <v>20782.39</v>
      </c>
      <c r="H49" s="44">
        <v>8700</v>
      </c>
      <c r="I49" s="44">
        <v>0</v>
      </c>
      <c r="J49" s="44">
        <v>0</v>
      </c>
      <c r="K49" s="44">
        <v>102.5</v>
      </c>
      <c r="L49" s="44">
        <v>890.81</v>
      </c>
      <c r="M49" s="31">
        <v>0</v>
      </c>
      <c r="N49" s="67">
        <f t="shared" si="0"/>
        <v>33493.352699999996</v>
      </c>
      <c r="O49" s="70">
        <f t="shared" si="1"/>
        <v>70979.352699999989</v>
      </c>
      <c r="P49" s="58"/>
      <c r="Q49" s="56"/>
      <c r="R49" s="57"/>
      <c r="S49" s="57"/>
    </row>
    <row r="50" spans="2:19" x14ac:dyDescent="0.2">
      <c r="B50" s="16" t="s">
        <v>117</v>
      </c>
      <c r="C50" s="63">
        <v>76919</v>
      </c>
      <c r="D50" s="63"/>
      <c r="E50" s="63">
        <v>49216</v>
      </c>
      <c r="F50" s="115" t="s">
        <v>156</v>
      </c>
      <c r="G50" s="116" t="s">
        <v>156</v>
      </c>
      <c r="H50" s="116" t="s">
        <v>156</v>
      </c>
      <c r="I50" s="116" t="s">
        <v>156</v>
      </c>
      <c r="J50" s="116" t="s">
        <v>156</v>
      </c>
      <c r="K50" s="116" t="s">
        <v>156</v>
      </c>
      <c r="L50" s="116" t="s">
        <v>156</v>
      </c>
      <c r="M50" s="117" t="s">
        <v>156</v>
      </c>
      <c r="N50" s="67">
        <f t="shared" si="0"/>
        <v>0</v>
      </c>
      <c r="O50" s="70">
        <f t="shared" si="1"/>
        <v>49216</v>
      </c>
      <c r="P50" s="58"/>
      <c r="Q50" s="56"/>
      <c r="R50" s="57"/>
      <c r="S50" s="57"/>
    </row>
    <row r="51" spans="2:19" ht="13.5" thickBot="1" x14ac:dyDescent="0.25">
      <c r="B51" s="17" t="s">
        <v>118</v>
      </c>
      <c r="C51" s="65">
        <v>70000</v>
      </c>
      <c r="D51" s="65">
        <v>28000</v>
      </c>
      <c r="E51" s="65">
        <v>32000</v>
      </c>
      <c r="F51" s="53">
        <v>2198.6666</v>
      </c>
      <c r="G51" s="45">
        <v>0</v>
      </c>
      <c r="H51" s="45">
        <v>8700</v>
      </c>
      <c r="I51" s="45">
        <v>0</v>
      </c>
      <c r="J51" s="45">
        <v>0</v>
      </c>
      <c r="K51" s="45">
        <v>93.21</v>
      </c>
      <c r="L51" s="45">
        <v>773.49</v>
      </c>
      <c r="M51" s="32">
        <v>0</v>
      </c>
      <c r="N51" s="68">
        <f t="shared" si="0"/>
        <v>11765.366599999999</v>
      </c>
      <c r="O51" s="71">
        <f t="shared" si="1"/>
        <v>43765.366600000001</v>
      </c>
      <c r="P51" s="58"/>
      <c r="Q51" s="56"/>
      <c r="R51" s="57"/>
      <c r="S51" s="57"/>
    </row>
    <row r="52" spans="2:19" x14ac:dyDescent="0.2">
      <c r="B52" s="15" t="s">
        <v>119</v>
      </c>
      <c r="C52" s="63">
        <v>56676.925000000003</v>
      </c>
      <c r="D52" s="63">
        <v>33500</v>
      </c>
      <c r="E52" s="63">
        <v>34002.5</v>
      </c>
      <c r="F52" s="52">
        <v>2779.7957999999999</v>
      </c>
      <c r="G52" s="44">
        <v>0</v>
      </c>
      <c r="H52" s="44">
        <v>7200</v>
      </c>
      <c r="I52" s="44">
        <v>0</v>
      </c>
      <c r="J52" s="44">
        <v>0</v>
      </c>
      <c r="K52" s="44">
        <v>94.46</v>
      </c>
      <c r="L52" s="44">
        <v>837.61</v>
      </c>
      <c r="M52" s="31">
        <v>0</v>
      </c>
      <c r="N52" s="67">
        <f t="shared" si="0"/>
        <v>10911.8658</v>
      </c>
      <c r="O52" s="70">
        <f t="shared" si="1"/>
        <v>44914.3658</v>
      </c>
      <c r="P52" s="58"/>
      <c r="Q52" s="56"/>
      <c r="R52" s="57"/>
      <c r="S52" s="57"/>
    </row>
    <row r="53" spans="2:19" x14ac:dyDescent="0.2">
      <c r="B53" s="16" t="s">
        <v>120</v>
      </c>
      <c r="C53" s="63">
        <v>48000</v>
      </c>
      <c r="D53" s="63">
        <v>34500</v>
      </c>
      <c r="E53" s="63">
        <v>35750</v>
      </c>
      <c r="F53" s="52">
        <v>2751.3438999999998</v>
      </c>
      <c r="G53" s="44">
        <v>0</v>
      </c>
      <c r="H53" s="44">
        <v>4800</v>
      </c>
      <c r="I53" s="44">
        <v>600</v>
      </c>
      <c r="J53" s="44">
        <v>240</v>
      </c>
      <c r="K53" s="44">
        <v>712</v>
      </c>
      <c r="L53" s="44">
        <v>35.965299999999999</v>
      </c>
      <c r="M53" s="31">
        <v>0</v>
      </c>
      <c r="N53" s="67">
        <f t="shared" si="0"/>
        <v>9139.3091999999997</v>
      </c>
      <c r="O53" s="70">
        <f t="shared" si="1"/>
        <v>44889.309200000003</v>
      </c>
      <c r="P53" s="58"/>
      <c r="Q53" s="56"/>
      <c r="R53" s="57"/>
      <c r="S53" s="57"/>
    </row>
    <row r="54" spans="2:19" x14ac:dyDescent="0.2">
      <c r="B54" s="16" t="s">
        <v>121</v>
      </c>
      <c r="C54" s="63">
        <v>62034.59</v>
      </c>
      <c r="D54" s="63">
        <v>24621.21</v>
      </c>
      <c r="E54" s="63">
        <v>32149.62</v>
      </c>
      <c r="F54" s="52">
        <v>2447.9648000000002</v>
      </c>
      <c r="G54" s="44">
        <v>5030.3276999999998</v>
      </c>
      <c r="H54" s="44">
        <v>16913.88</v>
      </c>
      <c r="I54" s="44">
        <v>1691.4</v>
      </c>
      <c r="J54" s="44">
        <v>413.76</v>
      </c>
      <c r="K54" s="44">
        <v>238</v>
      </c>
      <c r="L54" s="44">
        <v>32.700000000000003</v>
      </c>
      <c r="M54" s="31">
        <v>181</v>
      </c>
      <c r="N54" s="67">
        <f t="shared" si="0"/>
        <v>26949.032500000001</v>
      </c>
      <c r="O54" s="70">
        <f t="shared" si="1"/>
        <v>59098.652499999997</v>
      </c>
      <c r="P54" s="58"/>
      <c r="Q54" s="56"/>
      <c r="R54" s="57"/>
      <c r="S54" s="57"/>
    </row>
    <row r="55" spans="2:19" x14ac:dyDescent="0.2">
      <c r="B55" s="16" t="s">
        <v>122</v>
      </c>
      <c r="C55" s="63"/>
      <c r="D55" s="63">
        <v>33700</v>
      </c>
      <c r="E55" s="63">
        <v>34711</v>
      </c>
      <c r="F55" s="52">
        <v>2770.7267000000002</v>
      </c>
      <c r="G55" s="44">
        <v>2535</v>
      </c>
      <c r="H55" s="44">
        <v>6000</v>
      </c>
      <c r="I55" s="44">
        <v>0</v>
      </c>
      <c r="J55" s="44">
        <v>0</v>
      </c>
      <c r="K55" s="44">
        <v>126</v>
      </c>
      <c r="L55" s="44">
        <v>217</v>
      </c>
      <c r="M55" s="31">
        <v>0</v>
      </c>
      <c r="N55" s="67">
        <f t="shared" si="0"/>
        <v>11648.726699999999</v>
      </c>
      <c r="O55" s="70">
        <f t="shared" si="1"/>
        <v>46359.726699999999</v>
      </c>
      <c r="P55" s="58"/>
      <c r="Q55" s="56"/>
      <c r="R55" s="57"/>
      <c r="S55" s="57"/>
    </row>
    <row r="56" spans="2:19" ht="13.5" thickBot="1" x14ac:dyDescent="0.25">
      <c r="B56" s="17" t="s">
        <v>39</v>
      </c>
      <c r="C56" s="65">
        <v>60000</v>
      </c>
      <c r="D56" s="65">
        <v>33900</v>
      </c>
      <c r="E56" s="65">
        <v>36000</v>
      </c>
      <c r="F56" s="53">
        <v>2616.3000000000002</v>
      </c>
      <c r="G56" s="45">
        <v>1710</v>
      </c>
      <c r="H56" s="45">
        <v>6033</v>
      </c>
      <c r="I56" s="45">
        <v>167.4</v>
      </c>
      <c r="J56" s="45">
        <v>352.2</v>
      </c>
      <c r="K56" s="45">
        <v>0</v>
      </c>
      <c r="L56" s="45">
        <v>34.200000000000003</v>
      </c>
      <c r="M56" s="32">
        <v>0</v>
      </c>
      <c r="N56" s="68">
        <f t="shared" si="0"/>
        <v>10913.1</v>
      </c>
      <c r="O56" s="71">
        <f t="shared" si="1"/>
        <v>46913.1</v>
      </c>
      <c r="P56" s="58"/>
      <c r="Q56" s="56"/>
      <c r="R56" s="57"/>
      <c r="S56" s="57"/>
    </row>
    <row r="57" spans="2:19" x14ac:dyDescent="0.2">
      <c r="B57" s="15" t="s">
        <v>123</v>
      </c>
      <c r="C57" s="63"/>
      <c r="D57" s="63">
        <v>33834</v>
      </c>
      <c r="E57" s="63">
        <v>33834</v>
      </c>
      <c r="F57" s="52">
        <v>2522.8507</v>
      </c>
      <c r="G57" s="44">
        <v>0</v>
      </c>
      <c r="H57" s="44">
        <v>8400</v>
      </c>
      <c r="I57" s="44">
        <v>0</v>
      </c>
      <c r="J57" s="44">
        <v>0</v>
      </c>
      <c r="K57" s="44">
        <v>85.7</v>
      </c>
      <c r="L57" s="44">
        <v>1091.06</v>
      </c>
      <c r="M57" s="31">
        <v>0</v>
      </c>
      <c r="N57" s="67">
        <f t="shared" si="0"/>
        <v>12099.610699999999</v>
      </c>
      <c r="O57" s="70">
        <f t="shared" si="1"/>
        <v>45933.610699999997</v>
      </c>
      <c r="P57" s="58"/>
      <c r="Q57" s="56"/>
      <c r="R57" s="57"/>
      <c r="S57" s="57"/>
    </row>
    <row r="58" spans="2:19" x14ac:dyDescent="0.2">
      <c r="B58" s="16" t="s">
        <v>124</v>
      </c>
      <c r="C58" s="63">
        <v>74925</v>
      </c>
      <c r="D58" s="63"/>
      <c r="E58" s="63">
        <v>39778</v>
      </c>
      <c r="F58" s="52">
        <v>3240.3494999999998</v>
      </c>
      <c r="G58" s="44">
        <v>2117.88</v>
      </c>
      <c r="H58" s="44">
        <v>13092</v>
      </c>
      <c r="I58" s="44">
        <v>0</v>
      </c>
      <c r="J58" s="44">
        <v>0</v>
      </c>
      <c r="K58" s="44">
        <v>122.84</v>
      </c>
      <c r="L58" s="44">
        <v>508.29</v>
      </c>
      <c r="M58" s="31">
        <v>0</v>
      </c>
      <c r="N58" s="67">
        <f t="shared" si="0"/>
        <v>19081.359500000002</v>
      </c>
      <c r="O58" s="70">
        <f t="shared" si="1"/>
        <v>58859.359500000006</v>
      </c>
      <c r="P58" s="58"/>
      <c r="Q58" s="56"/>
      <c r="R58" s="57"/>
      <c r="S58" s="57"/>
    </row>
    <row r="59" spans="2:19" x14ac:dyDescent="0.2">
      <c r="B59" s="16" t="s">
        <v>125</v>
      </c>
      <c r="C59" s="63">
        <v>58750</v>
      </c>
      <c r="D59" s="63">
        <v>32200</v>
      </c>
      <c r="E59" s="63">
        <v>32200</v>
      </c>
      <c r="F59" s="52">
        <v>2591.8467999999998</v>
      </c>
      <c r="G59" s="44">
        <v>1980.69</v>
      </c>
      <c r="H59" s="44">
        <v>6519.02</v>
      </c>
      <c r="I59" s="44">
        <v>807.23</v>
      </c>
      <c r="J59" s="44">
        <v>0</v>
      </c>
      <c r="K59" s="44">
        <v>125.54</v>
      </c>
      <c r="L59" s="44">
        <v>96</v>
      </c>
      <c r="M59" s="31">
        <v>0</v>
      </c>
      <c r="N59" s="67">
        <f t="shared" si="0"/>
        <v>12120.326800000001</v>
      </c>
      <c r="O59" s="70">
        <f t="shared" si="1"/>
        <v>44320.326800000003</v>
      </c>
      <c r="P59" s="58"/>
      <c r="Q59" s="56"/>
      <c r="R59" s="57"/>
      <c r="S59" s="57"/>
    </row>
    <row r="60" spans="2:19" x14ac:dyDescent="0.2">
      <c r="B60" s="16" t="s">
        <v>126</v>
      </c>
      <c r="C60" s="63"/>
      <c r="D60" s="63">
        <v>38000</v>
      </c>
      <c r="E60" s="63">
        <v>37681.75</v>
      </c>
      <c r="F60" s="52">
        <v>2820.7867999999999</v>
      </c>
      <c r="G60" s="44">
        <v>2581.11</v>
      </c>
      <c r="H60" s="44">
        <v>8952.24</v>
      </c>
      <c r="I60" s="44">
        <v>0</v>
      </c>
      <c r="J60" s="44">
        <v>0</v>
      </c>
      <c r="K60" s="44">
        <v>14.75</v>
      </c>
      <c r="L60" s="44">
        <v>36.872999999999998</v>
      </c>
      <c r="M60" s="31">
        <v>0</v>
      </c>
      <c r="N60" s="67">
        <f t="shared" si="0"/>
        <v>14405.7598</v>
      </c>
      <c r="O60" s="70">
        <f t="shared" si="1"/>
        <v>52087.5098</v>
      </c>
      <c r="P60" s="58"/>
      <c r="Q60" s="56"/>
      <c r="R60" s="57"/>
      <c r="S60" s="57"/>
    </row>
    <row r="61" spans="2:19" ht="13.5" thickBot="1" x14ac:dyDescent="0.25">
      <c r="B61" s="17" t="s">
        <v>127</v>
      </c>
      <c r="C61" s="65">
        <v>60000</v>
      </c>
      <c r="D61" s="65">
        <v>9775.64</v>
      </c>
      <c r="E61" s="65">
        <v>34800</v>
      </c>
      <c r="F61" s="53">
        <v>2887.1963999999998</v>
      </c>
      <c r="G61" s="45">
        <v>5932.9056</v>
      </c>
      <c r="H61" s="45">
        <v>1063.06</v>
      </c>
      <c r="I61" s="45">
        <v>0</v>
      </c>
      <c r="J61" s="45">
        <v>0</v>
      </c>
      <c r="K61" s="45">
        <v>0</v>
      </c>
      <c r="L61" s="45">
        <v>37.741100000000003</v>
      </c>
      <c r="M61" s="32">
        <v>0</v>
      </c>
      <c r="N61" s="68">
        <f t="shared" si="0"/>
        <v>9920.9030999999977</v>
      </c>
      <c r="O61" s="71">
        <f t="shared" si="1"/>
        <v>44720.903099999996</v>
      </c>
      <c r="P61" s="58"/>
      <c r="Q61" s="56"/>
      <c r="R61" s="57"/>
      <c r="S61" s="57"/>
    </row>
    <row r="62" spans="2:19" x14ac:dyDescent="0.2">
      <c r="B62" s="15" t="s">
        <v>128</v>
      </c>
      <c r="C62" s="63">
        <v>81810</v>
      </c>
      <c r="D62" s="63"/>
      <c r="E62" s="63">
        <v>45625</v>
      </c>
      <c r="F62" s="52">
        <v>3582.4935</v>
      </c>
      <c r="G62" s="44">
        <v>7361.6728999999996</v>
      </c>
      <c r="H62" s="44">
        <v>7200</v>
      </c>
      <c r="I62" s="44">
        <v>480</v>
      </c>
      <c r="J62" s="44">
        <v>0</v>
      </c>
      <c r="K62" s="44">
        <v>16.8</v>
      </c>
      <c r="L62" s="44">
        <v>46.83</v>
      </c>
      <c r="M62" s="31">
        <v>0</v>
      </c>
      <c r="N62" s="67">
        <f t="shared" si="0"/>
        <v>18687.796400000003</v>
      </c>
      <c r="O62" s="70">
        <f t="shared" si="1"/>
        <v>64312.796400000007</v>
      </c>
      <c r="P62" s="58"/>
      <c r="Q62" s="56"/>
      <c r="R62" s="57"/>
      <c r="S62" s="57"/>
    </row>
    <row r="63" spans="2:19" x14ac:dyDescent="0.2">
      <c r="B63" s="16" t="s">
        <v>149</v>
      </c>
      <c r="C63" s="63"/>
      <c r="D63" s="63">
        <v>41811</v>
      </c>
      <c r="E63" s="63">
        <v>45978.5</v>
      </c>
      <c r="F63" s="115" t="s">
        <v>156</v>
      </c>
      <c r="G63" s="116" t="s">
        <v>156</v>
      </c>
      <c r="H63" s="116" t="s">
        <v>156</v>
      </c>
      <c r="I63" s="116" t="s">
        <v>156</v>
      </c>
      <c r="J63" s="116" t="s">
        <v>156</v>
      </c>
      <c r="K63" s="116" t="s">
        <v>156</v>
      </c>
      <c r="L63" s="116" t="s">
        <v>156</v>
      </c>
      <c r="M63" s="117" t="s">
        <v>156</v>
      </c>
      <c r="N63" s="67">
        <f t="shared" si="0"/>
        <v>0</v>
      </c>
      <c r="O63" s="70">
        <f t="shared" si="1"/>
        <v>45978.5</v>
      </c>
      <c r="P63" s="58"/>
      <c r="Q63" s="56"/>
      <c r="R63" s="57"/>
      <c r="S63" s="57"/>
    </row>
    <row r="64" spans="2:19" x14ac:dyDescent="0.2">
      <c r="B64" s="16" t="s">
        <v>150</v>
      </c>
      <c r="C64" s="63">
        <v>60000</v>
      </c>
      <c r="D64" s="63"/>
      <c r="E64" s="63">
        <v>39687</v>
      </c>
      <c r="F64" s="115">
        <v>2691.51</v>
      </c>
      <c r="G64" s="44">
        <v>1759.16</v>
      </c>
      <c r="H64" s="44">
        <v>4004.4</v>
      </c>
      <c r="I64" s="44">
        <v>0</v>
      </c>
      <c r="J64" s="44">
        <v>0</v>
      </c>
      <c r="K64" s="44">
        <v>105.55</v>
      </c>
      <c r="L64" s="44">
        <v>35.183199999999999</v>
      </c>
      <c r="M64" s="31">
        <v>0</v>
      </c>
      <c r="N64" s="67">
        <f t="shared" si="0"/>
        <v>8595.8031999999985</v>
      </c>
      <c r="O64" s="70">
        <f t="shared" si="1"/>
        <v>48282.803199999995</v>
      </c>
      <c r="P64" s="58"/>
      <c r="Q64" s="56"/>
      <c r="R64" s="57"/>
      <c r="S64" s="57"/>
    </row>
    <row r="65" spans="2:19" x14ac:dyDescent="0.2">
      <c r="B65" s="16" t="s">
        <v>129</v>
      </c>
      <c r="C65" s="63">
        <v>98000</v>
      </c>
      <c r="D65" s="63">
        <v>35260</v>
      </c>
      <c r="E65" s="63">
        <v>41289</v>
      </c>
      <c r="F65" s="115" t="s">
        <v>156</v>
      </c>
      <c r="G65" s="115" t="s">
        <v>156</v>
      </c>
      <c r="H65" s="115" t="s">
        <v>156</v>
      </c>
      <c r="I65" s="115" t="s">
        <v>156</v>
      </c>
      <c r="J65" s="115" t="s">
        <v>156</v>
      </c>
      <c r="K65" s="115" t="s">
        <v>156</v>
      </c>
      <c r="L65" s="115" t="s">
        <v>156</v>
      </c>
      <c r="M65" s="115" t="s">
        <v>156</v>
      </c>
      <c r="N65" s="67">
        <f t="shared" si="0"/>
        <v>0</v>
      </c>
      <c r="O65" s="70">
        <f t="shared" si="1"/>
        <v>41289</v>
      </c>
      <c r="P65" s="58"/>
      <c r="Q65" s="56"/>
      <c r="R65" s="57"/>
      <c r="S65" s="57"/>
    </row>
    <row r="66" spans="2:19" ht="13.5" thickBot="1" x14ac:dyDescent="0.25">
      <c r="B66" s="17" t="s">
        <v>130</v>
      </c>
      <c r="C66" s="65">
        <v>81908.19</v>
      </c>
      <c r="D66" s="65">
        <v>33013</v>
      </c>
      <c r="E66" s="65">
        <v>34390</v>
      </c>
      <c r="F66" s="118" t="s">
        <v>156</v>
      </c>
      <c r="G66" s="119" t="s">
        <v>156</v>
      </c>
      <c r="H66" s="119" t="s">
        <v>156</v>
      </c>
      <c r="I66" s="119" t="s">
        <v>156</v>
      </c>
      <c r="J66" s="119" t="s">
        <v>156</v>
      </c>
      <c r="K66" s="119" t="s">
        <v>156</v>
      </c>
      <c r="L66" s="119" t="s">
        <v>156</v>
      </c>
      <c r="M66" s="120" t="s">
        <v>156</v>
      </c>
      <c r="N66" s="68">
        <f t="shared" si="0"/>
        <v>0</v>
      </c>
      <c r="O66" s="71">
        <f t="shared" si="1"/>
        <v>34390</v>
      </c>
      <c r="P66" s="58"/>
      <c r="Q66" s="56"/>
      <c r="R66" s="57"/>
      <c r="S66" s="57"/>
    </row>
    <row r="67" spans="2:19" x14ac:dyDescent="0.2">
      <c r="B67" s="15" t="s">
        <v>131</v>
      </c>
      <c r="C67" s="63">
        <v>100000</v>
      </c>
      <c r="D67" s="63"/>
      <c r="E67" s="63">
        <v>38433</v>
      </c>
      <c r="F67" s="52">
        <v>3399.7800999999999</v>
      </c>
      <c r="G67" s="44">
        <v>6986.2147999999997</v>
      </c>
      <c r="H67" s="44">
        <v>12347</v>
      </c>
      <c r="I67" s="44">
        <v>805</v>
      </c>
      <c r="J67" s="44">
        <v>71.099999999999994</v>
      </c>
      <c r="K67" s="44">
        <v>186.65</v>
      </c>
      <c r="L67" s="44">
        <v>0</v>
      </c>
      <c r="M67" s="31">
        <v>164.43</v>
      </c>
      <c r="N67" s="67">
        <f t="shared" si="0"/>
        <v>23960.174899999998</v>
      </c>
      <c r="O67" s="70">
        <f t="shared" si="1"/>
        <v>62393.174899999998</v>
      </c>
      <c r="P67" s="58"/>
      <c r="Q67" s="56"/>
      <c r="R67" s="57"/>
      <c r="S67" s="57"/>
    </row>
    <row r="68" spans="2:19" x14ac:dyDescent="0.2">
      <c r="B68" s="16" t="s">
        <v>132</v>
      </c>
      <c r="C68" s="63"/>
      <c r="D68" s="63"/>
      <c r="E68" s="63">
        <v>40269.5</v>
      </c>
      <c r="F68" s="52">
        <v>3080.6167999999998</v>
      </c>
      <c r="G68" s="44">
        <v>6330.3653999999997</v>
      </c>
      <c r="H68" s="44">
        <v>8851</v>
      </c>
      <c r="I68" s="44">
        <v>0</v>
      </c>
      <c r="J68" s="44">
        <v>43</v>
      </c>
      <c r="K68" s="44">
        <v>282</v>
      </c>
      <c r="L68" s="44">
        <v>40.269500000000001</v>
      </c>
      <c r="M68" s="31">
        <v>0</v>
      </c>
      <c r="N68" s="67">
        <f t="shared" si="0"/>
        <v>18627.251699999997</v>
      </c>
      <c r="O68" s="70">
        <f t="shared" si="1"/>
        <v>58896.751699999993</v>
      </c>
      <c r="P68" s="58"/>
      <c r="Q68" s="56"/>
      <c r="R68" s="57"/>
      <c r="S68" s="57"/>
    </row>
    <row r="69" spans="2:19" x14ac:dyDescent="0.2">
      <c r="B69" s="16" t="s">
        <v>133</v>
      </c>
      <c r="C69" s="63">
        <v>69000</v>
      </c>
      <c r="D69" s="63">
        <v>34200</v>
      </c>
      <c r="E69" s="63">
        <v>35750</v>
      </c>
      <c r="F69" s="52">
        <v>2798.2597999999998</v>
      </c>
      <c r="G69" s="44">
        <v>6518.3</v>
      </c>
      <c r="H69" s="44">
        <v>6418.54</v>
      </c>
      <c r="I69" s="44">
        <v>0</v>
      </c>
      <c r="J69" s="44">
        <v>0</v>
      </c>
      <c r="K69" s="44">
        <v>91.84</v>
      </c>
      <c r="L69" s="44">
        <v>171.6</v>
      </c>
      <c r="M69" s="31">
        <v>0</v>
      </c>
      <c r="N69" s="67">
        <f t="shared" si="0"/>
        <v>15998.5398</v>
      </c>
      <c r="O69" s="70">
        <f t="shared" si="1"/>
        <v>51748.539799999999</v>
      </c>
      <c r="P69" s="58"/>
      <c r="Q69" s="56"/>
      <c r="R69" s="57"/>
      <c r="S69" s="57"/>
    </row>
    <row r="70" spans="2:19" x14ac:dyDescent="0.2">
      <c r="B70" s="16" t="s">
        <v>40</v>
      </c>
      <c r="C70" s="63">
        <v>47000</v>
      </c>
      <c r="D70" s="63">
        <v>34200</v>
      </c>
      <c r="E70" s="63">
        <v>34600</v>
      </c>
      <c r="F70" s="52">
        <v>3121.2</v>
      </c>
      <c r="G70" s="44">
        <v>7270.56</v>
      </c>
      <c r="H70" s="44">
        <v>4235.79</v>
      </c>
      <c r="I70" s="44">
        <v>0</v>
      </c>
      <c r="J70" s="44">
        <v>0</v>
      </c>
      <c r="K70" s="44">
        <v>91.84</v>
      </c>
      <c r="L70" s="44">
        <v>572</v>
      </c>
      <c r="M70" s="31">
        <v>0</v>
      </c>
      <c r="N70" s="67">
        <f t="shared" si="0"/>
        <v>15291.39</v>
      </c>
      <c r="O70" s="70">
        <f t="shared" si="1"/>
        <v>49891.39</v>
      </c>
      <c r="P70" s="58"/>
      <c r="Q70" s="56"/>
      <c r="R70" s="57"/>
      <c r="S70" s="57"/>
    </row>
    <row r="71" spans="2:19" ht="13.5" thickBot="1" x14ac:dyDescent="0.25">
      <c r="B71" s="17" t="s">
        <v>134</v>
      </c>
      <c r="C71" s="65">
        <v>64597.69</v>
      </c>
      <c r="D71" s="65">
        <v>33131</v>
      </c>
      <c r="E71" s="65">
        <v>36152.555</v>
      </c>
      <c r="F71" s="59">
        <v>2926.8525</v>
      </c>
      <c r="G71" s="47">
        <v>209.23</v>
      </c>
      <c r="H71" s="47">
        <v>8700</v>
      </c>
      <c r="I71" s="47">
        <v>0</v>
      </c>
      <c r="J71" s="47">
        <v>0</v>
      </c>
      <c r="K71" s="47">
        <v>99.46</v>
      </c>
      <c r="L71" s="47">
        <v>1058.6400000000001</v>
      </c>
      <c r="M71" s="48">
        <v>0</v>
      </c>
      <c r="N71" s="68">
        <f t="shared" si="0"/>
        <v>12994.182499999999</v>
      </c>
      <c r="O71" s="71">
        <f t="shared" si="1"/>
        <v>49146.737500000003</v>
      </c>
      <c r="P71" s="58"/>
      <c r="Q71" s="56"/>
      <c r="R71" s="57"/>
      <c r="S71" s="57"/>
    </row>
    <row r="72" spans="2:19" x14ac:dyDescent="0.2">
      <c r="B72" s="15" t="s">
        <v>135</v>
      </c>
      <c r="C72" s="63">
        <v>81500</v>
      </c>
      <c r="D72" s="63">
        <v>33400</v>
      </c>
      <c r="E72" s="63">
        <v>34400</v>
      </c>
      <c r="F72" s="52">
        <v>2699.9029999999998</v>
      </c>
      <c r="G72" s="44">
        <v>3176.36</v>
      </c>
      <c r="H72" s="44">
        <v>9184.2199999999993</v>
      </c>
      <c r="I72" s="44">
        <v>0</v>
      </c>
      <c r="J72" s="44">
        <v>73.5</v>
      </c>
      <c r="K72" s="44">
        <v>102.35</v>
      </c>
      <c r="L72" s="44">
        <v>141.16999999999999</v>
      </c>
      <c r="M72" s="31">
        <v>84.52</v>
      </c>
      <c r="N72" s="67">
        <f t="shared" si="0"/>
        <v>15462.023000000001</v>
      </c>
      <c r="O72" s="70">
        <f t="shared" ref="O72:O82" si="2">SUM(E72+N72)</f>
        <v>49862.023000000001</v>
      </c>
      <c r="P72" s="58"/>
      <c r="Q72" s="56"/>
      <c r="R72" s="57"/>
      <c r="S72" s="57"/>
    </row>
    <row r="73" spans="2:19" x14ac:dyDescent="0.2">
      <c r="B73" s="16" t="s">
        <v>136</v>
      </c>
      <c r="C73" s="63">
        <v>87500</v>
      </c>
      <c r="D73" s="63">
        <v>33734</v>
      </c>
      <c r="E73" s="63">
        <v>40630.67</v>
      </c>
      <c r="F73" s="52">
        <v>3144.2701000000002</v>
      </c>
      <c r="G73" s="44">
        <v>2466.09</v>
      </c>
      <c r="H73" s="44">
        <v>11052.84</v>
      </c>
      <c r="I73" s="44">
        <v>403.2</v>
      </c>
      <c r="J73" s="44">
        <v>54.25</v>
      </c>
      <c r="K73" s="44">
        <v>96.11</v>
      </c>
      <c r="L73" s="44">
        <v>0</v>
      </c>
      <c r="M73" s="31">
        <v>69.87</v>
      </c>
      <c r="N73" s="67">
        <f t="shared" si="0"/>
        <v>17286.630100000002</v>
      </c>
      <c r="O73" s="70">
        <f t="shared" si="2"/>
        <v>57917.3001</v>
      </c>
      <c r="P73" s="58"/>
      <c r="Q73" s="56"/>
      <c r="R73" s="57"/>
      <c r="S73" s="57"/>
    </row>
    <row r="74" spans="2:19" x14ac:dyDescent="0.2">
      <c r="B74" s="16" t="s">
        <v>151</v>
      </c>
      <c r="C74" s="63">
        <v>55722.36</v>
      </c>
      <c r="D74" s="63">
        <v>31000</v>
      </c>
      <c r="E74" s="63">
        <v>38415.449999999997</v>
      </c>
      <c r="F74" s="52">
        <v>3146.5030999999999</v>
      </c>
      <c r="G74" s="44">
        <v>6465.7555000000002</v>
      </c>
      <c r="H74" s="44">
        <v>13212</v>
      </c>
      <c r="I74" s="44">
        <v>972</v>
      </c>
      <c r="J74" s="44">
        <v>0</v>
      </c>
      <c r="K74" s="44">
        <v>0</v>
      </c>
      <c r="L74" s="44">
        <v>41.130800000000001</v>
      </c>
      <c r="M74" s="31">
        <v>0</v>
      </c>
      <c r="N74" s="67">
        <f t="shared" si="0"/>
        <v>23837.3894</v>
      </c>
      <c r="O74" s="70">
        <f t="shared" si="2"/>
        <v>62252.839399999997</v>
      </c>
      <c r="P74" s="58"/>
      <c r="Q74" s="56"/>
      <c r="R74" s="57"/>
      <c r="S74" s="57"/>
    </row>
    <row r="75" spans="2:19" x14ac:dyDescent="0.2">
      <c r="B75" s="16" t="s">
        <v>137</v>
      </c>
      <c r="C75" s="63">
        <v>62826</v>
      </c>
      <c r="D75" s="63"/>
      <c r="E75" s="63">
        <v>42469</v>
      </c>
      <c r="F75" s="52">
        <v>3377.3319000000001</v>
      </c>
      <c r="G75" s="44">
        <v>6940.0860000000002</v>
      </c>
      <c r="H75" s="44">
        <v>8716</v>
      </c>
      <c r="I75" s="44">
        <v>0</v>
      </c>
      <c r="J75" s="44">
        <v>0</v>
      </c>
      <c r="K75" s="44">
        <v>1073</v>
      </c>
      <c r="L75" s="44">
        <v>44.148099999999999</v>
      </c>
      <c r="M75" s="31">
        <v>0</v>
      </c>
      <c r="N75" s="67">
        <f t="shared" si="0"/>
        <v>20150.565999999999</v>
      </c>
      <c r="O75" s="70">
        <f t="shared" si="2"/>
        <v>62619.565999999999</v>
      </c>
      <c r="P75" s="58"/>
      <c r="Q75" s="56"/>
      <c r="R75" s="57"/>
      <c r="S75" s="57"/>
    </row>
    <row r="76" spans="2:19" ht="13.5" thickBot="1" x14ac:dyDescent="0.25">
      <c r="B76" s="17" t="s">
        <v>152</v>
      </c>
      <c r="C76" s="65">
        <v>69934.84</v>
      </c>
      <c r="D76" s="65"/>
      <c r="E76" s="65">
        <v>49101.82</v>
      </c>
      <c r="F76" s="59">
        <v>3518.105</v>
      </c>
      <c r="G76" s="47">
        <v>7229.3608000000004</v>
      </c>
      <c r="H76" s="47">
        <v>13613.8</v>
      </c>
      <c r="I76" s="47">
        <v>1368.02</v>
      </c>
      <c r="J76" s="47">
        <v>0</v>
      </c>
      <c r="K76" s="47">
        <v>0</v>
      </c>
      <c r="L76" s="47">
        <v>45.988300000000002</v>
      </c>
      <c r="M76" s="48">
        <v>0</v>
      </c>
      <c r="N76" s="68">
        <f t="shared" si="0"/>
        <v>25775.274100000002</v>
      </c>
      <c r="O76" s="71">
        <f t="shared" si="2"/>
        <v>74877.094100000002</v>
      </c>
      <c r="P76" s="58"/>
      <c r="Q76" s="56"/>
      <c r="R76" s="57"/>
      <c r="S76" s="57"/>
    </row>
    <row r="77" spans="2:19" x14ac:dyDescent="0.2">
      <c r="B77" s="16" t="s">
        <v>138</v>
      </c>
      <c r="C77" s="63"/>
      <c r="D77" s="63">
        <v>41471</v>
      </c>
      <c r="E77" s="63">
        <v>50282</v>
      </c>
      <c r="F77" s="52">
        <v>2425.1051000000002</v>
      </c>
      <c r="G77" s="44">
        <v>4983.3531999999996</v>
      </c>
      <c r="H77" s="44">
        <v>0</v>
      </c>
      <c r="I77" s="44">
        <v>0</v>
      </c>
      <c r="J77" s="44">
        <v>0</v>
      </c>
      <c r="K77" s="44">
        <v>0</v>
      </c>
      <c r="L77" s="44">
        <v>31.700700000000001</v>
      </c>
      <c r="M77" s="31">
        <v>0</v>
      </c>
      <c r="N77" s="67">
        <f t="shared" ref="N77:N82" si="3">SUM(F77:M77)</f>
        <v>7440.1590000000006</v>
      </c>
      <c r="O77" s="70">
        <f t="shared" si="2"/>
        <v>57722.159</v>
      </c>
      <c r="P77" s="58"/>
      <c r="Q77" s="56"/>
      <c r="R77" s="57"/>
      <c r="S77" s="57"/>
    </row>
    <row r="78" spans="2:19" x14ac:dyDescent="0.2">
      <c r="B78" s="16" t="s">
        <v>139</v>
      </c>
      <c r="C78" s="63">
        <v>40000</v>
      </c>
      <c r="D78" s="63">
        <v>29000</v>
      </c>
      <c r="E78" s="63">
        <v>30000</v>
      </c>
      <c r="F78" s="52">
        <v>2941.8717999999999</v>
      </c>
      <c r="G78" s="44">
        <v>2691.91</v>
      </c>
      <c r="H78" s="44">
        <v>4631</v>
      </c>
      <c r="I78" s="44">
        <v>900</v>
      </c>
      <c r="J78" s="44">
        <v>32.76</v>
      </c>
      <c r="K78" s="44">
        <v>111.52</v>
      </c>
      <c r="L78" s="44">
        <v>153.82</v>
      </c>
      <c r="M78" s="31">
        <v>0</v>
      </c>
      <c r="N78" s="67">
        <f t="shared" si="3"/>
        <v>11462.881800000001</v>
      </c>
      <c r="O78" s="70">
        <f t="shared" si="2"/>
        <v>41462.881800000003</v>
      </c>
      <c r="P78" s="58"/>
      <c r="Q78" s="56"/>
      <c r="R78" s="57"/>
      <c r="S78" s="57"/>
    </row>
    <row r="79" spans="2:19" x14ac:dyDescent="0.2">
      <c r="B79" s="16" t="s">
        <v>153</v>
      </c>
      <c r="C79" s="63">
        <v>80000</v>
      </c>
      <c r="D79" s="63">
        <v>34250</v>
      </c>
      <c r="E79" s="63">
        <v>35000</v>
      </c>
      <c r="F79" s="52">
        <v>2622.8461000000002</v>
      </c>
      <c r="G79" s="44">
        <v>5389.6916000000001</v>
      </c>
      <c r="H79" s="44">
        <v>6000</v>
      </c>
      <c r="I79" s="44">
        <v>0</v>
      </c>
      <c r="J79" s="44">
        <v>0</v>
      </c>
      <c r="K79" s="44">
        <v>111.27</v>
      </c>
      <c r="L79" s="44">
        <v>152</v>
      </c>
      <c r="M79" s="31">
        <v>0</v>
      </c>
      <c r="N79" s="67">
        <f t="shared" si="3"/>
        <v>14275.807700000001</v>
      </c>
      <c r="O79" s="70">
        <f t="shared" si="2"/>
        <v>49275.807700000005</v>
      </c>
      <c r="P79" s="58"/>
      <c r="Q79" s="56"/>
      <c r="R79" s="57"/>
      <c r="S79" s="57"/>
    </row>
    <row r="80" spans="2:19" x14ac:dyDescent="0.2">
      <c r="B80" s="16" t="s">
        <v>154</v>
      </c>
      <c r="C80" s="63">
        <v>74615.38</v>
      </c>
      <c r="D80" s="63">
        <v>30000</v>
      </c>
      <c r="E80" s="63">
        <v>34622</v>
      </c>
      <c r="F80" s="115" t="s">
        <v>156</v>
      </c>
      <c r="G80" s="116" t="s">
        <v>156</v>
      </c>
      <c r="H80" s="116" t="s">
        <v>156</v>
      </c>
      <c r="I80" s="116" t="s">
        <v>156</v>
      </c>
      <c r="J80" s="116" t="s">
        <v>156</v>
      </c>
      <c r="K80" s="116" t="s">
        <v>156</v>
      </c>
      <c r="L80" s="116" t="s">
        <v>156</v>
      </c>
      <c r="M80" s="117" t="s">
        <v>156</v>
      </c>
      <c r="N80" s="67">
        <f t="shared" si="3"/>
        <v>0</v>
      </c>
      <c r="O80" s="70">
        <f t="shared" si="2"/>
        <v>34622</v>
      </c>
      <c r="P80" s="58"/>
      <c r="Q80" s="56"/>
      <c r="R80" s="57"/>
      <c r="S80" s="57"/>
    </row>
    <row r="81" spans="2:19" x14ac:dyDescent="0.2">
      <c r="B81" s="16" t="s">
        <v>140</v>
      </c>
      <c r="C81" s="63">
        <v>55000</v>
      </c>
      <c r="D81" s="63">
        <v>28534.37</v>
      </c>
      <c r="E81" s="63">
        <v>31200</v>
      </c>
      <c r="F81" s="52">
        <v>2772.8213000000001</v>
      </c>
      <c r="G81" s="44">
        <v>1048</v>
      </c>
      <c r="H81" s="44">
        <v>8700</v>
      </c>
      <c r="I81" s="44">
        <v>0</v>
      </c>
      <c r="J81" s="44">
        <v>0</v>
      </c>
      <c r="K81" s="44">
        <v>94.16</v>
      </c>
      <c r="L81" s="44">
        <v>814.63</v>
      </c>
      <c r="M81" s="31">
        <v>0</v>
      </c>
      <c r="N81" s="67">
        <f t="shared" si="3"/>
        <v>13429.611299999999</v>
      </c>
      <c r="O81" s="70">
        <f t="shared" si="2"/>
        <v>44629.611299999997</v>
      </c>
      <c r="P81" s="58"/>
      <c r="Q81" s="56"/>
      <c r="R81" s="57"/>
      <c r="S81" s="57"/>
    </row>
    <row r="82" spans="2:19" ht="13.5" thickBot="1" x14ac:dyDescent="0.25">
      <c r="B82" s="17" t="s">
        <v>41</v>
      </c>
      <c r="C82" s="65">
        <v>84500</v>
      </c>
      <c r="D82" s="65">
        <v>33956</v>
      </c>
      <c r="E82" s="65">
        <v>35176.5</v>
      </c>
      <c r="F82" s="52">
        <v>3401.2910000000002</v>
      </c>
      <c r="G82" s="44">
        <v>1778.45</v>
      </c>
      <c r="H82" s="44">
        <v>7800</v>
      </c>
      <c r="I82" s="44">
        <v>0</v>
      </c>
      <c r="J82" s="44">
        <v>0</v>
      </c>
      <c r="K82" s="44">
        <v>0</v>
      </c>
      <c r="L82" s="44">
        <v>44.461300000000001</v>
      </c>
      <c r="M82" s="31">
        <v>0</v>
      </c>
      <c r="N82" s="68">
        <f t="shared" si="3"/>
        <v>13024.202300000001</v>
      </c>
      <c r="O82" s="71">
        <f t="shared" si="2"/>
        <v>48200.702300000004</v>
      </c>
      <c r="P82" s="58"/>
      <c r="Q82" s="56"/>
      <c r="R82" s="57"/>
      <c r="S82" s="57"/>
    </row>
    <row r="83" spans="2:19" ht="13.5" thickBot="1" x14ac:dyDescent="0.25">
      <c r="B83" s="13" t="s">
        <v>28</v>
      </c>
      <c r="C83" s="64">
        <v>65000</v>
      </c>
      <c r="D83" s="64">
        <v>33000</v>
      </c>
      <c r="E83" s="64">
        <v>35000</v>
      </c>
      <c r="F83" s="64">
        <f>MEDIAN(F7:F81)</f>
        <v>2771.3456000000001</v>
      </c>
      <c r="G83" s="54">
        <f t="shared" ref="G83:O83" si="4">MEDIAN(G7:G81)</f>
        <v>2327</v>
      </c>
      <c r="H83" s="54">
        <f t="shared" si="4"/>
        <v>7053.38</v>
      </c>
      <c r="I83" s="54">
        <f t="shared" si="4"/>
        <v>0</v>
      </c>
      <c r="J83" s="54">
        <f t="shared" si="4"/>
        <v>0</v>
      </c>
      <c r="K83" s="54">
        <f t="shared" si="4"/>
        <v>102.5</v>
      </c>
      <c r="L83" s="54">
        <f t="shared" si="4"/>
        <v>99.05</v>
      </c>
      <c r="M83" s="54">
        <f t="shared" si="4"/>
        <v>0</v>
      </c>
      <c r="N83" s="73">
        <f t="shared" si="4"/>
        <v>11765.366599999999</v>
      </c>
      <c r="O83" s="121">
        <f t="shared" si="4"/>
        <v>46788.824999999997</v>
      </c>
      <c r="P83" s="58"/>
      <c r="Q83" s="56"/>
      <c r="R83" s="57"/>
      <c r="S83" s="57"/>
    </row>
    <row r="84" spans="2:19" ht="13.5" customHeight="1" x14ac:dyDescent="0.2"/>
    <row r="85" spans="2:19" x14ac:dyDescent="0.2">
      <c r="B85" s="18" t="s">
        <v>34</v>
      </c>
    </row>
    <row r="86" spans="2:19" x14ac:dyDescent="0.2">
      <c r="B86" s="14" t="s">
        <v>35</v>
      </c>
    </row>
    <row r="87" spans="2:19" x14ac:dyDescent="0.2">
      <c r="B87" s="19" t="s">
        <v>36</v>
      </c>
    </row>
    <row r="88" spans="2:19" x14ac:dyDescent="0.2">
      <c r="B88" s="37" t="s">
        <v>157</v>
      </c>
    </row>
  </sheetData>
  <mergeCells count="5">
    <mergeCell ref="B1:O1"/>
    <mergeCell ref="B2:O2"/>
    <mergeCell ref="B4:B5"/>
    <mergeCell ref="C4:C5"/>
    <mergeCell ref="D4:O4"/>
  </mergeCells>
  <phoneticPr fontId="2" type="noConversion"/>
  <printOptions horizontalCentered="1"/>
  <pageMargins left="0.25" right="0.25" top="0.4" bottom="0.75" header="0.3" footer="0.3"/>
  <pageSetup scale="45" orientation="landscape" r:id="rId1"/>
  <headerFooter alignWithMargins="0">
    <oddFooter xml:space="preserve">&amp;L&amp;8DATA SOURCE:
Columns [1] to [3]:  CACTUS Database, June 30, 2010
Columns [4] to [11]:  Year-End Web Survey FY 2010
COMPILED BY:  Data and Statistics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2"/>
  <sheetViews>
    <sheetView topLeftCell="A31" workbookViewId="0">
      <selection activeCell="A61" sqref="A61"/>
    </sheetView>
  </sheetViews>
  <sheetFormatPr defaultRowHeight="12.75" x14ac:dyDescent="0.2"/>
  <sheetData>
    <row r="1" spans="1:1" x14ac:dyDescent="0.2">
      <c r="A1" s="46">
        <v>0</v>
      </c>
    </row>
    <row r="2" spans="1:1" x14ac:dyDescent="0.2">
      <c r="A2" s="44">
        <v>0</v>
      </c>
    </row>
    <row r="3" spans="1:1" x14ac:dyDescent="0.2">
      <c r="A3" s="44">
        <v>0</v>
      </c>
    </row>
    <row r="4" spans="1:1" x14ac:dyDescent="0.2">
      <c r="A4" s="44">
        <v>0</v>
      </c>
    </row>
    <row r="5" spans="1:1" ht="13.5" thickBot="1" x14ac:dyDescent="0.25">
      <c r="A5" s="45">
        <v>0</v>
      </c>
    </row>
    <row r="6" spans="1:1" x14ac:dyDescent="0.2">
      <c r="A6" s="44">
        <v>0</v>
      </c>
    </row>
    <row r="7" spans="1:1" x14ac:dyDescent="0.2">
      <c r="A7" s="44">
        <v>0</v>
      </c>
    </row>
    <row r="8" spans="1:1" x14ac:dyDescent="0.2">
      <c r="A8" s="44">
        <v>0</v>
      </c>
    </row>
    <row r="9" spans="1:1" x14ac:dyDescent="0.2">
      <c r="A9" s="44">
        <v>0</v>
      </c>
    </row>
    <row r="10" spans="1:1" ht="13.5" thickBot="1" x14ac:dyDescent="0.25">
      <c r="A10" s="45">
        <v>0</v>
      </c>
    </row>
    <row r="11" spans="1:1" x14ac:dyDescent="0.2">
      <c r="A11" s="44">
        <v>0</v>
      </c>
    </row>
    <row r="12" spans="1:1" x14ac:dyDescent="0.2">
      <c r="A12" s="44">
        <v>0</v>
      </c>
    </row>
    <row r="13" spans="1:1" x14ac:dyDescent="0.2">
      <c r="A13" s="44">
        <v>0</v>
      </c>
    </row>
    <row r="14" spans="1:1" x14ac:dyDescent="0.2">
      <c r="A14" s="44">
        <v>0</v>
      </c>
    </row>
    <row r="15" spans="1:1" ht="13.5" thickBot="1" x14ac:dyDescent="0.25">
      <c r="A15" s="45">
        <v>0</v>
      </c>
    </row>
    <row r="16" spans="1:1" x14ac:dyDescent="0.2">
      <c r="A16" s="44">
        <v>0</v>
      </c>
    </row>
    <row r="17" spans="1:1" x14ac:dyDescent="0.2">
      <c r="A17" s="44">
        <v>0</v>
      </c>
    </row>
    <row r="18" spans="1:1" x14ac:dyDescent="0.2">
      <c r="A18" s="44">
        <v>0</v>
      </c>
    </row>
    <row r="19" spans="1:1" x14ac:dyDescent="0.2">
      <c r="A19" s="44">
        <v>0</v>
      </c>
    </row>
    <row r="20" spans="1:1" x14ac:dyDescent="0.2">
      <c r="A20" s="47">
        <v>0</v>
      </c>
    </row>
    <row r="21" spans="1:1" x14ac:dyDescent="0.2">
      <c r="A21" s="44">
        <v>0</v>
      </c>
    </row>
    <row r="22" spans="1:1" x14ac:dyDescent="0.2">
      <c r="A22" s="44">
        <v>0</v>
      </c>
    </row>
    <row r="23" spans="1:1" x14ac:dyDescent="0.2">
      <c r="A23" s="44">
        <v>0</v>
      </c>
    </row>
    <row r="24" spans="1:1" x14ac:dyDescent="0.2">
      <c r="A24" s="44">
        <v>0</v>
      </c>
    </row>
    <row r="25" spans="1:1" ht="13.5" thickBot="1" x14ac:dyDescent="0.25">
      <c r="A25" s="45">
        <v>0</v>
      </c>
    </row>
    <row r="26" spans="1:1" x14ac:dyDescent="0.2">
      <c r="A26" s="44">
        <v>0</v>
      </c>
    </row>
    <row r="27" spans="1:1" x14ac:dyDescent="0.2">
      <c r="A27" s="44">
        <v>0</v>
      </c>
    </row>
    <row r="28" spans="1:1" x14ac:dyDescent="0.2">
      <c r="A28" s="44">
        <v>0</v>
      </c>
    </row>
    <row r="29" spans="1:1" x14ac:dyDescent="0.2">
      <c r="A29" s="44">
        <v>0</v>
      </c>
    </row>
    <row r="30" spans="1:1" ht="13.5" thickBot="1" x14ac:dyDescent="0.25">
      <c r="A30" s="45">
        <v>0</v>
      </c>
    </row>
    <row r="31" spans="1:1" x14ac:dyDescent="0.2">
      <c r="A31" s="44">
        <v>0</v>
      </c>
    </row>
    <row r="32" spans="1:1" x14ac:dyDescent="0.2">
      <c r="A32" s="44">
        <v>0</v>
      </c>
    </row>
    <row r="33" spans="1:1" x14ac:dyDescent="0.2">
      <c r="A33" s="44">
        <v>0</v>
      </c>
    </row>
    <row r="34" spans="1:1" x14ac:dyDescent="0.2">
      <c r="A34" s="44">
        <v>0</v>
      </c>
    </row>
    <row r="35" spans="1:1" ht="13.5" thickBot="1" x14ac:dyDescent="0.25">
      <c r="A35" s="45">
        <v>0</v>
      </c>
    </row>
    <row r="36" spans="1:1" x14ac:dyDescent="0.2">
      <c r="A36" s="44">
        <v>0</v>
      </c>
    </row>
    <row r="37" spans="1:1" x14ac:dyDescent="0.2">
      <c r="A37" s="44">
        <v>0</v>
      </c>
    </row>
    <row r="38" spans="1:1" x14ac:dyDescent="0.2">
      <c r="A38" s="44">
        <v>0</v>
      </c>
    </row>
    <row r="39" spans="1:1" x14ac:dyDescent="0.2">
      <c r="A39" s="44">
        <v>0</v>
      </c>
    </row>
    <row r="40" spans="1:1" ht="13.5" thickBot="1" x14ac:dyDescent="0.25">
      <c r="A40" s="45">
        <v>0</v>
      </c>
    </row>
    <row r="41" spans="1:1" x14ac:dyDescent="0.2">
      <c r="A41" s="44">
        <v>138.28</v>
      </c>
    </row>
    <row r="42" spans="1:1" x14ac:dyDescent="0.2">
      <c r="A42" s="44">
        <v>167.4</v>
      </c>
    </row>
    <row r="43" spans="1:1" x14ac:dyDescent="0.2">
      <c r="A43" s="44">
        <v>171</v>
      </c>
    </row>
    <row r="44" spans="1:1" x14ac:dyDescent="0.2">
      <c r="A44" s="44">
        <v>242.4</v>
      </c>
    </row>
    <row r="45" spans="1:1" ht="13.5" thickBot="1" x14ac:dyDescent="0.25">
      <c r="A45" s="45">
        <v>299</v>
      </c>
    </row>
    <row r="46" spans="1:1" x14ac:dyDescent="0.2">
      <c r="A46" s="44">
        <v>388</v>
      </c>
    </row>
    <row r="47" spans="1:1" x14ac:dyDescent="0.2">
      <c r="A47" s="44">
        <v>403.2</v>
      </c>
    </row>
    <row r="48" spans="1:1" x14ac:dyDescent="0.2">
      <c r="A48" s="44">
        <v>480</v>
      </c>
    </row>
    <row r="49" spans="1:1" x14ac:dyDescent="0.2">
      <c r="A49" s="44">
        <v>480</v>
      </c>
    </row>
    <row r="50" spans="1:1" ht="13.5" thickBot="1" x14ac:dyDescent="0.25">
      <c r="A50" s="45">
        <v>489.23</v>
      </c>
    </row>
    <row r="51" spans="1:1" x14ac:dyDescent="0.2">
      <c r="A51" s="44">
        <v>502</v>
      </c>
    </row>
    <row r="52" spans="1:1" x14ac:dyDescent="0.2">
      <c r="A52" s="44">
        <v>575.55999999999995</v>
      </c>
    </row>
    <row r="53" spans="1:1" x14ac:dyDescent="0.2">
      <c r="A53" s="44">
        <v>590.72</v>
      </c>
    </row>
    <row r="54" spans="1:1" x14ac:dyDescent="0.2">
      <c r="A54" s="44">
        <v>600</v>
      </c>
    </row>
    <row r="55" spans="1:1" ht="13.5" thickBot="1" x14ac:dyDescent="0.25">
      <c r="A55" s="45">
        <v>763.38</v>
      </c>
    </row>
    <row r="56" spans="1:1" x14ac:dyDescent="0.2">
      <c r="A56" s="44">
        <v>773.56</v>
      </c>
    </row>
    <row r="57" spans="1:1" x14ac:dyDescent="0.2">
      <c r="A57" s="44">
        <v>805</v>
      </c>
    </row>
    <row r="58" spans="1:1" x14ac:dyDescent="0.2">
      <c r="A58" s="44">
        <v>807.23</v>
      </c>
    </row>
    <row r="59" spans="1:1" x14ac:dyDescent="0.2">
      <c r="A59" s="44">
        <v>881.76</v>
      </c>
    </row>
    <row r="60" spans="1:1" ht="21" customHeight="1" thickBot="1" x14ac:dyDescent="0.25">
      <c r="A60" s="45">
        <v>900</v>
      </c>
    </row>
    <row r="61" spans="1:1" x14ac:dyDescent="0.2">
      <c r="A61" s="44">
        <v>924.02</v>
      </c>
    </row>
    <row r="62" spans="1:1" x14ac:dyDescent="0.2">
      <c r="A62" s="44">
        <v>970</v>
      </c>
    </row>
    <row r="63" spans="1:1" x14ac:dyDescent="0.2">
      <c r="A63" s="44">
        <v>972</v>
      </c>
    </row>
    <row r="64" spans="1:1" x14ac:dyDescent="0.2">
      <c r="A64" s="44">
        <v>1368.02</v>
      </c>
    </row>
    <row r="65" spans="1:1" x14ac:dyDescent="0.2">
      <c r="A65" s="47">
        <v>1691.4</v>
      </c>
    </row>
    <row r="66" spans="1:1" x14ac:dyDescent="0.2">
      <c r="A66" s="44"/>
    </row>
    <row r="67" spans="1:1" x14ac:dyDescent="0.2">
      <c r="A67" s="44"/>
    </row>
    <row r="68" spans="1:1" x14ac:dyDescent="0.2">
      <c r="A68" s="44"/>
    </row>
    <row r="69" spans="1:1" x14ac:dyDescent="0.2">
      <c r="A69" s="44"/>
    </row>
    <row r="70" spans="1:1" x14ac:dyDescent="0.2">
      <c r="A70" s="47"/>
    </row>
    <row r="71" spans="1:1" x14ac:dyDescent="0.2">
      <c r="A71" s="44"/>
    </row>
    <row r="72" spans="1:1" x14ac:dyDescent="0.2">
      <c r="A72" s="44"/>
    </row>
  </sheetData>
  <sortState ref="A2:A7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Districts</vt:lpstr>
      <vt:lpstr>Charters</vt:lpstr>
      <vt:lpstr>Sheet1</vt:lpstr>
      <vt:lpstr>Charters!Print_Area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Crawford, Paul</cp:lastModifiedBy>
  <cp:lastPrinted>2011-11-29T16:35:34Z</cp:lastPrinted>
  <dcterms:created xsi:type="dcterms:W3CDTF">2005-08-16T15:17:39Z</dcterms:created>
  <dcterms:modified xsi:type="dcterms:W3CDTF">2011-12-12T17:27:08Z</dcterms:modified>
</cp:coreProperties>
</file>