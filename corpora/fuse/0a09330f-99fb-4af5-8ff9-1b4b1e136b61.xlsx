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528" windowWidth="19428" windowHeight="9108"/>
  </bookViews>
  <sheets>
    <sheet name="Weekly Menu 6-8 (2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P23" i="4" l="1"/>
  <c r="N14" i="4" l="1"/>
  <c r="N23" i="4"/>
  <c r="P14" i="4" l="1"/>
  <c r="Q14" i="4" s="1"/>
  <c r="N13" i="4" l="1"/>
  <c r="N21" i="4" l="1"/>
  <c r="Q21" i="4" s="1"/>
  <c r="N25" i="4"/>
  <c r="Q25" i="4" s="1"/>
  <c r="N6" i="4" l="1"/>
  <c r="P6" i="4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3" i="4"/>
  <c r="Q13" i="4" s="1"/>
  <c r="D18" i="4"/>
  <c r="F18" i="4"/>
  <c r="H18" i="4"/>
  <c r="J18" i="4"/>
  <c r="L18" i="4"/>
  <c r="N22" i="4"/>
  <c r="P22" i="4" s="1"/>
  <c r="N26" i="4"/>
  <c r="Q26" i="4" s="1"/>
  <c r="N28" i="4"/>
  <c r="Q28" i="4" s="1"/>
  <c r="N18" i="4" l="1"/>
  <c r="P18" i="4" s="1"/>
  <c r="Q18" i="4" s="1"/>
  <c r="Q22" i="4"/>
  <c r="Q23" i="4"/>
  <c r="P12" i="4"/>
  <c r="Q12" i="4" s="1"/>
</calcChain>
</file>

<file path=xl/sharedStrings.xml><?xml version="1.0" encoding="utf-8"?>
<sst xmlns="http://schemas.openxmlformats.org/spreadsheetml/2006/main" count="146" uniqueCount="98">
  <si>
    <t>Offer 1 cup/day</t>
  </si>
  <si>
    <t>Non-fat (flavored or unflavored) or 1% unflavored</t>
  </si>
  <si>
    <t>cup</t>
  </si>
  <si>
    <t>MILK</t>
  </si>
  <si>
    <t>Minimum of 1 oz. per day</t>
  </si>
  <si>
    <t>oz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</si>
  <si>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</si>
  <si>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</si>
  <si>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</si>
  <si>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</si>
  <si>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</si>
  <si>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</si>
  <si>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</si>
  <si>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</si>
  <si>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</si>
  <si>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</si>
  <si>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</si>
  <si>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</si>
  <si>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 xml:space="preserve">Required weekly vegetable sub-groups adds up to 2¾c; weekly total of all vegs is 3¾c </t>
  </si>
  <si>
    <t>½ cup of starchy</t>
  </si>
  <si>
    <t>½ cup of legumes</t>
  </si>
  <si>
    <t>¾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</si>
  <si>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</si>
  <si>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</si>
  <si>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</si>
  <si>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</si>
  <si>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</si>
  <si>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</si>
  <si>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</si>
  <si>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</si>
  <si>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</si>
  <si>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</si>
  <si>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</si>
  <si>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</si>
  <si>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</si>
  <si>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</si>
  <si>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Age/grade:                 6-8</t>
  </si>
  <si>
    <t>Fat free chocolate, strawberry, white and low fat white</t>
  </si>
  <si>
    <t>Fresh carrots w/ ff ranch dip</t>
  </si>
  <si>
    <t>Whole grain round roll</t>
  </si>
  <si>
    <t>Date: Week # 1</t>
  </si>
  <si>
    <t>Choice of applesauce or fresh apple</t>
  </si>
  <si>
    <t>Choice of diced pears or banana</t>
  </si>
  <si>
    <t>Choice of 100% grape juice or 100% apple juice</t>
  </si>
  <si>
    <t>Sliced kiwi and strawberries</t>
  </si>
  <si>
    <t>Choice of fresh orange or sliced peaches</t>
  </si>
  <si>
    <t>Whole grain dinner roll</t>
  </si>
  <si>
    <t>Steak roll</t>
  </si>
  <si>
    <t>9 per week minimum</t>
  </si>
  <si>
    <t>Breaded chicken pattie sandwich</t>
  </si>
  <si>
    <t>10 per week maximum</t>
  </si>
  <si>
    <t>8 per week minimum</t>
  </si>
  <si>
    <t>Whole grain pizza crust</t>
  </si>
  <si>
    <t>Hamburger</t>
  </si>
  <si>
    <t>Cucumber slices w/ ff ranch dip</t>
  </si>
  <si>
    <t>Enter daily minimum offering</t>
  </si>
  <si>
    <t>Enter daily maximum offering</t>
  </si>
  <si>
    <t>Potato puffs</t>
  </si>
  <si>
    <t>Additional Vegetables</t>
  </si>
  <si>
    <t>Marinated bean salad  (3/4 cup)</t>
  </si>
  <si>
    <t>Carrot &amp; Celery sticks w/ ff ranch dip</t>
  </si>
  <si>
    <t>1 cup of additional</t>
  </si>
  <si>
    <t>Fruit Totals                                     (for each day)</t>
  </si>
  <si>
    <t>Steamed broccoli</t>
  </si>
  <si>
    <t>Total weekly ounce equivalent offered</t>
  </si>
  <si>
    <t>Mashed potato bowl w/ ground beef                              USDA recipe D-43</t>
  </si>
  <si>
    <t>VEGETABLES                 ¾ cup of vegs/day</t>
  </si>
  <si>
    <t>Mini turkey corn dogs                                    (4 each)</t>
  </si>
  <si>
    <t>Minimum of 1 ounce equivalent per day must be offered</t>
  </si>
  <si>
    <r>
      <t xml:space="preserve">Enter daily </t>
    </r>
    <r>
      <rPr>
        <b/>
        <sz val="10"/>
        <rFont val="Calibri"/>
        <family val="2"/>
        <scheme val="minor"/>
      </rPr>
      <t xml:space="preserve">minimum </t>
    </r>
    <r>
      <rPr>
        <sz val="10"/>
        <rFont val="Calibri"/>
        <family val="2"/>
        <scheme val="minor"/>
      </rPr>
      <t>offering</t>
    </r>
  </si>
  <si>
    <r>
      <t xml:space="preserve">Enter daily </t>
    </r>
    <r>
      <rPr>
        <b/>
        <sz val="10"/>
        <rFont val="Calibri"/>
        <family val="2"/>
        <scheme val="minor"/>
      </rPr>
      <t xml:space="preserve">maximum </t>
    </r>
    <r>
      <rPr>
        <sz val="10"/>
        <rFont val="Calibri"/>
        <family val="2"/>
        <scheme val="minor"/>
      </rPr>
      <t>offering</t>
    </r>
  </si>
  <si>
    <t>Shredded chicken taco salad w/ lettuce and salsa</t>
  </si>
  <si>
    <t>Mozzarella stuffed cheese sticks              (2 each) w/ sauce</t>
  </si>
  <si>
    <t>Cheese sticks</t>
  </si>
  <si>
    <t>Sauce on pizza</t>
  </si>
  <si>
    <t>Whole grain hamburger roll</t>
  </si>
  <si>
    <t>Whole grain hamburger roll and round roll</t>
  </si>
  <si>
    <t>VEG TOTALS              (for each day)</t>
  </si>
  <si>
    <t>Sauce w/ moz cheese sticks</t>
  </si>
  <si>
    <t>½ cup of fruit</t>
  </si>
  <si>
    <t>Breading on corn dog</t>
  </si>
  <si>
    <t>Taco chips</t>
  </si>
  <si>
    <t>Breading on corn dog  &amp; taco chips</t>
  </si>
  <si>
    <t>Garlic bread</t>
  </si>
  <si>
    <t>Chef salad w/ ham &amp; dressing*</t>
  </si>
  <si>
    <t>Pizza w/ 2 oz. low fat moz.</t>
  </si>
  <si>
    <t>Grilled chicken Sandwich</t>
  </si>
  <si>
    <t>Turkey and cheese sub</t>
  </si>
  <si>
    <t>Weekly Average:  Calories 671, Saturated fat 7.80%, Sodium 1430 mg</t>
  </si>
  <si>
    <t>Potato &amp; mixed vegetables in mashed potato bowl</t>
  </si>
  <si>
    <t>Salsa w/ chicken taco salad</t>
  </si>
  <si>
    <t>Shredded iceberg lettuce &amp; sliced tomato cup                                      (1/4 cup tomato)</t>
  </si>
  <si>
    <t>Steamed Brussels sprouts</t>
  </si>
  <si>
    <t>Shredded iceberg lettuce &amp; sliced tomato cup (1/4 cup tomato &amp; 1/2 cup lettuce)</t>
  </si>
  <si>
    <t>Iceberg lettuce w/ chicken taco salad    (1 cup lettuce)</t>
  </si>
  <si>
    <t>Quantity Difference (actual vs. required)</t>
  </si>
  <si>
    <t>Steamed Corn</t>
  </si>
  <si>
    <t>Shredded iceberg lettuce &amp; sliced tomato cup (1/2 cup lettuce)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</si>
</sst>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12" fontId="1" fillId="0" borderId="14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9" xfId="0" applyNumberFormat="1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</xf>
    <xf numFmtId="0" fontId="7" fillId="0" borderId="0" xfId="0" applyFont="1" applyFill="1" applyProtection="1">
      <protection locked="0"/>
    </xf>
    <xf numFmtId="0" fontId="8" fillId="0" borderId="1" xfId="0" applyFont="1" applyFill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 wrapText="1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1" fillId="9" borderId="11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12" fontId="1" fillId="0" borderId="3" xfId="0" applyNumberFormat="1" applyFont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  <protection locked="0"/>
    </xf>
    <xf numFmtId="12" fontId="1" fillId="9" borderId="7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7" borderId="17" xfId="0" applyFont="1" applyFill="1" applyBorder="1" applyAlignment="1" applyProtection="1">
      <alignment horizontal="center" vertical="center" wrapText="1"/>
    </xf>
    <xf numFmtId="12" fontId="1" fillId="7" borderId="32" xfId="0" applyNumberFormat="1" applyFont="1" applyFill="1" applyBorder="1" applyAlignment="1" applyProtection="1">
      <alignment horizontal="center" vertical="center" wrapText="1"/>
    </xf>
    <xf numFmtId="12" fontId="1" fillId="7" borderId="33" xfId="0" applyNumberFormat="1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12" fontId="8" fillId="0" borderId="5" xfId="0" applyNumberFormat="1" applyFont="1" applyFill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 wrapText="1"/>
      <protection locked="0"/>
    </xf>
    <xf numFmtId="12" fontId="1" fillId="0" borderId="27" xfId="0" applyNumberFormat="1" applyFont="1" applyBorder="1" applyAlignment="1" applyProtection="1">
      <alignment horizontal="center" vertical="center" wrapText="1"/>
      <protection locked="0"/>
    </xf>
    <xf numFmtId="12" fontId="1" fillId="0" borderId="27" xfId="0" applyNumberFormat="1" applyFont="1" applyBorder="1" applyAlignment="1" applyProtection="1">
      <alignment horizontal="center" vertical="center" wrapText="1"/>
    </xf>
    <xf numFmtId="0" fontId="1" fillId="0" borderId="29" xfId="0" applyFont="1" applyBorder="1" applyAlignment="1" applyProtection="1">
      <alignment horizontal="center" vertical="center" wrapText="1"/>
    </xf>
    <xf numFmtId="12" fontId="3" fillId="0" borderId="28" xfId="0" applyNumberFormat="1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</xf>
    <xf numFmtId="0" fontId="1" fillId="7" borderId="32" xfId="0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9" fillId="2" borderId="16" xfId="0" applyFont="1" applyFill="1" applyBorder="1" applyAlignment="1" applyProtection="1">
      <alignment horizontal="center" vertical="center" wrapText="1"/>
    </xf>
    <xf numFmtId="0" fontId="1" fillId="0" borderId="35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9" borderId="30" xfId="0" applyFont="1" applyFill="1" applyBorder="1" applyAlignment="1" applyProtection="1">
      <alignment horizontal="center" vertical="center" wrapText="1"/>
      <protection locked="0"/>
    </xf>
    <xf numFmtId="0" fontId="3" fillId="7" borderId="30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2" fillId="2" borderId="30" xfId="0" applyFont="1" applyFill="1" applyBorder="1" applyAlignment="1" applyProtection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12" fontId="1" fillId="6" borderId="9" xfId="0" applyNumberFormat="1" applyFont="1" applyFill="1" applyBorder="1" applyAlignment="1" applyProtection="1">
      <alignment horizontal="center" vertical="center" wrapText="1"/>
    </xf>
    <xf numFmtId="0" fontId="1" fillId="5" borderId="12" xfId="0" applyFont="1" applyFill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</xf>
    <xf numFmtId="0" fontId="1" fillId="9" borderId="30" xfId="0" applyFont="1" applyFill="1" applyBorder="1" applyAlignment="1" applyProtection="1">
      <alignment horizontal="center" vertical="center" wrapText="1"/>
      <protection locked="0"/>
    </xf>
    <xf numFmtId="0" fontId="1" fillId="9" borderId="16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 applyProtection="1">
      <alignment horizontal="center" vertical="center" wrapText="1"/>
      <protection locked="0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7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12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 applyProtection="1">
      <alignment horizontal="center" vertical="center" wrapText="1"/>
    </xf>
    <xf numFmtId="0" fontId="9" fillId="4" borderId="30" xfId="0" applyFont="1" applyFill="1" applyBorder="1" applyAlignment="1" applyProtection="1">
      <alignment horizontal="center" vertical="center" wrapText="1"/>
    </xf>
    <xf numFmtId="0" fontId="9" fillId="4" borderId="16" xfId="0" applyFont="1" applyFill="1" applyBorder="1" applyAlignment="1" applyProtection="1">
      <alignment horizontal="center" vertical="center" wrapText="1"/>
    </xf>
    <xf numFmtId="0" fontId="9" fillId="4" borderId="15" xfId="0" applyFont="1" applyFill="1" applyBorder="1" applyAlignment="1" applyProtection="1">
      <alignment horizontal="center" vertical="center" wrapText="1"/>
    </xf>
    <xf numFmtId="0" fontId="1" fillId="7" borderId="30" xfId="0" applyFont="1" applyFill="1" applyBorder="1" applyAlignment="1" applyProtection="1">
      <alignment horizontal="center" vertical="center" wrapText="1"/>
    </xf>
    <xf numFmtId="0" fontId="1" fillId="7" borderId="16" xfId="0" applyFont="1" applyFill="1" applyBorder="1" applyAlignment="1" applyProtection="1">
      <alignment horizontal="center" vertical="center" wrapText="1"/>
    </xf>
    <xf numFmtId="0" fontId="1" fillId="7" borderId="15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7"/>
  <sheetViews>
    <sheetView tabSelected="1" view="pageLayout" topLeftCell="A6" zoomScaleNormal="100" workbookViewId="0">
      <selection activeCell="E16" sqref="E16"/>
    </sheetView>
  </sheetViews>
  <sheetFormatPr defaultColWidth="8.88671875" defaultRowHeight="14.4" x14ac:dyDescent="0.3"/>
  <cols>
    <col min="1" max="1" width="15.5546875" style="4" customWidth="1"/>
    <col min="2" max="2" width="12.5546875" style="2" customWidth="1"/>
    <col min="3" max="3" width="19" style="2" customWidth="1"/>
    <col min="4" max="4" width="6.44140625" style="3" customWidth="1"/>
    <col min="5" max="5" width="19" style="2" customWidth="1"/>
    <col min="6" max="6" width="6.44140625" style="2" customWidth="1"/>
    <col min="7" max="7" width="19" style="2" customWidth="1"/>
    <col min="8" max="8" width="6.44140625" style="2" customWidth="1"/>
    <col min="9" max="9" width="19" style="2" customWidth="1"/>
    <col min="10" max="10" width="6.44140625" style="2" customWidth="1"/>
    <col min="11" max="11" width="19" style="2" customWidth="1"/>
    <col min="12" max="12" width="6.44140625" style="2" customWidth="1"/>
    <col min="13" max="13" width="1.44140625" style="2" customWidth="1"/>
    <col min="14" max="14" width="6.5546875" style="2" customWidth="1"/>
    <col min="15" max="16" width="15.441406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x14ac:dyDescent="0.25">
      <c r="A1" s="68" t="s">
        <v>40</v>
      </c>
      <c r="B1" s="28" t="s">
        <v>36</v>
      </c>
      <c r="C1" s="84" t="s">
        <v>88</v>
      </c>
      <c r="D1" s="84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58"/>
      <c r="Q1" s="69"/>
    </row>
    <row r="2" spans="1:34" ht="15" x14ac:dyDescent="0.25">
      <c r="A2" s="86"/>
      <c r="B2" s="87"/>
      <c r="C2" s="88" t="s">
        <v>35</v>
      </c>
      <c r="D2" s="88"/>
      <c r="E2" s="88"/>
      <c r="F2" s="88"/>
      <c r="G2" s="88"/>
      <c r="H2" s="88"/>
      <c r="I2" s="88"/>
      <c r="J2" s="88"/>
      <c r="K2" s="88"/>
      <c r="L2" s="88"/>
      <c r="M2" s="59"/>
      <c r="N2" s="89" t="s">
        <v>34</v>
      </c>
      <c r="O2" s="89"/>
      <c r="P2" s="89"/>
      <c r="Q2" s="90"/>
    </row>
    <row r="3" spans="1:34" ht="18.75" customHeight="1" x14ac:dyDescent="0.3">
      <c r="A3" s="91" t="s">
        <v>15</v>
      </c>
      <c r="B3" s="93" t="s">
        <v>14</v>
      </c>
      <c r="C3" s="95" t="s">
        <v>33</v>
      </c>
      <c r="D3" s="96"/>
      <c r="E3" s="95" t="s">
        <v>32</v>
      </c>
      <c r="F3" s="96"/>
      <c r="G3" s="95" t="s">
        <v>31</v>
      </c>
      <c r="H3" s="96"/>
      <c r="I3" s="95" t="s">
        <v>30</v>
      </c>
      <c r="J3" s="96"/>
      <c r="K3" s="95" t="s">
        <v>29</v>
      </c>
      <c r="L3" s="96"/>
      <c r="M3" s="23"/>
      <c r="N3" s="97" t="s">
        <v>11</v>
      </c>
      <c r="O3" s="97" t="s">
        <v>28</v>
      </c>
      <c r="P3" s="97" t="s">
        <v>95</v>
      </c>
      <c r="Q3" s="100" t="s">
        <v>27</v>
      </c>
    </row>
    <row r="4" spans="1:34" ht="29.4" customHeight="1" thickBot="1" x14ac:dyDescent="0.35">
      <c r="A4" s="92"/>
      <c r="B4" s="94"/>
      <c r="C4" s="51" t="s">
        <v>13</v>
      </c>
      <c r="D4" s="55" t="s">
        <v>26</v>
      </c>
      <c r="E4" s="51" t="s">
        <v>13</v>
      </c>
      <c r="F4" s="51" t="s">
        <v>26</v>
      </c>
      <c r="G4" s="51" t="s">
        <v>13</v>
      </c>
      <c r="H4" s="51" t="s">
        <v>26</v>
      </c>
      <c r="I4" s="51" t="s">
        <v>13</v>
      </c>
      <c r="J4" s="51" t="s">
        <v>26</v>
      </c>
      <c r="K4" s="51" t="s">
        <v>13</v>
      </c>
      <c r="L4" s="51" t="s">
        <v>26</v>
      </c>
      <c r="M4" s="52"/>
      <c r="N4" s="98"/>
      <c r="O4" s="99"/>
      <c r="P4" s="98"/>
      <c r="Q4" s="101"/>
    </row>
    <row r="5" spans="1:34" ht="15.75" thickBot="1" x14ac:dyDescent="0.3">
      <c r="A5" s="70" t="s">
        <v>25</v>
      </c>
      <c r="B5" s="102" t="s">
        <v>23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/>
    </row>
    <row r="6" spans="1:34" s="20" customFormat="1" ht="41.4" x14ac:dyDescent="0.3">
      <c r="A6" s="29" t="s">
        <v>25</v>
      </c>
      <c r="B6" s="22" t="s">
        <v>79</v>
      </c>
      <c r="C6" s="22" t="s">
        <v>41</v>
      </c>
      <c r="D6" s="21">
        <v>0.5</v>
      </c>
      <c r="E6" s="22" t="s">
        <v>42</v>
      </c>
      <c r="F6" s="21">
        <v>0.5</v>
      </c>
      <c r="G6" s="22" t="s">
        <v>43</v>
      </c>
      <c r="H6" s="21">
        <v>0.5</v>
      </c>
      <c r="I6" s="22" t="s">
        <v>44</v>
      </c>
      <c r="J6" s="21">
        <v>0.5</v>
      </c>
      <c r="K6" s="22" t="s">
        <v>45</v>
      </c>
      <c r="L6" s="21">
        <v>0.5</v>
      </c>
      <c r="M6" s="21"/>
      <c r="N6" s="105">
        <f>SUM(D6,F6,H6,J6,L6)</f>
        <v>2.5</v>
      </c>
      <c r="O6" s="107">
        <v>2.5</v>
      </c>
      <c r="P6" s="107">
        <f>N6-O6</f>
        <v>0</v>
      </c>
      <c r="Q6" s="109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0" customFormat="1" ht="28.2" thickBot="1" x14ac:dyDescent="0.35">
      <c r="A7" s="31" t="s">
        <v>62</v>
      </c>
      <c r="B7" s="34"/>
      <c r="C7" s="35" t="s">
        <v>16</v>
      </c>
      <c r="D7" s="36">
        <f>D6</f>
        <v>0.5</v>
      </c>
      <c r="E7" s="35" t="s">
        <v>16</v>
      </c>
      <c r="F7" s="36">
        <f>F6</f>
        <v>0.5</v>
      </c>
      <c r="G7" s="35" t="s">
        <v>16</v>
      </c>
      <c r="H7" s="36">
        <f>H6</f>
        <v>0.5</v>
      </c>
      <c r="I7" s="35" t="s">
        <v>16</v>
      </c>
      <c r="J7" s="36">
        <f>J6</f>
        <v>0.5</v>
      </c>
      <c r="K7" s="35" t="s">
        <v>16</v>
      </c>
      <c r="L7" s="36">
        <f>L6</f>
        <v>0.5</v>
      </c>
      <c r="M7" s="13"/>
      <c r="N7" s="106"/>
      <c r="O7" s="108"/>
      <c r="P7" s="108"/>
      <c r="Q7" s="10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71" t="s">
        <v>24</v>
      </c>
      <c r="B8" s="115" t="s">
        <v>23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</row>
    <row r="9" spans="1:34" ht="27.6" x14ac:dyDescent="0.3">
      <c r="A9" s="30" t="s">
        <v>66</v>
      </c>
      <c r="B9" s="11" t="s">
        <v>22</v>
      </c>
      <c r="C9" s="19"/>
      <c r="D9" s="18"/>
      <c r="E9" s="19"/>
      <c r="F9" s="18"/>
      <c r="G9" s="19"/>
      <c r="H9" s="18"/>
      <c r="I9" s="19"/>
      <c r="J9" s="18"/>
      <c r="K9" s="19" t="s">
        <v>63</v>
      </c>
      <c r="L9" s="18">
        <v>0.5</v>
      </c>
      <c r="M9" s="18"/>
      <c r="N9" s="54">
        <f>SUM(D9,F9,H9,J9,L9)</f>
        <v>0.5</v>
      </c>
      <c r="O9" s="54">
        <v>0.5</v>
      </c>
      <c r="P9" s="17">
        <f t="shared" ref="P9:P14" si="0">N9-O9</f>
        <v>0</v>
      </c>
      <c r="Q9" s="16" t="str">
        <f t="shared" ref="Q9:Q14" si="1">IF(P9&gt;=0,"MEETS","DOES NOT MEET")</f>
        <v>MEETS</v>
      </c>
    </row>
    <row r="10" spans="1:34" ht="55.2" x14ac:dyDescent="0.3">
      <c r="A10" s="72"/>
      <c r="B10" s="10" t="s">
        <v>21</v>
      </c>
      <c r="C10" s="14"/>
      <c r="E10" s="14" t="s">
        <v>91</v>
      </c>
      <c r="F10" s="3">
        <v>0.25</v>
      </c>
      <c r="G10" s="14" t="s">
        <v>90</v>
      </c>
      <c r="H10" s="3">
        <v>0.25</v>
      </c>
      <c r="I10" s="14" t="s">
        <v>38</v>
      </c>
      <c r="J10" s="3">
        <v>0.25</v>
      </c>
      <c r="K10" s="14"/>
      <c r="L10" s="3"/>
      <c r="M10" s="3"/>
      <c r="N10" s="9">
        <f>SUM(D10,F10,H10,J10,L10)</f>
        <v>0.75</v>
      </c>
      <c r="O10" s="9">
        <v>0.75</v>
      </c>
      <c r="P10" s="15">
        <f t="shared" si="0"/>
        <v>0</v>
      </c>
      <c r="Q10" s="8" t="str">
        <f t="shared" si="1"/>
        <v>MEETS</v>
      </c>
    </row>
    <row r="11" spans="1:34" ht="27.6" x14ac:dyDescent="0.3">
      <c r="A11" s="72"/>
      <c r="B11" s="32" t="s">
        <v>20</v>
      </c>
      <c r="C11" s="14"/>
      <c r="E11" s="14"/>
      <c r="F11" s="3"/>
      <c r="G11" s="14" t="s">
        <v>59</v>
      </c>
      <c r="H11" s="3">
        <v>0.5</v>
      </c>
      <c r="I11" s="14"/>
      <c r="J11" s="3"/>
      <c r="K11" s="14"/>
      <c r="L11" s="3"/>
      <c r="M11" s="3"/>
      <c r="N11" s="9">
        <f>SUM(D11,F11,H11,J11,L11)</f>
        <v>0.5</v>
      </c>
      <c r="O11" s="9">
        <v>0.5</v>
      </c>
      <c r="P11" s="15">
        <f t="shared" si="0"/>
        <v>0</v>
      </c>
      <c r="Q11" s="8" t="str">
        <f t="shared" si="1"/>
        <v>MEETS</v>
      </c>
    </row>
    <row r="12" spans="1:34" ht="27.6" x14ac:dyDescent="0.3">
      <c r="A12" s="72"/>
      <c r="B12" s="10" t="s">
        <v>19</v>
      </c>
      <c r="C12" s="14"/>
      <c r="E12" s="14" t="s">
        <v>96</v>
      </c>
      <c r="F12" s="3">
        <v>0.5</v>
      </c>
      <c r="G12" s="14"/>
      <c r="H12" s="3"/>
      <c r="I12" s="14"/>
      <c r="J12" s="3"/>
      <c r="K12" s="14"/>
      <c r="L12" s="3"/>
      <c r="M12" s="3"/>
      <c r="N12" s="9">
        <f>SUM(D12,F12,H12,J12,L12)</f>
        <v>0.5</v>
      </c>
      <c r="O12" s="9">
        <v>0.5</v>
      </c>
      <c r="P12" s="15">
        <f t="shared" si="0"/>
        <v>0</v>
      </c>
      <c r="Q12" s="8" t="str">
        <f t="shared" si="1"/>
        <v>MEETS</v>
      </c>
    </row>
    <row r="13" spans="1:34" ht="25.5" customHeight="1" x14ac:dyDescent="0.3">
      <c r="A13" s="91" t="s">
        <v>18</v>
      </c>
      <c r="B13" s="10" t="s">
        <v>17</v>
      </c>
      <c r="C13" s="14"/>
      <c r="E13" s="14"/>
      <c r="F13" s="3"/>
      <c r="G13" s="14"/>
      <c r="H13" s="3"/>
      <c r="I13" s="14" t="s">
        <v>92</v>
      </c>
      <c r="J13" s="3">
        <v>0.5</v>
      </c>
      <c r="K13" s="14"/>
      <c r="L13" s="3"/>
      <c r="M13" s="3"/>
      <c r="N13" s="9">
        <f>D13+F13+H13+J13+L13</f>
        <v>0.5</v>
      </c>
      <c r="O13" s="9">
        <v>0.5</v>
      </c>
      <c r="P13" s="12">
        <f t="shared" si="0"/>
        <v>0</v>
      </c>
      <c r="Q13" s="8" t="str">
        <f t="shared" si="1"/>
        <v>MEETS</v>
      </c>
    </row>
    <row r="14" spans="1:34" x14ac:dyDescent="0.3">
      <c r="A14" s="92"/>
      <c r="B14" s="93" t="s">
        <v>61</v>
      </c>
      <c r="C14" s="118" t="s">
        <v>58</v>
      </c>
      <c r="D14" s="119"/>
      <c r="E14" s="119"/>
      <c r="F14" s="119"/>
      <c r="G14" s="119"/>
      <c r="H14" s="119"/>
      <c r="I14" s="119"/>
      <c r="J14" s="119"/>
      <c r="K14" s="119"/>
      <c r="L14" s="120"/>
      <c r="M14" s="3"/>
      <c r="N14" s="106">
        <f>SUM(D15:D17,F15:F17,H15:H17,J15:J17,L15:L17)</f>
        <v>3.875</v>
      </c>
      <c r="O14" s="106">
        <v>1</v>
      </c>
      <c r="P14" s="108">
        <f t="shared" si="0"/>
        <v>2.875</v>
      </c>
      <c r="Q14" s="121" t="str">
        <f t="shared" si="1"/>
        <v>MEETS</v>
      </c>
    </row>
    <row r="15" spans="1:34" ht="69" x14ac:dyDescent="0.3">
      <c r="A15" s="92"/>
      <c r="B15" s="94"/>
      <c r="C15" s="14" t="s">
        <v>60</v>
      </c>
      <c r="D15" s="3">
        <v>0.5</v>
      </c>
      <c r="E15" s="14" t="s">
        <v>97</v>
      </c>
      <c r="F15" s="3">
        <v>0.25</v>
      </c>
      <c r="G15" s="14" t="s">
        <v>54</v>
      </c>
      <c r="H15" s="3">
        <v>0.25</v>
      </c>
      <c r="I15" s="14" t="s">
        <v>74</v>
      </c>
      <c r="J15" s="3">
        <v>0.125</v>
      </c>
      <c r="K15" s="14" t="s">
        <v>93</v>
      </c>
      <c r="L15" s="3">
        <v>0.5</v>
      </c>
      <c r="M15" s="3"/>
      <c r="N15" s="124"/>
      <c r="O15" s="124"/>
      <c r="P15" s="124"/>
      <c r="Q15" s="122"/>
    </row>
    <row r="16" spans="1:34" ht="41.4" x14ac:dyDescent="0.3">
      <c r="A16" s="92"/>
      <c r="B16" s="94"/>
      <c r="C16" s="14" t="s">
        <v>89</v>
      </c>
      <c r="D16" s="3">
        <v>0.75</v>
      </c>
      <c r="E16" s="14"/>
      <c r="F16" s="3"/>
      <c r="G16" s="14" t="s">
        <v>94</v>
      </c>
      <c r="H16" s="3">
        <v>0.5</v>
      </c>
      <c r="I16" s="14"/>
      <c r="J16" s="3"/>
      <c r="K16" s="14" t="s">
        <v>57</v>
      </c>
      <c r="L16" s="3">
        <v>0.5</v>
      </c>
      <c r="M16" s="3"/>
      <c r="N16" s="124"/>
      <c r="O16" s="124"/>
      <c r="P16" s="124"/>
      <c r="Q16" s="122"/>
    </row>
    <row r="17" spans="1:17" ht="28.2" thickBot="1" x14ac:dyDescent="0.35">
      <c r="A17" s="92"/>
      <c r="B17" s="94"/>
      <c r="C17" s="38" t="s">
        <v>78</v>
      </c>
      <c r="D17" s="13">
        <v>0.5</v>
      </c>
      <c r="E17" s="73"/>
      <c r="F17" s="73"/>
      <c r="G17" s="73"/>
      <c r="H17" s="73"/>
      <c r="I17" s="73"/>
      <c r="J17" s="73"/>
      <c r="K17" s="38"/>
      <c r="L17" s="13"/>
      <c r="M17" s="3"/>
      <c r="N17" s="125"/>
      <c r="O17" s="125"/>
      <c r="P17" s="125"/>
      <c r="Q17" s="123"/>
    </row>
    <row r="18" spans="1:17" ht="28.2" thickBot="1" x14ac:dyDescent="0.35">
      <c r="A18" s="39" t="s">
        <v>77</v>
      </c>
      <c r="B18" s="60"/>
      <c r="C18" s="60" t="s">
        <v>16</v>
      </c>
      <c r="D18" s="40">
        <f>SUM(D9:D17)</f>
        <v>1.75</v>
      </c>
      <c r="E18" s="60" t="s">
        <v>16</v>
      </c>
      <c r="F18" s="40">
        <f>SUM(F9:F17)</f>
        <v>1</v>
      </c>
      <c r="G18" s="60" t="s">
        <v>16</v>
      </c>
      <c r="H18" s="40">
        <f>SUM(H9:H17)</f>
        <v>1.5</v>
      </c>
      <c r="I18" s="60" t="s">
        <v>16</v>
      </c>
      <c r="J18" s="40">
        <f>SUM(J9:J17)</f>
        <v>0.875</v>
      </c>
      <c r="K18" s="60" t="s">
        <v>16</v>
      </c>
      <c r="L18" s="41">
        <f>SUM(L9:L17)</f>
        <v>1.5</v>
      </c>
      <c r="M18" s="37"/>
      <c r="N18" s="56">
        <f>SUM(D18,F18,H18,J18,L18)</f>
        <v>6.625</v>
      </c>
      <c r="O18" s="56">
        <v>3.75</v>
      </c>
      <c r="P18" s="56">
        <f>N18-O18</f>
        <v>2.875</v>
      </c>
      <c r="Q18" s="57" t="str">
        <f>IF(P18&gt;=0,"MEETS","DOES NOT MEET")</f>
        <v>MEETS</v>
      </c>
    </row>
    <row r="19" spans="1:17" ht="28.2" thickBot="1" x14ac:dyDescent="0.35">
      <c r="A19" s="80" t="s">
        <v>15</v>
      </c>
      <c r="B19" s="81" t="s">
        <v>14</v>
      </c>
      <c r="C19" s="81" t="s">
        <v>13</v>
      </c>
      <c r="D19" s="81" t="s">
        <v>12</v>
      </c>
      <c r="E19" s="82" t="s">
        <v>13</v>
      </c>
      <c r="F19" s="81" t="s">
        <v>12</v>
      </c>
      <c r="G19" s="82" t="s">
        <v>13</v>
      </c>
      <c r="H19" s="81" t="s">
        <v>12</v>
      </c>
      <c r="I19" s="82" t="s">
        <v>13</v>
      </c>
      <c r="J19" s="81" t="s">
        <v>12</v>
      </c>
      <c r="K19" s="82" t="s">
        <v>13</v>
      </c>
      <c r="L19" s="81" t="s">
        <v>12</v>
      </c>
      <c r="M19" s="56"/>
      <c r="N19" s="56" t="s">
        <v>11</v>
      </c>
      <c r="O19" s="56" t="s">
        <v>10</v>
      </c>
      <c r="P19" s="56"/>
      <c r="Q19" s="83"/>
    </row>
    <row r="20" spans="1:17" ht="15.75" customHeight="1" thickBot="1" x14ac:dyDescent="0.35">
      <c r="A20" s="112" t="s">
        <v>9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</row>
    <row r="21" spans="1:17" s="24" customFormat="1" ht="41.4" x14ac:dyDescent="0.3">
      <c r="A21" s="110" t="s">
        <v>68</v>
      </c>
      <c r="B21" s="43" t="s">
        <v>69</v>
      </c>
      <c r="C21" s="19" t="s">
        <v>46</v>
      </c>
      <c r="D21" s="43">
        <v>1</v>
      </c>
      <c r="E21" s="43" t="s">
        <v>39</v>
      </c>
      <c r="F21" s="43">
        <v>2</v>
      </c>
      <c r="G21" s="43" t="s">
        <v>80</v>
      </c>
      <c r="H21" s="43">
        <v>2</v>
      </c>
      <c r="I21" s="43" t="s">
        <v>52</v>
      </c>
      <c r="J21" s="43">
        <v>2</v>
      </c>
      <c r="K21" s="43" t="s">
        <v>75</v>
      </c>
      <c r="L21" s="43">
        <v>2</v>
      </c>
      <c r="M21" s="76"/>
      <c r="N21" s="43">
        <f>D21+F21+H21+J21+L21</f>
        <v>9</v>
      </c>
      <c r="O21" s="43" t="s">
        <v>51</v>
      </c>
      <c r="P21" s="76" t="s">
        <v>64</v>
      </c>
      <c r="Q21" s="16" t="str">
        <f>IF(AND((N21)&gt;=8,(N21)&lt;=10),"MEETS","DOES NOT MEET")</f>
        <v>MEETS</v>
      </c>
    </row>
    <row r="22" spans="1:17" ht="41.4" x14ac:dyDescent="0.3">
      <c r="A22" s="111"/>
      <c r="B22" s="25" t="s">
        <v>70</v>
      </c>
      <c r="C22" s="19" t="s">
        <v>73</v>
      </c>
      <c r="D22" s="18">
        <v>2</v>
      </c>
      <c r="E22" s="19" t="s">
        <v>47</v>
      </c>
      <c r="F22" s="19">
        <v>2</v>
      </c>
      <c r="G22" s="19" t="s">
        <v>81</v>
      </c>
      <c r="H22" s="19">
        <v>2</v>
      </c>
      <c r="I22" s="19" t="s">
        <v>83</v>
      </c>
      <c r="J22" s="19">
        <v>2</v>
      </c>
      <c r="K22" s="25" t="s">
        <v>39</v>
      </c>
      <c r="L22" s="19">
        <v>2</v>
      </c>
      <c r="M22" s="19"/>
      <c r="N22" s="9">
        <f>SUM(D22,F22,H22,J22,L22)</f>
        <v>10</v>
      </c>
      <c r="O22" s="26" t="s">
        <v>50</v>
      </c>
      <c r="P22" s="33">
        <f>N21+N22</f>
        <v>19</v>
      </c>
      <c r="Q22" s="8" t="str">
        <f>IF(AND((N22)&gt;=8,(N22)&lt;=10),"MEETS","DOES NOT MEET")</f>
        <v>MEETS</v>
      </c>
    </row>
    <row r="23" spans="1:17" ht="42" thickBot="1" x14ac:dyDescent="0.35">
      <c r="A23" s="50"/>
      <c r="B23" s="52" t="s">
        <v>8</v>
      </c>
      <c r="C23" s="22" t="s">
        <v>46</v>
      </c>
      <c r="D23" s="21">
        <v>1</v>
      </c>
      <c r="E23" s="22" t="s">
        <v>39</v>
      </c>
      <c r="F23" s="22">
        <v>2</v>
      </c>
      <c r="G23" s="42" t="s">
        <v>82</v>
      </c>
      <c r="H23" s="22">
        <v>4</v>
      </c>
      <c r="I23" s="42" t="s">
        <v>52</v>
      </c>
      <c r="J23" s="22">
        <v>2</v>
      </c>
      <c r="K23" s="42" t="s">
        <v>76</v>
      </c>
      <c r="L23" s="22">
        <v>4</v>
      </c>
      <c r="M23" s="22"/>
      <c r="N23" s="55">
        <f>SUM(D23,F23,H23,J23,L23)</f>
        <v>13</v>
      </c>
      <c r="O23" s="53" t="s">
        <v>7</v>
      </c>
      <c r="P23" s="49">
        <f>D23+F23+H23+J23+L23</f>
        <v>13</v>
      </c>
      <c r="Q23" s="57" t="str">
        <f>IF(N23&gt;=((N22+N21)/2),"MEETS","DOES NOT MEET")</f>
        <v>MEETS</v>
      </c>
    </row>
    <row r="24" spans="1:17" ht="18" customHeight="1" thickBot="1" x14ac:dyDescent="0.35">
      <c r="A24" s="74" t="s">
        <v>6</v>
      </c>
      <c r="B24" s="61"/>
      <c r="C24" s="61"/>
      <c r="D24" s="61" t="s">
        <v>5</v>
      </c>
      <c r="E24" s="61"/>
      <c r="F24" s="62" t="s">
        <v>5</v>
      </c>
      <c r="G24" s="61"/>
      <c r="H24" s="61" t="s">
        <v>5</v>
      </c>
      <c r="I24" s="61"/>
      <c r="J24" s="61" t="s">
        <v>5</v>
      </c>
      <c r="K24" s="61"/>
      <c r="L24" s="61" t="s">
        <v>5</v>
      </c>
      <c r="M24" s="61"/>
      <c r="N24" s="61"/>
      <c r="O24" s="61"/>
      <c r="P24" s="61"/>
      <c r="Q24" s="75"/>
    </row>
    <row r="25" spans="1:17" s="24" customFormat="1" ht="41.4" x14ac:dyDescent="0.3">
      <c r="A25" s="110" t="s">
        <v>4</v>
      </c>
      <c r="B25" s="43" t="s">
        <v>55</v>
      </c>
      <c r="C25" s="19" t="s">
        <v>65</v>
      </c>
      <c r="D25" s="18">
        <v>2</v>
      </c>
      <c r="E25" s="43" t="s">
        <v>49</v>
      </c>
      <c r="F25" s="43">
        <v>2</v>
      </c>
      <c r="G25" s="43" t="s">
        <v>67</v>
      </c>
      <c r="H25" s="43">
        <v>1.33</v>
      </c>
      <c r="I25" s="43" t="s">
        <v>84</v>
      </c>
      <c r="J25" s="43">
        <v>2</v>
      </c>
      <c r="K25" s="43" t="s">
        <v>53</v>
      </c>
      <c r="L25" s="43">
        <v>2</v>
      </c>
      <c r="M25" s="76"/>
      <c r="N25" s="44">
        <f>D25+F25+H25+J25+L25</f>
        <v>9.33</v>
      </c>
      <c r="O25" s="43" t="s">
        <v>48</v>
      </c>
      <c r="P25" s="76"/>
      <c r="Q25" s="16" t="str">
        <f>IF(AND((N25)&gt;=9,(N25)&lt;=10),"MEETS","DOES NOT MEET")</f>
        <v>MEETS</v>
      </c>
    </row>
    <row r="26" spans="1:17" ht="42" thickBot="1" x14ac:dyDescent="0.35">
      <c r="A26" s="110"/>
      <c r="B26" s="42" t="s">
        <v>56</v>
      </c>
      <c r="C26" s="38" t="s">
        <v>72</v>
      </c>
      <c r="D26" s="13">
        <v>2</v>
      </c>
      <c r="E26" s="38" t="s">
        <v>87</v>
      </c>
      <c r="F26" s="38">
        <v>2.5</v>
      </c>
      <c r="G26" s="42" t="s">
        <v>71</v>
      </c>
      <c r="H26" s="42">
        <v>1.5</v>
      </c>
      <c r="I26" s="38" t="s">
        <v>85</v>
      </c>
      <c r="J26" s="38">
        <v>2</v>
      </c>
      <c r="K26" s="38" t="s">
        <v>86</v>
      </c>
      <c r="L26" s="38">
        <v>2</v>
      </c>
      <c r="M26" s="38"/>
      <c r="N26" s="55">
        <f>SUM(D26,F26,H26,J26,L26)</f>
        <v>10</v>
      </c>
      <c r="O26" s="51" t="s">
        <v>50</v>
      </c>
      <c r="P26" s="63"/>
      <c r="Q26" s="57" t="str">
        <f>IF(AND((N26)&gt;=9,(N26)&lt;=10),"MEETS","DOES NOT MEET")</f>
        <v>MEETS</v>
      </c>
    </row>
    <row r="27" spans="1:17" ht="15" thickBot="1" x14ac:dyDescent="0.35">
      <c r="A27" s="77" t="s">
        <v>3</v>
      </c>
      <c r="B27" s="64"/>
      <c r="C27" s="64"/>
      <c r="D27" s="64" t="s">
        <v>2</v>
      </c>
      <c r="E27" s="64"/>
      <c r="F27" s="65" t="s">
        <v>2</v>
      </c>
      <c r="G27" s="64"/>
      <c r="H27" s="64" t="s">
        <v>2</v>
      </c>
      <c r="I27" s="64"/>
      <c r="J27" s="65" t="s">
        <v>2</v>
      </c>
      <c r="K27" s="64"/>
      <c r="L27" s="64" t="s">
        <v>2</v>
      </c>
      <c r="M27" s="64"/>
      <c r="N27" s="64"/>
      <c r="O27" s="64"/>
      <c r="P27" s="64"/>
      <c r="Q27" s="78"/>
    </row>
    <row r="28" spans="1:17" ht="55.8" thickBot="1" x14ac:dyDescent="0.35">
      <c r="A28" s="79"/>
      <c r="B28" s="27" t="s">
        <v>1</v>
      </c>
      <c r="C28" s="45" t="s">
        <v>37</v>
      </c>
      <c r="D28" s="46">
        <v>1</v>
      </c>
      <c r="E28" s="45" t="s">
        <v>37</v>
      </c>
      <c r="F28" s="45">
        <v>1</v>
      </c>
      <c r="G28" s="45" t="s">
        <v>37</v>
      </c>
      <c r="H28" s="45">
        <v>1</v>
      </c>
      <c r="I28" s="45" t="s">
        <v>37</v>
      </c>
      <c r="J28" s="45">
        <v>1</v>
      </c>
      <c r="K28" s="45" t="s">
        <v>37</v>
      </c>
      <c r="L28" s="45">
        <v>1</v>
      </c>
      <c r="M28" s="45"/>
      <c r="N28" s="47">
        <f>SUM(D28,F28,H28,J28,L28)</f>
        <v>5</v>
      </c>
      <c r="O28" s="27" t="s">
        <v>0</v>
      </c>
      <c r="P28" s="66"/>
      <c r="Q28" s="48" t="str">
        <f>IF(N28&gt;=5,"MEETS","DOES NOT MEET")</f>
        <v>MEETS</v>
      </c>
    </row>
    <row r="29" spans="1:17" x14ac:dyDescent="0.3">
      <c r="A29" s="67"/>
      <c r="B29" s="67"/>
      <c r="C29" s="67"/>
      <c r="D29" s="6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</sheetData>
  <mergeCells count="31">
    <mergeCell ref="A25:A26"/>
    <mergeCell ref="A21:A22"/>
    <mergeCell ref="A20:Q20"/>
    <mergeCell ref="B8:Q8"/>
    <mergeCell ref="A13:A17"/>
    <mergeCell ref="B14:B17"/>
    <mergeCell ref="C14:L14"/>
    <mergeCell ref="Q14:Q17"/>
    <mergeCell ref="N14:N17"/>
    <mergeCell ref="O14:O17"/>
    <mergeCell ref="P14:P17"/>
    <mergeCell ref="B5:Q5"/>
    <mergeCell ref="N6:N7"/>
    <mergeCell ref="O6:O7"/>
    <mergeCell ref="P6:P7"/>
    <mergeCell ref="Q6:Q7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Q3:Q4"/>
  </mergeCells>
  <conditionalFormatting sqref="Q6 Q22 Q18:Q19 Q9:Q14">
    <cfRule type="containsText" dxfId="19" priority="25" operator="containsText" text="MEETS">
      <formula>NOT(ISERROR(SEARCH("MEETS",Q6)))</formula>
    </cfRule>
    <cfRule type="containsText" dxfId="18" priority="26" operator="containsText" text="DOES NOT MEET">
      <formula>NOT(ISERROR(SEARCH("DOES NOT MEET",Q6)))</formula>
    </cfRule>
  </conditionalFormatting>
  <conditionalFormatting sqref="P6">
    <cfRule type="cellIs" dxfId="17" priority="24" operator="lessThan">
      <formula>0</formula>
    </cfRule>
  </conditionalFormatting>
  <conditionalFormatting sqref="F18 H18 L18 D18">
    <cfRule type="cellIs" dxfId="16" priority="23" operator="lessThan">
      <formula>0.75</formula>
    </cfRule>
  </conditionalFormatting>
  <conditionalFormatting sqref="Q26">
    <cfRule type="containsText" dxfId="15" priority="21" operator="containsText" text="MEETS">
      <formula>NOT(ISERROR(SEARCH("MEETS",Q26)))</formula>
    </cfRule>
    <cfRule type="containsText" dxfId="14" priority="22" operator="containsText" text="DOES NOT MEET">
      <formula>NOT(ISERROR(SEARCH("DOES NOT MEET",Q26)))</formula>
    </cfRule>
  </conditionalFormatting>
  <conditionalFormatting sqref="Q28">
    <cfRule type="containsText" dxfId="13" priority="17" operator="containsText" text="MEETS">
      <formula>NOT(ISERROR(SEARCH("MEETS",Q28)))</formula>
    </cfRule>
    <cfRule type="containsText" dxfId="12" priority="18" operator="containsText" text="DOES NOT MEET">
      <formula>NOT(ISERROR(SEARCH("DOES NOT MEET",Q28)))</formula>
    </cfRule>
  </conditionalFormatting>
  <conditionalFormatting sqref="D7">
    <cfRule type="cellIs" dxfId="11" priority="16" operator="lessThan">
      <formula>0.5</formula>
    </cfRule>
  </conditionalFormatting>
  <conditionalFormatting sqref="H7">
    <cfRule type="cellIs" dxfId="10" priority="15" operator="lessThan">
      <formula>0.5</formula>
    </cfRule>
  </conditionalFormatting>
  <conditionalFormatting sqref="J7">
    <cfRule type="cellIs" dxfId="9" priority="14" operator="lessThan">
      <formula>0.5</formula>
    </cfRule>
  </conditionalFormatting>
  <conditionalFormatting sqref="L7">
    <cfRule type="cellIs" dxfId="8" priority="13" operator="lessThan">
      <formula>0.5</formula>
    </cfRule>
  </conditionalFormatting>
  <conditionalFormatting sqref="F7">
    <cfRule type="cellIs" dxfId="7" priority="12" operator="lessThan">
      <formula>0.5</formula>
    </cfRule>
  </conditionalFormatting>
  <conditionalFormatting sqref="J18">
    <cfRule type="cellIs" dxfId="6" priority="11" operator="lessThan">
      <formula>0.75</formula>
    </cfRule>
  </conditionalFormatting>
  <conditionalFormatting sqref="Q21">
    <cfRule type="containsText" dxfId="5" priority="9" operator="containsText" text="MEETS">
      <formula>NOT(ISERROR(SEARCH("MEETS",Q21)))</formula>
    </cfRule>
    <cfRule type="containsText" dxfId="4" priority="10" operator="containsText" text="DOES NOT MEET">
      <formula>NOT(ISERROR(SEARCH("DOES NOT MEET",Q21)))</formula>
    </cfRule>
  </conditionalFormatting>
  <conditionalFormatting sqref="Q25">
    <cfRule type="containsText" dxfId="3" priority="7" operator="containsText" text="MEETS">
      <formula>NOT(ISERROR(SEARCH("MEETS",Q25)))</formula>
    </cfRule>
    <cfRule type="containsText" dxfId="2" priority="8" operator="containsText" text="DOES NOT MEET">
      <formula>NOT(ISERROR(SEARCH("DOES NOT MEET",Q25)))</formula>
    </cfRule>
  </conditionalFormatting>
  <conditionalFormatting sqref="Q23">
    <cfRule type="containsText" dxfId="1" priority="1" operator="containsText" text="MEETS">
      <formula>NOT(ISERROR(SEARCH("MEETS",Q23)))</formula>
    </cfRule>
    <cfRule type="containsText" dxfId="0" priority="2" operator="containsText" text="DOES NOT MEET">
      <formula>NOT(ISERROR(SEARCH("DOES NOT MEET",Q23)))</formula>
    </cfRule>
  </conditionalFormatting>
  <pageMargins left="0.7" right="0.7" top="0.80733333333333335" bottom="0.75" header="0.3" footer="0.3"/>
  <pageSetup scale="56" orientation="landscape" r:id="rId1"/>
  <headerFooter>
    <oddHeader>&amp;L&amp;G&amp;C&amp;18Sample Menu 
Grades 6-8 - Week #1        &amp;10       &amp;"-,Bold"&amp;16 
&amp;"-,Regular"&amp;12 (To meet requirements for K-5 and K-8, see footnote at bottom)</oddHeader>
    <oddFooter>&amp;L*  Nutrition analysis consists of a variety of salad dressing &amp;C&amp;"-,Bold"Meets K-5 and K-8 if dinner roll 1 oz. replaces garlic bread-2 oz.
3 corn dogs instead of 4, and replace Italian sub with a 
2 oz. m/ma turkey and cheese sandwich on round roll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6-8 (2)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2012-11-06T21:30:22Z</cp:lastPrinted>
  <dcterms:created xsi:type="dcterms:W3CDTF">2012-06-06T19:00:54Z</dcterms:created>
  <dcterms:modified xsi:type="dcterms:W3CDTF">2012-11-09T14:46:08Z</dcterms:modified>
</cp:coreProperties>
</file>