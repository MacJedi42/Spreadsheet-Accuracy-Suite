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0" yWindow="255" windowWidth="19200" windowHeight="11160"/>
  </bookViews>
  <sheets>
    <sheet name="PPI 001" sheetId="1" r:id="rId1"/>
    <sheet name="Certification Page" sheetId="9" r:id="rId2"/>
    <sheet name="PCS Parameter Codes" sheetId="7" r:id="rId3"/>
    <sheet name="Dropdown Menu" sheetId="8" state="hidden" r:id="rId4"/>
  </sheets>
  <definedNames>
    <definedName name="County">'Dropdown Menu'!$B$1:$B$101</definedName>
    <definedName name="Flow">'Dropdown Menu'!$F$1:$F$3</definedName>
    <definedName name="Month">'Dropdown Menu'!$A$1:$A$13</definedName>
    <definedName name="Parameters">'PCS Parameter Codes'!$B$1:$B$76</definedName>
    <definedName name="PCS">'PCS Parameter Codes'!$A$2:$A$76</definedName>
    <definedName name="PCSCODE">'PCS Parameter Codes'!$A$1:$A$76</definedName>
    <definedName name="PPI">'Dropdown Menu'!$D$1:$D$16</definedName>
    <definedName name="_xlnm.Print_Area" localSheetId="1">'Certification Page'!$A$1:$S$22</definedName>
    <definedName name="_xlnm.Print_Area" localSheetId="2">'PCS Parameter Codes'!$A$1:$D$76</definedName>
    <definedName name="_xlnm.Print_Area" localSheetId="0">'PPI 001'!$A$1:$S$43</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D39" i="1"/>
  <c r="D38"/>
  <c r="D37"/>
  <c r="S5"/>
  <c r="R5"/>
  <c r="Q5"/>
  <c r="P5"/>
  <c r="O5"/>
  <c r="N5"/>
  <c r="M5"/>
  <c r="L5"/>
  <c r="K5"/>
  <c r="J5"/>
  <c r="I5"/>
  <c r="H5"/>
  <c r="G5"/>
  <c r="F5"/>
  <c r="S37"/>
  <c r="R37"/>
  <c r="Q37"/>
  <c r="P37"/>
  <c r="O37"/>
  <c r="M37"/>
  <c r="L37"/>
  <c r="K37"/>
  <c r="S4"/>
  <c r="R4"/>
  <c r="Q4"/>
  <c r="P4"/>
  <c r="O4"/>
  <c r="N4"/>
  <c r="N37" s="1"/>
  <c r="M4"/>
  <c r="L4"/>
  <c r="K4"/>
  <c r="J4"/>
  <c r="J37" s="1"/>
  <c r="I4"/>
  <c r="I37" s="1"/>
  <c r="H4"/>
  <c r="H37" s="1"/>
  <c r="G4"/>
  <c r="G37" s="1"/>
  <c r="F4"/>
  <c r="F37" s="1"/>
  <c r="E5"/>
  <c r="E4"/>
  <c r="E37" s="1"/>
  <c r="S39"/>
  <c r="S38"/>
  <c r="R39"/>
  <c r="Q39"/>
  <c r="R38"/>
  <c r="Q38"/>
  <c r="P39"/>
  <c r="O39"/>
  <c r="P38"/>
  <c r="O38"/>
  <c r="N39"/>
  <c r="M39"/>
  <c r="N38"/>
  <c r="M38"/>
  <c r="L39"/>
  <c r="K39"/>
  <c r="L38"/>
  <c r="K38"/>
  <c r="J39"/>
  <c r="I39"/>
  <c r="J38"/>
  <c r="I38"/>
  <c r="H39"/>
  <c r="G39"/>
  <c r="H38"/>
  <c r="G38"/>
  <c r="C3" i="8"/>
  <c r="C4" s="1"/>
  <c r="C5" s="1"/>
  <c r="C6" s="1"/>
  <c r="C7" s="1"/>
  <c r="C8" s="1"/>
  <c r="C9" s="1"/>
  <c r="C10" s="1"/>
  <c r="C11" s="1"/>
  <c r="C12" s="1"/>
  <c r="C13" s="1"/>
  <c r="C14" s="1"/>
  <c r="C15" s="1"/>
  <c r="C16" s="1"/>
  <c r="C17" s="1"/>
  <c r="C18" s="1"/>
  <c r="C19" s="1"/>
  <c r="C20" s="1"/>
  <c r="C21" s="1"/>
  <c r="E38" i="1" l="1"/>
  <c r="F38"/>
  <c r="E39"/>
  <c r="F39"/>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<sst xmlns="http://schemas.openxmlformats.org/spreadsheetml/2006/main" count="513" uniqueCount="398">
  <si>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</si>
  <si>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</si>
  <si>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</si>
  <si>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</si>
  <si>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</si>
  <si>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</si>
  <si>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</si>
  <si>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</si>
  <si>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</si>
  <si>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</si>
  <si>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</si>
  <si>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</si>
  <si>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</si>
  <si>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</si>
  <si>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</si>
  <si>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</si>
  <si>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</si>
  <si>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</si>
  <si>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</si>
  <si>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</si>
  <si>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</si>
  <si>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</si>
  <si>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</si>
  <si>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</si>
  <si>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</si>
  <si>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</si>
  <si>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</si>
  <si>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</si>
  <si>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</si>
  <si>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</si>
  <si>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</si>
  <si>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</si>
  <si>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</si>
  <si>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</si>
  <si>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</si>
  <si>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</si>
  <si>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</si>
  <si>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</si>
  <si>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</si>
  <si>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</si>
  <si>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</si>
  <si>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</si>
  <si>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</si>
  <si>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</si>
  <si>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</si>
  <si>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</si>
  <si>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</si>
  <si>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</si>
  <si>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</si>
  <si>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</si>
  <si>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</si>
  <si>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</si>
  <si>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</si>
  <si>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</si>
  <si>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</si>
  <si>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</si>
  <si>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WQ09</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</si>
  <si>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</si>
  <si>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</si>
  <si>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</si>
  <si>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</si>
  <si>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</si>
  <si>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</si>
  <si>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</si>
  <si>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</si>
  <si>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</si>
  <si>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</si>
  <si>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</si>
  <si>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</si>
  <si>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</si>
  <si>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</si>
  <si>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</si>
  <si>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</si>
  <si>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</si>
  <si>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</si>
  <si>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</si>
  <si>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</si>
  <si>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</si>
  <si>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</si>
  <si>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</si>
  <si>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</si>
  <si>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</si>
  <si>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</si>
  <si>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</si>
  <si>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</si>
  <si>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</si>
  <si>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</si>
  <si>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</si>
  <si>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</si>
  <si>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</si>
  <si>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</si>
  <si>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</si>
  <si>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</si>
  <si>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</si>
  <si>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</si>
  <si>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</si>
  <si>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</si>
  <si>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</si>
  <si>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</si>
  <si>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</si>
  <si>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</si>
  <si>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</si>
  <si>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</si>
  <si>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</si>
  <si>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</si>
  <si>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</si>
  <si>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</si>
  <si>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</si>
  <si>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</si>
  <si>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</si>
  <si>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</si>
  <si>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</si>
  <si>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</si>
  <si>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</si>
  <si>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</si>
  <si>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</si>
  <si>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</si>
  <si>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</si>
  <si>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</si>
  <si>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</si>
  <si>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</si>
  <si>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</si>
  <si>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</si>
  <si>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</si>
  <si>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</si>
  <si>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</si>
  <si>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</si>
  <si>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</si>
  <si>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</si>
  <si>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</si>
  <si>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</si>
  <si>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</si>
  <si>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</si>
  <si>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</si>
  <si>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</si>
  <si>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</si>
  <si>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</si>
  <si>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</si>
  <si>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</si>
  <si>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</si>
  <si>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</si>
  <si>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</si>
  <si>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</si>
  <si>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</si>
  <si>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</si>
  <si>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</si>
  <si>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</si>
  <si>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</si>
  <si>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</si>
  <si>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</si>
  <si>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</si>
  <si>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</si>
  <si>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</si>
  <si>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</si>
  <si>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</si>
  <si>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</si>
  <si>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</si>
  <si>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</si>
  <si>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</si>
  <si>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</si>
  <si>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</si>
  <si>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</si>
  <si>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</si>
  <si>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</si>
  <si>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</si>
  <si>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</si>
  <si>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</si>
  <si>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</si>
  <si>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</si>
  <si>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</si>
  <si>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</si>
  <si>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</si>
  <si>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</si>
  <si>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</si>
  <si>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</si>
  <si>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</si>
  <si>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</si>
  <si>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</si>
  <si>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</si>
  <si>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</si>
  <si>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</si>
  <si>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</si>
  <si>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</si>
  <si>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</si>
  <si>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</si>
  <si>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</si>
  <si>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</si>
  <si>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</si>
  <si>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</si>
  <si>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</si>
  <si>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</si>
  <si>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</si>
  <si>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</si>
  <si>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</si>
  <si>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</si>
  <si>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</si>
  <si>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</si>
  <si>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</si>
  <si>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</si>
  <si>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</si>
  <si>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</si>
  <si>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</si>
  <si>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</si>
  <si>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</si>
  <si>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</si>
  <si>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</si>
  <si>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</si>
  <si>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</si>
  <si>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</si>
  <si>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</si>
  <si>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</si>
  <si>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</si>
  <si>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</si>
  <si>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</si>
  <si>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</si>
  <si>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</si>
  <si>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</si>
  <si>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</si>
  <si>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</si>
  <si>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</si>
  <si>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</si>
  <si>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</si>
  <si>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</si>
  <si>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</si>
  <si>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</si>
  <si>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</si>
  <si>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</si>
  <si>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</si>
  <si>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</si>
  <si>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</si>
  <si>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</si>
  <si>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</si>
  <si>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</si>
  <si>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</si>
  <si>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</si>
  <si>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</si>
  <si>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</si>
  <si>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</si>
  <si>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</si>
  <si>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</si>
  <si>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</si>
  <si>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</si>
  <si>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</si>
  <si>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</si>
  <si>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</si>
  <si>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</si>
  <si>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</si>
  <si>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</si>
  <si>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</si>
  <si>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</si>
  <si>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</si>
  <si>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</si>
  <si>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</si>
  <si>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</si>
  <si>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</si>
  <si>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</si>
  <si>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</si>
  <si>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</si>
  <si>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</si>
  <si>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</si>
  <si>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</si>
  <si>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</si>
  <si>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</si>
  <si>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</si>
  <si>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</si>
  <si>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</si>
  <si>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</si>
  <si>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</si>
  <si>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Plant Available Nitrogen - Loading</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</si>
  <si>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</si>
  <si>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</si>
  <si>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</si>
  <si>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</si>
  <si>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</si>
  <si>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</si>
  <si>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</si>
  <si>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</si>
  <si>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</si>
  <si>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</si>
  <si>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</si>
  <si>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</si>
  <si>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</si>
  <si>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</si>
  <si>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</si>
  <si>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</si>
  <si>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</si>
  <si>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</si>
  <si>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</si>
  <si>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</si>
  <si>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</si>
  <si>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</si>
  <si>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</si>
  <si>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</si>
  <si>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</si>
  <si>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</si>
  <si>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</si>
  <si>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</si>
  <si>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</si>
  <si>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</si>
  <si>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</si>
  <si>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</si>
  <si>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</si>
  <si>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</si>
  <si>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</si>
  <si>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</si>
  <si>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</si>
  <si>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</si>
  <si>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</si>
  <si>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</si>
  <si>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</si>
  <si>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</si>
  <si>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</si>
  <si>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</si>
  <si>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</si>
  <si>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</si>
  <si>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</si>
  <si>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</si>
  <si>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</si>
  <si>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</si>
  <si>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</si>
  <si>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</si>
  <si>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</si>
  <si>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</si>
  <si>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</si>
  <si>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</si>
  <si>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</si>
  <si>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</si>
  <si>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</si>
  <si>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</si>
  <si>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</si>
  <si>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</si>
  <si>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</si>
  <si>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</si>
  <si>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</si>
  <si>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</si>
  <si>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</si>
  <si>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</si>
  <si>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</si>
  <si>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</si>
  <si>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</si>
  <si>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</si>
  <si>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</si>
  <si>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</si>
  <si>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</si>
  <si>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</si>
  <si>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</si>
  <si>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</si>
  <si>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</si>
  <si>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</si>
  <si>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</si>
  <si>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</si>
  <si>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</si>
  <si>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</si>
  <si>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</si>
  <si>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</si>
  <si>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</si>
  <si>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</si>
  <si>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</si>
  <si>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</si>
  <si>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</si>
  <si>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</si>
  <si>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Total Coliform - MPN</t>
  </si>
  <si>
    <t>Fecal Coliform - Agar</t>
  </si>
  <si>
    <t>Fecal Coliform - Broth</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</si>
  <si>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</si>
  <si>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</si>
  <si>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</si>
  <si>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</si>
  <si>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</si>
  <si>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</si>
  <si>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</si>
  <si>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</si>
  <si>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</si>
  <si>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</si>
  <si>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</si>
  <si>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</si>
  <si>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Monthly Limit:</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</si>
  <si>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</si>
  <si>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</si>
  <si>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</si>
  <si>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</si>
  <si>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</si>
  <si>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</si>
  <si>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</si>
  <si>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</si>
  <si>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</si>
  <si>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</si>
  <si>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</si>
  <si>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</si>
  <si>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</si>
  <si>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</si>
  <si>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</si>
  <si>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</si>
  <si>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Continuous</t>
  </si>
  <si>
    <t>3 x Year</t>
  </si>
  <si>
    <t>Calculated</t>
  </si>
  <si>
    <t>WQ0002648</t>
  </si>
  <si>
    <t>Seagrove-Ulah Metropolitan Water District</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</si>
</sst>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sz val="8"/>
      <color rgb="FF000000"/>
      <name val="Trebuchet MS"/>
      <family val="2"/>
    </font>
    <font>
      <b/>
      <sz val="8"/>
      <name val="Trebuchet MS"/>
      <family val="2"/>
    </font>
    <font>
      <sz val="9"/>
      <name val="Arial"/>
      <family val="2"/>
    </font>
  </fonts>
  <fills count="5">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s>
  <borders count="64">
    <border>
      <left/>
      <right/>
      <top/>
      <bottom/>
      <diagonal/>
    </border>
    <border>
      <left/>
      <right style="thin">
        <color indexed="64"/>
      </right>
      <top style="thin">
        <color indexed="64"/>
      </top>
      <bottom style="thin">
        <color indexed="64"/>
      </bottom>
      <diagonal/>
    </border>
    <border>
      <left/>
      <right/>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style="medium">
        <color indexed="64"/>
      </left>
      <right style="thin">
        <color indexed="64"/>
      </right>
      <top style="medium">
        <color indexed="64"/>
      </top>
      <bottom style="thin">
        <color indexed="64"/>
      </bottom>
      <diagonal/>
    </border>
    <border>
      <left/>
      <right style="medium">
        <color indexed="64"/>
      </right>
      <top/>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indexed="64"/>
      </top>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double">
        <color indexed="64"/>
      </left>
      <right/>
      <top style="medium">
        <color indexed="64"/>
      </top>
      <bottom/>
      <diagonal/>
    </border>
    <border>
      <left style="thin">
        <color indexed="64"/>
      </left>
      <right style="medium">
        <color indexed="64"/>
      </right>
      <top style="double">
        <color indexed="64"/>
      </top>
      <bottom style="thin">
        <color indexed="64"/>
      </bottom>
      <diagonal/>
    </border>
    <border>
      <left style="thin">
        <color indexed="64"/>
      </left>
      <right/>
      <top/>
      <bottom style="medium">
        <color indexed="64"/>
      </bottom>
      <diagonal/>
    </border>
  </borders>
  <cellStyleXfs count="1">
    <xf numFmtId="0" fontId="0" fillId="0" borderId="0"/>
  </cellStyleXfs>
  <cellXfs count="190">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3" fontId="3" fillId="3" borderId="28" xfId="0" applyNumberFormat="1" applyFont="1" applyFill="1" applyBorder="1" applyAlignment="1" applyProtection="1">
      <alignment horizontal="center" vertical="center"/>
      <protection locked="0"/>
    </xf>
    <xf numFmtId="3" fontId="3" fillId="3" borderId="23" xfId="0" applyNumberFormat="1" applyFont="1" applyFill="1" applyBorder="1" applyAlignment="1" applyProtection="1">
      <alignment horizontal="center" vertical="center"/>
      <protection locked="0"/>
    </xf>
    <xf numFmtId="3" fontId="3" fillId="3" borderId="2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43" xfId="0" applyFont="1" applyFill="1" applyBorder="1" applyAlignment="1" applyProtection="1">
      <alignment horizontal="right" vertical="center"/>
    </xf>
    <xf numFmtId="0" fontId="4" fillId="2" borderId="43" xfId="0" applyFont="1" applyFill="1" applyBorder="1" applyAlignment="1" applyProtection="1">
      <alignment horizontal="center" vertical="center"/>
    </xf>
    <xf numFmtId="0" fontId="5" fillId="2" borderId="57" xfId="0" quotePrefix="1" applyFont="1" applyFill="1" applyBorder="1" applyAlignment="1" applyProtection="1">
      <alignment horizontal="left" vertical="center"/>
      <protection locked="0"/>
    </xf>
    <xf numFmtId="0" fontId="4" fillId="2" borderId="21" xfId="0" applyFont="1" applyFill="1" applyBorder="1" applyAlignment="1" applyProtection="1">
      <alignment horizontal="center" vertical="center" textRotation="90" wrapText="1"/>
    </xf>
    <xf numFmtId="0" fontId="4" fillId="2" borderId="14" xfId="0" applyFont="1" applyFill="1" applyBorder="1" applyAlignment="1" applyProtection="1">
      <alignment horizontal="center" vertical="center" textRotation="90" wrapText="1"/>
    </xf>
    <xf numFmtId="0" fontId="4" fillId="2" borderId="37" xfId="0" applyFont="1" applyFill="1" applyBorder="1" applyAlignment="1" applyProtection="1">
      <alignment horizontal="center" vertical="center"/>
    </xf>
    <xf numFmtId="164" fontId="4" fillId="2" borderId="24" xfId="0" applyNumberFormat="1" applyFont="1" applyFill="1" applyBorder="1" applyAlignment="1" applyProtection="1">
      <alignment horizontal="center" vertical="center"/>
      <protection locked="0"/>
    </xf>
    <xf numFmtId="0" fontId="4" fillId="2" borderId="31" xfId="0" applyFont="1" applyFill="1" applyBorder="1" applyAlignment="1" applyProtection="1">
      <alignment horizontal="center" vertical="center"/>
    </xf>
    <xf numFmtId="3" fontId="3" fillId="3" borderId="38" xfId="0" applyNumberFormat="1" applyFont="1" applyFill="1" applyBorder="1" applyAlignment="1" applyProtection="1">
      <alignment horizontal="center" vertical="center"/>
    </xf>
    <xf numFmtId="4" fontId="3" fillId="2" borderId="11"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3" fontId="3" fillId="3" borderId="30" xfId="0" applyNumberFormat="1" applyFont="1" applyFill="1" applyBorder="1" applyAlignment="1" applyProtection="1">
      <alignment horizontal="center" vertical="center"/>
    </xf>
    <xf numFmtId="3" fontId="3" fillId="3" borderId="40"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45"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2" xfId="0" applyFont="1" applyFill="1" applyBorder="1" applyAlignment="1" applyProtection="1">
      <alignment horizontal="center" vertical="center"/>
    </xf>
    <xf numFmtId="164" fontId="4" fillId="2" borderId="62" xfId="0" applyNumberFormat="1" applyFont="1" applyFill="1" applyBorder="1" applyAlignment="1" applyProtection="1">
      <alignment horizontal="center" vertical="center"/>
      <protection locked="0"/>
    </xf>
    <xf numFmtId="4" fontId="3" fillId="2" borderId="13"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4" fontId="3" fillId="2" borderId="19" xfId="0" applyNumberFormat="1" applyFont="1" applyFill="1" applyBorder="1" applyAlignment="1" applyProtection="1">
      <alignment horizontal="center" vertical="center"/>
    </xf>
    <xf numFmtId="4" fontId="3" fillId="2" borderId="5" xfId="0" applyNumberFormat="1" applyFont="1" applyFill="1" applyBorder="1" applyAlignment="1" applyProtection="1">
      <alignment horizontal="center" vertical="center"/>
    </xf>
    <xf numFmtId="4" fontId="3" fillId="4" borderId="11" xfId="0" applyNumberFormat="1" applyFont="1" applyFill="1" applyBorder="1" applyAlignment="1" applyProtection="1">
      <alignment horizontal="center" vertical="center"/>
    </xf>
    <xf numFmtId="4" fontId="3" fillId="4" borderId="13" xfId="0" applyNumberFormat="1" applyFont="1" applyFill="1" applyBorder="1" applyAlignment="1" applyProtection="1">
      <alignment horizontal="center" vertical="center"/>
    </xf>
    <xf numFmtId="4" fontId="3" fillId="4" borderId="19" xfId="0" applyNumberFormat="1" applyFont="1" applyFill="1" applyBorder="1" applyAlignment="1" applyProtection="1">
      <alignment horizontal="center" vertical="center"/>
    </xf>
    <xf numFmtId="164" fontId="4" fillId="3" borderId="24" xfId="0" applyNumberFormat="1" applyFont="1" applyFill="1" applyBorder="1" applyAlignment="1" applyProtection="1">
      <alignment horizontal="center" vertical="center"/>
    </xf>
    <xf numFmtId="164" fontId="4" fillId="2" borderId="24" xfId="0" applyNumberFormat="1" applyFont="1" applyFill="1" applyBorder="1" applyAlignment="1" applyProtection="1">
      <alignment horizontal="center" vertical="center"/>
    </xf>
    <xf numFmtId="164" fontId="4" fillId="2" borderId="5" xfId="0" applyNumberFormat="1" applyFont="1" applyFill="1" applyBorder="1" applyAlignment="1" applyProtection="1">
      <alignment horizontal="center" vertical="center"/>
    </xf>
    <xf numFmtId="0" fontId="4" fillId="3" borderId="23" xfId="0" applyFont="1" applyFill="1" applyBorder="1" applyAlignment="1" applyProtection="1">
      <alignment horizontal="center" vertical="center" textRotation="90" wrapText="1"/>
    </xf>
    <xf numFmtId="164" fontId="4" fillId="4" borderId="24" xfId="0" applyNumberFormat="1" applyFont="1" applyFill="1" applyBorder="1" applyAlignment="1" applyProtection="1">
      <alignment horizontal="center" vertical="center"/>
    </xf>
    <xf numFmtId="49" fontId="9" fillId="0" borderId="8" xfId="0" applyNumberFormat="1" applyFont="1" applyBorder="1" applyAlignment="1">
      <alignment horizontal="center" vertical="center"/>
    </xf>
    <xf numFmtId="0" fontId="9" fillId="0" borderId="8" xfId="0" applyFont="1" applyBorder="1" applyAlignment="1">
      <alignment horizontal="center" vertical="center"/>
    </xf>
    <xf numFmtId="0" fontId="9" fillId="0" borderId="8" xfId="0" quotePrefix="1" applyFont="1" applyBorder="1" applyAlignment="1">
      <alignment horizontal="center" vertical="center"/>
    </xf>
    <xf numFmtId="49" fontId="9" fillId="0" borderId="8" xfId="0" applyNumberFormat="1" applyFont="1" applyBorder="1" applyAlignment="1">
      <alignment horizontal="center" vertical="center" wrapText="1"/>
    </xf>
    <xf numFmtId="0" fontId="9" fillId="0" borderId="8" xfId="0" applyFont="1" applyFill="1" applyBorder="1" applyAlignment="1">
      <alignment horizontal="center" vertical="center"/>
    </xf>
    <xf numFmtId="49" fontId="13" fillId="0" borderId="8" xfId="0" applyNumberFormat="1" applyFont="1" applyBorder="1" applyAlignment="1">
      <alignment horizontal="center" vertical="center"/>
    </xf>
    <xf numFmtId="0" fontId="13" fillId="0" borderId="8" xfId="0" applyFont="1" applyBorder="1" applyAlignment="1">
      <alignment horizontal="center" vertical="center"/>
    </xf>
    <xf numFmtId="0" fontId="12" fillId="0" borderId="8" xfId="0" applyFont="1" applyBorder="1" applyAlignment="1">
      <alignment horizontal="center" vertical="center"/>
    </xf>
    <xf numFmtId="164" fontId="4" fillId="4" borderId="24" xfId="0" applyNumberFormat="1" applyFont="1" applyFill="1" applyBorder="1" applyAlignment="1" applyProtection="1">
      <alignment horizontal="center" vertical="center"/>
      <protection locked="0"/>
    </xf>
    <xf numFmtId="164" fontId="4" fillId="2" borderId="24" xfId="0" applyNumberFormat="1" applyFont="1" applyFill="1" applyBorder="1" applyAlignment="1" applyProtection="1">
      <alignment horizontal="center" vertical="center" textRotation="90" wrapText="1"/>
    </xf>
    <xf numFmtId="164" fontId="4" fillId="4" borderId="24" xfId="0" applyNumberFormat="1" applyFont="1" applyFill="1" applyBorder="1" applyAlignment="1" applyProtection="1">
      <alignment horizontal="center" vertical="center" textRotation="90" wrapText="1"/>
    </xf>
    <xf numFmtId="164" fontId="4" fillId="2" borderId="22" xfId="0" applyNumberFormat="1" applyFont="1" applyFill="1" applyBorder="1" applyAlignment="1" applyProtection="1">
      <alignment horizontal="center" vertical="center" textRotation="90" wrapText="1"/>
    </xf>
    <xf numFmtId="0" fontId="3" fillId="2" borderId="26" xfId="0" applyNumberFormat="1" applyFont="1" applyFill="1" applyBorder="1" applyAlignment="1" applyProtection="1">
      <alignment horizontal="center" vertical="center"/>
      <protection locked="0"/>
    </xf>
    <xf numFmtId="0" fontId="3" fillId="3" borderId="26"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3" borderId="8"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0" fontId="3" fillId="3" borderId="4" xfId="0" applyNumberFormat="1" applyFont="1" applyFill="1" applyBorder="1" applyAlignment="1" applyProtection="1">
      <alignment horizontal="center" vertical="center"/>
      <protection locked="0"/>
    </xf>
    <xf numFmtId="0" fontId="3" fillId="2" borderId="5" xfId="0" applyNumberFormat="1" applyFont="1" applyFill="1" applyBorder="1" applyAlignment="1" applyProtection="1">
      <alignment horizontal="center" vertical="center"/>
      <protection locked="0"/>
    </xf>
    <xf numFmtId="0" fontId="4" fillId="2" borderId="63" xfId="0" applyFont="1" applyFill="1" applyBorder="1" applyAlignment="1" applyProtection="1">
      <alignment horizontal="center" vertical="center"/>
    </xf>
    <xf numFmtId="164" fontId="4" fillId="3" borderId="25" xfId="0" applyNumberFormat="1" applyFont="1" applyFill="1" applyBorder="1" applyAlignment="1" applyProtection="1">
      <alignment horizontal="center" vertical="center"/>
    </xf>
    <xf numFmtId="3" fontId="14" fillId="3" borderId="26" xfId="0" applyNumberFormat="1" applyFont="1" applyFill="1" applyBorder="1" applyAlignment="1" applyProtection="1">
      <alignment horizontal="center" vertical="center"/>
      <protection locked="0"/>
    </xf>
    <xf numFmtId="3" fontId="14" fillId="2" borderId="26" xfId="0" applyNumberFormat="1" applyFont="1" applyFill="1" applyBorder="1" applyAlignment="1" applyProtection="1">
      <alignment horizontal="center" vertical="center"/>
      <protection locked="0"/>
    </xf>
    <xf numFmtId="3" fontId="14" fillId="2" borderId="20" xfId="0" applyNumberFormat="1" applyFont="1" applyFill="1" applyBorder="1" applyAlignment="1" applyProtection="1">
      <alignment horizontal="center" vertical="center"/>
      <protection locked="0"/>
    </xf>
    <xf numFmtId="0" fontId="3" fillId="4" borderId="8" xfId="0" applyNumberFormat="1" applyFont="1" applyFill="1" applyBorder="1" applyAlignment="1" applyProtection="1">
      <alignment horizontal="center" vertical="center"/>
      <protection locked="0"/>
    </xf>
    <xf numFmtId="3" fontId="14" fillId="3" borderId="10"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4" fillId="3" borderId="1" xfId="0" applyNumberFormat="1" applyFont="1" applyFill="1" applyBorder="1" applyAlignment="1" applyProtection="1">
      <alignment horizontal="center" vertical="center"/>
      <protection locked="0"/>
    </xf>
    <xf numFmtId="0" fontId="14" fillId="2" borderId="8" xfId="0" applyNumberFormat="1" applyFont="1" applyFill="1" applyBorder="1" applyAlignment="1" applyProtection="1">
      <alignment horizontal="center" vertical="center"/>
      <protection locked="0"/>
    </xf>
    <xf numFmtId="0" fontId="14" fillId="4" borderId="8" xfId="0" applyNumberFormat="1" applyFont="1" applyFill="1" applyBorder="1" applyAlignment="1" applyProtection="1">
      <alignment horizontal="center" vertical="center"/>
      <protection locked="0"/>
    </xf>
    <xf numFmtId="0" fontId="14" fillId="2" borderId="22" xfId="0" applyNumberFormat="1" applyFont="1" applyFill="1" applyBorder="1" applyAlignment="1" applyProtection="1">
      <alignment horizontal="center" vertical="center"/>
      <protection locked="0"/>
    </xf>
    <xf numFmtId="0" fontId="5" fillId="0" borderId="44" xfId="0" applyFont="1" applyBorder="1" applyAlignment="1" applyProtection="1">
      <alignment horizontal="center" vertical="center"/>
      <protection locked="0"/>
    </xf>
    <xf numFmtId="0" fontId="5" fillId="0" borderId="45" xfId="0" applyFont="1" applyBorder="1" applyAlignment="1" applyProtection="1">
      <alignment horizontal="center" vertical="center"/>
      <protection locked="0"/>
    </xf>
    <xf numFmtId="0" fontId="4" fillId="2" borderId="55" xfId="0" applyFont="1" applyFill="1" applyBorder="1" applyAlignment="1" applyProtection="1">
      <alignment horizontal="center" vertical="center"/>
    </xf>
    <xf numFmtId="0" fontId="0" fillId="0" borderId="56" xfId="0" applyBorder="1" applyAlignment="1" applyProtection="1">
      <alignment horizontal="center" vertical="center"/>
    </xf>
    <xf numFmtId="0" fontId="4" fillId="2" borderId="38" xfId="0" applyFont="1" applyFill="1" applyBorder="1" applyAlignment="1" applyProtection="1">
      <alignment horizontal="right" vertical="center"/>
    </xf>
    <xf numFmtId="0" fontId="3" fillId="2" borderId="9" xfId="0" applyFont="1" applyFill="1" applyBorder="1" applyAlignment="1" applyProtection="1">
      <alignment horizontal="right" vertical="center"/>
    </xf>
    <xf numFmtId="0" fontId="3" fillId="2" borderId="12" xfId="0" applyFont="1" applyFill="1" applyBorder="1" applyAlignment="1" applyProtection="1">
      <alignment horizontal="right" vertical="center"/>
    </xf>
    <xf numFmtId="0" fontId="4" fillId="2" borderId="46" xfId="0" applyFont="1" applyFill="1" applyBorder="1" applyAlignment="1" applyProtection="1">
      <alignment horizontal="center" vertical="center" textRotation="90"/>
    </xf>
    <xf numFmtId="0" fontId="3" fillId="2" borderId="36" xfId="0" applyFont="1" applyFill="1" applyBorder="1" applyAlignment="1" applyProtection="1">
      <alignment horizontal="center" vertical="center"/>
    </xf>
    <xf numFmtId="0" fontId="4" fillId="2" borderId="23" xfId="0" applyFont="1" applyFill="1" applyBorder="1" applyAlignment="1" applyProtection="1">
      <alignment horizontal="right" vertical="center"/>
    </xf>
    <xf numFmtId="0" fontId="0" fillId="0" borderId="8" xfId="0" applyBorder="1" applyAlignment="1">
      <alignment horizontal="right" vertical="center"/>
    </xf>
    <xf numFmtId="0" fontId="0" fillId="0" borderId="22" xfId="0" applyBorder="1" applyAlignment="1">
      <alignment horizontal="right" vertical="center"/>
    </xf>
    <xf numFmtId="0" fontId="4" fillId="2" borderId="28" xfId="0" applyFont="1" applyFill="1" applyBorder="1" applyAlignment="1" applyProtection="1">
      <alignment horizontal="right" vertical="center"/>
    </xf>
    <xf numFmtId="0" fontId="0" fillId="0" borderId="26" xfId="0" applyBorder="1" applyAlignment="1">
      <alignment horizontal="right" vertical="center"/>
    </xf>
    <xf numFmtId="0" fontId="0" fillId="0" borderId="20" xfId="0" applyBorder="1" applyAlignment="1">
      <alignment horizontal="right" vertical="center"/>
    </xf>
    <xf numFmtId="0" fontId="4" fillId="2" borderId="30" xfId="0" applyFont="1" applyFill="1" applyBorder="1" applyAlignment="1" applyProtection="1">
      <alignment horizontal="right" vertical="center"/>
    </xf>
    <xf numFmtId="0" fontId="3" fillId="2" borderId="7" xfId="0" applyFont="1" applyFill="1" applyBorder="1" applyAlignment="1" applyProtection="1">
      <alignment horizontal="right" vertical="center"/>
    </xf>
    <xf numFmtId="0" fontId="3" fillId="2" borderId="15" xfId="0" applyFont="1" applyFill="1" applyBorder="1" applyAlignment="1" applyProtection="1">
      <alignment horizontal="right" vertical="center"/>
    </xf>
    <xf numFmtId="0" fontId="4" fillId="2" borderId="40" xfId="0" applyFont="1" applyFill="1" applyBorder="1" applyAlignment="1" applyProtection="1">
      <alignment horizontal="right" vertical="center"/>
    </xf>
    <xf numFmtId="0" fontId="3" fillId="2" borderId="18" xfId="0" applyFont="1" applyFill="1" applyBorder="1" applyAlignment="1" applyProtection="1">
      <alignment horizontal="right" vertical="center"/>
    </xf>
    <xf numFmtId="0" fontId="3" fillId="2" borderId="3" xfId="0" applyFont="1" applyFill="1" applyBorder="1" applyAlignment="1" applyProtection="1">
      <alignment horizontal="right" vertical="center"/>
    </xf>
    <xf numFmtId="0" fontId="4" fillId="2" borderId="43" xfId="0" applyFont="1" applyFill="1" applyBorder="1" applyAlignment="1" applyProtection="1">
      <alignment horizontal="right" vertical="center"/>
    </xf>
    <xf numFmtId="0" fontId="0" fillId="0" borderId="44" xfId="0" applyBorder="1" applyAlignment="1" applyProtection="1">
      <alignment horizontal="right" vertical="center"/>
    </xf>
    <xf numFmtId="0" fontId="5" fillId="2" borderId="44" xfId="0" applyFont="1" applyFill="1" applyBorder="1" applyAlignment="1" applyProtection="1">
      <alignment horizontal="left" vertical="center"/>
      <protection locked="0"/>
    </xf>
    <xf numFmtId="0" fontId="5" fillId="2" borderId="45" xfId="0" applyFont="1" applyFill="1" applyBorder="1" applyAlignment="1" applyProtection="1">
      <alignment horizontal="left" vertical="center"/>
      <protection locked="0"/>
    </xf>
    <xf numFmtId="0" fontId="4" fillId="2" borderId="43" xfId="0" applyFont="1" applyFill="1" applyBorder="1" applyAlignment="1" applyProtection="1">
      <alignment horizontal="center" vertical="center"/>
    </xf>
    <xf numFmtId="0" fontId="0" fillId="0" borderId="44" xfId="0" applyBorder="1" applyAlignment="1" applyProtection="1">
      <alignment horizontal="center"/>
    </xf>
    <xf numFmtId="0" fontId="5" fillId="0" borderId="44" xfId="0" applyFont="1" applyBorder="1" applyAlignment="1" applyProtection="1">
      <alignment horizontal="left" vertical="center"/>
      <protection locked="0"/>
    </xf>
    <xf numFmtId="0" fontId="5" fillId="0" borderId="45" xfId="0" applyFont="1" applyBorder="1" applyAlignment="1" applyProtection="1">
      <alignment horizontal="left" vertical="center"/>
      <protection locked="0"/>
    </xf>
    <xf numFmtId="0" fontId="5" fillId="2" borderId="44" xfId="0" applyFont="1" applyFill="1" applyBorder="1" applyAlignment="1" applyProtection="1">
      <alignment horizontal="center" vertical="center"/>
      <protection locked="0"/>
    </xf>
    <xf numFmtId="0" fontId="3" fillId="0" borderId="7" xfId="0" applyFont="1" applyBorder="1" applyAlignment="1">
      <alignment horizontal="right" vertical="center"/>
    </xf>
    <xf numFmtId="0" fontId="3" fillId="0" borderId="15" xfId="0" applyFont="1" applyBorder="1" applyAlignment="1">
      <alignment horizontal="right" vertical="center"/>
    </xf>
    <xf numFmtId="0" fontId="0" fillId="0" borderId="7" xfId="0" applyBorder="1" applyAlignment="1">
      <alignment horizontal="right" vertical="center"/>
    </xf>
    <xf numFmtId="0" fontId="0" fillId="0" borderId="15" xfId="0" applyBorder="1" applyAlignment="1">
      <alignment horizontal="right" vertical="center"/>
    </xf>
    <xf numFmtId="0" fontId="4" fillId="2" borderId="55" xfId="0" applyFont="1" applyFill="1" applyBorder="1" applyAlignment="1" applyProtection="1">
      <alignment horizontal="left" vertical="center"/>
      <protection locked="0"/>
    </xf>
    <xf numFmtId="0" fontId="0" fillId="2" borderId="56" xfId="0" applyFill="1" applyBorder="1" applyAlignment="1" applyProtection="1">
      <protection locked="0"/>
    </xf>
    <xf numFmtId="0" fontId="0" fillId="2" borderId="57" xfId="0" applyFill="1" applyBorder="1" applyAlignment="1" applyProtection="1">
      <protection locked="0"/>
    </xf>
    <xf numFmtId="0" fontId="4" fillId="2" borderId="58" xfId="0" applyFont="1" applyFill="1" applyBorder="1" applyAlignment="1" applyProtection="1">
      <alignment horizontal="left" vertical="center"/>
    </xf>
    <xf numFmtId="0" fontId="3" fillId="2" borderId="59" xfId="0" applyFont="1" applyFill="1" applyBorder="1" applyAlignment="1" applyProtection="1">
      <alignment horizontal="left" vertical="center"/>
    </xf>
    <xf numFmtId="0" fontId="3" fillId="2" borderId="60" xfId="0" applyFont="1" applyFill="1" applyBorder="1" applyAlignment="1" applyProtection="1">
      <alignment horizontal="left" vertical="center"/>
    </xf>
    <xf numFmtId="0" fontId="4" fillId="2" borderId="35" xfId="0" applyFont="1" applyFill="1" applyBorder="1" applyAlignment="1" applyProtection="1">
      <alignment horizontal="center" vertical="center"/>
    </xf>
    <xf numFmtId="0" fontId="0" fillId="0" borderId="2" xfId="0" applyBorder="1" applyAlignment="1" applyProtection="1">
      <alignment horizontal="center" vertical="center"/>
    </xf>
    <xf numFmtId="0" fontId="5" fillId="2" borderId="2" xfId="0" applyFont="1" applyFill="1" applyBorder="1" applyAlignment="1" applyProtection="1">
      <alignment horizontal="left" vertical="center"/>
      <protection locked="0"/>
    </xf>
    <xf numFmtId="0" fontId="5" fillId="0" borderId="2" xfId="0" applyFont="1" applyBorder="1" applyAlignment="1" applyProtection="1">
      <alignment horizontal="left"/>
      <protection locked="0"/>
    </xf>
    <xf numFmtId="0" fontId="5" fillId="0" borderId="52" xfId="0" applyFont="1" applyBorder="1" applyAlignment="1" applyProtection="1">
      <alignment horizontal="left"/>
      <protection locked="0"/>
    </xf>
    <xf numFmtId="0" fontId="5" fillId="0" borderId="2" xfId="0" applyFont="1" applyBorder="1" applyAlignment="1" applyProtection="1">
      <alignment horizontal="left" vertical="center"/>
      <protection locked="0"/>
    </xf>
    <xf numFmtId="0" fontId="5" fillId="0" borderId="34" xfId="0" applyFont="1" applyBorder="1" applyAlignment="1" applyProtection="1">
      <alignment horizontal="left" vertical="center"/>
      <protection locked="0"/>
    </xf>
    <xf numFmtId="0" fontId="4" fillId="2" borderId="41" xfId="0" applyFont="1" applyFill="1" applyBorder="1" applyAlignment="1" applyProtection="1">
      <alignment horizontal="center" vertical="center"/>
    </xf>
    <xf numFmtId="0" fontId="0" fillId="2" borderId="27" xfId="0" applyFill="1" applyBorder="1" applyAlignment="1" applyProtection="1">
      <alignment horizontal="center" vertical="center"/>
    </xf>
    <xf numFmtId="0" fontId="0" fillId="2" borderId="49" xfId="0" applyFill="1" applyBorder="1" applyAlignment="1" applyProtection="1">
      <alignment horizontal="center" vertical="center"/>
    </xf>
    <xf numFmtId="0" fontId="4" fillId="2" borderId="27" xfId="0" applyFont="1" applyFill="1" applyBorder="1" applyAlignment="1" applyProtection="1">
      <alignment horizontal="center" vertical="center"/>
    </xf>
    <xf numFmtId="0" fontId="0" fillId="2" borderId="33" xfId="0" applyFill="1" applyBorder="1" applyAlignment="1" applyProtection="1">
      <alignment horizontal="center" vertical="center"/>
    </xf>
    <xf numFmtId="0" fontId="4" fillId="2" borderId="32" xfId="0" applyFont="1" applyFill="1" applyBorder="1" applyAlignment="1" applyProtection="1">
      <alignment horizontal="center" vertical="center"/>
    </xf>
    <xf numFmtId="0" fontId="0" fillId="0" borderId="0" xfId="0" applyAlignment="1" applyProtection="1">
      <alignment horizontal="center" vertical="center"/>
    </xf>
    <xf numFmtId="0" fontId="5" fillId="2" borderId="0" xfId="0" applyFont="1" applyFill="1" applyBorder="1" applyAlignment="1" applyProtection="1">
      <alignment horizontal="left" vertical="center"/>
      <protection locked="0"/>
    </xf>
    <xf numFmtId="0" fontId="5" fillId="0" borderId="0" xfId="0" applyFont="1" applyAlignment="1" applyProtection="1">
      <alignment horizontal="left"/>
      <protection locked="0"/>
    </xf>
    <xf numFmtId="0" fontId="5" fillId="0" borderId="48" xfId="0" applyFont="1" applyBorder="1" applyAlignment="1" applyProtection="1">
      <alignment horizontal="left"/>
      <protection locked="0"/>
    </xf>
    <xf numFmtId="0" fontId="5" fillId="0" borderId="0" xfId="0" applyFont="1" applyAlignment="1" applyProtection="1">
      <alignment horizontal="left" vertical="center"/>
      <protection locked="0"/>
    </xf>
    <xf numFmtId="0" fontId="5" fillId="0" borderId="29" xfId="0" applyFont="1" applyBorder="1" applyAlignment="1" applyProtection="1">
      <alignment horizontal="left" vertical="center"/>
      <protection locked="0"/>
    </xf>
    <xf numFmtId="0" fontId="2" fillId="2" borderId="27"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43" xfId="0" applyFont="1" applyFill="1" applyBorder="1" applyAlignment="1" applyProtection="1">
      <protection locked="0"/>
    </xf>
    <xf numFmtId="0" fontId="0" fillId="0" borderId="44" xfId="0" applyBorder="1" applyAlignment="1" applyProtection="1">
      <protection locked="0"/>
    </xf>
    <xf numFmtId="0" fontId="0" fillId="0" borderId="45" xfId="0" applyBorder="1" applyAlignment="1" applyProtection="1">
      <protection locked="0"/>
    </xf>
    <xf numFmtId="0" fontId="3" fillId="2" borderId="44" xfId="0" applyFont="1" applyFill="1" applyBorder="1" applyAlignment="1" applyProtection="1"/>
    <xf numFmtId="0" fontId="0" fillId="0" borderId="44" xfId="0" applyBorder="1" applyAlignment="1"/>
    <xf numFmtId="0" fontId="4" fillId="2" borderId="44" xfId="0" applyFont="1" applyFill="1" applyBorder="1" applyAlignment="1" applyProtection="1">
      <alignment horizontal="center" vertical="center"/>
    </xf>
    <xf numFmtId="0" fontId="4" fillId="2" borderId="53" xfId="0" applyFont="1" applyFill="1" applyBorder="1" applyAlignment="1" applyProtection="1">
      <alignment horizontal="center" vertical="center"/>
    </xf>
    <xf numFmtId="0" fontId="4" fillId="2" borderId="45" xfId="0" applyFont="1" applyFill="1" applyBorder="1" applyAlignment="1" applyProtection="1">
      <alignment horizontal="center" vertical="center"/>
    </xf>
    <xf numFmtId="0" fontId="5" fillId="2" borderId="0" xfId="0" applyFont="1" applyFill="1" applyAlignment="1" applyProtection="1">
      <alignment horizontal="left" vertical="center"/>
      <protection locked="0"/>
    </xf>
    <xf numFmtId="0" fontId="4" fillId="2" borderId="41" xfId="0" applyFont="1" applyFill="1" applyBorder="1" applyAlignment="1" applyProtection="1">
      <alignment horizontal="left" vertical="center"/>
    </xf>
    <xf numFmtId="0" fontId="0" fillId="0" borderId="27" xfId="0" applyBorder="1" applyAlignment="1" applyProtection="1">
      <alignment horizontal="left" vertical="center"/>
    </xf>
    <xf numFmtId="0" fontId="5" fillId="2" borderId="27" xfId="0" applyFont="1" applyFill="1" applyBorder="1" applyAlignment="1" applyProtection="1">
      <alignment horizontal="left" vertical="center"/>
      <protection locked="0"/>
    </xf>
    <xf numFmtId="0" fontId="5" fillId="0" borderId="27" xfId="0" applyFont="1" applyBorder="1" applyAlignment="1" applyProtection="1">
      <alignment horizontal="left" vertical="center"/>
      <protection locked="0"/>
    </xf>
    <xf numFmtId="0" fontId="5" fillId="0" borderId="49"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33" xfId="0" applyFont="1" applyBorder="1" applyAlignment="1" applyProtection="1">
      <alignment horizontal="left" vertical="center"/>
      <protection locked="0"/>
    </xf>
    <xf numFmtId="0" fontId="4" fillId="2" borderId="32" xfId="0" applyFont="1" applyFill="1" applyBorder="1" applyAlignment="1" applyProtection="1">
      <alignment horizontal="left" vertical="center"/>
    </xf>
    <xf numFmtId="0" fontId="0" fillId="0" borderId="0" xfId="0" applyAlignment="1" applyProtection="1">
      <alignment horizontal="left" vertical="center"/>
    </xf>
    <xf numFmtId="0" fontId="5" fillId="0" borderId="48" xfId="0" applyFont="1" applyBorder="1" applyAlignment="1" applyProtection="1">
      <alignment horizontal="left" vertical="center"/>
      <protection locked="0"/>
    </xf>
    <xf numFmtId="0" fontId="4" fillId="2" borderId="47" xfId="0" applyFont="1" applyFill="1" applyBorder="1" applyAlignment="1" applyProtection="1">
      <alignment horizontal="left" vertical="center"/>
    </xf>
    <xf numFmtId="0" fontId="4" fillId="2" borderId="0" xfId="0" applyFont="1" applyFill="1" applyBorder="1" applyAlignment="1" applyProtection="1">
      <alignment horizontal="left" vertical="center"/>
    </xf>
    <xf numFmtId="0" fontId="4" fillId="2" borderId="32"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8" xfId="0" applyFont="1" applyFill="1" applyBorder="1" applyAlignment="1" applyProtection="1">
      <alignment horizontal="left" vertical="center"/>
      <protection locked="0"/>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29" xfId="0" applyNumberFormat="1" applyFont="1" applyBorder="1" applyAlignment="1" applyProtection="1">
      <alignment horizontal="left" vertical="center"/>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3" fillId="2" borderId="0" xfId="0" applyFont="1" applyFill="1" applyBorder="1" applyAlignment="1" applyProtection="1">
      <protection locked="0"/>
    </xf>
    <xf numFmtId="0" fontId="0" fillId="2" borderId="29" xfId="0" applyFill="1" applyBorder="1" applyAlignment="1" applyProtection="1">
      <protection locked="0"/>
    </xf>
    <xf numFmtId="0" fontId="0" fillId="2" borderId="6" xfId="0" applyFill="1" applyBorder="1" applyAlignment="1" applyProtection="1">
      <protection locked="0"/>
    </xf>
    <xf numFmtId="0" fontId="0" fillId="2" borderId="39" xfId="0" applyFill="1" applyBorder="1" applyAlignment="1" applyProtection="1">
      <protection locked="0"/>
    </xf>
    <xf numFmtId="0" fontId="3" fillId="2" borderId="42" xfId="0" applyFont="1" applyFill="1" applyBorder="1" applyAlignment="1" applyProtection="1">
      <alignment horizontal="center" vertical="center"/>
    </xf>
    <xf numFmtId="0" fontId="0" fillId="2" borderId="17" xfId="0" applyFill="1" applyBorder="1" applyAlignment="1" applyProtection="1">
      <alignment horizontal="center" vertical="center"/>
    </xf>
    <xf numFmtId="0" fontId="3" fillId="2" borderId="17"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29" xfId="0" applyFill="1" applyBorder="1" applyAlignment="1" applyProtection="1">
      <alignment horizontal="center" vertical="center"/>
    </xf>
    <xf numFmtId="0" fontId="1" fillId="2" borderId="35"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2" borderId="52" xfId="0" applyFill="1" applyBorder="1" applyAlignment="1" applyProtection="1">
      <alignment horizontal="center" vertical="top" wrapText="1"/>
    </xf>
    <xf numFmtId="0" fontId="1" fillId="2" borderId="54" xfId="0" applyFont="1" applyFill="1" applyBorder="1" applyAlignment="1" applyProtection="1">
      <alignment horizontal="center" vertical="top" wrapText="1"/>
    </xf>
    <xf numFmtId="0" fontId="0" fillId="2" borderId="34" xfId="0" applyFill="1" applyBorder="1" applyAlignment="1" applyProtection="1">
      <alignment horizontal="center" vertical="top" wrapText="1"/>
    </xf>
    <xf numFmtId="0" fontId="3" fillId="2" borderId="32" xfId="0" applyFont="1" applyFill="1" applyBorder="1" applyAlignment="1" applyProtection="1"/>
    <xf numFmtId="0" fontId="0" fillId="2" borderId="0" xfId="0" applyFill="1" applyBorder="1" applyAlignment="1" applyProtection="1"/>
    <xf numFmtId="0" fontId="0" fillId="2" borderId="16" xfId="0" applyFill="1" applyBorder="1" applyAlignment="1" applyProtection="1"/>
    <xf numFmtId="0" fontId="0" fillId="2" borderId="6" xfId="0" applyFill="1" applyBorder="1" applyAlignment="1" applyProtection="1"/>
    <xf numFmtId="0" fontId="3" fillId="2" borderId="0" xfId="0" applyFont="1" applyFill="1" applyBorder="1" applyAlignment="1" applyProtection="1"/>
    <xf numFmtId="0" fontId="0" fillId="2" borderId="0" xfId="0" applyFill="1" applyAlignment="1" applyProtection="1"/>
    <xf numFmtId="0" fontId="0" fillId="2" borderId="48" xfId="0" applyFill="1" applyBorder="1" applyAlignment="1" applyProtection="1">
      <protection locked="0"/>
    </xf>
    <xf numFmtId="0" fontId="0" fillId="2" borderId="50" xfId="0" applyFill="1" applyBorder="1" applyAlignment="1" applyProtection="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135731</xdr:rowOff>
    </xdr:from>
    <xdr:to>
      <xdr:col>2</xdr:col>
      <xdr:colOff>561975</xdr:colOff>
      <xdr:row>2</xdr:row>
      <xdr:rowOff>135731</xdr:rowOff>
    </xdr:to>
    <xdr:cxnSp macro="">
      <xdr:nvCxnSpPr>
        <xdr:cNvPr id="1194" name="AutoShape 170"/>
        <xdr:cNvCxnSpPr>
          <a:cxnSpLocks noChangeShapeType="1"/>
        </xdr:cNvCxnSpPr>
      </xdr:nvCxnSpPr>
      <xdr:spPr bwMode="auto">
        <a:xfrm>
          <a:off x="1119188" y="707231"/>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1"/>
  <dimension ref="A1:T43"/>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96" t="s">
        <v>223</v>
      </c>
      <c r="B1" s="97"/>
      <c r="C1" s="98" t="s">
        <v>396</v>
      </c>
      <c r="D1" s="99"/>
      <c r="E1" s="100" t="s">
        <v>62</v>
      </c>
      <c r="F1" s="101"/>
      <c r="G1" s="98" t="s">
        <v>397</v>
      </c>
      <c r="H1" s="102"/>
      <c r="I1" s="102"/>
      <c r="J1" s="102"/>
      <c r="K1" s="103"/>
      <c r="L1" s="12" t="s">
        <v>65</v>
      </c>
      <c r="M1" s="104" t="s">
        <v>162</v>
      </c>
      <c r="N1" s="76"/>
      <c r="O1" s="12" t="s">
        <v>63</v>
      </c>
      <c r="P1" s="75"/>
      <c r="Q1" s="76"/>
      <c r="R1" s="13" t="s">
        <v>64</v>
      </c>
      <c r="S1" s="27"/>
      <c r="T1" s="3"/>
    </row>
    <row r="2" spans="1:20" ht="22.5" customHeight="1" thickBot="1">
      <c r="A2" s="77" t="s">
        <v>67</v>
      </c>
      <c r="B2" s="78"/>
      <c r="C2" s="14" t="s">
        <v>199</v>
      </c>
      <c r="D2" s="109" t="s">
        <v>370</v>
      </c>
      <c r="E2" s="110"/>
      <c r="F2" s="110"/>
      <c r="G2" s="110"/>
      <c r="H2" s="110"/>
      <c r="I2" s="110"/>
      <c r="J2" s="111"/>
      <c r="K2" s="109" t="s">
        <v>369</v>
      </c>
      <c r="L2" s="110"/>
      <c r="M2" s="110"/>
      <c r="N2" s="110"/>
      <c r="O2" s="110"/>
      <c r="P2" s="110"/>
      <c r="Q2" s="110"/>
      <c r="R2" s="110"/>
      <c r="S2" s="111"/>
    </row>
    <row r="3" spans="1:20" ht="18.75" customHeight="1" thickTop="1">
      <c r="A3" s="112" t="s">
        <v>61</v>
      </c>
      <c r="B3" s="113"/>
      <c r="C3" s="114"/>
      <c r="D3" s="38">
        <v>50050</v>
      </c>
      <c r="E3" s="18" t="s">
        <v>16</v>
      </c>
      <c r="F3" s="51" t="s">
        <v>25</v>
      </c>
      <c r="G3" s="18" t="s">
        <v>27</v>
      </c>
      <c r="H3" s="51" t="s">
        <v>37</v>
      </c>
      <c r="I3" s="18" t="s">
        <v>19</v>
      </c>
      <c r="J3" s="51" t="s">
        <v>48</v>
      </c>
      <c r="K3" s="18" t="s">
        <v>34</v>
      </c>
      <c r="L3" s="51" t="s">
        <v>33</v>
      </c>
      <c r="M3" s="18" t="s">
        <v>44</v>
      </c>
      <c r="N3" s="51" t="s">
        <v>15</v>
      </c>
      <c r="O3" s="18" t="s">
        <v>8</v>
      </c>
      <c r="P3" s="51" t="s">
        <v>45</v>
      </c>
      <c r="Q3" s="18"/>
      <c r="R3" s="51"/>
      <c r="S3" s="30"/>
    </row>
    <row r="4" spans="1:20" ht="71.25" customHeight="1">
      <c r="A4" s="82" t="s">
        <v>69</v>
      </c>
      <c r="B4" s="15" t="s">
        <v>382</v>
      </c>
      <c r="C4" s="16" t="s">
        <v>383</v>
      </c>
      <c r="D4" s="41" t="s">
        <v>230</v>
      </c>
      <c r="E4" s="52" t="str">
        <f>IF(ISBLANK(E$3), " ", VLOOKUP(E$3,'PCS Parameter Codes'!$A$1:$D$76,2,FALSE))</f>
        <v>BOD5</v>
      </c>
      <c r="F4" s="53" t="str">
        <f>IF(ISBLANK(F$3), " ", VLOOKUP(F$3,'PCS Parameter Codes'!$A$1:$D$76,2,FALSE))</f>
        <v>Calcium</v>
      </c>
      <c r="G4" s="52" t="str">
        <f>IF(ISBLANK(G$3), " ", VLOOKUP(G$3,'PCS Parameter Codes'!$A$1:$D$76,2,FALSE))</f>
        <v>Fecal Coliform - Broth</v>
      </c>
      <c r="H4" s="53" t="str">
        <f>IF(ISBLANK(H$3), " ", VLOOKUP(H$3,'PCS Parameter Codes'!$A$1:$D$76,2,FALSE))</f>
        <v>Magnesium</v>
      </c>
      <c r="I4" s="52" t="str">
        <f>IF(ISBLANK(I$3), " ", VLOOKUP(I$3,'PCS Parameter Codes'!$A$1:$D$76,2,FALSE))</f>
        <v>Nitrite + Nitrate</v>
      </c>
      <c r="J4" s="53" t="str">
        <f>IF(ISBLANK(J$3), " ", VLOOKUP(J$3,'PCS Parameter Codes'!$A$1:$D$76,2,FALSE))</f>
        <v>Ammonia</v>
      </c>
      <c r="K4" s="52" t="str">
        <f>IF(ISBLANK(K$3), " ", VLOOKUP(K$3,'PCS Parameter Codes'!$A$1:$D$76,2,FALSE))</f>
        <v>Total Kjeldahl Nitrogen</v>
      </c>
      <c r="L4" s="53" t="str">
        <f>IF(ISBLANK(L$3), " ", VLOOKUP(L$3,'PCS Parameter Codes'!$A$1:$D$76,2,FALSE))</f>
        <v>pH</v>
      </c>
      <c r="M4" s="52" t="str">
        <f>IF(ISBLANK(M$3), " ", VLOOKUP(M$3,'PCS Parameter Codes'!$A$1:$D$76,2,FALSE))</f>
        <v>Total Phosphorus</v>
      </c>
      <c r="N4" s="53" t="str">
        <f>IF(ISBLANK(N$3), " ", VLOOKUP(N$3,'PCS Parameter Codes'!$A$1:$D$76,2,FALSE))</f>
        <v>Sodium Adsorption Ratio</v>
      </c>
      <c r="O4" s="52" t="str">
        <f>IF(ISBLANK(O$3), " ", VLOOKUP(O$3,'PCS Parameter Codes'!$A$1:$D$76,2,FALSE))</f>
        <v>Sodium</v>
      </c>
      <c r="P4" s="53" t="str">
        <f>IF(ISBLANK(P$3), " ", VLOOKUP(P$3,'PCS Parameter Codes'!$A$1:$D$76,2,FALSE))</f>
        <v>Total Suspended Solids</v>
      </c>
      <c r="Q4" s="52" t="str">
        <f>IF(ISBLANK(Q$3), " ", VLOOKUP(Q$3,'PCS Parameter Codes'!$A$1:$D$76,2,FALSE))</f>
        <v xml:space="preserve"> </v>
      </c>
      <c r="R4" s="53" t="str">
        <f>IF(ISBLANK(R$3), " ", VLOOKUP(R$3,'PCS Parameter Codes'!$A$1:$D$76,2,FALSE))</f>
        <v xml:space="preserve"> </v>
      </c>
      <c r="S4" s="54" t="str">
        <f>IF(ISBLANK(S$3), " ", VLOOKUP(S$3,'PCS Parameter Codes'!$A$1:$D$76,2,FALSE))</f>
        <v xml:space="preserve"> </v>
      </c>
    </row>
    <row r="5" spans="1:20" ht="15.75" customHeight="1" thickBot="1">
      <c r="A5" s="83"/>
      <c r="B5" s="17" t="s">
        <v>70</v>
      </c>
      <c r="C5" s="63" t="s">
        <v>66</v>
      </c>
      <c r="D5" s="64" t="s">
        <v>231</v>
      </c>
      <c r="E5" s="39" t="str">
        <f>IF(ISBLANK(E$3), " ", VLOOKUP(E$3,'PCS Parameter Codes'!$A$1:$D$76,4,FALSE))</f>
        <v>mg/L</v>
      </c>
      <c r="F5" s="42" t="str">
        <f>IF(ISBLANK(F$3), " ", VLOOKUP(F$3,'PCS Parameter Codes'!$A$1:$D$76,4,FALSE))</f>
        <v>mg/L</v>
      </c>
      <c r="G5" s="39" t="str">
        <f>IF(ISBLANK(G$3), " ", VLOOKUP(G$3,'PCS Parameter Codes'!$A$1:$D$76,4,FALSE))</f>
        <v>#/100 mL</v>
      </c>
      <c r="H5" s="42" t="str">
        <f>IF(ISBLANK(H$3), " ", VLOOKUP(H$3,'PCS Parameter Codes'!$A$1:$D$76,4,FALSE))</f>
        <v>mg/L</v>
      </c>
      <c r="I5" s="39" t="str">
        <f>IF(ISBLANK(I$3), " ", VLOOKUP(I$3,'PCS Parameter Codes'!$A$1:$D$76,4,FALSE))</f>
        <v>mg/L</v>
      </c>
      <c r="J5" s="42" t="str">
        <f>IF(ISBLANK(J$3), " ", VLOOKUP(J$3,'PCS Parameter Codes'!$A$1:$D$76,4,FALSE))</f>
        <v>mg/L</v>
      </c>
      <c r="K5" s="39" t="str">
        <f>IF(ISBLANK(K$3), " ", VLOOKUP(K$3,'PCS Parameter Codes'!$A$1:$D$76,4,FALSE))</f>
        <v>mg/L</v>
      </c>
      <c r="L5" s="42" t="str">
        <f>IF(ISBLANK(L$3), " ", VLOOKUP(L$3,'PCS Parameter Codes'!$A$1:$D$76,4,FALSE))</f>
        <v>su</v>
      </c>
      <c r="M5" s="39" t="str">
        <f>IF(ISBLANK(M$3), " ", VLOOKUP(M$3,'PCS Parameter Codes'!$A$1:$D$76,4,FALSE))</f>
        <v>mg/L</v>
      </c>
      <c r="N5" s="42" t="str">
        <f>IF(ISBLANK(N$3), " ", VLOOKUP(N$3,'PCS Parameter Codes'!$A$1:$D$76,4,FALSE))</f>
        <v>Ratio</v>
      </c>
      <c r="O5" s="39" t="str">
        <f>IF(ISBLANK(O$3), " ", VLOOKUP(O$3,'PCS Parameter Codes'!$A$1:$D$76,4,FALSE))</f>
        <v>mg/L</v>
      </c>
      <c r="P5" s="42" t="str">
        <f>IF(ISBLANK(P$3), " ", VLOOKUP(P$3,'PCS Parameter Codes'!$A$1:$D$76,4,FALSE))</f>
        <v>mg/L</v>
      </c>
      <c r="Q5" s="39" t="str">
        <f>IF(ISBLANK(Q$3), " ", VLOOKUP(Q$3,'PCS Parameter Codes'!$A$1:$D$76,4,FALSE))</f>
        <v xml:space="preserve"> </v>
      </c>
      <c r="R5" s="42" t="str">
        <f>IF(ISBLANK(R$3), " ", VLOOKUP(R$3,'PCS Parameter Codes'!$A$1:$D$76,4,FALSE))</f>
        <v xml:space="preserve"> </v>
      </c>
      <c r="S5" s="40" t="str">
        <f>IF(ISBLANK(S$3), " ", VLOOKUP(S$3,'PCS Parameter Codes'!$A$1:$D$76,4,FALSE))</f>
        <v xml:space="preserve"> </v>
      </c>
    </row>
    <row r="6" spans="1:20" ht="15" customHeight="1">
      <c r="A6" s="19">
        <v>1</v>
      </c>
      <c r="B6" s="5"/>
      <c r="C6" s="6"/>
      <c r="D6" s="7"/>
      <c r="E6" s="55"/>
      <c r="F6" s="56"/>
      <c r="G6" s="55"/>
      <c r="H6" s="56"/>
      <c r="I6" s="55"/>
      <c r="J6" s="56"/>
      <c r="K6" s="55"/>
      <c r="L6" s="56"/>
      <c r="M6" s="55"/>
      <c r="N6" s="56"/>
      <c r="O6" s="55"/>
      <c r="P6" s="56"/>
      <c r="Q6" s="55"/>
      <c r="R6" s="56"/>
      <c r="S6" s="57"/>
    </row>
    <row r="7" spans="1:20" ht="15" customHeight="1">
      <c r="A7" s="19">
        <v>2</v>
      </c>
      <c r="B7" s="5"/>
      <c r="C7" s="6"/>
      <c r="D7" s="8"/>
      <c r="E7" s="6"/>
      <c r="F7" s="58"/>
      <c r="G7" s="6"/>
      <c r="H7" s="58"/>
      <c r="I7" s="6"/>
      <c r="J7" s="58"/>
      <c r="K7" s="6"/>
      <c r="L7" s="58"/>
      <c r="M7" s="6"/>
      <c r="N7" s="58"/>
      <c r="O7" s="6"/>
      <c r="P7" s="58"/>
      <c r="Q7" s="6"/>
      <c r="R7" s="58"/>
      <c r="S7" s="59"/>
    </row>
    <row r="8" spans="1:20" ht="15" customHeight="1">
      <c r="A8" s="19">
        <v>3</v>
      </c>
      <c r="B8" s="5"/>
      <c r="C8" s="6"/>
      <c r="D8" s="8"/>
      <c r="E8" s="6"/>
      <c r="F8" s="58"/>
      <c r="G8" s="6"/>
      <c r="H8" s="58"/>
      <c r="I8" s="6"/>
      <c r="J8" s="58"/>
      <c r="K8" s="6"/>
      <c r="L8" s="58"/>
      <c r="M8" s="6"/>
      <c r="N8" s="58"/>
      <c r="O8" s="6"/>
      <c r="P8" s="58"/>
      <c r="Q8" s="6"/>
      <c r="R8" s="58"/>
      <c r="S8" s="59"/>
    </row>
    <row r="9" spans="1:20" ht="15" customHeight="1">
      <c r="A9" s="19">
        <v>4</v>
      </c>
      <c r="B9" s="5"/>
      <c r="C9" s="6"/>
      <c r="D9" s="8"/>
      <c r="E9" s="6"/>
      <c r="F9" s="58"/>
      <c r="G9" s="6"/>
      <c r="H9" s="58"/>
      <c r="I9" s="6"/>
      <c r="J9" s="58"/>
      <c r="K9" s="6"/>
      <c r="L9" s="58"/>
      <c r="M9" s="6"/>
      <c r="N9" s="58"/>
      <c r="O9" s="6"/>
      <c r="P9" s="58"/>
      <c r="Q9" s="6"/>
      <c r="R9" s="58"/>
      <c r="S9" s="59"/>
    </row>
    <row r="10" spans="1:20" ht="15" customHeight="1">
      <c r="A10" s="19">
        <v>5</v>
      </c>
      <c r="B10" s="5"/>
      <c r="C10" s="6"/>
      <c r="D10" s="8"/>
      <c r="E10" s="6"/>
      <c r="F10" s="58"/>
      <c r="G10" s="6"/>
      <c r="H10" s="58"/>
      <c r="I10" s="6"/>
      <c r="J10" s="58"/>
      <c r="K10" s="6"/>
      <c r="L10" s="58"/>
      <c r="M10" s="6"/>
      <c r="N10" s="58"/>
      <c r="O10" s="6"/>
      <c r="P10" s="58"/>
      <c r="Q10" s="6"/>
      <c r="R10" s="58"/>
      <c r="S10" s="59"/>
    </row>
    <row r="11" spans="1:20" ht="15" customHeight="1">
      <c r="A11" s="19">
        <v>6</v>
      </c>
      <c r="B11" s="5"/>
      <c r="C11" s="6"/>
      <c r="D11" s="8"/>
      <c r="E11" s="6"/>
      <c r="F11" s="58"/>
      <c r="G11" s="6"/>
      <c r="H11" s="58"/>
      <c r="I11" s="6"/>
      <c r="J11" s="58"/>
      <c r="K11" s="6"/>
      <c r="L11" s="58"/>
      <c r="M11" s="6"/>
      <c r="N11" s="58"/>
      <c r="O11" s="6"/>
      <c r="P11" s="58"/>
      <c r="Q11" s="6"/>
      <c r="R11" s="58"/>
      <c r="S11" s="59"/>
    </row>
    <row r="12" spans="1:20" ht="15" customHeight="1">
      <c r="A12" s="19">
        <v>7</v>
      </c>
      <c r="B12" s="5"/>
      <c r="C12" s="6"/>
      <c r="D12" s="8"/>
      <c r="E12" s="6"/>
      <c r="F12" s="58"/>
      <c r="G12" s="6"/>
      <c r="H12" s="58"/>
      <c r="I12" s="6"/>
      <c r="J12" s="58"/>
      <c r="K12" s="6"/>
      <c r="L12" s="58"/>
      <c r="M12" s="6"/>
      <c r="N12" s="58"/>
      <c r="O12" s="6"/>
      <c r="P12" s="58"/>
      <c r="Q12" s="6"/>
      <c r="R12" s="58"/>
      <c r="S12" s="59"/>
    </row>
    <row r="13" spans="1:20" ht="15" customHeight="1">
      <c r="A13" s="19">
        <v>8</v>
      </c>
      <c r="B13" s="5"/>
      <c r="C13" s="6"/>
      <c r="D13" s="8"/>
      <c r="E13" s="6"/>
      <c r="F13" s="58"/>
      <c r="G13" s="6"/>
      <c r="H13" s="58"/>
      <c r="I13" s="6"/>
      <c r="J13" s="58"/>
      <c r="K13" s="6"/>
      <c r="L13" s="58"/>
      <c r="M13" s="6"/>
      <c r="N13" s="58"/>
      <c r="O13" s="6"/>
      <c r="P13" s="58"/>
      <c r="Q13" s="6"/>
      <c r="R13" s="58"/>
      <c r="S13" s="59"/>
    </row>
    <row r="14" spans="1:20" ht="15" customHeight="1">
      <c r="A14" s="19">
        <v>9</v>
      </c>
      <c r="B14" s="5"/>
      <c r="C14" s="6"/>
      <c r="D14" s="8"/>
      <c r="E14" s="6"/>
      <c r="F14" s="58"/>
      <c r="G14" s="6"/>
      <c r="H14" s="58"/>
      <c r="I14" s="6"/>
      <c r="J14" s="58"/>
      <c r="K14" s="6"/>
      <c r="L14" s="58"/>
      <c r="M14" s="6"/>
      <c r="N14" s="58"/>
      <c r="O14" s="6"/>
      <c r="P14" s="58"/>
      <c r="Q14" s="6"/>
      <c r="R14" s="58"/>
      <c r="S14" s="59"/>
    </row>
    <row r="15" spans="1:20" ht="15" customHeight="1">
      <c r="A15" s="19">
        <v>10</v>
      </c>
      <c r="B15" s="5"/>
      <c r="C15" s="6"/>
      <c r="D15" s="8"/>
      <c r="E15" s="6"/>
      <c r="F15" s="58"/>
      <c r="G15" s="6"/>
      <c r="H15" s="58"/>
      <c r="I15" s="6"/>
      <c r="J15" s="58"/>
      <c r="K15" s="6"/>
      <c r="L15" s="58"/>
      <c r="M15" s="6"/>
      <c r="N15" s="58"/>
      <c r="O15" s="6"/>
      <c r="P15" s="58"/>
      <c r="Q15" s="6"/>
      <c r="R15" s="58"/>
      <c r="S15" s="59"/>
    </row>
    <row r="16" spans="1:20" ht="15" customHeight="1">
      <c r="A16" s="19">
        <v>11</v>
      </c>
      <c r="B16" s="5"/>
      <c r="C16" s="6"/>
      <c r="D16" s="8"/>
      <c r="E16" s="6"/>
      <c r="F16" s="58"/>
      <c r="G16" s="6"/>
      <c r="H16" s="58"/>
      <c r="I16" s="6"/>
      <c r="J16" s="58"/>
      <c r="K16" s="6"/>
      <c r="L16" s="58"/>
      <c r="M16" s="6"/>
      <c r="N16" s="58"/>
      <c r="O16" s="6"/>
      <c r="P16" s="58"/>
      <c r="Q16" s="6"/>
      <c r="R16" s="58"/>
      <c r="S16" s="59"/>
    </row>
    <row r="17" spans="1:19" ht="15" customHeight="1">
      <c r="A17" s="19">
        <v>12</v>
      </c>
      <c r="B17" s="5"/>
      <c r="C17" s="6"/>
      <c r="D17" s="8"/>
      <c r="E17" s="6"/>
      <c r="F17" s="58"/>
      <c r="G17" s="6"/>
      <c r="H17" s="58"/>
      <c r="I17" s="6"/>
      <c r="J17" s="58"/>
      <c r="K17" s="6"/>
      <c r="L17" s="58"/>
      <c r="M17" s="6"/>
      <c r="N17" s="58"/>
      <c r="O17" s="6"/>
      <c r="P17" s="58"/>
      <c r="Q17" s="6"/>
      <c r="R17" s="58"/>
      <c r="S17" s="59"/>
    </row>
    <row r="18" spans="1:19" ht="15" customHeight="1">
      <c r="A18" s="19">
        <v>13</v>
      </c>
      <c r="B18" s="5"/>
      <c r="C18" s="6"/>
      <c r="D18" s="8"/>
      <c r="E18" s="6"/>
      <c r="F18" s="58"/>
      <c r="G18" s="6"/>
      <c r="H18" s="58"/>
      <c r="I18" s="6"/>
      <c r="J18" s="58"/>
      <c r="K18" s="6"/>
      <c r="L18" s="58"/>
      <c r="M18" s="6"/>
      <c r="N18" s="58"/>
      <c r="O18" s="6"/>
      <c r="P18" s="58"/>
      <c r="Q18" s="6"/>
      <c r="R18" s="58"/>
      <c r="S18" s="59"/>
    </row>
    <row r="19" spans="1:19" ht="15" customHeight="1">
      <c r="A19" s="19">
        <v>14</v>
      </c>
      <c r="B19" s="5"/>
      <c r="C19" s="6"/>
      <c r="D19" s="8"/>
      <c r="E19" s="6"/>
      <c r="F19" s="58"/>
      <c r="G19" s="6"/>
      <c r="H19" s="58"/>
      <c r="I19" s="6"/>
      <c r="J19" s="58"/>
      <c r="K19" s="6"/>
      <c r="L19" s="58"/>
      <c r="M19" s="6"/>
      <c r="N19" s="58"/>
      <c r="O19" s="6"/>
      <c r="P19" s="58"/>
      <c r="Q19" s="6"/>
      <c r="R19" s="58"/>
      <c r="S19" s="59"/>
    </row>
    <row r="20" spans="1:19" ht="15" customHeight="1">
      <c r="A20" s="19">
        <v>15</v>
      </c>
      <c r="B20" s="5"/>
      <c r="C20" s="6"/>
      <c r="D20" s="8"/>
      <c r="E20" s="6"/>
      <c r="F20" s="58"/>
      <c r="G20" s="6"/>
      <c r="H20" s="58"/>
      <c r="I20" s="6"/>
      <c r="J20" s="58"/>
      <c r="K20" s="6"/>
      <c r="L20" s="58"/>
      <c r="M20" s="6"/>
      <c r="N20" s="58"/>
      <c r="O20" s="6"/>
      <c r="P20" s="58"/>
      <c r="Q20" s="6"/>
      <c r="R20" s="58"/>
      <c r="S20" s="59"/>
    </row>
    <row r="21" spans="1:19" ht="15" customHeight="1">
      <c r="A21" s="19">
        <v>16</v>
      </c>
      <c r="B21" s="5"/>
      <c r="C21" s="6"/>
      <c r="D21" s="8"/>
      <c r="E21" s="6"/>
      <c r="F21" s="58"/>
      <c r="G21" s="6"/>
      <c r="H21" s="58"/>
      <c r="I21" s="6"/>
      <c r="J21" s="58"/>
      <c r="K21" s="6"/>
      <c r="L21" s="58"/>
      <c r="M21" s="6"/>
      <c r="N21" s="58"/>
      <c r="O21" s="6"/>
      <c r="P21" s="58"/>
      <c r="Q21" s="6"/>
      <c r="R21" s="58"/>
      <c r="S21" s="59"/>
    </row>
    <row r="22" spans="1:19" ht="15" customHeight="1">
      <c r="A22" s="19">
        <v>17</v>
      </c>
      <c r="B22" s="5"/>
      <c r="C22" s="6"/>
      <c r="D22" s="8"/>
      <c r="E22" s="6"/>
      <c r="F22" s="58"/>
      <c r="G22" s="6"/>
      <c r="H22" s="58"/>
      <c r="I22" s="6"/>
      <c r="J22" s="58"/>
      <c r="K22" s="6"/>
      <c r="L22" s="58"/>
      <c r="M22" s="6"/>
      <c r="N22" s="58"/>
      <c r="O22" s="6"/>
      <c r="P22" s="58"/>
      <c r="Q22" s="6"/>
      <c r="R22" s="58"/>
      <c r="S22" s="59"/>
    </row>
    <row r="23" spans="1:19" ht="15" customHeight="1">
      <c r="A23" s="19">
        <v>18</v>
      </c>
      <c r="B23" s="5"/>
      <c r="C23" s="6"/>
      <c r="D23" s="8"/>
      <c r="E23" s="6"/>
      <c r="F23" s="58"/>
      <c r="G23" s="6"/>
      <c r="H23" s="58"/>
      <c r="I23" s="6"/>
      <c r="J23" s="58"/>
      <c r="K23" s="6"/>
      <c r="L23" s="58"/>
      <c r="M23" s="6"/>
      <c r="N23" s="58"/>
      <c r="O23" s="6"/>
      <c r="P23" s="58"/>
      <c r="Q23" s="6"/>
      <c r="R23" s="58"/>
      <c r="S23" s="59"/>
    </row>
    <row r="24" spans="1:19" ht="15" customHeight="1">
      <c r="A24" s="19">
        <v>19</v>
      </c>
      <c r="B24" s="5"/>
      <c r="C24" s="6"/>
      <c r="D24" s="8"/>
      <c r="E24" s="6"/>
      <c r="F24" s="58"/>
      <c r="G24" s="6"/>
      <c r="H24" s="58"/>
      <c r="I24" s="6"/>
      <c r="J24" s="58"/>
      <c r="K24" s="6"/>
      <c r="L24" s="58"/>
      <c r="M24" s="6"/>
      <c r="N24" s="58"/>
      <c r="O24" s="6"/>
      <c r="P24" s="58"/>
      <c r="Q24" s="6"/>
      <c r="R24" s="58"/>
      <c r="S24" s="59"/>
    </row>
    <row r="25" spans="1:19" ht="15" customHeight="1">
      <c r="A25" s="19">
        <v>20</v>
      </c>
      <c r="B25" s="5"/>
      <c r="C25" s="6"/>
      <c r="D25" s="8"/>
      <c r="E25" s="6"/>
      <c r="F25" s="58"/>
      <c r="G25" s="6"/>
      <c r="H25" s="58"/>
      <c r="I25" s="6"/>
      <c r="J25" s="58"/>
      <c r="K25" s="6"/>
      <c r="L25" s="58"/>
      <c r="M25" s="6"/>
      <c r="N25" s="58"/>
      <c r="O25" s="6"/>
      <c r="P25" s="58"/>
      <c r="Q25" s="6"/>
      <c r="R25" s="58"/>
      <c r="S25" s="59"/>
    </row>
    <row r="26" spans="1:19" ht="15" customHeight="1">
      <c r="A26" s="19">
        <v>21</v>
      </c>
      <c r="B26" s="5"/>
      <c r="C26" s="6"/>
      <c r="D26" s="8"/>
      <c r="E26" s="6"/>
      <c r="F26" s="58"/>
      <c r="G26" s="6"/>
      <c r="H26" s="58"/>
      <c r="I26" s="6"/>
      <c r="J26" s="58"/>
      <c r="K26" s="6"/>
      <c r="L26" s="58"/>
      <c r="M26" s="6"/>
      <c r="N26" s="58"/>
      <c r="O26" s="6"/>
      <c r="P26" s="58"/>
      <c r="Q26" s="6"/>
      <c r="R26" s="58"/>
      <c r="S26" s="59"/>
    </row>
    <row r="27" spans="1:19" ht="15" customHeight="1">
      <c r="A27" s="19">
        <v>22</v>
      </c>
      <c r="B27" s="5"/>
      <c r="C27" s="6"/>
      <c r="D27" s="8"/>
      <c r="E27" s="6"/>
      <c r="F27" s="58"/>
      <c r="G27" s="6"/>
      <c r="H27" s="58"/>
      <c r="I27" s="6"/>
      <c r="J27" s="58"/>
      <c r="K27" s="6"/>
      <c r="L27" s="58"/>
      <c r="M27" s="6"/>
      <c r="N27" s="58"/>
      <c r="O27" s="6"/>
      <c r="P27" s="58"/>
      <c r="Q27" s="6"/>
      <c r="R27" s="58"/>
      <c r="S27" s="59"/>
    </row>
    <row r="28" spans="1:19" ht="15" customHeight="1">
      <c r="A28" s="19">
        <v>23</v>
      </c>
      <c r="B28" s="5"/>
      <c r="C28" s="6"/>
      <c r="D28" s="8"/>
      <c r="E28" s="6"/>
      <c r="F28" s="58"/>
      <c r="G28" s="6"/>
      <c r="H28" s="58"/>
      <c r="I28" s="6"/>
      <c r="J28" s="58"/>
      <c r="K28" s="6"/>
      <c r="L28" s="58"/>
      <c r="M28" s="6"/>
      <c r="N28" s="58"/>
      <c r="O28" s="6"/>
      <c r="P28" s="58"/>
      <c r="Q28" s="6"/>
      <c r="R28" s="58"/>
      <c r="S28" s="59"/>
    </row>
    <row r="29" spans="1:19" ht="15" customHeight="1">
      <c r="A29" s="19">
        <v>24</v>
      </c>
      <c r="B29" s="5"/>
      <c r="C29" s="6"/>
      <c r="D29" s="8"/>
      <c r="E29" s="6"/>
      <c r="F29" s="58"/>
      <c r="G29" s="6"/>
      <c r="H29" s="58"/>
      <c r="I29" s="6"/>
      <c r="J29" s="58"/>
      <c r="K29" s="6"/>
      <c r="L29" s="58"/>
      <c r="M29" s="6"/>
      <c r="N29" s="58"/>
      <c r="O29" s="6"/>
      <c r="P29" s="58"/>
      <c r="Q29" s="6"/>
      <c r="R29" s="58"/>
      <c r="S29" s="59"/>
    </row>
    <row r="30" spans="1:19" ht="15" customHeight="1">
      <c r="A30" s="19">
        <v>25</v>
      </c>
      <c r="B30" s="5"/>
      <c r="C30" s="6"/>
      <c r="D30" s="8"/>
      <c r="E30" s="6"/>
      <c r="F30" s="58"/>
      <c r="G30" s="6"/>
      <c r="H30" s="58"/>
      <c r="I30" s="6"/>
      <c r="J30" s="58"/>
      <c r="K30" s="6"/>
      <c r="L30" s="58"/>
      <c r="M30" s="6"/>
      <c r="N30" s="58"/>
      <c r="O30" s="6"/>
      <c r="P30" s="58"/>
      <c r="Q30" s="6"/>
      <c r="R30" s="58"/>
      <c r="S30" s="59"/>
    </row>
    <row r="31" spans="1:19" ht="15" customHeight="1">
      <c r="A31" s="19">
        <v>26</v>
      </c>
      <c r="B31" s="5"/>
      <c r="C31" s="6"/>
      <c r="D31" s="8"/>
      <c r="E31" s="6"/>
      <c r="F31" s="58"/>
      <c r="G31" s="6"/>
      <c r="H31" s="58"/>
      <c r="I31" s="6"/>
      <c r="J31" s="58"/>
      <c r="K31" s="6"/>
      <c r="L31" s="58"/>
      <c r="M31" s="6"/>
      <c r="N31" s="58"/>
      <c r="O31" s="6"/>
      <c r="P31" s="58"/>
      <c r="Q31" s="6"/>
      <c r="R31" s="58"/>
      <c r="S31" s="59"/>
    </row>
    <row r="32" spans="1:19" ht="15" customHeight="1">
      <c r="A32" s="19">
        <v>27</v>
      </c>
      <c r="B32" s="5"/>
      <c r="C32" s="6"/>
      <c r="D32" s="8"/>
      <c r="E32" s="6"/>
      <c r="F32" s="58"/>
      <c r="G32" s="6"/>
      <c r="H32" s="58"/>
      <c r="I32" s="6"/>
      <c r="J32" s="58"/>
      <c r="K32" s="6"/>
      <c r="L32" s="58"/>
      <c r="M32" s="6"/>
      <c r="N32" s="58"/>
      <c r="O32" s="6"/>
      <c r="P32" s="58"/>
      <c r="Q32" s="6"/>
      <c r="R32" s="58"/>
      <c r="S32" s="59"/>
    </row>
    <row r="33" spans="1:19" ht="15" customHeight="1">
      <c r="A33" s="19">
        <v>28</v>
      </c>
      <c r="B33" s="5"/>
      <c r="C33" s="6"/>
      <c r="D33" s="8"/>
      <c r="E33" s="6"/>
      <c r="F33" s="58"/>
      <c r="G33" s="6"/>
      <c r="H33" s="58"/>
      <c r="I33" s="6"/>
      <c r="J33" s="58"/>
      <c r="K33" s="6"/>
      <c r="L33" s="58"/>
      <c r="M33" s="6"/>
      <c r="N33" s="58"/>
      <c r="O33" s="6"/>
      <c r="P33" s="58"/>
      <c r="Q33" s="6"/>
      <c r="R33" s="58"/>
      <c r="S33" s="59"/>
    </row>
    <row r="34" spans="1:19" ht="15" customHeight="1">
      <c r="A34" s="19">
        <v>29</v>
      </c>
      <c r="B34" s="5"/>
      <c r="C34" s="6"/>
      <c r="D34" s="8"/>
      <c r="E34" s="6"/>
      <c r="F34" s="58"/>
      <c r="G34" s="6"/>
      <c r="H34" s="58"/>
      <c r="I34" s="6"/>
      <c r="J34" s="58"/>
      <c r="K34" s="6"/>
      <c r="L34" s="58"/>
      <c r="M34" s="6"/>
      <c r="N34" s="58"/>
      <c r="O34" s="6"/>
      <c r="P34" s="58"/>
      <c r="Q34" s="6"/>
      <c r="R34" s="58"/>
      <c r="S34" s="59"/>
    </row>
    <row r="35" spans="1:19" ht="15" customHeight="1">
      <c r="A35" s="19">
        <v>30</v>
      </c>
      <c r="B35" s="5"/>
      <c r="C35" s="6"/>
      <c r="D35" s="8"/>
      <c r="E35" s="6"/>
      <c r="F35" s="58"/>
      <c r="G35" s="6"/>
      <c r="H35" s="58"/>
      <c r="I35" s="6"/>
      <c r="J35" s="58"/>
      <c r="K35" s="6"/>
      <c r="L35" s="58"/>
      <c r="M35" s="6"/>
      <c r="N35" s="58"/>
      <c r="O35" s="6"/>
      <c r="P35" s="58"/>
      <c r="Q35" s="6"/>
      <c r="R35" s="58"/>
      <c r="S35" s="59"/>
    </row>
    <row r="36" spans="1:19" ht="15" customHeight="1" thickBot="1">
      <c r="A36" s="19">
        <v>31</v>
      </c>
      <c r="B36" s="5"/>
      <c r="C36" s="6"/>
      <c r="D36" s="9"/>
      <c r="E36" s="60"/>
      <c r="F36" s="61"/>
      <c r="G36" s="60"/>
      <c r="H36" s="61"/>
      <c r="I36" s="60"/>
      <c r="J36" s="61"/>
      <c r="K36" s="60"/>
      <c r="L36" s="61"/>
      <c r="M36" s="60"/>
      <c r="N36" s="61"/>
      <c r="O36" s="60"/>
      <c r="P36" s="61"/>
      <c r="Q36" s="60"/>
      <c r="R36" s="61"/>
      <c r="S36" s="62"/>
    </row>
    <row r="37" spans="1:19" ht="15" customHeight="1">
      <c r="A37" s="79" t="s">
        <v>71</v>
      </c>
      <c r="B37" s="80"/>
      <c r="C37" s="81"/>
      <c r="D37" s="20" t="str">
        <f>IF(ISBLANK($P$1)," ",AVERAGE(D6:D36))</f>
        <v xml:space="preserve"> </v>
      </c>
      <c r="E37" s="21" t="str">
        <f t="shared" ref="E37:S37" si="0">IF(ISBLANK($C$1)," ", IF(COUNT(E6:E36)=0, " ", IF(ISBLANK(E$4), " ", IF(E$4="pH"," ", IF(E$3="31616", GEOMEAN(E6:E36), IF(E$3="31613", GEOMEAN(E6:E36), IF(E$3="31505", GEOMEAN(E6:E36), IF(E$3="31504", GEOMEAN(E6:E36), AVERAGE(E6:E36)))))))))</f>
        <v xml:space="preserve"> </v>
      </c>
      <c r="F37" s="35" t="str">
        <f t="shared" si="0"/>
        <v xml:space="preserve"> </v>
      </c>
      <c r="G37" s="21" t="str">
        <f t="shared" si="0"/>
        <v xml:space="preserve"> </v>
      </c>
      <c r="H37" s="35" t="str">
        <f t="shared" si="0"/>
        <v xml:space="preserve"> </v>
      </c>
      <c r="I37" s="21" t="str">
        <f t="shared" si="0"/>
        <v xml:space="preserve"> </v>
      </c>
      <c r="J37" s="35" t="str">
        <f t="shared" si="0"/>
        <v xml:space="preserve"> </v>
      </c>
      <c r="K37" s="21" t="str">
        <f t="shared" si="0"/>
        <v xml:space="preserve"> </v>
      </c>
      <c r="L37" s="35" t="str">
        <f t="shared" si="0"/>
        <v xml:space="preserve"> </v>
      </c>
      <c r="M37" s="21" t="str">
        <f t="shared" si="0"/>
        <v xml:space="preserve"> </v>
      </c>
      <c r="N37" s="35" t="str">
        <f t="shared" si="0"/>
        <v xml:space="preserve"> </v>
      </c>
      <c r="O37" s="21" t="str">
        <f t="shared" si="0"/>
        <v xml:space="preserve"> </v>
      </c>
      <c r="P37" s="35" t="str">
        <f t="shared" si="0"/>
        <v xml:space="preserve"> </v>
      </c>
      <c r="Q37" s="21" t="str">
        <f t="shared" si="0"/>
        <v xml:space="preserve"> </v>
      </c>
      <c r="R37" s="35" t="str">
        <f t="shared" si="0"/>
        <v xml:space="preserve"> </v>
      </c>
      <c r="S37" s="22" t="str">
        <f t="shared" si="0"/>
        <v xml:space="preserve"> </v>
      </c>
    </row>
    <row r="38" spans="1:19" ht="15" customHeight="1">
      <c r="A38" s="90" t="s">
        <v>72</v>
      </c>
      <c r="B38" s="91"/>
      <c r="C38" s="92"/>
      <c r="D38" s="23" t="str">
        <f>IF(ISBLANK($P$1)," ",MAX(D6:D36))</f>
        <v xml:space="preserve"> </v>
      </c>
      <c r="E38" s="31" t="str">
        <f t="shared" ref="E38:S38" si="1">IF(ISBLANK($C$1)," ", IF(COUNT(E6:E36)=0, " ", IF(ISBLANK(E$4), " ", MAX(E6:E36))))</f>
        <v xml:space="preserve"> </v>
      </c>
      <c r="F38" s="36" t="str">
        <f t="shared" si="1"/>
        <v xml:space="preserve"> </v>
      </c>
      <c r="G38" s="31" t="str">
        <f t="shared" si="1"/>
        <v xml:space="preserve"> </v>
      </c>
      <c r="H38" s="36" t="str">
        <f t="shared" si="1"/>
        <v xml:space="preserve"> </v>
      </c>
      <c r="I38" s="31" t="str">
        <f t="shared" si="1"/>
        <v xml:space="preserve"> </v>
      </c>
      <c r="J38" s="36" t="str">
        <f t="shared" si="1"/>
        <v xml:space="preserve"> </v>
      </c>
      <c r="K38" s="31" t="str">
        <f t="shared" si="1"/>
        <v xml:space="preserve"> </v>
      </c>
      <c r="L38" s="36" t="str">
        <f t="shared" si="1"/>
        <v xml:space="preserve"> </v>
      </c>
      <c r="M38" s="31" t="str">
        <f t="shared" si="1"/>
        <v xml:space="preserve"> </v>
      </c>
      <c r="N38" s="36" t="str">
        <f t="shared" si="1"/>
        <v xml:space="preserve"> </v>
      </c>
      <c r="O38" s="31" t="str">
        <f t="shared" si="1"/>
        <v xml:space="preserve"> </v>
      </c>
      <c r="P38" s="36" t="str">
        <f t="shared" si="1"/>
        <v xml:space="preserve"> </v>
      </c>
      <c r="Q38" s="31" t="str">
        <f t="shared" si="1"/>
        <v xml:space="preserve"> </v>
      </c>
      <c r="R38" s="36" t="str">
        <f t="shared" si="1"/>
        <v xml:space="preserve"> </v>
      </c>
      <c r="S38" s="32" t="str">
        <f t="shared" si="1"/>
        <v xml:space="preserve"> </v>
      </c>
    </row>
    <row r="39" spans="1:19" ht="15" customHeight="1" thickBot="1">
      <c r="A39" s="93" t="s">
        <v>73</v>
      </c>
      <c r="B39" s="94"/>
      <c r="C39" s="95"/>
      <c r="D39" s="24" t="str">
        <f>IF(ISBLANK($P$1)," ",MIN(D6:D36))</f>
        <v xml:space="preserve"> </v>
      </c>
      <c r="E39" s="33" t="str">
        <f t="shared" ref="E39:S39" si="2">IF(ISBLANK($C$1)," ", IF(COUNT(E6:E36)=0, " ", IF(ISBLANK(E$4), " ", MIN(E6:E36))))</f>
        <v xml:space="preserve"> </v>
      </c>
      <c r="F39" s="37" t="str">
        <f t="shared" si="2"/>
        <v xml:space="preserve"> </v>
      </c>
      <c r="G39" s="33" t="str">
        <f t="shared" si="2"/>
        <v xml:space="preserve"> </v>
      </c>
      <c r="H39" s="37" t="str">
        <f t="shared" si="2"/>
        <v xml:space="preserve"> </v>
      </c>
      <c r="I39" s="33" t="str">
        <f t="shared" si="2"/>
        <v xml:space="preserve"> </v>
      </c>
      <c r="J39" s="37" t="str">
        <f t="shared" si="2"/>
        <v xml:space="preserve"> </v>
      </c>
      <c r="K39" s="33" t="str">
        <f t="shared" si="2"/>
        <v xml:space="preserve"> </v>
      </c>
      <c r="L39" s="37" t="str">
        <f t="shared" si="2"/>
        <v xml:space="preserve"> </v>
      </c>
      <c r="M39" s="33" t="str">
        <f t="shared" si="2"/>
        <v xml:space="preserve"> </v>
      </c>
      <c r="N39" s="37" t="str">
        <f t="shared" si="2"/>
        <v xml:space="preserve"> </v>
      </c>
      <c r="O39" s="33" t="str">
        <f t="shared" si="2"/>
        <v xml:space="preserve"> </v>
      </c>
      <c r="P39" s="37" t="str">
        <f t="shared" si="2"/>
        <v xml:space="preserve"> </v>
      </c>
      <c r="Q39" s="33" t="str">
        <f t="shared" si="2"/>
        <v xml:space="preserve"> </v>
      </c>
      <c r="R39" s="37" t="str">
        <f t="shared" si="2"/>
        <v xml:space="preserve"> </v>
      </c>
      <c r="S39" s="34" t="str">
        <f t="shared" si="2"/>
        <v xml:space="preserve"> </v>
      </c>
    </row>
    <row r="40" spans="1:19" ht="15" customHeight="1">
      <c r="A40" s="87" t="s">
        <v>365</v>
      </c>
      <c r="B40" s="88"/>
      <c r="C40" s="89"/>
      <c r="D40" s="69" t="s">
        <v>368</v>
      </c>
      <c r="E40" s="66" t="s">
        <v>366</v>
      </c>
      <c r="F40" s="65" t="s">
        <v>367</v>
      </c>
      <c r="G40" s="66" t="s">
        <v>367</v>
      </c>
      <c r="H40" s="65" t="s">
        <v>367</v>
      </c>
      <c r="I40" s="66" t="s">
        <v>367</v>
      </c>
      <c r="J40" s="65" t="s">
        <v>367</v>
      </c>
      <c r="K40" s="66" t="s">
        <v>367</v>
      </c>
      <c r="L40" s="65" t="s">
        <v>367</v>
      </c>
      <c r="M40" s="66" t="s">
        <v>367</v>
      </c>
      <c r="N40" s="65" t="s">
        <v>395</v>
      </c>
      <c r="O40" s="66" t="s">
        <v>367</v>
      </c>
      <c r="P40" s="65" t="s">
        <v>366</v>
      </c>
      <c r="Q40" s="66"/>
      <c r="R40" s="65"/>
      <c r="S40" s="67"/>
    </row>
    <row r="41" spans="1:19" ht="15" customHeight="1">
      <c r="A41" s="84" t="s">
        <v>376</v>
      </c>
      <c r="B41" s="85"/>
      <c r="C41" s="86"/>
      <c r="D41" s="70">
        <v>80000</v>
      </c>
      <c r="E41" s="6"/>
      <c r="F41" s="68"/>
      <c r="G41" s="6"/>
      <c r="H41" s="68"/>
      <c r="I41" s="6"/>
      <c r="J41" s="68"/>
      <c r="K41" s="6"/>
      <c r="L41" s="68"/>
      <c r="M41" s="6"/>
      <c r="N41" s="68"/>
      <c r="O41" s="6"/>
      <c r="P41" s="68"/>
      <c r="Q41" s="6"/>
      <c r="R41" s="68"/>
      <c r="S41" s="59"/>
    </row>
    <row r="42" spans="1:19" ht="15" customHeight="1">
      <c r="A42" s="90" t="s">
        <v>377</v>
      </c>
      <c r="B42" s="107"/>
      <c r="C42" s="108"/>
      <c r="D42" s="70"/>
      <c r="E42" s="6"/>
      <c r="F42" s="68"/>
      <c r="G42" s="6"/>
      <c r="H42" s="68"/>
      <c r="I42" s="6"/>
      <c r="J42" s="68"/>
      <c r="K42" s="6"/>
      <c r="L42" s="68"/>
      <c r="M42" s="6"/>
      <c r="N42" s="68"/>
      <c r="O42" s="6"/>
      <c r="P42" s="68"/>
      <c r="Q42" s="6"/>
      <c r="R42" s="68"/>
      <c r="S42" s="59"/>
    </row>
    <row r="43" spans="1:19" ht="15" customHeight="1">
      <c r="A43" s="90" t="s">
        <v>378</v>
      </c>
      <c r="B43" s="105"/>
      <c r="C43" s="106"/>
      <c r="D43" s="71" t="s">
        <v>393</v>
      </c>
      <c r="E43" s="72" t="s">
        <v>394</v>
      </c>
      <c r="F43" s="73" t="s">
        <v>394</v>
      </c>
      <c r="G43" s="72" t="s">
        <v>394</v>
      </c>
      <c r="H43" s="73" t="s">
        <v>394</v>
      </c>
      <c r="I43" s="72" t="s">
        <v>394</v>
      </c>
      <c r="J43" s="73" t="s">
        <v>394</v>
      </c>
      <c r="K43" s="72" t="s">
        <v>394</v>
      </c>
      <c r="L43" s="73" t="s">
        <v>394</v>
      </c>
      <c r="M43" s="72" t="s">
        <v>394</v>
      </c>
      <c r="N43" s="73" t="s">
        <v>394</v>
      </c>
      <c r="O43" s="72" t="s">
        <v>394</v>
      </c>
      <c r="P43" s="73" t="s">
        <v>394</v>
      </c>
      <c r="Q43" s="72"/>
      <c r="R43" s="73"/>
      <c r="S43" s="74"/>
    </row>
  </sheetData>
  <sheetProtection password="CD14" sheet="1" objects="1" scenarios="1" selectLockedCells="1"/>
  <mergeCells count="18">
    <mergeCell ref="A43:C43"/>
    <mergeCell ref="A42:C42"/>
    <mergeCell ref="D2:J2"/>
    <mergeCell ref="K2:S2"/>
    <mergeCell ref="A3:C3"/>
    <mergeCell ref="P1:Q1"/>
    <mergeCell ref="A2:B2"/>
    <mergeCell ref="A37:C37"/>
    <mergeCell ref="A4:A5"/>
    <mergeCell ref="A41:C41"/>
    <mergeCell ref="A40:C40"/>
    <mergeCell ref="A38:C38"/>
    <mergeCell ref="A39:C39"/>
    <mergeCell ref="A1:B1"/>
    <mergeCell ref="C1:D1"/>
    <mergeCell ref="E1:F1"/>
    <mergeCell ref="G1:K1"/>
    <mergeCell ref="M1:N1"/>
  </mergeCells>
  <phoneticPr fontId="0" type="noConversion"/>
  <dataValidations count="9">
    <dataValidation type="list" showInputMessage="1" showErrorMessage="1" sqref="E40:S40">
      <formula1>SamplingType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07-11&amp;C&amp;"Arial,Bold"&amp;12NON-DISCHARGE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sheetPr codeName="Sheet2"/>
  <dimension ref="A1:T22"/>
  <sheetViews>
    <sheetView zoomScale="80" zoomScaleNormal="80" workbookViewId="0">
      <selection activeCell="C2" sqref="C2:J2"/>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6" customFormat="1" ht="30" customHeight="1">
      <c r="A1" s="122" t="s">
        <v>82</v>
      </c>
      <c r="B1" s="123"/>
      <c r="C1" s="123"/>
      <c r="D1" s="123"/>
      <c r="E1" s="123"/>
      <c r="F1" s="123"/>
      <c r="G1" s="123"/>
      <c r="H1" s="123"/>
      <c r="I1" s="123"/>
      <c r="J1" s="124"/>
      <c r="K1" s="125" t="s">
        <v>83</v>
      </c>
      <c r="L1" s="123"/>
      <c r="M1" s="123"/>
      <c r="N1" s="123"/>
      <c r="O1" s="123"/>
      <c r="P1" s="123"/>
      <c r="Q1" s="123"/>
      <c r="R1" s="123"/>
      <c r="S1" s="126"/>
      <c r="T1" s="25"/>
    </row>
    <row r="2" spans="1:20" ht="30" customHeight="1">
      <c r="A2" s="127" t="s">
        <v>77</v>
      </c>
      <c r="B2" s="128"/>
      <c r="C2" s="129"/>
      <c r="D2" s="130"/>
      <c r="E2" s="130"/>
      <c r="F2" s="130"/>
      <c r="G2" s="130"/>
      <c r="H2" s="130"/>
      <c r="I2" s="130"/>
      <c r="J2" s="131"/>
      <c r="K2" s="28" t="s">
        <v>77</v>
      </c>
      <c r="L2" s="129"/>
      <c r="M2" s="132"/>
      <c r="N2" s="132"/>
      <c r="O2" s="132"/>
      <c r="P2" s="132"/>
      <c r="Q2" s="132"/>
      <c r="R2" s="132"/>
      <c r="S2" s="133"/>
      <c r="T2" s="3"/>
    </row>
    <row r="3" spans="1:20" ht="30" customHeight="1" thickBot="1">
      <c r="A3" s="115" t="s">
        <v>77</v>
      </c>
      <c r="B3" s="116"/>
      <c r="C3" s="117"/>
      <c r="D3" s="118"/>
      <c r="E3" s="118"/>
      <c r="F3" s="118"/>
      <c r="G3" s="118"/>
      <c r="H3" s="118"/>
      <c r="I3" s="118"/>
      <c r="J3" s="119"/>
      <c r="K3" s="29" t="s">
        <v>77</v>
      </c>
      <c r="L3" s="117"/>
      <c r="M3" s="120"/>
      <c r="N3" s="120"/>
      <c r="O3" s="120"/>
      <c r="P3" s="120"/>
      <c r="Q3" s="120"/>
      <c r="R3" s="120"/>
      <c r="S3" s="121"/>
      <c r="T3" s="3"/>
    </row>
    <row r="4" spans="1:20" ht="30" customHeight="1">
      <c r="A4" s="134" t="s">
        <v>86</v>
      </c>
      <c r="B4" s="134"/>
      <c r="C4" s="134"/>
      <c r="D4" s="134"/>
      <c r="E4" s="134"/>
      <c r="F4" s="134"/>
      <c r="G4" s="134"/>
      <c r="H4" s="134"/>
      <c r="I4" s="134"/>
      <c r="J4" s="134"/>
      <c r="K4" s="134"/>
      <c r="L4" s="134"/>
      <c r="M4" s="134"/>
      <c r="N4" s="134"/>
      <c r="O4" s="134"/>
      <c r="P4" s="134"/>
      <c r="Q4" s="134"/>
      <c r="R4" s="134"/>
      <c r="S4" s="134"/>
    </row>
    <row r="5" spans="1:20" ht="30" customHeight="1" thickBot="1">
      <c r="A5" s="135" t="s">
        <v>214</v>
      </c>
      <c r="B5" s="136"/>
      <c r="C5" s="136"/>
      <c r="D5" s="136"/>
      <c r="E5" s="136"/>
      <c r="F5" s="136"/>
      <c r="G5" s="136"/>
      <c r="H5" s="136"/>
      <c r="I5" s="136"/>
      <c r="J5" s="136"/>
      <c r="K5" s="136"/>
      <c r="L5" s="136"/>
      <c r="M5" s="136"/>
      <c r="N5" s="136"/>
      <c r="O5" s="136"/>
      <c r="P5" s="136"/>
      <c r="Q5" s="136"/>
      <c r="R5" s="136"/>
      <c r="S5" s="136"/>
    </row>
    <row r="6" spans="1:20" ht="168.75" customHeight="1" thickBot="1">
      <c r="A6" s="137"/>
      <c r="B6" s="138"/>
      <c r="C6" s="138"/>
      <c r="D6" s="138"/>
      <c r="E6" s="138"/>
      <c r="F6" s="138"/>
      <c r="G6" s="138"/>
      <c r="H6" s="138"/>
      <c r="I6" s="138"/>
      <c r="J6" s="138"/>
      <c r="K6" s="138"/>
      <c r="L6" s="138"/>
      <c r="M6" s="138"/>
      <c r="N6" s="138"/>
      <c r="O6" s="138"/>
      <c r="P6" s="138"/>
      <c r="Q6" s="138"/>
      <c r="R6" s="138"/>
      <c r="S6" s="139"/>
    </row>
    <row r="7" spans="1:20" ht="15" customHeight="1" thickBot="1">
      <c r="A7" s="140"/>
      <c r="B7" s="141"/>
      <c r="C7" s="141"/>
      <c r="D7" s="141"/>
      <c r="E7" s="141"/>
      <c r="F7" s="141"/>
      <c r="G7" s="141"/>
      <c r="H7" s="141"/>
      <c r="I7" s="141"/>
      <c r="J7" s="141"/>
      <c r="K7" s="141"/>
      <c r="L7" s="141"/>
      <c r="M7" s="141"/>
      <c r="N7" s="141"/>
      <c r="O7" s="141"/>
      <c r="P7" s="141"/>
      <c r="Q7" s="141"/>
      <c r="R7" s="141"/>
      <c r="S7" s="141"/>
    </row>
    <row r="8" spans="1:20" ht="30.75" customHeight="1" thickBot="1">
      <c r="A8" s="100" t="s">
        <v>75</v>
      </c>
      <c r="B8" s="142"/>
      <c r="C8" s="142"/>
      <c r="D8" s="142"/>
      <c r="E8" s="142"/>
      <c r="F8" s="142"/>
      <c r="G8" s="142"/>
      <c r="H8" s="142"/>
      <c r="I8" s="142"/>
      <c r="J8" s="142"/>
      <c r="K8" s="143" t="s">
        <v>76</v>
      </c>
      <c r="L8" s="142"/>
      <c r="M8" s="142"/>
      <c r="N8" s="142"/>
      <c r="O8" s="142"/>
      <c r="P8" s="142"/>
      <c r="Q8" s="142"/>
      <c r="R8" s="142"/>
      <c r="S8" s="144"/>
    </row>
    <row r="9" spans="1:20" ht="30.75" customHeight="1">
      <c r="A9" s="146" t="s">
        <v>219</v>
      </c>
      <c r="B9" s="147"/>
      <c r="C9" s="148"/>
      <c r="D9" s="149"/>
      <c r="E9" s="149"/>
      <c r="F9" s="149"/>
      <c r="G9" s="149"/>
      <c r="H9" s="149"/>
      <c r="I9" s="149"/>
      <c r="J9" s="150"/>
      <c r="K9" s="151" t="s">
        <v>215</v>
      </c>
      <c r="L9" s="147"/>
      <c r="M9" s="148"/>
      <c r="N9" s="149"/>
      <c r="O9" s="149"/>
      <c r="P9" s="149"/>
      <c r="Q9" s="149"/>
      <c r="R9" s="149"/>
      <c r="S9" s="152"/>
    </row>
    <row r="10" spans="1:20" ht="30.75" customHeight="1">
      <c r="A10" s="153" t="s">
        <v>220</v>
      </c>
      <c r="B10" s="154"/>
      <c r="C10" s="154"/>
      <c r="D10" s="129"/>
      <c r="E10" s="132"/>
      <c r="F10" s="132"/>
      <c r="G10" s="132"/>
      <c r="H10" s="132"/>
      <c r="I10" s="132"/>
      <c r="J10" s="155"/>
      <c r="K10" s="156" t="s">
        <v>216</v>
      </c>
      <c r="L10" s="154"/>
      <c r="M10" s="145"/>
      <c r="N10" s="132"/>
      <c r="O10" s="132"/>
      <c r="P10" s="132"/>
      <c r="Q10" s="132"/>
      <c r="R10" s="132"/>
      <c r="S10" s="133"/>
    </row>
    <row r="11" spans="1:20" ht="30.75" customHeight="1">
      <c r="A11" s="153" t="s">
        <v>221</v>
      </c>
      <c r="B11" s="154"/>
      <c r="C11" s="129"/>
      <c r="D11" s="129"/>
      <c r="E11" s="157" t="s">
        <v>78</v>
      </c>
      <c r="F11" s="154"/>
      <c r="G11" s="129"/>
      <c r="H11" s="132"/>
      <c r="I11" s="132"/>
      <c r="J11" s="155"/>
      <c r="K11" s="156" t="s">
        <v>217</v>
      </c>
      <c r="L11" s="154"/>
      <c r="M11" s="154"/>
      <c r="N11" s="145"/>
      <c r="O11" s="132"/>
      <c r="P11" s="132"/>
      <c r="Q11" s="132"/>
      <c r="R11" s="132"/>
      <c r="S11" s="133"/>
    </row>
    <row r="12" spans="1:20" ht="30.75" customHeight="1">
      <c r="A12" s="158" t="s">
        <v>222</v>
      </c>
      <c r="B12" s="159"/>
      <c r="C12" s="159"/>
      <c r="D12" s="159"/>
      <c r="E12" s="159"/>
      <c r="F12" s="159"/>
      <c r="G12" s="159"/>
      <c r="H12" s="159"/>
      <c r="I12" s="159"/>
      <c r="J12" s="160"/>
      <c r="K12" s="156" t="s">
        <v>218</v>
      </c>
      <c r="L12" s="154"/>
      <c r="M12" s="129"/>
      <c r="N12" s="132"/>
      <c r="O12" s="132"/>
      <c r="P12" s="161" t="s">
        <v>364</v>
      </c>
      <c r="Q12" s="154"/>
      <c r="R12" s="162"/>
      <c r="S12" s="163"/>
    </row>
    <row r="13" spans="1:20" ht="22.5" customHeight="1">
      <c r="A13" s="182"/>
      <c r="B13" s="183"/>
      <c r="C13" s="183"/>
      <c r="D13" s="183"/>
      <c r="E13" s="183"/>
      <c r="F13" s="183"/>
      <c r="G13" s="183"/>
      <c r="H13" s="186"/>
      <c r="I13" s="166"/>
      <c r="J13" s="188"/>
      <c r="K13" s="186"/>
      <c r="L13" s="183"/>
      <c r="M13" s="183"/>
      <c r="N13" s="183"/>
      <c r="O13" s="183"/>
      <c r="P13" s="183"/>
      <c r="Q13" s="186"/>
      <c r="R13" s="166"/>
      <c r="S13" s="167"/>
    </row>
    <row r="14" spans="1:20" ht="22.5" customHeight="1">
      <c r="A14" s="184"/>
      <c r="B14" s="185"/>
      <c r="C14" s="185"/>
      <c r="D14" s="185"/>
      <c r="E14" s="185"/>
      <c r="F14" s="185"/>
      <c r="G14" s="185"/>
      <c r="H14" s="186"/>
      <c r="I14" s="168"/>
      <c r="J14" s="189"/>
      <c r="K14" s="185"/>
      <c r="L14" s="185"/>
      <c r="M14" s="185"/>
      <c r="N14" s="185"/>
      <c r="O14" s="185"/>
      <c r="P14" s="185"/>
      <c r="Q14" s="186"/>
      <c r="R14" s="168"/>
      <c r="S14" s="169"/>
    </row>
    <row r="15" spans="1:20" ht="30" customHeight="1">
      <c r="A15" s="170" t="s">
        <v>79</v>
      </c>
      <c r="B15" s="171"/>
      <c r="C15" s="171"/>
      <c r="D15" s="171"/>
      <c r="E15" s="171"/>
      <c r="F15" s="171"/>
      <c r="G15" s="171"/>
      <c r="H15" s="187"/>
      <c r="I15" s="172" t="s">
        <v>2</v>
      </c>
      <c r="J15" s="173"/>
      <c r="K15" s="174" t="s">
        <v>79</v>
      </c>
      <c r="L15" s="175"/>
      <c r="M15" s="175"/>
      <c r="N15" s="175"/>
      <c r="O15" s="175"/>
      <c r="P15" s="175"/>
      <c r="Q15" s="187"/>
      <c r="R15" s="174" t="s">
        <v>2</v>
      </c>
      <c r="S15" s="176"/>
    </row>
    <row r="16" spans="1:20" ht="68.25" customHeight="1" thickBot="1">
      <c r="A16" s="177" t="s">
        <v>80</v>
      </c>
      <c r="B16" s="178"/>
      <c r="C16" s="178"/>
      <c r="D16" s="178"/>
      <c r="E16" s="178"/>
      <c r="F16" s="178"/>
      <c r="G16" s="178"/>
      <c r="H16" s="178"/>
      <c r="I16" s="178"/>
      <c r="J16" s="179"/>
      <c r="K16" s="180" t="s">
        <v>81</v>
      </c>
      <c r="L16" s="178"/>
      <c r="M16" s="178"/>
      <c r="N16" s="178"/>
      <c r="O16" s="178"/>
      <c r="P16" s="178"/>
      <c r="Q16" s="178"/>
      <c r="R16" s="178"/>
      <c r="S16" s="181"/>
    </row>
    <row r="17" spans="1:19" ht="15" customHeight="1">
      <c r="A17" s="164"/>
      <c r="B17" s="165"/>
      <c r="C17" s="165"/>
      <c r="D17" s="165"/>
      <c r="E17" s="165"/>
      <c r="F17" s="165"/>
      <c r="G17" s="165"/>
      <c r="H17" s="165"/>
      <c r="I17" s="165"/>
      <c r="J17" s="165"/>
      <c r="K17" s="165"/>
      <c r="L17" s="165"/>
      <c r="M17" s="165"/>
      <c r="N17" s="165"/>
      <c r="O17" s="165"/>
      <c r="P17" s="165"/>
      <c r="Q17" s="165"/>
      <c r="R17" s="165"/>
      <c r="S17" s="165"/>
    </row>
    <row r="18" spans="1:19" ht="15" customHeight="1">
      <c r="A18" s="164" t="s">
        <v>85</v>
      </c>
      <c r="B18" s="165"/>
      <c r="C18" s="165"/>
      <c r="D18" s="165"/>
      <c r="E18" s="165"/>
      <c r="F18" s="165"/>
      <c r="G18" s="165"/>
      <c r="H18" s="165"/>
      <c r="I18" s="165"/>
      <c r="J18" s="165"/>
      <c r="K18" s="165"/>
      <c r="L18" s="165"/>
      <c r="M18" s="165"/>
      <c r="N18" s="165"/>
      <c r="O18" s="165"/>
      <c r="P18" s="165"/>
      <c r="Q18" s="165"/>
      <c r="R18" s="165"/>
      <c r="S18" s="165"/>
    </row>
    <row r="19" spans="1:19" ht="15" customHeight="1">
      <c r="A19" s="164" t="s">
        <v>55</v>
      </c>
      <c r="B19" s="165"/>
      <c r="C19" s="165"/>
      <c r="D19" s="165"/>
      <c r="E19" s="165"/>
      <c r="F19" s="165"/>
      <c r="G19" s="165"/>
      <c r="H19" s="165"/>
      <c r="I19" s="165"/>
      <c r="J19" s="165"/>
      <c r="K19" s="165"/>
      <c r="L19" s="165"/>
      <c r="M19" s="165"/>
      <c r="N19" s="165"/>
      <c r="O19" s="165"/>
      <c r="P19" s="165"/>
      <c r="Q19" s="165"/>
      <c r="R19" s="165"/>
      <c r="S19" s="165"/>
    </row>
    <row r="20" spans="1:19" ht="15" customHeight="1">
      <c r="A20" s="164" t="s">
        <v>68</v>
      </c>
      <c r="B20" s="165"/>
      <c r="C20" s="165"/>
      <c r="D20" s="165"/>
      <c r="E20" s="165"/>
      <c r="F20" s="165"/>
      <c r="G20" s="165"/>
      <c r="H20" s="165"/>
      <c r="I20" s="165"/>
      <c r="J20" s="165"/>
      <c r="K20" s="165"/>
      <c r="L20" s="165"/>
      <c r="M20" s="165"/>
      <c r="N20" s="165"/>
      <c r="O20" s="165"/>
      <c r="P20" s="165"/>
      <c r="Q20" s="165"/>
      <c r="R20" s="165"/>
      <c r="S20" s="165"/>
    </row>
    <row r="21" spans="1:19" ht="15" customHeight="1">
      <c r="A21" s="164" t="s">
        <v>1</v>
      </c>
      <c r="B21" s="165"/>
      <c r="C21" s="165"/>
      <c r="D21" s="165"/>
      <c r="E21" s="165"/>
      <c r="F21" s="165"/>
      <c r="G21" s="165"/>
      <c r="H21" s="165"/>
      <c r="I21" s="165"/>
      <c r="J21" s="165"/>
      <c r="K21" s="165"/>
      <c r="L21" s="165"/>
      <c r="M21" s="165"/>
      <c r="N21" s="165"/>
      <c r="O21" s="165"/>
      <c r="P21" s="165"/>
      <c r="Q21" s="165"/>
      <c r="R21" s="165"/>
      <c r="S21" s="165"/>
    </row>
    <row r="22" spans="1:19" ht="15" customHeight="1">
      <c r="A22" s="164" t="s">
        <v>84</v>
      </c>
      <c r="B22" s="165"/>
      <c r="C22" s="165"/>
      <c r="D22" s="165"/>
      <c r="E22" s="165"/>
      <c r="F22" s="165"/>
      <c r="G22" s="165"/>
      <c r="H22" s="165"/>
      <c r="I22" s="165"/>
      <c r="J22" s="165"/>
      <c r="K22" s="165"/>
      <c r="L22" s="165"/>
      <c r="M22" s="165"/>
      <c r="N22" s="165"/>
      <c r="O22" s="165"/>
      <c r="P22" s="165"/>
      <c r="Q22" s="165"/>
      <c r="R22" s="165"/>
      <c r="S22" s="165"/>
    </row>
  </sheetData>
  <sheetProtection selectLockedCells="1"/>
  <mergeCells count="51">
    <mergeCell ref="A20:S20"/>
    <mergeCell ref="A21:S21"/>
    <mergeCell ref="A22:S22"/>
    <mergeCell ref="R13:S14"/>
    <mergeCell ref="A15:G15"/>
    <mergeCell ref="I15:J15"/>
    <mergeCell ref="K15:P15"/>
    <mergeCell ref="R15:S15"/>
    <mergeCell ref="A16:J16"/>
    <mergeCell ref="K16:S16"/>
    <mergeCell ref="A13:G14"/>
    <mergeCell ref="H13:H15"/>
    <mergeCell ref="I13:J14"/>
    <mergeCell ref="K13:P14"/>
    <mergeCell ref="Q13:Q15"/>
    <mergeCell ref="A17:S17"/>
    <mergeCell ref="A18:S18"/>
    <mergeCell ref="A19:S19"/>
    <mergeCell ref="A12:J12"/>
    <mergeCell ref="K12:L12"/>
    <mergeCell ref="M12:O12"/>
    <mergeCell ref="P12:Q12"/>
    <mergeCell ref="R12:S12"/>
    <mergeCell ref="N11:S11"/>
    <mergeCell ref="A9:B9"/>
    <mergeCell ref="C9:J9"/>
    <mergeCell ref="K9:L9"/>
    <mergeCell ref="M9:S9"/>
    <mergeCell ref="A10:C10"/>
    <mergeCell ref="D10:J10"/>
    <mergeCell ref="K10:L10"/>
    <mergeCell ref="M10:S10"/>
    <mergeCell ref="A11:B11"/>
    <mergeCell ref="C11:D11"/>
    <mergeCell ref="E11:F11"/>
    <mergeCell ref="G11:J11"/>
    <mergeCell ref="K11:M11"/>
    <mergeCell ref="A4:S4"/>
    <mergeCell ref="A5:S5"/>
    <mergeCell ref="A6:S6"/>
    <mergeCell ref="A7:S7"/>
    <mergeCell ref="A8:J8"/>
    <mergeCell ref="K8:S8"/>
    <mergeCell ref="A3:B3"/>
    <mergeCell ref="C3:J3"/>
    <mergeCell ref="L3:S3"/>
    <mergeCell ref="A1:J1"/>
    <mergeCell ref="K1:S1"/>
    <mergeCell ref="A2:B2"/>
    <mergeCell ref="C2:J2"/>
    <mergeCell ref="L2:S2"/>
  </mergeCells>
  <printOptions horizontalCentered="1"/>
  <pageMargins left="0.28431321084864403" right="0.28431321084864403" top="0.5" bottom="0.2" header="0.2" footer="0.1"/>
  <pageSetup scale="80" orientation="landscape" r:id="rId1"/>
  <headerFooter alignWithMargins="0">
    <oddHeader>&amp;LFORM: NDMR 07-11&amp;C&amp;"Arial,Bold"&amp;12NON-DISCHARGE MONITORING REPORT (NDMR)&amp;RPage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D76"/>
  <sheetViews>
    <sheetView workbookViewId="0">
      <pane ySplit="1" topLeftCell="A2" activePane="bottomLeft" state="frozen"/>
      <selection pane="bottomLeft"/>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9"/>
      <c r="B1" s="48" t="s">
        <v>241</v>
      </c>
      <c r="C1" s="48" t="s">
        <v>385</v>
      </c>
      <c r="D1" s="49" t="s">
        <v>240</v>
      </c>
    </row>
    <row r="2" spans="1:4">
      <c r="A2" s="45" t="s">
        <v>29</v>
      </c>
      <c r="B2" s="43" t="s">
        <v>59</v>
      </c>
      <c r="C2" s="50" t="s">
        <v>257</v>
      </c>
      <c r="D2" s="47" t="s">
        <v>224</v>
      </c>
    </row>
    <row r="3" spans="1:4">
      <c r="A3" s="45" t="s">
        <v>57</v>
      </c>
      <c r="B3" s="44" t="s">
        <v>58</v>
      </c>
      <c r="C3" s="50" t="s">
        <v>291</v>
      </c>
      <c r="D3" s="47" t="s">
        <v>228</v>
      </c>
    </row>
    <row r="4" spans="1:4">
      <c r="A4" s="45" t="s">
        <v>322</v>
      </c>
      <c r="B4" s="44" t="s">
        <v>359</v>
      </c>
      <c r="C4" s="50" t="s">
        <v>321</v>
      </c>
      <c r="D4" s="44" t="s">
        <v>231</v>
      </c>
    </row>
    <row r="5" spans="1:4">
      <c r="A5" s="45" t="s">
        <v>12</v>
      </c>
      <c r="B5" s="43" t="s">
        <v>13</v>
      </c>
      <c r="C5" s="50" t="s">
        <v>13</v>
      </c>
      <c r="D5" s="44" t="s">
        <v>238</v>
      </c>
    </row>
    <row r="6" spans="1:4">
      <c r="A6" s="45" t="s">
        <v>339</v>
      </c>
      <c r="B6" s="44" t="s">
        <v>349</v>
      </c>
      <c r="C6" s="50" t="s">
        <v>338</v>
      </c>
      <c r="D6" s="44" t="s">
        <v>333</v>
      </c>
    </row>
    <row r="7" spans="1:4">
      <c r="A7" s="45" t="s">
        <v>22</v>
      </c>
      <c r="B7" s="43" t="s">
        <v>23</v>
      </c>
      <c r="C7" s="50" t="s">
        <v>262</v>
      </c>
      <c r="D7" s="44" t="s">
        <v>225</v>
      </c>
    </row>
    <row r="8" spans="1:4" ht="13.5" customHeight="1">
      <c r="A8" s="45" t="s">
        <v>16</v>
      </c>
      <c r="B8" s="43" t="s">
        <v>74</v>
      </c>
      <c r="C8" s="50" t="s">
        <v>267</v>
      </c>
      <c r="D8" s="44" t="s">
        <v>225</v>
      </c>
    </row>
    <row r="9" spans="1:4" ht="13.5" customHeight="1">
      <c r="A9" s="45" t="s">
        <v>53</v>
      </c>
      <c r="B9" s="43" t="s">
        <v>54</v>
      </c>
      <c r="C9" s="50" t="s">
        <v>263</v>
      </c>
      <c r="D9" s="44" t="s">
        <v>225</v>
      </c>
    </row>
    <row r="10" spans="1:4">
      <c r="A10" s="45" t="s">
        <v>33</v>
      </c>
      <c r="B10" s="44" t="s">
        <v>0</v>
      </c>
      <c r="C10" s="44" t="s">
        <v>0</v>
      </c>
      <c r="D10" s="44" t="s">
        <v>232</v>
      </c>
    </row>
    <row r="11" spans="1:4">
      <c r="A11" s="45" t="s">
        <v>261</v>
      </c>
      <c r="B11" s="50" t="s">
        <v>260</v>
      </c>
      <c r="C11" s="50" t="s">
        <v>260</v>
      </c>
      <c r="D11" s="44" t="s">
        <v>225</v>
      </c>
    </row>
    <row r="12" spans="1:4">
      <c r="A12" s="45" t="s">
        <v>302</v>
      </c>
      <c r="B12" s="44" t="s">
        <v>372</v>
      </c>
      <c r="C12" s="50" t="s">
        <v>301</v>
      </c>
      <c r="D12" s="44" t="s">
        <v>225</v>
      </c>
    </row>
    <row r="13" spans="1:4">
      <c r="A13" s="45" t="s">
        <v>45</v>
      </c>
      <c r="B13" s="43" t="s">
        <v>386</v>
      </c>
      <c r="C13" s="50" t="s">
        <v>296</v>
      </c>
      <c r="D13" s="44" t="s">
        <v>225</v>
      </c>
    </row>
    <row r="14" spans="1:4">
      <c r="A14" s="45" t="s">
        <v>60</v>
      </c>
      <c r="B14" s="44" t="s">
        <v>300</v>
      </c>
      <c r="C14" s="50" t="s">
        <v>299</v>
      </c>
      <c r="D14" s="47" t="s">
        <v>239</v>
      </c>
    </row>
    <row r="15" spans="1:4">
      <c r="A15" s="45" t="s">
        <v>28</v>
      </c>
      <c r="B15" s="43" t="s">
        <v>237</v>
      </c>
      <c r="C15" s="50" t="s">
        <v>237</v>
      </c>
      <c r="D15" s="44" t="s">
        <v>225</v>
      </c>
    </row>
    <row r="16" spans="1:4">
      <c r="A16" s="45" t="s">
        <v>14</v>
      </c>
      <c r="B16" s="43" t="s">
        <v>373</v>
      </c>
      <c r="C16" s="50" t="s">
        <v>278</v>
      </c>
      <c r="D16" s="44" t="s">
        <v>225</v>
      </c>
    </row>
    <row r="17" spans="1:4">
      <c r="A17" s="45" t="s">
        <v>48</v>
      </c>
      <c r="B17" s="43" t="s">
        <v>242</v>
      </c>
      <c r="C17" s="50" t="s">
        <v>287</v>
      </c>
      <c r="D17" s="44" t="s">
        <v>225</v>
      </c>
    </row>
    <row r="18" spans="1:4">
      <c r="A18" s="45" t="s">
        <v>280</v>
      </c>
      <c r="B18" s="44" t="s">
        <v>346</v>
      </c>
      <c r="C18" s="50" t="s">
        <v>279</v>
      </c>
      <c r="D18" s="44" t="s">
        <v>225</v>
      </c>
    </row>
    <row r="19" spans="1:4">
      <c r="A19" s="45" t="s">
        <v>24</v>
      </c>
      <c r="B19" s="43" t="s">
        <v>243</v>
      </c>
      <c r="C19" s="50" t="s">
        <v>281</v>
      </c>
      <c r="D19" s="44" t="s">
        <v>225</v>
      </c>
    </row>
    <row r="20" spans="1:4">
      <c r="A20" s="45" t="s">
        <v>34</v>
      </c>
      <c r="B20" s="43" t="s">
        <v>387</v>
      </c>
      <c r="C20" s="50" t="s">
        <v>282</v>
      </c>
      <c r="D20" s="44" t="s">
        <v>225</v>
      </c>
    </row>
    <row r="21" spans="1:4">
      <c r="A21" s="45" t="s">
        <v>19</v>
      </c>
      <c r="B21" s="43" t="s">
        <v>290</v>
      </c>
      <c r="C21" s="50" t="s">
        <v>289</v>
      </c>
      <c r="D21" s="44" t="s">
        <v>225</v>
      </c>
    </row>
    <row r="22" spans="1:4">
      <c r="A22" s="45" t="s">
        <v>273</v>
      </c>
      <c r="B22" s="44" t="s">
        <v>345</v>
      </c>
      <c r="C22" s="50" t="s">
        <v>275</v>
      </c>
      <c r="D22" s="44" t="s">
        <v>225</v>
      </c>
    </row>
    <row r="23" spans="1:4">
      <c r="A23" s="45" t="s">
        <v>44</v>
      </c>
      <c r="B23" s="43" t="s">
        <v>374</v>
      </c>
      <c r="C23" s="50" t="s">
        <v>271</v>
      </c>
      <c r="D23" s="44" t="s">
        <v>225</v>
      </c>
    </row>
    <row r="24" spans="1:4">
      <c r="A24" s="45" t="s">
        <v>274</v>
      </c>
      <c r="B24" s="44" t="s">
        <v>344</v>
      </c>
      <c r="C24" s="50" t="s">
        <v>272</v>
      </c>
      <c r="D24" s="44" t="s">
        <v>225</v>
      </c>
    </row>
    <row r="25" spans="1:4">
      <c r="A25" s="45" t="s">
        <v>41</v>
      </c>
      <c r="B25" s="43" t="s">
        <v>388</v>
      </c>
      <c r="C25" s="50" t="s">
        <v>341</v>
      </c>
      <c r="D25" s="44" t="s">
        <v>225</v>
      </c>
    </row>
    <row r="26" spans="1:4">
      <c r="A26" s="45" t="s">
        <v>343</v>
      </c>
      <c r="B26" s="44" t="s">
        <v>379</v>
      </c>
      <c r="C26" s="50" t="s">
        <v>342</v>
      </c>
      <c r="D26" s="44" t="s">
        <v>225</v>
      </c>
    </row>
    <row r="27" spans="1:4">
      <c r="A27" s="45" t="s">
        <v>25</v>
      </c>
      <c r="B27" s="43" t="s">
        <v>26</v>
      </c>
      <c r="C27" s="50" t="s">
        <v>248</v>
      </c>
      <c r="D27" s="44" t="s">
        <v>225</v>
      </c>
    </row>
    <row r="28" spans="1:4">
      <c r="A28" s="45" t="s">
        <v>37</v>
      </c>
      <c r="B28" s="43" t="s">
        <v>38</v>
      </c>
      <c r="C28" s="50" t="s">
        <v>247</v>
      </c>
      <c r="D28" s="44" t="s">
        <v>225</v>
      </c>
    </row>
    <row r="29" spans="1:4">
      <c r="A29" s="45" t="s">
        <v>8</v>
      </c>
      <c r="B29" s="43" t="s">
        <v>9</v>
      </c>
      <c r="C29" s="50" t="s">
        <v>245</v>
      </c>
      <c r="D29" s="44" t="s">
        <v>225</v>
      </c>
    </row>
    <row r="30" spans="1:4">
      <c r="A30" s="45" t="s">
        <v>15</v>
      </c>
      <c r="B30" s="43" t="s">
        <v>253</v>
      </c>
      <c r="C30" s="50" t="s">
        <v>253</v>
      </c>
      <c r="D30" s="47" t="s">
        <v>227</v>
      </c>
    </row>
    <row r="31" spans="1:4">
      <c r="A31" s="45" t="s">
        <v>49</v>
      </c>
      <c r="B31" s="43" t="s">
        <v>50</v>
      </c>
      <c r="C31" s="50" t="s">
        <v>246</v>
      </c>
      <c r="D31" s="44" t="s">
        <v>225</v>
      </c>
    </row>
    <row r="32" spans="1:4">
      <c r="A32" s="45" t="s">
        <v>30</v>
      </c>
      <c r="B32" s="43" t="s">
        <v>384</v>
      </c>
      <c r="C32" s="50" t="s">
        <v>252</v>
      </c>
      <c r="D32" s="44" t="s">
        <v>225</v>
      </c>
    </row>
    <row r="33" spans="1:4">
      <c r="A33" s="45" t="s">
        <v>251</v>
      </c>
      <c r="B33" s="44" t="s">
        <v>250</v>
      </c>
      <c r="C33" s="50" t="s">
        <v>249</v>
      </c>
      <c r="D33" s="44" t="s">
        <v>225</v>
      </c>
    </row>
    <row r="34" spans="1:4">
      <c r="A34" s="45" t="s">
        <v>3</v>
      </c>
      <c r="B34" s="43" t="s">
        <v>4</v>
      </c>
      <c r="C34" s="50" t="s">
        <v>319</v>
      </c>
      <c r="D34" s="44" t="s">
        <v>225</v>
      </c>
    </row>
    <row r="35" spans="1:4">
      <c r="A35" s="45" t="s">
        <v>318</v>
      </c>
      <c r="B35" s="44" t="s">
        <v>353</v>
      </c>
      <c r="C35" s="50" t="s">
        <v>317</v>
      </c>
      <c r="D35" s="44" t="s">
        <v>225</v>
      </c>
    </row>
    <row r="36" spans="1:4">
      <c r="A36" s="45" t="s">
        <v>10</v>
      </c>
      <c r="B36" s="43" t="s">
        <v>11</v>
      </c>
      <c r="C36" s="50" t="s">
        <v>316</v>
      </c>
      <c r="D36" s="44" t="s">
        <v>225</v>
      </c>
    </row>
    <row r="37" spans="1:4">
      <c r="A37" s="45" t="s">
        <v>20</v>
      </c>
      <c r="B37" s="43" t="s">
        <v>21</v>
      </c>
      <c r="C37" s="50" t="s">
        <v>315</v>
      </c>
      <c r="D37" s="44" t="s">
        <v>225</v>
      </c>
    </row>
    <row r="38" spans="1:4">
      <c r="A38" s="45" t="s">
        <v>46</v>
      </c>
      <c r="B38" s="43" t="s">
        <v>47</v>
      </c>
      <c r="C38" s="50" t="s">
        <v>314</v>
      </c>
      <c r="D38" s="44" t="s">
        <v>225</v>
      </c>
    </row>
    <row r="39" spans="1:4">
      <c r="A39" s="45" t="s">
        <v>17</v>
      </c>
      <c r="B39" s="43" t="s">
        <v>18</v>
      </c>
      <c r="C39" s="50" t="s">
        <v>313</v>
      </c>
      <c r="D39" s="44" t="s">
        <v>225</v>
      </c>
    </row>
    <row r="40" spans="1:4">
      <c r="A40" s="45" t="s">
        <v>312</v>
      </c>
      <c r="B40" s="44" t="s">
        <v>354</v>
      </c>
      <c r="C40" s="50" t="s">
        <v>311</v>
      </c>
      <c r="D40" s="44" t="s">
        <v>225</v>
      </c>
    </row>
    <row r="41" spans="1:4">
      <c r="A41" s="45" t="s">
        <v>31</v>
      </c>
      <c r="B41" s="43" t="s">
        <v>32</v>
      </c>
      <c r="C41" s="50" t="s">
        <v>310</v>
      </c>
      <c r="D41" s="44" t="s">
        <v>225</v>
      </c>
    </row>
    <row r="42" spans="1:4">
      <c r="A42" s="45" t="s">
        <v>309</v>
      </c>
      <c r="B42" s="44" t="s">
        <v>355</v>
      </c>
      <c r="C42" s="50" t="s">
        <v>308</v>
      </c>
      <c r="D42" s="44" t="s">
        <v>225</v>
      </c>
    </row>
    <row r="43" spans="1:4">
      <c r="A43" s="45" t="s">
        <v>6</v>
      </c>
      <c r="B43" s="43" t="s">
        <v>7</v>
      </c>
      <c r="C43" s="50" t="s">
        <v>306</v>
      </c>
      <c r="D43" s="44" t="s">
        <v>225</v>
      </c>
    </row>
    <row r="44" spans="1:4">
      <c r="A44" s="45" t="s">
        <v>236</v>
      </c>
      <c r="B44" s="44" t="s">
        <v>235</v>
      </c>
      <c r="C44" s="50" t="s">
        <v>304</v>
      </c>
      <c r="D44" s="44" t="s">
        <v>225</v>
      </c>
    </row>
    <row r="45" spans="1:4">
      <c r="A45" s="45" t="s">
        <v>51</v>
      </c>
      <c r="B45" s="43" t="s">
        <v>52</v>
      </c>
      <c r="C45" s="50" t="s">
        <v>303</v>
      </c>
      <c r="D45" s="44" t="s">
        <v>225</v>
      </c>
    </row>
    <row r="46" spans="1:4">
      <c r="A46" s="45" t="s">
        <v>234</v>
      </c>
      <c r="B46" s="43" t="s">
        <v>233</v>
      </c>
      <c r="C46" s="50" t="s">
        <v>305</v>
      </c>
      <c r="D46" s="44" t="s">
        <v>225</v>
      </c>
    </row>
    <row r="47" spans="1:4">
      <c r="A47" s="45" t="s">
        <v>324</v>
      </c>
      <c r="B47" s="44" t="s">
        <v>360</v>
      </c>
      <c r="C47" s="50" t="s">
        <v>323</v>
      </c>
      <c r="D47" s="44" t="s">
        <v>325</v>
      </c>
    </row>
    <row r="48" spans="1:4">
      <c r="A48" s="45" t="s">
        <v>5</v>
      </c>
      <c r="B48" s="43" t="s">
        <v>229</v>
      </c>
      <c r="C48" s="50" t="s">
        <v>326</v>
      </c>
      <c r="D48" s="44" t="s">
        <v>226</v>
      </c>
    </row>
    <row r="49" spans="1:4">
      <c r="A49" s="44">
        <v>31505</v>
      </c>
      <c r="B49" s="44" t="s">
        <v>361</v>
      </c>
      <c r="C49" s="50" t="s">
        <v>327</v>
      </c>
      <c r="D49" s="44" t="s">
        <v>328</v>
      </c>
    </row>
    <row r="50" spans="1:4">
      <c r="A50" s="44">
        <v>31613</v>
      </c>
      <c r="B50" s="44" t="s">
        <v>362</v>
      </c>
      <c r="C50" s="50" t="s">
        <v>329</v>
      </c>
      <c r="D50" s="44" t="s">
        <v>226</v>
      </c>
    </row>
    <row r="51" spans="1:4">
      <c r="A51" s="45" t="s">
        <v>27</v>
      </c>
      <c r="B51" s="43" t="s">
        <v>363</v>
      </c>
      <c r="C51" s="50" t="s">
        <v>244</v>
      </c>
      <c r="D51" s="44" t="s">
        <v>226</v>
      </c>
    </row>
    <row r="52" spans="1:4">
      <c r="A52" s="44">
        <v>32106</v>
      </c>
      <c r="B52" s="44" t="s">
        <v>340</v>
      </c>
      <c r="C52" s="50" t="s">
        <v>340</v>
      </c>
      <c r="D52" s="44" t="s">
        <v>225</v>
      </c>
    </row>
    <row r="53" spans="1:4">
      <c r="A53" s="44">
        <v>32730</v>
      </c>
      <c r="B53" s="44" t="s">
        <v>352</v>
      </c>
      <c r="C53" s="50" t="s">
        <v>334</v>
      </c>
      <c r="D53" s="44" t="s">
        <v>225</v>
      </c>
    </row>
    <row r="54" spans="1:4">
      <c r="A54" s="45" t="s">
        <v>39</v>
      </c>
      <c r="B54" s="43" t="s">
        <v>40</v>
      </c>
      <c r="C54" s="43"/>
      <c r="D54" s="44" t="s">
        <v>225</v>
      </c>
    </row>
    <row r="55" spans="1:4">
      <c r="A55" s="44">
        <v>34469</v>
      </c>
      <c r="B55" s="44" t="s">
        <v>332</v>
      </c>
      <c r="C55" s="50" t="s">
        <v>332</v>
      </c>
      <c r="D55" s="44" t="s">
        <v>333</v>
      </c>
    </row>
    <row r="56" spans="1:4">
      <c r="A56" s="44">
        <v>34694</v>
      </c>
      <c r="B56" s="44" t="s">
        <v>351</v>
      </c>
      <c r="C56" s="50" t="s">
        <v>335</v>
      </c>
      <c r="D56" s="44" t="s">
        <v>225</v>
      </c>
    </row>
    <row r="57" spans="1:4">
      <c r="A57" s="44">
        <v>38260</v>
      </c>
      <c r="B57" s="44" t="s">
        <v>259</v>
      </c>
      <c r="C57" s="50" t="s">
        <v>258</v>
      </c>
      <c r="D57" s="44" t="s">
        <v>225</v>
      </c>
    </row>
    <row r="58" spans="1:4">
      <c r="A58" s="44">
        <v>50050</v>
      </c>
      <c r="B58" s="44" t="s">
        <v>230</v>
      </c>
      <c r="C58" s="50" t="s">
        <v>320</v>
      </c>
      <c r="D58" s="44" t="s">
        <v>231</v>
      </c>
    </row>
    <row r="59" spans="1:4">
      <c r="A59" s="45" t="s">
        <v>35</v>
      </c>
      <c r="B59" s="46" t="s">
        <v>375</v>
      </c>
      <c r="C59" s="50" t="s">
        <v>36</v>
      </c>
      <c r="D59" s="44" t="s">
        <v>225</v>
      </c>
    </row>
    <row r="60" spans="1:4">
      <c r="A60" s="44">
        <v>70295</v>
      </c>
      <c r="B60" s="44" t="s">
        <v>389</v>
      </c>
      <c r="C60" s="50" t="s">
        <v>298</v>
      </c>
      <c r="D60" s="44" t="s">
        <v>225</v>
      </c>
    </row>
    <row r="61" spans="1:4">
      <c r="A61" s="45">
        <v>70300</v>
      </c>
      <c r="B61" s="43" t="s">
        <v>389</v>
      </c>
      <c r="C61" s="50" t="s">
        <v>297</v>
      </c>
      <c r="D61" s="44" t="s">
        <v>225</v>
      </c>
    </row>
    <row r="62" spans="1:4">
      <c r="A62" s="44">
        <v>70318</v>
      </c>
      <c r="B62" s="44" t="s">
        <v>348</v>
      </c>
      <c r="C62" s="50" t="s">
        <v>292</v>
      </c>
      <c r="D62" s="44" t="s">
        <v>293</v>
      </c>
    </row>
    <row r="63" spans="1:4">
      <c r="A63" s="44">
        <v>71880</v>
      </c>
      <c r="B63" s="44" t="s">
        <v>336</v>
      </c>
      <c r="C63" s="50" t="s">
        <v>336</v>
      </c>
      <c r="D63" s="44" t="s">
        <v>225</v>
      </c>
    </row>
    <row r="64" spans="1:4">
      <c r="A64" s="45" t="s">
        <v>42</v>
      </c>
      <c r="B64" s="43" t="s">
        <v>43</v>
      </c>
      <c r="C64" s="50" t="s">
        <v>307</v>
      </c>
      <c r="D64" s="44" t="s">
        <v>225</v>
      </c>
    </row>
    <row r="65" spans="1:4">
      <c r="A65" s="44">
        <v>78732</v>
      </c>
      <c r="B65" s="44" t="s">
        <v>390</v>
      </c>
      <c r="C65" s="50" t="s">
        <v>330</v>
      </c>
      <c r="D65" s="44" t="s">
        <v>331</v>
      </c>
    </row>
    <row r="66" spans="1:4">
      <c r="A66" s="44">
        <v>80082</v>
      </c>
      <c r="B66" s="44" t="s">
        <v>391</v>
      </c>
      <c r="C66" s="50" t="s">
        <v>264</v>
      </c>
      <c r="D66" s="44" t="s">
        <v>225</v>
      </c>
    </row>
    <row r="67" spans="1:4">
      <c r="A67" s="44">
        <v>81639</v>
      </c>
      <c r="B67" s="44" t="s">
        <v>387</v>
      </c>
      <c r="C67" s="50" t="s">
        <v>283</v>
      </c>
      <c r="D67" s="44" t="s">
        <v>284</v>
      </c>
    </row>
    <row r="68" spans="1:4">
      <c r="A68" s="44">
        <v>81688</v>
      </c>
      <c r="B68" s="44" t="s">
        <v>350</v>
      </c>
      <c r="C68" s="50" t="s">
        <v>337</v>
      </c>
      <c r="D68" s="44" t="s">
        <v>333</v>
      </c>
    </row>
    <row r="69" spans="1:4">
      <c r="A69" s="44">
        <v>82385</v>
      </c>
      <c r="B69" s="44" t="s">
        <v>347</v>
      </c>
      <c r="C69" s="50" t="s">
        <v>288</v>
      </c>
      <c r="D69" s="44" t="s">
        <v>225</v>
      </c>
    </row>
    <row r="70" spans="1:4">
      <c r="A70" s="44">
        <v>82546</v>
      </c>
      <c r="B70" s="44" t="s">
        <v>255</v>
      </c>
      <c r="C70" s="50" t="s">
        <v>254</v>
      </c>
      <c r="D70" s="44" t="s">
        <v>256</v>
      </c>
    </row>
    <row r="71" spans="1:4">
      <c r="A71" s="44" t="s">
        <v>266</v>
      </c>
      <c r="B71" s="44" t="s">
        <v>357</v>
      </c>
      <c r="C71" s="50" t="s">
        <v>265</v>
      </c>
      <c r="D71" s="44" t="s">
        <v>225</v>
      </c>
    </row>
    <row r="72" spans="1:4">
      <c r="A72" s="44" t="s">
        <v>295</v>
      </c>
      <c r="B72" s="44" t="s">
        <v>358</v>
      </c>
      <c r="C72" s="50" t="s">
        <v>294</v>
      </c>
      <c r="D72" s="44" t="s">
        <v>225</v>
      </c>
    </row>
    <row r="73" spans="1:4">
      <c r="A73" s="44" t="s">
        <v>277</v>
      </c>
      <c r="B73" s="44" t="s">
        <v>380</v>
      </c>
      <c r="C73" s="50" t="s">
        <v>276</v>
      </c>
      <c r="D73" s="44" t="s">
        <v>225</v>
      </c>
    </row>
    <row r="74" spans="1:4">
      <c r="A74" s="44" t="s">
        <v>286</v>
      </c>
      <c r="B74" s="44" t="s">
        <v>356</v>
      </c>
      <c r="C74" s="50" t="s">
        <v>285</v>
      </c>
      <c r="D74" s="44" t="s">
        <v>225</v>
      </c>
    </row>
    <row r="75" spans="1:4">
      <c r="A75" s="44" t="s">
        <v>270</v>
      </c>
      <c r="B75" s="44" t="s">
        <v>381</v>
      </c>
      <c r="C75" s="50" t="s">
        <v>269</v>
      </c>
      <c r="D75" s="44" t="s">
        <v>225</v>
      </c>
    </row>
    <row r="76" spans="1:4">
      <c r="A76" s="45" t="s">
        <v>56</v>
      </c>
      <c r="B76" s="44" t="s">
        <v>392</v>
      </c>
      <c r="C76" s="50" t="s">
        <v>268</v>
      </c>
      <c r="D76" s="44" t="s">
        <v>225</v>
      </c>
    </row>
  </sheetData>
  <pageMargins left="0.7" right="0.7" top="0.75" bottom="0.75" header="0.3" footer="0.3"/>
  <pageSetup orientation="portrait" horizontalDpi="1200" verticalDpi="1200" r:id="rId1"/>
  <legacyDrawing r:id="rId2"/>
</worksheet>
</file>

<file path=xl/worksheets/sheet4.xml><?xml version="1.0" encoding="utf-8"?>
<worksheet xmlns="http://schemas.openxmlformats.org/spreadsheetml/2006/main" xmlns:r="http://schemas.openxmlformats.org/officeDocument/2006/relationships">
  <sheetPr codeName="Sheet3"/>
  <dimension ref="A2:F101"/>
  <sheetViews>
    <sheetView workbookViewId="0">
      <selection activeCell="E5" sqref="E5"/>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187</v>
      </c>
      <c r="B2" s="10" t="s">
        <v>87</v>
      </c>
      <c r="C2" s="10">
        <v>2011</v>
      </c>
      <c r="D2" s="11" t="s">
        <v>199</v>
      </c>
      <c r="E2" s="10" t="s">
        <v>395</v>
      </c>
      <c r="F2" s="10" t="s">
        <v>371</v>
      </c>
    </row>
    <row r="3" spans="1:6">
      <c r="A3" s="10" t="s">
        <v>188</v>
      </c>
      <c r="B3" s="10" t="s">
        <v>88</v>
      </c>
      <c r="C3" s="10">
        <f>1+C2</f>
        <v>2012</v>
      </c>
      <c r="D3" s="11" t="s">
        <v>200</v>
      </c>
      <c r="E3" s="10" t="s">
        <v>366</v>
      </c>
      <c r="F3" s="10" t="s">
        <v>368</v>
      </c>
    </row>
    <row r="4" spans="1:6">
      <c r="A4" s="10" t="s">
        <v>189</v>
      </c>
      <c r="B4" s="10" t="s">
        <v>89</v>
      </c>
      <c r="C4" s="10">
        <f t="shared" ref="C4:C21" si="0">1+C3</f>
        <v>2013</v>
      </c>
      <c r="D4" s="11" t="s">
        <v>201</v>
      </c>
      <c r="E4" s="10" t="s">
        <v>367</v>
      </c>
    </row>
    <row r="5" spans="1:6">
      <c r="A5" s="10" t="s">
        <v>190</v>
      </c>
      <c r="B5" s="10" t="s">
        <v>90</v>
      </c>
      <c r="C5" s="10">
        <f t="shared" si="0"/>
        <v>2014</v>
      </c>
      <c r="D5" s="11" t="s">
        <v>202</v>
      </c>
      <c r="E5" s="10" t="s">
        <v>368</v>
      </c>
    </row>
    <row r="6" spans="1:6">
      <c r="A6" s="10" t="s">
        <v>191</v>
      </c>
      <c r="B6" s="10" t="s">
        <v>91</v>
      </c>
      <c r="C6" s="10">
        <f t="shared" si="0"/>
        <v>2015</v>
      </c>
      <c r="D6" s="11" t="s">
        <v>203</v>
      </c>
    </row>
    <row r="7" spans="1:6">
      <c r="A7" s="10" t="s">
        <v>192</v>
      </c>
      <c r="B7" s="10" t="s">
        <v>92</v>
      </c>
      <c r="C7" s="10">
        <f t="shared" si="0"/>
        <v>2016</v>
      </c>
      <c r="D7" s="11" t="s">
        <v>204</v>
      </c>
    </row>
    <row r="8" spans="1:6">
      <c r="A8" s="10" t="s">
        <v>193</v>
      </c>
      <c r="B8" s="10" t="s">
        <v>93</v>
      </c>
      <c r="C8" s="10">
        <f t="shared" si="0"/>
        <v>2017</v>
      </c>
      <c r="D8" s="11" t="s">
        <v>205</v>
      </c>
    </row>
    <row r="9" spans="1:6">
      <c r="A9" s="10" t="s">
        <v>194</v>
      </c>
      <c r="B9" s="10" t="s">
        <v>94</v>
      </c>
      <c r="C9" s="10">
        <f t="shared" si="0"/>
        <v>2018</v>
      </c>
      <c r="D9" s="11" t="s">
        <v>206</v>
      </c>
    </row>
    <row r="10" spans="1:6">
      <c r="A10" s="10" t="s">
        <v>195</v>
      </c>
      <c r="B10" s="10" t="s">
        <v>95</v>
      </c>
      <c r="C10" s="10">
        <f t="shared" si="0"/>
        <v>2019</v>
      </c>
      <c r="D10" s="11" t="s">
        <v>207</v>
      </c>
    </row>
    <row r="11" spans="1:6">
      <c r="A11" s="10" t="s">
        <v>196</v>
      </c>
      <c r="B11" s="10" t="s">
        <v>96</v>
      </c>
      <c r="C11" s="10">
        <f t="shared" si="0"/>
        <v>2020</v>
      </c>
      <c r="D11" s="11" t="s">
        <v>208</v>
      </c>
    </row>
    <row r="12" spans="1:6">
      <c r="A12" s="10" t="s">
        <v>197</v>
      </c>
      <c r="B12" s="10" t="s">
        <v>97</v>
      </c>
      <c r="C12" s="10">
        <f t="shared" si="0"/>
        <v>2021</v>
      </c>
      <c r="D12" s="11" t="s">
        <v>209</v>
      </c>
    </row>
    <row r="13" spans="1:6">
      <c r="A13" s="10" t="s">
        <v>198</v>
      </c>
      <c r="B13" s="10" t="s">
        <v>98</v>
      </c>
      <c r="C13" s="10">
        <f t="shared" si="0"/>
        <v>2022</v>
      </c>
      <c r="D13" s="11" t="s">
        <v>210</v>
      </c>
    </row>
    <row r="14" spans="1:6">
      <c r="B14" s="10" t="s">
        <v>99</v>
      </c>
      <c r="C14" s="10">
        <f t="shared" si="0"/>
        <v>2023</v>
      </c>
      <c r="D14" s="11" t="s">
        <v>211</v>
      </c>
    </row>
    <row r="15" spans="1:6">
      <c r="B15" s="10" t="s">
        <v>100</v>
      </c>
      <c r="C15" s="10">
        <f t="shared" si="0"/>
        <v>2024</v>
      </c>
      <c r="D15" s="11" t="s">
        <v>212</v>
      </c>
    </row>
    <row r="16" spans="1:6">
      <c r="B16" s="10" t="s">
        <v>101</v>
      </c>
      <c r="C16" s="10">
        <f t="shared" si="0"/>
        <v>2025</v>
      </c>
      <c r="D16" s="11" t="s">
        <v>213</v>
      </c>
    </row>
    <row r="17" spans="2:3">
      <c r="B17" s="10" t="s">
        <v>102</v>
      </c>
      <c r="C17" s="10">
        <f t="shared" si="0"/>
        <v>2026</v>
      </c>
    </row>
    <row r="18" spans="2:3">
      <c r="B18" s="10" t="s">
        <v>103</v>
      </c>
      <c r="C18" s="10">
        <f t="shared" si="0"/>
        <v>2027</v>
      </c>
    </row>
    <row r="19" spans="2:3">
      <c r="B19" s="10" t="s">
        <v>104</v>
      </c>
      <c r="C19" s="10">
        <f t="shared" si="0"/>
        <v>2028</v>
      </c>
    </row>
    <row r="20" spans="2:3">
      <c r="B20" s="10" t="s">
        <v>105</v>
      </c>
      <c r="C20" s="10">
        <f t="shared" si="0"/>
        <v>2029</v>
      </c>
    </row>
    <row r="21" spans="2:3">
      <c r="B21" s="10" t="s">
        <v>106</v>
      </c>
      <c r="C21" s="10">
        <f t="shared" si="0"/>
        <v>2030</v>
      </c>
    </row>
    <row r="22" spans="2:3">
      <c r="B22" s="10" t="s">
        <v>107</v>
      </c>
    </row>
    <row r="23" spans="2:3">
      <c r="B23" s="10" t="s">
        <v>108</v>
      </c>
    </row>
    <row r="24" spans="2:3">
      <c r="B24" s="10" t="s">
        <v>109</v>
      </c>
    </row>
    <row r="25" spans="2:3">
      <c r="B25" s="10" t="s">
        <v>110</v>
      </c>
    </row>
    <row r="26" spans="2:3">
      <c r="B26" s="10" t="s">
        <v>111</v>
      </c>
    </row>
    <row r="27" spans="2:3">
      <c r="B27" s="10" t="s">
        <v>112</v>
      </c>
    </row>
    <row r="28" spans="2:3">
      <c r="B28" s="10" t="s">
        <v>113</v>
      </c>
    </row>
    <row r="29" spans="2:3">
      <c r="B29" s="10" t="s">
        <v>114</v>
      </c>
    </row>
    <row r="30" spans="2:3">
      <c r="B30" s="10" t="s">
        <v>115</v>
      </c>
    </row>
    <row r="31" spans="2:3">
      <c r="B31" s="10" t="s">
        <v>116</v>
      </c>
    </row>
    <row r="32" spans="2:3">
      <c r="B32" s="10" t="s">
        <v>117</v>
      </c>
    </row>
    <row r="33" spans="2:2">
      <c r="B33" s="10" t="s">
        <v>118</v>
      </c>
    </row>
    <row r="34" spans="2:2">
      <c r="B34" s="10" t="s">
        <v>119</v>
      </c>
    </row>
    <row r="35" spans="2:2">
      <c r="B35" s="10" t="s">
        <v>120</v>
      </c>
    </row>
    <row r="36" spans="2:2">
      <c r="B36" s="10" t="s">
        <v>121</v>
      </c>
    </row>
    <row r="37" spans="2:2">
      <c r="B37" s="10" t="s">
        <v>122</v>
      </c>
    </row>
    <row r="38" spans="2:2">
      <c r="B38" s="10" t="s">
        <v>123</v>
      </c>
    </row>
    <row r="39" spans="2:2">
      <c r="B39" s="10" t="s">
        <v>124</v>
      </c>
    </row>
    <row r="40" spans="2:2">
      <c r="B40" s="10" t="s">
        <v>125</v>
      </c>
    </row>
    <row r="41" spans="2:2">
      <c r="B41" s="10" t="s">
        <v>126</v>
      </c>
    </row>
    <row r="42" spans="2:2">
      <c r="B42" s="10" t="s">
        <v>127</v>
      </c>
    </row>
    <row r="43" spans="2:2">
      <c r="B43" s="10" t="s">
        <v>128</v>
      </c>
    </row>
    <row r="44" spans="2:2">
      <c r="B44" s="10" t="s">
        <v>129</v>
      </c>
    </row>
    <row r="45" spans="2:2">
      <c r="B45" s="10" t="s">
        <v>130</v>
      </c>
    </row>
    <row r="46" spans="2:2">
      <c r="B46" s="10" t="s">
        <v>131</v>
      </c>
    </row>
    <row r="47" spans="2:2">
      <c r="B47" s="10" t="s">
        <v>132</v>
      </c>
    </row>
    <row r="48" spans="2:2">
      <c r="B48" s="10" t="s">
        <v>133</v>
      </c>
    </row>
    <row r="49" spans="2:2">
      <c r="B49" s="10" t="s">
        <v>134</v>
      </c>
    </row>
    <row r="50" spans="2:2">
      <c r="B50" s="10" t="s">
        <v>135</v>
      </c>
    </row>
    <row r="51" spans="2:2">
      <c r="B51" s="10" t="s">
        <v>136</v>
      </c>
    </row>
    <row r="52" spans="2:2">
      <c r="B52" s="10" t="s">
        <v>137</v>
      </c>
    </row>
    <row r="53" spans="2:2">
      <c r="B53" s="10" t="s">
        <v>138</v>
      </c>
    </row>
    <row r="54" spans="2:2">
      <c r="B54" s="10" t="s">
        <v>139</v>
      </c>
    </row>
    <row r="55" spans="2:2">
      <c r="B55" s="10" t="s">
        <v>140</v>
      </c>
    </row>
    <row r="56" spans="2:2">
      <c r="B56" s="10" t="s">
        <v>141</v>
      </c>
    </row>
    <row r="57" spans="2:2">
      <c r="B57" s="10" t="s">
        <v>142</v>
      </c>
    </row>
    <row r="58" spans="2:2">
      <c r="B58" s="10" t="s">
        <v>143</v>
      </c>
    </row>
    <row r="59" spans="2:2">
      <c r="B59" s="10" t="s">
        <v>144</v>
      </c>
    </row>
    <row r="60" spans="2:2">
      <c r="B60" s="10" t="s">
        <v>145</v>
      </c>
    </row>
    <row r="61" spans="2:2">
      <c r="B61" s="10" t="s">
        <v>146</v>
      </c>
    </row>
    <row r="62" spans="2:2">
      <c r="B62" s="10" t="s">
        <v>147</v>
      </c>
    </row>
    <row r="63" spans="2:2">
      <c r="B63" s="10" t="s">
        <v>148</v>
      </c>
    </row>
    <row r="64" spans="2:2">
      <c r="B64" s="10" t="s">
        <v>149</v>
      </c>
    </row>
    <row r="65" spans="2:2">
      <c r="B65" s="10" t="s">
        <v>150</v>
      </c>
    </row>
    <row r="66" spans="2:2">
      <c r="B66" s="10" t="s">
        <v>151</v>
      </c>
    </row>
    <row r="67" spans="2:2">
      <c r="B67" s="10" t="s">
        <v>152</v>
      </c>
    </row>
    <row r="68" spans="2:2">
      <c r="B68" s="10" t="s">
        <v>153</v>
      </c>
    </row>
    <row r="69" spans="2:2">
      <c r="B69" s="10" t="s">
        <v>154</v>
      </c>
    </row>
    <row r="70" spans="2:2">
      <c r="B70" s="10" t="s">
        <v>155</v>
      </c>
    </row>
    <row r="71" spans="2:2">
      <c r="B71" s="10" t="s">
        <v>156</v>
      </c>
    </row>
    <row r="72" spans="2:2">
      <c r="B72" s="10" t="s">
        <v>157</v>
      </c>
    </row>
    <row r="73" spans="2:2">
      <c r="B73" s="10" t="s">
        <v>158</v>
      </c>
    </row>
    <row r="74" spans="2:2">
      <c r="B74" s="10" t="s">
        <v>159</v>
      </c>
    </row>
    <row r="75" spans="2:2">
      <c r="B75" s="10" t="s">
        <v>160</v>
      </c>
    </row>
    <row r="76" spans="2:2">
      <c r="B76" s="10" t="s">
        <v>161</v>
      </c>
    </row>
    <row r="77" spans="2:2">
      <c r="B77" s="10" t="s">
        <v>162</v>
      </c>
    </row>
    <row r="78" spans="2:2">
      <c r="B78" s="10" t="s">
        <v>163</v>
      </c>
    </row>
    <row r="79" spans="2:2">
      <c r="B79" s="10" t="s">
        <v>164</v>
      </c>
    </row>
    <row r="80" spans="2:2">
      <c r="B80" s="10" t="s">
        <v>165</v>
      </c>
    </row>
    <row r="81" spans="2:2">
      <c r="B81" s="10" t="s">
        <v>166</v>
      </c>
    </row>
    <row r="82" spans="2:2">
      <c r="B82" s="10" t="s">
        <v>167</v>
      </c>
    </row>
    <row r="83" spans="2:2">
      <c r="B83" s="10" t="s">
        <v>168</v>
      </c>
    </row>
    <row r="84" spans="2:2">
      <c r="B84" s="10" t="s">
        <v>169</v>
      </c>
    </row>
    <row r="85" spans="2:2">
      <c r="B85" s="10" t="s">
        <v>170</v>
      </c>
    </row>
    <row r="86" spans="2:2">
      <c r="B86" s="10" t="s">
        <v>171</v>
      </c>
    </row>
    <row r="87" spans="2:2">
      <c r="B87" s="10" t="s">
        <v>172</v>
      </c>
    </row>
    <row r="88" spans="2:2">
      <c r="B88" s="10" t="s">
        <v>173</v>
      </c>
    </row>
    <row r="89" spans="2:2">
      <c r="B89" s="10" t="s">
        <v>174</v>
      </c>
    </row>
    <row r="90" spans="2:2">
      <c r="B90" s="10" t="s">
        <v>175</v>
      </c>
    </row>
    <row r="91" spans="2:2">
      <c r="B91" s="10" t="s">
        <v>176</v>
      </c>
    </row>
    <row r="92" spans="2:2">
      <c r="B92" s="10" t="s">
        <v>177</v>
      </c>
    </row>
    <row r="93" spans="2:2">
      <c r="B93" s="10" t="s">
        <v>178</v>
      </c>
    </row>
    <row r="94" spans="2:2">
      <c r="B94" s="10" t="s">
        <v>179</v>
      </c>
    </row>
    <row r="95" spans="2:2">
      <c r="B95" s="10" t="s">
        <v>180</v>
      </c>
    </row>
    <row r="96" spans="2:2">
      <c r="B96" s="10" t="s">
        <v>181</v>
      </c>
    </row>
    <row r="97" spans="2:2">
      <c r="B97" s="10" t="s">
        <v>182</v>
      </c>
    </row>
    <row r="98" spans="2:2">
      <c r="B98" s="10" t="s">
        <v>183</v>
      </c>
    </row>
    <row r="99" spans="2:2">
      <c r="B99" s="10" t="s">
        <v>184</v>
      </c>
    </row>
    <row r="100" spans="2:2">
      <c r="B100" s="10" t="s">
        <v>185</v>
      </c>
    </row>
    <row r="101" spans="2:2">
      <c r="B101" s="10"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12</vt:i4>
      </vt:variant>
    </vt:vector>
  </HeadingPairs>
  <TitlesOfParts>
    <vt:vector size="16" baseType="lpstr">
      <vt:lpstr>PPI 001</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Nathaniel Thornburg</cp:lastModifiedBy>
  <cp:lastPrinted>2011-05-13T12:56:09Z</cp:lastPrinted>
  <dcterms:created xsi:type="dcterms:W3CDTF">2003-04-30T19:20:22Z</dcterms:created>
  <dcterms:modified xsi:type="dcterms:W3CDTF">2011-08-16T13:41:37Z</dcterms:modified>
</cp:coreProperties>
</file>