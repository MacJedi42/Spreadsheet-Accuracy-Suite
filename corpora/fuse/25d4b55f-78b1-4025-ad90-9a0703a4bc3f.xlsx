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2460" windowWidth="19020" windowHeight="8070"/>
  </bookViews>
  <sheets>
    <sheet name="BuyOrRent" sheetId="2" r:id="rId1"/>
    <sheet name="Breakeven" sheetId="3" r:id="rId2"/>
    <sheet name="LeastCost" sheetId="4" r:id="rId3"/>
  </sheets>
  <calcPr calcId="145621"/>
</workbook>
</file>

<file path=xl/calcChain.xml><?xml version="1.0" encoding="utf-8"?>
<calcChain xmlns="http://schemas.openxmlformats.org/spreadsheetml/2006/main">
  <c r="E13" i="4" l="1"/>
  <c r="C13" i="4"/>
  <c r="D13" i="4"/>
  <c r="F13" i="4"/>
  <c r="F12" i="4"/>
  <c r="E12" i="4"/>
  <c r="D12" i="4"/>
  <c r="C12" i="4"/>
  <c r="C14" i="4" s="1"/>
  <c r="D14" i="4" l="1"/>
  <c r="F14" i="4"/>
  <c r="E14" i="4"/>
  <c r="B29" i="3"/>
  <c r="B14" i="3"/>
  <c r="E17" i="2" l="1"/>
  <c r="E18" i="2" s="1"/>
  <c r="F17" i="2"/>
  <c r="F18" i="2" s="1"/>
  <c r="G17" i="2"/>
  <c r="G18" i="2" s="1"/>
  <c r="H17" i="2"/>
  <c r="H18" i="2" s="1"/>
  <c r="I17" i="2"/>
  <c r="I18" i="2" s="1"/>
  <c r="J17" i="2"/>
  <c r="J18" i="2" s="1"/>
  <c r="K17" i="2"/>
  <c r="K18" i="2" s="1"/>
  <c r="L17" i="2"/>
  <c r="L18" i="2" s="1"/>
  <c r="M17" i="2"/>
  <c r="M18" i="2" s="1"/>
  <c r="D17" i="2"/>
  <c r="D18" i="2" s="1"/>
  <c r="E23" i="2"/>
  <c r="F23" i="2"/>
  <c r="G23" i="2"/>
  <c r="H23" i="2"/>
  <c r="I23" i="2"/>
  <c r="J23" i="2"/>
  <c r="K23" i="2"/>
  <c r="L23" i="2"/>
  <c r="M23" i="2"/>
  <c r="D23" i="2"/>
  <c r="E22" i="2"/>
  <c r="E25" i="2" s="1"/>
  <c r="F22" i="2"/>
  <c r="F25" i="2" s="1"/>
  <c r="G22" i="2"/>
  <c r="G25" i="2" s="1"/>
  <c r="H22" i="2"/>
  <c r="H25" i="2" s="1"/>
  <c r="I22" i="2"/>
  <c r="I25" i="2" s="1"/>
  <c r="J22" i="2"/>
  <c r="J25" i="2" s="1"/>
  <c r="K22" i="2"/>
  <c r="K25" i="2" s="1"/>
  <c r="L22" i="2"/>
  <c r="L25" i="2" s="1"/>
  <c r="M22" i="2"/>
  <c r="D22" i="2"/>
  <c r="D25" i="2" s="1"/>
  <c r="M21" i="2"/>
  <c r="M25" i="2" s="1"/>
  <c r="C20" i="2"/>
  <c r="C26" i="2" l="1"/>
  <c r="C25" i="2"/>
  <c r="K26" i="2"/>
  <c r="D26" i="2"/>
  <c r="L26" i="2"/>
  <c r="J26" i="2"/>
  <c r="H26" i="2"/>
  <c r="F26" i="2"/>
  <c r="M26" i="2"/>
  <c r="I26" i="2"/>
  <c r="G26" i="2"/>
  <c r="E26" i="2"/>
  <c r="C28" i="2" l="1"/>
  <c r="C27" i="2"/>
</calcChain>
</file>

<file path=xl/sharedStrings.xml><?xml version="1.0" encoding="utf-8"?>
<sst xmlns="http://schemas.openxmlformats.org/spreadsheetml/2006/main" count="55" uniqueCount="37">
  <si>
    <t>Buy or Rent a Drill</t>
  </si>
  <si>
    <t>Planning period (years):</t>
  </si>
  <si>
    <t>Discount rate:</t>
  </si>
  <si>
    <t>Acres of cropland:</t>
  </si>
  <si>
    <t>Purchase cost of a new drill ($):</t>
  </si>
  <si>
    <t>Residue value of the drill ($):</t>
  </si>
  <si>
    <t>Annual taxes and insurance ($):</t>
  </si>
  <si>
    <t>Annual repair cost ($):</t>
  </si>
  <si>
    <t>Drill rental cost ($/acre):</t>
  </si>
  <si>
    <t>Net Present Value (NPV, $):</t>
  </si>
  <si>
    <t>I. Known Information:</t>
  </si>
  <si>
    <t>II. Analysis:</t>
  </si>
  <si>
    <t>Internal Rate of Return (IRR):</t>
  </si>
  <si>
    <t>Net effect ($):</t>
  </si>
  <si>
    <t>Total negative effects ($):</t>
  </si>
  <si>
    <t>Additional Revenue ($):</t>
  </si>
  <si>
    <t>Reduced Costs ($):</t>
  </si>
  <si>
    <t>Total positive effects ($):</t>
  </si>
  <si>
    <t>Additional Costs ($):</t>
  </si>
  <si>
    <t>Reduced revenue ($):</t>
  </si>
  <si>
    <t>Example 1. Break-even Cost:</t>
  </si>
  <si>
    <t>How much can a rancher afford to spend on stock water development if the trough life is 20 years, the interest rate is 8 percent and the value of the increase in animal unit month (AUM) produced each year is $140?</t>
  </si>
  <si>
    <t>PV function: PV(rate, nper, pmt, fv, type)</t>
  </si>
  <si>
    <t>rate:</t>
  </si>
  <si>
    <t>nper:</t>
  </si>
  <si>
    <t>pmt:</t>
  </si>
  <si>
    <t>fv:</t>
  </si>
  <si>
    <t>Present value:</t>
  </si>
  <si>
    <t>PMT function: PMT(rate, nper, pv, fv, type)</t>
  </si>
  <si>
    <t>pv:</t>
  </si>
  <si>
    <t>Payment:</t>
  </si>
  <si>
    <t>Least Cost for a pressuraized water project</t>
  </si>
  <si>
    <t>Pulp and motor</t>
  </si>
  <si>
    <t>Gravity pipeline</t>
  </si>
  <si>
    <t>Total present value ($):</t>
  </si>
  <si>
    <t>Installation cost ($)</t>
  </si>
  <si>
    <t>Average annual O&amp;M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</si>
</sst>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2" fillId="0" borderId="3" xfId="1" applyNumberFormat="1" applyFont="1" applyBorder="1"/>
    <xf numFmtId="0" fontId="2" fillId="0" borderId="0" xfId="0" applyFont="1" applyBorder="1"/>
    <xf numFmtId="9" fontId="2" fillId="0" borderId="0" xfId="0" applyNumberFormat="1" applyFont="1" applyBorder="1"/>
    <xf numFmtId="164" fontId="2" fillId="0" borderId="0" xfId="1" applyNumberFormat="1" applyFont="1" applyBorder="1"/>
    <xf numFmtId="0" fontId="2" fillId="0" borderId="2" xfId="0" applyFont="1" applyBorder="1"/>
    <xf numFmtId="43" fontId="2" fillId="0" borderId="2" xfId="1" applyFont="1" applyBorder="1"/>
    <xf numFmtId="0" fontId="2" fillId="0" borderId="1" xfId="0" applyFont="1" applyBorder="1"/>
    <xf numFmtId="164" fontId="2" fillId="0" borderId="3" xfId="0" applyNumberFormat="1" applyFont="1" applyBorder="1"/>
    <xf numFmtId="164" fontId="2" fillId="0" borderId="0" xfId="0" applyNumberFormat="1" applyFont="1" applyBorder="1"/>
    <xf numFmtId="164" fontId="2" fillId="0" borderId="2" xfId="0" applyNumberFormat="1" applyFont="1" applyBorder="1"/>
    <xf numFmtId="0" fontId="2" fillId="0" borderId="2" xfId="0" applyFont="1" applyFill="1" applyBorder="1"/>
    <xf numFmtId="10" fontId="2" fillId="0" borderId="2" xfId="0" applyNumberFormat="1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165" fontId="2" fillId="0" borderId="0" xfId="0" applyNumberFormat="1" applyFont="1" applyBorder="1"/>
    <xf numFmtId="8" fontId="2" fillId="0" borderId="0" xfId="0" applyNumberFormat="1" applyFont="1" applyBorder="1"/>
    <xf numFmtId="6" fontId="2" fillId="0" borderId="0" xfId="0" applyNumberFormat="1" applyFont="1" applyBorder="1"/>
    <xf numFmtId="8" fontId="2" fillId="0" borderId="2" xfId="0" applyNumberFormat="1" applyFont="1" applyBorder="1"/>
    <xf numFmtId="164" fontId="2" fillId="0" borderId="2" xfId="1" applyNumberFormat="1" applyFont="1" applyBorder="1"/>
    <xf numFmtId="0" fontId="2" fillId="0" borderId="4" xfId="0" applyFont="1" applyBorder="1"/>
    <xf numFmtId="9" fontId="2" fillId="0" borderId="5" xfId="0" applyNumberFormat="1" applyFont="1" applyBorder="1"/>
    <xf numFmtId="0" fontId="2" fillId="0" borderId="5" xfId="0" applyFont="1" applyBorder="1"/>
    <xf numFmtId="9" fontId="2" fillId="0" borderId="1" xfId="0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2" fillId="0" borderId="9" xfId="1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4" fillId="0" borderId="2" xfId="1" applyNumberFormat="1" applyFont="1" applyBorder="1"/>
    <xf numFmtId="164" fontId="4" fillId="0" borderId="8" xfId="1" applyNumberFormat="1" applyFont="1" applyBorder="1"/>
    <xf numFmtId="164" fontId="4" fillId="0" borderId="9" xfId="1" applyNumberFormat="1" applyFont="1" applyBorder="1"/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abSelected="1" topLeftCell="A7" workbookViewId="0">
      <selection activeCell="D31" sqref="D31"/>
    </sheetView>
  </sheetViews>
  <sheetFormatPr defaultRowHeight="15" x14ac:dyDescent="0.25"/>
  <cols>
    <col min="1" max="1" width="4.28515625" style="1" customWidth="1"/>
    <col min="2" max="2" width="28.42578125" style="1" bestFit="1" customWidth="1"/>
    <col min="3" max="3" width="8.5703125" style="1" bestFit="1" customWidth="1"/>
    <col min="4" max="13" width="6.85546875" style="1" bestFit="1" customWidth="1"/>
    <col min="14" max="16384" width="9.140625" style="1"/>
  </cols>
  <sheetData>
    <row r="1" spans="1:13" x14ac:dyDescent="0.25">
      <c r="A1" s="1" t="s">
        <v>0</v>
      </c>
    </row>
    <row r="3" spans="1:13" x14ac:dyDescent="0.25">
      <c r="A3" s="1" t="s">
        <v>10</v>
      </c>
    </row>
    <row r="4" spans="1:13" x14ac:dyDescent="0.25">
      <c r="A4" s="2" t="s">
        <v>1</v>
      </c>
      <c r="B4" s="2"/>
      <c r="C4" s="3">
        <v>10</v>
      </c>
    </row>
    <row r="5" spans="1:13" x14ac:dyDescent="0.25">
      <c r="A5" s="4" t="s">
        <v>2</v>
      </c>
      <c r="B5" s="4"/>
      <c r="C5" s="5">
        <v>0.1</v>
      </c>
    </row>
    <row r="6" spans="1:13" x14ac:dyDescent="0.25">
      <c r="A6" s="4" t="s">
        <v>3</v>
      </c>
      <c r="B6" s="4"/>
      <c r="C6" s="6">
        <v>600</v>
      </c>
    </row>
    <row r="7" spans="1:13" x14ac:dyDescent="0.25">
      <c r="A7" s="4" t="s">
        <v>4</v>
      </c>
      <c r="B7" s="4"/>
      <c r="C7" s="6">
        <v>24000</v>
      </c>
    </row>
    <row r="8" spans="1:13" x14ac:dyDescent="0.25">
      <c r="A8" s="4" t="s">
        <v>5</v>
      </c>
      <c r="B8" s="4"/>
      <c r="C8" s="6">
        <v>4000</v>
      </c>
    </row>
    <row r="9" spans="1:13" x14ac:dyDescent="0.25">
      <c r="A9" s="4" t="s">
        <v>7</v>
      </c>
      <c r="B9" s="4"/>
      <c r="C9" s="6">
        <v>300</v>
      </c>
    </row>
    <row r="10" spans="1:13" x14ac:dyDescent="0.25">
      <c r="A10" s="4" t="s">
        <v>6</v>
      </c>
      <c r="B10" s="4"/>
      <c r="C10" s="6">
        <v>50</v>
      </c>
    </row>
    <row r="11" spans="1:13" x14ac:dyDescent="0.25">
      <c r="A11" s="7" t="s">
        <v>8</v>
      </c>
      <c r="B11" s="7"/>
      <c r="C11" s="8">
        <v>7.5</v>
      </c>
    </row>
    <row r="13" spans="1:13" x14ac:dyDescent="0.25">
      <c r="A13" s="1" t="s">
        <v>11</v>
      </c>
    </row>
    <row r="14" spans="1:13" x14ac:dyDescent="0.25">
      <c r="A14" s="9"/>
      <c r="B14" s="9"/>
      <c r="C14" s="9">
        <v>0</v>
      </c>
      <c r="D14" s="9">
        <v>1</v>
      </c>
      <c r="E14" s="9">
        <v>2</v>
      </c>
      <c r="F14" s="9">
        <v>3</v>
      </c>
      <c r="G14" s="9">
        <v>4</v>
      </c>
      <c r="H14" s="9">
        <v>5</v>
      </c>
      <c r="I14" s="9">
        <v>6</v>
      </c>
      <c r="J14" s="9">
        <v>7</v>
      </c>
      <c r="K14" s="9">
        <v>8</v>
      </c>
      <c r="L14" s="9">
        <v>9</v>
      </c>
      <c r="M14" s="9">
        <v>10</v>
      </c>
    </row>
    <row r="15" spans="1:13" x14ac:dyDescent="0.25">
      <c r="A15" s="2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4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 t="s">
        <v>8</v>
      </c>
      <c r="C17" s="4"/>
      <c r="D17" s="11">
        <f>+$C$11*$C$6</f>
        <v>4500</v>
      </c>
      <c r="E17" s="11">
        <f t="shared" ref="E17:M17" si="0">+$C$11*$C$6</f>
        <v>4500</v>
      </c>
      <c r="F17" s="11">
        <f t="shared" si="0"/>
        <v>4500</v>
      </c>
      <c r="G17" s="11">
        <f t="shared" si="0"/>
        <v>4500</v>
      </c>
      <c r="H17" s="11">
        <f t="shared" si="0"/>
        <v>4500</v>
      </c>
      <c r="I17" s="11">
        <f t="shared" si="0"/>
        <v>4500</v>
      </c>
      <c r="J17" s="11">
        <f t="shared" si="0"/>
        <v>4500</v>
      </c>
      <c r="K17" s="11">
        <f t="shared" si="0"/>
        <v>4500</v>
      </c>
      <c r="L17" s="11">
        <f t="shared" si="0"/>
        <v>4500</v>
      </c>
      <c r="M17" s="11">
        <f t="shared" si="0"/>
        <v>4500</v>
      </c>
    </row>
    <row r="18" spans="1:13" x14ac:dyDescent="0.25">
      <c r="A18" s="7" t="s">
        <v>17</v>
      </c>
      <c r="B18" s="7"/>
      <c r="C18" s="7"/>
      <c r="D18" s="12">
        <f>+D17</f>
        <v>4500</v>
      </c>
      <c r="E18" s="12">
        <f t="shared" ref="E18:M18" si="1">+E17</f>
        <v>4500</v>
      </c>
      <c r="F18" s="12">
        <f t="shared" si="1"/>
        <v>4500</v>
      </c>
      <c r="G18" s="12">
        <f t="shared" si="1"/>
        <v>4500</v>
      </c>
      <c r="H18" s="12">
        <f t="shared" si="1"/>
        <v>4500</v>
      </c>
      <c r="I18" s="12">
        <f t="shared" si="1"/>
        <v>4500</v>
      </c>
      <c r="J18" s="12">
        <f t="shared" si="1"/>
        <v>4500</v>
      </c>
      <c r="K18" s="12">
        <f t="shared" si="1"/>
        <v>4500</v>
      </c>
      <c r="L18" s="12">
        <f t="shared" si="1"/>
        <v>4500</v>
      </c>
      <c r="M18" s="12">
        <f t="shared" si="1"/>
        <v>4500</v>
      </c>
    </row>
    <row r="19" spans="1:13" x14ac:dyDescent="0.25">
      <c r="A19" s="2" t="s">
        <v>18</v>
      </c>
      <c r="B19" s="2"/>
      <c r="C19" s="2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4"/>
      <c r="B20" s="4" t="s">
        <v>4</v>
      </c>
      <c r="C20" s="11">
        <f>+C7</f>
        <v>24000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 t="s">
        <v>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11">
        <f>+C8</f>
        <v>4000</v>
      </c>
    </row>
    <row r="22" spans="1:13" x14ac:dyDescent="0.25">
      <c r="A22" s="4"/>
      <c r="B22" s="4" t="s">
        <v>7</v>
      </c>
      <c r="C22" s="4"/>
      <c r="D22" s="11">
        <f>+$C$9</f>
        <v>300</v>
      </c>
      <c r="E22" s="11">
        <f t="shared" ref="E22:M22" si="2">+$C$9</f>
        <v>300</v>
      </c>
      <c r="F22" s="11">
        <f t="shared" si="2"/>
        <v>300</v>
      </c>
      <c r="G22" s="11">
        <f t="shared" si="2"/>
        <v>300</v>
      </c>
      <c r="H22" s="11">
        <f t="shared" si="2"/>
        <v>300</v>
      </c>
      <c r="I22" s="11">
        <f t="shared" si="2"/>
        <v>300</v>
      </c>
      <c r="J22" s="11">
        <f t="shared" si="2"/>
        <v>300</v>
      </c>
      <c r="K22" s="11">
        <f t="shared" si="2"/>
        <v>300</v>
      </c>
      <c r="L22" s="11">
        <f t="shared" si="2"/>
        <v>300</v>
      </c>
      <c r="M22" s="11">
        <f t="shared" si="2"/>
        <v>300</v>
      </c>
    </row>
    <row r="23" spans="1:13" x14ac:dyDescent="0.25">
      <c r="A23" s="4"/>
      <c r="B23" s="4" t="s">
        <v>6</v>
      </c>
      <c r="C23" s="4"/>
      <c r="D23" s="11">
        <f>+$C$10</f>
        <v>50</v>
      </c>
      <c r="E23" s="11">
        <f t="shared" ref="E23:M23" si="3">+$C$10</f>
        <v>50</v>
      </c>
      <c r="F23" s="11">
        <f t="shared" si="3"/>
        <v>50</v>
      </c>
      <c r="G23" s="11">
        <f t="shared" si="3"/>
        <v>50</v>
      </c>
      <c r="H23" s="11">
        <f t="shared" si="3"/>
        <v>50</v>
      </c>
      <c r="I23" s="11">
        <f t="shared" si="3"/>
        <v>50</v>
      </c>
      <c r="J23" s="11">
        <f t="shared" si="3"/>
        <v>50</v>
      </c>
      <c r="K23" s="11">
        <f t="shared" si="3"/>
        <v>50</v>
      </c>
      <c r="L23" s="11">
        <f t="shared" si="3"/>
        <v>50</v>
      </c>
      <c r="M23" s="11">
        <f t="shared" si="3"/>
        <v>50</v>
      </c>
    </row>
    <row r="24" spans="1:13" x14ac:dyDescent="0.25">
      <c r="A24" s="4" t="s">
        <v>19</v>
      </c>
      <c r="B24" s="4"/>
      <c r="C24" s="4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25">
      <c r="A25" s="7" t="s">
        <v>14</v>
      </c>
      <c r="B25" s="7"/>
      <c r="C25" s="12">
        <f>SUM(C20:C24)</f>
        <v>24000</v>
      </c>
      <c r="D25" s="12">
        <f t="shared" ref="D25:M25" si="4">SUM(D20:D24)</f>
        <v>350</v>
      </c>
      <c r="E25" s="12">
        <f t="shared" si="4"/>
        <v>350</v>
      </c>
      <c r="F25" s="12">
        <f t="shared" si="4"/>
        <v>350</v>
      </c>
      <c r="G25" s="12">
        <f t="shared" si="4"/>
        <v>350</v>
      </c>
      <c r="H25" s="12">
        <f t="shared" si="4"/>
        <v>350</v>
      </c>
      <c r="I25" s="12">
        <f t="shared" si="4"/>
        <v>350</v>
      </c>
      <c r="J25" s="12">
        <f t="shared" si="4"/>
        <v>350</v>
      </c>
      <c r="K25" s="12">
        <f t="shared" si="4"/>
        <v>350</v>
      </c>
      <c r="L25" s="12">
        <f t="shared" si="4"/>
        <v>350</v>
      </c>
      <c r="M25" s="12">
        <f t="shared" si="4"/>
        <v>4350</v>
      </c>
    </row>
    <row r="26" spans="1:13" x14ac:dyDescent="0.25">
      <c r="A26" s="9" t="s">
        <v>13</v>
      </c>
      <c r="B26" s="9"/>
      <c r="C26" s="15">
        <f t="shared" ref="C26:M26" si="5">C17-SUM(C20:C23)</f>
        <v>-24000</v>
      </c>
      <c r="D26" s="15">
        <f t="shared" si="5"/>
        <v>4150</v>
      </c>
      <c r="E26" s="15">
        <f t="shared" si="5"/>
        <v>4150</v>
      </c>
      <c r="F26" s="15">
        <f t="shared" si="5"/>
        <v>4150</v>
      </c>
      <c r="G26" s="15">
        <f t="shared" si="5"/>
        <v>4150</v>
      </c>
      <c r="H26" s="15">
        <f t="shared" si="5"/>
        <v>4150</v>
      </c>
      <c r="I26" s="15">
        <f t="shared" si="5"/>
        <v>4150</v>
      </c>
      <c r="J26" s="15">
        <f t="shared" si="5"/>
        <v>4150</v>
      </c>
      <c r="K26" s="15">
        <f t="shared" si="5"/>
        <v>4150</v>
      </c>
      <c r="L26" s="15">
        <f t="shared" si="5"/>
        <v>4150</v>
      </c>
      <c r="M26" s="15">
        <f t="shared" si="5"/>
        <v>150</v>
      </c>
    </row>
    <row r="27" spans="1:13" x14ac:dyDescent="0.25">
      <c r="A27" s="9" t="s">
        <v>9</v>
      </c>
      <c r="B27" s="9"/>
      <c r="C27" s="16">
        <f>NPV(C5,D26:M26)+C26</f>
        <v>-42.219669043701288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13" t="s">
        <v>12</v>
      </c>
      <c r="B28" s="7"/>
      <c r="C28" s="14">
        <f>+IRR(C26:M26)</f>
        <v>9.9558632616254972E-2</v>
      </c>
      <c r="D28" s="7"/>
      <c r="E28" s="7"/>
      <c r="F28" s="7"/>
      <c r="G28" s="7"/>
      <c r="H28" s="7"/>
      <c r="I28" s="7"/>
      <c r="J28" s="7"/>
      <c r="K28" s="7"/>
      <c r="L28" s="7"/>
      <c r="M28" s="7"/>
    </row>
  </sheetData>
  <pageMargins left="0.7" right="0.7" top="0.75" bottom="0.75" header="0.3" footer="0.3"/>
  <pageSetup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D31" sqref="D31"/>
    </sheetView>
  </sheetViews>
  <sheetFormatPr defaultRowHeight="15" x14ac:dyDescent="0.25"/>
  <cols>
    <col min="2" max="2" width="16" customWidth="1"/>
    <col min="3" max="4" width="10.7109375" bestFit="1" customWidth="1"/>
  </cols>
  <sheetData>
    <row r="1" spans="1:7" x14ac:dyDescent="0.25">
      <c r="A1" t="s">
        <v>20</v>
      </c>
    </row>
    <row r="2" spans="1:7" x14ac:dyDescent="0.25">
      <c r="A2" s="40" t="s">
        <v>21</v>
      </c>
      <c r="B2" s="40"/>
      <c r="C2" s="40"/>
      <c r="D2" s="40"/>
      <c r="E2" s="40"/>
      <c r="F2" s="40"/>
      <c r="G2" s="40"/>
    </row>
    <row r="3" spans="1:7" x14ac:dyDescent="0.25">
      <c r="A3" s="40"/>
      <c r="B3" s="40"/>
      <c r="C3" s="40"/>
      <c r="D3" s="40"/>
      <c r="E3" s="40"/>
      <c r="F3" s="40"/>
      <c r="G3" s="40"/>
    </row>
    <row r="4" spans="1:7" x14ac:dyDescent="0.25">
      <c r="A4" s="40"/>
      <c r="B4" s="40"/>
      <c r="C4" s="40"/>
      <c r="D4" s="40"/>
      <c r="E4" s="40"/>
      <c r="F4" s="40"/>
      <c r="G4" s="40"/>
    </row>
    <row r="5" spans="1:7" x14ac:dyDescent="0.25">
      <c r="A5" s="40"/>
      <c r="B5" s="40"/>
      <c r="C5" s="40"/>
      <c r="D5" s="40"/>
      <c r="E5" s="40"/>
      <c r="F5" s="40"/>
      <c r="G5" s="40"/>
    </row>
    <row r="7" spans="1:7" x14ac:dyDescent="0.25">
      <c r="A7" s="17" t="s">
        <v>22</v>
      </c>
      <c r="B7" s="1"/>
      <c r="C7" s="1"/>
      <c r="D7" s="1"/>
    </row>
    <row r="8" spans="1:7" x14ac:dyDescent="0.25">
      <c r="A8" s="1"/>
      <c r="B8" s="1"/>
      <c r="C8" s="1"/>
      <c r="D8" s="1"/>
    </row>
    <row r="9" spans="1:7" x14ac:dyDescent="0.25">
      <c r="A9" s="9"/>
      <c r="B9" s="18"/>
    </row>
    <row r="10" spans="1:7" x14ac:dyDescent="0.25">
      <c r="A10" s="4" t="s">
        <v>23</v>
      </c>
      <c r="B10" s="5">
        <v>0.08</v>
      </c>
    </row>
    <row r="11" spans="1:7" x14ac:dyDescent="0.25">
      <c r="A11" s="4" t="s">
        <v>24</v>
      </c>
      <c r="B11" s="4">
        <v>20</v>
      </c>
    </row>
    <row r="12" spans="1:7" x14ac:dyDescent="0.25">
      <c r="A12" s="4" t="s">
        <v>25</v>
      </c>
      <c r="B12" s="4">
        <v>140</v>
      </c>
    </row>
    <row r="13" spans="1:7" x14ac:dyDescent="0.25">
      <c r="A13" s="4" t="s">
        <v>26</v>
      </c>
      <c r="B13" s="21">
        <v>0</v>
      </c>
    </row>
    <row r="14" spans="1:7" x14ac:dyDescent="0.25">
      <c r="A14" s="7" t="s">
        <v>27</v>
      </c>
      <c r="B14" s="22">
        <f>+PV(B10, B11, B12, B13)</f>
        <v>-1374.5406370429012</v>
      </c>
    </row>
    <row r="22" spans="1:3" x14ac:dyDescent="0.25">
      <c r="A22" s="17" t="s">
        <v>28</v>
      </c>
      <c r="B22" s="1"/>
      <c r="C22" s="1"/>
    </row>
    <row r="23" spans="1:3" x14ac:dyDescent="0.25">
      <c r="A23" s="1"/>
      <c r="B23" s="1"/>
      <c r="C23" s="1"/>
    </row>
    <row r="24" spans="1:3" x14ac:dyDescent="0.25">
      <c r="A24" s="9"/>
      <c r="B24" s="18"/>
    </row>
    <row r="25" spans="1:3" x14ac:dyDescent="0.25">
      <c r="A25" s="4" t="s">
        <v>23</v>
      </c>
      <c r="B25" s="19">
        <v>0.11</v>
      </c>
    </row>
    <row r="26" spans="1:3" x14ac:dyDescent="0.25">
      <c r="A26" s="4" t="s">
        <v>24</v>
      </c>
      <c r="B26" s="4">
        <v>20</v>
      </c>
    </row>
    <row r="27" spans="1:3" x14ac:dyDescent="0.25">
      <c r="A27" s="4" t="s">
        <v>29</v>
      </c>
      <c r="B27" s="20">
        <v>-1400</v>
      </c>
    </row>
    <row r="28" spans="1:3" x14ac:dyDescent="0.25">
      <c r="A28" s="4" t="s">
        <v>26</v>
      </c>
      <c r="B28" s="4">
        <v>0</v>
      </c>
    </row>
    <row r="29" spans="1:3" x14ac:dyDescent="0.25">
      <c r="A29" s="7" t="s">
        <v>30</v>
      </c>
      <c r="B29" s="22">
        <f>+PMT(B25, B26, B27, B28)</f>
        <v>175.80589162799913</v>
      </c>
    </row>
  </sheetData>
  <mergeCells count="1">
    <mergeCell ref="A2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selection activeCell="B25" sqref="B25"/>
    </sheetView>
  </sheetViews>
  <sheetFormatPr defaultRowHeight="15" x14ac:dyDescent="0.25"/>
  <cols>
    <col min="1" max="1" width="4.28515625" style="1" customWidth="1"/>
    <col min="2" max="2" width="28.42578125" style="1" bestFit="1" customWidth="1"/>
    <col min="3" max="3" width="17.5703125" style="1" customWidth="1"/>
    <col min="4" max="4" width="14.7109375" style="1" customWidth="1"/>
    <col min="5" max="5" width="18.5703125" style="1" customWidth="1"/>
    <col min="6" max="6" width="16.7109375" style="1" customWidth="1"/>
    <col min="7" max="16384" width="9.140625" style="1"/>
  </cols>
  <sheetData>
    <row r="1" spans="1:6" x14ac:dyDescent="0.25">
      <c r="A1" s="1" t="s">
        <v>31</v>
      </c>
    </row>
    <row r="3" spans="1:6" x14ac:dyDescent="0.25">
      <c r="A3" s="1" t="s">
        <v>10</v>
      </c>
    </row>
    <row r="4" spans="1:6" x14ac:dyDescent="0.25">
      <c r="A4" s="2" t="s">
        <v>1</v>
      </c>
      <c r="B4" s="2"/>
      <c r="C4" s="3">
        <v>20</v>
      </c>
    </row>
    <row r="5" spans="1:6" x14ac:dyDescent="0.25">
      <c r="A5" s="24"/>
      <c r="B5" s="9"/>
      <c r="C5" s="9" t="s">
        <v>32</v>
      </c>
      <c r="D5" s="26" t="s">
        <v>33</v>
      </c>
    </row>
    <row r="6" spans="1:6" x14ac:dyDescent="0.25">
      <c r="A6" s="33" t="s">
        <v>35</v>
      </c>
      <c r="B6" s="4"/>
      <c r="C6" s="6">
        <v>5000</v>
      </c>
      <c r="D6" s="29">
        <v>14000</v>
      </c>
    </row>
    <row r="7" spans="1:6" x14ac:dyDescent="0.25">
      <c r="A7" s="35" t="s">
        <v>36</v>
      </c>
      <c r="B7" s="7"/>
      <c r="C7" s="23">
        <v>1000</v>
      </c>
      <c r="D7" s="30">
        <v>300</v>
      </c>
    </row>
    <row r="9" spans="1:6" x14ac:dyDescent="0.25">
      <c r="A9" s="1" t="s">
        <v>11</v>
      </c>
    </row>
    <row r="10" spans="1:6" x14ac:dyDescent="0.25">
      <c r="A10" s="24" t="s">
        <v>2</v>
      </c>
      <c r="B10" s="26"/>
      <c r="C10" s="9"/>
      <c r="D10" s="27">
        <v>7.0000000000000007E-2</v>
      </c>
      <c r="E10" s="24"/>
      <c r="F10" s="25">
        <v>0.03</v>
      </c>
    </row>
    <row r="11" spans="1:6" x14ac:dyDescent="0.25">
      <c r="A11" s="24"/>
      <c r="B11" s="26"/>
      <c r="C11" s="9" t="s">
        <v>32</v>
      </c>
      <c r="D11" s="9" t="s">
        <v>33</v>
      </c>
      <c r="E11" s="24" t="s">
        <v>32</v>
      </c>
      <c r="F11" s="26" t="s">
        <v>33</v>
      </c>
    </row>
    <row r="12" spans="1:6" x14ac:dyDescent="0.25">
      <c r="A12" s="31" t="s">
        <v>35</v>
      </c>
      <c r="B12" s="32"/>
      <c r="C12" s="6">
        <f>+C6</f>
        <v>5000</v>
      </c>
      <c r="D12" s="6">
        <f>+D6</f>
        <v>14000</v>
      </c>
      <c r="E12" s="28">
        <f>+C6</f>
        <v>5000</v>
      </c>
      <c r="F12" s="29">
        <f>+D6</f>
        <v>14000</v>
      </c>
    </row>
    <row r="13" spans="1:6" x14ac:dyDescent="0.25">
      <c r="A13" s="33" t="s">
        <v>36</v>
      </c>
      <c r="B13" s="34"/>
      <c r="C13" s="6">
        <f>-PV(D10,C4,C7)</f>
        <v>10594.01424551616</v>
      </c>
      <c r="D13" s="6">
        <f>-PV(D10,C4,D7)</f>
        <v>3178.2042736548483</v>
      </c>
      <c r="E13" s="28">
        <f>-PV(F10,C4,C7)</f>
        <v>14877.474860455501</v>
      </c>
      <c r="F13" s="29">
        <f>-PV(F10,C4,D7)</f>
        <v>4463.2424581366504</v>
      </c>
    </row>
    <row r="14" spans="1:6" x14ac:dyDescent="0.25">
      <c r="A14" s="35" t="s">
        <v>34</v>
      </c>
      <c r="B14" s="36"/>
      <c r="C14" s="37">
        <f>SUM(C12:C13)</f>
        <v>15594.01424551616</v>
      </c>
      <c r="D14" s="37">
        <f t="shared" ref="D14:F14" si="0">SUM(D12:D13)</f>
        <v>17178.204273654846</v>
      </c>
      <c r="E14" s="38">
        <f t="shared" si="0"/>
        <v>19877.474860455499</v>
      </c>
      <c r="F14" s="39">
        <f t="shared" si="0"/>
        <v>18463.24245813665</v>
      </c>
    </row>
  </sheetData>
  <pageMargins left="0.7" right="0.7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BuyOrRent</vt:lpstr>
      <vt:lpstr>Breakeven</vt:lpstr>
      <vt:lpstr>LeastCost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mark.xu</dc:creator>
  <cp:lastModifiedBy>Xu, Mark - NRCS, Beltsville, MD</cp:lastModifiedBy>
  <dcterms:created xsi:type="dcterms:W3CDTF">2011-02-01T17:14:53Z</dcterms:created>
  <dcterms:modified xsi:type="dcterms:W3CDTF">2012-10-16T13:54:38Z</dcterms:modified>
</cp:coreProperties>
</file>