
<file path=[Content_Types].xml><?xml version="1.0" encoding="utf-8"?>
<Types xmlns="http://schemas.openxmlformats.org/package/2006/content-types">
  <Default Extension="xml" ContentType="application/xml"/>
  <Default Extension="jpeg" ContentType="image/jpeg"/>
  <Default Extension="rels" ContentType="application/vnd.openxmlformats-package.relationships+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1420" windowHeight="1578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B28" i="1" l="1"/>
  <c r="B47" i="1"/>
  <c r="B19" i="1"/>
  <c r="G68" i="1"/>
  <c r="G69" i="1"/>
  <c r="G70" i="1"/>
  <c r="B40" i="1"/>
  <c r="B58" i="1"/>
  <c r="B59" i="1"/>
  <c r="B68" i="1"/>
  <c r="B69" i="1"/>
  <c r="B70" i="1"/>
  <c r="B71" i="1"/>
  <c r="B73" i="1"/>
  <c r="B72" i="1"/>
  <c r="B16" i="1"/>
  <c r="B18" i="1"/>
</calcChain>
</file>

<file path=xl/sharedStrings.xml><?xml version="1.0" encoding="utf-8"?>
<sst xmlns="http://schemas.openxmlformats.org/spreadsheetml/2006/main" count="124" uniqueCount="113">
  <si>
    <t>Exact Program Dates</t>
  </si>
  <si>
    <t>Program Country/Cities</t>
  </si>
  <si>
    <t>Program FOAPAL Number</t>
  </si>
  <si>
    <t xml:space="preserve">    Tuition - Partner University </t>
  </si>
  <si>
    <t xml:space="preserve">    Meals (where applicable)</t>
  </si>
  <si>
    <t xml:space="preserve">Deduct meals provided by program provider or partner university.  </t>
  </si>
  <si>
    <t xml:space="preserve">    Airfare</t>
  </si>
  <si>
    <t xml:space="preserve">    Excursions</t>
  </si>
  <si>
    <t xml:space="preserve">    Other (please specify)</t>
  </si>
  <si>
    <t xml:space="preserve">    Lodging</t>
  </si>
  <si>
    <t xml:space="preserve">    Meals</t>
  </si>
  <si>
    <t xml:space="preserve">    Transportation (in country)</t>
  </si>
  <si>
    <t xml:space="preserve">    Other </t>
  </si>
  <si>
    <t>FINANCIAL WORKSHEET</t>
  </si>
  <si>
    <t>Airfare</t>
  </si>
  <si>
    <t>Partner/Service Provider Abroad</t>
  </si>
  <si>
    <t>UMW Tuition Charged?</t>
  </si>
  <si>
    <t xml:space="preserve">If yes, for which courses?  </t>
  </si>
  <si>
    <t xml:space="preserve"> -56406-99950</t>
  </si>
  <si>
    <t>Non-Refundable Deposit</t>
  </si>
  <si>
    <t>Abroad Provider Program Fee</t>
  </si>
  <si>
    <t>For foreign tuition payments only. If students will be paying UMW tuition, leave blank.</t>
  </si>
  <si>
    <t>Housing/Lodging</t>
  </si>
  <si>
    <t>If not included by provider.</t>
  </si>
  <si>
    <t>Leave blank if students will travel independently.</t>
  </si>
  <si>
    <t>Do not include if students will purchase their own visas in advance.</t>
  </si>
  <si>
    <t>Entry Visa(s)</t>
  </si>
  <si>
    <t>Subtotal Student Expense</t>
  </si>
  <si>
    <t>Insurance</t>
  </si>
  <si>
    <t>Study Abroad Fee</t>
  </si>
  <si>
    <t>$20/week per student.</t>
  </si>
  <si>
    <t>Total Expenses Per Director</t>
  </si>
  <si>
    <t>Total Director Expenses</t>
  </si>
  <si>
    <t>Faculty Expenses + Faculty Compensation + FICA</t>
  </si>
  <si>
    <t>Total Faculty Cost</t>
  </si>
  <si>
    <t>New programs must establish a FOAPAL upon approval.</t>
  </si>
  <si>
    <t>Main Program Name</t>
  </si>
  <si>
    <t>Main Program Course(s)</t>
  </si>
  <si>
    <t>FACULTY DIRECTOR EXPENSES ($USD, per person)</t>
  </si>
  <si>
    <t>FACULTY DIRECTOR COMPENSATION</t>
  </si>
  <si>
    <t>PROGRAM EXPENSE PER STUDENT ($USD) - Base Program (Track 1)</t>
  </si>
  <si>
    <t>Abroad Provider Fee</t>
  </si>
  <si>
    <t>Faculty Cell Phone/Internet Access</t>
  </si>
  <si>
    <t>Include visas, exit taxes, admissions, incidentals, or other known expenses.</t>
  </si>
  <si>
    <t>Faculty Director</t>
  </si>
  <si>
    <t>Faculty Co-Director</t>
  </si>
  <si>
    <t>Ofc Phone</t>
  </si>
  <si>
    <t>Cell</t>
  </si>
  <si>
    <t># Credits</t>
  </si>
  <si>
    <t>$50,000 minimum</t>
  </si>
  <si>
    <t>Program Balance</t>
  </si>
  <si>
    <t>Email</t>
  </si>
  <si>
    <t>Transfer Credit Offered?</t>
  </si>
  <si>
    <t>PROGRAM INFORMATION</t>
  </si>
  <si>
    <t>Program Name</t>
  </si>
  <si>
    <t>Credit Granting Institution</t>
  </si>
  <si>
    <t>Name to Appear on UMW Finance Card (REQUIRED)*:</t>
  </si>
  <si>
    <t>Term</t>
  </si>
  <si>
    <t>Resident Director Stipend</t>
  </si>
  <si>
    <t>Co-Resident Director Stipend</t>
  </si>
  <si>
    <t>Subtotal Program-Based Stipends</t>
  </si>
  <si>
    <t>COMPENSATION FROM PROGRAM FEES</t>
  </si>
  <si>
    <t>Total Faculty Cost Divided Per Student</t>
  </si>
  <si>
    <t>Director Teaching Stipend</t>
  </si>
  <si>
    <t>Co-Director Teaching Stipend</t>
  </si>
  <si>
    <t>UMW FACULTY-LED EDUCATION ABROAD PROGRAM FACT SHEET FOR 2015</t>
  </si>
  <si>
    <t>If not included free with minimum number of students.</t>
  </si>
  <si>
    <t>Estimate if necessary.</t>
  </si>
  <si>
    <t>Number of Directors Traveling ---&gt;</t>
  </si>
  <si>
    <t>FICA (7.65%)</t>
  </si>
  <si>
    <t xml:space="preserve">Co-Director Teaching Stipend from UMW Course </t>
  </si>
  <si>
    <t>Director Teaching Stipend from UMW Course</t>
  </si>
  <si>
    <t>APPROVALS - No program may be advertised or funds collected from students prior to approval by ALL signers listed below.  Please sign/date.</t>
  </si>
  <si>
    <t>Subtotal Total Tuition-Based Stipends</t>
  </si>
  <si>
    <t>List any Pre-Requisite(s)</t>
  </si>
  <si>
    <t>Summer Default Deadline</t>
  </si>
  <si>
    <t>Payment Deadlines</t>
  </si>
  <si>
    <t>TOTAL WITH OPTIONAL ADD-ONS</t>
  </si>
  <si>
    <t>TOTAL COST -  BASE PROGRAM</t>
  </si>
  <si>
    <t>Optional Add-On Course(s)</t>
  </si>
  <si>
    <t>Optional Add-On Program Name</t>
  </si>
  <si>
    <t>Partner Contact Person/Phone</t>
  </si>
  <si>
    <t>Spring Default Deadline</t>
  </si>
  <si>
    <t>PROGRAM FEE</t>
  </si>
  <si>
    <t>Supplemental Fee (Optional)</t>
  </si>
  <si>
    <t>Supplemental Program Fee</t>
  </si>
  <si>
    <t>Supplemental Tuition (Non-UMW)</t>
  </si>
  <si>
    <t xml:space="preserve">COMPENSATION FROM TUITION UMW TUITION REVENUE </t>
  </si>
  <si>
    <t>$13.00/week or $45/month per student under 74 years, if not included by travel provider.</t>
  </si>
  <si>
    <t>Health Insurance is based on age at the time of program. $13/week or $45/month per person under 74 years if not included by travel provider.  For age 74+: Call CIE at X2172.</t>
  </si>
  <si>
    <t xml:space="preserve">Both Teaching and Resident Director Stipends are determined by credit hour and are equal to 2.5% of the annual base salary or $1500 per credit hour, whichever is greater. All funding will come from either UMW tuition revenue or program fees. Use the left column to calculate compensation to be charged to program fees. Use the right column to calculate compensation to be paid from UMW tuition revenue (available for summer programs only.)  </t>
  </si>
  <si>
    <t>NOTE:  Compensation from UMW tuition is NOT included in program expense calculations. Minimum enrollment of seven students required for summer course to be offered.</t>
  </si>
  <si>
    <t>Supplemental Fee</t>
  </si>
  <si>
    <t>This fee covers any additional options available beyond the base program and is only charged if a student opts into the supplemental program. (Ex:  additional excursion or additional course offering).</t>
  </si>
  <si>
    <t>OPTIONAL  PROGRAM ADDITIONS</t>
  </si>
  <si>
    <t>Metro pass, rental vehicle, public tranportation not included in program.</t>
  </si>
  <si>
    <t>Airport Shuttle or Airport Parking</t>
  </si>
  <si>
    <t>Estimate $10/day airport parking if needed.</t>
  </si>
  <si>
    <t>Cost for any optional program elements.</t>
  </si>
  <si>
    <t>Cost for additional courses students may elect to take.</t>
  </si>
  <si>
    <r>
      <t xml:space="preserve">*Personalized credit cards with the faculty leader's name are required for all UMW Faculty-Led Programs. </t>
    </r>
    <r>
      <rPr>
        <b/>
        <sz val="9"/>
        <color rgb="FF000000"/>
        <rFont val="Calibri"/>
        <scheme val="minor"/>
      </rPr>
      <t>Contact Vicki Eppes-Ward (veppeswa@umw.edu) in the Finance Office at least two weeks before card is needed.</t>
    </r>
    <r>
      <rPr>
        <sz val="9"/>
        <color rgb="FF000000"/>
        <rFont val="Calibri"/>
        <scheme val="minor"/>
      </rPr>
      <t xml:space="preserve"> </t>
    </r>
    <r>
      <rPr>
        <b/>
        <sz val="9"/>
        <color rgb="FF000000"/>
        <rFont val="Calibri"/>
        <scheme val="minor"/>
      </rPr>
      <t xml:space="preserve">First time cardholders should allow an additional 2 weeks for processing.  </t>
    </r>
    <r>
      <rPr>
        <sz val="9"/>
        <color rgb="FF000000"/>
        <rFont val="Calibri"/>
        <scheme val="minor"/>
      </rPr>
      <t>UMW credit cards may not be used to pay for family member participation. Personal credit cards should be used for such transactions.  A 30% cash advance is permissible with receipts submitted upon return. A custom financial template and card usage training will be provided upon card issue.   Faculty Director has read and understands these restrictions.  Initial Here _____________.</t>
    </r>
  </si>
  <si>
    <r>
      <t>Faculty Directors of UMW programs abroad are required to submit this signed form to the Center for International Education (CIE) in Lee Hall, Room 439,</t>
    </r>
    <r>
      <rPr>
        <b/>
        <sz val="9"/>
        <color rgb="FFFF0000"/>
        <rFont val="Calibri"/>
        <scheme val="minor"/>
      </rPr>
      <t xml:space="preserve"> </t>
    </r>
    <r>
      <rPr>
        <b/>
        <sz val="9"/>
        <rFont val="Calibri"/>
        <scheme val="minor"/>
      </rPr>
      <t>no later than August 1, 2014</t>
    </r>
    <r>
      <rPr>
        <sz val="9"/>
        <color theme="1"/>
        <rFont val="Calibri"/>
        <scheme val="minor"/>
      </rPr>
      <t xml:space="preserve">. UMW will not offer programs that do not meet this deadline. Directors are encouraged to submit their Fact Sheet as early as possible, particularly for winter or spring programs. </t>
    </r>
    <r>
      <rPr>
        <b/>
        <sz val="9"/>
        <color theme="1"/>
        <rFont val="Calibri"/>
        <scheme val="minor"/>
      </rPr>
      <t xml:space="preserve">To complete this form, click "Tab" to move through the document, supplying information as you go. Financial calculations will be made automatically. </t>
    </r>
  </si>
  <si>
    <r>
      <rPr>
        <b/>
        <sz val="9"/>
        <color rgb="FF000000"/>
        <rFont val="Calibri"/>
        <scheme val="minor"/>
      </rPr>
      <t>PROGRAM EXPENSE SUMMARY AND DEADLINES</t>
    </r>
    <r>
      <rPr>
        <sz val="9"/>
        <color rgb="FF000000"/>
        <rFont val="Calibri"/>
        <scheme val="minor"/>
      </rPr>
      <t xml:space="preserve"> (expense cells will automatically populate from worksheets on p. 2-3).</t>
    </r>
  </si>
  <si>
    <r>
      <t xml:space="preserve">Faculty Director: </t>
    </r>
    <r>
      <rPr>
        <sz val="9"/>
        <color theme="1"/>
        <rFont val="Calibri"/>
        <scheme val="minor"/>
      </rPr>
      <t>Agrees to facilitate the program according to the guidelines set forth in the UMW Faculty-Led Program Handbook.</t>
    </r>
  </si>
  <si>
    <r>
      <t xml:space="preserve">Department Chair: </t>
    </r>
    <r>
      <rPr>
        <sz val="9"/>
        <color theme="1"/>
        <rFont val="Calibri"/>
        <scheme val="minor"/>
      </rPr>
      <t>Approves the program and agrees to ensure that associated UMW courses are offered for the appropriate term.</t>
    </r>
  </si>
  <si>
    <r>
      <t xml:space="preserve">CIE Director Signature: </t>
    </r>
    <r>
      <rPr>
        <sz val="9"/>
        <color theme="1"/>
        <rFont val="Calibri"/>
        <scheme val="minor"/>
      </rPr>
      <t>Approves the program and extends the full support and resources offered by CIE.</t>
    </r>
  </si>
  <si>
    <r>
      <t xml:space="preserve">Provost: </t>
    </r>
    <r>
      <rPr>
        <sz val="9"/>
        <color theme="1"/>
        <rFont val="Calibri"/>
        <scheme val="minor"/>
      </rPr>
      <t xml:space="preserve"> Approves the program to be offered in the specified year on behalf of the University of Mary Washingon.</t>
    </r>
  </si>
  <si>
    <r>
      <t xml:space="preserve">Assoc. Vice President for Finance:  </t>
    </r>
    <r>
      <rPr>
        <sz val="9"/>
        <color theme="1"/>
        <rFont val="Calibri"/>
        <scheme val="minor"/>
      </rPr>
      <t>Approves the program and agrees to facilitate collection of program funds and oversee associated program accounts.</t>
    </r>
  </si>
  <si>
    <r>
      <t xml:space="preserve">Include travel provider rate based on the </t>
    </r>
    <r>
      <rPr>
        <b/>
        <sz val="9"/>
        <color rgb="FF000000"/>
        <rFont val="Calibri"/>
        <scheme val="minor"/>
      </rPr>
      <t>minimum</t>
    </r>
    <r>
      <rPr>
        <sz val="9"/>
        <color rgb="FF000000"/>
        <rFont val="Calibri"/>
        <scheme val="minor"/>
      </rPr>
      <t xml:space="preserve"> number of students required.</t>
    </r>
  </si>
  <si>
    <r>
      <rPr>
        <b/>
        <sz val="9"/>
        <color rgb="FF000000"/>
        <rFont val="Calibri"/>
        <scheme val="minor"/>
      </rPr>
      <t xml:space="preserve">Minimum number of students required to make program viable. </t>
    </r>
    <r>
      <rPr>
        <sz val="9"/>
        <color rgb="FF000000"/>
        <rFont val="Calibri"/>
        <scheme val="minor"/>
      </rPr>
      <t>8</t>
    </r>
    <r>
      <rPr>
        <b/>
        <sz val="9"/>
        <color rgb="FF000000"/>
        <rFont val="Calibri"/>
        <scheme val="minor"/>
      </rPr>
      <t>-</t>
    </r>
    <r>
      <rPr>
        <sz val="9"/>
        <color rgb="FF000000"/>
        <rFont val="Calibri"/>
        <scheme val="minor"/>
      </rPr>
      <t>10 students is typical. New programs should NOT project for more than 10 students minimum. Established programs may adjust this number.</t>
    </r>
  </si>
  <si>
    <t>_________ - _________</t>
  </si>
  <si>
    <t>NOTE: Please use default deadlines unless program specifications require alternate dates.</t>
  </si>
  <si>
    <r>
      <t>Maximum number of students program can accept.</t>
    </r>
    <r>
      <rPr>
        <sz val="9"/>
        <color rgb="FF000000"/>
        <rFont val="Calibri"/>
        <scheme val="minor"/>
      </rPr>
      <t xml:space="preserve"> Ideal ratio is no more than 10 students per director. 14 is the maximum recommended per director. May be adjusted as appropriate.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</si>
</sst>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7" formatCode="&quot;$&quot;#,##0.00_);\(&quot;$&quot;#,##0.00\)"/>
    <numFmt numFmtId="44" formatCode="_(&quot;$&quot;* #,##0.00_);_(&quot;$&quot;* \(#,##0.00\);_(&quot;$&quot;* &quot;-&quot;??_);_(@_)"/>
    <numFmt numFmtId="164" formatCode="&quot;$&quot;#,##0"/>
    <numFmt numFmtId="165" formatCode="&quot;$&quot;#,##0.00"/>
    <numFmt numFmtId="166" formatCode="[$-409]d\-mmm\-yyyy;@"/>
  </numFmts>
  <fonts count="17" x14ac:knownFonts="1">
    <font>
      <sz val="12"/>
      <color theme="1"/>
      <name val="Calibri"/>
      <family val="2"/>
      <scheme val="minor"/>
    </font>
    <font>
      <sz val="12"/>
      <color theme="1"/>
      <name val="Calibri"/>
      <family val="2"/>
      <scheme val="minor"/>
    </font>
    <font>
      <sz val="10"/>
      <color theme="1"/>
      <name val="Cambria"/>
    </font>
    <font>
      <sz val="10"/>
      <color rgb="FF000000"/>
      <name val="Cambria"/>
    </font>
    <font>
      <u/>
      <sz val="12"/>
      <color theme="10"/>
      <name val="Calibri"/>
      <family val="2"/>
      <scheme val="minor"/>
    </font>
    <font>
      <u/>
      <sz val="12"/>
      <color theme="11"/>
      <name val="Calibri"/>
      <family val="2"/>
      <scheme val="minor"/>
    </font>
    <font>
      <sz val="8"/>
      <name val="Calibri"/>
      <family val="2"/>
      <scheme val="minor"/>
    </font>
    <font>
      <sz val="12"/>
      <color rgb="FF000000"/>
      <name val="Calibri"/>
      <family val="2"/>
      <scheme val="minor"/>
    </font>
    <font>
      <b/>
      <sz val="12"/>
      <color theme="1"/>
      <name val="Calibri"/>
      <family val="2"/>
      <scheme val="minor"/>
    </font>
    <font>
      <sz val="9"/>
      <color rgb="FF000000"/>
      <name val="Calibri"/>
      <scheme val="minor"/>
    </font>
    <font>
      <b/>
      <sz val="9"/>
      <color rgb="FF000000"/>
      <name val="Calibri"/>
      <scheme val="minor"/>
    </font>
    <font>
      <b/>
      <sz val="14"/>
      <color theme="1"/>
      <name val="Calibri"/>
      <scheme val="minor"/>
    </font>
    <font>
      <b/>
      <sz val="9"/>
      <color theme="1"/>
      <name val="Calibri"/>
      <scheme val="minor"/>
    </font>
    <font>
      <sz val="8"/>
      <color theme="1"/>
      <name val="Cambria"/>
    </font>
    <font>
      <sz val="9"/>
      <color theme="1"/>
      <name val="Calibri"/>
      <scheme val="minor"/>
    </font>
    <font>
      <b/>
      <sz val="9"/>
      <color rgb="FFFF0000"/>
      <name val="Calibri"/>
      <scheme val="minor"/>
    </font>
    <font>
      <b/>
      <sz val="9"/>
      <name val="Calibri"/>
      <scheme val="minor"/>
    </font>
  </fonts>
  <fills count="9">
    <fill>
      <patternFill patternType="none"/>
    </fill>
    <fill>
      <patternFill patternType="gray125"/>
    </fill>
    <fill>
      <patternFill patternType="solid">
        <fgColor rgb="FF9CC8C6"/>
        <bgColor indexed="64"/>
      </patternFill>
    </fill>
    <fill>
      <patternFill patternType="solid">
        <fgColor rgb="FFF2DBDB"/>
        <bgColor indexed="64"/>
      </patternFill>
    </fill>
    <fill>
      <patternFill patternType="solid">
        <fgColor theme="5" tint="0.79998168889431442"/>
        <bgColor indexed="64"/>
      </patternFill>
    </fill>
    <fill>
      <patternFill patternType="solid">
        <fgColor theme="0"/>
        <bgColor indexed="64"/>
      </patternFill>
    </fill>
    <fill>
      <patternFill patternType="solid">
        <fgColor theme="0"/>
        <bgColor rgb="FF000000"/>
      </patternFill>
    </fill>
    <fill>
      <patternFill patternType="solid">
        <fgColor rgb="FFFFFF66"/>
        <bgColor indexed="64"/>
      </patternFill>
    </fill>
    <fill>
      <patternFill patternType="solid">
        <fgColor theme="0" tint="-0.14999847407452621"/>
        <bgColor indexed="64"/>
      </patternFill>
    </fill>
  </fills>
  <borders count="58">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thin">
        <color auto="1"/>
      </top>
      <bottom/>
      <diagonal/>
    </border>
    <border>
      <left style="thin">
        <color auto="1"/>
      </left>
      <right style="medium">
        <color auto="1"/>
      </right>
      <top style="medium">
        <color auto="1"/>
      </top>
      <bottom/>
      <diagonal/>
    </border>
    <border>
      <left/>
      <right style="medium">
        <color rgb="FF000000"/>
      </right>
      <top style="thin">
        <color auto="1"/>
      </top>
      <bottom style="thin">
        <color auto="1"/>
      </bottom>
      <diagonal/>
    </border>
    <border>
      <left style="thin">
        <color auto="1"/>
      </left>
      <right style="medium">
        <color auto="1"/>
      </right>
      <top/>
      <bottom/>
      <diagonal/>
    </border>
  </borders>
  <cellStyleXfs count="144">
    <xf numFmtId="0" fontId="0" fillId="0" borderId="0"/>
    <xf numFmtId="44"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97">
    <xf numFmtId="0" fontId="0" fillId="0" borderId="0" xfId="0"/>
    <xf numFmtId="0" fontId="0" fillId="0" borderId="0" xfId="0" applyFill="1"/>
    <xf numFmtId="0" fontId="0" fillId="0" borderId="0" xfId="0" applyAlignment="1">
      <alignment horizontal="left"/>
    </xf>
    <xf numFmtId="0" fontId="3" fillId="0" borderId="0" xfId="0" applyFont="1" applyBorder="1" applyAlignment="1">
      <alignment horizontal="center" vertical="center" wrapText="1"/>
    </xf>
    <xf numFmtId="0" fontId="7" fillId="0" borderId="0" xfId="0" applyFont="1"/>
    <xf numFmtId="0" fontId="0" fillId="0" borderId="0" xfId="0" applyBorder="1"/>
    <xf numFmtId="0" fontId="8" fillId="0" borderId="0" xfId="0" applyFont="1"/>
    <xf numFmtId="0" fontId="12" fillId="0" borderId="14" xfId="0" applyFont="1" applyFill="1" applyBorder="1" applyAlignment="1">
      <alignment horizontal="right" vertical="center" wrapText="1"/>
    </xf>
    <xf numFmtId="0" fontId="12" fillId="0" borderId="10" xfId="0" applyFont="1" applyFill="1" applyBorder="1" applyAlignment="1" applyProtection="1">
      <alignment horizontal="right" vertical="center"/>
    </xf>
    <xf numFmtId="0" fontId="14" fillId="0" borderId="23" xfId="0" applyFont="1" applyFill="1" applyBorder="1" applyAlignment="1" applyProtection="1">
      <alignment vertical="center"/>
      <protection locked="0"/>
    </xf>
    <xf numFmtId="0" fontId="12" fillId="0" borderId="14" xfId="0" applyFont="1" applyFill="1" applyBorder="1" applyAlignment="1">
      <alignment horizontal="right" vertical="center"/>
    </xf>
    <xf numFmtId="0" fontId="14" fillId="0" borderId="10" xfId="0" applyFont="1" applyFill="1" applyBorder="1" applyAlignment="1" applyProtection="1">
      <alignment vertical="center"/>
      <protection locked="0"/>
    </xf>
    <xf numFmtId="0" fontId="14" fillId="0" borderId="15" xfId="0" applyFont="1" applyFill="1" applyBorder="1" applyAlignment="1" applyProtection="1">
      <alignment vertical="center"/>
      <protection locked="0"/>
    </xf>
    <xf numFmtId="0" fontId="12" fillId="0" borderId="14" xfId="0" applyFont="1" applyBorder="1" applyAlignment="1">
      <alignment horizontal="right" vertical="center"/>
    </xf>
    <xf numFmtId="0" fontId="12" fillId="0" borderId="39" xfId="0" applyFont="1" applyFill="1" applyBorder="1" applyAlignment="1">
      <alignment horizontal="right" vertical="center" wrapText="1"/>
    </xf>
    <xf numFmtId="0" fontId="12" fillId="0" borderId="14" xfId="0" applyFont="1" applyFill="1" applyBorder="1" applyAlignment="1" applyProtection="1">
      <alignment horizontal="right" vertical="center" wrapText="1"/>
    </xf>
    <xf numFmtId="0" fontId="14" fillId="0" borderId="20" xfId="0" applyFont="1" applyFill="1" applyBorder="1" applyAlignment="1" applyProtection="1">
      <alignment horizontal="center" vertical="center" wrapText="1"/>
      <protection locked="0"/>
    </xf>
    <xf numFmtId="0" fontId="12" fillId="0" borderId="10" xfId="0" applyFont="1" applyFill="1" applyBorder="1" applyAlignment="1" applyProtection="1">
      <alignment horizontal="right" vertical="center" wrapText="1"/>
    </xf>
    <xf numFmtId="0" fontId="14" fillId="0" borderId="23" xfId="0" applyFont="1" applyFill="1" applyBorder="1" applyAlignment="1" applyProtection="1">
      <alignment vertical="center" wrapText="1"/>
      <protection locked="0"/>
    </xf>
    <xf numFmtId="0" fontId="12" fillId="0" borderId="14" xfId="0" applyFont="1" applyBorder="1" applyAlignment="1">
      <alignment horizontal="right" wrapText="1"/>
    </xf>
    <xf numFmtId="0" fontId="14" fillId="0" borderId="21" xfId="0" applyFont="1" applyBorder="1" applyAlignment="1" applyProtection="1">
      <alignment horizontal="right"/>
      <protection locked="0"/>
    </xf>
    <xf numFmtId="164" fontId="14" fillId="4" borderId="10" xfId="0" applyNumberFormat="1" applyFont="1" applyFill="1" applyBorder="1" applyAlignment="1" applyProtection="1">
      <alignment horizontal="center" vertical="center"/>
    </xf>
    <xf numFmtId="0" fontId="10" fillId="0" borderId="10" xfId="0" applyFont="1" applyBorder="1" applyAlignment="1">
      <alignment horizontal="center" vertical="top" wrapText="1"/>
    </xf>
    <xf numFmtId="164" fontId="14" fillId="4" borderId="42" xfId="0" applyNumberFormat="1" applyFont="1" applyFill="1" applyBorder="1" applyAlignment="1" applyProtection="1">
      <alignment horizontal="center" vertical="center"/>
    </xf>
    <xf numFmtId="0" fontId="14" fillId="0" borderId="13" xfId="0" applyFont="1" applyBorder="1" applyAlignment="1" applyProtection="1">
      <alignment vertical="center"/>
    </xf>
    <xf numFmtId="0" fontId="14" fillId="0" borderId="15" xfId="0" applyFont="1" applyBorder="1" applyAlignment="1" applyProtection="1">
      <alignment vertical="center"/>
    </xf>
    <xf numFmtId="0" fontId="14" fillId="0" borderId="18" xfId="0" applyFont="1" applyBorder="1" applyAlignment="1" applyProtection="1">
      <alignment vertical="center"/>
    </xf>
    <xf numFmtId="7" fontId="14" fillId="0" borderId="10" xfId="1" applyNumberFormat="1" applyFont="1" applyBorder="1" applyAlignment="1" applyProtection="1">
      <alignment vertical="center"/>
      <protection locked="0"/>
    </xf>
    <xf numFmtId="0" fontId="12" fillId="3" borderId="16" xfId="0" applyFont="1" applyFill="1" applyBorder="1" applyAlignment="1">
      <alignment horizontal="right" vertical="center"/>
    </xf>
    <xf numFmtId="7" fontId="14" fillId="3" borderId="17" xfId="1" applyNumberFormat="1" applyFont="1" applyFill="1" applyBorder="1" applyAlignment="1">
      <alignment vertical="center"/>
    </xf>
    <xf numFmtId="0" fontId="10" fillId="0" borderId="14" xfId="0" applyFont="1" applyBorder="1" applyAlignment="1">
      <alignment horizontal="right" vertical="center"/>
    </xf>
    <xf numFmtId="7" fontId="14" fillId="0" borderId="21" xfId="1" applyNumberFormat="1" applyFont="1" applyBorder="1" applyAlignment="1" applyProtection="1">
      <alignment vertical="center"/>
      <protection locked="0"/>
    </xf>
    <xf numFmtId="0" fontId="12" fillId="3" borderId="14" xfId="0" applyFont="1" applyFill="1" applyBorder="1" applyAlignment="1">
      <alignment horizontal="right" vertical="center"/>
    </xf>
    <xf numFmtId="7" fontId="14" fillId="3" borderId="21" xfId="1" applyNumberFormat="1" applyFont="1" applyFill="1" applyBorder="1" applyAlignment="1">
      <alignment vertical="center"/>
    </xf>
    <xf numFmtId="7" fontId="14" fillId="3" borderId="25" xfId="1" applyNumberFormat="1" applyFont="1" applyFill="1" applyBorder="1" applyAlignment="1">
      <alignment vertical="center"/>
    </xf>
    <xf numFmtId="0" fontId="12" fillId="0" borderId="11" xfId="0" applyFont="1" applyBorder="1" applyAlignment="1">
      <alignment horizontal="right" vertical="center"/>
    </xf>
    <xf numFmtId="7" fontId="14" fillId="0" borderId="13" xfId="1" applyNumberFormat="1" applyFont="1" applyBorder="1" applyAlignment="1" applyProtection="1">
      <alignment vertical="center"/>
      <protection locked="0"/>
    </xf>
    <xf numFmtId="7" fontId="14" fillId="0" borderId="15" xfId="1" applyNumberFormat="1" applyFont="1" applyBorder="1" applyAlignment="1" applyProtection="1">
      <alignment vertical="center"/>
      <protection locked="0"/>
    </xf>
    <xf numFmtId="0" fontId="12" fillId="4" borderId="14" xfId="0" applyFont="1" applyFill="1" applyBorder="1" applyAlignment="1">
      <alignment horizontal="right" vertical="center"/>
    </xf>
    <xf numFmtId="7" fontId="14" fillId="4" borderId="15" xfId="1" applyNumberFormat="1" applyFont="1" applyFill="1" applyBorder="1" applyAlignment="1">
      <alignment vertical="center"/>
    </xf>
    <xf numFmtId="0" fontId="12" fillId="4" borderId="16" xfId="0" applyFont="1" applyFill="1" applyBorder="1" applyAlignment="1">
      <alignment horizontal="right" vertical="center"/>
    </xf>
    <xf numFmtId="7" fontId="14" fillId="4" borderId="18" xfId="1" applyNumberFormat="1" applyFont="1" applyFill="1" applyBorder="1" applyAlignment="1">
      <alignment vertical="center"/>
    </xf>
    <xf numFmtId="0" fontId="12" fillId="3" borderId="52" xfId="0" applyFont="1" applyFill="1" applyBorder="1" applyAlignment="1">
      <alignment horizontal="right" vertical="center" wrapText="1"/>
    </xf>
    <xf numFmtId="7" fontId="14" fillId="3" borderId="53" xfId="1" applyNumberFormat="1" applyFont="1" applyFill="1" applyBorder="1" applyAlignment="1">
      <alignment vertical="center"/>
    </xf>
    <xf numFmtId="0" fontId="10" fillId="7" borderId="13" xfId="0" applyFont="1" applyFill="1" applyBorder="1" applyAlignment="1" applyProtection="1">
      <alignment horizontal="center" vertical="center" wrapText="1"/>
      <protection locked="0"/>
    </xf>
    <xf numFmtId="0" fontId="12" fillId="2" borderId="11" xfId="0" applyFont="1" applyFill="1" applyBorder="1" applyAlignment="1">
      <alignment horizontal="right" vertical="center" wrapText="1"/>
    </xf>
    <xf numFmtId="7" fontId="14" fillId="2" borderId="45" xfId="1" applyNumberFormat="1" applyFont="1" applyFill="1" applyBorder="1" applyAlignment="1">
      <alignment vertical="center"/>
    </xf>
    <xf numFmtId="0" fontId="12" fillId="2" borderId="43" xfId="0" applyFont="1" applyFill="1" applyBorder="1" applyAlignment="1">
      <alignment horizontal="right" vertical="center" wrapText="1"/>
    </xf>
    <xf numFmtId="7" fontId="14" fillId="2" borderId="49" xfId="1" applyNumberFormat="1" applyFont="1" applyFill="1" applyBorder="1" applyAlignment="1">
      <alignment vertical="center"/>
    </xf>
    <xf numFmtId="0" fontId="12" fillId="0" borderId="14" xfId="0" applyFont="1" applyBorder="1" applyAlignment="1">
      <alignment horizontal="right" vertical="center" wrapText="1"/>
    </xf>
    <xf numFmtId="0" fontId="12" fillId="0" borderId="41" xfId="0" applyFont="1" applyBorder="1" applyAlignment="1">
      <alignment horizontal="right" vertical="center"/>
    </xf>
    <xf numFmtId="166" fontId="14" fillId="0" borderId="10" xfId="0" applyNumberFormat="1" applyFont="1" applyFill="1" applyBorder="1" applyAlignment="1" applyProtection="1">
      <alignment horizontal="center" vertical="center" wrapText="1"/>
      <protection locked="0"/>
    </xf>
    <xf numFmtId="0" fontId="14" fillId="0" borderId="7" xfId="0" applyFont="1" applyBorder="1" applyAlignment="1">
      <alignment horizontal="center"/>
    </xf>
    <xf numFmtId="0" fontId="14" fillId="0" borderId="3" xfId="0" applyFont="1" applyBorder="1" applyAlignment="1">
      <alignment horizontal="center"/>
    </xf>
    <xf numFmtId="0" fontId="14" fillId="0" borderId="5" xfId="0" applyFont="1" applyBorder="1" applyAlignment="1">
      <alignment horizontal="left" vertical="top" wrapText="1"/>
    </xf>
    <xf numFmtId="0" fontId="14" fillId="0" borderId="4" xfId="0" applyFont="1" applyBorder="1" applyAlignment="1">
      <alignment horizontal="left" vertical="top" wrapText="1"/>
    </xf>
    <xf numFmtId="0" fontId="11" fillId="0" borderId="8" xfId="0" applyFont="1" applyBorder="1" applyAlignment="1">
      <alignment vertical="center"/>
    </xf>
    <xf numFmtId="0" fontId="11" fillId="0" borderId="9" xfId="0" applyFont="1" applyBorder="1" applyAlignment="1">
      <alignment vertical="center"/>
    </xf>
    <xf numFmtId="0" fontId="14" fillId="0" borderId="12" xfId="0" applyFont="1" applyBorder="1" applyAlignment="1" applyProtection="1">
      <alignment horizontal="center" vertical="center"/>
    </xf>
    <xf numFmtId="0" fontId="14" fillId="0" borderId="10" xfId="0" applyFont="1" applyBorder="1" applyAlignment="1" applyProtection="1">
      <alignment horizontal="center" vertical="center"/>
    </xf>
    <xf numFmtId="0" fontId="14" fillId="0" borderId="17" xfId="0" applyFont="1" applyBorder="1" applyAlignment="1" applyProtection="1">
      <alignment horizontal="center" vertical="center"/>
    </xf>
    <xf numFmtId="0" fontId="14" fillId="0" borderId="21" xfId="0" applyFont="1" applyFill="1" applyBorder="1" applyAlignment="1" applyProtection="1">
      <alignment horizontal="left" vertical="center"/>
      <protection locked="0"/>
    </xf>
    <xf numFmtId="0" fontId="14" fillId="0" borderId="20" xfId="0" applyFont="1" applyFill="1" applyBorder="1" applyAlignment="1" applyProtection="1">
      <alignment horizontal="left" vertical="center"/>
      <protection locked="0"/>
    </xf>
    <xf numFmtId="0" fontId="12" fillId="0" borderId="21" xfId="0" applyFont="1" applyFill="1" applyBorder="1" applyAlignment="1" applyProtection="1">
      <alignment horizontal="right" vertical="center" wrapText="1"/>
    </xf>
    <xf numFmtId="0" fontId="12" fillId="0" borderId="20" xfId="0" applyFont="1" applyFill="1" applyBorder="1" applyAlignment="1" applyProtection="1">
      <alignment horizontal="right" vertical="center" wrapText="1"/>
    </xf>
    <xf numFmtId="0" fontId="14" fillId="0" borderId="21" xfId="0" applyFont="1" applyFill="1" applyBorder="1" applyAlignment="1" applyProtection="1">
      <alignment horizontal="left" vertical="center" wrapText="1"/>
      <protection locked="0"/>
    </xf>
    <xf numFmtId="0" fontId="14" fillId="0" borderId="22" xfId="0" applyFont="1" applyFill="1" applyBorder="1" applyAlignment="1" applyProtection="1">
      <alignment horizontal="left" vertical="center" wrapText="1"/>
      <protection locked="0"/>
    </xf>
    <xf numFmtId="0" fontId="14" fillId="0" borderId="20" xfId="0" applyFont="1" applyFill="1" applyBorder="1" applyAlignment="1" applyProtection="1">
      <alignment horizontal="left" vertical="center" wrapText="1"/>
      <protection locked="0"/>
    </xf>
    <xf numFmtId="0" fontId="14" fillId="0" borderId="22" xfId="0" applyFont="1" applyFill="1" applyBorder="1" applyAlignment="1" applyProtection="1">
      <alignment horizontal="left" vertical="center"/>
      <protection locked="0"/>
    </xf>
    <xf numFmtId="0" fontId="14" fillId="0" borderId="23" xfId="0" applyFont="1" applyFill="1" applyBorder="1" applyAlignment="1" applyProtection="1">
      <alignment horizontal="left" vertical="center"/>
      <protection locked="0"/>
    </xf>
    <xf numFmtId="0" fontId="12" fillId="0" borderId="21" xfId="0" applyFont="1" applyBorder="1" applyAlignment="1" applyProtection="1">
      <alignment horizontal="right" vertical="center" wrapText="1"/>
    </xf>
    <xf numFmtId="0" fontId="12" fillId="0" borderId="20" xfId="0" applyFont="1" applyBorder="1" applyAlignment="1" applyProtection="1">
      <alignment horizontal="right" vertical="center" wrapText="1"/>
    </xf>
    <xf numFmtId="0" fontId="14" fillId="0" borderId="22" xfId="0" applyFont="1" applyBorder="1" applyAlignment="1" applyProtection="1">
      <alignment horizontal="left" vertical="center" wrapText="1"/>
      <protection locked="0"/>
    </xf>
    <xf numFmtId="0" fontId="14" fillId="0" borderId="23" xfId="0" applyFont="1" applyBorder="1" applyAlignment="1" applyProtection="1">
      <alignment horizontal="left" vertical="center" wrapText="1"/>
      <protection locked="0"/>
    </xf>
    <xf numFmtId="0" fontId="12" fillId="0" borderId="48" xfId="0" applyFont="1" applyBorder="1" applyAlignment="1" applyProtection="1">
      <alignment horizontal="right" vertical="center" wrapText="1"/>
    </xf>
    <xf numFmtId="0" fontId="12" fillId="0" borderId="40" xfId="0" applyFont="1" applyBorder="1" applyAlignment="1" applyProtection="1">
      <alignment horizontal="right" vertical="center" wrapText="1"/>
    </xf>
    <xf numFmtId="0" fontId="14" fillId="0" borderId="26" xfId="0" applyFont="1" applyBorder="1" applyAlignment="1" applyProtection="1">
      <alignment horizontal="left" vertical="center" wrapText="1"/>
      <protection locked="0"/>
    </xf>
    <xf numFmtId="0" fontId="14" fillId="0" borderId="40" xfId="0" applyFont="1" applyBorder="1" applyAlignment="1" applyProtection="1">
      <alignment horizontal="left" vertical="center" wrapText="1"/>
      <protection locked="0"/>
    </xf>
    <xf numFmtId="0" fontId="9" fillId="0" borderId="5"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0" fontId="9" fillId="0" borderId="22" xfId="0" applyFont="1" applyBorder="1" applyAlignment="1" applyProtection="1">
      <alignment horizontal="left" vertical="center" wrapText="1"/>
      <protection locked="0"/>
    </xf>
    <xf numFmtId="0" fontId="9" fillId="0" borderId="23" xfId="0" applyFont="1" applyBorder="1" applyAlignment="1" applyProtection="1">
      <alignment horizontal="left" vertical="center" wrapText="1"/>
      <protection locked="0"/>
    </xf>
    <xf numFmtId="0" fontId="9" fillId="0" borderId="21"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10" fillId="0" borderId="21" xfId="0" applyFont="1" applyBorder="1" applyAlignment="1">
      <alignment horizontal="right" vertical="center" wrapText="1"/>
    </xf>
    <xf numFmtId="0" fontId="10" fillId="0" borderId="22" xfId="0" applyFont="1" applyBorder="1" applyAlignment="1">
      <alignment horizontal="right" vertical="center" wrapText="1"/>
    </xf>
    <xf numFmtId="0" fontId="10" fillId="0" borderId="20" xfId="0" applyFont="1" applyBorder="1" applyAlignment="1">
      <alignment horizontal="right" vertical="center" wrapText="1"/>
    </xf>
    <xf numFmtId="0" fontId="9" fillId="0" borderId="56" xfId="0" applyFont="1" applyBorder="1" applyAlignment="1" applyProtection="1">
      <alignment horizontal="left" vertical="center" wrapText="1"/>
      <protection locked="0"/>
    </xf>
    <xf numFmtId="0" fontId="10" fillId="0" borderId="24" xfId="0" applyFont="1" applyFill="1" applyBorder="1" applyAlignment="1">
      <alignment horizontal="right" vertical="center" wrapText="1"/>
    </xf>
    <xf numFmtId="0" fontId="10" fillId="0" borderId="36" xfId="0" applyFont="1" applyFill="1" applyBorder="1" applyAlignment="1">
      <alignment horizontal="right" vertical="center" wrapText="1"/>
    </xf>
    <xf numFmtId="0" fontId="14" fillId="0" borderId="51" xfId="0" applyFont="1" applyFill="1" applyBorder="1" applyAlignment="1">
      <alignment horizontal="center" wrapText="1"/>
    </xf>
    <xf numFmtId="0" fontId="14" fillId="0" borderId="57" xfId="0" applyFont="1" applyFill="1" applyBorder="1" applyAlignment="1">
      <alignment horizontal="center" wrapText="1"/>
    </xf>
    <xf numFmtId="0" fontId="14" fillId="0" borderId="44" xfId="0" applyFont="1" applyFill="1" applyBorder="1" applyAlignment="1">
      <alignment horizontal="center" wrapText="1"/>
    </xf>
    <xf numFmtId="0" fontId="12" fillId="2" borderId="6" xfId="0" applyFont="1" applyFill="1" applyBorder="1" applyAlignment="1">
      <alignment horizontal="center" vertical="center"/>
    </xf>
    <xf numFmtId="0" fontId="12" fillId="2" borderId="2" xfId="0" applyFont="1" applyFill="1" applyBorder="1" applyAlignment="1">
      <alignment horizontal="center" vertical="center"/>
    </xf>
    <xf numFmtId="0" fontId="12" fillId="0" borderId="55" xfId="0" applyFont="1" applyBorder="1" applyAlignment="1">
      <alignment horizontal="left" vertical="top" wrapText="1"/>
    </xf>
    <xf numFmtId="0" fontId="12" fillId="0" borderId="57" xfId="0" applyFont="1" applyBorder="1" applyAlignment="1">
      <alignment horizontal="left" vertical="top"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23" xfId="0" applyFont="1" applyBorder="1" applyAlignment="1">
      <alignment horizontal="left" vertical="center" wrapText="1"/>
    </xf>
    <xf numFmtId="0" fontId="10" fillId="6" borderId="41" xfId="0" applyFont="1" applyFill="1" applyBorder="1" applyAlignment="1">
      <alignment horizontal="left" vertical="center" wrapText="1"/>
    </xf>
    <xf numFmtId="0" fontId="10" fillId="6" borderId="42" xfId="0" applyFont="1" applyFill="1" applyBorder="1" applyAlignment="1">
      <alignment horizontal="left" vertical="center" wrapText="1"/>
    </xf>
    <xf numFmtId="0" fontId="10" fillId="6" borderId="51" xfId="0" applyFont="1" applyFill="1" applyBorder="1" applyAlignment="1">
      <alignment horizontal="left" vertical="center" wrapText="1"/>
    </xf>
    <xf numFmtId="0" fontId="12" fillId="2" borderId="24" xfId="0" applyFont="1" applyFill="1" applyBorder="1" applyAlignment="1">
      <alignment horizontal="left" vertical="center"/>
    </xf>
    <xf numFmtId="0" fontId="12" fillId="2" borderId="36" xfId="0" applyFont="1" applyFill="1" applyBorder="1" applyAlignment="1">
      <alignment horizontal="left" vertical="center"/>
    </xf>
    <xf numFmtId="0" fontId="12" fillId="2" borderId="37" xfId="0" applyFont="1" applyFill="1" applyBorder="1" applyAlignment="1">
      <alignment horizontal="left" vertical="center"/>
    </xf>
    <xf numFmtId="0" fontId="10" fillId="0" borderId="30" xfId="0" applyFont="1" applyBorder="1" applyAlignment="1">
      <alignment horizontal="center" vertical="top" wrapText="1"/>
    </xf>
    <xf numFmtId="0" fontId="10" fillId="0" borderId="47" xfId="0" applyFont="1" applyBorder="1" applyAlignment="1">
      <alignment horizontal="center" vertical="top" wrapText="1"/>
    </xf>
    <xf numFmtId="166" fontId="14" fillId="0" borderId="10" xfId="0" applyNumberFormat="1" applyFont="1" applyFill="1" applyBorder="1" applyAlignment="1" applyProtection="1">
      <alignment horizontal="center" vertical="center" wrapText="1"/>
    </xf>
    <xf numFmtId="166" fontId="14" fillId="0" borderId="30" xfId="0" applyNumberFormat="1" applyFont="1" applyFill="1" applyBorder="1" applyAlignment="1" applyProtection="1">
      <alignment horizontal="center" vertical="center" wrapText="1"/>
    </xf>
    <xf numFmtId="166" fontId="14" fillId="0" borderId="47" xfId="0" applyNumberFormat="1" applyFont="1" applyFill="1" applyBorder="1" applyAlignment="1" applyProtection="1">
      <alignment horizontal="center" vertical="center" wrapText="1"/>
    </xf>
    <xf numFmtId="0" fontId="9" fillId="0" borderId="10" xfId="0" applyFont="1" applyBorder="1" applyAlignment="1">
      <alignment horizontal="left" vertical="center" wrapText="1"/>
    </xf>
    <xf numFmtId="0" fontId="9" fillId="0" borderId="15" xfId="0" applyFont="1" applyBorder="1" applyAlignment="1">
      <alignment horizontal="left" vertical="center" wrapText="1"/>
    </xf>
    <xf numFmtId="0" fontId="9" fillId="0" borderId="10" xfId="0" applyFont="1" applyBorder="1" applyAlignment="1" applyProtection="1">
      <alignment horizontal="left" vertical="center" wrapText="1"/>
      <protection locked="0"/>
    </xf>
    <xf numFmtId="0" fontId="9" fillId="0" borderId="15" xfId="0" applyFont="1" applyBorder="1" applyAlignment="1" applyProtection="1">
      <alignment horizontal="left" vertical="center" wrapText="1"/>
      <protection locked="0"/>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11" fillId="0" borderId="6" xfId="0" applyFont="1" applyBorder="1" applyAlignment="1">
      <alignment horizontal="center"/>
    </xf>
    <xf numFmtId="0" fontId="11" fillId="0" borderId="2" xfId="0" applyFont="1" applyBorder="1" applyAlignment="1">
      <alignment horizontal="center"/>
    </xf>
    <xf numFmtId="0" fontId="11" fillId="0" borderId="1" xfId="0" applyFont="1" applyBorder="1" applyAlignment="1">
      <alignment horizontal="center"/>
    </xf>
    <xf numFmtId="0" fontId="12" fillId="0" borderId="16" xfId="0" applyFont="1" applyBorder="1" applyAlignment="1" applyProtection="1">
      <alignment vertical="center" wrapText="1"/>
    </xf>
    <xf numFmtId="0" fontId="12" fillId="0" borderId="17" xfId="0" applyFont="1" applyBorder="1" applyAlignment="1" applyProtection="1">
      <alignment vertical="center" wrapText="1"/>
    </xf>
    <xf numFmtId="0" fontId="9" fillId="7" borderId="11" xfId="0" applyFont="1" applyFill="1" applyBorder="1" applyAlignment="1">
      <alignment horizontal="left" vertical="center" wrapText="1"/>
    </xf>
    <xf numFmtId="0" fontId="9" fillId="7" borderId="12" xfId="0" applyFont="1" applyFill="1" applyBorder="1" applyAlignment="1">
      <alignment horizontal="left" vertical="center" wrapText="1"/>
    </xf>
    <xf numFmtId="0" fontId="10" fillId="0" borderId="19" xfId="0" applyFont="1" applyFill="1" applyBorder="1" applyAlignment="1">
      <alignment horizontal="right" vertical="center" wrapText="1"/>
    </xf>
    <xf numFmtId="0" fontId="10" fillId="0" borderId="22" xfId="0" applyFont="1" applyFill="1" applyBorder="1" applyAlignment="1">
      <alignment horizontal="right" vertical="center" wrapText="1"/>
    </xf>
    <xf numFmtId="0" fontId="10" fillId="4" borderId="19" xfId="0" applyFont="1" applyFill="1" applyBorder="1" applyAlignment="1">
      <alignment horizontal="right" vertical="center" wrapText="1"/>
    </xf>
    <xf numFmtId="0" fontId="10" fillId="4" borderId="22" xfId="0" applyFont="1" applyFill="1" applyBorder="1" applyAlignment="1">
      <alignment horizontal="right" vertical="center" wrapText="1"/>
    </xf>
    <xf numFmtId="0" fontId="10" fillId="4" borderId="54" xfId="0" applyFont="1" applyFill="1" applyBorder="1" applyAlignment="1">
      <alignment horizontal="right" vertical="center" wrapText="1"/>
    </xf>
    <xf numFmtId="0" fontId="10" fillId="4" borderId="31" xfId="0" applyFont="1" applyFill="1" applyBorder="1" applyAlignment="1">
      <alignment horizontal="right" vertical="center" wrapText="1"/>
    </xf>
    <xf numFmtId="165" fontId="9" fillId="0" borderId="21" xfId="0" applyNumberFormat="1" applyFont="1" applyFill="1" applyBorder="1" applyAlignment="1" applyProtection="1">
      <alignment horizontal="right" vertical="center" wrapText="1"/>
      <protection locked="0"/>
    </xf>
    <xf numFmtId="165" fontId="9" fillId="0" borderId="20" xfId="0" applyNumberFormat="1" applyFont="1" applyFill="1" applyBorder="1" applyAlignment="1" applyProtection="1">
      <alignment horizontal="right" vertical="center" wrapText="1"/>
      <protection locked="0"/>
    </xf>
    <xf numFmtId="165" fontId="9" fillId="4" borderId="21" xfId="0" applyNumberFormat="1" applyFont="1" applyFill="1" applyBorder="1" applyAlignment="1">
      <alignment horizontal="right" vertical="center" wrapText="1"/>
    </xf>
    <xf numFmtId="165" fontId="9" fillId="4" borderId="20" xfId="0" applyNumberFormat="1" applyFont="1" applyFill="1" applyBorder="1" applyAlignment="1">
      <alignment horizontal="right" vertical="center" wrapText="1"/>
    </xf>
    <xf numFmtId="165" fontId="9" fillId="4" borderId="30" xfId="0" applyNumberFormat="1" applyFont="1" applyFill="1" applyBorder="1" applyAlignment="1">
      <alignment horizontal="right" vertical="center" wrapText="1"/>
    </xf>
    <xf numFmtId="165" fontId="9" fillId="4" borderId="47" xfId="0" applyNumberFormat="1" applyFont="1" applyFill="1" applyBorder="1" applyAlignment="1">
      <alignment horizontal="right" vertical="center" wrapText="1"/>
    </xf>
    <xf numFmtId="0" fontId="10" fillId="8" borderId="54" xfId="0" applyFont="1" applyFill="1" applyBorder="1" applyAlignment="1" applyProtection="1">
      <alignment horizontal="center" vertical="center" wrapText="1"/>
    </xf>
    <xf numFmtId="0" fontId="10" fillId="8" borderId="31" xfId="0" applyFont="1" applyFill="1" applyBorder="1" applyAlignment="1" applyProtection="1">
      <alignment horizontal="center" vertical="center" wrapText="1"/>
    </xf>
    <xf numFmtId="0" fontId="10" fillId="8" borderId="47" xfId="0" applyFont="1" applyFill="1" applyBorder="1" applyAlignment="1" applyProtection="1">
      <alignment horizontal="center" vertical="center" wrapText="1"/>
    </xf>
    <xf numFmtId="0" fontId="10" fillId="8" borderId="50" xfId="0" applyFont="1" applyFill="1" applyBorder="1" applyAlignment="1" applyProtection="1">
      <alignment horizontal="center" vertical="center" wrapText="1"/>
    </xf>
    <xf numFmtId="0" fontId="10" fillId="8" borderId="34" xfId="0" applyFont="1" applyFill="1" applyBorder="1" applyAlignment="1" applyProtection="1">
      <alignment horizontal="center" vertical="center" wrapText="1"/>
    </xf>
    <xf numFmtId="0" fontId="10" fillId="8" borderId="38" xfId="0" applyFont="1" applyFill="1" applyBorder="1" applyAlignment="1" applyProtection="1">
      <alignment horizontal="center" vertical="center" wrapText="1"/>
    </xf>
    <xf numFmtId="0" fontId="9" fillId="0" borderId="10" xfId="0" applyFont="1" applyBorder="1" applyAlignment="1" applyProtection="1">
      <alignment horizontal="left" vertical="center" wrapText="1"/>
    </xf>
    <xf numFmtId="0" fontId="9" fillId="0" borderId="15" xfId="0" applyFont="1" applyBorder="1" applyAlignment="1" applyProtection="1">
      <alignment horizontal="left"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2" fillId="2" borderId="7" xfId="0" applyFont="1" applyFill="1" applyBorder="1" applyAlignment="1">
      <alignment horizontal="left" vertical="center" wrapText="1"/>
    </xf>
    <xf numFmtId="165" fontId="9" fillId="0" borderId="45" xfId="0" applyNumberFormat="1" applyFont="1" applyFill="1" applyBorder="1" applyAlignment="1" applyProtection="1">
      <alignment horizontal="right" vertical="center" wrapText="1"/>
      <protection locked="0"/>
    </xf>
    <xf numFmtId="165" fontId="9" fillId="0" borderId="46" xfId="0" applyNumberFormat="1" applyFont="1" applyFill="1" applyBorder="1" applyAlignment="1" applyProtection="1">
      <alignment horizontal="right" vertical="center" wrapText="1"/>
      <protection locked="0"/>
    </xf>
    <xf numFmtId="0" fontId="10" fillId="0" borderId="10" xfId="0" applyFont="1" applyBorder="1" applyAlignment="1">
      <alignment horizontal="center" vertical="top"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2" fillId="5" borderId="0" xfId="0" applyFont="1" applyFill="1" applyBorder="1" applyAlignment="1">
      <alignment horizontal="center" vertical="center"/>
    </xf>
    <xf numFmtId="0" fontId="9" fillId="0" borderId="42" xfId="0" applyFont="1" applyBorder="1" applyAlignment="1">
      <alignment horizontal="left" vertical="center" wrapText="1"/>
    </xf>
    <xf numFmtId="0" fontId="9" fillId="0" borderId="51" xfId="0" applyFont="1" applyBorder="1" applyAlignment="1">
      <alignment horizontal="left" vertical="center" wrapText="1"/>
    </xf>
    <xf numFmtId="0" fontId="9" fillId="0" borderId="30" xfId="0" applyFont="1" applyBorder="1" applyAlignment="1">
      <alignment horizontal="left"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35" xfId="0" applyFont="1" applyBorder="1" applyAlignment="1">
      <alignment horizontal="left" vertical="center" wrapText="1"/>
    </xf>
    <xf numFmtId="0" fontId="14" fillId="0" borderId="25" xfId="0" applyFont="1" applyBorder="1" applyAlignment="1" applyProtection="1">
      <alignment horizontal="left" vertical="center" wrapText="1"/>
    </xf>
    <xf numFmtId="0" fontId="14" fillId="0" borderId="27" xfId="0" applyFont="1" applyBorder="1" applyAlignment="1" applyProtection="1">
      <alignment horizontal="left" vertical="center" wrapText="1"/>
    </xf>
    <xf numFmtId="0" fontId="12" fillId="0" borderId="14" xfId="0" applyFont="1" applyBorder="1" applyAlignment="1" applyProtection="1">
      <alignment vertical="center" wrapText="1"/>
    </xf>
    <xf numFmtId="0" fontId="12" fillId="0" borderId="10" xfId="0" applyFont="1" applyBorder="1" applyAlignment="1" applyProtection="1">
      <alignment vertical="center" wrapText="1"/>
    </xf>
    <xf numFmtId="0" fontId="10" fillId="0" borderId="10" xfId="0" applyFont="1" applyBorder="1" applyAlignment="1" applyProtection="1">
      <alignment horizontal="right" vertical="center" wrapText="1"/>
    </xf>
    <xf numFmtId="0" fontId="10" fillId="7" borderId="11" xfId="0" applyFont="1" applyFill="1" applyBorder="1" applyAlignment="1">
      <alignment horizontal="right" vertical="center" wrapText="1"/>
    </xf>
    <xf numFmtId="0" fontId="10" fillId="7" borderId="12" xfId="0" applyFont="1" applyFill="1" applyBorder="1" applyAlignment="1">
      <alignment horizontal="right" vertical="center" wrapText="1"/>
    </xf>
    <xf numFmtId="0" fontId="10" fillId="7" borderId="16" xfId="0" applyFont="1" applyFill="1" applyBorder="1" applyAlignment="1">
      <alignment horizontal="right" vertical="center" wrapText="1"/>
    </xf>
    <xf numFmtId="0" fontId="10" fillId="7" borderId="17" xfId="0" applyFont="1" applyFill="1" applyBorder="1" applyAlignment="1">
      <alignment horizontal="right" vertical="center" wrapText="1"/>
    </xf>
    <xf numFmtId="0" fontId="10" fillId="7" borderId="12" xfId="0" applyFont="1" applyFill="1" applyBorder="1" applyAlignment="1" applyProtection="1">
      <alignment horizontal="center" vertical="center" wrapText="1"/>
      <protection locked="0"/>
    </xf>
    <xf numFmtId="0" fontId="10" fillId="7" borderId="13" xfId="0" applyFont="1" applyFill="1" applyBorder="1" applyAlignment="1" applyProtection="1">
      <alignment horizontal="center" vertical="center" wrapText="1"/>
      <protection locked="0"/>
    </xf>
    <xf numFmtId="0" fontId="10" fillId="7" borderId="17" xfId="0" applyFont="1" applyFill="1" applyBorder="1" applyAlignment="1" applyProtection="1">
      <alignment horizontal="center" vertical="center" wrapText="1"/>
      <protection locked="0"/>
    </xf>
    <xf numFmtId="0" fontId="10" fillId="7" borderId="18" xfId="0" applyFont="1" applyFill="1" applyBorder="1" applyAlignment="1" applyProtection="1">
      <alignment horizontal="center" vertical="center" wrapText="1"/>
      <protection locked="0"/>
    </xf>
    <xf numFmtId="0" fontId="10" fillId="7" borderId="14"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10" fillId="7" borderId="16" xfId="0" applyFont="1" applyFill="1" applyBorder="1" applyAlignment="1">
      <alignment horizontal="left" vertical="center" wrapText="1"/>
    </xf>
    <xf numFmtId="0" fontId="10" fillId="7" borderId="17" xfId="0" applyFont="1" applyFill="1" applyBorder="1" applyAlignment="1">
      <alignment horizontal="left" vertical="center" wrapText="1"/>
    </xf>
    <xf numFmtId="0" fontId="10" fillId="7" borderId="15" xfId="0" applyFont="1" applyFill="1" applyBorder="1" applyAlignment="1" applyProtection="1">
      <alignment horizontal="center" vertical="center" wrapText="1"/>
      <protection locked="0"/>
    </xf>
    <xf numFmtId="0" fontId="13" fillId="5" borderId="9" xfId="0" applyFont="1" applyFill="1" applyBorder="1" applyAlignment="1">
      <alignment horizontal="center" vertical="center"/>
    </xf>
    <xf numFmtId="0" fontId="13" fillId="5" borderId="0" xfId="0" applyFont="1" applyFill="1" applyBorder="1" applyAlignment="1">
      <alignment horizontal="center" vertical="center"/>
    </xf>
    <xf numFmtId="0" fontId="14" fillId="0" borderId="21" xfId="0" applyFont="1" applyBorder="1" applyAlignment="1" applyProtection="1">
      <alignment horizontal="left" vertical="center"/>
      <protection locked="0"/>
    </xf>
    <xf numFmtId="0" fontId="14" fillId="0" borderId="22" xfId="0" applyFont="1" applyBorder="1" applyAlignment="1" applyProtection="1">
      <alignment horizontal="left" vertical="center"/>
      <protection locked="0"/>
    </xf>
    <xf numFmtId="0" fontId="14" fillId="0" borderId="23" xfId="0" applyFont="1" applyBorder="1" applyAlignment="1" applyProtection="1">
      <alignment horizontal="left" vertical="center"/>
      <protection locked="0"/>
    </xf>
    <xf numFmtId="0" fontId="14" fillId="0" borderId="22" xfId="0" applyFont="1" applyBorder="1" applyAlignment="1" applyProtection="1">
      <alignment horizontal="left"/>
    </xf>
    <xf numFmtId="0" fontId="14" fillId="0" borderId="20" xfId="0" applyFont="1" applyBorder="1" applyAlignment="1" applyProtection="1">
      <alignment horizontal="left"/>
    </xf>
    <xf numFmtId="0" fontId="14" fillId="0" borderId="10" xfId="0" applyFont="1" applyBorder="1" applyAlignment="1" applyProtection="1">
      <alignment vertical="center"/>
      <protection locked="0"/>
    </xf>
    <xf numFmtId="0" fontId="14" fillId="0" borderId="10" xfId="0" applyFont="1" applyBorder="1" applyAlignment="1" applyProtection="1">
      <alignment wrapText="1"/>
    </xf>
    <xf numFmtId="0" fontId="14" fillId="0" borderId="15" xfId="0" applyFont="1" applyBorder="1" applyAlignment="1" applyProtection="1">
      <alignment wrapText="1"/>
    </xf>
    <xf numFmtId="0" fontId="12" fillId="2" borderId="6" xfId="0" applyFont="1" applyFill="1" applyBorder="1" applyAlignment="1">
      <alignment horizontal="left" vertical="center" wrapText="1"/>
    </xf>
    <xf numFmtId="0" fontId="12" fillId="2" borderId="1" xfId="0" applyFont="1" applyFill="1" applyBorder="1" applyAlignment="1">
      <alignment horizontal="left" vertical="center" wrapText="1"/>
    </xf>
    <xf numFmtId="166" fontId="14" fillId="0" borderId="42" xfId="0" applyNumberFormat="1" applyFont="1" applyFill="1" applyBorder="1" applyAlignment="1" applyProtection="1">
      <alignment horizontal="center" vertical="center" wrapText="1"/>
    </xf>
    <xf numFmtId="0" fontId="12" fillId="2" borderId="24"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37" xfId="0" applyFont="1" applyFill="1" applyBorder="1" applyAlignment="1">
      <alignment horizontal="left" vertical="center" wrapText="1"/>
    </xf>
    <xf numFmtId="0" fontId="12" fillId="2" borderId="2" xfId="0" applyFont="1" applyFill="1" applyBorder="1" applyAlignment="1">
      <alignment horizontal="left" vertical="center" wrapText="1"/>
    </xf>
  </cellXfs>
  <cellStyles count="144">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8</xdr:col>
      <xdr:colOff>190500</xdr:colOff>
      <xdr:row>0</xdr:row>
      <xdr:rowOff>38100</xdr:rowOff>
    </xdr:from>
    <xdr:to>
      <xdr:col>8</xdr:col>
      <xdr:colOff>1041400</xdr:colOff>
      <xdr:row>1</xdr:row>
      <xdr:rowOff>660400</xdr:rowOff>
    </xdr:to>
    <xdr:pic>
      <xdr:nvPicPr>
        <xdr:cNvPr id="1025" name="Picture 1" descr="escription: CIE 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38100"/>
          <a:ext cx="850900"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0"/>
  <sheetViews>
    <sheetView tabSelected="1" view="pageLayout" zoomScale="125" workbookViewId="0">
      <selection activeCell="B28" sqref="B28:I28"/>
    </sheetView>
  </sheetViews>
  <sheetFormatPr baseColWidth="10" defaultRowHeight="15" x14ac:dyDescent="0"/>
  <cols>
    <col min="1" max="1" width="22.6640625" customWidth="1"/>
    <col min="2" max="2" width="15.33203125" customWidth="1"/>
    <col min="3" max="3" width="15.5" customWidth="1"/>
    <col min="4" max="4" width="6.33203125" customWidth="1"/>
    <col min="5" max="5" width="15.1640625" customWidth="1"/>
    <col min="6" max="6" width="9.5" customWidth="1"/>
    <col min="7" max="7" width="5.83203125" customWidth="1"/>
    <col min="8" max="8" width="8" customWidth="1"/>
    <col min="9" max="9" width="14.6640625" customWidth="1"/>
  </cols>
  <sheetData>
    <row r="1" spans="1:16" ht="18">
      <c r="A1" s="56" t="s">
        <v>65</v>
      </c>
      <c r="B1" s="57"/>
      <c r="C1" s="57"/>
      <c r="D1" s="57"/>
      <c r="E1" s="57"/>
      <c r="F1" s="57"/>
      <c r="G1" s="57"/>
      <c r="H1" s="57"/>
      <c r="I1" s="52"/>
    </row>
    <row r="2" spans="1:16" s="2" customFormat="1" ht="56" customHeight="1" thickBot="1">
      <c r="A2" s="54" t="s">
        <v>101</v>
      </c>
      <c r="B2" s="55"/>
      <c r="C2" s="55"/>
      <c r="D2" s="55"/>
      <c r="E2" s="55"/>
      <c r="F2" s="55"/>
      <c r="G2" s="55"/>
      <c r="H2" s="55"/>
      <c r="I2" s="53"/>
    </row>
    <row r="3" spans="1:16">
      <c r="A3" s="145" t="s">
        <v>53</v>
      </c>
      <c r="B3" s="146"/>
      <c r="C3" s="146"/>
      <c r="D3" s="146"/>
      <c r="E3" s="146"/>
      <c r="F3" s="146"/>
      <c r="G3" s="146"/>
      <c r="H3" s="146"/>
      <c r="I3" s="147"/>
      <c r="J3" s="4"/>
      <c r="K3" s="4"/>
      <c r="L3" s="4"/>
      <c r="M3" s="4"/>
      <c r="N3" s="4"/>
      <c r="O3" s="4"/>
      <c r="P3" s="4"/>
    </row>
    <row r="4" spans="1:16">
      <c r="A4" s="7" t="s">
        <v>54</v>
      </c>
      <c r="B4" s="61"/>
      <c r="C4" s="68"/>
      <c r="D4" s="68"/>
      <c r="E4" s="68"/>
      <c r="F4" s="68"/>
      <c r="G4" s="62"/>
      <c r="H4" s="8" t="s">
        <v>57</v>
      </c>
      <c r="I4" s="9"/>
    </row>
    <row r="5" spans="1:16">
      <c r="A5" s="10" t="s">
        <v>44</v>
      </c>
      <c r="B5" s="61"/>
      <c r="C5" s="62"/>
      <c r="D5" s="8" t="s">
        <v>51</v>
      </c>
      <c r="E5" s="11"/>
      <c r="F5" s="8" t="s">
        <v>46</v>
      </c>
      <c r="G5" s="11"/>
      <c r="H5" s="8" t="s">
        <v>47</v>
      </c>
      <c r="I5" s="12"/>
    </row>
    <row r="6" spans="1:16">
      <c r="A6" s="10" t="s">
        <v>45</v>
      </c>
      <c r="B6" s="61"/>
      <c r="C6" s="62"/>
      <c r="D6" s="8" t="s">
        <v>51</v>
      </c>
      <c r="E6" s="11"/>
      <c r="F6" s="8" t="s">
        <v>46</v>
      </c>
      <c r="G6" s="11"/>
      <c r="H6" s="8" t="s">
        <v>47</v>
      </c>
      <c r="I6" s="12"/>
    </row>
    <row r="7" spans="1:16">
      <c r="A7" s="13" t="s">
        <v>1</v>
      </c>
      <c r="B7" s="182"/>
      <c r="C7" s="183"/>
      <c r="D7" s="183"/>
      <c r="E7" s="183"/>
      <c r="F7" s="183"/>
      <c r="G7" s="183"/>
      <c r="H7" s="183"/>
      <c r="I7" s="184"/>
    </row>
    <row r="8" spans="1:16">
      <c r="A8" s="14" t="s">
        <v>0</v>
      </c>
      <c r="B8" s="61"/>
      <c r="C8" s="68"/>
      <c r="D8" s="68"/>
      <c r="E8" s="68"/>
      <c r="F8" s="68"/>
      <c r="G8" s="68"/>
      <c r="H8" s="68"/>
      <c r="I8" s="69"/>
    </row>
    <row r="9" spans="1:16" ht="15" customHeight="1">
      <c r="A9" s="15" t="s">
        <v>16</v>
      </c>
      <c r="B9" s="16"/>
      <c r="C9" s="63" t="s">
        <v>17</v>
      </c>
      <c r="D9" s="64"/>
      <c r="E9" s="65"/>
      <c r="F9" s="66"/>
      <c r="G9" s="67"/>
      <c r="H9" s="17" t="s">
        <v>48</v>
      </c>
      <c r="I9" s="18"/>
    </row>
    <row r="10" spans="1:16" ht="15" customHeight="1">
      <c r="A10" s="15" t="s">
        <v>52</v>
      </c>
      <c r="B10" s="16"/>
      <c r="C10" s="63" t="s">
        <v>55</v>
      </c>
      <c r="D10" s="64"/>
      <c r="E10" s="65"/>
      <c r="F10" s="66"/>
      <c r="G10" s="67"/>
      <c r="H10" s="17" t="s">
        <v>48</v>
      </c>
      <c r="I10" s="18"/>
    </row>
    <row r="11" spans="1:16" ht="15" customHeight="1">
      <c r="A11" s="13" t="s">
        <v>15</v>
      </c>
      <c r="B11" s="187"/>
      <c r="C11" s="187"/>
      <c r="D11" s="187"/>
      <c r="E11" s="70" t="s">
        <v>81</v>
      </c>
      <c r="F11" s="71"/>
      <c r="G11" s="72"/>
      <c r="H11" s="72"/>
      <c r="I11" s="73"/>
    </row>
    <row r="12" spans="1:16">
      <c r="A12" s="19" t="s">
        <v>2</v>
      </c>
      <c r="B12" s="20" t="s">
        <v>110</v>
      </c>
      <c r="C12" s="185" t="s">
        <v>18</v>
      </c>
      <c r="D12" s="186"/>
      <c r="E12" s="188" t="s">
        <v>35</v>
      </c>
      <c r="F12" s="188"/>
      <c r="G12" s="188"/>
      <c r="H12" s="188"/>
      <c r="I12" s="189"/>
    </row>
    <row r="13" spans="1:16" ht="15" customHeight="1" thickBot="1">
      <c r="A13" s="74" t="s">
        <v>56</v>
      </c>
      <c r="B13" s="75"/>
      <c r="C13" s="76"/>
      <c r="D13" s="76"/>
      <c r="E13" s="76"/>
      <c r="F13" s="76"/>
      <c r="G13" s="77"/>
      <c r="H13" s="162" t="s">
        <v>49</v>
      </c>
      <c r="I13" s="163"/>
    </row>
    <row r="14" spans="1:16" s="2" customFormat="1" ht="50" customHeight="1" thickBot="1">
      <c r="A14" s="78" t="s">
        <v>100</v>
      </c>
      <c r="B14" s="79"/>
      <c r="C14" s="79"/>
      <c r="D14" s="79"/>
      <c r="E14" s="79"/>
      <c r="F14" s="79"/>
      <c r="G14" s="79"/>
      <c r="H14" s="79"/>
      <c r="I14" s="80"/>
      <c r="J14"/>
      <c r="K14"/>
      <c r="L14"/>
      <c r="M14"/>
      <c r="N14"/>
      <c r="O14"/>
      <c r="P14"/>
    </row>
    <row r="15" spans="1:16">
      <c r="A15" s="193" t="s">
        <v>102</v>
      </c>
      <c r="B15" s="194"/>
      <c r="C15" s="194"/>
      <c r="D15" s="194"/>
      <c r="E15" s="194"/>
      <c r="F15" s="194"/>
      <c r="G15" s="194"/>
      <c r="H15" s="194"/>
      <c r="I15" s="195"/>
      <c r="J15" s="4"/>
      <c r="K15" s="4"/>
      <c r="L15" s="4"/>
      <c r="M15" s="4"/>
      <c r="N15" s="4"/>
      <c r="O15" s="4"/>
      <c r="P15" s="4"/>
    </row>
    <row r="16" spans="1:16" ht="15" customHeight="1">
      <c r="A16" s="49" t="s">
        <v>83</v>
      </c>
      <c r="B16" s="21">
        <f>B72</f>
        <v>0</v>
      </c>
      <c r="C16" s="22" t="s">
        <v>76</v>
      </c>
      <c r="D16" s="107" t="s">
        <v>82</v>
      </c>
      <c r="E16" s="108"/>
      <c r="F16" s="150" t="s">
        <v>75</v>
      </c>
      <c r="G16" s="150"/>
      <c r="H16" s="150"/>
      <c r="I16" s="91" t="s">
        <v>111</v>
      </c>
    </row>
    <row r="17" spans="1:9" ht="15" customHeight="1">
      <c r="A17" s="49" t="s">
        <v>19</v>
      </c>
      <c r="B17" s="21">
        <v>500</v>
      </c>
      <c r="C17" s="51"/>
      <c r="D17" s="109">
        <v>41943</v>
      </c>
      <c r="E17" s="109"/>
      <c r="F17" s="109">
        <v>42035</v>
      </c>
      <c r="G17" s="109"/>
      <c r="H17" s="109"/>
      <c r="I17" s="92"/>
    </row>
    <row r="18" spans="1:9" ht="15" customHeight="1">
      <c r="A18" s="13" t="s">
        <v>50</v>
      </c>
      <c r="B18" s="21">
        <f>(B16-500)</f>
        <v>-500</v>
      </c>
      <c r="C18" s="51"/>
      <c r="D18" s="109">
        <v>41985</v>
      </c>
      <c r="E18" s="109"/>
      <c r="F18" s="109">
        <v>42062</v>
      </c>
      <c r="G18" s="109"/>
      <c r="H18" s="109"/>
      <c r="I18" s="92"/>
    </row>
    <row r="19" spans="1:9" ht="15" customHeight="1" thickBot="1">
      <c r="A19" s="50" t="s">
        <v>84</v>
      </c>
      <c r="B19" s="23">
        <f>B47</f>
        <v>0</v>
      </c>
      <c r="C19" s="51"/>
      <c r="D19" s="110">
        <v>41985</v>
      </c>
      <c r="E19" s="111"/>
      <c r="F19" s="192">
        <v>42062</v>
      </c>
      <c r="G19" s="192"/>
      <c r="H19" s="192"/>
      <c r="I19" s="93"/>
    </row>
    <row r="20" spans="1:9" ht="15" customHeight="1" thickBot="1">
      <c r="A20" s="190" t="s">
        <v>72</v>
      </c>
      <c r="B20" s="196"/>
      <c r="C20" s="196"/>
      <c r="D20" s="196"/>
      <c r="E20" s="196"/>
      <c r="F20" s="196"/>
      <c r="G20" s="196"/>
      <c r="H20" s="196"/>
      <c r="I20" s="191"/>
    </row>
    <row r="21" spans="1:9" ht="29" customHeight="1">
      <c r="A21" s="164" t="s">
        <v>103</v>
      </c>
      <c r="B21" s="165"/>
      <c r="C21" s="165"/>
      <c r="D21" s="165"/>
      <c r="E21" s="58"/>
      <c r="F21" s="58"/>
      <c r="G21" s="58"/>
      <c r="H21" s="58"/>
      <c r="I21" s="24"/>
    </row>
    <row r="22" spans="1:9" ht="29" customHeight="1">
      <c r="A22" s="164" t="s">
        <v>104</v>
      </c>
      <c r="B22" s="165"/>
      <c r="C22" s="165"/>
      <c r="D22" s="165"/>
      <c r="E22" s="59"/>
      <c r="F22" s="59"/>
      <c r="G22" s="59"/>
      <c r="H22" s="59"/>
      <c r="I22" s="25"/>
    </row>
    <row r="23" spans="1:9" ht="29" customHeight="1">
      <c r="A23" s="164" t="s">
        <v>105</v>
      </c>
      <c r="B23" s="165"/>
      <c r="C23" s="165"/>
      <c r="D23" s="165"/>
      <c r="E23" s="59"/>
      <c r="F23" s="59"/>
      <c r="G23" s="59"/>
      <c r="H23" s="59"/>
      <c r="I23" s="25"/>
    </row>
    <row r="24" spans="1:9" ht="29" customHeight="1">
      <c r="A24" s="164" t="s">
        <v>106</v>
      </c>
      <c r="B24" s="165"/>
      <c r="C24" s="165"/>
      <c r="D24" s="165"/>
      <c r="E24" s="59"/>
      <c r="F24" s="59"/>
      <c r="G24" s="59"/>
      <c r="H24" s="59"/>
      <c r="I24" s="25"/>
    </row>
    <row r="25" spans="1:9" ht="29" customHeight="1" thickBot="1">
      <c r="A25" s="121" t="s">
        <v>107</v>
      </c>
      <c r="B25" s="122"/>
      <c r="C25" s="122"/>
      <c r="D25" s="122"/>
      <c r="E25" s="60"/>
      <c r="F25" s="60"/>
      <c r="G25" s="60"/>
      <c r="H25" s="60"/>
      <c r="I25" s="26"/>
    </row>
    <row r="26" spans="1:9" ht="19" thickBot="1">
      <c r="A26" s="118" t="s">
        <v>13</v>
      </c>
      <c r="B26" s="119"/>
      <c r="C26" s="119"/>
      <c r="D26" s="119"/>
      <c r="E26" s="119"/>
      <c r="F26" s="119"/>
      <c r="G26" s="119"/>
      <c r="H26" s="119"/>
      <c r="I26" s="120"/>
    </row>
    <row r="27" spans="1:9" ht="15" customHeight="1">
      <c r="A27" s="104" t="s">
        <v>40</v>
      </c>
      <c r="B27" s="105"/>
      <c r="C27" s="105"/>
      <c r="D27" s="105"/>
      <c r="E27" s="105"/>
      <c r="F27" s="105"/>
      <c r="G27" s="105"/>
      <c r="H27" s="105"/>
      <c r="I27" s="106"/>
    </row>
    <row r="28" spans="1:9">
      <c r="A28" s="13" t="s">
        <v>36</v>
      </c>
      <c r="B28" s="83">
        <f>B4</f>
        <v>0</v>
      </c>
      <c r="C28" s="81"/>
      <c r="D28" s="81"/>
      <c r="E28" s="81"/>
      <c r="F28" s="81"/>
      <c r="G28" s="81"/>
      <c r="H28" s="81"/>
      <c r="I28" s="82"/>
    </row>
    <row r="29" spans="1:9" ht="14" customHeight="1">
      <c r="A29" s="13" t="s">
        <v>37</v>
      </c>
      <c r="B29" s="114"/>
      <c r="C29" s="114"/>
      <c r="D29" s="114"/>
      <c r="E29" s="166" t="s">
        <v>74</v>
      </c>
      <c r="F29" s="166"/>
      <c r="G29" s="166"/>
      <c r="H29" s="81"/>
      <c r="I29" s="82"/>
    </row>
    <row r="30" spans="1:9" ht="15" customHeight="1">
      <c r="A30" s="13" t="s">
        <v>20</v>
      </c>
      <c r="B30" s="27">
        <v>0</v>
      </c>
      <c r="C30" s="98" t="s">
        <v>108</v>
      </c>
      <c r="D30" s="99"/>
      <c r="E30" s="99"/>
      <c r="F30" s="99"/>
      <c r="G30" s="99"/>
      <c r="H30" s="99"/>
      <c r="I30" s="100"/>
    </row>
    <row r="31" spans="1:9">
      <c r="A31" s="13" t="s">
        <v>3</v>
      </c>
      <c r="B31" s="27">
        <v>0</v>
      </c>
      <c r="C31" s="112" t="s">
        <v>21</v>
      </c>
      <c r="D31" s="112"/>
      <c r="E31" s="112"/>
      <c r="F31" s="112"/>
      <c r="G31" s="112"/>
      <c r="H31" s="112"/>
      <c r="I31" s="113"/>
    </row>
    <row r="32" spans="1:9" s="1" customFormat="1">
      <c r="A32" s="13" t="s">
        <v>22</v>
      </c>
      <c r="B32" s="27">
        <v>0</v>
      </c>
      <c r="C32" s="112" t="s">
        <v>23</v>
      </c>
      <c r="D32" s="112"/>
      <c r="E32" s="112"/>
      <c r="F32" s="112"/>
      <c r="G32" s="112"/>
      <c r="H32" s="112"/>
      <c r="I32" s="113"/>
    </row>
    <row r="33" spans="1:16">
      <c r="A33" s="13" t="s">
        <v>4</v>
      </c>
      <c r="B33" s="27">
        <v>0</v>
      </c>
      <c r="C33" s="112" t="s">
        <v>5</v>
      </c>
      <c r="D33" s="112"/>
      <c r="E33" s="112"/>
      <c r="F33" s="112"/>
      <c r="G33" s="112"/>
      <c r="H33" s="112"/>
      <c r="I33" s="113"/>
    </row>
    <row r="34" spans="1:16">
      <c r="A34" s="13" t="s">
        <v>6</v>
      </c>
      <c r="B34" s="27">
        <v>0</v>
      </c>
      <c r="C34" s="112" t="s">
        <v>24</v>
      </c>
      <c r="D34" s="112"/>
      <c r="E34" s="112"/>
      <c r="F34" s="112"/>
      <c r="G34" s="112"/>
      <c r="H34" s="112"/>
      <c r="I34" s="113"/>
    </row>
    <row r="35" spans="1:16">
      <c r="A35" s="13" t="s">
        <v>7</v>
      </c>
      <c r="B35" s="27">
        <v>0</v>
      </c>
      <c r="C35" s="112" t="s">
        <v>23</v>
      </c>
      <c r="D35" s="112"/>
      <c r="E35" s="112"/>
      <c r="F35" s="112"/>
      <c r="G35" s="112"/>
      <c r="H35" s="112"/>
      <c r="I35" s="113"/>
    </row>
    <row r="36" spans="1:16">
      <c r="A36" s="13" t="s">
        <v>26</v>
      </c>
      <c r="B36" s="27">
        <v>0</v>
      </c>
      <c r="C36" s="143" t="s">
        <v>25</v>
      </c>
      <c r="D36" s="143"/>
      <c r="E36" s="143"/>
      <c r="F36" s="143"/>
      <c r="G36" s="143"/>
      <c r="H36" s="143"/>
      <c r="I36" s="144"/>
    </row>
    <row r="37" spans="1:16">
      <c r="A37" s="13" t="s">
        <v>28</v>
      </c>
      <c r="B37" s="27">
        <v>0</v>
      </c>
      <c r="C37" s="143" t="s">
        <v>88</v>
      </c>
      <c r="D37" s="143"/>
      <c r="E37" s="143"/>
      <c r="F37" s="143"/>
      <c r="G37" s="143"/>
      <c r="H37" s="143"/>
      <c r="I37" s="144"/>
    </row>
    <row r="38" spans="1:16">
      <c r="A38" s="13" t="s">
        <v>29</v>
      </c>
      <c r="B38" s="27">
        <v>0</v>
      </c>
      <c r="C38" s="143" t="s">
        <v>30</v>
      </c>
      <c r="D38" s="143"/>
      <c r="E38" s="143"/>
      <c r="F38" s="143"/>
      <c r="G38" s="143"/>
      <c r="H38" s="143"/>
      <c r="I38" s="144"/>
    </row>
    <row r="39" spans="1:16">
      <c r="A39" s="13" t="s">
        <v>8</v>
      </c>
      <c r="B39" s="27">
        <v>0</v>
      </c>
      <c r="C39" s="114"/>
      <c r="D39" s="114"/>
      <c r="E39" s="114"/>
      <c r="F39" s="114"/>
      <c r="G39" s="114"/>
      <c r="H39" s="114"/>
      <c r="I39" s="115"/>
    </row>
    <row r="40" spans="1:16" ht="16" thickBot="1">
      <c r="A40" s="28" t="s">
        <v>27</v>
      </c>
      <c r="B40" s="29">
        <f>SUM(B30:B39)</f>
        <v>0</v>
      </c>
      <c r="C40" s="151"/>
      <c r="D40" s="151"/>
      <c r="E40" s="151"/>
      <c r="F40" s="151"/>
      <c r="G40" s="151"/>
      <c r="H40" s="151"/>
      <c r="I40" s="152"/>
    </row>
    <row r="41" spans="1:16" ht="15" customHeight="1">
      <c r="A41" s="104" t="s">
        <v>94</v>
      </c>
      <c r="B41" s="105"/>
      <c r="C41" s="105"/>
      <c r="D41" s="105"/>
      <c r="E41" s="105"/>
      <c r="F41" s="105"/>
      <c r="G41" s="105"/>
      <c r="H41" s="105"/>
      <c r="I41" s="106"/>
    </row>
    <row r="42" spans="1:16" ht="15" customHeight="1">
      <c r="A42" s="13" t="s">
        <v>80</v>
      </c>
      <c r="B42" s="83"/>
      <c r="C42" s="81"/>
      <c r="D42" s="81"/>
      <c r="E42" s="81"/>
      <c r="F42" s="81"/>
      <c r="G42" s="81"/>
      <c r="H42" s="81"/>
      <c r="I42" s="82"/>
    </row>
    <row r="43" spans="1:16">
      <c r="A43" s="30" t="s">
        <v>79</v>
      </c>
      <c r="B43" s="83"/>
      <c r="C43" s="81"/>
      <c r="D43" s="84"/>
      <c r="E43" s="85" t="s">
        <v>74</v>
      </c>
      <c r="F43" s="86"/>
      <c r="G43" s="87"/>
      <c r="H43" s="83"/>
      <c r="I43" s="88"/>
      <c r="J43" s="4"/>
      <c r="K43" s="4"/>
      <c r="L43" s="4"/>
      <c r="M43" s="4"/>
      <c r="N43" s="4"/>
      <c r="O43" s="4"/>
      <c r="P43" s="4"/>
    </row>
    <row r="44" spans="1:16">
      <c r="A44" s="13" t="s">
        <v>85</v>
      </c>
      <c r="B44" s="27">
        <v>0</v>
      </c>
      <c r="C44" s="143" t="s">
        <v>98</v>
      </c>
      <c r="D44" s="143"/>
      <c r="E44" s="143"/>
      <c r="F44" s="143"/>
      <c r="G44" s="143"/>
      <c r="H44" s="143"/>
      <c r="I44" s="144"/>
    </row>
    <row r="45" spans="1:16">
      <c r="A45" s="13" t="s">
        <v>86</v>
      </c>
      <c r="B45" s="27">
        <v>0</v>
      </c>
      <c r="C45" s="143" t="s">
        <v>99</v>
      </c>
      <c r="D45" s="143"/>
      <c r="E45" s="143"/>
      <c r="F45" s="143"/>
      <c r="G45" s="143"/>
      <c r="H45" s="143"/>
      <c r="I45" s="144"/>
    </row>
    <row r="46" spans="1:16">
      <c r="A46" s="13" t="s">
        <v>8</v>
      </c>
      <c r="B46" s="27">
        <v>0</v>
      </c>
      <c r="C46" s="114"/>
      <c r="D46" s="114"/>
      <c r="E46" s="114"/>
      <c r="F46" s="114"/>
      <c r="G46" s="114"/>
      <c r="H46" s="114"/>
      <c r="I46" s="115"/>
    </row>
    <row r="47" spans="1:16" ht="29" customHeight="1" thickBot="1">
      <c r="A47" s="28" t="s">
        <v>92</v>
      </c>
      <c r="B47" s="29">
        <f>SUM(B44:B46)</f>
        <v>0</v>
      </c>
      <c r="C47" s="151" t="s">
        <v>93</v>
      </c>
      <c r="D47" s="151"/>
      <c r="E47" s="151"/>
      <c r="F47" s="151"/>
      <c r="G47" s="151"/>
      <c r="H47" s="151"/>
      <c r="I47" s="152"/>
    </row>
    <row r="48" spans="1:16">
      <c r="A48" s="104" t="s">
        <v>38</v>
      </c>
      <c r="B48" s="105"/>
      <c r="C48" s="105"/>
      <c r="D48" s="105"/>
      <c r="E48" s="105"/>
      <c r="F48" s="105"/>
      <c r="G48" s="105"/>
      <c r="H48" s="105"/>
      <c r="I48" s="106"/>
    </row>
    <row r="49" spans="1:16">
      <c r="A49" s="13" t="s">
        <v>41</v>
      </c>
      <c r="B49" s="27">
        <v>0</v>
      </c>
      <c r="C49" s="112" t="s">
        <v>66</v>
      </c>
      <c r="D49" s="112"/>
      <c r="E49" s="112"/>
      <c r="F49" s="112"/>
      <c r="G49" s="112"/>
      <c r="H49" s="112"/>
      <c r="I49" s="113"/>
    </row>
    <row r="50" spans="1:16">
      <c r="A50" s="13" t="s">
        <v>9</v>
      </c>
      <c r="B50" s="27">
        <v>0</v>
      </c>
      <c r="C50" s="116" t="s">
        <v>23</v>
      </c>
      <c r="D50" s="116"/>
      <c r="E50" s="116"/>
      <c r="F50" s="116"/>
      <c r="G50" s="116"/>
      <c r="H50" s="116"/>
      <c r="I50" s="117"/>
    </row>
    <row r="51" spans="1:16" ht="15" customHeight="1">
      <c r="A51" s="13" t="s">
        <v>10</v>
      </c>
      <c r="B51" s="31">
        <v>0</v>
      </c>
      <c r="C51" s="112" t="s">
        <v>5</v>
      </c>
      <c r="D51" s="112"/>
      <c r="E51" s="112"/>
      <c r="F51" s="112"/>
      <c r="G51" s="112"/>
      <c r="H51" s="112"/>
      <c r="I51" s="113"/>
    </row>
    <row r="52" spans="1:16">
      <c r="A52" s="13" t="s">
        <v>14</v>
      </c>
      <c r="B52" s="31">
        <v>0</v>
      </c>
      <c r="C52" s="116" t="s">
        <v>67</v>
      </c>
      <c r="D52" s="116"/>
      <c r="E52" s="116"/>
      <c r="F52" s="116"/>
      <c r="G52" s="116"/>
      <c r="H52" s="116"/>
      <c r="I52" s="117"/>
    </row>
    <row r="53" spans="1:16">
      <c r="A53" s="13" t="s">
        <v>28</v>
      </c>
      <c r="B53" s="31">
        <v>0</v>
      </c>
      <c r="C53" s="156" t="s">
        <v>89</v>
      </c>
      <c r="D53" s="157"/>
      <c r="E53" s="157"/>
      <c r="F53" s="157"/>
      <c r="G53" s="157"/>
      <c r="H53" s="157"/>
      <c r="I53" s="158"/>
    </row>
    <row r="54" spans="1:16" ht="15" customHeight="1">
      <c r="A54" s="13" t="s">
        <v>42</v>
      </c>
      <c r="B54" s="27">
        <v>0</v>
      </c>
      <c r="C54" s="159"/>
      <c r="D54" s="160"/>
      <c r="E54" s="160"/>
      <c r="F54" s="160"/>
      <c r="G54" s="160"/>
      <c r="H54" s="160"/>
      <c r="I54" s="161"/>
    </row>
    <row r="55" spans="1:16" ht="15" customHeight="1">
      <c r="A55" s="13" t="s">
        <v>11</v>
      </c>
      <c r="B55" s="27">
        <v>0</v>
      </c>
      <c r="C55" s="98" t="s">
        <v>95</v>
      </c>
      <c r="D55" s="99"/>
      <c r="E55" s="99"/>
      <c r="F55" s="99"/>
      <c r="G55" s="99"/>
      <c r="H55" s="99"/>
      <c r="I55" s="100"/>
    </row>
    <row r="56" spans="1:16" ht="15" customHeight="1">
      <c r="A56" s="13" t="s">
        <v>96</v>
      </c>
      <c r="B56" s="27">
        <v>0</v>
      </c>
      <c r="C56" s="98" t="s">
        <v>97</v>
      </c>
      <c r="D56" s="99"/>
      <c r="E56" s="99"/>
      <c r="F56" s="99"/>
      <c r="G56" s="99"/>
      <c r="H56" s="99"/>
      <c r="I56" s="100"/>
    </row>
    <row r="57" spans="1:16" ht="15" customHeight="1" thickBot="1">
      <c r="A57" s="13" t="s">
        <v>12</v>
      </c>
      <c r="B57" s="27">
        <v>0</v>
      </c>
      <c r="C57" s="154" t="s">
        <v>43</v>
      </c>
      <c r="D57" s="154"/>
      <c r="E57" s="154"/>
      <c r="F57" s="154"/>
      <c r="G57" s="154"/>
      <c r="H57" s="154"/>
      <c r="I57" s="155"/>
      <c r="J57" s="3"/>
      <c r="K57" s="3"/>
      <c r="L57" s="3"/>
      <c r="M57" s="3"/>
      <c r="N57" s="3"/>
      <c r="O57" s="3"/>
      <c r="P57" s="3"/>
    </row>
    <row r="58" spans="1:16" ht="15" customHeight="1">
      <c r="A58" s="32" t="s">
        <v>31</v>
      </c>
      <c r="B58" s="33">
        <f>SUM(B49:B57)</f>
        <v>0</v>
      </c>
      <c r="C58" s="167" t="s">
        <v>68</v>
      </c>
      <c r="D58" s="168"/>
      <c r="E58" s="168"/>
      <c r="F58" s="168"/>
      <c r="G58" s="168"/>
      <c r="H58" s="171">
        <v>1</v>
      </c>
      <c r="I58" s="172"/>
      <c r="J58" s="3"/>
      <c r="K58" s="3"/>
      <c r="L58" s="3"/>
      <c r="M58" s="3"/>
      <c r="N58" s="3"/>
      <c r="O58" s="3"/>
      <c r="P58" s="3"/>
    </row>
    <row r="59" spans="1:16" ht="15" customHeight="1" thickBot="1">
      <c r="A59" s="28" t="s">
        <v>32</v>
      </c>
      <c r="B59" s="34">
        <f>B58*H58</f>
        <v>0</v>
      </c>
      <c r="C59" s="169"/>
      <c r="D59" s="170"/>
      <c r="E59" s="170"/>
      <c r="F59" s="170"/>
      <c r="G59" s="170"/>
      <c r="H59" s="173"/>
      <c r="I59" s="174"/>
    </row>
    <row r="60" spans="1:16" s="5" customFormat="1" ht="15" customHeight="1" thickBot="1">
      <c r="A60" s="153"/>
      <c r="B60" s="153"/>
      <c r="C60" s="153"/>
      <c r="D60" s="153"/>
      <c r="E60" s="153"/>
      <c r="F60" s="153"/>
      <c r="G60" s="153"/>
      <c r="H60" s="153"/>
      <c r="I60" s="153"/>
      <c r="J60" s="1"/>
      <c r="K60" s="1"/>
      <c r="L60" s="1"/>
      <c r="M60" s="1"/>
      <c r="N60" s="1"/>
      <c r="O60" s="1"/>
      <c r="P60" s="1"/>
    </row>
    <row r="61" spans="1:16" ht="20" customHeight="1" thickBot="1">
      <c r="A61" s="118" t="s">
        <v>39</v>
      </c>
      <c r="B61" s="119"/>
      <c r="C61" s="119"/>
      <c r="D61" s="119"/>
      <c r="E61" s="119"/>
      <c r="F61" s="119"/>
      <c r="G61" s="119"/>
      <c r="H61" s="119"/>
      <c r="I61" s="120"/>
    </row>
    <row r="62" spans="1:16" ht="45" customHeight="1" thickBot="1">
      <c r="A62" s="101" t="s">
        <v>90</v>
      </c>
      <c r="B62" s="102"/>
      <c r="C62" s="102"/>
      <c r="D62" s="102"/>
      <c r="E62" s="102"/>
      <c r="F62" s="102"/>
      <c r="G62" s="102"/>
      <c r="H62" s="102"/>
      <c r="I62" s="103"/>
    </row>
    <row r="63" spans="1:16" s="6" customFormat="1" ht="15" customHeight="1" thickBot="1">
      <c r="A63" s="190" t="s">
        <v>61</v>
      </c>
      <c r="B63" s="191"/>
      <c r="C63" s="94" t="s">
        <v>87</v>
      </c>
      <c r="D63" s="95"/>
      <c r="E63" s="95"/>
      <c r="F63" s="95"/>
      <c r="G63" s="95"/>
      <c r="H63" s="95"/>
      <c r="I63" s="96" t="s">
        <v>91</v>
      </c>
    </row>
    <row r="64" spans="1:16" ht="15" customHeight="1">
      <c r="A64" s="35" t="s">
        <v>63</v>
      </c>
      <c r="B64" s="36">
        <v>0</v>
      </c>
      <c r="C64" s="89" t="s">
        <v>71</v>
      </c>
      <c r="D64" s="90"/>
      <c r="E64" s="90"/>
      <c r="F64" s="90"/>
      <c r="G64" s="148">
        <v>0</v>
      </c>
      <c r="H64" s="149"/>
      <c r="I64" s="97"/>
    </row>
    <row r="65" spans="1:16" ht="15" customHeight="1">
      <c r="A65" s="13" t="s">
        <v>64</v>
      </c>
      <c r="B65" s="37">
        <v>0</v>
      </c>
      <c r="C65" s="125" t="s">
        <v>70</v>
      </c>
      <c r="D65" s="126"/>
      <c r="E65" s="126"/>
      <c r="F65" s="126"/>
      <c r="G65" s="131">
        <v>0</v>
      </c>
      <c r="H65" s="132"/>
      <c r="I65" s="97"/>
    </row>
    <row r="66" spans="1:16" ht="15" customHeight="1">
      <c r="A66" s="13" t="s">
        <v>58</v>
      </c>
      <c r="B66" s="37">
        <v>0</v>
      </c>
      <c r="C66" s="137"/>
      <c r="D66" s="138"/>
      <c r="E66" s="138"/>
      <c r="F66" s="138"/>
      <c r="G66" s="138"/>
      <c r="H66" s="139"/>
      <c r="I66" s="97"/>
      <c r="J66" s="5"/>
      <c r="K66" s="5"/>
      <c r="L66" s="5"/>
      <c r="M66" s="5"/>
      <c r="N66" s="5"/>
      <c r="O66" s="5"/>
      <c r="P66" s="5"/>
    </row>
    <row r="67" spans="1:16" ht="15" customHeight="1">
      <c r="A67" s="13" t="s">
        <v>59</v>
      </c>
      <c r="B67" s="37">
        <v>0</v>
      </c>
      <c r="C67" s="140"/>
      <c r="D67" s="141"/>
      <c r="E67" s="141"/>
      <c r="F67" s="141"/>
      <c r="G67" s="141"/>
      <c r="H67" s="142"/>
      <c r="I67" s="97"/>
    </row>
    <row r="68" spans="1:16" ht="15" customHeight="1">
      <c r="A68" s="38" t="s">
        <v>60</v>
      </c>
      <c r="B68" s="39">
        <f>B66+B67+B65+B64</f>
        <v>0</v>
      </c>
      <c r="C68" s="127" t="s">
        <v>73</v>
      </c>
      <c r="D68" s="128"/>
      <c r="E68" s="128"/>
      <c r="F68" s="128"/>
      <c r="G68" s="133">
        <f>G64+G65</f>
        <v>0</v>
      </c>
      <c r="H68" s="134"/>
      <c r="I68" s="97"/>
    </row>
    <row r="69" spans="1:16" ht="14" customHeight="1">
      <c r="A69" s="38" t="s">
        <v>69</v>
      </c>
      <c r="B69" s="39">
        <f>B68*0.0765</f>
        <v>0</v>
      </c>
      <c r="C69" s="127" t="s">
        <v>69</v>
      </c>
      <c r="D69" s="128"/>
      <c r="E69" s="128"/>
      <c r="F69" s="128"/>
      <c r="G69" s="133">
        <f>G68*0.0765</f>
        <v>0</v>
      </c>
      <c r="H69" s="134"/>
      <c r="I69" s="97"/>
    </row>
    <row r="70" spans="1:16" ht="15" customHeight="1" thickBot="1">
      <c r="A70" s="40" t="s">
        <v>34</v>
      </c>
      <c r="B70" s="41">
        <f>B59+B68+B69</f>
        <v>0</v>
      </c>
      <c r="C70" s="129" t="s">
        <v>33</v>
      </c>
      <c r="D70" s="130"/>
      <c r="E70" s="130"/>
      <c r="F70" s="130"/>
      <c r="G70" s="135">
        <f>G68+G69</f>
        <v>0</v>
      </c>
      <c r="H70" s="136"/>
      <c r="I70" s="97"/>
    </row>
    <row r="71" spans="1:16" ht="43" customHeight="1" thickBot="1">
      <c r="A71" s="42" t="s">
        <v>62</v>
      </c>
      <c r="B71" s="43">
        <f>(B70/I71)</f>
        <v>0</v>
      </c>
      <c r="C71" s="123" t="s">
        <v>109</v>
      </c>
      <c r="D71" s="124"/>
      <c r="E71" s="124"/>
      <c r="F71" s="124"/>
      <c r="G71" s="124"/>
      <c r="H71" s="124"/>
      <c r="I71" s="44">
        <v>10</v>
      </c>
    </row>
    <row r="72" spans="1:16" ht="16" customHeight="1">
      <c r="A72" s="45" t="s">
        <v>78</v>
      </c>
      <c r="B72" s="46">
        <f>B40+B71</f>
        <v>0</v>
      </c>
      <c r="C72" s="175" t="s">
        <v>112</v>
      </c>
      <c r="D72" s="176"/>
      <c r="E72" s="176"/>
      <c r="F72" s="176"/>
      <c r="G72" s="176"/>
      <c r="H72" s="176"/>
      <c r="I72" s="179">
        <v>14</v>
      </c>
    </row>
    <row r="73" spans="1:16" ht="16" thickBot="1">
      <c r="A73" s="47" t="s">
        <v>77</v>
      </c>
      <c r="B73" s="48">
        <f>B71+B47+B40</f>
        <v>0</v>
      </c>
      <c r="C73" s="177"/>
      <c r="D73" s="178"/>
      <c r="E73" s="178"/>
      <c r="F73" s="178"/>
      <c r="G73" s="178"/>
      <c r="H73" s="178"/>
      <c r="I73" s="174"/>
    </row>
    <row r="74" spans="1:16" s="5" customFormat="1" ht="15" customHeight="1">
      <c r="A74" s="180"/>
      <c r="B74" s="180"/>
      <c r="C74" s="180"/>
      <c r="D74" s="180"/>
      <c r="E74" s="180"/>
      <c r="F74" s="180"/>
      <c r="G74" s="180"/>
      <c r="H74" s="180"/>
      <c r="I74" s="180"/>
      <c r="J74" s="1"/>
      <c r="K74" s="1"/>
      <c r="L74" s="1"/>
      <c r="M74" s="1"/>
      <c r="N74" s="1"/>
      <c r="O74" s="1"/>
      <c r="P74" s="1"/>
    </row>
    <row r="75" spans="1:16">
      <c r="A75" s="181"/>
      <c r="B75" s="181"/>
      <c r="C75" s="181"/>
      <c r="D75" s="181"/>
      <c r="E75" s="181"/>
      <c r="F75" s="181"/>
      <c r="G75" s="181"/>
      <c r="H75" s="181"/>
      <c r="I75" s="181"/>
    </row>
    <row r="76" spans="1:16">
      <c r="A76" s="181"/>
      <c r="B76" s="181"/>
      <c r="C76" s="181"/>
      <c r="D76" s="181"/>
      <c r="E76" s="181"/>
      <c r="F76" s="181"/>
      <c r="G76" s="181"/>
      <c r="H76" s="181"/>
      <c r="I76" s="181"/>
    </row>
    <row r="77" spans="1:16">
      <c r="A77" s="181"/>
      <c r="B77" s="181"/>
      <c r="C77" s="181"/>
      <c r="D77" s="181"/>
      <c r="E77" s="181"/>
      <c r="F77" s="181"/>
      <c r="G77" s="181"/>
      <c r="H77" s="181"/>
      <c r="I77" s="181"/>
    </row>
    <row r="78" spans="1:16">
      <c r="A78" s="181"/>
      <c r="B78" s="181"/>
      <c r="C78" s="181"/>
      <c r="D78" s="181"/>
      <c r="E78" s="181"/>
      <c r="F78" s="181"/>
      <c r="G78" s="181"/>
      <c r="H78" s="181"/>
      <c r="I78" s="181"/>
    </row>
    <row r="79" spans="1:16">
      <c r="A79" s="181"/>
      <c r="B79" s="181"/>
      <c r="C79" s="181"/>
      <c r="D79" s="181"/>
      <c r="E79" s="181"/>
      <c r="F79" s="181"/>
      <c r="G79" s="181"/>
      <c r="H79" s="181"/>
      <c r="I79" s="181"/>
    </row>
    <row r="80" spans="1:16">
      <c r="A80" s="181"/>
      <c r="B80" s="181"/>
      <c r="C80" s="181"/>
      <c r="D80" s="181"/>
      <c r="E80" s="181"/>
      <c r="F80" s="181"/>
      <c r="G80" s="181"/>
      <c r="H80" s="181"/>
      <c r="I80" s="181"/>
    </row>
    <row r="81" spans="1:9">
      <c r="A81" s="181"/>
      <c r="B81" s="181"/>
      <c r="C81" s="181"/>
      <c r="D81" s="181"/>
      <c r="E81" s="181"/>
      <c r="F81" s="181"/>
      <c r="G81" s="181"/>
      <c r="H81" s="181"/>
      <c r="I81" s="181"/>
    </row>
    <row r="82" spans="1:9">
      <c r="A82" s="181"/>
      <c r="B82" s="181"/>
      <c r="C82" s="181"/>
      <c r="D82" s="181"/>
      <c r="E82" s="181"/>
      <c r="F82" s="181"/>
      <c r="G82" s="181"/>
      <c r="H82" s="181"/>
      <c r="I82" s="181"/>
    </row>
    <row r="83" spans="1:9">
      <c r="A83" s="181"/>
      <c r="B83" s="181"/>
      <c r="C83" s="181"/>
      <c r="D83" s="181"/>
      <c r="E83" s="181"/>
      <c r="F83" s="181"/>
      <c r="G83" s="181"/>
      <c r="H83" s="181"/>
      <c r="I83" s="181"/>
    </row>
    <row r="84" spans="1:9">
      <c r="A84" s="181"/>
      <c r="B84" s="181"/>
      <c r="C84" s="181"/>
      <c r="D84" s="181"/>
      <c r="E84" s="181"/>
      <c r="F84" s="181"/>
      <c r="G84" s="181"/>
      <c r="H84" s="181"/>
      <c r="I84" s="181"/>
    </row>
    <row r="85" spans="1:9">
      <c r="A85" s="181"/>
      <c r="B85" s="181"/>
      <c r="C85" s="181"/>
      <c r="D85" s="181"/>
      <c r="E85" s="181"/>
      <c r="F85" s="181"/>
      <c r="G85" s="181"/>
      <c r="H85" s="181"/>
      <c r="I85" s="181"/>
    </row>
    <row r="86" spans="1:9">
      <c r="A86" s="181"/>
      <c r="B86" s="181"/>
      <c r="C86" s="181"/>
      <c r="D86" s="181"/>
      <c r="E86" s="181"/>
      <c r="F86" s="181"/>
      <c r="G86" s="181"/>
      <c r="H86" s="181"/>
      <c r="I86" s="181"/>
    </row>
    <row r="87" spans="1:9">
      <c r="A87" s="181"/>
      <c r="B87" s="181"/>
      <c r="C87" s="181"/>
      <c r="D87" s="181"/>
      <c r="E87" s="181"/>
      <c r="F87" s="181"/>
      <c r="G87" s="181"/>
      <c r="H87" s="181"/>
      <c r="I87" s="181"/>
    </row>
    <row r="88" spans="1:9">
      <c r="A88" s="181"/>
      <c r="B88" s="181"/>
      <c r="C88" s="181"/>
      <c r="D88" s="181"/>
      <c r="E88" s="181"/>
      <c r="F88" s="181"/>
      <c r="G88" s="181"/>
      <c r="H88" s="181"/>
      <c r="I88" s="181"/>
    </row>
    <row r="89" spans="1:9">
      <c r="A89" s="181"/>
      <c r="B89" s="181"/>
      <c r="C89" s="181"/>
      <c r="D89" s="181"/>
      <c r="E89" s="181"/>
      <c r="F89" s="181"/>
      <c r="G89" s="181"/>
      <c r="H89" s="181"/>
      <c r="I89" s="181"/>
    </row>
    <row r="90" spans="1:9">
      <c r="A90" s="181"/>
      <c r="B90" s="181"/>
      <c r="C90" s="181"/>
      <c r="D90" s="181"/>
      <c r="E90" s="181"/>
      <c r="F90" s="181"/>
      <c r="G90" s="181"/>
      <c r="H90" s="181"/>
      <c r="I90" s="181"/>
    </row>
  </sheetData>
  <sheetProtection sheet="1" objects="1" scenarios="1" selectLockedCells="1"/>
  <mergeCells count="101">
    <mergeCell ref="C72:H73"/>
    <mergeCell ref="I72:I73"/>
    <mergeCell ref="A74:I90"/>
    <mergeCell ref="B7:I7"/>
    <mergeCell ref="C12:D12"/>
    <mergeCell ref="B11:D11"/>
    <mergeCell ref="E12:I12"/>
    <mergeCell ref="D18:E18"/>
    <mergeCell ref="A63:B63"/>
    <mergeCell ref="F19:H19"/>
    <mergeCell ref="A26:I26"/>
    <mergeCell ref="C30:I30"/>
    <mergeCell ref="C34:I34"/>
    <mergeCell ref="C46:I46"/>
    <mergeCell ref="C47:I47"/>
    <mergeCell ref="B28:I28"/>
    <mergeCell ref="C31:I31"/>
    <mergeCell ref="C32:I32"/>
    <mergeCell ref="C33:I33"/>
    <mergeCell ref="A21:D21"/>
    <mergeCell ref="A15:I15"/>
    <mergeCell ref="A20:I20"/>
    <mergeCell ref="A41:I41"/>
    <mergeCell ref="C37:I37"/>
    <mergeCell ref="C38:I38"/>
    <mergeCell ref="A3:I3"/>
    <mergeCell ref="B4:G4"/>
    <mergeCell ref="G64:H64"/>
    <mergeCell ref="F16:H16"/>
    <mergeCell ref="F17:H17"/>
    <mergeCell ref="F18:H18"/>
    <mergeCell ref="C40:I40"/>
    <mergeCell ref="C51:I51"/>
    <mergeCell ref="C52:I52"/>
    <mergeCell ref="A60:I60"/>
    <mergeCell ref="C44:I44"/>
    <mergeCell ref="C45:I45"/>
    <mergeCell ref="C57:I57"/>
    <mergeCell ref="C53:I54"/>
    <mergeCell ref="H13:I13"/>
    <mergeCell ref="A22:D22"/>
    <mergeCell ref="A23:D23"/>
    <mergeCell ref="A24:D24"/>
    <mergeCell ref="E29:G29"/>
    <mergeCell ref="C58:G59"/>
    <mergeCell ref="B29:D29"/>
    <mergeCell ref="H58:I59"/>
    <mergeCell ref="C71:H71"/>
    <mergeCell ref="C65:F65"/>
    <mergeCell ref="C68:F68"/>
    <mergeCell ref="C69:F69"/>
    <mergeCell ref="C70:F70"/>
    <mergeCell ref="G65:H65"/>
    <mergeCell ref="G68:H68"/>
    <mergeCell ref="G69:H69"/>
    <mergeCell ref="G70:H70"/>
    <mergeCell ref="C66:H67"/>
    <mergeCell ref="H29:I29"/>
    <mergeCell ref="B43:D43"/>
    <mergeCell ref="E43:G43"/>
    <mergeCell ref="H43:I43"/>
    <mergeCell ref="B42:I42"/>
    <mergeCell ref="C64:F64"/>
    <mergeCell ref="I16:I19"/>
    <mergeCell ref="C63:H63"/>
    <mergeCell ref="I63:I70"/>
    <mergeCell ref="C55:I55"/>
    <mergeCell ref="C56:I56"/>
    <mergeCell ref="A62:I62"/>
    <mergeCell ref="A48:I48"/>
    <mergeCell ref="A27:I27"/>
    <mergeCell ref="D16:E16"/>
    <mergeCell ref="D17:E17"/>
    <mergeCell ref="D19:E19"/>
    <mergeCell ref="C35:I35"/>
    <mergeCell ref="C39:I39"/>
    <mergeCell ref="C49:I49"/>
    <mergeCell ref="C50:I50"/>
    <mergeCell ref="A61:I61"/>
    <mergeCell ref="A25:D25"/>
    <mergeCell ref="C36:I36"/>
    <mergeCell ref="I1:I2"/>
    <mergeCell ref="A2:H2"/>
    <mergeCell ref="A1:H1"/>
    <mergeCell ref="E21:H21"/>
    <mergeCell ref="E22:H22"/>
    <mergeCell ref="E23:H23"/>
    <mergeCell ref="E24:H24"/>
    <mergeCell ref="E25:H25"/>
    <mergeCell ref="B5:C5"/>
    <mergeCell ref="B6:C6"/>
    <mergeCell ref="C9:D9"/>
    <mergeCell ref="C10:D10"/>
    <mergeCell ref="E9:G9"/>
    <mergeCell ref="E10:G10"/>
    <mergeCell ref="B8:I8"/>
    <mergeCell ref="E11:F11"/>
    <mergeCell ref="G11:I11"/>
    <mergeCell ref="A13:B13"/>
    <mergeCell ref="C13:G13"/>
    <mergeCell ref="A14:I14"/>
  </mergeCells>
  <phoneticPr fontId="6" type="noConversion"/>
  <printOptions horizontalCentered="1"/>
  <pageMargins left="0.6" right="0.6" top="0.5" bottom="0.63888888888888884" header="0.38" footer="0.2"/>
  <pageSetup orientation="landscape" horizontalDpi="4294967292" verticalDpi="4294967292"/>
  <headerFooter>
    <oddFooter>&amp;RFact Sheet Page &amp;P</oddFooter>
  </headerFooter>
  <drawing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Mary Washington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Jordan</dc:creator>
  <cp:lastModifiedBy>Kate Jordan</cp:lastModifiedBy>
  <cp:lastPrinted>2014-04-16T15:49:41Z</cp:lastPrinted>
  <dcterms:created xsi:type="dcterms:W3CDTF">2012-06-20T17:56:04Z</dcterms:created>
  <dcterms:modified xsi:type="dcterms:W3CDTF">2014-07-03T19:08:09Z</dcterms:modified>
</cp:coreProperties>
</file>