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240" yWindow="135" windowWidth="19440" windowHeight="7935" tabRatio="674"/>
  </bookViews>
  <sheets>
    <sheet name="Introduction" sheetId="2" r:id="rId1"/>
    <sheet name="Ledger" sheetId="3" r:id="rId2"/>
    <sheet name="Budget" sheetId="1" r:id="rId3"/>
    <sheet name="Actual" sheetId="4" r:id="rId4"/>
    <sheet name="Budget Actual Comparision" sheetId="5" r:id="rId5"/>
    <sheet name="Budget QTD" sheetId="11" state="hidden" r:id="rId6"/>
    <sheet name="Actual QTD" sheetId="12" state="hidden" r:id="rId7"/>
    <sheet name="Budget YTD" sheetId="9" state="hidden" r:id="rId8"/>
    <sheet name="Actual YTD" sheetId="13" state="hidden" r:id="rId9"/>
    <sheet name="Charts" sheetId="14" state="hidden" r:id="rId10"/>
    <sheet name="Audit Sheet" sheetId="15" state="hidden" r:id="rId11"/>
  </sheets>
  <definedNames>
    <definedName name="_xlnm.Print_Area" localSheetId="3">Actual!$B$2:$R$46</definedName>
    <definedName name="_xlnm.Print_Area" localSheetId="6">'Actual QTD'!$A$1:$S$47</definedName>
    <definedName name="_xlnm.Print_Area" localSheetId="8">'Actual YTD'!$A$1:$S$47</definedName>
    <definedName name="_xlnm.Print_Area" localSheetId="2">Budget!$B$2:$R$47</definedName>
    <definedName name="_xlnm.Print_Area" localSheetId="4">'Budget Actual Comparision'!$B$2:$N$46</definedName>
    <definedName name="_xlnm.Print_Area" localSheetId="5">'Budget QTD'!$A$1:$S$47</definedName>
    <definedName name="_xlnm.Print_Area" localSheetId="7">'Budget YTD'!$A$1:$S$47</definedName>
    <definedName name="_xlnm.Print_Area" localSheetId="0">Introduction!$A$1:$H$35</definedName>
    <definedName name="_xlnm.Print_Area" localSheetId="1">Ledger!$B$5:$K$56</definedName>
    <definedName name="_xlnm.Print_Titles" localSheetId="1">Ledger!$3:$3</definedName>
  </definedNames>
  <calcPr calcId="114210" fullCalcOnLoad="1"/>
</workbook>
</file>

<file path=xl/calcChain.xml><?xml version="1.0" encoding="utf-8"?>
<calcChain xmlns="http://schemas.openxmlformats.org/spreadsheetml/2006/main">
  <c r="B2" i="1"/>
  <c r="E46"/>
  <c r="F46"/>
  <c r="G46"/>
  <c r="H46"/>
  <c r="I46"/>
  <c r="J46"/>
  <c r="K46"/>
  <c r="L46"/>
  <c r="M46"/>
  <c r="N46"/>
  <c r="O46"/>
  <c r="P46"/>
  <c r="F6" i="3"/>
  <c r="E6" i="9"/>
  <c r="F6"/>
  <c r="G6"/>
  <c r="H6"/>
  <c r="I6"/>
  <c r="J6"/>
  <c r="K6"/>
  <c r="L6"/>
  <c r="M6"/>
  <c r="N6"/>
  <c r="O6"/>
  <c r="P6"/>
  <c r="E7"/>
  <c r="F7"/>
  <c r="G7"/>
  <c r="H7"/>
  <c r="I7"/>
  <c r="J7"/>
  <c r="K7"/>
  <c r="L7"/>
  <c r="M7"/>
  <c r="N7"/>
  <c r="O7"/>
  <c r="P7"/>
  <c r="E8"/>
  <c r="F8"/>
  <c r="G8"/>
  <c r="H8"/>
  <c r="I8"/>
  <c r="J8"/>
  <c r="K8"/>
  <c r="L8"/>
  <c r="M8"/>
  <c r="N8"/>
  <c r="O8"/>
  <c r="P8"/>
  <c r="E9"/>
  <c r="F9"/>
  <c r="G9"/>
  <c r="H9"/>
  <c r="I9"/>
  <c r="J9"/>
  <c r="K9"/>
  <c r="L9"/>
  <c r="M9"/>
  <c r="N9"/>
  <c r="O9"/>
  <c r="P9"/>
  <c r="E10"/>
  <c r="F10"/>
  <c r="G10"/>
  <c r="H10"/>
  <c r="I10"/>
  <c r="J10"/>
  <c r="K10"/>
  <c r="L10"/>
  <c r="M10"/>
  <c r="N10"/>
  <c r="O10"/>
  <c r="P10"/>
  <c r="E11"/>
  <c r="F11"/>
  <c r="G11"/>
  <c r="H11"/>
  <c r="I11"/>
  <c r="J11"/>
  <c r="K11"/>
  <c r="L11"/>
  <c r="M11"/>
  <c r="N11"/>
  <c r="O11"/>
  <c r="P11"/>
  <c r="E12"/>
  <c r="F12"/>
  <c r="G12"/>
  <c r="H12"/>
  <c r="I12"/>
  <c r="J12"/>
  <c r="K12"/>
  <c r="L12"/>
  <c r="M12"/>
  <c r="N12"/>
  <c r="O12"/>
  <c r="P12"/>
  <c r="E13"/>
  <c r="F13"/>
  <c r="G13"/>
  <c r="H13"/>
  <c r="I13"/>
  <c r="J13"/>
  <c r="K13"/>
  <c r="L13"/>
  <c r="M13"/>
  <c r="N13"/>
  <c r="O13"/>
  <c r="P13"/>
  <c r="P14"/>
  <c r="E18"/>
  <c r="F18"/>
  <c r="G18"/>
  <c r="H18"/>
  <c r="I18"/>
  <c r="J18"/>
  <c r="K18"/>
  <c r="L18"/>
  <c r="M18"/>
  <c r="N18"/>
  <c r="O18"/>
  <c r="P18"/>
  <c r="E19"/>
  <c r="F19"/>
  <c r="G19"/>
  <c r="H19"/>
  <c r="I19"/>
  <c r="J19"/>
  <c r="K19"/>
  <c r="L19"/>
  <c r="M19"/>
  <c r="N19"/>
  <c r="O19"/>
  <c r="P19"/>
  <c r="E20"/>
  <c r="F20"/>
  <c r="G20"/>
  <c r="H20"/>
  <c r="I20"/>
  <c r="J20"/>
  <c r="K20"/>
  <c r="L20"/>
  <c r="M20"/>
  <c r="N20"/>
  <c r="O20"/>
  <c r="P20"/>
  <c r="E21"/>
  <c r="F21"/>
  <c r="G21"/>
  <c r="H21"/>
  <c r="I21"/>
  <c r="J21"/>
  <c r="K21"/>
  <c r="L21"/>
  <c r="M21"/>
  <c r="N21"/>
  <c r="O21"/>
  <c r="P21"/>
  <c r="E22"/>
  <c r="F22"/>
  <c r="G22"/>
  <c r="H22"/>
  <c r="I22"/>
  <c r="J22"/>
  <c r="K22"/>
  <c r="L22"/>
  <c r="M22"/>
  <c r="N22"/>
  <c r="O22"/>
  <c r="P22"/>
  <c r="E23"/>
  <c r="F23"/>
  <c r="G23"/>
  <c r="H23"/>
  <c r="I23"/>
  <c r="J23"/>
  <c r="K23"/>
  <c r="L23"/>
  <c r="M23"/>
  <c r="N23"/>
  <c r="O23"/>
  <c r="P23"/>
  <c r="E24"/>
  <c r="F24"/>
  <c r="G24"/>
  <c r="H24"/>
  <c r="I24"/>
  <c r="J24"/>
  <c r="K24"/>
  <c r="L24"/>
  <c r="M24"/>
  <c r="N24"/>
  <c r="O24"/>
  <c r="P24"/>
  <c r="E25"/>
  <c r="F25"/>
  <c r="G25"/>
  <c r="H25"/>
  <c r="I25"/>
  <c r="J25"/>
  <c r="K25"/>
  <c r="L25"/>
  <c r="M25"/>
  <c r="N25"/>
  <c r="O25"/>
  <c r="P25"/>
  <c r="E26"/>
  <c r="F26"/>
  <c r="G26"/>
  <c r="H26"/>
  <c r="I26"/>
  <c r="J26"/>
  <c r="K26"/>
  <c r="L26"/>
  <c r="M26"/>
  <c r="N26"/>
  <c r="O26"/>
  <c r="P26"/>
  <c r="E27"/>
  <c r="F27"/>
  <c r="G27"/>
  <c r="H27"/>
  <c r="I27"/>
  <c r="J27"/>
  <c r="K27"/>
  <c r="L27"/>
  <c r="M27"/>
  <c r="N27"/>
  <c r="O27"/>
  <c r="P27"/>
  <c r="E28"/>
  <c r="F28"/>
  <c r="G28"/>
  <c r="H28"/>
  <c r="I28"/>
  <c r="J28"/>
  <c r="K28"/>
  <c r="L28"/>
  <c r="M28"/>
  <c r="N28"/>
  <c r="O28"/>
  <c r="P28"/>
  <c r="E29"/>
  <c r="F29"/>
  <c r="G29"/>
  <c r="H29"/>
  <c r="I29"/>
  <c r="J29"/>
  <c r="K29"/>
  <c r="L29"/>
  <c r="M29"/>
  <c r="N29"/>
  <c r="O29"/>
  <c r="P29"/>
  <c r="E30"/>
  <c r="F30"/>
  <c r="G30"/>
  <c r="H30"/>
  <c r="I30"/>
  <c r="J30"/>
  <c r="K30"/>
  <c r="L30"/>
  <c r="M30"/>
  <c r="N30"/>
  <c r="O30"/>
  <c r="P30"/>
  <c r="E31"/>
  <c r="F31"/>
  <c r="G31"/>
  <c r="H31"/>
  <c r="I31"/>
  <c r="J31"/>
  <c r="K31"/>
  <c r="L31"/>
  <c r="M31"/>
  <c r="N31"/>
  <c r="O31"/>
  <c r="P31"/>
  <c r="E32"/>
  <c r="F32"/>
  <c r="G32"/>
  <c r="H32"/>
  <c r="I32"/>
  <c r="J32"/>
  <c r="K32"/>
  <c r="L32"/>
  <c r="M32"/>
  <c r="N32"/>
  <c r="O32"/>
  <c r="P32"/>
  <c r="E33"/>
  <c r="F33"/>
  <c r="G33"/>
  <c r="H33"/>
  <c r="I33"/>
  <c r="J33"/>
  <c r="K33"/>
  <c r="L33"/>
  <c r="M33"/>
  <c r="N33"/>
  <c r="O33"/>
  <c r="P33"/>
  <c r="E34"/>
  <c r="F34"/>
  <c r="G34"/>
  <c r="H34"/>
  <c r="I34"/>
  <c r="J34"/>
  <c r="K34"/>
  <c r="L34"/>
  <c r="M34"/>
  <c r="N34"/>
  <c r="O34"/>
  <c r="P34"/>
  <c r="E35"/>
  <c r="F35"/>
  <c r="G35"/>
  <c r="H35"/>
  <c r="I35"/>
  <c r="J35"/>
  <c r="K35"/>
  <c r="L35"/>
  <c r="M35"/>
  <c r="N35"/>
  <c r="O35"/>
  <c r="P35"/>
  <c r="E36"/>
  <c r="F36"/>
  <c r="G36"/>
  <c r="H36"/>
  <c r="I36"/>
  <c r="J36"/>
  <c r="K36"/>
  <c r="L36"/>
  <c r="M36"/>
  <c r="N36"/>
  <c r="O36"/>
  <c r="P36"/>
  <c r="E37"/>
  <c r="F37"/>
  <c r="G37"/>
  <c r="H37"/>
  <c r="I37"/>
  <c r="J37"/>
  <c r="K37"/>
  <c r="L37"/>
  <c r="M37"/>
  <c r="N37"/>
  <c r="O37"/>
  <c r="P37"/>
  <c r="P38"/>
  <c r="P40"/>
  <c r="P43"/>
  <c r="O14"/>
  <c r="O38"/>
  <c r="O40"/>
  <c r="O43"/>
  <c r="N14"/>
  <c r="N38"/>
  <c r="N40"/>
  <c r="N43"/>
  <c r="M14"/>
  <c r="M38"/>
  <c r="M40"/>
  <c r="M43"/>
  <c r="L14"/>
  <c r="L38"/>
  <c r="L40"/>
  <c r="L43"/>
  <c r="K14"/>
  <c r="K38"/>
  <c r="K40"/>
  <c r="K43"/>
  <c r="J14"/>
  <c r="J38"/>
  <c r="J40"/>
  <c r="J43"/>
  <c r="I14"/>
  <c r="I38"/>
  <c r="I40"/>
  <c r="I43"/>
  <c r="H14"/>
  <c r="H38"/>
  <c r="H40"/>
  <c r="H43"/>
  <c r="G14"/>
  <c r="G38"/>
  <c r="G40"/>
  <c r="G43"/>
  <c r="F14"/>
  <c r="F38"/>
  <c r="F40"/>
  <c r="F43"/>
  <c r="E14"/>
  <c r="E38"/>
  <c r="E40"/>
  <c r="E43"/>
  <c r="N6" i="11"/>
  <c r="O6"/>
  <c r="P6"/>
  <c r="N7"/>
  <c r="O7"/>
  <c r="P7"/>
  <c r="N8"/>
  <c r="O8"/>
  <c r="P8"/>
  <c r="N9"/>
  <c r="O9"/>
  <c r="P9"/>
  <c r="N10"/>
  <c r="O10"/>
  <c r="P10"/>
  <c r="N11"/>
  <c r="O11"/>
  <c r="P11"/>
  <c r="N12"/>
  <c r="O12"/>
  <c r="P12"/>
  <c r="N13"/>
  <c r="O13"/>
  <c r="P13"/>
  <c r="P14"/>
  <c r="N18"/>
  <c r="O18"/>
  <c r="P18"/>
  <c r="N19"/>
  <c r="O19"/>
  <c r="P19"/>
  <c r="N20"/>
  <c r="O20"/>
  <c r="P20"/>
  <c r="N21"/>
  <c r="O21"/>
  <c r="P21"/>
  <c r="N22"/>
  <c r="O22"/>
  <c r="P22"/>
  <c r="N23"/>
  <c r="O23"/>
  <c r="P23"/>
  <c r="N24"/>
  <c r="O24"/>
  <c r="P24"/>
  <c r="N25"/>
  <c r="O25"/>
  <c r="P25"/>
  <c r="N26"/>
  <c r="O26"/>
  <c r="P26"/>
  <c r="N27"/>
  <c r="O27"/>
  <c r="P27"/>
  <c r="N28"/>
  <c r="O28"/>
  <c r="P28"/>
  <c r="N29"/>
  <c r="O29"/>
  <c r="P29"/>
  <c r="N30"/>
  <c r="O30"/>
  <c r="P30"/>
  <c r="N31"/>
  <c r="O31"/>
  <c r="P31"/>
  <c r="N32"/>
  <c r="O32"/>
  <c r="P32"/>
  <c r="N33"/>
  <c r="O33"/>
  <c r="P33"/>
  <c r="N34"/>
  <c r="O34"/>
  <c r="P34"/>
  <c r="N35"/>
  <c r="O35"/>
  <c r="P35"/>
  <c r="N36"/>
  <c r="O36"/>
  <c r="P36"/>
  <c r="N37"/>
  <c r="O37"/>
  <c r="P37"/>
  <c r="P38"/>
  <c r="P40"/>
  <c r="P43"/>
  <c r="O14"/>
  <c r="O38"/>
  <c r="O40"/>
  <c r="O43"/>
  <c r="N14"/>
  <c r="N38"/>
  <c r="N40"/>
  <c r="N43"/>
  <c r="K6"/>
  <c r="L6"/>
  <c r="M6"/>
  <c r="K7"/>
  <c r="L7"/>
  <c r="M7"/>
  <c r="K8"/>
  <c r="L8"/>
  <c r="M8"/>
  <c r="K9"/>
  <c r="L9"/>
  <c r="M9"/>
  <c r="K10"/>
  <c r="L10"/>
  <c r="M10"/>
  <c r="K11"/>
  <c r="L11"/>
  <c r="M11"/>
  <c r="K12"/>
  <c r="L12"/>
  <c r="M12"/>
  <c r="K13"/>
  <c r="L13"/>
  <c r="M13"/>
  <c r="M14"/>
  <c r="K18"/>
  <c r="L18"/>
  <c r="M18"/>
  <c r="K19"/>
  <c r="L19"/>
  <c r="M19"/>
  <c r="K20"/>
  <c r="L20"/>
  <c r="M20"/>
  <c r="K21"/>
  <c r="L21"/>
  <c r="M21"/>
  <c r="K22"/>
  <c r="L22"/>
  <c r="M22"/>
  <c r="K23"/>
  <c r="L23"/>
  <c r="M23"/>
  <c r="K24"/>
  <c r="L24"/>
  <c r="M24"/>
  <c r="K25"/>
  <c r="L25"/>
  <c r="M25"/>
  <c r="K26"/>
  <c r="L26"/>
  <c r="M26"/>
  <c r="K27"/>
  <c r="L27"/>
  <c r="M27"/>
  <c r="K28"/>
  <c r="L28"/>
  <c r="M28"/>
  <c r="K29"/>
  <c r="L29"/>
  <c r="M29"/>
  <c r="K30"/>
  <c r="L30"/>
  <c r="M30"/>
  <c r="K31"/>
  <c r="L31"/>
  <c r="M31"/>
  <c r="K32"/>
  <c r="L32"/>
  <c r="M32"/>
  <c r="K33"/>
  <c r="L33"/>
  <c r="M33"/>
  <c r="K34"/>
  <c r="L34"/>
  <c r="M34"/>
  <c r="K35"/>
  <c r="L35"/>
  <c r="M35"/>
  <c r="K36"/>
  <c r="L36"/>
  <c r="M36"/>
  <c r="K37"/>
  <c r="L37"/>
  <c r="M37"/>
  <c r="M38"/>
  <c r="M40"/>
  <c r="M43"/>
  <c r="L14"/>
  <c r="L38"/>
  <c r="L40"/>
  <c r="L43"/>
  <c r="K14"/>
  <c r="K38"/>
  <c r="K40"/>
  <c r="K43"/>
  <c r="H6"/>
  <c r="I6"/>
  <c r="J6"/>
  <c r="H7"/>
  <c r="I7"/>
  <c r="J7"/>
  <c r="H8"/>
  <c r="I8"/>
  <c r="J8"/>
  <c r="H9"/>
  <c r="I9"/>
  <c r="J9"/>
  <c r="H10"/>
  <c r="I10"/>
  <c r="J10"/>
  <c r="H11"/>
  <c r="I11"/>
  <c r="J11"/>
  <c r="H12"/>
  <c r="I12"/>
  <c r="J12"/>
  <c r="H13"/>
  <c r="I13"/>
  <c r="J13"/>
  <c r="J14"/>
  <c r="H18"/>
  <c r="I18"/>
  <c r="J18"/>
  <c r="H19"/>
  <c r="I19"/>
  <c r="J19"/>
  <c r="H20"/>
  <c r="I20"/>
  <c r="J20"/>
  <c r="H21"/>
  <c r="I21"/>
  <c r="J21"/>
  <c r="H22"/>
  <c r="I22"/>
  <c r="J22"/>
  <c r="H23"/>
  <c r="I23"/>
  <c r="J23"/>
  <c r="H24"/>
  <c r="I24"/>
  <c r="J24"/>
  <c r="H25"/>
  <c r="I25"/>
  <c r="J25"/>
  <c r="H26"/>
  <c r="I26"/>
  <c r="J26"/>
  <c r="H27"/>
  <c r="I27"/>
  <c r="J27"/>
  <c r="H28"/>
  <c r="I28"/>
  <c r="J28"/>
  <c r="H29"/>
  <c r="I29"/>
  <c r="J29"/>
  <c r="H30"/>
  <c r="I30"/>
  <c r="J30"/>
  <c r="H31"/>
  <c r="I31"/>
  <c r="J31"/>
  <c r="H32"/>
  <c r="I32"/>
  <c r="J32"/>
  <c r="H33"/>
  <c r="I33"/>
  <c r="J33"/>
  <c r="H34"/>
  <c r="I34"/>
  <c r="J34"/>
  <c r="H35"/>
  <c r="I35"/>
  <c r="J35"/>
  <c r="H36"/>
  <c r="I36"/>
  <c r="J36"/>
  <c r="H37"/>
  <c r="I37"/>
  <c r="J37"/>
  <c r="J38"/>
  <c r="J40"/>
  <c r="J43"/>
  <c r="I14"/>
  <c r="I38"/>
  <c r="I40"/>
  <c r="I43"/>
  <c r="H14"/>
  <c r="H38"/>
  <c r="H40"/>
  <c r="H43"/>
  <c r="E6"/>
  <c r="F6"/>
  <c r="G6"/>
  <c r="E7"/>
  <c r="F7"/>
  <c r="G7"/>
  <c r="E8"/>
  <c r="F8"/>
  <c r="G8"/>
  <c r="E9"/>
  <c r="F9"/>
  <c r="G9"/>
  <c r="E10"/>
  <c r="F10"/>
  <c r="G10"/>
  <c r="E11"/>
  <c r="F11"/>
  <c r="G11"/>
  <c r="E12"/>
  <c r="F12"/>
  <c r="G12"/>
  <c r="E13"/>
  <c r="F13"/>
  <c r="G13"/>
  <c r="G14"/>
  <c r="E18"/>
  <c r="F18"/>
  <c r="G18"/>
  <c r="E19"/>
  <c r="F19"/>
  <c r="G19"/>
  <c r="E20"/>
  <c r="F20"/>
  <c r="G20"/>
  <c r="E21"/>
  <c r="F21"/>
  <c r="G21"/>
  <c r="E22"/>
  <c r="F22"/>
  <c r="G22"/>
  <c r="E23"/>
  <c r="F23"/>
  <c r="G23"/>
  <c r="E24"/>
  <c r="F24"/>
  <c r="G24"/>
  <c r="E25"/>
  <c r="F25"/>
  <c r="G25"/>
  <c r="E26"/>
  <c r="F26"/>
  <c r="G26"/>
  <c r="E27"/>
  <c r="F27"/>
  <c r="G27"/>
  <c r="E28"/>
  <c r="F28"/>
  <c r="G28"/>
  <c r="E29"/>
  <c r="F29"/>
  <c r="G29"/>
  <c r="E30"/>
  <c r="F30"/>
  <c r="G30"/>
  <c r="E31"/>
  <c r="F31"/>
  <c r="G31"/>
  <c r="E32"/>
  <c r="F32"/>
  <c r="G32"/>
  <c r="E33"/>
  <c r="F33"/>
  <c r="G33"/>
  <c r="E34"/>
  <c r="F34"/>
  <c r="G34"/>
  <c r="E35"/>
  <c r="F35"/>
  <c r="G35"/>
  <c r="E36"/>
  <c r="F36"/>
  <c r="G36"/>
  <c r="E37"/>
  <c r="F37"/>
  <c r="G37"/>
  <c r="G38"/>
  <c r="G40"/>
  <c r="G43"/>
  <c r="F14"/>
  <c r="F38"/>
  <c r="F40"/>
  <c r="F43"/>
  <c r="E14"/>
  <c r="E38"/>
  <c r="E40"/>
  <c r="E43"/>
  <c r="F2011" i="3"/>
  <c r="F2010"/>
  <c r="F2009"/>
  <c r="F2008"/>
  <c r="F2007"/>
  <c r="F2006"/>
  <c r="F2005"/>
  <c r="F2004"/>
  <c r="F2003"/>
  <c r="F2002"/>
  <c r="F2001"/>
  <c r="F2000"/>
  <c r="F1999"/>
  <c r="F1998"/>
  <c r="F1997"/>
  <c r="F1996"/>
  <c r="F1995"/>
  <c r="F1994"/>
  <c r="F1993"/>
  <c r="F1992"/>
  <c r="F1991"/>
  <c r="F1990"/>
  <c r="F1989"/>
  <c r="F1988"/>
  <c r="F1987"/>
  <c r="F1986"/>
  <c r="F1985"/>
  <c r="F1984"/>
  <c r="F1983"/>
  <c r="F1982"/>
  <c r="F1981"/>
  <c r="F1980"/>
  <c r="F1979"/>
  <c r="F1978"/>
  <c r="F1977"/>
  <c r="F1976"/>
  <c r="F1975"/>
  <c r="F1974"/>
  <c r="F1973"/>
  <c r="F1972"/>
  <c r="F1971"/>
  <c r="F1970"/>
  <c r="F1969"/>
  <c r="F1968"/>
  <c r="F1967"/>
  <c r="F1966"/>
  <c r="F1965"/>
  <c r="F1964"/>
  <c r="F1963"/>
  <c r="F1962"/>
  <c r="F1961"/>
  <c r="F1960"/>
  <c r="F1959"/>
  <c r="F1958"/>
  <c r="F1957"/>
  <c r="F1956"/>
  <c r="F1955"/>
  <c r="F1954"/>
  <c r="F1953"/>
  <c r="F1952"/>
  <c r="F1951"/>
  <c r="F1950"/>
  <c r="F1949"/>
  <c r="F1948"/>
  <c r="F1947"/>
  <c r="F1946"/>
  <c r="F1945"/>
  <c r="F1944"/>
  <c r="F1943"/>
  <c r="F1942"/>
  <c r="F1941"/>
  <c r="F1940"/>
  <c r="F1939"/>
  <c r="F1938"/>
  <c r="F1937"/>
  <c r="F1936"/>
  <c r="F1935"/>
  <c r="F1934"/>
  <c r="F1933"/>
  <c r="F1932"/>
  <c r="F1931"/>
  <c r="F1930"/>
  <c r="F1929"/>
  <c r="F1928"/>
  <c r="F1927"/>
  <c r="F1926"/>
  <c r="F1925"/>
  <c r="F1924"/>
  <c r="F1923"/>
  <c r="F1922"/>
  <c r="F1921"/>
  <c r="F1920"/>
  <c r="F1919"/>
  <c r="F1918"/>
  <c r="F1917"/>
  <c r="F1916"/>
  <c r="F1915"/>
  <c r="F1914"/>
  <c r="F1913"/>
  <c r="F1912"/>
  <c r="F1911"/>
  <c r="F1910"/>
  <c r="F1909"/>
  <c r="F1908"/>
  <c r="F1907"/>
  <c r="F1906"/>
  <c r="F1905"/>
  <c r="F1904"/>
  <c r="F1903"/>
  <c r="F1902"/>
  <c r="F1901"/>
  <c r="F1900"/>
  <c r="F1899"/>
  <c r="F1898"/>
  <c r="F1897"/>
  <c r="F1896"/>
  <c r="F1895"/>
  <c r="F1894"/>
  <c r="F1893"/>
  <c r="F1892"/>
  <c r="F1891"/>
  <c r="F1890"/>
  <c r="F1889"/>
  <c r="F1888"/>
  <c r="F1887"/>
  <c r="F1886"/>
  <c r="F1885"/>
  <c r="F1884"/>
  <c r="F1883"/>
  <c r="F1882"/>
  <c r="F1881"/>
  <c r="F1880"/>
  <c r="F1879"/>
  <c r="F1878"/>
  <c r="F1877"/>
  <c r="F1876"/>
  <c r="F1875"/>
  <c r="F1874"/>
  <c r="F1873"/>
  <c r="F1872"/>
  <c r="F1871"/>
  <c r="F1870"/>
  <c r="F1869"/>
  <c r="F1868"/>
  <c r="F1867"/>
  <c r="F1866"/>
  <c r="F1865"/>
  <c r="F1864"/>
  <c r="F1863"/>
  <c r="F1862"/>
  <c r="F1861"/>
  <c r="F1860"/>
  <c r="F1859"/>
  <c r="F1858"/>
  <c r="F1857"/>
  <c r="F1856"/>
  <c r="F1855"/>
  <c r="F1854"/>
  <c r="F1853"/>
  <c r="F1852"/>
  <c r="F1851"/>
  <c r="F1850"/>
  <c r="F1849"/>
  <c r="F1848"/>
  <c r="F1847"/>
  <c r="F1846"/>
  <c r="F1845"/>
  <c r="F1844"/>
  <c r="F1843"/>
  <c r="F1842"/>
  <c r="F1841"/>
  <c r="F1840"/>
  <c r="F1839"/>
  <c r="F1838"/>
  <c r="F1837"/>
  <c r="F1836"/>
  <c r="F1835"/>
  <c r="F1834"/>
  <c r="F1833"/>
  <c r="F1832"/>
  <c r="F1831"/>
  <c r="F1830"/>
  <c r="F1829"/>
  <c r="F1828"/>
  <c r="F1827"/>
  <c r="F1826"/>
  <c r="F1825"/>
  <c r="F1824"/>
  <c r="F1823"/>
  <c r="F1822"/>
  <c r="F1821"/>
  <c r="F1820"/>
  <c r="F1819"/>
  <c r="F1818"/>
  <c r="F1817"/>
  <c r="F1816"/>
  <c r="F1815"/>
  <c r="F1814"/>
  <c r="F1813"/>
  <c r="F1812"/>
  <c r="F1811"/>
  <c r="F1810"/>
  <c r="F1809"/>
  <c r="F1808"/>
  <c r="F1807"/>
  <c r="F1806"/>
  <c r="F1805"/>
  <c r="F1804"/>
  <c r="F1803"/>
  <c r="F1802"/>
  <c r="F1801"/>
  <c r="F1800"/>
  <c r="F1799"/>
  <c r="F1798"/>
  <c r="F1797"/>
  <c r="F1796"/>
  <c r="F1795"/>
  <c r="F1794"/>
  <c r="F1793"/>
  <c r="F1792"/>
  <c r="F1791"/>
  <c r="F1790"/>
  <c r="F1789"/>
  <c r="F1788"/>
  <c r="F1787"/>
  <c r="F1786"/>
  <c r="F1785"/>
  <c r="F1784"/>
  <c r="F1783"/>
  <c r="F1782"/>
  <c r="F1781"/>
  <c r="F1780"/>
  <c r="F1779"/>
  <c r="F1778"/>
  <c r="F1777"/>
  <c r="F1776"/>
  <c r="F1775"/>
  <c r="F1774"/>
  <c r="F1773"/>
  <c r="F1772"/>
  <c r="F1771"/>
  <c r="F1770"/>
  <c r="F1769"/>
  <c r="F1768"/>
  <c r="F1767"/>
  <c r="F1766"/>
  <c r="F1765"/>
  <c r="F1764"/>
  <c r="F1763"/>
  <c r="F1762"/>
  <c r="F1761"/>
  <c r="F1760"/>
  <c r="F1759"/>
  <c r="F1758"/>
  <c r="F1757"/>
  <c r="F1756"/>
  <c r="F1755"/>
  <c r="F1754"/>
  <c r="F1753"/>
  <c r="F1752"/>
  <c r="F1751"/>
  <c r="F1750"/>
  <c r="F1749"/>
  <c r="F1748"/>
  <c r="F1747"/>
  <c r="F1746"/>
  <c r="F1745"/>
  <c r="F1744"/>
  <c r="F1743"/>
  <c r="F1742"/>
  <c r="F1741"/>
  <c r="F1740"/>
  <c r="F1739"/>
  <c r="F1738"/>
  <c r="F1737"/>
  <c r="F1736"/>
  <c r="F1735"/>
  <c r="F1734"/>
  <c r="F1733"/>
  <c r="F1732"/>
  <c r="F1731"/>
  <c r="F1730"/>
  <c r="F1729"/>
  <c r="F1728"/>
  <c r="F1727"/>
  <c r="F1726"/>
  <c r="F1725"/>
  <c r="F1724"/>
  <c r="F1723"/>
  <c r="F1722"/>
  <c r="F1721"/>
  <c r="F1720"/>
  <c r="F1719"/>
  <c r="F1718"/>
  <c r="F1717"/>
  <c r="F1716"/>
  <c r="F1715"/>
  <c r="F1714"/>
  <c r="F1713"/>
  <c r="F1712"/>
  <c r="F1711"/>
  <c r="F1710"/>
  <c r="F1709"/>
  <c r="F1708"/>
  <c r="F1707"/>
  <c r="F1706"/>
  <c r="F1705"/>
  <c r="F1704"/>
  <c r="F1703"/>
  <c r="F1702"/>
  <c r="F1701"/>
  <c r="F1700"/>
  <c r="F1699"/>
  <c r="F1698"/>
  <c r="F1697"/>
  <c r="F1696"/>
  <c r="F1695"/>
  <c r="F1694"/>
  <c r="F1693"/>
  <c r="F1692"/>
  <c r="F1691"/>
  <c r="F1690"/>
  <c r="F1689"/>
  <c r="F1688"/>
  <c r="F1687"/>
  <c r="F1686"/>
  <c r="F1685"/>
  <c r="F1684"/>
  <c r="F1683"/>
  <c r="F1682"/>
  <c r="F1681"/>
  <c r="F1680"/>
  <c r="F1679"/>
  <c r="F1678"/>
  <c r="F1677"/>
  <c r="F1676"/>
  <c r="F1675"/>
  <c r="F1674"/>
  <c r="F1673"/>
  <c r="F1672"/>
  <c r="F1671"/>
  <c r="F1670"/>
  <c r="F1669"/>
  <c r="F1668"/>
  <c r="F1667"/>
  <c r="F1666"/>
  <c r="F1665"/>
  <c r="F1664"/>
  <c r="F1663"/>
  <c r="F1662"/>
  <c r="F1661"/>
  <c r="F1660"/>
  <c r="F1659"/>
  <c r="F1658"/>
  <c r="F1657"/>
  <c r="F1656"/>
  <c r="F1655"/>
  <c r="F1654"/>
  <c r="F1653"/>
  <c r="F1652"/>
  <c r="F1651"/>
  <c r="F1650"/>
  <c r="F1649"/>
  <c r="F1648"/>
  <c r="F1647"/>
  <c r="F1646"/>
  <c r="F1645"/>
  <c r="F1644"/>
  <c r="F1643"/>
  <c r="F1642"/>
  <c r="F1641"/>
  <c r="F1640"/>
  <c r="F1639"/>
  <c r="F1638"/>
  <c r="F1637"/>
  <c r="F1636"/>
  <c r="F1635"/>
  <c r="F1634"/>
  <c r="F1633"/>
  <c r="F1632"/>
  <c r="F1631"/>
  <c r="F1630"/>
  <c r="F1629"/>
  <c r="F1628"/>
  <c r="F1627"/>
  <c r="F1626"/>
  <c r="F1625"/>
  <c r="F1624"/>
  <c r="F1623"/>
  <c r="F1622"/>
  <c r="F1621"/>
  <c r="F1620"/>
  <c r="F1619"/>
  <c r="F1618"/>
  <c r="F1617"/>
  <c r="F1616"/>
  <c r="F1615"/>
  <c r="F1614"/>
  <c r="F1613"/>
  <c r="F1612"/>
  <c r="F1611"/>
  <c r="F1610"/>
  <c r="F1609"/>
  <c r="F1608"/>
  <c r="F1607"/>
  <c r="F1606"/>
  <c r="F1605"/>
  <c r="F1604"/>
  <c r="F1603"/>
  <c r="F1602"/>
  <c r="F1601"/>
  <c r="F1600"/>
  <c r="F1599"/>
  <c r="F1598"/>
  <c r="F1597"/>
  <c r="F1596"/>
  <c r="F1595"/>
  <c r="F1594"/>
  <c r="F1593"/>
  <c r="F1592"/>
  <c r="F1591"/>
  <c r="F1590"/>
  <c r="F1589"/>
  <c r="F1588"/>
  <c r="F1587"/>
  <c r="F1586"/>
  <c r="F1585"/>
  <c r="F1584"/>
  <c r="F1583"/>
  <c r="F1582"/>
  <c r="F1581"/>
  <c r="F1580"/>
  <c r="F1579"/>
  <c r="F1578"/>
  <c r="F1577"/>
  <c r="F1576"/>
  <c r="F1575"/>
  <c r="F1574"/>
  <c r="F1573"/>
  <c r="F1572"/>
  <c r="F1571"/>
  <c r="F1570"/>
  <c r="F1569"/>
  <c r="F1568"/>
  <c r="F1567"/>
  <c r="F1566"/>
  <c r="F1565"/>
  <c r="F1564"/>
  <c r="F1563"/>
  <c r="F1562"/>
  <c r="F1561"/>
  <c r="F1560"/>
  <c r="F1559"/>
  <c r="F1558"/>
  <c r="F1557"/>
  <c r="F1556"/>
  <c r="F1555"/>
  <c r="F1554"/>
  <c r="F1553"/>
  <c r="F1552"/>
  <c r="F1551"/>
  <c r="F1550"/>
  <c r="F1549"/>
  <c r="F1548"/>
  <c r="F1547"/>
  <c r="F1546"/>
  <c r="F1545"/>
  <c r="F1544"/>
  <c r="F1543"/>
  <c r="F1542"/>
  <c r="F1541"/>
  <c r="F1540"/>
  <c r="F1539"/>
  <c r="F1538"/>
  <c r="F1537"/>
  <c r="F1536"/>
  <c r="F1535"/>
  <c r="F1534"/>
  <c r="F1533"/>
  <c r="F1532"/>
  <c r="F1531"/>
  <c r="F1530"/>
  <c r="F1529"/>
  <c r="F1528"/>
  <c r="F1527"/>
  <c r="F1526"/>
  <c r="F1525"/>
  <c r="F1524"/>
  <c r="F1523"/>
  <c r="F1522"/>
  <c r="F1521"/>
  <c r="F1520"/>
  <c r="F1519"/>
  <c r="F1518"/>
  <c r="F1517"/>
  <c r="F1516"/>
  <c r="F1515"/>
  <c r="F1514"/>
  <c r="F1513"/>
  <c r="F1512"/>
  <c r="F1511"/>
  <c r="F1510"/>
  <c r="F1509"/>
  <c r="F1508"/>
  <c r="F1507"/>
  <c r="F1506"/>
  <c r="F1505"/>
  <c r="F1504"/>
  <c r="F1503"/>
  <c r="F1502"/>
  <c r="F1501"/>
  <c r="F1500"/>
  <c r="F1499"/>
  <c r="F1498"/>
  <c r="F1497"/>
  <c r="F1496"/>
  <c r="F1495"/>
  <c r="F1494"/>
  <c r="F1493"/>
  <c r="F1492"/>
  <c r="F1491"/>
  <c r="F1490"/>
  <c r="F1489"/>
  <c r="F1488"/>
  <c r="F1487"/>
  <c r="F1486"/>
  <c r="F1485"/>
  <c r="F1484"/>
  <c r="F1483"/>
  <c r="F1482"/>
  <c r="F1481"/>
  <c r="F1480"/>
  <c r="F1479"/>
  <c r="F1478"/>
  <c r="F1477"/>
  <c r="F1476"/>
  <c r="F1475"/>
  <c r="F1474"/>
  <c r="F1473"/>
  <c r="F1472"/>
  <c r="F1471"/>
  <c r="F1470"/>
  <c r="F1469"/>
  <c r="F1468"/>
  <c r="F1467"/>
  <c r="F1466"/>
  <c r="F1465"/>
  <c r="F1464"/>
  <c r="F1463"/>
  <c r="F1462"/>
  <c r="F1461"/>
  <c r="F1460"/>
  <c r="F1459"/>
  <c r="F1458"/>
  <c r="F1457"/>
  <c r="F1456"/>
  <c r="F1455"/>
  <c r="F1454"/>
  <c r="F1453"/>
  <c r="F1452"/>
  <c r="F1451"/>
  <c r="F1450"/>
  <c r="F1449"/>
  <c r="F1448"/>
  <c r="F1447"/>
  <c r="F1446"/>
  <c r="F1445"/>
  <c r="F1444"/>
  <c r="F1443"/>
  <c r="F1442"/>
  <c r="F1441"/>
  <c r="F1440"/>
  <c r="F1439"/>
  <c r="F1438"/>
  <c r="F1437"/>
  <c r="F1436"/>
  <c r="F1435"/>
  <c r="F1434"/>
  <c r="F1433"/>
  <c r="F1432"/>
  <c r="F1431"/>
  <c r="F1430"/>
  <c r="F1429"/>
  <c r="F1428"/>
  <c r="F1427"/>
  <c r="F1426"/>
  <c r="F1425"/>
  <c r="F1424"/>
  <c r="F1423"/>
  <c r="F1422"/>
  <c r="F1421"/>
  <c r="F1420"/>
  <c r="F1419"/>
  <c r="F1418"/>
  <c r="F1417"/>
  <c r="F1416"/>
  <c r="F1415"/>
  <c r="F1414"/>
  <c r="F1413"/>
  <c r="F1412"/>
  <c r="F1411"/>
  <c r="F1410"/>
  <c r="F1409"/>
  <c r="F1408"/>
  <c r="F1407"/>
  <c r="F1406"/>
  <c r="F1405"/>
  <c r="F1404"/>
  <c r="F1403"/>
  <c r="F1402"/>
  <c r="F1401"/>
  <c r="F1400"/>
  <c r="F1399"/>
  <c r="F1398"/>
  <c r="F1397"/>
  <c r="F1396"/>
  <c r="F1395"/>
  <c r="F1394"/>
  <c r="F1393"/>
  <c r="F1392"/>
  <c r="F1391"/>
  <c r="F1390"/>
  <c r="F1389"/>
  <c r="F1388"/>
  <c r="F1387"/>
  <c r="F1386"/>
  <c r="F1385"/>
  <c r="F1384"/>
  <c r="F1383"/>
  <c r="F1382"/>
  <c r="F1381"/>
  <c r="F1380"/>
  <c r="F1379"/>
  <c r="F1378"/>
  <c r="F1377"/>
  <c r="F1376"/>
  <c r="F1375"/>
  <c r="F1374"/>
  <c r="F1373"/>
  <c r="F1372"/>
  <c r="F1371"/>
  <c r="F1370"/>
  <c r="F1369"/>
  <c r="F1368"/>
  <c r="F1367"/>
  <c r="F1366"/>
  <c r="F1365"/>
  <c r="F1364"/>
  <c r="F1363"/>
  <c r="F1362"/>
  <c r="F1361"/>
  <c r="F1360"/>
  <c r="F1359"/>
  <c r="F1358"/>
  <c r="F1357"/>
  <c r="F1356"/>
  <c r="F1355"/>
  <c r="F1354"/>
  <c r="F1353"/>
  <c r="F1352"/>
  <c r="F1351"/>
  <c r="F1350"/>
  <c r="F1349"/>
  <c r="F1348"/>
  <c r="F1347"/>
  <c r="F1346"/>
  <c r="F1345"/>
  <c r="F1344"/>
  <c r="F1343"/>
  <c r="F1342"/>
  <c r="F1341"/>
  <c r="F1340"/>
  <c r="F1339"/>
  <c r="F1338"/>
  <c r="F1337"/>
  <c r="F1336"/>
  <c r="F1335"/>
  <c r="F1334"/>
  <c r="F1333"/>
  <c r="F1332"/>
  <c r="F1331"/>
  <c r="F1330"/>
  <c r="F1329"/>
  <c r="F1328"/>
  <c r="F1327"/>
  <c r="F1326"/>
  <c r="F1325"/>
  <c r="F1324"/>
  <c r="F1323"/>
  <c r="F1322"/>
  <c r="F1321"/>
  <c r="F1320"/>
  <c r="F1319"/>
  <c r="F1318"/>
  <c r="F1317"/>
  <c r="F1316"/>
  <c r="F1315"/>
  <c r="F1314"/>
  <c r="F1313"/>
  <c r="F1312"/>
  <c r="F1311"/>
  <c r="F1310"/>
  <c r="F1309"/>
  <c r="F1308"/>
  <c r="F1307"/>
  <c r="F1306"/>
  <c r="F1305"/>
  <c r="F1304"/>
  <c r="F1303"/>
  <c r="F1302"/>
  <c r="F1301"/>
  <c r="F1300"/>
  <c r="F1299"/>
  <c r="F1298"/>
  <c r="F1297"/>
  <c r="F1296"/>
  <c r="F1295"/>
  <c r="F1294"/>
  <c r="F1293"/>
  <c r="F1292"/>
  <c r="F1291"/>
  <c r="F1290"/>
  <c r="F1289"/>
  <c r="F1288"/>
  <c r="F1287"/>
  <c r="F1286"/>
  <c r="F1285"/>
  <c r="F1284"/>
  <c r="F1283"/>
  <c r="F1282"/>
  <c r="F1281"/>
  <c r="F1280"/>
  <c r="F1279"/>
  <c r="F1278"/>
  <c r="F1277"/>
  <c r="F1276"/>
  <c r="F1275"/>
  <c r="F1274"/>
  <c r="F1273"/>
  <c r="F1272"/>
  <c r="F1271"/>
  <c r="F1270"/>
  <c r="F1269"/>
  <c r="F1268"/>
  <c r="F1267"/>
  <c r="F1266"/>
  <c r="F1265"/>
  <c r="F1264"/>
  <c r="F1263"/>
  <c r="F1262"/>
  <c r="F1261"/>
  <c r="F1260"/>
  <c r="F1259"/>
  <c r="F1258"/>
  <c r="F1257"/>
  <c r="F1256"/>
  <c r="F1255"/>
  <c r="F1254"/>
  <c r="F1253"/>
  <c r="F1252"/>
  <c r="F1251"/>
  <c r="F1250"/>
  <c r="F1249"/>
  <c r="F1248"/>
  <c r="F1247"/>
  <c r="F1246"/>
  <c r="F1245"/>
  <c r="F1244"/>
  <c r="F1243"/>
  <c r="F1242"/>
  <c r="F1241"/>
  <c r="F1240"/>
  <c r="F1239"/>
  <c r="F1238"/>
  <c r="F1237"/>
  <c r="F1236"/>
  <c r="F1235"/>
  <c r="F1234"/>
  <c r="F1233"/>
  <c r="F1232"/>
  <c r="F1231"/>
  <c r="F1230"/>
  <c r="F1229"/>
  <c r="F1228"/>
  <c r="F1227"/>
  <c r="F1226"/>
  <c r="F1225"/>
  <c r="F1224"/>
  <c r="F1223"/>
  <c r="F1222"/>
  <c r="F1221"/>
  <c r="F1220"/>
  <c r="F1219"/>
  <c r="F1218"/>
  <c r="F1217"/>
  <c r="F1216"/>
  <c r="F1215"/>
  <c r="F1214"/>
  <c r="F1213"/>
  <c r="F1212"/>
  <c r="F1211"/>
  <c r="F1210"/>
  <c r="F1209"/>
  <c r="F1208"/>
  <c r="F1207"/>
  <c r="F1206"/>
  <c r="F1205"/>
  <c r="F1204"/>
  <c r="F1203"/>
  <c r="F1202"/>
  <c r="F1201"/>
  <c r="F1200"/>
  <c r="F1199"/>
  <c r="F1198"/>
  <c r="F1197"/>
  <c r="F1196"/>
  <c r="F1195"/>
  <c r="F1194"/>
  <c r="F1193"/>
  <c r="F1192"/>
  <c r="F1191"/>
  <c r="F1190"/>
  <c r="F1189"/>
  <c r="F1188"/>
  <c r="F1187"/>
  <c r="F1186"/>
  <c r="F1185"/>
  <c r="F1184"/>
  <c r="F1183"/>
  <c r="F1182"/>
  <c r="F1181"/>
  <c r="F1180"/>
  <c r="F1179"/>
  <c r="F1178"/>
  <c r="F1177"/>
  <c r="F1176"/>
  <c r="F1175"/>
  <c r="F1174"/>
  <c r="F1173"/>
  <c r="F1172"/>
  <c r="F1171"/>
  <c r="F1170"/>
  <c r="F1169"/>
  <c r="F1168"/>
  <c r="F1167"/>
  <c r="F1166"/>
  <c r="F1165"/>
  <c r="F1164"/>
  <c r="F1163"/>
  <c r="F1162"/>
  <c r="F1161"/>
  <c r="F1160"/>
  <c r="F1159"/>
  <c r="F1158"/>
  <c r="F1157"/>
  <c r="F1156"/>
  <c r="F1155"/>
  <c r="F1154"/>
  <c r="F1153"/>
  <c r="F1152"/>
  <c r="F1151"/>
  <c r="F1150"/>
  <c r="F1149"/>
  <c r="F1148"/>
  <c r="F1147"/>
  <c r="F1146"/>
  <c r="F1145"/>
  <c r="F1144"/>
  <c r="F1143"/>
  <c r="F1142"/>
  <c r="F1141"/>
  <c r="F1140"/>
  <c r="F1139"/>
  <c r="F1138"/>
  <c r="F1137"/>
  <c r="F1136"/>
  <c r="F1135"/>
  <c r="F1134"/>
  <c r="F1133"/>
  <c r="F1132"/>
  <c r="F1131"/>
  <c r="F1130"/>
  <c r="F1129"/>
  <c r="F1128"/>
  <c r="F1127"/>
  <c r="F1126"/>
  <c r="F1125"/>
  <c r="F1124"/>
  <c r="F1123"/>
  <c r="F1122"/>
  <c r="F1121"/>
  <c r="F1120"/>
  <c r="F1119"/>
  <c r="F1118"/>
  <c r="F1117"/>
  <c r="F1116"/>
  <c r="F1115"/>
  <c r="F1114"/>
  <c r="F1113"/>
  <c r="F1112"/>
  <c r="F1111"/>
  <c r="F1110"/>
  <c r="F1109"/>
  <c r="F1108"/>
  <c r="F1107"/>
  <c r="F1106"/>
  <c r="F1105"/>
  <c r="F1104"/>
  <c r="F1103"/>
  <c r="F1102"/>
  <c r="F1101"/>
  <c r="F1100"/>
  <c r="F1099"/>
  <c r="F1098"/>
  <c r="F1097"/>
  <c r="F1096"/>
  <c r="F1095"/>
  <c r="F1094"/>
  <c r="F1093"/>
  <c r="F1092"/>
  <c r="F1091"/>
  <c r="F1090"/>
  <c r="F1089"/>
  <c r="F1088"/>
  <c r="F1087"/>
  <c r="F1086"/>
  <c r="F1085"/>
  <c r="F1084"/>
  <c r="F1083"/>
  <c r="F1082"/>
  <c r="F1081"/>
  <c r="F1080"/>
  <c r="F1079"/>
  <c r="F1078"/>
  <c r="F1077"/>
  <c r="F1076"/>
  <c r="F1075"/>
  <c r="F1074"/>
  <c r="F1073"/>
  <c r="F1072"/>
  <c r="F1071"/>
  <c r="F1070"/>
  <c r="F1069"/>
  <c r="F1068"/>
  <c r="F1067"/>
  <c r="F1066"/>
  <c r="F1065"/>
  <c r="F1064"/>
  <c r="F1063"/>
  <c r="F1062"/>
  <c r="F1061"/>
  <c r="F1060"/>
  <c r="F1059"/>
  <c r="F1058"/>
  <c r="F1057"/>
  <c r="F1056"/>
  <c r="F1055"/>
  <c r="F1054"/>
  <c r="F1053"/>
  <c r="F1052"/>
  <c r="F1051"/>
  <c r="F1050"/>
  <c r="F1049"/>
  <c r="F1048"/>
  <c r="F1047"/>
  <c r="F1046"/>
  <c r="F1045"/>
  <c r="F1044"/>
  <c r="F1043"/>
  <c r="F1042"/>
  <c r="F1041"/>
  <c r="F1040"/>
  <c r="F1039"/>
  <c r="F1038"/>
  <c r="F1037"/>
  <c r="F1036"/>
  <c r="F1035"/>
  <c r="F1034"/>
  <c r="F1033"/>
  <c r="F1032"/>
  <c r="F1031"/>
  <c r="F1030"/>
  <c r="F1029"/>
  <c r="F1028"/>
  <c r="F1027"/>
  <c r="F1026"/>
  <c r="F1025"/>
  <c r="F1024"/>
  <c r="F1023"/>
  <c r="F1022"/>
  <c r="F1021"/>
  <c r="F1020"/>
  <c r="F1019"/>
  <c r="F1018"/>
  <c r="F1017"/>
  <c r="F1016"/>
  <c r="F1015"/>
  <c r="F1014"/>
  <c r="F1013"/>
  <c r="F1012"/>
  <c r="F1011"/>
  <c r="F1010"/>
  <c r="F1009"/>
  <c r="F1008"/>
  <c r="F1007"/>
  <c r="F1006"/>
  <c r="F1005"/>
  <c r="F1004"/>
  <c r="F1003"/>
  <c r="F1002"/>
  <c r="F1001"/>
  <c r="F1000"/>
  <c r="F999"/>
  <c r="F998"/>
  <c r="F997"/>
  <c r="F996"/>
  <c r="F995"/>
  <c r="F994"/>
  <c r="F993"/>
  <c r="F992"/>
  <c r="F991"/>
  <c r="F990"/>
  <c r="F989"/>
  <c r="F988"/>
  <c r="F987"/>
  <c r="F986"/>
  <c r="F985"/>
  <c r="F984"/>
  <c r="F983"/>
  <c r="F982"/>
  <c r="F981"/>
  <c r="F980"/>
  <c r="F979"/>
  <c r="F978"/>
  <c r="F977"/>
  <c r="F976"/>
  <c r="F975"/>
  <c r="F974"/>
  <c r="F973"/>
  <c r="F972"/>
  <c r="F971"/>
  <c r="F970"/>
  <c r="F969"/>
  <c r="F968"/>
  <c r="F967"/>
  <c r="F966"/>
  <c r="F965"/>
  <c r="F964"/>
  <c r="F963"/>
  <c r="F962"/>
  <c r="F961"/>
  <c r="F960"/>
  <c r="F959"/>
  <c r="F958"/>
  <c r="F957"/>
  <c r="F956"/>
  <c r="F955"/>
  <c r="F954"/>
  <c r="F953"/>
  <c r="F952"/>
  <c r="F951"/>
  <c r="F950"/>
  <c r="F949"/>
  <c r="F948"/>
  <c r="F947"/>
  <c r="F946"/>
  <c r="F945"/>
  <c r="F944"/>
  <c r="F943"/>
  <c r="F942"/>
  <c r="F941"/>
  <c r="F940"/>
  <c r="F939"/>
  <c r="F938"/>
  <c r="F937"/>
  <c r="F936"/>
  <c r="F935"/>
  <c r="F934"/>
  <c r="F933"/>
  <c r="F932"/>
  <c r="F931"/>
  <c r="F930"/>
  <c r="F929"/>
  <c r="F928"/>
  <c r="F927"/>
  <c r="F926"/>
  <c r="F925"/>
  <c r="F924"/>
  <c r="F923"/>
  <c r="F922"/>
  <c r="F921"/>
  <c r="F920"/>
  <c r="F919"/>
  <c r="F918"/>
  <c r="F917"/>
  <c r="F916"/>
  <c r="F915"/>
  <c r="F914"/>
  <c r="F913"/>
  <c r="F912"/>
  <c r="F911"/>
  <c r="F910"/>
  <c r="F909"/>
  <c r="F908"/>
  <c r="F907"/>
  <c r="F906"/>
  <c r="F905"/>
  <c r="F904"/>
  <c r="F903"/>
  <c r="F902"/>
  <c r="F901"/>
  <c r="F900"/>
  <c r="F899"/>
  <c r="F898"/>
  <c r="F897"/>
  <c r="F896"/>
  <c r="F895"/>
  <c r="F894"/>
  <c r="F893"/>
  <c r="F892"/>
  <c r="F891"/>
  <c r="F890"/>
  <c r="F889"/>
  <c r="F888"/>
  <c r="F887"/>
  <c r="F886"/>
  <c r="F885"/>
  <c r="F884"/>
  <c r="F883"/>
  <c r="F882"/>
  <c r="F881"/>
  <c r="F880"/>
  <c r="F879"/>
  <c r="F878"/>
  <c r="F877"/>
  <c r="F876"/>
  <c r="F875"/>
  <c r="F874"/>
  <c r="F873"/>
  <c r="F872"/>
  <c r="F871"/>
  <c r="F870"/>
  <c r="F869"/>
  <c r="F868"/>
  <c r="F867"/>
  <c r="F866"/>
  <c r="F865"/>
  <c r="F864"/>
  <c r="F863"/>
  <c r="F862"/>
  <c r="F861"/>
  <c r="F860"/>
  <c r="F859"/>
  <c r="F858"/>
  <c r="F857"/>
  <c r="F856"/>
  <c r="F855"/>
  <c r="F854"/>
  <c r="F853"/>
  <c r="F852"/>
  <c r="F851"/>
  <c r="F850"/>
  <c r="F849"/>
  <c r="F848"/>
  <c r="F847"/>
  <c r="F846"/>
  <c r="F845"/>
  <c r="F844"/>
  <c r="F843"/>
  <c r="F842"/>
  <c r="F841"/>
  <c r="F840"/>
  <c r="F839"/>
  <c r="F838"/>
  <c r="F837"/>
  <c r="F836"/>
  <c r="F835"/>
  <c r="F834"/>
  <c r="F833"/>
  <c r="F832"/>
  <c r="F831"/>
  <c r="F830"/>
  <c r="F829"/>
  <c r="F828"/>
  <c r="F827"/>
  <c r="F826"/>
  <c r="F825"/>
  <c r="F824"/>
  <c r="F823"/>
  <c r="F822"/>
  <c r="F821"/>
  <c r="F820"/>
  <c r="F819"/>
  <c r="F818"/>
  <c r="F817"/>
  <c r="F816"/>
  <c r="F815"/>
  <c r="F814"/>
  <c r="F813"/>
  <c r="F812"/>
  <c r="F811"/>
  <c r="F810"/>
  <c r="F809"/>
  <c r="F808"/>
  <c r="F807"/>
  <c r="F806"/>
  <c r="F805"/>
  <c r="F804"/>
  <c r="F803"/>
  <c r="F802"/>
  <c r="F801"/>
  <c r="F800"/>
  <c r="F799"/>
  <c r="F798"/>
  <c r="F797"/>
  <c r="F796"/>
  <c r="F795"/>
  <c r="F794"/>
  <c r="F793"/>
  <c r="F792"/>
  <c r="F791"/>
  <c r="F790"/>
  <c r="F789"/>
  <c r="F788"/>
  <c r="F787"/>
  <c r="F786"/>
  <c r="F785"/>
  <c r="F784"/>
  <c r="F783"/>
  <c r="F782"/>
  <c r="F781"/>
  <c r="F780"/>
  <c r="F779"/>
  <c r="F778"/>
  <c r="F777"/>
  <c r="F776"/>
  <c r="F775"/>
  <c r="F774"/>
  <c r="F773"/>
  <c r="F772"/>
  <c r="F771"/>
  <c r="F770"/>
  <c r="F769"/>
  <c r="F768"/>
  <c r="F767"/>
  <c r="F766"/>
  <c r="F765"/>
  <c r="F764"/>
  <c r="F763"/>
  <c r="F762"/>
  <c r="F761"/>
  <c r="F760"/>
  <c r="F759"/>
  <c r="F758"/>
  <c r="F757"/>
  <c r="F756"/>
  <c r="F755"/>
  <c r="F754"/>
  <c r="F753"/>
  <c r="F752"/>
  <c r="F751"/>
  <c r="F750"/>
  <c r="F749"/>
  <c r="F748"/>
  <c r="F747"/>
  <c r="F746"/>
  <c r="F745"/>
  <c r="F744"/>
  <c r="F743"/>
  <c r="F742"/>
  <c r="F741"/>
  <c r="F740"/>
  <c r="F739"/>
  <c r="F738"/>
  <c r="F737"/>
  <c r="F736"/>
  <c r="F735"/>
  <c r="F734"/>
  <c r="F733"/>
  <c r="F732"/>
  <c r="F731"/>
  <c r="F730"/>
  <c r="F729"/>
  <c r="F728"/>
  <c r="F727"/>
  <c r="F726"/>
  <c r="F725"/>
  <c r="F724"/>
  <c r="F723"/>
  <c r="F722"/>
  <c r="F721"/>
  <c r="F720"/>
  <c r="F719"/>
  <c r="F718"/>
  <c r="F717"/>
  <c r="F716"/>
  <c r="F715"/>
  <c r="F714"/>
  <c r="F713"/>
  <c r="F712"/>
  <c r="F711"/>
  <c r="F710"/>
  <c r="F709"/>
  <c r="F708"/>
  <c r="F707"/>
  <c r="F706"/>
  <c r="F705"/>
  <c r="F704"/>
  <c r="F703"/>
  <c r="F702"/>
  <c r="F701"/>
  <c r="F700"/>
  <c r="F699"/>
  <c r="F698"/>
  <c r="F697"/>
  <c r="F696"/>
  <c r="F695"/>
  <c r="F694"/>
  <c r="F693"/>
  <c r="F692"/>
  <c r="F691"/>
  <c r="F690"/>
  <c r="F689"/>
  <c r="F688"/>
  <c r="F687"/>
  <c r="F686"/>
  <c r="F685"/>
  <c r="F684"/>
  <c r="F683"/>
  <c r="F682"/>
  <c r="F681"/>
  <c r="F680"/>
  <c r="F679"/>
  <c r="F678"/>
  <c r="F677"/>
  <c r="F676"/>
  <c r="F675"/>
  <c r="F674"/>
  <c r="F673"/>
  <c r="F672"/>
  <c r="F671"/>
  <c r="F670"/>
  <c r="F669"/>
  <c r="F668"/>
  <c r="F667"/>
  <c r="F666"/>
  <c r="F665"/>
  <c r="F664"/>
  <c r="F663"/>
  <c r="F662"/>
  <c r="F661"/>
  <c r="F660"/>
  <c r="F659"/>
  <c r="F658"/>
  <c r="F657"/>
  <c r="F656"/>
  <c r="F655"/>
  <c r="F654"/>
  <c r="F653"/>
  <c r="F652"/>
  <c r="F651"/>
  <c r="F650"/>
  <c r="F649"/>
  <c r="F648"/>
  <c r="F647"/>
  <c r="F646"/>
  <c r="F645"/>
  <c r="F644"/>
  <c r="F643"/>
  <c r="F642"/>
  <c r="F641"/>
  <c r="F640"/>
  <c r="F639"/>
  <c r="F638"/>
  <c r="F637"/>
  <c r="F636"/>
  <c r="F635"/>
  <c r="F634"/>
  <c r="F633"/>
  <c r="F632"/>
  <c r="F631"/>
  <c r="F630"/>
  <c r="F629"/>
  <c r="F628"/>
  <c r="F627"/>
  <c r="F626"/>
  <c r="F625"/>
  <c r="F624"/>
  <c r="F623"/>
  <c r="F622"/>
  <c r="F621"/>
  <c r="F620"/>
  <c r="F619"/>
  <c r="F618"/>
  <c r="F617"/>
  <c r="F616"/>
  <c r="F615"/>
  <c r="F614"/>
  <c r="F613"/>
  <c r="F612"/>
  <c r="F611"/>
  <c r="F610"/>
  <c r="F609"/>
  <c r="F608"/>
  <c r="F607"/>
  <c r="F606"/>
  <c r="F605"/>
  <c r="F604"/>
  <c r="F603"/>
  <c r="F602"/>
  <c r="F601"/>
  <c r="F600"/>
  <c r="F599"/>
  <c r="F598"/>
  <c r="F597"/>
  <c r="F596"/>
  <c r="F595"/>
  <c r="F594"/>
  <c r="F593"/>
  <c r="F592"/>
  <c r="F591"/>
  <c r="F590"/>
  <c r="F589"/>
  <c r="F588"/>
  <c r="F587"/>
  <c r="F586"/>
  <c r="F585"/>
  <c r="F584"/>
  <c r="F583"/>
  <c r="F582"/>
  <c r="F581"/>
  <c r="F580"/>
  <c r="F579"/>
  <c r="F578"/>
  <c r="F577"/>
  <c r="F576"/>
  <c r="F575"/>
  <c r="F574"/>
  <c r="F573"/>
  <c r="F572"/>
  <c r="F571"/>
  <c r="F570"/>
  <c r="F569"/>
  <c r="F568"/>
  <c r="F567"/>
  <c r="F566"/>
  <c r="F565"/>
  <c r="F564"/>
  <c r="F563"/>
  <c r="F562"/>
  <c r="F561"/>
  <c r="F560"/>
  <c r="F559"/>
  <c r="F558"/>
  <c r="F557"/>
  <c r="F556"/>
  <c r="F555"/>
  <c r="F554"/>
  <c r="F553"/>
  <c r="F552"/>
  <c r="F551"/>
  <c r="F550"/>
  <c r="F549"/>
  <c r="F548"/>
  <c r="F547"/>
  <c r="F546"/>
  <c r="F545"/>
  <c r="F544"/>
  <c r="F543"/>
  <c r="F542"/>
  <c r="F541"/>
  <c r="F540"/>
  <c r="F539"/>
  <c r="F538"/>
  <c r="F537"/>
  <c r="F536"/>
  <c r="F535"/>
  <c r="F534"/>
  <c r="F533"/>
  <c r="F532"/>
  <c r="F531"/>
  <c r="F530"/>
  <c r="F529"/>
  <c r="F528"/>
  <c r="F527"/>
  <c r="F526"/>
  <c r="F525"/>
  <c r="F524"/>
  <c r="F523"/>
  <c r="F522"/>
  <c r="F521"/>
  <c r="F520"/>
  <c r="F519"/>
  <c r="F518"/>
  <c r="F517"/>
  <c r="F516"/>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F15"/>
  <c r="F14"/>
  <c r="F13"/>
  <c r="F12"/>
  <c r="F11"/>
  <c r="F10"/>
  <c r="F9"/>
  <c r="F8"/>
  <c r="F7"/>
  <c r="E14" i="1"/>
  <c r="E38"/>
  <c r="E40"/>
  <c r="E43"/>
  <c r="F14"/>
  <c r="F38"/>
  <c r="F40"/>
  <c r="F43"/>
  <c r="G14"/>
  <c r="G38"/>
  <c r="G40"/>
  <c r="G43"/>
  <c r="H14"/>
  <c r="H38"/>
  <c r="H40"/>
  <c r="H43"/>
  <c r="I14"/>
  <c r="I38"/>
  <c r="I40"/>
  <c r="I43"/>
  <c r="J14"/>
  <c r="J38"/>
  <c r="J40"/>
  <c r="J43"/>
  <c r="K14"/>
  <c r="K38"/>
  <c r="K40"/>
  <c r="K43"/>
  <c r="L14"/>
  <c r="L38"/>
  <c r="L40"/>
  <c r="L43"/>
  <c r="M14"/>
  <c r="M38"/>
  <c r="M40"/>
  <c r="M43"/>
  <c r="N14"/>
  <c r="N38"/>
  <c r="N40"/>
  <c r="N43"/>
  <c r="O14"/>
  <c r="O38"/>
  <c r="O40"/>
  <c r="O43"/>
  <c r="P14"/>
  <c r="P38"/>
  <c r="P40"/>
  <c r="P43"/>
  <c r="R43"/>
  <c r="H14" i="2"/>
  <c r="H149" i="3"/>
  <c r="H253"/>
  <c r="H357"/>
  <c r="H148"/>
  <c r="H252"/>
  <c r="H356"/>
  <c r="H147"/>
  <c r="H251"/>
  <c r="H355"/>
  <c r="H146"/>
  <c r="H250"/>
  <c r="H354"/>
  <c r="H145"/>
  <c r="H249"/>
  <c r="H353"/>
  <c r="H144"/>
  <c r="H248"/>
  <c r="H352"/>
  <c r="H143"/>
  <c r="H247"/>
  <c r="H351"/>
  <c r="H142"/>
  <c r="H246"/>
  <c r="H350"/>
  <c r="H141"/>
  <c r="H245"/>
  <c r="H349"/>
  <c r="H140"/>
  <c r="H244"/>
  <c r="H348"/>
  <c r="H139"/>
  <c r="H243"/>
  <c r="H347"/>
  <c r="H138"/>
  <c r="H242"/>
  <c r="H346"/>
  <c r="H136"/>
  <c r="H240"/>
  <c r="H344"/>
  <c r="H135"/>
  <c r="H239"/>
  <c r="H343"/>
  <c r="H134"/>
  <c r="H238"/>
  <c r="H342"/>
  <c r="H133"/>
  <c r="H237"/>
  <c r="H341"/>
  <c r="H132"/>
  <c r="H236"/>
  <c r="H340"/>
  <c r="H131"/>
  <c r="H235"/>
  <c r="H339"/>
  <c r="H130"/>
  <c r="H234"/>
  <c r="H338"/>
  <c r="H129"/>
  <c r="H233"/>
  <c r="H337"/>
  <c r="H128"/>
  <c r="H232"/>
  <c r="H336"/>
  <c r="H127"/>
  <c r="H231"/>
  <c r="H335"/>
  <c r="H126"/>
  <c r="H230"/>
  <c r="H334"/>
  <c r="H125"/>
  <c r="H229"/>
  <c r="H333"/>
  <c r="H123"/>
  <c r="H227"/>
  <c r="H331"/>
  <c r="H122"/>
  <c r="H226"/>
  <c r="H330"/>
  <c r="H121"/>
  <c r="H225"/>
  <c r="H329"/>
  <c r="H120"/>
  <c r="H224"/>
  <c r="H328"/>
  <c r="H119"/>
  <c r="H223"/>
  <c r="H327"/>
  <c r="H118"/>
  <c r="H222"/>
  <c r="H326"/>
  <c r="H117"/>
  <c r="H221"/>
  <c r="H325"/>
  <c r="H116"/>
  <c r="H220"/>
  <c r="H324"/>
  <c r="H115"/>
  <c r="H219"/>
  <c r="H323"/>
  <c r="H114"/>
  <c r="H218"/>
  <c r="H322"/>
  <c r="H113"/>
  <c r="H217"/>
  <c r="H321"/>
  <c r="H112"/>
  <c r="H216"/>
  <c r="H320"/>
  <c r="P57" i="15"/>
  <c r="Q38" i="4"/>
  <c r="P56" i="15"/>
  <c r="Q14" i="4"/>
  <c r="P55" i="15"/>
  <c r="H214" i="3"/>
  <c r="H318"/>
  <c r="H212"/>
  <c r="H316"/>
  <c r="H211"/>
  <c r="H315"/>
  <c r="H209"/>
  <c r="H313"/>
  <c r="H208"/>
  <c r="H312"/>
  <c r="H206"/>
  <c r="H310"/>
  <c r="H204"/>
  <c r="H308"/>
  <c r="H203"/>
  <c r="H307"/>
  <c r="H306"/>
  <c r="H201"/>
  <c r="H305"/>
  <c r="H200"/>
  <c r="H304"/>
  <c r="H195"/>
  <c r="H299"/>
  <c r="H194"/>
  <c r="H298"/>
  <c r="H193"/>
  <c r="H297"/>
  <c r="H192"/>
  <c r="H296"/>
  <c r="H293"/>
  <c r="H186"/>
  <c r="H290"/>
  <c r="H185"/>
  <c r="H289"/>
  <c r="H184"/>
  <c r="H288"/>
  <c r="H178"/>
  <c r="H282"/>
  <c r="H177"/>
  <c r="H281"/>
  <c r="H280"/>
  <c r="H174"/>
  <c r="H278"/>
  <c r="H171"/>
  <c r="H275"/>
  <c r="H169"/>
  <c r="H273"/>
  <c r="H168"/>
  <c r="H272"/>
  <c r="H166"/>
  <c r="H270"/>
  <c r="H267"/>
  <c r="H161"/>
  <c r="H265"/>
  <c r="H160"/>
  <c r="H264"/>
  <c r="H159"/>
  <c r="H263"/>
  <c r="H158"/>
  <c r="H262"/>
  <c r="H153"/>
  <c r="H257"/>
  <c r="H152"/>
  <c r="H256"/>
  <c r="H151"/>
  <c r="H255"/>
  <c r="H254"/>
  <c r="H241"/>
  <c r="H228"/>
  <c r="H213"/>
  <c r="H317"/>
  <c r="H210"/>
  <c r="H314"/>
  <c r="H207"/>
  <c r="H311"/>
  <c r="H205"/>
  <c r="H309"/>
  <c r="H199"/>
  <c r="H303"/>
  <c r="H198"/>
  <c r="H302"/>
  <c r="H197"/>
  <c r="H301"/>
  <c r="H196"/>
  <c r="H300"/>
  <c r="H191"/>
  <c r="H295"/>
  <c r="H190"/>
  <c r="H294"/>
  <c r="H188"/>
  <c r="H292"/>
  <c r="H187"/>
  <c r="H291"/>
  <c r="H183"/>
  <c r="H287"/>
  <c r="H182"/>
  <c r="H286"/>
  <c r="H181"/>
  <c r="H285"/>
  <c r="H180"/>
  <c r="H284"/>
  <c r="H179"/>
  <c r="H283"/>
  <c r="H175"/>
  <c r="H279"/>
  <c r="H173"/>
  <c r="H277"/>
  <c r="H172"/>
  <c r="H276"/>
  <c r="H170"/>
  <c r="H274"/>
  <c r="H167"/>
  <c r="H271"/>
  <c r="H165"/>
  <c r="H269"/>
  <c r="H164"/>
  <c r="H268"/>
  <c r="H162"/>
  <c r="H266"/>
  <c r="H157"/>
  <c r="H261"/>
  <c r="H156"/>
  <c r="H260"/>
  <c r="H155"/>
  <c r="H259"/>
  <c r="H154"/>
  <c r="H258"/>
  <c r="P2011"/>
  <c r="P2010"/>
  <c r="P2009"/>
  <c r="P2008"/>
  <c r="P2007"/>
  <c r="P2006"/>
  <c r="P2005"/>
  <c r="P2004"/>
  <c r="P2003"/>
  <c r="P2002"/>
  <c r="P2001"/>
  <c r="P2000"/>
  <c r="P1999"/>
  <c r="P1998"/>
  <c r="P1997"/>
  <c r="P1996"/>
  <c r="P1995"/>
  <c r="P1994"/>
  <c r="P1993"/>
  <c r="P1992"/>
  <c r="P1991"/>
  <c r="P1990"/>
  <c r="P1989"/>
  <c r="P1988"/>
  <c r="P1987"/>
  <c r="P1986"/>
  <c r="P1985"/>
  <c r="P1984"/>
  <c r="P1983"/>
  <c r="P1982"/>
  <c r="P1981"/>
  <c r="P1980"/>
  <c r="P1979"/>
  <c r="P1978"/>
  <c r="P1977"/>
  <c r="P1976"/>
  <c r="P1975"/>
  <c r="P1974"/>
  <c r="P1973"/>
  <c r="P1972"/>
  <c r="P1971"/>
  <c r="P1970"/>
  <c r="P1969"/>
  <c r="P1968"/>
  <c r="P1967"/>
  <c r="P1966"/>
  <c r="P1965"/>
  <c r="P1964"/>
  <c r="P1963"/>
  <c r="P1962"/>
  <c r="P1961"/>
  <c r="P1960"/>
  <c r="P1959"/>
  <c r="P1958"/>
  <c r="P1957"/>
  <c r="P1956"/>
  <c r="P1955"/>
  <c r="P1954"/>
  <c r="P1953"/>
  <c r="P1952"/>
  <c r="P1951"/>
  <c r="P1950"/>
  <c r="P1949"/>
  <c r="P1948"/>
  <c r="P1947"/>
  <c r="P1946"/>
  <c r="P1945"/>
  <c r="P1944"/>
  <c r="P1943"/>
  <c r="P1942"/>
  <c r="P1941"/>
  <c r="P1940"/>
  <c r="P1939"/>
  <c r="P1938"/>
  <c r="P1937"/>
  <c r="P1936"/>
  <c r="P1935"/>
  <c r="P1934"/>
  <c r="P1933"/>
  <c r="P1932"/>
  <c r="P1931"/>
  <c r="P1930"/>
  <c r="P1929"/>
  <c r="P1928"/>
  <c r="P1927"/>
  <c r="P1926"/>
  <c r="P1925"/>
  <c r="P1924"/>
  <c r="P1923"/>
  <c r="P1922"/>
  <c r="P1921"/>
  <c r="P1920"/>
  <c r="P1919"/>
  <c r="P1918"/>
  <c r="P1917"/>
  <c r="P1916"/>
  <c r="P1915"/>
  <c r="P1914"/>
  <c r="P1913"/>
  <c r="P1912"/>
  <c r="P1911"/>
  <c r="P1910"/>
  <c r="P1909"/>
  <c r="P1908"/>
  <c r="P1907"/>
  <c r="P1906"/>
  <c r="P1905"/>
  <c r="P1904"/>
  <c r="P1903"/>
  <c r="P1902"/>
  <c r="P1901"/>
  <c r="P1900"/>
  <c r="P1899"/>
  <c r="P1898"/>
  <c r="P1897"/>
  <c r="P1896"/>
  <c r="P1895"/>
  <c r="P1894"/>
  <c r="P1893"/>
  <c r="P1892"/>
  <c r="P1891"/>
  <c r="P1890"/>
  <c r="P1889"/>
  <c r="P1888"/>
  <c r="P1887"/>
  <c r="P1886"/>
  <c r="P1885"/>
  <c r="P1884"/>
  <c r="P1883"/>
  <c r="P1882"/>
  <c r="P1881"/>
  <c r="P1880"/>
  <c r="P1879"/>
  <c r="P1878"/>
  <c r="P1877"/>
  <c r="P1876"/>
  <c r="P1875"/>
  <c r="P1874"/>
  <c r="P1873"/>
  <c r="P1872"/>
  <c r="P1871"/>
  <c r="P1870"/>
  <c r="P1869"/>
  <c r="P1868"/>
  <c r="P1867"/>
  <c r="P1866"/>
  <c r="P1865"/>
  <c r="P1864"/>
  <c r="P1863"/>
  <c r="P1862"/>
  <c r="P1861"/>
  <c r="P1860"/>
  <c r="P1859"/>
  <c r="P1858"/>
  <c r="P1857"/>
  <c r="P1856"/>
  <c r="P1855"/>
  <c r="P1854"/>
  <c r="P1853"/>
  <c r="P1852"/>
  <c r="P1851"/>
  <c r="P1850"/>
  <c r="P1849"/>
  <c r="P1848"/>
  <c r="P1847"/>
  <c r="P1846"/>
  <c r="P1845"/>
  <c r="P1844"/>
  <c r="P1843"/>
  <c r="P1842"/>
  <c r="P1841"/>
  <c r="P1840"/>
  <c r="P1839"/>
  <c r="P1838"/>
  <c r="P1837"/>
  <c r="P1836"/>
  <c r="P1835"/>
  <c r="P1834"/>
  <c r="P1833"/>
  <c r="P1832"/>
  <c r="P1831"/>
  <c r="P1830"/>
  <c r="P1829"/>
  <c r="P1828"/>
  <c r="P1827"/>
  <c r="P1826"/>
  <c r="P1825"/>
  <c r="P1824"/>
  <c r="P1823"/>
  <c r="P1822"/>
  <c r="P1821"/>
  <c r="P1820"/>
  <c r="P1819"/>
  <c r="P1818"/>
  <c r="P1817"/>
  <c r="P1816"/>
  <c r="P1815"/>
  <c r="P1814"/>
  <c r="P1813"/>
  <c r="P1812"/>
  <c r="P1811"/>
  <c r="P1810"/>
  <c r="P1809"/>
  <c r="P1808"/>
  <c r="P1807"/>
  <c r="P1806"/>
  <c r="P1805"/>
  <c r="P1804"/>
  <c r="P1803"/>
  <c r="P1802"/>
  <c r="P1801"/>
  <c r="P1800"/>
  <c r="P1799"/>
  <c r="P1798"/>
  <c r="P1797"/>
  <c r="P1796"/>
  <c r="P1795"/>
  <c r="P1794"/>
  <c r="P1793"/>
  <c r="P1792"/>
  <c r="P1791"/>
  <c r="P1790"/>
  <c r="P1789"/>
  <c r="P1788"/>
  <c r="P1787"/>
  <c r="P1786"/>
  <c r="P1785"/>
  <c r="P1784"/>
  <c r="P1783"/>
  <c r="P1782"/>
  <c r="P1781"/>
  <c r="P1780"/>
  <c r="P1779"/>
  <c r="P1778"/>
  <c r="P1777"/>
  <c r="P1776"/>
  <c r="P1775"/>
  <c r="P1774"/>
  <c r="P1773"/>
  <c r="P1772"/>
  <c r="P1771"/>
  <c r="P1770"/>
  <c r="P1769"/>
  <c r="P1768"/>
  <c r="P1767"/>
  <c r="P1766"/>
  <c r="P1765"/>
  <c r="P1764"/>
  <c r="P1763"/>
  <c r="P1762"/>
  <c r="P1761"/>
  <c r="P1760"/>
  <c r="P1759"/>
  <c r="P1758"/>
  <c r="P1757"/>
  <c r="P1756"/>
  <c r="P1755"/>
  <c r="P1754"/>
  <c r="P1753"/>
  <c r="P1752"/>
  <c r="P1751"/>
  <c r="P1750"/>
  <c r="P1749"/>
  <c r="P1748"/>
  <c r="P1747"/>
  <c r="P1746"/>
  <c r="P1745"/>
  <c r="P1744"/>
  <c r="P1743"/>
  <c r="P1742"/>
  <c r="P1741"/>
  <c r="P1740"/>
  <c r="P1739"/>
  <c r="P1738"/>
  <c r="P1737"/>
  <c r="P1736"/>
  <c r="P1735"/>
  <c r="P1734"/>
  <c r="P1733"/>
  <c r="P1732"/>
  <c r="P1731"/>
  <c r="P1730"/>
  <c r="P1729"/>
  <c r="P1728"/>
  <c r="P1727"/>
  <c r="P1726"/>
  <c r="P1725"/>
  <c r="P1724"/>
  <c r="P1723"/>
  <c r="P1722"/>
  <c r="P1721"/>
  <c r="P1720"/>
  <c r="P1719"/>
  <c r="P1718"/>
  <c r="P1717"/>
  <c r="P1716"/>
  <c r="P1715"/>
  <c r="P1714"/>
  <c r="P1713"/>
  <c r="P1712"/>
  <c r="P1711"/>
  <c r="P1710"/>
  <c r="P1709"/>
  <c r="P1708"/>
  <c r="P1707"/>
  <c r="P1706"/>
  <c r="P1705"/>
  <c r="P1704"/>
  <c r="P1703"/>
  <c r="P1702"/>
  <c r="P1701"/>
  <c r="P1700"/>
  <c r="P1699"/>
  <c r="P1698"/>
  <c r="P1697"/>
  <c r="P1696"/>
  <c r="P1695"/>
  <c r="P1694"/>
  <c r="P1693"/>
  <c r="P1692"/>
  <c r="P1691"/>
  <c r="P1690"/>
  <c r="P1689"/>
  <c r="P1688"/>
  <c r="P1687"/>
  <c r="P1686"/>
  <c r="P1685"/>
  <c r="P1684"/>
  <c r="P1683"/>
  <c r="P1682"/>
  <c r="P1681"/>
  <c r="P1680"/>
  <c r="P1679"/>
  <c r="P1678"/>
  <c r="P1677"/>
  <c r="P1676"/>
  <c r="P1675"/>
  <c r="P1674"/>
  <c r="P1673"/>
  <c r="P1672"/>
  <c r="P1671"/>
  <c r="P1670"/>
  <c r="P1669"/>
  <c r="P1668"/>
  <c r="P1667"/>
  <c r="P1666"/>
  <c r="P1665"/>
  <c r="P1664"/>
  <c r="P1663"/>
  <c r="P1662"/>
  <c r="P1661"/>
  <c r="P1660"/>
  <c r="P1659"/>
  <c r="P1658"/>
  <c r="P1657"/>
  <c r="P1656"/>
  <c r="P1655"/>
  <c r="P1654"/>
  <c r="P1653"/>
  <c r="P1652"/>
  <c r="P1651"/>
  <c r="P1650"/>
  <c r="P1649"/>
  <c r="P1648"/>
  <c r="P1647"/>
  <c r="P1646"/>
  <c r="P1645"/>
  <c r="P1644"/>
  <c r="P1643"/>
  <c r="P1642"/>
  <c r="P1641"/>
  <c r="P1640"/>
  <c r="P1639"/>
  <c r="P1638"/>
  <c r="P1637"/>
  <c r="P1636"/>
  <c r="P1635"/>
  <c r="P1634"/>
  <c r="P1633"/>
  <c r="P1632"/>
  <c r="P1631"/>
  <c r="P1630"/>
  <c r="P1629"/>
  <c r="P1628"/>
  <c r="P1627"/>
  <c r="P1626"/>
  <c r="P1625"/>
  <c r="P1624"/>
  <c r="P1623"/>
  <c r="P1622"/>
  <c r="P1621"/>
  <c r="P1620"/>
  <c r="P1619"/>
  <c r="P1618"/>
  <c r="P1617"/>
  <c r="P1616"/>
  <c r="P1615"/>
  <c r="P1614"/>
  <c r="P1613"/>
  <c r="P1612"/>
  <c r="P1611"/>
  <c r="P1610"/>
  <c r="P1609"/>
  <c r="P1608"/>
  <c r="P1607"/>
  <c r="P1606"/>
  <c r="P1605"/>
  <c r="P1604"/>
  <c r="P1603"/>
  <c r="P1602"/>
  <c r="P1601"/>
  <c r="P1600"/>
  <c r="P1599"/>
  <c r="P1598"/>
  <c r="P1597"/>
  <c r="P1596"/>
  <c r="P1595"/>
  <c r="P1594"/>
  <c r="P1593"/>
  <c r="P1592"/>
  <c r="P1591"/>
  <c r="P1590"/>
  <c r="P1589"/>
  <c r="P1588"/>
  <c r="P1587"/>
  <c r="P1586"/>
  <c r="P1585"/>
  <c r="P1584"/>
  <c r="P1583"/>
  <c r="P1582"/>
  <c r="P1581"/>
  <c r="P1580"/>
  <c r="P1579"/>
  <c r="P1578"/>
  <c r="P1577"/>
  <c r="P1576"/>
  <c r="P1575"/>
  <c r="P1574"/>
  <c r="P1573"/>
  <c r="P1572"/>
  <c r="P1571"/>
  <c r="P1570"/>
  <c r="P1569"/>
  <c r="P1568"/>
  <c r="P1567"/>
  <c r="P1566"/>
  <c r="P1565"/>
  <c r="P1564"/>
  <c r="P1563"/>
  <c r="P1562"/>
  <c r="P1561"/>
  <c r="P1560"/>
  <c r="P1559"/>
  <c r="P1558"/>
  <c r="P1557"/>
  <c r="P1556"/>
  <c r="P1555"/>
  <c r="P1554"/>
  <c r="P1553"/>
  <c r="P1552"/>
  <c r="P1551"/>
  <c r="P1550"/>
  <c r="P1549"/>
  <c r="P1548"/>
  <c r="P1547"/>
  <c r="P1546"/>
  <c r="P1545"/>
  <c r="P1544"/>
  <c r="P1543"/>
  <c r="P1542"/>
  <c r="P1541"/>
  <c r="P1540"/>
  <c r="P1539"/>
  <c r="P1538"/>
  <c r="P1537"/>
  <c r="P1536"/>
  <c r="P1535"/>
  <c r="P1534"/>
  <c r="P1533"/>
  <c r="P1532"/>
  <c r="P1531"/>
  <c r="P1530"/>
  <c r="P1529"/>
  <c r="P1528"/>
  <c r="P1527"/>
  <c r="P1526"/>
  <c r="P1525"/>
  <c r="P1524"/>
  <c r="P1523"/>
  <c r="P1522"/>
  <c r="P1521"/>
  <c r="P1520"/>
  <c r="P1519"/>
  <c r="P1518"/>
  <c r="P1517"/>
  <c r="P1516"/>
  <c r="P1515"/>
  <c r="P1514"/>
  <c r="P1513"/>
  <c r="P1512"/>
  <c r="P1511"/>
  <c r="P1510"/>
  <c r="P1509"/>
  <c r="P1508"/>
  <c r="P1507"/>
  <c r="P1506"/>
  <c r="P1505"/>
  <c r="P1504"/>
  <c r="P1503"/>
  <c r="P1502"/>
  <c r="P1501"/>
  <c r="P1500"/>
  <c r="P1499"/>
  <c r="P1498"/>
  <c r="P1497"/>
  <c r="P1496"/>
  <c r="P1495"/>
  <c r="P1494"/>
  <c r="P1493"/>
  <c r="P1492"/>
  <c r="P1491"/>
  <c r="P1490"/>
  <c r="P1489"/>
  <c r="P1488"/>
  <c r="P1487"/>
  <c r="P1486"/>
  <c r="P1485"/>
  <c r="P1484"/>
  <c r="P1483"/>
  <c r="P1482"/>
  <c r="P1481"/>
  <c r="P1480"/>
  <c r="P1479"/>
  <c r="P1478"/>
  <c r="P1477"/>
  <c r="P1476"/>
  <c r="P1475"/>
  <c r="P1474"/>
  <c r="P1473"/>
  <c r="P1472"/>
  <c r="P1471"/>
  <c r="P1470"/>
  <c r="P1469"/>
  <c r="P1468"/>
  <c r="P1467"/>
  <c r="P1466"/>
  <c r="P1465"/>
  <c r="P1464"/>
  <c r="P1463"/>
  <c r="P1462"/>
  <c r="P1461"/>
  <c r="P1460"/>
  <c r="P1459"/>
  <c r="P1458"/>
  <c r="P1457"/>
  <c r="P1456"/>
  <c r="P1455"/>
  <c r="P1454"/>
  <c r="P1453"/>
  <c r="P1452"/>
  <c r="P1451"/>
  <c r="P1450"/>
  <c r="P1449"/>
  <c r="P1448"/>
  <c r="P1447"/>
  <c r="P1446"/>
  <c r="P1445"/>
  <c r="P1444"/>
  <c r="P1443"/>
  <c r="P1442"/>
  <c r="P1441"/>
  <c r="P1440"/>
  <c r="P1439"/>
  <c r="P1438"/>
  <c r="P1437"/>
  <c r="P1436"/>
  <c r="P1435"/>
  <c r="P1434"/>
  <c r="P1433"/>
  <c r="P1432"/>
  <c r="P1431"/>
  <c r="P1430"/>
  <c r="P1429"/>
  <c r="P1428"/>
  <c r="P1427"/>
  <c r="P1426"/>
  <c r="P1425"/>
  <c r="P1424"/>
  <c r="P1423"/>
  <c r="P1422"/>
  <c r="P1421"/>
  <c r="P1420"/>
  <c r="P1419"/>
  <c r="P1418"/>
  <c r="P1417"/>
  <c r="P1416"/>
  <c r="P1415"/>
  <c r="P1414"/>
  <c r="P1413"/>
  <c r="P1412"/>
  <c r="P1411"/>
  <c r="P1410"/>
  <c r="P1409"/>
  <c r="P1408"/>
  <c r="P1407"/>
  <c r="P1406"/>
  <c r="P1405"/>
  <c r="P1404"/>
  <c r="P1403"/>
  <c r="P1402"/>
  <c r="P1401"/>
  <c r="P1400"/>
  <c r="P1399"/>
  <c r="P1398"/>
  <c r="P1397"/>
  <c r="P1396"/>
  <c r="P1395"/>
  <c r="P1394"/>
  <c r="P1393"/>
  <c r="P1392"/>
  <c r="P1391"/>
  <c r="P1390"/>
  <c r="P1389"/>
  <c r="P1388"/>
  <c r="P1387"/>
  <c r="P1386"/>
  <c r="P1385"/>
  <c r="P1384"/>
  <c r="P1383"/>
  <c r="P1382"/>
  <c r="P1381"/>
  <c r="P1380"/>
  <c r="P1379"/>
  <c r="P1378"/>
  <c r="P1377"/>
  <c r="P1376"/>
  <c r="P1375"/>
  <c r="P1374"/>
  <c r="P1373"/>
  <c r="P1372"/>
  <c r="P1371"/>
  <c r="P1370"/>
  <c r="P1369"/>
  <c r="P1368"/>
  <c r="P1367"/>
  <c r="P1366"/>
  <c r="P1365"/>
  <c r="P1364"/>
  <c r="P1363"/>
  <c r="P1362"/>
  <c r="P1361"/>
  <c r="P1360"/>
  <c r="P1359"/>
  <c r="P1358"/>
  <c r="P1357"/>
  <c r="P1356"/>
  <c r="P1355"/>
  <c r="P1354"/>
  <c r="P1353"/>
  <c r="P1352"/>
  <c r="P1351"/>
  <c r="P1350"/>
  <c r="P1349"/>
  <c r="P1348"/>
  <c r="P1347"/>
  <c r="P1346"/>
  <c r="P1345"/>
  <c r="P1344"/>
  <c r="P1343"/>
  <c r="P1342"/>
  <c r="P1341"/>
  <c r="P1340"/>
  <c r="P1339"/>
  <c r="P1338"/>
  <c r="P1337"/>
  <c r="P1336"/>
  <c r="P1335"/>
  <c r="P1334"/>
  <c r="P1333"/>
  <c r="P1332"/>
  <c r="P1331"/>
  <c r="P1330"/>
  <c r="P1329"/>
  <c r="P1328"/>
  <c r="P1327"/>
  <c r="P1326"/>
  <c r="P1325"/>
  <c r="P1324"/>
  <c r="P1323"/>
  <c r="P1322"/>
  <c r="P1321"/>
  <c r="P1320"/>
  <c r="P1319"/>
  <c r="P1318"/>
  <c r="P1317"/>
  <c r="P1316"/>
  <c r="P1315"/>
  <c r="P1314"/>
  <c r="P1313"/>
  <c r="P1312"/>
  <c r="P1311"/>
  <c r="P1310"/>
  <c r="P1309"/>
  <c r="P1308"/>
  <c r="P1307"/>
  <c r="P1306"/>
  <c r="P1305"/>
  <c r="P1304"/>
  <c r="P1303"/>
  <c r="P1302"/>
  <c r="P1301"/>
  <c r="P1300"/>
  <c r="P1299"/>
  <c r="P1298"/>
  <c r="P1297"/>
  <c r="P1296"/>
  <c r="P1295"/>
  <c r="P1294"/>
  <c r="P1293"/>
  <c r="P1292"/>
  <c r="P1291"/>
  <c r="P1290"/>
  <c r="P1289"/>
  <c r="P1288"/>
  <c r="P1287"/>
  <c r="P1286"/>
  <c r="P1285"/>
  <c r="P1284"/>
  <c r="P1283"/>
  <c r="P1282"/>
  <c r="P1281"/>
  <c r="P1280"/>
  <c r="P1279"/>
  <c r="P1278"/>
  <c r="P1277"/>
  <c r="P1276"/>
  <c r="P1275"/>
  <c r="P1274"/>
  <c r="P1273"/>
  <c r="P1272"/>
  <c r="P1271"/>
  <c r="P1270"/>
  <c r="P1269"/>
  <c r="P1268"/>
  <c r="P1267"/>
  <c r="P1266"/>
  <c r="P1265"/>
  <c r="P1264"/>
  <c r="P1263"/>
  <c r="P1262"/>
  <c r="P1261"/>
  <c r="P1260"/>
  <c r="P1259"/>
  <c r="P1258"/>
  <c r="P1257"/>
  <c r="P1256"/>
  <c r="P1255"/>
  <c r="P1254"/>
  <c r="P1253"/>
  <c r="P1252"/>
  <c r="P1251"/>
  <c r="P1250"/>
  <c r="P1249"/>
  <c r="P1248"/>
  <c r="P1247"/>
  <c r="P1246"/>
  <c r="P1245"/>
  <c r="P1244"/>
  <c r="P1243"/>
  <c r="P1242"/>
  <c r="P1241"/>
  <c r="P1240"/>
  <c r="P1239"/>
  <c r="P1238"/>
  <c r="P1237"/>
  <c r="P1236"/>
  <c r="P1235"/>
  <c r="P1234"/>
  <c r="P1233"/>
  <c r="P1232"/>
  <c r="P1231"/>
  <c r="P1230"/>
  <c r="P1229"/>
  <c r="P1228"/>
  <c r="P1227"/>
  <c r="P1226"/>
  <c r="P1225"/>
  <c r="P1224"/>
  <c r="P1223"/>
  <c r="P1222"/>
  <c r="P1221"/>
  <c r="P1220"/>
  <c r="P1219"/>
  <c r="P1218"/>
  <c r="P1217"/>
  <c r="P1216"/>
  <c r="P1215"/>
  <c r="P1214"/>
  <c r="P1213"/>
  <c r="P1212"/>
  <c r="P1211"/>
  <c r="P1210"/>
  <c r="P1209"/>
  <c r="P1208"/>
  <c r="P1207"/>
  <c r="P1206"/>
  <c r="P1205"/>
  <c r="P1204"/>
  <c r="P1203"/>
  <c r="P1202"/>
  <c r="P1201"/>
  <c r="P1200"/>
  <c r="P1199"/>
  <c r="P1198"/>
  <c r="P1197"/>
  <c r="P1196"/>
  <c r="P1195"/>
  <c r="P1194"/>
  <c r="P1193"/>
  <c r="P1192"/>
  <c r="P1191"/>
  <c r="P1190"/>
  <c r="P1189"/>
  <c r="P1188"/>
  <c r="P1187"/>
  <c r="P1186"/>
  <c r="P1185"/>
  <c r="P1184"/>
  <c r="P1183"/>
  <c r="P1182"/>
  <c r="P1181"/>
  <c r="P1180"/>
  <c r="P1179"/>
  <c r="P1178"/>
  <c r="P1177"/>
  <c r="P1176"/>
  <c r="P1175"/>
  <c r="P1174"/>
  <c r="P1173"/>
  <c r="P1172"/>
  <c r="P1171"/>
  <c r="P1170"/>
  <c r="P1169"/>
  <c r="P1168"/>
  <c r="P1167"/>
  <c r="P1166"/>
  <c r="P1165"/>
  <c r="P1164"/>
  <c r="P1163"/>
  <c r="P1162"/>
  <c r="P1161"/>
  <c r="P1160"/>
  <c r="P1159"/>
  <c r="P1158"/>
  <c r="P1157"/>
  <c r="P1156"/>
  <c r="P1155"/>
  <c r="P1154"/>
  <c r="P1153"/>
  <c r="P1152"/>
  <c r="P1151"/>
  <c r="P1150"/>
  <c r="P1149"/>
  <c r="P1148"/>
  <c r="P1147"/>
  <c r="P1146"/>
  <c r="P1145"/>
  <c r="P1144"/>
  <c r="P1143"/>
  <c r="P1142"/>
  <c r="P1141"/>
  <c r="P1140"/>
  <c r="P1139"/>
  <c r="P1138"/>
  <c r="P1137"/>
  <c r="P1136"/>
  <c r="P1135"/>
  <c r="P1134"/>
  <c r="P1133"/>
  <c r="P1132"/>
  <c r="P1131"/>
  <c r="P1130"/>
  <c r="P1129"/>
  <c r="P1128"/>
  <c r="P1127"/>
  <c r="P1126"/>
  <c r="P1125"/>
  <c r="P1124"/>
  <c r="P1123"/>
  <c r="P1122"/>
  <c r="P1121"/>
  <c r="P1120"/>
  <c r="P1119"/>
  <c r="P1118"/>
  <c r="P1117"/>
  <c r="P1116"/>
  <c r="P1115"/>
  <c r="P1114"/>
  <c r="P1113"/>
  <c r="P1112"/>
  <c r="P1111"/>
  <c r="P1110"/>
  <c r="P1109"/>
  <c r="P1108"/>
  <c r="P1107"/>
  <c r="P1106"/>
  <c r="P1105"/>
  <c r="P1104"/>
  <c r="P1103"/>
  <c r="P1102"/>
  <c r="P1101"/>
  <c r="P1100"/>
  <c r="P1099"/>
  <c r="P1098"/>
  <c r="P1097"/>
  <c r="P1096"/>
  <c r="P1095"/>
  <c r="P1094"/>
  <c r="P1093"/>
  <c r="P1092"/>
  <c r="P1091"/>
  <c r="P1090"/>
  <c r="P1089"/>
  <c r="P1088"/>
  <c r="P1087"/>
  <c r="P1086"/>
  <c r="P1085"/>
  <c r="P1084"/>
  <c r="P1083"/>
  <c r="P1082"/>
  <c r="P1081"/>
  <c r="P1080"/>
  <c r="P1079"/>
  <c r="P1078"/>
  <c r="P1077"/>
  <c r="P1076"/>
  <c r="P1075"/>
  <c r="P1074"/>
  <c r="P1073"/>
  <c r="P1072"/>
  <c r="P1071"/>
  <c r="P1070"/>
  <c r="P1069"/>
  <c r="P1068"/>
  <c r="P1067"/>
  <c r="P1066"/>
  <c r="P1065"/>
  <c r="P1064"/>
  <c r="P1063"/>
  <c r="P1062"/>
  <c r="P1061"/>
  <c r="P1060"/>
  <c r="P1059"/>
  <c r="P1058"/>
  <c r="P1057"/>
  <c r="P1056"/>
  <c r="P1055"/>
  <c r="P1054"/>
  <c r="P1053"/>
  <c r="P1052"/>
  <c r="P1051"/>
  <c r="P1050"/>
  <c r="P1049"/>
  <c r="P1048"/>
  <c r="P1047"/>
  <c r="P1046"/>
  <c r="P1045"/>
  <c r="P1044"/>
  <c r="P1043"/>
  <c r="P1042"/>
  <c r="P1041"/>
  <c r="P1040"/>
  <c r="P1039"/>
  <c r="P1038"/>
  <c r="P1037"/>
  <c r="P1036"/>
  <c r="P1035"/>
  <c r="P1034"/>
  <c r="P1033"/>
  <c r="P1032"/>
  <c r="P1031"/>
  <c r="P1030"/>
  <c r="P1029"/>
  <c r="P1028"/>
  <c r="P1027"/>
  <c r="P1026"/>
  <c r="P1025"/>
  <c r="P1024"/>
  <c r="P1023"/>
  <c r="P1022"/>
  <c r="P1021"/>
  <c r="P1020"/>
  <c r="P1019"/>
  <c r="P1018"/>
  <c r="P1017"/>
  <c r="P1016"/>
  <c r="P1015"/>
  <c r="P1014"/>
  <c r="P1013"/>
  <c r="P1012"/>
  <c r="P1011"/>
  <c r="P1010"/>
  <c r="P1009"/>
  <c r="P1008"/>
  <c r="P1007"/>
  <c r="P1006"/>
  <c r="P1005"/>
  <c r="P1004"/>
  <c r="P1003"/>
  <c r="P1002"/>
  <c r="P1001"/>
  <c r="P1000"/>
  <c r="P999"/>
  <c r="P998"/>
  <c r="P997"/>
  <c r="P996"/>
  <c r="P995"/>
  <c r="P994"/>
  <c r="P993"/>
  <c r="P992"/>
  <c r="P991"/>
  <c r="P990"/>
  <c r="P989"/>
  <c r="P988"/>
  <c r="P987"/>
  <c r="P986"/>
  <c r="P985"/>
  <c r="P984"/>
  <c r="P983"/>
  <c r="P982"/>
  <c r="P981"/>
  <c r="P980"/>
  <c r="P979"/>
  <c r="P978"/>
  <c r="P977"/>
  <c r="P976"/>
  <c r="P975"/>
  <c r="P974"/>
  <c r="P973"/>
  <c r="P972"/>
  <c r="P971"/>
  <c r="P970"/>
  <c r="P969"/>
  <c r="P968"/>
  <c r="P967"/>
  <c r="P966"/>
  <c r="P965"/>
  <c r="P964"/>
  <c r="P963"/>
  <c r="P962"/>
  <c r="P961"/>
  <c r="P960"/>
  <c r="P959"/>
  <c r="P958"/>
  <c r="P957"/>
  <c r="P956"/>
  <c r="P955"/>
  <c r="P954"/>
  <c r="P953"/>
  <c r="P952"/>
  <c r="P951"/>
  <c r="P950"/>
  <c r="P949"/>
  <c r="P948"/>
  <c r="P947"/>
  <c r="P946"/>
  <c r="P945"/>
  <c r="P944"/>
  <c r="P943"/>
  <c r="P942"/>
  <c r="P941"/>
  <c r="P940"/>
  <c r="P939"/>
  <c r="P938"/>
  <c r="P937"/>
  <c r="P936"/>
  <c r="P935"/>
  <c r="P934"/>
  <c r="P933"/>
  <c r="P932"/>
  <c r="P931"/>
  <c r="P930"/>
  <c r="P929"/>
  <c r="P928"/>
  <c r="P927"/>
  <c r="P926"/>
  <c r="P925"/>
  <c r="P924"/>
  <c r="P923"/>
  <c r="P922"/>
  <c r="P921"/>
  <c r="P920"/>
  <c r="P919"/>
  <c r="P918"/>
  <c r="P917"/>
  <c r="P916"/>
  <c r="P915"/>
  <c r="P914"/>
  <c r="P913"/>
  <c r="P912"/>
  <c r="P911"/>
  <c r="P910"/>
  <c r="P909"/>
  <c r="P908"/>
  <c r="P907"/>
  <c r="P906"/>
  <c r="P905"/>
  <c r="P904"/>
  <c r="P903"/>
  <c r="P902"/>
  <c r="P901"/>
  <c r="P900"/>
  <c r="P899"/>
  <c r="P898"/>
  <c r="P897"/>
  <c r="P896"/>
  <c r="P895"/>
  <c r="P894"/>
  <c r="P893"/>
  <c r="P892"/>
  <c r="P891"/>
  <c r="P890"/>
  <c r="P889"/>
  <c r="P888"/>
  <c r="P887"/>
  <c r="P886"/>
  <c r="P885"/>
  <c r="P884"/>
  <c r="P883"/>
  <c r="P882"/>
  <c r="P881"/>
  <c r="P880"/>
  <c r="P879"/>
  <c r="P878"/>
  <c r="P877"/>
  <c r="P876"/>
  <c r="P875"/>
  <c r="P874"/>
  <c r="P873"/>
  <c r="P872"/>
  <c r="P871"/>
  <c r="P870"/>
  <c r="P869"/>
  <c r="P868"/>
  <c r="P867"/>
  <c r="P866"/>
  <c r="P865"/>
  <c r="P864"/>
  <c r="P863"/>
  <c r="P862"/>
  <c r="P861"/>
  <c r="P860"/>
  <c r="P859"/>
  <c r="P858"/>
  <c r="P857"/>
  <c r="P856"/>
  <c r="P855"/>
  <c r="P854"/>
  <c r="P853"/>
  <c r="P852"/>
  <c r="P851"/>
  <c r="P850"/>
  <c r="P849"/>
  <c r="P848"/>
  <c r="P847"/>
  <c r="P846"/>
  <c r="P845"/>
  <c r="P844"/>
  <c r="P843"/>
  <c r="P842"/>
  <c r="P841"/>
  <c r="P840"/>
  <c r="P839"/>
  <c r="P838"/>
  <c r="P837"/>
  <c r="P836"/>
  <c r="P835"/>
  <c r="P834"/>
  <c r="P833"/>
  <c r="P832"/>
  <c r="P831"/>
  <c r="P830"/>
  <c r="P829"/>
  <c r="P828"/>
  <c r="P827"/>
  <c r="P826"/>
  <c r="P825"/>
  <c r="P824"/>
  <c r="P823"/>
  <c r="P822"/>
  <c r="P821"/>
  <c r="P820"/>
  <c r="P819"/>
  <c r="P818"/>
  <c r="P817"/>
  <c r="P816"/>
  <c r="P815"/>
  <c r="P814"/>
  <c r="P813"/>
  <c r="P812"/>
  <c r="P811"/>
  <c r="P810"/>
  <c r="P809"/>
  <c r="P808"/>
  <c r="P807"/>
  <c r="P806"/>
  <c r="P805"/>
  <c r="P804"/>
  <c r="P803"/>
  <c r="P802"/>
  <c r="P801"/>
  <c r="P800"/>
  <c r="P799"/>
  <c r="P798"/>
  <c r="P797"/>
  <c r="P796"/>
  <c r="P795"/>
  <c r="P794"/>
  <c r="P793"/>
  <c r="P792"/>
  <c r="P791"/>
  <c r="P790"/>
  <c r="P789"/>
  <c r="P788"/>
  <c r="P787"/>
  <c r="P786"/>
  <c r="P785"/>
  <c r="P784"/>
  <c r="P783"/>
  <c r="P782"/>
  <c r="P781"/>
  <c r="P780"/>
  <c r="P779"/>
  <c r="P778"/>
  <c r="P777"/>
  <c r="P776"/>
  <c r="P775"/>
  <c r="P774"/>
  <c r="P773"/>
  <c r="P772"/>
  <c r="P771"/>
  <c r="P770"/>
  <c r="P769"/>
  <c r="P768"/>
  <c r="P767"/>
  <c r="P766"/>
  <c r="P765"/>
  <c r="P764"/>
  <c r="P763"/>
  <c r="P762"/>
  <c r="P761"/>
  <c r="P760"/>
  <c r="P759"/>
  <c r="P758"/>
  <c r="P757"/>
  <c r="P756"/>
  <c r="P755"/>
  <c r="P754"/>
  <c r="P753"/>
  <c r="P752"/>
  <c r="P751"/>
  <c r="P750"/>
  <c r="P749"/>
  <c r="P748"/>
  <c r="P747"/>
  <c r="P746"/>
  <c r="P745"/>
  <c r="P744"/>
  <c r="P743"/>
  <c r="P742"/>
  <c r="P741"/>
  <c r="P740"/>
  <c r="P739"/>
  <c r="P738"/>
  <c r="P737"/>
  <c r="P736"/>
  <c r="P735"/>
  <c r="P734"/>
  <c r="P733"/>
  <c r="P732"/>
  <c r="P731"/>
  <c r="P730"/>
  <c r="P729"/>
  <c r="P728"/>
  <c r="P727"/>
  <c r="P726"/>
  <c r="P725"/>
  <c r="P724"/>
  <c r="P723"/>
  <c r="P722"/>
  <c r="P721"/>
  <c r="P720"/>
  <c r="P719"/>
  <c r="P718"/>
  <c r="P717"/>
  <c r="P716"/>
  <c r="P715"/>
  <c r="P714"/>
  <c r="P713"/>
  <c r="P712"/>
  <c r="P711"/>
  <c r="P710"/>
  <c r="P709"/>
  <c r="P708"/>
  <c r="P707"/>
  <c r="P706"/>
  <c r="P705"/>
  <c r="P704"/>
  <c r="P703"/>
  <c r="P702"/>
  <c r="P701"/>
  <c r="P700"/>
  <c r="P699"/>
  <c r="P698"/>
  <c r="P697"/>
  <c r="P696"/>
  <c r="P695"/>
  <c r="P694"/>
  <c r="P693"/>
  <c r="P692"/>
  <c r="P691"/>
  <c r="P690"/>
  <c r="P689"/>
  <c r="P688"/>
  <c r="P687"/>
  <c r="P686"/>
  <c r="P685"/>
  <c r="P684"/>
  <c r="P683"/>
  <c r="P682"/>
  <c r="P681"/>
  <c r="P680"/>
  <c r="P679"/>
  <c r="P678"/>
  <c r="P677"/>
  <c r="P676"/>
  <c r="P675"/>
  <c r="P674"/>
  <c r="P673"/>
  <c r="P672"/>
  <c r="P671"/>
  <c r="P670"/>
  <c r="P669"/>
  <c r="P668"/>
  <c r="P667"/>
  <c r="P666"/>
  <c r="P665"/>
  <c r="P664"/>
  <c r="P663"/>
  <c r="P662"/>
  <c r="P661"/>
  <c r="P660"/>
  <c r="P659"/>
  <c r="P658"/>
  <c r="P657"/>
  <c r="P656"/>
  <c r="P655"/>
  <c r="P654"/>
  <c r="P653"/>
  <c r="P652"/>
  <c r="P651"/>
  <c r="P650"/>
  <c r="P649"/>
  <c r="P648"/>
  <c r="P647"/>
  <c r="P646"/>
  <c r="P645"/>
  <c r="P644"/>
  <c r="P643"/>
  <c r="P642"/>
  <c r="P641"/>
  <c r="P640"/>
  <c r="P639"/>
  <c r="P638"/>
  <c r="P637"/>
  <c r="P636"/>
  <c r="P635"/>
  <c r="P634"/>
  <c r="P633"/>
  <c r="P632"/>
  <c r="P631"/>
  <c r="P630"/>
  <c r="P629"/>
  <c r="P628"/>
  <c r="P627"/>
  <c r="P626"/>
  <c r="P625"/>
  <c r="P624"/>
  <c r="P623"/>
  <c r="P622"/>
  <c r="P621"/>
  <c r="P620"/>
  <c r="P619"/>
  <c r="P618"/>
  <c r="P617"/>
  <c r="P616"/>
  <c r="P615"/>
  <c r="P614"/>
  <c r="P613"/>
  <c r="P612"/>
  <c r="P611"/>
  <c r="P610"/>
  <c r="P609"/>
  <c r="P608"/>
  <c r="P607"/>
  <c r="P606"/>
  <c r="P605"/>
  <c r="P604"/>
  <c r="P603"/>
  <c r="P602"/>
  <c r="P601"/>
  <c r="P600"/>
  <c r="P599"/>
  <c r="P598"/>
  <c r="P597"/>
  <c r="P596"/>
  <c r="P595"/>
  <c r="P594"/>
  <c r="P593"/>
  <c r="P592"/>
  <c r="P591"/>
  <c r="P590"/>
  <c r="P589"/>
  <c r="P588"/>
  <c r="P587"/>
  <c r="P586"/>
  <c r="P585"/>
  <c r="P584"/>
  <c r="P583"/>
  <c r="P582"/>
  <c r="P581"/>
  <c r="P580"/>
  <c r="P579"/>
  <c r="P578"/>
  <c r="P577"/>
  <c r="P576"/>
  <c r="P575"/>
  <c r="P574"/>
  <c r="P573"/>
  <c r="P572"/>
  <c r="P571"/>
  <c r="P570"/>
  <c r="P569"/>
  <c r="P568"/>
  <c r="P567"/>
  <c r="P566"/>
  <c r="P565"/>
  <c r="P564"/>
  <c r="P563"/>
  <c r="P562"/>
  <c r="P561"/>
  <c r="P560"/>
  <c r="P559"/>
  <c r="P558"/>
  <c r="P557"/>
  <c r="P556"/>
  <c r="P555"/>
  <c r="P554"/>
  <c r="P553"/>
  <c r="P552"/>
  <c r="P551"/>
  <c r="P550"/>
  <c r="P549"/>
  <c r="P548"/>
  <c r="P547"/>
  <c r="P546"/>
  <c r="P545"/>
  <c r="P544"/>
  <c r="P543"/>
  <c r="P542"/>
  <c r="P541"/>
  <c r="P540"/>
  <c r="P539"/>
  <c r="P538"/>
  <c r="P537"/>
  <c r="P536"/>
  <c r="P535"/>
  <c r="P534"/>
  <c r="P533"/>
  <c r="P532"/>
  <c r="P531"/>
  <c r="P530"/>
  <c r="P529"/>
  <c r="P528"/>
  <c r="P527"/>
  <c r="P526"/>
  <c r="P525"/>
  <c r="P524"/>
  <c r="P523"/>
  <c r="P522"/>
  <c r="P521"/>
  <c r="P520"/>
  <c r="P519"/>
  <c r="P518"/>
  <c r="P517"/>
  <c r="P516"/>
  <c r="P515"/>
  <c r="P514"/>
  <c r="P513"/>
  <c r="P512"/>
  <c r="P511"/>
  <c r="P510"/>
  <c r="P509"/>
  <c r="P508"/>
  <c r="P507"/>
  <c r="P506"/>
  <c r="P505"/>
  <c r="P504"/>
  <c r="P503"/>
  <c r="P502"/>
  <c r="P501"/>
  <c r="P500"/>
  <c r="P499"/>
  <c r="P498"/>
  <c r="P497"/>
  <c r="P496"/>
  <c r="P495"/>
  <c r="P494"/>
  <c r="P493"/>
  <c r="P492"/>
  <c r="P491"/>
  <c r="P490"/>
  <c r="P489"/>
  <c r="P488"/>
  <c r="P487"/>
  <c r="P486"/>
  <c r="P485"/>
  <c r="P484"/>
  <c r="P483"/>
  <c r="P482"/>
  <c r="P481"/>
  <c r="P480"/>
  <c r="P479"/>
  <c r="P478"/>
  <c r="P477"/>
  <c r="P476"/>
  <c r="P475"/>
  <c r="P474"/>
  <c r="P473"/>
  <c r="P472"/>
  <c r="P471"/>
  <c r="P470"/>
  <c r="P469"/>
  <c r="P468"/>
  <c r="P467"/>
  <c r="P466"/>
  <c r="P465"/>
  <c r="P464"/>
  <c r="P463"/>
  <c r="P462"/>
  <c r="P461"/>
  <c r="P460"/>
  <c r="P459"/>
  <c r="P458"/>
  <c r="P457"/>
  <c r="P456"/>
  <c r="P455"/>
  <c r="P454"/>
  <c r="P453"/>
  <c r="P452"/>
  <c r="P451"/>
  <c r="P450"/>
  <c r="P449"/>
  <c r="P448"/>
  <c r="P447"/>
  <c r="P446"/>
  <c r="P445"/>
  <c r="P444"/>
  <c r="P443"/>
  <c r="P442"/>
  <c r="P441"/>
  <c r="P440"/>
  <c r="P439"/>
  <c r="P438"/>
  <c r="P437"/>
  <c r="P436"/>
  <c r="P435"/>
  <c r="P434"/>
  <c r="P433"/>
  <c r="P432"/>
  <c r="P431"/>
  <c r="P430"/>
  <c r="P429"/>
  <c r="P428"/>
  <c r="P427"/>
  <c r="P426"/>
  <c r="P425"/>
  <c r="P424"/>
  <c r="P423"/>
  <c r="P422"/>
  <c r="P421"/>
  <c r="P420"/>
  <c r="P419"/>
  <c r="P418"/>
  <c r="P417"/>
  <c r="P416"/>
  <c r="P415"/>
  <c r="P414"/>
  <c r="P413"/>
  <c r="P412"/>
  <c r="P411"/>
  <c r="P410"/>
  <c r="P409"/>
  <c r="P408"/>
  <c r="P407"/>
  <c r="P406"/>
  <c r="P405"/>
  <c r="P404"/>
  <c r="P403"/>
  <c r="P402"/>
  <c r="P401"/>
  <c r="P400"/>
  <c r="P399"/>
  <c r="P398"/>
  <c r="P397"/>
  <c r="P396"/>
  <c r="P395"/>
  <c r="P394"/>
  <c r="P393"/>
  <c r="P392"/>
  <c r="P391"/>
  <c r="P390"/>
  <c r="P389"/>
  <c r="P388"/>
  <c r="P387"/>
  <c r="P386"/>
  <c r="P385"/>
  <c r="P384"/>
  <c r="P383"/>
  <c r="P382"/>
  <c r="P381"/>
  <c r="P380"/>
  <c r="P379"/>
  <c r="P378"/>
  <c r="P377"/>
  <c r="P376"/>
  <c r="P375"/>
  <c r="P374"/>
  <c r="P373"/>
  <c r="P372"/>
  <c r="P371"/>
  <c r="P370"/>
  <c r="P369"/>
  <c r="P368"/>
  <c r="P367"/>
  <c r="P366"/>
  <c r="P365"/>
  <c r="P364"/>
  <c r="P363"/>
  <c r="P362"/>
  <c r="P361"/>
  <c r="P360"/>
  <c r="P359"/>
  <c r="P358"/>
  <c r="P357"/>
  <c r="P356"/>
  <c r="P355"/>
  <c r="P354"/>
  <c r="P353"/>
  <c r="P352"/>
  <c r="P351"/>
  <c r="P350"/>
  <c r="P349"/>
  <c r="P348"/>
  <c r="P347"/>
  <c r="P346"/>
  <c r="P345"/>
  <c r="P344"/>
  <c r="P343"/>
  <c r="P342"/>
  <c r="P341"/>
  <c r="P340"/>
  <c r="P339"/>
  <c r="P338"/>
  <c r="P337"/>
  <c r="P336"/>
  <c r="P335"/>
  <c r="P334"/>
  <c r="P333"/>
  <c r="P332"/>
  <c r="P331"/>
  <c r="P330"/>
  <c r="P329"/>
  <c r="P328"/>
  <c r="P327"/>
  <c r="P326"/>
  <c r="P325"/>
  <c r="P324"/>
  <c r="P323"/>
  <c r="P322"/>
  <c r="P321"/>
  <c r="P320"/>
  <c r="P319"/>
  <c r="P318"/>
  <c r="P317"/>
  <c r="P316"/>
  <c r="P315"/>
  <c r="P314"/>
  <c r="P313"/>
  <c r="P312"/>
  <c r="P311"/>
  <c r="P310"/>
  <c r="P309"/>
  <c r="P308"/>
  <c r="P307"/>
  <c r="P306"/>
  <c r="P305"/>
  <c r="P304"/>
  <c r="P303"/>
  <c r="P302"/>
  <c r="P301"/>
  <c r="P300"/>
  <c r="P299"/>
  <c r="P298"/>
  <c r="P297"/>
  <c r="P296"/>
  <c r="P295"/>
  <c r="P294"/>
  <c r="P293"/>
  <c r="P292"/>
  <c r="P291"/>
  <c r="P290"/>
  <c r="P289"/>
  <c r="P288"/>
  <c r="P287"/>
  <c r="P286"/>
  <c r="P285"/>
  <c r="P284"/>
  <c r="P283"/>
  <c r="P282"/>
  <c r="P281"/>
  <c r="P280"/>
  <c r="P279"/>
  <c r="P278"/>
  <c r="P277"/>
  <c r="P276"/>
  <c r="P275"/>
  <c r="P274"/>
  <c r="P273"/>
  <c r="P272"/>
  <c r="P271"/>
  <c r="P270"/>
  <c r="P269"/>
  <c r="P268"/>
  <c r="P267"/>
  <c r="P266"/>
  <c r="P265"/>
  <c r="P264"/>
  <c r="P263"/>
  <c r="P262"/>
  <c r="P261"/>
  <c r="P260"/>
  <c r="P259"/>
  <c r="P258"/>
  <c r="P257"/>
  <c r="P256"/>
  <c r="P255"/>
  <c r="P254"/>
  <c r="P253"/>
  <c r="P252"/>
  <c r="P251"/>
  <c r="P250"/>
  <c r="P249"/>
  <c r="P248"/>
  <c r="P247"/>
  <c r="P246"/>
  <c r="P245"/>
  <c r="P244"/>
  <c r="P243"/>
  <c r="P242"/>
  <c r="P241"/>
  <c r="P240"/>
  <c r="P239"/>
  <c r="P238"/>
  <c r="P237"/>
  <c r="P236"/>
  <c r="P235"/>
  <c r="P234"/>
  <c r="P233"/>
  <c r="P232"/>
  <c r="P231"/>
  <c r="P230"/>
  <c r="P229"/>
  <c r="P228"/>
  <c r="P227"/>
  <c r="P226"/>
  <c r="P225"/>
  <c r="P224"/>
  <c r="P223"/>
  <c r="P222"/>
  <c r="P221"/>
  <c r="P220"/>
  <c r="P219"/>
  <c r="P218"/>
  <c r="P217"/>
  <c r="P216"/>
  <c r="P215"/>
  <c r="P214"/>
  <c r="P213"/>
  <c r="P212"/>
  <c r="P211"/>
  <c r="P210"/>
  <c r="P209"/>
  <c r="P208"/>
  <c r="P207"/>
  <c r="P206"/>
  <c r="P205"/>
  <c r="P204"/>
  <c r="P203"/>
  <c r="P202"/>
  <c r="P201"/>
  <c r="P200"/>
  <c r="P199"/>
  <c r="P198"/>
  <c r="P197"/>
  <c r="P196"/>
  <c r="P195"/>
  <c r="P194"/>
  <c r="P193"/>
  <c r="P192"/>
  <c r="P191"/>
  <c r="P190"/>
  <c r="P189"/>
  <c r="P188"/>
  <c r="P187"/>
  <c r="P186"/>
  <c r="P185"/>
  <c r="P184"/>
  <c r="P183"/>
  <c r="P182"/>
  <c r="P181"/>
  <c r="P180"/>
  <c r="P179"/>
  <c r="P178"/>
  <c r="P177"/>
  <c r="P176"/>
  <c r="P175"/>
  <c r="P174"/>
  <c r="P173"/>
  <c r="P172"/>
  <c r="P171"/>
  <c r="P170"/>
  <c r="P169"/>
  <c r="P168"/>
  <c r="P167"/>
  <c r="P166"/>
  <c r="P165"/>
  <c r="P164"/>
  <c r="P163"/>
  <c r="P162"/>
  <c r="P161"/>
  <c r="P160"/>
  <c r="P159"/>
  <c r="P158"/>
  <c r="P157"/>
  <c r="P156"/>
  <c r="P155"/>
  <c r="P154"/>
  <c r="P153"/>
  <c r="P152"/>
  <c r="P151"/>
  <c r="P150"/>
  <c r="P149"/>
  <c r="P148"/>
  <c r="P147"/>
  <c r="P146"/>
  <c r="P145"/>
  <c r="P144"/>
  <c r="P143"/>
  <c r="P142"/>
  <c r="P141"/>
  <c r="P140"/>
  <c r="P139"/>
  <c r="P138"/>
  <c r="P137"/>
  <c r="P136"/>
  <c r="P135"/>
  <c r="P134"/>
  <c r="P133"/>
  <c r="P132"/>
  <c r="P131"/>
  <c r="P130"/>
  <c r="P129"/>
  <c r="P128"/>
  <c r="P127"/>
  <c r="P126"/>
  <c r="P125"/>
  <c r="P124"/>
  <c r="P123"/>
  <c r="P122"/>
  <c r="P121"/>
  <c r="P120"/>
  <c r="P119"/>
  <c r="P118"/>
  <c r="P117"/>
  <c r="P116"/>
  <c r="P115"/>
  <c r="P114"/>
  <c r="P113"/>
  <c r="P112"/>
  <c r="P111"/>
  <c r="P110"/>
  <c r="P109"/>
  <c r="P108"/>
  <c r="P107"/>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P44"/>
  <c r="P43"/>
  <c r="P42"/>
  <c r="P41"/>
  <c r="P40"/>
  <c r="P39"/>
  <c r="P38"/>
  <c r="P37"/>
  <c r="P36"/>
  <c r="P35"/>
  <c r="P34"/>
  <c r="P33"/>
  <c r="P32"/>
  <c r="P31"/>
  <c r="P30"/>
  <c r="P29"/>
  <c r="P28"/>
  <c r="P27"/>
  <c r="P26"/>
  <c r="P25"/>
  <c r="P24"/>
  <c r="P23"/>
  <c r="P22"/>
  <c r="P21"/>
  <c r="P20"/>
  <c r="P19"/>
  <c r="P18"/>
  <c r="P17"/>
  <c r="P16"/>
  <c r="P15"/>
  <c r="P14"/>
  <c r="P13"/>
  <c r="P12"/>
  <c r="P11"/>
  <c r="P10"/>
  <c r="P9"/>
  <c r="P8"/>
  <c r="P7"/>
  <c r="P6"/>
  <c r="P30" i="15"/>
  <c r="P29"/>
  <c r="P28"/>
  <c r="E5"/>
  <c r="F5"/>
  <c r="E5" i="1"/>
  <c r="F5"/>
  <c r="F3"/>
  <c r="G5"/>
  <c r="H5"/>
  <c r="I5"/>
  <c r="J5"/>
  <c r="K5"/>
  <c r="L5"/>
  <c r="M5"/>
  <c r="N5"/>
  <c r="O5"/>
  <c r="P5"/>
  <c r="O4" i="15"/>
  <c r="N4"/>
  <c r="M4"/>
  <c r="L4"/>
  <c r="K4"/>
  <c r="J4"/>
  <c r="I4"/>
  <c r="H4"/>
  <c r="G4"/>
  <c r="F4"/>
  <c r="E4"/>
  <c r="D4"/>
  <c r="E5" i="4"/>
  <c r="F5"/>
  <c r="F3"/>
  <c r="G5"/>
  <c r="H5"/>
  <c r="I5"/>
  <c r="J5"/>
  <c r="K5"/>
  <c r="L5"/>
  <c r="M5"/>
  <c r="N5"/>
  <c r="O5"/>
  <c r="O34"/>
  <c r="P5"/>
  <c r="P37"/>
  <c r="G34"/>
  <c r="E34"/>
  <c r="M34"/>
  <c r="I35"/>
  <c r="E36"/>
  <c r="M36"/>
  <c r="I37"/>
  <c r="F34"/>
  <c r="N34"/>
  <c r="J35"/>
  <c r="F36"/>
  <c r="N36"/>
  <c r="J37"/>
  <c r="K35"/>
  <c r="G36"/>
  <c r="O36"/>
  <c r="K37"/>
  <c r="H34"/>
  <c r="P34"/>
  <c r="L35"/>
  <c r="H36"/>
  <c r="P36"/>
  <c r="L37"/>
  <c r="I34"/>
  <c r="E35"/>
  <c r="I36"/>
  <c r="M37"/>
  <c r="F35"/>
  <c r="J36"/>
  <c r="N37"/>
  <c r="K34"/>
  <c r="G35"/>
  <c r="O35"/>
  <c r="K36"/>
  <c r="G37"/>
  <c r="O37"/>
  <c r="M35"/>
  <c r="E37"/>
  <c r="J34"/>
  <c r="N35"/>
  <c r="F37"/>
  <c r="L34"/>
  <c r="H35"/>
  <c r="P35"/>
  <c r="L36"/>
  <c r="H37"/>
  <c r="F13"/>
  <c r="F9"/>
  <c r="I19"/>
  <c r="N9"/>
  <c r="F7"/>
  <c r="N7"/>
  <c r="N33"/>
  <c r="N31"/>
  <c r="N29"/>
  <c r="J28"/>
  <c r="J26"/>
  <c r="N25"/>
  <c r="J24"/>
  <c r="F23"/>
  <c r="N21"/>
  <c r="J20"/>
  <c r="F19"/>
  <c r="G12"/>
  <c r="O10"/>
  <c r="K9"/>
  <c r="G8"/>
  <c r="K7"/>
  <c r="O6"/>
  <c r="G20"/>
  <c r="L12"/>
  <c r="H11"/>
  <c r="L8"/>
  <c r="N30"/>
  <c r="F26"/>
  <c r="J23"/>
  <c r="N20"/>
  <c r="G13"/>
  <c r="K10"/>
  <c r="O7"/>
  <c r="M32"/>
  <c r="E30"/>
  <c r="I27"/>
  <c r="I25"/>
  <c r="M22"/>
  <c r="F33"/>
  <c r="J32"/>
  <c r="F31"/>
  <c r="J30"/>
  <c r="F29"/>
  <c r="N27"/>
  <c r="F27"/>
  <c r="F25"/>
  <c r="N23"/>
  <c r="J22"/>
  <c r="F21"/>
  <c r="N19"/>
  <c r="K13"/>
  <c r="O12"/>
  <c r="K11"/>
  <c r="G10"/>
  <c r="O8"/>
  <c r="G6"/>
  <c r="H13"/>
  <c r="H9"/>
  <c r="L6"/>
  <c r="F32"/>
  <c r="J29"/>
  <c r="J27"/>
  <c r="F24"/>
  <c r="J21"/>
  <c r="J19"/>
  <c r="G11"/>
  <c r="G9"/>
  <c r="K6"/>
  <c r="E32"/>
  <c r="I29"/>
  <c r="M26"/>
  <c r="E24"/>
  <c r="P18"/>
  <c r="K33"/>
  <c r="O32"/>
  <c r="G32"/>
  <c r="K31"/>
  <c r="O30"/>
  <c r="G30"/>
  <c r="K29"/>
  <c r="O28"/>
  <c r="G28"/>
  <c r="K27"/>
  <c r="O26"/>
  <c r="G26"/>
  <c r="K25"/>
  <c r="O24"/>
  <c r="G24"/>
  <c r="K23"/>
  <c r="O22"/>
  <c r="G22"/>
  <c r="K21"/>
  <c r="O20"/>
  <c r="K19"/>
  <c r="P11"/>
  <c r="L10"/>
  <c r="P7"/>
  <c r="N32"/>
  <c r="F30"/>
  <c r="F28"/>
  <c r="J25"/>
  <c r="N22"/>
  <c r="F20"/>
  <c r="O11"/>
  <c r="K8"/>
  <c r="I31"/>
  <c r="E28"/>
  <c r="M24"/>
  <c r="P13"/>
  <c r="P9"/>
  <c r="H7"/>
  <c r="J33"/>
  <c r="J31"/>
  <c r="N28"/>
  <c r="N26"/>
  <c r="N24"/>
  <c r="F22"/>
  <c r="O13"/>
  <c r="K12"/>
  <c r="O9"/>
  <c r="G7"/>
  <c r="I33"/>
  <c r="M30"/>
  <c r="M28"/>
  <c r="E26"/>
  <c r="I23"/>
  <c r="E20"/>
  <c r="J12"/>
  <c r="J8"/>
  <c r="N13"/>
  <c r="J10"/>
  <c r="F11"/>
  <c r="I21"/>
  <c r="M20"/>
  <c r="J6"/>
  <c r="N11"/>
  <c r="E22"/>
  <c r="E6"/>
  <c r="M6"/>
  <c r="I7"/>
  <c r="E8"/>
  <c r="M8"/>
  <c r="I9"/>
  <c r="E10"/>
  <c r="M10"/>
  <c r="I11"/>
  <c r="E12"/>
  <c r="M12"/>
  <c r="I13"/>
  <c r="E18"/>
  <c r="L19"/>
  <c r="H20"/>
  <c r="P20"/>
  <c r="L21"/>
  <c r="H22"/>
  <c r="P22"/>
  <c r="L23"/>
  <c r="H24"/>
  <c r="P24"/>
  <c r="L25"/>
  <c r="H26"/>
  <c r="P26"/>
  <c r="L27"/>
  <c r="H28"/>
  <c r="P28"/>
  <c r="L29"/>
  <c r="H30"/>
  <c r="P30"/>
  <c r="L31"/>
  <c r="H32"/>
  <c r="P32"/>
  <c r="L33"/>
  <c r="F6"/>
  <c r="N6"/>
  <c r="J7"/>
  <c r="F8"/>
  <c r="N8"/>
  <c r="J9"/>
  <c r="F10"/>
  <c r="N10"/>
  <c r="J11"/>
  <c r="F12"/>
  <c r="N12"/>
  <c r="J13"/>
  <c r="E19"/>
  <c r="M19"/>
  <c r="I20"/>
  <c r="E21"/>
  <c r="M21"/>
  <c r="I22"/>
  <c r="E23"/>
  <c r="M23"/>
  <c r="I24"/>
  <c r="E25"/>
  <c r="M25"/>
  <c r="I26"/>
  <c r="E27"/>
  <c r="M27"/>
  <c r="I28"/>
  <c r="E29"/>
  <c r="M29"/>
  <c r="I30"/>
  <c r="E31"/>
  <c r="M31"/>
  <c r="I32"/>
  <c r="E33"/>
  <c r="M33"/>
  <c r="H6"/>
  <c r="P6"/>
  <c r="L7"/>
  <c r="H8"/>
  <c r="P8"/>
  <c r="L9"/>
  <c r="H10"/>
  <c r="P10"/>
  <c r="L11"/>
  <c r="H12"/>
  <c r="P12"/>
  <c r="L13"/>
  <c r="G19"/>
  <c r="O19"/>
  <c r="K20"/>
  <c r="G21"/>
  <c r="O21"/>
  <c r="K22"/>
  <c r="G23"/>
  <c r="O23"/>
  <c r="K24"/>
  <c r="G25"/>
  <c r="O25"/>
  <c r="K26"/>
  <c r="G27"/>
  <c r="O27"/>
  <c r="K28"/>
  <c r="G29"/>
  <c r="O29"/>
  <c r="K30"/>
  <c r="G31"/>
  <c r="O31"/>
  <c r="K32"/>
  <c r="G33"/>
  <c r="O33"/>
  <c r="I6"/>
  <c r="E7"/>
  <c r="M7"/>
  <c r="I8"/>
  <c r="E9"/>
  <c r="M9"/>
  <c r="I10"/>
  <c r="E11"/>
  <c r="M11"/>
  <c r="I12"/>
  <c r="E13"/>
  <c r="M13"/>
  <c r="H19"/>
  <c r="P19"/>
  <c r="L20"/>
  <c r="H21"/>
  <c r="P21"/>
  <c r="L22"/>
  <c r="H23"/>
  <c r="P23"/>
  <c r="L24"/>
  <c r="H25"/>
  <c r="P25"/>
  <c r="L26"/>
  <c r="H27"/>
  <c r="P27"/>
  <c r="L28"/>
  <c r="H29"/>
  <c r="P29"/>
  <c r="L30"/>
  <c r="H31"/>
  <c r="P31"/>
  <c r="L32"/>
  <c r="H33"/>
  <c r="P33"/>
  <c r="G18"/>
  <c r="O18"/>
  <c r="H18"/>
  <c r="F18"/>
  <c r="N18"/>
  <c r="I18"/>
  <c r="K18"/>
  <c r="L18"/>
  <c r="J18"/>
  <c r="M18"/>
  <c r="L6" i="15"/>
  <c r="D6"/>
  <c r="M6"/>
  <c r="N6"/>
  <c r="G6"/>
  <c r="J6"/>
  <c r="E6"/>
  <c r="E7"/>
  <c r="F6"/>
  <c r="F7"/>
  <c r="O6"/>
  <c r="K6"/>
  <c r="H6"/>
  <c r="I6"/>
  <c r="G5"/>
  <c r="E5" i="13"/>
  <c r="E5" i="9"/>
  <c r="E5" i="11"/>
  <c r="E30" i="15"/>
  <c r="E9"/>
  <c r="F30"/>
  <c r="F9"/>
  <c r="G7"/>
  <c r="G9"/>
  <c r="Q6"/>
  <c r="R38" i="1"/>
  <c r="Q29" i="15"/>
  <c r="H5"/>
  <c r="D5"/>
  <c r="G30"/>
  <c r="G11"/>
  <c r="H7"/>
  <c r="I5"/>
  <c r="D7"/>
  <c r="D11"/>
  <c r="E11"/>
  <c r="F11"/>
  <c r="D9"/>
  <c r="H30"/>
  <c r="H9"/>
  <c r="H11"/>
  <c r="D30"/>
  <c r="D10"/>
  <c r="E10"/>
  <c r="F10"/>
  <c r="G10"/>
  <c r="H10"/>
  <c r="I7"/>
  <c r="J5"/>
  <c r="F3" i="13"/>
  <c r="F3" i="9"/>
  <c r="F3" i="12"/>
  <c r="F3" i="11"/>
  <c r="E5" i="12"/>
  <c r="F5"/>
  <c r="G5"/>
  <c r="H5"/>
  <c r="I5"/>
  <c r="J5"/>
  <c r="K5"/>
  <c r="L5"/>
  <c r="M5"/>
  <c r="N5"/>
  <c r="O5"/>
  <c r="P5"/>
  <c r="E4"/>
  <c r="B2" i="4"/>
  <c r="N29" i="15"/>
  <c r="M29"/>
  <c r="L29"/>
  <c r="F29"/>
  <c r="E29"/>
  <c r="D29"/>
  <c r="R37" i="1"/>
  <c r="R36"/>
  <c r="R35"/>
  <c r="R34"/>
  <c r="R33"/>
  <c r="R32"/>
  <c r="R31"/>
  <c r="R30"/>
  <c r="R29"/>
  <c r="R28"/>
  <c r="R27"/>
  <c r="R26"/>
  <c r="R18"/>
  <c r="Q14"/>
  <c r="Q40"/>
  <c r="I28" i="15"/>
  <c r="H28"/>
  <c r="G28"/>
  <c r="F28"/>
  <c r="D28"/>
  <c r="R13" i="1"/>
  <c r="R12"/>
  <c r="R11"/>
  <c r="R10"/>
  <c r="R9"/>
  <c r="R8"/>
  <c r="R7"/>
  <c r="R41" i="4"/>
  <c r="R39"/>
  <c r="R15"/>
  <c r="R23" i="1"/>
  <c r="R22"/>
  <c r="O29" i="15"/>
  <c r="K29"/>
  <c r="I29"/>
  <c r="H29"/>
  <c r="R19" i="1"/>
  <c r="K5" i="3"/>
  <c r="C19" i="13"/>
  <c r="C18" i="11"/>
  <c r="I5" i="3"/>
  <c r="E42" i="1"/>
  <c r="C6" i="2"/>
  <c r="C25" i="13"/>
  <c r="C24"/>
  <c r="C22"/>
  <c r="C23"/>
  <c r="C21"/>
  <c r="C9" i="11"/>
  <c r="C7" i="9"/>
  <c r="C6" i="12"/>
  <c r="B2" i="13"/>
  <c r="C37"/>
  <c r="C36"/>
  <c r="C20"/>
  <c r="E17"/>
  <c r="E16"/>
  <c r="C9"/>
  <c r="C7"/>
  <c r="C6"/>
  <c r="F5"/>
  <c r="E4"/>
  <c r="B2" i="9"/>
  <c r="B2" i="11"/>
  <c r="B2" i="12"/>
  <c r="C37"/>
  <c r="C36"/>
  <c r="C25"/>
  <c r="C20"/>
  <c r="C19"/>
  <c r="C18"/>
  <c r="C9"/>
  <c r="C7"/>
  <c r="C37" i="11"/>
  <c r="C36"/>
  <c r="C20"/>
  <c r="C19"/>
  <c r="E17"/>
  <c r="E16"/>
  <c r="C6"/>
  <c r="F5"/>
  <c r="E4"/>
  <c r="C37" i="9"/>
  <c r="C36"/>
  <c r="C20"/>
  <c r="C19"/>
  <c r="C18"/>
  <c r="E17"/>
  <c r="E16"/>
  <c r="C9"/>
  <c r="C6"/>
  <c r="F5"/>
  <c r="F4"/>
  <c r="E4"/>
  <c r="I30" i="15"/>
  <c r="I9"/>
  <c r="I11"/>
  <c r="I10"/>
  <c r="J7"/>
  <c r="J9"/>
  <c r="J28"/>
  <c r="K5"/>
  <c r="E28"/>
  <c r="E42" i="9"/>
  <c r="E44"/>
  <c r="E42" i="11"/>
  <c r="E44"/>
  <c r="E17" i="12"/>
  <c r="E16"/>
  <c r="R25" i="1"/>
  <c r="R20"/>
  <c r="R24"/>
  <c r="R21"/>
  <c r="J29" i="15"/>
  <c r="F17" i="12"/>
  <c r="F16"/>
  <c r="F4"/>
  <c r="C18" i="13"/>
  <c r="C25" i="11"/>
  <c r="C21"/>
  <c r="C21" i="9"/>
  <c r="C22"/>
  <c r="C22" i="11"/>
  <c r="C21" i="12"/>
  <c r="C23" i="9"/>
  <c r="C23" i="11"/>
  <c r="C22" i="12"/>
  <c r="C24" i="9"/>
  <c r="C24" i="11"/>
  <c r="C23" i="12"/>
  <c r="C25" i="9"/>
  <c r="C24" i="12"/>
  <c r="C7" i="11"/>
  <c r="F17" i="13"/>
  <c r="F16"/>
  <c r="F4"/>
  <c r="F17" i="11"/>
  <c r="F16"/>
  <c r="F4"/>
  <c r="F17" i="9"/>
  <c r="F16"/>
  <c r="B2" i="5"/>
  <c r="G4" i="2"/>
  <c r="C1" i="15"/>
  <c r="J30"/>
  <c r="J11"/>
  <c r="J10"/>
  <c r="G29"/>
  <c r="L5"/>
  <c r="K7"/>
  <c r="K28"/>
  <c r="F42" i="11"/>
  <c r="F42" i="9"/>
  <c r="M42" i="5"/>
  <c r="I20"/>
  <c r="I31"/>
  <c r="I37"/>
  <c r="I35"/>
  <c r="I8"/>
  <c r="I30"/>
  <c r="I28"/>
  <c r="I27"/>
  <c r="I29"/>
  <c r="I34"/>
  <c r="I26"/>
  <c r="I33"/>
  <c r="I32"/>
  <c r="I19"/>
  <c r="I23"/>
  <c r="I24"/>
  <c r="I25"/>
  <c r="I22"/>
  <c r="I21"/>
  <c r="E10"/>
  <c r="M30"/>
  <c r="M22"/>
  <c r="M6"/>
  <c r="E33"/>
  <c r="E25"/>
  <c r="E27"/>
  <c r="M31"/>
  <c r="E26"/>
  <c r="M37"/>
  <c r="M29"/>
  <c r="M21"/>
  <c r="E32"/>
  <c r="E24"/>
  <c r="M27"/>
  <c r="E22"/>
  <c r="E8"/>
  <c r="M24"/>
  <c r="M23"/>
  <c r="E34"/>
  <c r="E6"/>
  <c r="M28"/>
  <c r="M20"/>
  <c r="E31"/>
  <c r="E23"/>
  <c r="M35"/>
  <c r="M19"/>
  <c r="E30"/>
  <c r="M32"/>
  <c r="E19"/>
  <c r="E18"/>
  <c r="M34"/>
  <c r="M26"/>
  <c r="M18"/>
  <c r="E37"/>
  <c r="E29"/>
  <c r="E21"/>
  <c r="E9"/>
  <c r="M33"/>
  <c r="M25"/>
  <c r="E28"/>
  <c r="E20"/>
  <c r="E35"/>
  <c r="G42" i="11"/>
  <c r="G44"/>
  <c r="F44"/>
  <c r="G42" i="9"/>
  <c r="F44"/>
  <c r="K30" i="15"/>
  <c r="K9"/>
  <c r="K11"/>
  <c r="K10"/>
  <c r="M5"/>
  <c r="L7"/>
  <c r="L28"/>
  <c r="I9" i="5"/>
  <c r="M9"/>
  <c r="M8"/>
  <c r="K4"/>
  <c r="C37"/>
  <c r="C36"/>
  <c r="C25"/>
  <c r="C24"/>
  <c r="C23"/>
  <c r="C22"/>
  <c r="C21"/>
  <c r="C20"/>
  <c r="C19"/>
  <c r="C18"/>
  <c r="D17"/>
  <c r="D16"/>
  <c r="C9"/>
  <c r="C7"/>
  <c r="C6"/>
  <c r="B5"/>
  <c r="D4"/>
  <c r="B5" i="4"/>
  <c r="Q44" i="1"/>
  <c r="E17"/>
  <c r="E16"/>
  <c r="H42" i="9"/>
  <c r="G44"/>
  <c r="L30" i="15"/>
  <c r="L9"/>
  <c r="L11"/>
  <c r="L10"/>
  <c r="N5"/>
  <c r="R6" i="1"/>
  <c r="R14"/>
  <c r="M7" i="15"/>
  <c r="M9"/>
  <c r="M28"/>
  <c r="I10" i="5"/>
  <c r="E11"/>
  <c r="C28"/>
  <c r="C28" i="11"/>
  <c r="C28" i="9"/>
  <c r="C28" i="13"/>
  <c r="C28" i="12"/>
  <c r="C35" i="5"/>
  <c r="C35" i="11"/>
  <c r="C35" i="13"/>
  <c r="C35" i="12"/>
  <c r="C35" i="9"/>
  <c r="F4" i="5"/>
  <c r="F17"/>
  <c r="F16"/>
  <c r="E17"/>
  <c r="E16"/>
  <c r="E4"/>
  <c r="D13" i="15"/>
  <c r="C7" i="2"/>
  <c r="E17" i="4"/>
  <c r="E16"/>
  <c r="E4" i="1"/>
  <c r="I42" i="9"/>
  <c r="H44"/>
  <c r="M30" i="15"/>
  <c r="M11"/>
  <c r="M10"/>
  <c r="N28"/>
  <c r="N7"/>
  <c r="O5"/>
  <c r="I11" i="5"/>
  <c r="M10"/>
  <c r="I12"/>
  <c r="E12"/>
  <c r="M11"/>
  <c r="C26"/>
  <c r="C26" i="13"/>
  <c r="C26" i="12"/>
  <c r="C26" i="11"/>
  <c r="C26" i="9"/>
  <c r="C27" i="5"/>
  <c r="C27" i="11"/>
  <c r="C27" i="9"/>
  <c r="C27" i="13"/>
  <c r="C27" i="12"/>
  <c r="E3" i="5"/>
  <c r="G5" i="9"/>
  <c r="G5" i="11"/>
  <c r="G5" i="13"/>
  <c r="G4" i="12"/>
  <c r="C30" i="5"/>
  <c r="C30" i="9"/>
  <c r="C30" i="13"/>
  <c r="C30" i="12"/>
  <c r="C30" i="11"/>
  <c r="C29" i="5"/>
  <c r="C29" i="9"/>
  <c r="C29" i="11"/>
  <c r="C29" i="13"/>
  <c r="C29" i="12"/>
  <c r="C31" i="5"/>
  <c r="C31" i="13"/>
  <c r="C31" i="9"/>
  <c r="C31" i="11"/>
  <c r="C31" i="12"/>
  <c r="C32" i="5"/>
  <c r="C32" i="13"/>
  <c r="C32" i="12"/>
  <c r="C32" i="11"/>
  <c r="C32" i="9"/>
  <c r="C10" i="5"/>
  <c r="C10" i="13"/>
  <c r="C10" i="9"/>
  <c r="C10" i="11"/>
  <c r="C10" i="12"/>
  <c r="C8" i="5"/>
  <c r="C8" i="11"/>
  <c r="C8" i="12"/>
  <c r="C8" i="13"/>
  <c r="C8" i="9"/>
  <c r="E46"/>
  <c r="E46" i="11"/>
  <c r="G4" i="5"/>
  <c r="F4" i="1"/>
  <c r="F17"/>
  <c r="F16"/>
  <c r="E4" i="4"/>
  <c r="G17" i="1"/>
  <c r="G16"/>
  <c r="R82" i="4"/>
  <c r="R81"/>
  <c r="R80"/>
  <c r="R79"/>
  <c r="R78"/>
  <c r="R77"/>
  <c r="R76"/>
  <c r="R75"/>
  <c r="R74"/>
  <c r="R73"/>
  <c r="R72"/>
  <c r="R71"/>
  <c r="R70"/>
  <c r="R69"/>
  <c r="R68"/>
  <c r="R67"/>
  <c r="R66"/>
  <c r="R65"/>
  <c r="R64"/>
  <c r="R63"/>
  <c r="R62"/>
  <c r="R61"/>
  <c r="R60"/>
  <c r="R59"/>
  <c r="R58"/>
  <c r="R57"/>
  <c r="R56"/>
  <c r="R55"/>
  <c r="R54"/>
  <c r="R53"/>
  <c r="R52"/>
  <c r="R51"/>
  <c r="R50"/>
  <c r="R49"/>
  <c r="R48"/>
  <c r="C32"/>
  <c r="C31"/>
  <c r="C30"/>
  <c r="C29"/>
  <c r="C28"/>
  <c r="C27"/>
  <c r="C26"/>
  <c r="C25"/>
  <c r="C24"/>
  <c r="C23"/>
  <c r="C22"/>
  <c r="C21"/>
  <c r="C20"/>
  <c r="C19"/>
  <c r="C18"/>
  <c r="C10"/>
  <c r="C9"/>
  <c r="C8"/>
  <c r="C7"/>
  <c r="C6"/>
  <c r="E42"/>
  <c r="I6" i="3"/>
  <c r="I7"/>
  <c r="I8"/>
  <c r="C23" i="1"/>
  <c r="R42"/>
  <c r="R44"/>
  <c r="C32"/>
  <c r="C31"/>
  <c r="C30"/>
  <c r="C29"/>
  <c r="C28"/>
  <c r="C27"/>
  <c r="C26"/>
  <c r="C25"/>
  <c r="C24"/>
  <c r="C22"/>
  <c r="C21"/>
  <c r="C20"/>
  <c r="C19"/>
  <c r="C18"/>
  <c r="C10"/>
  <c r="C9"/>
  <c r="C8"/>
  <c r="C7"/>
  <c r="C6"/>
  <c r="C37"/>
  <c r="C35"/>
  <c r="C36"/>
  <c r="C11"/>
  <c r="R117"/>
  <c r="R116"/>
  <c r="R115"/>
  <c r="R114"/>
  <c r="R113"/>
  <c r="R112"/>
  <c r="R111"/>
  <c r="R110"/>
  <c r="R109"/>
  <c r="R108"/>
  <c r="R107"/>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1"/>
  <c r="R39"/>
  <c r="R15"/>
  <c r="J42" i="9"/>
  <c r="I44"/>
  <c r="E13" i="15"/>
  <c r="N30"/>
  <c r="N9"/>
  <c r="N11"/>
  <c r="E27" i="12"/>
  <c r="E19" i="13"/>
  <c r="E28" i="12"/>
  <c r="J34" i="15"/>
  <c r="E20" i="13"/>
  <c r="N10" i="15"/>
  <c r="O28"/>
  <c r="O7"/>
  <c r="Q5"/>
  <c r="Q28"/>
  <c r="R42" i="4"/>
  <c r="E42" i="12"/>
  <c r="E42" i="13"/>
  <c r="F42"/>
  <c r="G42"/>
  <c r="H42"/>
  <c r="I42"/>
  <c r="J42"/>
  <c r="K42"/>
  <c r="L42"/>
  <c r="M42"/>
  <c r="N42"/>
  <c r="O42"/>
  <c r="P42"/>
  <c r="M12" i="5"/>
  <c r="E13"/>
  <c r="E23" i="13"/>
  <c r="E23" i="12"/>
  <c r="E31" i="13"/>
  <c r="E31" i="12"/>
  <c r="G17"/>
  <c r="G16"/>
  <c r="H4"/>
  <c r="G17" i="13"/>
  <c r="G16"/>
  <c r="G4"/>
  <c r="H5"/>
  <c r="C11" i="9"/>
  <c r="C11" i="11"/>
  <c r="C11" i="12"/>
  <c r="C11" i="13"/>
  <c r="G17" i="11"/>
  <c r="G16"/>
  <c r="H5"/>
  <c r="G4"/>
  <c r="E18" i="12"/>
  <c r="E18" i="13"/>
  <c r="H5" i="9"/>
  <c r="G4"/>
  <c r="G17"/>
  <c r="G16"/>
  <c r="C13" i="11"/>
  <c r="C13" i="12"/>
  <c r="C13" i="13"/>
  <c r="C13" i="9"/>
  <c r="C33" i="13"/>
  <c r="C33" i="12"/>
  <c r="C33" i="11"/>
  <c r="C33" i="9"/>
  <c r="E22" i="13"/>
  <c r="E22" i="12"/>
  <c r="C12" i="9"/>
  <c r="C12" i="11"/>
  <c r="C12" i="13"/>
  <c r="C12" i="12"/>
  <c r="C34" i="13"/>
  <c r="C34" i="12"/>
  <c r="C34" i="11"/>
  <c r="C34" i="9"/>
  <c r="E21" i="12"/>
  <c r="E21" i="13"/>
  <c r="F46" i="11"/>
  <c r="F46" i="9"/>
  <c r="C13" i="4"/>
  <c r="C13" i="5"/>
  <c r="C11" i="4"/>
  <c r="C11" i="5"/>
  <c r="C12" i="1"/>
  <c r="C12" i="5"/>
  <c r="C34" i="1"/>
  <c r="C34" i="5"/>
  <c r="C33" i="4"/>
  <c r="C33" i="5"/>
  <c r="H17"/>
  <c r="H16"/>
  <c r="H4"/>
  <c r="K6" i="3"/>
  <c r="K7"/>
  <c r="K8"/>
  <c r="K9"/>
  <c r="K10"/>
  <c r="K11"/>
  <c r="K12"/>
  <c r="K13"/>
  <c r="K14"/>
  <c r="K15"/>
  <c r="K16"/>
  <c r="K17"/>
  <c r="K18"/>
  <c r="K19"/>
  <c r="K20"/>
  <c r="K21"/>
  <c r="K22"/>
  <c r="K23"/>
  <c r="K24"/>
  <c r="K25"/>
  <c r="K26"/>
  <c r="K27"/>
  <c r="K28"/>
  <c r="K29"/>
  <c r="K30"/>
  <c r="K31"/>
  <c r="K32"/>
  <c r="K33"/>
  <c r="K34"/>
  <c r="K35"/>
  <c r="K36"/>
  <c r="K37"/>
  <c r="K38"/>
  <c r="K39"/>
  <c r="K40"/>
  <c r="K41"/>
  <c r="K42"/>
  <c r="K43"/>
  <c r="K44"/>
  <c r="K45"/>
  <c r="K46"/>
  <c r="K47"/>
  <c r="K48"/>
  <c r="K49"/>
  <c r="K50"/>
  <c r="K51"/>
  <c r="K52"/>
  <c r="K53"/>
  <c r="K54"/>
  <c r="K55"/>
  <c r="K56"/>
  <c r="K57"/>
  <c r="K58"/>
  <c r="K59"/>
  <c r="K60"/>
  <c r="K61"/>
  <c r="K62"/>
  <c r="K63"/>
  <c r="K64"/>
  <c r="K65"/>
  <c r="K66"/>
  <c r="K67"/>
  <c r="K68"/>
  <c r="K69"/>
  <c r="K70"/>
  <c r="K71"/>
  <c r="K72"/>
  <c r="K73"/>
  <c r="K74"/>
  <c r="K75"/>
  <c r="K76"/>
  <c r="K77"/>
  <c r="K78"/>
  <c r="K79"/>
  <c r="K80"/>
  <c r="K81"/>
  <c r="K82"/>
  <c r="K83"/>
  <c r="K84"/>
  <c r="K85"/>
  <c r="K86"/>
  <c r="K87"/>
  <c r="K88"/>
  <c r="K89"/>
  <c r="K90"/>
  <c r="K91"/>
  <c r="K92"/>
  <c r="K93"/>
  <c r="K94"/>
  <c r="K95"/>
  <c r="K96"/>
  <c r="K97"/>
  <c r="K98"/>
  <c r="K99"/>
  <c r="K100"/>
  <c r="K101"/>
  <c r="K102"/>
  <c r="K103"/>
  <c r="K104"/>
  <c r="K105"/>
  <c r="K106"/>
  <c r="K107"/>
  <c r="K108"/>
  <c r="K109"/>
  <c r="K110"/>
  <c r="K111"/>
  <c r="K112"/>
  <c r="K113"/>
  <c r="K114"/>
  <c r="K115"/>
  <c r="K116"/>
  <c r="K117"/>
  <c r="K118"/>
  <c r="K119"/>
  <c r="K120"/>
  <c r="K121"/>
  <c r="K122"/>
  <c r="K123"/>
  <c r="K124"/>
  <c r="K125"/>
  <c r="K126"/>
  <c r="K127"/>
  <c r="K128"/>
  <c r="K129"/>
  <c r="K130"/>
  <c r="K131"/>
  <c r="K132"/>
  <c r="K133"/>
  <c r="K134"/>
  <c r="K135"/>
  <c r="K136"/>
  <c r="K137"/>
  <c r="K138"/>
  <c r="K139"/>
  <c r="K140"/>
  <c r="K141"/>
  <c r="K142"/>
  <c r="K143"/>
  <c r="K144"/>
  <c r="K145"/>
  <c r="K146"/>
  <c r="K147"/>
  <c r="K148"/>
  <c r="K149"/>
  <c r="K150"/>
  <c r="K151"/>
  <c r="K152"/>
  <c r="K153"/>
  <c r="K154"/>
  <c r="K155"/>
  <c r="K156"/>
  <c r="K157"/>
  <c r="K158"/>
  <c r="K159"/>
  <c r="K160"/>
  <c r="K161"/>
  <c r="K162"/>
  <c r="K163"/>
  <c r="K164"/>
  <c r="K165"/>
  <c r="K166"/>
  <c r="K167"/>
  <c r="K168"/>
  <c r="K169"/>
  <c r="K170"/>
  <c r="K171"/>
  <c r="K172"/>
  <c r="K173"/>
  <c r="K174"/>
  <c r="K175"/>
  <c r="K176"/>
  <c r="K177"/>
  <c r="K178"/>
  <c r="K179"/>
  <c r="K180"/>
  <c r="K181"/>
  <c r="K182"/>
  <c r="K183"/>
  <c r="K184"/>
  <c r="K185"/>
  <c r="K186"/>
  <c r="K187"/>
  <c r="K188"/>
  <c r="K189"/>
  <c r="K190"/>
  <c r="K191"/>
  <c r="K192"/>
  <c r="K193"/>
  <c r="K194"/>
  <c r="K195"/>
  <c r="K196"/>
  <c r="K197"/>
  <c r="K198"/>
  <c r="K199"/>
  <c r="K200"/>
  <c r="K201"/>
  <c r="K202"/>
  <c r="K203"/>
  <c r="K204"/>
  <c r="K205"/>
  <c r="K206"/>
  <c r="K207"/>
  <c r="K208"/>
  <c r="K209"/>
  <c r="K210"/>
  <c r="K211"/>
  <c r="K212"/>
  <c r="K213"/>
  <c r="K214"/>
  <c r="K215"/>
  <c r="K216"/>
  <c r="K217"/>
  <c r="K218"/>
  <c r="K219"/>
  <c r="K220"/>
  <c r="K221"/>
  <c r="K222"/>
  <c r="K223"/>
  <c r="K224"/>
  <c r="K225"/>
  <c r="K226"/>
  <c r="K227"/>
  <c r="K228"/>
  <c r="K229"/>
  <c r="K230"/>
  <c r="K231"/>
  <c r="K232"/>
  <c r="K233"/>
  <c r="K234"/>
  <c r="K235"/>
  <c r="K236"/>
  <c r="K237"/>
  <c r="K238"/>
  <c r="K239"/>
  <c r="K240"/>
  <c r="K241"/>
  <c r="K242"/>
  <c r="K243"/>
  <c r="K244"/>
  <c r="K245"/>
  <c r="K246"/>
  <c r="K247"/>
  <c r="K248"/>
  <c r="K249"/>
  <c r="K250"/>
  <c r="K251"/>
  <c r="K252"/>
  <c r="K253"/>
  <c r="K254"/>
  <c r="K255"/>
  <c r="K256"/>
  <c r="K257"/>
  <c r="K258"/>
  <c r="K259"/>
  <c r="K260"/>
  <c r="K261"/>
  <c r="K262"/>
  <c r="K263"/>
  <c r="K264"/>
  <c r="K265"/>
  <c r="K266"/>
  <c r="K267"/>
  <c r="K268"/>
  <c r="K269"/>
  <c r="K270"/>
  <c r="K271"/>
  <c r="K272"/>
  <c r="K273"/>
  <c r="K274"/>
  <c r="K275"/>
  <c r="K276"/>
  <c r="K277"/>
  <c r="K278"/>
  <c r="K279"/>
  <c r="K280"/>
  <c r="K281"/>
  <c r="K282"/>
  <c r="K283"/>
  <c r="K284"/>
  <c r="K285"/>
  <c r="K286"/>
  <c r="K287"/>
  <c r="K288"/>
  <c r="K289"/>
  <c r="K290"/>
  <c r="K291"/>
  <c r="K292"/>
  <c r="K293"/>
  <c r="K294"/>
  <c r="K295"/>
  <c r="K296"/>
  <c r="K297"/>
  <c r="K298"/>
  <c r="K299"/>
  <c r="K300"/>
  <c r="K301"/>
  <c r="K302"/>
  <c r="K303"/>
  <c r="K304"/>
  <c r="K305"/>
  <c r="K306"/>
  <c r="K307"/>
  <c r="K308"/>
  <c r="K309"/>
  <c r="K310"/>
  <c r="K311"/>
  <c r="K312"/>
  <c r="K313"/>
  <c r="K314"/>
  <c r="K315"/>
  <c r="K316"/>
  <c r="K317"/>
  <c r="K318"/>
  <c r="K319"/>
  <c r="K320"/>
  <c r="K321"/>
  <c r="K322"/>
  <c r="K323"/>
  <c r="K324"/>
  <c r="K325"/>
  <c r="K326"/>
  <c r="K327"/>
  <c r="K328"/>
  <c r="K329"/>
  <c r="K330"/>
  <c r="K331"/>
  <c r="K332"/>
  <c r="K333"/>
  <c r="K334"/>
  <c r="K335"/>
  <c r="K336"/>
  <c r="K337"/>
  <c r="K338"/>
  <c r="K339"/>
  <c r="K340"/>
  <c r="K341"/>
  <c r="K342"/>
  <c r="K343"/>
  <c r="K344"/>
  <c r="K345"/>
  <c r="K346"/>
  <c r="K347"/>
  <c r="K348"/>
  <c r="K349"/>
  <c r="K350"/>
  <c r="K351"/>
  <c r="K352"/>
  <c r="K353"/>
  <c r="K354"/>
  <c r="K355"/>
  <c r="K356"/>
  <c r="K357"/>
  <c r="K358"/>
  <c r="K359"/>
  <c r="K360"/>
  <c r="K361"/>
  <c r="K362"/>
  <c r="K363"/>
  <c r="K364"/>
  <c r="K365"/>
  <c r="K366"/>
  <c r="K367"/>
  <c r="K368"/>
  <c r="K369"/>
  <c r="K370"/>
  <c r="K371"/>
  <c r="K372"/>
  <c r="K373"/>
  <c r="K374"/>
  <c r="K375"/>
  <c r="K376"/>
  <c r="K377"/>
  <c r="K378"/>
  <c r="K379"/>
  <c r="K380"/>
  <c r="K381"/>
  <c r="K382"/>
  <c r="K383"/>
  <c r="K384"/>
  <c r="K385"/>
  <c r="K386"/>
  <c r="K387"/>
  <c r="K388"/>
  <c r="K389"/>
  <c r="K390"/>
  <c r="K391"/>
  <c r="K392"/>
  <c r="K393"/>
  <c r="K394"/>
  <c r="K395"/>
  <c r="K396"/>
  <c r="K397"/>
  <c r="K398"/>
  <c r="K399"/>
  <c r="K400"/>
  <c r="K401"/>
  <c r="K402"/>
  <c r="K403"/>
  <c r="K404"/>
  <c r="K405"/>
  <c r="K406"/>
  <c r="K407"/>
  <c r="K408"/>
  <c r="K409"/>
  <c r="K410"/>
  <c r="K411"/>
  <c r="K412"/>
  <c r="K413"/>
  <c r="K414"/>
  <c r="K415"/>
  <c r="K416"/>
  <c r="K417"/>
  <c r="K418"/>
  <c r="K419"/>
  <c r="K420"/>
  <c r="K421"/>
  <c r="K422"/>
  <c r="K423"/>
  <c r="K424"/>
  <c r="K425"/>
  <c r="K426"/>
  <c r="K427"/>
  <c r="K428"/>
  <c r="K429"/>
  <c r="K430"/>
  <c r="K431"/>
  <c r="K432"/>
  <c r="K433"/>
  <c r="K434"/>
  <c r="K435"/>
  <c r="K436"/>
  <c r="K437"/>
  <c r="K438"/>
  <c r="K439"/>
  <c r="K440"/>
  <c r="K441"/>
  <c r="K442"/>
  <c r="K443"/>
  <c r="K444"/>
  <c r="K445"/>
  <c r="K446"/>
  <c r="K447"/>
  <c r="K448"/>
  <c r="K449"/>
  <c r="K450"/>
  <c r="K451"/>
  <c r="K452"/>
  <c r="K453"/>
  <c r="K454"/>
  <c r="K455"/>
  <c r="K456"/>
  <c r="K457"/>
  <c r="K458"/>
  <c r="K459"/>
  <c r="K460"/>
  <c r="K461"/>
  <c r="K462"/>
  <c r="K463"/>
  <c r="K464"/>
  <c r="K465"/>
  <c r="K466"/>
  <c r="K467"/>
  <c r="K468"/>
  <c r="K469"/>
  <c r="K470"/>
  <c r="K471"/>
  <c r="K472"/>
  <c r="K473"/>
  <c r="K474"/>
  <c r="K475"/>
  <c r="K476"/>
  <c r="K477"/>
  <c r="K478"/>
  <c r="K479"/>
  <c r="K480"/>
  <c r="K481"/>
  <c r="K482"/>
  <c r="K483"/>
  <c r="K484"/>
  <c r="K485"/>
  <c r="K486"/>
  <c r="K487"/>
  <c r="K488"/>
  <c r="K489"/>
  <c r="K490"/>
  <c r="K491"/>
  <c r="K492"/>
  <c r="K493"/>
  <c r="K494"/>
  <c r="K495"/>
  <c r="K496"/>
  <c r="K497"/>
  <c r="K498"/>
  <c r="K499"/>
  <c r="K500"/>
  <c r="K501"/>
  <c r="K502"/>
  <c r="K503"/>
  <c r="K504"/>
  <c r="K505"/>
  <c r="K506"/>
  <c r="K507"/>
  <c r="K508"/>
  <c r="K509"/>
  <c r="K510"/>
  <c r="K511"/>
  <c r="K512"/>
  <c r="K513"/>
  <c r="K514"/>
  <c r="K515"/>
  <c r="K516"/>
  <c r="K517"/>
  <c r="K518"/>
  <c r="K519"/>
  <c r="K520"/>
  <c r="K521"/>
  <c r="K522"/>
  <c r="K523"/>
  <c r="K524"/>
  <c r="K525"/>
  <c r="K526"/>
  <c r="K527"/>
  <c r="K528"/>
  <c r="K529"/>
  <c r="K530"/>
  <c r="K531"/>
  <c r="K532"/>
  <c r="K533"/>
  <c r="K534"/>
  <c r="K535"/>
  <c r="K536"/>
  <c r="K537"/>
  <c r="K538"/>
  <c r="K539"/>
  <c r="K540"/>
  <c r="K541"/>
  <c r="K542"/>
  <c r="K543"/>
  <c r="K544"/>
  <c r="K545"/>
  <c r="K546"/>
  <c r="K547"/>
  <c r="K548"/>
  <c r="K549"/>
  <c r="K550"/>
  <c r="K551"/>
  <c r="K552"/>
  <c r="K553"/>
  <c r="K554"/>
  <c r="K555"/>
  <c r="K556"/>
  <c r="K557"/>
  <c r="K558"/>
  <c r="K559"/>
  <c r="K560"/>
  <c r="K561"/>
  <c r="K562"/>
  <c r="K563"/>
  <c r="K564"/>
  <c r="K565"/>
  <c r="K566"/>
  <c r="K567"/>
  <c r="K568"/>
  <c r="K569"/>
  <c r="K570"/>
  <c r="K571"/>
  <c r="K572"/>
  <c r="K573"/>
  <c r="K574"/>
  <c r="K575"/>
  <c r="K576"/>
  <c r="K577"/>
  <c r="K578"/>
  <c r="K579"/>
  <c r="K580"/>
  <c r="K581"/>
  <c r="K582"/>
  <c r="K583"/>
  <c r="K584"/>
  <c r="K585"/>
  <c r="K586"/>
  <c r="K587"/>
  <c r="K588"/>
  <c r="K589"/>
  <c r="K590"/>
  <c r="K591"/>
  <c r="K592"/>
  <c r="K593"/>
  <c r="K594"/>
  <c r="K595"/>
  <c r="K596"/>
  <c r="K597"/>
  <c r="K598"/>
  <c r="K599"/>
  <c r="K600"/>
  <c r="K601"/>
  <c r="K602"/>
  <c r="K603"/>
  <c r="K604"/>
  <c r="K605"/>
  <c r="K606"/>
  <c r="K607"/>
  <c r="K608"/>
  <c r="K609"/>
  <c r="K610"/>
  <c r="K611"/>
  <c r="K612"/>
  <c r="K613"/>
  <c r="K614"/>
  <c r="K615"/>
  <c r="K616"/>
  <c r="K617"/>
  <c r="K618"/>
  <c r="K619"/>
  <c r="K620"/>
  <c r="K621"/>
  <c r="K622"/>
  <c r="K623"/>
  <c r="K624"/>
  <c r="K625"/>
  <c r="K626"/>
  <c r="K627"/>
  <c r="K628"/>
  <c r="K629"/>
  <c r="K630"/>
  <c r="K631"/>
  <c r="K632"/>
  <c r="K633"/>
  <c r="K634"/>
  <c r="K635"/>
  <c r="K636"/>
  <c r="K637"/>
  <c r="K638"/>
  <c r="K639"/>
  <c r="K640"/>
  <c r="K641"/>
  <c r="K642"/>
  <c r="K643"/>
  <c r="K644"/>
  <c r="K645"/>
  <c r="K646"/>
  <c r="K647"/>
  <c r="K648"/>
  <c r="K649"/>
  <c r="K650"/>
  <c r="K651"/>
  <c r="K652"/>
  <c r="K653"/>
  <c r="K654"/>
  <c r="K655"/>
  <c r="K656"/>
  <c r="K657"/>
  <c r="K658"/>
  <c r="K659"/>
  <c r="K660"/>
  <c r="K661"/>
  <c r="K662"/>
  <c r="K663"/>
  <c r="K664"/>
  <c r="K665"/>
  <c r="K666"/>
  <c r="K667"/>
  <c r="K668"/>
  <c r="K669"/>
  <c r="K670"/>
  <c r="K671"/>
  <c r="K672"/>
  <c r="K673"/>
  <c r="K674"/>
  <c r="K675"/>
  <c r="K676"/>
  <c r="K677"/>
  <c r="K678"/>
  <c r="K679"/>
  <c r="K680"/>
  <c r="K681"/>
  <c r="K682"/>
  <c r="K683"/>
  <c r="K684"/>
  <c r="K685"/>
  <c r="K686"/>
  <c r="K687"/>
  <c r="K688"/>
  <c r="K689"/>
  <c r="K690"/>
  <c r="K691"/>
  <c r="K692"/>
  <c r="K693"/>
  <c r="K694"/>
  <c r="K695"/>
  <c r="K696"/>
  <c r="K697"/>
  <c r="K698"/>
  <c r="K699"/>
  <c r="K700"/>
  <c r="K701"/>
  <c r="K702"/>
  <c r="K703"/>
  <c r="K704"/>
  <c r="K705"/>
  <c r="K706"/>
  <c r="K707"/>
  <c r="K708"/>
  <c r="K709"/>
  <c r="K710"/>
  <c r="K711"/>
  <c r="K712"/>
  <c r="K713"/>
  <c r="K714"/>
  <c r="K715"/>
  <c r="K716"/>
  <c r="K717"/>
  <c r="K718"/>
  <c r="K719"/>
  <c r="K720"/>
  <c r="K721"/>
  <c r="K722"/>
  <c r="K723"/>
  <c r="K724"/>
  <c r="K725"/>
  <c r="K726"/>
  <c r="K727"/>
  <c r="K728"/>
  <c r="K729"/>
  <c r="K730"/>
  <c r="K731"/>
  <c r="K732"/>
  <c r="K733"/>
  <c r="K734"/>
  <c r="K735"/>
  <c r="K736"/>
  <c r="K737"/>
  <c r="K738"/>
  <c r="K739"/>
  <c r="K740"/>
  <c r="K741"/>
  <c r="K742"/>
  <c r="K743"/>
  <c r="K744"/>
  <c r="K745"/>
  <c r="K746"/>
  <c r="K747"/>
  <c r="K748"/>
  <c r="K749"/>
  <c r="K750"/>
  <c r="K751"/>
  <c r="K752"/>
  <c r="K753"/>
  <c r="K754"/>
  <c r="K755"/>
  <c r="K756"/>
  <c r="K757"/>
  <c r="K758"/>
  <c r="K759"/>
  <c r="K760"/>
  <c r="K761"/>
  <c r="K762"/>
  <c r="K763"/>
  <c r="K764"/>
  <c r="K765"/>
  <c r="K766"/>
  <c r="K767"/>
  <c r="K768"/>
  <c r="K769"/>
  <c r="K770"/>
  <c r="K771"/>
  <c r="K772"/>
  <c r="K773"/>
  <c r="K774"/>
  <c r="K775"/>
  <c r="K776"/>
  <c r="K777"/>
  <c r="K778"/>
  <c r="K779"/>
  <c r="K780"/>
  <c r="K781"/>
  <c r="K782"/>
  <c r="K783"/>
  <c r="K784"/>
  <c r="K785"/>
  <c r="K786"/>
  <c r="K787"/>
  <c r="K788"/>
  <c r="K789"/>
  <c r="K790"/>
  <c r="K791"/>
  <c r="K792"/>
  <c r="K793"/>
  <c r="K794"/>
  <c r="K795"/>
  <c r="K796"/>
  <c r="K797"/>
  <c r="K798"/>
  <c r="K799"/>
  <c r="K800"/>
  <c r="K801"/>
  <c r="K802"/>
  <c r="K803"/>
  <c r="K804"/>
  <c r="K805"/>
  <c r="K806"/>
  <c r="K807"/>
  <c r="K808"/>
  <c r="K809"/>
  <c r="K810"/>
  <c r="K811"/>
  <c r="K812"/>
  <c r="K813"/>
  <c r="K814"/>
  <c r="K815"/>
  <c r="K816"/>
  <c r="K817"/>
  <c r="K818"/>
  <c r="K819"/>
  <c r="K820"/>
  <c r="K821"/>
  <c r="K822"/>
  <c r="K823"/>
  <c r="K824"/>
  <c r="K825"/>
  <c r="K826"/>
  <c r="K827"/>
  <c r="K828"/>
  <c r="K829"/>
  <c r="K830"/>
  <c r="K831"/>
  <c r="K832"/>
  <c r="K833"/>
  <c r="K834"/>
  <c r="K835"/>
  <c r="K836"/>
  <c r="K837"/>
  <c r="K838"/>
  <c r="K839"/>
  <c r="K840"/>
  <c r="K841"/>
  <c r="K842"/>
  <c r="K843"/>
  <c r="K844"/>
  <c r="K845"/>
  <c r="K846"/>
  <c r="K847"/>
  <c r="K848"/>
  <c r="K849"/>
  <c r="K850"/>
  <c r="K851"/>
  <c r="K852"/>
  <c r="K853"/>
  <c r="K854"/>
  <c r="K855"/>
  <c r="K856"/>
  <c r="K857"/>
  <c r="K858"/>
  <c r="K859"/>
  <c r="K860"/>
  <c r="K861"/>
  <c r="K862"/>
  <c r="K863"/>
  <c r="K864"/>
  <c r="K865"/>
  <c r="K866"/>
  <c r="K867"/>
  <c r="K868"/>
  <c r="K869"/>
  <c r="K870"/>
  <c r="K871"/>
  <c r="K872"/>
  <c r="K873"/>
  <c r="K874"/>
  <c r="K875"/>
  <c r="K876"/>
  <c r="K877"/>
  <c r="K878"/>
  <c r="K879"/>
  <c r="K880"/>
  <c r="K881"/>
  <c r="K882"/>
  <c r="K883"/>
  <c r="K884"/>
  <c r="K885"/>
  <c r="K886"/>
  <c r="K887"/>
  <c r="K888"/>
  <c r="K889"/>
  <c r="K890"/>
  <c r="K891"/>
  <c r="K892"/>
  <c r="K893"/>
  <c r="K894"/>
  <c r="K895"/>
  <c r="K896"/>
  <c r="K897"/>
  <c r="K898"/>
  <c r="K899"/>
  <c r="K900"/>
  <c r="K901"/>
  <c r="K902"/>
  <c r="K903"/>
  <c r="K904"/>
  <c r="K905"/>
  <c r="K906"/>
  <c r="K907"/>
  <c r="K908"/>
  <c r="K909"/>
  <c r="K910"/>
  <c r="K911"/>
  <c r="K912"/>
  <c r="K913"/>
  <c r="K914"/>
  <c r="K915"/>
  <c r="K916"/>
  <c r="K917"/>
  <c r="K918"/>
  <c r="K919"/>
  <c r="K920"/>
  <c r="K921"/>
  <c r="K922"/>
  <c r="K923"/>
  <c r="K924"/>
  <c r="K925"/>
  <c r="K926"/>
  <c r="K927"/>
  <c r="K928"/>
  <c r="K929"/>
  <c r="K930"/>
  <c r="K931"/>
  <c r="K932"/>
  <c r="K933"/>
  <c r="K934"/>
  <c r="K935"/>
  <c r="K936"/>
  <c r="K937"/>
  <c r="K938"/>
  <c r="K939"/>
  <c r="K940"/>
  <c r="K941"/>
  <c r="K942"/>
  <c r="K943"/>
  <c r="K944"/>
  <c r="K945"/>
  <c r="K946"/>
  <c r="K947"/>
  <c r="K948"/>
  <c r="K949"/>
  <c r="K950"/>
  <c r="K951"/>
  <c r="K952"/>
  <c r="K953"/>
  <c r="K954"/>
  <c r="K955"/>
  <c r="K956"/>
  <c r="K957"/>
  <c r="K958"/>
  <c r="K959"/>
  <c r="K960"/>
  <c r="K961"/>
  <c r="K962"/>
  <c r="K963"/>
  <c r="K964"/>
  <c r="K965"/>
  <c r="K966"/>
  <c r="K967"/>
  <c r="K968"/>
  <c r="K969"/>
  <c r="K970"/>
  <c r="K971"/>
  <c r="K972"/>
  <c r="K973"/>
  <c r="K974"/>
  <c r="K975"/>
  <c r="K976"/>
  <c r="K977"/>
  <c r="K978"/>
  <c r="K979"/>
  <c r="K980"/>
  <c r="K981"/>
  <c r="K982"/>
  <c r="K983"/>
  <c r="K984"/>
  <c r="K985"/>
  <c r="K986"/>
  <c r="K987"/>
  <c r="K988"/>
  <c r="K989"/>
  <c r="K990"/>
  <c r="K991"/>
  <c r="K992"/>
  <c r="K993"/>
  <c r="K994"/>
  <c r="K995"/>
  <c r="K996"/>
  <c r="K997"/>
  <c r="K998"/>
  <c r="K999"/>
  <c r="K1000"/>
  <c r="K1001"/>
  <c r="K1002"/>
  <c r="K1003"/>
  <c r="K1004"/>
  <c r="K1005"/>
  <c r="K1006"/>
  <c r="K1007"/>
  <c r="K1008"/>
  <c r="K1009"/>
  <c r="K1010"/>
  <c r="K1011"/>
  <c r="K1012"/>
  <c r="K1013"/>
  <c r="K1014"/>
  <c r="K1015"/>
  <c r="K1016"/>
  <c r="K1017"/>
  <c r="K1018"/>
  <c r="K1019"/>
  <c r="K1020"/>
  <c r="K1021"/>
  <c r="K1022"/>
  <c r="K1023"/>
  <c r="K1024"/>
  <c r="K1025"/>
  <c r="K1026"/>
  <c r="K1027"/>
  <c r="K1028"/>
  <c r="K1029"/>
  <c r="K1030"/>
  <c r="K1031"/>
  <c r="K1032"/>
  <c r="K1033"/>
  <c r="K1034"/>
  <c r="K1035"/>
  <c r="K1036"/>
  <c r="K1037"/>
  <c r="K1038"/>
  <c r="K1039"/>
  <c r="K1040"/>
  <c r="K1041"/>
  <c r="K1042"/>
  <c r="K1043"/>
  <c r="K1044"/>
  <c r="K1045"/>
  <c r="K1046"/>
  <c r="K1047"/>
  <c r="K1048"/>
  <c r="K1049"/>
  <c r="K1050"/>
  <c r="K1051"/>
  <c r="K1052"/>
  <c r="K1053"/>
  <c r="K1054"/>
  <c r="K1055"/>
  <c r="K1056"/>
  <c r="K1057"/>
  <c r="K1058"/>
  <c r="K1059"/>
  <c r="K1060"/>
  <c r="K1061"/>
  <c r="K1062"/>
  <c r="K1063"/>
  <c r="K1064"/>
  <c r="K1065"/>
  <c r="K1066"/>
  <c r="K1067"/>
  <c r="K1068"/>
  <c r="K1069"/>
  <c r="K1070"/>
  <c r="K1071"/>
  <c r="K1072"/>
  <c r="K1073"/>
  <c r="K1074"/>
  <c r="K1075"/>
  <c r="K1076"/>
  <c r="K1077"/>
  <c r="K1078"/>
  <c r="K1079"/>
  <c r="K1080"/>
  <c r="K1081"/>
  <c r="K1082"/>
  <c r="K1083"/>
  <c r="K1084"/>
  <c r="K1085"/>
  <c r="K1086"/>
  <c r="K1087"/>
  <c r="K1088"/>
  <c r="K1089"/>
  <c r="K1090"/>
  <c r="K1091"/>
  <c r="K1092"/>
  <c r="K1093"/>
  <c r="K1094"/>
  <c r="K1095"/>
  <c r="K1096"/>
  <c r="K1097"/>
  <c r="K1098"/>
  <c r="K1099"/>
  <c r="K1100"/>
  <c r="K1101"/>
  <c r="K1102"/>
  <c r="K1103"/>
  <c r="K1104"/>
  <c r="K1105"/>
  <c r="K1106"/>
  <c r="K1107"/>
  <c r="K1108"/>
  <c r="K1109"/>
  <c r="K1110"/>
  <c r="K1111"/>
  <c r="K1112"/>
  <c r="K1113"/>
  <c r="K1114"/>
  <c r="K1115"/>
  <c r="K1116"/>
  <c r="K1117"/>
  <c r="K1118"/>
  <c r="K1119"/>
  <c r="K1120"/>
  <c r="K1121"/>
  <c r="K1122"/>
  <c r="K1123"/>
  <c r="K1124"/>
  <c r="K1125"/>
  <c r="K1126"/>
  <c r="K1127"/>
  <c r="K1128"/>
  <c r="K1129"/>
  <c r="K1130"/>
  <c r="K1131"/>
  <c r="K1132"/>
  <c r="K1133"/>
  <c r="K1134"/>
  <c r="K1135"/>
  <c r="K1136"/>
  <c r="K1137"/>
  <c r="K1138"/>
  <c r="K1139"/>
  <c r="K1140"/>
  <c r="K1141"/>
  <c r="K1142"/>
  <c r="K1143"/>
  <c r="K1144"/>
  <c r="K1145"/>
  <c r="K1146"/>
  <c r="K1147"/>
  <c r="K1148"/>
  <c r="K1149"/>
  <c r="K1150"/>
  <c r="K1151"/>
  <c r="K1152"/>
  <c r="K1153"/>
  <c r="K1154"/>
  <c r="K1155"/>
  <c r="K1156"/>
  <c r="K1157"/>
  <c r="K1158"/>
  <c r="K1159"/>
  <c r="K1160"/>
  <c r="K1161"/>
  <c r="K1162"/>
  <c r="K1163"/>
  <c r="K1164"/>
  <c r="K1165"/>
  <c r="K1166"/>
  <c r="K1167"/>
  <c r="K1168"/>
  <c r="K1169"/>
  <c r="K1170"/>
  <c r="K1171"/>
  <c r="K1172"/>
  <c r="K1173"/>
  <c r="K1174"/>
  <c r="K1175"/>
  <c r="K1176"/>
  <c r="K1177"/>
  <c r="K1178"/>
  <c r="K1179"/>
  <c r="K1180"/>
  <c r="K1181"/>
  <c r="K1182"/>
  <c r="K1183"/>
  <c r="K1184"/>
  <c r="K1185"/>
  <c r="K1186"/>
  <c r="K1187"/>
  <c r="K1188"/>
  <c r="K1189"/>
  <c r="K1190"/>
  <c r="K1191"/>
  <c r="K1192"/>
  <c r="K1193"/>
  <c r="K1194"/>
  <c r="K1195"/>
  <c r="K1196"/>
  <c r="K1197"/>
  <c r="K1198"/>
  <c r="K1199"/>
  <c r="K1200"/>
  <c r="K1201"/>
  <c r="K1202"/>
  <c r="K1203"/>
  <c r="K1204"/>
  <c r="K1205"/>
  <c r="K1206"/>
  <c r="K1207"/>
  <c r="K1208"/>
  <c r="K1209"/>
  <c r="K1210"/>
  <c r="K1211"/>
  <c r="K1212"/>
  <c r="K1213"/>
  <c r="K1214"/>
  <c r="K1215"/>
  <c r="K1216"/>
  <c r="K1217"/>
  <c r="K1218"/>
  <c r="K1219"/>
  <c r="K1220"/>
  <c r="K1221"/>
  <c r="K1222"/>
  <c r="K1223"/>
  <c r="K1224"/>
  <c r="K1225"/>
  <c r="K1226"/>
  <c r="K1227"/>
  <c r="K1228"/>
  <c r="K1229"/>
  <c r="K1230"/>
  <c r="K1231"/>
  <c r="K1232"/>
  <c r="K1233"/>
  <c r="K1234"/>
  <c r="K1235"/>
  <c r="K1236"/>
  <c r="K1237"/>
  <c r="K1238"/>
  <c r="K1239"/>
  <c r="K1240"/>
  <c r="K1241"/>
  <c r="K1242"/>
  <c r="K1243"/>
  <c r="K1244"/>
  <c r="K1245"/>
  <c r="K1246"/>
  <c r="K1247"/>
  <c r="K1248"/>
  <c r="K1249"/>
  <c r="K1250"/>
  <c r="K1251"/>
  <c r="K1252"/>
  <c r="K1253"/>
  <c r="K1254"/>
  <c r="K1255"/>
  <c r="K1256"/>
  <c r="K1257"/>
  <c r="K1258"/>
  <c r="K1259"/>
  <c r="K1260"/>
  <c r="K1261"/>
  <c r="K1262"/>
  <c r="K1263"/>
  <c r="K1264"/>
  <c r="K1265"/>
  <c r="K1266"/>
  <c r="K1267"/>
  <c r="K1268"/>
  <c r="K1269"/>
  <c r="K1270"/>
  <c r="K1271"/>
  <c r="K1272"/>
  <c r="K1273"/>
  <c r="K1274"/>
  <c r="K1275"/>
  <c r="K1276"/>
  <c r="K1277"/>
  <c r="K1278"/>
  <c r="K1279"/>
  <c r="K1280"/>
  <c r="K1281"/>
  <c r="K1282"/>
  <c r="K1283"/>
  <c r="K1284"/>
  <c r="K1285"/>
  <c r="K1286"/>
  <c r="K1287"/>
  <c r="K1288"/>
  <c r="K1289"/>
  <c r="K1290"/>
  <c r="K1291"/>
  <c r="K1292"/>
  <c r="K1293"/>
  <c r="K1294"/>
  <c r="K1295"/>
  <c r="K1296"/>
  <c r="K1297"/>
  <c r="K1298"/>
  <c r="K1299"/>
  <c r="K1300"/>
  <c r="K1301"/>
  <c r="K1302"/>
  <c r="K1303"/>
  <c r="K1304"/>
  <c r="K1305"/>
  <c r="K1306"/>
  <c r="K1307"/>
  <c r="K1308"/>
  <c r="K1309"/>
  <c r="K1310"/>
  <c r="K1311"/>
  <c r="K1312"/>
  <c r="K1313"/>
  <c r="K1314"/>
  <c r="K1315"/>
  <c r="K1316"/>
  <c r="K1317"/>
  <c r="K1318"/>
  <c r="K1319"/>
  <c r="K1320"/>
  <c r="K1321"/>
  <c r="K1322"/>
  <c r="K1323"/>
  <c r="K1324"/>
  <c r="K1325"/>
  <c r="K1326"/>
  <c r="K1327"/>
  <c r="K1328"/>
  <c r="K1329"/>
  <c r="K1330"/>
  <c r="K1331"/>
  <c r="K1332"/>
  <c r="K1333"/>
  <c r="K1334"/>
  <c r="K1335"/>
  <c r="K1336"/>
  <c r="K1337"/>
  <c r="K1338"/>
  <c r="K1339"/>
  <c r="K1340"/>
  <c r="K1341"/>
  <c r="K1342"/>
  <c r="K1343"/>
  <c r="K1344"/>
  <c r="K1345"/>
  <c r="K1346"/>
  <c r="K1347"/>
  <c r="K1348"/>
  <c r="K1349"/>
  <c r="K1350"/>
  <c r="K1351"/>
  <c r="K1352"/>
  <c r="K1353"/>
  <c r="K1354"/>
  <c r="K1355"/>
  <c r="K1356"/>
  <c r="K1357"/>
  <c r="K1358"/>
  <c r="K1359"/>
  <c r="K1360"/>
  <c r="K1361"/>
  <c r="K1362"/>
  <c r="K1363"/>
  <c r="K1364"/>
  <c r="K1365"/>
  <c r="K1366"/>
  <c r="K1367"/>
  <c r="K1368"/>
  <c r="K1369"/>
  <c r="K1370"/>
  <c r="K1371"/>
  <c r="K1372"/>
  <c r="K1373"/>
  <c r="K1374"/>
  <c r="K1375"/>
  <c r="K1376"/>
  <c r="K1377"/>
  <c r="K1378"/>
  <c r="K1379"/>
  <c r="K1380"/>
  <c r="K1381"/>
  <c r="K1382"/>
  <c r="K1383"/>
  <c r="K1384"/>
  <c r="K1385"/>
  <c r="K1386"/>
  <c r="K1387"/>
  <c r="K1388"/>
  <c r="K1389"/>
  <c r="K1390"/>
  <c r="K1391"/>
  <c r="K1392"/>
  <c r="K1393"/>
  <c r="K1394"/>
  <c r="K1395"/>
  <c r="K1396"/>
  <c r="K1397"/>
  <c r="K1398"/>
  <c r="K1399"/>
  <c r="K1400"/>
  <c r="K1401"/>
  <c r="K1402"/>
  <c r="K1403"/>
  <c r="K1404"/>
  <c r="K1405"/>
  <c r="K1406"/>
  <c r="K1407"/>
  <c r="K1408"/>
  <c r="K1409"/>
  <c r="K1410"/>
  <c r="K1411"/>
  <c r="K1412"/>
  <c r="K1413"/>
  <c r="K1414"/>
  <c r="K1415"/>
  <c r="K1416"/>
  <c r="K1417"/>
  <c r="K1418"/>
  <c r="K1419"/>
  <c r="K1420"/>
  <c r="K1421"/>
  <c r="K1422"/>
  <c r="K1423"/>
  <c r="K1424"/>
  <c r="K1425"/>
  <c r="K1426"/>
  <c r="K1427"/>
  <c r="K1428"/>
  <c r="K1429"/>
  <c r="K1430"/>
  <c r="K1431"/>
  <c r="K1432"/>
  <c r="K1433"/>
  <c r="K1434"/>
  <c r="K1435"/>
  <c r="K1436"/>
  <c r="K1437"/>
  <c r="K1438"/>
  <c r="K1439"/>
  <c r="K1440"/>
  <c r="K1441"/>
  <c r="K1442"/>
  <c r="K1443"/>
  <c r="K1444"/>
  <c r="K1445"/>
  <c r="K1446"/>
  <c r="K1447"/>
  <c r="K1448"/>
  <c r="K1449"/>
  <c r="K1450"/>
  <c r="K1451"/>
  <c r="K1452"/>
  <c r="K1453"/>
  <c r="K1454"/>
  <c r="K1455"/>
  <c r="K1456"/>
  <c r="K1457"/>
  <c r="K1458"/>
  <c r="K1459"/>
  <c r="K1460"/>
  <c r="K1461"/>
  <c r="K1462"/>
  <c r="K1463"/>
  <c r="K1464"/>
  <c r="K1465"/>
  <c r="K1466"/>
  <c r="K1467"/>
  <c r="K1468"/>
  <c r="K1469"/>
  <c r="K1470"/>
  <c r="K1471"/>
  <c r="K1472"/>
  <c r="K1473"/>
  <c r="K1474"/>
  <c r="K1475"/>
  <c r="K1476"/>
  <c r="K1477"/>
  <c r="K1478"/>
  <c r="K1479"/>
  <c r="K1480"/>
  <c r="K1481"/>
  <c r="K1482"/>
  <c r="K1483"/>
  <c r="K1484"/>
  <c r="K1485"/>
  <c r="K1486"/>
  <c r="K1487"/>
  <c r="K1488"/>
  <c r="K1489"/>
  <c r="K1490"/>
  <c r="K1491"/>
  <c r="K1492"/>
  <c r="K1493"/>
  <c r="K1494"/>
  <c r="K1495"/>
  <c r="K1496"/>
  <c r="K1497"/>
  <c r="K1498"/>
  <c r="K1499"/>
  <c r="K1500"/>
  <c r="K1501"/>
  <c r="K1502"/>
  <c r="K1503"/>
  <c r="K1504"/>
  <c r="K1505"/>
  <c r="K1506"/>
  <c r="K1507"/>
  <c r="K1508"/>
  <c r="K1509"/>
  <c r="K1510"/>
  <c r="K1511"/>
  <c r="K1512"/>
  <c r="K1513"/>
  <c r="K1514"/>
  <c r="K1515"/>
  <c r="K1516"/>
  <c r="K1517"/>
  <c r="K1518"/>
  <c r="K1519"/>
  <c r="K1520"/>
  <c r="K1521"/>
  <c r="K1522"/>
  <c r="K1523"/>
  <c r="K1524"/>
  <c r="K1525"/>
  <c r="K1526"/>
  <c r="K1527"/>
  <c r="K1528"/>
  <c r="K1529"/>
  <c r="K1530"/>
  <c r="K1531"/>
  <c r="K1532"/>
  <c r="K1533"/>
  <c r="K1534"/>
  <c r="K1535"/>
  <c r="K1536"/>
  <c r="K1537"/>
  <c r="K1538"/>
  <c r="K1539"/>
  <c r="K1540"/>
  <c r="K1541"/>
  <c r="K1542"/>
  <c r="K1543"/>
  <c r="K1544"/>
  <c r="K1545"/>
  <c r="K1546"/>
  <c r="K1547"/>
  <c r="K1548"/>
  <c r="K1549"/>
  <c r="K1550"/>
  <c r="K1551"/>
  <c r="K1552"/>
  <c r="K1553"/>
  <c r="K1554"/>
  <c r="K1555"/>
  <c r="K1556"/>
  <c r="K1557"/>
  <c r="K1558"/>
  <c r="K1559"/>
  <c r="K1560"/>
  <c r="K1561"/>
  <c r="K1562"/>
  <c r="K1563"/>
  <c r="K1564"/>
  <c r="K1565"/>
  <c r="K1566"/>
  <c r="K1567"/>
  <c r="K1568"/>
  <c r="K1569"/>
  <c r="K1570"/>
  <c r="K1571"/>
  <c r="K1572"/>
  <c r="K1573"/>
  <c r="K1574"/>
  <c r="K1575"/>
  <c r="K1576"/>
  <c r="K1577"/>
  <c r="K1578"/>
  <c r="K1579"/>
  <c r="K1580"/>
  <c r="K1581"/>
  <c r="K1582"/>
  <c r="K1583"/>
  <c r="K1584"/>
  <c r="K1585"/>
  <c r="K1586"/>
  <c r="K1587"/>
  <c r="K1588"/>
  <c r="K1589"/>
  <c r="K1590"/>
  <c r="K1591"/>
  <c r="K1592"/>
  <c r="K1593"/>
  <c r="K1594"/>
  <c r="K1595"/>
  <c r="K1596"/>
  <c r="K1597"/>
  <c r="K1598"/>
  <c r="K1599"/>
  <c r="K1600"/>
  <c r="K1601"/>
  <c r="K1602"/>
  <c r="K1603"/>
  <c r="K1604"/>
  <c r="K1605"/>
  <c r="K1606"/>
  <c r="K1607"/>
  <c r="K1608"/>
  <c r="K1609"/>
  <c r="K1610"/>
  <c r="K1611"/>
  <c r="K1612"/>
  <c r="K1613"/>
  <c r="K1614"/>
  <c r="K1615"/>
  <c r="K1616"/>
  <c r="K1617"/>
  <c r="K1618"/>
  <c r="K1619"/>
  <c r="K1620"/>
  <c r="K1621"/>
  <c r="K1622"/>
  <c r="K1623"/>
  <c r="K1624"/>
  <c r="K1625"/>
  <c r="K1626"/>
  <c r="K1627"/>
  <c r="K1628"/>
  <c r="K1629"/>
  <c r="K1630"/>
  <c r="K1631"/>
  <c r="K1632"/>
  <c r="K1633"/>
  <c r="K1634"/>
  <c r="K1635"/>
  <c r="K1636"/>
  <c r="K1637"/>
  <c r="K1638"/>
  <c r="K1639"/>
  <c r="K1640"/>
  <c r="K1641"/>
  <c r="K1642"/>
  <c r="K1643"/>
  <c r="K1644"/>
  <c r="K1645"/>
  <c r="K1646"/>
  <c r="K1647"/>
  <c r="K1648"/>
  <c r="K1649"/>
  <c r="K1650"/>
  <c r="K1651"/>
  <c r="K1652"/>
  <c r="K1653"/>
  <c r="K1654"/>
  <c r="K1655"/>
  <c r="K1656"/>
  <c r="K1657"/>
  <c r="K1658"/>
  <c r="K1659"/>
  <c r="K1660"/>
  <c r="K1661"/>
  <c r="K1662"/>
  <c r="K1663"/>
  <c r="K1664"/>
  <c r="K1665"/>
  <c r="K1666"/>
  <c r="K1667"/>
  <c r="K1668"/>
  <c r="K1669"/>
  <c r="K1670"/>
  <c r="K1671"/>
  <c r="K1672"/>
  <c r="K1673"/>
  <c r="K1674"/>
  <c r="K1675"/>
  <c r="K1676"/>
  <c r="K1677"/>
  <c r="K1678"/>
  <c r="K1679"/>
  <c r="K1680"/>
  <c r="K1681"/>
  <c r="K1682"/>
  <c r="K1683"/>
  <c r="K1684"/>
  <c r="K1685"/>
  <c r="K1686"/>
  <c r="K1687"/>
  <c r="K1688"/>
  <c r="K1689"/>
  <c r="K1690"/>
  <c r="K1691"/>
  <c r="K1692"/>
  <c r="K1693"/>
  <c r="K1694"/>
  <c r="K1695"/>
  <c r="K1696"/>
  <c r="K1697"/>
  <c r="K1698"/>
  <c r="K1699"/>
  <c r="K1700"/>
  <c r="K1701"/>
  <c r="K1702"/>
  <c r="K1703"/>
  <c r="K1704"/>
  <c r="K1705"/>
  <c r="K1706"/>
  <c r="K1707"/>
  <c r="K1708"/>
  <c r="K1709"/>
  <c r="K1710"/>
  <c r="K1711"/>
  <c r="K1712"/>
  <c r="K1713"/>
  <c r="K1714"/>
  <c r="K1715"/>
  <c r="K1716"/>
  <c r="K1717"/>
  <c r="K1718"/>
  <c r="K1719"/>
  <c r="K1720"/>
  <c r="K1721"/>
  <c r="K1722"/>
  <c r="K1723"/>
  <c r="K1724"/>
  <c r="K1725"/>
  <c r="K1726"/>
  <c r="K1727"/>
  <c r="K1728"/>
  <c r="K1729"/>
  <c r="K1730"/>
  <c r="K1731"/>
  <c r="K1732"/>
  <c r="K1733"/>
  <c r="K1734"/>
  <c r="K1735"/>
  <c r="K1736"/>
  <c r="K1737"/>
  <c r="K1738"/>
  <c r="K1739"/>
  <c r="K1740"/>
  <c r="K1741"/>
  <c r="K1742"/>
  <c r="K1743"/>
  <c r="K1744"/>
  <c r="K1745"/>
  <c r="K1746"/>
  <c r="K1747"/>
  <c r="K1748"/>
  <c r="K1749"/>
  <c r="K1750"/>
  <c r="K1751"/>
  <c r="K1752"/>
  <c r="K1753"/>
  <c r="K1754"/>
  <c r="K1755"/>
  <c r="K1756"/>
  <c r="K1757"/>
  <c r="K1758"/>
  <c r="K1759"/>
  <c r="K1760"/>
  <c r="K1761"/>
  <c r="K1762"/>
  <c r="K1763"/>
  <c r="K1764"/>
  <c r="K1765"/>
  <c r="K1766"/>
  <c r="K1767"/>
  <c r="K1768"/>
  <c r="K1769"/>
  <c r="K1770"/>
  <c r="K1771"/>
  <c r="K1772"/>
  <c r="K1773"/>
  <c r="K1774"/>
  <c r="K1775"/>
  <c r="K1776"/>
  <c r="K1777"/>
  <c r="K1778"/>
  <c r="K1779"/>
  <c r="K1780"/>
  <c r="K1781"/>
  <c r="K1782"/>
  <c r="K1783"/>
  <c r="K1784"/>
  <c r="K1785"/>
  <c r="K1786"/>
  <c r="K1787"/>
  <c r="K1788"/>
  <c r="K1789"/>
  <c r="K1790"/>
  <c r="K1791"/>
  <c r="K1792"/>
  <c r="K1793"/>
  <c r="K1794"/>
  <c r="K1795"/>
  <c r="K1796"/>
  <c r="K1797"/>
  <c r="K1798"/>
  <c r="K1799"/>
  <c r="K1800"/>
  <c r="K1801"/>
  <c r="K1802"/>
  <c r="K1803"/>
  <c r="K1804"/>
  <c r="K1805"/>
  <c r="K1806"/>
  <c r="K1807"/>
  <c r="K1808"/>
  <c r="K1809"/>
  <c r="K1810"/>
  <c r="K1811"/>
  <c r="K1812"/>
  <c r="K1813"/>
  <c r="K1814"/>
  <c r="K1815"/>
  <c r="K1816"/>
  <c r="K1817"/>
  <c r="K1818"/>
  <c r="K1819"/>
  <c r="K1820"/>
  <c r="K1821"/>
  <c r="K1822"/>
  <c r="K1823"/>
  <c r="K1824"/>
  <c r="K1825"/>
  <c r="K1826"/>
  <c r="K1827"/>
  <c r="K1828"/>
  <c r="K1829"/>
  <c r="K1830"/>
  <c r="K1831"/>
  <c r="K1832"/>
  <c r="K1833"/>
  <c r="K1834"/>
  <c r="K1835"/>
  <c r="K1836"/>
  <c r="K1837"/>
  <c r="K1838"/>
  <c r="K1839"/>
  <c r="K1840"/>
  <c r="K1841"/>
  <c r="K1842"/>
  <c r="K1843"/>
  <c r="K1844"/>
  <c r="K1845"/>
  <c r="K1846"/>
  <c r="K1847"/>
  <c r="K1848"/>
  <c r="K1849"/>
  <c r="K1850"/>
  <c r="K1851"/>
  <c r="K1852"/>
  <c r="K1853"/>
  <c r="K1854"/>
  <c r="K1855"/>
  <c r="K1856"/>
  <c r="K1857"/>
  <c r="K1858"/>
  <c r="K1859"/>
  <c r="K1860"/>
  <c r="K1861"/>
  <c r="K1862"/>
  <c r="K1863"/>
  <c r="K1864"/>
  <c r="K1865"/>
  <c r="K1866"/>
  <c r="K1867"/>
  <c r="K1868"/>
  <c r="K1869"/>
  <c r="K1870"/>
  <c r="K1871"/>
  <c r="K1872"/>
  <c r="K1873"/>
  <c r="K1874"/>
  <c r="K1875"/>
  <c r="K1876"/>
  <c r="K1877"/>
  <c r="K1878"/>
  <c r="K1879"/>
  <c r="K1880"/>
  <c r="K1881"/>
  <c r="K1882"/>
  <c r="K1883"/>
  <c r="K1884"/>
  <c r="K1885"/>
  <c r="K1886"/>
  <c r="K1887"/>
  <c r="K1888"/>
  <c r="K1889"/>
  <c r="K1890"/>
  <c r="K1891"/>
  <c r="K1892"/>
  <c r="K1893"/>
  <c r="K1894"/>
  <c r="K1895"/>
  <c r="K1896"/>
  <c r="K1897"/>
  <c r="K1898"/>
  <c r="K1899"/>
  <c r="K1900"/>
  <c r="K1901"/>
  <c r="K1902"/>
  <c r="K1903"/>
  <c r="K1904"/>
  <c r="K1905"/>
  <c r="K1906"/>
  <c r="K1907"/>
  <c r="K1908"/>
  <c r="K1909"/>
  <c r="K1910"/>
  <c r="K1911"/>
  <c r="K1912"/>
  <c r="K1913"/>
  <c r="K1914"/>
  <c r="K1915"/>
  <c r="K1916"/>
  <c r="K1917"/>
  <c r="K1918"/>
  <c r="K1919"/>
  <c r="K1920"/>
  <c r="K1921"/>
  <c r="K1922"/>
  <c r="K1923"/>
  <c r="K1924"/>
  <c r="K1925"/>
  <c r="K1926"/>
  <c r="K1927"/>
  <c r="K1928"/>
  <c r="K1929"/>
  <c r="K1930"/>
  <c r="K1931"/>
  <c r="K1932"/>
  <c r="K1933"/>
  <c r="K1934"/>
  <c r="K1935"/>
  <c r="K1936"/>
  <c r="K1937"/>
  <c r="K1938"/>
  <c r="K1939"/>
  <c r="K1940"/>
  <c r="K1941"/>
  <c r="K1942"/>
  <c r="K1943"/>
  <c r="K1944"/>
  <c r="K1945"/>
  <c r="K1946"/>
  <c r="K1947"/>
  <c r="K1948"/>
  <c r="K1949"/>
  <c r="K1950"/>
  <c r="K1951"/>
  <c r="K1952"/>
  <c r="K1953"/>
  <c r="K1954"/>
  <c r="K1955"/>
  <c r="K1956"/>
  <c r="K1957"/>
  <c r="K1958"/>
  <c r="K1959"/>
  <c r="K1960"/>
  <c r="K1961"/>
  <c r="K1962"/>
  <c r="K1963"/>
  <c r="K1964"/>
  <c r="K1965"/>
  <c r="K1966"/>
  <c r="K1967"/>
  <c r="K1968"/>
  <c r="K1969"/>
  <c r="K1970"/>
  <c r="K1971"/>
  <c r="K1972"/>
  <c r="K1973"/>
  <c r="K1974"/>
  <c r="K1975"/>
  <c r="K1976"/>
  <c r="K1977"/>
  <c r="K1978"/>
  <c r="K1979"/>
  <c r="K1980"/>
  <c r="K1981"/>
  <c r="K1982"/>
  <c r="K1983"/>
  <c r="K1984"/>
  <c r="K1985"/>
  <c r="K1986"/>
  <c r="K1987"/>
  <c r="K1988"/>
  <c r="K1989"/>
  <c r="K1990"/>
  <c r="K1991"/>
  <c r="K1992"/>
  <c r="K1993"/>
  <c r="K1994"/>
  <c r="K1995"/>
  <c r="K1996"/>
  <c r="K1997"/>
  <c r="K1998"/>
  <c r="K1999"/>
  <c r="K2000"/>
  <c r="K2001"/>
  <c r="K2002"/>
  <c r="K2003"/>
  <c r="K2004"/>
  <c r="K2005"/>
  <c r="K2006"/>
  <c r="K2007"/>
  <c r="K2008"/>
  <c r="K2009"/>
  <c r="K2010"/>
  <c r="K2011"/>
  <c r="F4" i="4"/>
  <c r="G17"/>
  <c r="G16"/>
  <c r="F17"/>
  <c r="F16"/>
  <c r="C12"/>
  <c r="H17" i="1"/>
  <c r="H16"/>
  <c r="G4"/>
  <c r="C35" i="4"/>
  <c r="C13" i="1"/>
  <c r="C36" i="4"/>
  <c r="C33" i="1"/>
  <c r="C37" i="4"/>
  <c r="C34"/>
  <c r="I9" i="3"/>
  <c r="I10"/>
  <c r="I11"/>
  <c r="I12"/>
  <c r="I13"/>
  <c r="I14"/>
  <c r="I15"/>
  <c r="I16"/>
  <c r="I17"/>
  <c r="I18"/>
  <c r="I19"/>
  <c r="I20"/>
  <c r="I21"/>
  <c r="I22"/>
  <c r="I23"/>
  <c r="I24"/>
  <c r="I25"/>
  <c r="I26"/>
  <c r="I27"/>
  <c r="I28"/>
  <c r="I29"/>
  <c r="I30"/>
  <c r="I31"/>
  <c r="I32"/>
  <c r="I33"/>
  <c r="I34"/>
  <c r="I35"/>
  <c r="I36"/>
  <c r="I37"/>
  <c r="I38"/>
  <c r="I39"/>
  <c r="I40"/>
  <c r="I41"/>
  <c r="I42"/>
  <c r="I43"/>
  <c r="I44"/>
  <c r="I45"/>
  <c r="I46"/>
  <c r="I47"/>
  <c r="I48"/>
  <c r="I49"/>
  <c r="I50"/>
  <c r="I51"/>
  <c r="I52"/>
  <c r="I53"/>
  <c r="I54"/>
  <c r="I55"/>
  <c r="I56"/>
  <c r="I57"/>
  <c r="I58"/>
  <c r="I59"/>
  <c r="I60"/>
  <c r="I61"/>
  <c r="I62"/>
  <c r="I63"/>
  <c r="I64"/>
  <c r="I65"/>
  <c r="I66"/>
  <c r="I67"/>
  <c r="I68"/>
  <c r="I69"/>
  <c r="I70"/>
  <c r="I71"/>
  <c r="I72"/>
  <c r="I73"/>
  <c r="I74"/>
  <c r="I75"/>
  <c r="I76"/>
  <c r="I77"/>
  <c r="I78"/>
  <c r="I79"/>
  <c r="I80"/>
  <c r="I81"/>
  <c r="I82"/>
  <c r="I83"/>
  <c r="I84"/>
  <c r="I85"/>
  <c r="I86"/>
  <c r="I87"/>
  <c r="I88"/>
  <c r="I89"/>
  <c r="I90"/>
  <c r="I91"/>
  <c r="I92"/>
  <c r="I93"/>
  <c r="I94"/>
  <c r="I95"/>
  <c r="I96"/>
  <c r="I97"/>
  <c r="I98"/>
  <c r="I99"/>
  <c r="I100"/>
  <c r="I101"/>
  <c r="I102"/>
  <c r="I103"/>
  <c r="I104"/>
  <c r="I105"/>
  <c r="I106"/>
  <c r="I107"/>
  <c r="I108"/>
  <c r="I109"/>
  <c r="I110"/>
  <c r="I111"/>
  <c r="I112"/>
  <c r="I113"/>
  <c r="I114"/>
  <c r="I115"/>
  <c r="I116"/>
  <c r="I117"/>
  <c r="I118"/>
  <c r="I119"/>
  <c r="I120"/>
  <c r="I121"/>
  <c r="I122"/>
  <c r="I123"/>
  <c r="I124"/>
  <c r="I125"/>
  <c r="I126"/>
  <c r="I127"/>
  <c r="I128"/>
  <c r="I129"/>
  <c r="I130"/>
  <c r="I131"/>
  <c r="I132"/>
  <c r="I133"/>
  <c r="I134"/>
  <c r="I135"/>
  <c r="I136"/>
  <c r="I137"/>
  <c r="I138"/>
  <c r="I139"/>
  <c r="I140"/>
  <c r="I141"/>
  <c r="I142"/>
  <c r="I143"/>
  <c r="I144"/>
  <c r="I145"/>
  <c r="I146"/>
  <c r="I147"/>
  <c r="I148"/>
  <c r="I149"/>
  <c r="I150"/>
  <c r="I151"/>
  <c r="I152"/>
  <c r="I153"/>
  <c r="I154"/>
  <c r="I155"/>
  <c r="I156"/>
  <c r="I157"/>
  <c r="I158"/>
  <c r="I159"/>
  <c r="I160"/>
  <c r="I161"/>
  <c r="I162"/>
  <c r="I163"/>
  <c r="I164"/>
  <c r="I165"/>
  <c r="I166"/>
  <c r="I167"/>
  <c r="I168"/>
  <c r="I169"/>
  <c r="I170"/>
  <c r="I171"/>
  <c r="I172"/>
  <c r="I173"/>
  <c r="I174"/>
  <c r="I175"/>
  <c r="I176"/>
  <c r="I177"/>
  <c r="I178"/>
  <c r="I179"/>
  <c r="I180"/>
  <c r="I181"/>
  <c r="I182"/>
  <c r="I183"/>
  <c r="I184"/>
  <c r="I185"/>
  <c r="I186"/>
  <c r="I187"/>
  <c r="I188"/>
  <c r="I189"/>
  <c r="I190"/>
  <c r="I191"/>
  <c r="I192"/>
  <c r="I193"/>
  <c r="I194"/>
  <c r="I195"/>
  <c r="I196"/>
  <c r="I197"/>
  <c r="I198"/>
  <c r="I199"/>
  <c r="I200"/>
  <c r="I201"/>
  <c r="I202"/>
  <c r="I203"/>
  <c r="I204"/>
  <c r="I205"/>
  <c r="I206"/>
  <c r="I207"/>
  <c r="I208"/>
  <c r="I209"/>
  <c r="I210"/>
  <c r="I211"/>
  <c r="I212"/>
  <c r="I213"/>
  <c r="I214"/>
  <c r="I215"/>
  <c r="I216"/>
  <c r="I217"/>
  <c r="I218"/>
  <c r="I219"/>
  <c r="I220"/>
  <c r="I221"/>
  <c r="I222"/>
  <c r="I223"/>
  <c r="I224"/>
  <c r="I225"/>
  <c r="I226"/>
  <c r="I227"/>
  <c r="I228"/>
  <c r="I229"/>
  <c r="I230"/>
  <c r="I231"/>
  <c r="I232"/>
  <c r="I233"/>
  <c r="I234"/>
  <c r="I235"/>
  <c r="I236"/>
  <c r="I237"/>
  <c r="I238"/>
  <c r="I239"/>
  <c r="I240"/>
  <c r="I241"/>
  <c r="I242"/>
  <c r="I243"/>
  <c r="I244"/>
  <c r="I245"/>
  <c r="I246"/>
  <c r="I247"/>
  <c r="I248"/>
  <c r="I249"/>
  <c r="I250"/>
  <c r="I251"/>
  <c r="I252"/>
  <c r="I253"/>
  <c r="I254"/>
  <c r="I255"/>
  <c r="I256"/>
  <c r="I257"/>
  <c r="I258"/>
  <c r="I259"/>
  <c r="I260"/>
  <c r="I261"/>
  <c r="I262"/>
  <c r="I263"/>
  <c r="I264"/>
  <c r="I265"/>
  <c r="I266"/>
  <c r="I267"/>
  <c r="I268"/>
  <c r="I269"/>
  <c r="I270"/>
  <c r="I271"/>
  <c r="I272"/>
  <c r="I273"/>
  <c r="I274"/>
  <c r="I275"/>
  <c r="I276"/>
  <c r="I277"/>
  <c r="I278"/>
  <c r="I279"/>
  <c r="I280"/>
  <c r="I281"/>
  <c r="I282"/>
  <c r="I283"/>
  <c r="I284"/>
  <c r="I285"/>
  <c r="I286"/>
  <c r="I287"/>
  <c r="I288"/>
  <c r="I289"/>
  <c r="I290"/>
  <c r="I291"/>
  <c r="I292"/>
  <c r="I293"/>
  <c r="I294"/>
  <c r="I295"/>
  <c r="I296"/>
  <c r="I297"/>
  <c r="I298"/>
  <c r="I299"/>
  <c r="I300"/>
  <c r="I301"/>
  <c r="I302"/>
  <c r="I303"/>
  <c r="I304"/>
  <c r="I305"/>
  <c r="I306"/>
  <c r="I307"/>
  <c r="I308"/>
  <c r="I309"/>
  <c r="I310"/>
  <c r="I311"/>
  <c r="I312"/>
  <c r="I313"/>
  <c r="I314"/>
  <c r="I315"/>
  <c r="I316"/>
  <c r="I317"/>
  <c r="I318"/>
  <c r="I319"/>
  <c r="I320"/>
  <c r="I321"/>
  <c r="I322"/>
  <c r="I323"/>
  <c r="I324"/>
  <c r="I325"/>
  <c r="I326"/>
  <c r="I327"/>
  <c r="I328"/>
  <c r="I329"/>
  <c r="I330"/>
  <c r="I331"/>
  <c r="I332"/>
  <c r="I333"/>
  <c r="I334"/>
  <c r="I335"/>
  <c r="I336"/>
  <c r="I337"/>
  <c r="I338"/>
  <c r="I339"/>
  <c r="I340"/>
  <c r="I341"/>
  <c r="I342"/>
  <c r="I343"/>
  <c r="I344"/>
  <c r="I345"/>
  <c r="I346"/>
  <c r="I347"/>
  <c r="I348"/>
  <c r="I349"/>
  <c r="I350"/>
  <c r="I351"/>
  <c r="I352"/>
  <c r="I353"/>
  <c r="I354"/>
  <c r="I355"/>
  <c r="I356"/>
  <c r="I357"/>
  <c r="I358"/>
  <c r="I359"/>
  <c r="I360"/>
  <c r="I361"/>
  <c r="I362"/>
  <c r="I363"/>
  <c r="I364"/>
  <c r="I365"/>
  <c r="I366"/>
  <c r="I367"/>
  <c r="I368"/>
  <c r="I369"/>
  <c r="I370"/>
  <c r="I371"/>
  <c r="I372"/>
  <c r="I373"/>
  <c r="I374"/>
  <c r="I375"/>
  <c r="I376"/>
  <c r="I377"/>
  <c r="I378"/>
  <c r="I379"/>
  <c r="I380"/>
  <c r="I381"/>
  <c r="I382"/>
  <c r="I383"/>
  <c r="I384"/>
  <c r="I385"/>
  <c r="I386"/>
  <c r="I387"/>
  <c r="I388"/>
  <c r="I389"/>
  <c r="I390"/>
  <c r="I391"/>
  <c r="I392"/>
  <c r="I393"/>
  <c r="I394"/>
  <c r="I395"/>
  <c r="I396"/>
  <c r="I397"/>
  <c r="I398"/>
  <c r="I399"/>
  <c r="I400"/>
  <c r="I401"/>
  <c r="I402"/>
  <c r="I403"/>
  <c r="I404"/>
  <c r="I405"/>
  <c r="I406"/>
  <c r="I407"/>
  <c r="I408"/>
  <c r="I409"/>
  <c r="I410"/>
  <c r="I411"/>
  <c r="I412"/>
  <c r="I413"/>
  <c r="I414"/>
  <c r="I415"/>
  <c r="I416"/>
  <c r="I417"/>
  <c r="I418"/>
  <c r="I419"/>
  <c r="I420"/>
  <c r="I421"/>
  <c r="I422"/>
  <c r="I423"/>
  <c r="I424"/>
  <c r="I425"/>
  <c r="I426"/>
  <c r="I427"/>
  <c r="I428"/>
  <c r="I429"/>
  <c r="I430"/>
  <c r="I431"/>
  <c r="I432"/>
  <c r="I433"/>
  <c r="I434"/>
  <c r="I435"/>
  <c r="I436"/>
  <c r="I437"/>
  <c r="I438"/>
  <c r="I439"/>
  <c r="I440"/>
  <c r="I441"/>
  <c r="I442"/>
  <c r="I443"/>
  <c r="I444"/>
  <c r="I445"/>
  <c r="I446"/>
  <c r="I447"/>
  <c r="I448"/>
  <c r="I449"/>
  <c r="I450"/>
  <c r="I451"/>
  <c r="I452"/>
  <c r="I453"/>
  <c r="I454"/>
  <c r="I455"/>
  <c r="I456"/>
  <c r="I457"/>
  <c r="I458"/>
  <c r="I459"/>
  <c r="I460"/>
  <c r="I461"/>
  <c r="I462"/>
  <c r="I463"/>
  <c r="I464"/>
  <c r="I465"/>
  <c r="I466"/>
  <c r="I467"/>
  <c r="I468"/>
  <c r="I469"/>
  <c r="I470"/>
  <c r="I471"/>
  <c r="I472"/>
  <c r="I473"/>
  <c r="I474"/>
  <c r="I475"/>
  <c r="I476"/>
  <c r="I477"/>
  <c r="I478"/>
  <c r="I479"/>
  <c r="I480"/>
  <c r="I481"/>
  <c r="I482"/>
  <c r="I483"/>
  <c r="I484"/>
  <c r="I485"/>
  <c r="I486"/>
  <c r="I487"/>
  <c r="I488"/>
  <c r="I489"/>
  <c r="I490"/>
  <c r="I491"/>
  <c r="I492"/>
  <c r="I493"/>
  <c r="I494"/>
  <c r="I495"/>
  <c r="I496"/>
  <c r="I497"/>
  <c r="I498"/>
  <c r="I499"/>
  <c r="I500"/>
  <c r="I501"/>
  <c r="I502"/>
  <c r="I503"/>
  <c r="I504"/>
  <c r="I505"/>
  <c r="I506"/>
  <c r="I507"/>
  <c r="I508"/>
  <c r="I509"/>
  <c r="I510"/>
  <c r="I511"/>
  <c r="I512"/>
  <c r="I513"/>
  <c r="I514"/>
  <c r="I515"/>
  <c r="I516"/>
  <c r="I517"/>
  <c r="I518"/>
  <c r="I519"/>
  <c r="I520"/>
  <c r="I521"/>
  <c r="I522"/>
  <c r="I523"/>
  <c r="I524"/>
  <c r="I525"/>
  <c r="I526"/>
  <c r="I527"/>
  <c r="I528"/>
  <c r="I529"/>
  <c r="I530"/>
  <c r="I531"/>
  <c r="I532"/>
  <c r="I533"/>
  <c r="I534"/>
  <c r="I535"/>
  <c r="I536"/>
  <c r="I537"/>
  <c r="I538"/>
  <c r="I539"/>
  <c r="I540"/>
  <c r="I541"/>
  <c r="I542"/>
  <c r="I543"/>
  <c r="I544"/>
  <c r="I545"/>
  <c r="I546"/>
  <c r="I547"/>
  <c r="I548"/>
  <c r="I549"/>
  <c r="I550"/>
  <c r="I551"/>
  <c r="I552"/>
  <c r="I553"/>
  <c r="I554"/>
  <c r="I555"/>
  <c r="I556"/>
  <c r="I557"/>
  <c r="I558"/>
  <c r="I559"/>
  <c r="I560"/>
  <c r="I561"/>
  <c r="I562"/>
  <c r="I563"/>
  <c r="I564"/>
  <c r="I565"/>
  <c r="I566"/>
  <c r="I567"/>
  <c r="I568"/>
  <c r="I569"/>
  <c r="I570"/>
  <c r="I571"/>
  <c r="I572"/>
  <c r="I573"/>
  <c r="I574"/>
  <c r="I575"/>
  <c r="I576"/>
  <c r="I577"/>
  <c r="I578"/>
  <c r="I579"/>
  <c r="I580"/>
  <c r="I581"/>
  <c r="I582"/>
  <c r="I583"/>
  <c r="I584"/>
  <c r="I585"/>
  <c r="I586"/>
  <c r="I587"/>
  <c r="I588"/>
  <c r="I589"/>
  <c r="I590"/>
  <c r="I591"/>
  <c r="I592"/>
  <c r="I593"/>
  <c r="I594"/>
  <c r="I595"/>
  <c r="I596"/>
  <c r="I597"/>
  <c r="I598"/>
  <c r="I599"/>
  <c r="I600"/>
  <c r="I601"/>
  <c r="I602"/>
  <c r="I603"/>
  <c r="I604"/>
  <c r="I605"/>
  <c r="I606"/>
  <c r="I607"/>
  <c r="I608"/>
  <c r="I609"/>
  <c r="I610"/>
  <c r="I611"/>
  <c r="I612"/>
  <c r="I613"/>
  <c r="I614"/>
  <c r="I615"/>
  <c r="I616"/>
  <c r="I617"/>
  <c r="I618"/>
  <c r="I619"/>
  <c r="I620"/>
  <c r="I621"/>
  <c r="I622"/>
  <c r="I623"/>
  <c r="I624"/>
  <c r="I625"/>
  <c r="I626"/>
  <c r="I627"/>
  <c r="I628"/>
  <c r="I629"/>
  <c r="I630"/>
  <c r="I631"/>
  <c r="I632"/>
  <c r="I633"/>
  <c r="I634"/>
  <c r="I635"/>
  <c r="I636"/>
  <c r="I637"/>
  <c r="I638"/>
  <c r="I639"/>
  <c r="I640"/>
  <c r="I641"/>
  <c r="I642"/>
  <c r="I643"/>
  <c r="I644"/>
  <c r="I645"/>
  <c r="I646"/>
  <c r="I647"/>
  <c r="I648"/>
  <c r="I649"/>
  <c r="I650"/>
  <c r="I651"/>
  <c r="I652"/>
  <c r="I653"/>
  <c r="I654"/>
  <c r="I655"/>
  <c r="I656"/>
  <c r="I657"/>
  <c r="I658"/>
  <c r="I659"/>
  <c r="I660"/>
  <c r="I661"/>
  <c r="I662"/>
  <c r="I663"/>
  <c r="I664"/>
  <c r="I665"/>
  <c r="I666"/>
  <c r="I667"/>
  <c r="I668"/>
  <c r="I669"/>
  <c r="I670"/>
  <c r="I671"/>
  <c r="I672"/>
  <c r="I673"/>
  <c r="I674"/>
  <c r="I675"/>
  <c r="I676"/>
  <c r="I677"/>
  <c r="I678"/>
  <c r="I679"/>
  <c r="I680"/>
  <c r="I681"/>
  <c r="I682"/>
  <c r="I683"/>
  <c r="I684"/>
  <c r="I685"/>
  <c r="I686"/>
  <c r="I687"/>
  <c r="I688"/>
  <c r="I689"/>
  <c r="I690"/>
  <c r="I691"/>
  <c r="I692"/>
  <c r="I693"/>
  <c r="I694"/>
  <c r="I695"/>
  <c r="I696"/>
  <c r="I697"/>
  <c r="I698"/>
  <c r="I699"/>
  <c r="I700"/>
  <c r="I701"/>
  <c r="I702"/>
  <c r="I703"/>
  <c r="I704"/>
  <c r="I705"/>
  <c r="I706"/>
  <c r="I707"/>
  <c r="I708"/>
  <c r="I709"/>
  <c r="I710"/>
  <c r="I711"/>
  <c r="I712"/>
  <c r="I713"/>
  <c r="I714"/>
  <c r="I715"/>
  <c r="I716"/>
  <c r="I717"/>
  <c r="I718"/>
  <c r="I719"/>
  <c r="I720"/>
  <c r="I721"/>
  <c r="I722"/>
  <c r="I723"/>
  <c r="I724"/>
  <c r="I725"/>
  <c r="I726"/>
  <c r="I727"/>
  <c r="I728"/>
  <c r="I729"/>
  <c r="I730"/>
  <c r="I731"/>
  <c r="I732"/>
  <c r="I733"/>
  <c r="I734"/>
  <c r="I735"/>
  <c r="I736"/>
  <c r="I737"/>
  <c r="I738"/>
  <c r="I739"/>
  <c r="I740"/>
  <c r="I741"/>
  <c r="I742"/>
  <c r="I743"/>
  <c r="I744"/>
  <c r="I745"/>
  <c r="I746"/>
  <c r="I747"/>
  <c r="I748"/>
  <c r="I749"/>
  <c r="I750"/>
  <c r="I751"/>
  <c r="I752"/>
  <c r="I753"/>
  <c r="I754"/>
  <c r="I755"/>
  <c r="I756"/>
  <c r="I757"/>
  <c r="I758"/>
  <c r="I759"/>
  <c r="I760"/>
  <c r="I761"/>
  <c r="I762"/>
  <c r="I763"/>
  <c r="I764"/>
  <c r="I765"/>
  <c r="I766"/>
  <c r="I767"/>
  <c r="I768"/>
  <c r="I769"/>
  <c r="I770"/>
  <c r="I771"/>
  <c r="I772"/>
  <c r="I773"/>
  <c r="I774"/>
  <c r="I775"/>
  <c r="I776"/>
  <c r="I777"/>
  <c r="I778"/>
  <c r="I779"/>
  <c r="I780"/>
  <c r="I781"/>
  <c r="I782"/>
  <c r="I783"/>
  <c r="I784"/>
  <c r="I785"/>
  <c r="I786"/>
  <c r="I787"/>
  <c r="I788"/>
  <c r="I789"/>
  <c r="I790"/>
  <c r="I791"/>
  <c r="I792"/>
  <c r="I793"/>
  <c r="I794"/>
  <c r="I795"/>
  <c r="I796"/>
  <c r="I797"/>
  <c r="I798"/>
  <c r="I799"/>
  <c r="I800"/>
  <c r="I801"/>
  <c r="I802"/>
  <c r="I803"/>
  <c r="I804"/>
  <c r="I805"/>
  <c r="I806"/>
  <c r="I807"/>
  <c r="I808"/>
  <c r="I809"/>
  <c r="I810"/>
  <c r="I811"/>
  <c r="I812"/>
  <c r="I813"/>
  <c r="I814"/>
  <c r="I815"/>
  <c r="I816"/>
  <c r="I817"/>
  <c r="I818"/>
  <c r="I819"/>
  <c r="I820"/>
  <c r="I821"/>
  <c r="I822"/>
  <c r="I823"/>
  <c r="I824"/>
  <c r="I825"/>
  <c r="I826"/>
  <c r="I827"/>
  <c r="I828"/>
  <c r="I829"/>
  <c r="I830"/>
  <c r="I831"/>
  <c r="I832"/>
  <c r="I833"/>
  <c r="I834"/>
  <c r="I835"/>
  <c r="I836"/>
  <c r="I837"/>
  <c r="I838"/>
  <c r="I839"/>
  <c r="I840"/>
  <c r="I841"/>
  <c r="I842"/>
  <c r="I843"/>
  <c r="I844"/>
  <c r="I845"/>
  <c r="I846"/>
  <c r="I847"/>
  <c r="I848"/>
  <c r="I849"/>
  <c r="I850"/>
  <c r="I851"/>
  <c r="I852"/>
  <c r="I853"/>
  <c r="I854"/>
  <c r="I855"/>
  <c r="I856"/>
  <c r="I857"/>
  <c r="I858"/>
  <c r="I859"/>
  <c r="I860"/>
  <c r="I861"/>
  <c r="I862"/>
  <c r="I863"/>
  <c r="I864"/>
  <c r="I865"/>
  <c r="I866"/>
  <c r="I867"/>
  <c r="I868"/>
  <c r="I869"/>
  <c r="I870"/>
  <c r="I871"/>
  <c r="I872"/>
  <c r="I873"/>
  <c r="I874"/>
  <c r="I875"/>
  <c r="I876"/>
  <c r="I877"/>
  <c r="I878"/>
  <c r="I879"/>
  <c r="I880"/>
  <c r="I881"/>
  <c r="I882"/>
  <c r="I883"/>
  <c r="I884"/>
  <c r="I885"/>
  <c r="I886"/>
  <c r="I887"/>
  <c r="I888"/>
  <c r="I889"/>
  <c r="I890"/>
  <c r="I891"/>
  <c r="I892"/>
  <c r="I893"/>
  <c r="I894"/>
  <c r="I895"/>
  <c r="I896"/>
  <c r="I897"/>
  <c r="I898"/>
  <c r="I899"/>
  <c r="I900"/>
  <c r="I901"/>
  <c r="I902"/>
  <c r="I903"/>
  <c r="I904"/>
  <c r="I905"/>
  <c r="I906"/>
  <c r="I907"/>
  <c r="I908"/>
  <c r="I909"/>
  <c r="I910"/>
  <c r="I911"/>
  <c r="I912"/>
  <c r="I913"/>
  <c r="I914"/>
  <c r="I915"/>
  <c r="I916"/>
  <c r="I917"/>
  <c r="I918"/>
  <c r="I919"/>
  <c r="I920"/>
  <c r="I921"/>
  <c r="I922"/>
  <c r="I923"/>
  <c r="I924"/>
  <c r="I925"/>
  <c r="I926"/>
  <c r="I927"/>
  <c r="I928"/>
  <c r="I929"/>
  <c r="I930"/>
  <c r="I931"/>
  <c r="I932"/>
  <c r="I933"/>
  <c r="I934"/>
  <c r="I935"/>
  <c r="I936"/>
  <c r="I937"/>
  <c r="I938"/>
  <c r="I939"/>
  <c r="I940"/>
  <c r="I941"/>
  <c r="I942"/>
  <c r="I943"/>
  <c r="I944"/>
  <c r="I945"/>
  <c r="I946"/>
  <c r="I947"/>
  <c r="I948"/>
  <c r="I949"/>
  <c r="I950"/>
  <c r="I951"/>
  <c r="I952"/>
  <c r="I953"/>
  <c r="I954"/>
  <c r="I955"/>
  <c r="I956"/>
  <c r="I957"/>
  <c r="I958"/>
  <c r="I959"/>
  <c r="I960"/>
  <c r="I961"/>
  <c r="I962"/>
  <c r="I963"/>
  <c r="I964"/>
  <c r="I965"/>
  <c r="I966"/>
  <c r="I967"/>
  <c r="I968"/>
  <c r="I969"/>
  <c r="I970"/>
  <c r="I971"/>
  <c r="I972"/>
  <c r="I973"/>
  <c r="I974"/>
  <c r="I975"/>
  <c r="I976"/>
  <c r="I977"/>
  <c r="I978"/>
  <c r="I979"/>
  <c r="I980"/>
  <c r="I981"/>
  <c r="I982"/>
  <c r="I983"/>
  <c r="I984"/>
  <c r="I985"/>
  <c r="I986"/>
  <c r="I987"/>
  <c r="I988"/>
  <c r="I989"/>
  <c r="I990"/>
  <c r="I991"/>
  <c r="I992"/>
  <c r="I993"/>
  <c r="I994"/>
  <c r="I995"/>
  <c r="I996"/>
  <c r="I997"/>
  <c r="I998"/>
  <c r="I999"/>
  <c r="I1000"/>
  <c r="I1001"/>
  <c r="I1002"/>
  <c r="I1003"/>
  <c r="I1004"/>
  <c r="I1005"/>
  <c r="I1006"/>
  <c r="I1007"/>
  <c r="I1008"/>
  <c r="I1009"/>
  <c r="I1010"/>
  <c r="I1011"/>
  <c r="I1012"/>
  <c r="I1013"/>
  <c r="I1014"/>
  <c r="I1015"/>
  <c r="I1016"/>
  <c r="I1017"/>
  <c r="I1018"/>
  <c r="I1019"/>
  <c r="I1020"/>
  <c r="I1021"/>
  <c r="I1022"/>
  <c r="I1023"/>
  <c r="I1024"/>
  <c r="I1025"/>
  <c r="I1026"/>
  <c r="I1027"/>
  <c r="I1028"/>
  <c r="I1029"/>
  <c r="I1030"/>
  <c r="I1031"/>
  <c r="I1032"/>
  <c r="I1033"/>
  <c r="I1034"/>
  <c r="I1035"/>
  <c r="I1036"/>
  <c r="I1037"/>
  <c r="I1038"/>
  <c r="I1039"/>
  <c r="I1040"/>
  <c r="I1041"/>
  <c r="I1042"/>
  <c r="I1043"/>
  <c r="I1044"/>
  <c r="I1045"/>
  <c r="I1046"/>
  <c r="I1047"/>
  <c r="I1048"/>
  <c r="I1049"/>
  <c r="I1050"/>
  <c r="I1051"/>
  <c r="I1052"/>
  <c r="I1053"/>
  <c r="I1054"/>
  <c r="I1055"/>
  <c r="I1056"/>
  <c r="I1057"/>
  <c r="I1058"/>
  <c r="I1059"/>
  <c r="I1060"/>
  <c r="I1061"/>
  <c r="I1062"/>
  <c r="I1063"/>
  <c r="I1064"/>
  <c r="I1065"/>
  <c r="I1066"/>
  <c r="I1067"/>
  <c r="I1068"/>
  <c r="I1069"/>
  <c r="I1070"/>
  <c r="I1071"/>
  <c r="I1072"/>
  <c r="I1073"/>
  <c r="I1074"/>
  <c r="I1075"/>
  <c r="I1076"/>
  <c r="I1077"/>
  <c r="I1078"/>
  <c r="I1079"/>
  <c r="I1080"/>
  <c r="I1081"/>
  <c r="I1082"/>
  <c r="I1083"/>
  <c r="I1084"/>
  <c r="I1085"/>
  <c r="I1086"/>
  <c r="I1087"/>
  <c r="I1088"/>
  <c r="I1089"/>
  <c r="I1090"/>
  <c r="I1091"/>
  <c r="I1092"/>
  <c r="I1093"/>
  <c r="I1094"/>
  <c r="I1095"/>
  <c r="I1096"/>
  <c r="I1097"/>
  <c r="I1098"/>
  <c r="I1099"/>
  <c r="I1100"/>
  <c r="I1101"/>
  <c r="I1102"/>
  <c r="I1103"/>
  <c r="I1104"/>
  <c r="I1105"/>
  <c r="I1106"/>
  <c r="I1107"/>
  <c r="I1108"/>
  <c r="I1109"/>
  <c r="I1110"/>
  <c r="I1111"/>
  <c r="I1112"/>
  <c r="I1113"/>
  <c r="I1114"/>
  <c r="I1115"/>
  <c r="I1116"/>
  <c r="I1117"/>
  <c r="I1118"/>
  <c r="I1119"/>
  <c r="I1120"/>
  <c r="I1121"/>
  <c r="I1122"/>
  <c r="I1123"/>
  <c r="I1124"/>
  <c r="I1125"/>
  <c r="I1126"/>
  <c r="I1127"/>
  <c r="I1128"/>
  <c r="I1129"/>
  <c r="I1130"/>
  <c r="I1131"/>
  <c r="I1132"/>
  <c r="I1133"/>
  <c r="I1134"/>
  <c r="I1135"/>
  <c r="I1136"/>
  <c r="I1137"/>
  <c r="I1138"/>
  <c r="I1139"/>
  <c r="I1140"/>
  <c r="I1141"/>
  <c r="I1142"/>
  <c r="I1143"/>
  <c r="I1144"/>
  <c r="I1145"/>
  <c r="I1146"/>
  <c r="I1147"/>
  <c r="I1148"/>
  <c r="I1149"/>
  <c r="I1150"/>
  <c r="I1151"/>
  <c r="I1152"/>
  <c r="I1153"/>
  <c r="I1154"/>
  <c r="I1155"/>
  <c r="I1156"/>
  <c r="I1157"/>
  <c r="I1158"/>
  <c r="I1159"/>
  <c r="I1160"/>
  <c r="I1161"/>
  <c r="I1162"/>
  <c r="I1163"/>
  <c r="I1164"/>
  <c r="I1165"/>
  <c r="I1166"/>
  <c r="I1167"/>
  <c r="I1168"/>
  <c r="I1169"/>
  <c r="I1170"/>
  <c r="I1171"/>
  <c r="I1172"/>
  <c r="I1173"/>
  <c r="I1174"/>
  <c r="I1175"/>
  <c r="I1176"/>
  <c r="I1177"/>
  <c r="I1178"/>
  <c r="I1179"/>
  <c r="I1180"/>
  <c r="I1181"/>
  <c r="I1182"/>
  <c r="I1183"/>
  <c r="I1184"/>
  <c r="I1185"/>
  <c r="I1186"/>
  <c r="I1187"/>
  <c r="I1188"/>
  <c r="I1189"/>
  <c r="I1190"/>
  <c r="I1191"/>
  <c r="I1192"/>
  <c r="I1193"/>
  <c r="I1194"/>
  <c r="I1195"/>
  <c r="I1196"/>
  <c r="I1197"/>
  <c r="I1198"/>
  <c r="I1199"/>
  <c r="I1200"/>
  <c r="I1201"/>
  <c r="I1202"/>
  <c r="I1203"/>
  <c r="I1204"/>
  <c r="I1205"/>
  <c r="I1206"/>
  <c r="I1207"/>
  <c r="I1208"/>
  <c r="I1209"/>
  <c r="I1210"/>
  <c r="I1211"/>
  <c r="I1212"/>
  <c r="I1213"/>
  <c r="I1214"/>
  <c r="I1215"/>
  <c r="I1216"/>
  <c r="I1217"/>
  <c r="I1218"/>
  <c r="I1219"/>
  <c r="I1220"/>
  <c r="I1221"/>
  <c r="I1222"/>
  <c r="I1223"/>
  <c r="I1224"/>
  <c r="I1225"/>
  <c r="I1226"/>
  <c r="I1227"/>
  <c r="I1228"/>
  <c r="I1229"/>
  <c r="I1230"/>
  <c r="I1231"/>
  <c r="I1232"/>
  <c r="I1233"/>
  <c r="I1234"/>
  <c r="I1235"/>
  <c r="I1236"/>
  <c r="I1237"/>
  <c r="I1238"/>
  <c r="I1239"/>
  <c r="I1240"/>
  <c r="I1241"/>
  <c r="I1242"/>
  <c r="I1243"/>
  <c r="I1244"/>
  <c r="I1245"/>
  <c r="I1246"/>
  <c r="I1247"/>
  <c r="I1248"/>
  <c r="I1249"/>
  <c r="I1250"/>
  <c r="I1251"/>
  <c r="I1252"/>
  <c r="I1253"/>
  <c r="I1254"/>
  <c r="I1255"/>
  <c r="I1256"/>
  <c r="I1257"/>
  <c r="I1258"/>
  <c r="I1259"/>
  <c r="I1260"/>
  <c r="I1261"/>
  <c r="I1262"/>
  <c r="I1263"/>
  <c r="I1264"/>
  <c r="I1265"/>
  <c r="I1266"/>
  <c r="I1267"/>
  <c r="I1268"/>
  <c r="I1269"/>
  <c r="I1270"/>
  <c r="I1271"/>
  <c r="I1272"/>
  <c r="I1273"/>
  <c r="I1274"/>
  <c r="I1275"/>
  <c r="I1276"/>
  <c r="I1277"/>
  <c r="I1278"/>
  <c r="I1279"/>
  <c r="I1280"/>
  <c r="I1281"/>
  <c r="I1282"/>
  <c r="I1283"/>
  <c r="I1284"/>
  <c r="I1285"/>
  <c r="I1286"/>
  <c r="I1287"/>
  <c r="I1288"/>
  <c r="I1289"/>
  <c r="I1290"/>
  <c r="I1291"/>
  <c r="I1292"/>
  <c r="I1293"/>
  <c r="I1294"/>
  <c r="I1295"/>
  <c r="I1296"/>
  <c r="I1297"/>
  <c r="I1298"/>
  <c r="I1299"/>
  <c r="I1300"/>
  <c r="I1301"/>
  <c r="I1302"/>
  <c r="I1303"/>
  <c r="I1304"/>
  <c r="I1305"/>
  <c r="I1306"/>
  <c r="I1307"/>
  <c r="I1308"/>
  <c r="I1309"/>
  <c r="I1310"/>
  <c r="I1311"/>
  <c r="I1312"/>
  <c r="I1313"/>
  <c r="I1314"/>
  <c r="I1315"/>
  <c r="I1316"/>
  <c r="I1317"/>
  <c r="I1318"/>
  <c r="I1319"/>
  <c r="I1320"/>
  <c r="I1321"/>
  <c r="I1322"/>
  <c r="I1323"/>
  <c r="I1324"/>
  <c r="I1325"/>
  <c r="I1326"/>
  <c r="I1327"/>
  <c r="I1328"/>
  <c r="I1329"/>
  <c r="I1330"/>
  <c r="I1331"/>
  <c r="I1332"/>
  <c r="I1333"/>
  <c r="I1334"/>
  <c r="I1335"/>
  <c r="I1336"/>
  <c r="I1337"/>
  <c r="I1338"/>
  <c r="I1339"/>
  <c r="I1340"/>
  <c r="I1341"/>
  <c r="I1342"/>
  <c r="I1343"/>
  <c r="I1344"/>
  <c r="I1345"/>
  <c r="I1346"/>
  <c r="I1347"/>
  <c r="I1348"/>
  <c r="I1349"/>
  <c r="I1350"/>
  <c r="I1351"/>
  <c r="I1352"/>
  <c r="I1353"/>
  <c r="I1354"/>
  <c r="I1355"/>
  <c r="I1356"/>
  <c r="I1357"/>
  <c r="I1358"/>
  <c r="I1359"/>
  <c r="I1360"/>
  <c r="I1361"/>
  <c r="I1362"/>
  <c r="I1363"/>
  <c r="I1364"/>
  <c r="I1365"/>
  <c r="I1366"/>
  <c r="I1367"/>
  <c r="I1368"/>
  <c r="I1369"/>
  <c r="I1370"/>
  <c r="I1371"/>
  <c r="I1372"/>
  <c r="I1373"/>
  <c r="I1374"/>
  <c r="I1375"/>
  <c r="I1376"/>
  <c r="I1377"/>
  <c r="I1378"/>
  <c r="I1379"/>
  <c r="I1380"/>
  <c r="I1381"/>
  <c r="I1382"/>
  <c r="I1383"/>
  <c r="I1384"/>
  <c r="I1385"/>
  <c r="I1386"/>
  <c r="I1387"/>
  <c r="I1388"/>
  <c r="I1389"/>
  <c r="I1390"/>
  <c r="I1391"/>
  <c r="I1392"/>
  <c r="I1393"/>
  <c r="I1394"/>
  <c r="I1395"/>
  <c r="I1396"/>
  <c r="I1397"/>
  <c r="I1398"/>
  <c r="I1399"/>
  <c r="I1400"/>
  <c r="I1401"/>
  <c r="I1402"/>
  <c r="I1403"/>
  <c r="I1404"/>
  <c r="I1405"/>
  <c r="I1406"/>
  <c r="I1407"/>
  <c r="I1408"/>
  <c r="I1409"/>
  <c r="I1410"/>
  <c r="I1411"/>
  <c r="I1412"/>
  <c r="I1413"/>
  <c r="I1414"/>
  <c r="I1415"/>
  <c r="I1416"/>
  <c r="I1417"/>
  <c r="I1418"/>
  <c r="I1419"/>
  <c r="I1420"/>
  <c r="I1421"/>
  <c r="I1422"/>
  <c r="I1423"/>
  <c r="I1424"/>
  <c r="I1425"/>
  <c r="I1426"/>
  <c r="I1427"/>
  <c r="I1428"/>
  <c r="I1429"/>
  <c r="I1430"/>
  <c r="I1431"/>
  <c r="I1432"/>
  <c r="I1433"/>
  <c r="I1434"/>
  <c r="I1435"/>
  <c r="I1436"/>
  <c r="I1437"/>
  <c r="I1438"/>
  <c r="I1439"/>
  <c r="I1440"/>
  <c r="I1441"/>
  <c r="I1442"/>
  <c r="I1443"/>
  <c r="I1444"/>
  <c r="I1445"/>
  <c r="I1446"/>
  <c r="I1447"/>
  <c r="I1448"/>
  <c r="I1449"/>
  <c r="I1450"/>
  <c r="I1451"/>
  <c r="I1452"/>
  <c r="I1453"/>
  <c r="I1454"/>
  <c r="I1455"/>
  <c r="I1456"/>
  <c r="I1457"/>
  <c r="I1458"/>
  <c r="I1459"/>
  <c r="I1460"/>
  <c r="I1461"/>
  <c r="I1462"/>
  <c r="I1463"/>
  <c r="I1464"/>
  <c r="I1465"/>
  <c r="I1466"/>
  <c r="I1467"/>
  <c r="I1468"/>
  <c r="I1469"/>
  <c r="I1470"/>
  <c r="I1471"/>
  <c r="I1472"/>
  <c r="I1473"/>
  <c r="I1474"/>
  <c r="I1475"/>
  <c r="I1476"/>
  <c r="I1477"/>
  <c r="I1478"/>
  <c r="I1479"/>
  <c r="I1480"/>
  <c r="I1481"/>
  <c r="I1482"/>
  <c r="I1483"/>
  <c r="I1484"/>
  <c r="I1485"/>
  <c r="I1486"/>
  <c r="I1487"/>
  <c r="I1488"/>
  <c r="I1489"/>
  <c r="I1490"/>
  <c r="I1491"/>
  <c r="I1492"/>
  <c r="I1493"/>
  <c r="I1494"/>
  <c r="I1495"/>
  <c r="I1496"/>
  <c r="I1497"/>
  <c r="I1498"/>
  <c r="I1499"/>
  <c r="I1500"/>
  <c r="I1501"/>
  <c r="I1502"/>
  <c r="I1503"/>
  <c r="I1504"/>
  <c r="I1505"/>
  <c r="I1506"/>
  <c r="I1507"/>
  <c r="I1508"/>
  <c r="I1509"/>
  <c r="I1510"/>
  <c r="I1511"/>
  <c r="I1512"/>
  <c r="I1513"/>
  <c r="I1514"/>
  <c r="I1515"/>
  <c r="I1516"/>
  <c r="I1517"/>
  <c r="I1518"/>
  <c r="I1519"/>
  <c r="I1520"/>
  <c r="I1521"/>
  <c r="I1522"/>
  <c r="I1523"/>
  <c r="I1524"/>
  <c r="I1525"/>
  <c r="I1526"/>
  <c r="I1527"/>
  <c r="I1528"/>
  <c r="I1529"/>
  <c r="I1530"/>
  <c r="I1531"/>
  <c r="I1532"/>
  <c r="I1533"/>
  <c r="I1534"/>
  <c r="I1535"/>
  <c r="I1536"/>
  <c r="I1537"/>
  <c r="I1538"/>
  <c r="I1539"/>
  <c r="I1540"/>
  <c r="I1541"/>
  <c r="I1542"/>
  <c r="I1543"/>
  <c r="I1544"/>
  <c r="I1545"/>
  <c r="I1546"/>
  <c r="I1547"/>
  <c r="I1548"/>
  <c r="I1549"/>
  <c r="I1550"/>
  <c r="I1551"/>
  <c r="I1552"/>
  <c r="I1553"/>
  <c r="I1554"/>
  <c r="I1555"/>
  <c r="I1556"/>
  <c r="I1557"/>
  <c r="I1558"/>
  <c r="I1559"/>
  <c r="I1560"/>
  <c r="I1561"/>
  <c r="I1562"/>
  <c r="I1563"/>
  <c r="I1564"/>
  <c r="I1565"/>
  <c r="I1566"/>
  <c r="I1567"/>
  <c r="I1568"/>
  <c r="I1569"/>
  <c r="I1570"/>
  <c r="I1571"/>
  <c r="I1572"/>
  <c r="I1573"/>
  <c r="I1574"/>
  <c r="I1575"/>
  <c r="I1576"/>
  <c r="I1577"/>
  <c r="I1578"/>
  <c r="I1579"/>
  <c r="I1580"/>
  <c r="I1581"/>
  <c r="I1582"/>
  <c r="I1583"/>
  <c r="I1584"/>
  <c r="I1585"/>
  <c r="I1586"/>
  <c r="I1587"/>
  <c r="I1588"/>
  <c r="I1589"/>
  <c r="I1590"/>
  <c r="I1591"/>
  <c r="I1592"/>
  <c r="I1593"/>
  <c r="I1594"/>
  <c r="I1595"/>
  <c r="I1596"/>
  <c r="I1597"/>
  <c r="I1598"/>
  <c r="I1599"/>
  <c r="I1600"/>
  <c r="I1601"/>
  <c r="I1602"/>
  <c r="I1603"/>
  <c r="I1604"/>
  <c r="I1605"/>
  <c r="I1606"/>
  <c r="I1607"/>
  <c r="I1608"/>
  <c r="I1609"/>
  <c r="I1610"/>
  <c r="I1611"/>
  <c r="I1612"/>
  <c r="I1613"/>
  <c r="I1614"/>
  <c r="I1615"/>
  <c r="I1616"/>
  <c r="I1617"/>
  <c r="I1618"/>
  <c r="I1619"/>
  <c r="I1620"/>
  <c r="I1621"/>
  <c r="I1622"/>
  <c r="I1623"/>
  <c r="I1624"/>
  <c r="I1625"/>
  <c r="I1626"/>
  <c r="I1627"/>
  <c r="I1628"/>
  <c r="I1629"/>
  <c r="I1630"/>
  <c r="I1631"/>
  <c r="I1632"/>
  <c r="I1633"/>
  <c r="I1634"/>
  <c r="I1635"/>
  <c r="I1636"/>
  <c r="I1637"/>
  <c r="I1638"/>
  <c r="I1639"/>
  <c r="I1640"/>
  <c r="I1641"/>
  <c r="I1642"/>
  <c r="I1643"/>
  <c r="I1644"/>
  <c r="I1645"/>
  <c r="I1646"/>
  <c r="I1647"/>
  <c r="I1648"/>
  <c r="I1649"/>
  <c r="I1650"/>
  <c r="I1651"/>
  <c r="I1652"/>
  <c r="I1653"/>
  <c r="I1654"/>
  <c r="I1655"/>
  <c r="I1656"/>
  <c r="I1657"/>
  <c r="I1658"/>
  <c r="I1659"/>
  <c r="I1660"/>
  <c r="I1661"/>
  <c r="I1662"/>
  <c r="I1663"/>
  <c r="I1664"/>
  <c r="I1665"/>
  <c r="I1666"/>
  <c r="I1667"/>
  <c r="I1668"/>
  <c r="I1669"/>
  <c r="I1670"/>
  <c r="I1671"/>
  <c r="I1672"/>
  <c r="I1673"/>
  <c r="I1674"/>
  <c r="I1675"/>
  <c r="I1676"/>
  <c r="I1677"/>
  <c r="I1678"/>
  <c r="I1679"/>
  <c r="I1680"/>
  <c r="I1681"/>
  <c r="I1682"/>
  <c r="I1683"/>
  <c r="I1684"/>
  <c r="I1685"/>
  <c r="I1686"/>
  <c r="I1687"/>
  <c r="I1688"/>
  <c r="I1689"/>
  <c r="I1690"/>
  <c r="I1691"/>
  <c r="I1692"/>
  <c r="I1693"/>
  <c r="I1694"/>
  <c r="I1695"/>
  <c r="I1696"/>
  <c r="I1697"/>
  <c r="I1698"/>
  <c r="I1699"/>
  <c r="I1700"/>
  <c r="I1701"/>
  <c r="I1702"/>
  <c r="I1703"/>
  <c r="I1704"/>
  <c r="I1705"/>
  <c r="I1706"/>
  <c r="I1707"/>
  <c r="I1708"/>
  <c r="I1709"/>
  <c r="I1710"/>
  <c r="I1711"/>
  <c r="I1712"/>
  <c r="I1713"/>
  <c r="I1714"/>
  <c r="I1715"/>
  <c r="I1716"/>
  <c r="I1717"/>
  <c r="I1718"/>
  <c r="I1719"/>
  <c r="I1720"/>
  <c r="I1721"/>
  <c r="I1722"/>
  <c r="I1723"/>
  <c r="I1724"/>
  <c r="I1725"/>
  <c r="I1726"/>
  <c r="I1727"/>
  <c r="I1728"/>
  <c r="I1729"/>
  <c r="I1730"/>
  <c r="I1731"/>
  <c r="I1732"/>
  <c r="I1733"/>
  <c r="I1734"/>
  <c r="I1735"/>
  <c r="I1736"/>
  <c r="I1737"/>
  <c r="I1738"/>
  <c r="I1739"/>
  <c r="I1740"/>
  <c r="I1741"/>
  <c r="I1742"/>
  <c r="I1743"/>
  <c r="I1744"/>
  <c r="I1745"/>
  <c r="I1746"/>
  <c r="I1747"/>
  <c r="I1748"/>
  <c r="I1749"/>
  <c r="I1750"/>
  <c r="I1751"/>
  <c r="I1752"/>
  <c r="I1753"/>
  <c r="I1754"/>
  <c r="I1755"/>
  <c r="I1756"/>
  <c r="I1757"/>
  <c r="I1758"/>
  <c r="I1759"/>
  <c r="I1760"/>
  <c r="I1761"/>
  <c r="I1762"/>
  <c r="I1763"/>
  <c r="I1764"/>
  <c r="I1765"/>
  <c r="I1766"/>
  <c r="I1767"/>
  <c r="I1768"/>
  <c r="I1769"/>
  <c r="I1770"/>
  <c r="I1771"/>
  <c r="I1772"/>
  <c r="I1773"/>
  <c r="I1774"/>
  <c r="I1775"/>
  <c r="I1776"/>
  <c r="I1777"/>
  <c r="I1778"/>
  <c r="I1779"/>
  <c r="I1780"/>
  <c r="I1781"/>
  <c r="I1782"/>
  <c r="I1783"/>
  <c r="I1784"/>
  <c r="I1785"/>
  <c r="I1786"/>
  <c r="I1787"/>
  <c r="I1788"/>
  <c r="I1789"/>
  <c r="I1790"/>
  <c r="I1791"/>
  <c r="I1792"/>
  <c r="I1793"/>
  <c r="I1794"/>
  <c r="I1795"/>
  <c r="I1796"/>
  <c r="I1797"/>
  <c r="I1798"/>
  <c r="I1799"/>
  <c r="I1800"/>
  <c r="I1801"/>
  <c r="I1802"/>
  <c r="I1803"/>
  <c r="I1804"/>
  <c r="I1805"/>
  <c r="I1806"/>
  <c r="I1807"/>
  <c r="I1808"/>
  <c r="I1809"/>
  <c r="I1810"/>
  <c r="I1811"/>
  <c r="I1812"/>
  <c r="I1813"/>
  <c r="I1814"/>
  <c r="I1815"/>
  <c r="I1816"/>
  <c r="I1817"/>
  <c r="I1818"/>
  <c r="I1819"/>
  <c r="I1820"/>
  <c r="I1821"/>
  <c r="I1822"/>
  <c r="I1823"/>
  <c r="I1824"/>
  <c r="I1825"/>
  <c r="I1826"/>
  <c r="I1827"/>
  <c r="I1828"/>
  <c r="I1829"/>
  <c r="I1830"/>
  <c r="I1831"/>
  <c r="I1832"/>
  <c r="I1833"/>
  <c r="I1834"/>
  <c r="I1835"/>
  <c r="I1836"/>
  <c r="I1837"/>
  <c r="I1838"/>
  <c r="I1839"/>
  <c r="I1840"/>
  <c r="I1841"/>
  <c r="I1842"/>
  <c r="I1843"/>
  <c r="I1844"/>
  <c r="I1845"/>
  <c r="I1846"/>
  <c r="I1847"/>
  <c r="I1848"/>
  <c r="I1849"/>
  <c r="I1850"/>
  <c r="I1851"/>
  <c r="I1852"/>
  <c r="I1853"/>
  <c r="I1854"/>
  <c r="I1855"/>
  <c r="I1856"/>
  <c r="I1857"/>
  <c r="I1858"/>
  <c r="I1859"/>
  <c r="I1860"/>
  <c r="I1861"/>
  <c r="I1862"/>
  <c r="I1863"/>
  <c r="I1864"/>
  <c r="I1865"/>
  <c r="I1866"/>
  <c r="I1867"/>
  <c r="I1868"/>
  <c r="I1869"/>
  <c r="I1870"/>
  <c r="I1871"/>
  <c r="I1872"/>
  <c r="I1873"/>
  <c r="I1874"/>
  <c r="I1875"/>
  <c r="I1876"/>
  <c r="I1877"/>
  <c r="I1878"/>
  <c r="I1879"/>
  <c r="I1880"/>
  <c r="I1881"/>
  <c r="I1882"/>
  <c r="I1883"/>
  <c r="I1884"/>
  <c r="I1885"/>
  <c r="I1886"/>
  <c r="I1887"/>
  <c r="I1888"/>
  <c r="I1889"/>
  <c r="I1890"/>
  <c r="I1891"/>
  <c r="I1892"/>
  <c r="I1893"/>
  <c r="I1894"/>
  <c r="I1895"/>
  <c r="I1896"/>
  <c r="I1897"/>
  <c r="I1898"/>
  <c r="I1899"/>
  <c r="I1900"/>
  <c r="I1901"/>
  <c r="I1902"/>
  <c r="I1903"/>
  <c r="I1904"/>
  <c r="I1905"/>
  <c r="I1906"/>
  <c r="I1907"/>
  <c r="I1908"/>
  <c r="I1909"/>
  <c r="I1910"/>
  <c r="I1911"/>
  <c r="I1912"/>
  <c r="I1913"/>
  <c r="I1914"/>
  <c r="I1915"/>
  <c r="I1916"/>
  <c r="I1917"/>
  <c r="I1918"/>
  <c r="I1919"/>
  <c r="I1920"/>
  <c r="I1921"/>
  <c r="I1922"/>
  <c r="I1923"/>
  <c r="I1924"/>
  <c r="I1925"/>
  <c r="I1926"/>
  <c r="I1927"/>
  <c r="I1928"/>
  <c r="I1929"/>
  <c r="I1930"/>
  <c r="I1931"/>
  <c r="I1932"/>
  <c r="I1933"/>
  <c r="I1934"/>
  <c r="I1935"/>
  <c r="I1936"/>
  <c r="I1937"/>
  <c r="I1938"/>
  <c r="I1939"/>
  <c r="I1940"/>
  <c r="I1941"/>
  <c r="I1942"/>
  <c r="I1943"/>
  <c r="I1944"/>
  <c r="I1945"/>
  <c r="I1946"/>
  <c r="I1947"/>
  <c r="I1948"/>
  <c r="I1949"/>
  <c r="I1950"/>
  <c r="I1951"/>
  <c r="I1952"/>
  <c r="I1953"/>
  <c r="I1954"/>
  <c r="I1955"/>
  <c r="I1956"/>
  <c r="I1957"/>
  <c r="I1958"/>
  <c r="I1959"/>
  <c r="I1960"/>
  <c r="I1961"/>
  <c r="I1962"/>
  <c r="I1963"/>
  <c r="I1964"/>
  <c r="I1965"/>
  <c r="I1966"/>
  <c r="I1967"/>
  <c r="I1968"/>
  <c r="I1969"/>
  <c r="I1970"/>
  <c r="I1971"/>
  <c r="I1972"/>
  <c r="I1973"/>
  <c r="I1974"/>
  <c r="I1975"/>
  <c r="I1976"/>
  <c r="I1977"/>
  <c r="I1978"/>
  <c r="I1979"/>
  <c r="I1980"/>
  <c r="I1981"/>
  <c r="I1982"/>
  <c r="I1983"/>
  <c r="I1984"/>
  <c r="I1985"/>
  <c r="I1986"/>
  <c r="I1987"/>
  <c r="I1988"/>
  <c r="I1989"/>
  <c r="I1990"/>
  <c r="I1991"/>
  <c r="I1992"/>
  <c r="I1993"/>
  <c r="I1994"/>
  <c r="I1995"/>
  <c r="I1996"/>
  <c r="I1997"/>
  <c r="I1998"/>
  <c r="I1999"/>
  <c r="I2000"/>
  <c r="I2001"/>
  <c r="I2002"/>
  <c r="I2003"/>
  <c r="I2004"/>
  <c r="I2005"/>
  <c r="I2006"/>
  <c r="I2007"/>
  <c r="I2008"/>
  <c r="I2009"/>
  <c r="I2010"/>
  <c r="I2011"/>
  <c r="K42" i="9"/>
  <c r="J44"/>
  <c r="F13" i="15"/>
  <c r="O30"/>
  <c r="O9"/>
  <c r="O11"/>
  <c r="G34"/>
  <c r="N34"/>
  <c r="L34"/>
  <c r="H34"/>
  <c r="E34"/>
  <c r="M34"/>
  <c r="E19" i="12"/>
  <c r="F34" i="15"/>
  <c r="D34"/>
  <c r="O34"/>
  <c r="K34"/>
  <c r="I34"/>
  <c r="D33"/>
  <c r="E20" i="12"/>
  <c r="E28" i="13"/>
  <c r="E27"/>
  <c r="E33" i="15"/>
  <c r="O10"/>
  <c r="P10"/>
  <c r="Q7"/>
  <c r="R40" i="1"/>
  <c r="Q30" i="15"/>
  <c r="F42" i="12"/>
  <c r="G4" i="4"/>
  <c r="I13" i="5"/>
  <c r="E14" i="4"/>
  <c r="M13" i="5"/>
  <c r="H4" i="11"/>
  <c r="H17"/>
  <c r="H16"/>
  <c r="I5"/>
  <c r="E34" i="12"/>
  <c r="E34" i="13"/>
  <c r="E12" i="12"/>
  <c r="E12" i="13"/>
  <c r="E30" i="12"/>
  <c r="E30" i="13"/>
  <c r="E6"/>
  <c r="E6" i="12"/>
  <c r="E11" i="13"/>
  <c r="E11" i="12"/>
  <c r="E36"/>
  <c r="E36" i="13"/>
  <c r="E33" i="12"/>
  <c r="E33" i="13"/>
  <c r="E13"/>
  <c r="E13" i="12"/>
  <c r="E32" i="13"/>
  <c r="E32" i="12"/>
  <c r="E29"/>
  <c r="E29" i="13"/>
  <c r="I5" i="9"/>
  <c r="H17"/>
  <c r="H16"/>
  <c r="H4"/>
  <c r="E26" i="13"/>
  <c r="E26" i="12"/>
  <c r="E7" i="13"/>
  <c r="E7" i="12"/>
  <c r="E24"/>
  <c r="E24" i="13"/>
  <c r="H4"/>
  <c r="I5"/>
  <c r="H17"/>
  <c r="H16"/>
  <c r="E25" i="12"/>
  <c r="E25" i="13"/>
  <c r="H17" i="12"/>
  <c r="H16"/>
  <c r="I4"/>
  <c r="E8"/>
  <c r="E8" i="13"/>
  <c r="E9"/>
  <c r="E9" i="12"/>
  <c r="E35" i="13"/>
  <c r="E35" i="12"/>
  <c r="E10" i="13"/>
  <c r="E10" i="12"/>
  <c r="G46" i="9"/>
  <c r="G46" i="11"/>
  <c r="I17" i="5"/>
  <c r="I16"/>
  <c r="I4"/>
  <c r="E38" i="4"/>
  <c r="I17" i="1"/>
  <c r="I16"/>
  <c r="H4"/>
  <c r="L42" i="9"/>
  <c r="K44"/>
  <c r="E14" i="13"/>
  <c r="G13" i="15"/>
  <c r="Q34"/>
  <c r="D55"/>
  <c r="D56"/>
  <c r="D35"/>
  <c r="F33"/>
  <c r="E35"/>
  <c r="E39"/>
  <c r="Q10"/>
  <c r="G42" i="12"/>
  <c r="H4" i="4"/>
  <c r="H13" i="12"/>
  <c r="H11"/>
  <c r="H9"/>
  <c r="H7"/>
  <c r="H12"/>
  <c r="H8"/>
  <c r="E14"/>
  <c r="G38" i="4"/>
  <c r="F56" i="15"/>
  <c r="F38" i="4"/>
  <c r="E56" i="15"/>
  <c r="E40" i="4"/>
  <c r="F21" i="12"/>
  <c r="G21"/>
  <c r="F27" i="13"/>
  <c r="G27"/>
  <c r="F14" i="4"/>
  <c r="E55" i="15"/>
  <c r="F19" i="13"/>
  <c r="G19"/>
  <c r="F28" i="12"/>
  <c r="G28"/>
  <c r="F18"/>
  <c r="F31"/>
  <c r="G31"/>
  <c r="G14" i="4"/>
  <c r="F22" i="13"/>
  <c r="G22"/>
  <c r="F23"/>
  <c r="G23"/>
  <c r="F20"/>
  <c r="G20"/>
  <c r="F31"/>
  <c r="G31"/>
  <c r="F27" i="12"/>
  <c r="G27"/>
  <c r="F21" i="13"/>
  <c r="G21"/>
  <c r="F12"/>
  <c r="G12"/>
  <c r="F11"/>
  <c r="G11"/>
  <c r="F34"/>
  <c r="G34"/>
  <c r="F36"/>
  <c r="G36"/>
  <c r="F12" i="12"/>
  <c r="G12"/>
  <c r="F34"/>
  <c r="G34"/>
  <c r="F24" i="13"/>
  <c r="G24"/>
  <c r="F35"/>
  <c r="G35"/>
  <c r="F28"/>
  <c r="G28"/>
  <c r="F10"/>
  <c r="G10"/>
  <c r="F25"/>
  <c r="G25"/>
  <c r="F7" i="12"/>
  <c r="G7"/>
  <c r="F29" i="13"/>
  <c r="G29"/>
  <c r="F33"/>
  <c r="G33"/>
  <c r="E37"/>
  <c r="F37"/>
  <c r="G37"/>
  <c r="E37" i="12"/>
  <c r="F37"/>
  <c r="G37"/>
  <c r="F20"/>
  <c r="G20"/>
  <c r="F25"/>
  <c r="G25"/>
  <c r="F35"/>
  <c r="G35"/>
  <c r="F8" i="13"/>
  <c r="G8"/>
  <c r="F23" i="12"/>
  <c r="G23"/>
  <c r="F24"/>
  <c r="G24"/>
  <c r="I4" i="9"/>
  <c r="I17"/>
  <c r="I16"/>
  <c r="J5"/>
  <c r="F18" i="13"/>
  <c r="F33" i="12"/>
  <c r="G33"/>
  <c r="F19"/>
  <c r="G19"/>
  <c r="F22"/>
  <c r="G22"/>
  <c r="I4" i="13"/>
  <c r="I17"/>
  <c r="I16"/>
  <c r="J5"/>
  <c r="F36" i="12"/>
  <c r="G36"/>
  <c r="F6"/>
  <c r="H17" i="4"/>
  <c r="H16"/>
  <c r="H37" i="12"/>
  <c r="F9" i="13"/>
  <c r="G9"/>
  <c r="I17" i="12"/>
  <c r="I16"/>
  <c r="J4"/>
  <c r="F29"/>
  <c r="G29"/>
  <c r="F6" i="13"/>
  <c r="I4" i="11"/>
  <c r="J5"/>
  <c r="I17"/>
  <c r="I16"/>
  <c r="F8" i="12"/>
  <c r="G8"/>
  <c r="F26"/>
  <c r="G26"/>
  <c r="F32"/>
  <c r="G32"/>
  <c r="F13"/>
  <c r="G13"/>
  <c r="F30" i="13"/>
  <c r="G30"/>
  <c r="F9" i="12"/>
  <c r="G9"/>
  <c r="F7" i="13"/>
  <c r="G7"/>
  <c r="F10" i="12"/>
  <c r="G10"/>
  <c r="F26" i="13"/>
  <c r="G26"/>
  <c r="F32"/>
  <c r="G32"/>
  <c r="F13"/>
  <c r="G13"/>
  <c r="F11" i="12"/>
  <c r="G11"/>
  <c r="F30"/>
  <c r="G30"/>
  <c r="H46" i="9"/>
  <c r="H46" i="11"/>
  <c r="E46" i="4"/>
  <c r="D38" i="15"/>
  <c r="J4" i="5"/>
  <c r="J17"/>
  <c r="J16"/>
  <c r="J17" i="1"/>
  <c r="J16"/>
  <c r="I4"/>
  <c r="M42" i="9"/>
  <c r="L44"/>
  <c r="F14" i="13"/>
  <c r="F38"/>
  <c r="E38"/>
  <c r="E40"/>
  <c r="H13" i="15"/>
  <c r="D39"/>
  <c r="D41"/>
  <c r="E41"/>
  <c r="D40"/>
  <c r="E40"/>
  <c r="D57"/>
  <c r="G33"/>
  <c r="F55"/>
  <c r="F35"/>
  <c r="F39"/>
  <c r="I4" i="4"/>
  <c r="I12" i="12"/>
  <c r="I8"/>
  <c r="I9"/>
  <c r="I7"/>
  <c r="I13"/>
  <c r="G40" i="4"/>
  <c r="G43"/>
  <c r="F14" i="12"/>
  <c r="G18"/>
  <c r="G38"/>
  <c r="F38"/>
  <c r="E38"/>
  <c r="E40"/>
  <c r="E43"/>
  <c r="E44"/>
  <c r="H10"/>
  <c r="H6"/>
  <c r="H14" i="4"/>
  <c r="F40"/>
  <c r="E57" i="15"/>
  <c r="H11" i="13"/>
  <c r="H37"/>
  <c r="G18"/>
  <c r="G38"/>
  <c r="K4" i="12"/>
  <c r="J17"/>
  <c r="J16"/>
  <c r="K5" i="9"/>
  <c r="J17"/>
  <c r="J16"/>
  <c r="J4"/>
  <c r="H7" i="13"/>
  <c r="J4"/>
  <c r="K5"/>
  <c r="J17"/>
  <c r="J16"/>
  <c r="H13"/>
  <c r="H10"/>
  <c r="K5" i="11"/>
  <c r="J4"/>
  <c r="J17"/>
  <c r="J16"/>
  <c r="H9" i="13"/>
  <c r="I17" i="4"/>
  <c r="I16"/>
  <c r="H8" i="13"/>
  <c r="F46" i="4"/>
  <c r="E38" i="15"/>
  <c r="E46" i="12"/>
  <c r="E46" i="13"/>
  <c r="G6"/>
  <c r="G14"/>
  <c r="G6" i="12"/>
  <c r="G14"/>
  <c r="H12" i="13"/>
  <c r="I46" i="9"/>
  <c r="I46" i="11"/>
  <c r="K17" i="1"/>
  <c r="K16"/>
  <c r="J4"/>
  <c r="N42" i="9"/>
  <c r="M44"/>
  <c r="G40" i="13"/>
  <c r="F40"/>
  <c r="I13" i="15"/>
  <c r="E46" i="5"/>
  <c r="F40" i="15"/>
  <c r="F41"/>
  <c r="F57"/>
  <c r="H33"/>
  <c r="G35"/>
  <c r="G55"/>
  <c r="E43" i="13"/>
  <c r="E44"/>
  <c r="J4" i="4"/>
  <c r="J8" i="12"/>
  <c r="J9"/>
  <c r="J12"/>
  <c r="J13"/>
  <c r="J7"/>
  <c r="G40"/>
  <c r="G43"/>
  <c r="G44"/>
  <c r="I10"/>
  <c r="H14"/>
  <c r="F40"/>
  <c r="F43"/>
  <c r="F44"/>
  <c r="H38" i="4"/>
  <c r="H26" i="12"/>
  <c r="H25"/>
  <c r="H22"/>
  <c r="I6"/>
  <c r="I14" i="4"/>
  <c r="H30" i="12"/>
  <c r="H33"/>
  <c r="H35"/>
  <c r="H19"/>
  <c r="H20"/>
  <c r="H24"/>
  <c r="H18"/>
  <c r="H23"/>
  <c r="H36"/>
  <c r="I36"/>
  <c r="H32"/>
  <c r="H34"/>
  <c r="I34"/>
  <c r="H21"/>
  <c r="H28"/>
  <c r="H29"/>
  <c r="F43" i="4"/>
  <c r="E43"/>
  <c r="H33" i="13"/>
  <c r="H22"/>
  <c r="H26"/>
  <c r="H29"/>
  <c r="I11"/>
  <c r="H20"/>
  <c r="H32"/>
  <c r="H28"/>
  <c r="H34"/>
  <c r="H25"/>
  <c r="H24"/>
  <c r="H31" i="12"/>
  <c r="H31" i="13"/>
  <c r="H23"/>
  <c r="H30"/>
  <c r="I10"/>
  <c r="H21"/>
  <c r="H19"/>
  <c r="I11" i="12"/>
  <c r="H35" i="13"/>
  <c r="H6"/>
  <c r="H14"/>
  <c r="I8"/>
  <c r="I7"/>
  <c r="L5" i="9"/>
  <c r="K4"/>
  <c r="K17"/>
  <c r="K16"/>
  <c r="I13" i="13"/>
  <c r="H27" i="12"/>
  <c r="H27" i="13"/>
  <c r="K17"/>
  <c r="K16"/>
  <c r="L5"/>
  <c r="K4"/>
  <c r="K17" i="12"/>
  <c r="K16"/>
  <c r="L4"/>
  <c r="I9" i="13"/>
  <c r="H18"/>
  <c r="J17" i="4"/>
  <c r="J16"/>
  <c r="I12" i="13"/>
  <c r="H36"/>
  <c r="I36"/>
  <c r="G46" i="4"/>
  <c r="F38" i="15"/>
  <c r="F46" i="13"/>
  <c r="F46" i="12"/>
  <c r="K17" i="11"/>
  <c r="K16"/>
  <c r="L5"/>
  <c r="K4"/>
  <c r="J46" i="9"/>
  <c r="M46" i="5"/>
  <c r="J46" i="11"/>
  <c r="I46" i="5"/>
  <c r="I6"/>
  <c r="L17"/>
  <c r="L16"/>
  <c r="L4"/>
  <c r="L17" i="1"/>
  <c r="L16"/>
  <c r="K4"/>
  <c r="O42" i="9"/>
  <c r="N44"/>
  <c r="H38" i="13"/>
  <c r="H40"/>
  <c r="D19" i="15"/>
  <c r="D26"/>
  <c r="M19"/>
  <c r="E19"/>
  <c r="E26"/>
  <c r="K19"/>
  <c r="F19"/>
  <c r="F26"/>
  <c r="J19"/>
  <c r="L19"/>
  <c r="G19"/>
  <c r="G26"/>
  <c r="O19"/>
  <c r="I19"/>
  <c r="I26"/>
  <c r="H19"/>
  <c r="H26"/>
  <c r="N19"/>
  <c r="J13"/>
  <c r="G41"/>
  <c r="G39"/>
  <c r="G40"/>
  <c r="E44" i="4"/>
  <c r="D37" i="15"/>
  <c r="H40" i="4"/>
  <c r="G57" i="15"/>
  <c r="G56"/>
  <c r="I33"/>
  <c r="H35"/>
  <c r="H39"/>
  <c r="H55"/>
  <c r="F43" i="13"/>
  <c r="F44"/>
  <c r="K4" i="4"/>
  <c r="K8" i="12"/>
  <c r="K12"/>
  <c r="K10"/>
  <c r="K13"/>
  <c r="K11"/>
  <c r="K9"/>
  <c r="K7"/>
  <c r="H38"/>
  <c r="H40"/>
  <c r="H43"/>
  <c r="I14"/>
  <c r="I21"/>
  <c r="I38" i="4"/>
  <c r="I26" i="12"/>
  <c r="I23"/>
  <c r="I28"/>
  <c r="I33"/>
  <c r="I18"/>
  <c r="I24"/>
  <c r="I35"/>
  <c r="I19"/>
  <c r="K17" i="4"/>
  <c r="K16"/>
  <c r="K27" i="12"/>
  <c r="I22"/>
  <c r="I29"/>
  <c r="J6"/>
  <c r="J14" i="4"/>
  <c r="I37" i="12"/>
  <c r="I32"/>
  <c r="F42" i="4"/>
  <c r="J11" i="13"/>
  <c r="I28"/>
  <c r="I35"/>
  <c r="I32"/>
  <c r="I23"/>
  <c r="I37"/>
  <c r="J13"/>
  <c r="I21"/>
  <c r="J10"/>
  <c r="J9"/>
  <c r="J34" i="12"/>
  <c r="I29" i="13"/>
  <c r="J11" i="12"/>
  <c r="I27"/>
  <c r="M5" i="9"/>
  <c r="L17"/>
  <c r="L16"/>
  <c r="L4"/>
  <c r="M5" i="11"/>
  <c r="L17"/>
  <c r="L16"/>
  <c r="L4"/>
  <c r="J10" i="12"/>
  <c r="J12" i="13"/>
  <c r="I33"/>
  <c r="I19"/>
  <c r="I25" i="12"/>
  <c r="I25" i="13"/>
  <c r="I26"/>
  <c r="J36" i="12"/>
  <c r="I20" i="13"/>
  <c r="I20" i="12"/>
  <c r="M4"/>
  <c r="L17"/>
  <c r="L16"/>
  <c r="H46" i="4"/>
  <c r="G38" i="15"/>
  <c r="G46" i="13"/>
  <c r="G46" i="12"/>
  <c r="I34" i="13"/>
  <c r="L17"/>
  <c r="L16"/>
  <c r="L4"/>
  <c r="M5"/>
  <c r="I31" i="12"/>
  <c r="I31" i="13"/>
  <c r="J36"/>
  <c r="I18"/>
  <c r="I24"/>
  <c r="I6"/>
  <c r="I14"/>
  <c r="J7"/>
  <c r="I30"/>
  <c r="I30" i="12"/>
  <c r="I22" i="13"/>
  <c r="I27"/>
  <c r="J8"/>
  <c r="K46" i="9"/>
  <c r="K46" i="11"/>
  <c r="M4" i="5"/>
  <c r="M17"/>
  <c r="M16"/>
  <c r="M17" i="1"/>
  <c r="M16"/>
  <c r="L4"/>
  <c r="P42" i="9"/>
  <c r="P44"/>
  <c r="O44"/>
  <c r="I38" i="13"/>
  <c r="I40"/>
  <c r="J26" i="15"/>
  <c r="K13"/>
  <c r="K26"/>
  <c r="H40"/>
  <c r="H41"/>
  <c r="H43" i="4"/>
  <c r="J33" i="15"/>
  <c r="J35"/>
  <c r="I40" i="4"/>
  <c r="H57" i="15"/>
  <c r="H56"/>
  <c r="I55"/>
  <c r="I35"/>
  <c r="I39"/>
  <c r="G43" i="13"/>
  <c r="G44"/>
  <c r="F44" i="4"/>
  <c r="L4"/>
  <c r="L12" i="12"/>
  <c r="L10"/>
  <c r="L8"/>
  <c r="L13"/>
  <c r="L11"/>
  <c r="L9"/>
  <c r="L7"/>
  <c r="K29"/>
  <c r="I18" i="5"/>
  <c r="J22" i="13"/>
  <c r="K20" i="12"/>
  <c r="K31"/>
  <c r="K33"/>
  <c r="K30"/>
  <c r="K26"/>
  <c r="J22"/>
  <c r="K35"/>
  <c r="K23"/>
  <c r="J21"/>
  <c r="I38"/>
  <c r="I40"/>
  <c r="I43"/>
  <c r="K34"/>
  <c r="J14"/>
  <c r="K21"/>
  <c r="K32"/>
  <c r="K24"/>
  <c r="K36"/>
  <c r="K37"/>
  <c r="K22"/>
  <c r="K19"/>
  <c r="K25"/>
  <c r="K28"/>
  <c r="J29"/>
  <c r="J38" i="4"/>
  <c r="J26" i="12"/>
  <c r="J33"/>
  <c r="K18"/>
  <c r="J24"/>
  <c r="J18"/>
  <c r="J35"/>
  <c r="K6"/>
  <c r="K14"/>
  <c r="K14" i="4"/>
  <c r="J28" i="12"/>
  <c r="L17" i="4"/>
  <c r="L16"/>
  <c r="J32" i="12"/>
  <c r="J37" i="13"/>
  <c r="J33"/>
  <c r="J23"/>
  <c r="J31"/>
  <c r="J31" i="12"/>
  <c r="J26" i="13"/>
  <c r="J29"/>
  <c r="K29"/>
  <c r="J34"/>
  <c r="K34"/>
  <c r="J25"/>
  <c r="J23" i="12"/>
  <c r="J25"/>
  <c r="J30" i="13"/>
  <c r="J20" i="12"/>
  <c r="J35" i="13"/>
  <c r="J20"/>
  <c r="J24"/>
  <c r="J19" i="12"/>
  <c r="M17" i="11"/>
  <c r="M16"/>
  <c r="M4"/>
  <c r="N5"/>
  <c r="J37" i="12"/>
  <c r="K8" i="13"/>
  <c r="M17" i="12"/>
  <c r="M16"/>
  <c r="N4"/>
  <c r="J21" i="13"/>
  <c r="J27"/>
  <c r="K27"/>
  <c r="K13"/>
  <c r="K11"/>
  <c r="J6"/>
  <c r="J14"/>
  <c r="J18"/>
  <c r="M17"/>
  <c r="M16"/>
  <c r="M4"/>
  <c r="N5"/>
  <c r="K9"/>
  <c r="M17" i="9"/>
  <c r="M16"/>
  <c r="M4"/>
  <c r="N5"/>
  <c r="K7" i="13"/>
  <c r="J19"/>
  <c r="K12"/>
  <c r="J32"/>
  <c r="J30" i="12"/>
  <c r="J28" i="13"/>
  <c r="H46"/>
  <c r="H46" i="12"/>
  <c r="I46" i="4"/>
  <c r="J27" i="12"/>
  <c r="K10" i="13"/>
  <c r="L46" i="11"/>
  <c r="L46" i="9"/>
  <c r="N4" i="5"/>
  <c r="N17"/>
  <c r="N16"/>
  <c r="N17" i="1"/>
  <c r="N16"/>
  <c r="M4"/>
  <c r="J38" i="13"/>
  <c r="J40"/>
  <c r="J55" i="15"/>
  <c r="L13"/>
  <c r="L26"/>
  <c r="J46" i="4"/>
  <c r="I38" i="15"/>
  <c r="H38"/>
  <c r="G42" i="4"/>
  <c r="G44"/>
  <c r="E37" i="15"/>
  <c r="J41"/>
  <c r="J39"/>
  <c r="I41"/>
  <c r="I40"/>
  <c r="J40"/>
  <c r="J40" i="4"/>
  <c r="I57" i="15"/>
  <c r="I56"/>
  <c r="K33"/>
  <c r="H43" i="13"/>
  <c r="H44"/>
  <c r="M4" i="4"/>
  <c r="M13" i="12"/>
  <c r="M11"/>
  <c r="M9"/>
  <c r="M7"/>
  <c r="M12"/>
  <c r="M10"/>
  <c r="M8"/>
  <c r="K20" i="13"/>
  <c r="K23"/>
  <c r="K33"/>
  <c r="K31"/>
  <c r="K21"/>
  <c r="K24"/>
  <c r="K35"/>
  <c r="K26"/>
  <c r="K32"/>
  <c r="K38" i="12"/>
  <c r="K40"/>
  <c r="K43"/>
  <c r="J38"/>
  <c r="J40"/>
  <c r="J43"/>
  <c r="K30" i="13"/>
  <c r="K25"/>
  <c r="K37"/>
  <c r="K38" i="4"/>
  <c r="K28" i="13"/>
  <c r="K22"/>
  <c r="K19"/>
  <c r="L19"/>
  <c r="K36"/>
  <c r="M17" i="4"/>
  <c r="M16"/>
  <c r="L34" i="12"/>
  <c r="L37"/>
  <c r="L29"/>
  <c r="L26"/>
  <c r="L21"/>
  <c r="L20"/>
  <c r="L19"/>
  <c r="L25"/>
  <c r="L33"/>
  <c r="L35"/>
  <c r="L6"/>
  <c r="L14"/>
  <c r="L14" i="4"/>
  <c r="L30" i="12"/>
  <c r="L36"/>
  <c r="L22"/>
  <c r="L24"/>
  <c r="L27"/>
  <c r="L32"/>
  <c r="L23"/>
  <c r="L28"/>
  <c r="L31"/>
  <c r="I43" i="4"/>
  <c r="L8" i="13"/>
  <c r="L10"/>
  <c r="N17" i="11"/>
  <c r="N16"/>
  <c r="O5"/>
  <c r="N4"/>
  <c r="L9" i="13"/>
  <c r="K6"/>
  <c r="K14"/>
  <c r="N4" i="9"/>
  <c r="O5"/>
  <c r="N17"/>
  <c r="N16"/>
  <c r="L13" i="13"/>
  <c r="O4" i="12"/>
  <c r="N17"/>
  <c r="N16"/>
  <c r="L7" i="13"/>
  <c r="N17"/>
  <c r="N16"/>
  <c r="O5"/>
  <c r="N4"/>
  <c r="L11"/>
  <c r="I46"/>
  <c r="I46" i="12"/>
  <c r="K18" i="13"/>
  <c r="L12"/>
  <c r="M46" i="11"/>
  <c r="M46" i="9"/>
  <c r="O17" i="1"/>
  <c r="O16"/>
  <c r="N4"/>
  <c r="K38" i="13"/>
  <c r="K40"/>
  <c r="K46" i="4"/>
  <c r="K46" i="12"/>
  <c r="J46"/>
  <c r="J46" i="13"/>
  <c r="M13" i="15"/>
  <c r="M26"/>
  <c r="H42" i="4"/>
  <c r="F37" i="15"/>
  <c r="J43" i="4"/>
  <c r="K40"/>
  <c r="J56" i="15"/>
  <c r="K55"/>
  <c r="K35"/>
  <c r="K39"/>
  <c r="L33"/>
  <c r="I43" i="13"/>
  <c r="I44"/>
  <c r="N4" i="4"/>
  <c r="N13" i="12"/>
  <c r="N11"/>
  <c r="N9"/>
  <c r="N7"/>
  <c r="N12"/>
  <c r="N10"/>
  <c r="N8"/>
  <c r="M31"/>
  <c r="M27"/>
  <c r="M35"/>
  <c r="M26"/>
  <c r="M32"/>
  <c r="M20"/>
  <c r="M23"/>
  <c r="M19"/>
  <c r="M29"/>
  <c r="M24"/>
  <c r="M21"/>
  <c r="L26" i="13"/>
  <c r="M26"/>
  <c r="L34"/>
  <c r="M34"/>
  <c r="L21"/>
  <c r="L37"/>
  <c r="N17" i="4"/>
  <c r="N16"/>
  <c r="N27" i="12"/>
  <c r="L29" i="13"/>
  <c r="L22"/>
  <c r="M22"/>
  <c r="L18" i="12"/>
  <c r="L38"/>
  <c r="L40"/>
  <c r="L43"/>
  <c r="L38" i="4"/>
  <c r="L20" i="13"/>
  <c r="M22" i="12"/>
  <c r="L25" i="13"/>
  <c r="M25"/>
  <c r="L24"/>
  <c r="L32"/>
  <c r="L30"/>
  <c r="M30"/>
  <c r="L31"/>
  <c r="L27"/>
  <c r="L35"/>
  <c r="L36"/>
  <c r="M36"/>
  <c r="M30" i="12"/>
  <c r="M36"/>
  <c r="M25"/>
  <c r="L23" i="13"/>
  <c r="L33"/>
  <c r="M33"/>
  <c r="L28"/>
  <c r="M28"/>
  <c r="M6" i="12"/>
  <c r="M14"/>
  <c r="M14" i="4"/>
  <c r="M12" i="13"/>
  <c r="M11"/>
  <c r="M10"/>
  <c r="L6"/>
  <c r="L14"/>
  <c r="M28" i="12"/>
  <c r="L18" i="13"/>
  <c r="M9"/>
  <c r="M8"/>
  <c r="M34" i="12"/>
  <c r="M7" i="13"/>
  <c r="O4" i="9"/>
  <c r="P5"/>
  <c r="O17"/>
  <c r="O16"/>
  <c r="O17" i="13"/>
  <c r="O16"/>
  <c r="O4"/>
  <c r="P5"/>
  <c r="P4" i="12"/>
  <c r="O17"/>
  <c r="O16"/>
  <c r="M13" i="13"/>
  <c r="M33" i="12"/>
  <c r="O4" i="11"/>
  <c r="O17"/>
  <c r="O16"/>
  <c r="P5"/>
  <c r="N46"/>
  <c r="N46" i="9"/>
  <c r="P17" i="1"/>
  <c r="P16"/>
  <c r="O4"/>
  <c r="J38" i="15"/>
  <c r="L38" i="13"/>
  <c r="K46"/>
  <c r="L46" i="4"/>
  <c r="L46" i="12"/>
  <c r="L40" i="13"/>
  <c r="O13" i="15"/>
  <c r="O26"/>
  <c r="N13"/>
  <c r="N26"/>
  <c r="K38"/>
  <c r="H42" i="12"/>
  <c r="H44"/>
  <c r="H44" i="4"/>
  <c r="K41" i="15"/>
  <c r="K40"/>
  <c r="L35"/>
  <c r="L39"/>
  <c r="L55"/>
  <c r="L40" i="4"/>
  <c r="L43"/>
  <c r="K56" i="15"/>
  <c r="M33"/>
  <c r="K43" i="4"/>
  <c r="J57" i="15"/>
  <c r="J43" i="13"/>
  <c r="J44"/>
  <c r="M27"/>
  <c r="N27"/>
  <c r="M31"/>
  <c r="O4" i="4"/>
  <c r="O13" i="12"/>
  <c r="O9"/>
  <c r="O7"/>
  <c r="O12"/>
  <c r="O10"/>
  <c r="O8"/>
  <c r="M35" i="13"/>
  <c r="O17" i="4"/>
  <c r="O16"/>
  <c r="N30" i="12"/>
  <c r="M29" i="13"/>
  <c r="M20"/>
  <c r="M23"/>
  <c r="M32"/>
  <c r="M21"/>
  <c r="M38" i="4"/>
  <c r="N31" i="12"/>
  <c r="M37" i="13"/>
  <c r="N21" i="12"/>
  <c r="M24" i="13"/>
  <c r="M18" i="12"/>
  <c r="N18"/>
  <c r="M19" i="13"/>
  <c r="N24" i="12"/>
  <c r="N36"/>
  <c r="M37"/>
  <c r="N29"/>
  <c r="N35"/>
  <c r="N25"/>
  <c r="N34"/>
  <c r="N19"/>
  <c r="N33"/>
  <c r="N26"/>
  <c r="N23"/>
  <c r="N20"/>
  <c r="N28"/>
  <c r="N22"/>
  <c r="N32"/>
  <c r="N6"/>
  <c r="N14"/>
  <c r="N14" i="4"/>
  <c r="N13" i="13"/>
  <c r="N11"/>
  <c r="P17"/>
  <c r="P16"/>
  <c r="Q5"/>
  <c r="P4"/>
  <c r="M6"/>
  <c r="M14"/>
  <c r="M18"/>
  <c r="N12"/>
  <c r="Q5" i="9"/>
  <c r="P4"/>
  <c r="P17"/>
  <c r="P16"/>
  <c r="N8" i="13"/>
  <c r="N10"/>
  <c r="P4" i="11"/>
  <c r="P17"/>
  <c r="P16"/>
  <c r="Q5"/>
  <c r="Q5" i="12"/>
  <c r="P17"/>
  <c r="P16"/>
  <c r="N7" i="13"/>
  <c r="N9"/>
  <c r="O46" i="9"/>
  <c r="O46" i="11"/>
  <c r="O27" i="12"/>
  <c r="P17" i="4"/>
  <c r="P16"/>
  <c r="Q5" i="1"/>
  <c r="P4"/>
  <c r="Q5" i="4"/>
  <c r="R46" i="1"/>
  <c r="M46" i="4"/>
  <c r="L46" i="13"/>
  <c r="M38"/>
  <c r="M40"/>
  <c r="M46"/>
  <c r="L38" i="15"/>
  <c r="I42" i="4"/>
  <c r="I44"/>
  <c r="G37" i="15"/>
  <c r="I42" i="12"/>
  <c r="I44"/>
  <c r="L40" i="15"/>
  <c r="L41"/>
  <c r="N33"/>
  <c r="N35"/>
  <c r="N39"/>
  <c r="M35"/>
  <c r="M55"/>
  <c r="M40" i="4"/>
  <c r="M43"/>
  <c r="L56" i="15"/>
  <c r="K57"/>
  <c r="K43" i="13"/>
  <c r="K44"/>
  <c r="M46" i="12"/>
  <c r="P4" i="4"/>
  <c r="R11"/>
  <c r="R12"/>
  <c r="O30" i="12"/>
  <c r="N30" i="13"/>
  <c r="O30"/>
  <c r="N26"/>
  <c r="O26"/>
  <c r="O31" i="12"/>
  <c r="M38"/>
  <c r="M40"/>
  <c r="M43"/>
  <c r="N31" i="13"/>
  <c r="O31"/>
  <c r="N36"/>
  <c r="O36"/>
  <c r="N37"/>
  <c r="O37"/>
  <c r="N21"/>
  <c r="O21"/>
  <c r="O35" i="12"/>
  <c r="N35" i="13"/>
  <c r="O35"/>
  <c r="O23" i="12"/>
  <c r="N24" i="13"/>
  <c r="O24"/>
  <c r="N37" i="12"/>
  <c r="O37"/>
  <c r="N29" i="13"/>
  <c r="O29"/>
  <c r="N46" i="4"/>
  <c r="O34" i="12"/>
  <c r="O26"/>
  <c r="O20"/>
  <c r="O28"/>
  <c r="N28" i="13"/>
  <c r="O28"/>
  <c r="N33"/>
  <c r="O33"/>
  <c r="O33" i="12"/>
  <c r="O25"/>
  <c r="O29"/>
  <c r="N25" i="13"/>
  <c r="O25"/>
  <c r="O24" i="12"/>
  <c r="N19" i="13"/>
  <c r="O19"/>
  <c r="N20"/>
  <c r="O20"/>
  <c r="N34"/>
  <c r="O34"/>
  <c r="O32" i="12"/>
  <c r="O22"/>
  <c r="N22" i="13"/>
  <c r="O22"/>
  <c r="N23"/>
  <c r="O23"/>
  <c r="N32"/>
  <c r="O32"/>
  <c r="N38" i="4"/>
  <c r="O18" i="12"/>
  <c r="O38" i="4"/>
  <c r="N56" i="15"/>
  <c r="O6" i="12"/>
  <c r="O14" i="4"/>
  <c r="O19" i="12"/>
  <c r="O27" i="13"/>
  <c r="O11"/>
  <c r="O36" i="12"/>
  <c r="O12" i="13"/>
  <c r="O7"/>
  <c r="O21" i="12"/>
  <c r="O13" i="13"/>
  <c r="O11" i="12"/>
  <c r="N18" i="13"/>
  <c r="N6"/>
  <c r="N14"/>
  <c r="O8"/>
  <c r="O9"/>
  <c r="O10"/>
  <c r="P46" i="11"/>
  <c r="P46" i="9"/>
  <c r="R35" i="4"/>
  <c r="R36"/>
  <c r="R23"/>
  <c r="R33"/>
  <c r="R26"/>
  <c r="R21"/>
  <c r="R34"/>
  <c r="R19"/>
  <c r="R27"/>
  <c r="R28"/>
  <c r="R22"/>
  <c r="R20"/>
  <c r="R31"/>
  <c r="R25"/>
  <c r="R29"/>
  <c r="R32"/>
  <c r="R24"/>
  <c r="R30"/>
  <c r="R37"/>
  <c r="N38" i="13"/>
  <c r="N40"/>
  <c r="J42" i="12"/>
  <c r="J44"/>
  <c r="J42" i="4"/>
  <c r="J44"/>
  <c r="H37" i="15"/>
  <c r="O46" i="4"/>
  <c r="O46" i="12"/>
  <c r="M38" i="15"/>
  <c r="M41"/>
  <c r="N41"/>
  <c r="M39"/>
  <c r="M40"/>
  <c r="N40"/>
  <c r="N55"/>
  <c r="L57"/>
  <c r="O33"/>
  <c r="O35"/>
  <c r="N40" i="4"/>
  <c r="N43"/>
  <c r="M56" i="15"/>
  <c r="L43" i="13"/>
  <c r="L44"/>
  <c r="N46" i="12"/>
  <c r="N46" i="13"/>
  <c r="O38" i="12"/>
  <c r="O14"/>
  <c r="N38"/>
  <c r="N40"/>
  <c r="N43"/>
  <c r="P38" i="4"/>
  <c r="R18"/>
  <c r="P19" i="12"/>
  <c r="P25"/>
  <c r="P34"/>
  <c r="P7"/>
  <c r="R7" i="4"/>
  <c r="P9" i="12"/>
  <c r="R9" i="4"/>
  <c r="P8" i="12"/>
  <c r="R8" i="4"/>
  <c r="P22" i="12"/>
  <c r="P29"/>
  <c r="P26"/>
  <c r="P18"/>
  <c r="P10"/>
  <c r="R10" i="4"/>
  <c r="O40"/>
  <c r="N57" i="15"/>
  <c r="P13" i="12"/>
  <c r="R13" i="4"/>
  <c r="P33" i="12"/>
  <c r="D6" i="5"/>
  <c r="F6"/>
  <c r="P14" i="4"/>
  <c r="R6"/>
  <c r="P27" i="12"/>
  <c r="P21" i="13"/>
  <c r="L21" i="5"/>
  <c r="N21"/>
  <c r="P11" i="13"/>
  <c r="L11" i="5"/>
  <c r="N11"/>
  <c r="P23" i="13"/>
  <c r="L23" i="5"/>
  <c r="N23"/>
  <c r="P36" i="12"/>
  <c r="P37" i="13"/>
  <c r="L37" i="5"/>
  <c r="N37"/>
  <c r="P25" i="13"/>
  <c r="L25" i="5"/>
  <c r="N25"/>
  <c r="P27" i="13"/>
  <c r="L27" i="5"/>
  <c r="N27"/>
  <c r="P19" i="13"/>
  <c r="L19" i="5"/>
  <c r="N19"/>
  <c r="P35" i="13"/>
  <c r="L35" i="5"/>
  <c r="N35"/>
  <c r="D31"/>
  <c r="F31"/>
  <c r="P9" i="13"/>
  <c r="L9" i="5"/>
  <c r="N9"/>
  <c r="P21" i="12"/>
  <c r="D20" i="5"/>
  <c r="F20"/>
  <c r="D26"/>
  <c r="F26"/>
  <c r="P7" i="13"/>
  <c r="L7" i="5"/>
  <c r="D12"/>
  <c r="F12"/>
  <c r="D37"/>
  <c r="F37"/>
  <c r="D18"/>
  <c r="F18"/>
  <c r="D33"/>
  <c r="F33"/>
  <c r="P12" i="13"/>
  <c r="L12" i="5"/>
  <c r="P37" i="12"/>
  <c r="D21" i="5"/>
  <c r="F21"/>
  <c r="P31" i="12"/>
  <c r="D30" i="5"/>
  <c r="F30"/>
  <c r="D13"/>
  <c r="F13"/>
  <c r="D36"/>
  <c r="D32"/>
  <c r="F32"/>
  <c r="D27"/>
  <c r="F27"/>
  <c r="D35"/>
  <c r="F35"/>
  <c r="P10" i="13"/>
  <c r="L10" i="5"/>
  <c r="N10"/>
  <c r="P26" i="13"/>
  <c r="L26" i="5"/>
  <c r="N26"/>
  <c r="P8" i="13"/>
  <c r="L8" i="5"/>
  <c r="N8"/>
  <c r="P32" i="13"/>
  <c r="L32" i="5"/>
  <c r="N32"/>
  <c r="O18" i="13"/>
  <c r="O38"/>
  <c r="P11" i="12"/>
  <c r="D7" i="5"/>
  <c r="D23"/>
  <c r="F23"/>
  <c r="P22" i="13"/>
  <c r="L22" i="5"/>
  <c r="N22"/>
  <c r="O6" i="13"/>
  <c r="O14"/>
  <c r="D28" i="5"/>
  <c r="F28"/>
  <c r="P31" i="13"/>
  <c r="L31" i="5"/>
  <c r="N31"/>
  <c r="P30" i="12"/>
  <c r="P32"/>
  <c r="D8" i="5"/>
  <c r="F8"/>
  <c r="D29"/>
  <c r="F29"/>
  <c r="D19"/>
  <c r="F19"/>
  <c r="P34" i="13"/>
  <c r="L34" i="5"/>
  <c r="N34"/>
  <c r="P30" i="13"/>
  <c r="L30" i="5"/>
  <c r="N30"/>
  <c r="P36" i="13"/>
  <c r="L36" i="5"/>
  <c r="P33" i="13"/>
  <c r="L33" i="5"/>
  <c r="N33"/>
  <c r="P13" i="13"/>
  <c r="L13" i="5"/>
  <c r="N13"/>
  <c r="P23" i="12"/>
  <c r="P28"/>
  <c r="P6"/>
  <c r="D9" i="5"/>
  <c r="F9"/>
  <c r="D22"/>
  <c r="F22"/>
  <c r="D24"/>
  <c r="F24"/>
  <c r="D11"/>
  <c r="F11"/>
  <c r="D10"/>
  <c r="F10"/>
  <c r="D25"/>
  <c r="F25"/>
  <c r="D34"/>
  <c r="F34"/>
  <c r="P28" i="13"/>
  <c r="L28" i="5"/>
  <c r="N28"/>
  <c r="P12" i="12"/>
  <c r="P24" i="13"/>
  <c r="L24" i="5"/>
  <c r="N24"/>
  <c r="P20" i="13"/>
  <c r="L20" i="5"/>
  <c r="N20"/>
  <c r="P29" i="13"/>
  <c r="L29" i="5"/>
  <c r="N29"/>
  <c r="P35" i="12"/>
  <c r="P20"/>
  <c r="P24"/>
  <c r="O40" i="13"/>
  <c r="O46"/>
  <c r="N38" i="15"/>
  <c r="I37"/>
  <c r="K42" i="4"/>
  <c r="P46"/>
  <c r="O38" i="15"/>
  <c r="R46" i="4"/>
  <c r="D46" i="5"/>
  <c r="F46"/>
  <c r="O40" i="15"/>
  <c r="P40"/>
  <c r="Q35"/>
  <c r="O39"/>
  <c r="O41"/>
  <c r="O55"/>
  <c r="Q33"/>
  <c r="M57"/>
  <c r="R38" i="4"/>
  <c r="Q56" i="15"/>
  <c r="O56"/>
  <c r="M43" i="13"/>
  <c r="M44"/>
  <c r="O40" i="12"/>
  <c r="O43"/>
  <c r="P14"/>
  <c r="H8" i="5"/>
  <c r="J8"/>
  <c r="P38" i="12"/>
  <c r="H26" i="5"/>
  <c r="J26"/>
  <c r="H25"/>
  <c r="J25"/>
  <c r="H7"/>
  <c r="H13"/>
  <c r="J13"/>
  <c r="H19"/>
  <c r="J19"/>
  <c r="P40" i="4"/>
  <c r="P43"/>
  <c r="H33" i="5"/>
  <c r="J33"/>
  <c r="H9"/>
  <c r="J9"/>
  <c r="H10"/>
  <c r="J10"/>
  <c r="H27"/>
  <c r="J27"/>
  <c r="H18"/>
  <c r="J18"/>
  <c r="H36"/>
  <c r="H34"/>
  <c r="J34"/>
  <c r="H22"/>
  <c r="J22"/>
  <c r="H29"/>
  <c r="J29"/>
  <c r="R14" i="4"/>
  <c r="O43"/>
  <c r="H31" i="5"/>
  <c r="J31"/>
  <c r="D14"/>
  <c r="D38"/>
  <c r="H35"/>
  <c r="J35"/>
  <c r="P6" i="13"/>
  <c r="P14"/>
  <c r="H12" i="5"/>
  <c r="J12"/>
  <c r="H6"/>
  <c r="J6"/>
  <c r="H32"/>
  <c r="J32"/>
  <c r="H11"/>
  <c r="J11"/>
  <c r="H20"/>
  <c r="J20"/>
  <c r="H21"/>
  <c r="J21"/>
  <c r="H28"/>
  <c r="J28"/>
  <c r="H30"/>
  <c r="J30"/>
  <c r="H24"/>
  <c r="J24"/>
  <c r="H23"/>
  <c r="J23"/>
  <c r="P18" i="13"/>
  <c r="P38"/>
  <c r="H37" i="5"/>
  <c r="J37"/>
  <c r="P40" i="13"/>
  <c r="P46"/>
  <c r="L46" i="5"/>
  <c r="N46"/>
  <c r="P46" i="12"/>
  <c r="K44" i="4"/>
  <c r="K42" i="12"/>
  <c r="K44"/>
  <c r="O47" i="15"/>
  <c r="O53"/>
  <c r="G47"/>
  <c r="G53"/>
  <c r="F47"/>
  <c r="F53"/>
  <c r="J47"/>
  <c r="J53"/>
  <c r="N47"/>
  <c r="N53"/>
  <c r="M47"/>
  <c r="M53"/>
  <c r="E47"/>
  <c r="E53"/>
  <c r="L47"/>
  <c r="L53"/>
  <c r="D47"/>
  <c r="D53"/>
  <c r="K47"/>
  <c r="K53"/>
  <c r="I47"/>
  <c r="I53"/>
  <c r="H47"/>
  <c r="H53"/>
  <c r="H46" i="5"/>
  <c r="J46"/>
  <c r="Q40" i="15"/>
  <c r="R43" i="4"/>
  <c r="R44"/>
  <c r="Q55" i="15"/>
  <c r="O57"/>
  <c r="N43" i="13"/>
  <c r="N44"/>
  <c r="D40" i="5"/>
  <c r="P40" i="12"/>
  <c r="P43"/>
  <c r="R40" i="4"/>
  <c r="Q57" i="15"/>
  <c r="H14" i="5"/>
  <c r="H38"/>
  <c r="L18"/>
  <c r="L6"/>
  <c r="L38"/>
  <c r="N18"/>
  <c r="L42" i="12"/>
  <c r="L44"/>
  <c r="L42" i="4"/>
  <c r="L44"/>
  <c r="J37" i="15"/>
  <c r="D43" i="5"/>
  <c r="O43" i="15"/>
  <c r="O49"/>
  <c r="G43"/>
  <c r="G49"/>
  <c r="M43"/>
  <c r="M49"/>
  <c r="L43"/>
  <c r="L49"/>
  <c r="D43"/>
  <c r="D49"/>
  <c r="K43"/>
  <c r="K49"/>
  <c r="N43"/>
  <c r="N49"/>
  <c r="F43"/>
  <c r="F49"/>
  <c r="E43"/>
  <c r="E49"/>
  <c r="J43"/>
  <c r="J49"/>
  <c r="I43"/>
  <c r="I49"/>
  <c r="H43"/>
  <c r="H49"/>
  <c r="O43" i="13"/>
  <c r="L14" i="5"/>
  <c r="L40"/>
  <c r="L43"/>
  <c r="N6"/>
  <c r="H40"/>
  <c r="H43"/>
  <c r="L42"/>
  <c r="N42"/>
  <c r="O44" i="13"/>
  <c r="K37" i="15"/>
  <c r="M42" i="4"/>
  <c r="M44"/>
  <c r="M42" i="12"/>
  <c r="M44"/>
  <c r="O45" i="15"/>
  <c r="G45"/>
  <c r="L45"/>
  <c r="K45"/>
  <c r="N45"/>
  <c r="F45"/>
  <c r="M45"/>
  <c r="E45"/>
  <c r="D45"/>
  <c r="J45"/>
  <c r="I45"/>
  <c r="H45"/>
  <c r="K44"/>
  <c r="K50"/>
  <c r="H44"/>
  <c r="H50"/>
  <c r="G44"/>
  <c r="G50"/>
  <c r="J44"/>
  <c r="J50"/>
  <c r="I44"/>
  <c r="I50"/>
  <c r="O44"/>
  <c r="O50"/>
  <c r="N44"/>
  <c r="N50"/>
  <c r="F44"/>
  <c r="F50"/>
  <c r="M44"/>
  <c r="M50"/>
  <c r="E44"/>
  <c r="E50"/>
  <c r="L44"/>
  <c r="L50"/>
  <c r="D44"/>
  <c r="D50"/>
  <c r="P43" i="13"/>
  <c r="P44"/>
  <c r="L44" i="5"/>
  <c r="E7"/>
  <c r="L37" i="15"/>
  <c r="N42" i="4"/>
  <c r="E51" i="15"/>
  <c r="M51"/>
  <c r="F51"/>
  <c r="N51"/>
  <c r="H51"/>
  <c r="K51"/>
  <c r="I51"/>
  <c r="L51"/>
  <c r="J51"/>
  <c r="G51"/>
  <c r="D51"/>
  <c r="O51"/>
  <c r="D42" i="5"/>
  <c r="E14"/>
  <c r="F7"/>
  <c r="F14"/>
  <c r="I7"/>
  <c r="E36"/>
  <c r="F36"/>
  <c r="N44" i="4"/>
  <c r="N42" i="12"/>
  <c r="N44"/>
  <c r="D44" i="5"/>
  <c r="H46" i="15"/>
  <c r="H52"/>
  <c r="F46"/>
  <c r="F52"/>
  <c r="N46"/>
  <c r="I46"/>
  <c r="I52"/>
  <c r="H42" i="5"/>
  <c r="J7"/>
  <c r="J14"/>
  <c r="I36"/>
  <c r="J36"/>
  <c r="I14"/>
  <c r="E44" i="1"/>
  <c r="F38" i="5"/>
  <c r="E38"/>
  <c r="E40"/>
  <c r="K46" i="15"/>
  <c r="K52"/>
  <c r="J46"/>
  <c r="J52"/>
  <c r="F42" i="1"/>
  <c r="D12" i="15"/>
  <c r="H44" i="5"/>
  <c r="L46" i="15"/>
  <c r="L52"/>
  <c r="D46"/>
  <c r="D52"/>
  <c r="E46"/>
  <c r="E52"/>
  <c r="G46"/>
  <c r="G52"/>
  <c r="M46"/>
  <c r="O46"/>
  <c r="O42" i="12"/>
  <c r="O44"/>
  <c r="O42" i="4"/>
  <c r="O44"/>
  <c r="M37" i="15"/>
  <c r="F40" i="5"/>
  <c r="F43"/>
  <c r="J15" i="15"/>
  <c r="J22"/>
  <c r="O15"/>
  <c r="O22"/>
  <c r="N15"/>
  <c r="N22"/>
  <c r="I15"/>
  <c r="I22"/>
  <c r="F15"/>
  <c r="F22"/>
  <c r="H15"/>
  <c r="H22"/>
  <c r="L15"/>
  <c r="L22"/>
  <c r="D15"/>
  <c r="D22"/>
  <c r="K15"/>
  <c r="K22"/>
  <c r="G15"/>
  <c r="G22"/>
  <c r="M15"/>
  <c r="M22"/>
  <c r="E15"/>
  <c r="E22"/>
  <c r="E43" i="5"/>
  <c r="I38"/>
  <c r="I40"/>
  <c r="I43"/>
  <c r="J38"/>
  <c r="M52" i="15"/>
  <c r="N37"/>
  <c r="N52"/>
  <c r="P42" i="4"/>
  <c r="P44"/>
  <c r="O37" i="15"/>
  <c r="O52"/>
  <c r="P42" i="12"/>
  <c r="P44"/>
  <c r="O17" i="15"/>
  <c r="O24"/>
  <c r="G17"/>
  <c r="G24"/>
  <c r="N17"/>
  <c r="N24"/>
  <c r="F17"/>
  <c r="F24"/>
  <c r="L17"/>
  <c r="L24"/>
  <c r="M17"/>
  <c r="M24"/>
  <c r="E17"/>
  <c r="E24"/>
  <c r="D17"/>
  <c r="D24"/>
  <c r="I17"/>
  <c r="I24"/>
  <c r="H17"/>
  <c r="H24"/>
  <c r="K17"/>
  <c r="K24"/>
  <c r="J17"/>
  <c r="J24"/>
  <c r="J40" i="5"/>
  <c r="J43"/>
  <c r="M7"/>
  <c r="N7"/>
  <c r="N14"/>
  <c r="M14"/>
  <c r="M36"/>
  <c r="N36"/>
  <c r="M38"/>
  <c r="M40"/>
  <c r="M43"/>
  <c r="K16" i="15"/>
  <c r="H16"/>
  <c r="J16"/>
  <c r="G16"/>
  <c r="F16"/>
  <c r="I16"/>
  <c r="O16"/>
  <c r="N16"/>
  <c r="M16"/>
  <c r="E16"/>
  <c r="L16"/>
  <c r="D16"/>
  <c r="M44" i="5"/>
  <c r="N40"/>
  <c r="N38"/>
  <c r="F44" i="1"/>
  <c r="E12" i="15"/>
  <c r="N43" i="5"/>
  <c r="N44"/>
  <c r="L23" i="15"/>
  <c r="D23"/>
  <c r="I23"/>
  <c r="K23"/>
  <c r="H23"/>
  <c r="G23"/>
  <c r="J23"/>
  <c r="N23"/>
  <c r="F23"/>
  <c r="M23"/>
  <c r="E23"/>
  <c r="O23"/>
  <c r="G42" i="1"/>
  <c r="G44"/>
  <c r="H42"/>
  <c r="H42" i="11"/>
  <c r="H44"/>
  <c r="F12" i="15"/>
  <c r="I42" i="11"/>
  <c r="I44"/>
  <c r="H44" i="1"/>
  <c r="I42"/>
  <c r="G12" i="15"/>
  <c r="J42" i="11"/>
  <c r="J44"/>
  <c r="I44" i="1"/>
  <c r="J42"/>
  <c r="H12" i="15"/>
  <c r="I42" i="5"/>
  <c r="J44" i="1"/>
  <c r="K42"/>
  <c r="K42" i="11"/>
  <c r="K44"/>
  <c r="I12" i="15"/>
  <c r="J42" i="5"/>
  <c r="J44"/>
  <c r="I44"/>
  <c r="L42" i="11"/>
  <c r="L44"/>
  <c r="K44" i="1"/>
  <c r="L42"/>
  <c r="J12" i="15"/>
  <c r="M42" i="11"/>
  <c r="M44"/>
  <c r="L44" i="1"/>
  <c r="M42"/>
  <c r="K12" i="15"/>
  <c r="M44" i="1"/>
  <c r="N42"/>
  <c r="N42" i="11"/>
  <c r="N44"/>
  <c r="L12" i="15"/>
  <c r="O42" i="11"/>
  <c r="O44"/>
  <c r="N44" i="1"/>
  <c r="O42"/>
  <c r="M12" i="15"/>
  <c r="P42" i="11"/>
  <c r="P44"/>
  <c r="O44" i="1"/>
  <c r="P42"/>
  <c r="E42" i="5"/>
  <c r="F42"/>
  <c r="F44"/>
  <c r="N12" i="15"/>
  <c r="P44" i="1"/>
  <c r="O12" i="15"/>
  <c r="E44" i="5"/>
  <c r="O18" i="15"/>
  <c r="O25"/>
  <c r="I18"/>
  <c r="I25"/>
  <c r="D18"/>
  <c r="D25"/>
  <c r="G18"/>
  <c r="G25"/>
  <c r="L18"/>
  <c r="L25"/>
  <c r="E18"/>
  <c r="E25"/>
  <c r="M18"/>
  <c r="M25"/>
  <c r="K18"/>
  <c r="K25"/>
  <c r="J18"/>
  <c r="J25"/>
  <c r="F18"/>
  <c r="F25"/>
  <c r="H18"/>
  <c r="H25"/>
  <c r="N18"/>
  <c r="N25"/>
</calcChain>
</file>

<file path=xl/comments1.xml><?xml version="1.0" encoding="utf-8"?>
<comments xmlns="http://schemas.openxmlformats.org/spreadsheetml/2006/main">
  <authors>
    <author>David</author>
  </authors>
  <commentList>
    <comment ref="C5" authorId="0">
      <text>
        <r>
          <rPr>
            <sz val="9"/>
            <color indexed="81"/>
            <rFont val="Tahoma"/>
            <family val="2"/>
          </rPr>
          <t xml:space="preserve">For budget  Year 2012 only; however, designed with future years in mind.
</t>
        </r>
      </text>
    </comment>
  </commentList>
</comments>
</file>

<file path=xl/comments2.xml><?xml version="1.0" encoding="utf-8"?>
<comments xmlns="http://schemas.openxmlformats.org/spreadsheetml/2006/main">
  <authors>
    <author>David</author>
  </authors>
  <commentList>
    <comment ref="E42" authorId="0">
      <text>
        <r>
          <rPr>
            <sz val="9"/>
            <color indexed="81"/>
            <rFont val="Tahoma"/>
            <family val="2"/>
          </rPr>
          <t xml:space="preserve">From:  Account Ledger
</t>
        </r>
      </text>
    </comment>
  </commentList>
</comments>
</file>

<file path=xl/sharedStrings.xml><?xml version="1.0" encoding="utf-8"?>
<sst xmlns="http://schemas.openxmlformats.org/spreadsheetml/2006/main" count="276" uniqueCount="132">
  <si>
    <t>Jan</t>
  </si>
  <si>
    <t>Feb</t>
  </si>
  <si>
    <t>Mar</t>
  </si>
  <si>
    <t>Apr</t>
  </si>
  <si>
    <t>May</t>
  </si>
  <si>
    <t>Jun</t>
  </si>
  <si>
    <t>Jul</t>
  </si>
  <si>
    <t>Aug</t>
  </si>
  <si>
    <t>Sep</t>
  </si>
  <si>
    <t>Oct</t>
  </si>
  <si>
    <t>Nov</t>
  </si>
  <si>
    <t>Dec</t>
  </si>
  <si>
    <t>Total</t>
  </si>
  <si>
    <t>Personal Budget Prepared for:</t>
  </si>
  <si>
    <t>Income 1</t>
  </si>
  <si>
    <t>Income 2</t>
  </si>
  <si>
    <t>Income 3</t>
  </si>
  <si>
    <t>Income 4</t>
  </si>
  <si>
    <t>Income 5</t>
  </si>
  <si>
    <t>Income 6</t>
  </si>
  <si>
    <t>Income 7</t>
  </si>
  <si>
    <t>Income 8</t>
  </si>
  <si>
    <t>Total Income</t>
  </si>
  <si>
    <t>Expenses</t>
  </si>
  <si>
    <t>Total Expenses</t>
  </si>
  <si>
    <t>Income Less Expenses</t>
  </si>
  <si>
    <t>Income Less Expense</t>
  </si>
  <si>
    <t>Beginning Cash Balance</t>
  </si>
  <si>
    <t>Ending Cash Balance</t>
  </si>
  <si>
    <t>Items Revenue/Expense</t>
  </si>
  <si>
    <t>Roth IRA Cumulative Contribution</t>
  </si>
  <si>
    <t>Budget for Year</t>
  </si>
  <si>
    <t>Date</t>
  </si>
  <si>
    <t>Amount</t>
  </si>
  <si>
    <t/>
  </si>
  <si>
    <t>Expense</t>
  </si>
  <si>
    <t>Income</t>
  </si>
  <si>
    <t>Income or Expense</t>
  </si>
  <si>
    <t>Cateogry Number</t>
  </si>
  <si>
    <t>Budget Category From Input Sheets                                                       (This captures the Category for Reporting based on Category Number)</t>
  </si>
  <si>
    <t>.</t>
  </si>
  <si>
    <t>Days on Month Calc</t>
  </si>
  <si>
    <t>Month and Year Calc</t>
  </si>
  <si>
    <t>Applied to Worksheets Start</t>
  </si>
  <si>
    <t>Applied to Worksheets End</t>
  </si>
  <si>
    <t>Month and Year Calc Income/Expense</t>
  </si>
  <si>
    <t>Bank Clearing - Enter 1 if Cleared Bank</t>
  </si>
  <si>
    <t>IRA Contribution</t>
  </si>
  <si>
    <t>IRA Beginning Balance</t>
  </si>
  <si>
    <t>YTD Act</t>
  </si>
  <si>
    <t>Month Act</t>
  </si>
  <si>
    <t>Month Bud</t>
  </si>
  <si>
    <t>QRT Act</t>
  </si>
  <si>
    <t>QRT Bud</t>
  </si>
  <si>
    <t>QRT Var</t>
  </si>
  <si>
    <t>YTD Budget</t>
  </si>
  <si>
    <t>YTD Var</t>
  </si>
  <si>
    <t>Month Var</t>
  </si>
  <si>
    <t>Check Number</t>
  </si>
  <si>
    <t>Your Actual Account Balance</t>
  </si>
  <si>
    <t>Bank Balance as Shown on your Bank Statement</t>
  </si>
  <si>
    <t>Pay to or Received From  Enter Name or Description</t>
  </si>
  <si>
    <t>Expense 1</t>
  </si>
  <si>
    <t>Expense 2</t>
  </si>
  <si>
    <t>Expense 3</t>
  </si>
  <si>
    <t>Expense 4</t>
  </si>
  <si>
    <t>Expense 5</t>
  </si>
  <si>
    <t>Expense 6</t>
  </si>
  <si>
    <t>Expense 7</t>
  </si>
  <si>
    <t>Expense 8</t>
  </si>
  <si>
    <t>Expense 9</t>
  </si>
  <si>
    <t>Expense 10</t>
  </si>
  <si>
    <t>Expense 11</t>
  </si>
  <si>
    <t>Expense 12</t>
  </si>
  <si>
    <t>Expense 13</t>
  </si>
  <si>
    <t>Expense 14</t>
  </si>
  <si>
    <t>Expense 15</t>
  </si>
  <si>
    <t>Expense 16</t>
  </si>
  <si>
    <t>Expense 17</t>
  </si>
  <si>
    <t>Expense 18</t>
  </si>
  <si>
    <t>Expense 19</t>
  </si>
  <si>
    <t>Expense  20</t>
  </si>
  <si>
    <t>Income Categories</t>
  </si>
  <si>
    <t>Expense Categories</t>
  </si>
  <si>
    <t>4.  Enter your Current IRA Balance.  The model is designed with an IRA Budget category for your convenience.</t>
  </si>
  <si>
    <t xml:space="preserve">      (Note:  your income and expense categories will be made available to you in your bank ledger and reporting results.</t>
  </si>
  <si>
    <t>category.  That's it -- the model does all the math.  Beginning Cash Balance is ….</t>
  </si>
  <si>
    <t>Reconcile your banking account on this sheet.  This ledger feeds directly to the expense report.  Note the bank clearing column (K), enter 1 as you reconcile to your bank statement.  Enter Check number (if applicable), Date, Income or Expense then Category Number, Description, Amount (positive numbers income, negative as expense), and bank clearing as you reconcile to your bank statement.</t>
  </si>
  <si>
    <t>charges, withdrawals, etc.  Also, enter check deposits, cash deposits, or other sources of funding entering the account.  The model will</t>
  </si>
  <si>
    <t>Budget Model Directions</t>
  </si>
  <si>
    <t>1.   Enter your  Name - it will  appear on throughout the model .</t>
  </si>
  <si>
    <r>
      <rPr>
        <b/>
        <sz val="24"/>
        <color indexed="8"/>
        <rFont val="Lucida Handwriting"/>
        <family val="4"/>
      </rPr>
      <t>Fabu</t>
    </r>
    <r>
      <rPr>
        <b/>
        <sz val="24"/>
        <color indexed="13"/>
        <rFont val="Lucida Handwriting"/>
        <family val="4"/>
      </rPr>
      <t>less</t>
    </r>
    <r>
      <rPr>
        <b/>
        <sz val="24"/>
        <color indexed="8"/>
        <rFont val="Lucida Handwriting"/>
        <family val="4"/>
      </rPr>
      <t>lyFrugal</t>
    </r>
    <r>
      <rPr>
        <sz val="20"/>
        <color indexed="8"/>
        <rFont val="Calibri"/>
        <family val="2"/>
      </rPr>
      <t>.com - Budget Model 2012</t>
    </r>
  </si>
  <si>
    <t>Fabulessly Frugal Budget Model</t>
  </si>
  <si>
    <t xml:space="preserve">Now it is time to capture your actual results.  This is simple too -- go to the LEDGER tab and update your banking ledger for all checks, debit </t>
  </si>
  <si>
    <t>do all the math for you and provide you a statement against your budget by month, quarter to date, and year-to-date.</t>
  </si>
  <si>
    <t xml:space="preserve">    Click to go to website</t>
  </si>
  <si>
    <t>Start Here =&gt;</t>
  </si>
  <si>
    <t>Lookup Field</t>
  </si>
  <si>
    <t>Sum of All Income in the Budget</t>
  </si>
  <si>
    <t>Sum of All Expense in Budget</t>
  </si>
  <si>
    <t xml:space="preserve">Net of All </t>
  </si>
  <si>
    <t>Test of All Income in Budget</t>
  </si>
  <si>
    <t>Test of All Expense in Budget</t>
  </si>
  <si>
    <t>Test of Net All In Budget</t>
  </si>
  <si>
    <t>YTD Net</t>
  </si>
  <si>
    <t>QTD Net</t>
  </si>
  <si>
    <t>Try this Value</t>
  </si>
  <si>
    <t>YTD Test</t>
  </si>
  <si>
    <t>QTD Test</t>
  </si>
  <si>
    <t>Month Net</t>
  </si>
  <si>
    <t>Month Test</t>
  </si>
  <si>
    <t>Cash Balance</t>
  </si>
  <si>
    <t>IRA Balance</t>
  </si>
  <si>
    <t>Cash Test</t>
  </si>
  <si>
    <t>IRA Test</t>
  </si>
  <si>
    <t>Month From Comparison Sheet</t>
  </si>
  <si>
    <t>YTD From Comparison Sheet</t>
  </si>
  <si>
    <t>QTD From Comparison Sheet</t>
  </si>
  <si>
    <t>Cash Balance From Comparison Sheet</t>
  </si>
  <si>
    <t>IRA Balance From Comparison Sheet</t>
  </si>
  <si>
    <t>Budget Comparison Month for Reports</t>
  </si>
  <si>
    <t>2.  Enter your Income Categories (Net Payroll, Gift from Parents, etc. in green cells in Box Titled Income Categories in Left Column.</t>
  </si>
  <si>
    <t xml:space="preserve">3.  Enter your Expense Categories (Rent, Auto, Cell Phone, Water, Gas, Electric, Cable, etc. in yellow in Box Titled Expense Categories </t>
  </si>
  <si>
    <t xml:space="preserve">      in Center Column (Orange).  (Note:  your income and expense categories will be captured in your bank ledger entries and reporting.</t>
  </si>
  <si>
    <t xml:space="preserve">Once you have set up your income and expense categories, enter your Beginning Cash balance in Center Box, bottom.  If you have, a IRA </t>
  </si>
  <si>
    <t xml:space="preserve">balance, enter it in Center Box above the Beginning Cash Balance.  You are now ready to begin budgeting.  Simply open the BUDGET tab </t>
  </si>
  <si>
    <t>As you receive a new bank statement, go to the ledger tab and put number  "1" in the bank reconciliation field to balance your bank account.</t>
  </si>
  <si>
    <t xml:space="preserve"> Note the  example below,  employee Payroll receipt cleared the bank, as did the rent, electric, and gas payments so "1" is entered.  The Auto </t>
  </si>
  <si>
    <t xml:space="preserve">payment has not cleared the bank.  You can track your actual cash balance, anticipating all payments clearing the bank.  No more overdrafts. </t>
  </si>
  <si>
    <t>Income  1</t>
  </si>
  <si>
    <t>C</t>
  </si>
  <si>
    <r>
      <t xml:space="preserve">                                                                                                                                                                    This simple budget model has been prepared as an expression of my love for my children, in hopes that in some small way I can teach them to organize their financial affairs in a fun and meaningful way.  While simple, this model is quite powerful, and it can be used by beginners and experts alike.  I give special acknowledgment to my daughter Monica,  who has worked diligently with her partner Cathy and the rest of the Fabulessly Frugal team to provide you this wonderful web site that gives you practical advice on  cost effectively providing for your family in a  --  </t>
    </r>
    <r>
      <rPr>
        <sz val="14"/>
        <color indexed="8"/>
        <rFont val="Lucida Handwriting"/>
        <family val="4"/>
      </rPr>
      <t>Fabu</t>
    </r>
    <r>
      <rPr>
        <sz val="14"/>
        <color indexed="17"/>
        <rFont val="Lucida Handwriting"/>
        <family val="4"/>
      </rPr>
      <t>less</t>
    </r>
    <r>
      <rPr>
        <sz val="14"/>
        <color indexed="8"/>
        <rFont val="Lucida Handwriting"/>
        <family val="4"/>
      </rPr>
      <t xml:space="preserve">ly Frugal </t>
    </r>
    <r>
      <rPr>
        <sz val="11"/>
        <color theme="1"/>
        <rFont val="Calibri"/>
        <family val="2"/>
        <scheme val="minor"/>
      </rPr>
      <t>way.</t>
    </r>
    <r>
      <rPr>
        <sz val="11"/>
        <color indexed="8"/>
        <rFont val="Cambria"/>
        <family val="1"/>
      </rPr>
      <t xml:space="preserve">                                                                                                                                                                                I hope you find this budget tool to be helpful, Dave January 2012.</t>
    </r>
  </si>
</sst>
</file>

<file path=xl/styles.xml><?xml version="1.0" encoding="utf-8"?>
<styleSheet xmlns="http://schemas.openxmlformats.org/spreadsheetml/2006/main">
  <numFmts count="5">
    <numFmt numFmtId="44" formatCode="_(&quot;$&quot;* #,##0.00_);_(&quot;$&quot;* \(#,##0.00\);_(&quot;$&quot;* &quot;-&quot;??_);_(@_)"/>
    <numFmt numFmtId="43" formatCode="_(* #,##0.00_);_(* \(#,##0.00\);_(* &quot;-&quot;??_);_(@_)"/>
    <numFmt numFmtId="164" formatCode="[$-409]d\-mmm\-yy;@"/>
    <numFmt numFmtId="165" formatCode="_(* #,##0_);_(* \(#,##0\);_(* &quot;-&quot;??_);_(@_)"/>
    <numFmt numFmtId="166" formatCode="[$-409]mmm\-yy;@"/>
  </numFmts>
  <fonts count="23">
    <font>
      <sz val="11"/>
      <color theme="1"/>
      <name val="Calibri"/>
      <family val="2"/>
      <scheme val="minor"/>
    </font>
    <font>
      <sz val="11"/>
      <color indexed="8"/>
      <name val="Calibri"/>
      <family val="2"/>
    </font>
    <font>
      <sz val="11"/>
      <color indexed="8"/>
      <name val="Calibri"/>
      <family val="2"/>
    </font>
    <font>
      <sz val="10"/>
      <name val="Arial"/>
      <family val="2"/>
    </font>
    <font>
      <b/>
      <sz val="10"/>
      <name val="Arial"/>
      <family val="2"/>
    </font>
    <font>
      <sz val="9"/>
      <color indexed="81"/>
      <name val="Tahoma"/>
      <family val="2"/>
    </font>
    <font>
      <sz val="14"/>
      <color indexed="8"/>
      <name val="Calibri"/>
      <family val="2"/>
    </font>
    <font>
      <sz val="20"/>
      <color indexed="8"/>
      <name val="Calibri"/>
      <family val="2"/>
    </font>
    <font>
      <sz val="3"/>
      <color indexed="8"/>
      <name val="Calibri"/>
      <family val="2"/>
    </font>
    <font>
      <sz val="14"/>
      <color indexed="8"/>
      <name val="Lucida Handwriting"/>
      <family val="4"/>
    </font>
    <font>
      <sz val="11"/>
      <color indexed="8"/>
      <name val="Cambria"/>
      <family val="1"/>
    </font>
    <font>
      <sz val="11"/>
      <color indexed="22"/>
      <name val="Calibri"/>
      <family val="2"/>
    </font>
    <font>
      <sz val="11"/>
      <color indexed="55"/>
      <name val="Calibri"/>
      <family val="2"/>
    </font>
    <font>
      <sz val="22"/>
      <color indexed="55"/>
      <name val="Calibri"/>
      <family val="2"/>
    </font>
    <font>
      <b/>
      <sz val="24"/>
      <color indexed="8"/>
      <name val="Lucida Handwriting"/>
      <family val="4"/>
    </font>
    <font>
      <b/>
      <sz val="24"/>
      <color indexed="13"/>
      <name val="Lucida Handwriting"/>
      <family val="4"/>
    </font>
    <font>
      <sz val="11"/>
      <name val="Calibri"/>
      <family val="2"/>
    </font>
    <font>
      <sz val="18"/>
      <color indexed="8"/>
      <name val="Calibri"/>
      <family val="2"/>
    </font>
    <font>
      <sz val="11"/>
      <color indexed="9"/>
      <name val="Calibri"/>
      <family val="2"/>
    </font>
    <font>
      <sz val="14"/>
      <color indexed="17"/>
      <name val="Lucida Handwriting"/>
      <family val="4"/>
    </font>
    <font>
      <b/>
      <sz val="11"/>
      <color indexed="8"/>
      <name val="Calibri"/>
      <family val="2"/>
    </font>
    <font>
      <sz val="8"/>
      <name val="Calibri"/>
      <family val="2"/>
    </font>
    <font>
      <sz val="11"/>
      <color indexed="45"/>
      <name val="Calibri"/>
      <family val="2"/>
    </font>
  </fonts>
  <fills count="14">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indexed="8"/>
        <bgColor indexed="64"/>
      </patternFill>
    </fill>
    <fill>
      <patternFill patternType="solid">
        <fgColor indexed="47"/>
        <bgColor indexed="64"/>
      </patternFill>
    </fill>
    <fill>
      <patternFill patternType="solid">
        <fgColor indexed="46"/>
        <bgColor indexed="64"/>
      </patternFill>
    </fill>
    <fill>
      <patternFill patternType="solid">
        <fgColor indexed="51"/>
        <bgColor indexed="64"/>
      </patternFill>
    </fill>
    <fill>
      <patternFill patternType="solid">
        <fgColor indexed="19"/>
        <bgColor indexed="64"/>
      </patternFill>
    </fill>
    <fill>
      <patternFill patternType="solid">
        <fgColor indexed="13"/>
        <bgColor indexed="64"/>
      </patternFill>
    </fill>
    <fill>
      <patternFill patternType="solid">
        <fgColor indexed="53"/>
        <bgColor indexed="64"/>
      </patternFill>
    </fill>
    <fill>
      <patternFill patternType="solid">
        <fgColor indexed="50"/>
        <bgColor indexed="64"/>
      </patternFill>
    </fill>
    <fill>
      <patternFill patternType="solid">
        <fgColor indexed="45"/>
        <bgColor indexed="64"/>
      </patternFill>
    </fill>
    <fill>
      <patternFill patternType="solid">
        <fgColor indexed="52"/>
        <bgColor indexed="64"/>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55"/>
      </left>
      <right/>
      <top style="medium">
        <color indexed="55"/>
      </top>
      <bottom style="medium">
        <color indexed="55"/>
      </bottom>
      <diagonal/>
    </border>
    <border>
      <left/>
      <right/>
      <top style="medium">
        <color indexed="55"/>
      </top>
      <bottom style="medium">
        <color indexed="55"/>
      </bottom>
      <diagonal/>
    </border>
    <border>
      <left/>
      <right style="medium">
        <color indexed="55"/>
      </right>
      <top style="medium">
        <color indexed="55"/>
      </top>
      <bottom style="medium">
        <color indexed="55"/>
      </bottom>
      <diagonal/>
    </border>
    <border>
      <left/>
      <right/>
      <top/>
      <bottom style="thin">
        <color indexed="64"/>
      </bottom>
      <diagonal/>
    </border>
    <border>
      <left/>
      <right style="medium">
        <color indexed="64"/>
      </right>
      <top/>
      <bottom style="medium">
        <color indexed="64"/>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171">
    <xf numFmtId="0" fontId="0" fillId="0" borderId="0" xfId="0"/>
    <xf numFmtId="0" fontId="0" fillId="0" borderId="0" xfId="0" applyAlignment="1">
      <alignment horizontal="center"/>
    </xf>
    <xf numFmtId="44" fontId="0" fillId="0" borderId="0" xfId="2" applyFont="1"/>
    <xf numFmtId="44" fontId="0" fillId="2" borderId="0" xfId="2" applyFont="1" applyFill="1" applyBorder="1"/>
    <xf numFmtId="44" fontId="0" fillId="2" borderId="1" xfId="2" applyFont="1" applyFill="1" applyBorder="1"/>
    <xf numFmtId="44" fontId="0" fillId="2" borderId="2" xfId="2" applyFont="1" applyFill="1" applyBorder="1"/>
    <xf numFmtId="44" fontId="0" fillId="3" borderId="3" xfId="2" applyFont="1" applyFill="1" applyBorder="1"/>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xf numFmtId="44" fontId="0" fillId="3" borderId="7" xfId="2" applyFont="1" applyFill="1" applyBorder="1"/>
    <xf numFmtId="0" fontId="0" fillId="4" borderId="0" xfId="0" applyFill="1"/>
    <xf numFmtId="0" fontId="0" fillId="4" borderId="0" xfId="0" applyFill="1" applyAlignment="1">
      <alignment horizontal="center"/>
    </xf>
    <xf numFmtId="44" fontId="0" fillId="4" borderId="0" xfId="2" applyFont="1" applyFill="1"/>
    <xf numFmtId="44" fontId="0" fillId="0" borderId="7" xfId="2" applyFont="1" applyBorder="1"/>
    <xf numFmtId="0" fontId="0" fillId="3" borderId="1" xfId="0" applyFill="1" applyBorder="1"/>
    <xf numFmtId="0" fontId="0" fillId="3" borderId="5" xfId="0" applyFill="1" applyBorder="1"/>
    <xf numFmtId="0" fontId="0" fillId="3" borderId="8" xfId="0" applyFill="1" applyBorder="1"/>
    <xf numFmtId="0" fontId="0" fillId="3" borderId="0" xfId="0" applyFill="1" applyBorder="1" applyAlignment="1">
      <alignment horizontal="center"/>
    </xf>
    <xf numFmtId="44" fontId="0" fillId="0" borderId="9" xfId="2" applyFont="1" applyBorder="1"/>
    <xf numFmtId="0" fontId="0" fillId="3" borderId="0" xfId="0" applyFill="1" applyBorder="1" applyAlignment="1">
      <alignment wrapText="1"/>
    </xf>
    <xf numFmtId="0" fontId="0" fillId="3" borderId="4" xfId="0" applyFill="1" applyBorder="1" applyAlignment="1">
      <alignment horizontal="center" wrapText="1"/>
    </xf>
    <xf numFmtId="0" fontId="0" fillId="3" borderId="10" xfId="0" applyFill="1" applyBorder="1" applyAlignment="1">
      <alignment horizontal="center" wrapText="1"/>
    </xf>
    <xf numFmtId="0" fontId="0" fillId="3" borderId="6" xfId="0" applyFill="1" applyBorder="1" applyAlignment="1">
      <alignment horizontal="center" wrapText="1"/>
    </xf>
    <xf numFmtId="0" fontId="0" fillId="3" borderId="0" xfId="0" applyFill="1"/>
    <xf numFmtId="0" fontId="0" fillId="3" borderId="0" xfId="0" applyFill="1" applyAlignment="1">
      <alignment horizontal="left"/>
    </xf>
    <xf numFmtId="44" fontId="0" fillId="3" borderId="1" xfId="2" applyFont="1" applyFill="1" applyBorder="1"/>
    <xf numFmtId="44" fontId="0" fillId="3" borderId="5" xfId="2" applyFont="1" applyFill="1" applyBorder="1"/>
    <xf numFmtId="0" fontId="0" fillId="3" borderId="10" xfId="0" applyFill="1" applyBorder="1"/>
    <xf numFmtId="166" fontId="0" fillId="3" borderId="1" xfId="0" applyNumberFormat="1" applyFill="1" applyBorder="1" applyAlignment="1">
      <alignment horizontal="center"/>
    </xf>
    <xf numFmtId="0" fontId="0" fillId="3" borderId="4" xfId="0" applyFill="1" applyBorder="1" applyAlignment="1"/>
    <xf numFmtId="0" fontId="0" fillId="3" borderId="6" xfId="0" applyFill="1" applyBorder="1" applyAlignment="1"/>
    <xf numFmtId="0" fontId="0" fillId="3" borderId="11" xfId="0" applyFill="1" applyBorder="1" applyAlignment="1">
      <alignment horizontal="center"/>
    </xf>
    <xf numFmtId="44" fontId="0" fillId="5" borderId="12" xfId="2" applyFont="1" applyFill="1" applyBorder="1"/>
    <xf numFmtId="44" fontId="0" fillId="6" borderId="13" xfId="2" applyFont="1" applyFill="1" applyBorder="1"/>
    <xf numFmtId="166" fontId="0" fillId="3" borderId="14" xfId="0" applyNumberFormat="1" applyFill="1" applyBorder="1" applyAlignment="1">
      <alignment horizontal="center"/>
    </xf>
    <xf numFmtId="166" fontId="0" fillId="3" borderId="15" xfId="0" applyNumberFormat="1" applyFill="1" applyBorder="1" applyAlignment="1">
      <alignment horizontal="center"/>
    </xf>
    <xf numFmtId="164" fontId="0" fillId="3" borderId="15" xfId="0" applyNumberFormat="1" applyFill="1" applyBorder="1" applyAlignment="1">
      <alignment horizontal="center"/>
    </xf>
    <xf numFmtId="0" fontId="0" fillId="3" borderId="16" xfId="0" applyFill="1" applyBorder="1" applyAlignment="1">
      <alignment horizontal="center"/>
    </xf>
    <xf numFmtId="44" fontId="0" fillId="3" borderId="17" xfId="2" applyFont="1" applyFill="1" applyBorder="1" applyAlignment="1"/>
    <xf numFmtId="44" fontId="0" fillId="3" borderId="5" xfId="2" applyFont="1" applyFill="1" applyBorder="1" applyAlignment="1"/>
    <xf numFmtId="44" fontId="0" fillId="3" borderId="1" xfId="2" applyFont="1" applyFill="1" applyBorder="1" applyAlignment="1"/>
    <xf numFmtId="44" fontId="0" fillId="3" borderId="3" xfId="2" applyFont="1" applyFill="1" applyBorder="1" applyAlignment="1"/>
    <xf numFmtId="165" fontId="0" fillId="3" borderId="5" xfId="1" applyNumberFormat="1" applyFont="1" applyFill="1" applyBorder="1"/>
    <xf numFmtId="166" fontId="0" fillId="4" borderId="15" xfId="0" applyNumberFormat="1" applyFill="1" applyBorder="1" applyAlignment="1">
      <alignment horizontal="center"/>
    </xf>
    <xf numFmtId="44" fontId="0" fillId="4" borderId="1" xfId="2" applyFont="1" applyFill="1" applyBorder="1"/>
    <xf numFmtId="44" fontId="0" fillId="4" borderId="7" xfId="2" applyFont="1" applyFill="1" applyBorder="1"/>
    <xf numFmtId="0" fontId="0" fillId="4" borderId="10" xfId="0" applyFill="1" applyBorder="1" applyAlignment="1">
      <alignment horizontal="center" wrapText="1"/>
    </xf>
    <xf numFmtId="166" fontId="0" fillId="4" borderId="1" xfId="0" applyNumberFormat="1" applyFill="1" applyBorder="1" applyAlignment="1">
      <alignment horizontal="center"/>
    </xf>
    <xf numFmtId="44" fontId="0" fillId="3" borderId="0" xfId="2" applyFont="1" applyFill="1" applyBorder="1" applyAlignment="1"/>
    <xf numFmtId="0" fontId="0" fillId="3" borderId="18" xfId="0" applyFill="1" applyBorder="1" applyAlignment="1">
      <alignment horizontal="left" wrapText="1"/>
    </xf>
    <xf numFmtId="0" fontId="0" fillId="3" borderId="2" xfId="0" applyFill="1" applyBorder="1"/>
    <xf numFmtId="44" fontId="0" fillId="3" borderId="2" xfId="2" applyFont="1" applyFill="1" applyBorder="1" applyAlignment="1"/>
    <xf numFmtId="0" fontId="0" fillId="3" borderId="2" xfId="0" applyFill="1" applyBorder="1" applyAlignment="1"/>
    <xf numFmtId="44" fontId="0" fillId="7" borderId="1" xfId="2" quotePrefix="1" applyFont="1" applyFill="1" applyBorder="1"/>
    <xf numFmtId="0" fontId="8" fillId="4" borderId="0" xfId="0" applyFont="1" applyFill="1"/>
    <xf numFmtId="0" fontId="0" fillId="0" borderId="0" xfId="0" applyAlignment="1">
      <alignment wrapText="1"/>
    </xf>
    <xf numFmtId="0" fontId="0" fillId="3" borderId="7" xfId="0" applyFill="1" applyBorder="1"/>
    <xf numFmtId="0" fontId="0" fillId="4" borderId="11" xfId="0" applyFill="1" applyBorder="1"/>
    <xf numFmtId="0" fontId="0" fillId="4" borderId="19" xfId="0" applyFill="1" applyBorder="1"/>
    <xf numFmtId="0" fontId="0" fillId="4" borderId="20" xfId="0" applyFill="1" applyBorder="1" applyAlignment="1"/>
    <xf numFmtId="0" fontId="12" fillId="4" borderId="20" xfId="0" applyFont="1" applyFill="1" applyBorder="1" applyAlignment="1">
      <alignment vertical="top"/>
    </xf>
    <xf numFmtId="0" fontId="11" fillId="4" borderId="20" xfId="0" applyFont="1" applyFill="1" applyBorder="1" applyAlignment="1">
      <alignment vertical="top"/>
    </xf>
    <xf numFmtId="0" fontId="11" fillId="4" borderId="20" xfId="0" applyFont="1" applyFill="1" applyBorder="1" applyAlignment="1">
      <alignment horizontal="left" vertical="top"/>
    </xf>
    <xf numFmtId="0" fontId="0" fillId="4" borderId="20" xfId="0" applyFill="1" applyBorder="1"/>
    <xf numFmtId="0" fontId="11" fillId="4" borderId="20" xfId="0" applyFont="1" applyFill="1" applyBorder="1" applyAlignment="1">
      <alignment vertical="top" wrapText="1"/>
    </xf>
    <xf numFmtId="0" fontId="13" fillId="4" borderId="7" xfId="0" applyFont="1" applyFill="1" applyBorder="1" applyAlignment="1">
      <alignment horizontal="center"/>
    </xf>
    <xf numFmtId="44" fontId="0" fillId="2" borderId="1" xfId="2" applyFont="1" applyFill="1" applyBorder="1" applyProtection="1">
      <protection locked="0"/>
    </xf>
    <xf numFmtId="0" fontId="0" fillId="4" borderId="0" xfId="0" applyFill="1" applyProtection="1">
      <protection hidden="1"/>
    </xf>
    <xf numFmtId="0" fontId="0" fillId="4" borderId="0" xfId="0" applyFill="1" applyAlignment="1" applyProtection="1">
      <alignment wrapText="1"/>
      <protection hidden="1"/>
    </xf>
    <xf numFmtId="0" fontId="0" fillId="3" borderId="21" xfId="0" applyFill="1" applyBorder="1" applyAlignment="1" applyProtection="1">
      <alignment horizontal="center" wrapText="1"/>
      <protection hidden="1"/>
    </xf>
    <xf numFmtId="164" fontId="0" fillId="3" borderId="21" xfId="0" applyNumberFormat="1" applyFill="1" applyBorder="1" applyAlignment="1" applyProtection="1">
      <alignment horizontal="center" wrapText="1"/>
      <protection hidden="1"/>
    </xf>
    <xf numFmtId="44" fontId="0" fillId="3" borderId="21" xfId="2" applyFont="1" applyFill="1" applyBorder="1" applyAlignment="1" applyProtection="1">
      <alignment horizontal="center" wrapText="1"/>
      <protection hidden="1"/>
    </xf>
    <xf numFmtId="0" fontId="3" fillId="3" borderId="21" xfId="0" applyFont="1" applyFill="1" applyBorder="1" applyAlignment="1" applyProtection="1">
      <alignment horizontal="center" wrapText="1"/>
      <protection hidden="1"/>
    </xf>
    <xf numFmtId="0" fontId="0" fillId="4" borderId="0" xfId="0" applyFill="1" applyBorder="1" applyAlignment="1" applyProtection="1">
      <alignment horizontal="center" wrapText="1"/>
      <protection hidden="1"/>
    </xf>
    <xf numFmtId="164" fontId="0" fillId="4" borderId="0" xfId="0" applyNumberFormat="1" applyFill="1" applyBorder="1" applyAlignment="1" applyProtection="1">
      <alignment horizontal="center" wrapText="1"/>
      <protection hidden="1"/>
    </xf>
    <xf numFmtId="44" fontId="0" fillId="4" borderId="0" xfId="2" applyFont="1" applyFill="1" applyBorder="1" applyAlignment="1" applyProtection="1">
      <alignment horizontal="center" wrapText="1"/>
      <protection hidden="1"/>
    </xf>
    <xf numFmtId="0" fontId="3" fillId="4" borderId="0" xfId="0" applyFont="1" applyFill="1" applyBorder="1" applyAlignment="1" applyProtection="1">
      <alignment horizontal="center" wrapText="1"/>
      <protection hidden="1"/>
    </xf>
    <xf numFmtId="0" fontId="4" fillId="4" borderId="0" xfId="0" applyFont="1" applyFill="1" applyBorder="1" applyAlignment="1" applyProtection="1">
      <alignment horizontal="center" wrapText="1"/>
      <protection hidden="1"/>
    </xf>
    <xf numFmtId="0" fontId="0" fillId="3" borderId="21" xfId="0" applyFill="1" applyBorder="1" applyAlignment="1" applyProtection="1">
      <alignment horizontal="center"/>
      <protection hidden="1"/>
    </xf>
    <xf numFmtId="164" fontId="0" fillId="3" borderId="21" xfId="0" applyNumberFormat="1" applyFill="1" applyBorder="1" applyAlignment="1" applyProtection="1">
      <alignment horizontal="center"/>
      <protection hidden="1"/>
    </xf>
    <xf numFmtId="44" fontId="0" fillId="3" borderId="21" xfId="2" applyFont="1" applyFill="1" applyBorder="1" applyAlignment="1" applyProtection="1">
      <alignment horizontal="center"/>
      <protection hidden="1"/>
    </xf>
    <xf numFmtId="44" fontId="4" fillId="3" borderId="3" xfId="2" applyFont="1" applyFill="1" applyBorder="1" applyAlignment="1" applyProtection="1">
      <alignment horizontal="center"/>
      <protection hidden="1"/>
    </xf>
    <xf numFmtId="0" fontId="3" fillId="3" borderId="0" xfId="0" applyFont="1" applyFill="1" applyBorder="1" applyAlignment="1" applyProtection="1">
      <alignment horizontal="center"/>
      <protection hidden="1"/>
    </xf>
    <xf numFmtId="0" fontId="0" fillId="3" borderId="21" xfId="0" applyFill="1" applyBorder="1" applyAlignment="1" applyProtection="1">
      <protection hidden="1"/>
    </xf>
    <xf numFmtId="44" fontId="4" fillId="3" borderId="21" xfId="0" applyNumberFormat="1" applyFont="1" applyFill="1" applyBorder="1" applyProtection="1">
      <protection hidden="1"/>
    </xf>
    <xf numFmtId="0" fontId="0" fillId="4" borderId="0" xfId="0" quotePrefix="1" applyFill="1" applyProtection="1">
      <protection hidden="1"/>
    </xf>
    <xf numFmtId="0" fontId="0" fillId="2" borderId="21" xfId="0" applyFill="1" applyBorder="1" applyAlignment="1" applyProtection="1">
      <alignment horizontal="center"/>
      <protection locked="0" hidden="1"/>
    </xf>
    <xf numFmtId="164" fontId="0" fillId="2" borderId="21" xfId="0" applyNumberFormat="1" applyFill="1" applyBorder="1" applyProtection="1">
      <protection locked="0" hidden="1"/>
    </xf>
    <xf numFmtId="0" fontId="0" fillId="3" borderId="21" xfId="0" applyFill="1" applyBorder="1" applyAlignment="1" applyProtection="1">
      <alignment horizontal="center"/>
      <protection locked="0" hidden="1"/>
    </xf>
    <xf numFmtId="165" fontId="0" fillId="2" borderId="21" xfId="1" applyNumberFormat="1" applyFont="1" applyFill="1" applyBorder="1" applyAlignment="1" applyProtection="1">
      <protection locked="0" hidden="1"/>
    </xf>
    <xf numFmtId="44" fontId="0" fillId="2" borderId="21" xfId="2" applyFont="1" applyFill="1" applyBorder="1" applyProtection="1">
      <protection locked="0" hidden="1"/>
    </xf>
    <xf numFmtId="44" fontId="3" fillId="2" borderId="21" xfId="2" applyFont="1" applyFill="1" applyBorder="1" applyProtection="1">
      <protection locked="0" hidden="1"/>
    </xf>
    <xf numFmtId="0" fontId="3" fillId="2" borderId="21" xfId="0" applyFont="1" applyFill="1" applyBorder="1" applyAlignment="1" applyProtection="1">
      <alignment horizontal="center"/>
      <protection locked="0" hidden="1"/>
    </xf>
    <xf numFmtId="0" fontId="0" fillId="2" borderId="6" xfId="0" applyFill="1" applyBorder="1"/>
    <xf numFmtId="44" fontId="0" fillId="2" borderId="7" xfId="2" applyFont="1" applyFill="1" applyBorder="1"/>
    <xf numFmtId="0" fontId="0" fillId="2" borderId="16" xfId="0" applyFill="1" applyBorder="1" applyAlignment="1">
      <alignment horizontal="center"/>
    </xf>
    <xf numFmtId="0" fontId="0" fillId="2" borderId="11" xfId="0" applyFill="1" applyBorder="1" applyAlignment="1">
      <alignment horizontal="center"/>
    </xf>
    <xf numFmtId="44" fontId="0" fillId="8" borderId="22" xfId="2" applyFont="1" applyFill="1" applyBorder="1"/>
    <xf numFmtId="0" fontId="0" fillId="4" borderId="23" xfId="0" applyFill="1" applyBorder="1" applyAlignment="1">
      <alignment horizontal="center"/>
    </xf>
    <xf numFmtId="0" fontId="0" fillId="4" borderId="24" xfId="0" applyFill="1" applyBorder="1"/>
    <xf numFmtId="44" fontId="0" fillId="4" borderId="24" xfId="2" applyFont="1" applyFill="1" applyBorder="1"/>
    <xf numFmtId="44" fontId="0" fillId="4" borderId="25" xfId="2" applyFont="1" applyFill="1" applyBorder="1"/>
    <xf numFmtId="0" fontId="11" fillId="4" borderId="20" xfId="0" applyFont="1" applyFill="1" applyBorder="1" applyAlignment="1">
      <alignment horizontal="center" vertical="top"/>
    </xf>
    <xf numFmtId="0" fontId="16" fillId="0" borderId="0" xfId="0" applyFont="1"/>
    <xf numFmtId="0" fontId="16" fillId="4" borderId="0" xfId="0" applyFont="1" applyFill="1"/>
    <xf numFmtId="0" fontId="18" fillId="4" borderId="0" xfId="0" applyFont="1" applyFill="1"/>
    <xf numFmtId="0" fontId="18" fillId="4" borderId="0" xfId="0" applyFont="1" applyFill="1" applyAlignment="1">
      <alignment vertical="center"/>
    </xf>
    <xf numFmtId="44" fontId="0" fillId="0" borderId="0" xfId="0" applyNumberFormat="1"/>
    <xf numFmtId="44" fontId="0" fillId="0" borderId="26" xfId="0" applyNumberFormat="1" applyBorder="1"/>
    <xf numFmtId="44" fontId="0" fillId="9" borderId="0" xfId="0" applyNumberFormat="1" applyFill="1"/>
    <xf numFmtId="0" fontId="0" fillId="10" borderId="11" xfId="0" applyFill="1" applyBorder="1" applyProtection="1">
      <protection locked="0"/>
    </xf>
    <xf numFmtId="0" fontId="0" fillId="10" borderId="20" xfId="0" applyFill="1" applyBorder="1" applyProtection="1">
      <protection locked="0"/>
    </xf>
    <xf numFmtId="0" fontId="0" fillId="10" borderId="19" xfId="0" applyFill="1" applyBorder="1" applyProtection="1">
      <protection locked="0"/>
    </xf>
    <xf numFmtId="0" fontId="0" fillId="3" borderId="19" xfId="0" applyFill="1" applyBorder="1"/>
    <xf numFmtId="0" fontId="0" fillId="3" borderId="11" xfId="0" applyFill="1" applyBorder="1"/>
    <xf numFmtId="0" fontId="0" fillId="3" borderId="20" xfId="0" applyFill="1" applyBorder="1"/>
    <xf numFmtId="44" fontId="0" fillId="10" borderId="11" xfId="2" applyNumberFormat="1" applyFont="1" applyFill="1" applyBorder="1" applyProtection="1">
      <protection locked="0"/>
    </xf>
    <xf numFmtId="44" fontId="0" fillId="10" borderId="19" xfId="2" applyNumberFormat="1" applyFont="1" applyFill="1" applyBorder="1" applyProtection="1">
      <protection locked="0"/>
    </xf>
    <xf numFmtId="0" fontId="0" fillId="11" borderId="4" xfId="0" applyFill="1" applyBorder="1" applyAlignment="1">
      <alignment horizontal="center"/>
    </xf>
    <xf numFmtId="0" fontId="0" fillId="11" borderId="20" xfId="0" applyFill="1" applyBorder="1" applyProtection="1">
      <protection locked="0"/>
    </xf>
    <xf numFmtId="0" fontId="0" fillId="12" borderId="7" xfId="0" applyFill="1" applyBorder="1" applyProtection="1">
      <protection locked="0"/>
    </xf>
    <xf numFmtId="44" fontId="0" fillId="11" borderId="7" xfId="2" applyFont="1" applyFill="1" applyBorder="1"/>
    <xf numFmtId="44" fontId="0" fillId="13" borderId="7" xfId="2" applyFont="1" applyFill="1" applyBorder="1"/>
    <xf numFmtId="44" fontId="0" fillId="13" borderId="3" xfId="2" applyFont="1" applyFill="1" applyBorder="1" applyAlignment="1"/>
    <xf numFmtId="44" fontId="0" fillId="13" borderId="2" xfId="2" applyFont="1" applyFill="1" applyBorder="1" applyAlignment="1"/>
    <xf numFmtId="44" fontId="0" fillId="13" borderId="1" xfId="2" applyFont="1" applyFill="1" applyBorder="1"/>
    <xf numFmtId="0" fontId="0" fillId="11" borderId="6" xfId="0" applyFill="1" applyBorder="1"/>
    <xf numFmtId="0" fontId="0" fillId="12" borderId="27" xfId="0" applyFill="1" applyBorder="1" applyAlignment="1"/>
    <xf numFmtId="0" fontId="0" fillId="12" borderId="0" xfId="0" applyFill="1" applyBorder="1" applyAlignment="1"/>
    <xf numFmtId="44" fontId="0" fillId="12" borderId="5" xfId="2" applyFont="1" applyFill="1" applyBorder="1"/>
    <xf numFmtId="44" fontId="0" fillId="13" borderId="1" xfId="2" applyFont="1" applyFill="1" applyBorder="1" applyAlignment="1"/>
    <xf numFmtId="44" fontId="1" fillId="13" borderId="3" xfId="2" applyFont="1" applyFill="1" applyBorder="1" applyAlignment="1"/>
    <xf numFmtId="0" fontId="20" fillId="11" borderId="6" xfId="0" applyFont="1" applyFill="1" applyBorder="1"/>
    <xf numFmtId="44" fontId="20" fillId="13" borderId="1" xfId="2" applyFont="1" applyFill="1" applyBorder="1" applyAlignment="1"/>
    <xf numFmtId="0" fontId="20" fillId="12" borderId="8" xfId="0" applyFont="1" applyFill="1" applyBorder="1" applyAlignment="1"/>
    <xf numFmtId="0" fontId="0" fillId="13" borderId="6" xfId="0" applyFill="1" applyBorder="1"/>
    <xf numFmtId="0" fontId="0" fillId="13" borderId="4" xfId="0" applyFill="1" applyBorder="1" applyAlignment="1">
      <alignment horizontal="center"/>
    </xf>
    <xf numFmtId="0" fontId="20" fillId="13" borderId="16" xfId="0" applyFont="1" applyFill="1" applyBorder="1" applyAlignment="1">
      <alignment horizontal="center"/>
    </xf>
    <xf numFmtId="0" fontId="20" fillId="13" borderId="6" xfId="0" applyFont="1" applyFill="1" applyBorder="1"/>
    <xf numFmtId="0" fontId="20" fillId="11" borderId="11" xfId="0" applyFont="1" applyFill="1" applyBorder="1" applyAlignment="1">
      <alignment horizontal="center"/>
    </xf>
    <xf numFmtId="44" fontId="0" fillId="11" borderId="3" xfId="2" applyFont="1" applyFill="1" applyBorder="1" applyAlignment="1"/>
    <xf numFmtId="44" fontId="0" fillId="11" borderId="2" xfId="2" applyFont="1" applyFill="1" applyBorder="1" applyAlignment="1"/>
    <xf numFmtId="44" fontId="0" fillId="11" borderId="1" xfId="2" applyFont="1" applyFill="1" applyBorder="1" applyAlignment="1"/>
    <xf numFmtId="0" fontId="0" fillId="12" borderId="6" xfId="0" applyFill="1" applyBorder="1" applyAlignment="1"/>
    <xf numFmtId="0" fontId="0" fillId="12" borderId="2" xfId="0" applyFill="1" applyBorder="1" applyAlignment="1"/>
    <xf numFmtId="44" fontId="0" fillId="12" borderId="1" xfId="2" applyFont="1" applyFill="1" applyBorder="1"/>
    <xf numFmtId="0" fontId="0" fillId="12" borderId="4" xfId="0" applyFill="1" applyBorder="1" applyAlignment="1"/>
    <xf numFmtId="44" fontId="0" fillId="11" borderId="1" xfId="2" applyFont="1" applyFill="1" applyBorder="1"/>
    <xf numFmtId="44" fontId="0" fillId="12" borderId="0" xfId="2" applyFont="1" applyFill="1"/>
    <xf numFmtId="0" fontId="22" fillId="4" borderId="0" xfId="0" applyFont="1" applyFill="1" applyProtection="1">
      <protection hidden="1"/>
    </xf>
    <xf numFmtId="0" fontId="0" fillId="12" borderId="2" xfId="0" applyFill="1" applyBorder="1" applyAlignment="1">
      <alignment horizontal="center" vertical="top" wrapText="1"/>
    </xf>
    <xf numFmtId="0" fontId="0" fillId="12" borderId="0" xfId="0" applyFill="1" applyBorder="1" applyAlignment="1">
      <alignment horizontal="center" vertical="top" wrapText="1"/>
    </xf>
    <xf numFmtId="0" fontId="7" fillId="12" borderId="0" xfId="0" applyFont="1" applyFill="1" applyAlignment="1">
      <alignment horizontal="center" vertical="center"/>
    </xf>
    <xf numFmtId="0" fontId="6" fillId="11" borderId="4" xfId="0" applyFont="1" applyFill="1" applyBorder="1" applyAlignment="1">
      <alignment horizontal="center"/>
    </xf>
    <xf numFmtId="0" fontId="6" fillId="11" borderId="6" xfId="0" applyFont="1" applyFill="1" applyBorder="1" applyAlignment="1">
      <alignment horizontal="center"/>
    </xf>
    <xf numFmtId="0" fontId="6" fillId="10" borderId="4" xfId="0" applyFont="1" applyFill="1" applyBorder="1" applyAlignment="1">
      <alignment horizontal="center"/>
    </xf>
    <xf numFmtId="0" fontId="6" fillId="10" borderId="3" xfId="0" applyFont="1" applyFill="1" applyBorder="1" applyAlignment="1">
      <alignment horizontal="center"/>
    </xf>
    <xf numFmtId="0" fontId="0" fillId="12" borderId="4" xfId="0" applyFill="1" applyBorder="1" applyAlignment="1">
      <alignment horizontal="center"/>
    </xf>
    <xf numFmtId="0" fontId="0" fillId="12" borderId="6" xfId="0" applyFill="1" applyBorder="1" applyAlignment="1">
      <alignment horizontal="center"/>
    </xf>
    <xf numFmtId="0" fontId="0" fillId="12" borderId="26" xfId="0" applyFill="1" applyBorder="1" applyAlignment="1" applyProtection="1">
      <alignment horizontal="left" wrapText="1"/>
      <protection hidden="1"/>
    </xf>
    <xf numFmtId="0" fontId="17" fillId="12" borderId="4" xfId="0" applyFont="1" applyFill="1" applyBorder="1" applyAlignment="1">
      <alignment horizontal="center"/>
    </xf>
    <xf numFmtId="0" fontId="17" fillId="12" borderId="10" xfId="0" applyFont="1" applyFill="1" applyBorder="1" applyAlignment="1">
      <alignment horizontal="center"/>
    </xf>
    <xf numFmtId="0" fontId="17" fillId="12" borderId="6" xfId="0" applyFont="1" applyFill="1" applyBorder="1" applyAlignment="1">
      <alignment horizontal="center"/>
    </xf>
    <xf numFmtId="0" fontId="20" fillId="3" borderId="8" xfId="0" applyFont="1" applyFill="1" applyBorder="1" applyAlignment="1">
      <alignment horizontal="left" wrapText="1"/>
    </xf>
    <xf numFmtId="0" fontId="20" fillId="3" borderId="27" xfId="0" applyFont="1" applyFill="1" applyBorder="1" applyAlignment="1">
      <alignment horizontal="left" wrapText="1"/>
    </xf>
    <xf numFmtId="0" fontId="0" fillId="3" borderId="8" xfId="0" applyFill="1" applyBorder="1" applyAlignment="1">
      <alignment horizontal="left" wrapText="1"/>
    </xf>
    <xf numFmtId="0" fontId="0" fillId="3" borderId="27" xfId="0" applyFill="1" applyBorder="1" applyAlignment="1">
      <alignment horizontal="left" wrapText="1"/>
    </xf>
    <xf numFmtId="0" fontId="0" fillId="3" borderId="4" xfId="0" applyFill="1" applyBorder="1" applyAlignment="1">
      <alignment horizontal="center"/>
    </xf>
    <xf numFmtId="0" fontId="0" fillId="3" borderId="10" xfId="0" applyFill="1" applyBorder="1" applyAlignment="1">
      <alignment horizontal="center"/>
    </xf>
    <xf numFmtId="0" fontId="0" fillId="3" borderId="6" xfId="0" applyFill="1" applyBorder="1" applyAlignment="1">
      <alignment horizontal="center"/>
    </xf>
  </cellXfs>
  <cellStyles count="3">
    <cellStyle name="Comma" xfId="1" builtinId="3"/>
    <cellStyle name="Currency" xfId="2" builtinId="4"/>
    <cellStyle name="Normal" xfId="0" builtinId="0"/>
  </cellStyles>
  <dxfs count="9">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pieChart>
        <c:varyColors val="1"/>
        <c:ser>
          <c:idx val="0"/>
          <c:order val="0"/>
          <c:dPt>
            <c:idx val="0"/>
          </c:dPt>
          <c:dPt>
            <c:idx val="1"/>
          </c:dPt>
          <c:dPt>
            <c:idx val="2"/>
          </c:dPt>
          <c:dPt>
            <c:idx val="3"/>
          </c:dPt>
          <c:dPt>
            <c:idx val="4"/>
          </c:dPt>
          <c:dPt>
            <c:idx val="5"/>
          </c:dPt>
          <c:dPt>
            <c:idx val="6"/>
          </c:dPt>
          <c:dPt>
            <c:idx val="7"/>
          </c:dPt>
          <c:cat>
            <c:strRef>
              <c:f>'Budget Actual Comparision'!$C$6:$C$13</c:f>
              <c:strCache>
                <c:ptCount val="8"/>
                <c:pt idx="0">
                  <c:v>Income  1</c:v>
                </c:pt>
                <c:pt idx="1">
                  <c:v>Income 2</c:v>
                </c:pt>
                <c:pt idx="2">
                  <c:v>Income 3</c:v>
                </c:pt>
                <c:pt idx="3">
                  <c:v>Income 4</c:v>
                </c:pt>
                <c:pt idx="4">
                  <c:v>Income 5</c:v>
                </c:pt>
                <c:pt idx="5">
                  <c:v>Income 6</c:v>
                </c:pt>
                <c:pt idx="6">
                  <c:v>Income 7</c:v>
                </c:pt>
                <c:pt idx="7">
                  <c:v>Income 8</c:v>
                </c:pt>
              </c:strCache>
            </c:strRef>
          </c:cat>
          <c:val>
            <c:numRef>
              <c:f>'Budget Actual Comparision'!$D$6:$D$13</c:f>
              <c:numCache>
                <c:formatCode>_("$"* #,##0.00_);_("$"* \(#,##0.00\);_("$"* "-"??_);_(@_)</c:formatCode>
                <c:ptCount val="8"/>
                <c:pt idx="0">
                  <c:v>0</c:v>
                </c:pt>
                <c:pt idx="1">
                  <c:v>0</c:v>
                </c:pt>
                <c:pt idx="2">
                  <c:v>0</c:v>
                </c:pt>
                <c:pt idx="3">
                  <c:v>0</c:v>
                </c:pt>
                <c:pt idx="4">
                  <c:v>0</c:v>
                </c:pt>
                <c:pt idx="5">
                  <c:v>0</c:v>
                </c:pt>
                <c:pt idx="6">
                  <c:v>0</c:v>
                </c:pt>
                <c:pt idx="7">
                  <c:v>0</c:v>
                </c:pt>
              </c:numCache>
            </c:numRef>
          </c:val>
        </c:ser>
        <c:firstSliceAng val="0"/>
      </c:pieChart>
      <c:spPr>
        <a:noFill/>
        <a:ln w="25400">
          <a:noFill/>
        </a:ln>
      </c:spPr>
    </c:plotArea>
    <c:legend>
      <c:legendPos val="tr"/>
    </c:legend>
    <c:plotVisOnly val="1"/>
    <c:dispBlanksAs val="zero"/>
  </c:chart>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fabulesslyfrugal.com/" TargetMode="External"/><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9525</xdr:colOff>
      <xdr:row>3</xdr:row>
      <xdr:rowOff>9525</xdr:rowOff>
    </xdr:from>
    <xdr:to>
      <xdr:col>5</xdr:col>
      <xdr:colOff>1971675</xdr:colOff>
      <xdr:row>7</xdr:row>
      <xdr:rowOff>171450</xdr:rowOff>
    </xdr:to>
    <xdr:pic>
      <xdr:nvPicPr>
        <xdr:cNvPr id="6149" name="Picture 1">
          <a:hlinkClick xmlns:r="http://schemas.openxmlformats.org/officeDocument/2006/relationships" r:id="rId1"/>
        </xdr:cNvPr>
        <xdr:cNvPicPr>
          <a:picLocks noChangeAspect="1"/>
        </xdr:cNvPicPr>
      </xdr:nvPicPr>
      <xdr:blipFill>
        <a:blip xmlns:r="http://schemas.openxmlformats.org/officeDocument/2006/relationships" r:embed="rId2" cstate="print"/>
        <a:srcRect/>
        <a:stretch>
          <a:fillRect/>
        </a:stretch>
      </xdr:blipFill>
      <xdr:spPr bwMode="auto">
        <a:xfrm>
          <a:off x="4533900" y="638175"/>
          <a:ext cx="4086225" cy="942975"/>
        </a:xfrm>
        <a:prstGeom prst="rect">
          <a:avLst/>
        </a:prstGeom>
        <a:noFill/>
        <a:ln w="9525">
          <a:noFill/>
          <a:miter lim="800000"/>
          <a:headEnd/>
          <a:tailEnd/>
        </a:ln>
      </xdr:spPr>
    </xdr:pic>
    <xdr:clientData/>
  </xdr:twoCellAnchor>
  <xdr:twoCellAnchor editAs="oneCell">
    <xdr:from>
      <xdr:col>7</xdr:col>
      <xdr:colOff>38100</xdr:colOff>
      <xdr:row>23</xdr:row>
      <xdr:rowOff>28575</xdr:rowOff>
    </xdr:from>
    <xdr:to>
      <xdr:col>7</xdr:col>
      <xdr:colOff>8810625</xdr:colOff>
      <xdr:row>34</xdr:row>
      <xdr:rowOff>76200</xdr:rowOff>
    </xdr:to>
    <xdr:pic>
      <xdr:nvPicPr>
        <xdr:cNvPr id="6150" name="Picture 2"/>
        <xdr:cNvPicPr>
          <a:picLocks noChangeAspect="1"/>
        </xdr:cNvPicPr>
      </xdr:nvPicPr>
      <xdr:blipFill>
        <a:blip xmlns:r="http://schemas.openxmlformats.org/officeDocument/2006/relationships" r:embed="rId3" cstate="print"/>
        <a:srcRect/>
        <a:stretch>
          <a:fillRect/>
        </a:stretch>
      </xdr:blipFill>
      <xdr:spPr bwMode="auto">
        <a:xfrm>
          <a:off x="8734425" y="4429125"/>
          <a:ext cx="8772525" cy="2200275"/>
        </a:xfrm>
        <a:prstGeom prst="rect">
          <a:avLst/>
        </a:prstGeom>
        <a:noFill/>
        <a:ln w="9525">
          <a:noFill/>
          <a:miter lim="800000"/>
          <a:headEnd/>
          <a:tailEnd/>
        </a:ln>
      </xdr:spPr>
    </xdr:pic>
    <xdr:clientData/>
  </xdr:twoCellAnchor>
  <xdr:twoCellAnchor>
    <xdr:from>
      <xdr:col>5</xdr:col>
      <xdr:colOff>1728101</xdr:colOff>
      <xdr:row>34</xdr:row>
      <xdr:rowOff>0</xdr:rowOff>
    </xdr:from>
    <xdr:to>
      <xdr:col>9</xdr:col>
      <xdr:colOff>122458</xdr:colOff>
      <xdr:row>34</xdr:row>
      <xdr:rowOff>190500</xdr:rowOff>
    </xdr:to>
    <xdr:sp macro="" textlink="">
      <xdr:nvSpPr>
        <xdr:cNvPr id="4" name="Rectangle 3"/>
        <xdr:cNvSpPr/>
      </xdr:nvSpPr>
      <xdr:spPr>
        <a:xfrm>
          <a:off x="8232315" y="6599464"/>
          <a:ext cx="10436679" cy="190500"/>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7</xdr:col>
      <xdr:colOff>7851310</xdr:colOff>
      <xdr:row>29</xdr:row>
      <xdr:rowOff>136046</xdr:rowOff>
    </xdr:from>
    <xdr:to>
      <xdr:col>7</xdr:col>
      <xdr:colOff>8572500</xdr:colOff>
      <xdr:row>31</xdr:row>
      <xdr:rowOff>136046</xdr:rowOff>
    </xdr:to>
    <xdr:sp macro="" textlink="">
      <xdr:nvSpPr>
        <xdr:cNvPr id="5" name="TextBox 4"/>
        <xdr:cNvSpPr txBox="1"/>
      </xdr:nvSpPr>
      <xdr:spPr>
        <a:xfrm>
          <a:off x="16451024" y="5728582"/>
          <a:ext cx="721190" cy="408214"/>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bg1"/>
              </a:solidFill>
            </a:rPr>
            <a:t>Remains</a:t>
          </a:r>
          <a:r>
            <a:rPr lang="en-US" sz="1000" baseline="0">
              <a:solidFill>
                <a:schemeClr val="bg1"/>
              </a:solidFill>
            </a:rPr>
            <a:t> </a:t>
          </a:r>
        </a:p>
        <a:p>
          <a:pPr algn="ctr"/>
          <a:r>
            <a:rPr lang="en-US" sz="1000" baseline="0">
              <a:solidFill>
                <a:schemeClr val="bg1"/>
              </a:solidFill>
            </a:rPr>
            <a:t>unmarkedc</a:t>
          </a:r>
        </a:p>
      </xdr:txBody>
    </xdr:sp>
    <xdr:clientData/>
  </xdr:twoCellAnchor>
  <xdr:twoCellAnchor>
    <xdr:from>
      <xdr:col>7</xdr:col>
      <xdr:colOff>7662398</xdr:colOff>
      <xdr:row>30</xdr:row>
      <xdr:rowOff>85269</xdr:rowOff>
    </xdr:from>
    <xdr:to>
      <xdr:col>7</xdr:col>
      <xdr:colOff>7936718</xdr:colOff>
      <xdr:row>30</xdr:row>
      <xdr:rowOff>176709</xdr:rowOff>
    </xdr:to>
    <xdr:cxnSp macro="">
      <xdr:nvCxnSpPr>
        <xdr:cNvPr id="7" name="Straight Arrow Connector 6"/>
        <xdr:cNvCxnSpPr/>
      </xdr:nvCxnSpPr>
      <xdr:spPr>
        <a:xfrm rot="4140000" flipH="1">
          <a:off x="16353552" y="5790472"/>
          <a:ext cx="91440" cy="27432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2299583</xdr:colOff>
      <xdr:row>28</xdr:row>
      <xdr:rowOff>122450</xdr:rowOff>
    </xdr:from>
    <xdr:to>
      <xdr:col>7</xdr:col>
      <xdr:colOff>4068536</xdr:colOff>
      <xdr:row>33</xdr:row>
      <xdr:rowOff>163286</xdr:rowOff>
    </xdr:to>
    <xdr:sp macro="" textlink="">
      <xdr:nvSpPr>
        <xdr:cNvPr id="9" name="TextBox 8"/>
        <xdr:cNvSpPr txBox="1"/>
      </xdr:nvSpPr>
      <xdr:spPr>
        <a:xfrm>
          <a:off x="10899297" y="5510879"/>
          <a:ext cx="1768953" cy="1047764"/>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rPr>
            <a:t>Wow!!!</a:t>
          </a:r>
          <a:r>
            <a:rPr lang="en-US" sz="1400" baseline="0">
              <a:solidFill>
                <a:schemeClr val="bg1"/>
              </a:solidFill>
            </a:rPr>
            <a:t> Balancing my bank account was really simple, thanks to Fabulessly Frugal.</a:t>
          </a:r>
        </a:p>
      </xdr:txBody>
    </xdr:sp>
    <xdr:clientData/>
  </xdr:twoCellAnchor>
  <xdr:twoCellAnchor editAs="oneCell">
    <xdr:from>
      <xdr:col>4</xdr:col>
      <xdr:colOff>9525</xdr:colOff>
      <xdr:row>32</xdr:row>
      <xdr:rowOff>38100</xdr:rowOff>
    </xdr:from>
    <xdr:to>
      <xdr:col>4</xdr:col>
      <xdr:colOff>1571625</xdr:colOff>
      <xdr:row>34</xdr:row>
      <xdr:rowOff>9525</xdr:rowOff>
    </xdr:to>
    <xdr:pic>
      <xdr:nvPicPr>
        <xdr:cNvPr id="6155" name="Picture 7">
          <a:hlinkClick xmlns:r="http://schemas.openxmlformats.org/officeDocument/2006/relationships" r:id="rId1"/>
        </xdr:cNvPr>
        <xdr:cNvPicPr>
          <a:picLocks noChangeAspect="1"/>
        </xdr:cNvPicPr>
      </xdr:nvPicPr>
      <xdr:blipFill>
        <a:blip xmlns:r="http://schemas.openxmlformats.org/officeDocument/2006/relationships" r:embed="rId4" cstate="print"/>
        <a:srcRect/>
        <a:stretch>
          <a:fillRect/>
        </a:stretch>
      </xdr:blipFill>
      <xdr:spPr bwMode="auto">
        <a:xfrm>
          <a:off x="4533900" y="6191250"/>
          <a:ext cx="1562100" cy="3714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895350</xdr:colOff>
      <xdr:row>2</xdr:row>
      <xdr:rowOff>180975</xdr:rowOff>
    </xdr:from>
    <xdr:to>
      <xdr:col>3</xdr:col>
      <xdr:colOff>104775</xdr:colOff>
      <xdr:row>15</xdr:row>
      <xdr:rowOff>180975</xdr:rowOff>
    </xdr:to>
    <xdr:graphicFrame macro="">
      <xdr:nvGraphicFramePr>
        <xdr:cNvPr id="819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codeName="Sheet1">
    <tabColor theme="0" tint="-0.499984740745262"/>
    <pageSetUpPr fitToPage="1"/>
  </sheetPr>
  <dimension ref="A1:N75"/>
  <sheetViews>
    <sheetView showGridLines="0" tabSelected="1" zoomScale="70" zoomScaleNormal="70" workbookViewId="0">
      <selection activeCell="C4" sqref="C4"/>
    </sheetView>
  </sheetViews>
  <sheetFormatPr defaultRowHeight="15"/>
  <cols>
    <col min="1" max="1" width="1.140625" customWidth="1"/>
    <col min="2" max="2" width="38.28515625" customWidth="1"/>
    <col min="3" max="3" width="26.140625" customWidth="1"/>
    <col min="4" max="4" width="2.28515625" customWidth="1"/>
    <col min="5" max="5" width="31.85546875" customWidth="1"/>
    <col min="6" max="6" width="29.7109375" customWidth="1"/>
    <col min="7" max="7" width="1" customWidth="1"/>
    <col min="8" max="8" width="141" customWidth="1"/>
  </cols>
  <sheetData>
    <row r="1" spans="1:14" ht="6.75" customHeight="1" thickBot="1">
      <c r="A1" s="11"/>
      <c r="B1" s="11"/>
      <c r="C1" s="11"/>
      <c r="D1" s="11"/>
      <c r="E1" s="11"/>
      <c r="F1" s="11"/>
      <c r="G1" s="11"/>
      <c r="H1" s="11"/>
      <c r="I1" s="11"/>
      <c r="J1" s="11"/>
      <c r="K1" s="11"/>
      <c r="L1" s="11"/>
      <c r="M1" s="11"/>
      <c r="N1" s="11"/>
    </row>
    <row r="2" spans="1:14" ht="36" customHeight="1" thickBot="1">
      <c r="A2" s="11"/>
      <c r="B2" s="153" t="s">
        <v>91</v>
      </c>
      <c r="C2" s="153"/>
      <c r="D2" s="153"/>
      <c r="E2" s="153"/>
      <c r="F2" s="153"/>
      <c r="G2" s="11"/>
      <c r="H2" s="66" t="s">
        <v>89</v>
      </c>
      <c r="I2" s="11"/>
      <c r="J2" s="11"/>
      <c r="K2" s="11"/>
      <c r="L2" s="11"/>
      <c r="M2" s="11"/>
      <c r="N2" s="11"/>
    </row>
    <row r="3" spans="1:14" ht="6.75" customHeight="1" thickBot="1">
      <c r="A3" s="11"/>
      <c r="B3" s="11"/>
      <c r="C3" s="11"/>
      <c r="D3" s="11"/>
      <c r="E3" s="11"/>
      <c r="F3" s="11"/>
      <c r="G3" s="55"/>
      <c r="H3" s="60"/>
      <c r="I3" s="11"/>
      <c r="J3" s="11"/>
      <c r="K3" s="11"/>
      <c r="L3" s="11"/>
      <c r="M3" s="11"/>
      <c r="N3" s="11"/>
    </row>
    <row r="4" spans="1:14" ht="15.75" thickBot="1">
      <c r="A4" s="11"/>
      <c r="B4" s="24" t="s">
        <v>13</v>
      </c>
      <c r="C4" s="121"/>
      <c r="D4" s="11"/>
      <c r="E4" s="11"/>
      <c r="F4" s="11"/>
      <c r="G4" s="11">
        <f>MATCH(C8,$G$11:$G$22,0)</f>
        <v>1</v>
      </c>
      <c r="H4" s="61" t="s">
        <v>90</v>
      </c>
      <c r="I4" s="11"/>
      <c r="J4" s="11"/>
      <c r="K4" s="11"/>
      <c r="L4" s="11"/>
      <c r="M4" s="11"/>
      <c r="N4" s="11"/>
    </row>
    <row r="5" spans="1:14">
      <c r="A5" s="11"/>
      <c r="B5" s="24" t="s">
        <v>31</v>
      </c>
      <c r="C5" s="25">
        <v>2012</v>
      </c>
      <c r="D5" s="11"/>
      <c r="E5" s="11"/>
      <c r="F5" s="11"/>
      <c r="G5" s="11"/>
      <c r="H5" s="62" t="s">
        <v>121</v>
      </c>
      <c r="I5" s="11"/>
      <c r="J5" s="11"/>
      <c r="K5" s="11"/>
      <c r="L5" s="11"/>
      <c r="M5" s="11"/>
      <c r="N5" s="11"/>
    </row>
    <row r="6" spans="1:14">
      <c r="A6" s="11"/>
      <c r="B6" s="24" t="s">
        <v>43</v>
      </c>
      <c r="C6" s="25" t="str">
        <f>CONCATENATE("01/01/",C5)</f>
        <v>01/01/2012</v>
      </c>
      <c r="D6" s="11"/>
      <c r="E6" s="11"/>
      <c r="F6" s="11"/>
      <c r="G6" s="11"/>
      <c r="H6" s="62" t="s">
        <v>122</v>
      </c>
      <c r="I6" s="11"/>
      <c r="J6" s="11"/>
      <c r="K6" s="11"/>
      <c r="L6" s="11"/>
      <c r="M6" s="11"/>
      <c r="N6" s="11"/>
    </row>
    <row r="7" spans="1:14" ht="15.75" customHeight="1" thickBot="1">
      <c r="A7" s="11"/>
      <c r="B7" s="24" t="s">
        <v>44</v>
      </c>
      <c r="C7" s="25" t="str">
        <f>CONCATENATE("12/31/",C5)</f>
        <v>12/31/2012</v>
      </c>
      <c r="D7" s="11"/>
      <c r="E7" s="11"/>
      <c r="F7" s="11"/>
      <c r="G7" s="11"/>
      <c r="H7" s="63" t="s">
        <v>123</v>
      </c>
      <c r="I7" s="11"/>
      <c r="J7" s="11"/>
      <c r="K7" s="11"/>
      <c r="L7" s="11"/>
      <c r="M7" s="11"/>
      <c r="N7" s="11"/>
    </row>
    <row r="8" spans="1:14" ht="15.75" thickBot="1">
      <c r="A8" s="11"/>
      <c r="B8" s="24" t="s">
        <v>120</v>
      </c>
      <c r="C8" s="121" t="s">
        <v>0</v>
      </c>
      <c r="D8" s="11"/>
      <c r="E8" s="11"/>
      <c r="F8" s="11"/>
      <c r="G8" s="11"/>
      <c r="H8" s="62" t="s">
        <v>84</v>
      </c>
      <c r="I8" s="11"/>
      <c r="J8" s="11"/>
      <c r="K8" s="11"/>
      <c r="L8" s="11"/>
      <c r="M8" s="11"/>
      <c r="N8" s="11"/>
    </row>
    <row r="9" spans="1:14" ht="6.75" customHeight="1" thickBot="1">
      <c r="A9" s="11"/>
      <c r="B9" s="11"/>
      <c r="C9" s="11"/>
      <c r="D9" s="11"/>
      <c r="E9" s="11"/>
      <c r="F9" s="11"/>
      <c r="G9" s="55"/>
      <c r="H9" s="62"/>
      <c r="I9" s="11"/>
      <c r="J9" s="11"/>
      <c r="K9" s="11"/>
      <c r="L9" s="11"/>
      <c r="M9" s="11"/>
      <c r="N9" s="11"/>
    </row>
    <row r="10" spans="1:14" ht="15.75" customHeight="1" thickBot="1">
      <c r="A10" s="11"/>
      <c r="B10" s="154" t="s">
        <v>82</v>
      </c>
      <c r="C10" s="155"/>
      <c r="D10" s="11">
        <v>0</v>
      </c>
      <c r="E10" s="156" t="s">
        <v>83</v>
      </c>
      <c r="F10" s="157"/>
      <c r="G10" s="55"/>
      <c r="H10" s="62" t="s">
        <v>85</v>
      </c>
      <c r="I10" s="11"/>
      <c r="J10" s="11"/>
      <c r="K10" s="11"/>
      <c r="L10" s="11"/>
      <c r="M10" s="11"/>
      <c r="N10" s="11"/>
    </row>
    <row r="11" spans="1:14">
      <c r="A11" s="11">
        <v>1</v>
      </c>
      <c r="B11" s="15" t="s">
        <v>14</v>
      </c>
      <c r="C11" s="120" t="s">
        <v>129</v>
      </c>
      <c r="D11" s="11">
        <v>1</v>
      </c>
      <c r="E11" s="115" t="s">
        <v>62</v>
      </c>
      <c r="F11" s="111" t="s">
        <v>62</v>
      </c>
      <c r="G11" s="55" t="s">
        <v>0</v>
      </c>
      <c r="H11" s="62"/>
      <c r="I11" s="11"/>
      <c r="J11" s="11"/>
      <c r="K11" s="11"/>
      <c r="L11" s="11"/>
      <c r="M11" s="11"/>
      <c r="N11" s="11"/>
    </row>
    <row r="12" spans="1:14">
      <c r="A12" s="11">
        <v>2</v>
      </c>
      <c r="B12" s="16" t="s">
        <v>15</v>
      </c>
      <c r="C12" s="120" t="s">
        <v>15</v>
      </c>
      <c r="D12" s="11">
        <v>2</v>
      </c>
      <c r="E12" s="116" t="s">
        <v>63</v>
      </c>
      <c r="F12" s="112" t="s">
        <v>63</v>
      </c>
      <c r="G12" s="55" t="s">
        <v>1</v>
      </c>
      <c r="H12" s="62" t="s">
        <v>124</v>
      </c>
      <c r="I12" s="11"/>
      <c r="J12" s="11"/>
      <c r="K12" s="11"/>
      <c r="L12" s="11"/>
      <c r="M12" s="11"/>
      <c r="N12" s="11"/>
    </row>
    <row r="13" spans="1:14">
      <c r="A13" s="11">
        <v>3</v>
      </c>
      <c r="B13" s="16" t="s">
        <v>16</v>
      </c>
      <c r="C13" s="120" t="s">
        <v>16</v>
      </c>
      <c r="D13" s="11">
        <v>3</v>
      </c>
      <c r="E13" s="116" t="s">
        <v>64</v>
      </c>
      <c r="F13" s="112" t="s">
        <v>64</v>
      </c>
      <c r="G13" s="55" t="s">
        <v>2</v>
      </c>
      <c r="H13" s="62" t="s">
        <v>125</v>
      </c>
      <c r="I13" s="11"/>
      <c r="J13" s="11"/>
      <c r="K13" s="11"/>
      <c r="L13" s="11"/>
      <c r="M13" s="11"/>
      <c r="N13" s="11"/>
    </row>
    <row r="14" spans="1:14">
      <c r="A14" s="11">
        <v>4</v>
      </c>
      <c r="B14" s="16" t="s">
        <v>17</v>
      </c>
      <c r="C14" s="120" t="s">
        <v>17</v>
      </c>
      <c r="D14" s="11">
        <v>4</v>
      </c>
      <c r="E14" s="116" t="s">
        <v>65</v>
      </c>
      <c r="F14" s="112" t="s">
        <v>65</v>
      </c>
      <c r="G14" s="55" t="s">
        <v>3</v>
      </c>
      <c r="H14" s="63" t="str">
        <f>CONCATENATE("and begin entering your monthly budget numbers.  That's it -- the model does all the math for you.       Beginning Cash Balance is -&gt;   $",F32,".")</f>
        <v>and begin entering your monthly budget numbers.  That's it -- the model does all the math for you.       Beginning Cash Balance is -&gt;   $0.</v>
      </c>
      <c r="I14" s="11"/>
      <c r="J14" s="11"/>
      <c r="K14" s="11"/>
      <c r="L14" s="11"/>
      <c r="M14" s="11"/>
      <c r="N14" s="11"/>
    </row>
    <row r="15" spans="1:14">
      <c r="A15" s="11">
        <v>5</v>
      </c>
      <c r="B15" s="16" t="s">
        <v>18</v>
      </c>
      <c r="C15" s="120" t="s">
        <v>18</v>
      </c>
      <c r="D15" s="11">
        <v>5</v>
      </c>
      <c r="E15" s="116" t="s">
        <v>66</v>
      </c>
      <c r="F15" s="112" t="s">
        <v>66</v>
      </c>
      <c r="G15" s="55" t="s">
        <v>4</v>
      </c>
      <c r="H15" s="103"/>
      <c r="I15" s="11"/>
      <c r="J15" s="11"/>
      <c r="K15" s="11"/>
      <c r="L15" s="11"/>
      <c r="M15" s="11"/>
      <c r="N15" s="11"/>
    </row>
    <row r="16" spans="1:14">
      <c r="A16" s="11">
        <v>6</v>
      </c>
      <c r="B16" s="16" t="s">
        <v>19</v>
      </c>
      <c r="C16" s="120" t="s">
        <v>19</v>
      </c>
      <c r="D16" s="11">
        <v>6</v>
      </c>
      <c r="E16" s="116" t="s">
        <v>67</v>
      </c>
      <c r="F16" s="112" t="s">
        <v>67</v>
      </c>
      <c r="G16" s="55" t="s">
        <v>5</v>
      </c>
      <c r="H16" s="62" t="s">
        <v>93</v>
      </c>
      <c r="I16" s="11"/>
      <c r="J16" s="11"/>
      <c r="K16" s="11"/>
      <c r="L16" s="11"/>
      <c r="M16" s="11"/>
      <c r="N16" s="11"/>
    </row>
    <row r="17" spans="1:14">
      <c r="A17" s="11">
        <v>7</v>
      </c>
      <c r="B17" s="16" t="s">
        <v>20</v>
      </c>
      <c r="C17" s="120" t="s">
        <v>20</v>
      </c>
      <c r="D17" s="11">
        <v>7</v>
      </c>
      <c r="E17" s="116" t="s">
        <v>68</v>
      </c>
      <c r="F17" s="112" t="s">
        <v>68</v>
      </c>
      <c r="G17" s="55" t="s">
        <v>6</v>
      </c>
      <c r="H17" s="62" t="s">
        <v>88</v>
      </c>
      <c r="I17" s="11"/>
      <c r="J17" s="11"/>
      <c r="K17" s="11"/>
      <c r="L17" s="11"/>
      <c r="M17" s="11"/>
      <c r="N17" s="11"/>
    </row>
    <row r="18" spans="1:14" ht="15.75" thickBot="1">
      <c r="A18" s="11">
        <v>8</v>
      </c>
      <c r="B18" s="17" t="s">
        <v>21</v>
      </c>
      <c r="C18" s="120" t="s">
        <v>21</v>
      </c>
      <c r="D18" s="11">
        <v>8</v>
      </c>
      <c r="E18" s="116" t="s">
        <v>69</v>
      </c>
      <c r="F18" s="112" t="s">
        <v>69</v>
      </c>
      <c r="G18" s="55" t="s">
        <v>7</v>
      </c>
      <c r="H18" s="62" t="s">
        <v>94</v>
      </c>
      <c r="I18" s="11"/>
      <c r="J18" s="11"/>
      <c r="K18" s="11"/>
      <c r="L18" s="11"/>
      <c r="M18" s="11"/>
      <c r="N18" s="11"/>
    </row>
    <row r="19" spans="1:14" ht="15.75" thickBot="1">
      <c r="A19" s="11"/>
      <c r="B19" s="11"/>
      <c r="C19" s="11"/>
      <c r="D19" s="11">
        <v>9</v>
      </c>
      <c r="E19" s="116" t="s">
        <v>70</v>
      </c>
      <c r="F19" s="112" t="s">
        <v>70</v>
      </c>
      <c r="G19" s="55" t="s">
        <v>8</v>
      </c>
      <c r="H19" s="62"/>
      <c r="I19" s="11"/>
      <c r="J19" s="11"/>
      <c r="K19" s="11"/>
      <c r="L19" s="11"/>
      <c r="M19" s="11"/>
      <c r="N19" s="11"/>
    </row>
    <row r="20" spans="1:14" ht="15.75" thickBot="1">
      <c r="A20" s="11"/>
      <c r="B20" s="158" t="s">
        <v>92</v>
      </c>
      <c r="C20" s="159"/>
      <c r="D20" s="11">
        <v>10</v>
      </c>
      <c r="E20" s="116" t="s">
        <v>71</v>
      </c>
      <c r="F20" s="112" t="s">
        <v>71</v>
      </c>
      <c r="G20" s="55" t="s">
        <v>9</v>
      </c>
      <c r="H20" s="62" t="s">
        <v>126</v>
      </c>
      <c r="I20" s="11"/>
      <c r="J20" s="11"/>
      <c r="K20" s="11"/>
      <c r="L20" s="11"/>
      <c r="M20" s="11"/>
      <c r="N20" s="11"/>
    </row>
    <row r="21" spans="1:14" ht="15" customHeight="1">
      <c r="A21" s="11"/>
      <c r="B21" s="151" t="s">
        <v>131</v>
      </c>
      <c r="C21" s="151"/>
      <c r="D21" s="11">
        <v>11</v>
      </c>
      <c r="E21" s="116" t="s">
        <v>72</v>
      </c>
      <c r="F21" s="112" t="s">
        <v>72</v>
      </c>
      <c r="G21" s="55" t="s">
        <v>10</v>
      </c>
      <c r="H21" s="62" t="s">
        <v>127</v>
      </c>
      <c r="I21" s="11"/>
      <c r="J21" s="11"/>
      <c r="K21" s="11"/>
      <c r="L21" s="11"/>
      <c r="M21" s="11"/>
      <c r="N21" s="11"/>
    </row>
    <row r="22" spans="1:14">
      <c r="A22" s="11"/>
      <c r="B22" s="152"/>
      <c r="C22" s="152"/>
      <c r="D22" s="11">
        <v>12</v>
      </c>
      <c r="E22" s="116" t="s">
        <v>73</v>
      </c>
      <c r="F22" s="112" t="s">
        <v>73</v>
      </c>
      <c r="G22" s="55" t="s">
        <v>11</v>
      </c>
      <c r="H22" s="62" t="s">
        <v>128</v>
      </c>
      <c r="I22" s="11"/>
      <c r="J22" s="11"/>
      <c r="K22" s="11"/>
      <c r="L22" s="11"/>
      <c r="M22" s="11"/>
      <c r="N22" s="11"/>
    </row>
    <row r="23" spans="1:14">
      <c r="A23" s="11"/>
      <c r="B23" s="152"/>
      <c r="C23" s="152"/>
      <c r="D23" s="11">
        <v>13</v>
      </c>
      <c r="E23" s="116" t="s">
        <v>74</v>
      </c>
      <c r="F23" s="112" t="s">
        <v>74</v>
      </c>
      <c r="G23" s="55"/>
      <c r="H23" s="62"/>
      <c r="I23" s="11"/>
      <c r="J23" s="11"/>
      <c r="K23" s="11"/>
      <c r="L23" s="11"/>
      <c r="M23" s="11"/>
      <c r="N23" s="11"/>
    </row>
    <row r="24" spans="1:14">
      <c r="A24" s="11"/>
      <c r="B24" s="152"/>
      <c r="C24" s="152"/>
      <c r="D24" s="11">
        <v>14</v>
      </c>
      <c r="E24" s="116" t="s">
        <v>75</v>
      </c>
      <c r="F24" s="112" t="s">
        <v>75</v>
      </c>
      <c r="G24" s="55"/>
      <c r="H24" s="62"/>
      <c r="I24" s="11"/>
      <c r="J24" s="11"/>
      <c r="K24" s="11"/>
      <c r="L24" s="11"/>
      <c r="M24" s="11"/>
      <c r="N24" s="11"/>
    </row>
    <row r="25" spans="1:14">
      <c r="A25" s="11"/>
      <c r="B25" s="152"/>
      <c r="C25" s="152"/>
      <c r="D25" s="11">
        <v>15</v>
      </c>
      <c r="E25" s="116" t="s">
        <v>76</v>
      </c>
      <c r="F25" s="112" t="s">
        <v>76</v>
      </c>
      <c r="G25" s="55"/>
      <c r="H25" s="62"/>
      <c r="I25" s="11"/>
      <c r="J25" s="11"/>
      <c r="K25" s="11"/>
      <c r="L25" s="11"/>
      <c r="M25" s="11"/>
      <c r="N25" s="11"/>
    </row>
    <row r="26" spans="1:14">
      <c r="A26" s="11"/>
      <c r="B26" s="152"/>
      <c r="C26" s="152"/>
      <c r="D26" s="11">
        <v>16</v>
      </c>
      <c r="E26" s="116" t="s">
        <v>77</v>
      </c>
      <c r="F26" s="112" t="s">
        <v>77</v>
      </c>
      <c r="G26" s="55"/>
      <c r="H26" s="62"/>
      <c r="I26" s="11"/>
      <c r="J26" s="11"/>
      <c r="K26" s="11"/>
      <c r="L26" s="11"/>
      <c r="M26" s="11"/>
      <c r="N26" s="11"/>
    </row>
    <row r="27" spans="1:14">
      <c r="A27" s="11"/>
      <c r="B27" s="152"/>
      <c r="C27" s="152"/>
      <c r="D27" s="11">
        <v>17</v>
      </c>
      <c r="E27" s="116" t="s">
        <v>78</v>
      </c>
      <c r="F27" s="112" t="s">
        <v>78</v>
      </c>
      <c r="G27" s="55"/>
      <c r="H27" s="62"/>
      <c r="I27" s="11"/>
      <c r="J27" s="11"/>
      <c r="K27" s="11"/>
      <c r="L27" s="11"/>
      <c r="M27" s="11"/>
      <c r="N27" s="11"/>
    </row>
    <row r="28" spans="1:14">
      <c r="A28" s="11"/>
      <c r="B28" s="152"/>
      <c r="C28" s="152"/>
      <c r="D28" s="11">
        <v>18</v>
      </c>
      <c r="E28" s="116" t="s">
        <v>79</v>
      </c>
      <c r="F28" s="112" t="s">
        <v>79</v>
      </c>
      <c r="G28" s="55"/>
      <c r="H28" s="62"/>
      <c r="I28" s="11"/>
      <c r="J28" s="11"/>
      <c r="K28" s="11"/>
      <c r="L28" s="11"/>
      <c r="M28" s="11"/>
      <c r="N28" s="11"/>
    </row>
    <row r="29" spans="1:14" ht="15.75" thickBot="1">
      <c r="A29" s="11"/>
      <c r="B29" s="152"/>
      <c r="C29" s="152"/>
      <c r="D29" s="11">
        <v>19</v>
      </c>
      <c r="E29" s="116" t="s">
        <v>80</v>
      </c>
      <c r="F29" s="113" t="s">
        <v>80</v>
      </c>
      <c r="G29" s="55"/>
      <c r="H29" s="62"/>
      <c r="I29" s="11"/>
      <c r="J29" s="11"/>
      <c r="K29" s="11"/>
      <c r="L29" s="11"/>
      <c r="M29" s="11"/>
      <c r="N29" s="11"/>
    </row>
    <row r="30" spans="1:14" ht="15.75" thickBot="1">
      <c r="A30" s="11"/>
      <c r="B30" s="152"/>
      <c r="C30" s="152"/>
      <c r="D30" s="11">
        <v>20</v>
      </c>
      <c r="E30" s="57" t="s">
        <v>81</v>
      </c>
      <c r="F30" s="114" t="s">
        <v>47</v>
      </c>
      <c r="G30" s="55"/>
      <c r="H30" s="62"/>
      <c r="I30" s="11"/>
      <c r="J30" s="11"/>
      <c r="K30" s="11"/>
      <c r="L30" s="11"/>
      <c r="M30" s="11"/>
      <c r="N30" s="11"/>
    </row>
    <row r="31" spans="1:14" ht="15.75" thickBot="1">
      <c r="A31" s="11"/>
      <c r="B31" s="152"/>
      <c r="C31" s="152"/>
      <c r="D31" s="11"/>
      <c r="E31" s="57" t="s">
        <v>48</v>
      </c>
      <c r="F31" s="117">
        <v>0</v>
      </c>
      <c r="G31" s="55"/>
      <c r="H31" s="62"/>
      <c r="I31" s="11"/>
      <c r="J31" s="11"/>
      <c r="K31" s="11"/>
      <c r="L31" s="11"/>
      <c r="M31" s="11"/>
      <c r="N31" s="11"/>
    </row>
    <row r="32" spans="1:14" ht="15.75" thickBot="1">
      <c r="A32" s="11"/>
      <c r="B32" s="152"/>
      <c r="C32" s="152"/>
      <c r="D32" s="11"/>
      <c r="E32" s="114" t="s">
        <v>27</v>
      </c>
      <c r="F32" s="118">
        <v>0</v>
      </c>
      <c r="G32" s="11"/>
      <c r="H32" s="65"/>
      <c r="I32" s="11"/>
      <c r="J32" s="11"/>
      <c r="K32" s="11"/>
      <c r="L32" s="11"/>
      <c r="M32" s="11"/>
      <c r="N32" s="11"/>
    </row>
    <row r="33" spans="1:14">
      <c r="A33" s="11"/>
      <c r="B33" s="152"/>
      <c r="C33" s="152"/>
      <c r="D33" s="11"/>
      <c r="E33" s="106"/>
      <c r="F33" s="58" t="s">
        <v>36</v>
      </c>
      <c r="G33" s="11"/>
      <c r="H33" s="65"/>
      <c r="I33" s="11"/>
      <c r="J33" s="11"/>
      <c r="K33" s="11"/>
      <c r="L33" s="11"/>
      <c r="M33" s="11"/>
      <c r="N33" s="11"/>
    </row>
    <row r="34" spans="1:14" ht="16.5" customHeight="1" thickBot="1">
      <c r="A34" s="11"/>
      <c r="B34" s="152"/>
      <c r="C34" s="152"/>
      <c r="D34" s="11"/>
      <c r="E34" s="106"/>
      <c r="F34" s="59" t="s">
        <v>35</v>
      </c>
      <c r="G34" s="11"/>
      <c r="H34" s="64"/>
      <c r="I34" s="11"/>
      <c r="J34" s="11"/>
      <c r="K34" s="11"/>
      <c r="L34" s="11"/>
      <c r="M34" s="11"/>
      <c r="N34" s="11"/>
    </row>
    <row r="35" spans="1:14" ht="25.5" customHeight="1" thickBot="1">
      <c r="A35" s="11"/>
      <c r="B35" s="12"/>
      <c r="C35" s="12"/>
      <c r="D35" s="11"/>
      <c r="E35" s="107" t="s">
        <v>95</v>
      </c>
      <c r="F35" s="11"/>
      <c r="G35" s="11"/>
      <c r="H35" s="59"/>
      <c r="I35" s="11"/>
      <c r="J35" s="11"/>
      <c r="K35" s="11"/>
      <c r="L35" s="11"/>
      <c r="M35" s="11"/>
      <c r="N35" s="11"/>
    </row>
    <row r="36" spans="1:14">
      <c r="A36" s="11"/>
      <c r="B36" s="11"/>
      <c r="C36" s="11"/>
      <c r="D36" s="11"/>
      <c r="E36" s="11"/>
      <c r="F36" s="11"/>
      <c r="G36" s="11"/>
      <c r="H36" s="11"/>
      <c r="I36" s="11"/>
      <c r="J36" s="11"/>
      <c r="K36" s="11"/>
      <c r="L36" s="11"/>
      <c r="M36" s="11"/>
      <c r="N36" s="11"/>
    </row>
    <row r="37" spans="1:14">
      <c r="A37" s="11"/>
      <c r="B37" s="11"/>
      <c r="C37" s="11"/>
      <c r="D37" s="11"/>
      <c r="E37" s="11"/>
      <c r="F37" s="11"/>
      <c r="G37" s="11"/>
      <c r="H37" s="11"/>
      <c r="I37" s="11"/>
      <c r="J37" s="11"/>
      <c r="K37" s="11"/>
      <c r="L37" s="11"/>
      <c r="M37" s="11"/>
      <c r="N37" s="11"/>
    </row>
    <row r="38" spans="1:14">
      <c r="A38" s="11"/>
      <c r="B38" s="11"/>
      <c r="C38" s="11"/>
      <c r="D38" s="11"/>
      <c r="E38" s="11"/>
      <c r="F38" s="11"/>
      <c r="G38" s="11"/>
      <c r="H38" s="11"/>
      <c r="I38" s="11"/>
      <c r="J38" s="11"/>
      <c r="K38" s="11"/>
      <c r="L38" s="11"/>
      <c r="M38" s="11"/>
      <c r="N38" s="11"/>
    </row>
    <row r="39" spans="1:14">
      <c r="A39" s="11"/>
      <c r="B39" s="11"/>
      <c r="C39" s="11"/>
      <c r="D39" s="11"/>
      <c r="E39" s="11"/>
      <c r="F39" s="11"/>
      <c r="G39" s="11"/>
      <c r="H39" s="11"/>
      <c r="I39" s="11"/>
      <c r="J39" s="11"/>
      <c r="K39" s="11"/>
      <c r="L39" s="11"/>
      <c r="M39" s="11"/>
      <c r="N39" s="11"/>
    </row>
    <row r="40" spans="1:14">
      <c r="A40" s="11"/>
      <c r="B40" s="11"/>
      <c r="C40" s="11"/>
      <c r="D40" s="11"/>
      <c r="E40" s="11"/>
      <c r="F40" s="11"/>
      <c r="G40" s="11"/>
      <c r="H40" s="11"/>
      <c r="I40" s="11"/>
      <c r="J40" s="11"/>
      <c r="K40" s="11"/>
      <c r="L40" s="11"/>
      <c r="M40" s="11"/>
      <c r="N40" s="11"/>
    </row>
    <row r="41" spans="1:14">
      <c r="A41" s="11"/>
      <c r="B41" s="11"/>
      <c r="C41" s="11"/>
      <c r="D41" s="11"/>
      <c r="E41" s="11"/>
      <c r="F41" s="11"/>
      <c r="G41" s="11"/>
      <c r="H41" s="11"/>
      <c r="I41" s="11"/>
      <c r="J41" s="11"/>
      <c r="K41" s="11"/>
      <c r="L41" s="11"/>
      <c r="M41" s="11"/>
      <c r="N41" s="11"/>
    </row>
    <row r="42" spans="1:14">
      <c r="A42" s="11"/>
      <c r="B42" s="11"/>
      <c r="C42" s="11"/>
      <c r="D42" s="11"/>
      <c r="E42" s="11"/>
      <c r="F42" s="11"/>
      <c r="G42" s="11"/>
      <c r="H42" s="11"/>
      <c r="I42" s="11"/>
      <c r="J42" s="11"/>
      <c r="K42" s="11"/>
      <c r="L42" s="11"/>
      <c r="M42" s="11"/>
      <c r="N42" s="11"/>
    </row>
    <row r="43" spans="1:14">
      <c r="A43" s="11"/>
      <c r="B43" s="11"/>
      <c r="C43" s="11"/>
      <c r="D43" s="11"/>
      <c r="E43" s="11"/>
      <c r="F43" s="11"/>
      <c r="G43" s="11"/>
      <c r="H43" s="11"/>
      <c r="I43" s="11"/>
      <c r="J43" s="11"/>
      <c r="K43" s="11"/>
      <c r="L43" s="11"/>
      <c r="M43" s="11"/>
      <c r="N43" s="11"/>
    </row>
    <row r="44" spans="1:14">
      <c r="A44" s="11"/>
      <c r="B44" s="11"/>
      <c r="C44" s="11"/>
      <c r="D44" s="11"/>
      <c r="E44" s="11"/>
      <c r="F44" s="11"/>
      <c r="G44" s="11"/>
      <c r="H44" s="11"/>
      <c r="I44" s="11"/>
      <c r="J44" s="11"/>
      <c r="K44" s="11"/>
      <c r="L44" s="11"/>
      <c r="M44" s="11"/>
      <c r="N44" s="11"/>
    </row>
    <row r="45" spans="1:14">
      <c r="A45" s="11"/>
      <c r="B45" s="11"/>
      <c r="C45" s="11"/>
      <c r="D45" s="11"/>
      <c r="E45" s="11"/>
      <c r="F45" s="11"/>
      <c r="G45" s="11"/>
      <c r="H45" s="11"/>
      <c r="I45" s="11"/>
      <c r="J45" s="11"/>
      <c r="K45" s="11"/>
      <c r="L45" s="11"/>
      <c r="M45" s="11"/>
      <c r="N45" s="11"/>
    </row>
    <row r="46" spans="1:14">
      <c r="A46" s="11"/>
      <c r="B46" s="11"/>
      <c r="C46" s="11"/>
      <c r="D46" s="11"/>
      <c r="E46" s="11"/>
      <c r="F46" s="11"/>
      <c r="G46" s="11"/>
      <c r="H46" s="11"/>
      <c r="I46" s="11"/>
      <c r="J46" s="11"/>
      <c r="K46" s="11"/>
      <c r="L46" s="11"/>
      <c r="M46" s="11"/>
      <c r="N46" s="11"/>
    </row>
    <row r="47" spans="1:14">
      <c r="A47" s="11"/>
      <c r="B47" s="11"/>
      <c r="C47" s="11"/>
      <c r="D47" s="11"/>
      <c r="E47" s="11"/>
      <c r="F47" s="11"/>
      <c r="G47" s="11"/>
      <c r="H47" s="11"/>
      <c r="I47" s="11"/>
      <c r="J47" s="11"/>
      <c r="K47" s="11"/>
      <c r="L47" s="11"/>
      <c r="M47" s="11"/>
      <c r="N47" s="11"/>
    </row>
    <row r="48" spans="1:14">
      <c r="A48" s="11"/>
      <c r="B48" s="11"/>
      <c r="C48" s="11"/>
      <c r="D48" s="11"/>
      <c r="E48" s="11"/>
      <c r="F48" s="11"/>
      <c r="G48" s="11"/>
      <c r="H48" s="11"/>
      <c r="I48" s="11"/>
      <c r="J48" s="11"/>
      <c r="K48" s="11"/>
      <c r="L48" s="11"/>
      <c r="M48" s="11"/>
      <c r="N48" s="11"/>
    </row>
    <row r="49" spans="1:14">
      <c r="A49" s="11"/>
      <c r="B49" s="11"/>
      <c r="C49" s="11"/>
      <c r="D49" s="11"/>
      <c r="E49" s="11"/>
      <c r="F49" s="11"/>
      <c r="G49" s="11"/>
      <c r="H49" s="11"/>
      <c r="I49" s="11"/>
      <c r="J49" s="11"/>
      <c r="K49" s="11"/>
      <c r="L49" s="11"/>
      <c r="M49" s="11"/>
      <c r="N49" s="11"/>
    </row>
    <row r="50" spans="1:14">
      <c r="A50" s="11"/>
      <c r="B50" s="11"/>
      <c r="C50" s="11"/>
      <c r="D50" s="11"/>
      <c r="E50" s="11"/>
      <c r="F50" s="11"/>
      <c r="G50" s="11"/>
      <c r="H50" s="11"/>
      <c r="I50" s="11"/>
      <c r="J50" s="11"/>
      <c r="K50" s="11"/>
      <c r="L50" s="11"/>
      <c r="M50" s="11"/>
      <c r="N50" s="11"/>
    </row>
    <row r="51" spans="1:14">
      <c r="A51" s="11"/>
      <c r="B51" s="11"/>
      <c r="C51" s="11"/>
      <c r="D51" s="11"/>
      <c r="E51" s="11"/>
      <c r="F51" s="11"/>
      <c r="G51" s="11"/>
      <c r="H51" s="11"/>
      <c r="I51" s="11"/>
      <c r="J51" s="11"/>
      <c r="K51" s="11"/>
      <c r="L51" s="11"/>
      <c r="M51" s="11"/>
      <c r="N51" s="11"/>
    </row>
    <row r="52" spans="1:14">
      <c r="A52" s="11"/>
      <c r="B52" s="11"/>
      <c r="C52" s="11"/>
      <c r="D52" s="11"/>
      <c r="E52" s="11"/>
      <c r="F52" s="11"/>
      <c r="G52" s="11"/>
      <c r="H52" s="11"/>
      <c r="I52" s="11"/>
      <c r="J52" s="11"/>
      <c r="K52" s="11"/>
      <c r="L52" s="11"/>
      <c r="M52" s="11"/>
      <c r="N52" s="11"/>
    </row>
    <row r="53" spans="1:14">
      <c r="A53" s="11"/>
      <c r="B53" s="11"/>
      <c r="C53" s="11"/>
      <c r="D53" s="11"/>
      <c r="E53" s="11"/>
      <c r="F53" s="11"/>
      <c r="G53" s="11"/>
      <c r="H53" s="11"/>
      <c r="I53" s="11"/>
      <c r="J53" s="11"/>
      <c r="K53" s="11"/>
      <c r="L53" s="11"/>
      <c r="M53" s="11"/>
      <c r="N53" s="11"/>
    </row>
    <row r="54" spans="1:14">
      <c r="A54" s="11"/>
      <c r="B54" s="11"/>
      <c r="C54" s="11"/>
      <c r="D54" s="11"/>
      <c r="E54" s="11"/>
      <c r="F54" s="11"/>
      <c r="G54" s="11"/>
      <c r="H54" s="11"/>
      <c r="I54" s="11"/>
      <c r="J54" s="11"/>
      <c r="K54" s="11"/>
      <c r="L54" s="11"/>
      <c r="M54" s="11"/>
      <c r="N54" s="11"/>
    </row>
    <row r="55" spans="1:14">
      <c r="A55" s="11"/>
      <c r="B55" s="11"/>
      <c r="C55" s="11"/>
      <c r="D55" s="11"/>
      <c r="E55" s="11"/>
      <c r="F55" s="11"/>
      <c r="G55" s="11"/>
      <c r="H55" s="11"/>
      <c r="I55" s="11"/>
      <c r="J55" s="11"/>
      <c r="K55" s="11"/>
      <c r="L55" s="11"/>
      <c r="M55" s="11"/>
      <c r="N55" s="11"/>
    </row>
    <row r="56" spans="1:14">
      <c r="A56" s="11"/>
      <c r="B56" s="11"/>
      <c r="C56" s="11"/>
      <c r="D56" s="11"/>
      <c r="E56" s="11"/>
      <c r="F56" s="11"/>
      <c r="G56" s="11"/>
      <c r="H56" s="11"/>
      <c r="I56" s="11"/>
      <c r="J56" s="11"/>
      <c r="K56" s="11"/>
      <c r="L56" s="11"/>
      <c r="M56" s="11"/>
      <c r="N56" s="11"/>
    </row>
    <row r="57" spans="1:14">
      <c r="A57" s="11"/>
      <c r="B57" s="11"/>
      <c r="C57" s="11"/>
      <c r="D57" s="11"/>
      <c r="E57" s="11"/>
      <c r="F57" s="11"/>
      <c r="G57" s="11"/>
      <c r="H57" s="11"/>
      <c r="I57" s="11"/>
      <c r="J57" s="11"/>
      <c r="K57" s="11"/>
      <c r="L57" s="11"/>
      <c r="M57" s="11"/>
      <c r="N57" s="11"/>
    </row>
    <row r="58" spans="1:14">
      <c r="A58" s="11"/>
      <c r="B58" s="11"/>
      <c r="C58" s="11"/>
      <c r="D58" s="11"/>
      <c r="E58" s="11"/>
      <c r="F58" s="11"/>
      <c r="G58" s="11"/>
      <c r="H58" s="11"/>
      <c r="I58" s="11"/>
      <c r="J58" s="11"/>
      <c r="K58" s="11"/>
      <c r="L58" s="11"/>
      <c r="M58" s="11"/>
      <c r="N58" s="11"/>
    </row>
    <row r="59" spans="1:14">
      <c r="A59" s="11"/>
      <c r="B59" s="11"/>
      <c r="C59" s="11"/>
      <c r="D59" s="11"/>
      <c r="E59" s="11"/>
      <c r="F59" s="11"/>
      <c r="G59" s="11"/>
      <c r="H59" s="11"/>
      <c r="I59" s="11"/>
      <c r="J59" s="11"/>
      <c r="K59" s="11"/>
      <c r="L59" s="11"/>
      <c r="M59" s="11"/>
      <c r="N59" s="11"/>
    </row>
    <row r="60" spans="1:14">
      <c r="A60" s="11"/>
      <c r="B60" s="11"/>
      <c r="C60" s="11"/>
      <c r="D60" s="11"/>
      <c r="E60" s="11"/>
      <c r="F60" s="11"/>
      <c r="G60" s="11"/>
      <c r="H60" s="11"/>
      <c r="I60" s="11"/>
      <c r="J60" s="11"/>
      <c r="K60" s="11"/>
      <c r="L60" s="11"/>
      <c r="M60" s="11"/>
      <c r="N60" s="11"/>
    </row>
    <row r="61" spans="1:14">
      <c r="A61" s="11"/>
      <c r="B61" s="11"/>
      <c r="C61" s="11"/>
      <c r="D61" s="11"/>
      <c r="E61" s="11"/>
      <c r="F61" s="11"/>
      <c r="G61" s="11"/>
      <c r="H61" s="11"/>
      <c r="I61" s="11"/>
      <c r="J61" s="11"/>
      <c r="K61" s="11"/>
      <c r="L61" s="11"/>
      <c r="M61" s="11"/>
      <c r="N61" s="11"/>
    </row>
    <row r="62" spans="1:14">
      <c r="A62" s="11"/>
      <c r="B62" s="11"/>
      <c r="C62" s="11"/>
      <c r="D62" s="11"/>
      <c r="E62" s="11"/>
      <c r="F62" s="11"/>
      <c r="G62" s="11"/>
      <c r="H62" s="11"/>
      <c r="I62" s="11"/>
      <c r="J62" s="11"/>
      <c r="K62" s="11"/>
      <c r="L62" s="11"/>
      <c r="M62" s="11"/>
      <c r="N62" s="11"/>
    </row>
    <row r="63" spans="1:14">
      <c r="A63" s="11"/>
      <c r="B63" s="11"/>
      <c r="C63" s="11"/>
      <c r="D63" s="11"/>
      <c r="E63" s="11"/>
      <c r="F63" s="11"/>
      <c r="G63" s="11"/>
      <c r="H63" s="11"/>
      <c r="I63" s="11"/>
      <c r="J63" s="11"/>
      <c r="K63" s="11"/>
      <c r="L63" s="11"/>
      <c r="M63" s="11"/>
      <c r="N63" s="11"/>
    </row>
    <row r="75" spans="8:8">
      <c r="H75" t="s">
        <v>86</v>
      </c>
    </row>
  </sheetData>
  <sheetProtection password="CF0F" sheet="1" objects="1" scenarios="1" selectLockedCells="1"/>
  <mergeCells count="5">
    <mergeCell ref="B21:C34"/>
    <mergeCell ref="B2:F2"/>
    <mergeCell ref="B10:C10"/>
    <mergeCell ref="E10:F10"/>
    <mergeCell ref="B20:C20"/>
  </mergeCells>
  <phoneticPr fontId="21" type="noConversion"/>
  <dataValidations count="1">
    <dataValidation type="list" allowBlank="1" showInputMessage="1" showErrorMessage="1" sqref="C8">
      <formula1>G$11:G$22</formula1>
    </dataValidation>
  </dataValidations>
  <pageMargins left="0.2" right="0.2" top="0.75" bottom="0.75" header="0.3" footer="0.3"/>
  <pageSetup scale="50" orientation="landscape" verticalDpi="0" r:id="rId1"/>
  <drawing r:id="rId2"/>
  <legacyDrawing r:id="rId3"/>
</worksheet>
</file>

<file path=xl/worksheets/sheet2.xml><?xml version="1.0" encoding="utf-8"?>
<worksheet xmlns="http://schemas.openxmlformats.org/spreadsheetml/2006/main" xmlns:r="http://schemas.openxmlformats.org/officeDocument/2006/relationships">
  <sheetPr codeName="Sheet5">
    <tabColor rgb="FF002060"/>
    <pageSetUpPr fitToPage="1"/>
  </sheetPr>
  <dimension ref="A1:P2012"/>
  <sheetViews>
    <sheetView showGridLines="0" zoomScaleNormal="100" workbookViewId="0">
      <pane xSplit="1" ySplit="4" topLeftCell="B5" activePane="bottomRight" state="frozen"/>
      <selection activeCell="F42" sqref="F42"/>
      <selection pane="topRight" activeCell="F42" sqref="F42"/>
      <selection pane="bottomLeft" activeCell="F42" sqref="F42"/>
      <selection pane="bottomRight" activeCell="J6" sqref="J6"/>
    </sheetView>
  </sheetViews>
  <sheetFormatPr defaultRowHeight="15"/>
  <cols>
    <col min="1" max="1" width="12.140625" customWidth="1"/>
    <col min="2" max="2" width="11" customWidth="1"/>
    <col min="3" max="3" width="10.85546875" customWidth="1"/>
    <col min="4" max="4" width="8.28515625" customWidth="1"/>
    <col min="5" max="5" width="6.28515625" customWidth="1"/>
    <col min="6" max="6" width="46.85546875" customWidth="1"/>
    <col min="7" max="7" width="24" customWidth="1"/>
    <col min="8" max="8" width="12.28515625" bestFit="1" customWidth="1"/>
    <col min="9" max="9" width="15.28515625" customWidth="1"/>
    <col min="10" max="10" width="8.42578125" bestFit="1" customWidth="1"/>
    <col min="11" max="11" width="18.85546875" customWidth="1"/>
    <col min="12" max="12" width="1.140625" customWidth="1"/>
    <col min="13" max="13" width="20.42578125" customWidth="1"/>
    <col min="15" max="15" width="0" hidden="1" customWidth="1"/>
    <col min="16" max="16" width="15.5703125" hidden="1" customWidth="1"/>
  </cols>
  <sheetData>
    <row r="1" spans="1:16" ht="7.5" customHeight="1">
      <c r="A1" s="68"/>
      <c r="B1" s="68"/>
      <c r="C1" s="68"/>
      <c r="D1" s="68"/>
      <c r="E1" s="68"/>
      <c r="F1" s="68"/>
      <c r="G1" s="68"/>
      <c r="H1" s="68"/>
      <c r="I1" s="68"/>
      <c r="J1" s="68"/>
      <c r="K1" s="68"/>
      <c r="L1" s="68"/>
      <c r="M1" s="68"/>
    </row>
    <row r="2" spans="1:16" s="56" customFormat="1" ht="47.25" customHeight="1">
      <c r="A2" s="69"/>
      <c r="B2" s="160" t="s">
        <v>87</v>
      </c>
      <c r="C2" s="160"/>
      <c r="D2" s="160"/>
      <c r="E2" s="160"/>
      <c r="F2" s="160"/>
      <c r="G2" s="160"/>
      <c r="H2" s="160"/>
      <c r="I2" s="160"/>
      <c r="J2" s="160"/>
      <c r="K2" s="160"/>
      <c r="L2" s="69"/>
      <c r="M2" s="68"/>
      <c r="O2" s="56">
        <v>1</v>
      </c>
    </row>
    <row r="3" spans="1:16" ht="64.5">
      <c r="A3" s="68"/>
      <c r="B3" s="70" t="s">
        <v>58</v>
      </c>
      <c r="C3" s="71" t="s">
        <v>32</v>
      </c>
      <c r="D3" s="71" t="s">
        <v>37</v>
      </c>
      <c r="E3" s="71" t="s">
        <v>38</v>
      </c>
      <c r="F3" s="70" t="s">
        <v>39</v>
      </c>
      <c r="G3" s="70" t="s">
        <v>61</v>
      </c>
      <c r="H3" s="72" t="s">
        <v>33</v>
      </c>
      <c r="I3" s="73" t="s">
        <v>59</v>
      </c>
      <c r="J3" s="73" t="s">
        <v>46</v>
      </c>
      <c r="K3" s="73" t="s">
        <v>60</v>
      </c>
      <c r="L3" s="68"/>
      <c r="M3" s="68"/>
      <c r="P3" s="73" t="s">
        <v>97</v>
      </c>
    </row>
    <row r="4" spans="1:16" ht="3.75" customHeight="1" thickBot="1">
      <c r="A4" s="68"/>
      <c r="B4" s="74"/>
      <c r="C4" s="75"/>
      <c r="D4" s="75"/>
      <c r="E4" s="75"/>
      <c r="F4" s="74"/>
      <c r="G4" s="74"/>
      <c r="H4" s="76"/>
      <c r="I4" s="77"/>
      <c r="J4" s="77"/>
      <c r="K4" s="78"/>
      <c r="L4" s="68"/>
      <c r="M4" s="68"/>
    </row>
    <row r="5" spans="1:16">
      <c r="A5" s="68"/>
      <c r="B5" s="79"/>
      <c r="C5" s="80"/>
      <c r="D5" s="80"/>
      <c r="E5" s="80"/>
      <c r="F5" s="79"/>
      <c r="G5" s="79"/>
      <c r="H5" s="81"/>
      <c r="I5" s="82">
        <f ca="1">+Introduction!F32</f>
        <v>0</v>
      </c>
      <c r="J5" s="83"/>
      <c r="K5" s="82">
        <f ca="1">+Introduction!F32</f>
        <v>0</v>
      </c>
      <c r="L5" s="68"/>
      <c r="M5" s="68" t="s">
        <v>36</v>
      </c>
    </row>
    <row r="6" spans="1:16">
      <c r="A6" s="150" t="s">
        <v>96</v>
      </c>
      <c r="B6" s="87"/>
      <c r="C6" s="88"/>
      <c r="D6" s="88"/>
      <c r="E6" s="90"/>
      <c r="F6" s="84" t="str">
        <f ca="1">IF(D6="Income",LOOKUP(E6,Introduction!$A$11:$A$18,Introduction!$C$11:$C$18),IF(D6="Expense",LOOKUP(E6,Introduction!$D$11:$D$30,Introduction!$F$11:$F$30),"_"))</f>
        <v>_</v>
      </c>
      <c r="G6" s="88"/>
      <c r="H6" s="91"/>
      <c r="I6" s="85">
        <f>+I5+H6</f>
        <v>0</v>
      </c>
      <c r="J6" s="93"/>
      <c r="K6" s="85">
        <f>IF(J6=1,K5+H6,++K5)</f>
        <v>0</v>
      </c>
      <c r="L6" s="68"/>
      <c r="M6" s="68" t="s">
        <v>35</v>
      </c>
      <c r="P6" s="89" t="str">
        <f>CONCATENATE(D6," ",E6," ",MONTH(C6)," ",YEAR(C6)," ")</f>
        <v xml:space="preserve">  1 1900 </v>
      </c>
    </row>
    <row r="7" spans="1:16">
      <c r="A7" s="68"/>
      <c r="B7" s="87"/>
      <c r="C7" s="88"/>
      <c r="D7" s="88"/>
      <c r="E7" s="90"/>
      <c r="F7" s="84" t="str">
        <f ca="1">IF(D7="Income",LOOKUP(E7,Introduction!$A$11:$A$18,Introduction!$C$11:$C$18),IF(D7="Expense",LOOKUP(E7,Introduction!$D$11:$D$30,Introduction!$F$11:$F$30),"_"))</f>
        <v>_</v>
      </c>
      <c r="G7" s="88"/>
      <c r="H7" s="91"/>
      <c r="I7" s="85">
        <f t="shared" ref="I7:I16" si="0">+I6+H7</f>
        <v>0</v>
      </c>
      <c r="J7" s="93"/>
      <c r="K7" s="85">
        <f t="shared" ref="K7:K16" si="1">IF(J7=1,K6+H7,++K6)</f>
        <v>0</v>
      </c>
      <c r="L7" s="68"/>
      <c r="M7" s="68"/>
      <c r="P7" s="89" t="str">
        <f t="shared" ref="P7:P70" si="2">CONCATENATE(D7," ",E7," ",MONTH(C7)," ",YEAR(C7)," ")</f>
        <v xml:space="preserve">  1 1900 </v>
      </c>
    </row>
    <row r="8" spans="1:16">
      <c r="A8" s="68"/>
      <c r="B8" s="87"/>
      <c r="C8" s="88"/>
      <c r="D8" s="88"/>
      <c r="E8" s="90"/>
      <c r="F8" s="84" t="str">
        <f ca="1">IF(D8="Income",LOOKUP(E8,Introduction!$A$11:$A$18,Introduction!$C$11:$C$18),IF(D8="Expense",LOOKUP(E8,Introduction!$D$11:$D$30,Introduction!$F$11:$F$30),"_"))</f>
        <v>_</v>
      </c>
      <c r="G8" s="88"/>
      <c r="H8" s="91"/>
      <c r="I8" s="85">
        <f t="shared" si="0"/>
        <v>0</v>
      </c>
      <c r="J8" s="93"/>
      <c r="K8" s="85">
        <f t="shared" si="1"/>
        <v>0</v>
      </c>
      <c r="L8" s="68"/>
      <c r="M8" s="68"/>
      <c r="P8" s="89" t="str">
        <f t="shared" si="2"/>
        <v xml:space="preserve">  1 1900 </v>
      </c>
    </row>
    <row r="9" spans="1:16">
      <c r="A9" s="68"/>
      <c r="B9" s="87"/>
      <c r="C9" s="88"/>
      <c r="D9" s="88"/>
      <c r="E9" s="90"/>
      <c r="F9" s="84" t="str">
        <f ca="1">IF(D9="Income",LOOKUP(E9,Introduction!$A$11:$A$18,Introduction!$C$11:$C$18),IF(D9="Expense",LOOKUP(E9,Introduction!$D$11:$D$30,Introduction!$F$11:$F$30),"_"))</f>
        <v>_</v>
      </c>
      <c r="G9" s="88"/>
      <c r="H9" s="91"/>
      <c r="I9" s="85">
        <f t="shared" si="0"/>
        <v>0</v>
      </c>
      <c r="J9" s="93"/>
      <c r="K9" s="85">
        <f t="shared" si="1"/>
        <v>0</v>
      </c>
      <c r="L9" s="68"/>
      <c r="M9" s="68"/>
      <c r="P9" s="89" t="str">
        <f t="shared" si="2"/>
        <v xml:space="preserve">  1 1900 </v>
      </c>
    </row>
    <row r="10" spans="1:16">
      <c r="A10" s="68"/>
      <c r="B10" s="87"/>
      <c r="C10" s="88"/>
      <c r="D10" s="88"/>
      <c r="E10" s="90"/>
      <c r="F10" s="84" t="str">
        <f ca="1">IF(D10="Income",LOOKUP(E10,Introduction!$A$11:$A$18,Introduction!$C$11:$C$18),IF(D10="Expense",LOOKUP(E10,Introduction!$D$11:$D$30,Introduction!$F$11:$F$30),"_"))</f>
        <v>_</v>
      </c>
      <c r="G10" s="88"/>
      <c r="H10" s="91"/>
      <c r="I10" s="85">
        <f t="shared" si="0"/>
        <v>0</v>
      </c>
      <c r="J10" s="93"/>
      <c r="K10" s="85">
        <f t="shared" si="1"/>
        <v>0</v>
      </c>
      <c r="L10" s="68"/>
      <c r="M10" s="68"/>
      <c r="P10" s="89" t="str">
        <f t="shared" si="2"/>
        <v xml:space="preserve">  1 1900 </v>
      </c>
    </row>
    <row r="11" spans="1:16">
      <c r="A11" s="68"/>
      <c r="B11" s="87"/>
      <c r="C11" s="88"/>
      <c r="D11" s="88"/>
      <c r="E11" s="90"/>
      <c r="F11" s="84" t="str">
        <f ca="1">IF(D11="Income",LOOKUP(E11,Introduction!$A$11:$A$18,Introduction!$C$11:$C$18),IF(D11="Expense",LOOKUP(E11,Introduction!$D$11:$D$30,Introduction!$F$11:$F$30),"_"))</f>
        <v>_</v>
      </c>
      <c r="G11" s="88"/>
      <c r="H11" s="91"/>
      <c r="I11" s="85">
        <f t="shared" si="0"/>
        <v>0</v>
      </c>
      <c r="J11" s="93"/>
      <c r="K11" s="85">
        <f t="shared" si="1"/>
        <v>0</v>
      </c>
      <c r="L11" s="68"/>
      <c r="M11" s="68"/>
      <c r="P11" s="89" t="str">
        <f t="shared" si="2"/>
        <v xml:space="preserve">  1 1900 </v>
      </c>
    </row>
    <row r="12" spans="1:16">
      <c r="A12" s="68"/>
      <c r="B12" s="87"/>
      <c r="C12" s="88"/>
      <c r="D12" s="88"/>
      <c r="E12" s="90"/>
      <c r="F12" s="84" t="str">
        <f ca="1">IF(D12="Income",LOOKUP(E12,Introduction!$A$11:$A$18,Introduction!$C$11:$C$18),IF(D12="Expense",LOOKUP(E12,Introduction!$D$11:$D$30,Introduction!$F$11:$F$30),"_"))</f>
        <v>_</v>
      </c>
      <c r="G12" s="88"/>
      <c r="H12" s="91"/>
      <c r="I12" s="85">
        <f t="shared" si="0"/>
        <v>0</v>
      </c>
      <c r="J12" s="93"/>
      <c r="K12" s="85">
        <f t="shared" si="1"/>
        <v>0</v>
      </c>
      <c r="L12" s="68"/>
      <c r="M12" s="68"/>
      <c r="P12" s="89" t="str">
        <f t="shared" si="2"/>
        <v xml:space="preserve">  1 1900 </v>
      </c>
    </row>
    <row r="13" spans="1:16">
      <c r="A13" s="68"/>
      <c r="B13" s="87"/>
      <c r="C13" s="88"/>
      <c r="D13" s="88"/>
      <c r="E13" s="90"/>
      <c r="F13" s="84" t="str">
        <f ca="1">IF(D13="Income",LOOKUP(E13,Introduction!$A$11:$A$18,Introduction!$C$11:$C$18),IF(D13="Expense",LOOKUP(E13,Introduction!$D$11:$D$30,Introduction!$F$11:$F$30),"_"))</f>
        <v>_</v>
      </c>
      <c r="G13" s="88"/>
      <c r="H13" s="91"/>
      <c r="I13" s="85">
        <f t="shared" si="0"/>
        <v>0</v>
      </c>
      <c r="J13" s="93"/>
      <c r="K13" s="85">
        <f t="shared" si="1"/>
        <v>0</v>
      </c>
      <c r="L13" s="68"/>
      <c r="M13" s="68"/>
      <c r="P13" s="89" t="str">
        <f t="shared" si="2"/>
        <v xml:space="preserve">  1 1900 </v>
      </c>
    </row>
    <row r="14" spans="1:16">
      <c r="A14" s="68"/>
      <c r="B14" s="87"/>
      <c r="C14" s="88"/>
      <c r="D14" s="88"/>
      <c r="E14" s="90"/>
      <c r="F14" s="84" t="str">
        <f ca="1">IF(D14="Income",LOOKUP(E14,Introduction!$A$11:$A$18,Introduction!$C$11:$C$18),IF(D14="Expense",LOOKUP(E14,Introduction!$D$11:$D$30,Introduction!$F$11:$F$30),"_"))</f>
        <v>_</v>
      </c>
      <c r="G14" s="88"/>
      <c r="H14" s="92"/>
      <c r="I14" s="85">
        <f t="shared" si="0"/>
        <v>0</v>
      </c>
      <c r="J14" s="93"/>
      <c r="K14" s="85">
        <f t="shared" si="1"/>
        <v>0</v>
      </c>
      <c r="L14" s="68"/>
      <c r="M14" s="68"/>
      <c r="P14" s="89" t="str">
        <f t="shared" si="2"/>
        <v xml:space="preserve">  1 1900 </v>
      </c>
    </row>
    <row r="15" spans="1:16">
      <c r="A15" s="68"/>
      <c r="B15" s="87"/>
      <c r="C15" s="88"/>
      <c r="D15" s="88"/>
      <c r="E15" s="90"/>
      <c r="F15" s="84" t="str">
        <f ca="1">IF(D15="Income",LOOKUP(E15,Introduction!$A$11:$A$18,Introduction!$C$11:$C$18),IF(D15="Expense",LOOKUP(E15,Introduction!$D$11:$D$30,Introduction!$F$11:$F$30),"_"))</f>
        <v>_</v>
      </c>
      <c r="G15" s="88"/>
      <c r="H15" s="92"/>
      <c r="I15" s="85">
        <f t="shared" si="0"/>
        <v>0</v>
      </c>
      <c r="J15" s="93"/>
      <c r="K15" s="85">
        <f t="shared" si="1"/>
        <v>0</v>
      </c>
      <c r="L15" s="68"/>
      <c r="M15" s="68"/>
      <c r="P15" s="89" t="str">
        <f t="shared" si="2"/>
        <v xml:space="preserve">  1 1900 </v>
      </c>
    </row>
    <row r="16" spans="1:16">
      <c r="A16" s="68"/>
      <c r="B16" s="87"/>
      <c r="C16" s="88"/>
      <c r="D16" s="88"/>
      <c r="E16" s="90"/>
      <c r="F16" s="84" t="str">
        <f ca="1">IF(D16="Income",LOOKUP(E16,Introduction!$A$11:$A$18,Introduction!$C$11:$C$18),IF(D16="Expense",LOOKUP(E16,Introduction!$D$11:$D$30,Introduction!$F$11:$F$30),"_"))</f>
        <v>_</v>
      </c>
      <c r="G16" s="88"/>
      <c r="H16" s="92"/>
      <c r="I16" s="85">
        <f t="shared" si="0"/>
        <v>0</v>
      </c>
      <c r="J16" s="93"/>
      <c r="K16" s="85">
        <f t="shared" si="1"/>
        <v>0</v>
      </c>
      <c r="L16" s="68"/>
      <c r="M16" s="68"/>
      <c r="P16" s="89" t="str">
        <f t="shared" si="2"/>
        <v xml:space="preserve">  1 1900 </v>
      </c>
    </row>
    <row r="17" spans="1:16">
      <c r="A17" s="68"/>
      <c r="B17" s="87"/>
      <c r="C17" s="88"/>
      <c r="D17" s="88"/>
      <c r="E17" s="90"/>
      <c r="F17" s="84" t="str">
        <f ca="1">IF(D17="Income",LOOKUP(E17,Introduction!$A$11:$A$18,Introduction!$C$11:$C$18),IF(D17="Expense",LOOKUP(E17,Introduction!$D$11:$D$30,Introduction!$F$11:$F$30),"_"))</f>
        <v>_</v>
      </c>
      <c r="G17" s="88"/>
      <c r="H17" s="92"/>
      <c r="I17" s="85">
        <f t="shared" ref="I17:I80" si="3">+I16+H17</f>
        <v>0</v>
      </c>
      <c r="J17" s="93"/>
      <c r="K17" s="85">
        <f t="shared" ref="K17:K80" si="4">IF(J17=1,K16+H17,++K16)</f>
        <v>0</v>
      </c>
      <c r="L17" s="68"/>
      <c r="M17" s="68"/>
      <c r="P17" s="89" t="str">
        <f t="shared" si="2"/>
        <v xml:space="preserve">  1 1900 </v>
      </c>
    </row>
    <row r="18" spans="1:16">
      <c r="A18" s="68"/>
      <c r="B18" s="87"/>
      <c r="C18" s="88"/>
      <c r="D18" s="88"/>
      <c r="E18" s="90"/>
      <c r="F18" s="84" t="str">
        <f ca="1">IF(D18="Income",LOOKUP(E18,Introduction!$A$11:$A$18,Introduction!$C$11:$C$18),IF(D18="Expense",LOOKUP(E18,Introduction!$D$11:$D$30,Introduction!$F$11:$F$30),"_"))</f>
        <v>_</v>
      </c>
      <c r="G18" s="88"/>
      <c r="H18" s="92"/>
      <c r="I18" s="85">
        <f t="shared" si="3"/>
        <v>0</v>
      </c>
      <c r="J18" s="93"/>
      <c r="K18" s="85">
        <f t="shared" si="4"/>
        <v>0</v>
      </c>
      <c r="L18" s="68"/>
      <c r="M18" s="68"/>
      <c r="P18" s="89" t="str">
        <f t="shared" si="2"/>
        <v xml:space="preserve">  1 1900 </v>
      </c>
    </row>
    <row r="19" spans="1:16">
      <c r="A19" s="68"/>
      <c r="B19" s="87"/>
      <c r="C19" s="88"/>
      <c r="D19" s="88"/>
      <c r="E19" s="90"/>
      <c r="F19" s="84" t="str">
        <f ca="1">IF(D19="Income",LOOKUP(E19,Introduction!$A$11:$A$18,Introduction!$C$11:$C$18),IF(D19="Expense",LOOKUP(E19,Introduction!$D$11:$D$30,Introduction!$F$11:$F$30),"_"))</f>
        <v>_</v>
      </c>
      <c r="G19" s="88"/>
      <c r="H19" s="91"/>
      <c r="I19" s="85">
        <f t="shared" si="3"/>
        <v>0</v>
      </c>
      <c r="J19" s="93"/>
      <c r="K19" s="85">
        <f t="shared" si="4"/>
        <v>0</v>
      </c>
      <c r="L19" s="68"/>
      <c r="M19" s="68"/>
      <c r="P19" s="89" t="str">
        <f t="shared" si="2"/>
        <v xml:space="preserve">  1 1900 </v>
      </c>
    </row>
    <row r="20" spans="1:16">
      <c r="A20" s="68"/>
      <c r="B20" s="87"/>
      <c r="C20" s="88"/>
      <c r="D20" s="88"/>
      <c r="E20" s="90"/>
      <c r="F20" s="84" t="str">
        <f ca="1">IF(D20="Income",LOOKUP(E20,Introduction!$A$11:$A$18,Introduction!$C$11:$C$18),IF(D20="Expense",LOOKUP(E20,Introduction!$D$11:$D$30,Introduction!$F$11:$F$30),"_"))</f>
        <v>_</v>
      </c>
      <c r="G20" s="88"/>
      <c r="H20" s="91"/>
      <c r="I20" s="85">
        <f t="shared" si="3"/>
        <v>0</v>
      </c>
      <c r="J20" s="93"/>
      <c r="K20" s="85">
        <f t="shared" si="4"/>
        <v>0</v>
      </c>
      <c r="L20" s="68"/>
      <c r="M20" s="68"/>
      <c r="P20" s="89" t="str">
        <f t="shared" si="2"/>
        <v xml:space="preserve">  1 1900 </v>
      </c>
    </row>
    <row r="21" spans="1:16">
      <c r="A21" s="68"/>
      <c r="B21" s="87"/>
      <c r="C21" s="88"/>
      <c r="D21" s="88"/>
      <c r="E21" s="90"/>
      <c r="F21" s="84" t="str">
        <f ca="1">IF(D21="Income",LOOKUP(E21,Introduction!$A$11:$A$18,Introduction!$C$11:$C$18),IF(D21="Expense",LOOKUP(E21,Introduction!$D$11:$D$30,Introduction!$F$11:$F$30),"_"))</f>
        <v>_</v>
      </c>
      <c r="G21" s="88"/>
      <c r="H21" s="91"/>
      <c r="I21" s="85">
        <f t="shared" si="3"/>
        <v>0</v>
      </c>
      <c r="J21" s="93"/>
      <c r="K21" s="85">
        <f t="shared" si="4"/>
        <v>0</v>
      </c>
      <c r="L21" s="68"/>
      <c r="M21" s="68"/>
      <c r="P21" s="89" t="str">
        <f t="shared" si="2"/>
        <v xml:space="preserve">  1 1900 </v>
      </c>
    </row>
    <row r="22" spans="1:16">
      <c r="A22" s="68"/>
      <c r="B22" s="87"/>
      <c r="C22" s="88"/>
      <c r="D22" s="88"/>
      <c r="E22" s="90"/>
      <c r="F22" s="84" t="str">
        <f ca="1">IF(D22="Income",LOOKUP(E22,Introduction!$A$11:$A$18,Introduction!$C$11:$C$18),IF(D22="Expense",LOOKUP(E22,Introduction!$D$11:$D$30,Introduction!$F$11:$F$30),"_"))</f>
        <v>_</v>
      </c>
      <c r="G22" s="88"/>
      <c r="H22" s="91"/>
      <c r="I22" s="85">
        <f t="shared" si="3"/>
        <v>0</v>
      </c>
      <c r="J22" s="93"/>
      <c r="K22" s="85">
        <f t="shared" si="4"/>
        <v>0</v>
      </c>
      <c r="L22" s="68"/>
      <c r="M22" s="68"/>
      <c r="P22" s="89" t="str">
        <f t="shared" si="2"/>
        <v xml:space="preserve">  1 1900 </v>
      </c>
    </row>
    <row r="23" spans="1:16">
      <c r="A23" s="68"/>
      <c r="B23" s="87"/>
      <c r="C23" s="88"/>
      <c r="D23" s="88"/>
      <c r="E23" s="90"/>
      <c r="F23" s="84" t="str">
        <f ca="1">IF(D23="Income",LOOKUP(E23,Introduction!$A$11:$A$18,Introduction!$C$11:$C$18),IF(D23="Expense",LOOKUP(E23,Introduction!$D$11:$D$30,Introduction!$F$11:$F$30),"_"))</f>
        <v>_</v>
      </c>
      <c r="G23" s="88"/>
      <c r="H23" s="91"/>
      <c r="I23" s="85">
        <f t="shared" si="3"/>
        <v>0</v>
      </c>
      <c r="J23" s="93"/>
      <c r="K23" s="85">
        <f t="shared" si="4"/>
        <v>0</v>
      </c>
      <c r="L23" s="68"/>
      <c r="M23" s="68"/>
      <c r="P23" s="89" t="str">
        <f t="shared" si="2"/>
        <v xml:space="preserve">  1 1900 </v>
      </c>
    </row>
    <row r="24" spans="1:16">
      <c r="A24" s="68"/>
      <c r="B24" s="87"/>
      <c r="C24" s="88"/>
      <c r="D24" s="88"/>
      <c r="E24" s="90"/>
      <c r="F24" s="84" t="str">
        <f ca="1">IF(D24="Income",LOOKUP(E24,Introduction!$A$11:$A$18,Introduction!$C$11:$C$18),IF(D24="Expense",LOOKUP(E24,Introduction!$D$11:$D$30,Introduction!$F$11:$F$30),"_"))</f>
        <v>_</v>
      </c>
      <c r="G24" s="88"/>
      <c r="H24" s="91"/>
      <c r="I24" s="85">
        <f t="shared" si="3"/>
        <v>0</v>
      </c>
      <c r="J24" s="93"/>
      <c r="K24" s="85">
        <f t="shared" si="4"/>
        <v>0</v>
      </c>
      <c r="L24" s="68"/>
      <c r="M24" s="68"/>
      <c r="P24" s="89" t="str">
        <f t="shared" si="2"/>
        <v xml:space="preserve">  1 1900 </v>
      </c>
    </row>
    <row r="25" spans="1:16">
      <c r="A25" s="68"/>
      <c r="B25" s="87"/>
      <c r="C25" s="88"/>
      <c r="D25" s="88"/>
      <c r="E25" s="90"/>
      <c r="F25" s="84" t="str">
        <f ca="1">IF(D25="Income",LOOKUP(E25,Introduction!$A$11:$A$18,Introduction!$C$11:$C$18),IF(D25="Expense",LOOKUP(E25,Introduction!$D$11:$D$30,Introduction!$F$11:$F$30),"_"))</f>
        <v>_</v>
      </c>
      <c r="G25" s="88"/>
      <c r="H25" s="91"/>
      <c r="I25" s="85">
        <f t="shared" si="3"/>
        <v>0</v>
      </c>
      <c r="J25" s="93"/>
      <c r="K25" s="85">
        <f t="shared" si="4"/>
        <v>0</v>
      </c>
      <c r="L25" s="68"/>
      <c r="M25" s="68"/>
      <c r="P25" s="89" t="str">
        <f t="shared" si="2"/>
        <v xml:space="preserve">  1 1900 </v>
      </c>
    </row>
    <row r="26" spans="1:16">
      <c r="A26" s="68"/>
      <c r="B26" s="87"/>
      <c r="C26" s="88"/>
      <c r="D26" s="88"/>
      <c r="E26" s="90"/>
      <c r="F26" s="84" t="str">
        <f ca="1">IF(D26="Income",LOOKUP(E26,Introduction!$A$11:$A$18,Introduction!$C$11:$C$18),IF(D26="Expense",LOOKUP(E26,Introduction!$D$11:$D$30,Introduction!$F$11:$F$30),"_"))</f>
        <v>_</v>
      </c>
      <c r="G26" s="88"/>
      <c r="H26" s="91"/>
      <c r="I26" s="85">
        <f t="shared" si="3"/>
        <v>0</v>
      </c>
      <c r="J26" s="93"/>
      <c r="K26" s="85">
        <f t="shared" si="4"/>
        <v>0</v>
      </c>
      <c r="L26" s="68"/>
      <c r="M26" s="68"/>
      <c r="P26" s="89" t="str">
        <f t="shared" si="2"/>
        <v xml:space="preserve">  1 1900 </v>
      </c>
    </row>
    <row r="27" spans="1:16">
      <c r="A27" s="68"/>
      <c r="B27" s="87"/>
      <c r="C27" s="88"/>
      <c r="D27" s="88"/>
      <c r="E27" s="90"/>
      <c r="F27" s="84" t="str">
        <f ca="1">IF(D27="Income",LOOKUP(E27,Introduction!$A$11:$A$18,Introduction!$C$11:$C$18),IF(D27="Expense",LOOKUP(E27,Introduction!$D$11:$D$30,Introduction!$F$11:$F$30),"_"))</f>
        <v>_</v>
      </c>
      <c r="G27" s="88"/>
      <c r="H27" s="92"/>
      <c r="I27" s="85">
        <f t="shared" si="3"/>
        <v>0</v>
      </c>
      <c r="J27" s="93"/>
      <c r="K27" s="85">
        <f t="shared" si="4"/>
        <v>0</v>
      </c>
      <c r="L27" s="68"/>
      <c r="M27" s="68"/>
      <c r="P27" s="89" t="str">
        <f t="shared" si="2"/>
        <v xml:space="preserve">  1 1900 </v>
      </c>
    </row>
    <row r="28" spans="1:16">
      <c r="A28" s="68"/>
      <c r="B28" s="87"/>
      <c r="C28" s="88"/>
      <c r="D28" s="88"/>
      <c r="E28" s="90"/>
      <c r="F28" s="84" t="str">
        <f ca="1">IF(D28="Income",LOOKUP(E28,Introduction!$A$11:$A$18,Introduction!$C$11:$C$18),IF(D28="Expense",LOOKUP(E28,Introduction!$D$11:$D$30,Introduction!$F$11:$F$30),"_"))</f>
        <v>_</v>
      </c>
      <c r="G28" s="88"/>
      <c r="H28" s="92"/>
      <c r="I28" s="85">
        <f t="shared" si="3"/>
        <v>0</v>
      </c>
      <c r="J28" s="93"/>
      <c r="K28" s="85">
        <f t="shared" si="4"/>
        <v>0</v>
      </c>
      <c r="L28" s="68"/>
      <c r="M28" s="68"/>
      <c r="P28" s="89" t="str">
        <f t="shared" si="2"/>
        <v xml:space="preserve">  1 1900 </v>
      </c>
    </row>
    <row r="29" spans="1:16">
      <c r="A29" s="68"/>
      <c r="B29" s="87"/>
      <c r="C29" s="88"/>
      <c r="D29" s="88"/>
      <c r="E29" s="90"/>
      <c r="F29" s="84" t="str">
        <f ca="1">IF(D29="Income",LOOKUP(E29,Introduction!$A$11:$A$18,Introduction!$C$11:$C$18),IF(D29="Expense",LOOKUP(E29,Introduction!$D$11:$D$30,Introduction!$F$11:$F$30),"_"))</f>
        <v>_</v>
      </c>
      <c r="G29" s="88"/>
      <c r="H29" s="92"/>
      <c r="I29" s="85">
        <f t="shared" si="3"/>
        <v>0</v>
      </c>
      <c r="J29" s="93"/>
      <c r="K29" s="85">
        <f t="shared" si="4"/>
        <v>0</v>
      </c>
      <c r="L29" s="68"/>
      <c r="M29" s="68"/>
      <c r="P29" s="89" t="str">
        <f t="shared" si="2"/>
        <v xml:space="preserve">  1 1900 </v>
      </c>
    </row>
    <row r="30" spans="1:16">
      <c r="A30" s="68"/>
      <c r="B30" s="87"/>
      <c r="C30" s="88"/>
      <c r="D30" s="88"/>
      <c r="E30" s="90"/>
      <c r="F30" s="84" t="str">
        <f ca="1">IF(D30="Income",LOOKUP(E30,Introduction!$A$11:$A$18,Introduction!$C$11:$C$18),IF(D30="Expense",LOOKUP(E30,Introduction!$D$11:$D$30,Introduction!$F$11:$F$30),"_"))</f>
        <v>_</v>
      </c>
      <c r="G30" s="88"/>
      <c r="H30" s="92"/>
      <c r="I30" s="85">
        <f t="shared" si="3"/>
        <v>0</v>
      </c>
      <c r="J30" s="93"/>
      <c r="K30" s="85">
        <f t="shared" si="4"/>
        <v>0</v>
      </c>
      <c r="L30" s="68"/>
      <c r="M30" s="68"/>
      <c r="P30" s="89" t="str">
        <f t="shared" si="2"/>
        <v xml:space="preserve">  1 1900 </v>
      </c>
    </row>
    <row r="31" spans="1:16">
      <c r="A31" s="68"/>
      <c r="B31" s="87"/>
      <c r="C31" s="88"/>
      <c r="D31" s="88"/>
      <c r="E31" s="90"/>
      <c r="F31" s="84" t="str">
        <f ca="1">IF(D31="Income",LOOKUP(E31,Introduction!$A$11:$A$18,Introduction!$C$11:$C$18),IF(D31="Expense",LOOKUP(E31,Introduction!$D$11:$D$30,Introduction!$F$11:$F$30),"_"))</f>
        <v>_</v>
      </c>
      <c r="G31" s="88"/>
      <c r="H31" s="92"/>
      <c r="I31" s="85">
        <f t="shared" si="3"/>
        <v>0</v>
      </c>
      <c r="J31" s="93"/>
      <c r="K31" s="85">
        <f t="shared" si="4"/>
        <v>0</v>
      </c>
      <c r="L31" s="68"/>
      <c r="M31" s="68"/>
      <c r="P31" s="89" t="str">
        <f t="shared" si="2"/>
        <v xml:space="preserve">  1 1900 </v>
      </c>
    </row>
    <row r="32" spans="1:16">
      <c r="A32" s="68"/>
      <c r="B32" s="87"/>
      <c r="C32" s="88"/>
      <c r="D32" s="88"/>
      <c r="E32" s="90"/>
      <c r="F32" s="84" t="str">
        <f ca="1">IF(D32="Income",LOOKUP(E32,Introduction!$A$11:$A$18,Introduction!$C$11:$C$18),IF(D32="Expense",LOOKUP(E32,Introduction!$D$11:$D$30,Introduction!$F$11:$F$30),"_"))</f>
        <v>_</v>
      </c>
      <c r="G32" s="88"/>
      <c r="H32" s="91"/>
      <c r="I32" s="85">
        <f t="shared" si="3"/>
        <v>0</v>
      </c>
      <c r="J32" s="93"/>
      <c r="K32" s="85">
        <f t="shared" si="4"/>
        <v>0</v>
      </c>
      <c r="L32" s="68"/>
      <c r="M32" s="68"/>
      <c r="P32" s="89" t="str">
        <f t="shared" si="2"/>
        <v xml:space="preserve">  1 1900 </v>
      </c>
    </row>
    <row r="33" spans="1:16">
      <c r="A33" s="68"/>
      <c r="B33" s="87"/>
      <c r="C33" s="88"/>
      <c r="D33" s="88"/>
      <c r="E33" s="90"/>
      <c r="F33" s="84" t="str">
        <f ca="1">IF(D33="Income",LOOKUP(E33,Introduction!$A$11:$A$18,Introduction!$C$11:$C$18),IF(D33="Expense",LOOKUP(E33,Introduction!$D$11:$D$30,Introduction!$F$11:$F$30),"_"))</f>
        <v>_</v>
      </c>
      <c r="G33" s="88"/>
      <c r="H33" s="91"/>
      <c r="I33" s="85">
        <f t="shared" si="3"/>
        <v>0</v>
      </c>
      <c r="J33" s="93"/>
      <c r="K33" s="85">
        <f t="shared" si="4"/>
        <v>0</v>
      </c>
      <c r="L33" s="68"/>
      <c r="M33" s="68"/>
      <c r="P33" s="89" t="str">
        <f t="shared" si="2"/>
        <v xml:space="preserve">  1 1900 </v>
      </c>
    </row>
    <row r="34" spans="1:16">
      <c r="A34" s="68"/>
      <c r="B34" s="87"/>
      <c r="C34" s="88"/>
      <c r="D34" s="88"/>
      <c r="E34" s="90"/>
      <c r="F34" s="84" t="str">
        <f ca="1">IF(D34="Income",LOOKUP(E34,Introduction!$A$11:$A$18,Introduction!$C$11:$C$18),IF(D34="Expense",LOOKUP(E34,Introduction!$D$11:$D$30,Introduction!$F$11:$F$30),"_"))</f>
        <v>_</v>
      </c>
      <c r="G34" s="88"/>
      <c r="H34" s="91"/>
      <c r="I34" s="85">
        <f t="shared" si="3"/>
        <v>0</v>
      </c>
      <c r="J34" s="93"/>
      <c r="K34" s="85">
        <f t="shared" si="4"/>
        <v>0</v>
      </c>
      <c r="L34" s="68"/>
      <c r="M34" s="68"/>
      <c r="P34" s="89" t="str">
        <f t="shared" si="2"/>
        <v xml:space="preserve">  1 1900 </v>
      </c>
    </row>
    <row r="35" spans="1:16">
      <c r="A35" s="68"/>
      <c r="B35" s="87"/>
      <c r="C35" s="88"/>
      <c r="D35" s="88"/>
      <c r="E35" s="90"/>
      <c r="F35" s="84" t="str">
        <f ca="1">IF(D35="Income",LOOKUP(E35,Introduction!$A$11:$A$18,Introduction!$C$11:$C$18),IF(D35="Expense",LOOKUP(E35,Introduction!$D$11:$D$30,Introduction!$F$11:$F$30),"_"))</f>
        <v>_</v>
      </c>
      <c r="G35" s="88"/>
      <c r="H35" s="91"/>
      <c r="I35" s="85">
        <f t="shared" si="3"/>
        <v>0</v>
      </c>
      <c r="J35" s="93"/>
      <c r="K35" s="85">
        <f t="shared" si="4"/>
        <v>0</v>
      </c>
      <c r="L35" s="68"/>
      <c r="M35" s="68"/>
      <c r="P35" s="89" t="str">
        <f t="shared" si="2"/>
        <v xml:space="preserve">  1 1900 </v>
      </c>
    </row>
    <row r="36" spans="1:16">
      <c r="A36" s="68"/>
      <c r="B36" s="87"/>
      <c r="C36" s="88"/>
      <c r="D36" s="88"/>
      <c r="E36" s="90"/>
      <c r="F36" s="84" t="str">
        <f ca="1">IF(D36="Income",LOOKUP(E36,Introduction!$A$11:$A$18,Introduction!$C$11:$C$18),IF(D36="Expense",LOOKUP(E36,Introduction!$D$11:$D$30,Introduction!$F$11:$F$30),"_"))</f>
        <v>_</v>
      </c>
      <c r="G36" s="88"/>
      <c r="H36" s="91"/>
      <c r="I36" s="85">
        <f t="shared" si="3"/>
        <v>0</v>
      </c>
      <c r="J36" s="93"/>
      <c r="K36" s="85">
        <f t="shared" si="4"/>
        <v>0</v>
      </c>
      <c r="L36" s="68"/>
      <c r="M36" s="68"/>
      <c r="P36" s="89" t="str">
        <f t="shared" si="2"/>
        <v xml:space="preserve">  1 1900 </v>
      </c>
    </row>
    <row r="37" spans="1:16">
      <c r="A37" s="68"/>
      <c r="B37" s="87"/>
      <c r="C37" s="88"/>
      <c r="D37" s="88"/>
      <c r="E37" s="90"/>
      <c r="F37" s="84" t="str">
        <f ca="1">IF(D37="Income",LOOKUP(E37,Introduction!$A$11:$A$18,Introduction!$C$11:$C$18),IF(D37="Expense",LOOKUP(E37,Introduction!$D$11:$D$30,Introduction!$F$11:$F$30),"_"))</f>
        <v>_</v>
      </c>
      <c r="G37" s="88"/>
      <c r="H37" s="91"/>
      <c r="I37" s="85">
        <f t="shared" si="3"/>
        <v>0</v>
      </c>
      <c r="J37" s="93"/>
      <c r="K37" s="85">
        <f t="shared" si="4"/>
        <v>0</v>
      </c>
      <c r="L37" s="68"/>
      <c r="M37" s="68"/>
      <c r="P37" s="89" t="str">
        <f t="shared" si="2"/>
        <v xml:space="preserve">  1 1900 </v>
      </c>
    </row>
    <row r="38" spans="1:16">
      <c r="A38" s="68"/>
      <c r="B38" s="87"/>
      <c r="C38" s="88"/>
      <c r="D38" s="88"/>
      <c r="E38" s="90"/>
      <c r="F38" s="84" t="str">
        <f ca="1">IF(D38="Income",LOOKUP(E38,Introduction!$A$11:$A$18,Introduction!$C$11:$C$18),IF(D38="Expense",LOOKUP(E38,Introduction!$D$11:$D$30,Introduction!$F$11:$F$30),"_"))</f>
        <v>_</v>
      </c>
      <c r="G38" s="88"/>
      <c r="H38" s="91"/>
      <c r="I38" s="85">
        <f t="shared" si="3"/>
        <v>0</v>
      </c>
      <c r="J38" s="93"/>
      <c r="K38" s="85">
        <f t="shared" si="4"/>
        <v>0</v>
      </c>
      <c r="L38" s="68"/>
      <c r="M38" s="68"/>
      <c r="P38" s="89" t="str">
        <f t="shared" si="2"/>
        <v xml:space="preserve">  1 1900 </v>
      </c>
    </row>
    <row r="39" spans="1:16">
      <c r="A39" s="68"/>
      <c r="B39" s="87"/>
      <c r="C39" s="88"/>
      <c r="D39" s="88"/>
      <c r="E39" s="90"/>
      <c r="F39" s="84" t="str">
        <f ca="1">IF(D39="Income",LOOKUP(E39,Introduction!$A$11:$A$18,Introduction!$C$11:$C$18),IF(D39="Expense",LOOKUP(E39,Introduction!$D$11:$D$30,Introduction!$F$11:$F$30),"_"))</f>
        <v>_</v>
      </c>
      <c r="G39" s="88"/>
      <c r="H39" s="91"/>
      <c r="I39" s="85">
        <f t="shared" si="3"/>
        <v>0</v>
      </c>
      <c r="J39" s="93"/>
      <c r="K39" s="85">
        <f t="shared" si="4"/>
        <v>0</v>
      </c>
      <c r="L39" s="68"/>
      <c r="M39" s="68"/>
      <c r="P39" s="89" t="str">
        <f t="shared" si="2"/>
        <v xml:space="preserve">  1 1900 </v>
      </c>
    </row>
    <row r="40" spans="1:16">
      <c r="A40" s="68"/>
      <c r="B40" s="87"/>
      <c r="C40" s="88"/>
      <c r="D40" s="88"/>
      <c r="E40" s="90"/>
      <c r="F40" s="84" t="str">
        <f ca="1">IF(D40="Income",LOOKUP(E40,Introduction!$A$11:$A$18,Introduction!$C$11:$C$18),IF(D40="Expense",LOOKUP(E40,Introduction!$D$11:$D$30,Introduction!$F$11:$F$30),"_"))</f>
        <v>_</v>
      </c>
      <c r="G40" s="88"/>
      <c r="H40" s="92"/>
      <c r="I40" s="85">
        <f t="shared" si="3"/>
        <v>0</v>
      </c>
      <c r="J40" s="93"/>
      <c r="K40" s="85">
        <f t="shared" si="4"/>
        <v>0</v>
      </c>
      <c r="L40" s="68"/>
      <c r="M40" s="68"/>
      <c r="P40" s="89" t="str">
        <f t="shared" si="2"/>
        <v xml:space="preserve">  1 1900 </v>
      </c>
    </row>
    <row r="41" spans="1:16">
      <c r="A41" s="68"/>
      <c r="B41" s="87"/>
      <c r="C41" s="88"/>
      <c r="D41" s="88"/>
      <c r="E41" s="90"/>
      <c r="F41" s="84" t="str">
        <f ca="1">IF(D41="Income",LOOKUP(E41,Introduction!$A$11:$A$18,Introduction!$C$11:$C$18),IF(D41="Expense",LOOKUP(E41,Introduction!$D$11:$D$30,Introduction!$F$11:$F$30),"_"))</f>
        <v>_</v>
      </c>
      <c r="G41" s="88"/>
      <c r="H41" s="92"/>
      <c r="I41" s="85">
        <f t="shared" si="3"/>
        <v>0</v>
      </c>
      <c r="J41" s="93"/>
      <c r="K41" s="85">
        <f t="shared" si="4"/>
        <v>0</v>
      </c>
      <c r="L41" s="68"/>
      <c r="M41" s="68"/>
      <c r="P41" s="89" t="str">
        <f t="shared" si="2"/>
        <v xml:space="preserve">  1 1900 </v>
      </c>
    </row>
    <row r="42" spans="1:16">
      <c r="A42" s="68"/>
      <c r="B42" s="87"/>
      <c r="C42" s="88"/>
      <c r="D42" s="88"/>
      <c r="E42" s="90"/>
      <c r="F42" s="84" t="str">
        <f ca="1">IF(D42="Income",LOOKUP(E42,Introduction!$A$11:$A$18,Introduction!$C$11:$C$18),IF(D42="Expense",LOOKUP(E42,Introduction!$D$11:$D$30,Introduction!$F$11:$F$30),"_"))</f>
        <v>_</v>
      </c>
      <c r="G42" s="88"/>
      <c r="H42" s="92"/>
      <c r="I42" s="85">
        <f t="shared" si="3"/>
        <v>0</v>
      </c>
      <c r="J42" s="93"/>
      <c r="K42" s="85">
        <f t="shared" si="4"/>
        <v>0</v>
      </c>
      <c r="L42" s="68"/>
      <c r="M42" s="68"/>
      <c r="P42" s="89" t="str">
        <f t="shared" si="2"/>
        <v xml:space="preserve">  1 1900 </v>
      </c>
    </row>
    <row r="43" spans="1:16">
      <c r="A43" s="68"/>
      <c r="B43" s="87"/>
      <c r="C43" s="88"/>
      <c r="D43" s="88"/>
      <c r="E43" s="90"/>
      <c r="F43" s="84" t="str">
        <f ca="1">IF(D43="Income",LOOKUP(E43,Introduction!$A$11:$A$18,Introduction!$C$11:$C$18),IF(D43="Expense",LOOKUP(E43,Introduction!$D$11:$D$30,Introduction!$F$11:$F$30),"_"))</f>
        <v>_</v>
      </c>
      <c r="G43" s="88"/>
      <c r="H43" s="92"/>
      <c r="I43" s="85">
        <f t="shared" si="3"/>
        <v>0</v>
      </c>
      <c r="J43" s="93"/>
      <c r="K43" s="85">
        <f t="shared" si="4"/>
        <v>0</v>
      </c>
      <c r="L43" s="68"/>
      <c r="M43" s="68"/>
      <c r="P43" s="89" t="str">
        <f t="shared" si="2"/>
        <v xml:space="preserve">  1 1900 </v>
      </c>
    </row>
    <row r="44" spans="1:16">
      <c r="A44" s="68"/>
      <c r="B44" s="87"/>
      <c r="C44" s="88"/>
      <c r="D44" s="88"/>
      <c r="E44" s="90"/>
      <c r="F44" s="84" t="str">
        <f ca="1">IF(D44="Income",LOOKUP(E44,Introduction!$A$11:$A$18,Introduction!$C$11:$C$18),IF(D44="Expense",LOOKUP(E44,Introduction!$D$11:$D$30,Introduction!$F$11:$F$30),"_"))</f>
        <v>_</v>
      </c>
      <c r="G44" s="88"/>
      <c r="H44" s="92"/>
      <c r="I44" s="85">
        <f t="shared" si="3"/>
        <v>0</v>
      </c>
      <c r="J44" s="93"/>
      <c r="K44" s="85">
        <f t="shared" si="4"/>
        <v>0</v>
      </c>
      <c r="L44" s="68"/>
      <c r="M44" s="68"/>
      <c r="P44" s="89" t="str">
        <f t="shared" si="2"/>
        <v xml:space="preserve">  1 1900 </v>
      </c>
    </row>
    <row r="45" spans="1:16">
      <c r="A45" s="68"/>
      <c r="B45" s="87"/>
      <c r="C45" s="88"/>
      <c r="D45" s="88"/>
      <c r="E45" s="90"/>
      <c r="F45" s="84" t="str">
        <f ca="1">IF(D45="Income",LOOKUP(E45,Introduction!$A$11:$A$18,Introduction!$C$11:$C$18),IF(D45="Expense",LOOKUP(E45,Introduction!$D$11:$D$30,Introduction!$F$11:$F$30),"_"))</f>
        <v>_</v>
      </c>
      <c r="G45" s="88"/>
      <c r="H45" s="91"/>
      <c r="I45" s="85">
        <f t="shared" si="3"/>
        <v>0</v>
      </c>
      <c r="J45" s="93"/>
      <c r="K45" s="85">
        <f t="shared" si="4"/>
        <v>0</v>
      </c>
      <c r="L45" s="68"/>
      <c r="M45" s="68"/>
      <c r="P45" s="89" t="str">
        <f t="shared" si="2"/>
        <v xml:space="preserve">  1 1900 </v>
      </c>
    </row>
    <row r="46" spans="1:16">
      <c r="A46" s="68"/>
      <c r="B46" s="87"/>
      <c r="C46" s="88"/>
      <c r="D46" s="88"/>
      <c r="E46" s="90"/>
      <c r="F46" s="84" t="str">
        <f ca="1">IF(D46="Income",LOOKUP(E46,Introduction!$A$11:$A$18,Introduction!$C$11:$C$18),IF(D46="Expense",LOOKUP(E46,Introduction!$D$11:$D$30,Introduction!$F$11:$F$30),"_"))</f>
        <v>_</v>
      </c>
      <c r="G46" s="88"/>
      <c r="H46" s="91"/>
      <c r="I46" s="85">
        <f t="shared" si="3"/>
        <v>0</v>
      </c>
      <c r="J46" s="93"/>
      <c r="K46" s="85">
        <f t="shared" si="4"/>
        <v>0</v>
      </c>
      <c r="L46" s="68"/>
      <c r="M46" s="68"/>
      <c r="P46" s="89" t="str">
        <f t="shared" si="2"/>
        <v xml:space="preserve">  1 1900 </v>
      </c>
    </row>
    <row r="47" spans="1:16">
      <c r="A47" s="68"/>
      <c r="B47" s="87"/>
      <c r="C47" s="88"/>
      <c r="D47" s="88"/>
      <c r="E47" s="90"/>
      <c r="F47" s="84" t="str">
        <f ca="1">IF(D47="Income",LOOKUP(E47,Introduction!$A$11:$A$18,Introduction!$C$11:$C$18),IF(D47="Expense",LOOKUP(E47,Introduction!$D$11:$D$30,Introduction!$F$11:$F$30),"_"))</f>
        <v>_</v>
      </c>
      <c r="G47" s="88"/>
      <c r="H47" s="91"/>
      <c r="I47" s="85">
        <f t="shared" si="3"/>
        <v>0</v>
      </c>
      <c r="J47" s="93"/>
      <c r="K47" s="85">
        <f t="shared" si="4"/>
        <v>0</v>
      </c>
      <c r="L47" s="68"/>
      <c r="M47" s="68"/>
      <c r="P47" s="89" t="str">
        <f t="shared" si="2"/>
        <v xml:space="preserve">  1 1900 </v>
      </c>
    </row>
    <row r="48" spans="1:16">
      <c r="A48" s="68"/>
      <c r="B48" s="87"/>
      <c r="C48" s="88"/>
      <c r="D48" s="88"/>
      <c r="E48" s="90"/>
      <c r="F48" s="84" t="str">
        <f ca="1">IF(D48="Income",LOOKUP(E48,Introduction!$A$11:$A$18,Introduction!$C$11:$C$18),IF(D48="Expense",LOOKUP(E48,Introduction!$D$11:$D$30,Introduction!$F$11:$F$30),"_"))</f>
        <v>_</v>
      </c>
      <c r="G48" s="88"/>
      <c r="H48" s="91"/>
      <c r="I48" s="85">
        <f t="shared" si="3"/>
        <v>0</v>
      </c>
      <c r="J48" s="93"/>
      <c r="K48" s="85">
        <f t="shared" si="4"/>
        <v>0</v>
      </c>
      <c r="L48" s="68"/>
      <c r="M48" s="68"/>
      <c r="P48" s="89" t="str">
        <f t="shared" si="2"/>
        <v xml:space="preserve">  1 1900 </v>
      </c>
    </row>
    <row r="49" spans="1:16">
      <c r="A49" s="68"/>
      <c r="B49" s="87"/>
      <c r="C49" s="88"/>
      <c r="D49" s="88"/>
      <c r="E49" s="90"/>
      <c r="F49" s="84" t="str">
        <f ca="1">IF(D49="Income",LOOKUP(E49,Introduction!$A$11:$A$18,Introduction!$C$11:$C$18),IF(D49="Expense",LOOKUP(E49,Introduction!$D$11:$D$30,Introduction!$F$11:$F$30),"_"))</f>
        <v>_</v>
      </c>
      <c r="G49" s="88"/>
      <c r="H49" s="91"/>
      <c r="I49" s="85">
        <f t="shared" si="3"/>
        <v>0</v>
      </c>
      <c r="J49" s="93"/>
      <c r="K49" s="85">
        <f t="shared" si="4"/>
        <v>0</v>
      </c>
      <c r="L49" s="68"/>
      <c r="M49" s="68"/>
      <c r="P49" s="89" t="str">
        <f t="shared" si="2"/>
        <v xml:space="preserve">  1 1900 </v>
      </c>
    </row>
    <row r="50" spans="1:16">
      <c r="A50" s="68"/>
      <c r="B50" s="87"/>
      <c r="C50" s="88"/>
      <c r="D50" s="88"/>
      <c r="E50" s="90"/>
      <c r="F50" s="84" t="str">
        <f ca="1">IF(D50="Income",LOOKUP(E50,Introduction!$A$11:$A$18,Introduction!$C$11:$C$18),IF(D50="Expense",LOOKUP(E50,Introduction!$D$11:$D$30,Introduction!$F$11:$F$30),"_"))</f>
        <v>_</v>
      </c>
      <c r="G50" s="88"/>
      <c r="H50" s="91"/>
      <c r="I50" s="85">
        <f t="shared" si="3"/>
        <v>0</v>
      </c>
      <c r="J50" s="93"/>
      <c r="K50" s="85">
        <f t="shared" si="4"/>
        <v>0</v>
      </c>
      <c r="L50" s="68"/>
      <c r="M50" s="68"/>
      <c r="P50" s="89" t="str">
        <f t="shared" si="2"/>
        <v xml:space="preserve">  1 1900 </v>
      </c>
    </row>
    <row r="51" spans="1:16">
      <c r="A51" s="68"/>
      <c r="B51" s="87"/>
      <c r="C51" s="88"/>
      <c r="D51" s="88"/>
      <c r="E51" s="90"/>
      <c r="F51" s="84" t="str">
        <f ca="1">IF(D51="Income",LOOKUP(E51,Introduction!$A$11:$A$18,Introduction!$C$11:$C$18),IF(D51="Expense",LOOKUP(E51,Introduction!$D$11:$D$30,Introduction!$F$11:$F$30),"_"))</f>
        <v>_</v>
      </c>
      <c r="G51" s="88"/>
      <c r="H51" s="91"/>
      <c r="I51" s="85">
        <f t="shared" si="3"/>
        <v>0</v>
      </c>
      <c r="J51" s="93"/>
      <c r="K51" s="85">
        <f t="shared" si="4"/>
        <v>0</v>
      </c>
      <c r="L51" s="68"/>
      <c r="M51" s="68"/>
      <c r="P51" s="89" t="str">
        <f t="shared" si="2"/>
        <v xml:space="preserve">  1 1900 </v>
      </c>
    </row>
    <row r="52" spans="1:16">
      <c r="A52" s="68"/>
      <c r="B52" s="87"/>
      <c r="C52" s="88"/>
      <c r="D52" s="88"/>
      <c r="E52" s="90"/>
      <c r="F52" s="84" t="str">
        <f ca="1">IF(D52="Income",LOOKUP(E52,Introduction!$A$11:$A$18,Introduction!$C$11:$C$18),IF(D52="Expense",LOOKUP(E52,Introduction!$D$11:$D$30,Introduction!$F$11:$F$30),"_"))</f>
        <v>_</v>
      </c>
      <c r="G52" s="88"/>
      <c r="H52" s="91"/>
      <c r="I52" s="85">
        <f t="shared" si="3"/>
        <v>0</v>
      </c>
      <c r="J52" s="93"/>
      <c r="K52" s="85">
        <f t="shared" si="4"/>
        <v>0</v>
      </c>
      <c r="L52" s="68"/>
      <c r="M52" s="68"/>
      <c r="P52" s="89" t="str">
        <f t="shared" si="2"/>
        <v xml:space="preserve">  1 1900 </v>
      </c>
    </row>
    <row r="53" spans="1:16">
      <c r="A53" s="68"/>
      <c r="B53" s="87"/>
      <c r="C53" s="88"/>
      <c r="D53" s="88"/>
      <c r="E53" s="90"/>
      <c r="F53" s="84" t="str">
        <f ca="1">IF(D53="Income",LOOKUP(E53,Introduction!$A$11:$A$18,Introduction!$C$11:$C$18),IF(D53="Expense",LOOKUP(E53,Introduction!$D$11:$D$30,Introduction!$F$11:$F$30),"_"))</f>
        <v>_</v>
      </c>
      <c r="G53" s="88"/>
      <c r="H53" s="92"/>
      <c r="I53" s="85">
        <f t="shared" si="3"/>
        <v>0</v>
      </c>
      <c r="J53" s="93"/>
      <c r="K53" s="85">
        <f t="shared" si="4"/>
        <v>0</v>
      </c>
      <c r="L53" s="68"/>
      <c r="M53" s="68"/>
      <c r="P53" s="89" t="str">
        <f t="shared" si="2"/>
        <v xml:space="preserve">  1 1900 </v>
      </c>
    </row>
    <row r="54" spans="1:16">
      <c r="A54" s="68"/>
      <c r="B54" s="87"/>
      <c r="C54" s="88"/>
      <c r="D54" s="88"/>
      <c r="E54" s="90"/>
      <c r="F54" s="84" t="str">
        <f ca="1">IF(D54="Income",LOOKUP(E54,Introduction!$A$11:$A$18,Introduction!$C$11:$C$18),IF(D54="Expense",LOOKUP(E54,Introduction!$D$11:$D$30,Introduction!$F$11:$F$30),"_"))</f>
        <v>_</v>
      </c>
      <c r="G54" s="88"/>
      <c r="H54" s="92"/>
      <c r="I54" s="85">
        <f t="shared" si="3"/>
        <v>0</v>
      </c>
      <c r="J54" s="93"/>
      <c r="K54" s="85">
        <f t="shared" si="4"/>
        <v>0</v>
      </c>
      <c r="L54" s="68"/>
      <c r="M54" s="68"/>
      <c r="P54" s="89" t="str">
        <f t="shared" si="2"/>
        <v xml:space="preserve">  1 1900 </v>
      </c>
    </row>
    <row r="55" spans="1:16">
      <c r="A55" s="68"/>
      <c r="B55" s="87"/>
      <c r="C55" s="88"/>
      <c r="D55" s="88"/>
      <c r="E55" s="90"/>
      <c r="F55" s="84" t="str">
        <f ca="1">IF(D55="Income",LOOKUP(E55,Introduction!$A$11:$A$18,Introduction!$C$11:$C$18),IF(D55="Expense",LOOKUP(E55,Introduction!$D$11:$D$30,Introduction!$F$11:$F$30),"_"))</f>
        <v>_</v>
      </c>
      <c r="G55" s="88"/>
      <c r="H55" s="92"/>
      <c r="I55" s="85">
        <f t="shared" si="3"/>
        <v>0</v>
      </c>
      <c r="J55" s="93"/>
      <c r="K55" s="85">
        <f t="shared" si="4"/>
        <v>0</v>
      </c>
      <c r="L55" s="68"/>
      <c r="M55" s="68"/>
      <c r="P55" s="89" t="str">
        <f t="shared" si="2"/>
        <v xml:space="preserve">  1 1900 </v>
      </c>
    </row>
    <row r="56" spans="1:16">
      <c r="A56" s="68"/>
      <c r="B56" s="87"/>
      <c r="C56" s="88"/>
      <c r="D56" s="88"/>
      <c r="E56" s="90"/>
      <c r="F56" s="84" t="str">
        <f ca="1">IF(D56="Income",LOOKUP(E56,Introduction!$A$11:$A$18,Introduction!$C$11:$C$18),IF(D56="Expense",LOOKUP(E56,Introduction!$D$11:$D$30,Introduction!$F$11:$F$30),"_"))</f>
        <v>_</v>
      </c>
      <c r="G56" s="88"/>
      <c r="H56" s="92"/>
      <c r="I56" s="85">
        <f t="shared" si="3"/>
        <v>0</v>
      </c>
      <c r="J56" s="93"/>
      <c r="K56" s="85">
        <f t="shared" si="4"/>
        <v>0</v>
      </c>
      <c r="L56" s="68"/>
      <c r="M56" s="68"/>
      <c r="P56" s="89" t="str">
        <f t="shared" si="2"/>
        <v xml:space="preserve">  1 1900 </v>
      </c>
    </row>
    <row r="57" spans="1:16">
      <c r="A57" s="68"/>
      <c r="B57" s="87"/>
      <c r="C57" s="88"/>
      <c r="D57" s="88"/>
      <c r="E57" s="90"/>
      <c r="F57" s="84" t="str">
        <f ca="1">IF(D57="Income",LOOKUP(E57,Introduction!$A$11:$A$18,Introduction!$C$11:$C$18),IF(D57="Expense",LOOKUP(E57,Introduction!$D$11:$D$30,Introduction!$F$11:$F$30),"_"))</f>
        <v>_</v>
      </c>
      <c r="G57" s="88"/>
      <c r="H57" s="92"/>
      <c r="I57" s="85">
        <f t="shared" si="3"/>
        <v>0</v>
      </c>
      <c r="J57" s="93"/>
      <c r="K57" s="85">
        <f t="shared" si="4"/>
        <v>0</v>
      </c>
      <c r="L57" s="68"/>
      <c r="M57" s="68"/>
      <c r="P57" s="89" t="str">
        <f t="shared" si="2"/>
        <v xml:space="preserve">  1 1900 </v>
      </c>
    </row>
    <row r="58" spans="1:16">
      <c r="A58" s="68"/>
      <c r="B58" s="87"/>
      <c r="C58" s="88"/>
      <c r="D58" s="88"/>
      <c r="E58" s="90"/>
      <c r="F58" s="84" t="str">
        <f ca="1">IF(D58="Income",LOOKUP(E58,Introduction!$A$11:$A$18,Introduction!$C$11:$C$18),IF(D58="Expense",LOOKUP(E58,Introduction!$D$11:$D$30,Introduction!$F$11:$F$30),"_"))</f>
        <v>_</v>
      </c>
      <c r="G58" s="88"/>
      <c r="H58" s="91"/>
      <c r="I58" s="85">
        <f t="shared" si="3"/>
        <v>0</v>
      </c>
      <c r="J58" s="93"/>
      <c r="K58" s="85">
        <f t="shared" si="4"/>
        <v>0</v>
      </c>
      <c r="L58" s="68"/>
      <c r="M58" s="68"/>
      <c r="P58" s="89" t="str">
        <f t="shared" si="2"/>
        <v xml:space="preserve">  1 1900 </v>
      </c>
    </row>
    <row r="59" spans="1:16">
      <c r="A59" s="68"/>
      <c r="B59" s="87"/>
      <c r="C59" s="88"/>
      <c r="D59" s="88"/>
      <c r="E59" s="90"/>
      <c r="F59" s="84" t="str">
        <f ca="1">IF(D59="Income",LOOKUP(E59,Introduction!$A$11:$A$18,Introduction!$C$11:$C$18),IF(D59="Expense",LOOKUP(E59,Introduction!$D$11:$D$30,Introduction!$F$11:$F$30),"_"))</f>
        <v>_</v>
      </c>
      <c r="G59" s="88"/>
      <c r="H59" s="91"/>
      <c r="I59" s="85">
        <f t="shared" si="3"/>
        <v>0</v>
      </c>
      <c r="J59" s="93"/>
      <c r="K59" s="85">
        <f t="shared" si="4"/>
        <v>0</v>
      </c>
      <c r="L59" s="68"/>
      <c r="M59" s="68"/>
      <c r="P59" s="89" t="str">
        <f t="shared" si="2"/>
        <v xml:space="preserve">  1 1900 </v>
      </c>
    </row>
    <row r="60" spans="1:16">
      <c r="A60" s="68"/>
      <c r="B60" s="87"/>
      <c r="C60" s="88"/>
      <c r="D60" s="88"/>
      <c r="E60" s="90"/>
      <c r="F60" s="84" t="str">
        <f ca="1">IF(D60="Income",LOOKUP(E60,Introduction!$A$11:$A$18,Introduction!$C$11:$C$18),IF(D60="Expense",LOOKUP(E60,Introduction!$D$11:$D$30,Introduction!$F$11:$F$30),"_"))</f>
        <v>_</v>
      </c>
      <c r="G60" s="88"/>
      <c r="H60" s="91"/>
      <c r="I60" s="85">
        <f t="shared" si="3"/>
        <v>0</v>
      </c>
      <c r="J60" s="93"/>
      <c r="K60" s="85">
        <f t="shared" si="4"/>
        <v>0</v>
      </c>
      <c r="L60" s="68"/>
      <c r="M60" s="68"/>
      <c r="P60" s="89" t="str">
        <f t="shared" si="2"/>
        <v xml:space="preserve">  1 1900 </v>
      </c>
    </row>
    <row r="61" spans="1:16">
      <c r="A61" s="68"/>
      <c r="B61" s="87"/>
      <c r="C61" s="88"/>
      <c r="D61" s="88"/>
      <c r="E61" s="90"/>
      <c r="F61" s="84" t="str">
        <f ca="1">IF(D61="Income",LOOKUP(E61,Introduction!$A$11:$A$18,Introduction!$C$11:$C$18),IF(D61="Expense",LOOKUP(E61,Introduction!$D$11:$D$30,Introduction!$F$11:$F$30),"_"))</f>
        <v>_</v>
      </c>
      <c r="G61" s="88"/>
      <c r="H61" s="91"/>
      <c r="I61" s="85">
        <f t="shared" si="3"/>
        <v>0</v>
      </c>
      <c r="J61" s="93"/>
      <c r="K61" s="85">
        <f t="shared" si="4"/>
        <v>0</v>
      </c>
      <c r="L61" s="68"/>
      <c r="M61" s="68"/>
      <c r="P61" s="89" t="str">
        <f t="shared" si="2"/>
        <v xml:space="preserve">  1 1900 </v>
      </c>
    </row>
    <row r="62" spans="1:16">
      <c r="A62" s="68"/>
      <c r="B62" s="87"/>
      <c r="C62" s="88"/>
      <c r="D62" s="88"/>
      <c r="E62" s="90"/>
      <c r="F62" s="84" t="str">
        <f ca="1">IF(D62="Income",LOOKUP(E62,Introduction!$A$11:$A$18,Introduction!$C$11:$C$18),IF(D62="Expense",LOOKUP(E62,Introduction!$D$11:$D$30,Introduction!$F$11:$F$30),"_"))</f>
        <v>_</v>
      </c>
      <c r="G62" s="88"/>
      <c r="H62" s="91"/>
      <c r="I62" s="85">
        <f t="shared" si="3"/>
        <v>0</v>
      </c>
      <c r="J62" s="93"/>
      <c r="K62" s="85">
        <f t="shared" si="4"/>
        <v>0</v>
      </c>
      <c r="L62" s="68"/>
      <c r="M62" s="68"/>
      <c r="P62" s="89" t="str">
        <f t="shared" si="2"/>
        <v xml:space="preserve">  1 1900 </v>
      </c>
    </row>
    <row r="63" spans="1:16">
      <c r="A63" s="68"/>
      <c r="B63" s="87"/>
      <c r="C63" s="88"/>
      <c r="D63" s="88"/>
      <c r="E63" s="90"/>
      <c r="F63" s="84" t="str">
        <f ca="1">IF(D63="Income",LOOKUP(E63,Introduction!$A$11:$A$18,Introduction!$C$11:$C$18),IF(D63="Expense",LOOKUP(E63,Introduction!$D$11:$D$30,Introduction!$F$11:$F$30),"_"))</f>
        <v>_</v>
      </c>
      <c r="G63" s="88"/>
      <c r="H63" s="91"/>
      <c r="I63" s="85">
        <f t="shared" si="3"/>
        <v>0</v>
      </c>
      <c r="J63" s="93"/>
      <c r="K63" s="85">
        <f t="shared" si="4"/>
        <v>0</v>
      </c>
      <c r="L63" s="68"/>
      <c r="M63" s="68"/>
      <c r="P63" s="89" t="str">
        <f t="shared" si="2"/>
        <v xml:space="preserve">  1 1900 </v>
      </c>
    </row>
    <row r="64" spans="1:16">
      <c r="A64" s="68"/>
      <c r="B64" s="87"/>
      <c r="C64" s="88"/>
      <c r="D64" s="88"/>
      <c r="E64" s="90"/>
      <c r="F64" s="84" t="str">
        <f ca="1">IF(D64="Income",LOOKUP(E64,Introduction!$A$11:$A$18,Introduction!$C$11:$C$18),IF(D64="Expense",LOOKUP(E64,Introduction!$D$11:$D$30,Introduction!$F$11:$F$30),"_"))</f>
        <v>_</v>
      </c>
      <c r="G64" s="88"/>
      <c r="H64" s="91"/>
      <c r="I64" s="85">
        <f t="shared" si="3"/>
        <v>0</v>
      </c>
      <c r="J64" s="93"/>
      <c r="K64" s="85">
        <f t="shared" si="4"/>
        <v>0</v>
      </c>
      <c r="L64" s="68"/>
      <c r="M64" s="68"/>
      <c r="P64" s="89" t="str">
        <f t="shared" si="2"/>
        <v xml:space="preserve">  1 1900 </v>
      </c>
    </row>
    <row r="65" spans="1:16">
      <c r="A65" s="68"/>
      <c r="B65" s="87"/>
      <c r="C65" s="88"/>
      <c r="D65" s="88"/>
      <c r="E65" s="90"/>
      <c r="F65" s="84" t="str">
        <f ca="1">IF(D65="Income",LOOKUP(E65,Introduction!$A$11:$A$18,Introduction!$C$11:$C$18),IF(D65="Expense",LOOKUP(E65,Introduction!$D$11:$D$30,Introduction!$F$11:$F$30),"_"))</f>
        <v>_</v>
      </c>
      <c r="G65" s="88"/>
      <c r="H65" s="91"/>
      <c r="I65" s="85">
        <f t="shared" si="3"/>
        <v>0</v>
      </c>
      <c r="J65" s="93"/>
      <c r="K65" s="85">
        <f t="shared" si="4"/>
        <v>0</v>
      </c>
      <c r="L65" s="68"/>
      <c r="M65" s="68"/>
      <c r="P65" s="89" t="str">
        <f t="shared" si="2"/>
        <v xml:space="preserve">  1 1900 </v>
      </c>
    </row>
    <row r="66" spans="1:16">
      <c r="A66" s="68"/>
      <c r="B66" s="87"/>
      <c r="C66" s="88"/>
      <c r="D66" s="88"/>
      <c r="E66" s="90"/>
      <c r="F66" s="84" t="str">
        <f ca="1">IF(D66="Income",LOOKUP(E66,Introduction!$A$11:$A$18,Introduction!$C$11:$C$18),IF(D66="Expense",LOOKUP(E66,Introduction!$D$11:$D$30,Introduction!$F$11:$F$30),"_"))</f>
        <v>_</v>
      </c>
      <c r="G66" s="88"/>
      <c r="H66" s="92"/>
      <c r="I66" s="85">
        <f t="shared" si="3"/>
        <v>0</v>
      </c>
      <c r="J66" s="93"/>
      <c r="K66" s="85">
        <f t="shared" si="4"/>
        <v>0</v>
      </c>
      <c r="L66" s="68"/>
      <c r="M66" s="68"/>
      <c r="P66" s="89" t="str">
        <f t="shared" si="2"/>
        <v xml:space="preserve">  1 1900 </v>
      </c>
    </row>
    <row r="67" spans="1:16">
      <c r="A67" s="68"/>
      <c r="B67" s="87"/>
      <c r="C67" s="88"/>
      <c r="D67" s="88"/>
      <c r="E67" s="90"/>
      <c r="F67" s="84" t="str">
        <f ca="1">IF(D67="Income",LOOKUP(E67,Introduction!$A$11:$A$18,Introduction!$C$11:$C$18),IF(D67="Expense",LOOKUP(E67,Introduction!$D$11:$D$30,Introduction!$F$11:$F$30),"_"))</f>
        <v>_</v>
      </c>
      <c r="G67" s="88"/>
      <c r="H67" s="92"/>
      <c r="I67" s="85">
        <f t="shared" si="3"/>
        <v>0</v>
      </c>
      <c r="J67" s="93"/>
      <c r="K67" s="85">
        <f t="shared" si="4"/>
        <v>0</v>
      </c>
      <c r="L67" s="68"/>
      <c r="M67" s="68"/>
      <c r="P67" s="89" t="str">
        <f t="shared" si="2"/>
        <v xml:space="preserve">  1 1900 </v>
      </c>
    </row>
    <row r="68" spans="1:16">
      <c r="A68" s="68"/>
      <c r="B68" s="87"/>
      <c r="C68" s="88"/>
      <c r="D68" s="88"/>
      <c r="E68" s="90"/>
      <c r="F68" s="84" t="str">
        <f ca="1">IF(D68="Income",LOOKUP(E68,Introduction!$A$11:$A$18,Introduction!$C$11:$C$18),IF(D68="Expense",LOOKUP(E68,Introduction!$D$11:$D$30,Introduction!$F$11:$F$30),"_"))</f>
        <v>_</v>
      </c>
      <c r="G68" s="88"/>
      <c r="H68" s="92"/>
      <c r="I68" s="85">
        <f t="shared" si="3"/>
        <v>0</v>
      </c>
      <c r="J68" s="93"/>
      <c r="K68" s="85">
        <f t="shared" si="4"/>
        <v>0</v>
      </c>
      <c r="L68" s="68"/>
      <c r="M68" s="68"/>
      <c r="P68" s="89" t="str">
        <f t="shared" si="2"/>
        <v xml:space="preserve">  1 1900 </v>
      </c>
    </row>
    <row r="69" spans="1:16">
      <c r="A69" s="68"/>
      <c r="B69" s="87"/>
      <c r="C69" s="88"/>
      <c r="D69" s="88"/>
      <c r="E69" s="90"/>
      <c r="F69" s="84" t="str">
        <f ca="1">IF(D69="Income",LOOKUP(E69,Introduction!$A$11:$A$18,Introduction!$C$11:$C$18),IF(D69="Expense",LOOKUP(E69,Introduction!$D$11:$D$30,Introduction!$F$11:$F$30),"_"))</f>
        <v>_</v>
      </c>
      <c r="G69" s="88"/>
      <c r="H69" s="92"/>
      <c r="I69" s="85">
        <f t="shared" si="3"/>
        <v>0</v>
      </c>
      <c r="J69" s="93"/>
      <c r="K69" s="85">
        <f t="shared" si="4"/>
        <v>0</v>
      </c>
      <c r="L69" s="68"/>
      <c r="M69" s="68"/>
      <c r="P69" s="89" t="str">
        <f t="shared" si="2"/>
        <v xml:space="preserve">  1 1900 </v>
      </c>
    </row>
    <row r="70" spans="1:16">
      <c r="A70" s="68"/>
      <c r="B70" s="87"/>
      <c r="C70" s="88"/>
      <c r="D70" s="88"/>
      <c r="E70" s="90"/>
      <c r="F70" s="84" t="str">
        <f ca="1">IF(D70="Income",LOOKUP(E70,Introduction!$A$11:$A$18,Introduction!$C$11:$C$18),IF(D70="Expense",LOOKUP(E70,Introduction!$D$11:$D$30,Introduction!$F$11:$F$30),"_"))</f>
        <v>_</v>
      </c>
      <c r="G70" s="88"/>
      <c r="H70" s="92"/>
      <c r="I70" s="85">
        <f t="shared" si="3"/>
        <v>0</v>
      </c>
      <c r="J70" s="93"/>
      <c r="K70" s="85">
        <f t="shared" si="4"/>
        <v>0</v>
      </c>
      <c r="L70" s="68"/>
      <c r="M70" s="68"/>
      <c r="P70" s="89" t="str">
        <f t="shared" si="2"/>
        <v xml:space="preserve">  1 1900 </v>
      </c>
    </row>
    <row r="71" spans="1:16">
      <c r="A71" s="68"/>
      <c r="B71" s="87"/>
      <c r="C71" s="88"/>
      <c r="D71" s="88"/>
      <c r="E71" s="90"/>
      <c r="F71" s="84" t="str">
        <f ca="1">IF(D71="Income",LOOKUP(E71,Introduction!$A$11:$A$18,Introduction!$C$11:$C$18),IF(D71="Expense",LOOKUP(E71,Introduction!$D$11:$D$30,Introduction!$F$11:$F$30),"_"))</f>
        <v>_</v>
      </c>
      <c r="G71" s="88"/>
      <c r="H71" s="91"/>
      <c r="I71" s="85">
        <f t="shared" si="3"/>
        <v>0</v>
      </c>
      <c r="J71" s="93"/>
      <c r="K71" s="85">
        <f t="shared" si="4"/>
        <v>0</v>
      </c>
      <c r="L71" s="68"/>
      <c r="M71" s="68"/>
      <c r="P71" s="89" t="str">
        <f t="shared" ref="P71:P134" si="5">CONCATENATE(D71," ",E71," ",MONTH(C71)," ",YEAR(C71)," ")</f>
        <v xml:space="preserve">  1 1900 </v>
      </c>
    </row>
    <row r="72" spans="1:16">
      <c r="A72" s="68"/>
      <c r="B72" s="87"/>
      <c r="C72" s="88"/>
      <c r="D72" s="88"/>
      <c r="E72" s="90"/>
      <c r="F72" s="84" t="str">
        <f ca="1">IF(D72="Income",LOOKUP(E72,Introduction!$A$11:$A$18,Introduction!$C$11:$C$18),IF(D72="Expense",LOOKUP(E72,Introduction!$D$11:$D$30,Introduction!$F$11:$F$30),"_"))</f>
        <v>_</v>
      </c>
      <c r="G72" s="88"/>
      <c r="H72" s="91"/>
      <c r="I72" s="85">
        <f t="shared" si="3"/>
        <v>0</v>
      </c>
      <c r="J72" s="93"/>
      <c r="K72" s="85">
        <f t="shared" si="4"/>
        <v>0</v>
      </c>
      <c r="L72" s="68"/>
      <c r="M72" s="68"/>
      <c r="P72" s="89" t="str">
        <f t="shared" si="5"/>
        <v xml:space="preserve">  1 1900 </v>
      </c>
    </row>
    <row r="73" spans="1:16">
      <c r="A73" s="68"/>
      <c r="B73" s="87"/>
      <c r="C73" s="88"/>
      <c r="D73" s="88"/>
      <c r="E73" s="90"/>
      <c r="F73" s="84" t="str">
        <f ca="1">IF(D73="Income",LOOKUP(E73,Introduction!$A$11:$A$18,Introduction!$C$11:$C$18),IF(D73="Expense",LOOKUP(E73,Introduction!$D$11:$D$30,Introduction!$F$11:$F$30),"_"))</f>
        <v>_</v>
      </c>
      <c r="G73" s="88"/>
      <c r="H73" s="91"/>
      <c r="I73" s="85">
        <f t="shared" si="3"/>
        <v>0</v>
      </c>
      <c r="J73" s="93"/>
      <c r="K73" s="85">
        <f t="shared" si="4"/>
        <v>0</v>
      </c>
      <c r="L73" s="68"/>
      <c r="M73" s="68"/>
      <c r="P73" s="89" t="str">
        <f t="shared" si="5"/>
        <v xml:space="preserve">  1 1900 </v>
      </c>
    </row>
    <row r="74" spans="1:16">
      <c r="A74" s="68"/>
      <c r="B74" s="87"/>
      <c r="C74" s="88"/>
      <c r="D74" s="88"/>
      <c r="E74" s="90"/>
      <c r="F74" s="84" t="str">
        <f ca="1">IF(D74="Income",LOOKUP(E74,Introduction!$A$11:$A$18,Introduction!$C$11:$C$18),IF(D74="Expense",LOOKUP(E74,Introduction!$D$11:$D$30,Introduction!$F$11:$F$30),"_"))</f>
        <v>_</v>
      </c>
      <c r="G74" s="88"/>
      <c r="H74" s="91"/>
      <c r="I74" s="85">
        <f t="shared" si="3"/>
        <v>0</v>
      </c>
      <c r="J74" s="93"/>
      <c r="K74" s="85">
        <f t="shared" si="4"/>
        <v>0</v>
      </c>
      <c r="L74" s="68"/>
      <c r="M74" s="68"/>
      <c r="P74" s="89" t="str">
        <f t="shared" si="5"/>
        <v xml:space="preserve">  1 1900 </v>
      </c>
    </row>
    <row r="75" spans="1:16">
      <c r="A75" s="68"/>
      <c r="B75" s="87"/>
      <c r="C75" s="88"/>
      <c r="D75" s="88"/>
      <c r="E75" s="90"/>
      <c r="F75" s="84" t="str">
        <f ca="1">IF(D75="Income",LOOKUP(E75,Introduction!$A$11:$A$18,Introduction!$C$11:$C$18),IF(D75="Expense",LOOKUP(E75,Introduction!$D$11:$D$30,Introduction!$F$11:$F$30),"_"))</f>
        <v>_</v>
      </c>
      <c r="G75" s="88"/>
      <c r="H75" s="91"/>
      <c r="I75" s="85">
        <f t="shared" si="3"/>
        <v>0</v>
      </c>
      <c r="J75" s="93"/>
      <c r="K75" s="85">
        <f t="shared" si="4"/>
        <v>0</v>
      </c>
      <c r="L75" s="68"/>
      <c r="M75" s="68"/>
      <c r="P75" s="89" t="str">
        <f t="shared" si="5"/>
        <v xml:space="preserve">  1 1900 </v>
      </c>
    </row>
    <row r="76" spans="1:16">
      <c r="A76" s="68"/>
      <c r="B76" s="87"/>
      <c r="C76" s="88"/>
      <c r="D76" s="88"/>
      <c r="E76" s="90"/>
      <c r="F76" s="84" t="str">
        <f ca="1">IF(D76="Income",LOOKUP(E76,Introduction!$A$11:$A$18,Introduction!$C$11:$C$18),IF(D76="Expense",LOOKUP(E76,Introduction!$D$11:$D$30,Introduction!$F$11:$F$30),"_"))</f>
        <v>_</v>
      </c>
      <c r="G76" s="88"/>
      <c r="H76" s="91"/>
      <c r="I76" s="85">
        <f t="shared" si="3"/>
        <v>0</v>
      </c>
      <c r="J76" s="93"/>
      <c r="K76" s="85">
        <f t="shared" si="4"/>
        <v>0</v>
      </c>
      <c r="L76" s="68"/>
      <c r="M76" s="68"/>
      <c r="P76" s="89" t="str">
        <f t="shared" si="5"/>
        <v xml:space="preserve">  1 1900 </v>
      </c>
    </row>
    <row r="77" spans="1:16">
      <c r="A77" s="68"/>
      <c r="B77" s="87"/>
      <c r="C77" s="88"/>
      <c r="D77" s="88"/>
      <c r="E77" s="90"/>
      <c r="F77" s="84" t="str">
        <f ca="1">IF(D77="Income",LOOKUP(E77,Introduction!$A$11:$A$18,Introduction!$C$11:$C$18),IF(D77="Expense",LOOKUP(E77,Introduction!$D$11:$D$30,Introduction!$F$11:$F$30),"_"))</f>
        <v>_</v>
      </c>
      <c r="G77" s="88"/>
      <c r="H77" s="91"/>
      <c r="I77" s="85">
        <f t="shared" si="3"/>
        <v>0</v>
      </c>
      <c r="J77" s="93"/>
      <c r="K77" s="85">
        <f t="shared" si="4"/>
        <v>0</v>
      </c>
      <c r="L77" s="68"/>
      <c r="M77" s="68"/>
      <c r="P77" s="89" t="str">
        <f t="shared" si="5"/>
        <v xml:space="preserve">  1 1900 </v>
      </c>
    </row>
    <row r="78" spans="1:16">
      <c r="A78" s="68"/>
      <c r="B78" s="87"/>
      <c r="C78" s="88"/>
      <c r="D78" s="88"/>
      <c r="E78" s="90"/>
      <c r="F78" s="84" t="str">
        <f ca="1">IF(D78="Income",LOOKUP(E78,Introduction!$A$11:$A$18,Introduction!$C$11:$C$18),IF(D78="Expense",LOOKUP(E78,Introduction!$D$11:$D$30,Introduction!$F$11:$F$30),"_"))</f>
        <v>_</v>
      </c>
      <c r="G78" s="88"/>
      <c r="H78" s="91"/>
      <c r="I78" s="85">
        <f t="shared" si="3"/>
        <v>0</v>
      </c>
      <c r="J78" s="93"/>
      <c r="K78" s="85">
        <f t="shared" si="4"/>
        <v>0</v>
      </c>
      <c r="L78" s="68"/>
      <c r="M78" s="68"/>
      <c r="P78" s="89" t="str">
        <f t="shared" si="5"/>
        <v xml:space="preserve">  1 1900 </v>
      </c>
    </row>
    <row r="79" spans="1:16">
      <c r="A79" s="68"/>
      <c r="B79" s="87"/>
      <c r="C79" s="88"/>
      <c r="D79" s="88"/>
      <c r="E79" s="90"/>
      <c r="F79" s="84" t="str">
        <f ca="1">IF(D79="Income",LOOKUP(E79,Introduction!$A$11:$A$18,Introduction!$C$11:$C$18),IF(D79="Expense",LOOKUP(E79,Introduction!$D$11:$D$30,Introduction!$F$11:$F$30),"_"))</f>
        <v>_</v>
      </c>
      <c r="G79" s="88"/>
      <c r="H79" s="92"/>
      <c r="I79" s="85">
        <f t="shared" si="3"/>
        <v>0</v>
      </c>
      <c r="J79" s="93"/>
      <c r="K79" s="85">
        <f t="shared" si="4"/>
        <v>0</v>
      </c>
      <c r="L79" s="68"/>
      <c r="M79" s="68"/>
      <c r="P79" s="89" t="str">
        <f t="shared" si="5"/>
        <v xml:space="preserve">  1 1900 </v>
      </c>
    </row>
    <row r="80" spans="1:16">
      <c r="A80" s="68"/>
      <c r="B80" s="87"/>
      <c r="C80" s="88"/>
      <c r="D80" s="88"/>
      <c r="E80" s="90"/>
      <c r="F80" s="84" t="str">
        <f ca="1">IF(D80="Income",LOOKUP(E80,Introduction!$A$11:$A$18,Introduction!$C$11:$C$18),IF(D80="Expense",LOOKUP(E80,Introduction!$D$11:$D$30,Introduction!$F$11:$F$30),"_"))</f>
        <v>_</v>
      </c>
      <c r="G80" s="88"/>
      <c r="H80" s="92"/>
      <c r="I80" s="85">
        <f t="shared" si="3"/>
        <v>0</v>
      </c>
      <c r="J80" s="93"/>
      <c r="K80" s="85">
        <f t="shared" si="4"/>
        <v>0</v>
      </c>
      <c r="L80" s="68"/>
      <c r="M80" s="68"/>
      <c r="P80" s="89" t="str">
        <f t="shared" si="5"/>
        <v xml:space="preserve">  1 1900 </v>
      </c>
    </row>
    <row r="81" spans="1:16">
      <c r="A81" s="68"/>
      <c r="B81" s="87"/>
      <c r="C81" s="88"/>
      <c r="D81" s="88"/>
      <c r="E81" s="90"/>
      <c r="F81" s="84" t="str">
        <f ca="1">IF(D81="Income",LOOKUP(E81,Introduction!$A$11:$A$18,Introduction!$C$11:$C$18),IF(D81="Expense",LOOKUP(E81,Introduction!$D$11:$D$30,Introduction!$F$11:$F$30),"_"))</f>
        <v>_</v>
      </c>
      <c r="G81" s="88"/>
      <c r="H81" s="92"/>
      <c r="I81" s="85">
        <f t="shared" ref="I81:I144" si="6">+I80+H81</f>
        <v>0</v>
      </c>
      <c r="J81" s="93"/>
      <c r="K81" s="85">
        <f t="shared" ref="K81:K144" si="7">IF(J81=1,K80+H81,++K80)</f>
        <v>0</v>
      </c>
      <c r="L81" s="68"/>
      <c r="M81" s="68"/>
      <c r="P81" s="89" t="str">
        <f t="shared" si="5"/>
        <v xml:space="preserve">  1 1900 </v>
      </c>
    </row>
    <row r="82" spans="1:16">
      <c r="A82" s="68"/>
      <c r="B82" s="87"/>
      <c r="C82" s="88"/>
      <c r="D82" s="88"/>
      <c r="E82" s="90"/>
      <c r="F82" s="84" t="str">
        <f ca="1">IF(D82="Income",LOOKUP(E82,Introduction!$A$11:$A$18,Introduction!$C$11:$C$18),IF(D82="Expense",LOOKUP(E82,Introduction!$D$11:$D$30,Introduction!$F$11:$F$30),"_"))</f>
        <v>_</v>
      </c>
      <c r="G82" s="88"/>
      <c r="H82" s="92"/>
      <c r="I82" s="85">
        <f t="shared" si="6"/>
        <v>0</v>
      </c>
      <c r="J82" s="93"/>
      <c r="K82" s="85">
        <f t="shared" si="7"/>
        <v>0</v>
      </c>
      <c r="L82" s="68"/>
      <c r="M82" s="68"/>
      <c r="P82" s="89" t="str">
        <f t="shared" si="5"/>
        <v xml:space="preserve">  1 1900 </v>
      </c>
    </row>
    <row r="83" spans="1:16">
      <c r="A83" s="68"/>
      <c r="B83" s="87"/>
      <c r="C83" s="88"/>
      <c r="D83" s="88"/>
      <c r="E83" s="90"/>
      <c r="F83" s="84" t="str">
        <f ca="1">IF(D83="Income",LOOKUP(E83,Introduction!$A$11:$A$18,Introduction!$C$11:$C$18),IF(D83="Expense",LOOKUP(E83,Introduction!$D$11:$D$30,Introduction!$F$11:$F$30),"_"))</f>
        <v>_</v>
      </c>
      <c r="G83" s="88"/>
      <c r="H83" s="92"/>
      <c r="I83" s="85">
        <f t="shared" si="6"/>
        <v>0</v>
      </c>
      <c r="J83" s="93"/>
      <c r="K83" s="85">
        <f t="shared" si="7"/>
        <v>0</v>
      </c>
      <c r="L83" s="68"/>
      <c r="M83" s="68"/>
      <c r="P83" s="89" t="str">
        <f t="shared" si="5"/>
        <v xml:space="preserve">  1 1900 </v>
      </c>
    </row>
    <row r="84" spans="1:16">
      <c r="A84" s="68"/>
      <c r="B84" s="87"/>
      <c r="C84" s="88"/>
      <c r="D84" s="88"/>
      <c r="E84" s="90"/>
      <c r="F84" s="84" t="str">
        <f ca="1">IF(D84="Income",LOOKUP(E84,Introduction!$A$11:$A$18,Introduction!$C$11:$C$18),IF(D84="Expense",LOOKUP(E84,Introduction!$D$11:$D$30,Introduction!$F$11:$F$30),"_"))</f>
        <v>_</v>
      </c>
      <c r="G84" s="88"/>
      <c r="H84" s="91"/>
      <c r="I84" s="85">
        <f t="shared" si="6"/>
        <v>0</v>
      </c>
      <c r="J84" s="93"/>
      <c r="K84" s="85">
        <f t="shared" si="7"/>
        <v>0</v>
      </c>
      <c r="L84" s="68"/>
      <c r="M84" s="68"/>
      <c r="P84" s="89" t="str">
        <f t="shared" si="5"/>
        <v xml:space="preserve">  1 1900 </v>
      </c>
    </row>
    <row r="85" spans="1:16">
      <c r="A85" s="68"/>
      <c r="B85" s="87"/>
      <c r="C85" s="88"/>
      <c r="D85" s="88"/>
      <c r="E85" s="90"/>
      <c r="F85" s="84" t="str">
        <f ca="1">IF(D85="Income",LOOKUP(E85,Introduction!$A$11:$A$18,Introduction!$C$11:$C$18),IF(D85="Expense",LOOKUP(E85,Introduction!$D$11:$D$30,Introduction!$F$11:$F$30),"_"))</f>
        <v>_</v>
      </c>
      <c r="G85" s="88"/>
      <c r="H85" s="91"/>
      <c r="I85" s="85">
        <f t="shared" si="6"/>
        <v>0</v>
      </c>
      <c r="J85" s="93"/>
      <c r="K85" s="85">
        <f t="shared" si="7"/>
        <v>0</v>
      </c>
      <c r="L85" s="68"/>
      <c r="M85" s="68"/>
      <c r="P85" s="89" t="str">
        <f t="shared" si="5"/>
        <v xml:space="preserve">  1 1900 </v>
      </c>
    </row>
    <row r="86" spans="1:16">
      <c r="A86" s="68"/>
      <c r="B86" s="87"/>
      <c r="C86" s="88"/>
      <c r="D86" s="88"/>
      <c r="E86" s="90"/>
      <c r="F86" s="84" t="str">
        <f ca="1">IF(D86="Income",LOOKUP(E86,Introduction!$A$11:$A$18,Introduction!$C$11:$C$18),IF(D86="Expense",LOOKUP(E86,Introduction!$D$11:$D$30,Introduction!$F$11:$F$30),"_"))</f>
        <v>_</v>
      </c>
      <c r="G86" s="88"/>
      <c r="H86" s="91"/>
      <c r="I86" s="85">
        <f t="shared" si="6"/>
        <v>0</v>
      </c>
      <c r="J86" s="93"/>
      <c r="K86" s="85">
        <f t="shared" si="7"/>
        <v>0</v>
      </c>
      <c r="L86" s="68"/>
      <c r="M86" s="68"/>
      <c r="P86" s="89" t="str">
        <f t="shared" si="5"/>
        <v xml:space="preserve">  1 1900 </v>
      </c>
    </row>
    <row r="87" spans="1:16">
      <c r="A87" s="68"/>
      <c r="B87" s="87"/>
      <c r="C87" s="88"/>
      <c r="D87" s="88"/>
      <c r="E87" s="90"/>
      <c r="F87" s="84" t="str">
        <f ca="1">IF(D87="Income",LOOKUP(E87,Introduction!$A$11:$A$18,Introduction!$C$11:$C$18),IF(D87="Expense",LOOKUP(E87,Introduction!$D$11:$D$30,Introduction!$F$11:$F$30),"_"))</f>
        <v>_</v>
      </c>
      <c r="G87" s="88"/>
      <c r="H87" s="91"/>
      <c r="I87" s="85">
        <f t="shared" si="6"/>
        <v>0</v>
      </c>
      <c r="J87" s="93"/>
      <c r="K87" s="85">
        <f t="shared" si="7"/>
        <v>0</v>
      </c>
      <c r="L87" s="68"/>
      <c r="M87" s="68"/>
      <c r="P87" s="89" t="str">
        <f t="shared" si="5"/>
        <v xml:space="preserve">  1 1900 </v>
      </c>
    </row>
    <row r="88" spans="1:16">
      <c r="A88" s="68"/>
      <c r="B88" s="87"/>
      <c r="C88" s="88"/>
      <c r="D88" s="88"/>
      <c r="E88" s="90"/>
      <c r="F88" s="84" t="str">
        <f ca="1">IF(D88="Income",LOOKUP(E88,Introduction!$A$11:$A$18,Introduction!$C$11:$C$18),IF(D88="Expense",LOOKUP(E88,Introduction!$D$11:$D$30,Introduction!$F$11:$F$30),"_"))</f>
        <v>_</v>
      </c>
      <c r="G88" s="88"/>
      <c r="H88" s="91"/>
      <c r="I88" s="85">
        <f t="shared" si="6"/>
        <v>0</v>
      </c>
      <c r="J88" s="93"/>
      <c r="K88" s="85">
        <f t="shared" si="7"/>
        <v>0</v>
      </c>
      <c r="L88" s="68"/>
      <c r="M88" s="68"/>
      <c r="P88" s="89" t="str">
        <f t="shared" si="5"/>
        <v xml:space="preserve">  1 1900 </v>
      </c>
    </row>
    <row r="89" spans="1:16">
      <c r="A89" s="68"/>
      <c r="B89" s="87"/>
      <c r="C89" s="88"/>
      <c r="D89" s="88"/>
      <c r="E89" s="90"/>
      <c r="F89" s="84" t="str">
        <f ca="1">IF(D89="Income",LOOKUP(E89,Introduction!$A$11:$A$18,Introduction!$C$11:$C$18),IF(D89="Expense",LOOKUP(E89,Introduction!$D$11:$D$30,Introduction!$F$11:$F$30),"_"))</f>
        <v>_</v>
      </c>
      <c r="G89" s="88"/>
      <c r="H89" s="91"/>
      <c r="I89" s="85">
        <f t="shared" si="6"/>
        <v>0</v>
      </c>
      <c r="J89" s="93"/>
      <c r="K89" s="85">
        <f t="shared" si="7"/>
        <v>0</v>
      </c>
      <c r="L89" s="68"/>
      <c r="M89" s="68"/>
      <c r="P89" s="89" t="str">
        <f t="shared" si="5"/>
        <v xml:space="preserve">  1 1900 </v>
      </c>
    </row>
    <row r="90" spans="1:16">
      <c r="A90" s="68"/>
      <c r="B90" s="87"/>
      <c r="C90" s="88"/>
      <c r="D90" s="88"/>
      <c r="E90" s="90"/>
      <c r="F90" s="84" t="str">
        <f ca="1">IF(D90="Income",LOOKUP(E90,Introduction!$A$11:$A$18,Introduction!$C$11:$C$18),IF(D90="Expense",LOOKUP(E90,Introduction!$D$11:$D$30,Introduction!$F$11:$F$30),"_"))</f>
        <v>_</v>
      </c>
      <c r="G90" s="88"/>
      <c r="H90" s="91"/>
      <c r="I90" s="85">
        <f t="shared" si="6"/>
        <v>0</v>
      </c>
      <c r="J90" s="93"/>
      <c r="K90" s="85">
        <f t="shared" si="7"/>
        <v>0</v>
      </c>
      <c r="L90" s="68"/>
      <c r="M90" s="68"/>
      <c r="P90" s="89" t="str">
        <f t="shared" si="5"/>
        <v xml:space="preserve">  1 1900 </v>
      </c>
    </row>
    <row r="91" spans="1:16">
      <c r="A91" s="68"/>
      <c r="B91" s="87"/>
      <c r="C91" s="88"/>
      <c r="D91" s="88"/>
      <c r="E91" s="90"/>
      <c r="F91" s="84" t="str">
        <f ca="1">IF(D91="Income",LOOKUP(E91,Introduction!$A$11:$A$18,Introduction!$C$11:$C$18),IF(D91="Expense",LOOKUP(E91,Introduction!$D$11:$D$30,Introduction!$F$11:$F$30),"_"))</f>
        <v>_</v>
      </c>
      <c r="G91" s="88"/>
      <c r="H91" s="91"/>
      <c r="I91" s="85">
        <f t="shared" si="6"/>
        <v>0</v>
      </c>
      <c r="J91" s="93"/>
      <c r="K91" s="85">
        <f t="shared" si="7"/>
        <v>0</v>
      </c>
      <c r="L91" s="68"/>
      <c r="M91" s="68"/>
      <c r="P91" s="89" t="str">
        <f t="shared" si="5"/>
        <v xml:space="preserve">  1 1900 </v>
      </c>
    </row>
    <row r="92" spans="1:16">
      <c r="A92" s="68"/>
      <c r="B92" s="87"/>
      <c r="C92" s="88"/>
      <c r="D92" s="88"/>
      <c r="E92" s="90"/>
      <c r="F92" s="84" t="str">
        <f ca="1">IF(D92="Income",LOOKUP(E92,Introduction!$A$11:$A$18,Introduction!$C$11:$C$18),IF(D92="Expense",LOOKUP(E92,Introduction!$D$11:$D$30,Introduction!$F$11:$F$30),"_"))</f>
        <v>_</v>
      </c>
      <c r="G92" s="88"/>
      <c r="H92" s="92"/>
      <c r="I92" s="85">
        <f t="shared" si="6"/>
        <v>0</v>
      </c>
      <c r="J92" s="93"/>
      <c r="K92" s="85">
        <f t="shared" si="7"/>
        <v>0</v>
      </c>
      <c r="L92" s="68"/>
      <c r="M92" s="68"/>
      <c r="P92" s="89" t="str">
        <f t="shared" si="5"/>
        <v xml:space="preserve">  1 1900 </v>
      </c>
    </row>
    <row r="93" spans="1:16">
      <c r="A93" s="68"/>
      <c r="B93" s="87"/>
      <c r="C93" s="88"/>
      <c r="D93" s="88"/>
      <c r="E93" s="90"/>
      <c r="F93" s="84" t="str">
        <f ca="1">IF(D93="Income",LOOKUP(E93,Introduction!$A$11:$A$18,Introduction!$C$11:$C$18),IF(D93="Expense",LOOKUP(E93,Introduction!$D$11:$D$30,Introduction!$F$11:$F$30),"_"))</f>
        <v>_</v>
      </c>
      <c r="G93" s="88"/>
      <c r="H93" s="92"/>
      <c r="I93" s="85">
        <f t="shared" si="6"/>
        <v>0</v>
      </c>
      <c r="J93" s="93"/>
      <c r="K93" s="85">
        <f t="shared" si="7"/>
        <v>0</v>
      </c>
      <c r="L93" s="68"/>
      <c r="M93" s="68"/>
      <c r="P93" s="89" t="str">
        <f t="shared" si="5"/>
        <v xml:space="preserve">  1 1900 </v>
      </c>
    </row>
    <row r="94" spans="1:16">
      <c r="A94" s="68"/>
      <c r="B94" s="87"/>
      <c r="C94" s="88"/>
      <c r="D94" s="88"/>
      <c r="E94" s="90"/>
      <c r="F94" s="84" t="str">
        <f ca="1">IF(D94="Income",LOOKUP(E94,Introduction!$A$11:$A$18,Introduction!$C$11:$C$18),IF(D94="Expense",LOOKUP(E94,Introduction!$D$11:$D$30,Introduction!$F$11:$F$30),"_"))</f>
        <v>_</v>
      </c>
      <c r="G94" s="88"/>
      <c r="H94" s="92"/>
      <c r="I94" s="85">
        <f t="shared" si="6"/>
        <v>0</v>
      </c>
      <c r="J94" s="93"/>
      <c r="K94" s="85">
        <f t="shared" si="7"/>
        <v>0</v>
      </c>
      <c r="L94" s="68"/>
      <c r="M94" s="68"/>
      <c r="P94" s="89" t="str">
        <f t="shared" si="5"/>
        <v xml:space="preserve">  1 1900 </v>
      </c>
    </row>
    <row r="95" spans="1:16">
      <c r="A95" s="68"/>
      <c r="B95" s="87"/>
      <c r="C95" s="88"/>
      <c r="D95" s="88"/>
      <c r="E95" s="90"/>
      <c r="F95" s="84" t="str">
        <f ca="1">IF(D95="Income",LOOKUP(E95,Introduction!$A$11:$A$18,Introduction!$C$11:$C$18),IF(D95="Expense",LOOKUP(E95,Introduction!$D$11:$D$30,Introduction!$F$11:$F$30),"_"))</f>
        <v>_</v>
      </c>
      <c r="G95" s="88"/>
      <c r="H95" s="92"/>
      <c r="I95" s="85">
        <f t="shared" si="6"/>
        <v>0</v>
      </c>
      <c r="J95" s="93"/>
      <c r="K95" s="85">
        <f t="shared" si="7"/>
        <v>0</v>
      </c>
      <c r="L95" s="68"/>
      <c r="M95" s="68"/>
      <c r="P95" s="89" t="str">
        <f t="shared" si="5"/>
        <v xml:space="preserve">  1 1900 </v>
      </c>
    </row>
    <row r="96" spans="1:16">
      <c r="A96" s="68"/>
      <c r="B96" s="87"/>
      <c r="C96" s="88"/>
      <c r="D96" s="88"/>
      <c r="E96" s="90"/>
      <c r="F96" s="84" t="str">
        <f ca="1">IF(D96="Income",LOOKUP(E96,Introduction!$A$11:$A$18,Introduction!$C$11:$C$18),IF(D96="Expense",LOOKUP(E96,Introduction!$D$11:$D$30,Introduction!$F$11:$F$30),"_"))</f>
        <v>_</v>
      </c>
      <c r="G96" s="88"/>
      <c r="H96" s="92"/>
      <c r="I96" s="85">
        <f t="shared" si="6"/>
        <v>0</v>
      </c>
      <c r="J96" s="93"/>
      <c r="K96" s="85">
        <f t="shared" si="7"/>
        <v>0</v>
      </c>
      <c r="L96" s="68"/>
      <c r="M96" s="68"/>
      <c r="P96" s="89" t="str">
        <f t="shared" si="5"/>
        <v xml:space="preserve">  1 1900 </v>
      </c>
    </row>
    <row r="97" spans="1:16">
      <c r="A97" s="68"/>
      <c r="B97" s="87"/>
      <c r="C97" s="88"/>
      <c r="D97" s="88"/>
      <c r="E97" s="90"/>
      <c r="F97" s="84" t="str">
        <f ca="1">IF(D97="Income",LOOKUP(E97,Introduction!$A$11:$A$18,Introduction!$C$11:$C$18),IF(D97="Expense",LOOKUP(E97,Introduction!$D$11:$D$30,Introduction!$F$11:$F$30),"_"))</f>
        <v>_</v>
      </c>
      <c r="G97" s="88"/>
      <c r="H97" s="91"/>
      <c r="I97" s="85">
        <f t="shared" si="6"/>
        <v>0</v>
      </c>
      <c r="J97" s="93"/>
      <c r="K97" s="85">
        <f t="shared" si="7"/>
        <v>0</v>
      </c>
      <c r="L97" s="68"/>
      <c r="M97" s="68"/>
      <c r="P97" s="89" t="str">
        <f t="shared" si="5"/>
        <v xml:space="preserve">  1 1900 </v>
      </c>
    </row>
    <row r="98" spans="1:16">
      <c r="A98" s="68"/>
      <c r="B98" s="87"/>
      <c r="C98" s="88"/>
      <c r="D98" s="88"/>
      <c r="E98" s="90"/>
      <c r="F98" s="84" t="str">
        <f ca="1">IF(D98="Income",LOOKUP(E98,Introduction!$A$11:$A$18,Introduction!$C$11:$C$18),IF(D98="Expense",LOOKUP(E98,Introduction!$D$11:$D$30,Introduction!$F$11:$F$30),"_"))</f>
        <v>_</v>
      </c>
      <c r="G98" s="88"/>
      <c r="H98" s="91"/>
      <c r="I98" s="85">
        <f t="shared" si="6"/>
        <v>0</v>
      </c>
      <c r="J98" s="93"/>
      <c r="K98" s="85">
        <f t="shared" si="7"/>
        <v>0</v>
      </c>
      <c r="L98" s="68"/>
      <c r="M98" s="68"/>
      <c r="P98" s="89" t="str">
        <f t="shared" si="5"/>
        <v xml:space="preserve">  1 1900 </v>
      </c>
    </row>
    <row r="99" spans="1:16">
      <c r="A99" s="68"/>
      <c r="B99" s="87"/>
      <c r="C99" s="88"/>
      <c r="D99" s="88"/>
      <c r="E99" s="90"/>
      <c r="F99" s="84" t="str">
        <f ca="1">IF(D99="Income",LOOKUP(E99,Introduction!$A$11:$A$18,Introduction!$C$11:$C$18),IF(D99="Expense",LOOKUP(E99,Introduction!$D$11:$D$30,Introduction!$F$11:$F$30),"_"))</f>
        <v>_</v>
      </c>
      <c r="G99" s="88"/>
      <c r="H99" s="91"/>
      <c r="I99" s="85">
        <f t="shared" si="6"/>
        <v>0</v>
      </c>
      <c r="J99" s="93"/>
      <c r="K99" s="85">
        <f t="shared" si="7"/>
        <v>0</v>
      </c>
      <c r="L99" s="68"/>
      <c r="M99" s="68"/>
      <c r="P99" s="89" t="str">
        <f t="shared" si="5"/>
        <v xml:space="preserve">  1 1900 </v>
      </c>
    </row>
    <row r="100" spans="1:16">
      <c r="A100" s="68"/>
      <c r="B100" s="87"/>
      <c r="C100" s="88"/>
      <c r="D100" s="88"/>
      <c r="E100" s="90"/>
      <c r="F100" s="84" t="str">
        <f ca="1">IF(D100="Income",LOOKUP(E100,Introduction!$A$11:$A$18,Introduction!$C$11:$C$18),IF(D100="Expense",LOOKUP(E100,Introduction!$D$11:$D$30,Introduction!$F$11:$F$30),"_"))</f>
        <v>_</v>
      </c>
      <c r="G100" s="88"/>
      <c r="H100" s="91"/>
      <c r="I100" s="85">
        <f t="shared" si="6"/>
        <v>0</v>
      </c>
      <c r="J100" s="93"/>
      <c r="K100" s="85">
        <f t="shared" si="7"/>
        <v>0</v>
      </c>
      <c r="L100" s="68"/>
      <c r="M100" s="68"/>
      <c r="P100" s="89" t="str">
        <f t="shared" si="5"/>
        <v xml:space="preserve">  1 1900 </v>
      </c>
    </row>
    <row r="101" spans="1:16">
      <c r="A101" s="68"/>
      <c r="B101" s="87"/>
      <c r="C101" s="88"/>
      <c r="D101" s="88"/>
      <c r="E101" s="90"/>
      <c r="F101" s="84" t="str">
        <f ca="1">IF(D101="Income",LOOKUP(E101,Introduction!$A$11:$A$18,Introduction!$C$11:$C$18),IF(D101="Expense",LOOKUP(E101,Introduction!$D$11:$D$30,Introduction!$F$11:$F$30),"_"))</f>
        <v>_</v>
      </c>
      <c r="G101" s="88"/>
      <c r="H101" s="91"/>
      <c r="I101" s="85">
        <f t="shared" si="6"/>
        <v>0</v>
      </c>
      <c r="J101" s="93"/>
      <c r="K101" s="85">
        <f t="shared" si="7"/>
        <v>0</v>
      </c>
      <c r="L101" s="68"/>
      <c r="M101" s="68"/>
      <c r="P101" s="89" t="str">
        <f t="shared" si="5"/>
        <v xml:space="preserve">  1 1900 </v>
      </c>
    </row>
    <row r="102" spans="1:16">
      <c r="A102" s="68"/>
      <c r="B102" s="87"/>
      <c r="C102" s="88"/>
      <c r="D102" s="88"/>
      <c r="E102" s="90"/>
      <c r="F102" s="84" t="str">
        <f ca="1">IF(D102="Income",LOOKUP(E102,Introduction!$A$11:$A$18,Introduction!$C$11:$C$18),IF(D102="Expense",LOOKUP(E102,Introduction!$D$11:$D$30,Introduction!$F$11:$F$30),"_"))</f>
        <v>_</v>
      </c>
      <c r="G102" s="88"/>
      <c r="H102" s="91"/>
      <c r="I102" s="85">
        <f t="shared" si="6"/>
        <v>0</v>
      </c>
      <c r="J102" s="93"/>
      <c r="K102" s="85">
        <f t="shared" si="7"/>
        <v>0</v>
      </c>
      <c r="L102" s="68"/>
      <c r="M102" s="68"/>
      <c r="P102" s="89" t="str">
        <f t="shared" si="5"/>
        <v xml:space="preserve">  1 1900 </v>
      </c>
    </row>
    <row r="103" spans="1:16">
      <c r="A103" s="68"/>
      <c r="B103" s="87"/>
      <c r="C103" s="88"/>
      <c r="D103" s="88"/>
      <c r="E103" s="90"/>
      <c r="F103" s="84" t="str">
        <f ca="1">IF(D103="Income",LOOKUP(E103,Introduction!$A$11:$A$18,Introduction!$C$11:$C$18),IF(D103="Expense",LOOKUP(E103,Introduction!$D$11:$D$30,Introduction!$F$11:$F$30),"_"))</f>
        <v>_</v>
      </c>
      <c r="G103" s="88"/>
      <c r="H103" s="91"/>
      <c r="I103" s="85">
        <f t="shared" si="6"/>
        <v>0</v>
      </c>
      <c r="J103" s="93"/>
      <c r="K103" s="85">
        <f t="shared" si="7"/>
        <v>0</v>
      </c>
      <c r="L103" s="68"/>
      <c r="M103" s="68"/>
      <c r="P103" s="89" t="str">
        <f t="shared" si="5"/>
        <v xml:space="preserve">  1 1900 </v>
      </c>
    </row>
    <row r="104" spans="1:16">
      <c r="A104" s="68"/>
      <c r="B104" s="87"/>
      <c r="C104" s="88"/>
      <c r="D104" s="88"/>
      <c r="E104" s="90"/>
      <c r="F104" s="84" t="str">
        <f ca="1">IF(D104="Income",LOOKUP(E104,Introduction!$A$11:$A$18,Introduction!$C$11:$C$18),IF(D104="Expense",LOOKUP(E104,Introduction!$D$11:$D$30,Introduction!$F$11:$F$30),"_"))</f>
        <v>_</v>
      </c>
      <c r="G104" s="88"/>
      <c r="H104" s="91"/>
      <c r="I104" s="85">
        <f t="shared" si="6"/>
        <v>0</v>
      </c>
      <c r="J104" s="93"/>
      <c r="K104" s="85">
        <f t="shared" si="7"/>
        <v>0</v>
      </c>
      <c r="L104" s="68"/>
      <c r="M104" s="68"/>
      <c r="P104" s="89" t="str">
        <f t="shared" si="5"/>
        <v xml:space="preserve">  1 1900 </v>
      </c>
    </row>
    <row r="105" spans="1:16">
      <c r="A105" s="68"/>
      <c r="B105" s="87"/>
      <c r="C105" s="88"/>
      <c r="D105" s="88"/>
      <c r="E105" s="90"/>
      <c r="F105" s="84" t="str">
        <f ca="1">IF(D105="Income",LOOKUP(E105,Introduction!$A$11:$A$18,Introduction!$C$11:$C$18),IF(D105="Expense",LOOKUP(E105,Introduction!$D$11:$D$30,Introduction!$F$11:$F$30),"_"))</f>
        <v>_</v>
      </c>
      <c r="G105" s="88"/>
      <c r="H105" s="92"/>
      <c r="I105" s="85">
        <f t="shared" si="6"/>
        <v>0</v>
      </c>
      <c r="J105" s="93"/>
      <c r="K105" s="85">
        <f t="shared" si="7"/>
        <v>0</v>
      </c>
      <c r="L105" s="68"/>
      <c r="M105" s="68"/>
      <c r="P105" s="89" t="str">
        <f t="shared" si="5"/>
        <v xml:space="preserve">  1 1900 </v>
      </c>
    </row>
    <row r="106" spans="1:16">
      <c r="A106" s="68"/>
      <c r="B106" s="87"/>
      <c r="C106" s="88"/>
      <c r="D106" s="88"/>
      <c r="E106" s="90"/>
      <c r="F106" s="84" t="str">
        <f ca="1">IF(D106="Income",LOOKUP(E106,Introduction!$A$11:$A$18,Introduction!$C$11:$C$18),IF(D106="Expense",LOOKUP(E106,Introduction!$D$11:$D$30,Introduction!$F$11:$F$30),"_"))</f>
        <v>_</v>
      </c>
      <c r="G106" s="88"/>
      <c r="H106" s="92"/>
      <c r="I106" s="85">
        <f t="shared" si="6"/>
        <v>0</v>
      </c>
      <c r="J106" s="93"/>
      <c r="K106" s="85">
        <f t="shared" si="7"/>
        <v>0</v>
      </c>
      <c r="L106" s="68"/>
      <c r="M106" s="68"/>
      <c r="P106" s="89" t="str">
        <f t="shared" si="5"/>
        <v xml:space="preserve">  1 1900 </v>
      </c>
    </row>
    <row r="107" spans="1:16">
      <c r="A107" s="68"/>
      <c r="B107" s="87"/>
      <c r="C107" s="88"/>
      <c r="D107" s="88"/>
      <c r="E107" s="90"/>
      <c r="F107" s="84" t="str">
        <f ca="1">IF(D107="Income",LOOKUP(E107,Introduction!$A$11:$A$18,Introduction!$C$11:$C$18),IF(D107="Expense",LOOKUP(E107,Introduction!$D$11:$D$30,Introduction!$F$11:$F$30),"_"))</f>
        <v>_</v>
      </c>
      <c r="G107" s="88"/>
      <c r="H107" s="92"/>
      <c r="I107" s="85">
        <f t="shared" si="6"/>
        <v>0</v>
      </c>
      <c r="J107" s="93"/>
      <c r="K107" s="85">
        <f t="shared" si="7"/>
        <v>0</v>
      </c>
      <c r="L107" s="68"/>
      <c r="M107" s="68"/>
      <c r="P107" s="89" t="str">
        <f t="shared" si="5"/>
        <v xml:space="preserve">  1 1900 </v>
      </c>
    </row>
    <row r="108" spans="1:16">
      <c r="A108" s="68"/>
      <c r="B108" s="87"/>
      <c r="C108" s="88"/>
      <c r="D108" s="88"/>
      <c r="E108" s="90"/>
      <c r="F108" s="84" t="str">
        <f ca="1">IF(D108="Income",LOOKUP(E108,Introduction!$A$11:$A$18,Introduction!$C$11:$C$18),IF(D108="Expense",LOOKUP(E108,Introduction!$D$11:$D$30,Introduction!$F$11:$F$30),"_"))</f>
        <v>_</v>
      </c>
      <c r="G108" s="88"/>
      <c r="H108" s="92"/>
      <c r="I108" s="85">
        <f t="shared" si="6"/>
        <v>0</v>
      </c>
      <c r="J108" s="93"/>
      <c r="K108" s="85">
        <f t="shared" si="7"/>
        <v>0</v>
      </c>
      <c r="L108" s="68"/>
      <c r="M108" s="68"/>
      <c r="P108" s="89" t="str">
        <f t="shared" si="5"/>
        <v xml:space="preserve">  1 1900 </v>
      </c>
    </row>
    <row r="109" spans="1:16">
      <c r="A109" s="68"/>
      <c r="B109" s="87"/>
      <c r="C109" s="88"/>
      <c r="D109" s="88"/>
      <c r="E109" s="90"/>
      <c r="F109" s="84" t="str">
        <f ca="1">IF(D109="Income",LOOKUP(E109,Introduction!$A$11:$A$18,Introduction!$C$11:$C$18),IF(D109="Expense",LOOKUP(E109,Introduction!$D$11:$D$30,Introduction!$F$11:$F$30),"_"))</f>
        <v>_</v>
      </c>
      <c r="G109" s="88"/>
      <c r="H109" s="92"/>
      <c r="I109" s="85">
        <f t="shared" si="6"/>
        <v>0</v>
      </c>
      <c r="J109" s="93"/>
      <c r="K109" s="85">
        <f t="shared" si="7"/>
        <v>0</v>
      </c>
      <c r="L109" s="68"/>
      <c r="M109" s="68"/>
      <c r="P109" s="89" t="str">
        <f t="shared" si="5"/>
        <v xml:space="preserve">  1 1900 </v>
      </c>
    </row>
    <row r="110" spans="1:16">
      <c r="A110" s="68"/>
      <c r="B110" s="87"/>
      <c r="C110" s="88"/>
      <c r="D110" s="88"/>
      <c r="E110" s="90"/>
      <c r="F110" s="84" t="str">
        <f ca="1">IF(D110="Income",LOOKUP(E110,Introduction!$A$11:$A$18,Introduction!$C$11:$C$18),IF(D110="Expense",LOOKUP(E110,Introduction!$D$11:$D$30,Introduction!$F$11:$F$30),"_"))</f>
        <v>_</v>
      </c>
      <c r="G110" s="88"/>
      <c r="H110" s="92"/>
      <c r="I110" s="85">
        <f t="shared" si="6"/>
        <v>0</v>
      </c>
      <c r="J110" s="93"/>
      <c r="K110" s="85">
        <f t="shared" si="7"/>
        <v>0</v>
      </c>
      <c r="L110" s="68"/>
      <c r="M110" s="68"/>
      <c r="P110" s="89" t="str">
        <f t="shared" si="5"/>
        <v xml:space="preserve">  1 1900 </v>
      </c>
    </row>
    <row r="111" spans="1:16">
      <c r="A111" s="68"/>
      <c r="B111" s="87"/>
      <c r="C111" s="88"/>
      <c r="D111" s="88"/>
      <c r="E111" s="90"/>
      <c r="F111" s="84" t="str">
        <f ca="1">IF(D111="Income",LOOKUP(E111,Introduction!$A$11:$A$18,Introduction!$C$11:$C$18),IF(D111="Expense",LOOKUP(E111,Introduction!$D$11:$D$30,Introduction!$F$11:$F$30),"_"))</f>
        <v>_</v>
      </c>
      <c r="G111" s="88"/>
      <c r="H111" s="92"/>
      <c r="I111" s="85">
        <f t="shared" si="6"/>
        <v>0</v>
      </c>
      <c r="J111" s="93"/>
      <c r="K111" s="85">
        <f t="shared" si="7"/>
        <v>0</v>
      </c>
      <c r="L111" s="68"/>
      <c r="M111" s="68"/>
      <c r="P111" s="89" t="str">
        <f t="shared" si="5"/>
        <v xml:space="preserve">  1 1900 </v>
      </c>
    </row>
    <row r="112" spans="1:16">
      <c r="A112" s="68"/>
      <c r="B112" s="87"/>
      <c r="C112" s="88"/>
      <c r="D112" s="88"/>
      <c r="E112" s="90"/>
      <c r="F112" s="84" t="str">
        <f ca="1">IF(D112="Income",LOOKUP(E112,Introduction!$A$11:$A$18,Introduction!$C$11:$C$18),IF(D112="Expense",LOOKUP(E112,Introduction!$D$11:$D$30,Introduction!$F$11:$F$30),"_"))</f>
        <v>_</v>
      </c>
      <c r="G112" s="88"/>
      <c r="H112" s="92">
        <f>-ROUND(H6*$O$2,2)</f>
        <v>0</v>
      </c>
      <c r="I112" s="85">
        <f t="shared" si="6"/>
        <v>0</v>
      </c>
      <c r="J112" s="93"/>
      <c r="K112" s="85">
        <f t="shared" si="7"/>
        <v>0</v>
      </c>
      <c r="L112" s="68"/>
      <c r="M112" s="68"/>
      <c r="P112" s="89" t="str">
        <f t="shared" si="5"/>
        <v xml:space="preserve">  1 1900 </v>
      </c>
    </row>
    <row r="113" spans="1:16">
      <c r="A113" s="68"/>
      <c r="B113" s="87"/>
      <c r="C113" s="88"/>
      <c r="D113" s="88"/>
      <c r="E113" s="90"/>
      <c r="F113" s="84" t="str">
        <f ca="1">IF(D113="Income",LOOKUP(E113,Introduction!$A$11:$A$18,Introduction!$C$11:$C$18),IF(D113="Expense",LOOKUP(E113,Introduction!$D$11:$D$30,Introduction!$F$11:$F$30),"_"))</f>
        <v>_</v>
      </c>
      <c r="G113" s="88"/>
      <c r="H113" s="92">
        <f t="shared" ref="H113:H123" si="8">-ROUND(H7*$O$2,2)</f>
        <v>0</v>
      </c>
      <c r="I113" s="85">
        <f t="shared" si="6"/>
        <v>0</v>
      </c>
      <c r="J113" s="93"/>
      <c r="K113" s="85">
        <f t="shared" si="7"/>
        <v>0</v>
      </c>
      <c r="L113" s="68"/>
      <c r="M113" s="68"/>
      <c r="P113" s="89" t="str">
        <f t="shared" si="5"/>
        <v xml:space="preserve">  1 1900 </v>
      </c>
    </row>
    <row r="114" spans="1:16">
      <c r="A114" s="68"/>
      <c r="B114" s="87"/>
      <c r="C114" s="88"/>
      <c r="D114" s="88"/>
      <c r="E114" s="90"/>
      <c r="F114" s="84" t="str">
        <f ca="1">IF(D114="Income",LOOKUP(E114,Introduction!$A$11:$A$18,Introduction!$C$11:$C$18),IF(D114="Expense",LOOKUP(E114,Introduction!$D$11:$D$30,Introduction!$F$11:$F$30),"_"))</f>
        <v>_</v>
      </c>
      <c r="G114" s="88"/>
      <c r="H114" s="92">
        <f t="shared" si="8"/>
        <v>0</v>
      </c>
      <c r="I114" s="85">
        <f t="shared" si="6"/>
        <v>0</v>
      </c>
      <c r="J114" s="93"/>
      <c r="K114" s="85">
        <f t="shared" si="7"/>
        <v>0</v>
      </c>
      <c r="L114" s="68"/>
      <c r="M114" s="68"/>
      <c r="P114" s="89" t="str">
        <f t="shared" si="5"/>
        <v xml:space="preserve">  1 1900 </v>
      </c>
    </row>
    <row r="115" spans="1:16">
      <c r="A115" s="68"/>
      <c r="B115" s="87"/>
      <c r="C115" s="88"/>
      <c r="D115" s="88"/>
      <c r="E115" s="90"/>
      <c r="F115" s="84" t="str">
        <f ca="1">IF(D115="Income",LOOKUP(E115,Introduction!$A$11:$A$18,Introduction!$C$11:$C$18),IF(D115="Expense",LOOKUP(E115,Introduction!$D$11:$D$30,Introduction!$F$11:$F$30),"_"))</f>
        <v>_</v>
      </c>
      <c r="G115" s="88"/>
      <c r="H115" s="92">
        <f t="shared" si="8"/>
        <v>0</v>
      </c>
      <c r="I115" s="85">
        <f t="shared" si="6"/>
        <v>0</v>
      </c>
      <c r="J115" s="93"/>
      <c r="K115" s="85">
        <f t="shared" si="7"/>
        <v>0</v>
      </c>
      <c r="L115" s="68"/>
      <c r="M115" s="68"/>
      <c r="P115" s="89" t="str">
        <f t="shared" si="5"/>
        <v xml:space="preserve">  1 1900 </v>
      </c>
    </row>
    <row r="116" spans="1:16">
      <c r="A116" s="68"/>
      <c r="B116" s="87"/>
      <c r="C116" s="88"/>
      <c r="D116" s="88"/>
      <c r="E116" s="90"/>
      <c r="F116" s="84" t="str">
        <f ca="1">IF(D116="Income",LOOKUP(E116,Introduction!$A$11:$A$18,Introduction!$C$11:$C$18),IF(D116="Expense",LOOKUP(E116,Introduction!$D$11:$D$30,Introduction!$F$11:$F$30),"_"))</f>
        <v>_</v>
      </c>
      <c r="G116" s="88"/>
      <c r="H116" s="92">
        <f t="shared" si="8"/>
        <v>0</v>
      </c>
      <c r="I116" s="85">
        <f t="shared" si="6"/>
        <v>0</v>
      </c>
      <c r="J116" s="93"/>
      <c r="K116" s="85">
        <f t="shared" si="7"/>
        <v>0</v>
      </c>
      <c r="L116" s="68"/>
      <c r="M116" s="68"/>
      <c r="P116" s="89" t="str">
        <f t="shared" si="5"/>
        <v xml:space="preserve">  1 1900 </v>
      </c>
    </row>
    <row r="117" spans="1:16">
      <c r="A117" s="68"/>
      <c r="B117" s="87"/>
      <c r="C117" s="88"/>
      <c r="D117" s="88"/>
      <c r="E117" s="90"/>
      <c r="F117" s="84" t="str">
        <f ca="1">IF(D117="Income",LOOKUP(E117,Introduction!$A$11:$A$18,Introduction!$C$11:$C$18),IF(D117="Expense",LOOKUP(E117,Introduction!$D$11:$D$30,Introduction!$F$11:$F$30),"_"))</f>
        <v>_</v>
      </c>
      <c r="G117" s="88"/>
      <c r="H117" s="92">
        <f t="shared" si="8"/>
        <v>0</v>
      </c>
      <c r="I117" s="85">
        <f t="shared" si="6"/>
        <v>0</v>
      </c>
      <c r="J117" s="93"/>
      <c r="K117" s="85">
        <f t="shared" si="7"/>
        <v>0</v>
      </c>
      <c r="L117" s="68"/>
      <c r="M117" s="68"/>
      <c r="P117" s="89" t="str">
        <f t="shared" si="5"/>
        <v xml:space="preserve">  1 1900 </v>
      </c>
    </row>
    <row r="118" spans="1:16">
      <c r="A118" s="68"/>
      <c r="B118" s="87"/>
      <c r="C118" s="88"/>
      <c r="D118" s="88"/>
      <c r="E118" s="90"/>
      <c r="F118" s="84" t="str">
        <f ca="1">IF(D118="Income",LOOKUP(E118,Introduction!$A$11:$A$18,Introduction!$C$11:$C$18),IF(D118="Expense",LOOKUP(E118,Introduction!$D$11:$D$30,Introduction!$F$11:$F$30),"_"))</f>
        <v>_</v>
      </c>
      <c r="G118" s="88"/>
      <c r="H118" s="92">
        <f t="shared" si="8"/>
        <v>0</v>
      </c>
      <c r="I118" s="85">
        <f t="shared" si="6"/>
        <v>0</v>
      </c>
      <c r="J118" s="93"/>
      <c r="K118" s="85">
        <f t="shared" si="7"/>
        <v>0</v>
      </c>
      <c r="L118" s="68"/>
      <c r="M118" s="68"/>
      <c r="P118" s="89" t="str">
        <f t="shared" si="5"/>
        <v xml:space="preserve">  1 1900 </v>
      </c>
    </row>
    <row r="119" spans="1:16">
      <c r="A119" s="68"/>
      <c r="B119" s="87"/>
      <c r="C119" s="88"/>
      <c r="D119" s="88"/>
      <c r="E119" s="90"/>
      <c r="F119" s="84" t="str">
        <f ca="1">IF(D119="Income",LOOKUP(E119,Introduction!$A$11:$A$18,Introduction!$C$11:$C$18),IF(D119="Expense",LOOKUP(E119,Introduction!$D$11:$D$30,Introduction!$F$11:$F$30),"_"))</f>
        <v>_</v>
      </c>
      <c r="G119" s="88"/>
      <c r="H119" s="92">
        <f t="shared" si="8"/>
        <v>0</v>
      </c>
      <c r="I119" s="85">
        <f t="shared" si="6"/>
        <v>0</v>
      </c>
      <c r="J119" s="93"/>
      <c r="K119" s="85">
        <f t="shared" si="7"/>
        <v>0</v>
      </c>
      <c r="L119" s="68"/>
      <c r="M119" s="68"/>
      <c r="P119" s="89" t="str">
        <f t="shared" si="5"/>
        <v xml:space="preserve">  1 1900 </v>
      </c>
    </row>
    <row r="120" spans="1:16">
      <c r="A120" s="68"/>
      <c r="B120" s="87"/>
      <c r="C120" s="88"/>
      <c r="D120" s="88"/>
      <c r="E120" s="90"/>
      <c r="F120" s="84" t="str">
        <f ca="1">IF(D120="Income",LOOKUP(E120,Introduction!$A$11:$A$18,Introduction!$C$11:$C$18),IF(D120="Expense",LOOKUP(E120,Introduction!$D$11:$D$30,Introduction!$F$11:$F$30),"_"))</f>
        <v>_</v>
      </c>
      <c r="G120" s="88"/>
      <c r="H120" s="92">
        <f t="shared" si="8"/>
        <v>0</v>
      </c>
      <c r="I120" s="85">
        <f t="shared" si="6"/>
        <v>0</v>
      </c>
      <c r="J120" s="93"/>
      <c r="K120" s="85">
        <f t="shared" si="7"/>
        <v>0</v>
      </c>
      <c r="L120" s="68"/>
      <c r="M120" s="68"/>
      <c r="P120" s="89" t="str">
        <f t="shared" si="5"/>
        <v xml:space="preserve">  1 1900 </v>
      </c>
    </row>
    <row r="121" spans="1:16">
      <c r="A121" s="68"/>
      <c r="B121" s="87"/>
      <c r="C121" s="88"/>
      <c r="D121" s="88"/>
      <c r="E121" s="90"/>
      <c r="F121" s="84" t="str">
        <f ca="1">IF(D121="Income",LOOKUP(E121,Introduction!$A$11:$A$18,Introduction!$C$11:$C$18),IF(D121="Expense",LOOKUP(E121,Introduction!$D$11:$D$30,Introduction!$F$11:$F$30),"_"))</f>
        <v>_</v>
      </c>
      <c r="G121" s="88"/>
      <c r="H121" s="92">
        <f t="shared" si="8"/>
        <v>0</v>
      </c>
      <c r="I121" s="85">
        <f t="shared" si="6"/>
        <v>0</v>
      </c>
      <c r="J121" s="93"/>
      <c r="K121" s="85">
        <f t="shared" si="7"/>
        <v>0</v>
      </c>
      <c r="L121" s="68"/>
      <c r="M121" s="68"/>
      <c r="P121" s="89" t="str">
        <f t="shared" si="5"/>
        <v xml:space="preserve">  1 1900 </v>
      </c>
    </row>
    <row r="122" spans="1:16">
      <c r="A122" s="68"/>
      <c r="B122" s="87"/>
      <c r="C122" s="88"/>
      <c r="D122" s="88"/>
      <c r="E122" s="90"/>
      <c r="F122" s="84" t="str">
        <f ca="1">IF(D122="Income",LOOKUP(E122,Introduction!$A$11:$A$18,Introduction!$C$11:$C$18),IF(D122="Expense",LOOKUP(E122,Introduction!$D$11:$D$30,Introduction!$F$11:$F$30),"_"))</f>
        <v>_</v>
      </c>
      <c r="G122" s="88"/>
      <c r="H122" s="92">
        <f t="shared" si="8"/>
        <v>0</v>
      </c>
      <c r="I122" s="85">
        <f t="shared" si="6"/>
        <v>0</v>
      </c>
      <c r="J122" s="93"/>
      <c r="K122" s="85">
        <f t="shared" si="7"/>
        <v>0</v>
      </c>
      <c r="L122" s="68"/>
      <c r="M122" s="68"/>
      <c r="P122" s="89" t="str">
        <f t="shared" si="5"/>
        <v xml:space="preserve">  1 1900 </v>
      </c>
    </row>
    <row r="123" spans="1:16">
      <c r="A123" s="68"/>
      <c r="B123" s="87"/>
      <c r="C123" s="88"/>
      <c r="D123" s="88"/>
      <c r="E123" s="90"/>
      <c r="F123" s="84" t="str">
        <f ca="1">IF(D123="Income",LOOKUP(E123,Introduction!$A$11:$A$18,Introduction!$C$11:$C$18),IF(D123="Expense",LOOKUP(E123,Introduction!$D$11:$D$30,Introduction!$F$11:$F$30),"_"))</f>
        <v>_</v>
      </c>
      <c r="G123" s="88"/>
      <c r="H123" s="92">
        <f t="shared" si="8"/>
        <v>0</v>
      </c>
      <c r="I123" s="85">
        <f t="shared" si="6"/>
        <v>0</v>
      </c>
      <c r="J123" s="93"/>
      <c r="K123" s="85">
        <f t="shared" si="7"/>
        <v>0</v>
      </c>
      <c r="L123" s="68"/>
      <c r="M123" s="68"/>
      <c r="P123" s="89" t="str">
        <f t="shared" si="5"/>
        <v xml:space="preserve">  1 1900 </v>
      </c>
    </row>
    <row r="124" spans="1:16">
      <c r="A124" s="68"/>
      <c r="B124" s="87"/>
      <c r="C124" s="88"/>
      <c r="D124" s="88"/>
      <c r="E124" s="90"/>
      <c r="F124" s="84" t="str">
        <f ca="1">IF(D124="Income",LOOKUP(E124,Introduction!$A$11:$A$18,Introduction!$C$11:$C$18),IF(D124="Expense",LOOKUP(E124,Introduction!$D$11:$D$30,Introduction!$F$11:$F$30),"_"))</f>
        <v>_</v>
      </c>
      <c r="G124" s="88"/>
      <c r="H124" s="92"/>
      <c r="I124" s="85">
        <f t="shared" si="6"/>
        <v>0</v>
      </c>
      <c r="J124" s="93"/>
      <c r="K124" s="85">
        <f t="shared" si="7"/>
        <v>0</v>
      </c>
      <c r="L124" s="68"/>
      <c r="M124" s="68"/>
      <c r="P124" s="89" t="str">
        <f t="shared" si="5"/>
        <v xml:space="preserve">  1 1900 </v>
      </c>
    </row>
    <row r="125" spans="1:16">
      <c r="A125" s="68"/>
      <c r="B125" s="87"/>
      <c r="C125" s="88"/>
      <c r="D125" s="88"/>
      <c r="E125" s="90"/>
      <c r="F125" s="84" t="str">
        <f ca="1">IF(D125="Income",LOOKUP(E125,Introduction!$A$11:$A$18,Introduction!$C$11:$C$18),IF(D125="Expense",LOOKUP(E125,Introduction!$D$11:$D$30,Introduction!$F$11:$F$30),"_"))</f>
        <v>_</v>
      </c>
      <c r="G125" s="88"/>
      <c r="H125" s="92">
        <f>-ROUND(H19*$O$2,2)</f>
        <v>0</v>
      </c>
      <c r="I125" s="85">
        <f t="shared" si="6"/>
        <v>0</v>
      </c>
      <c r="J125" s="93"/>
      <c r="K125" s="85">
        <f t="shared" si="7"/>
        <v>0</v>
      </c>
      <c r="L125" s="68"/>
      <c r="M125" s="68"/>
      <c r="P125" s="89" t="str">
        <f t="shared" si="5"/>
        <v xml:space="preserve">  1 1900 </v>
      </c>
    </row>
    <row r="126" spans="1:16">
      <c r="A126" s="68"/>
      <c r="B126" s="87"/>
      <c r="C126" s="88"/>
      <c r="D126" s="88"/>
      <c r="E126" s="90"/>
      <c r="F126" s="84" t="str">
        <f ca="1">IF(D126="Income",LOOKUP(E126,Introduction!$A$11:$A$18,Introduction!$C$11:$C$18),IF(D126="Expense",LOOKUP(E126,Introduction!$D$11:$D$30,Introduction!$F$11:$F$30),"_"))</f>
        <v>_</v>
      </c>
      <c r="G126" s="88"/>
      <c r="H126" s="92">
        <f t="shared" ref="H126:H136" si="9">-ROUND(H20*$O$2,2)</f>
        <v>0</v>
      </c>
      <c r="I126" s="85">
        <f t="shared" si="6"/>
        <v>0</v>
      </c>
      <c r="J126" s="93"/>
      <c r="K126" s="85">
        <f t="shared" si="7"/>
        <v>0</v>
      </c>
      <c r="L126" s="68"/>
      <c r="M126" s="68"/>
      <c r="P126" s="89" t="str">
        <f t="shared" si="5"/>
        <v xml:space="preserve">  1 1900 </v>
      </c>
    </row>
    <row r="127" spans="1:16">
      <c r="A127" s="68"/>
      <c r="B127" s="87"/>
      <c r="C127" s="88"/>
      <c r="D127" s="88"/>
      <c r="E127" s="90"/>
      <c r="F127" s="84" t="str">
        <f ca="1">IF(D127="Income",LOOKUP(E127,Introduction!$A$11:$A$18,Introduction!$C$11:$C$18),IF(D127="Expense",LOOKUP(E127,Introduction!$D$11:$D$30,Introduction!$F$11:$F$30),"_"))</f>
        <v>_</v>
      </c>
      <c r="G127" s="88"/>
      <c r="H127" s="92">
        <f t="shared" si="9"/>
        <v>0</v>
      </c>
      <c r="I127" s="85">
        <f t="shared" si="6"/>
        <v>0</v>
      </c>
      <c r="J127" s="93"/>
      <c r="K127" s="85">
        <f t="shared" si="7"/>
        <v>0</v>
      </c>
      <c r="L127" s="68"/>
      <c r="M127" s="68"/>
      <c r="P127" s="89" t="str">
        <f t="shared" si="5"/>
        <v xml:space="preserve">  1 1900 </v>
      </c>
    </row>
    <row r="128" spans="1:16">
      <c r="A128" s="68"/>
      <c r="B128" s="87"/>
      <c r="C128" s="88"/>
      <c r="D128" s="88"/>
      <c r="E128" s="90"/>
      <c r="F128" s="84" t="str">
        <f ca="1">IF(D128="Income",LOOKUP(E128,Introduction!$A$11:$A$18,Introduction!$C$11:$C$18),IF(D128="Expense",LOOKUP(E128,Introduction!$D$11:$D$30,Introduction!$F$11:$F$30),"_"))</f>
        <v>_</v>
      </c>
      <c r="G128" s="88"/>
      <c r="H128" s="92">
        <f t="shared" si="9"/>
        <v>0</v>
      </c>
      <c r="I128" s="85">
        <f t="shared" si="6"/>
        <v>0</v>
      </c>
      <c r="J128" s="93"/>
      <c r="K128" s="85">
        <f t="shared" si="7"/>
        <v>0</v>
      </c>
      <c r="L128" s="68"/>
      <c r="M128" s="68"/>
      <c r="P128" s="89" t="str">
        <f t="shared" si="5"/>
        <v xml:space="preserve">  1 1900 </v>
      </c>
    </row>
    <row r="129" spans="1:16">
      <c r="A129" s="68"/>
      <c r="B129" s="87"/>
      <c r="C129" s="88"/>
      <c r="D129" s="88"/>
      <c r="E129" s="90"/>
      <c r="F129" s="84" t="str">
        <f ca="1">IF(D129="Income",LOOKUP(E129,Introduction!$A$11:$A$18,Introduction!$C$11:$C$18),IF(D129="Expense",LOOKUP(E129,Introduction!$D$11:$D$30,Introduction!$F$11:$F$30),"_"))</f>
        <v>_</v>
      </c>
      <c r="G129" s="88"/>
      <c r="H129" s="92">
        <f t="shared" si="9"/>
        <v>0</v>
      </c>
      <c r="I129" s="85">
        <f t="shared" si="6"/>
        <v>0</v>
      </c>
      <c r="J129" s="93"/>
      <c r="K129" s="85">
        <f t="shared" si="7"/>
        <v>0</v>
      </c>
      <c r="L129" s="68"/>
      <c r="M129" s="68"/>
      <c r="P129" s="89" t="str">
        <f t="shared" si="5"/>
        <v xml:space="preserve">  1 1900 </v>
      </c>
    </row>
    <row r="130" spans="1:16">
      <c r="A130" s="68"/>
      <c r="B130" s="87"/>
      <c r="C130" s="88"/>
      <c r="D130" s="88"/>
      <c r="E130" s="90"/>
      <c r="F130" s="84" t="str">
        <f ca="1">IF(D130="Income",LOOKUP(E130,Introduction!$A$11:$A$18,Introduction!$C$11:$C$18),IF(D130="Expense",LOOKUP(E130,Introduction!$D$11:$D$30,Introduction!$F$11:$F$30),"_"))</f>
        <v>_</v>
      </c>
      <c r="G130" s="88"/>
      <c r="H130" s="92">
        <f t="shared" si="9"/>
        <v>0</v>
      </c>
      <c r="I130" s="85">
        <f t="shared" si="6"/>
        <v>0</v>
      </c>
      <c r="J130" s="93"/>
      <c r="K130" s="85">
        <f t="shared" si="7"/>
        <v>0</v>
      </c>
      <c r="L130" s="68"/>
      <c r="M130" s="68"/>
      <c r="P130" s="89" t="str">
        <f t="shared" si="5"/>
        <v xml:space="preserve">  1 1900 </v>
      </c>
    </row>
    <row r="131" spans="1:16">
      <c r="A131" s="68"/>
      <c r="B131" s="87"/>
      <c r="C131" s="88"/>
      <c r="D131" s="88"/>
      <c r="E131" s="90"/>
      <c r="F131" s="84" t="str">
        <f ca="1">IF(D131="Income",LOOKUP(E131,Introduction!$A$11:$A$18,Introduction!$C$11:$C$18),IF(D131="Expense",LOOKUP(E131,Introduction!$D$11:$D$30,Introduction!$F$11:$F$30),"_"))</f>
        <v>_</v>
      </c>
      <c r="G131" s="88"/>
      <c r="H131" s="92">
        <f t="shared" si="9"/>
        <v>0</v>
      </c>
      <c r="I131" s="85">
        <f t="shared" si="6"/>
        <v>0</v>
      </c>
      <c r="J131" s="93"/>
      <c r="K131" s="85">
        <f t="shared" si="7"/>
        <v>0</v>
      </c>
      <c r="L131" s="68"/>
      <c r="M131" s="68"/>
      <c r="P131" s="89" t="str">
        <f t="shared" si="5"/>
        <v xml:space="preserve">  1 1900 </v>
      </c>
    </row>
    <row r="132" spans="1:16">
      <c r="A132" s="68"/>
      <c r="B132" s="87"/>
      <c r="C132" s="88"/>
      <c r="D132" s="88"/>
      <c r="E132" s="90"/>
      <c r="F132" s="84" t="str">
        <f ca="1">IF(D132="Income",LOOKUP(E132,Introduction!$A$11:$A$18,Introduction!$C$11:$C$18),IF(D132="Expense",LOOKUP(E132,Introduction!$D$11:$D$30,Introduction!$F$11:$F$30),"_"))</f>
        <v>_</v>
      </c>
      <c r="G132" s="88"/>
      <c r="H132" s="92">
        <f t="shared" si="9"/>
        <v>0</v>
      </c>
      <c r="I132" s="85">
        <f t="shared" si="6"/>
        <v>0</v>
      </c>
      <c r="J132" s="93"/>
      <c r="K132" s="85">
        <f t="shared" si="7"/>
        <v>0</v>
      </c>
      <c r="L132" s="68"/>
      <c r="M132" s="68"/>
      <c r="P132" s="89" t="str">
        <f t="shared" si="5"/>
        <v xml:space="preserve">  1 1900 </v>
      </c>
    </row>
    <row r="133" spans="1:16">
      <c r="A133" s="68"/>
      <c r="B133" s="87"/>
      <c r="C133" s="88"/>
      <c r="D133" s="88"/>
      <c r="E133" s="90"/>
      <c r="F133" s="84" t="str">
        <f ca="1">IF(D133="Income",LOOKUP(E133,Introduction!$A$11:$A$18,Introduction!$C$11:$C$18),IF(D133="Expense",LOOKUP(E133,Introduction!$D$11:$D$30,Introduction!$F$11:$F$30),"_"))</f>
        <v>_</v>
      </c>
      <c r="G133" s="88"/>
      <c r="H133" s="92">
        <f t="shared" si="9"/>
        <v>0</v>
      </c>
      <c r="I133" s="85">
        <f t="shared" si="6"/>
        <v>0</v>
      </c>
      <c r="J133" s="93"/>
      <c r="K133" s="85">
        <f t="shared" si="7"/>
        <v>0</v>
      </c>
      <c r="L133" s="68"/>
      <c r="M133" s="68"/>
      <c r="P133" s="89" t="str">
        <f t="shared" si="5"/>
        <v xml:space="preserve">  1 1900 </v>
      </c>
    </row>
    <row r="134" spans="1:16">
      <c r="A134" s="68"/>
      <c r="B134" s="87"/>
      <c r="C134" s="88"/>
      <c r="D134" s="88"/>
      <c r="E134" s="90"/>
      <c r="F134" s="84" t="str">
        <f ca="1">IF(D134="Income",LOOKUP(E134,Introduction!$A$11:$A$18,Introduction!$C$11:$C$18),IF(D134="Expense",LOOKUP(E134,Introduction!$D$11:$D$30,Introduction!$F$11:$F$30),"_"))</f>
        <v>_</v>
      </c>
      <c r="G134" s="88"/>
      <c r="H134" s="92">
        <f t="shared" si="9"/>
        <v>0</v>
      </c>
      <c r="I134" s="85">
        <f t="shared" si="6"/>
        <v>0</v>
      </c>
      <c r="J134" s="93"/>
      <c r="K134" s="85">
        <f t="shared" si="7"/>
        <v>0</v>
      </c>
      <c r="L134" s="68"/>
      <c r="M134" s="68"/>
      <c r="P134" s="89" t="str">
        <f t="shared" si="5"/>
        <v xml:space="preserve">  1 1900 </v>
      </c>
    </row>
    <row r="135" spans="1:16">
      <c r="A135" s="68"/>
      <c r="B135" s="87"/>
      <c r="C135" s="88"/>
      <c r="D135" s="88"/>
      <c r="E135" s="90"/>
      <c r="F135" s="84" t="str">
        <f ca="1">IF(D135="Income",LOOKUP(E135,Introduction!$A$11:$A$18,Introduction!$C$11:$C$18),IF(D135="Expense",LOOKUP(E135,Introduction!$D$11:$D$30,Introduction!$F$11:$F$30),"_"))</f>
        <v>_</v>
      </c>
      <c r="G135" s="88"/>
      <c r="H135" s="92">
        <f t="shared" si="9"/>
        <v>0</v>
      </c>
      <c r="I135" s="85">
        <f t="shared" si="6"/>
        <v>0</v>
      </c>
      <c r="J135" s="93"/>
      <c r="K135" s="85">
        <f t="shared" si="7"/>
        <v>0</v>
      </c>
      <c r="L135" s="68"/>
      <c r="M135" s="68"/>
      <c r="P135" s="89" t="str">
        <f t="shared" ref="P135:P198" si="10">CONCATENATE(D135," ",E135," ",MONTH(C135)," ",YEAR(C135)," ")</f>
        <v xml:space="preserve">  1 1900 </v>
      </c>
    </row>
    <row r="136" spans="1:16">
      <c r="A136" s="68"/>
      <c r="B136" s="87"/>
      <c r="C136" s="88"/>
      <c r="D136" s="88"/>
      <c r="E136" s="90"/>
      <c r="F136" s="84" t="str">
        <f ca="1">IF(D136="Income",LOOKUP(E136,Introduction!$A$11:$A$18,Introduction!$C$11:$C$18),IF(D136="Expense",LOOKUP(E136,Introduction!$D$11:$D$30,Introduction!$F$11:$F$30),"_"))</f>
        <v>_</v>
      </c>
      <c r="G136" s="88"/>
      <c r="H136" s="92">
        <f t="shared" si="9"/>
        <v>0</v>
      </c>
      <c r="I136" s="85">
        <f t="shared" si="6"/>
        <v>0</v>
      </c>
      <c r="J136" s="93"/>
      <c r="K136" s="85">
        <f t="shared" si="7"/>
        <v>0</v>
      </c>
      <c r="L136" s="68"/>
      <c r="M136" s="68"/>
      <c r="P136" s="89" t="str">
        <f t="shared" si="10"/>
        <v xml:space="preserve">  1 1900 </v>
      </c>
    </row>
    <row r="137" spans="1:16">
      <c r="A137" s="68"/>
      <c r="B137" s="87"/>
      <c r="C137" s="88"/>
      <c r="D137" s="88"/>
      <c r="E137" s="90"/>
      <c r="F137" s="84" t="str">
        <f ca="1">IF(D137="Income",LOOKUP(E137,Introduction!$A$11:$A$18,Introduction!$C$11:$C$18),IF(D137="Expense",LOOKUP(E137,Introduction!$D$11:$D$30,Introduction!$F$11:$F$30),"_"))</f>
        <v>_</v>
      </c>
      <c r="G137" s="88"/>
      <c r="H137" s="92"/>
      <c r="I137" s="85">
        <f t="shared" si="6"/>
        <v>0</v>
      </c>
      <c r="J137" s="93"/>
      <c r="K137" s="85">
        <f t="shared" si="7"/>
        <v>0</v>
      </c>
      <c r="L137" s="68"/>
      <c r="M137" s="68"/>
      <c r="P137" s="89" t="str">
        <f t="shared" si="10"/>
        <v xml:space="preserve">  1 1900 </v>
      </c>
    </row>
    <row r="138" spans="1:16">
      <c r="A138" s="68"/>
      <c r="B138" s="87"/>
      <c r="C138" s="88"/>
      <c r="D138" s="88"/>
      <c r="E138" s="90"/>
      <c r="F138" s="84" t="str">
        <f ca="1">IF(D138="Income",LOOKUP(E138,Introduction!$A$11:$A$18,Introduction!$C$11:$C$18),IF(D138="Expense",LOOKUP(E138,Introduction!$D$11:$D$30,Introduction!$F$11:$F$30),"_"))</f>
        <v>_</v>
      </c>
      <c r="G138" s="88"/>
      <c r="H138" s="92">
        <f>-ROUND(H32*$O$2,2)</f>
        <v>0</v>
      </c>
      <c r="I138" s="85">
        <f t="shared" si="6"/>
        <v>0</v>
      </c>
      <c r="J138" s="93"/>
      <c r="K138" s="85">
        <f t="shared" si="7"/>
        <v>0</v>
      </c>
      <c r="L138" s="68"/>
      <c r="M138" s="68"/>
      <c r="P138" s="89" t="str">
        <f t="shared" si="10"/>
        <v xml:space="preserve">  1 1900 </v>
      </c>
    </row>
    <row r="139" spans="1:16">
      <c r="A139" s="68"/>
      <c r="B139" s="87"/>
      <c r="C139" s="88"/>
      <c r="D139" s="88"/>
      <c r="E139" s="90"/>
      <c r="F139" s="84" t="str">
        <f ca="1">IF(D139="Income",LOOKUP(E139,Introduction!$A$11:$A$18,Introduction!$C$11:$C$18),IF(D139="Expense",LOOKUP(E139,Introduction!$D$11:$D$30,Introduction!$F$11:$F$30),"_"))</f>
        <v>_</v>
      </c>
      <c r="G139" s="88"/>
      <c r="H139" s="92">
        <f t="shared" ref="H139:H149" si="11">-ROUND(H33*$O$2,2)</f>
        <v>0</v>
      </c>
      <c r="I139" s="85">
        <f t="shared" si="6"/>
        <v>0</v>
      </c>
      <c r="J139" s="93"/>
      <c r="K139" s="85">
        <f t="shared" si="7"/>
        <v>0</v>
      </c>
      <c r="L139" s="68"/>
      <c r="M139" s="68"/>
      <c r="P139" s="89" t="str">
        <f t="shared" si="10"/>
        <v xml:space="preserve">  1 1900 </v>
      </c>
    </row>
    <row r="140" spans="1:16">
      <c r="A140" s="68"/>
      <c r="B140" s="87"/>
      <c r="C140" s="88"/>
      <c r="D140" s="88"/>
      <c r="E140" s="90"/>
      <c r="F140" s="84" t="str">
        <f ca="1">IF(D140="Income",LOOKUP(E140,Introduction!$A$11:$A$18,Introduction!$C$11:$C$18),IF(D140="Expense",LOOKUP(E140,Introduction!$D$11:$D$30,Introduction!$F$11:$F$30),"_"))</f>
        <v>_</v>
      </c>
      <c r="G140" s="88"/>
      <c r="H140" s="92">
        <f t="shared" si="11"/>
        <v>0</v>
      </c>
      <c r="I140" s="85">
        <f t="shared" si="6"/>
        <v>0</v>
      </c>
      <c r="J140" s="93"/>
      <c r="K140" s="85">
        <f t="shared" si="7"/>
        <v>0</v>
      </c>
      <c r="L140" s="68"/>
      <c r="M140" s="68"/>
      <c r="P140" s="89" t="str">
        <f t="shared" si="10"/>
        <v xml:space="preserve">  1 1900 </v>
      </c>
    </row>
    <row r="141" spans="1:16">
      <c r="A141" s="68"/>
      <c r="B141" s="87"/>
      <c r="C141" s="88"/>
      <c r="D141" s="88"/>
      <c r="E141" s="90"/>
      <c r="F141" s="84" t="str">
        <f ca="1">IF(D141="Income",LOOKUP(E141,Introduction!$A$11:$A$18,Introduction!$C$11:$C$18),IF(D141="Expense",LOOKUP(E141,Introduction!$D$11:$D$30,Introduction!$F$11:$F$30),"_"))</f>
        <v>_</v>
      </c>
      <c r="G141" s="88"/>
      <c r="H141" s="92">
        <f t="shared" si="11"/>
        <v>0</v>
      </c>
      <c r="I141" s="85">
        <f t="shared" si="6"/>
        <v>0</v>
      </c>
      <c r="J141" s="93"/>
      <c r="K141" s="85">
        <f t="shared" si="7"/>
        <v>0</v>
      </c>
      <c r="L141" s="68"/>
      <c r="M141" s="68"/>
      <c r="P141" s="89" t="str">
        <f t="shared" si="10"/>
        <v xml:space="preserve">  1 1900 </v>
      </c>
    </row>
    <row r="142" spans="1:16">
      <c r="A142" s="68"/>
      <c r="B142" s="87"/>
      <c r="C142" s="88"/>
      <c r="D142" s="88"/>
      <c r="E142" s="90"/>
      <c r="F142" s="84" t="str">
        <f ca="1">IF(D142="Income",LOOKUP(E142,Introduction!$A$11:$A$18,Introduction!$C$11:$C$18),IF(D142="Expense",LOOKUP(E142,Introduction!$D$11:$D$30,Introduction!$F$11:$F$30),"_"))</f>
        <v>_</v>
      </c>
      <c r="G142" s="88"/>
      <c r="H142" s="92">
        <f t="shared" si="11"/>
        <v>0</v>
      </c>
      <c r="I142" s="85">
        <f t="shared" si="6"/>
        <v>0</v>
      </c>
      <c r="J142" s="93"/>
      <c r="K142" s="85">
        <f t="shared" si="7"/>
        <v>0</v>
      </c>
      <c r="L142" s="68"/>
      <c r="M142" s="68"/>
      <c r="P142" s="89" t="str">
        <f t="shared" si="10"/>
        <v xml:space="preserve">  1 1900 </v>
      </c>
    </row>
    <row r="143" spans="1:16">
      <c r="A143" s="68"/>
      <c r="B143" s="87"/>
      <c r="C143" s="88"/>
      <c r="D143" s="88"/>
      <c r="E143" s="90"/>
      <c r="F143" s="84" t="str">
        <f ca="1">IF(D143="Income",LOOKUP(E143,Introduction!$A$11:$A$18,Introduction!$C$11:$C$18),IF(D143="Expense",LOOKUP(E143,Introduction!$D$11:$D$30,Introduction!$F$11:$F$30),"_"))</f>
        <v>_</v>
      </c>
      <c r="G143" s="88"/>
      <c r="H143" s="92">
        <f t="shared" si="11"/>
        <v>0</v>
      </c>
      <c r="I143" s="85">
        <f t="shared" si="6"/>
        <v>0</v>
      </c>
      <c r="J143" s="93"/>
      <c r="K143" s="85">
        <f t="shared" si="7"/>
        <v>0</v>
      </c>
      <c r="L143" s="68"/>
      <c r="M143" s="68"/>
      <c r="P143" s="89" t="str">
        <f t="shared" si="10"/>
        <v xml:space="preserve">  1 1900 </v>
      </c>
    </row>
    <row r="144" spans="1:16">
      <c r="A144" s="68"/>
      <c r="B144" s="87"/>
      <c r="C144" s="88"/>
      <c r="D144" s="88"/>
      <c r="E144" s="90"/>
      <c r="F144" s="84" t="str">
        <f ca="1">IF(D144="Income",LOOKUP(E144,Introduction!$A$11:$A$18,Introduction!$C$11:$C$18),IF(D144="Expense",LOOKUP(E144,Introduction!$D$11:$D$30,Introduction!$F$11:$F$30),"_"))</f>
        <v>_</v>
      </c>
      <c r="G144" s="88"/>
      <c r="H144" s="92">
        <f t="shared" si="11"/>
        <v>0</v>
      </c>
      <c r="I144" s="85">
        <f t="shared" si="6"/>
        <v>0</v>
      </c>
      <c r="J144" s="93"/>
      <c r="K144" s="85">
        <f t="shared" si="7"/>
        <v>0</v>
      </c>
      <c r="L144" s="68"/>
      <c r="M144" s="68"/>
      <c r="P144" s="89" t="str">
        <f t="shared" si="10"/>
        <v xml:space="preserve">  1 1900 </v>
      </c>
    </row>
    <row r="145" spans="1:16">
      <c r="A145" s="68"/>
      <c r="B145" s="87"/>
      <c r="C145" s="88"/>
      <c r="D145" s="88"/>
      <c r="E145" s="90"/>
      <c r="F145" s="84" t="str">
        <f ca="1">IF(D145="Income",LOOKUP(E145,Introduction!$A$11:$A$18,Introduction!$C$11:$C$18),IF(D145="Expense",LOOKUP(E145,Introduction!$D$11:$D$30,Introduction!$F$11:$F$30),"_"))</f>
        <v>_</v>
      </c>
      <c r="G145" s="88"/>
      <c r="H145" s="92">
        <f t="shared" si="11"/>
        <v>0</v>
      </c>
      <c r="I145" s="85">
        <f t="shared" ref="I145:I208" si="12">+I144+H145</f>
        <v>0</v>
      </c>
      <c r="J145" s="93"/>
      <c r="K145" s="85">
        <f t="shared" ref="K145:K208" si="13">IF(J145=1,K144+H145,++K144)</f>
        <v>0</v>
      </c>
      <c r="L145" s="68"/>
      <c r="M145" s="68"/>
      <c r="P145" s="89" t="str">
        <f t="shared" si="10"/>
        <v xml:space="preserve">  1 1900 </v>
      </c>
    </row>
    <row r="146" spans="1:16">
      <c r="A146" s="68"/>
      <c r="B146" s="87"/>
      <c r="C146" s="88"/>
      <c r="D146" s="88"/>
      <c r="E146" s="90"/>
      <c r="F146" s="84" t="str">
        <f ca="1">IF(D146="Income",LOOKUP(E146,Introduction!$A$11:$A$18,Introduction!$C$11:$C$18),IF(D146="Expense",LOOKUP(E146,Introduction!$D$11:$D$30,Introduction!$F$11:$F$30),"_"))</f>
        <v>_</v>
      </c>
      <c r="G146" s="88"/>
      <c r="H146" s="92">
        <f t="shared" si="11"/>
        <v>0</v>
      </c>
      <c r="I146" s="85">
        <f t="shared" si="12"/>
        <v>0</v>
      </c>
      <c r="J146" s="93"/>
      <c r="K146" s="85">
        <f t="shared" si="13"/>
        <v>0</v>
      </c>
      <c r="L146" s="68"/>
      <c r="M146" s="68"/>
      <c r="P146" s="89" t="str">
        <f t="shared" si="10"/>
        <v xml:space="preserve">  1 1900 </v>
      </c>
    </row>
    <row r="147" spans="1:16">
      <c r="A147" s="68"/>
      <c r="B147" s="87"/>
      <c r="C147" s="88"/>
      <c r="D147" s="88"/>
      <c r="E147" s="90"/>
      <c r="F147" s="84" t="str">
        <f ca="1">IF(D147="Income",LOOKUP(E147,Introduction!$A$11:$A$18,Introduction!$C$11:$C$18),IF(D147="Expense",LOOKUP(E147,Introduction!$D$11:$D$30,Introduction!$F$11:$F$30),"_"))</f>
        <v>_</v>
      </c>
      <c r="G147" s="88"/>
      <c r="H147" s="92">
        <f t="shared" si="11"/>
        <v>0</v>
      </c>
      <c r="I147" s="85">
        <f t="shared" si="12"/>
        <v>0</v>
      </c>
      <c r="J147" s="93"/>
      <c r="K147" s="85">
        <f t="shared" si="13"/>
        <v>0</v>
      </c>
      <c r="L147" s="68"/>
      <c r="M147" s="68"/>
      <c r="P147" s="89" t="str">
        <f t="shared" si="10"/>
        <v xml:space="preserve">  1 1900 </v>
      </c>
    </row>
    <row r="148" spans="1:16">
      <c r="A148" s="68"/>
      <c r="B148" s="87"/>
      <c r="C148" s="88"/>
      <c r="D148" s="88"/>
      <c r="E148" s="90"/>
      <c r="F148" s="84" t="str">
        <f ca="1">IF(D148="Income",LOOKUP(E148,Introduction!$A$11:$A$18,Introduction!$C$11:$C$18),IF(D148="Expense",LOOKUP(E148,Introduction!$D$11:$D$30,Introduction!$F$11:$F$30),"_"))</f>
        <v>_</v>
      </c>
      <c r="G148" s="88"/>
      <c r="H148" s="92">
        <f t="shared" si="11"/>
        <v>0</v>
      </c>
      <c r="I148" s="85">
        <f t="shared" si="12"/>
        <v>0</v>
      </c>
      <c r="J148" s="93"/>
      <c r="K148" s="85">
        <f t="shared" si="13"/>
        <v>0</v>
      </c>
      <c r="L148" s="68"/>
      <c r="M148" s="68"/>
      <c r="P148" s="89" t="str">
        <f t="shared" si="10"/>
        <v xml:space="preserve">  1 1900 </v>
      </c>
    </row>
    <row r="149" spans="1:16">
      <c r="A149" s="68"/>
      <c r="B149" s="87"/>
      <c r="C149" s="88"/>
      <c r="D149" s="88"/>
      <c r="E149" s="90"/>
      <c r="F149" s="84" t="str">
        <f ca="1">IF(D149="Income",LOOKUP(E149,Introduction!$A$11:$A$18,Introduction!$C$11:$C$18),IF(D149="Expense",LOOKUP(E149,Introduction!$D$11:$D$30,Introduction!$F$11:$F$30),"_"))</f>
        <v>_</v>
      </c>
      <c r="G149" s="88"/>
      <c r="H149" s="92">
        <f t="shared" si="11"/>
        <v>0</v>
      </c>
      <c r="I149" s="85">
        <f t="shared" si="12"/>
        <v>0</v>
      </c>
      <c r="J149" s="93"/>
      <c r="K149" s="85">
        <f t="shared" si="13"/>
        <v>0</v>
      </c>
      <c r="L149" s="68"/>
      <c r="M149" s="68"/>
      <c r="P149" s="89" t="str">
        <f t="shared" si="10"/>
        <v xml:space="preserve">  1 1900 </v>
      </c>
    </row>
    <row r="150" spans="1:16">
      <c r="A150" s="68"/>
      <c r="B150" s="87"/>
      <c r="C150" s="88"/>
      <c r="D150" s="88"/>
      <c r="E150" s="90"/>
      <c r="F150" s="84" t="str">
        <f ca="1">IF(D150="Income",LOOKUP(E150,Introduction!$A$11:$A$18,Introduction!$C$11:$C$18),IF(D150="Expense",LOOKUP(E150,Introduction!$D$11:$D$30,Introduction!$F$11:$F$30),"_"))</f>
        <v>_</v>
      </c>
      <c r="G150" s="88"/>
      <c r="H150" s="92"/>
      <c r="I150" s="85">
        <f t="shared" si="12"/>
        <v>0</v>
      </c>
      <c r="J150" s="93"/>
      <c r="K150" s="85">
        <f t="shared" si="13"/>
        <v>0</v>
      </c>
      <c r="L150" s="68"/>
      <c r="M150" s="68"/>
      <c r="P150" s="89" t="str">
        <f t="shared" si="10"/>
        <v xml:space="preserve">  1 1900 </v>
      </c>
    </row>
    <row r="151" spans="1:16">
      <c r="A151" s="68"/>
      <c r="B151" s="87"/>
      <c r="C151" s="88"/>
      <c r="D151" s="88"/>
      <c r="E151" s="90"/>
      <c r="F151" s="84" t="str">
        <f ca="1">IF(D151="Income",LOOKUP(E151,Introduction!$A$11:$A$18,Introduction!$C$11:$C$18),IF(D151="Expense",LOOKUP(E151,Introduction!$D$11:$D$30,Introduction!$F$11:$F$30),"_"))</f>
        <v>_</v>
      </c>
      <c r="G151" s="88"/>
      <c r="H151" s="92">
        <f>-ROUND(H45*$O$2,2)</f>
        <v>0</v>
      </c>
      <c r="I151" s="85">
        <f t="shared" si="12"/>
        <v>0</v>
      </c>
      <c r="J151" s="93"/>
      <c r="K151" s="85">
        <f t="shared" si="13"/>
        <v>0</v>
      </c>
      <c r="L151" s="68"/>
      <c r="M151" s="68"/>
      <c r="P151" s="89" t="str">
        <f t="shared" si="10"/>
        <v xml:space="preserve">  1 1900 </v>
      </c>
    </row>
    <row r="152" spans="1:16">
      <c r="A152" s="68"/>
      <c r="B152" s="87"/>
      <c r="C152" s="88"/>
      <c r="D152" s="88"/>
      <c r="E152" s="90"/>
      <c r="F152" s="84" t="str">
        <f ca="1">IF(D152="Income",LOOKUP(E152,Introduction!$A$11:$A$18,Introduction!$C$11:$C$18),IF(D152="Expense",LOOKUP(E152,Introduction!$D$11:$D$30,Introduction!$F$11:$F$30),"_"))</f>
        <v>_</v>
      </c>
      <c r="G152" s="88"/>
      <c r="H152" s="92">
        <f t="shared" ref="H152:H162" si="14">-ROUND(H46*$O$2,2)</f>
        <v>0</v>
      </c>
      <c r="I152" s="85">
        <f t="shared" si="12"/>
        <v>0</v>
      </c>
      <c r="J152" s="93"/>
      <c r="K152" s="85">
        <f t="shared" si="13"/>
        <v>0</v>
      </c>
      <c r="L152" s="68"/>
      <c r="M152" s="68"/>
      <c r="P152" s="89" t="str">
        <f t="shared" si="10"/>
        <v xml:space="preserve">  1 1900 </v>
      </c>
    </row>
    <row r="153" spans="1:16">
      <c r="A153" s="68"/>
      <c r="B153" s="87"/>
      <c r="C153" s="88"/>
      <c r="D153" s="88"/>
      <c r="E153" s="90"/>
      <c r="F153" s="84" t="str">
        <f ca="1">IF(D153="Income",LOOKUP(E153,Introduction!$A$11:$A$18,Introduction!$C$11:$C$18),IF(D153="Expense",LOOKUP(E153,Introduction!$D$11:$D$30,Introduction!$F$11:$F$30),"_"))</f>
        <v>_</v>
      </c>
      <c r="G153" s="88"/>
      <c r="H153" s="92">
        <f t="shared" si="14"/>
        <v>0</v>
      </c>
      <c r="I153" s="85">
        <f t="shared" si="12"/>
        <v>0</v>
      </c>
      <c r="J153" s="93"/>
      <c r="K153" s="85">
        <f t="shared" si="13"/>
        <v>0</v>
      </c>
      <c r="L153" s="68"/>
      <c r="M153" s="68"/>
      <c r="P153" s="89" t="str">
        <f t="shared" si="10"/>
        <v xml:space="preserve">  1 1900 </v>
      </c>
    </row>
    <row r="154" spans="1:16">
      <c r="A154" s="68"/>
      <c r="B154" s="87"/>
      <c r="C154" s="88"/>
      <c r="D154" s="88"/>
      <c r="E154" s="90"/>
      <c r="F154" s="84" t="str">
        <f ca="1">IF(D154="Income",LOOKUP(E154,Introduction!$A$11:$A$18,Introduction!$C$11:$C$18),IF(D154="Expense",LOOKUP(E154,Introduction!$D$11:$D$30,Introduction!$F$11:$F$30),"_"))</f>
        <v>_</v>
      </c>
      <c r="G154" s="88"/>
      <c r="H154" s="92">
        <f t="shared" si="14"/>
        <v>0</v>
      </c>
      <c r="I154" s="85">
        <f t="shared" si="12"/>
        <v>0</v>
      </c>
      <c r="J154" s="93"/>
      <c r="K154" s="85">
        <f t="shared" si="13"/>
        <v>0</v>
      </c>
      <c r="L154" s="68"/>
      <c r="M154" s="68"/>
      <c r="P154" s="89" t="str">
        <f t="shared" si="10"/>
        <v xml:space="preserve">  1 1900 </v>
      </c>
    </row>
    <row r="155" spans="1:16">
      <c r="A155" s="68"/>
      <c r="B155" s="87"/>
      <c r="C155" s="88"/>
      <c r="D155" s="88"/>
      <c r="E155" s="90"/>
      <c r="F155" s="84" t="str">
        <f ca="1">IF(D155="Income",LOOKUP(E155,Introduction!$A$11:$A$18,Introduction!$C$11:$C$18),IF(D155="Expense",LOOKUP(E155,Introduction!$D$11:$D$30,Introduction!$F$11:$F$30),"_"))</f>
        <v>_</v>
      </c>
      <c r="G155" s="88"/>
      <c r="H155" s="92">
        <f t="shared" si="14"/>
        <v>0</v>
      </c>
      <c r="I155" s="85">
        <f t="shared" si="12"/>
        <v>0</v>
      </c>
      <c r="J155" s="93"/>
      <c r="K155" s="85">
        <f t="shared" si="13"/>
        <v>0</v>
      </c>
      <c r="L155" s="68"/>
      <c r="M155" s="68"/>
      <c r="P155" s="89" t="str">
        <f t="shared" si="10"/>
        <v xml:space="preserve">  1 1900 </v>
      </c>
    </row>
    <row r="156" spans="1:16">
      <c r="A156" s="68"/>
      <c r="B156" s="87"/>
      <c r="C156" s="88"/>
      <c r="D156" s="88"/>
      <c r="E156" s="90"/>
      <c r="F156" s="84" t="str">
        <f ca="1">IF(D156="Income",LOOKUP(E156,Introduction!$A$11:$A$18,Introduction!$C$11:$C$18),IF(D156="Expense",LOOKUP(E156,Introduction!$D$11:$D$30,Introduction!$F$11:$F$30),"_"))</f>
        <v>_</v>
      </c>
      <c r="G156" s="88"/>
      <c r="H156" s="92">
        <f t="shared" si="14"/>
        <v>0</v>
      </c>
      <c r="I156" s="85">
        <f t="shared" si="12"/>
        <v>0</v>
      </c>
      <c r="J156" s="93"/>
      <c r="K156" s="85">
        <f t="shared" si="13"/>
        <v>0</v>
      </c>
      <c r="L156" s="68"/>
      <c r="M156" s="68"/>
      <c r="P156" s="89" t="str">
        <f t="shared" si="10"/>
        <v xml:space="preserve">  1 1900 </v>
      </c>
    </row>
    <row r="157" spans="1:16">
      <c r="A157" s="68"/>
      <c r="B157" s="87"/>
      <c r="C157" s="88"/>
      <c r="D157" s="88"/>
      <c r="E157" s="90"/>
      <c r="F157" s="84" t="str">
        <f ca="1">IF(D157="Income",LOOKUP(E157,Introduction!$A$11:$A$18,Introduction!$C$11:$C$18),IF(D157="Expense",LOOKUP(E157,Introduction!$D$11:$D$30,Introduction!$F$11:$F$30),"_"))</f>
        <v>_</v>
      </c>
      <c r="G157" s="88"/>
      <c r="H157" s="92">
        <f t="shared" si="14"/>
        <v>0</v>
      </c>
      <c r="I157" s="85">
        <f t="shared" si="12"/>
        <v>0</v>
      </c>
      <c r="J157" s="93"/>
      <c r="K157" s="85">
        <f t="shared" si="13"/>
        <v>0</v>
      </c>
      <c r="L157" s="68"/>
      <c r="M157" s="68"/>
      <c r="P157" s="89" t="str">
        <f t="shared" si="10"/>
        <v xml:space="preserve">  1 1900 </v>
      </c>
    </row>
    <row r="158" spans="1:16">
      <c r="A158" s="68"/>
      <c r="B158" s="87"/>
      <c r="C158" s="88"/>
      <c r="D158" s="88"/>
      <c r="E158" s="90"/>
      <c r="F158" s="84" t="str">
        <f ca="1">IF(D158="Income",LOOKUP(E158,Introduction!$A$11:$A$18,Introduction!$C$11:$C$18),IF(D158="Expense",LOOKUP(E158,Introduction!$D$11:$D$30,Introduction!$F$11:$F$30),"_"))</f>
        <v>_</v>
      </c>
      <c r="G158" s="88"/>
      <c r="H158" s="92">
        <f t="shared" si="14"/>
        <v>0</v>
      </c>
      <c r="I158" s="85">
        <f t="shared" si="12"/>
        <v>0</v>
      </c>
      <c r="J158" s="93"/>
      <c r="K158" s="85">
        <f t="shared" si="13"/>
        <v>0</v>
      </c>
      <c r="L158" s="68"/>
      <c r="M158" s="68"/>
      <c r="P158" s="89" t="str">
        <f t="shared" si="10"/>
        <v xml:space="preserve">  1 1900 </v>
      </c>
    </row>
    <row r="159" spans="1:16">
      <c r="A159" s="68"/>
      <c r="B159" s="87"/>
      <c r="C159" s="88"/>
      <c r="D159" s="88"/>
      <c r="E159" s="90"/>
      <c r="F159" s="84" t="str">
        <f ca="1">IF(D159="Income",LOOKUP(E159,Introduction!$A$11:$A$18,Introduction!$C$11:$C$18),IF(D159="Expense",LOOKUP(E159,Introduction!$D$11:$D$30,Introduction!$F$11:$F$30),"_"))</f>
        <v>_</v>
      </c>
      <c r="G159" s="88"/>
      <c r="H159" s="92">
        <f t="shared" si="14"/>
        <v>0</v>
      </c>
      <c r="I159" s="85">
        <f t="shared" si="12"/>
        <v>0</v>
      </c>
      <c r="J159" s="93"/>
      <c r="K159" s="85">
        <f t="shared" si="13"/>
        <v>0</v>
      </c>
      <c r="L159" s="68"/>
      <c r="M159" s="68"/>
      <c r="P159" s="89" t="str">
        <f t="shared" si="10"/>
        <v xml:space="preserve">  1 1900 </v>
      </c>
    </row>
    <row r="160" spans="1:16">
      <c r="A160" s="68"/>
      <c r="B160" s="87"/>
      <c r="C160" s="88"/>
      <c r="D160" s="88"/>
      <c r="E160" s="90"/>
      <c r="F160" s="84" t="str">
        <f ca="1">IF(D160="Income",LOOKUP(E160,Introduction!$A$11:$A$18,Introduction!$C$11:$C$18),IF(D160="Expense",LOOKUP(E160,Introduction!$D$11:$D$30,Introduction!$F$11:$F$30),"_"))</f>
        <v>_</v>
      </c>
      <c r="G160" s="88"/>
      <c r="H160" s="92">
        <f t="shared" si="14"/>
        <v>0</v>
      </c>
      <c r="I160" s="85">
        <f t="shared" si="12"/>
        <v>0</v>
      </c>
      <c r="J160" s="93"/>
      <c r="K160" s="85">
        <f t="shared" si="13"/>
        <v>0</v>
      </c>
      <c r="L160" s="68"/>
      <c r="M160" s="68"/>
      <c r="P160" s="89" t="str">
        <f t="shared" si="10"/>
        <v xml:space="preserve">  1 1900 </v>
      </c>
    </row>
    <row r="161" spans="1:16">
      <c r="A161" s="68"/>
      <c r="B161" s="87"/>
      <c r="C161" s="88"/>
      <c r="D161" s="88"/>
      <c r="E161" s="90"/>
      <c r="F161" s="84" t="str">
        <f ca="1">IF(D161="Income",LOOKUP(E161,Introduction!$A$11:$A$18,Introduction!$C$11:$C$18),IF(D161="Expense",LOOKUP(E161,Introduction!$D$11:$D$30,Introduction!$F$11:$F$30),"_"))</f>
        <v>_</v>
      </c>
      <c r="G161" s="88"/>
      <c r="H161" s="92">
        <f t="shared" si="14"/>
        <v>0</v>
      </c>
      <c r="I161" s="85">
        <f t="shared" si="12"/>
        <v>0</v>
      </c>
      <c r="J161" s="93"/>
      <c r="K161" s="85">
        <f t="shared" si="13"/>
        <v>0</v>
      </c>
      <c r="L161" s="68"/>
      <c r="M161" s="68"/>
      <c r="P161" s="89" t="str">
        <f t="shared" si="10"/>
        <v xml:space="preserve">  1 1900 </v>
      </c>
    </row>
    <row r="162" spans="1:16">
      <c r="A162" s="68"/>
      <c r="B162" s="87"/>
      <c r="C162" s="88"/>
      <c r="D162" s="88"/>
      <c r="E162" s="90"/>
      <c r="F162" s="84" t="str">
        <f ca="1">IF(D162="Income",LOOKUP(E162,Introduction!$A$11:$A$18,Introduction!$C$11:$C$18),IF(D162="Expense",LOOKUP(E162,Introduction!$D$11:$D$30,Introduction!$F$11:$F$30),"_"))</f>
        <v>_</v>
      </c>
      <c r="G162" s="88"/>
      <c r="H162" s="92">
        <f t="shared" si="14"/>
        <v>0</v>
      </c>
      <c r="I162" s="85">
        <f t="shared" si="12"/>
        <v>0</v>
      </c>
      <c r="J162" s="93"/>
      <c r="K162" s="85">
        <f t="shared" si="13"/>
        <v>0</v>
      </c>
      <c r="L162" s="68"/>
      <c r="M162" s="68"/>
      <c r="P162" s="89" t="str">
        <f t="shared" si="10"/>
        <v xml:space="preserve">  1 1900 </v>
      </c>
    </row>
    <row r="163" spans="1:16">
      <c r="A163" s="68"/>
      <c r="B163" s="87"/>
      <c r="C163" s="88"/>
      <c r="D163" s="88"/>
      <c r="E163" s="90"/>
      <c r="F163" s="84" t="str">
        <f ca="1">IF(D163="Income",LOOKUP(E163,Introduction!$A$11:$A$18,Introduction!$C$11:$C$18),IF(D163="Expense",LOOKUP(E163,Introduction!$D$11:$D$30,Introduction!$F$11:$F$30),"_"))</f>
        <v>_</v>
      </c>
      <c r="G163" s="88"/>
      <c r="H163" s="92"/>
      <c r="I163" s="85">
        <f t="shared" si="12"/>
        <v>0</v>
      </c>
      <c r="J163" s="93"/>
      <c r="K163" s="85">
        <f t="shared" si="13"/>
        <v>0</v>
      </c>
      <c r="L163" s="68"/>
      <c r="M163" s="68"/>
      <c r="P163" s="89" t="str">
        <f t="shared" si="10"/>
        <v xml:space="preserve">  1 1900 </v>
      </c>
    </row>
    <row r="164" spans="1:16">
      <c r="A164" s="68"/>
      <c r="B164" s="87"/>
      <c r="C164" s="88"/>
      <c r="D164" s="88"/>
      <c r="E164" s="90"/>
      <c r="F164" s="84" t="str">
        <f ca="1">IF(D164="Income",LOOKUP(E164,Introduction!$A$11:$A$18,Introduction!$C$11:$C$18),IF(D164="Expense",LOOKUP(E164,Introduction!$D$11:$D$30,Introduction!$F$11:$F$30),"_"))</f>
        <v>_</v>
      </c>
      <c r="G164" s="88"/>
      <c r="H164" s="92">
        <f>-ROUND(H58*$O$2,2)</f>
        <v>0</v>
      </c>
      <c r="I164" s="85">
        <f t="shared" si="12"/>
        <v>0</v>
      </c>
      <c r="J164" s="93"/>
      <c r="K164" s="85">
        <f t="shared" si="13"/>
        <v>0</v>
      </c>
      <c r="L164" s="68"/>
      <c r="M164" s="68"/>
      <c r="P164" s="89" t="str">
        <f t="shared" si="10"/>
        <v xml:space="preserve">  1 1900 </v>
      </c>
    </row>
    <row r="165" spans="1:16">
      <c r="A165" s="68"/>
      <c r="B165" s="87"/>
      <c r="C165" s="88"/>
      <c r="D165" s="88"/>
      <c r="E165" s="90"/>
      <c r="F165" s="84" t="str">
        <f ca="1">IF(D165="Income",LOOKUP(E165,Introduction!$A$11:$A$18,Introduction!$C$11:$C$18),IF(D165="Expense",LOOKUP(E165,Introduction!$D$11:$D$30,Introduction!$F$11:$F$30),"_"))</f>
        <v>_</v>
      </c>
      <c r="G165" s="88"/>
      <c r="H165" s="92">
        <f t="shared" ref="H165:H175" si="15">-ROUND(H59*$O$2,2)</f>
        <v>0</v>
      </c>
      <c r="I165" s="85">
        <f t="shared" si="12"/>
        <v>0</v>
      </c>
      <c r="J165" s="93"/>
      <c r="K165" s="85">
        <f t="shared" si="13"/>
        <v>0</v>
      </c>
      <c r="L165" s="68"/>
      <c r="M165" s="68"/>
      <c r="P165" s="89" t="str">
        <f t="shared" si="10"/>
        <v xml:space="preserve">  1 1900 </v>
      </c>
    </row>
    <row r="166" spans="1:16">
      <c r="A166" s="68"/>
      <c r="B166" s="87"/>
      <c r="C166" s="88"/>
      <c r="D166" s="88"/>
      <c r="E166" s="90"/>
      <c r="F166" s="84" t="str">
        <f ca="1">IF(D166="Income",LOOKUP(E166,Introduction!$A$11:$A$18,Introduction!$C$11:$C$18),IF(D166="Expense",LOOKUP(E166,Introduction!$D$11:$D$30,Introduction!$F$11:$F$30),"_"))</f>
        <v>_</v>
      </c>
      <c r="G166" s="88"/>
      <c r="H166" s="92">
        <f t="shared" si="15"/>
        <v>0</v>
      </c>
      <c r="I166" s="85">
        <f t="shared" si="12"/>
        <v>0</v>
      </c>
      <c r="J166" s="93"/>
      <c r="K166" s="85">
        <f t="shared" si="13"/>
        <v>0</v>
      </c>
      <c r="L166" s="68"/>
      <c r="M166" s="68"/>
      <c r="P166" s="89" t="str">
        <f t="shared" si="10"/>
        <v xml:space="preserve">  1 1900 </v>
      </c>
    </row>
    <row r="167" spans="1:16">
      <c r="A167" s="68"/>
      <c r="B167" s="87"/>
      <c r="C167" s="88"/>
      <c r="D167" s="88"/>
      <c r="E167" s="90"/>
      <c r="F167" s="84" t="str">
        <f ca="1">IF(D167="Income",LOOKUP(E167,Introduction!$A$11:$A$18,Introduction!$C$11:$C$18),IF(D167="Expense",LOOKUP(E167,Introduction!$D$11:$D$30,Introduction!$F$11:$F$30),"_"))</f>
        <v>_</v>
      </c>
      <c r="G167" s="88"/>
      <c r="H167" s="92">
        <f t="shared" si="15"/>
        <v>0</v>
      </c>
      <c r="I167" s="85">
        <f t="shared" si="12"/>
        <v>0</v>
      </c>
      <c r="J167" s="93"/>
      <c r="K167" s="85">
        <f t="shared" si="13"/>
        <v>0</v>
      </c>
      <c r="L167" s="68"/>
      <c r="M167" s="68"/>
      <c r="P167" s="89" t="str">
        <f t="shared" si="10"/>
        <v xml:space="preserve">  1 1900 </v>
      </c>
    </row>
    <row r="168" spans="1:16">
      <c r="A168" s="68"/>
      <c r="B168" s="87"/>
      <c r="C168" s="88"/>
      <c r="D168" s="88"/>
      <c r="E168" s="90"/>
      <c r="F168" s="84" t="str">
        <f ca="1">IF(D168="Income",LOOKUP(E168,Introduction!$A$11:$A$18,Introduction!$C$11:$C$18),IF(D168="Expense",LOOKUP(E168,Introduction!$D$11:$D$30,Introduction!$F$11:$F$30),"_"))</f>
        <v>_</v>
      </c>
      <c r="G168" s="88"/>
      <c r="H168" s="92">
        <f t="shared" si="15"/>
        <v>0</v>
      </c>
      <c r="I168" s="85">
        <f t="shared" si="12"/>
        <v>0</v>
      </c>
      <c r="J168" s="93"/>
      <c r="K168" s="85">
        <f t="shared" si="13"/>
        <v>0</v>
      </c>
      <c r="L168" s="68"/>
      <c r="M168" s="68"/>
      <c r="P168" s="89" t="str">
        <f t="shared" si="10"/>
        <v xml:space="preserve">  1 1900 </v>
      </c>
    </row>
    <row r="169" spans="1:16">
      <c r="A169" s="68"/>
      <c r="B169" s="87"/>
      <c r="C169" s="88"/>
      <c r="D169" s="88"/>
      <c r="E169" s="90"/>
      <c r="F169" s="84" t="str">
        <f ca="1">IF(D169="Income",LOOKUP(E169,Introduction!$A$11:$A$18,Introduction!$C$11:$C$18),IF(D169="Expense",LOOKUP(E169,Introduction!$D$11:$D$30,Introduction!$F$11:$F$30),"_"))</f>
        <v>_</v>
      </c>
      <c r="G169" s="88"/>
      <c r="H169" s="92">
        <f t="shared" si="15"/>
        <v>0</v>
      </c>
      <c r="I169" s="85">
        <f t="shared" si="12"/>
        <v>0</v>
      </c>
      <c r="J169" s="93"/>
      <c r="K169" s="85">
        <f t="shared" si="13"/>
        <v>0</v>
      </c>
      <c r="L169" s="68"/>
      <c r="M169" s="68"/>
      <c r="P169" s="89" t="str">
        <f t="shared" si="10"/>
        <v xml:space="preserve">  1 1900 </v>
      </c>
    </row>
    <row r="170" spans="1:16">
      <c r="A170" s="68"/>
      <c r="B170" s="87"/>
      <c r="C170" s="88"/>
      <c r="D170" s="88"/>
      <c r="E170" s="90"/>
      <c r="F170" s="84" t="str">
        <f ca="1">IF(D170="Income",LOOKUP(E170,Introduction!$A$11:$A$18,Introduction!$C$11:$C$18),IF(D170="Expense",LOOKUP(E170,Introduction!$D$11:$D$30,Introduction!$F$11:$F$30),"_"))</f>
        <v>_</v>
      </c>
      <c r="G170" s="88"/>
      <c r="H170" s="92">
        <f t="shared" si="15"/>
        <v>0</v>
      </c>
      <c r="I170" s="85">
        <f t="shared" si="12"/>
        <v>0</v>
      </c>
      <c r="J170" s="93"/>
      <c r="K170" s="85">
        <f t="shared" si="13"/>
        <v>0</v>
      </c>
      <c r="L170" s="68"/>
      <c r="M170" s="68"/>
      <c r="P170" s="89" t="str">
        <f t="shared" si="10"/>
        <v xml:space="preserve">  1 1900 </v>
      </c>
    </row>
    <row r="171" spans="1:16">
      <c r="A171" s="68"/>
      <c r="B171" s="87"/>
      <c r="C171" s="88"/>
      <c r="D171" s="88"/>
      <c r="E171" s="90"/>
      <c r="F171" s="84" t="str">
        <f ca="1">IF(D171="Income",LOOKUP(E171,Introduction!$A$11:$A$18,Introduction!$C$11:$C$18),IF(D171="Expense",LOOKUP(E171,Introduction!$D$11:$D$30,Introduction!$F$11:$F$30),"_"))</f>
        <v>_</v>
      </c>
      <c r="G171" s="88"/>
      <c r="H171" s="92">
        <f t="shared" si="15"/>
        <v>0</v>
      </c>
      <c r="I171" s="85">
        <f t="shared" si="12"/>
        <v>0</v>
      </c>
      <c r="J171" s="93"/>
      <c r="K171" s="85">
        <f t="shared" si="13"/>
        <v>0</v>
      </c>
      <c r="L171" s="68"/>
      <c r="M171" s="68"/>
      <c r="P171" s="89" t="str">
        <f t="shared" si="10"/>
        <v xml:space="preserve">  1 1900 </v>
      </c>
    </row>
    <row r="172" spans="1:16">
      <c r="A172" s="68"/>
      <c r="B172" s="87"/>
      <c r="C172" s="88"/>
      <c r="D172" s="88"/>
      <c r="E172" s="90"/>
      <c r="F172" s="84" t="str">
        <f ca="1">IF(D172="Income",LOOKUP(E172,Introduction!$A$11:$A$18,Introduction!$C$11:$C$18),IF(D172="Expense",LOOKUP(E172,Introduction!$D$11:$D$30,Introduction!$F$11:$F$30),"_"))</f>
        <v>_</v>
      </c>
      <c r="G172" s="88"/>
      <c r="H172" s="92">
        <f t="shared" si="15"/>
        <v>0</v>
      </c>
      <c r="I172" s="85">
        <f t="shared" si="12"/>
        <v>0</v>
      </c>
      <c r="J172" s="93"/>
      <c r="K172" s="85">
        <f t="shared" si="13"/>
        <v>0</v>
      </c>
      <c r="L172" s="68"/>
      <c r="M172" s="68"/>
      <c r="P172" s="89" t="str">
        <f t="shared" si="10"/>
        <v xml:space="preserve">  1 1900 </v>
      </c>
    </row>
    <row r="173" spans="1:16">
      <c r="A173" s="68"/>
      <c r="B173" s="87"/>
      <c r="C173" s="88"/>
      <c r="D173" s="88"/>
      <c r="E173" s="90"/>
      <c r="F173" s="84" t="str">
        <f ca="1">IF(D173="Income",LOOKUP(E173,Introduction!$A$11:$A$18,Introduction!$C$11:$C$18),IF(D173="Expense",LOOKUP(E173,Introduction!$D$11:$D$30,Introduction!$F$11:$F$30),"_"))</f>
        <v>_</v>
      </c>
      <c r="G173" s="88"/>
      <c r="H173" s="92">
        <f t="shared" si="15"/>
        <v>0</v>
      </c>
      <c r="I173" s="85">
        <f t="shared" si="12"/>
        <v>0</v>
      </c>
      <c r="J173" s="93"/>
      <c r="K173" s="85">
        <f t="shared" si="13"/>
        <v>0</v>
      </c>
      <c r="L173" s="68"/>
      <c r="M173" s="68"/>
      <c r="P173" s="89" t="str">
        <f t="shared" si="10"/>
        <v xml:space="preserve">  1 1900 </v>
      </c>
    </row>
    <row r="174" spans="1:16">
      <c r="A174" s="68"/>
      <c r="B174" s="87"/>
      <c r="C174" s="88"/>
      <c r="D174" s="88"/>
      <c r="E174" s="90"/>
      <c r="F174" s="84" t="str">
        <f ca="1">IF(D174="Income",LOOKUP(E174,Introduction!$A$11:$A$18,Introduction!$C$11:$C$18),IF(D174="Expense",LOOKUP(E174,Introduction!$D$11:$D$30,Introduction!$F$11:$F$30),"_"))</f>
        <v>_</v>
      </c>
      <c r="G174" s="88"/>
      <c r="H174" s="92">
        <f t="shared" si="15"/>
        <v>0</v>
      </c>
      <c r="I174" s="85">
        <f t="shared" si="12"/>
        <v>0</v>
      </c>
      <c r="J174" s="93"/>
      <c r="K174" s="85">
        <f t="shared" si="13"/>
        <v>0</v>
      </c>
      <c r="L174" s="68"/>
      <c r="M174" s="68"/>
      <c r="P174" s="89" t="str">
        <f t="shared" si="10"/>
        <v xml:space="preserve">  1 1900 </v>
      </c>
    </row>
    <row r="175" spans="1:16">
      <c r="A175" s="68"/>
      <c r="B175" s="87"/>
      <c r="C175" s="88"/>
      <c r="D175" s="88"/>
      <c r="E175" s="90"/>
      <c r="F175" s="84" t="str">
        <f ca="1">IF(D175="Income",LOOKUP(E175,Introduction!$A$11:$A$18,Introduction!$C$11:$C$18),IF(D175="Expense",LOOKUP(E175,Introduction!$D$11:$D$30,Introduction!$F$11:$F$30),"_"))</f>
        <v>_</v>
      </c>
      <c r="G175" s="88"/>
      <c r="H175" s="92">
        <f t="shared" si="15"/>
        <v>0</v>
      </c>
      <c r="I175" s="85">
        <f t="shared" si="12"/>
        <v>0</v>
      </c>
      <c r="J175" s="93"/>
      <c r="K175" s="85">
        <f t="shared" si="13"/>
        <v>0</v>
      </c>
      <c r="L175" s="68"/>
      <c r="M175" s="68"/>
      <c r="P175" s="89" t="str">
        <f t="shared" si="10"/>
        <v xml:space="preserve">  1 1900 </v>
      </c>
    </row>
    <row r="176" spans="1:16">
      <c r="A176" s="68"/>
      <c r="B176" s="87"/>
      <c r="C176" s="88"/>
      <c r="D176" s="88"/>
      <c r="E176" s="90"/>
      <c r="F176" s="84" t="str">
        <f ca="1">IF(D176="Income",LOOKUP(E176,Introduction!$A$11:$A$18,Introduction!$C$11:$C$18),IF(D176="Expense",LOOKUP(E176,Introduction!$D$11:$D$30,Introduction!$F$11:$F$30),"_"))</f>
        <v>_</v>
      </c>
      <c r="G176" s="88"/>
      <c r="H176" s="92"/>
      <c r="I176" s="85">
        <f t="shared" si="12"/>
        <v>0</v>
      </c>
      <c r="J176" s="93"/>
      <c r="K176" s="85">
        <f t="shared" si="13"/>
        <v>0</v>
      </c>
      <c r="L176" s="68"/>
      <c r="M176" s="68"/>
      <c r="P176" s="89" t="str">
        <f t="shared" si="10"/>
        <v xml:space="preserve">  1 1900 </v>
      </c>
    </row>
    <row r="177" spans="1:16">
      <c r="A177" s="68"/>
      <c r="B177" s="87"/>
      <c r="C177" s="88"/>
      <c r="D177" s="88"/>
      <c r="E177" s="90"/>
      <c r="F177" s="84" t="str">
        <f ca="1">IF(D177="Income",LOOKUP(E177,Introduction!$A$11:$A$18,Introduction!$C$11:$C$18),IF(D177="Expense",LOOKUP(E177,Introduction!$D$11:$D$30,Introduction!$F$11:$F$30),"_"))</f>
        <v>_</v>
      </c>
      <c r="G177" s="88"/>
      <c r="H177" s="92">
        <f>-ROUND(H71*$O$2,2)</f>
        <v>0</v>
      </c>
      <c r="I177" s="85">
        <f t="shared" si="12"/>
        <v>0</v>
      </c>
      <c r="J177" s="93"/>
      <c r="K177" s="85">
        <f t="shared" si="13"/>
        <v>0</v>
      </c>
      <c r="L177" s="68"/>
      <c r="M177" s="68"/>
      <c r="P177" s="89" t="str">
        <f t="shared" si="10"/>
        <v xml:space="preserve">  1 1900 </v>
      </c>
    </row>
    <row r="178" spans="1:16">
      <c r="A178" s="68"/>
      <c r="B178" s="87"/>
      <c r="C178" s="88"/>
      <c r="D178" s="88"/>
      <c r="E178" s="90"/>
      <c r="F178" s="84" t="str">
        <f ca="1">IF(D178="Income",LOOKUP(E178,Introduction!$A$11:$A$18,Introduction!$C$11:$C$18),IF(D178="Expense",LOOKUP(E178,Introduction!$D$11:$D$30,Introduction!$F$11:$F$30),"_"))</f>
        <v>_</v>
      </c>
      <c r="G178" s="88"/>
      <c r="H178" s="92">
        <f t="shared" ref="H178:H188" si="16">-ROUND(H72*$O$2,2)</f>
        <v>0</v>
      </c>
      <c r="I178" s="85">
        <f t="shared" si="12"/>
        <v>0</v>
      </c>
      <c r="J178" s="93"/>
      <c r="K178" s="85">
        <f t="shared" si="13"/>
        <v>0</v>
      </c>
      <c r="L178" s="68"/>
      <c r="M178" s="68"/>
      <c r="P178" s="89" t="str">
        <f t="shared" si="10"/>
        <v xml:space="preserve">  1 1900 </v>
      </c>
    </row>
    <row r="179" spans="1:16">
      <c r="A179" s="68"/>
      <c r="B179" s="87"/>
      <c r="C179" s="88"/>
      <c r="D179" s="88"/>
      <c r="E179" s="90"/>
      <c r="F179" s="84" t="str">
        <f ca="1">IF(D179="Income",LOOKUP(E179,Introduction!$A$11:$A$18,Introduction!$C$11:$C$18),IF(D179="Expense",LOOKUP(E179,Introduction!$D$11:$D$30,Introduction!$F$11:$F$30),"_"))</f>
        <v>_</v>
      </c>
      <c r="G179" s="88"/>
      <c r="H179" s="92">
        <f t="shared" si="16"/>
        <v>0</v>
      </c>
      <c r="I179" s="85">
        <f t="shared" si="12"/>
        <v>0</v>
      </c>
      <c r="J179" s="93"/>
      <c r="K179" s="85">
        <f t="shared" si="13"/>
        <v>0</v>
      </c>
      <c r="L179" s="68"/>
      <c r="M179" s="68"/>
      <c r="P179" s="89" t="str">
        <f t="shared" si="10"/>
        <v xml:space="preserve">  1 1900 </v>
      </c>
    </row>
    <row r="180" spans="1:16">
      <c r="A180" s="68"/>
      <c r="B180" s="87"/>
      <c r="C180" s="88"/>
      <c r="D180" s="88"/>
      <c r="E180" s="90"/>
      <c r="F180" s="84" t="str">
        <f ca="1">IF(D180="Income",LOOKUP(E180,Introduction!$A$11:$A$18,Introduction!$C$11:$C$18),IF(D180="Expense",LOOKUP(E180,Introduction!$D$11:$D$30,Introduction!$F$11:$F$30),"_"))</f>
        <v>_</v>
      </c>
      <c r="G180" s="88"/>
      <c r="H180" s="92">
        <f t="shared" si="16"/>
        <v>0</v>
      </c>
      <c r="I180" s="85">
        <f t="shared" si="12"/>
        <v>0</v>
      </c>
      <c r="J180" s="93"/>
      <c r="K180" s="85">
        <f t="shared" si="13"/>
        <v>0</v>
      </c>
      <c r="L180" s="68"/>
      <c r="M180" s="68"/>
      <c r="P180" s="89" t="str">
        <f t="shared" si="10"/>
        <v xml:space="preserve">  1 1900 </v>
      </c>
    </row>
    <row r="181" spans="1:16">
      <c r="A181" s="68"/>
      <c r="B181" s="87"/>
      <c r="C181" s="88"/>
      <c r="D181" s="88"/>
      <c r="E181" s="90"/>
      <c r="F181" s="84" t="str">
        <f ca="1">IF(D181="Income",LOOKUP(E181,Introduction!$A$11:$A$18,Introduction!$C$11:$C$18),IF(D181="Expense",LOOKUP(E181,Introduction!$D$11:$D$30,Introduction!$F$11:$F$30),"_"))</f>
        <v>_</v>
      </c>
      <c r="G181" s="88"/>
      <c r="H181" s="92">
        <f t="shared" si="16"/>
        <v>0</v>
      </c>
      <c r="I181" s="85">
        <f t="shared" si="12"/>
        <v>0</v>
      </c>
      <c r="J181" s="93"/>
      <c r="K181" s="85">
        <f t="shared" si="13"/>
        <v>0</v>
      </c>
      <c r="L181" s="68"/>
      <c r="M181" s="68"/>
      <c r="P181" s="89" t="str">
        <f t="shared" si="10"/>
        <v xml:space="preserve">  1 1900 </v>
      </c>
    </row>
    <row r="182" spans="1:16">
      <c r="A182" s="68"/>
      <c r="B182" s="87"/>
      <c r="C182" s="88"/>
      <c r="D182" s="88"/>
      <c r="E182" s="90"/>
      <c r="F182" s="84" t="str">
        <f ca="1">IF(D182="Income",LOOKUP(E182,Introduction!$A$11:$A$18,Introduction!$C$11:$C$18),IF(D182="Expense",LOOKUP(E182,Introduction!$D$11:$D$30,Introduction!$F$11:$F$30),"_"))</f>
        <v>_</v>
      </c>
      <c r="G182" s="88"/>
      <c r="H182" s="92">
        <f t="shared" si="16"/>
        <v>0</v>
      </c>
      <c r="I182" s="85">
        <f t="shared" si="12"/>
        <v>0</v>
      </c>
      <c r="J182" s="93"/>
      <c r="K182" s="85">
        <f t="shared" si="13"/>
        <v>0</v>
      </c>
      <c r="L182" s="68"/>
      <c r="M182" s="68"/>
      <c r="P182" s="89" t="str">
        <f t="shared" si="10"/>
        <v xml:space="preserve">  1 1900 </v>
      </c>
    </row>
    <row r="183" spans="1:16">
      <c r="A183" s="68"/>
      <c r="B183" s="87"/>
      <c r="C183" s="88"/>
      <c r="D183" s="88"/>
      <c r="E183" s="90"/>
      <c r="F183" s="84" t="str">
        <f ca="1">IF(D183="Income",LOOKUP(E183,Introduction!$A$11:$A$18,Introduction!$C$11:$C$18),IF(D183="Expense",LOOKUP(E183,Introduction!$D$11:$D$30,Introduction!$F$11:$F$30),"_"))</f>
        <v>_</v>
      </c>
      <c r="G183" s="88"/>
      <c r="H183" s="92">
        <f t="shared" si="16"/>
        <v>0</v>
      </c>
      <c r="I183" s="85">
        <f t="shared" si="12"/>
        <v>0</v>
      </c>
      <c r="J183" s="93"/>
      <c r="K183" s="85">
        <f t="shared" si="13"/>
        <v>0</v>
      </c>
      <c r="L183" s="68"/>
      <c r="M183" s="68"/>
      <c r="P183" s="89" t="str">
        <f t="shared" si="10"/>
        <v xml:space="preserve">  1 1900 </v>
      </c>
    </row>
    <row r="184" spans="1:16">
      <c r="A184" s="68"/>
      <c r="B184" s="87"/>
      <c r="C184" s="88"/>
      <c r="D184" s="88"/>
      <c r="E184" s="90"/>
      <c r="F184" s="84" t="str">
        <f ca="1">IF(D184="Income",LOOKUP(E184,Introduction!$A$11:$A$18,Introduction!$C$11:$C$18),IF(D184="Expense",LOOKUP(E184,Introduction!$D$11:$D$30,Introduction!$F$11:$F$30),"_"))</f>
        <v>_</v>
      </c>
      <c r="G184" s="88"/>
      <c r="H184" s="92">
        <f t="shared" si="16"/>
        <v>0</v>
      </c>
      <c r="I184" s="85">
        <f t="shared" si="12"/>
        <v>0</v>
      </c>
      <c r="J184" s="93"/>
      <c r="K184" s="85">
        <f t="shared" si="13"/>
        <v>0</v>
      </c>
      <c r="L184" s="68"/>
      <c r="M184" s="68"/>
      <c r="P184" s="89" t="str">
        <f t="shared" si="10"/>
        <v xml:space="preserve">  1 1900 </v>
      </c>
    </row>
    <row r="185" spans="1:16">
      <c r="A185" s="68"/>
      <c r="B185" s="87"/>
      <c r="C185" s="88"/>
      <c r="D185" s="88"/>
      <c r="E185" s="90"/>
      <c r="F185" s="84" t="str">
        <f ca="1">IF(D185="Income",LOOKUP(E185,Introduction!$A$11:$A$18,Introduction!$C$11:$C$18),IF(D185="Expense",LOOKUP(E185,Introduction!$D$11:$D$30,Introduction!$F$11:$F$30),"_"))</f>
        <v>_</v>
      </c>
      <c r="G185" s="88"/>
      <c r="H185" s="92">
        <f t="shared" si="16"/>
        <v>0</v>
      </c>
      <c r="I185" s="85">
        <f t="shared" si="12"/>
        <v>0</v>
      </c>
      <c r="J185" s="93"/>
      <c r="K185" s="85">
        <f t="shared" si="13"/>
        <v>0</v>
      </c>
      <c r="L185" s="68"/>
      <c r="M185" s="68"/>
      <c r="P185" s="89" t="str">
        <f t="shared" si="10"/>
        <v xml:space="preserve">  1 1900 </v>
      </c>
    </row>
    <row r="186" spans="1:16">
      <c r="A186" s="68"/>
      <c r="B186" s="87"/>
      <c r="C186" s="88"/>
      <c r="D186" s="88"/>
      <c r="E186" s="90"/>
      <c r="F186" s="84" t="str">
        <f ca="1">IF(D186="Income",LOOKUP(E186,Introduction!$A$11:$A$18,Introduction!$C$11:$C$18),IF(D186="Expense",LOOKUP(E186,Introduction!$D$11:$D$30,Introduction!$F$11:$F$30),"_"))</f>
        <v>_</v>
      </c>
      <c r="G186" s="88"/>
      <c r="H186" s="92">
        <f t="shared" si="16"/>
        <v>0</v>
      </c>
      <c r="I186" s="85">
        <f t="shared" si="12"/>
        <v>0</v>
      </c>
      <c r="J186" s="93"/>
      <c r="K186" s="85">
        <f t="shared" si="13"/>
        <v>0</v>
      </c>
      <c r="L186" s="68"/>
      <c r="M186" s="68"/>
      <c r="P186" s="89" t="str">
        <f t="shared" si="10"/>
        <v xml:space="preserve">  1 1900 </v>
      </c>
    </row>
    <row r="187" spans="1:16">
      <c r="A187" s="68"/>
      <c r="B187" s="87"/>
      <c r="C187" s="88"/>
      <c r="D187" s="88"/>
      <c r="E187" s="90"/>
      <c r="F187" s="84" t="str">
        <f ca="1">IF(D187="Income",LOOKUP(E187,Introduction!$A$11:$A$18,Introduction!$C$11:$C$18),IF(D187="Expense",LOOKUP(E187,Introduction!$D$11:$D$30,Introduction!$F$11:$F$30),"_"))</f>
        <v>_</v>
      </c>
      <c r="G187" s="88"/>
      <c r="H187" s="92">
        <f t="shared" si="16"/>
        <v>0</v>
      </c>
      <c r="I187" s="85">
        <f t="shared" si="12"/>
        <v>0</v>
      </c>
      <c r="J187" s="93"/>
      <c r="K187" s="85">
        <f t="shared" si="13"/>
        <v>0</v>
      </c>
      <c r="L187" s="68"/>
      <c r="M187" s="68"/>
      <c r="P187" s="89" t="str">
        <f t="shared" si="10"/>
        <v xml:space="preserve">  1 1900 </v>
      </c>
    </row>
    <row r="188" spans="1:16">
      <c r="A188" s="68"/>
      <c r="B188" s="87"/>
      <c r="C188" s="88"/>
      <c r="D188" s="88"/>
      <c r="E188" s="90"/>
      <c r="F188" s="84" t="str">
        <f ca="1">IF(D188="Income",LOOKUP(E188,Introduction!$A$11:$A$18,Introduction!$C$11:$C$18),IF(D188="Expense",LOOKUP(E188,Introduction!$D$11:$D$30,Introduction!$F$11:$F$30),"_"))</f>
        <v>_</v>
      </c>
      <c r="G188" s="88"/>
      <c r="H188" s="92">
        <f t="shared" si="16"/>
        <v>0</v>
      </c>
      <c r="I188" s="85">
        <f t="shared" si="12"/>
        <v>0</v>
      </c>
      <c r="J188" s="93"/>
      <c r="K188" s="85">
        <f t="shared" si="13"/>
        <v>0</v>
      </c>
      <c r="L188" s="68"/>
      <c r="M188" s="68"/>
      <c r="P188" s="89" t="str">
        <f t="shared" si="10"/>
        <v xml:space="preserve">  1 1900 </v>
      </c>
    </row>
    <row r="189" spans="1:16">
      <c r="A189" s="68"/>
      <c r="B189" s="87"/>
      <c r="C189" s="88"/>
      <c r="D189" s="88"/>
      <c r="E189" s="90"/>
      <c r="F189" s="84" t="str">
        <f ca="1">IF(D189="Income",LOOKUP(E189,Introduction!$A$11:$A$18,Introduction!$C$11:$C$18),IF(D189="Expense",LOOKUP(E189,Introduction!$D$11:$D$30,Introduction!$F$11:$F$30),"_"))</f>
        <v>_</v>
      </c>
      <c r="G189" s="88"/>
      <c r="H189" s="92"/>
      <c r="I189" s="85">
        <f t="shared" si="12"/>
        <v>0</v>
      </c>
      <c r="J189" s="93"/>
      <c r="K189" s="85">
        <f t="shared" si="13"/>
        <v>0</v>
      </c>
      <c r="L189" s="68"/>
      <c r="M189" s="68"/>
      <c r="P189" s="89" t="str">
        <f t="shared" si="10"/>
        <v xml:space="preserve">  1 1900 </v>
      </c>
    </row>
    <row r="190" spans="1:16">
      <c r="A190" s="68"/>
      <c r="B190" s="87"/>
      <c r="C190" s="88"/>
      <c r="D190" s="88"/>
      <c r="E190" s="90"/>
      <c r="F190" s="84" t="str">
        <f ca="1">IF(D190="Income",LOOKUP(E190,Introduction!$A$11:$A$18,Introduction!$C$11:$C$18),IF(D190="Expense",LOOKUP(E190,Introduction!$D$11:$D$30,Introduction!$F$11:$F$30),"_"))</f>
        <v>_</v>
      </c>
      <c r="G190" s="88"/>
      <c r="H190" s="92">
        <f>-ROUND(H84*$O$2,2)</f>
        <v>0</v>
      </c>
      <c r="I190" s="85">
        <f t="shared" si="12"/>
        <v>0</v>
      </c>
      <c r="J190" s="93"/>
      <c r="K190" s="85">
        <f t="shared" si="13"/>
        <v>0</v>
      </c>
      <c r="L190" s="68"/>
      <c r="M190" s="68"/>
      <c r="P190" s="89" t="str">
        <f t="shared" si="10"/>
        <v xml:space="preserve">  1 1900 </v>
      </c>
    </row>
    <row r="191" spans="1:16">
      <c r="A191" s="68"/>
      <c r="B191" s="87"/>
      <c r="C191" s="88"/>
      <c r="D191" s="88"/>
      <c r="E191" s="90"/>
      <c r="F191" s="84" t="str">
        <f ca="1">IF(D191="Income",LOOKUP(E191,Introduction!$A$11:$A$18,Introduction!$C$11:$C$18),IF(D191="Expense",LOOKUP(E191,Introduction!$D$11:$D$30,Introduction!$F$11:$F$30),"_"))</f>
        <v>_</v>
      </c>
      <c r="G191" s="88"/>
      <c r="H191" s="92">
        <f t="shared" ref="H191:H201" si="17">-ROUND(H85*$O$2,2)</f>
        <v>0</v>
      </c>
      <c r="I191" s="85">
        <f t="shared" si="12"/>
        <v>0</v>
      </c>
      <c r="J191" s="93"/>
      <c r="K191" s="85">
        <f t="shared" si="13"/>
        <v>0</v>
      </c>
      <c r="L191" s="68"/>
      <c r="M191" s="68"/>
      <c r="P191" s="89" t="str">
        <f t="shared" si="10"/>
        <v xml:space="preserve">  1 1900 </v>
      </c>
    </row>
    <row r="192" spans="1:16">
      <c r="A192" s="68"/>
      <c r="B192" s="87"/>
      <c r="C192" s="88"/>
      <c r="D192" s="88"/>
      <c r="E192" s="90"/>
      <c r="F192" s="84" t="str">
        <f ca="1">IF(D192="Income",LOOKUP(E192,Introduction!$A$11:$A$18,Introduction!$C$11:$C$18),IF(D192="Expense",LOOKUP(E192,Introduction!$D$11:$D$30,Introduction!$F$11:$F$30),"_"))</f>
        <v>_</v>
      </c>
      <c r="G192" s="88"/>
      <c r="H192" s="92">
        <f t="shared" si="17"/>
        <v>0</v>
      </c>
      <c r="I192" s="85">
        <f t="shared" si="12"/>
        <v>0</v>
      </c>
      <c r="J192" s="93"/>
      <c r="K192" s="85">
        <f t="shared" si="13"/>
        <v>0</v>
      </c>
      <c r="L192" s="68"/>
      <c r="M192" s="68"/>
      <c r="P192" s="89" t="str">
        <f t="shared" si="10"/>
        <v xml:space="preserve">  1 1900 </v>
      </c>
    </row>
    <row r="193" spans="1:16">
      <c r="A193" s="68"/>
      <c r="B193" s="87"/>
      <c r="C193" s="88"/>
      <c r="D193" s="88"/>
      <c r="E193" s="90"/>
      <c r="F193" s="84" t="str">
        <f ca="1">IF(D193="Income",LOOKUP(E193,Introduction!$A$11:$A$18,Introduction!$C$11:$C$18),IF(D193="Expense",LOOKUP(E193,Introduction!$D$11:$D$30,Introduction!$F$11:$F$30),"_"))</f>
        <v>_</v>
      </c>
      <c r="G193" s="88"/>
      <c r="H193" s="92">
        <f t="shared" si="17"/>
        <v>0</v>
      </c>
      <c r="I193" s="85">
        <f t="shared" si="12"/>
        <v>0</v>
      </c>
      <c r="J193" s="93"/>
      <c r="K193" s="85">
        <f t="shared" si="13"/>
        <v>0</v>
      </c>
      <c r="L193" s="68"/>
      <c r="M193" s="68"/>
      <c r="P193" s="89" t="str">
        <f t="shared" si="10"/>
        <v xml:space="preserve">  1 1900 </v>
      </c>
    </row>
    <row r="194" spans="1:16">
      <c r="A194" s="68"/>
      <c r="B194" s="87"/>
      <c r="C194" s="88"/>
      <c r="D194" s="88"/>
      <c r="E194" s="90"/>
      <c r="F194" s="84" t="str">
        <f ca="1">IF(D194="Income",LOOKUP(E194,Introduction!$A$11:$A$18,Introduction!$C$11:$C$18),IF(D194="Expense",LOOKUP(E194,Introduction!$D$11:$D$30,Introduction!$F$11:$F$30),"_"))</f>
        <v>_</v>
      </c>
      <c r="G194" s="88"/>
      <c r="H194" s="92">
        <f t="shared" si="17"/>
        <v>0</v>
      </c>
      <c r="I194" s="85">
        <f t="shared" si="12"/>
        <v>0</v>
      </c>
      <c r="J194" s="93"/>
      <c r="K194" s="85">
        <f t="shared" si="13"/>
        <v>0</v>
      </c>
      <c r="L194" s="68"/>
      <c r="M194" s="68"/>
      <c r="P194" s="89" t="str">
        <f t="shared" si="10"/>
        <v xml:space="preserve">  1 1900 </v>
      </c>
    </row>
    <row r="195" spans="1:16">
      <c r="A195" s="68"/>
      <c r="B195" s="87"/>
      <c r="C195" s="88"/>
      <c r="D195" s="88"/>
      <c r="E195" s="90"/>
      <c r="F195" s="84" t="str">
        <f ca="1">IF(D195="Income",LOOKUP(E195,Introduction!$A$11:$A$18,Introduction!$C$11:$C$18),IF(D195="Expense",LOOKUP(E195,Introduction!$D$11:$D$30,Introduction!$F$11:$F$30),"_"))</f>
        <v>_</v>
      </c>
      <c r="G195" s="88"/>
      <c r="H195" s="92">
        <f t="shared" si="17"/>
        <v>0</v>
      </c>
      <c r="I195" s="85">
        <f t="shared" si="12"/>
        <v>0</v>
      </c>
      <c r="J195" s="93"/>
      <c r="K195" s="85">
        <f t="shared" si="13"/>
        <v>0</v>
      </c>
      <c r="L195" s="68"/>
      <c r="M195" s="68"/>
      <c r="P195" s="89" t="str">
        <f t="shared" si="10"/>
        <v xml:space="preserve">  1 1900 </v>
      </c>
    </row>
    <row r="196" spans="1:16">
      <c r="A196" s="68"/>
      <c r="B196" s="87"/>
      <c r="C196" s="88"/>
      <c r="D196" s="88"/>
      <c r="E196" s="90"/>
      <c r="F196" s="84" t="str">
        <f ca="1">IF(D196="Income",LOOKUP(E196,Introduction!$A$11:$A$18,Introduction!$C$11:$C$18),IF(D196="Expense",LOOKUP(E196,Introduction!$D$11:$D$30,Introduction!$F$11:$F$30),"_"))</f>
        <v>_</v>
      </c>
      <c r="G196" s="88"/>
      <c r="H196" s="92">
        <f t="shared" si="17"/>
        <v>0</v>
      </c>
      <c r="I196" s="85">
        <f t="shared" si="12"/>
        <v>0</v>
      </c>
      <c r="J196" s="93"/>
      <c r="K196" s="85">
        <f t="shared" si="13"/>
        <v>0</v>
      </c>
      <c r="L196" s="68"/>
      <c r="M196" s="68"/>
      <c r="P196" s="89" t="str">
        <f t="shared" si="10"/>
        <v xml:space="preserve">  1 1900 </v>
      </c>
    </row>
    <row r="197" spans="1:16">
      <c r="A197" s="68"/>
      <c r="B197" s="87"/>
      <c r="C197" s="88"/>
      <c r="D197" s="88"/>
      <c r="E197" s="90"/>
      <c r="F197" s="84" t="str">
        <f ca="1">IF(D197="Income",LOOKUP(E197,Introduction!$A$11:$A$18,Introduction!$C$11:$C$18),IF(D197="Expense",LOOKUP(E197,Introduction!$D$11:$D$30,Introduction!$F$11:$F$30),"_"))</f>
        <v>_</v>
      </c>
      <c r="G197" s="88"/>
      <c r="H197" s="92">
        <f t="shared" si="17"/>
        <v>0</v>
      </c>
      <c r="I197" s="85">
        <f t="shared" si="12"/>
        <v>0</v>
      </c>
      <c r="J197" s="93"/>
      <c r="K197" s="85">
        <f t="shared" si="13"/>
        <v>0</v>
      </c>
      <c r="L197" s="68"/>
      <c r="M197" s="68"/>
      <c r="P197" s="89" t="str">
        <f t="shared" si="10"/>
        <v xml:space="preserve">  1 1900 </v>
      </c>
    </row>
    <row r="198" spans="1:16">
      <c r="A198" s="68"/>
      <c r="B198" s="87"/>
      <c r="C198" s="88"/>
      <c r="D198" s="88"/>
      <c r="E198" s="90"/>
      <c r="F198" s="84" t="str">
        <f ca="1">IF(D198="Income",LOOKUP(E198,Introduction!$A$11:$A$18,Introduction!$C$11:$C$18),IF(D198="Expense",LOOKUP(E198,Introduction!$D$11:$D$30,Introduction!$F$11:$F$30),"_"))</f>
        <v>_</v>
      </c>
      <c r="G198" s="88"/>
      <c r="H198" s="92">
        <f t="shared" si="17"/>
        <v>0</v>
      </c>
      <c r="I198" s="85">
        <f t="shared" si="12"/>
        <v>0</v>
      </c>
      <c r="J198" s="93"/>
      <c r="K198" s="85">
        <f t="shared" si="13"/>
        <v>0</v>
      </c>
      <c r="L198" s="68"/>
      <c r="M198" s="68"/>
      <c r="P198" s="89" t="str">
        <f t="shared" si="10"/>
        <v xml:space="preserve">  1 1900 </v>
      </c>
    </row>
    <row r="199" spans="1:16">
      <c r="A199" s="68"/>
      <c r="B199" s="87"/>
      <c r="C199" s="88"/>
      <c r="D199" s="88"/>
      <c r="E199" s="90"/>
      <c r="F199" s="84" t="str">
        <f ca="1">IF(D199="Income",LOOKUP(E199,Introduction!$A$11:$A$18,Introduction!$C$11:$C$18),IF(D199="Expense",LOOKUP(E199,Introduction!$D$11:$D$30,Introduction!$F$11:$F$30),"_"))</f>
        <v>_</v>
      </c>
      <c r="G199" s="88"/>
      <c r="H199" s="92">
        <f t="shared" si="17"/>
        <v>0</v>
      </c>
      <c r="I199" s="85">
        <f t="shared" si="12"/>
        <v>0</v>
      </c>
      <c r="J199" s="93"/>
      <c r="K199" s="85">
        <f t="shared" si="13"/>
        <v>0</v>
      </c>
      <c r="L199" s="68"/>
      <c r="M199" s="68"/>
      <c r="P199" s="89" t="str">
        <f t="shared" ref="P199:P262" si="18">CONCATENATE(D199," ",E199," ",MONTH(C199)," ",YEAR(C199)," ")</f>
        <v xml:space="preserve">  1 1900 </v>
      </c>
    </row>
    <row r="200" spans="1:16">
      <c r="A200" s="68"/>
      <c r="B200" s="87"/>
      <c r="C200" s="88"/>
      <c r="D200" s="88"/>
      <c r="E200" s="90"/>
      <c r="F200" s="84" t="str">
        <f ca="1">IF(D200="Income",LOOKUP(E200,Introduction!$A$11:$A$18,Introduction!$C$11:$C$18),IF(D200="Expense",LOOKUP(E200,Introduction!$D$11:$D$30,Introduction!$F$11:$F$30),"_"))</f>
        <v>_</v>
      </c>
      <c r="G200" s="88"/>
      <c r="H200" s="92">
        <f t="shared" si="17"/>
        <v>0</v>
      </c>
      <c r="I200" s="85">
        <f t="shared" si="12"/>
        <v>0</v>
      </c>
      <c r="J200" s="93"/>
      <c r="K200" s="85">
        <f t="shared" si="13"/>
        <v>0</v>
      </c>
      <c r="L200" s="68"/>
      <c r="M200" s="68"/>
      <c r="P200" s="89" t="str">
        <f t="shared" si="18"/>
        <v xml:space="preserve">  1 1900 </v>
      </c>
    </row>
    <row r="201" spans="1:16">
      <c r="A201" s="68"/>
      <c r="B201" s="87"/>
      <c r="C201" s="88"/>
      <c r="D201" s="88"/>
      <c r="E201" s="90"/>
      <c r="F201" s="84" t="str">
        <f ca="1">IF(D201="Income",LOOKUP(E201,Introduction!$A$11:$A$18,Introduction!$C$11:$C$18),IF(D201="Expense",LOOKUP(E201,Introduction!$D$11:$D$30,Introduction!$F$11:$F$30),"_"))</f>
        <v>_</v>
      </c>
      <c r="G201" s="88"/>
      <c r="H201" s="92">
        <f t="shared" si="17"/>
        <v>0</v>
      </c>
      <c r="I201" s="85">
        <f t="shared" si="12"/>
        <v>0</v>
      </c>
      <c r="J201" s="93"/>
      <c r="K201" s="85">
        <f t="shared" si="13"/>
        <v>0</v>
      </c>
      <c r="L201" s="68"/>
      <c r="M201" s="68"/>
      <c r="P201" s="89" t="str">
        <f t="shared" si="18"/>
        <v xml:space="preserve">  1 1900 </v>
      </c>
    </row>
    <row r="202" spans="1:16">
      <c r="A202" s="68"/>
      <c r="B202" s="87"/>
      <c r="C202" s="88"/>
      <c r="D202" s="88"/>
      <c r="E202" s="90"/>
      <c r="F202" s="84" t="str">
        <f ca="1">IF(D202="Income",LOOKUP(E202,Introduction!$A$11:$A$18,Introduction!$C$11:$C$18),IF(D202="Expense",LOOKUP(E202,Introduction!$D$11:$D$30,Introduction!$F$11:$F$30),"_"))</f>
        <v>_</v>
      </c>
      <c r="G202" s="88"/>
      <c r="H202" s="92"/>
      <c r="I202" s="85">
        <f t="shared" si="12"/>
        <v>0</v>
      </c>
      <c r="J202" s="93"/>
      <c r="K202" s="85">
        <f t="shared" si="13"/>
        <v>0</v>
      </c>
      <c r="L202" s="68"/>
      <c r="M202" s="68"/>
      <c r="P202" s="89" t="str">
        <f t="shared" si="18"/>
        <v xml:space="preserve">  1 1900 </v>
      </c>
    </row>
    <row r="203" spans="1:16">
      <c r="A203" s="68"/>
      <c r="B203" s="87"/>
      <c r="C203" s="88"/>
      <c r="D203" s="88"/>
      <c r="E203" s="90"/>
      <c r="F203" s="84" t="str">
        <f ca="1">IF(D203="Income",LOOKUP(E203,Introduction!$A$11:$A$18,Introduction!$C$11:$C$18),IF(D203="Expense",LOOKUP(E203,Introduction!$D$11:$D$30,Introduction!$F$11:$F$30),"_"))</f>
        <v>_</v>
      </c>
      <c r="G203" s="88"/>
      <c r="H203" s="92">
        <f>-ROUND(H97*$O$2,2)</f>
        <v>0</v>
      </c>
      <c r="I203" s="85">
        <f t="shared" si="12"/>
        <v>0</v>
      </c>
      <c r="J203" s="93"/>
      <c r="K203" s="85">
        <f t="shared" si="13"/>
        <v>0</v>
      </c>
      <c r="L203" s="68"/>
      <c r="M203" s="68"/>
      <c r="P203" s="89" t="str">
        <f t="shared" si="18"/>
        <v xml:space="preserve">  1 1900 </v>
      </c>
    </row>
    <row r="204" spans="1:16">
      <c r="A204" s="68"/>
      <c r="B204" s="87"/>
      <c r="C204" s="88"/>
      <c r="D204" s="88"/>
      <c r="E204" s="90"/>
      <c r="F204" s="84" t="str">
        <f ca="1">IF(D204="Income",LOOKUP(E204,Introduction!$A$11:$A$18,Introduction!$C$11:$C$18),IF(D204="Expense",LOOKUP(E204,Introduction!$D$11:$D$30,Introduction!$F$11:$F$30),"_"))</f>
        <v>_</v>
      </c>
      <c r="G204" s="88"/>
      <c r="H204" s="92">
        <f t="shared" ref="H204:H214" si="19">-ROUND(H98*$O$2,2)</f>
        <v>0</v>
      </c>
      <c r="I204" s="85">
        <f t="shared" si="12"/>
        <v>0</v>
      </c>
      <c r="J204" s="93"/>
      <c r="K204" s="85">
        <f t="shared" si="13"/>
        <v>0</v>
      </c>
      <c r="L204" s="68"/>
      <c r="M204" s="68"/>
      <c r="P204" s="89" t="str">
        <f t="shared" si="18"/>
        <v xml:space="preserve">  1 1900 </v>
      </c>
    </row>
    <row r="205" spans="1:16">
      <c r="A205" s="68"/>
      <c r="B205" s="87"/>
      <c r="C205" s="88"/>
      <c r="D205" s="88"/>
      <c r="E205" s="90"/>
      <c r="F205" s="84" t="str">
        <f ca="1">IF(D205="Income",LOOKUP(E205,Introduction!$A$11:$A$18,Introduction!$C$11:$C$18),IF(D205="Expense",LOOKUP(E205,Introduction!$D$11:$D$30,Introduction!$F$11:$F$30),"_"))</f>
        <v>_</v>
      </c>
      <c r="G205" s="88"/>
      <c r="H205" s="92">
        <f t="shared" si="19"/>
        <v>0</v>
      </c>
      <c r="I205" s="85">
        <f t="shared" si="12"/>
        <v>0</v>
      </c>
      <c r="J205" s="93"/>
      <c r="K205" s="85">
        <f t="shared" si="13"/>
        <v>0</v>
      </c>
      <c r="L205" s="68"/>
      <c r="M205" s="68"/>
      <c r="P205" s="89" t="str">
        <f t="shared" si="18"/>
        <v xml:space="preserve">  1 1900 </v>
      </c>
    </row>
    <row r="206" spans="1:16">
      <c r="A206" s="68"/>
      <c r="B206" s="87"/>
      <c r="C206" s="88"/>
      <c r="D206" s="88"/>
      <c r="E206" s="90"/>
      <c r="F206" s="84" t="str">
        <f ca="1">IF(D206="Income",LOOKUP(E206,Introduction!$A$11:$A$18,Introduction!$C$11:$C$18),IF(D206="Expense",LOOKUP(E206,Introduction!$D$11:$D$30,Introduction!$F$11:$F$30),"_"))</f>
        <v>_</v>
      </c>
      <c r="G206" s="88"/>
      <c r="H206" s="92">
        <f t="shared" si="19"/>
        <v>0</v>
      </c>
      <c r="I206" s="85">
        <f t="shared" si="12"/>
        <v>0</v>
      </c>
      <c r="J206" s="93"/>
      <c r="K206" s="85">
        <f t="shared" si="13"/>
        <v>0</v>
      </c>
      <c r="L206" s="68"/>
      <c r="M206" s="68"/>
      <c r="P206" s="89" t="str">
        <f t="shared" si="18"/>
        <v xml:space="preserve">  1 1900 </v>
      </c>
    </row>
    <row r="207" spans="1:16">
      <c r="A207" s="68"/>
      <c r="B207" s="87"/>
      <c r="C207" s="88"/>
      <c r="D207" s="88"/>
      <c r="E207" s="90"/>
      <c r="F207" s="84" t="str">
        <f ca="1">IF(D207="Income",LOOKUP(E207,Introduction!$A$11:$A$18,Introduction!$C$11:$C$18),IF(D207="Expense",LOOKUP(E207,Introduction!$D$11:$D$30,Introduction!$F$11:$F$30),"_"))</f>
        <v>_</v>
      </c>
      <c r="G207" s="88"/>
      <c r="H207" s="92">
        <f t="shared" si="19"/>
        <v>0</v>
      </c>
      <c r="I207" s="85">
        <f t="shared" si="12"/>
        <v>0</v>
      </c>
      <c r="J207" s="93"/>
      <c r="K207" s="85">
        <f t="shared" si="13"/>
        <v>0</v>
      </c>
      <c r="L207" s="68"/>
      <c r="M207" s="68"/>
      <c r="P207" s="89" t="str">
        <f t="shared" si="18"/>
        <v xml:space="preserve">  1 1900 </v>
      </c>
    </row>
    <row r="208" spans="1:16">
      <c r="A208" s="68"/>
      <c r="B208" s="87"/>
      <c r="C208" s="88"/>
      <c r="D208" s="88"/>
      <c r="E208" s="90"/>
      <c r="F208" s="84" t="str">
        <f ca="1">IF(D208="Income",LOOKUP(E208,Introduction!$A$11:$A$18,Introduction!$C$11:$C$18),IF(D208="Expense",LOOKUP(E208,Introduction!$D$11:$D$30,Introduction!$F$11:$F$30),"_"))</f>
        <v>_</v>
      </c>
      <c r="G208" s="88"/>
      <c r="H208" s="92">
        <f t="shared" si="19"/>
        <v>0</v>
      </c>
      <c r="I208" s="85">
        <f t="shared" si="12"/>
        <v>0</v>
      </c>
      <c r="J208" s="93"/>
      <c r="K208" s="85">
        <f t="shared" si="13"/>
        <v>0</v>
      </c>
      <c r="L208" s="68"/>
      <c r="M208" s="68"/>
      <c r="P208" s="89" t="str">
        <f t="shared" si="18"/>
        <v xml:space="preserve">  1 1900 </v>
      </c>
    </row>
    <row r="209" spans="1:16">
      <c r="A209" s="68"/>
      <c r="B209" s="87"/>
      <c r="C209" s="88"/>
      <c r="D209" s="88"/>
      <c r="E209" s="90"/>
      <c r="F209" s="84" t="str">
        <f ca="1">IF(D209="Income",LOOKUP(E209,Introduction!$A$11:$A$18,Introduction!$C$11:$C$18),IF(D209="Expense",LOOKUP(E209,Introduction!$D$11:$D$30,Introduction!$F$11:$F$30),"_"))</f>
        <v>_</v>
      </c>
      <c r="G209" s="88"/>
      <c r="H209" s="92">
        <f t="shared" si="19"/>
        <v>0</v>
      </c>
      <c r="I209" s="85">
        <f t="shared" ref="I209:I272" si="20">+I208+H209</f>
        <v>0</v>
      </c>
      <c r="J209" s="93"/>
      <c r="K209" s="85">
        <f t="shared" ref="K209:K272" si="21">IF(J209=1,K208+H209,++K208)</f>
        <v>0</v>
      </c>
      <c r="L209" s="68"/>
      <c r="M209" s="68"/>
      <c r="P209" s="89" t="str">
        <f t="shared" si="18"/>
        <v xml:space="preserve">  1 1900 </v>
      </c>
    </row>
    <row r="210" spans="1:16">
      <c r="A210" s="68"/>
      <c r="B210" s="87"/>
      <c r="C210" s="88"/>
      <c r="D210" s="88"/>
      <c r="E210" s="90"/>
      <c r="F210" s="84" t="str">
        <f ca="1">IF(D210="Income",LOOKUP(E210,Introduction!$A$11:$A$18,Introduction!$C$11:$C$18),IF(D210="Expense",LOOKUP(E210,Introduction!$D$11:$D$30,Introduction!$F$11:$F$30),"_"))</f>
        <v>_</v>
      </c>
      <c r="G210" s="88"/>
      <c r="H210" s="92">
        <f t="shared" si="19"/>
        <v>0</v>
      </c>
      <c r="I210" s="85">
        <f t="shared" si="20"/>
        <v>0</v>
      </c>
      <c r="J210" s="93"/>
      <c r="K210" s="85">
        <f t="shared" si="21"/>
        <v>0</v>
      </c>
      <c r="L210" s="68"/>
      <c r="M210" s="68"/>
      <c r="P210" s="89" t="str">
        <f t="shared" si="18"/>
        <v xml:space="preserve">  1 1900 </v>
      </c>
    </row>
    <row r="211" spans="1:16">
      <c r="A211" s="68"/>
      <c r="B211" s="87"/>
      <c r="C211" s="88"/>
      <c r="D211" s="88"/>
      <c r="E211" s="90"/>
      <c r="F211" s="84" t="str">
        <f ca="1">IF(D211="Income",LOOKUP(E211,Introduction!$A$11:$A$18,Introduction!$C$11:$C$18),IF(D211="Expense",LOOKUP(E211,Introduction!$D$11:$D$30,Introduction!$F$11:$F$30),"_"))</f>
        <v>_</v>
      </c>
      <c r="G211" s="88"/>
      <c r="H211" s="92">
        <f t="shared" si="19"/>
        <v>0</v>
      </c>
      <c r="I211" s="85">
        <f t="shared" si="20"/>
        <v>0</v>
      </c>
      <c r="J211" s="93"/>
      <c r="K211" s="85">
        <f t="shared" si="21"/>
        <v>0</v>
      </c>
      <c r="L211" s="68"/>
      <c r="M211" s="68"/>
      <c r="P211" s="89" t="str">
        <f t="shared" si="18"/>
        <v xml:space="preserve">  1 1900 </v>
      </c>
    </row>
    <row r="212" spans="1:16">
      <c r="A212" s="68"/>
      <c r="B212" s="87"/>
      <c r="C212" s="88"/>
      <c r="D212" s="88"/>
      <c r="E212" s="90"/>
      <c r="F212" s="84" t="str">
        <f ca="1">IF(D212="Income",LOOKUP(E212,Introduction!$A$11:$A$18,Introduction!$C$11:$C$18),IF(D212="Expense",LOOKUP(E212,Introduction!$D$11:$D$30,Introduction!$F$11:$F$30),"_"))</f>
        <v>_</v>
      </c>
      <c r="G212" s="88"/>
      <c r="H212" s="92">
        <f t="shared" si="19"/>
        <v>0</v>
      </c>
      <c r="I212" s="85">
        <f t="shared" si="20"/>
        <v>0</v>
      </c>
      <c r="J212" s="93"/>
      <c r="K212" s="85">
        <f t="shared" si="21"/>
        <v>0</v>
      </c>
      <c r="L212" s="68"/>
      <c r="M212" s="68"/>
      <c r="P212" s="89" t="str">
        <f t="shared" si="18"/>
        <v xml:space="preserve">  1 1900 </v>
      </c>
    </row>
    <row r="213" spans="1:16">
      <c r="A213" s="68"/>
      <c r="B213" s="87"/>
      <c r="C213" s="88"/>
      <c r="D213" s="88"/>
      <c r="E213" s="90"/>
      <c r="F213" s="84" t="str">
        <f ca="1">IF(D213="Income",LOOKUP(E213,Introduction!$A$11:$A$18,Introduction!$C$11:$C$18),IF(D213="Expense",LOOKUP(E213,Introduction!$D$11:$D$30,Introduction!$F$11:$F$30),"_"))</f>
        <v>_</v>
      </c>
      <c r="G213" s="88"/>
      <c r="H213" s="92">
        <f t="shared" si="19"/>
        <v>0</v>
      </c>
      <c r="I213" s="85">
        <f t="shared" si="20"/>
        <v>0</v>
      </c>
      <c r="J213" s="93"/>
      <c r="K213" s="85">
        <f t="shared" si="21"/>
        <v>0</v>
      </c>
      <c r="L213" s="68"/>
      <c r="M213" s="68"/>
      <c r="P213" s="89" t="str">
        <f t="shared" si="18"/>
        <v xml:space="preserve">  1 1900 </v>
      </c>
    </row>
    <row r="214" spans="1:16">
      <c r="A214" s="68"/>
      <c r="B214" s="87"/>
      <c r="C214" s="88"/>
      <c r="D214" s="88"/>
      <c r="E214" s="90"/>
      <c r="F214" s="84" t="str">
        <f ca="1">IF(D214="Income",LOOKUP(E214,Introduction!$A$11:$A$18,Introduction!$C$11:$C$18),IF(D214="Expense",LOOKUP(E214,Introduction!$D$11:$D$30,Introduction!$F$11:$F$30),"_"))</f>
        <v>_</v>
      </c>
      <c r="G214" s="88"/>
      <c r="H214" s="92">
        <f t="shared" si="19"/>
        <v>0</v>
      </c>
      <c r="I214" s="85">
        <f t="shared" si="20"/>
        <v>0</v>
      </c>
      <c r="J214" s="93"/>
      <c r="K214" s="85">
        <f t="shared" si="21"/>
        <v>0</v>
      </c>
      <c r="L214" s="68"/>
      <c r="M214" s="68"/>
      <c r="P214" s="89" t="str">
        <f t="shared" si="18"/>
        <v xml:space="preserve">  1 1900 </v>
      </c>
    </row>
    <row r="215" spans="1:16">
      <c r="A215" s="68"/>
      <c r="B215" s="87"/>
      <c r="C215" s="88"/>
      <c r="D215" s="88"/>
      <c r="E215" s="90"/>
      <c r="F215" s="84" t="str">
        <f ca="1">IF(D215="Income",LOOKUP(E215,Introduction!$A$11:$A$18,Introduction!$C$11:$C$18),IF(D215="Expense",LOOKUP(E215,Introduction!$D$11:$D$30,Introduction!$F$11:$F$30),"_"))</f>
        <v>_</v>
      </c>
      <c r="G215" s="88"/>
      <c r="H215" s="92"/>
      <c r="I215" s="85">
        <f t="shared" si="20"/>
        <v>0</v>
      </c>
      <c r="J215" s="93"/>
      <c r="K215" s="85">
        <f t="shared" si="21"/>
        <v>0</v>
      </c>
      <c r="L215" s="68"/>
      <c r="M215" s="68"/>
      <c r="P215" s="89" t="str">
        <f t="shared" si="18"/>
        <v xml:space="preserve">  1 1900 </v>
      </c>
    </row>
    <row r="216" spans="1:16">
      <c r="A216" s="68"/>
      <c r="B216" s="87"/>
      <c r="C216" s="88"/>
      <c r="D216" s="88"/>
      <c r="E216" s="90"/>
      <c r="F216" s="84" t="str">
        <f ca="1">IF(D216="Income",LOOKUP(E216,Introduction!$A$11:$A$18,Introduction!$C$11:$C$18),IF(D216="Expense",LOOKUP(E216,Introduction!$D$11:$D$30,Introduction!$F$11:$F$30),"_"))</f>
        <v>_</v>
      </c>
      <c r="G216" s="88"/>
      <c r="H216" s="92">
        <f>+H112</f>
        <v>0</v>
      </c>
      <c r="I216" s="85">
        <f t="shared" si="20"/>
        <v>0</v>
      </c>
      <c r="J216" s="93"/>
      <c r="K216" s="85">
        <f t="shared" si="21"/>
        <v>0</v>
      </c>
      <c r="L216" s="68"/>
      <c r="M216" s="68"/>
      <c r="P216" s="89" t="str">
        <f t="shared" si="18"/>
        <v xml:space="preserve">  1 1900 </v>
      </c>
    </row>
    <row r="217" spans="1:16">
      <c r="A217" s="68"/>
      <c r="B217" s="87"/>
      <c r="C217" s="88"/>
      <c r="D217" s="88"/>
      <c r="E217" s="90"/>
      <c r="F217" s="84" t="str">
        <f ca="1">IF(D217="Income",LOOKUP(E217,Introduction!$A$11:$A$18,Introduction!$C$11:$C$18),IF(D217="Expense",LOOKUP(E217,Introduction!$D$11:$D$30,Introduction!$F$11:$F$30),"_"))</f>
        <v>_</v>
      </c>
      <c r="G217" s="88"/>
      <c r="H217" s="92">
        <f t="shared" ref="H217:H280" si="22">+H113</f>
        <v>0</v>
      </c>
      <c r="I217" s="85">
        <f t="shared" si="20"/>
        <v>0</v>
      </c>
      <c r="J217" s="93"/>
      <c r="K217" s="85">
        <f t="shared" si="21"/>
        <v>0</v>
      </c>
      <c r="L217" s="68"/>
      <c r="M217" s="68"/>
      <c r="P217" s="89" t="str">
        <f t="shared" si="18"/>
        <v xml:space="preserve">  1 1900 </v>
      </c>
    </row>
    <row r="218" spans="1:16">
      <c r="A218" s="68"/>
      <c r="B218" s="87"/>
      <c r="C218" s="88"/>
      <c r="D218" s="88"/>
      <c r="E218" s="90"/>
      <c r="F218" s="84" t="str">
        <f ca="1">IF(D218="Income",LOOKUP(E218,Introduction!$A$11:$A$18,Introduction!$C$11:$C$18),IF(D218="Expense",LOOKUP(E218,Introduction!$D$11:$D$30,Introduction!$F$11:$F$30),"_"))</f>
        <v>_</v>
      </c>
      <c r="G218" s="88"/>
      <c r="H218" s="92">
        <f t="shared" si="22"/>
        <v>0</v>
      </c>
      <c r="I218" s="85">
        <f t="shared" si="20"/>
        <v>0</v>
      </c>
      <c r="J218" s="93"/>
      <c r="K218" s="85">
        <f t="shared" si="21"/>
        <v>0</v>
      </c>
      <c r="L218" s="68"/>
      <c r="M218" s="68"/>
      <c r="P218" s="89" t="str">
        <f t="shared" si="18"/>
        <v xml:space="preserve">  1 1900 </v>
      </c>
    </row>
    <row r="219" spans="1:16">
      <c r="A219" s="68"/>
      <c r="B219" s="87"/>
      <c r="C219" s="88"/>
      <c r="D219" s="88"/>
      <c r="E219" s="90"/>
      <c r="F219" s="84" t="str">
        <f ca="1">IF(D219="Income",LOOKUP(E219,Introduction!$A$11:$A$18,Introduction!$C$11:$C$18),IF(D219="Expense",LOOKUP(E219,Introduction!$D$11:$D$30,Introduction!$F$11:$F$30),"_"))</f>
        <v>_</v>
      </c>
      <c r="G219" s="88"/>
      <c r="H219" s="92">
        <f t="shared" si="22"/>
        <v>0</v>
      </c>
      <c r="I219" s="85">
        <f t="shared" si="20"/>
        <v>0</v>
      </c>
      <c r="J219" s="93"/>
      <c r="K219" s="85">
        <f t="shared" si="21"/>
        <v>0</v>
      </c>
      <c r="L219" s="68"/>
      <c r="M219" s="68"/>
      <c r="P219" s="89" t="str">
        <f t="shared" si="18"/>
        <v xml:space="preserve">  1 1900 </v>
      </c>
    </row>
    <row r="220" spans="1:16">
      <c r="A220" s="68"/>
      <c r="B220" s="87"/>
      <c r="C220" s="88"/>
      <c r="D220" s="88"/>
      <c r="E220" s="90"/>
      <c r="F220" s="84" t="str">
        <f ca="1">IF(D220="Income",LOOKUP(E220,Introduction!$A$11:$A$18,Introduction!$C$11:$C$18),IF(D220="Expense",LOOKUP(E220,Introduction!$D$11:$D$30,Introduction!$F$11:$F$30),"_"))</f>
        <v>_</v>
      </c>
      <c r="G220" s="88"/>
      <c r="H220" s="92">
        <f t="shared" si="22"/>
        <v>0</v>
      </c>
      <c r="I220" s="85">
        <f t="shared" si="20"/>
        <v>0</v>
      </c>
      <c r="J220" s="93"/>
      <c r="K220" s="85">
        <f t="shared" si="21"/>
        <v>0</v>
      </c>
      <c r="L220" s="68"/>
      <c r="M220" s="68"/>
      <c r="P220" s="89" t="str">
        <f t="shared" si="18"/>
        <v xml:space="preserve">  1 1900 </v>
      </c>
    </row>
    <row r="221" spans="1:16">
      <c r="A221" s="68"/>
      <c r="B221" s="87"/>
      <c r="C221" s="88"/>
      <c r="D221" s="88"/>
      <c r="E221" s="90"/>
      <c r="F221" s="84" t="str">
        <f ca="1">IF(D221="Income",LOOKUP(E221,Introduction!$A$11:$A$18,Introduction!$C$11:$C$18),IF(D221="Expense",LOOKUP(E221,Introduction!$D$11:$D$30,Introduction!$F$11:$F$30),"_"))</f>
        <v>_</v>
      </c>
      <c r="G221" s="88"/>
      <c r="H221" s="92">
        <f t="shared" si="22"/>
        <v>0</v>
      </c>
      <c r="I221" s="85">
        <f t="shared" si="20"/>
        <v>0</v>
      </c>
      <c r="J221" s="93"/>
      <c r="K221" s="85">
        <f t="shared" si="21"/>
        <v>0</v>
      </c>
      <c r="L221" s="68"/>
      <c r="M221" s="68"/>
      <c r="P221" s="89" t="str">
        <f t="shared" si="18"/>
        <v xml:space="preserve">  1 1900 </v>
      </c>
    </row>
    <row r="222" spans="1:16">
      <c r="A222" s="68"/>
      <c r="B222" s="87"/>
      <c r="C222" s="88"/>
      <c r="D222" s="88"/>
      <c r="E222" s="90"/>
      <c r="F222" s="84" t="str">
        <f ca="1">IF(D222="Income",LOOKUP(E222,Introduction!$A$11:$A$18,Introduction!$C$11:$C$18),IF(D222="Expense",LOOKUP(E222,Introduction!$D$11:$D$30,Introduction!$F$11:$F$30),"_"))</f>
        <v>_</v>
      </c>
      <c r="G222" s="88"/>
      <c r="H222" s="92">
        <f t="shared" si="22"/>
        <v>0</v>
      </c>
      <c r="I222" s="85">
        <f t="shared" si="20"/>
        <v>0</v>
      </c>
      <c r="J222" s="93"/>
      <c r="K222" s="85">
        <f t="shared" si="21"/>
        <v>0</v>
      </c>
      <c r="L222" s="68"/>
      <c r="M222" s="68"/>
      <c r="P222" s="89" t="str">
        <f t="shared" si="18"/>
        <v xml:space="preserve">  1 1900 </v>
      </c>
    </row>
    <row r="223" spans="1:16">
      <c r="A223" s="68"/>
      <c r="B223" s="87"/>
      <c r="C223" s="88"/>
      <c r="D223" s="88"/>
      <c r="E223" s="90"/>
      <c r="F223" s="84" t="str">
        <f ca="1">IF(D223="Income",LOOKUP(E223,Introduction!$A$11:$A$18,Introduction!$C$11:$C$18),IF(D223="Expense",LOOKUP(E223,Introduction!$D$11:$D$30,Introduction!$F$11:$F$30),"_"))</f>
        <v>_</v>
      </c>
      <c r="G223" s="88"/>
      <c r="H223" s="92">
        <f t="shared" si="22"/>
        <v>0</v>
      </c>
      <c r="I223" s="85">
        <f t="shared" si="20"/>
        <v>0</v>
      </c>
      <c r="J223" s="93"/>
      <c r="K223" s="85">
        <f t="shared" si="21"/>
        <v>0</v>
      </c>
      <c r="L223" s="68"/>
      <c r="M223" s="68"/>
      <c r="P223" s="89" t="str">
        <f t="shared" si="18"/>
        <v xml:space="preserve">  1 1900 </v>
      </c>
    </row>
    <row r="224" spans="1:16">
      <c r="A224" s="68"/>
      <c r="B224" s="87"/>
      <c r="C224" s="88"/>
      <c r="D224" s="88"/>
      <c r="E224" s="90"/>
      <c r="F224" s="84" t="str">
        <f ca="1">IF(D224="Income",LOOKUP(E224,Introduction!$A$11:$A$18,Introduction!$C$11:$C$18),IF(D224="Expense",LOOKUP(E224,Introduction!$D$11:$D$30,Introduction!$F$11:$F$30),"_"))</f>
        <v>_</v>
      </c>
      <c r="G224" s="88"/>
      <c r="H224" s="92">
        <f t="shared" si="22"/>
        <v>0</v>
      </c>
      <c r="I224" s="85">
        <f t="shared" si="20"/>
        <v>0</v>
      </c>
      <c r="J224" s="93"/>
      <c r="K224" s="85">
        <f t="shared" si="21"/>
        <v>0</v>
      </c>
      <c r="L224" s="68"/>
      <c r="M224" s="68"/>
      <c r="P224" s="89" t="str">
        <f t="shared" si="18"/>
        <v xml:space="preserve">  1 1900 </v>
      </c>
    </row>
    <row r="225" spans="1:16">
      <c r="A225" s="68"/>
      <c r="B225" s="87"/>
      <c r="C225" s="88"/>
      <c r="D225" s="88"/>
      <c r="E225" s="90"/>
      <c r="F225" s="84" t="str">
        <f ca="1">IF(D225="Income",LOOKUP(E225,Introduction!$A$11:$A$18,Introduction!$C$11:$C$18),IF(D225="Expense",LOOKUP(E225,Introduction!$D$11:$D$30,Introduction!$F$11:$F$30),"_"))</f>
        <v>_</v>
      </c>
      <c r="G225" s="88"/>
      <c r="H225" s="92">
        <f t="shared" si="22"/>
        <v>0</v>
      </c>
      <c r="I225" s="85">
        <f t="shared" si="20"/>
        <v>0</v>
      </c>
      <c r="J225" s="93"/>
      <c r="K225" s="85">
        <f t="shared" si="21"/>
        <v>0</v>
      </c>
      <c r="L225" s="68"/>
      <c r="M225" s="68"/>
      <c r="P225" s="89" t="str">
        <f t="shared" si="18"/>
        <v xml:space="preserve">  1 1900 </v>
      </c>
    </row>
    <row r="226" spans="1:16">
      <c r="A226" s="68"/>
      <c r="B226" s="87"/>
      <c r="C226" s="88"/>
      <c r="D226" s="88"/>
      <c r="E226" s="90"/>
      <c r="F226" s="84" t="str">
        <f ca="1">IF(D226="Income",LOOKUP(E226,Introduction!$A$11:$A$18,Introduction!$C$11:$C$18),IF(D226="Expense",LOOKUP(E226,Introduction!$D$11:$D$30,Introduction!$F$11:$F$30),"_"))</f>
        <v>_</v>
      </c>
      <c r="G226" s="88"/>
      <c r="H226" s="92">
        <f t="shared" si="22"/>
        <v>0</v>
      </c>
      <c r="I226" s="85">
        <f t="shared" si="20"/>
        <v>0</v>
      </c>
      <c r="J226" s="93"/>
      <c r="K226" s="85">
        <f t="shared" si="21"/>
        <v>0</v>
      </c>
      <c r="L226" s="68"/>
      <c r="M226" s="68"/>
      <c r="P226" s="89" t="str">
        <f t="shared" si="18"/>
        <v xml:space="preserve">  1 1900 </v>
      </c>
    </row>
    <row r="227" spans="1:16">
      <c r="A227" s="68"/>
      <c r="B227" s="87"/>
      <c r="C227" s="88"/>
      <c r="D227" s="88"/>
      <c r="E227" s="90"/>
      <c r="F227" s="84" t="str">
        <f ca="1">IF(D227="Income",LOOKUP(E227,Introduction!$A$11:$A$18,Introduction!$C$11:$C$18),IF(D227="Expense",LOOKUP(E227,Introduction!$D$11:$D$30,Introduction!$F$11:$F$30),"_"))</f>
        <v>_</v>
      </c>
      <c r="G227" s="88"/>
      <c r="H227" s="92">
        <f t="shared" si="22"/>
        <v>0</v>
      </c>
      <c r="I227" s="85">
        <f t="shared" si="20"/>
        <v>0</v>
      </c>
      <c r="J227" s="93"/>
      <c r="K227" s="85">
        <f t="shared" si="21"/>
        <v>0</v>
      </c>
      <c r="L227" s="68"/>
      <c r="M227" s="68"/>
      <c r="P227" s="89" t="str">
        <f t="shared" si="18"/>
        <v xml:space="preserve">  1 1900 </v>
      </c>
    </row>
    <row r="228" spans="1:16">
      <c r="A228" s="68"/>
      <c r="B228" s="87"/>
      <c r="C228" s="88"/>
      <c r="D228" s="88"/>
      <c r="E228" s="90"/>
      <c r="F228" s="84" t="str">
        <f ca="1">IF(D228="Income",LOOKUP(E228,Introduction!$A$11:$A$18,Introduction!$C$11:$C$18),IF(D228="Expense",LOOKUP(E228,Introduction!$D$11:$D$30,Introduction!$F$11:$F$30),"_"))</f>
        <v>_</v>
      </c>
      <c r="G228" s="88"/>
      <c r="H228" s="92">
        <f t="shared" si="22"/>
        <v>0</v>
      </c>
      <c r="I228" s="85">
        <f t="shared" si="20"/>
        <v>0</v>
      </c>
      <c r="J228" s="93"/>
      <c r="K228" s="85">
        <f t="shared" si="21"/>
        <v>0</v>
      </c>
      <c r="L228" s="68"/>
      <c r="M228" s="68"/>
      <c r="P228" s="89" t="str">
        <f t="shared" si="18"/>
        <v xml:space="preserve">  1 1900 </v>
      </c>
    </row>
    <row r="229" spans="1:16">
      <c r="A229" s="68"/>
      <c r="B229" s="87"/>
      <c r="C229" s="88"/>
      <c r="D229" s="88"/>
      <c r="E229" s="90"/>
      <c r="F229" s="84" t="str">
        <f ca="1">IF(D229="Income",LOOKUP(E229,Introduction!$A$11:$A$18,Introduction!$C$11:$C$18),IF(D229="Expense",LOOKUP(E229,Introduction!$D$11:$D$30,Introduction!$F$11:$F$30),"_"))</f>
        <v>_</v>
      </c>
      <c r="G229" s="88"/>
      <c r="H229" s="92">
        <f t="shared" si="22"/>
        <v>0</v>
      </c>
      <c r="I229" s="85">
        <f t="shared" si="20"/>
        <v>0</v>
      </c>
      <c r="J229" s="93"/>
      <c r="K229" s="85">
        <f t="shared" si="21"/>
        <v>0</v>
      </c>
      <c r="L229" s="68"/>
      <c r="M229" s="68"/>
      <c r="P229" s="89" t="str">
        <f t="shared" si="18"/>
        <v xml:space="preserve">  1 1900 </v>
      </c>
    </row>
    <row r="230" spans="1:16">
      <c r="A230" s="68"/>
      <c r="B230" s="87"/>
      <c r="C230" s="88"/>
      <c r="D230" s="88"/>
      <c r="E230" s="90"/>
      <c r="F230" s="84" t="str">
        <f ca="1">IF(D230="Income",LOOKUP(E230,Introduction!$A$11:$A$18,Introduction!$C$11:$C$18),IF(D230="Expense",LOOKUP(E230,Introduction!$D$11:$D$30,Introduction!$F$11:$F$30),"_"))</f>
        <v>_</v>
      </c>
      <c r="G230" s="88"/>
      <c r="H230" s="92">
        <f t="shared" si="22"/>
        <v>0</v>
      </c>
      <c r="I230" s="85">
        <f t="shared" si="20"/>
        <v>0</v>
      </c>
      <c r="J230" s="93"/>
      <c r="K230" s="85">
        <f t="shared" si="21"/>
        <v>0</v>
      </c>
      <c r="L230" s="68"/>
      <c r="M230" s="68"/>
      <c r="P230" s="89" t="str">
        <f t="shared" si="18"/>
        <v xml:space="preserve">  1 1900 </v>
      </c>
    </row>
    <row r="231" spans="1:16">
      <c r="A231" s="68"/>
      <c r="B231" s="87"/>
      <c r="C231" s="88"/>
      <c r="D231" s="88"/>
      <c r="E231" s="90"/>
      <c r="F231" s="84" t="str">
        <f ca="1">IF(D231="Income",LOOKUP(E231,Introduction!$A$11:$A$18,Introduction!$C$11:$C$18),IF(D231="Expense",LOOKUP(E231,Introduction!$D$11:$D$30,Introduction!$F$11:$F$30),"_"))</f>
        <v>_</v>
      </c>
      <c r="G231" s="88"/>
      <c r="H231" s="92">
        <f t="shared" si="22"/>
        <v>0</v>
      </c>
      <c r="I231" s="85">
        <f t="shared" si="20"/>
        <v>0</v>
      </c>
      <c r="J231" s="93"/>
      <c r="K231" s="85">
        <f t="shared" si="21"/>
        <v>0</v>
      </c>
      <c r="L231" s="68"/>
      <c r="M231" s="68"/>
      <c r="P231" s="89" t="str">
        <f t="shared" si="18"/>
        <v xml:space="preserve">  1 1900 </v>
      </c>
    </row>
    <row r="232" spans="1:16">
      <c r="A232" s="68"/>
      <c r="B232" s="87"/>
      <c r="C232" s="88"/>
      <c r="D232" s="88"/>
      <c r="E232" s="90"/>
      <c r="F232" s="84" t="str">
        <f ca="1">IF(D232="Income",LOOKUP(E232,Introduction!$A$11:$A$18,Introduction!$C$11:$C$18),IF(D232="Expense",LOOKUP(E232,Introduction!$D$11:$D$30,Introduction!$F$11:$F$30),"_"))</f>
        <v>_</v>
      </c>
      <c r="G232" s="88"/>
      <c r="H232" s="92">
        <f t="shared" si="22"/>
        <v>0</v>
      </c>
      <c r="I232" s="85">
        <f t="shared" si="20"/>
        <v>0</v>
      </c>
      <c r="J232" s="93"/>
      <c r="K232" s="85">
        <f t="shared" si="21"/>
        <v>0</v>
      </c>
      <c r="L232" s="68"/>
      <c r="M232" s="68"/>
      <c r="P232" s="89" t="str">
        <f t="shared" si="18"/>
        <v xml:space="preserve">  1 1900 </v>
      </c>
    </row>
    <row r="233" spans="1:16">
      <c r="A233" s="68"/>
      <c r="B233" s="87"/>
      <c r="C233" s="88"/>
      <c r="D233" s="88"/>
      <c r="E233" s="90"/>
      <c r="F233" s="84" t="str">
        <f ca="1">IF(D233="Income",LOOKUP(E233,Introduction!$A$11:$A$18,Introduction!$C$11:$C$18),IF(D233="Expense",LOOKUP(E233,Introduction!$D$11:$D$30,Introduction!$F$11:$F$30),"_"))</f>
        <v>_</v>
      </c>
      <c r="G233" s="88"/>
      <c r="H233" s="92">
        <f t="shared" si="22"/>
        <v>0</v>
      </c>
      <c r="I233" s="85">
        <f t="shared" si="20"/>
        <v>0</v>
      </c>
      <c r="J233" s="93"/>
      <c r="K233" s="85">
        <f t="shared" si="21"/>
        <v>0</v>
      </c>
      <c r="L233" s="68"/>
      <c r="M233" s="68"/>
      <c r="P233" s="89" t="str">
        <f t="shared" si="18"/>
        <v xml:space="preserve">  1 1900 </v>
      </c>
    </row>
    <row r="234" spans="1:16">
      <c r="A234" s="68"/>
      <c r="B234" s="87"/>
      <c r="C234" s="88"/>
      <c r="D234" s="88"/>
      <c r="E234" s="90"/>
      <c r="F234" s="84" t="str">
        <f ca="1">IF(D234="Income",LOOKUP(E234,Introduction!$A$11:$A$18,Introduction!$C$11:$C$18),IF(D234="Expense",LOOKUP(E234,Introduction!$D$11:$D$30,Introduction!$F$11:$F$30),"_"))</f>
        <v>_</v>
      </c>
      <c r="G234" s="88"/>
      <c r="H234" s="92">
        <f t="shared" si="22"/>
        <v>0</v>
      </c>
      <c r="I234" s="85">
        <f t="shared" si="20"/>
        <v>0</v>
      </c>
      <c r="J234" s="93"/>
      <c r="K234" s="85">
        <f t="shared" si="21"/>
        <v>0</v>
      </c>
      <c r="L234" s="68"/>
      <c r="M234" s="68"/>
      <c r="P234" s="89" t="str">
        <f t="shared" si="18"/>
        <v xml:space="preserve">  1 1900 </v>
      </c>
    </row>
    <row r="235" spans="1:16">
      <c r="A235" s="68"/>
      <c r="B235" s="87"/>
      <c r="C235" s="88"/>
      <c r="D235" s="88"/>
      <c r="E235" s="90"/>
      <c r="F235" s="84" t="str">
        <f ca="1">IF(D235="Income",LOOKUP(E235,Introduction!$A$11:$A$18,Introduction!$C$11:$C$18),IF(D235="Expense",LOOKUP(E235,Introduction!$D$11:$D$30,Introduction!$F$11:$F$30),"_"))</f>
        <v>_</v>
      </c>
      <c r="G235" s="88"/>
      <c r="H235" s="92">
        <f t="shared" si="22"/>
        <v>0</v>
      </c>
      <c r="I235" s="85">
        <f t="shared" si="20"/>
        <v>0</v>
      </c>
      <c r="J235" s="93"/>
      <c r="K235" s="85">
        <f t="shared" si="21"/>
        <v>0</v>
      </c>
      <c r="L235" s="68"/>
      <c r="M235" s="68"/>
      <c r="P235" s="89" t="str">
        <f t="shared" si="18"/>
        <v xml:space="preserve">  1 1900 </v>
      </c>
    </row>
    <row r="236" spans="1:16">
      <c r="A236" s="68"/>
      <c r="B236" s="87"/>
      <c r="C236" s="88"/>
      <c r="D236" s="88"/>
      <c r="E236" s="90"/>
      <c r="F236" s="84" t="str">
        <f ca="1">IF(D236="Income",LOOKUP(E236,Introduction!$A$11:$A$18,Introduction!$C$11:$C$18),IF(D236="Expense",LOOKUP(E236,Introduction!$D$11:$D$30,Introduction!$F$11:$F$30),"_"))</f>
        <v>_</v>
      </c>
      <c r="G236" s="88"/>
      <c r="H236" s="92">
        <f t="shared" si="22"/>
        <v>0</v>
      </c>
      <c r="I236" s="85">
        <f t="shared" si="20"/>
        <v>0</v>
      </c>
      <c r="J236" s="93"/>
      <c r="K236" s="85">
        <f t="shared" si="21"/>
        <v>0</v>
      </c>
      <c r="L236" s="68"/>
      <c r="M236" s="68"/>
      <c r="P236" s="89" t="str">
        <f t="shared" si="18"/>
        <v xml:space="preserve">  1 1900 </v>
      </c>
    </row>
    <row r="237" spans="1:16">
      <c r="A237" s="68"/>
      <c r="B237" s="87"/>
      <c r="C237" s="88"/>
      <c r="D237" s="88"/>
      <c r="E237" s="90"/>
      <c r="F237" s="84" t="str">
        <f ca="1">IF(D237="Income",LOOKUP(E237,Introduction!$A$11:$A$18,Introduction!$C$11:$C$18),IF(D237="Expense",LOOKUP(E237,Introduction!$D$11:$D$30,Introduction!$F$11:$F$30),"_"))</f>
        <v>_</v>
      </c>
      <c r="G237" s="88"/>
      <c r="H237" s="92">
        <f t="shared" si="22"/>
        <v>0</v>
      </c>
      <c r="I237" s="85">
        <f t="shared" si="20"/>
        <v>0</v>
      </c>
      <c r="J237" s="93"/>
      <c r="K237" s="85">
        <f t="shared" si="21"/>
        <v>0</v>
      </c>
      <c r="L237" s="68"/>
      <c r="M237" s="68"/>
      <c r="P237" s="89" t="str">
        <f t="shared" si="18"/>
        <v xml:space="preserve">  1 1900 </v>
      </c>
    </row>
    <row r="238" spans="1:16">
      <c r="A238" s="68"/>
      <c r="B238" s="87"/>
      <c r="C238" s="88"/>
      <c r="D238" s="88"/>
      <c r="E238" s="90"/>
      <c r="F238" s="84" t="str">
        <f ca="1">IF(D238="Income",LOOKUP(E238,Introduction!$A$11:$A$18,Introduction!$C$11:$C$18),IF(D238="Expense",LOOKUP(E238,Introduction!$D$11:$D$30,Introduction!$F$11:$F$30),"_"))</f>
        <v>_</v>
      </c>
      <c r="G238" s="88"/>
      <c r="H238" s="92">
        <f t="shared" si="22"/>
        <v>0</v>
      </c>
      <c r="I238" s="85">
        <f t="shared" si="20"/>
        <v>0</v>
      </c>
      <c r="J238" s="93"/>
      <c r="K238" s="85">
        <f t="shared" si="21"/>
        <v>0</v>
      </c>
      <c r="L238" s="68"/>
      <c r="M238" s="68"/>
      <c r="P238" s="89" t="str">
        <f t="shared" si="18"/>
        <v xml:space="preserve">  1 1900 </v>
      </c>
    </row>
    <row r="239" spans="1:16">
      <c r="A239" s="68"/>
      <c r="B239" s="87"/>
      <c r="C239" s="88"/>
      <c r="D239" s="88"/>
      <c r="E239" s="90"/>
      <c r="F239" s="84" t="str">
        <f ca="1">IF(D239="Income",LOOKUP(E239,Introduction!$A$11:$A$18,Introduction!$C$11:$C$18),IF(D239="Expense",LOOKUP(E239,Introduction!$D$11:$D$30,Introduction!$F$11:$F$30),"_"))</f>
        <v>_</v>
      </c>
      <c r="G239" s="88"/>
      <c r="H239" s="92">
        <f t="shared" si="22"/>
        <v>0</v>
      </c>
      <c r="I239" s="85">
        <f t="shared" si="20"/>
        <v>0</v>
      </c>
      <c r="J239" s="93"/>
      <c r="K239" s="85">
        <f t="shared" si="21"/>
        <v>0</v>
      </c>
      <c r="L239" s="68"/>
      <c r="M239" s="68"/>
      <c r="P239" s="89" t="str">
        <f t="shared" si="18"/>
        <v xml:space="preserve">  1 1900 </v>
      </c>
    </row>
    <row r="240" spans="1:16">
      <c r="A240" s="68"/>
      <c r="B240" s="87"/>
      <c r="C240" s="88"/>
      <c r="D240" s="88"/>
      <c r="E240" s="90"/>
      <c r="F240" s="84" t="str">
        <f ca="1">IF(D240="Income",LOOKUP(E240,Introduction!$A$11:$A$18,Introduction!$C$11:$C$18),IF(D240="Expense",LOOKUP(E240,Introduction!$D$11:$D$30,Introduction!$F$11:$F$30),"_"))</f>
        <v>_</v>
      </c>
      <c r="G240" s="88"/>
      <c r="H240" s="92">
        <f t="shared" si="22"/>
        <v>0</v>
      </c>
      <c r="I240" s="85">
        <f t="shared" si="20"/>
        <v>0</v>
      </c>
      <c r="J240" s="93"/>
      <c r="K240" s="85">
        <f t="shared" si="21"/>
        <v>0</v>
      </c>
      <c r="L240" s="68"/>
      <c r="M240" s="68"/>
      <c r="P240" s="89" t="str">
        <f t="shared" si="18"/>
        <v xml:space="preserve">  1 1900 </v>
      </c>
    </row>
    <row r="241" spans="1:16">
      <c r="A241" s="68"/>
      <c r="B241" s="87"/>
      <c r="C241" s="88"/>
      <c r="D241" s="88"/>
      <c r="E241" s="90"/>
      <c r="F241" s="84" t="str">
        <f ca="1">IF(D241="Income",LOOKUP(E241,Introduction!$A$11:$A$18,Introduction!$C$11:$C$18),IF(D241="Expense",LOOKUP(E241,Introduction!$D$11:$D$30,Introduction!$F$11:$F$30),"_"))</f>
        <v>_</v>
      </c>
      <c r="G241" s="88"/>
      <c r="H241" s="92">
        <f t="shared" si="22"/>
        <v>0</v>
      </c>
      <c r="I241" s="85">
        <f t="shared" si="20"/>
        <v>0</v>
      </c>
      <c r="J241" s="93"/>
      <c r="K241" s="85">
        <f t="shared" si="21"/>
        <v>0</v>
      </c>
      <c r="L241" s="68"/>
      <c r="M241" s="68"/>
      <c r="P241" s="89" t="str">
        <f t="shared" si="18"/>
        <v xml:space="preserve">  1 1900 </v>
      </c>
    </row>
    <row r="242" spans="1:16">
      <c r="A242" s="68"/>
      <c r="B242" s="87"/>
      <c r="C242" s="88"/>
      <c r="D242" s="88"/>
      <c r="E242" s="90"/>
      <c r="F242" s="84" t="str">
        <f ca="1">IF(D242="Income",LOOKUP(E242,Introduction!$A$11:$A$18,Introduction!$C$11:$C$18),IF(D242="Expense",LOOKUP(E242,Introduction!$D$11:$D$30,Introduction!$F$11:$F$30),"_"))</f>
        <v>_</v>
      </c>
      <c r="G242" s="88"/>
      <c r="H242" s="92">
        <f t="shared" si="22"/>
        <v>0</v>
      </c>
      <c r="I242" s="85">
        <f t="shared" si="20"/>
        <v>0</v>
      </c>
      <c r="J242" s="93"/>
      <c r="K242" s="85">
        <f t="shared" si="21"/>
        <v>0</v>
      </c>
      <c r="L242" s="68"/>
      <c r="M242" s="68"/>
      <c r="P242" s="89" t="str">
        <f t="shared" si="18"/>
        <v xml:space="preserve">  1 1900 </v>
      </c>
    </row>
    <row r="243" spans="1:16">
      <c r="A243" s="68"/>
      <c r="B243" s="87"/>
      <c r="C243" s="88"/>
      <c r="D243" s="88"/>
      <c r="E243" s="90"/>
      <c r="F243" s="84" t="str">
        <f ca="1">IF(D243="Income",LOOKUP(E243,Introduction!$A$11:$A$18,Introduction!$C$11:$C$18),IF(D243="Expense",LOOKUP(E243,Introduction!$D$11:$D$30,Introduction!$F$11:$F$30),"_"))</f>
        <v>_</v>
      </c>
      <c r="G243" s="88"/>
      <c r="H243" s="92">
        <f t="shared" si="22"/>
        <v>0</v>
      </c>
      <c r="I243" s="85">
        <f t="shared" si="20"/>
        <v>0</v>
      </c>
      <c r="J243" s="93"/>
      <c r="K243" s="85">
        <f t="shared" si="21"/>
        <v>0</v>
      </c>
      <c r="L243" s="68"/>
      <c r="M243" s="68"/>
      <c r="P243" s="89" t="str">
        <f t="shared" si="18"/>
        <v xml:space="preserve">  1 1900 </v>
      </c>
    </row>
    <row r="244" spans="1:16">
      <c r="A244" s="68"/>
      <c r="B244" s="87"/>
      <c r="C244" s="88"/>
      <c r="D244" s="88"/>
      <c r="E244" s="90"/>
      <c r="F244" s="84" t="str">
        <f ca="1">IF(D244="Income",LOOKUP(E244,Introduction!$A$11:$A$18,Introduction!$C$11:$C$18),IF(D244="Expense",LOOKUP(E244,Introduction!$D$11:$D$30,Introduction!$F$11:$F$30),"_"))</f>
        <v>_</v>
      </c>
      <c r="G244" s="88"/>
      <c r="H244" s="92">
        <f t="shared" si="22"/>
        <v>0</v>
      </c>
      <c r="I244" s="85">
        <f t="shared" si="20"/>
        <v>0</v>
      </c>
      <c r="J244" s="93"/>
      <c r="K244" s="85">
        <f t="shared" si="21"/>
        <v>0</v>
      </c>
      <c r="L244" s="68"/>
      <c r="M244" s="68"/>
      <c r="P244" s="89" t="str">
        <f t="shared" si="18"/>
        <v xml:space="preserve">  1 1900 </v>
      </c>
    </row>
    <row r="245" spans="1:16">
      <c r="A245" s="68"/>
      <c r="B245" s="87"/>
      <c r="C245" s="88"/>
      <c r="D245" s="88"/>
      <c r="E245" s="90"/>
      <c r="F245" s="84" t="str">
        <f ca="1">IF(D245="Income",LOOKUP(E245,Introduction!$A$11:$A$18,Introduction!$C$11:$C$18),IF(D245="Expense",LOOKUP(E245,Introduction!$D$11:$D$30,Introduction!$F$11:$F$30),"_"))</f>
        <v>_</v>
      </c>
      <c r="G245" s="88"/>
      <c r="H245" s="92">
        <f t="shared" si="22"/>
        <v>0</v>
      </c>
      <c r="I245" s="85">
        <f t="shared" si="20"/>
        <v>0</v>
      </c>
      <c r="J245" s="93"/>
      <c r="K245" s="85">
        <f t="shared" si="21"/>
        <v>0</v>
      </c>
      <c r="L245" s="68"/>
      <c r="M245" s="68"/>
      <c r="P245" s="89" t="str">
        <f t="shared" si="18"/>
        <v xml:space="preserve">  1 1900 </v>
      </c>
    </row>
    <row r="246" spans="1:16">
      <c r="A246" s="68"/>
      <c r="B246" s="87"/>
      <c r="C246" s="88"/>
      <c r="D246" s="88"/>
      <c r="E246" s="90"/>
      <c r="F246" s="84" t="str">
        <f ca="1">IF(D246="Income",LOOKUP(E246,Introduction!$A$11:$A$18,Introduction!$C$11:$C$18),IF(D246="Expense",LOOKUP(E246,Introduction!$D$11:$D$30,Introduction!$F$11:$F$30),"_"))</f>
        <v>_</v>
      </c>
      <c r="G246" s="88"/>
      <c r="H246" s="92">
        <f t="shared" si="22"/>
        <v>0</v>
      </c>
      <c r="I246" s="85">
        <f t="shared" si="20"/>
        <v>0</v>
      </c>
      <c r="J246" s="93"/>
      <c r="K246" s="85">
        <f t="shared" si="21"/>
        <v>0</v>
      </c>
      <c r="L246" s="68"/>
      <c r="M246" s="68"/>
      <c r="P246" s="89" t="str">
        <f t="shared" si="18"/>
        <v xml:space="preserve">  1 1900 </v>
      </c>
    </row>
    <row r="247" spans="1:16">
      <c r="A247" s="68"/>
      <c r="B247" s="87"/>
      <c r="C247" s="88"/>
      <c r="D247" s="88"/>
      <c r="E247" s="90"/>
      <c r="F247" s="84" t="str">
        <f ca="1">IF(D247="Income",LOOKUP(E247,Introduction!$A$11:$A$18,Introduction!$C$11:$C$18),IF(D247="Expense",LOOKUP(E247,Introduction!$D$11:$D$30,Introduction!$F$11:$F$30),"_"))</f>
        <v>_</v>
      </c>
      <c r="G247" s="88"/>
      <c r="H247" s="92">
        <f t="shared" si="22"/>
        <v>0</v>
      </c>
      <c r="I247" s="85">
        <f t="shared" si="20"/>
        <v>0</v>
      </c>
      <c r="J247" s="93"/>
      <c r="K247" s="85">
        <f t="shared" si="21"/>
        <v>0</v>
      </c>
      <c r="L247" s="68"/>
      <c r="M247" s="68"/>
      <c r="P247" s="89" t="str">
        <f t="shared" si="18"/>
        <v xml:space="preserve">  1 1900 </v>
      </c>
    </row>
    <row r="248" spans="1:16">
      <c r="A248" s="68"/>
      <c r="B248" s="87"/>
      <c r="C248" s="88"/>
      <c r="D248" s="88"/>
      <c r="E248" s="90"/>
      <c r="F248" s="84" t="str">
        <f ca="1">IF(D248="Income",LOOKUP(E248,Introduction!$A$11:$A$18,Introduction!$C$11:$C$18),IF(D248="Expense",LOOKUP(E248,Introduction!$D$11:$D$30,Introduction!$F$11:$F$30),"_"))</f>
        <v>_</v>
      </c>
      <c r="G248" s="88"/>
      <c r="H248" s="92">
        <f t="shared" si="22"/>
        <v>0</v>
      </c>
      <c r="I248" s="85">
        <f t="shared" si="20"/>
        <v>0</v>
      </c>
      <c r="J248" s="93"/>
      <c r="K248" s="85">
        <f t="shared" si="21"/>
        <v>0</v>
      </c>
      <c r="L248" s="68"/>
      <c r="M248" s="68"/>
      <c r="P248" s="89" t="str">
        <f t="shared" si="18"/>
        <v xml:space="preserve">  1 1900 </v>
      </c>
    </row>
    <row r="249" spans="1:16">
      <c r="A249" s="68"/>
      <c r="B249" s="87"/>
      <c r="C249" s="88"/>
      <c r="D249" s="88"/>
      <c r="E249" s="90"/>
      <c r="F249" s="84" t="str">
        <f ca="1">IF(D249="Income",LOOKUP(E249,Introduction!$A$11:$A$18,Introduction!$C$11:$C$18),IF(D249="Expense",LOOKUP(E249,Introduction!$D$11:$D$30,Introduction!$F$11:$F$30),"_"))</f>
        <v>_</v>
      </c>
      <c r="G249" s="88"/>
      <c r="H249" s="92">
        <f t="shared" si="22"/>
        <v>0</v>
      </c>
      <c r="I249" s="85">
        <f t="shared" si="20"/>
        <v>0</v>
      </c>
      <c r="J249" s="93"/>
      <c r="K249" s="85">
        <f t="shared" si="21"/>
        <v>0</v>
      </c>
      <c r="L249" s="68"/>
      <c r="M249" s="68"/>
      <c r="P249" s="89" t="str">
        <f t="shared" si="18"/>
        <v xml:space="preserve">  1 1900 </v>
      </c>
    </row>
    <row r="250" spans="1:16">
      <c r="A250" s="68"/>
      <c r="B250" s="87"/>
      <c r="C250" s="88"/>
      <c r="D250" s="88"/>
      <c r="E250" s="90"/>
      <c r="F250" s="84" t="str">
        <f ca="1">IF(D250="Income",LOOKUP(E250,Introduction!$A$11:$A$18,Introduction!$C$11:$C$18),IF(D250="Expense",LOOKUP(E250,Introduction!$D$11:$D$30,Introduction!$F$11:$F$30),"_"))</f>
        <v>_</v>
      </c>
      <c r="G250" s="88"/>
      <c r="H250" s="92">
        <f t="shared" si="22"/>
        <v>0</v>
      </c>
      <c r="I250" s="85">
        <f t="shared" si="20"/>
        <v>0</v>
      </c>
      <c r="J250" s="93"/>
      <c r="K250" s="85">
        <f t="shared" si="21"/>
        <v>0</v>
      </c>
      <c r="L250" s="68"/>
      <c r="M250" s="68"/>
      <c r="P250" s="89" t="str">
        <f t="shared" si="18"/>
        <v xml:space="preserve">  1 1900 </v>
      </c>
    </row>
    <row r="251" spans="1:16">
      <c r="A251" s="68"/>
      <c r="B251" s="87"/>
      <c r="C251" s="88"/>
      <c r="D251" s="88"/>
      <c r="E251" s="90"/>
      <c r="F251" s="84" t="str">
        <f ca="1">IF(D251="Income",LOOKUP(E251,Introduction!$A$11:$A$18,Introduction!$C$11:$C$18),IF(D251="Expense",LOOKUP(E251,Introduction!$D$11:$D$30,Introduction!$F$11:$F$30),"_"))</f>
        <v>_</v>
      </c>
      <c r="G251" s="88"/>
      <c r="H251" s="92">
        <f t="shared" si="22"/>
        <v>0</v>
      </c>
      <c r="I251" s="85">
        <f t="shared" si="20"/>
        <v>0</v>
      </c>
      <c r="J251" s="93"/>
      <c r="K251" s="85">
        <f t="shared" si="21"/>
        <v>0</v>
      </c>
      <c r="L251" s="68"/>
      <c r="M251" s="68"/>
      <c r="P251" s="89" t="str">
        <f t="shared" si="18"/>
        <v xml:space="preserve">  1 1900 </v>
      </c>
    </row>
    <row r="252" spans="1:16">
      <c r="A252" s="68"/>
      <c r="B252" s="87"/>
      <c r="C252" s="88"/>
      <c r="D252" s="88"/>
      <c r="E252" s="90"/>
      <c r="F252" s="84" t="str">
        <f ca="1">IF(D252="Income",LOOKUP(E252,Introduction!$A$11:$A$18,Introduction!$C$11:$C$18),IF(D252="Expense",LOOKUP(E252,Introduction!$D$11:$D$30,Introduction!$F$11:$F$30),"_"))</f>
        <v>_</v>
      </c>
      <c r="G252" s="88"/>
      <c r="H252" s="92">
        <f t="shared" si="22"/>
        <v>0</v>
      </c>
      <c r="I252" s="85">
        <f t="shared" si="20"/>
        <v>0</v>
      </c>
      <c r="J252" s="93"/>
      <c r="K252" s="85">
        <f t="shared" si="21"/>
        <v>0</v>
      </c>
      <c r="L252" s="68"/>
      <c r="M252" s="68"/>
      <c r="P252" s="89" t="str">
        <f t="shared" si="18"/>
        <v xml:space="preserve">  1 1900 </v>
      </c>
    </row>
    <row r="253" spans="1:16">
      <c r="A253" s="68"/>
      <c r="B253" s="87"/>
      <c r="C253" s="88"/>
      <c r="D253" s="88"/>
      <c r="E253" s="90"/>
      <c r="F253" s="84" t="str">
        <f ca="1">IF(D253="Income",LOOKUP(E253,Introduction!$A$11:$A$18,Introduction!$C$11:$C$18),IF(D253="Expense",LOOKUP(E253,Introduction!$D$11:$D$30,Introduction!$F$11:$F$30),"_"))</f>
        <v>_</v>
      </c>
      <c r="G253" s="88"/>
      <c r="H253" s="92">
        <f t="shared" si="22"/>
        <v>0</v>
      </c>
      <c r="I253" s="85">
        <f t="shared" si="20"/>
        <v>0</v>
      </c>
      <c r="J253" s="93"/>
      <c r="K253" s="85">
        <f t="shared" si="21"/>
        <v>0</v>
      </c>
      <c r="L253" s="68"/>
      <c r="M253" s="68"/>
      <c r="P253" s="89" t="str">
        <f t="shared" si="18"/>
        <v xml:space="preserve">  1 1900 </v>
      </c>
    </row>
    <row r="254" spans="1:16">
      <c r="A254" s="68"/>
      <c r="B254" s="87"/>
      <c r="C254" s="88"/>
      <c r="D254" s="88"/>
      <c r="E254" s="90"/>
      <c r="F254" s="84" t="str">
        <f ca="1">IF(D254="Income",LOOKUP(E254,Introduction!$A$11:$A$18,Introduction!$C$11:$C$18),IF(D254="Expense",LOOKUP(E254,Introduction!$D$11:$D$30,Introduction!$F$11:$F$30),"_"))</f>
        <v>_</v>
      </c>
      <c r="G254" s="88"/>
      <c r="H254" s="92">
        <f t="shared" si="22"/>
        <v>0</v>
      </c>
      <c r="I254" s="85">
        <f t="shared" si="20"/>
        <v>0</v>
      </c>
      <c r="J254" s="93"/>
      <c r="K254" s="85">
        <f t="shared" si="21"/>
        <v>0</v>
      </c>
      <c r="L254" s="68"/>
      <c r="M254" s="68"/>
      <c r="P254" s="89" t="str">
        <f t="shared" si="18"/>
        <v xml:space="preserve">  1 1900 </v>
      </c>
    </row>
    <row r="255" spans="1:16">
      <c r="A255" s="68"/>
      <c r="B255" s="87"/>
      <c r="C255" s="88"/>
      <c r="D255" s="88"/>
      <c r="E255" s="90"/>
      <c r="F255" s="84" t="str">
        <f ca="1">IF(D255="Income",LOOKUP(E255,Introduction!$A$11:$A$18,Introduction!$C$11:$C$18),IF(D255="Expense",LOOKUP(E255,Introduction!$D$11:$D$30,Introduction!$F$11:$F$30),"_"))</f>
        <v>_</v>
      </c>
      <c r="G255" s="88"/>
      <c r="H255" s="92">
        <f t="shared" si="22"/>
        <v>0</v>
      </c>
      <c r="I255" s="85">
        <f t="shared" si="20"/>
        <v>0</v>
      </c>
      <c r="J255" s="93"/>
      <c r="K255" s="85">
        <f t="shared" si="21"/>
        <v>0</v>
      </c>
      <c r="L255" s="68"/>
      <c r="M255" s="68"/>
      <c r="P255" s="89" t="str">
        <f t="shared" si="18"/>
        <v xml:space="preserve">  1 1900 </v>
      </c>
    </row>
    <row r="256" spans="1:16">
      <c r="A256" s="68"/>
      <c r="B256" s="87"/>
      <c r="C256" s="88"/>
      <c r="D256" s="88"/>
      <c r="E256" s="90"/>
      <c r="F256" s="84" t="str">
        <f ca="1">IF(D256="Income",LOOKUP(E256,Introduction!$A$11:$A$18,Introduction!$C$11:$C$18),IF(D256="Expense",LOOKUP(E256,Introduction!$D$11:$D$30,Introduction!$F$11:$F$30),"_"))</f>
        <v>_</v>
      </c>
      <c r="G256" s="88"/>
      <c r="H256" s="92">
        <f t="shared" si="22"/>
        <v>0</v>
      </c>
      <c r="I256" s="85">
        <f t="shared" si="20"/>
        <v>0</v>
      </c>
      <c r="J256" s="93"/>
      <c r="K256" s="85">
        <f t="shared" si="21"/>
        <v>0</v>
      </c>
      <c r="L256" s="68"/>
      <c r="M256" s="68"/>
      <c r="P256" s="89" t="str">
        <f t="shared" si="18"/>
        <v xml:space="preserve">  1 1900 </v>
      </c>
    </row>
    <row r="257" spans="1:16">
      <c r="A257" s="68"/>
      <c r="B257" s="87"/>
      <c r="C257" s="88"/>
      <c r="D257" s="88"/>
      <c r="E257" s="90"/>
      <c r="F257" s="84" t="str">
        <f ca="1">IF(D257="Income",LOOKUP(E257,Introduction!$A$11:$A$18,Introduction!$C$11:$C$18),IF(D257="Expense",LOOKUP(E257,Introduction!$D$11:$D$30,Introduction!$F$11:$F$30),"_"))</f>
        <v>_</v>
      </c>
      <c r="G257" s="88"/>
      <c r="H257" s="92">
        <f t="shared" si="22"/>
        <v>0</v>
      </c>
      <c r="I257" s="85">
        <f t="shared" si="20"/>
        <v>0</v>
      </c>
      <c r="J257" s="93"/>
      <c r="K257" s="85">
        <f t="shared" si="21"/>
        <v>0</v>
      </c>
      <c r="L257" s="68"/>
      <c r="M257" s="68"/>
      <c r="P257" s="89" t="str">
        <f t="shared" si="18"/>
        <v xml:space="preserve">  1 1900 </v>
      </c>
    </row>
    <row r="258" spans="1:16">
      <c r="A258" s="68"/>
      <c r="B258" s="87"/>
      <c r="C258" s="88"/>
      <c r="D258" s="88"/>
      <c r="E258" s="90"/>
      <c r="F258" s="84" t="str">
        <f ca="1">IF(D258="Income",LOOKUP(E258,Introduction!$A$11:$A$18,Introduction!$C$11:$C$18),IF(D258="Expense",LOOKUP(E258,Introduction!$D$11:$D$30,Introduction!$F$11:$F$30),"_"))</f>
        <v>_</v>
      </c>
      <c r="G258" s="88"/>
      <c r="H258" s="92">
        <f t="shared" si="22"/>
        <v>0</v>
      </c>
      <c r="I258" s="85">
        <f t="shared" si="20"/>
        <v>0</v>
      </c>
      <c r="J258" s="93"/>
      <c r="K258" s="85">
        <f t="shared" si="21"/>
        <v>0</v>
      </c>
      <c r="L258" s="68"/>
      <c r="M258" s="68"/>
      <c r="P258" s="89" t="str">
        <f t="shared" si="18"/>
        <v xml:space="preserve">  1 1900 </v>
      </c>
    </row>
    <row r="259" spans="1:16">
      <c r="A259" s="68"/>
      <c r="B259" s="87"/>
      <c r="C259" s="88"/>
      <c r="D259" s="88"/>
      <c r="E259" s="90"/>
      <c r="F259" s="84" t="str">
        <f ca="1">IF(D259="Income",LOOKUP(E259,Introduction!$A$11:$A$18,Introduction!$C$11:$C$18),IF(D259="Expense",LOOKUP(E259,Introduction!$D$11:$D$30,Introduction!$F$11:$F$30),"_"))</f>
        <v>_</v>
      </c>
      <c r="G259" s="88"/>
      <c r="H259" s="92">
        <f t="shared" si="22"/>
        <v>0</v>
      </c>
      <c r="I259" s="85">
        <f t="shared" si="20"/>
        <v>0</v>
      </c>
      <c r="J259" s="93"/>
      <c r="K259" s="85">
        <f t="shared" si="21"/>
        <v>0</v>
      </c>
      <c r="L259" s="68"/>
      <c r="M259" s="68"/>
      <c r="P259" s="89" t="str">
        <f t="shared" si="18"/>
        <v xml:space="preserve">  1 1900 </v>
      </c>
    </row>
    <row r="260" spans="1:16">
      <c r="A260" s="68"/>
      <c r="B260" s="87"/>
      <c r="C260" s="88"/>
      <c r="D260" s="88"/>
      <c r="E260" s="90"/>
      <c r="F260" s="84" t="str">
        <f ca="1">IF(D260="Income",LOOKUP(E260,Introduction!$A$11:$A$18,Introduction!$C$11:$C$18),IF(D260="Expense",LOOKUP(E260,Introduction!$D$11:$D$30,Introduction!$F$11:$F$30),"_"))</f>
        <v>_</v>
      </c>
      <c r="G260" s="88"/>
      <c r="H260" s="92">
        <f t="shared" si="22"/>
        <v>0</v>
      </c>
      <c r="I260" s="85">
        <f t="shared" si="20"/>
        <v>0</v>
      </c>
      <c r="J260" s="93"/>
      <c r="K260" s="85">
        <f t="shared" si="21"/>
        <v>0</v>
      </c>
      <c r="L260" s="68"/>
      <c r="M260" s="68"/>
      <c r="P260" s="89" t="str">
        <f t="shared" si="18"/>
        <v xml:space="preserve">  1 1900 </v>
      </c>
    </row>
    <row r="261" spans="1:16">
      <c r="A261" s="68"/>
      <c r="B261" s="87"/>
      <c r="C261" s="88"/>
      <c r="D261" s="88"/>
      <c r="E261" s="90"/>
      <c r="F261" s="84" t="str">
        <f ca="1">IF(D261="Income",LOOKUP(E261,Introduction!$A$11:$A$18,Introduction!$C$11:$C$18),IF(D261="Expense",LOOKUP(E261,Introduction!$D$11:$D$30,Introduction!$F$11:$F$30),"_"))</f>
        <v>_</v>
      </c>
      <c r="G261" s="88"/>
      <c r="H261" s="92">
        <f t="shared" si="22"/>
        <v>0</v>
      </c>
      <c r="I261" s="85">
        <f t="shared" si="20"/>
        <v>0</v>
      </c>
      <c r="J261" s="93"/>
      <c r="K261" s="85">
        <f t="shared" si="21"/>
        <v>0</v>
      </c>
      <c r="L261" s="68"/>
      <c r="M261" s="68"/>
      <c r="P261" s="89" t="str">
        <f t="shared" si="18"/>
        <v xml:space="preserve">  1 1900 </v>
      </c>
    </row>
    <row r="262" spans="1:16">
      <c r="A262" s="68"/>
      <c r="B262" s="87"/>
      <c r="C262" s="88"/>
      <c r="D262" s="88"/>
      <c r="E262" s="90"/>
      <c r="F262" s="84" t="str">
        <f ca="1">IF(D262="Income",LOOKUP(E262,Introduction!$A$11:$A$18,Introduction!$C$11:$C$18),IF(D262="Expense",LOOKUP(E262,Introduction!$D$11:$D$30,Introduction!$F$11:$F$30),"_"))</f>
        <v>_</v>
      </c>
      <c r="G262" s="88"/>
      <c r="H262" s="92">
        <f t="shared" si="22"/>
        <v>0</v>
      </c>
      <c r="I262" s="85">
        <f t="shared" si="20"/>
        <v>0</v>
      </c>
      <c r="J262" s="93"/>
      <c r="K262" s="85">
        <f t="shared" si="21"/>
        <v>0</v>
      </c>
      <c r="L262" s="68"/>
      <c r="M262" s="68"/>
      <c r="P262" s="89" t="str">
        <f t="shared" si="18"/>
        <v xml:space="preserve">  1 1900 </v>
      </c>
    </row>
    <row r="263" spans="1:16">
      <c r="A263" s="68"/>
      <c r="B263" s="87"/>
      <c r="C263" s="88"/>
      <c r="D263" s="88"/>
      <c r="E263" s="90"/>
      <c r="F263" s="84" t="str">
        <f ca="1">IF(D263="Income",LOOKUP(E263,Introduction!$A$11:$A$18,Introduction!$C$11:$C$18),IF(D263="Expense",LOOKUP(E263,Introduction!$D$11:$D$30,Introduction!$F$11:$F$30),"_"))</f>
        <v>_</v>
      </c>
      <c r="G263" s="88"/>
      <c r="H263" s="92">
        <f t="shared" si="22"/>
        <v>0</v>
      </c>
      <c r="I263" s="85">
        <f t="shared" si="20"/>
        <v>0</v>
      </c>
      <c r="J263" s="93"/>
      <c r="K263" s="85">
        <f t="shared" si="21"/>
        <v>0</v>
      </c>
      <c r="L263" s="68"/>
      <c r="M263" s="68"/>
      <c r="P263" s="89" t="str">
        <f t="shared" ref="P263:P326" si="23">CONCATENATE(D263," ",E263," ",MONTH(C263)," ",YEAR(C263)," ")</f>
        <v xml:space="preserve">  1 1900 </v>
      </c>
    </row>
    <row r="264" spans="1:16">
      <c r="A264" s="68"/>
      <c r="B264" s="87"/>
      <c r="C264" s="88"/>
      <c r="D264" s="88"/>
      <c r="E264" s="90"/>
      <c r="F264" s="84" t="str">
        <f ca="1">IF(D264="Income",LOOKUP(E264,Introduction!$A$11:$A$18,Introduction!$C$11:$C$18),IF(D264="Expense",LOOKUP(E264,Introduction!$D$11:$D$30,Introduction!$F$11:$F$30),"_"))</f>
        <v>_</v>
      </c>
      <c r="G264" s="88"/>
      <c r="H264" s="92">
        <f t="shared" si="22"/>
        <v>0</v>
      </c>
      <c r="I264" s="85">
        <f t="shared" si="20"/>
        <v>0</v>
      </c>
      <c r="J264" s="93"/>
      <c r="K264" s="85">
        <f t="shared" si="21"/>
        <v>0</v>
      </c>
      <c r="L264" s="68"/>
      <c r="M264" s="68"/>
      <c r="P264" s="89" t="str">
        <f t="shared" si="23"/>
        <v xml:space="preserve">  1 1900 </v>
      </c>
    </row>
    <row r="265" spans="1:16">
      <c r="A265" s="68"/>
      <c r="B265" s="87"/>
      <c r="C265" s="88"/>
      <c r="D265" s="88"/>
      <c r="E265" s="90"/>
      <c r="F265" s="84" t="str">
        <f ca="1">IF(D265="Income",LOOKUP(E265,Introduction!$A$11:$A$18,Introduction!$C$11:$C$18),IF(D265="Expense",LOOKUP(E265,Introduction!$D$11:$D$30,Introduction!$F$11:$F$30),"_"))</f>
        <v>_</v>
      </c>
      <c r="G265" s="88"/>
      <c r="H265" s="92">
        <f t="shared" si="22"/>
        <v>0</v>
      </c>
      <c r="I265" s="85">
        <f t="shared" si="20"/>
        <v>0</v>
      </c>
      <c r="J265" s="93"/>
      <c r="K265" s="85">
        <f t="shared" si="21"/>
        <v>0</v>
      </c>
      <c r="L265" s="68"/>
      <c r="M265" s="68"/>
      <c r="P265" s="89" t="str">
        <f t="shared" si="23"/>
        <v xml:space="preserve">  1 1900 </v>
      </c>
    </row>
    <row r="266" spans="1:16">
      <c r="A266" s="68"/>
      <c r="B266" s="87"/>
      <c r="C266" s="88"/>
      <c r="D266" s="88"/>
      <c r="E266" s="90"/>
      <c r="F266" s="84" t="str">
        <f ca="1">IF(D266="Income",LOOKUP(E266,Introduction!$A$11:$A$18,Introduction!$C$11:$C$18),IF(D266="Expense",LOOKUP(E266,Introduction!$D$11:$D$30,Introduction!$F$11:$F$30),"_"))</f>
        <v>_</v>
      </c>
      <c r="G266" s="88"/>
      <c r="H266" s="92">
        <f t="shared" si="22"/>
        <v>0</v>
      </c>
      <c r="I266" s="85">
        <f t="shared" si="20"/>
        <v>0</v>
      </c>
      <c r="J266" s="93"/>
      <c r="K266" s="85">
        <f t="shared" si="21"/>
        <v>0</v>
      </c>
      <c r="L266" s="68"/>
      <c r="M266" s="68"/>
      <c r="P266" s="89" t="str">
        <f t="shared" si="23"/>
        <v xml:space="preserve">  1 1900 </v>
      </c>
    </row>
    <row r="267" spans="1:16">
      <c r="A267" s="68"/>
      <c r="B267" s="87"/>
      <c r="C267" s="88"/>
      <c r="D267" s="88"/>
      <c r="E267" s="90"/>
      <c r="F267" s="84" t="str">
        <f ca="1">IF(D267="Income",LOOKUP(E267,Introduction!$A$11:$A$18,Introduction!$C$11:$C$18),IF(D267="Expense",LOOKUP(E267,Introduction!$D$11:$D$30,Introduction!$F$11:$F$30),"_"))</f>
        <v>_</v>
      </c>
      <c r="G267" s="88"/>
      <c r="H267" s="92">
        <f t="shared" si="22"/>
        <v>0</v>
      </c>
      <c r="I267" s="85">
        <f t="shared" si="20"/>
        <v>0</v>
      </c>
      <c r="J267" s="93"/>
      <c r="K267" s="85">
        <f t="shared" si="21"/>
        <v>0</v>
      </c>
      <c r="L267" s="68"/>
      <c r="M267" s="68"/>
      <c r="P267" s="89" t="str">
        <f t="shared" si="23"/>
        <v xml:space="preserve">  1 1900 </v>
      </c>
    </row>
    <row r="268" spans="1:16">
      <c r="A268" s="68"/>
      <c r="B268" s="87"/>
      <c r="C268" s="88"/>
      <c r="D268" s="88"/>
      <c r="E268" s="90"/>
      <c r="F268" s="84" t="str">
        <f ca="1">IF(D268="Income",LOOKUP(E268,Introduction!$A$11:$A$18,Introduction!$C$11:$C$18),IF(D268="Expense",LOOKUP(E268,Introduction!$D$11:$D$30,Introduction!$F$11:$F$30),"_"))</f>
        <v>_</v>
      </c>
      <c r="G268" s="88"/>
      <c r="H268" s="92">
        <f t="shared" si="22"/>
        <v>0</v>
      </c>
      <c r="I268" s="85">
        <f t="shared" si="20"/>
        <v>0</v>
      </c>
      <c r="J268" s="93"/>
      <c r="K268" s="85">
        <f t="shared" si="21"/>
        <v>0</v>
      </c>
      <c r="L268" s="68"/>
      <c r="M268" s="68"/>
      <c r="P268" s="89" t="str">
        <f t="shared" si="23"/>
        <v xml:space="preserve">  1 1900 </v>
      </c>
    </row>
    <row r="269" spans="1:16">
      <c r="A269" s="68"/>
      <c r="B269" s="87"/>
      <c r="C269" s="88"/>
      <c r="D269" s="88"/>
      <c r="E269" s="90"/>
      <c r="F269" s="84" t="str">
        <f ca="1">IF(D269="Income",LOOKUP(E269,Introduction!$A$11:$A$18,Introduction!$C$11:$C$18),IF(D269="Expense",LOOKUP(E269,Introduction!$D$11:$D$30,Introduction!$F$11:$F$30),"_"))</f>
        <v>_</v>
      </c>
      <c r="G269" s="88"/>
      <c r="H269" s="92">
        <f t="shared" si="22"/>
        <v>0</v>
      </c>
      <c r="I269" s="85">
        <f t="shared" si="20"/>
        <v>0</v>
      </c>
      <c r="J269" s="93"/>
      <c r="K269" s="85">
        <f t="shared" si="21"/>
        <v>0</v>
      </c>
      <c r="L269" s="68"/>
      <c r="M269" s="68"/>
      <c r="P269" s="89" t="str">
        <f t="shared" si="23"/>
        <v xml:space="preserve">  1 1900 </v>
      </c>
    </row>
    <row r="270" spans="1:16">
      <c r="A270" s="68"/>
      <c r="B270" s="87"/>
      <c r="C270" s="88"/>
      <c r="D270" s="88"/>
      <c r="E270" s="90"/>
      <c r="F270" s="84" t="str">
        <f ca="1">IF(D270="Income",LOOKUP(E270,Introduction!$A$11:$A$18,Introduction!$C$11:$C$18),IF(D270="Expense",LOOKUP(E270,Introduction!$D$11:$D$30,Introduction!$F$11:$F$30),"_"))</f>
        <v>_</v>
      </c>
      <c r="G270" s="88"/>
      <c r="H270" s="92">
        <f t="shared" si="22"/>
        <v>0</v>
      </c>
      <c r="I270" s="85">
        <f t="shared" si="20"/>
        <v>0</v>
      </c>
      <c r="J270" s="93"/>
      <c r="K270" s="85">
        <f t="shared" si="21"/>
        <v>0</v>
      </c>
      <c r="L270" s="68"/>
      <c r="M270" s="68"/>
      <c r="P270" s="89" t="str">
        <f t="shared" si="23"/>
        <v xml:space="preserve">  1 1900 </v>
      </c>
    </row>
    <row r="271" spans="1:16">
      <c r="A271" s="68"/>
      <c r="B271" s="87"/>
      <c r="C271" s="88"/>
      <c r="D271" s="88"/>
      <c r="E271" s="90"/>
      <c r="F271" s="84" t="str">
        <f ca="1">IF(D271="Income",LOOKUP(E271,Introduction!$A$11:$A$18,Introduction!$C$11:$C$18),IF(D271="Expense",LOOKUP(E271,Introduction!$D$11:$D$30,Introduction!$F$11:$F$30),"_"))</f>
        <v>_</v>
      </c>
      <c r="G271" s="88"/>
      <c r="H271" s="92">
        <f t="shared" si="22"/>
        <v>0</v>
      </c>
      <c r="I271" s="85">
        <f t="shared" si="20"/>
        <v>0</v>
      </c>
      <c r="J271" s="93"/>
      <c r="K271" s="85">
        <f t="shared" si="21"/>
        <v>0</v>
      </c>
      <c r="L271" s="68"/>
      <c r="M271" s="68"/>
      <c r="P271" s="89" t="str">
        <f t="shared" si="23"/>
        <v xml:space="preserve">  1 1900 </v>
      </c>
    </row>
    <row r="272" spans="1:16">
      <c r="A272" s="68"/>
      <c r="B272" s="87"/>
      <c r="C272" s="88"/>
      <c r="D272" s="88"/>
      <c r="E272" s="90"/>
      <c r="F272" s="84" t="str">
        <f ca="1">IF(D272="Income",LOOKUP(E272,Introduction!$A$11:$A$18,Introduction!$C$11:$C$18),IF(D272="Expense",LOOKUP(E272,Introduction!$D$11:$D$30,Introduction!$F$11:$F$30),"_"))</f>
        <v>_</v>
      </c>
      <c r="G272" s="88"/>
      <c r="H272" s="92">
        <f t="shared" si="22"/>
        <v>0</v>
      </c>
      <c r="I272" s="85">
        <f t="shared" si="20"/>
        <v>0</v>
      </c>
      <c r="J272" s="93"/>
      <c r="K272" s="85">
        <f t="shared" si="21"/>
        <v>0</v>
      </c>
      <c r="L272" s="68"/>
      <c r="M272" s="68"/>
      <c r="P272" s="89" t="str">
        <f t="shared" si="23"/>
        <v xml:space="preserve">  1 1900 </v>
      </c>
    </row>
    <row r="273" spans="1:16">
      <c r="A273" s="68"/>
      <c r="B273" s="87"/>
      <c r="C273" s="88"/>
      <c r="D273" s="88"/>
      <c r="E273" s="90"/>
      <c r="F273" s="84" t="str">
        <f ca="1">IF(D273="Income",LOOKUP(E273,Introduction!$A$11:$A$18,Introduction!$C$11:$C$18),IF(D273="Expense",LOOKUP(E273,Introduction!$D$11:$D$30,Introduction!$F$11:$F$30),"_"))</f>
        <v>_</v>
      </c>
      <c r="G273" s="88"/>
      <c r="H273" s="92">
        <f t="shared" si="22"/>
        <v>0</v>
      </c>
      <c r="I273" s="85">
        <f t="shared" ref="I273:I336" si="24">+I272+H273</f>
        <v>0</v>
      </c>
      <c r="J273" s="93"/>
      <c r="K273" s="85">
        <f t="shared" ref="K273:K336" si="25">IF(J273=1,K272+H273,++K272)</f>
        <v>0</v>
      </c>
      <c r="L273" s="68"/>
      <c r="M273" s="68"/>
      <c r="P273" s="89" t="str">
        <f t="shared" si="23"/>
        <v xml:space="preserve">  1 1900 </v>
      </c>
    </row>
    <row r="274" spans="1:16">
      <c r="A274" s="68"/>
      <c r="B274" s="87"/>
      <c r="C274" s="88"/>
      <c r="D274" s="88"/>
      <c r="E274" s="90"/>
      <c r="F274" s="84" t="str">
        <f ca="1">IF(D274="Income",LOOKUP(E274,Introduction!$A$11:$A$18,Introduction!$C$11:$C$18),IF(D274="Expense",LOOKUP(E274,Introduction!$D$11:$D$30,Introduction!$F$11:$F$30),"_"))</f>
        <v>_</v>
      </c>
      <c r="G274" s="88"/>
      <c r="H274" s="92">
        <f t="shared" si="22"/>
        <v>0</v>
      </c>
      <c r="I274" s="85">
        <f t="shared" si="24"/>
        <v>0</v>
      </c>
      <c r="J274" s="93"/>
      <c r="K274" s="85">
        <f t="shared" si="25"/>
        <v>0</v>
      </c>
      <c r="L274" s="68"/>
      <c r="M274" s="68"/>
      <c r="P274" s="89" t="str">
        <f t="shared" si="23"/>
        <v xml:space="preserve">  1 1900 </v>
      </c>
    </row>
    <row r="275" spans="1:16">
      <c r="A275" s="68"/>
      <c r="B275" s="87"/>
      <c r="C275" s="88"/>
      <c r="D275" s="88"/>
      <c r="E275" s="90"/>
      <c r="F275" s="84" t="str">
        <f ca="1">IF(D275="Income",LOOKUP(E275,Introduction!$A$11:$A$18,Introduction!$C$11:$C$18),IF(D275="Expense",LOOKUP(E275,Introduction!$D$11:$D$30,Introduction!$F$11:$F$30),"_"))</f>
        <v>_</v>
      </c>
      <c r="G275" s="88"/>
      <c r="H275" s="92">
        <f t="shared" si="22"/>
        <v>0</v>
      </c>
      <c r="I275" s="85">
        <f t="shared" si="24"/>
        <v>0</v>
      </c>
      <c r="J275" s="93"/>
      <c r="K275" s="85">
        <f t="shared" si="25"/>
        <v>0</v>
      </c>
      <c r="L275" s="68"/>
      <c r="M275" s="68"/>
      <c r="P275" s="89" t="str">
        <f t="shared" si="23"/>
        <v xml:space="preserve">  1 1900 </v>
      </c>
    </row>
    <row r="276" spans="1:16">
      <c r="A276" s="68"/>
      <c r="B276" s="87"/>
      <c r="C276" s="88"/>
      <c r="D276" s="88"/>
      <c r="E276" s="90"/>
      <c r="F276" s="84" t="str">
        <f ca="1">IF(D276="Income",LOOKUP(E276,Introduction!$A$11:$A$18,Introduction!$C$11:$C$18),IF(D276="Expense",LOOKUP(E276,Introduction!$D$11:$D$30,Introduction!$F$11:$F$30),"_"))</f>
        <v>_</v>
      </c>
      <c r="G276" s="88"/>
      <c r="H276" s="92">
        <f t="shared" si="22"/>
        <v>0</v>
      </c>
      <c r="I276" s="85">
        <f t="shared" si="24"/>
        <v>0</v>
      </c>
      <c r="J276" s="93"/>
      <c r="K276" s="85">
        <f t="shared" si="25"/>
        <v>0</v>
      </c>
      <c r="L276" s="68"/>
      <c r="M276" s="68"/>
      <c r="P276" s="89" t="str">
        <f t="shared" si="23"/>
        <v xml:space="preserve">  1 1900 </v>
      </c>
    </row>
    <row r="277" spans="1:16">
      <c r="A277" s="68"/>
      <c r="B277" s="87"/>
      <c r="C277" s="88"/>
      <c r="D277" s="88"/>
      <c r="E277" s="90"/>
      <c r="F277" s="84" t="str">
        <f ca="1">IF(D277="Income",LOOKUP(E277,Introduction!$A$11:$A$18,Introduction!$C$11:$C$18),IF(D277="Expense",LOOKUP(E277,Introduction!$D$11:$D$30,Introduction!$F$11:$F$30),"_"))</f>
        <v>_</v>
      </c>
      <c r="G277" s="88"/>
      <c r="H277" s="92">
        <f t="shared" si="22"/>
        <v>0</v>
      </c>
      <c r="I277" s="85">
        <f t="shared" si="24"/>
        <v>0</v>
      </c>
      <c r="J277" s="93"/>
      <c r="K277" s="85">
        <f t="shared" si="25"/>
        <v>0</v>
      </c>
      <c r="L277" s="68"/>
      <c r="M277" s="68"/>
      <c r="P277" s="89" t="str">
        <f t="shared" si="23"/>
        <v xml:space="preserve">  1 1900 </v>
      </c>
    </row>
    <row r="278" spans="1:16">
      <c r="A278" s="68"/>
      <c r="B278" s="87"/>
      <c r="C278" s="88"/>
      <c r="D278" s="88"/>
      <c r="E278" s="90"/>
      <c r="F278" s="84" t="str">
        <f ca="1">IF(D278="Income",LOOKUP(E278,Introduction!$A$11:$A$18,Introduction!$C$11:$C$18),IF(D278="Expense",LOOKUP(E278,Introduction!$D$11:$D$30,Introduction!$F$11:$F$30),"_"))</f>
        <v>_</v>
      </c>
      <c r="G278" s="88"/>
      <c r="H278" s="92">
        <f t="shared" si="22"/>
        <v>0</v>
      </c>
      <c r="I278" s="85">
        <f t="shared" si="24"/>
        <v>0</v>
      </c>
      <c r="J278" s="93"/>
      <c r="K278" s="85">
        <f t="shared" si="25"/>
        <v>0</v>
      </c>
      <c r="L278" s="68"/>
      <c r="M278" s="68"/>
      <c r="P278" s="89" t="str">
        <f t="shared" si="23"/>
        <v xml:space="preserve">  1 1900 </v>
      </c>
    </row>
    <row r="279" spans="1:16">
      <c r="A279" s="68"/>
      <c r="B279" s="87"/>
      <c r="C279" s="88"/>
      <c r="D279" s="88"/>
      <c r="E279" s="90"/>
      <c r="F279" s="84" t="str">
        <f ca="1">IF(D279="Income",LOOKUP(E279,Introduction!$A$11:$A$18,Introduction!$C$11:$C$18),IF(D279="Expense",LOOKUP(E279,Introduction!$D$11:$D$30,Introduction!$F$11:$F$30),"_"))</f>
        <v>_</v>
      </c>
      <c r="G279" s="88"/>
      <c r="H279" s="92">
        <f t="shared" si="22"/>
        <v>0</v>
      </c>
      <c r="I279" s="85">
        <f t="shared" si="24"/>
        <v>0</v>
      </c>
      <c r="J279" s="93"/>
      <c r="K279" s="85">
        <f t="shared" si="25"/>
        <v>0</v>
      </c>
      <c r="L279" s="68"/>
      <c r="M279" s="68"/>
      <c r="P279" s="89" t="str">
        <f t="shared" si="23"/>
        <v xml:space="preserve">  1 1900 </v>
      </c>
    </row>
    <row r="280" spans="1:16">
      <c r="A280" s="68"/>
      <c r="B280" s="87"/>
      <c r="C280" s="88"/>
      <c r="D280" s="88"/>
      <c r="E280" s="90"/>
      <c r="F280" s="84" t="str">
        <f ca="1">IF(D280="Income",LOOKUP(E280,Introduction!$A$11:$A$18,Introduction!$C$11:$C$18),IF(D280="Expense",LOOKUP(E280,Introduction!$D$11:$D$30,Introduction!$F$11:$F$30),"_"))</f>
        <v>_</v>
      </c>
      <c r="G280" s="88"/>
      <c r="H280" s="92">
        <f t="shared" si="22"/>
        <v>0</v>
      </c>
      <c r="I280" s="85">
        <f t="shared" si="24"/>
        <v>0</v>
      </c>
      <c r="J280" s="93"/>
      <c r="K280" s="85">
        <f t="shared" si="25"/>
        <v>0</v>
      </c>
      <c r="L280" s="68"/>
      <c r="M280" s="68"/>
      <c r="P280" s="89" t="str">
        <f t="shared" si="23"/>
        <v xml:space="preserve">  1 1900 </v>
      </c>
    </row>
    <row r="281" spans="1:16">
      <c r="A281" s="68"/>
      <c r="B281" s="87"/>
      <c r="C281" s="88"/>
      <c r="D281" s="88"/>
      <c r="E281" s="90"/>
      <c r="F281" s="84" t="str">
        <f ca="1">IF(D281="Income",LOOKUP(E281,Introduction!$A$11:$A$18,Introduction!$C$11:$C$18),IF(D281="Expense",LOOKUP(E281,Introduction!$D$11:$D$30,Introduction!$F$11:$F$30),"_"))</f>
        <v>_</v>
      </c>
      <c r="G281" s="88"/>
      <c r="H281" s="92">
        <f t="shared" ref="H281:H346" si="26">+H177</f>
        <v>0</v>
      </c>
      <c r="I281" s="85">
        <f t="shared" si="24"/>
        <v>0</v>
      </c>
      <c r="J281" s="93"/>
      <c r="K281" s="85">
        <f t="shared" si="25"/>
        <v>0</v>
      </c>
      <c r="L281" s="68"/>
      <c r="M281" s="68"/>
      <c r="P281" s="89" t="str">
        <f t="shared" si="23"/>
        <v xml:space="preserve">  1 1900 </v>
      </c>
    </row>
    <row r="282" spans="1:16">
      <c r="A282" s="68"/>
      <c r="B282" s="87"/>
      <c r="C282" s="88"/>
      <c r="D282" s="88"/>
      <c r="E282" s="90"/>
      <c r="F282" s="84" t="str">
        <f ca="1">IF(D282="Income",LOOKUP(E282,Introduction!$A$11:$A$18,Introduction!$C$11:$C$18),IF(D282="Expense",LOOKUP(E282,Introduction!$D$11:$D$30,Introduction!$F$11:$F$30),"_"))</f>
        <v>_</v>
      </c>
      <c r="G282" s="88"/>
      <c r="H282" s="92">
        <f t="shared" si="26"/>
        <v>0</v>
      </c>
      <c r="I282" s="85">
        <f t="shared" si="24"/>
        <v>0</v>
      </c>
      <c r="J282" s="93"/>
      <c r="K282" s="85">
        <f t="shared" si="25"/>
        <v>0</v>
      </c>
      <c r="L282" s="68"/>
      <c r="M282" s="68"/>
      <c r="P282" s="89" t="str">
        <f t="shared" si="23"/>
        <v xml:space="preserve">  1 1900 </v>
      </c>
    </row>
    <row r="283" spans="1:16">
      <c r="A283" s="68"/>
      <c r="B283" s="87"/>
      <c r="C283" s="88"/>
      <c r="D283" s="88"/>
      <c r="E283" s="90"/>
      <c r="F283" s="84" t="str">
        <f ca="1">IF(D283="Income",LOOKUP(E283,Introduction!$A$11:$A$18,Introduction!$C$11:$C$18),IF(D283="Expense",LOOKUP(E283,Introduction!$D$11:$D$30,Introduction!$F$11:$F$30),"_"))</f>
        <v>_</v>
      </c>
      <c r="G283" s="88"/>
      <c r="H283" s="92">
        <f t="shared" si="26"/>
        <v>0</v>
      </c>
      <c r="I283" s="85">
        <f t="shared" si="24"/>
        <v>0</v>
      </c>
      <c r="J283" s="93"/>
      <c r="K283" s="85">
        <f t="shared" si="25"/>
        <v>0</v>
      </c>
      <c r="L283" s="68"/>
      <c r="M283" s="68"/>
      <c r="P283" s="89" t="str">
        <f t="shared" si="23"/>
        <v xml:space="preserve">  1 1900 </v>
      </c>
    </row>
    <row r="284" spans="1:16">
      <c r="A284" s="68"/>
      <c r="B284" s="87"/>
      <c r="C284" s="88"/>
      <c r="D284" s="88"/>
      <c r="E284" s="90"/>
      <c r="F284" s="84" t="str">
        <f ca="1">IF(D284="Income",LOOKUP(E284,Introduction!$A$11:$A$18,Introduction!$C$11:$C$18),IF(D284="Expense",LOOKUP(E284,Introduction!$D$11:$D$30,Introduction!$F$11:$F$30),"_"))</f>
        <v>_</v>
      </c>
      <c r="G284" s="88"/>
      <c r="H284" s="92">
        <f t="shared" si="26"/>
        <v>0</v>
      </c>
      <c r="I284" s="85">
        <f t="shared" si="24"/>
        <v>0</v>
      </c>
      <c r="J284" s="93"/>
      <c r="K284" s="85">
        <f t="shared" si="25"/>
        <v>0</v>
      </c>
      <c r="L284" s="68"/>
      <c r="M284" s="68"/>
      <c r="P284" s="89" t="str">
        <f t="shared" si="23"/>
        <v xml:space="preserve">  1 1900 </v>
      </c>
    </row>
    <row r="285" spans="1:16">
      <c r="A285" s="68"/>
      <c r="B285" s="87"/>
      <c r="C285" s="88"/>
      <c r="D285" s="88"/>
      <c r="E285" s="90"/>
      <c r="F285" s="84" t="str">
        <f ca="1">IF(D285="Income",LOOKUP(E285,Introduction!$A$11:$A$18,Introduction!$C$11:$C$18),IF(D285="Expense",LOOKUP(E285,Introduction!$D$11:$D$30,Introduction!$F$11:$F$30),"_"))</f>
        <v>_</v>
      </c>
      <c r="G285" s="88"/>
      <c r="H285" s="92">
        <f t="shared" si="26"/>
        <v>0</v>
      </c>
      <c r="I285" s="85">
        <f t="shared" si="24"/>
        <v>0</v>
      </c>
      <c r="J285" s="93"/>
      <c r="K285" s="85">
        <f t="shared" si="25"/>
        <v>0</v>
      </c>
      <c r="L285" s="68"/>
      <c r="M285" s="68"/>
      <c r="P285" s="89" t="str">
        <f t="shared" si="23"/>
        <v xml:space="preserve">  1 1900 </v>
      </c>
    </row>
    <row r="286" spans="1:16">
      <c r="A286" s="68"/>
      <c r="B286" s="87"/>
      <c r="C286" s="88"/>
      <c r="D286" s="88"/>
      <c r="E286" s="90"/>
      <c r="F286" s="84" t="str">
        <f ca="1">IF(D286="Income",LOOKUP(E286,Introduction!$A$11:$A$18,Introduction!$C$11:$C$18),IF(D286="Expense",LOOKUP(E286,Introduction!$D$11:$D$30,Introduction!$F$11:$F$30),"_"))</f>
        <v>_</v>
      </c>
      <c r="G286" s="88"/>
      <c r="H286" s="92">
        <f t="shared" si="26"/>
        <v>0</v>
      </c>
      <c r="I286" s="85">
        <f t="shared" si="24"/>
        <v>0</v>
      </c>
      <c r="J286" s="93"/>
      <c r="K286" s="85">
        <f t="shared" si="25"/>
        <v>0</v>
      </c>
      <c r="L286" s="68"/>
      <c r="M286" s="68"/>
      <c r="P286" s="89" t="str">
        <f t="shared" si="23"/>
        <v xml:space="preserve">  1 1900 </v>
      </c>
    </row>
    <row r="287" spans="1:16">
      <c r="A287" s="68"/>
      <c r="B287" s="87"/>
      <c r="C287" s="88"/>
      <c r="D287" s="88"/>
      <c r="E287" s="90"/>
      <c r="F287" s="84" t="str">
        <f ca="1">IF(D287="Income",LOOKUP(E287,Introduction!$A$11:$A$18,Introduction!$C$11:$C$18),IF(D287="Expense",LOOKUP(E287,Introduction!$D$11:$D$30,Introduction!$F$11:$F$30),"_"))</f>
        <v>_</v>
      </c>
      <c r="G287" s="88"/>
      <c r="H287" s="92">
        <f t="shared" si="26"/>
        <v>0</v>
      </c>
      <c r="I287" s="85">
        <f t="shared" si="24"/>
        <v>0</v>
      </c>
      <c r="J287" s="93"/>
      <c r="K287" s="85">
        <f t="shared" si="25"/>
        <v>0</v>
      </c>
      <c r="L287" s="68"/>
      <c r="M287" s="68"/>
      <c r="P287" s="89" t="str">
        <f t="shared" si="23"/>
        <v xml:space="preserve">  1 1900 </v>
      </c>
    </row>
    <row r="288" spans="1:16">
      <c r="A288" s="68"/>
      <c r="B288" s="87"/>
      <c r="C288" s="88"/>
      <c r="D288" s="88"/>
      <c r="E288" s="90"/>
      <c r="F288" s="84" t="str">
        <f ca="1">IF(D288="Income",LOOKUP(E288,Introduction!$A$11:$A$18,Introduction!$C$11:$C$18),IF(D288="Expense",LOOKUP(E288,Introduction!$D$11:$D$30,Introduction!$F$11:$F$30),"_"))</f>
        <v>_</v>
      </c>
      <c r="G288" s="88"/>
      <c r="H288" s="92">
        <f t="shared" si="26"/>
        <v>0</v>
      </c>
      <c r="I288" s="85">
        <f t="shared" si="24"/>
        <v>0</v>
      </c>
      <c r="J288" s="93"/>
      <c r="K288" s="85">
        <f t="shared" si="25"/>
        <v>0</v>
      </c>
      <c r="L288" s="68"/>
      <c r="M288" s="68"/>
      <c r="P288" s="89" t="str">
        <f t="shared" si="23"/>
        <v xml:space="preserve">  1 1900 </v>
      </c>
    </row>
    <row r="289" spans="1:16">
      <c r="A289" s="68"/>
      <c r="B289" s="87"/>
      <c r="C289" s="88"/>
      <c r="D289" s="88"/>
      <c r="E289" s="90"/>
      <c r="F289" s="84" t="str">
        <f ca="1">IF(D289="Income",LOOKUP(E289,Introduction!$A$11:$A$18,Introduction!$C$11:$C$18),IF(D289="Expense",LOOKUP(E289,Introduction!$D$11:$D$30,Introduction!$F$11:$F$30),"_"))</f>
        <v>_</v>
      </c>
      <c r="G289" s="88"/>
      <c r="H289" s="92">
        <f t="shared" si="26"/>
        <v>0</v>
      </c>
      <c r="I289" s="85">
        <f t="shared" si="24"/>
        <v>0</v>
      </c>
      <c r="J289" s="93"/>
      <c r="K289" s="85">
        <f t="shared" si="25"/>
        <v>0</v>
      </c>
      <c r="L289" s="68"/>
      <c r="M289" s="68"/>
      <c r="P289" s="89" t="str">
        <f t="shared" si="23"/>
        <v xml:space="preserve">  1 1900 </v>
      </c>
    </row>
    <row r="290" spans="1:16">
      <c r="A290" s="68"/>
      <c r="B290" s="87"/>
      <c r="C290" s="88"/>
      <c r="D290" s="88"/>
      <c r="E290" s="90"/>
      <c r="F290" s="84" t="str">
        <f ca="1">IF(D290="Income",LOOKUP(E290,Introduction!$A$11:$A$18,Introduction!$C$11:$C$18),IF(D290="Expense",LOOKUP(E290,Introduction!$D$11:$D$30,Introduction!$F$11:$F$30),"_"))</f>
        <v>_</v>
      </c>
      <c r="G290" s="88"/>
      <c r="H290" s="92">
        <f t="shared" si="26"/>
        <v>0</v>
      </c>
      <c r="I290" s="85">
        <f t="shared" si="24"/>
        <v>0</v>
      </c>
      <c r="J290" s="93"/>
      <c r="K290" s="85">
        <f t="shared" si="25"/>
        <v>0</v>
      </c>
      <c r="L290" s="68"/>
      <c r="M290" s="68"/>
      <c r="P290" s="89" t="str">
        <f t="shared" si="23"/>
        <v xml:space="preserve">  1 1900 </v>
      </c>
    </row>
    <row r="291" spans="1:16">
      <c r="A291" s="68"/>
      <c r="B291" s="87"/>
      <c r="C291" s="88"/>
      <c r="D291" s="88"/>
      <c r="E291" s="90"/>
      <c r="F291" s="84" t="str">
        <f ca="1">IF(D291="Income",LOOKUP(E291,Introduction!$A$11:$A$18,Introduction!$C$11:$C$18),IF(D291="Expense",LOOKUP(E291,Introduction!$D$11:$D$30,Introduction!$F$11:$F$30),"_"))</f>
        <v>_</v>
      </c>
      <c r="G291" s="88"/>
      <c r="H291" s="92">
        <f t="shared" si="26"/>
        <v>0</v>
      </c>
      <c r="I291" s="85">
        <f t="shared" si="24"/>
        <v>0</v>
      </c>
      <c r="J291" s="93"/>
      <c r="K291" s="85">
        <f t="shared" si="25"/>
        <v>0</v>
      </c>
      <c r="L291" s="68"/>
      <c r="M291" s="68"/>
      <c r="P291" s="89" t="str">
        <f t="shared" si="23"/>
        <v xml:space="preserve">  1 1900 </v>
      </c>
    </row>
    <row r="292" spans="1:16">
      <c r="A292" s="68"/>
      <c r="B292" s="87"/>
      <c r="C292" s="88"/>
      <c r="D292" s="88"/>
      <c r="E292" s="90"/>
      <c r="F292" s="84" t="str">
        <f ca="1">IF(D292="Income",LOOKUP(E292,Introduction!$A$11:$A$18,Introduction!$C$11:$C$18),IF(D292="Expense",LOOKUP(E292,Introduction!$D$11:$D$30,Introduction!$F$11:$F$30),"_"))</f>
        <v>_</v>
      </c>
      <c r="G292" s="88"/>
      <c r="H292" s="92">
        <f t="shared" si="26"/>
        <v>0</v>
      </c>
      <c r="I292" s="85">
        <f t="shared" si="24"/>
        <v>0</v>
      </c>
      <c r="J292" s="93"/>
      <c r="K292" s="85">
        <f t="shared" si="25"/>
        <v>0</v>
      </c>
      <c r="L292" s="68"/>
      <c r="M292" s="68"/>
      <c r="P292" s="89" t="str">
        <f t="shared" si="23"/>
        <v xml:space="preserve">  1 1900 </v>
      </c>
    </row>
    <row r="293" spans="1:16">
      <c r="A293" s="68"/>
      <c r="B293" s="87"/>
      <c r="C293" s="88"/>
      <c r="D293" s="88"/>
      <c r="E293" s="90"/>
      <c r="F293" s="84" t="str">
        <f ca="1">IF(D293="Income",LOOKUP(E293,Introduction!$A$11:$A$18,Introduction!$C$11:$C$18),IF(D293="Expense",LOOKUP(E293,Introduction!$D$11:$D$30,Introduction!$F$11:$F$30),"_"))</f>
        <v>_</v>
      </c>
      <c r="G293" s="88"/>
      <c r="H293" s="92">
        <f t="shared" si="26"/>
        <v>0</v>
      </c>
      <c r="I293" s="85">
        <f t="shared" si="24"/>
        <v>0</v>
      </c>
      <c r="J293" s="93"/>
      <c r="K293" s="85">
        <f t="shared" si="25"/>
        <v>0</v>
      </c>
      <c r="L293" s="68"/>
      <c r="M293" s="68"/>
      <c r="P293" s="89" t="str">
        <f t="shared" si="23"/>
        <v xml:space="preserve">  1 1900 </v>
      </c>
    </row>
    <row r="294" spans="1:16">
      <c r="A294" s="68"/>
      <c r="B294" s="87"/>
      <c r="C294" s="88"/>
      <c r="D294" s="88"/>
      <c r="E294" s="90"/>
      <c r="F294" s="84" t="str">
        <f ca="1">IF(D294="Income",LOOKUP(E294,Introduction!$A$11:$A$18,Introduction!$C$11:$C$18),IF(D294="Expense",LOOKUP(E294,Introduction!$D$11:$D$30,Introduction!$F$11:$F$30),"_"))</f>
        <v>_</v>
      </c>
      <c r="G294" s="88"/>
      <c r="H294" s="92">
        <f t="shared" si="26"/>
        <v>0</v>
      </c>
      <c r="I294" s="85">
        <f t="shared" si="24"/>
        <v>0</v>
      </c>
      <c r="J294" s="93"/>
      <c r="K294" s="85">
        <f t="shared" si="25"/>
        <v>0</v>
      </c>
      <c r="L294" s="68"/>
      <c r="M294" s="68"/>
      <c r="P294" s="89" t="str">
        <f t="shared" si="23"/>
        <v xml:space="preserve">  1 1900 </v>
      </c>
    </row>
    <row r="295" spans="1:16">
      <c r="A295" s="68"/>
      <c r="B295" s="87"/>
      <c r="C295" s="88"/>
      <c r="D295" s="88"/>
      <c r="E295" s="90"/>
      <c r="F295" s="84" t="str">
        <f ca="1">IF(D295="Income",LOOKUP(E295,Introduction!$A$11:$A$18,Introduction!$C$11:$C$18),IF(D295="Expense",LOOKUP(E295,Introduction!$D$11:$D$30,Introduction!$F$11:$F$30),"_"))</f>
        <v>_</v>
      </c>
      <c r="G295" s="88"/>
      <c r="H295" s="92">
        <f t="shared" si="26"/>
        <v>0</v>
      </c>
      <c r="I295" s="85">
        <f t="shared" si="24"/>
        <v>0</v>
      </c>
      <c r="J295" s="93"/>
      <c r="K295" s="85">
        <f t="shared" si="25"/>
        <v>0</v>
      </c>
      <c r="L295" s="68"/>
      <c r="M295" s="68"/>
      <c r="P295" s="89" t="str">
        <f t="shared" si="23"/>
        <v xml:space="preserve">  1 1900 </v>
      </c>
    </row>
    <row r="296" spans="1:16">
      <c r="A296" s="68"/>
      <c r="B296" s="87"/>
      <c r="C296" s="88"/>
      <c r="D296" s="88"/>
      <c r="E296" s="90"/>
      <c r="F296" s="84" t="str">
        <f ca="1">IF(D296="Income",LOOKUP(E296,Introduction!$A$11:$A$18,Introduction!$C$11:$C$18),IF(D296="Expense",LOOKUP(E296,Introduction!$D$11:$D$30,Introduction!$F$11:$F$30),"_"))</f>
        <v>_</v>
      </c>
      <c r="G296" s="88"/>
      <c r="H296" s="92">
        <f t="shared" si="26"/>
        <v>0</v>
      </c>
      <c r="I296" s="85">
        <f t="shared" si="24"/>
        <v>0</v>
      </c>
      <c r="J296" s="93"/>
      <c r="K296" s="85">
        <f t="shared" si="25"/>
        <v>0</v>
      </c>
      <c r="L296" s="68"/>
      <c r="M296" s="68"/>
      <c r="P296" s="89" t="str">
        <f t="shared" si="23"/>
        <v xml:space="preserve">  1 1900 </v>
      </c>
    </row>
    <row r="297" spans="1:16">
      <c r="A297" s="68"/>
      <c r="B297" s="87"/>
      <c r="C297" s="88"/>
      <c r="D297" s="88"/>
      <c r="E297" s="90"/>
      <c r="F297" s="84" t="str">
        <f ca="1">IF(D297="Income",LOOKUP(E297,Introduction!$A$11:$A$18,Introduction!$C$11:$C$18),IF(D297="Expense",LOOKUP(E297,Introduction!$D$11:$D$30,Introduction!$F$11:$F$30),"_"))</f>
        <v>_</v>
      </c>
      <c r="G297" s="88"/>
      <c r="H297" s="92">
        <f t="shared" si="26"/>
        <v>0</v>
      </c>
      <c r="I297" s="85">
        <f t="shared" si="24"/>
        <v>0</v>
      </c>
      <c r="J297" s="93"/>
      <c r="K297" s="85">
        <f t="shared" si="25"/>
        <v>0</v>
      </c>
      <c r="L297" s="68"/>
      <c r="M297" s="68"/>
      <c r="P297" s="89" t="str">
        <f t="shared" si="23"/>
        <v xml:space="preserve">  1 1900 </v>
      </c>
    </row>
    <row r="298" spans="1:16">
      <c r="A298" s="68"/>
      <c r="B298" s="87"/>
      <c r="C298" s="88"/>
      <c r="D298" s="88"/>
      <c r="E298" s="90"/>
      <c r="F298" s="84" t="str">
        <f ca="1">IF(D298="Income",LOOKUP(E298,Introduction!$A$11:$A$18,Introduction!$C$11:$C$18),IF(D298="Expense",LOOKUP(E298,Introduction!$D$11:$D$30,Introduction!$F$11:$F$30),"_"))</f>
        <v>_</v>
      </c>
      <c r="G298" s="88"/>
      <c r="H298" s="92">
        <f t="shared" si="26"/>
        <v>0</v>
      </c>
      <c r="I298" s="85">
        <f t="shared" si="24"/>
        <v>0</v>
      </c>
      <c r="J298" s="93"/>
      <c r="K298" s="85">
        <f t="shared" si="25"/>
        <v>0</v>
      </c>
      <c r="L298" s="68"/>
      <c r="M298" s="68"/>
      <c r="P298" s="89" t="str">
        <f t="shared" si="23"/>
        <v xml:space="preserve">  1 1900 </v>
      </c>
    </row>
    <row r="299" spans="1:16">
      <c r="A299" s="68"/>
      <c r="B299" s="87"/>
      <c r="C299" s="88"/>
      <c r="D299" s="88"/>
      <c r="E299" s="90"/>
      <c r="F299" s="84" t="str">
        <f ca="1">IF(D299="Income",LOOKUP(E299,Introduction!$A$11:$A$18,Introduction!$C$11:$C$18),IF(D299="Expense",LOOKUP(E299,Introduction!$D$11:$D$30,Introduction!$F$11:$F$30),"_"))</f>
        <v>_</v>
      </c>
      <c r="G299" s="88"/>
      <c r="H299" s="92">
        <f t="shared" si="26"/>
        <v>0</v>
      </c>
      <c r="I299" s="85">
        <f t="shared" si="24"/>
        <v>0</v>
      </c>
      <c r="J299" s="93"/>
      <c r="K299" s="85">
        <f t="shared" si="25"/>
        <v>0</v>
      </c>
      <c r="L299" s="68"/>
      <c r="M299" s="68"/>
      <c r="P299" s="89" t="str">
        <f t="shared" si="23"/>
        <v xml:space="preserve">  1 1900 </v>
      </c>
    </row>
    <row r="300" spans="1:16">
      <c r="A300" s="68"/>
      <c r="B300" s="87"/>
      <c r="C300" s="88"/>
      <c r="D300" s="88"/>
      <c r="E300" s="90"/>
      <c r="F300" s="84" t="str">
        <f ca="1">IF(D300="Income",LOOKUP(E300,Introduction!$A$11:$A$18,Introduction!$C$11:$C$18),IF(D300="Expense",LOOKUP(E300,Introduction!$D$11:$D$30,Introduction!$F$11:$F$30),"_"))</f>
        <v>_</v>
      </c>
      <c r="G300" s="88"/>
      <c r="H300" s="92">
        <f t="shared" si="26"/>
        <v>0</v>
      </c>
      <c r="I300" s="85">
        <f t="shared" si="24"/>
        <v>0</v>
      </c>
      <c r="J300" s="93"/>
      <c r="K300" s="85">
        <f t="shared" si="25"/>
        <v>0</v>
      </c>
      <c r="L300" s="68"/>
      <c r="M300" s="68"/>
      <c r="P300" s="89" t="str">
        <f t="shared" si="23"/>
        <v xml:space="preserve">  1 1900 </v>
      </c>
    </row>
    <row r="301" spans="1:16">
      <c r="A301" s="68"/>
      <c r="B301" s="87"/>
      <c r="C301" s="88"/>
      <c r="D301" s="88"/>
      <c r="E301" s="90"/>
      <c r="F301" s="84" t="str">
        <f ca="1">IF(D301="Income",LOOKUP(E301,Introduction!$A$11:$A$18,Introduction!$C$11:$C$18),IF(D301="Expense",LOOKUP(E301,Introduction!$D$11:$D$30,Introduction!$F$11:$F$30),"_"))</f>
        <v>_</v>
      </c>
      <c r="G301" s="88"/>
      <c r="H301" s="92">
        <f t="shared" si="26"/>
        <v>0</v>
      </c>
      <c r="I301" s="85">
        <f t="shared" si="24"/>
        <v>0</v>
      </c>
      <c r="J301" s="93"/>
      <c r="K301" s="85">
        <f t="shared" si="25"/>
        <v>0</v>
      </c>
      <c r="L301" s="68"/>
      <c r="M301" s="68"/>
      <c r="P301" s="89" t="str">
        <f t="shared" si="23"/>
        <v xml:space="preserve">  1 1900 </v>
      </c>
    </row>
    <row r="302" spans="1:16">
      <c r="A302" s="68"/>
      <c r="B302" s="87"/>
      <c r="C302" s="88"/>
      <c r="D302" s="88"/>
      <c r="E302" s="90"/>
      <c r="F302" s="84" t="str">
        <f ca="1">IF(D302="Income",LOOKUP(E302,Introduction!$A$11:$A$18,Introduction!$C$11:$C$18),IF(D302="Expense",LOOKUP(E302,Introduction!$D$11:$D$30,Introduction!$F$11:$F$30),"_"))</f>
        <v>_</v>
      </c>
      <c r="G302" s="88"/>
      <c r="H302" s="92">
        <f t="shared" si="26"/>
        <v>0</v>
      </c>
      <c r="I302" s="85">
        <f t="shared" si="24"/>
        <v>0</v>
      </c>
      <c r="J302" s="93"/>
      <c r="K302" s="85">
        <f t="shared" si="25"/>
        <v>0</v>
      </c>
      <c r="L302" s="68"/>
      <c r="M302" s="68"/>
      <c r="P302" s="89" t="str">
        <f t="shared" si="23"/>
        <v xml:space="preserve">  1 1900 </v>
      </c>
    </row>
    <row r="303" spans="1:16">
      <c r="A303" s="68"/>
      <c r="B303" s="87"/>
      <c r="C303" s="88"/>
      <c r="D303" s="88"/>
      <c r="E303" s="90"/>
      <c r="F303" s="84" t="str">
        <f ca="1">IF(D303="Income",LOOKUP(E303,Introduction!$A$11:$A$18,Introduction!$C$11:$C$18),IF(D303="Expense",LOOKUP(E303,Introduction!$D$11:$D$30,Introduction!$F$11:$F$30),"_"))</f>
        <v>_</v>
      </c>
      <c r="G303" s="88"/>
      <c r="H303" s="92">
        <f t="shared" si="26"/>
        <v>0</v>
      </c>
      <c r="I303" s="85">
        <f t="shared" si="24"/>
        <v>0</v>
      </c>
      <c r="J303" s="93"/>
      <c r="K303" s="85">
        <f t="shared" si="25"/>
        <v>0</v>
      </c>
      <c r="L303" s="68"/>
      <c r="M303" s="68"/>
      <c r="P303" s="89" t="str">
        <f t="shared" si="23"/>
        <v xml:space="preserve">  1 1900 </v>
      </c>
    </row>
    <row r="304" spans="1:16">
      <c r="A304" s="68"/>
      <c r="B304" s="87"/>
      <c r="C304" s="88"/>
      <c r="D304" s="88"/>
      <c r="E304" s="90"/>
      <c r="F304" s="84" t="str">
        <f ca="1">IF(D304="Income",LOOKUP(E304,Introduction!$A$11:$A$18,Introduction!$C$11:$C$18),IF(D304="Expense",LOOKUP(E304,Introduction!$D$11:$D$30,Introduction!$F$11:$F$30),"_"))</f>
        <v>_</v>
      </c>
      <c r="G304" s="88"/>
      <c r="H304" s="92">
        <f t="shared" si="26"/>
        <v>0</v>
      </c>
      <c r="I304" s="85">
        <f t="shared" si="24"/>
        <v>0</v>
      </c>
      <c r="J304" s="93"/>
      <c r="K304" s="85">
        <f t="shared" si="25"/>
        <v>0</v>
      </c>
      <c r="L304" s="68"/>
      <c r="M304" s="68"/>
      <c r="P304" s="89" t="str">
        <f t="shared" si="23"/>
        <v xml:space="preserve">  1 1900 </v>
      </c>
    </row>
    <row r="305" spans="1:16">
      <c r="A305" s="68"/>
      <c r="B305" s="87"/>
      <c r="C305" s="88"/>
      <c r="D305" s="88"/>
      <c r="E305" s="90"/>
      <c r="F305" s="84" t="str">
        <f ca="1">IF(D305="Income",LOOKUP(E305,Introduction!$A$11:$A$18,Introduction!$C$11:$C$18),IF(D305="Expense",LOOKUP(E305,Introduction!$D$11:$D$30,Introduction!$F$11:$F$30),"_"))</f>
        <v>_</v>
      </c>
      <c r="G305" s="88"/>
      <c r="H305" s="92">
        <f t="shared" si="26"/>
        <v>0</v>
      </c>
      <c r="I305" s="85">
        <f t="shared" si="24"/>
        <v>0</v>
      </c>
      <c r="J305" s="93"/>
      <c r="K305" s="85">
        <f t="shared" si="25"/>
        <v>0</v>
      </c>
      <c r="L305" s="68"/>
      <c r="M305" s="68"/>
      <c r="P305" s="89" t="str">
        <f t="shared" si="23"/>
        <v xml:space="preserve">  1 1900 </v>
      </c>
    </row>
    <row r="306" spans="1:16">
      <c r="A306" s="68"/>
      <c r="B306" s="87"/>
      <c r="C306" s="88"/>
      <c r="D306" s="88"/>
      <c r="E306" s="90"/>
      <c r="F306" s="84" t="str">
        <f ca="1">IF(D306="Income",LOOKUP(E306,Introduction!$A$11:$A$18,Introduction!$C$11:$C$18),IF(D306="Expense",LOOKUP(E306,Introduction!$D$11:$D$30,Introduction!$F$11:$F$30),"_"))</f>
        <v>_</v>
      </c>
      <c r="G306" s="88"/>
      <c r="H306" s="92">
        <f t="shared" si="26"/>
        <v>0</v>
      </c>
      <c r="I306" s="85">
        <f t="shared" si="24"/>
        <v>0</v>
      </c>
      <c r="J306" s="93"/>
      <c r="K306" s="85">
        <f t="shared" si="25"/>
        <v>0</v>
      </c>
      <c r="L306" s="68"/>
      <c r="M306" s="68"/>
      <c r="P306" s="89" t="str">
        <f t="shared" si="23"/>
        <v xml:space="preserve">  1 1900 </v>
      </c>
    </row>
    <row r="307" spans="1:16">
      <c r="A307" s="68"/>
      <c r="B307" s="87"/>
      <c r="C307" s="88"/>
      <c r="D307" s="88"/>
      <c r="E307" s="90"/>
      <c r="F307" s="84" t="str">
        <f ca="1">IF(D307="Income",LOOKUP(E307,Introduction!$A$11:$A$18,Introduction!$C$11:$C$18),IF(D307="Expense",LOOKUP(E307,Introduction!$D$11:$D$30,Introduction!$F$11:$F$30),"_"))</f>
        <v>_</v>
      </c>
      <c r="G307" s="88"/>
      <c r="H307" s="92">
        <f t="shared" si="26"/>
        <v>0</v>
      </c>
      <c r="I307" s="85">
        <f t="shared" si="24"/>
        <v>0</v>
      </c>
      <c r="J307" s="93"/>
      <c r="K307" s="85">
        <f t="shared" si="25"/>
        <v>0</v>
      </c>
      <c r="L307" s="68"/>
      <c r="M307" s="68"/>
      <c r="P307" s="89" t="str">
        <f t="shared" si="23"/>
        <v xml:space="preserve">  1 1900 </v>
      </c>
    </row>
    <row r="308" spans="1:16">
      <c r="A308" s="68"/>
      <c r="B308" s="87"/>
      <c r="C308" s="88"/>
      <c r="D308" s="88"/>
      <c r="E308" s="90"/>
      <c r="F308" s="84" t="str">
        <f ca="1">IF(D308="Income",LOOKUP(E308,Introduction!$A$11:$A$18,Introduction!$C$11:$C$18),IF(D308="Expense",LOOKUP(E308,Introduction!$D$11:$D$30,Introduction!$F$11:$F$30),"_"))</f>
        <v>_</v>
      </c>
      <c r="G308" s="88"/>
      <c r="H308" s="92">
        <f t="shared" si="26"/>
        <v>0</v>
      </c>
      <c r="I308" s="85">
        <f t="shared" si="24"/>
        <v>0</v>
      </c>
      <c r="J308" s="93"/>
      <c r="K308" s="85">
        <f t="shared" si="25"/>
        <v>0</v>
      </c>
      <c r="L308" s="68"/>
      <c r="M308" s="68"/>
      <c r="P308" s="89" t="str">
        <f t="shared" si="23"/>
        <v xml:space="preserve">  1 1900 </v>
      </c>
    </row>
    <row r="309" spans="1:16">
      <c r="A309" s="68"/>
      <c r="B309" s="87"/>
      <c r="C309" s="88"/>
      <c r="D309" s="88"/>
      <c r="E309" s="90"/>
      <c r="F309" s="84" t="str">
        <f ca="1">IF(D309="Income",LOOKUP(E309,Introduction!$A$11:$A$18,Introduction!$C$11:$C$18),IF(D309="Expense",LOOKUP(E309,Introduction!$D$11:$D$30,Introduction!$F$11:$F$30),"_"))</f>
        <v>_</v>
      </c>
      <c r="G309" s="88"/>
      <c r="H309" s="92">
        <f t="shared" si="26"/>
        <v>0</v>
      </c>
      <c r="I309" s="85">
        <f t="shared" si="24"/>
        <v>0</v>
      </c>
      <c r="J309" s="93"/>
      <c r="K309" s="85">
        <f t="shared" si="25"/>
        <v>0</v>
      </c>
      <c r="L309" s="68"/>
      <c r="M309" s="68"/>
      <c r="P309" s="89" t="str">
        <f t="shared" si="23"/>
        <v xml:space="preserve">  1 1900 </v>
      </c>
    </row>
    <row r="310" spans="1:16">
      <c r="A310" s="68"/>
      <c r="B310" s="87"/>
      <c r="C310" s="88"/>
      <c r="D310" s="88"/>
      <c r="E310" s="90"/>
      <c r="F310" s="84" t="str">
        <f ca="1">IF(D310="Income",LOOKUP(E310,Introduction!$A$11:$A$18,Introduction!$C$11:$C$18),IF(D310="Expense",LOOKUP(E310,Introduction!$D$11:$D$30,Introduction!$F$11:$F$30),"_"))</f>
        <v>_</v>
      </c>
      <c r="G310" s="88"/>
      <c r="H310" s="92">
        <f t="shared" si="26"/>
        <v>0</v>
      </c>
      <c r="I310" s="85">
        <f t="shared" si="24"/>
        <v>0</v>
      </c>
      <c r="J310" s="93"/>
      <c r="K310" s="85">
        <f t="shared" si="25"/>
        <v>0</v>
      </c>
      <c r="L310" s="68"/>
      <c r="M310" s="68"/>
      <c r="P310" s="89" t="str">
        <f t="shared" si="23"/>
        <v xml:space="preserve">  1 1900 </v>
      </c>
    </row>
    <row r="311" spans="1:16">
      <c r="A311" s="68"/>
      <c r="B311" s="87"/>
      <c r="C311" s="88"/>
      <c r="D311" s="88"/>
      <c r="E311" s="90"/>
      <c r="F311" s="84" t="str">
        <f ca="1">IF(D311="Income",LOOKUP(E311,Introduction!$A$11:$A$18,Introduction!$C$11:$C$18),IF(D311="Expense",LOOKUP(E311,Introduction!$D$11:$D$30,Introduction!$F$11:$F$30),"_"))</f>
        <v>_</v>
      </c>
      <c r="G311" s="88"/>
      <c r="H311" s="92">
        <f t="shared" si="26"/>
        <v>0</v>
      </c>
      <c r="I311" s="85">
        <f t="shared" si="24"/>
        <v>0</v>
      </c>
      <c r="J311" s="93"/>
      <c r="K311" s="85">
        <f t="shared" si="25"/>
        <v>0</v>
      </c>
      <c r="L311" s="68"/>
      <c r="M311" s="68"/>
      <c r="P311" s="89" t="str">
        <f t="shared" si="23"/>
        <v xml:space="preserve">  1 1900 </v>
      </c>
    </row>
    <row r="312" spans="1:16">
      <c r="A312" s="68"/>
      <c r="B312" s="87"/>
      <c r="C312" s="88"/>
      <c r="D312" s="88"/>
      <c r="E312" s="90"/>
      <c r="F312" s="84" t="str">
        <f ca="1">IF(D312="Income",LOOKUP(E312,Introduction!$A$11:$A$18,Introduction!$C$11:$C$18),IF(D312="Expense",LOOKUP(E312,Introduction!$D$11:$D$30,Introduction!$F$11:$F$30),"_"))</f>
        <v>_</v>
      </c>
      <c r="G312" s="88"/>
      <c r="H312" s="92">
        <f t="shared" si="26"/>
        <v>0</v>
      </c>
      <c r="I312" s="85">
        <f t="shared" si="24"/>
        <v>0</v>
      </c>
      <c r="J312" s="93"/>
      <c r="K312" s="85">
        <f t="shared" si="25"/>
        <v>0</v>
      </c>
      <c r="L312" s="68"/>
      <c r="M312" s="68"/>
      <c r="P312" s="89" t="str">
        <f t="shared" si="23"/>
        <v xml:space="preserve">  1 1900 </v>
      </c>
    </row>
    <row r="313" spans="1:16">
      <c r="A313" s="68"/>
      <c r="B313" s="87"/>
      <c r="C313" s="88"/>
      <c r="D313" s="88"/>
      <c r="E313" s="90"/>
      <c r="F313" s="84" t="str">
        <f ca="1">IF(D313="Income",LOOKUP(E313,Introduction!$A$11:$A$18,Introduction!$C$11:$C$18),IF(D313="Expense",LOOKUP(E313,Introduction!$D$11:$D$30,Introduction!$F$11:$F$30),"_"))</f>
        <v>_</v>
      </c>
      <c r="G313" s="88"/>
      <c r="H313" s="92">
        <f t="shared" si="26"/>
        <v>0</v>
      </c>
      <c r="I313" s="85">
        <f t="shared" si="24"/>
        <v>0</v>
      </c>
      <c r="J313" s="93"/>
      <c r="K313" s="85">
        <f t="shared" si="25"/>
        <v>0</v>
      </c>
      <c r="L313" s="68"/>
      <c r="M313" s="68"/>
      <c r="P313" s="89" t="str">
        <f t="shared" si="23"/>
        <v xml:space="preserve">  1 1900 </v>
      </c>
    </row>
    <row r="314" spans="1:16">
      <c r="A314" s="68"/>
      <c r="B314" s="87"/>
      <c r="C314" s="88"/>
      <c r="D314" s="88"/>
      <c r="E314" s="90"/>
      <c r="F314" s="84" t="str">
        <f ca="1">IF(D314="Income",LOOKUP(E314,Introduction!$A$11:$A$18,Introduction!$C$11:$C$18),IF(D314="Expense",LOOKUP(E314,Introduction!$D$11:$D$30,Introduction!$F$11:$F$30),"_"))</f>
        <v>_</v>
      </c>
      <c r="G314" s="88"/>
      <c r="H314" s="92">
        <f t="shared" si="26"/>
        <v>0</v>
      </c>
      <c r="I314" s="85">
        <f t="shared" si="24"/>
        <v>0</v>
      </c>
      <c r="J314" s="93"/>
      <c r="K314" s="85">
        <f t="shared" si="25"/>
        <v>0</v>
      </c>
      <c r="L314" s="68"/>
      <c r="M314" s="68"/>
      <c r="P314" s="89" t="str">
        <f t="shared" si="23"/>
        <v xml:space="preserve">  1 1900 </v>
      </c>
    </row>
    <row r="315" spans="1:16">
      <c r="A315" s="68"/>
      <c r="B315" s="87"/>
      <c r="C315" s="88"/>
      <c r="D315" s="88"/>
      <c r="E315" s="90"/>
      <c r="F315" s="84" t="str">
        <f ca="1">IF(D315="Income",LOOKUP(E315,Introduction!$A$11:$A$18,Introduction!$C$11:$C$18),IF(D315="Expense",LOOKUP(E315,Introduction!$D$11:$D$30,Introduction!$F$11:$F$30),"_"))</f>
        <v>_</v>
      </c>
      <c r="G315" s="88"/>
      <c r="H315" s="92">
        <f t="shared" si="26"/>
        <v>0</v>
      </c>
      <c r="I315" s="85">
        <f t="shared" si="24"/>
        <v>0</v>
      </c>
      <c r="J315" s="93"/>
      <c r="K315" s="85">
        <f t="shared" si="25"/>
        <v>0</v>
      </c>
      <c r="L315" s="68"/>
      <c r="M315" s="68"/>
      <c r="P315" s="89" t="str">
        <f t="shared" si="23"/>
        <v xml:space="preserve">  1 1900 </v>
      </c>
    </row>
    <row r="316" spans="1:16">
      <c r="A316" s="68"/>
      <c r="B316" s="87"/>
      <c r="C316" s="88"/>
      <c r="D316" s="88"/>
      <c r="E316" s="90"/>
      <c r="F316" s="84" t="str">
        <f ca="1">IF(D316="Income",LOOKUP(E316,Introduction!$A$11:$A$18,Introduction!$C$11:$C$18),IF(D316="Expense",LOOKUP(E316,Introduction!$D$11:$D$30,Introduction!$F$11:$F$30),"_"))</f>
        <v>_</v>
      </c>
      <c r="G316" s="88"/>
      <c r="H316" s="92">
        <f t="shared" si="26"/>
        <v>0</v>
      </c>
      <c r="I316" s="85">
        <f t="shared" si="24"/>
        <v>0</v>
      </c>
      <c r="J316" s="93"/>
      <c r="K316" s="85">
        <f t="shared" si="25"/>
        <v>0</v>
      </c>
      <c r="L316" s="68"/>
      <c r="M316" s="68"/>
      <c r="P316" s="89" t="str">
        <f t="shared" si="23"/>
        <v xml:space="preserve">  1 1900 </v>
      </c>
    </row>
    <row r="317" spans="1:16">
      <c r="A317" s="68"/>
      <c r="B317" s="87"/>
      <c r="C317" s="88"/>
      <c r="D317" s="88"/>
      <c r="E317" s="90"/>
      <c r="F317" s="84" t="str">
        <f ca="1">IF(D317="Income",LOOKUP(E317,Introduction!$A$11:$A$18,Introduction!$C$11:$C$18),IF(D317="Expense",LOOKUP(E317,Introduction!$D$11:$D$30,Introduction!$F$11:$F$30),"_"))</f>
        <v>_</v>
      </c>
      <c r="G317" s="88"/>
      <c r="H317" s="92">
        <f t="shared" si="26"/>
        <v>0</v>
      </c>
      <c r="I317" s="85">
        <f t="shared" si="24"/>
        <v>0</v>
      </c>
      <c r="J317" s="93"/>
      <c r="K317" s="85">
        <f t="shared" si="25"/>
        <v>0</v>
      </c>
      <c r="L317" s="68"/>
      <c r="M317" s="68"/>
      <c r="P317" s="89" t="str">
        <f t="shared" si="23"/>
        <v xml:space="preserve">  1 1900 </v>
      </c>
    </row>
    <row r="318" spans="1:16">
      <c r="A318" s="68"/>
      <c r="B318" s="87"/>
      <c r="C318" s="88"/>
      <c r="D318" s="88"/>
      <c r="E318" s="90"/>
      <c r="F318" s="84" t="str">
        <f ca="1">IF(D318="Income",LOOKUP(E318,Introduction!$A$11:$A$18,Introduction!$C$11:$C$18),IF(D318="Expense",LOOKUP(E318,Introduction!$D$11:$D$30,Introduction!$F$11:$F$30),"_"))</f>
        <v>_</v>
      </c>
      <c r="G318" s="88"/>
      <c r="H318" s="92">
        <f t="shared" si="26"/>
        <v>0</v>
      </c>
      <c r="I318" s="85">
        <f t="shared" si="24"/>
        <v>0</v>
      </c>
      <c r="J318" s="93"/>
      <c r="K318" s="85">
        <f t="shared" si="25"/>
        <v>0</v>
      </c>
      <c r="L318" s="68"/>
      <c r="M318" s="68"/>
      <c r="P318" s="89" t="str">
        <f t="shared" si="23"/>
        <v xml:space="preserve">  1 1900 </v>
      </c>
    </row>
    <row r="319" spans="1:16">
      <c r="A319" s="68"/>
      <c r="B319" s="87"/>
      <c r="C319" s="88"/>
      <c r="D319" s="88"/>
      <c r="E319" s="90"/>
      <c r="F319" s="84" t="str">
        <f ca="1">IF(D319="Income",LOOKUP(E319,Introduction!$A$11:$A$18,Introduction!$C$11:$C$18),IF(D319="Expense",LOOKUP(E319,Introduction!$D$11:$D$30,Introduction!$F$11:$F$30),"_"))</f>
        <v>_</v>
      </c>
      <c r="G319" s="88"/>
      <c r="H319" s="92"/>
      <c r="I319" s="85">
        <f t="shared" si="24"/>
        <v>0</v>
      </c>
      <c r="J319" s="93"/>
      <c r="K319" s="85">
        <f t="shared" si="25"/>
        <v>0</v>
      </c>
      <c r="L319" s="68"/>
      <c r="M319" s="68"/>
      <c r="P319" s="89" t="str">
        <f t="shared" si="23"/>
        <v xml:space="preserve">  1 1900 </v>
      </c>
    </row>
    <row r="320" spans="1:16">
      <c r="A320" s="68"/>
      <c r="B320" s="87"/>
      <c r="C320" s="88"/>
      <c r="D320" s="88"/>
      <c r="E320" s="90"/>
      <c r="F320" s="84" t="str">
        <f ca="1">IF(D320="Income",LOOKUP(E320,Introduction!$A$11:$A$18,Introduction!$C$11:$C$18),IF(D320="Expense",LOOKUP(E320,Introduction!$D$11:$D$30,Introduction!$F$11:$F$30),"_"))</f>
        <v>_</v>
      </c>
      <c r="G320" s="88"/>
      <c r="H320" s="92">
        <f t="shared" si="26"/>
        <v>0</v>
      </c>
      <c r="I320" s="85">
        <f t="shared" si="24"/>
        <v>0</v>
      </c>
      <c r="J320" s="93"/>
      <c r="K320" s="85">
        <f t="shared" si="25"/>
        <v>0</v>
      </c>
      <c r="L320" s="68"/>
      <c r="M320" s="68"/>
      <c r="P320" s="89" t="str">
        <f t="shared" si="23"/>
        <v xml:space="preserve">  1 1900 </v>
      </c>
    </row>
    <row r="321" spans="1:16">
      <c r="A321" s="68"/>
      <c r="B321" s="87"/>
      <c r="C321" s="88"/>
      <c r="D321" s="88"/>
      <c r="E321" s="90"/>
      <c r="F321" s="84" t="str">
        <f ca="1">IF(D321="Income",LOOKUP(E321,Introduction!$A$11:$A$18,Introduction!$C$11:$C$18),IF(D321="Expense",LOOKUP(E321,Introduction!$D$11:$D$30,Introduction!$F$11:$F$30),"_"))</f>
        <v>_</v>
      </c>
      <c r="G321" s="88"/>
      <c r="H321" s="92">
        <f t="shared" si="26"/>
        <v>0</v>
      </c>
      <c r="I321" s="85">
        <f t="shared" si="24"/>
        <v>0</v>
      </c>
      <c r="J321" s="93"/>
      <c r="K321" s="85">
        <f t="shared" si="25"/>
        <v>0</v>
      </c>
      <c r="L321" s="68"/>
      <c r="M321" s="68"/>
      <c r="P321" s="89" t="str">
        <f t="shared" si="23"/>
        <v xml:space="preserve">  1 1900 </v>
      </c>
    </row>
    <row r="322" spans="1:16">
      <c r="A322" s="68"/>
      <c r="B322" s="87"/>
      <c r="C322" s="88"/>
      <c r="D322" s="88"/>
      <c r="E322" s="90"/>
      <c r="F322" s="84" t="str">
        <f ca="1">IF(D322="Income",LOOKUP(E322,Introduction!$A$11:$A$18,Introduction!$C$11:$C$18),IF(D322="Expense",LOOKUP(E322,Introduction!$D$11:$D$30,Introduction!$F$11:$F$30),"_"))</f>
        <v>_</v>
      </c>
      <c r="G322" s="88"/>
      <c r="H322" s="92">
        <f t="shared" si="26"/>
        <v>0</v>
      </c>
      <c r="I322" s="85">
        <f t="shared" si="24"/>
        <v>0</v>
      </c>
      <c r="J322" s="93"/>
      <c r="K322" s="85">
        <f t="shared" si="25"/>
        <v>0</v>
      </c>
      <c r="L322" s="68"/>
      <c r="M322" s="68"/>
      <c r="P322" s="89" t="str">
        <f t="shared" si="23"/>
        <v xml:space="preserve">  1 1900 </v>
      </c>
    </row>
    <row r="323" spans="1:16">
      <c r="A323" s="68"/>
      <c r="B323" s="87"/>
      <c r="C323" s="88"/>
      <c r="D323" s="88"/>
      <c r="E323" s="90"/>
      <c r="F323" s="84" t="str">
        <f ca="1">IF(D323="Income",LOOKUP(E323,Introduction!$A$11:$A$18,Introduction!$C$11:$C$18),IF(D323="Expense",LOOKUP(E323,Introduction!$D$11:$D$30,Introduction!$F$11:$F$30),"_"))</f>
        <v>_</v>
      </c>
      <c r="G323" s="88"/>
      <c r="H323" s="92">
        <f t="shared" si="26"/>
        <v>0</v>
      </c>
      <c r="I323" s="85">
        <f t="shared" si="24"/>
        <v>0</v>
      </c>
      <c r="J323" s="93"/>
      <c r="K323" s="85">
        <f t="shared" si="25"/>
        <v>0</v>
      </c>
      <c r="L323" s="68"/>
      <c r="M323" s="68"/>
      <c r="P323" s="89" t="str">
        <f t="shared" si="23"/>
        <v xml:space="preserve">  1 1900 </v>
      </c>
    </row>
    <row r="324" spans="1:16">
      <c r="A324" s="68"/>
      <c r="B324" s="87"/>
      <c r="C324" s="88"/>
      <c r="D324" s="88"/>
      <c r="E324" s="90"/>
      <c r="F324" s="84" t="str">
        <f ca="1">IF(D324="Income",LOOKUP(E324,Introduction!$A$11:$A$18,Introduction!$C$11:$C$18),IF(D324="Expense",LOOKUP(E324,Introduction!$D$11:$D$30,Introduction!$F$11:$F$30),"_"))</f>
        <v>_</v>
      </c>
      <c r="G324" s="88"/>
      <c r="H324" s="92">
        <f t="shared" si="26"/>
        <v>0</v>
      </c>
      <c r="I324" s="85">
        <f t="shared" si="24"/>
        <v>0</v>
      </c>
      <c r="J324" s="93"/>
      <c r="K324" s="85">
        <f t="shared" si="25"/>
        <v>0</v>
      </c>
      <c r="L324" s="68"/>
      <c r="M324" s="68"/>
      <c r="P324" s="89" t="str">
        <f t="shared" si="23"/>
        <v xml:space="preserve">  1 1900 </v>
      </c>
    </row>
    <row r="325" spans="1:16">
      <c r="A325" s="68"/>
      <c r="B325" s="87"/>
      <c r="C325" s="88"/>
      <c r="D325" s="88"/>
      <c r="E325" s="90"/>
      <c r="F325" s="84" t="str">
        <f ca="1">IF(D325="Income",LOOKUP(E325,Introduction!$A$11:$A$18,Introduction!$C$11:$C$18),IF(D325="Expense",LOOKUP(E325,Introduction!$D$11:$D$30,Introduction!$F$11:$F$30),"_"))</f>
        <v>_</v>
      </c>
      <c r="G325" s="88"/>
      <c r="H325" s="92">
        <f t="shared" si="26"/>
        <v>0</v>
      </c>
      <c r="I325" s="85">
        <f t="shared" si="24"/>
        <v>0</v>
      </c>
      <c r="J325" s="93"/>
      <c r="K325" s="85">
        <f t="shared" si="25"/>
        <v>0</v>
      </c>
      <c r="L325" s="68"/>
      <c r="M325" s="68"/>
      <c r="P325" s="89" t="str">
        <f t="shared" si="23"/>
        <v xml:space="preserve">  1 1900 </v>
      </c>
    </row>
    <row r="326" spans="1:16">
      <c r="A326" s="68"/>
      <c r="B326" s="87"/>
      <c r="C326" s="88"/>
      <c r="D326" s="88"/>
      <c r="E326" s="90"/>
      <c r="F326" s="84" t="str">
        <f ca="1">IF(D326="Income",LOOKUP(E326,Introduction!$A$11:$A$18,Introduction!$C$11:$C$18),IF(D326="Expense",LOOKUP(E326,Introduction!$D$11:$D$30,Introduction!$F$11:$F$30),"_"))</f>
        <v>_</v>
      </c>
      <c r="G326" s="88"/>
      <c r="H326" s="92">
        <f t="shared" si="26"/>
        <v>0</v>
      </c>
      <c r="I326" s="85">
        <f t="shared" si="24"/>
        <v>0</v>
      </c>
      <c r="J326" s="93"/>
      <c r="K326" s="85">
        <f t="shared" si="25"/>
        <v>0</v>
      </c>
      <c r="L326" s="68"/>
      <c r="M326" s="68"/>
      <c r="P326" s="89" t="str">
        <f t="shared" si="23"/>
        <v xml:space="preserve">  1 1900 </v>
      </c>
    </row>
    <row r="327" spans="1:16">
      <c r="A327" s="68"/>
      <c r="B327" s="87"/>
      <c r="C327" s="88"/>
      <c r="D327" s="88"/>
      <c r="E327" s="90"/>
      <c r="F327" s="84" t="str">
        <f ca="1">IF(D327="Income",LOOKUP(E327,Introduction!$A$11:$A$18,Introduction!$C$11:$C$18),IF(D327="Expense",LOOKUP(E327,Introduction!$D$11:$D$30,Introduction!$F$11:$F$30),"_"))</f>
        <v>_</v>
      </c>
      <c r="G327" s="88"/>
      <c r="H327" s="92">
        <f t="shared" si="26"/>
        <v>0</v>
      </c>
      <c r="I327" s="85">
        <f t="shared" si="24"/>
        <v>0</v>
      </c>
      <c r="J327" s="93"/>
      <c r="K327" s="85">
        <f t="shared" si="25"/>
        <v>0</v>
      </c>
      <c r="L327" s="68"/>
      <c r="M327" s="68"/>
      <c r="P327" s="89" t="str">
        <f t="shared" ref="P327:P390" si="27">CONCATENATE(D327," ",E327," ",MONTH(C327)," ",YEAR(C327)," ")</f>
        <v xml:space="preserve">  1 1900 </v>
      </c>
    </row>
    <row r="328" spans="1:16">
      <c r="A328" s="68"/>
      <c r="B328" s="87"/>
      <c r="C328" s="88"/>
      <c r="D328" s="88"/>
      <c r="E328" s="90"/>
      <c r="F328" s="84" t="str">
        <f ca="1">IF(D328="Income",LOOKUP(E328,Introduction!$A$11:$A$18,Introduction!$C$11:$C$18),IF(D328="Expense",LOOKUP(E328,Introduction!$D$11:$D$30,Introduction!$F$11:$F$30),"_"))</f>
        <v>_</v>
      </c>
      <c r="G328" s="88"/>
      <c r="H328" s="92">
        <f t="shared" si="26"/>
        <v>0</v>
      </c>
      <c r="I328" s="85">
        <f t="shared" si="24"/>
        <v>0</v>
      </c>
      <c r="J328" s="93"/>
      <c r="K328" s="85">
        <f t="shared" si="25"/>
        <v>0</v>
      </c>
      <c r="L328" s="68"/>
      <c r="M328" s="68"/>
      <c r="P328" s="89" t="str">
        <f t="shared" si="27"/>
        <v xml:space="preserve">  1 1900 </v>
      </c>
    </row>
    <row r="329" spans="1:16">
      <c r="A329" s="68"/>
      <c r="B329" s="87"/>
      <c r="C329" s="88"/>
      <c r="D329" s="88"/>
      <c r="E329" s="90"/>
      <c r="F329" s="84" t="str">
        <f ca="1">IF(D329="Income",LOOKUP(E329,Introduction!$A$11:$A$18,Introduction!$C$11:$C$18),IF(D329="Expense",LOOKUP(E329,Introduction!$D$11:$D$30,Introduction!$F$11:$F$30),"_"))</f>
        <v>_</v>
      </c>
      <c r="G329" s="88"/>
      <c r="H329" s="92">
        <f t="shared" si="26"/>
        <v>0</v>
      </c>
      <c r="I329" s="85">
        <f t="shared" si="24"/>
        <v>0</v>
      </c>
      <c r="J329" s="93"/>
      <c r="K329" s="85">
        <f t="shared" si="25"/>
        <v>0</v>
      </c>
      <c r="L329" s="68"/>
      <c r="M329" s="68"/>
      <c r="P329" s="89" t="str">
        <f t="shared" si="27"/>
        <v xml:space="preserve">  1 1900 </v>
      </c>
    </row>
    <row r="330" spans="1:16">
      <c r="A330" s="68"/>
      <c r="B330" s="87"/>
      <c r="C330" s="88"/>
      <c r="D330" s="88"/>
      <c r="E330" s="90"/>
      <c r="F330" s="84" t="str">
        <f ca="1">IF(D330="Income",LOOKUP(E330,Introduction!$A$11:$A$18,Introduction!$C$11:$C$18),IF(D330="Expense",LOOKUP(E330,Introduction!$D$11:$D$30,Introduction!$F$11:$F$30),"_"))</f>
        <v>_</v>
      </c>
      <c r="G330" s="88"/>
      <c r="H330" s="92">
        <f t="shared" si="26"/>
        <v>0</v>
      </c>
      <c r="I330" s="85">
        <f t="shared" si="24"/>
        <v>0</v>
      </c>
      <c r="J330" s="93"/>
      <c r="K330" s="85">
        <f t="shared" si="25"/>
        <v>0</v>
      </c>
      <c r="L330" s="68"/>
      <c r="M330" s="68"/>
      <c r="P330" s="89" t="str">
        <f t="shared" si="27"/>
        <v xml:space="preserve">  1 1900 </v>
      </c>
    </row>
    <row r="331" spans="1:16">
      <c r="A331" s="68"/>
      <c r="B331" s="87"/>
      <c r="C331" s="88"/>
      <c r="D331" s="88"/>
      <c r="E331" s="90"/>
      <c r="F331" s="84" t="str">
        <f ca="1">IF(D331="Income",LOOKUP(E331,Introduction!$A$11:$A$18,Introduction!$C$11:$C$18),IF(D331="Expense",LOOKUP(E331,Introduction!$D$11:$D$30,Introduction!$F$11:$F$30),"_"))</f>
        <v>_</v>
      </c>
      <c r="G331" s="88"/>
      <c r="H331" s="92">
        <f t="shared" si="26"/>
        <v>0</v>
      </c>
      <c r="I331" s="85">
        <f t="shared" si="24"/>
        <v>0</v>
      </c>
      <c r="J331" s="93"/>
      <c r="K331" s="85">
        <f t="shared" si="25"/>
        <v>0</v>
      </c>
      <c r="L331" s="68"/>
      <c r="M331" s="68"/>
      <c r="P331" s="89" t="str">
        <f t="shared" si="27"/>
        <v xml:space="preserve">  1 1900 </v>
      </c>
    </row>
    <row r="332" spans="1:16">
      <c r="A332" s="68"/>
      <c r="B332" s="87"/>
      <c r="C332" s="88"/>
      <c r="D332" s="88"/>
      <c r="E332" s="90"/>
      <c r="F332" s="84" t="str">
        <f ca="1">IF(D332="Income",LOOKUP(E332,Introduction!$A$11:$A$18,Introduction!$C$11:$C$18),IF(D332="Expense",LOOKUP(E332,Introduction!$D$11:$D$30,Introduction!$F$11:$F$30),"_"))</f>
        <v>_</v>
      </c>
      <c r="G332" s="88"/>
      <c r="H332" s="92"/>
      <c r="I332" s="85">
        <f t="shared" si="24"/>
        <v>0</v>
      </c>
      <c r="J332" s="93"/>
      <c r="K332" s="85">
        <f t="shared" si="25"/>
        <v>0</v>
      </c>
      <c r="L332" s="68"/>
      <c r="M332" s="68"/>
      <c r="P332" s="89" t="str">
        <f t="shared" si="27"/>
        <v xml:space="preserve">  1 1900 </v>
      </c>
    </row>
    <row r="333" spans="1:16">
      <c r="A333" s="68"/>
      <c r="B333" s="87"/>
      <c r="C333" s="88"/>
      <c r="D333" s="88"/>
      <c r="E333" s="90"/>
      <c r="F333" s="84" t="str">
        <f ca="1">IF(D333="Income",LOOKUP(E333,Introduction!$A$11:$A$18,Introduction!$C$11:$C$18),IF(D333="Expense",LOOKUP(E333,Introduction!$D$11:$D$30,Introduction!$F$11:$F$30),"_"))</f>
        <v>_</v>
      </c>
      <c r="G333" s="88"/>
      <c r="H333" s="92">
        <f t="shared" si="26"/>
        <v>0</v>
      </c>
      <c r="I333" s="85">
        <f t="shared" si="24"/>
        <v>0</v>
      </c>
      <c r="J333" s="93"/>
      <c r="K333" s="85">
        <f t="shared" si="25"/>
        <v>0</v>
      </c>
      <c r="L333" s="68"/>
      <c r="M333" s="68"/>
      <c r="P333" s="89" t="str">
        <f t="shared" si="27"/>
        <v xml:space="preserve">  1 1900 </v>
      </c>
    </row>
    <row r="334" spans="1:16">
      <c r="A334" s="68"/>
      <c r="B334" s="87"/>
      <c r="C334" s="88"/>
      <c r="D334" s="88"/>
      <c r="E334" s="90"/>
      <c r="F334" s="84" t="str">
        <f ca="1">IF(D334="Income",LOOKUP(E334,Introduction!$A$11:$A$18,Introduction!$C$11:$C$18),IF(D334="Expense",LOOKUP(E334,Introduction!$D$11:$D$30,Introduction!$F$11:$F$30),"_"))</f>
        <v>_</v>
      </c>
      <c r="G334" s="88"/>
      <c r="H334" s="92">
        <f t="shared" si="26"/>
        <v>0</v>
      </c>
      <c r="I334" s="85">
        <f t="shared" si="24"/>
        <v>0</v>
      </c>
      <c r="J334" s="93"/>
      <c r="K334" s="85">
        <f t="shared" si="25"/>
        <v>0</v>
      </c>
      <c r="L334" s="68"/>
      <c r="M334" s="68"/>
      <c r="P334" s="89" t="str">
        <f t="shared" si="27"/>
        <v xml:space="preserve">  1 1900 </v>
      </c>
    </row>
    <row r="335" spans="1:16">
      <c r="A335" s="68"/>
      <c r="B335" s="87"/>
      <c r="C335" s="88"/>
      <c r="D335" s="88"/>
      <c r="E335" s="90"/>
      <c r="F335" s="84" t="str">
        <f ca="1">IF(D335="Income",LOOKUP(E335,Introduction!$A$11:$A$18,Introduction!$C$11:$C$18),IF(D335="Expense",LOOKUP(E335,Introduction!$D$11:$D$30,Introduction!$F$11:$F$30),"_"))</f>
        <v>_</v>
      </c>
      <c r="G335" s="88"/>
      <c r="H335" s="92">
        <f t="shared" si="26"/>
        <v>0</v>
      </c>
      <c r="I335" s="85">
        <f t="shared" si="24"/>
        <v>0</v>
      </c>
      <c r="J335" s="93"/>
      <c r="K335" s="85">
        <f t="shared" si="25"/>
        <v>0</v>
      </c>
      <c r="L335" s="68"/>
      <c r="M335" s="68"/>
      <c r="P335" s="89" t="str">
        <f t="shared" si="27"/>
        <v xml:space="preserve">  1 1900 </v>
      </c>
    </row>
    <row r="336" spans="1:16">
      <c r="A336" s="68"/>
      <c r="B336" s="87"/>
      <c r="C336" s="88"/>
      <c r="D336" s="88"/>
      <c r="E336" s="90"/>
      <c r="F336" s="84" t="str">
        <f ca="1">IF(D336="Income",LOOKUP(E336,Introduction!$A$11:$A$18,Introduction!$C$11:$C$18),IF(D336="Expense",LOOKUP(E336,Introduction!$D$11:$D$30,Introduction!$F$11:$F$30),"_"))</f>
        <v>_</v>
      </c>
      <c r="G336" s="88"/>
      <c r="H336" s="92">
        <f t="shared" si="26"/>
        <v>0</v>
      </c>
      <c r="I336" s="85">
        <f t="shared" si="24"/>
        <v>0</v>
      </c>
      <c r="J336" s="93"/>
      <c r="K336" s="85">
        <f t="shared" si="25"/>
        <v>0</v>
      </c>
      <c r="L336" s="68"/>
      <c r="M336" s="68"/>
      <c r="P336" s="89" t="str">
        <f t="shared" si="27"/>
        <v xml:space="preserve">  1 1900 </v>
      </c>
    </row>
    <row r="337" spans="1:16">
      <c r="A337" s="68"/>
      <c r="B337" s="87"/>
      <c r="C337" s="88"/>
      <c r="D337" s="88"/>
      <c r="E337" s="90"/>
      <c r="F337" s="84" t="str">
        <f ca="1">IF(D337="Income",LOOKUP(E337,Introduction!$A$11:$A$18,Introduction!$C$11:$C$18),IF(D337="Expense",LOOKUP(E337,Introduction!$D$11:$D$30,Introduction!$F$11:$F$30),"_"))</f>
        <v>_</v>
      </c>
      <c r="G337" s="88"/>
      <c r="H337" s="92">
        <f t="shared" si="26"/>
        <v>0</v>
      </c>
      <c r="I337" s="85">
        <f t="shared" ref="I337:I400" si="28">+I336+H337</f>
        <v>0</v>
      </c>
      <c r="J337" s="93"/>
      <c r="K337" s="85">
        <f t="shared" ref="K337:K400" si="29">IF(J337=1,K336+H337,++K336)</f>
        <v>0</v>
      </c>
      <c r="L337" s="68"/>
      <c r="M337" s="68"/>
      <c r="P337" s="89" t="str">
        <f t="shared" si="27"/>
        <v xml:space="preserve">  1 1900 </v>
      </c>
    </row>
    <row r="338" spans="1:16">
      <c r="A338" s="68"/>
      <c r="B338" s="87"/>
      <c r="C338" s="88"/>
      <c r="D338" s="88"/>
      <c r="E338" s="90"/>
      <c r="F338" s="84" t="str">
        <f ca="1">IF(D338="Income",LOOKUP(E338,Introduction!$A$11:$A$18,Introduction!$C$11:$C$18),IF(D338="Expense",LOOKUP(E338,Introduction!$D$11:$D$30,Introduction!$F$11:$F$30),"_"))</f>
        <v>_</v>
      </c>
      <c r="G338" s="88"/>
      <c r="H338" s="92">
        <f t="shared" si="26"/>
        <v>0</v>
      </c>
      <c r="I338" s="85">
        <f t="shared" si="28"/>
        <v>0</v>
      </c>
      <c r="J338" s="93"/>
      <c r="K338" s="85">
        <f t="shared" si="29"/>
        <v>0</v>
      </c>
      <c r="L338" s="68"/>
      <c r="M338" s="68"/>
      <c r="P338" s="89" t="str">
        <f t="shared" si="27"/>
        <v xml:space="preserve">  1 1900 </v>
      </c>
    </row>
    <row r="339" spans="1:16">
      <c r="A339" s="68"/>
      <c r="B339" s="87"/>
      <c r="C339" s="88"/>
      <c r="D339" s="88"/>
      <c r="E339" s="90"/>
      <c r="F339" s="84" t="str">
        <f ca="1">IF(D339="Income",LOOKUP(E339,Introduction!$A$11:$A$18,Introduction!$C$11:$C$18),IF(D339="Expense",LOOKUP(E339,Introduction!$D$11:$D$30,Introduction!$F$11:$F$30),"_"))</f>
        <v>_</v>
      </c>
      <c r="G339" s="88"/>
      <c r="H339" s="92">
        <f t="shared" si="26"/>
        <v>0</v>
      </c>
      <c r="I339" s="85">
        <f t="shared" si="28"/>
        <v>0</v>
      </c>
      <c r="J339" s="93"/>
      <c r="K339" s="85">
        <f t="shared" si="29"/>
        <v>0</v>
      </c>
      <c r="L339" s="68"/>
      <c r="M339" s="68"/>
      <c r="P339" s="89" t="str">
        <f t="shared" si="27"/>
        <v xml:space="preserve">  1 1900 </v>
      </c>
    </row>
    <row r="340" spans="1:16">
      <c r="A340" s="68"/>
      <c r="B340" s="87"/>
      <c r="C340" s="88"/>
      <c r="D340" s="88"/>
      <c r="E340" s="90"/>
      <c r="F340" s="84" t="str">
        <f ca="1">IF(D340="Income",LOOKUP(E340,Introduction!$A$11:$A$18,Introduction!$C$11:$C$18),IF(D340="Expense",LOOKUP(E340,Introduction!$D$11:$D$30,Introduction!$F$11:$F$30),"_"))</f>
        <v>_</v>
      </c>
      <c r="G340" s="88"/>
      <c r="H340" s="92">
        <f t="shared" si="26"/>
        <v>0</v>
      </c>
      <c r="I340" s="85">
        <f t="shared" si="28"/>
        <v>0</v>
      </c>
      <c r="J340" s="93"/>
      <c r="K340" s="85">
        <f t="shared" si="29"/>
        <v>0</v>
      </c>
      <c r="L340" s="68"/>
      <c r="M340" s="68"/>
      <c r="P340" s="89" t="str">
        <f t="shared" si="27"/>
        <v xml:space="preserve">  1 1900 </v>
      </c>
    </row>
    <row r="341" spans="1:16">
      <c r="A341" s="68"/>
      <c r="B341" s="87"/>
      <c r="C341" s="88"/>
      <c r="D341" s="88"/>
      <c r="E341" s="90"/>
      <c r="F341" s="84" t="str">
        <f ca="1">IF(D341="Income",LOOKUP(E341,Introduction!$A$11:$A$18,Introduction!$C$11:$C$18),IF(D341="Expense",LOOKUP(E341,Introduction!$D$11:$D$30,Introduction!$F$11:$F$30),"_"))</f>
        <v>_</v>
      </c>
      <c r="G341" s="88"/>
      <c r="H341" s="92">
        <f t="shared" si="26"/>
        <v>0</v>
      </c>
      <c r="I341" s="85">
        <f t="shared" si="28"/>
        <v>0</v>
      </c>
      <c r="J341" s="93"/>
      <c r="K341" s="85">
        <f t="shared" si="29"/>
        <v>0</v>
      </c>
      <c r="L341" s="68"/>
      <c r="M341" s="68"/>
      <c r="P341" s="89" t="str">
        <f t="shared" si="27"/>
        <v xml:space="preserve">  1 1900 </v>
      </c>
    </row>
    <row r="342" spans="1:16">
      <c r="A342" s="68"/>
      <c r="B342" s="87"/>
      <c r="C342" s="88"/>
      <c r="D342" s="88"/>
      <c r="E342" s="90"/>
      <c r="F342" s="84" t="str">
        <f ca="1">IF(D342="Income",LOOKUP(E342,Introduction!$A$11:$A$18,Introduction!$C$11:$C$18),IF(D342="Expense",LOOKUP(E342,Introduction!$D$11:$D$30,Introduction!$F$11:$F$30),"_"))</f>
        <v>_</v>
      </c>
      <c r="G342" s="88"/>
      <c r="H342" s="92">
        <f t="shared" si="26"/>
        <v>0</v>
      </c>
      <c r="I342" s="85">
        <f t="shared" si="28"/>
        <v>0</v>
      </c>
      <c r="J342" s="93"/>
      <c r="K342" s="85">
        <f t="shared" si="29"/>
        <v>0</v>
      </c>
      <c r="L342" s="68"/>
      <c r="M342" s="68"/>
      <c r="P342" s="89" t="str">
        <f t="shared" si="27"/>
        <v xml:space="preserve">  1 1900 </v>
      </c>
    </row>
    <row r="343" spans="1:16">
      <c r="A343" s="68"/>
      <c r="B343" s="87"/>
      <c r="C343" s="88"/>
      <c r="D343" s="88"/>
      <c r="E343" s="90"/>
      <c r="F343" s="84" t="str">
        <f ca="1">IF(D343="Income",LOOKUP(E343,Introduction!$A$11:$A$18,Introduction!$C$11:$C$18),IF(D343="Expense",LOOKUP(E343,Introduction!$D$11:$D$30,Introduction!$F$11:$F$30),"_"))</f>
        <v>_</v>
      </c>
      <c r="G343" s="88"/>
      <c r="H343" s="92">
        <f t="shared" si="26"/>
        <v>0</v>
      </c>
      <c r="I343" s="85">
        <f t="shared" si="28"/>
        <v>0</v>
      </c>
      <c r="J343" s="93"/>
      <c r="K343" s="85">
        <f t="shared" si="29"/>
        <v>0</v>
      </c>
      <c r="L343" s="68"/>
      <c r="M343" s="68"/>
      <c r="P343" s="89" t="str">
        <f t="shared" si="27"/>
        <v xml:space="preserve">  1 1900 </v>
      </c>
    </row>
    <row r="344" spans="1:16">
      <c r="A344" s="68"/>
      <c r="B344" s="87"/>
      <c r="C344" s="88"/>
      <c r="D344" s="88"/>
      <c r="E344" s="90"/>
      <c r="F344" s="84" t="str">
        <f ca="1">IF(D344="Income",LOOKUP(E344,Introduction!$A$11:$A$18,Introduction!$C$11:$C$18),IF(D344="Expense",LOOKUP(E344,Introduction!$D$11:$D$30,Introduction!$F$11:$F$30),"_"))</f>
        <v>_</v>
      </c>
      <c r="G344" s="88"/>
      <c r="H344" s="92">
        <f t="shared" si="26"/>
        <v>0</v>
      </c>
      <c r="I344" s="85">
        <f t="shared" si="28"/>
        <v>0</v>
      </c>
      <c r="J344" s="93"/>
      <c r="K344" s="85">
        <f t="shared" si="29"/>
        <v>0</v>
      </c>
      <c r="L344" s="68"/>
      <c r="M344" s="68"/>
      <c r="P344" s="89" t="str">
        <f t="shared" si="27"/>
        <v xml:space="preserve">  1 1900 </v>
      </c>
    </row>
    <row r="345" spans="1:16">
      <c r="A345" s="68"/>
      <c r="B345" s="87"/>
      <c r="C345" s="88"/>
      <c r="D345" s="88"/>
      <c r="E345" s="90"/>
      <c r="F345" s="84" t="str">
        <f ca="1">IF(D345="Income",LOOKUP(E345,Introduction!$A$11:$A$18,Introduction!$C$11:$C$18),IF(D345="Expense",LOOKUP(E345,Introduction!$D$11:$D$30,Introduction!$F$11:$F$30),"_"))</f>
        <v>_</v>
      </c>
      <c r="G345" s="88"/>
      <c r="H345" s="92"/>
      <c r="I345" s="85">
        <f t="shared" si="28"/>
        <v>0</v>
      </c>
      <c r="J345" s="93"/>
      <c r="K345" s="85">
        <f t="shared" si="29"/>
        <v>0</v>
      </c>
      <c r="L345" s="68"/>
      <c r="M345" s="68"/>
      <c r="P345" s="89" t="str">
        <f t="shared" si="27"/>
        <v xml:space="preserve">  1 1900 </v>
      </c>
    </row>
    <row r="346" spans="1:16">
      <c r="A346" s="68"/>
      <c r="B346" s="87"/>
      <c r="C346" s="88"/>
      <c r="D346" s="88"/>
      <c r="E346" s="90"/>
      <c r="F346" s="84" t="str">
        <f ca="1">IF(D346="Income",LOOKUP(E346,Introduction!$A$11:$A$18,Introduction!$C$11:$C$18),IF(D346="Expense",LOOKUP(E346,Introduction!$D$11:$D$30,Introduction!$F$11:$F$30),"_"))</f>
        <v>_</v>
      </c>
      <c r="G346" s="88"/>
      <c r="H346" s="92">
        <f t="shared" si="26"/>
        <v>0</v>
      </c>
      <c r="I346" s="85">
        <f t="shared" si="28"/>
        <v>0</v>
      </c>
      <c r="J346" s="93"/>
      <c r="K346" s="85">
        <f t="shared" si="29"/>
        <v>0</v>
      </c>
      <c r="L346" s="68"/>
      <c r="M346" s="68"/>
      <c r="P346" s="89" t="str">
        <f t="shared" si="27"/>
        <v xml:space="preserve">  1 1900 </v>
      </c>
    </row>
    <row r="347" spans="1:16">
      <c r="A347" s="68"/>
      <c r="B347" s="87"/>
      <c r="C347" s="88"/>
      <c r="D347" s="88"/>
      <c r="E347" s="90"/>
      <c r="F347" s="84" t="str">
        <f ca="1">IF(D347="Income",LOOKUP(E347,Introduction!$A$11:$A$18,Introduction!$C$11:$C$18),IF(D347="Expense",LOOKUP(E347,Introduction!$D$11:$D$30,Introduction!$F$11:$F$30),"_"))</f>
        <v>_</v>
      </c>
      <c r="G347" s="88"/>
      <c r="H347" s="92">
        <f t="shared" ref="H347:H357" si="30">+H243</f>
        <v>0</v>
      </c>
      <c r="I347" s="85">
        <f t="shared" si="28"/>
        <v>0</v>
      </c>
      <c r="J347" s="93"/>
      <c r="K347" s="85">
        <f t="shared" si="29"/>
        <v>0</v>
      </c>
      <c r="L347" s="68"/>
      <c r="M347" s="68"/>
      <c r="P347" s="89" t="str">
        <f t="shared" si="27"/>
        <v xml:space="preserve">  1 1900 </v>
      </c>
    </row>
    <row r="348" spans="1:16">
      <c r="A348" s="68"/>
      <c r="B348" s="87"/>
      <c r="C348" s="88"/>
      <c r="D348" s="88"/>
      <c r="E348" s="90"/>
      <c r="F348" s="84" t="str">
        <f ca="1">IF(D348="Income",LOOKUP(E348,Introduction!$A$11:$A$18,Introduction!$C$11:$C$18),IF(D348="Expense",LOOKUP(E348,Introduction!$D$11:$D$30,Introduction!$F$11:$F$30),"_"))</f>
        <v>_</v>
      </c>
      <c r="G348" s="88"/>
      <c r="H348" s="92">
        <f t="shared" si="30"/>
        <v>0</v>
      </c>
      <c r="I348" s="85">
        <f t="shared" si="28"/>
        <v>0</v>
      </c>
      <c r="J348" s="93"/>
      <c r="K348" s="85">
        <f t="shared" si="29"/>
        <v>0</v>
      </c>
      <c r="L348" s="68"/>
      <c r="M348" s="68"/>
      <c r="P348" s="89" t="str">
        <f t="shared" si="27"/>
        <v xml:space="preserve">  1 1900 </v>
      </c>
    </row>
    <row r="349" spans="1:16">
      <c r="A349" s="68"/>
      <c r="B349" s="87"/>
      <c r="C349" s="88"/>
      <c r="D349" s="88"/>
      <c r="E349" s="90"/>
      <c r="F349" s="84" t="str">
        <f ca="1">IF(D349="Income",LOOKUP(E349,Introduction!$A$11:$A$18,Introduction!$C$11:$C$18),IF(D349="Expense",LOOKUP(E349,Introduction!$D$11:$D$30,Introduction!$F$11:$F$30),"_"))</f>
        <v>_</v>
      </c>
      <c r="G349" s="88"/>
      <c r="H349" s="92">
        <f t="shared" si="30"/>
        <v>0</v>
      </c>
      <c r="I349" s="85">
        <f t="shared" si="28"/>
        <v>0</v>
      </c>
      <c r="J349" s="93"/>
      <c r="K349" s="85">
        <f t="shared" si="29"/>
        <v>0</v>
      </c>
      <c r="L349" s="68"/>
      <c r="M349" s="68"/>
      <c r="P349" s="89" t="str">
        <f t="shared" si="27"/>
        <v xml:space="preserve">  1 1900 </v>
      </c>
    </row>
    <row r="350" spans="1:16">
      <c r="A350" s="68"/>
      <c r="B350" s="87"/>
      <c r="C350" s="88"/>
      <c r="D350" s="88"/>
      <c r="E350" s="90"/>
      <c r="F350" s="84" t="str">
        <f ca="1">IF(D350="Income",LOOKUP(E350,Introduction!$A$11:$A$18,Introduction!$C$11:$C$18),IF(D350="Expense",LOOKUP(E350,Introduction!$D$11:$D$30,Introduction!$F$11:$F$30),"_"))</f>
        <v>_</v>
      </c>
      <c r="G350" s="88"/>
      <c r="H350" s="92">
        <f t="shared" si="30"/>
        <v>0</v>
      </c>
      <c r="I350" s="85">
        <f t="shared" si="28"/>
        <v>0</v>
      </c>
      <c r="J350" s="93"/>
      <c r="K350" s="85">
        <f t="shared" si="29"/>
        <v>0</v>
      </c>
      <c r="L350" s="68"/>
      <c r="M350" s="68"/>
      <c r="P350" s="89" t="str">
        <f t="shared" si="27"/>
        <v xml:space="preserve">  1 1900 </v>
      </c>
    </row>
    <row r="351" spans="1:16">
      <c r="A351" s="68"/>
      <c r="B351" s="87"/>
      <c r="C351" s="88"/>
      <c r="D351" s="88"/>
      <c r="E351" s="90"/>
      <c r="F351" s="84" t="str">
        <f ca="1">IF(D351="Income",LOOKUP(E351,Introduction!$A$11:$A$18,Introduction!$C$11:$C$18),IF(D351="Expense",LOOKUP(E351,Introduction!$D$11:$D$30,Introduction!$F$11:$F$30),"_"))</f>
        <v>_</v>
      </c>
      <c r="G351" s="88"/>
      <c r="H351" s="92">
        <f t="shared" si="30"/>
        <v>0</v>
      </c>
      <c r="I351" s="85">
        <f t="shared" si="28"/>
        <v>0</v>
      </c>
      <c r="J351" s="93"/>
      <c r="K351" s="85">
        <f t="shared" si="29"/>
        <v>0</v>
      </c>
      <c r="L351" s="68"/>
      <c r="M351" s="68"/>
      <c r="P351" s="89" t="str">
        <f t="shared" si="27"/>
        <v xml:space="preserve">  1 1900 </v>
      </c>
    </row>
    <row r="352" spans="1:16">
      <c r="A352" s="68"/>
      <c r="B352" s="87"/>
      <c r="C352" s="88"/>
      <c r="D352" s="88"/>
      <c r="E352" s="90"/>
      <c r="F352" s="84" t="str">
        <f ca="1">IF(D352="Income",LOOKUP(E352,Introduction!$A$11:$A$18,Introduction!$C$11:$C$18),IF(D352="Expense",LOOKUP(E352,Introduction!$D$11:$D$30,Introduction!$F$11:$F$30),"_"))</f>
        <v>_</v>
      </c>
      <c r="G352" s="88"/>
      <c r="H352" s="92">
        <f t="shared" si="30"/>
        <v>0</v>
      </c>
      <c r="I352" s="85">
        <f t="shared" si="28"/>
        <v>0</v>
      </c>
      <c r="J352" s="93"/>
      <c r="K352" s="85">
        <f t="shared" si="29"/>
        <v>0</v>
      </c>
      <c r="L352" s="68"/>
      <c r="M352" s="68"/>
      <c r="P352" s="89" t="str">
        <f t="shared" si="27"/>
        <v xml:space="preserve">  1 1900 </v>
      </c>
    </row>
    <row r="353" spans="1:16">
      <c r="A353" s="68"/>
      <c r="B353" s="87"/>
      <c r="C353" s="88"/>
      <c r="D353" s="88"/>
      <c r="E353" s="90"/>
      <c r="F353" s="84" t="str">
        <f ca="1">IF(D353="Income",LOOKUP(E353,Introduction!$A$11:$A$18,Introduction!$C$11:$C$18),IF(D353="Expense",LOOKUP(E353,Introduction!$D$11:$D$30,Introduction!$F$11:$F$30),"_"))</f>
        <v>_</v>
      </c>
      <c r="G353" s="88"/>
      <c r="H353" s="92">
        <f t="shared" si="30"/>
        <v>0</v>
      </c>
      <c r="I353" s="85">
        <f t="shared" si="28"/>
        <v>0</v>
      </c>
      <c r="J353" s="93"/>
      <c r="K353" s="85">
        <f t="shared" si="29"/>
        <v>0</v>
      </c>
      <c r="L353" s="68"/>
      <c r="M353" s="68"/>
      <c r="P353" s="89" t="str">
        <f t="shared" si="27"/>
        <v xml:space="preserve">  1 1900 </v>
      </c>
    </row>
    <row r="354" spans="1:16">
      <c r="A354" s="68"/>
      <c r="B354" s="87"/>
      <c r="C354" s="88"/>
      <c r="D354" s="88"/>
      <c r="E354" s="90"/>
      <c r="F354" s="84" t="str">
        <f ca="1">IF(D354="Income",LOOKUP(E354,Introduction!$A$11:$A$18,Introduction!$C$11:$C$18),IF(D354="Expense",LOOKUP(E354,Introduction!$D$11:$D$30,Introduction!$F$11:$F$30),"_"))</f>
        <v>_</v>
      </c>
      <c r="G354" s="88"/>
      <c r="H354" s="92">
        <f t="shared" si="30"/>
        <v>0</v>
      </c>
      <c r="I354" s="85">
        <f t="shared" si="28"/>
        <v>0</v>
      </c>
      <c r="J354" s="93"/>
      <c r="K354" s="85">
        <f t="shared" si="29"/>
        <v>0</v>
      </c>
      <c r="L354" s="68"/>
      <c r="M354" s="68"/>
      <c r="P354" s="89" t="str">
        <f t="shared" si="27"/>
        <v xml:space="preserve">  1 1900 </v>
      </c>
    </row>
    <row r="355" spans="1:16">
      <c r="A355" s="68"/>
      <c r="B355" s="87"/>
      <c r="C355" s="88"/>
      <c r="D355" s="88"/>
      <c r="E355" s="90"/>
      <c r="F355" s="84" t="str">
        <f ca="1">IF(D355="Income",LOOKUP(E355,Introduction!$A$11:$A$18,Introduction!$C$11:$C$18),IF(D355="Expense",LOOKUP(E355,Introduction!$D$11:$D$30,Introduction!$F$11:$F$30),"_"))</f>
        <v>_</v>
      </c>
      <c r="G355" s="88"/>
      <c r="H355" s="92">
        <f t="shared" si="30"/>
        <v>0</v>
      </c>
      <c r="I355" s="85">
        <f t="shared" si="28"/>
        <v>0</v>
      </c>
      <c r="J355" s="93"/>
      <c r="K355" s="85">
        <f t="shared" si="29"/>
        <v>0</v>
      </c>
      <c r="L355" s="68"/>
      <c r="M355" s="68"/>
      <c r="P355" s="89" t="str">
        <f t="shared" si="27"/>
        <v xml:space="preserve">  1 1900 </v>
      </c>
    </row>
    <row r="356" spans="1:16">
      <c r="A356" s="68"/>
      <c r="B356" s="87"/>
      <c r="C356" s="88"/>
      <c r="D356" s="88"/>
      <c r="E356" s="90"/>
      <c r="F356" s="84" t="str">
        <f ca="1">IF(D356="Income",LOOKUP(E356,Introduction!$A$11:$A$18,Introduction!$C$11:$C$18),IF(D356="Expense",LOOKUP(E356,Introduction!$D$11:$D$30,Introduction!$F$11:$F$30),"_"))</f>
        <v>_</v>
      </c>
      <c r="G356" s="88"/>
      <c r="H356" s="92">
        <f t="shared" si="30"/>
        <v>0</v>
      </c>
      <c r="I356" s="85">
        <f t="shared" si="28"/>
        <v>0</v>
      </c>
      <c r="J356" s="93"/>
      <c r="K356" s="85">
        <f t="shared" si="29"/>
        <v>0</v>
      </c>
      <c r="L356" s="68"/>
      <c r="M356" s="68"/>
      <c r="P356" s="89" t="str">
        <f t="shared" si="27"/>
        <v xml:space="preserve">  1 1900 </v>
      </c>
    </row>
    <row r="357" spans="1:16">
      <c r="A357" s="68"/>
      <c r="B357" s="87"/>
      <c r="C357" s="88"/>
      <c r="D357" s="88"/>
      <c r="E357" s="90"/>
      <c r="F357" s="84" t="str">
        <f ca="1">IF(D357="Income",LOOKUP(E357,Introduction!$A$11:$A$18,Introduction!$C$11:$C$18),IF(D357="Expense",LOOKUP(E357,Introduction!$D$11:$D$30,Introduction!$F$11:$F$30),"_"))</f>
        <v>_</v>
      </c>
      <c r="G357" s="88"/>
      <c r="H357" s="92">
        <f t="shared" si="30"/>
        <v>0</v>
      </c>
      <c r="I357" s="85">
        <f t="shared" si="28"/>
        <v>0</v>
      </c>
      <c r="J357" s="93"/>
      <c r="K357" s="85">
        <f t="shared" si="29"/>
        <v>0</v>
      </c>
      <c r="L357" s="68"/>
      <c r="M357" s="68"/>
      <c r="P357" s="89" t="str">
        <f t="shared" si="27"/>
        <v xml:space="preserve">  1 1900 </v>
      </c>
    </row>
    <row r="358" spans="1:16">
      <c r="A358" s="68"/>
      <c r="B358" s="87"/>
      <c r="C358" s="88"/>
      <c r="D358" s="88"/>
      <c r="E358" s="90"/>
      <c r="F358" s="84" t="str">
        <f ca="1">IF(D358="Income",LOOKUP(E358,Introduction!$A$11:$A$18,Introduction!$C$11:$C$18),IF(D358="Expense",LOOKUP(E358,Introduction!$D$11:$D$30,Introduction!$F$11:$F$30),"_"))</f>
        <v>_</v>
      </c>
      <c r="G358" s="88"/>
      <c r="H358" s="92"/>
      <c r="I358" s="85">
        <f t="shared" si="28"/>
        <v>0</v>
      </c>
      <c r="J358" s="93"/>
      <c r="K358" s="85">
        <f t="shared" si="29"/>
        <v>0</v>
      </c>
      <c r="L358" s="68"/>
      <c r="M358" s="68"/>
      <c r="P358" s="89" t="str">
        <f t="shared" si="27"/>
        <v xml:space="preserve">  1 1900 </v>
      </c>
    </row>
    <row r="359" spans="1:16">
      <c r="A359" s="68"/>
      <c r="B359" s="87"/>
      <c r="C359" s="88"/>
      <c r="D359" s="88"/>
      <c r="E359" s="90"/>
      <c r="F359" s="84" t="str">
        <f ca="1">IF(D359="Income",LOOKUP(E359,Introduction!$A$11:$A$18,Introduction!$C$11:$C$18),IF(D359="Expense",LOOKUP(E359,Introduction!$D$11:$D$30,Introduction!$F$11:$F$30),"_"))</f>
        <v>_</v>
      </c>
      <c r="G359" s="88"/>
      <c r="H359" s="92">
        <v>0</v>
      </c>
      <c r="I359" s="85">
        <f t="shared" si="28"/>
        <v>0</v>
      </c>
      <c r="J359" s="93"/>
      <c r="K359" s="85">
        <f t="shared" si="29"/>
        <v>0</v>
      </c>
      <c r="L359" s="68"/>
      <c r="M359" s="68"/>
      <c r="P359" s="89" t="str">
        <f t="shared" si="27"/>
        <v xml:space="preserve">  1 1900 </v>
      </c>
    </row>
    <row r="360" spans="1:16">
      <c r="A360" s="68"/>
      <c r="B360" s="87"/>
      <c r="C360" s="88"/>
      <c r="D360" s="88"/>
      <c r="E360" s="90"/>
      <c r="F360" s="84" t="str">
        <f ca="1">IF(D360="Income",LOOKUP(E360,Introduction!$A$11:$A$18,Introduction!$C$11:$C$18),IF(D360="Expense",LOOKUP(E360,Introduction!$D$11:$D$30,Introduction!$F$11:$F$30),"_"))</f>
        <v>_</v>
      </c>
      <c r="G360" s="88"/>
      <c r="H360" s="92">
        <v>0</v>
      </c>
      <c r="I360" s="85">
        <f t="shared" si="28"/>
        <v>0</v>
      </c>
      <c r="J360" s="93"/>
      <c r="K360" s="85">
        <f t="shared" si="29"/>
        <v>0</v>
      </c>
      <c r="L360" s="68"/>
      <c r="M360" s="68"/>
      <c r="P360" s="89" t="str">
        <f t="shared" si="27"/>
        <v xml:space="preserve">  1 1900 </v>
      </c>
    </row>
    <row r="361" spans="1:16">
      <c r="A361" s="68"/>
      <c r="B361" s="87"/>
      <c r="C361" s="88"/>
      <c r="D361" s="88"/>
      <c r="E361" s="90"/>
      <c r="F361" s="84" t="str">
        <f ca="1">IF(D361="Income",LOOKUP(E361,Introduction!$A$11:$A$18,Introduction!$C$11:$C$18),IF(D361="Expense",LOOKUP(E361,Introduction!$D$11:$D$30,Introduction!$F$11:$F$30),"_"))</f>
        <v>_</v>
      </c>
      <c r="G361" s="88"/>
      <c r="H361" s="92">
        <v>0</v>
      </c>
      <c r="I361" s="85">
        <f t="shared" si="28"/>
        <v>0</v>
      </c>
      <c r="J361" s="93"/>
      <c r="K361" s="85">
        <f t="shared" si="29"/>
        <v>0</v>
      </c>
      <c r="L361" s="68"/>
      <c r="M361" s="68"/>
      <c r="P361" s="89" t="str">
        <f t="shared" si="27"/>
        <v xml:space="preserve">  1 1900 </v>
      </c>
    </row>
    <row r="362" spans="1:16">
      <c r="A362" s="68"/>
      <c r="B362" s="87"/>
      <c r="C362" s="88"/>
      <c r="D362" s="88"/>
      <c r="E362" s="90"/>
      <c r="F362" s="84" t="str">
        <f ca="1">IF(D362="Income",LOOKUP(E362,Introduction!$A$11:$A$18,Introduction!$C$11:$C$18),IF(D362="Expense",LOOKUP(E362,Introduction!$D$11:$D$30,Introduction!$F$11:$F$30),"_"))</f>
        <v>_</v>
      </c>
      <c r="G362" s="88"/>
      <c r="H362" s="92">
        <v>0</v>
      </c>
      <c r="I362" s="85">
        <f t="shared" si="28"/>
        <v>0</v>
      </c>
      <c r="J362" s="93"/>
      <c r="K362" s="85">
        <f t="shared" si="29"/>
        <v>0</v>
      </c>
      <c r="L362" s="68"/>
      <c r="M362" s="68"/>
      <c r="P362" s="89" t="str">
        <f t="shared" si="27"/>
        <v xml:space="preserve">  1 1900 </v>
      </c>
    </row>
    <row r="363" spans="1:16">
      <c r="A363" s="68"/>
      <c r="B363" s="87"/>
      <c r="C363" s="88"/>
      <c r="D363" s="88"/>
      <c r="E363" s="90"/>
      <c r="F363" s="84" t="str">
        <f ca="1">IF(D363="Income",LOOKUP(E363,Introduction!$A$11:$A$18,Introduction!$C$11:$C$18),IF(D363="Expense",LOOKUP(E363,Introduction!$D$11:$D$30,Introduction!$F$11:$F$30),"_"))</f>
        <v>_</v>
      </c>
      <c r="G363" s="88"/>
      <c r="H363" s="92">
        <v>0</v>
      </c>
      <c r="I363" s="85">
        <f t="shared" si="28"/>
        <v>0</v>
      </c>
      <c r="J363" s="93"/>
      <c r="K363" s="85">
        <f t="shared" si="29"/>
        <v>0</v>
      </c>
      <c r="L363" s="68"/>
      <c r="M363" s="68"/>
      <c r="P363" s="89" t="str">
        <f t="shared" si="27"/>
        <v xml:space="preserve">  1 1900 </v>
      </c>
    </row>
    <row r="364" spans="1:16">
      <c r="A364" s="68"/>
      <c r="B364" s="87"/>
      <c r="C364" s="88"/>
      <c r="D364" s="88"/>
      <c r="E364" s="90"/>
      <c r="F364" s="84" t="str">
        <f ca="1">IF(D364="Income",LOOKUP(E364,Introduction!$A$11:$A$18,Introduction!$C$11:$C$18),IF(D364="Expense",LOOKUP(E364,Introduction!$D$11:$D$30,Introduction!$F$11:$F$30),"_"))</f>
        <v>_</v>
      </c>
      <c r="G364" s="88"/>
      <c r="H364" s="92">
        <v>0</v>
      </c>
      <c r="I364" s="85">
        <f t="shared" si="28"/>
        <v>0</v>
      </c>
      <c r="J364" s="93"/>
      <c r="K364" s="85">
        <f t="shared" si="29"/>
        <v>0</v>
      </c>
      <c r="L364" s="68"/>
      <c r="M364" s="68"/>
      <c r="P364" s="89" t="str">
        <f t="shared" si="27"/>
        <v xml:space="preserve">  1 1900 </v>
      </c>
    </row>
    <row r="365" spans="1:16">
      <c r="A365" s="68"/>
      <c r="B365" s="87"/>
      <c r="C365" s="88"/>
      <c r="D365" s="88"/>
      <c r="E365" s="90"/>
      <c r="F365" s="84" t="str">
        <f ca="1">IF(D365="Income",LOOKUP(E365,Introduction!$A$11:$A$18,Introduction!$C$11:$C$18),IF(D365="Expense",LOOKUP(E365,Introduction!$D$11:$D$30,Introduction!$F$11:$F$30),"_"))</f>
        <v>_</v>
      </c>
      <c r="G365" s="88"/>
      <c r="H365" s="92">
        <v>0</v>
      </c>
      <c r="I365" s="85">
        <f t="shared" si="28"/>
        <v>0</v>
      </c>
      <c r="J365" s="93"/>
      <c r="K365" s="85">
        <f t="shared" si="29"/>
        <v>0</v>
      </c>
      <c r="L365" s="68"/>
      <c r="M365" s="68"/>
      <c r="P365" s="89" t="str">
        <f t="shared" si="27"/>
        <v xml:space="preserve">  1 1900 </v>
      </c>
    </row>
    <row r="366" spans="1:16">
      <c r="A366" s="68"/>
      <c r="B366" s="87"/>
      <c r="C366" s="88"/>
      <c r="D366" s="88"/>
      <c r="E366" s="90"/>
      <c r="F366" s="84" t="str">
        <f ca="1">IF(D366="Income",LOOKUP(E366,Introduction!$A$11:$A$18,Introduction!$C$11:$C$18),IF(D366="Expense",LOOKUP(E366,Introduction!$D$11:$D$30,Introduction!$F$11:$F$30),"_"))</f>
        <v>_</v>
      </c>
      <c r="G366" s="88"/>
      <c r="H366" s="92">
        <v>0</v>
      </c>
      <c r="I366" s="85">
        <f t="shared" si="28"/>
        <v>0</v>
      </c>
      <c r="J366" s="93"/>
      <c r="K366" s="85">
        <f t="shared" si="29"/>
        <v>0</v>
      </c>
      <c r="L366" s="68"/>
      <c r="M366" s="68"/>
      <c r="P366" s="89" t="str">
        <f t="shared" si="27"/>
        <v xml:space="preserve">  1 1900 </v>
      </c>
    </row>
    <row r="367" spans="1:16">
      <c r="A367" s="68"/>
      <c r="B367" s="87"/>
      <c r="C367" s="88"/>
      <c r="D367" s="88"/>
      <c r="E367" s="90"/>
      <c r="F367" s="84" t="str">
        <f ca="1">IF(D367="Income",LOOKUP(E367,Introduction!$A$11:$A$18,Introduction!$C$11:$C$18),IF(D367="Expense",LOOKUP(E367,Introduction!$D$11:$D$30,Introduction!$F$11:$F$30),"_"))</f>
        <v>_</v>
      </c>
      <c r="G367" s="88"/>
      <c r="H367" s="92">
        <v>0</v>
      </c>
      <c r="I367" s="85">
        <f t="shared" si="28"/>
        <v>0</v>
      </c>
      <c r="J367" s="93"/>
      <c r="K367" s="85">
        <f t="shared" si="29"/>
        <v>0</v>
      </c>
      <c r="L367" s="68"/>
      <c r="M367" s="68"/>
      <c r="P367" s="89" t="str">
        <f t="shared" si="27"/>
        <v xml:space="preserve">  1 1900 </v>
      </c>
    </row>
    <row r="368" spans="1:16">
      <c r="A368" s="68"/>
      <c r="B368" s="87"/>
      <c r="C368" s="88"/>
      <c r="D368" s="88"/>
      <c r="E368" s="90"/>
      <c r="F368" s="84" t="str">
        <f ca="1">IF(D368="Income",LOOKUP(E368,Introduction!$A$11:$A$18,Introduction!$C$11:$C$18),IF(D368="Expense",LOOKUP(E368,Introduction!$D$11:$D$30,Introduction!$F$11:$F$30),"_"))</f>
        <v>_</v>
      </c>
      <c r="G368" s="88"/>
      <c r="H368" s="92">
        <v>0</v>
      </c>
      <c r="I368" s="85">
        <f t="shared" si="28"/>
        <v>0</v>
      </c>
      <c r="J368" s="93"/>
      <c r="K368" s="85">
        <f t="shared" si="29"/>
        <v>0</v>
      </c>
      <c r="L368" s="68"/>
      <c r="M368" s="68"/>
      <c r="P368" s="89" t="str">
        <f t="shared" si="27"/>
        <v xml:space="preserve">  1 1900 </v>
      </c>
    </row>
    <row r="369" spans="1:16">
      <c r="A369" s="68"/>
      <c r="B369" s="87"/>
      <c r="C369" s="88"/>
      <c r="D369" s="88"/>
      <c r="E369" s="90"/>
      <c r="F369" s="84" t="str">
        <f ca="1">IF(D369="Income",LOOKUP(E369,Introduction!$A$11:$A$18,Introduction!$C$11:$C$18),IF(D369="Expense",LOOKUP(E369,Introduction!$D$11:$D$30,Introduction!$F$11:$F$30),"_"))</f>
        <v>_</v>
      </c>
      <c r="G369" s="88"/>
      <c r="H369" s="92">
        <v>0</v>
      </c>
      <c r="I369" s="85">
        <f t="shared" si="28"/>
        <v>0</v>
      </c>
      <c r="J369" s="93"/>
      <c r="K369" s="85">
        <f t="shared" si="29"/>
        <v>0</v>
      </c>
      <c r="L369" s="68"/>
      <c r="M369" s="68"/>
      <c r="P369" s="89" t="str">
        <f t="shared" si="27"/>
        <v xml:space="preserve">  1 1900 </v>
      </c>
    </row>
    <row r="370" spans="1:16">
      <c r="A370" s="68"/>
      <c r="B370" s="87"/>
      <c r="C370" s="88"/>
      <c r="D370" s="88"/>
      <c r="E370" s="90"/>
      <c r="F370" s="84" t="str">
        <f ca="1">IF(D370="Income",LOOKUP(E370,Introduction!$A$11:$A$18,Introduction!$C$11:$C$18),IF(D370="Expense",LOOKUP(E370,Introduction!$D$11:$D$30,Introduction!$F$11:$F$30),"_"))</f>
        <v>_</v>
      </c>
      <c r="G370" s="88"/>
      <c r="H370" s="92">
        <v>0</v>
      </c>
      <c r="I370" s="85">
        <f t="shared" si="28"/>
        <v>0</v>
      </c>
      <c r="J370" s="93"/>
      <c r="K370" s="85">
        <f t="shared" si="29"/>
        <v>0</v>
      </c>
      <c r="L370" s="68"/>
      <c r="M370" s="68"/>
      <c r="P370" s="89" t="str">
        <f t="shared" si="27"/>
        <v xml:space="preserve">  1 1900 </v>
      </c>
    </row>
    <row r="371" spans="1:16">
      <c r="A371" s="68"/>
      <c r="B371" s="87"/>
      <c r="C371" s="88"/>
      <c r="D371" s="88"/>
      <c r="E371" s="90"/>
      <c r="F371" s="84" t="str">
        <f ca="1">IF(D371="Income",LOOKUP(E371,Introduction!$A$11:$A$18,Introduction!$C$11:$C$18),IF(D371="Expense",LOOKUP(E371,Introduction!$D$11:$D$30,Introduction!$F$11:$F$30),"_"))</f>
        <v>_</v>
      </c>
      <c r="G371" s="88"/>
      <c r="H371" s="92"/>
      <c r="I371" s="85">
        <f t="shared" si="28"/>
        <v>0</v>
      </c>
      <c r="J371" s="93"/>
      <c r="K371" s="85">
        <f t="shared" si="29"/>
        <v>0</v>
      </c>
      <c r="L371" s="68"/>
      <c r="M371" s="68"/>
      <c r="P371" s="89" t="str">
        <f t="shared" si="27"/>
        <v xml:space="preserve">  1 1900 </v>
      </c>
    </row>
    <row r="372" spans="1:16">
      <c r="A372" s="68"/>
      <c r="B372" s="87"/>
      <c r="C372" s="88"/>
      <c r="D372" s="88"/>
      <c r="E372" s="90"/>
      <c r="F372" s="84" t="str">
        <f ca="1">IF(D372="Income",LOOKUP(E372,Introduction!$A$11:$A$18,Introduction!$C$11:$C$18),IF(D372="Expense",LOOKUP(E372,Introduction!$D$11:$D$30,Introduction!$F$11:$F$30),"_"))</f>
        <v>_</v>
      </c>
      <c r="G372" s="88"/>
      <c r="H372" s="92"/>
      <c r="I372" s="85">
        <f t="shared" si="28"/>
        <v>0</v>
      </c>
      <c r="J372" s="93"/>
      <c r="K372" s="85">
        <f t="shared" si="29"/>
        <v>0</v>
      </c>
      <c r="L372" s="68"/>
      <c r="M372" s="68"/>
      <c r="P372" s="89" t="str">
        <f t="shared" si="27"/>
        <v xml:space="preserve">  1 1900 </v>
      </c>
    </row>
    <row r="373" spans="1:16">
      <c r="A373" s="68"/>
      <c r="B373" s="87"/>
      <c r="C373" s="88"/>
      <c r="D373" s="88"/>
      <c r="E373" s="90"/>
      <c r="F373" s="84" t="str">
        <f ca="1">IF(D373="Income",LOOKUP(E373,Introduction!$A$11:$A$18,Introduction!$C$11:$C$18),IF(D373="Expense",LOOKUP(E373,Introduction!$D$11:$D$30,Introduction!$F$11:$F$30),"_"))</f>
        <v>_</v>
      </c>
      <c r="G373" s="88"/>
      <c r="H373" s="92"/>
      <c r="I373" s="85">
        <f t="shared" si="28"/>
        <v>0</v>
      </c>
      <c r="J373" s="93"/>
      <c r="K373" s="85">
        <f t="shared" si="29"/>
        <v>0</v>
      </c>
      <c r="L373" s="68"/>
      <c r="M373" s="68"/>
      <c r="P373" s="89" t="str">
        <f t="shared" si="27"/>
        <v xml:space="preserve">  1 1900 </v>
      </c>
    </row>
    <row r="374" spans="1:16">
      <c r="A374" s="68"/>
      <c r="B374" s="87"/>
      <c r="C374" s="88"/>
      <c r="D374" s="88"/>
      <c r="E374" s="90"/>
      <c r="F374" s="84" t="str">
        <f ca="1">IF(D374="Income",LOOKUP(E374,Introduction!$A$11:$A$18,Introduction!$C$11:$C$18),IF(D374="Expense",LOOKUP(E374,Introduction!$D$11:$D$30,Introduction!$F$11:$F$30),"_"))</f>
        <v>_</v>
      </c>
      <c r="G374" s="88"/>
      <c r="H374" s="92"/>
      <c r="I374" s="85">
        <f t="shared" si="28"/>
        <v>0</v>
      </c>
      <c r="J374" s="93"/>
      <c r="K374" s="85">
        <f t="shared" si="29"/>
        <v>0</v>
      </c>
      <c r="L374" s="68"/>
      <c r="M374" s="68"/>
      <c r="P374" s="89" t="str">
        <f t="shared" si="27"/>
        <v xml:space="preserve">  1 1900 </v>
      </c>
    </row>
    <row r="375" spans="1:16">
      <c r="A375" s="68"/>
      <c r="B375" s="87"/>
      <c r="C375" s="88"/>
      <c r="D375" s="88"/>
      <c r="E375" s="90"/>
      <c r="F375" s="84" t="str">
        <f ca="1">IF(D375="Income",LOOKUP(E375,Introduction!$A$11:$A$18,Introduction!$C$11:$C$18),IF(D375="Expense",LOOKUP(E375,Introduction!$D$11:$D$30,Introduction!$F$11:$F$30),"_"))</f>
        <v>_</v>
      </c>
      <c r="G375" s="88"/>
      <c r="H375" s="92"/>
      <c r="I375" s="85">
        <f t="shared" si="28"/>
        <v>0</v>
      </c>
      <c r="J375" s="93"/>
      <c r="K375" s="85">
        <f t="shared" si="29"/>
        <v>0</v>
      </c>
      <c r="L375" s="68"/>
      <c r="M375" s="68"/>
      <c r="P375" s="89" t="str">
        <f t="shared" si="27"/>
        <v xml:space="preserve">  1 1900 </v>
      </c>
    </row>
    <row r="376" spans="1:16">
      <c r="A376" s="68"/>
      <c r="B376" s="87"/>
      <c r="C376" s="88"/>
      <c r="D376" s="88"/>
      <c r="E376" s="90"/>
      <c r="F376" s="84" t="str">
        <f ca="1">IF(D376="Income",LOOKUP(E376,Introduction!$A$11:$A$18,Introduction!$C$11:$C$18),IF(D376="Expense",LOOKUP(E376,Introduction!$D$11:$D$30,Introduction!$F$11:$F$30),"_"))</f>
        <v>_</v>
      </c>
      <c r="G376" s="88"/>
      <c r="H376" s="92"/>
      <c r="I376" s="85">
        <f t="shared" si="28"/>
        <v>0</v>
      </c>
      <c r="J376" s="93"/>
      <c r="K376" s="85">
        <f t="shared" si="29"/>
        <v>0</v>
      </c>
      <c r="L376" s="68"/>
      <c r="M376" s="68"/>
      <c r="P376" s="89" t="str">
        <f t="shared" si="27"/>
        <v xml:space="preserve">  1 1900 </v>
      </c>
    </row>
    <row r="377" spans="1:16">
      <c r="A377" s="68"/>
      <c r="B377" s="87"/>
      <c r="C377" s="88"/>
      <c r="D377" s="88"/>
      <c r="E377" s="90"/>
      <c r="F377" s="84" t="str">
        <f ca="1">IF(D377="Income",LOOKUP(E377,Introduction!$A$11:$A$18,Introduction!$C$11:$C$18),IF(D377="Expense",LOOKUP(E377,Introduction!$D$11:$D$30,Introduction!$F$11:$F$30),"_"))</f>
        <v>_</v>
      </c>
      <c r="G377" s="88"/>
      <c r="H377" s="92"/>
      <c r="I377" s="85">
        <f t="shared" si="28"/>
        <v>0</v>
      </c>
      <c r="J377" s="93"/>
      <c r="K377" s="85">
        <f t="shared" si="29"/>
        <v>0</v>
      </c>
      <c r="L377" s="68"/>
      <c r="M377" s="68"/>
      <c r="P377" s="89" t="str">
        <f t="shared" si="27"/>
        <v xml:space="preserve">  1 1900 </v>
      </c>
    </row>
    <row r="378" spans="1:16">
      <c r="A378" s="68"/>
      <c r="B378" s="87"/>
      <c r="C378" s="88"/>
      <c r="D378" s="88"/>
      <c r="E378" s="90"/>
      <c r="F378" s="84" t="str">
        <f ca="1">IF(D378="Income",LOOKUP(E378,Introduction!$A$11:$A$18,Introduction!$C$11:$C$18),IF(D378="Expense",LOOKUP(E378,Introduction!$D$11:$D$30,Introduction!$F$11:$F$30),"_"))</f>
        <v>_</v>
      </c>
      <c r="G378" s="88"/>
      <c r="H378" s="92"/>
      <c r="I378" s="85">
        <f t="shared" si="28"/>
        <v>0</v>
      </c>
      <c r="J378" s="93"/>
      <c r="K378" s="85">
        <f t="shared" si="29"/>
        <v>0</v>
      </c>
      <c r="L378" s="68"/>
      <c r="M378" s="68"/>
      <c r="P378" s="89" t="str">
        <f t="shared" si="27"/>
        <v xml:space="preserve">  1 1900 </v>
      </c>
    </row>
    <row r="379" spans="1:16">
      <c r="A379" s="68"/>
      <c r="B379" s="87"/>
      <c r="C379" s="88"/>
      <c r="D379" s="88"/>
      <c r="E379" s="90"/>
      <c r="F379" s="84" t="str">
        <f ca="1">IF(D379="Income",LOOKUP(E379,Introduction!$A$11:$A$18,Introduction!$C$11:$C$18),IF(D379="Expense",LOOKUP(E379,Introduction!$D$11:$D$30,Introduction!$F$11:$F$30),"_"))</f>
        <v>_</v>
      </c>
      <c r="G379" s="88"/>
      <c r="H379" s="92"/>
      <c r="I379" s="85">
        <f t="shared" si="28"/>
        <v>0</v>
      </c>
      <c r="J379" s="93"/>
      <c r="K379" s="85">
        <f t="shared" si="29"/>
        <v>0</v>
      </c>
      <c r="L379" s="68"/>
      <c r="M379" s="68"/>
      <c r="P379" s="89" t="str">
        <f t="shared" si="27"/>
        <v xml:space="preserve">  1 1900 </v>
      </c>
    </row>
    <row r="380" spans="1:16">
      <c r="A380" s="68"/>
      <c r="B380" s="87"/>
      <c r="C380" s="88"/>
      <c r="D380" s="88"/>
      <c r="E380" s="90"/>
      <c r="F380" s="84" t="str">
        <f ca="1">IF(D380="Income",LOOKUP(E380,Introduction!$A$11:$A$18,Introduction!$C$11:$C$18),IF(D380="Expense",LOOKUP(E380,Introduction!$D$11:$D$30,Introduction!$F$11:$F$30),"_"))</f>
        <v>_</v>
      </c>
      <c r="G380" s="88"/>
      <c r="H380" s="92"/>
      <c r="I380" s="85">
        <f t="shared" si="28"/>
        <v>0</v>
      </c>
      <c r="J380" s="93"/>
      <c r="K380" s="85">
        <f t="shared" si="29"/>
        <v>0</v>
      </c>
      <c r="L380" s="68"/>
      <c r="M380" s="68"/>
      <c r="P380" s="89" t="str">
        <f t="shared" si="27"/>
        <v xml:space="preserve">  1 1900 </v>
      </c>
    </row>
    <row r="381" spans="1:16">
      <c r="A381" s="68"/>
      <c r="B381" s="87"/>
      <c r="C381" s="88"/>
      <c r="D381" s="88"/>
      <c r="E381" s="90"/>
      <c r="F381" s="84" t="str">
        <f ca="1">IF(D381="Income",LOOKUP(E381,Introduction!$A$11:$A$18,Introduction!$C$11:$C$18),IF(D381="Expense",LOOKUP(E381,Introduction!$D$11:$D$30,Introduction!$F$11:$F$30),"_"))</f>
        <v>_</v>
      </c>
      <c r="G381" s="88"/>
      <c r="H381" s="92"/>
      <c r="I381" s="85">
        <f t="shared" si="28"/>
        <v>0</v>
      </c>
      <c r="J381" s="93"/>
      <c r="K381" s="85">
        <f t="shared" si="29"/>
        <v>0</v>
      </c>
      <c r="L381" s="68"/>
      <c r="M381" s="68"/>
      <c r="P381" s="89" t="str">
        <f t="shared" si="27"/>
        <v xml:space="preserve">  1 1900 </v>
      </c>
    </row>
    <row r="382" spans="1:16">
      <c r="A382" s="68"/>
      <c r="B382" s="87"/>
      <c r="C382" s="88"/>
      <c r="D382" s="88"/>
      <c r="E382" s="90"/>
      <c r="F382" s="84" t="str">
        <f ca="1">IF(D382="Income",LOOKUP(E382,Introduction!$A$11:$A$18,Introduction!$C$11:$C$18),IF(D382="Expense",LOOKUP(E382,Introduction!$D$11:$D$30,Introduction!$F$11:$F$30),"_"))</f>
        <v>_</v>
      </c>
      <c r="G382" s="88"/>
      <c r="H382" s="92"/>
      <c r="I382" s="85">
        <f t="shared" si="28"/>
        <v>0</v>
      </c>
      <c r="J382" s="93"/>
      <c r="K382" s="85">
        <f t="shared" si="29"/>
        <v>0</v>
      </c>
      <c r="L382" s="68"/>
      <c r="M382" s="68"/>
      <c r="P382" s="89" t="str">
        <f t="shared" si="27"/>
        <v xml:space="preserve">  1 1900 </v>
      </c>
    </row>
    <row r="383" spans="1:16">
      <c r="A383" s="68"/>
      <c r="B383" s="87"/>
      <c r="C383" s="88"/>
      <c r="D383" s="88"/>
      <c r="E383" s="90"/>
      <c r="F383" s="84" t="str">
        <f ca="1">IF(D383="Income",LOOKUP(E383,Introduction!$A$11:$A$18,Introduction!$C$11:$C$18),IF(D383="Expense",LOOKUP(E383,Introduction!$D$11:$D$30,Introduction!$F$11:$F$30),"_"))</f>
        <v>_</v>
      </c>
      <c r="G383" s="88"/>
      <c r="H383" s="92"/>
      <c r="I383" s="85">
        <f t="shared" si="28"/>
        <v>0</v>
      </c>
      <c r="J383" s="93"/>
      <c r="K383" s="85">
        <f t="shared" si="29"/>
        <v>0</v>
      </c>
      <c r="L383" s="68"/>
      <c r="M383" s="68"/>
      <c r="P383" s="89" t="str">
        <f t="shared" si="27"/>
        <v xml:space="preserve">  1 1900 </v>
      </c>
    </row>
    <row r="384" spans="1:16">
      <c r="A384" s="68"/>
      <c r="B384" s="87"/>
      <c r="C384" s="88"/>
      <c r="D384" s="88"/>
      <c r="E384" s="90"/>
      <c r="F384" s="84" t="str">
        <f ca="1">IF(D384="Income",LOOKUP(E384,Introduction!$A$11:$A$18,Introduction!$C$11:$C$18),IF(D384="Expense",LOOKUP(E384,Introduction!$D$11:$D$30,Introduction!$F$11:$F$30),"_"))</f>
        <v>_</v>
      </c>
      <c r="G384" s="88"/>
      <c r="H384" s="92"/>
      <c r="I384" s="85">
        <f t="shared" si="28"/>
        <v>0</v>
      </c>
      <c r="J384" s="93"/>
      <c r="K384" s="85">
        <f t="shared" si="29"/>
        <v>0</v>
      </c>
      <c r="L384" s="68"/>
      <c r="M384" s="68"/>
      <c r="P384" s="89" t="str">
        <f t="shared" si="27"/>
        <v xml:space="preserve">  1 1900 </v>
      </c>
    </row>
    <row r="385" spans="1:16">
      <c r="A385" s="68"/>
      <c r="B385" s="87"/>
      <c r="C385" s="88"/>
      <c r="D385" s="88"/>
      <c r="E385" s="90"/>
      <c r="F385" s="84" t="str">
        <f ca="1">IF(D385="Income",LOOKUP(E385,Introduction!$A$11:$A$18,Introduction!$C$11:$C$18),IF(D385="Expense",LOOKUP(E385,Introduction!$D$11:$D$30,Introduction!$F$11:$F$30),"_"))</f>
        <v>_</v>
      </c>
      <c r="G385" s="88"/>
      <c r="H385" s="92"/>
      <c r="I385" s="85">
        <f t="shared" si="28"/>
        <v>0</v>
      </c>
      <c r="J385" s="93"/>
      <c r="K385" s="85">
        <f t="shared" si="29"/>
        <v>0</v>
      </c>
      <c r="L385" s="68"/>
      <c r="M385" s="68"/>
      <c r="P385" s="89" t="str">
        <f t="shared" si="27"/>
        <v xml:space="preserve">  1 1900 </v>
      </c>
    </row>
    <row r="386" spans="1:16">
      <c r="A386" s="68"/>
      <c r="B386" s="87"/>
      <c r="C386" s="88"/>
      <c r="D386" s="88"/>
      <c r="E386" s="90"/>
      <c r="F386" s="84" t="str">
        <f ca="1">IF(D386="Income",LOOKUP(E386,Introduction!$A$11:$A$18,Introduction!$C$11:$C$18),IF(D386="Expense",LOOKUP(E386,Introduction!$D$11:$D$30,Introduction!$F$11:$F$30),"_"))</f>
        <v>_</v>
      </c>
      <c r="G386" s="88"/>
      <c r="H386" s="92"/>
      <c r="I386" s="85">
        <f t="shared" si="28"/>
        <v>0</v>
      </c>
      <c r="J386" s="93"/>
      <c r="K386" s="85">
        <f t="shared" si="29"/>
        <v>0</v>
      </c>
      <c r="L386" s="68"/>
      <c r="M386" s="68"/>
      <c r="P386" s="89" t="str">
        <f t="shared" si="27"/>
        <v xml:space="preserve">  1 1900 </v>
      </c>
    </row>
    <row r="387" spans="1:16">
      <c r="A387" s="68"/>
      <c r="B387" s="87"/>
      <c r="C387" s="88"/>
      <c r="D387" s="88"/>
      <c r="E387" s="90"/>
      <c r="F387" s="84" t="str">
        <f ca="1">IF(D387="Income",LOOKUP(E387,Introduction!$A$11:$A$18,Introduction!$C$11:$C$18),IF(D387="Expense",LOOKUP(E387,Introduction!$D$11:$D$30,Introduction!$F$11:$F$30),"_"))</f>
        <v>_</v>
      </c>
      <c r="G387" s="88"/>
      <c r="H387" s="92"/>
      <c r="I387" s="85">
        <f t="shared" si="28"/>
        <v>0</v>
      </c>
      <c r="J387" s="93"/>
      <c r="K387" s="85">
        <f t="shared" si="29"/>
        <v>0</v>
      </c>
      <c r="L387" s="68"/>
      <c r="M387" s="68"/>
      <c r="P387" s="89" t="str">
        <f t="shared" si="27"/>
        <v xml:space="preserve">  1 1900 </v>
      </c>
    </row>
    <row r="388" spans="1:16">
      <c r="A388" s="68"/>
      <c r="B388" s="87"/>
      <c r="C388" s="88"/>
      <c r="D388" s="88"/>
      <c r="E388" s="90"/>
      <c r="F388" s="84" t="str">
        <f ca="1">IF(D388="Income",LOOKUP(E388,Introduction!$A$11:$A$18,Introduction!$C$11:$C$18),IF(D388="Expense",LOOKUP(E388,Introduction!$D$11:$D$30,Introduction!$F$11:$F$30),"_"))</f>
        <v>_</v>
      </c>
      <c r="G388" s="88"/>
      <c r="H388" s="92"/>
      <c r="I388" s="85">
        <f t="shared" si="28"/>
        <v>0</v>
      </c>
      <c r="J388" s="93"/>
      <c r="K388" s="85">
        <f t="shared" si="29"/>
        <v>0</v>
      </c>
      <c r="L388" s="68"/>
      <c r="M388" s="68"/>
      <c r="P388" s="89" t="str">
        <f t="shared" si="27"/>
        <v xml:space="preserve">  1 1900 </v>
      </c>
    </row>
    <row r="389" spans="1:16">
      <c r="A389" s="68"/>
      <c r="B389" s="87"/>
      <c r="C389" s="88"/>
      <c r="D389" s="88"/>
      <c r="E389" s="90"/>
      <c r="F389" s="84" t="str">
        <f ca="1">IF(D389="Income",LOOKUP(E389,Introduction!$A$11:$A$18,Introduction!$C$11:$C$18),IF(D389="Expense",LOOKUP(E389,Introduction!$D$11:$D$30,Introduction!$F$11:$F$30),"_"))</f>
        <v>_</v>
      </c>
      <c r="G389" s="88"/>
      <c r="H389" s="92"/>
      <c r="I389" s="85">
        <f t="shared" si="28"/>
        <v>0</v>
      </c>
      <c r="J389" s="93"/>
      <c r="K389" s="85">
        <f t="shared" si="29"/>
        <v>0</v>
      </c>
      <c r="L389" s="68"/>
      <c r="M389" s="68"/>
      <c r="P389" s="89" t="str">
        <f t="shared" si="27"/>
        <v xml:space="preserve">  1 1900 </v>
      </c>
    </row>
    <row r="390" spans="1:16">
      <c r="A390" s="68"/>
      <c r="B390" s="87"/>
      <c r="C390" s="88"/>
      <c r="D390" s="88"/>
      <c r="E390" s="90"/>
      <c r="F390" s="84" t="str">
        <f ca="1">IF(D390="Income",LOOKUP(E390,Introduction!$A$11:$A$18,Introduction!$C$11:$C$18),IF(D390="Expense",LOOKUP(E390,Introduction!$D$11:$D$30,Introduction!$F$11:$F$30),"_"))</f>
        <v>_</v>
      </c>
      <c r="G390" s="88"/>
      <c r="H390" s="92"/>
      <c r="I390" s="85">
        <f t="shared" si="28"/>
        <v>0</v>
      </c>
      <c r="J390" s="93"/>
      <c r="K390" s="85">
        <f t="shared" si="29"/>
        <v>0</v>
      </c>
      <c r="L390" s="68"/>
      <c r="M390" s="68"/>
      <c r="P390" s="89" t="str">
        <f t="shared" si="27"/>
        <v xml:space="preserve">  1 1900 </v>
      </c>
    </row>
    <row r="391" spans="1:16">
      <c r="A391" s="68"/>
      <c r="B391" s="87"/>
      <c r="C391" s="88"/>
      <c r="D391" s="88"/>
      <c r="E391" s="90"/>
      <c r="F391" s="84" t="str">
        <f ca="1">IF(D391="Income",LOOKUP(E391,Introduction!$A$11:$A$18,Introduction!$C$11:$C$18),IF(D391="Expense",LOOKUP(E391,Introduction!$D$11:$D$30,Introduction!$F$11:$F$30),"_"))</f>
        <v>_</v>
      </c>
      <c r="G391" s="88"/>
      <c r="H391" s="92"/>
      <c r="I391" s="85">
        <f t="shared" si="28"/>
        <v>0</v>
      </c>
      <c r="J391" s="93"/>
      <c r="K391" s="85">
        <f t="shared" si="29"/>
        <v>0</v>
      </c>
      <c r="L391" s="68"/>
      <c r="M391" s="68"/>
      <c r="P391" s="89" t="str">
        <f t="shared" ref="P391:P454" si="31">CONCATENATE(D391," ",E391," ",MONTH(C391)," ",YEAR(C391)," ")</f>
        <v xml:space="preserve">  1 1900 </v>
      </c>
    </row>
    <row r="392" spans="1:16">
      <c r="A392" s="68"/>
      <c r="B392" s="87"/>
      <c r="C392" s="88"/>
      <c r="D392" s="88"/>
      <c r="E392" s="90"/>
      <c r="F392" s="84" t="str">
        <f ca="1">IF(D392="Income",LOOKUP(E392,Introduction!$A$11:$A$18,Introduction!$C$11:$C$18),IF(D392="Expense",LOOKUP(E392,Introduction!$D$11:$D$30,Introduction!$F$11:$F$30),"_"))</f>
        <v>_</v>
      </c>
      <c r="G392" s="88"/>
      <c r="H392" s="92"/>
      <c r="I392" s="85">
        <f t="shared" si="28"/>
        <v>0</v>
      </c>
      <c r="J392" s="93"/>
      <c r="K392" s="85">
        <f t="shared" si="29"/>
        <v>0</v>
      </c>
      <c r="L392" s="68"/>
      <c r="M392" s="68"/>
      <c r="P392" s="89" t="str">
        <f t="shared" si="31"/>
        <v xml:space="preserve">  1 1900 </v>
      </c>
    </row>
    <row r="393" spans="1:16">
      <c r="A393" s="68"/>
      <c r="B393" s="87"/>
      <c r="C393" s="88"/>
      <c r="D393" s="88"/>
      <c r="E393" s="90"/>
      <c r="F393" s="84" t="str">
        <f ca="1">IF(D393="Income",LOOKUP(E393,Introduction!$A$11:$A$18,Introduction!$C$11:$C$18),IF(D393="Expense",LOOKUP(E393,Introduction!$D$11:$D$30,Introduction!$F$11:$F$30),"_"))</f>
        <v>_</v>
      </c>
      <c r="G393" s="88"/>
      <c r="H393" s="92"/>
      <c r="I393" s="85">
        <f t="shared" si="28"/>
        <v>0</v>
      </c>
      <c r="J393" s="93"/>
      <c r="K393" s="85">
        <f t="shared" si="29"/>
        <v>0</v>
      </c>
      <c r="L393" s="68"/>
      <c r="M393" s="68"/>
      <c r="P393" s="89" t="str">
        <f t="shared" si="31"/>
        <v xml:space="preserve">  1 1900 </v>
      </c>
    </row>
    <row r="394" spans="1:16">
      <c r="A394" s="68"/>
      <c r="B394" s="87"/>
      <c r="C394" s="88"/>
      <c r="D394" s="88"/>
      <c r="E394" s="90"/>
      <c r="F394" s="84" t="str">
        <f ca="1">IF(D394="Income",LOOKUP(E394,Introduction!$A$11:$A$18,Introduction!$C$11:$C$18),IF(D394="Expense",LOOKUP(E394,Introduction!$D$11:$D$30,Introduction!$F$11:$F$30),"_"))</f>
        <v>_</v>
      </c>
      <c r="G394" s="88"/>
      <c r="H394" s="92"/>
      <c r="I394" s="85">
        <f t="shared" si="28"/>
        <v>0</v>
      </c>
      <c r="J394" s="93"/>
      <c r="K394" s="85">
        <f t="shared" si="29"/>
        <v>0</v>
      </c>
      <c r="L394" s="68"/>
      <c r="M394" s="68"/>
      <c r="P394" s="89" t="str">
        <f t="shared" si="31"/>
        <v xml:space="preserve">  1 1900 </v>
      </c>
    </row>
    <row r="395" spans="1:16">
      <c r="A395" s="68"/>
      <c r="B395" s="87"/>
      <c r="C395" s="88"/>
      <c r="D395" s="88"/>
      <c r="E395" s="90"/>
      <c r="F395" s="84" t="str">
        <f ca="1">IF(D395="Income",LOOKUP(E395,Introduction!$A$11:$A$18,Introduction!$C$11:$C$18),IF(D395="Expense",LOOKUP(E395,Introduction!$D$11:$D$30,Introduction!$F$11:$F$30),"_"))</f>
        <v>_</v>
      </c>
      <c r="G395" s="88"/>
      <c r="H395" s="92"/>
      <c r="I395" s="85">
        <f t="shared" si="28"/>
        <v>0</v>
      </c>
      <c r="J395" s="93"/>
      <c r="K395" s="85">
        <f t="shared" si="29"/>
        <v>0</v>
      </c>
      <c r="L395" s="68"/>
      <c r="M395" s="68"/>
      <c r="P395" s="89" t="str">
        <f t="shared" si="31"/>
        <v xml:space="preserve">  1 1900 </v>
      </c>
    </row>
    <row r="396" spans="1:16">
      <c r="A396" s="68"/>
      <c r="B396" s="87"/>
      <c r="C396" s="88"/>
      <c r="D396" s="88"/>
      <c r="E396" s="90"/>
      <c r="F396" s="84" t="str">
        <f ca="1">IF(D396="Income",LOOKUP(E396,Introduction!$A$11:$A$18,Introduction!$C$11:$C$18),IF(D396="Expense",LOOKUP(E396,Introduction!$D$11:$D$30,Introduction!$F$11:$F$30),"_"))</f>
        <v>_</v>
      </c>
      <c r="G396" s="88"/>
      <c r="H396" s="92"/>
      <c r="I396" s="85">
        <f t="shared" si="28"/>
        <v>0</v>
      </c>
      <c r="J396" s="93"/>
      <c r="K396" s="85">
        <f t="shared" si="29"/>
        <v>0</v>
      </c>
      <c r="L396" s="68"/>
      <c r="M396" s="68"/>
      <c r="P396" s="89" t="str">
        <f t="shared" si="31"/>
        <v xml:space="preserve">  1 1900 </v>
      </c>
    </row>
    <row r="397" spans="1:16">
      <c r="A397" s="68"/>
      <c r="B397" s="87"/>
      <c r="C397" s="88"/>
      <c r="D397" s="88"/>
      <c r="E397" s="90"/>
      <c r="F397" s="84" t="str">
        <f ca="1">IF(D397="Income",LOOKUP(E397,Introduction!$A$11:$A$18,Introduction!$C$11:$C$18),IF(D397="Expense",LOOKUP(E397,Introduction!$D$11:$D$30,Introduction!$F$11:$F$30),"_"))</f>
        <v>_</v>
      </c>
      <c r="G397" s="88"/>
      <c r="H397" s="92"/>
      <c r="I397" s="85">
        <f t="shared" si="28"/>
        <v>0</v>
      </c>
      <c r="J397" s="93"/>
      <c r="K397" s="85">
        <f t="shared" si="29"/>
        <v>0</v>
      </c>
      <c r="L397" s="68"/>
      <c r="M397" s="68"/>
      <c r="P397" s="89" t="str">
        <f t="shared" si="31"/>
        <v xml:space="preserve">  1 1900 </v>
      </c>
    </row>
    <row r="398" spans="1:16">
      <c r="A398" s="68"/>
      <c r="B398" s="87"/>
      <c r="C398" s="88"/>
      <c r="D398" s="88"/>
      <c r="E398" s="90"/>
      <c r="F398" s="84" t="str">
        <f ca="1">IF(D398="Income",LOOKUP(E398,Introduction!$A$11:$A$18,Introduction!$C$11:$C$18),IF(D398="Expense",LOOKUP(E398,Introduction!$D$11:$D$30,Introduction!$F$11:$F$30),"_"))</f>
        <v>_</v>
      </c>
      <c r="G398" s="88"/>
      <c r="H398" s="92"/>
      <c r="I398" s="85">
        <f t="shared" si="28"/>
        <v>0</v>
      </c>
      <c r="J398" s="93"/>
      <c r="K398" s="85">
        <f t="shared" si="29"/>
        <v>0</v>
      </c>
      <c r="L398" s="68"/>
      <c r="M398" s="68"/>
      <c r="P398" s="89" t="str">
        <f t="shared" si="31"/>
        <v xml:space="preserve">  1 1900 </v>
      </c>
    </row>
    <row r="399" spans="1:16">
      <c r="A399" s="68"/>
      <c r="B399" s="87"/>
      <c r="C399" s="88"/>
      <c r="D399" s="88"/>
      <c r="E399" s="90"/>
      <c r="F399" s="84" t="str">
        <f ca="1">IF(D399="Income",LOOKUP(E399,Introduction!$A$11:$A$18,Introduction!$C$11:$C$18),IF(D399="Expense",LOOKUP(E399,Introduction!$D$11:$D$30,Introduction!$F$11:$F$30),"_"))</f>
        <v>_</v>
      </c>
      <c r="G399" s="88"/>
      <c r="H399" s="92"/>
      <c r="I399" s="85">
        <f t="shared" si="28"/>
        <v>0</v>
      </c>
      <c r="J399" s="93"/>
      <c r="K399" s="85">
        <f t="shared" si="29"/>
        <v>0</v>
      </c>
      <c r="L399" s="68"/>
      <c r="M399" s="68"/>
      <c r="P399" s="89" t="str">
        <f t="shared" si="31"/>
        <v xml:space="preserve">  1 1900 </v>
      </c>
    </row>
    <row r="400" spans="1:16">
      <c r="A400" s="68"/>
      <c r="B400" s="87"/>
      <c r="C400" s="88"/>
      <c r="D400" s="88"/>
      <c r="E400" s="90"/>
      <c r="F400" s="84" t="str">
        <f ca="1">IF(D400="Income",LOOKUP(E400,Introduction!$A$11:$A$18,Introduction!$C$11:$C$18),IF(D400="Expense",LOOKUP(E400,Introduction!$D$11:$D$30,Introduction!$F$11:$F$30),"_"))</f>
        <v>_</v>
      </c>
      <c r="G400" s="88"/>
      <c r="H400" s="92"/>
      <c r="I400" s="85">
        <f t="shared" si="28"/>
        <v>0</v>
      </c>
      <c r="J400" s="93"/>
      <c r="K400" s="85">
        <f t="shared" si="29"/>
        <v>0</v>
      </c>
      <c r="L400" s="68"/>
      <c r="M400" s="68"/>
      <c r="P400" s="89" t="str">
        <f t="shared" si="31"/>
        <v xml:space="preserve">  1 1900 </v>
      </c>
    </row>
    <row r="401" spans="1:16">
      <c r="A401" s="68"/>
      <c r="B401" s="87"/>
      <c r="C401" s="88"/>
      <c r="D401" s="88"/>
      <c r="E401" s="90"/>
      <c r="F401" s="84" t="str">
        <f ca="1">IF(D401="Income",LOOKUP(E401,Introduction!$A$11:$A$18,Introduction!$C$11:$C$18),IF(D401="Expense",LOOKUP(E401,Introduction!$D$11:$D$30,Introduction!$F$11:$F$30),"_"))</f>
        <v>_</v>
      </c>
      <c r="G401" s="88"/>
      <c r="H401" s="92"/>
      <c r="I401" s="85">
        <f t="shared" ref="I401:I464" si="32">+I400+H401</f>
        <v>0</v>
      </c>
      <c r="J401" s="93"/>
      <c r="K401" s="85">
        <f t="shared" ref="K401:K464" si="33">IF(J401=1,K400+H401,++K400)</f>
        <v>0</v>
      </c>
      <c r="L401" s="68"/>
      <c r="M401" s="68"/>
      <c r="P401" s="89" t="str">
        <f t="shared" si="31"/>
        <v xml:space="preserve">  1 1900 </v>
      </c>
    </row>
    <row r="402" spans="1:16">
      <c r="A402" s="68"/>
      <c r="B402" s="87"/>
      <c r="C402" s="88"/>
      <c r="D402" s="88"/>
      <c r="E402" s="90"/>
      <c r="F402" s="84" t="str">
        <f ca="1">IF(D402="Income",LOOKUP(E402,Introduction!$A$11:$A$18,Introduction!$C$11:$C$18),IF(D402="Expense",LOOKUP(E402,Introduction!$D$11:$D$30,Introduction!$F$11:$F$30),"_"))</f>
        <v>_</v>
      </c>
      <c r="G402" s="88"/>
      <c r="H402" s="92"/>
      <c r="I402" s="85">
        <f t="shared" si="32"/>
        <v>0</v>
      </c>
      <c r="J402" s="93"/>
      <c r="K402" s="85">
        <f t="shared" si="33"/>
        <v>0</v>
      </c>
      <c r="L402" s="68"/>
      <c r="M402" s="68"/>
      <c r="P402" s="89" t="str">
        <f t="shared" si="31"/>
        <v xml:space="preserve">  1 1900 </v>
      </c>
    </row>
    <row r="403" spans="1:16">
      <c r="A403" s="68"/>
      <c r="B403" s="87"/>
      <c r="C403" s="88"/>
      <c r="D403" s="88"/>
      <c r="E403" s="90"/>
      <c r="F403" s="84" t="str">
        <f ca="1">IF(D403="Income",LOOKUP(E403,Introduction!$A$11:$A$18,Introduction!$C$11:$C$18),IF(D403="Expense",LOOKUP(E403,Introduction!$D$11:$D$30,Introduction!$F$11:$F$30),"_"))</f>
        <v>_</v>
      </c>
      <c r="G403" s="88"/>
      <c r="H403" s="92"/>
      <c r="I403" s="85">
        <f t="shared" si="32"/>
        <v>0</v>
      </c>
      <c r="J403" s="93"/>
      <c r="K403" s="85">
        <f t="shared" si="33"/>
        <v>0</v>
      </c>
      <c r="L403" s="68"/>
      <c r="M403" s="68"/>
      <c r="P403" s="89" t="str">
        <f t="shared" si="31"/>
        <v xml:space="preserve">  1 1900 </v>
      </c>
    </row>
    <row r="404" spans="1:16">
      <c r="A404" s="68"/>
      <c r="B404" s="87"/>
      <c r="C404" s="88"/>
      <c r="D404" s="88"/>
      <c r="E404" s="90"/>
      <c r="F404" s="84" t="str">
        <f ca="1">IF(D404="Income",LOOKUP(E404,Introduction!$A$11:$A$18,Introduction!$C$11:$C$18),IF(D404="Expense",LOOKUP(E404,Introduction!$D$11:$D$30,Introduction!$F$11:$F$30),"_"))</f>
        <v>_</v>
      </c>
      <c r="G404" s="88"/>
      <c r="H404" s="92"/>
      <c r="I404" s="85">
        <f t="shared" si="32"/>
        <v>0</v>
      </c>
      <c r="J404" s="93"/>
      <c r="K404" s="85">
        <f t="shared" si="33"/>
        <v>0</v>
      </c>
      <c r="L404" s="68"/>
      <c r="M404" s="68"/>
      <c r="P404" s="89" t="str">
        <f t="shared" si="31"/>
        <v xml:space="preserve">  1 1900 </v>
      </c>
    </row>
    <row r="405" spans="1:16">
      <c r="A405" s="68"/>
      <c r="B405" s="87"/>
      <c r="C405" s="88"/>
      <c r="D405" s="88"/>
      <c r="E405" s="90"/>
      <c r="F405" s="84" t="str">
        <f ca="1">IF(D405="Income",LOOKUP(E405,Introduction!$A$11:$A$18,Introduction!$C$11:$C$18),IF(D405="Expense",LOOKUP(E405,Introduction!$D$11:$D$30,Introduction!$F$11:$F$30),"_"))</f>
        <v>_</v>
      </c>
      <c r="G405" s="88"/>
      <c r="H405" s="92"/>
      <c r="I405" s="85">
        <f t="shared" si="32"/>
        <v>0</v>
      </c>
      <c r="J405" s="93"/>
      <c r="K405" s="85">
        <f t="shared" si="33"/>
        <v>0</v>
      </c>
      <c r="L405" s="68"/>
      <c r="M405" s="68"/>
      <c r="P405" s="89" t="str">
        <f t="shared" si="31"/>
        <v xml:space="preserve">  1 1900 </v>
      </c>
    </row>
    <row r="406" spans="1:16">
      <c r="A406" s="68"/>
      <c r="B406" s="87"/>
      <c r="C406" s="88"/>
      <c r="D406" s="88"/>
      <c r="E406" s="90"/>
      <c r="F406" s="84" t="str">
        <f ca="1">IF(D406="Income",LOOKUP(E406,Introduction!$A$11:$A$18,Introduction!$C$11:$C$18),IF(D406="Expense",LOOKUP(E406,Introduction!$D$11:$D$30,Introduction!$F$11:$F$30),"_"))</f>
        <v>_</v>
      </c>
      <c r="G406" s="88"/>
      <c r="H406" s="92"/>
      <c r="I406" s="85">
        <f t="shared" si="32"/>
        <v>0</v>
      </c>
      <c r="J406" s="93"/>
      <c r="K406" s="85">
        <f t="shared" si="33"/>
        <v>0</v>
      </c>
      <c r="L406" s="68"/>
      <c r="M406" s="68"/>
      <c r="P406" s="89" t="str">
        <f t="shared" si="31"/>
        <v xml:space="preserve">  1 1900 </v>
      </c>
    </row>
    <row r="407" spans="1:16">
      <c r="A407" s="68"/>
      <c r="B407" s="87"/>
      <c r="C407" s="88"/>
      <c r="D407" s="88"/>
      <c r="E407" s="90"/>
      <c r="F407" s="84" t="str">
        <f ca="1">IF(D407="Income",LOOKUP(E407,Introduction!$A$11:$A$18,Introduction!$C$11:$C$18),IF(D407="Expense",LOOKUP(E407,Introduction!$D$11:$D$30,Introduction!$F$11:$F$30),"_"))</f>
        <v>_</v>
      </c>
      <c r="G407" s="88"/>
      <c r="H407" s="92"/>
      <c r="I407" s="85">
        <f t="shared" si="32"/>
        <v>0</v>
      </c>
      <c r="J407" s="93"/>
      <c r="K407" s="85">
        <f t="shared" si="33"/>
        <v>0</v>
      </c>
      <c r="L407" s="68"/>
      <c r="M407" s="68"/>
      <c r="P407" s="89" t="str">
        <f t="shared" si="31"/>
        <v xml:space="preserve">  1 1900 </v>
      </c>
    </row>
    <row r="408" spans="1:16">
      <c r="A408" s="68"/>
      <c r="B408" s="87"/>
      <c r="C408" s="88"/>
      <c r="D408" s="88"/>
      <c r="E408" s="90"/>
      <c r="F408" s="84" t="str">
        <f ca="1">IF(D408="Income",LOOKUP(E408,Introduction!$A$11:$A$18,Introduction!$C$11:$C$18),IF(D408="Expense",LOOKUP(E408,Introduction!$D$11:$D$30,Introduction!$F$11:$F$30),"_"))</f>
        <v>_</v>
      </c>
      <c r="G408" s="88"/>
      <c r="H408" s="92"/>
      <c r="I408" s="85">
        <f t="shared" si="32"/>
        <v>0</v>
      </c>
      <c r="J408" s="93"/>
      <c r="K408" s="85">
        <f t="shared" si="33"/>
        <v>0</v>
      </c>
      <c r="L408" s="68"/>
      <c r="M408" s="68"/>
      <c r="P408" s="89" t="str">
        <f t="shared" si="31"/>
        <v xml:space="preserve">  1 1900 </v>
      </c>
    </row>
    <row r="409" spans="1:16">
      <c r="A409" s="68"/>
      <c r="B409" s="87"/>
      <c r="C409" s="88"/>
      <c r="D409" s="88"/>
      <c r="E409" s="90"/>
      <c r="F409" s="84" t="str">
        <f ca="1">IF(D409="Income",LOOKUP(E409,Introduction!$A$11:$A$18,Introduction!$C$11:$C$18),IF(D409="Expense",LOOKUP(E409,Introduction!$D$11:$D$30,Introduction!$F$11:$F$30),"_"))</f>
        <v>_</v>
      </c>
      <c r="G409" s="88"/>
      <c r="H409" s="92"/>
      <c r="I409" s="85">
        <f t="shared" si="32"/>
        <v>0</v>
      </c>
      <c r="J409" s="93"/>
      <c r="K409" s="85">
        <f t="shared" si="33"/>
        <v>0</v>
      </c>
      <c r="L409" s="68"/>
      <c r="M409" s="68"/>
      <c r="P409" s="89" t="str">
        <f t="shared" si="31"/>
        <v xml:space="preserve">  1 1900 </v>
      </c>
    </row>
    <row r="410" spans="1:16">
      <c r="A410" s="68"/>
      <c r="B410" s="87"/>
      <c r="C410" s="88"/>
      <c r="D410" s="88"/>
      <c r="E410" s="90"/>
      <c r="F410" s="84" t="str">
        <f ca="1">IF(D410="Income",LOOKUP(E410,Introduction!$A$11:$A$18,Introduction!$C$11:$C$18),IF(D410="Expense",LOOKUP(E410,Introduction!$D$11:$D$30,Introduction!$F$11:$F$30),"_"))</f>
        <v>_</v>
      </c>
      <c r="G410" s="88"/>
      <c r="H410" s="92"/>
      <c r="I410" s="85">
        <f t="shared" si="32"/>
        <v>0</v>
      </c>
      <c r="J410" s="93"/>
      <c r="K410" s="85">
        <f t="shared" si="33"/>
        <v>0</v>
      </c>
      <c r="L410" s="68"/>
      <c r="M410" s="68"/>
      <c r="P410" s="89" t="str">
        <f t="shared" si="31"/>
        <v xml:space="preserve">  1 1900 </v>
      </c>
    </row>
    <row r="411" spans="1:16">
      <c r="A411" s="68"/>
      <c r="B411" s="87"/>
      <c r="C411" s="88"/>
      <c r="D411" s="88"/>
      <c r="E411" s="90"/>
      <c r="F411" s="84" t="str">
        <f ca="1">IF(D411="Income",LOOKUP(E411,Introduction!$A$11:$A$18,Introduction!$C$11:$C$18),IF(D411="Expense",LOOKUP(E411,Introduction!$D$11:$D$30,Introduction!$F$11:$F$30),"_"))</f>
        <v>_</v>
      </c>
      <c r="G411" s="88"/>
      <c r="H411" s="92"/>
      <c r="I411" s="85">
        <f t="shared" si="32"/>
        <v>0</v>
      </c>
      <c r="J411" s="93"/>
      <c r="K411" s="85">
        <f t="shared" si="33"/>
        <v>0</v>
      </c>
      <c r="L411" s="68"/>
      <c r="M411" s="68"/>
      <c r="P411" s="89" t="str">
        <f t="shared" si="31"/>
        <v xml:space="preserve">  1 1900 </v>
      </c>
    </row>
    <row r="412" spans="1:16">
      <c r="A412" s="68"/>
      <c r="B412" s="87"/>
      <c r="C412" s="88"/>
      <c r="D412" s="88"/>
      <c r="E412" s="90"/>
      <c r="F412" s="84" t="str">
        <f ca="1">IF(D412="Income",LOOKUP(E412,Introduction!$A$11:$A$18,Introduction!$C$11:$C$18),IF(D412="Expense",LOOKUP(E412,Introduction!$D$11:$D$30,Introduction!$F$11:$F$30),"_"))</f>
        <v>_</v>
      </c>
      <c r="G412" s="88"/>
      <c r="H412" s="92"/>
      <c r="I412" s="85">
        <f t="shared" si="32"/>
        <v>0</v>
      </c>
      <c r="J412" s="93"/>
      <c r="K412" s="85">
        <f t="shared" si="33"/>
        <v>0</v>
      </c>
      <c r="L412" s="68"/>
      <c r="M412" s="68"/>
      <c r="P412" s="89" t="str">
        <f t="shared" si="31"/>
        <v xml:space="preserve">  1 1900 </v>
      </c>
    </row>
    <row r="413" spans="1:16">
      <c r="A413" s="68"/>
      <c r="B413" s="87"/>
      <c r="C413" s="88"/>
      <c r="D413" s="88"/>
      <c r="E413" s="90"/>
      <c r="F413" s="84" t="str">
        <f ca="1">IF(D413="Income",LOOKUP(E413,Introduction!$A$11:$A$18,Introduction!$C$11:$C$18),IF(D413="Expense",LOOKUP(E413,Introduction!$D$11:$D$30,Introduction!$F$11:$F$30),"_"))</f>
        <v>_</v>
      </c>
      <c r="G413" s="88"/>
      <c r="H413" s="92"/>
      <c r="I413" s="85">
        <f t="shared" si="32"/>
        <v>0</v>
      </c>
      <c r="J413" s="93"/>
      <c r="K413" s="85">
        <f t="shared" si="33"/>
        <v>0</v>
      </c>
      <c r="L413" s="68"/>
      <c r="M413" s="68"/>
      <c r="P413" s="89" t="str">
        <f t="shared" si="31"/>
        <v xml:space="preserve">  1 1900 </v>
      </c>
    </row>
    <row r="414" spans="1:16">
      <c r="A414" s="68"/>
      <c r="B414" s="87"/>
      <c r="C414" s="88"/>
      <c r="D414" s="88"/>
      <c r="E414" s="90"/>
      <c r="F414" s="84" t="str">
        <f ca="1">IF(D414="Income",LOOKUP(E414,Introduction!$A$11:$A$18,Introduction!$C$11:$C$18),IF(D414="Expense",LOOKUP(E414,Introduction!$D$11:$D$30,Introduction!$F$11:$F$30),"_"))</f>
        <v>_</v>
      </c>
      <c r="G414" s="88"/>
      <c r="H414" s="92"/>
      <c r="I414" s="85">
        <f t="shared" si="32"/>
        <v>0</v>
      </c>
      <c r="J414" s="93"/>
      <c r="K414" s="85">
        <f t="shared" si="33"/>
        <v>0</v>
      </c>
      <c r="L414" s="68"/>
      <c r="M414" s="68"/>
      <c r="P414" s="89" t="str">
        <f t="shared" si="31"/>
        <v xml:space="preserve">  1 1900 </v>
      </c>
    </row>
    <row r="415" spans="1:16">
      <c r="A415" s="68"/>
      <c r="B415" s="87"/>
      <c r="C415" s="88"/>
      <c r="D415" s="88"/>
      <c r="E415" s="90"/>
      <c r="F415" s="84" t="str">
        <f ca="1">IF(D415="Income",LOOKUP(E415,Introduction!$A$11:$A$18,Introduction!$C$11:$C$18),IF(D415="Expense",LOOKUP(E415,Introduction!$D$11:$D$30,Introduction!$F$11:$F$30),"_"))</f>
        <v>_</v>
      </c>
      <c r="G415" s="88"/>
      <c r="H415" s="92"/>
      <c r="I415" s="85">
        <f t="shared" si="32"/>
        <v>0</v>
      </c>
      <c r="J415" s="93"/>
      <c r="K415" s="85">
        <f t="shared" si="33"/>
        <v>0</v>
      </c>
      <c r="L415" s="68"/>
      <c r="M415" s="68"/>
      <c r="P415" s="89" t="str">
        <f t="shared" si="31"/>
        <v xml:space="preserve">  1 1900 </v>
      </c>
    </row>
    <row r="416" spans="1:16">
      <c r="A416" s="68"/>
      <c r="B416" s="87"/>
      <c r="C416" s="88"/>
      <c r="D416" s="88"/>
      <c r="E416" s="90"/>
      <c r="F416" s="84" t="str">
        <f ca="1">IF(D416="Income",LOOKUP(E416,Introduction!$A$11:$A$18,Introduction!$C$11:$C$18),IF(D416="Expense",LOOKUP(E416,Introduction!$D$11:$D$30,Introduction!$F$11:$F$30),"_"))</f>
        <v>_</v>
      </c>
      <c r="G416" s="88"/>
      <c r="H416" s="92"/>
      <c r="I416" s="85">
        <f t="shared" si="32"/>
        <v>0</v>
      </c>
      <c r="J416" s="93"/>
      <c r="K416" s="85">
        <f t="shared" si="33"/>
        <v>0</v>
      </c>
      <c r="L416" s="68"/>
      <c r="M416" s="68"/>
      <c r="P416" s="89" t="str">
        <f t="shared" si="31"/>
        <v xml:space="preserve">  1 1900 </v>
      </c>
    </row>
    <row r="417" spans="1:16">
      <c r="A417" s="68"/>
      <c r="B417" s="87"/>
      <c r="C417" s="88"/>
      <c r="D417" s="88"/>
      <c r="E417" s="90"/>
      <c r="F417" s="84" t="str">
        <f ca="1">IF(D417="Income",LOOKUP(E417,Introduction!$A$11:$A$18,Introduction!$C$11:$C$18),IF(D417="Expense",LOOKUP(E417,Introduction!$D$11:$D$30,Introduction!$F$11:$F$30),"_"))</f>
        <v>_</v>
      </c>
      <c r="G417" s="88"/>
      <c r="H417" s="92"/>
      <c r="I417" s="85">
        <f t="shared" si="32"/>
        <v>0</v>
      </c>
      <c r="J417" s="93"/>
      <c r="K417" s="85">
        <f t="shared" si="33"/>
        <v>0</v>
      </c>
      <c r="L417" s="68"/>
      <c r="M417" s="68"/>
      <c r="P417" s="89" t="str">
        <f t="shared" si="31"/>
        <v xml:space="preserve">  1 1900 </v>
      </c>
    </row>
    <row r="418" spans="1:16">
      <c r="A418" s="68"/>
      <c r="B418" s="87"/>
      <c r="C418" s="88"/>
      <c r="D418" s="88"/>
      <c r="E418" s="90"/>
      <c r="F418" s="84" t="str">
        <f ca="1">IF(D418="Income",LOOKUP(E418,Introduction!$A$11:$A$18,Introduction!$C$11:$C$18),IF(D418="Expense",LOOKUP(E418,Introduction!$D$11:$D$30,Introduction!$F$11:$F$30),"_"))</f>
        <v>_</v>
      </c>
      <c r="G418" s="88"/>
      <c r="H418" s="92"/>
      <c r="I418" s="85">
        <f t="shared" si="32"/>
        <v>0</v>
      </c>
      <c r="J418" s="93"/>
      <c r="K418" s="85">
        <f t="shared" si="33"/>
        <v>0</v>
      </c>
      <c r="L418" s="68"/>
      <c r="M418" s="68"/>
      <c r="P418" s="89" t="str">
        <f t="shared" si="31"/>
        <v xml:space="preserve">  1 1900 </v>
      </c>
    </row>
    <row r="419" spans="1:16">
      <c r="A419" s="68"/>
      <c r="B419" s="87"/>
      <c r="C419" s="88"/>
      <c r="D419" s="88"/>
      <c r="E419" s="90"/>
      <c r="F419" s="84" t="str">
        <f ca="1">IF(D419="Income",LOOKUP(E419,Introduction!$A$11:$A$18,Introduction!$C$11:$C$18),IF(D419="Expense",LOOKUP(E419,Introduction!$D$11:$D$30,Introduction!$F$11:$F$30),"_"))</f>
        <v>_</v>
      </c>
      <c r="G419" s="88"/>
      <c r="H419" s="92"/>
      <c r="I419" s="85">
        <f t="shared" si="32"/>
        <v>0</v>
      </c>
      <c r="J419" s="93"/>
      <c r="K419" s="85">
        <f t="shared" si="33"/>
        <v>0</v>
      </c>
      <c r="L419" s="68"/>
      <c r="M419" s="68"/>
      <c r="P419" s="89" t="str">
        <f t="shared" si="31"/>
        <v xml:space="preserve">  1 1900 </v>
      </c>
    </row>
    <row r="420" spans="1:16">
      <c r="A420" s="68"/>
      <c r="B420" s="87"/>
      <c r="C420" s="88"/>
      <c r="D420" s="88"/>
      <c r="E420" s="90"/>
      <c r="F420" s="84" t="str">
        <f ca="1">IF(D420="Income",LOOKUP(E420,Introduction!$A$11:$A$18,Introduction!$C$11:$C$18),IF(D420="Expense",LOOKUP(E420,Introduction!$D$11:$D$30,Introduction!$F$11:$F$30),"_"))</f>
        <v>_</v>
      </c>
      <c r="G420" s="88"/>
      <c r="H420" s="92"/>
      <c r="I420" s="85">
        <f t="shared" si="32"/>
        <v>0</v>
      </c>
      <c r="J420" s="93"/>
      <c r="K420" s="85">
        <f t="shared" si="33"/>
        <v>0</v>
      </c>
      <c r="L420" s="68"/>
      <c r="M420" s="68"/>
      <c r="P420" s="89" t="str">
        <f t="shared" si="31"/>
        <v xml:space="preserve">  1 1900 </v>
      </c>
    </row>
    <row r="421" spans="1:16">
      <c r="A421" s="68"/>
      <c r="B421" s="87"/>
      <c r="C421" s="88"/>
      <c r="D421" s="88"/>
      <c r="E421" s="90"/>
      <c r="F421" s="84" t="str">
        <f ca="1">IF(D421="Income",LOOKUP(E421,Introduction!$A$11:$A$18,Introduction!$C$11:$C$18),IF(D421="Expense",LOOKUP(E421,Introduction!$D$11:$D$30,Introduction!$F$11:$F$30),"_"))</f>
        <v>_</v>
      </c>
      <c r="G421" s="88"/>
      <c r="H421" s="92"/>
      <c r="I421" s="85">
        <f t="shared" si="32"/>
        <v>0</v>
      </c>
      <c r="J421" s="93"/>
      <c r="K421" s="85">
        <f t="shared" si="33"/>
        <v>0</v>
      </c>
      <c r="L421" s="68"/>
      <c r="M421" s="68"/>
      <c r="P421" s="89" t="str">
        <f t="shared" si="31"/>
        <v xml:space="preserve">  1 1900 </v>
      </c>
    </row>
    <row r="422" spans="1:16">
      <c r="A422" s="68"/>
      <c r="B422" s="87"/>
      <c r="C422" s="88"/>
      <c r="D422" s="88"/>
      <c r="E422" s="90"/>
      <c r="F422" s="84" t="str">
        <f ca="1">IF(D422="Income",LOOKUP(E422,Introduction!$A$11:$A$18,Introduction!$C$11:$C$18),IF(D422="Expense",LOOKUP(E422,Introduction!$D$11:$D$30,Introduction!$F$11:$F$30),"_"))</f>
        <v>_</v>
      </c>
      <c r="G422" s="88"/>
      <c r="H422" s="92"/>
      <c r="I422" s="85">
        <f t="shared" si="32"/>
        <v>0</v>
      </c>
      <c r="J422" s="93"/>
      <c r="K422" s="85">
        <f t="shared" si="33"/>
        <v>0</v>
      </c>
      <c r="L422" s="68"/>
      <c r="M422" s="68"/>
      <c r="P422" s="89" t="str">
        <f t="shared" si="31"/>
        <v xml:space="preserve">  1 1900 </v>
      </c>
    </row>
    <row r="423" spans="1:16">
      <c r="A423" s="68"/>
      <c r="B423" s="87"/>
      <c r="C423" s="88"/>
      <c r="D423" s="88"/>
      <c r="E423" s="90"/>
      <c r="F423" s="84" t="str">
        <f ca="1">IF(D423="Income",LOOKUP(E423,Introduction!$A$11:$A$18,Introduction!$C$11:$C$18),IF(D423="Expense",LOOKUP(E423,Introduction!$D$11:$D$30,Introduction!$F$11:$F$30),"_"))</f>
        <v>_</v>
      </c>
      <c r="G423" s="88"/>
      <c r="H423" s="92"/>
      <c r="I423" s="85">
        <f t="shared" si="32"/>
        <v>0</v>
      </c>
      <c r="J423" s="93"/>
      <c r="K423" s="85">
        <f t="shared" si="33"/>
        <v>0</v>
      </c>
      <c r="L423" s="68"/>
      <c r="M423" s="68"/>
      <c r="P423" s="89" t="str">
        <f t="shared" si="31"/>
        <v xml:space="preserve">  1 1900 </v>
      </c>
    </row>
    <row r="424" spans="1:16">
      <c r="A424" s="68"/>
      <c r="B424" s="87"/>
      <c r="C424" s="88"/>
      <c r="D424" s="88"/>
      <c r="E424" s="90"/>
      <c r="F424" s="84" t="str">
        <f ca="1">IF(D424="Income",LOOKUP(E424,Introduction!$A$11:$A$18,Introduction!$C$11:$C$18),IF(D424="Expense",LOOKUP(E424,Introduction!$D$11:$D$30,Introduction!$F$11:$F$30),"_"))</f>
        <v>_</v>
      </c>
      <c r="G424" s="88"/>
      <c r="H424" s="92"/>
      <c r="I424" s="85">
        <f t="shared" si="32"/>
        <v>0</v>
      </c>
      <c r="J424" s="93"/>
      <c r="K424" s="85">
        <f t="shared" si="33"/>
        <v>0</v>
      </c>
      <c r="L424" s="68"/>
      <c r="M424" s="68"/>
      <c r="P424" s="89" t="str">
        <f t="shared" si="31"/>
        <v xml:space="preserve">  1 1900 </v>
      </c>
    </row>
    <row r="425" spans="1:16">
      <c r="A425" s="68"/>
      <c r="B425" s="87"/>
      <c r="C425" s="88"/>
      <c r="D425" s="88"/>
      <c r="E425" s="90"/>
      <c r="F425" s="84" t="str">
        <f ca="1">IF(D425="Income",LOOKUP(E425,Introduction!$A$11:$A$18,Introduction!$C$11:$C$18),IF(D425="Expense",LOOKUP(E425,Introduction!$D$11:$D$30,Introduction!$F$11:$F$30),"_"))</f>
        <v>_</v>
      </c>
      <c r="G425" s="88"/>
      <c r="H425" s="92"/>
      <c r="I425" s="85">
        <f t="shared" si="32"/>
        <v>0</v>
      </c>
      <c r="J425" s="93"/>
      <c r="K425" s="85">
        <f t="shared" si="33"/>
        <v>0</v>
      </c>
      <c r="L425" s="68"/>
      <c r="M425" s="68"/>
      <c r="P425" s="89" t="str">
        <f t="shared" si="31"/>
        <v xml:space="preserve">  1 1900 </v>
      </c>
    </row>
    <row r="426" spans="1:16">
      <c r="A426" s="68"/>
      <c r="B426" s="87"/>
      <c r="C426" s="88"/>
      <c r="D426" s="88"/>
      <c r="E426" s="90"/>
      <c r="F426" s="84" t="str">
        <f ca="1">IF(D426="Income",LOOKUP(E426,Introduction!$A$11:$A$18,Introduction!$C$11:$C$18),IF(D426="Expense",LOOKUP(E426,Introduction!$D$11:$D$30,Introduction!$F$11:$F$30),"_"))</f>
        <v>_</v>
      </c>
      <c r="G426" s="88"/>
      <c r="H426" s="92"/>
      <c r="I426" s="85">
        <f t="shared" si="32"/>
        <v>0</v>
      </c>
      <c r="J426" s="93"/>
      <c r="K426" s="85">
        <f t="shared" si="33"/>
        <v>0</v>
      </c>
      <c r="L426" s="68"/>
      <c r="M426" s="68"/>
      <c r="P426" s="89" t="str">
        <f t="shared" si="31"/>
        <v xml:space="preserve">  1 1900 </v>
      </c>
    </row>
    <row r="427" spans="1:16">
      <c r="A427" s="68"/>
      <c r="B427" s="87"/>
      <c r="C427" s="88"/>
      <c r="D427" s="88"/>
      <c r="E427" s="90"/>
      <c r="F427" s="84" t="str">
        <f ca="1">IF(D427="Income",LOOKUP(E427,Introduction!$A$11:$A$18,Introduction!$C$11:$C$18),IF(D427="Expense",LOOKUP(E427,Introduction!$D$11:$D$30,Introduction!$F$11:$F$30),"_"))</f>
        <v>_</v>
      </c>
      <c r="G427" s="88"/>
      <c r="H427" s="92"/>
      <c r="I427" s="85">
        <f t="shared" si="32"/>
        <v>0</v>
      </c>
      <c r="J427" s="93"/>
      <c r="K427" s="85">
        <f t="shared" si="33"/>
        <v>0</v>
      </c>
      <c r="L427" s="68"/>
      <c r="M427" s="68"/>
      <c r="P427" s="89" t="str">
        <f t="shared" si="31"/>
        <v xml:space="preserve">  1 1900 </v>
      </c>
    </row>
    <row r="428" spans="1:16">
      <c r="A428" s="68"/>
      <c r="B428" s="87"/>
      <c r="C428" s="88"/>
      <c r="D428" s="88"/>
      <c r="E428" s="90"/>
      <c r="F428" s="84" t="str">
        <f ca="1">IF(D428="Income",LOOKUP(E428,Introduction!$A$11:$A$18,Introduction!$C$11:$C$18),IF(D428="Expense",LOOKUP(E428,Introduction!$D$11:$D$30,Introduction!$F$11:$F$30),"_"))</f>
        <v>_</v>
      </c>
      <c r="G428" s="88"/>
      <c r="H428" s="92"/>
      <c r="I428" s="85">
        <f t="shared" si="32"/>
        <v>0</v>
      </c>
      <c r="J428" s="93"/>
      <c r="K428" s="85">
        <f t="shared" si="33"/>
        <v>0</v>
      </c>
      <c r="L428" s="68"/>
      <c r="M428" s="68"/>
      <c r="P428" s="89" t="str">
        <f t="shared" si="31"/>
        <v xml:space="preserve">  1 1900 </v>
      </c>
    </row>
    <row r="429" spans="1:16">
      <c r="A429" s="68"/>
      <c r="B429" s="87"/>
      <c r="C429" s="88"/>
      <c r="D429" s="88"/>
      <c r="E429" s="90"/>
      <c r="F429" s="84" t="str">
        <f ca="1">IF(D429="Income",LOOKUP(E429,Introduction!$A$11:$A$18,Introduction!$C$11:$C$18),IF(D429="Expense",LOOKUP(E429,Introduction!$D$11:$D$30,Introduction!$F$11:$F$30),"_"))</f>
        <v>_</v>
      </c>
      <c r="G429" s="88"/>
      <c r="H429" s="92"/>
      <c r="I429" s="85">
        <f t="shared" si="32"/>
        <v>0</v>
      </c>
      <c r="J429" s="93"/>
      <c r="K429" s="85">
        <f t="shared" si="33"/>
        <v>0</v>
      </c>
      <c r="L429" s="68"/>
      <c r="M429" s="68"/>
      <c r="P429" s="89" t="str">
        <f t="shared" si="31"/>
        <v xml:space="preserve">  1 1900 </v>
      </c>
    </row>
    <row r="430" spans="1:16">
      <c r="A430" s="68"/>
      <c r="B430" s="87"/>
      <c r="C430" s="88"/>
      <c r="D430" s="88"/>
      <c r="E430" s="90"/>
      <c r="F430" s="84" t="str">
        <f ca="1">IF(D430="Income",LOOKUP(E430,Introduction!$A$11:$A$18,Introduction!$C$11:$C$18),IF(D430="Expense",LOOKUP(E430,Introduction!$D$11:$D$30,Introduction!$F$11:$F$30),"_"))</f>
        <v>_</v>
      </c>
      <c r="G430" s="88"/>
      <c r="H430" s="92"/>
      <c r="I430" s="85">
        <f t="shared" si="32"/>
        <v>0</v>
      </c>
      <c r="J430" s="93"/>
      <c r="K430" s="85">
        <f t="shared" si="33"/>
        <v>0</v>
      </c>
      <c r="L430" s="68"/>
      <c r="M430" s="68"/>
      <c r="P430" s="89" t="str">
        <f t="shared" si="31"/>
        <v xml:space="preserve">  1 1900 </v>
      </c>
    </row>
    <row r="431" spans="1:16">
      <c r="A431" s="68"/>
      <c r="B431" s="87"/>
      <c r="C431" s="88"/>
      <c r="D431" s="88"/>
      <c r="E431" s="90"/>
      <c r="F431" s="84" t="str">
        <f ca="1">IF(D431="Income",LOOKUP(E431,Introduction!$A$11:$A$18,Introduction!$C$11:$C$18),IF(D431="Expense",LOOKUP(E431,Introduction!$D$11:$D$30,Introduction!$F$11:$F$30),"_"))</f>
        <v>_</v>
      </c>
      <c r="G431" s="88"/>
      <c r="H431" s="92"/>
      <c r="I431" s="85">
        <f t="shared" si="32"/>
        <v>0</v>
      </c>
      <c r="J431" s="93"/>
      <c r="K431" s="85">
        <f t="shared" si="33"/>
        <v>0</v>
      </c>
      <c r="L431" s="68"/>
      <c r="M431" s="68"/>
      <c r="P431" s="89" t="str">
        <f t="shared" si="31"/>
        <v xml:space="preserve">  1 1900 </v>
      </c>
    </row>
    <row r="432" spans="1:16">
      <c r="A432" s="68"/>
      <c r="B432" s="87"/>
      <c r="C432" s="88"/>
      <c r="D432" s="88"/>
      <c r="E432" s="90"/>
      <c r="F432" s="84" t="str">
        <f ca="1">IF(D432="Income",LOOKUP(E432,Introduction!$A$11:$A$18,Introduction!$C$11:$C$18),IF(D432="Expense",LOOKUP(E432,Introduction!$D$11:$D$30,Introduction!$F$11:$F$30),"_"))</f>
        <v>_</v>
      </c>
      <c r="G432" s="88"/>
      <c r="H432" s="92"/>
      <c r="I432" s="85">
        <f t="shared" si="32"/>
        <v>0</v>
      </c>
      <c r="J432" s="93"/>
      <c r="K432" s="85">
        <f t="shared" si="33"/>
        <v>0</v>
      </c>
      <c r="L432" s="68"/>
      <c r="M432" s="68"/>
      <c r="P432" s="89" t="str">
        <f t="shared" si="31"/>
        <v xml:space="preserve">  1 1900 </v>
      </c>
    </row>
    <row r="433" spans="1:16">
      <c r="A433" s="68"/>
      <c r="B433" s="87"/>
      <c r="C433" s="88"/>
      <c r="D433" s="88"/>
      <c r="E433" s="90"/>
      <c r="F433" s="84" t="str">
        <f ca="1">IF(D433="Income",LOOKUP(E433,Introduction!$A$11:$A$18,Introduction!$C$11:$C$18),IF(D433="Expense",LOOKUP(E433,Introduction!$D$11:$D$30,Introduction!$F$11:$F$30),"_"))</f>
        <v>_</v>
      </c>
      <c r="G433" s="88"/>
      <c r="H433" s="92"/>
      <c r="I433" s="85">
        <f t="shared" si="32"/>
        <v>0</v>
      </c>
      <c r="J433" s="93"/>
      <c r="K433" s="85">
        <f t="shared" si="33"/>
        <v>0</v>
      </c>
      <c r="L433" s="68"/>
      <c r="M433" s="68"/>
      <c r="P433" s="89" t="str">
        <f t="shared" si="31"/>
        <v xml:space="preserve">  1 1900 </v>
      </c>
    </row>
    <row r="434" spans="1:16">
      <c r="A434" s="68"/>
      <c r="B434" s="87"/>
      <c r="C434" s="88"/>
      <c r="D434" s="88"/>
      <c r="E434" s="90"/>
      <c r="F434" s="84" t="str">
        <f ca="1">IF(D434="Income",LOOKUP(E434,Introduction!$A$11:$A$18,Introduction!$C$11:$C$18),IF(D434="Expense",LOOKUP(E434,Introduction!$D$11:$D$30,Introduction!$F$11:$F$30),"_"))</f>
        <v>_</v>
      </c>
      <c r="G434" s="88"/>
      <c r="H434" s="92"/>
      <c r="I434" s="85">
        <f t="shared" si="32"/>
        <v>0</v>
      </c>
      <c r="J434" s="93"/>
      <c r="K434" s="85">
        <f t="shared" si="33"/>
        <v>0</v>
      </c>
      <c r="L434" s="68"/>
      <c r="M434" s="68"/>
      <c r="P434" s="89" t="str">
        <f t="shared" si="31"/>
        <v xml:space="preserve">  1 1900 </v>
      </c>
    </row>
    <row r="435" spans="1:16">
      <c r="A435" s="68"/>
      <c r="B435" s="87"/>
      <c r="C435" s="88"/>
      <c r="D435" s="88"/>
      <c r="E435" s="90"/>
      <c r="F435" s="84" t="str">
        <f ca="1">IF(D435="Income",LOOKUP(E435,Introduction!$A$11:$A$18,Introduction!$C$11:$C$18),IF(D435="Expense",LOOKUP(E435,Introduction!$D$11:$D$30,Introduction!$F$11:$F$30),"_"))</f>
        <v>_</v>
      </c>
      <c r="G435" s="88"/>
      <c r="H435" s="92"/>
      <c r="I435" s="85">
        <f t="shared" si="32"/>
        <v>0</v>
      </c>
      <c r="J435" s="93"/>
      <c r="K435" s="85">
        <f t="shared" si="33"/>
        <v>0</v>
      </c>
      <c r="L435" s="68"/>
      <c r="M435" s="68"/>
      <c r="P435" s="89" t="str">
        <f t="shared" si="31"/>
        <v xml:space="preserve">  1 1900 </v>
      </c>
    </row>
    <row r="436" spans="1:16">
      <c r="A436" s="68"/>
      <c r="B436" s="87"/>
      <c r="C436" s="88"/>
      <c r="D436" s="88"/>
      <c r="E436" s="90"/>
      <c r="F436" s="84" t="str">
        <f ca="1">IF(D436="Income",LOOKUP(E436,Introduction!$A$11:$A$18,Introduction!$C$11:$C$18),IF(D436="Expense",LOOKUP(E436,Introduction!$D$11:$D$30,Introduction!$F$11:$F$30),"_"))</f>
        <v>_</v>
      </c>
      <c r="G436" s="88"/>
      <c r="H436" s="92"/>
      <c r="I436" s="85">
        <f t="shared" si="32"/>
        <v>0</v>
      </c>
      <c r="J436" s="93"/>
      <c r="K436" s="85">
        <f t="shared" si="33"/>
        <v>0</v>
      </c>
      <c r="L436" s="68"/>
      <c r="M436" s="68"/>
      <c r="P436" s="89" t="str">
        <f t="shared" si="31"/>
        <v xml:space="preserve">  1 1900 </v>
      </c>
    </row>
    <row r="437" spans="1:16">
      <c r="A437" s="68"/>
      <c r="B437" s="87"/>
      <c r="C437" s="88"/>
      <c r="D437" s="88"/>
      <c r="E437" s="90"/>
      <c r="F437" s="84" t="str">
        <f ca="1">IF(D437="Income",LOOKUP(E437,Introduction!$A$11:$A$18,Introduction!$C$11:$C$18),IF(D437="Expense",LOOKUP(E437,Introduction!$D$11:$D$30,Introduction!$F$11:$F$30),"_"))</f>
        <v>_</v>
      </c>
      <c r="G437" s="88"/>
      <c r="H437" s="92"/>
      <c r="I437" s="85">
        <f t="shared" si="32"/>
        <v>0</v>
      </c>
      <c r="J437" s="93"/>
      <c r="K437" s="85">
        <f t="shared" si="33"/>
        <v>0</v>
      </c>
      <c r="L437" s="68"/>
      <c r="M437" s="68"/>
      <c r="P437" s="89" t="str">
        <f t="shared" si="31"/>
        <v xml:space="preserve">  1 1900 </v>
      </c>
    </row>
    <row r="438" spans="1:16">
      <c r="A438" s="68"/>
      <c r="B438" s="87"/>
      <c r="C438" s="88"/>
      <c r="D438" s="88"/>
      <c r="E438" s="90"/>
      <c r="F438" s="84" t="str">
        <f ca="1">IF(D438="Income",LOOKUP(E438,Introduction!$A$11:$A$18,Introduction!$C$11:$C$18),IF(D438="Expense",LOOKUP(E438,Introduction!$D$11:$D$30,Introduction!$F$11:$F$30),"_"))</f>
        <v>_</v>
      </c>
      <c r="G438" s="88"/>
      <c r="H438" s="92"/>
      <c r="I438" s="85">
        <f t="shared" si="32"/>
        <v>0</v>
      </c>
      <c r="J438" s="93"/>
      <c r="K438" s="85">
        <f t="shared" si="33"/>
        <v>0</v>
      </c>
      <c r="L438" s="68"/>
      <c r="M438" s="68"/>
      <c r="P438" s="89" t="str">
        <f t="shared" si="31"/>
        <v xml:space="preserve">  1 1900 </v>
      </c>
    </row>
    <row r="439" spans="1:16">
      <c r="A439" s="68"/>
      <c r="B439" s="87"/>
      <c r="C439" s="88"/>
      <c r="D439" s="88"/>
      <c r="E439" s="90"/>
      <c r="F439" s="84" t="str">
        <f ca="1">IF(D439="Income",LOOKUP(E439,Introduction!$A$11:$A$18,Introduction!$C$11:$C$18),IF(D439="Expense",LOOKUP(E439,Introduction!$D$11:$D$30,Introduction!$F$11:$F$30),"_"))</f>
        <v>_</v>
      </c>
      <c r="G439" s="88"/>
      <c r="H439" s="92"/>
      <c r="I439" s="85">
        <f t="shared" si="32"/>
        <v>0</v>
      </c>
      <c r="J439" s="93"/>
      <c r="K439" s="85">
        <f t="shared" si="33"/>
        <v>0</v>
      </c>
      <c r="L439" s="68"/>
      <c r="M439" s="68"/>
      <c r="P439" s="89" t="str">
        <f t="shared" si="31"/>
        <v xml:space="preserve">  1 1900 </v>
      </c>
    </row>
    <row r="440" spans="1:16">
      <c r="A440" s="68"/>
      <c r="B440" s="87"/>
      <c r="C440" s="88"/>
      <c r="D440" s="88"/>
      <c r="E440" s="90"/>
      <c r="F440" s="84" t="str">
        <f ca="1">IF(D440="Income",LOOKUP(E440,Introduction!$A$11:$A$18,Introduction!$C$11:$C$18),IF(D440="Expense",LOOKUP(E440,Introduction!$D$11:$D$30,Introduction!$F$11:$F$30),"_"))</f>
        <v>_</v>
      </c>
      <c r="G440" s="88"/>
      <c r="H440" s="92"/>
      <c r="I440" s="85">
        <f t="shared" si="32"/>
        <v>0</v>
      </c>
      <c r="J440" s="93"/>
      <c r="K440" s="85">
        <f t="shared" si="33"/>
        <v>0</v>
      </c>
      <c r="L440" s="68"/>
      <c r="M440" s="68"/>
      <c r="P440" s="89" t="str">
        <f t="shared" si="31"/>
        <v xml:space="preserve">  1 1900 </v>
      </c>
    </row>
    <row r="441" spans="1:16">
      <c r="A441" s="68"/>
      <c r="B441" s="87"/>
      <c r="C441" s="88"/>
      <c r="D441" s="88"/>
      <c r="E441" s="90"/>
      <c r="F441" s="84" t="str">
        <f ca="1">IF(D441="Income",LOOKUP(E441,Introduction!$A$11:$A$18,Introduction!$C$11:$C$18),IF(D441="Expense",LOOKUP(E441,Introduction!$D$11:$D$30,Introduction!$F$11:$F$30),"_"))</f>
        <v>_</v>
      </c>
      <c r="G441" s="88"/>
      <c r="H441" s="92"/>
      <c r="I441" s="85">
        <f t="shared" si="32"/>
        <v>0</v>
      </c>
      <c r="J441" s="93"/>
      <c r="K441" s="85">
        <f t="shared" si="33"/>
        <v>0</v>
      </c>
      <c r="L441" s="68"/>
      <c r="M441" s="68"/>
      <c r="P441" s="89" t="str">
        <f t="shared" si="31"/>
        <v xml:space="preserve">  1 1900 </v>
      </c>
    </row>
    <row r="442" spans="1:16">
      <c r="A442" s="68"/>
      <c r="B442" s="87"/>
      <c r="C442" s="88"/>
      <c r="D442" s="88"/>
      <c r="E442" s="90"/>
      <c r="F442" s="84" t="str">
        <f ca="1">IF(D442="Income",LOOKUP(E442,Introduction!$A$11:$A$18,Introduction!$C$11:$C$18),IF(D442="Expense",LOOKUP(E442,Introduction!$D$11:$D$30,Introduction!$F$11:$F$30),"_"))</f>
        <v>_</v>
      </c>
      <c r="G442" s="88"/>
      <c r="H442" s="92"/>
      <c r="I442" s="85">
        <f t="shared" si="32"/>
        <v>0</v>
      </c>
      <c r="J442" s="93"/>
      <c r="K442" s="85">
        <f t="shared" si="33"/>
        <v>0</v>
      </c>
      <c r="L442" s="68"/>
      <c r="M442" s="68"/>
      <c r="P442" s="89" t="str">
        <f t="shared" si="31"/>
        <v xml:space="preserve">  1 1900 </v>
      </c>
    </row>
    <row r="443" spans="1:16">
      <c r="A443" s="68"/>
      <c r="B443" s="87"/>
      <c r="C443" s="88"/>
      <c r="D443" s="88"/>
      <c r="E443" s="90"/>
      <c r="F443" s="84" t="str">
        <f ca="1">IF(D443="Income",LOOKUP(E443,Introduction!$A$11:$A$18,Introduction!$C$11:$C$18),IF(D443="Expense",LOOKUP(E443,Introduction!$D$11:$D$30,Introduction!$F$11:$F$30),"_"))</f>
        <v>_</v>
      </c>
      <c r="G443" s="88"/>
      <c r="H443" s="92"/>
      <c r="I443" s="85">
        <f t="shared" si="32"/>
        <v>0</v>
      </c>
      <c r="J443" s="93"/>
      <c r="K443" s="85">
        <f t="shared" si="33"/>
        <v>0</v>
      </c>
      <c r="L443" s="68"/>
      <c r="M443" s="68"/>
      <c r="P443" s="89" t="str">
        <f t="shared" si="31"/>
        <v xml:space="preserve">  1 1900 </v>
      </c>
    </row>
    <row r="444" spans="1:16">
      <c r="A444" s="68"/>
      <c r="B444" s="87"/>
      <c r="C444" s="88"/>
      <c r="D444" s="88"/>
      <c r="E444" s="90"/>
      <c r="F444" s="84" t="str">
        <f ca="1">IF(D444="Income",LOOKUP(E444,Introduction!$A$11:$A$18,Introduction!$C$11:$C$18),IF(D444="Expense",LOOKUP(E444,Introduction!$D$11:$D$30,Introduction!$F$11:$F$30),"_"))</f>
        <v>_</v>
      </c>
      <c r="G444" s="88"/>
      <c r="H444" s="92"/>
      <c r="I444" s="85">
        <f t="shared" si="32"/>
        <v>0</v>
      </c>
      <c r="J444" s="93"/>
      <c r="K444" s="85">
        <f t="shared" si="33"/>
        <v>0</v>
      </c>
      <c r="L444" s="68"/>
      <c r="M444" s="68"/>
      <c r="P444" s="89" t="str">
        <f t="shared" si="31"/>
        <v xml:space="preserve">  1 1900 </v>
      </c>
    </row>
    <row r="445" spans="1:16">
      <c r="A445" s="68"/>
      <c r="B445" s="87"/>
      <c r="C445" s="88"/>
      <c r="D445" s="88"/>
      <c r="E445" s="90"/>
      <c r="F445" s="84" t="str">
        <f ca="1">IF(D445="Income",LOOKUP(E445,Introduction!$A$11:$A$18,Introduction!$C$11:$C$18),IF(D445="Expense",LOOKUP(E445,Introduction!$D$11:$D$30,Introduction!$F$11:$F$30),"_"))</f>
        <v>_</v>
      </c>
      <c r="G445" s="88"/>
      <c r="H445" s="92"/>
      <c r="I445" s="85">
        <f t="shared" si="32"/>
        <v>0</v>
      </c>
      <c r="J445" s="93"/>
      <c r="K445" s="85">
        <f t="shared" si="33"/>
        <v>0</v>
      </c>
      <c r="L445" s="68"/>
      <c r="M445" s="68"/>
      <c r="P445" s="89" t="str">
        <f t="shared" si="31"/>
        <v xml:space="preserve">  1 1900 </v>
      </c>
    </row>
    <row r="446" spans="1:16">
      <c r="A446" s="68"/>
      <c r="B446" s="87"/>
      <c r="C446" s="88"/>
      <c r="D446" s="88"/>
      <c r="E446" s="90"/>
      <c r="F446" s="84" t="str">
        <f ca="1">IF(D446="Income",LOOKUP(E446,Introduction!$A$11:$A$18,Introduction!$C$11:$C$18),IF(D446="Expense",LOOKUP(E446,Introduction!$D$11:$D$30,Introduction!$F$11:$F$30),"_"))</f>
        <v>_</v>
      </c>
      <c r="G446" s="88"/>
      <c r="H446" s="92"/>
      <c r="I446" s="85">
        <f t="shared" si="32"/>
        <v>0</v>
      </c>
      <c r="J446" s="93"/>
      <c r="K446" s="85">
        <f t="shared" si="33"/>
        <v>0</v>
      </c>
      <c r="L446" s="68"/>
      <c r="M446" s="68"/>
      <c r="P446" s="89" t="str">
        <f t="shared" si="31"/>
        <v xml:space="preserve">  1 1900 </v>
      </c>
    </row>
    <row r="447" spans="1:16">
      <c r="A447" s="68"/>
      <c r="B447" s="87"/>
      <c r="C447" s="88"/>
      <c r="D447" s="88"/>
      <c r="E447" s="90"/>
      <c r="F447" s="84" t="str">
        <f ca="1">IF(D447="Income",LOOKUP(E447,Introduction!$A$11:$A$18,Introduction!$C$11:$C$18),IF(D447="Expense",LOOKUP(E447,Introduction!$D$11:$D$30,Introduction!$F$11:$F$30),"_"))</f>
        <v>_</v>
      </c>
      <c r="G447" s="88"/>
      <c r="H447" s="92"/>
      <c r="I447" s="85">
        <f t="shared" si="32"/>
        <v>0</v>
      </c>
      <c r="J447" s="93"/>
      <c r="K447" s="85">
        <f t="shared" si="33"/>
        <v>0</v>
      </c>
      <c r="L447" s="68"/>
      <c r="M447" s="68"/>
      <c r="P447" s="89" t="str">
        <f t="shared" si="31"/>
        <v xml:space="preserve">  1 1900 </v>
      </c>
    </row>
    <row r="448" spans="1:16">
      <c r="A448" s="68"/>
      <c r="B448" s="87"/>
      <c r="C448" s="88"/>
      <c r="D448" s="88"/>
      <c r="E448" s="90"/>
      <c r="F448" s="84" t="str">
        <f ca="1">IF(D448="Income",LOOKUP(E448,Introduction!$A$11:$A$18,Introduction!$C$11:$C$18),IF(D448="Expense",LOOKUP(E448,Introduction!$D$11:$D$30,Introduction!$F$11:$F$30),"_"))</f>
        <v>_</v>
      </c>
      <c r="G448" s="88"/>
      <c r="H448" s="92"/>
      <c r="I448" s="85">
        <f t="shared" si="32"/>
        <v>0</v>
      </c>
      <c r="J448" s="93"/>
      <c r="K448" s="85">
        <f t="shared" si="33"/>
        <v>0</v>
      </c>
      <c r="L448" s="68"/>
      <c r="M448" s="68"/>
      <c r="P448" s="89" t="str">
        <f t="shared" si="31"/>
        <v xml:space="preserve">  1 1900 </v>
      </c>
    </row>
    <row r="449" spans="1:16">
      <c r="A449" s="68"/>
      <c r="B449" s="87"/>
      <c r="C449" s="88"/>
      <c r="D449" s="88"/>
      <c r="E449" s="90"/>
      <c r="F449" s="84" t="str">
        <f ca="1">IF(D449="Income",LOOKUP(E449,Introduction!$A$11:$A$18,Introduction!$C$11:$C$18),IF(D449="Expense",LOOKUP(E449,Introduction!$D$11:$D$30,Introduction!$F$11:$F$30),"_"))</f>
        <v>_</v>
      </c>
      <c r="G449" s="88"/>
      <c r="H449" s="92"/>
      <c r="I449" s="85">
        <f t="shared" si="32"/>
        <v>0</v>
      </c>
      <c r="J449" s="93"/>
      <c r="K449" s="85">
        <f t="shared" si="33"/>
        <v>0</v>
      </c>
      <c r="L449" s="68"/>
      <c r="M449" s="68"/>
      <c r="P449" s="89" t="str">
        <f t="shared" si="31"/>
        <v xml:space="preserve">  1 1900 </v>
      </c>
    </row>
    <row r="450" spans="1:16">
      <c r="A450" s="68"/>
      <c r="B450" s="87"/>
      <c r="C450" s="88"/>
      <c r="D450" s="88"/>
      <c r="E450" s="90"/>
      <c r="F450" s="84" t="str">
        <f ca="1">IF(D450="Income",LOOKUP(E450,Introduction!$A$11:$A$18,Introduction!$C$11:$C$18),IF(D450="Expense",LOOKUP(E450,Introduction!$D$11:$D$30,Introduction!$F$11:$F$30),"_"))</f>
        <v>_</v>
      </c>
      <c r="G450" s="88"/>
      <c r="H450" s="92"/>
      <c r="I450" s="85">
        <f t="shared" si="32"/>
        <v>0</v>
      </c>
      <c r="J450" s="93"/>
      <c r="K450" s="85">
        <f t="shared" si="33"/>
        <v>0</v>
      </c>
      <c r="L450" s="68"/>
      <c r="M450" s="68"/>
      <c r="P450" s="89" t="str">
        <f t="shared" si="31"/>
        <v xml:space="preserve">  1 1900 </v>
      </c>
    </row>
    <row r="451" spans="1:16">
      <c r="A451" s="68"/>
      <c r="B451" s="87"/>
      <c r="C451" s="88"/>
      <c r="D451" s="88"/>
      <c r="E451" s="90"/>
      <c r="F451" s="84" t="str">
        <f ca="1">IF(D451="Income",LOOKUP(E451,Introduction!$A$11:$A$18,Introduction!$C$11:$C$18),IF(D451="Expense",LOOKUP(E451,Introduction!$D$11:$D$30,Introduction!$F$11:$F$30),"_"))</f>
        <v>_</v>
      </c>
      <c r="G451" s="88"/>
      <c r="H451" s="92"/>
      <c r="I451" s="85">
        <f t="shared" si="32"/>
        <v>0</v>
      </c>
      <c r="J451" s="93"/>
      <c r="K451" s="85">
        <f t="shared" si="33"/>
        <v>0</v>
      </c>
      <c r="L451" s="68"/>
      <c r="M451" s="68"/>
      <c r="P451" s="89" t="str">
        <f t="shared" si="31"/>
        <v xml:space="preserve">  1 1900 </v>
      </c>
    </row>
    <row r="452" spans="1:16">
      <c r="A452" s="68"/>
      <c r="B452" s="87"/>
      <c r="C452" s="88"/>
      <c r="D452" s="88"/>
      <c r="E452" s="90"/>
      <c r="F452" s="84" t="str">
        <f ca="1">IF(D452="Income",LOOKUP(E452,Introduction!$A$11:$A$18,Introduction!$C$11:$C$18),IF(D452="Expense",LOOKUP(E452,Introduction!$D$11:$D$30,Introduction!$F$11:$F$30),"_"))</f>
        <v>_</v>
      </c>
      <c r="G452" s="88"/>
      <c r="H452" s="92"/>
      <c r="I452" s="85">
        <f t="shared" si="32"/>
        <v>0</v>
      </c>
      <c r="J452" s="93"/>
      <c r="K452" s="85">
        <f t="shared" si="33"/>
        <v>0</v>
      </c>
      <c r="L452" s="68"/>
      <c r="M452" s="68"/>
      <c r="P452" s="89" t="str">
        <f t="shared" si="31"/>
        <v xml:space="preserve">  1 1900 </v>
      </c>
    </row>
    <row r="453" spans="1:16">
      <c r="A453" s="68"/>
      <c r="B453" s="87"/>
      <c r="C453" s="88"/>
      <c r="D453" s="88"/>
      <c r="E453" s="90"/>
      <c r="F453" s="84" t="str">
        <f ca="1">IF(D453="Income",LOOKUP(E453,Introduction!$A$11:$A$18,Introduction!$C$11:$C$18),IF(D453="Expense",LOOKUP(E453,Introduction!$D$11:$D$30,Introduction!$F$11:$F$30),"_"))</f>
        <v>_</v>
      </c>
      <c r="G453" s="88"/>
      <c r="H453" s="92"/>
      <c r="I453" s="85">
        <f t="shared" si="32"/>
        <v>0</v>
      </c>
      <c r="J453" s="93"/>
      <c r="K453" s="85">
        <f t="shared" si="33"/>
        <v>0</v>
      </c>
      <c r="L453" s="68"/>
      <c r="M453" s="68"/>
      <c r="P453" s="89" t="str">
        <f t="shared" si="31"/>
        <v xml:space="preserve">  1 1900 </v>
      </c>
    </row>
    <row r="454" spans="1:16">
      <c r="A454" s="68"/>
      <c r="B454" s="87"/>
      <c r="C454" s="88"/>
      <c r="D454" s="88"/>
      <c r="E454" s="90"/>
      <c r="F454" s="84" t="str">
        <f ca="1">IF(D454="Income",LOOKUP(E454,Introduction!$A$11:$A$18,Introduction!$C$11:$C$18),IF(D454="Expense",LOOKUP(E454,Introduction!$D$11:$D$30,Introduction!$F$11:$F$30),"_"))</f>
        <v>_</v>
      </c>
      <c r="G454" s="88"/>
      <c r="H454" s="92"/>
      <c r="I454" s="85">
        <f t="shared" si="32"/>
        <v>0</v>
      </c>
      <c r="J454" s="93"/>
      <c r="K454" s="85">
        <f t="shared" si="33"/>
        <v>0</v>
      </c>
      <c r="L454" s="68"/>
      <c r="M454" s="68"/>
      <c r="P454" s="89" t="str">
        <f t="shared" si="31"/>
        <v xml:space="preserve">  1 1900 </v>
      </c>
    </row>
    <row r="455" spans="1:16">
      <c r="A455" s="68"/>
      <c r="B455" s="87"/>
      <c r="C455" s="88"/>
      <c r="D455" s="88"/>
      <c r="E455" s="90"/>
      <c r="F455" s="84" t="str">
        <f ca="1">IF(D455="Income",LOOKUP(E455,Introduction!$A$11:$A$18,Introduction!$C$11:$C$18),IF(D455="Expense",LOOKUP(E455,Introduction!$D$11:$D$30,Introduction!$F$11:$F$30),"_"))</f>
        <v>_</v>
      </c>
      <c r="G455" s="88"/>
      <c r="H455" s="92"/>
      <c r="I455" s="85">
        <f t="shared" si="32"/>
        <v>0</v>
      </c>
      <c r="J455" s="93"/>
      <c r="K455" s="85">
        <f t="shared" si="33"/>
        <v>0</v>
      </c>
      <c r="L455" s="68"/>
      <c r="M455" s="68"/>
      <c r="P455" s="89" t="str">
        <f t="shared" ref="P455:P518" si="34">CONCATENATE(D455," ",E455," ",MONTH(C455)," ",YEAR(C455)," ")</f>
        <v xml:space="preserve">  1 1900 </v>
      </c>
    </row>
    <row r="456" spans="1:16">
      <c r="A456" s="68"/>
      <c r="B456" s="87"/>
      <c r="C456" s="88"/>
      <c r="D456" s="88"/>
      <c r="E456" s="90"/>
      <c r="F456" s="84" t="str">
        <f ca="1">IF(D456="Income",LOOKUP(E456,Introduction!$A$11:$A$18,Introduction!$C$11:$C$18),IF(D456="Expense",LOOKUP(E456,Introduction!$D$11:$D$30,Introduction!$F$11:$F$30),"_"))</f>
        <v>_</v>
      </c>
      <c r="G456" s="88"/>
      <c r="H456" s="92"/>
      <c r="I456" s="85">
        <f t="shared" si="32"/>
        <v>0</v>
      </c>
      <c r="J456" s="93"/>
      <c r="K456" s="85">
        <f t="shared" si="33"/>
        <v>0</v>
      </c>
      <c r="L456" s="68"/>
      <c r="M456" s="68"/>
      <c r="P456" s="89" t="str">
        <f t="shared" si="34"/>
        <v xml:space="preserve">  1 1900 </v>
      </c>
    </row>
    <row r="457" spans="1:16">
      <c r="A457" s="68"/>
      <c r="B457" s="87"/>
      <c r="C457" s="88"/>
      <c r="D457" s="88"/>
      <c r="E457" s="90"/>
      <c r="F457" s="84" t="str">
        <f ca="1">IF(D457="Income",LOOKUP(E457,Introduction!$A$11:$A$18,Introduction!$C$11:$C$18),IF(D457="Expense",LOOKUP(E457,Introduction!$D$11:$D$30,Introduction!$F$11:$F$30),"_"))</f>
        <v>_</v>
      </c>
      <c r="G457" s="88"/>
      <c r="H457" s="92"/>
      <c r="I457" s="85">
        <f t="shared" si="32"/>
        <v>0</v>
      </c>
      <c r="J457" s="93"/>
      <c r="K457" s="85">
        <f t="shared" si="33"/>
        <v>0</v>
      </c>
      <c r="L457" s="68"/>
      <c r="M457" s="68"/>
      <c r="P457" s="89" t="str">
        <f t="shared" si="34"/>
        <v xml:space="preserve">  1 1900 </v>
      </c>
    </row>
    <row r="458" spans="1:16">
      <c r="A458" s="68"/>
      <c r="B458" s="87"/>
      <c r="C458" s="88"/>
      <c r="D458" s="88"/>
      <c r="E458" s="90"/>
      <c r="F458" s="84" t="str">
        <f ca="1">IF(D458="Income",LOOKUP(E458,Introduction!$A$11:$A$18,Introduction!$C$11:$C$18),IF(D458="Expense",LOOKUP(E458,Introduction!$D$11:$D$30,Introduction!$F$11:$F$30),"_"))</f>
        <v>_</v>
      </c>
      <c r="G458" s="88"/>
      <c r="H458" s="92"/>
      <c r="I458" s="85">
        <f t="shared" si="32"/>
        <v>0</v>
      </c>
      <c r="J458" s="93"/>
      <c r="K458" s="85">
        <f t="shared" si="33"/>
        <v>0</v>
      </c>
      <c r="L458" s="68"/>
      <c r="M458" s="68"/>
      <c r="P458" s="89" t="str">
        <f t="shared" si="34"/>
        <v xml:space="preserve">  1 1900 </v>
      </c>
    </row>
    <row r="459" spans="1:16">
      <c r="A459" s="68"/>
      <c r="B459" s="87"/>
      <c r="C459" s="88"/>
      <c r="D459" s="88"/>
      <c r="E459" s="90"/>
      <c r="F459" s="84" t="str">
        <f ca="1">IF(D459="Income",LOOKUP(E459,Introduction!$A$11:$A$18,Introduction!$C$11:$C$18),IF(D459="Expense",LOOKUP(E459,Introduction!$D$11:$D$30,Introduction!$F$11:$F$30),"_"))</f>
        <v>_</v>
      </c>
      <c r="G459" s="88"/>
      <c r="H459" s="92"/>
      <c r="I459" s="85">
        <f t="shared" si="32"/>
        <v>0</v>
      </c>
      <c r="J459" s="93"/>
      <c r="K459" s="85">
        <f t="shared" si="33"/>
        <v>0</v>
      </c>
      <c r="L459" s="68"/>
      <c r="M459" s="68"/>
      <c r="P459" s="89" t="str">
        <f t="shared" si="34"/>
        <v xml:space="preserve">  1 1900 </v>
      </c>
    </row>
    <row r="460" spans="1:16">
      <c r="A460" s="68"/>
      <c r="B460" s="87"/>
      <c r="C460" s="88"/>
      <c r="D460" s="88"/>
      <c r="E460" s="90"/>
      <c r="F460" s="84" t="str">
        <f ca="1">IF(D460="Income",LOOKUP(E460,Introduction!$A$11:$A$18,Introduction!$C$11:$C$18),IF(D460="Expense",LOOKUP(E460,Introduction!$D$11:$D$30,Introduction!$F$11:$F$30),"_"))</f>
        <v>_</v>
      </c>
      <c r="G460" s="88"/>
      <c r="H460" s="92"/>
      <c r="I460" s="85">
        <f t="shared" si="32"/>
        <v>0</v>
      </c>
      <c r="J460" s="93"/>
      <c r="K460" s="85">
        <f t="shared" si="33"/>
        <v>0</v>
      </c>
      <c r="L460" s="68"/>
      <c r="M460" s="68"/>
      <c r="P460" s="89" t="str">
        <f t="shared" si="34"/>
        <v xml:space="preserve">  1 1900 </v>
      </c>
    </row>
    <row r="461" spans="1:16">
      <c r="A461" s="68"/>
      <c r="B461" s="87"/>
      <c r="C461" s="88"/>
      <c r="D461" s="88"/>
      <c r="E461" s="90"/>
      <c r="F461" s="84" t="str">
        <f ca="1">IF(D461="Income",LOOKUP(E461,Introduction!$A$11:$A$18,Introduction!$C$11:$C$18),IF(D461="Expense",LOOKUP(E461,Introduction!$D$11:$D$30,Introduction!$F$11:$F$30),"_"))</f>
        <v>_</v>
      </c>
      <c r="G461" s="88"/>
      <c r="H461" s="92"/>
      <c r="I461" s="85">
        <f t="shared" si="32"/>
        <v>0</v>
      </c>
      <c r="J461" s="93"/>
      <c r="K461" s="85">
        <f t="shared" si="33"/>
        <v>0</v>
      </c>
      <c r="L461" s="68"/>
      <c r="M461" s="68"/>
      <c r="P461" s="89" t="str">
        <f t="shared" si="34"/>
        <v xml:space="preserve">  1 1900 </v>
      </c>
    </row>
    <row r="462" spans="1:16">
      <c r="A462" s="68"/>
      <c r="B462" s="87"/>
      <c r="C462" s="88"/>
      <c r="D462" s="88"/>
      <c r="E462" s="90"/>
      <c r="F462" s="84" t="str">
        <f ca="1">IF(D462="Income",LOOKUP(E462,Introduction!$A$11:$A$18,Introduction!$C$11:$C$18),IF(D462="Expense",LOOKUP(E462,Introduction!$D$11:$D$30,Introduction!$F$11:$F$30),"_"))</f>
        <v>_</v>
      </c>
      <c r="G462" s="88"/>
      <c r="H462" s="92"/>
      <c r="I462" s="85">
        <f t="shared" si="32"/>
        <v>0</v>
      </c>
      <c r="J462" s="93"/>
      <c r="K462" s="85">
        <f t="shared" si="33"/>
        <v>0</v>
      </c>
      <c r="L462" s="68"/>
      <c r="M462" s="68"/>
      <c r="P462" s="89" t="str">
        <f t="shared" si="34"/>
        <v xml:space="preserve">  1 1900 </v>
      </c>
    </row>
    <row r="463" spans="1:16">
      <c r="A463" s="68"/>
      <c r="B463" s="87"/>
      <c r="C463" s="88"/>
      <c r="D463" s="88"/>
      <c r="E463" s="90"/>
      <c r="F463" s="84" t="str">
        <f ca="1">IF(D463="Income",LOOKUP(E463,Introduction!$A$11:$A$18,Introduction!$C$11:$C$18),IF(D463="Expense",LOOKUP(E463,Introduction!$D$11:$D$30,Introduction!$F$11:$F$30),"_"))</f>
        <v>_</v>
      </c>
      <c r="G463" s="88"/>
      <c r="H463" s="92"/>
      <c r="I463" s="85">
        <f t="shared" si="32"/>
        <v>0</v>
      </c>
      <c r="J463" s="93"/>
      <c r="K463" s="85">
        <f t="shared" si="33"/>
        <v>0</v>
      </c>
      <c r="L463" s="68"/>
      <c r="M463" s="68"/>
      <c r="P463" s="89" t="str">
        <f t="shared" si="34"/>
        <v xml:space="preserve">  1 1900 </v>
      </c>
    </row>
    <row r="464" spans="1:16">
      <c r="A464" s="68"/>
      <c r="B464" s="87"/>
      <c r="C464" s="88"/>
      <c r="D464" s="88"/>
      <c r="E464" s="90"/>
      <c r="F464" s="84" t="str">
        <f ca="1">IF(D464="Income",LOOKUP(E464,Introduction!$A$11:$A$18,Introduction!$C$11:$C$18),IF(D464="Expense",LOOKUP(E464,Introduction!$D$11:$D$30,Introduction!$F$11:$F$30),"_"))</f>
        <v>_</v>
      </c>
      <c r="G464" s="88"/>
      <c r="H464" s="92"/>
      <c r="I464" s="85">
        <f t="shared" si="32"/>
        <v>0</v>
      </c>
      <c r="J464" s="93"/>
      <c r="K464" s="85">
        <f t="shared" si="33"/>
        <v>0</v>
      </c>
      <c r="L464" s="68"/>
      <c r="M464" s="68"/>
      <c r="P464" s="89" t="str">
        <f t="shared" si="34"/>
        <v xml:space="preserve">  1 1900 </v>
      </c>
    </row>
    <row r="465" spans="1:16">
      <c r="A465" s="68"/>
      <c r="B465" s="87"/>
      <c r="C465" s="88"/>
      <c r="D465" s="88"/>
      <c r="E465" s="90"/>
      <c r="F465" s="84" t="str">
        <f ca="1">IF(D465="Income",LOOKUP(E465,Introduction!$A$11:$A$18,Introduction!$C$11:$C$18),IF(D465="Expense",LOOKUP(E465,Introduction!$D$11:$D$30,Introduction!$F$11:$F$30),"_"))</f>
        <v>_</v>
      </c>
      <c r="G465" s="88"/>
      <c r="H465" s="92"/>
      <c r="I465" s="85">
        <f t="shared" ref="I465:I528" si="35">+I464+H465</f>
        <v>0</v>
      </c>
      <c r="J465" s="93"/>
      <c r="K465" s="85">
        <f t="shared" ref="K465:K528" si="36">IF(J465=1,K464+H465,++K464)</f>
        <v>0</v>
      </c>
      <c r="L465" s="68"/>
      <c r="M465" s="68"/>
      <c r="P465" s="89" t="str">
        <f t="shared" si="34"/>
        <v xml:space="preserve">  1 1900 </v>
      </c>
    </row>
    <row r="466" spans="1:16">
      <c r="A466" s="68"/>
      <c r="B466" s="87"/>
      <c r="C466" s="88"/>
      <c r="D466" s="88"/>
      <c r="E466" s="90"/>
      <c r="F466" s="84" t="str">
        <f ca="1">IF(D466="Income",LOOKUP(E466,Introduction!$A$11:$A$18,Introduction!$C$11:$C$18),IF(D466="Expense",LOOKUP(E466,Introduction!$D$11:$D$30,Introduction!$F$11:$F$30),"_"))</f>
        <v>_</v>
      </c>
      <c r="G466" s="88"/>
      <c r="H466" s="92"/>
      <c r="I466" s="85">
        <f t="shared" si="35"/>
        <v>0</v>
      </c>
      <c r="J466" s="93"/>
      <c r="K466" s="85">
        <f t="shared" si="36"/>
        <v>0</v>
      </c>
      <c r="L466" s="68"/>
      <c r="M466" s="68"/>
      <c r="P466" s="89" t="str">
        <f t="shared" si="34"/>
        <v xml:space="preserve">  1 1900 </v>
      </c>
    </row>
    <row r="467" spans="1:16">
      <c r="A467" s="68"/>
      <c r="B467" s="87"/>
      <c r="C467" s="88"/>
      <c r="D467" s="88"/>
      <c r="E467" s="90"/>
      <c r="F467" s="84" t="str">
        <f ca="1">IF(D467="Income",LOOKUP(E467,Introduction!$A$11:$A$18,Introduction!$C$11:$C$18),IF(D467="Expense",LOOKUP(E467,Introduction!$D$11:$D$30,Introduction!$F$11:$F$30),"_"))</f>
        <v>_</v>
      </c>
      <c r="G467" s="88"/>
      <c r="H467" s="92"/>
      <c r="I467" s="85">
        <f t="shared" si="35"/>
        <v>0</v>
      </c>
      <c r="J467" s="93"/>
      <c r="K467" s="85">
        <f t="shared" si="36"/>
        <v>0</v>
      </c>
      <c r="L467" s="68"/>
      <c r="M467" s="68"/>
      <c r="P467" s="89" t="str">
        <f t="shared" si="34"/>
        <v xml:space="preserve">  1 1900 </v>
      </c>
    </row>
    <row r="468" spans="1:16">
      <c r="A468" s="68"/>
      <c r="B468" s="87"/>
      <c r="C468" s="88"/>
      <c r="D468" s="88"/>
      <c r="E468" s="90"/>
      <c r="F468" s="84" t="str">
        <f ca="1">IF(D468="Income",LOOKUP(E468,Introduction!$A$11:$A$18,Introduction!$C$11:$C$18),IF(D468="Expense",LOOKUP(E468,Introduction!$D$11:$D$30,Introduction!$F$11:$F$30),"_"))</f>
        <v>_</v>
      </c>
      <c r="G468" s="88"/>
      <c r="H468" s="92"/>
      <c r="I468" s="85">
        <f t="shared" si="35"/>
        <v>0</v>
      </c>
      <c r="J468" s="93"/>
      <c r="K468" s="85">
        <f t="shared" si="36"/>
        <v>0</v>
      </c>
      <c r="L468" s="68"/>
      <c r="M468" s="68"/>
      <c r="P468" s="89" t="str">
        <f t="shared" si="34"/>
        <v xml:space="preserve">  1 1900 </v>
      </c>
    </row>
    <row r="469" spans="1:16">
      <c r="A469" s="68"/>
      <c r="B469" s="87"/>
      <c r="C469" s="88"/>
      <c r="D469" s="88"/>
      <c r="E469" s="90"/>
      <c r="F469" s="84" t="str">
        <f ca="1">IF(D469="Income",LOOKUP(E469,Introduction!$A$11:$A$18,Introduction!$C$11:$C$18),IF(D469="Expense",LOOKUP(E469,Introduction!$D$11:$D$30,Introduction!$F$11:$F$30),"_"))</f>
        <v>_</v>
      </c>
      <c r="G469" s="88"/>
      <c r="H469" s="92"/>
      <c r="I469" s="85">
        <f t="shared" si="35"/>
        <v>0</v>
      </c>
      <c r="J469" s="93"/>
      <c r="K469" s="85">
        <f t="shared" si="36"/>
        <v>0</v>
      </c>
      <c r="L469" s="68"/>
      <c r="M469" s="68"/>
      <c r="P469" s="89" t="str">
        <f t="shared" si="34"/>
        <v xml:space="preserve">  1 1900 </v>
      </c>
    </row>
    <row r="470" spans="1:16">
      <c r="A470" s="68"/>
      <c r="B470" s="87"/>
      <c r="C470" s="88"/>
      <c r="D470" s="88"/>
      <c r="E470" s="90"/>
      <c r="F470" s="84" t="str">
        <f ca="1">IF(D470="Income",LOOKUP(E470,Introduction!$A$11:$A$18,Introduction!$C$11:$C$18),IF(D470="Expense",LOOKUP(E470,Introduction!$D$11:$D$30,Introduction!$F$11:$F$30),"_"))</f>
        <v>_</v>
      </c>
      <c r="G470" s="88"/>
      <c r="H470" s="92"/>
      <c r="I470" s="85">
        <f t="shared" si="35"/>
        <v>0</v>
      </c>
      <c r="J470" s="93"/>
      <c r="K470" s="85">
        <f t="shared" si="36"/>
        <v>0</v>
      </c>
      <c r="L470" s="68"/>
      <c r="M470" s="68"/>
      <c r="P470" s="89" t="str">
        <f t="shared" si="34"/>
        <v xml:space="preserve">  1 1900 </v>
      </c>
    </row>
    <row r="471" spans="1:16">
      <c r="A471" s="68"/>
      <c r="B471" s="87"/>
      <c r="C471" s="88"/>
      <c r="D471" s="88"/>
      <c r="E471" s="90"/>
      <c r="F471" s="84" t="str">
        <f ca="1">IF(D471="Income",LOOKUP(E471,Introduction!$A$11:$A$18,Introduction!$C$11:$C$18),IF(D471="Expense",LOOKUP(E471,Introduction!$D$11:$D$30,Introduction!$F$11:$F$30),"_"))</f>
        <v>_</v>
      </c>
      <c r="G471" s="88"/>
      <c r="H471" s="92"/>
      <c r="I471" s="85">
        <f t="shared" si="35"/>
        <v>0</v>
      </c>
      <c r="J471" s="93"/>
      <c r="K471" s="85">
        <f t="shared" si="36"/>
        <v>0</v>
      </c>
      <c r="L471" s="68"/>
      <c r="M471" s="68"/>
      <c r="P471" s="89" t="str">
        <f t="shared" si="34"/>
        <v xml:space="preserve">  1 1900 </v>
      </c>
    </row>
    <row r="472" spans="1:16">
      <c r="A472" s="68"/>
      <c r="B472" s="87"/>
      <c r="C472" s="88"/>
      <c r="D472" s="88"/>
      <c r="E472" s="90"/>
      <c r="F472" s="84" t="str">
        <f ca="1">IF(D472="Income",LOOKUP(E472,Introduction!$A$11:$A$18,Introduction!$C$11:$C$18),IF(D472="Expense",LOOKUP(E472,Introduction!$D$11:$D$30,Introduction!$F$11:$F$30),"_"))</f>
        <v>_</v>
      </c>
      <c r="G472" s="88"/>
      <c r="H472" s="92"/>
      <c r="I472" s="85">
        <f t="shared" si="35"/>
        <v>0</v>
      </c>
      <c r="J472" s="93"/>
      <c r="K472" s="85">
        <f t="shared" si="36"/>
        <v>0</v>
      </c>
      <c r="L472" s="68"/>
      <c r="M472" s="68"/>
      <c r="P472" s="89" t="str">
        <f t="shared" si="34"/>
        <v xml:space="preserve">  1 1900 </v>
      </c>
    </row>
    <row r="473" spans="1:16">
      <c r="A473" s="68"/>
      <c r="B473" s="87"/>
      <c r="C473" s="88"/>
      <c r="D473" s="88"/>
      <c r="E473" s="90"/>
      <c r="F473" s="84" t="str">
        <f ca="1">IF(D473="Income",LOOKUP(E473,Introduction!$A$11:$A$18,Introduction!$C$11:$C$18),IF(D473="Expense",LOOKUP(E473,Introduction!$D$11:$D$30,Introduction!$F$11:$F$30),"_"))</f>
        <v>_</v>
      </c>
      <c r="G473" s="88"/>
      <c r="H473" s="92"/>
      <c r="I473" s="85">
        <f t="shared" si="35"/>
        <v>0</v>
      </c>
      <c r="J473" s="93"/>
      <c r="K473" s="85">
        <f t="shared" si="36"/>
        <v>0</v>
      </c>
      <c r="L473" s="68"/>
      <c r="M473" s="68"/>
      <c r="P473" s="89" t="str">
        <f t="shared" si="34"/>
        <v xml:space="preserve">  1 1900 </v>
      </c>
    </row>
    <row r="474" spans="1:16">
      <c r="A474" s="68"/>
      <c r="B474" s="87"/>
      <c r="C474" s="88"/>
      <c r="D474" s="88"/>
      <c r="E474" s="90"/>
      <c r="F474" s="84" t="str">
        <f ca="1">IF(D474="Income",LOOKUP(E474,Introduction!$A$11:$A$18,Introduction!$C$11:$C$18),IF(D474="Expense",LOOKUP(E474,Introduction!$D$11:$D$30,Introduction!$F$11:$F$30),"_"))</f>
        <v>_</v>
      </c>
      <c r="G474" s="88"/>
      <c r="H474" s="92"/>
      <c r="I474" s="85">
        <f t="shared" si="35"/>
        <v>0</v>
      </c>
      <c r="J474" s="93"/>
      <c r="K474" s="85">
        <f t="shared" si="36"/>
        <v>0</v>
      </c>
      <c r="L474" s="68"/>
      <c r="M474" s="68"/>
      <c r="P474" s="89" t="str">
        <f t="shared" si="34"/>
        <v xml:space="preserve">  1 1900 </v>
      </c>
    </row>
    <row r="475" spans="1:16">
      <c r="A475" s="68"/>
      <c r="B475" s="87"/>
      <c r="C475" s="88"/>
      <c r="D475" s="88"/>
      <c r="E475" s="90"/>
      <c r="F475" s="84" t="str">
        <f ca="1">IF(D475="Income",LOOKUP(E475,Introduction!$A$11:$A$18,Introduction!$C$11:$C$18),IF(D475="Expense",LOOKUP(E475,Introduction!$D$11:$D$30,Introduction!$F$11:$F$30),"_"))</f>
        <v>_</v>
      </c>
      <c r="G475" s="88"/>
      <c r="H475" s="92"/>
      <c r="I475" s="85">
        <f t="shared" si="35"/>
        <v>0</v>
      </c>
      <c r="J475" s="93"/>
      <c r="K475" s="85">
        <f t="shared" si="36"/>
        <v>0</v>
      </c>
      <c r="L475" s="68"/>
      <c r="M475" s="68"/>
      <c r="P475" s="89" t="str">
        <f t="shared" si="34"/>
        <v xml:space="preserve">  1 1900 </v>
      </c>
    </row>
    <row r="476" spans="1:16">
      <c r="A476" s="68"/>
      <c r="B476" s="87"/>
      <c r="C476" s="88"/>
      <c r="D476" s="88"/>
      <c r="E476" s="90"/>
      <c r="F476" s="84" t="str">
        <f ca="1">IF(D476="Income",LOOKUP(E476,Introduction!$A$11:$A$18,Introduction!$C$11:$C$18),IF(D476="Expense",LOOKUP(E476,Introduction!$D$11:$D$30,Introduction!$F$11:$F$30),"_"))</f>
        <v>_</v>
      </c>
      <c r="G476" s="88"/>
      <c r="H476" s="92"/>
      <c r="I476" s="85">
        <f t="shared" si="35"/>
        <v>0</v>
      </c>
      <c r="J476" s="93"/>
      <c r="K476" s="85">
        <f t="shared" si="36"/>
        <v>0</v>
      </c>
      <c r="L476" s="68"/>
      <c r="M476" s="68"/>
      <c r="P476" s="89" t="str">
        <f t="shared" si="34"/>
        <v xml:space="preserve">  1 1900 </v>
      </c>
    </row>
    <row r="477" spans="1:16">
      <c r="A477" s="68"/>
      <c r="B477" s="87"/>
      <c r="C477" s="88"/>
      <c r="D477" s="88"/>
      <c r="E477" s="90"/>
      <c r="F477" s="84" t="str">
        <f ca="1">IF(D477="Income",LOOKUP(E477,Introduction!$A$11:$A$18,Introduction!$C$11:$C$18),IF(D477="Expense",LOOKUP(E477,Introduction!$D$11:$D$30,Introduction!$F$11:$F$30),"_"))</f>
        <v>_</v>
      </c>
      <c r="G477" s="88"/>
      <c r="H477" s="92"/>
      <c r="I477" s="85">
        <f t="shared" si="35"/>
        <v>0</v>
      </c>
      <c r="J477" s="93"/>
      <c r="K477" s="85">
        <f t="shared" si="36"/>
        <v>0</v>
      </c>
      <c r="L477" s="68"/>
      <c r="M477" s="68"/>
      <c r="P477" s="89" t="str">
        <f t="shared" si="34"/>
        <v xml:space="preserve">  1 1900 </v>
      </c>
    </row>
    <row r="478" spans="1:16">
      <c r="A478" s="68"/>
      <c r="B478" s="87"/>
      <c r="C478" s="88"/>
      <c r="D478" s="88"/>
      <c r="E478" s="90"/>
      <c r="F478" s="84" t="str">
        <f ca="1">IF(D478="Income",LOOKUP(E478,Introduction!$A$11:$A$18,Introduction!$C$11:$C$18),IF(D478="Expense",LOOKUP(E478,Introduction!$D$11:$D$30,Introduction!$F$11:$F$30),"_"))</f>
        <v>_</v>
      </c>
      <c r="G478" s="88"/>
      <c r="H478" s="92"/>
      <c r="I478" s="85">
        <f t="shared" si="35"/>
        <v>0</v>
      </c>
      <c r="J478" s="93"/>
      <c r="K478" s="85">
        <f t="shared" si="36"/>
        <v>0</v>
      </c>
      <c r="L478" s="68"/>
      <c r="M478" s="68"/>
      <c r="P478" s="89" t="str">
        <f t="shared" si="34"/>
        <v xml:space="preserve">  1 1900 </v>
      </c>
    </row>
    <row r="479" spans="1:16">
      <c r="A479" s="68"/>
      <c r="B479" s="87"/>
      <c r="C479" s="88"/>
      <c r="D479" s="88"/>
      <c r="E479" s="90"/>
      <c r="F479" s="84" t="str">
        <f ca="1">IF(D479="Income",LOOKUP(E479,Introduction!$A$11:$A$18,Introduction!$C$11:$C$18),IF(D479="Expense",LOOKUP(E479,Introduction!$D$11:$D$30,Introduction!$F$11:$F$30),"_"))</f>
        <v>_</v>
      </c>
      <c r="G479" s="88"/>
      <c r="H479" s="92"/>
      <c r="I479" s="85">
        <f t="shared" si="35"/>
        <v>0</v>
      </c>
      <c r="J479" s="93"/>
      <c r="K479" s="85">
        <f t="shared" si="36"/>
        <v>0</v>
      </c>
      <c r="L479" s="68"/>
      <c r="M479" s="68"/>
      <c r="P479" s="89" t="str">
        <f t="shared" si="34"/>
        <v xml:space="preserve">  1 1900 </v>
      </c>
    </row>
    <row r="480" spans="1:16">
      <c r="A480" s="68"/>
      <c r="B480" s="87"/>
      <c r="C480" s="88"/>
      <c r="D480" s="88"/>
      <c r="E480" s="90"/>
      <c r="F480" s="84" t="str">
        <f ca="1">IF(D480="Income",LOOKUP(E480,Introduction!$A$11:$A$18,Introduction!$C$11:$C$18),IF(D480="Expense",LOOKUP(E480,Introduction!$D$11:$D$30,Introduction!$F$11:$F$30),"_"))</f>
        <v>_</v>
      </c>
      <c r="G480" s="88"/>
      <c r="H480" s="92"/>
      <c r="I480" s="85">
        <f t="shared" si="35"/>
        <v>0</v>
      </c>
      <c r="J480" s="93"/>
      <c r="K480" s="85">
        <f t="shared" si="36"/>
        <v>0</v>
      </c>
      <c r="L480" s="68"/>
      <c r="M480" s="68"/>
      <c r="P480" s="89" t="str">
        <f t="shared" si="34"/>
        <v xml:space="preserve">  1 1900 </v>
      </c>
    </row>
    <row r="481" spans="1:16">
      <c r="A481" s="68"/>
      <c r="B481" s="87"/>
      <c r="C481" s="88"/>
      <c r="D481" s="88"/>
      <c r="E481" s="90"/>
      <c r="F481" s="84" t="str">
        <f ca="1">IF(D481="Income",LOOKUP(E481,Introduction!$A$11:$A$18,Introduction!$C$11:$C$18),IF(D481="Expense",LOOKUP(E481,Introduction!$D$11:$D$30,Introduction!$F$11:$F$30),"_"))</f>
        <v>_</v>
      </c>
      <c r="G481" s="88"/>
      <c r="H481" s="92"/>
      <c r="I481" s="85">
        <f t="shared" si="35"/>
        <v>0</v>
      </c>
      <c r="J481" s="93"/>
      <c r="K481" s="85">
        <f t="shared" si="36"/>
        <v>0</v>
      </c>
      <c r="L481" s="68"/>
      <c r="M481" s="68"/>
      <c r="P481" s="89" t="str">
        <f t="shared" si="34"/>
        <v xml:space="preserve">  1 1900 </v>
      </c>
    </row>
    <row r="482" spans="1:16">
      <c r="A482" s="68"/>
      <c r="B482" s="87"/>
      <c r="C482" s="88"/>
      <c r="D482" s="88"/>
      <c r="E482" s="90"/>
      <c r="F482" s="84" t="str">
        <f ca="1">IF(D482="Income",LOOKUP(E482,Introduction!$A$11:$A$18,Introduction!$C$11:$C$18),IF(D482="Expense",LOOKUP(E482,Introduction!$D$11:$D$30,Introduction!$F$11:$F$30),"_"))</f>
        <v>_</v>
      </c>
      <c r="G482" s="88"/>
      <c r="H482" s="92"/>
      <c r="I482" s="85">
        <f t="shared" si="35"/>
        <v>0</v>
      </c>
      <c r="J482" s="93"/>
      <c r="K482" s="85">
        <f t="shared" si="36"/>
        <v>0</v>
      </c>
      <c r="L482" s="68"/>
      <c r="M482" s="68"/>
      <c r="P482" s="89" t="str">
        <f t="shared" si="34"/>
        <v xml:space="preserve">  1 1900 </v>
      </c>
    </row>
    <row r="483" spans="1:16">
      <c r="A483" s="68"/>
      <c r="B483" s="87"/>
      <c r="C483" s="88"/>
      <c r="D483" s="88"/>
      <c r="E483" s="90"/>
      <c r="F483" s="84" t="str">
        <f ca="1">IF(D483="Income",LOOKUP(E483,Introduction!$A$11:$A$18,Introduction!$C$11:$C$18),IF(D483="Expense",LOOKUP(E483,Introduction!$D$11:$D$30,Introduction!$F$11:$F$30),"_"))</f>
        <v>_</v>
      </c>
      <c r="G483" s="88"/>
      <c r="H483" s="92"/>
      <c r="I483" s="85">
        <f t="shared" si="35"/>
        <v>0</v>
      </c>
      <c r="J483" s="93"/>
      <c r="K483" s="85">
        <f t="shared" si="36"/>
        <v>0</v>
      </c>
      <c r="L483" s="68"/>
      <c r="M483" s="68"/>
      <c r="P483" s="89" t="str">
        <f t="shared" si="34"/>
        <v xml:space="preserve">  1 1900 </v>
      </c>
    </row>
    <row r="484" spans="1:16">
      <c r="A484" s="68"/>
      <c r="B484" s="87"/>
      <c r="C484" s="88"/>
      <c r="D484" s="88"/>
      <c r="E484" s="90"/>
      <c r="F484" s="84" t="str">
        <f ca="1">IF(D484="Income",LOOKUP(E484,Introduction!$A$11:$A$18,Introduction!$C$11:$C$18),IF(D484="Expense",LOOKUP(E484,Introduction!$D$11:$D$30,Introduction!$F$11:$F$30),"_"))</f>
        <v>_</v>
      </c>
      <c r="G484" s="88"/>
      <c r="H484" s="92"/>
      <c r="I484" s="85">
        <f t="shared" si="35"/>
        <v>0</v>
      </c>
      <c r="J484" s="93"/>
      <c r="K484" s="85">
        <f t="shared" si="36"/>
        <v>0</v>
      </c>
      <c r="L484" s="68"/>
      <c r="M484" s="68"/>
      <c r="P484" s="89" t="str">
        <f t="shared" si="34"/>
        <v xml:space="preserve">  1 1900 </v>
      </c>
    </row>
    <row r="485" spans="1:16">
      <c r="A485" s="68"/>
      <c r="B485" s="87"/>
      <c r="C485" s="88"/>
      <c r="D485" s="88"/>
      <c r="E485" s="90"/>
      <c r="F485" s="84" t="str">
        <f ca="1">IF(D485="Income",LOOKUP(E485,Introduction!$A$11:$A$18,Introduction!$C$11:$C$18),IF(D485="Expense",LOOKUP(E485,Introduction!$D$11:$D$30,Introduction!$F$11:$F$30),"_"))</f>
        <v>_</v>
      </c>
      <c r="G485" s="88"/>
      <c r="H485" s="92"/>
      <c r="I485" s="85">
        <f t="shared" si="35"/>
        <v>0</v>
      </c>
      <c r="J485" s="93"/>
      <c r="K485" s="85">
        <f t="shared" si="36"/>
        <v>0</v>
      </c>
      <c r="L485" s="68"/>
      <c r="M485" s="68"/>
      <c r="P485" s="89" t="str">
        <f t="shared" si="34"/>
        <v xml:space="preserve">  1 1900 </v>
      </c>
    </row>
    <row r="486" spans="1:16">
      <c r="A486" s="68"/>
      <c r="B486" s="87"/>
      <c r="C486" s="88"/>
      <c r="D486" s="88"/>
      <c r="E486" s="90"/>
      <c r="F486" s="84" t="str">
        <f ca="1">IF(D486="Income",LOOKUP(E486,Introduction!$A$11:$A$18,Introduction!$C$11:$C$18),IF(D486="Expense",LOOKUP(E486,Introduction!$D$11:$D$30,Introduction!$F$11:$F$30),"_"))</f>
        <v>_</v>
      </c>
      <c r="G486" s="88"/>
      <c r="H486" s="92"/>
      <c r="I486" s="85">
        <f t="shared" si="35"/>
        <v>0</v>
      </c>
      <c r="J486" s="93"/>
      <c r="K486" s="85">
        <f t="shared" si="36"/>
        <v>0</v>
      </c>
      <c r="L486" s="68"/>
      <c r="M486" s="68"/>
      <c r="P486" s="89" t="str">
        <f t="shared" si="34"/>
        <v xml:space="preserve">  1 1900 </v>
      </c>
    </row>
    <row r="487" spans="1:16">
      <c r="A487" s="68"/>
      <c r="B487" s="87"/>
      <c r="C487" s="88"/>
      <c r="D487" s="88"/>
      <c r="E487" s="90"/>
      <c r="F487" s="84" t="str">
        <f ca="1">IF(D487="Income",LOOKUP(E487,Introduction!$A$11:$A$18,Introduction!$C$11:$C$18),IF(D487="Expense",LOOKUP(E487,Introduction!$D$11:$D$30,Introduction!$F$11:$F$30),"_"))</f>
        <v>_</v>
      </c>
      <c r="G487" s="88"/>
      <c r="H487" s="92"/>
      <c r="I487" s="85">
        <f t="shared" si="35"/>
        <v>0</v>
      </c>
      <c r="J487" s="93"/>
      <c r="K487" s="85">
        <f t="shared" si="36"/>
        <v>0</v>
      </c>
      <c r="L487" s="68"/>
      <c r="M487" s="68"/>
      <c r="P487" s="89" t="str">
        <f t="shared" si="34"/>
        <v xml:space="preserve">  1 1900 </v>
      </c>
    </row>
    <row r="488" spans="1:16">
      <c r="A488" s="68"/>
      <c r="B488" s="87"/>
      <c r="C488" s="88"/>
      <c r="D488" s="88"/>
      <c r="E488" s="90"/>
      <c r="F488" s="84" t="str">
        <f ca="1">IF(D488="Income",LOOKUP(E488,Introduction!$A$11:$A$18,Introduction!$C$11:$C$18),IF(D488="Expense",LOOKUP(E488,Introduction!$D$11:$D$30,Introduction!$F$11:$F$30),"_"))</f>
        <v>_</v>
      </c>
      <c r="G488" s="88"/>
      <c r="H488" s="92"/>
      <c r="I488" s="85">
        <f t="shared" si="35"/>
        <v>0</v>
      </c>
      <c r="J488" s="93"/>
      <c r="K488" s="85">
        <f t="shared" si="36"/>
        <v>0</v>
      </c>
      <c r="L488" s="68"/>
      <c r="M488" s="68"/>
      <c r="P488" s="89" t="str">
        <f t="shared" si="34"/>
        <v xml:space="preserve">  1 1900 </v>
      </c>
    </row>
    <row r="489" spans="1:16">
      <c r="A489" s="68"/>
      <c r="B489" s="87"/>
      <c r="C489" s="88"/>
      <c r="D489" s="88"/>
      <c r="E489" s="90"/>
      <c r="F489" s="84" t="str">
        <f ca="1">IF(D489="Income",LOOKUP(E489,Introduction!$A$11:$A$18,Introduction!$C$11:$C$18),IF(D489="Expense",LOOKUP(E489,Introduction!$D$11:$D$30,Introduction!$F$11:$F$30),"_"))</f>
        <v>_</v>
      </c>
      <c r="G489" s="88"/>
      <c r="H489" s="92"/>
      <c r="I489" s="85">
        <f t="shared" si="35"/>
        <v>0</v>
      </c>
      <c r="J489" s="93"/>
      <c r="K489" s="85">
        <f t="shared" si="36"/>
        <v>0</v>
      </c>
      <c r="L489" s="68"/>
      <c r="M489" s="68"/>
      <c r="P489" s="89" t="str">
        <f t="shared" si="34"/>
        <v xml:space="preserve">  1 1900 </v>
      </c>
    </row>
    <row r="490" spans="1:16">
      <c r="A490" s="68"/>
      <c r="B490" s="87"/>
      <c r="C490" s="88"/>
      <c r="D490" s="88"/>
      <c r="E490" s="90"/>
      <c r="F490" s="84" t="str">
        <f ca="1">IF(D490="Income",LOOKUP(E490,Introduction!$A$11:$A$18,Introduction!$C$11:$C$18),IF(D490="Expense",LOOKUP(E490,Introduction!$D$11:$D$30,Introduction!$F$11:$F$30),"_"))</f>
        <v>_</v>
      </c>
      <c r="G490" s="88"/>
      <c r="H490" s="92"/>
      <c r="I490" s="85">
        <f t="shared" si="35"/>
        <v>0</v>
      </c>
      <c r="J490" s="93"/>
      <c r="K490" s="85">
        <f t="shared" si="36"/>
        <v>0</v>
      </c>
      <c r="L490" s="68"/>
      <c r="M490" s="68"/>
      <c r="P490" s="89" t="str">
        <f t="shared" si="34"/>
        <v xml:space="preserve">  1 1900 </v>
      </c>
    </row>
    <row r="491" spans="1:16">
      <c r="A491" s="68"/>
      <c r="B491" s="87"/>
      <c r="C491" s="88"/>
      <c r="D491" s="88"/>
      <c r="E491" s="90"/>
      <c r="F491" s="84" t="str">
        <f ca="1">IF(D491="Income",LOOKUP(E491,Introduction!$A$11:$A$18,Introduction!$C$11:$C$18),IF(D491="Expense",LOOKUP(E491,Introduction!$D$11:$D$30,Introduction!$F$11:$F$30),"_"))</f>
        <v>_</v>
      </c>
      <c r="G491" s="88"/>
      <c r="H491" s="92"/>
      <c r="I491" s="85">
        <f t="shared" si="35"/>
        <v>0</v>
      </c>
      <c r="J491" s="93"/>
      <c r="K491" s="85">
        <f t="shared" si="36"/>
        <v>0</v>
      </c>
      <c r="L491" s="68"/>
      <c r="M491" s="68"/>
      <c r="P491" s="89" t="str">
        <f t="shared" si="34"/>
        <v xml:space="preserve">  1 1900 </v>
      </c>
    </row>
    <row r="492" spans="1:16">
      <c r="A492" s="68"/>
      <c r="B492" s="87"/>
      <c r="C492" s="88"/>
      <c r="D492" s="88"/>
      <c r="E492" s="90"/>
      <c r="F492" s="84" t="str">
        <f ca="1">IF(D492="Income",LOOKUP(E492,Introduction!$A$11:$A$18,Introduction!$C$11:$C$18),IF(D492="Expense",LOOKUP(E492,Introduction!$D$11:$D$30,Introduction!$F$11:$F$30),"_"))</f>
        <v>_</v>
      </c>
      <c r="G492" s="88"/>
      <c r="H492" s="92"/>
      <c r="I492" s="85">
        <f t="shared" si="35"/>
        <v>0</v>
      </c>
      <c r="J492" s="93"/>
      <c r="K492" s="85">
        <f t="shared" si="36"/>
        <v>0</v>
      </c>
      <c r="L492" s="68"/>
      <c r="M492" s="68"/>
      <c r="P492" s="89" t="str">
        <f t="shared" si="34"/>
        <v xml:space="preserve">  1 1900 </v>
      </c>
    </row>
    <row r="493" spans="1:16">
      <c r="A493" s="68"/>
      <c r="B493" s="87"/>
      <c r="C493" s="88"/>
      <c r="D493" s="88"/>
      <c r="E493" s="90"/>
      <c r="F493" s="84" t="str">
        <f ca="1">IF(D493="Income",LOOKUP(E493,Introduction!$A$11:$A$18,Introduction!$C$11:$C$18),IF(D493="Expense",LOOKUP(E493,Introduction!$D$11:$D$30,Introduction!$F$11:$F$30),"_"))</f>
        <v>_</v>
      </c>
      <c r="G493" s="88"/>
      <c r="H493" s="92"/>
      <c r="I493" s="85">
        <f t="shared" si="35"/>
        <v>0</v>
      </c>
      <c r="J493" s="93"/>
      <c r="K493" s="85">
        <f t="shared" si="36"/>
        <v>0</v>
      </c>
      <c r="L493" s="68"/>
      <c r="M493" s="68"/>
      <c r="P493" s="89" t="str">
        <f t="shared" si="34"/>
        <v xml:space="preserve">  1 1900 </v>
      </c>
    </row>
    <row r="494" spans="1:16">
      <c r="A494" s="68"/>
      <c r="B494" s="87"/>
      <c r="C494" s="88"/>
      <c r="D494" s="88"/>
      <c r="E494" s="90"/>
      <c r="F494" s="84" t="str">
        <f ca="1">IF(D494="Income",LOOKUP(E494,Introduction!$A$11:$A$18,Introduction!$C$11:$C$18),IF(D494="Expense",LOOKUP(E494,Introduction!$D$11:$D$30,Introduction!$F$11:$F$30),"_"))</f>
        <v>_</v>
      </c>
      <c r="G494" s="88"/>
      <c r="H494" s="92"/>
      <c r="I494" s="85">
        <f t="shared" si="35"/>
        <v>0</v>
      </c>
      <c r="J494" s="93"/>
      <c r="K494" s="85">
        <f t="shared" si="36"/>
        <v>0</v>
      </c>
      <c r="L494" s="68"/>
      <c r="M494" s="68"/>
      <c r="P494" s="89" t="str">
        <f t="shared" si="34"/>
        <v xml:space="preserve">  1 1900 </v>
      </c>
    </row>
    <row r="495" spans="1:16">
      <c r="A495" s="68"/>
      <c r="B495" s="87"/>
      <c r="C495" s="88"/>
      <c r="D495" s="88"/>
      <c r="E495" s="90"/>
      <c r="F495" s="84" t="str">
        <f ca="1">IF(D495="Income",LOOKUP(E495,Introduction!$A$11:$A$18,Introduction!$C$11:$C$18),IF(D495="Expense",LOOKUP(E495,Introduction!$D$11:$D$30,Introduction!$F$11:$F$30),"_"))</f>
        <v>_</v>
      </c>
      <c r="G495" s="88"/>
      <c r="H495" s="92"/>
      <c r="I495" s="85">
        <f t="shared" si="35"/>
        <v>0</v>
      </c>
      <c r="J495" s="93"/>
      <c r="K495" s="85">
        <f t="shared" si="36"/>
        <v>0</v>
      </c>
      <c r="L495" s="68"/>
      <c r="M495" s="68"/>
      <c r="P495" s="89" t="str">
        <f t="shared" si="34"/>
        <v xml:space="preserve">  1 1900 </v>
      </c>
    </row>
    <row r="496" spans="1:16">
      <c r="A496" s="68"/>
      <c r="B496" s="87"/>
      <c r="C496" s="88"/>
      <c r="D496" s="88"/>
      <c r="E496" s="90"/>
      <c r="F496" s="84" t="str">
        <f ca="1">IF(D496="Income",LOOKUP(E496,Introduction!$A$11:$A$18,Introduction!$C$11:$C$18),IF(D496="Expense",LOOKUP(E496,Introduction!$D$11:$D$30,Introduction!$F$11:$F$30),"_"))</f>
        <v>_</v>
      </c>
      <c r="G496" s="88"/>
      <c r="H496" s="92"/>
      <c r="I496" s="85">
        <f t="shared" si="35"/>
        <v>0</v>
      </c>
      <c r="J496" s="93"/>
      <c r="K496" s="85">
        <f t="shared" si="36"/>
        <v>0</v>
      </c>
      <c r="L496" s="68"/>
      <c r="M496" s="68"/>
      <c r="P496" s="89" t="str">
        <f t="shared" si="34"/>
        <v xml:space="preserve">  1 1900 </v>
      </c>
    </row>
    <row r="497" spans="1:16">
      <c r="A497" s="68"/>
      <c r="B497" s="87"/>
      <c r="C497" s="88"/>
      <c r="D497" s="88"/>
      <c r="E497" s="90"/>
      <c r="F497" s="84" t="str">
        <f ca="1">IF(D497="Income",LOOKUP(E497,Introduction!$A$11:$A$18,Introduction!$C$11:$C$18),IF(D497="Expense",LOOKUP(E497,Introduction!$D$11:$D$30,Introduction!$F$11:$F$30),"_"))</f>
        <v>_</v>
      </c>
      <c r="G497" s="88"/>
      <c r="H497" s="92"/>
      <c r="I497" s="85">
        <f t="shared" si="35"/>
        <v>0</v>
      </c>
      <c r="J497" s="93"/>
      <c r="K497" s="85">
        <f t="shared" si="36"/>
        <v>0</v>
      </c>
      <c r="L497" s="68"/>
      <c r="M497" s="68"/>
      <c r="P497" s="89" t="str">
        <f t="shared" si="34"/>
        <v xml:space="preserve">  1 1900 </v>
      </c>
    </row>
    <row r="498" spans="1:16">
      <c r="A498" s="68"/>
      <c r="B498" s="87"/>
      <c r="C498" s="88"/>
      <c r="D498" s="88"/>
      <c r="E498" s="90"/>
      <c r="F498" s="84" t="str">
        <f ca="1">IF(D498="Income",LOOKUP(E498,Introduction!$A$11:$A$18,Introduction!$C$11:$C$18),IF(D498="Expense",LOOKUP(E498,Introduction!$D$11:$D$30,Introduction!$F$11:$F$30),"_"))</f>
        <v>_</v>
      </c>
      <c r="G498" s="88"/>
      <c r="H498" s="92"/>
      <c r="I498" s="85">
        <f t="shared" si="35"/>
        <v>0</v>
      </c>
      <c r="J498" s="93"/>
      <c r="K498" s="85">
        <f t="shared" si="36"/>
        <v>0</v>
      </c>
      <c r="L498" s="68"/>
      <c r="M498" s="68"/>
      <c r="P498" s="89" t="str">
        <f t="shared" si="34"/>
        <v xml:space="preserve">  1 1900 </v>
      </c>
    </row>
    <row r="499" spans="1:16">
      <c r="A499" s="68"/>
      <c r="B499" s="87"/>
      <c r="C499" s="88"/>
      <c r="D499" s="88"/>
      <c r="E499" s="90"/>
      <c r="F499" s="84" t="str">
        <f ca="1">IF(D499="Income",LOOKUP(E499,Introduction!$A$11:$A$18,Introduction!$C$11:$C$18),IF(D499="Expense",LOOKUP(E499,Introduction!$D$11:$D$30,Introduction!$F$11:$F$30),"_"))</f>
        <v>_</v>
      </c>
      <c r="G499" s="88"/>
      <c r="H499" s="92"/>
      <c r="I499" s="85">
        <f t="shared" si="35"/>
        <v>0</v>
      </c>
      <c r="J499" s="93"/>
      <c r="K499" s="85">
        <f t="shared" si="36"/>
        <v>0</v>
      </c>
      <c r="L499" s="68"/>
      <c r="M499" s="68"/>
      <c r="P499" s="89" t="str">
        <f t="shared" si="34"/>
        <v xml:space="preserve">  1 1900 </v>
      </c>
    </row>
    <row r="500" spans="1:16">
      <c r="A500" s="68"/>
      <c r="B500" s="87"/>
      <c r="C500" s="88"/>
      <c r="D500" s="88"/>
      <c r="E500" s="90"/>
      <c r="F500" s="84" t="str">
        <f ca="1">IF(D500="Income",LOOKUP(E500,Introduction!$A$11:$A$18,Introduction!$C$11:$C$18),IF(D500="Expense",LOOKUP(E500,Introduction!$D$11:$D$30,Introduction!$F$11:$F$30),"_"))</f>
        <v>_</v>
      </c>
      <c r="G500" s="88"/>
      <c r="H500" s="92"/>
      <c r="I500" s="85">
        <f t="shared" si="35"/>
        <v>0</v>
      </c>
      <c r="J500" s="93"/>
      <c r="K500" s="85">
        <f t="shared" si="36"/>
        <v>0</v>
      </c>
      <c r="L500" s="68"/>
      <c r="M500" s="68"/>
      <c r="P500" s="89" t="str">
        <f t="shared" si="34"/>
        <v xml:space="preserve">  1 1900 </v>
      </c>
    </row>
    <row r="501" spans="1:16">
      <c r="A501" s="68"/>
      <c r="B501" s="87"/>
      <c r="C501" s="88"/>
      <c r="D501" s="88"/>
      <c r="E501" s="90"/>
      <c r="F501" s="84" t="str">
        <f ca="1">IF(D501="Income",LOOKUP(E501,Introduction!$A$11:$A$18,Introduction!$C$11:$C$18),IF(D501="Expense",LOOKUP(E501,Introduction!$D$11:$D$30,Introduction!$F$11:$F$30),"_"))</f>
        <v>_</v>
      </c>
      <c r="G501" s="88"/>
      <c r="H501" s="92"/>
      <c r="I501" s="85">
        <f t="shared" si="35"/>
        <v>0</v>
      </c>
      <c r="J501" s="93"/>
      <c r="K501" s="85">
        <f t="shared" si="36"/>
        <v>0</v>
      </c>
      <c r="L501" s="68"/>
      <c r="M501" s="68"/>
      <c r="P501" s="89" t="str">
        <f t="shared" si="34"/>
        <v xml:space="preserve">  1 1900 </v>
      </c>
    </row>
    <row r="502" spans="1:16">
      <c r="A502" s="68"/>
      <c r="B502" s="87"/>
      <c r="C502" s="88"/>
      <c r="D502" s="88"/>
      <c r="E502" s="90"/>
      <c r="F502" s="84" t="str">
        <f ca="1">IF(D502="Income",LOOKUP(E502,Introduction!$A$11:$A$18,Introduction!$C$11:$C$18),IF(D502="Expense",LOOKUP(E502,Introduction!$D$11:$D$30,Introduction!$F$11:$F$30),"_"))</f>
        <v>_</v>
      </c>
      <c r="G502" s="88"/>
      <c r="H502" s="92"/>
      <c r="I502" s="85">
        <f t="shared" si="35"/>
        <v>0</v>
      </c>
      <c r="J502" s="93"/>
      <c r="K502" s="85">
        <f t="shared" si="36"/>
        <v>0</v>
      </c>
      <c r="L502" s="68"/>
      <c r="M502" s="68"/>
      <c r="P502" s="89" t="str">
        <f t="shared" si="34"/>
        <v xml:space="preserve">  1 1900 </v>
      </c>
    </row>
    <row r="503" spans="1:16">
      <c r="A503" s="68"/>
      <c r="B503" s="87"/>
      <c r="C503" s="88"/>
      <c r="D503" s="88"/>
      <c r="E503" s="90"/>
      <c r="F503" s="84" t="str">
        <f ca="1">IF(D503="Income",LOOKUP(E503,Introduction!$A$11:$A$18,Introduction!$C$11:$C$18),IF(D503="Expense",LOOKUP(E503,Introduction!$D$11:$D$30,Introduction!$F$11:$F$30),"_"))</f>
        <v>_</v>
      </c>
      <c r="G503" s="88"/>
      <c r="H503" s="92"/>
      <c r="I503" s="85">
        <f t="shared" si="35"/>
        <v>0</v>
      </c>
      <c r="J503" s="93"/>
      <c r="K503" s="85">
        <f t="shared" si="36"/>
        <v>0</v>
      </c>
      <c r="L503" s="68"/>
      <c r="M503" s="68"/>
      <c r="P503" s="89" t="str">
        <f t="shared" si="34"/>
        <v xml:space="preserve">  1 1900 </v>
      </c>
    </row>
    <row r="504" spans="1:16">
      <c r="A504" s="68"/>
      <c r="B504" s="87"/>
      <c r="C504" s="88"/>
      <c r="D504" s="88"/>
      <c r="E504" s="90"/>
      <c r="F504" s="84" t="str">
        <f ca="1">IF(D504="Income",LOOKUP(E504,Introduction!$A$11:$A$18,Introduction!$C$11:$C$18),IF(D504="Expense",LOOKUP(E504,Introduction!$D$11:$D$30,Introduction!$F$11:$F$30),"_"))</f>
        <v>_</v>
      </c>
      <c r="G504" s="88"/>
      <c r="H504" s="92"/>
      <c r="I504" s="85">
        <f t="shared" si="35"/>
        <v>0</v>
      </c>
      <c r="J504" s="93"/>
      <c r="K504" s="85">
        <f t="shared" si="36"/>
        <v>0</v>
      </c>
      <c r="L504" s="68"/>
      <c r="M504" s="68"/>
      <c r="P504" s="89" t="str">
        <f t="shared" si="34"/>
        <v xml:space="preserve">  1 1900 </v>
      </c>
    </row>
    <row r="505" spans="1:16">
      <c r="A505" s="68"/>
      <c r="B505" s="87"/>
      <c r="C505" s="88"/>
      <c r="D505" s="88"/>
      <c r="E505" s="90"/>
      <c r="F505" s="84" t="str">
        <f ca="1">IF(D505="Income",LOOKUP(E505,Introduction!$A$11:$A$18,Introduction!$C$11:$C$18),IF(D505="Expense",LOOKUP(E505,Introduction!$D$11:$D$30,Introduction!$F$11:$F$30),"_"))</f>
        <v>_</v>
      </c>
      <c r="G505" s="88"/>
      <c r="H505" s="92"/>
      <c r="I505" s="85">
        <f t="shared" si="35"/>
        <v>0</v>
      </c>
      <c r="J505" s="93"/>
      <c r="K505" s="85">
        <f t="shared" si="36"/>
        <v>0</v>
      </c>
      <c r="L505" s="68"/>
      <c r="M505" s="68"/>
      <c r="P505" s="89" t="str">
        <f t="shared" si="34"/>
        <v xml:space="preserve">  1 1900 </v>
      </c>
    </row>
    <row r="506" spans="1:16">
      <c r="A506" s="68"/>
      <c r="B506" s="87"/>
      <c r="C506" s="88"/>
      <c r="D506" s="88"/>
      <c r="E506" s="90"/>
      <c r="F506" s="84" t="str">
        <f ca="1">IF(D506="Income",LOOKUP(E506,Introduction!$A$11:$A$18,Introduction!$C$11:$C$18),IF(D506="Expense",LOOKUP(E506,Introduction!$D$11:$D$30,Introduction!$F$11:$F$30),"_"))</f>
        <v>_</v>
      </c>
      <c r="G506" s="88"/>
      <c r="H506" s="92"/>
      <c r="I506" s="85">
        <f t="shared" si="35"/>
        <v>0</v>
      </c>
      <c r="J506" s="93"/>
      <c r="K506" s="85">
        <f t="shared" si="36"/>
        <v>0</v>
      </c>
      <c r="L506" s="68"/>
      <c r="M506" s="68"/>
      <c r="P506" s="89" t="str">
        <f t="shared" si="34"/>
        <v xml:space="preserve">  1 1900 </v>
      </c>
    </row>
    <row r="507" spans="1:16">
      <c r="A507" s="68"/>
      <c r="B507" s="87"/>
      <c r="C507" s="88"/>
      <c r="D507" s="88"/>
      <c r="E507" s="90"/>
      <c r="F507" s="84" t="str">
        <f ca="1">IF(D507="Income",LOOKUP(E507,Introduction!$A$11:$A$18,Introduction!$C$11:$C$18),IF(D507="Expense",LOOKUP(E507,Introduction!$D$11:$D$30,Introduction!$F$11:$F$30),"_"))</f>
        <v>_</v>
      </c>
      <c r="G507" s="88"/>
      <c r="H507" s="92"/>
      <c r="I507" s="85">
        <f t="shared" si="35"/>
        <v>0</v>
      </c>
      <c r="J507" s="93"/>
      <c r="K507" s="85">
        <f t="shared" si="36"/>
        <v>0</v>
      </c>
      <c r="L507" s="68"/>
      <c r="M507" s="68"/>
      <c r="P507" s="89" t="str">
        <f t="shared" si="34"/>
        <v xml:space="preserve">  1 1900 </v>
      </c>
    </row>
    <row r="508" spans="1:16">
      <c r="A508" s="68"/>
      <c r="B508" s="87"/>
      <c r="C508" s="88"/>
      <c r="D508" s="88"/>
      <c r="E508" s="90"/>
      <c r="F508" s="84" t="str">
        <f ca="1">IF(D508="Income",LOOKUP(E508,Introduction!$A$11:$A$18,Introduction!$C$11:$C$18),IF(D508="Expense",LOOKUP(E508,Introduction!$D$11:$D$30,Introduction!$F$11:$F$30),"_"))</f>
        <v>_</v>
      </c>
      <c r="G508" s="88"/>
      <c r="H508" s="92"/>
      <c r="I508" s="85">
        <f t="shared" si="35"/>
        <v>0</v>
      </c>
      <c r="J508" s="93"/>
      <c r="K508" s="85">
        <f t="shared" si="36"/>
        <v>0</v>
      </c>
      <c r="L508" s="68"/>
      <c r="M508" s="68"/>
      <c r="P508" s="89" t="str">
        <f t="shared" si="34"/>
        <v xml:space="preserve">  1 1900 </v>
      </c>
    </row>
    <row r="509" spans="1:16">
      <c r="A509" s="68"/>
      <c r="B509" s="87"/>
      <c r="C509" s="88"/>
      <c r="D509" s="88"/>
      <c r="E509" s="90"/>
      <c r="F509" s="84" t="str">
        <f ca="1">IF(D509="Income",LOOKUP(E509,Introduction!$A$11:$A$18,Introduction!$C$11:$C$18),IF(D509="Expense",LOOKUP(E509,Introduction!$D$11:$D$30,Introduction!$F$11:$F$30),"_"))</f>
        <v>_</v>
      </c>
      <c r="G509" s="88"/>
      <c r="H509" s="92"/>
      <c r="I509" s="85">
        <f t="shared" si="35"/>
        <v>0</v>
      </c>
      <c r="J509" s="93"/>
      <c r="K509" s="85">
        <f t="shared" si="36"/>
        <v>0</v>
      </c>
      <c r="L509" s="68"/>
      <c r="M509" s="68"/>
      <c r="P509" s="89" t="str">
        <f t="shared" si="34"/>
        <v xml:space="preserve">  1 1900 </v>
      </c>
    </row>
    <row r="510" spans="1:16">
      <c r="A510" s="68"/>
      <c r="B510" s="87"/>
      <c r="C510" s="88"/>
      <c r="D510" s="88"/>
      <c r="E510" s="90"/>
      <c r="F510" s="84" t="str">
        <f ca="1">IF(D510="Income",LOOKUP(E510,Introduction!$A$11:$A$18,Introduction!$C$11:$C$18),IF(D510="Expense",LOOKUP(E510,Introduction!$D$11:$D$30,Introduction!$F$11:$F$30),"_"))</f>
        <v>_</v>
      </c>
      <c r="G510" s="88"/>
      <c r="H510" s="92"/>
      <c r="I510" s="85">
        <f t="shared" si="35"/>
        <v>0</v>
      </c>
      <c r="J510" s="93"/>
      <c r="K510" s="85">
        <f t="shared" si="36"/>
        <v>0</v>
      </c>
      <c r="L510" s="68"/>
      <c r="M510" s="68"/>
      <c r="P510" s="89" t="str">
        <f t="shared" si="34"/>
        <v xml:space="preserve">  1 1900 </v>
      </c>
    </row>
    <row r="511" spans="1:16">
      <c r="A511" s="68"/>
      <c r="B511" s="87"/>
      <c r="C511" s="88"/>
      <c r="D511" s="88"/>
      <c r="E511" s="90"/>
      <c r="F511" s="84" t="str">
        <f ca="1">IF(D511="Income",LOOKUP(E511,Introduction!$A$11:$A$18,Introduction!$C$11:$C$18),IF(D511="Expense",LOOKUP(E511,Introduction!$D$11:$D$30,Introduction!$F$11:$F$30),"_"))</f>
        <v>_</v>
      </c>
      <c r="G511" s="88"/>
      <c r="H511" s="92"/>
      <c r="I511" s="85">
        <f t="shared" si="35"/>
        <v>0</v>
      </c>
      <c r="J511" s="93"/>
      <c r="K511" s="85">
        <f t="shared" si="36"/>
        <v>0</v>
      </c>
      <c r="L511" s="68"/>
      <c r="M511" s="68"/>
      <c r="P511" s="89" t="str">
        <f t="shared" si="34"/>
        <v xml:space="preserve">  1 1900 </v>
      </c>
    </row>
    <row r="512" spans="1:16">
      <c r="A512" s="68"/>
      <c r="B512" s="87"/>
      <c r="C512" s="88"/>
      <c r="D512" s="88"/>
      <c r="E512" s="90"/>
      <c r="F512" s="84" t="str">
        <f ca="1">IF(D512="Income",LOOKUP(E512,Introduction!$A$11:$A$18,Introduction!$C$11:$C$18),IF(D512="Expense",LOOKUP(E512,Introduction!$D$11:$D$30,Introduction!$F$11:$F$30),"_"))</f>
        <v>_</v>
      </c>
      <c r="G512" s="88"/>
      <c r="H512" s="92"/>
      <c r="I512" s="85">
        <f t="shared" si="35"/>
        <v>0</v>
      </c>
      <c r="J512" s="93"/>
      <c r="K512" s="85">
        <f t="shared" si="36"/>
        <v>0</v>
      </c>
      <c r="L512" s="68"/>
      <c r="M512" s="68"/>
      <c r="P512" s="89" t="str">
        <f t="shared" si="34"/>
        <v xml:space="preserve">  1 1900 </v>
      </c>
    </row>
    <row r="513" spans="1:16">
      <c r="A513" s="68"/>
      <c r="B513" s="87"/>
      <c r="C513" s="88"/>
      <c r="D513" s="88"/>
      <c r="E513" s="90"/>
      <c r="F513" s="84" t="str">
        <f ca="1">IF(D513="Income",LOOKUP(E513,Introduction!$A$11:$A$18,Introduction!$C$11:$C$18),IF(D513="Expense",LOOKUP(E513,Introduction!$D$11:$D$30,Introduction!$F$11:$F$30),"_"))</f>
        <v>_</v>
      </c>
      <c r="G513" s="88"/>
      <c r="H513" s="92"/>
      <c r="I513" s="85">
        <f t="shared" si="35"/>
        <v>0</v>
      </c>
      <c r="J513" s="93"/>
      <c r="K513" s="85">
        <f t="shared" si="36"/>
        <v>0</v>
      </c>
      <c r="L513" s="68"/>
      <c r="M513" s="68"/>
      <c r="P513" s="89" t="str">
        <f t="shared" si="34"/>
        <v xml:space="preserve">  1 1900 </v>
      </c>
    </row>
    <row r="514" spans="1:16">
      <c r="A514" s="68"/>
      <c r="B514" s="87"/>
      <c r="C514" s="88"/>
      <c r="D514" s="88"/>
      <c r="E514" s="90"/>
      <c r="F514" s="84" t="str">
        <f ca="1">IF(D514="Income",LOOKUP(E514,Introduction!$A$11:$A$18,Introduction!$C$11:$C$18),IF(D514="Expense",LOOKUP(E514,Introduction!$D$11:$D$30,Introduction!$F$11:$F$30),"_"))</f>
        <v>_</v>
      </c>
      <c r="G514" s="88"/>
      <c r="H514" s="92"/>
      <c r="I514" s="85">
        <f t="shared" si="35"/>
        <v>0</v>
      </c>
      <c r="J514" s="93"/>
      <c r="K514" s="85">
        <f t="shared" si="36"/>
        <v>0</v>
      </c>
      <c r="L514" s="68"/>
      <c r="M514" s="68"/>
      <c r="P514" s="89" t="str">
        <f t="shared" si="34"/>
        <v xml:space="preserve">  1 1900 </v>
      </c>
    </row>
    <row r="515" spans="1:16">
      <c r="A515" s="68"/>
      <c r="B515" s="87"/>
      <c r="C515" s="88"/>
      <c r="D515" s="88"/>
      <c r="E515" s="90"/>
      <c r="F515" s="84" t="str">
        <f ca="1">IF(D515="Income",LOOKUP(E515,Introduction!$A$11:$A$18,Introduction!$C$11:$C$18),IF(D515="Expense",LOOKUP(E515,Introduction!$D$11:$D$30,Introduction!$F$11:$F$30),"_"))</f>
        <v>_</v>
      </c>
      <c r="G515" s="88"/>
      <c r="H515" s="92"/>
      <c r="I515" s="85">
        <f t="shared" si="35"/>
        <v>0</v>
      </c>
      <c r="J515" s="93"/>
      <c r="K515" s="85">
        <f t="shared" si="36"/>
        <v>0</v>
      </c>
      <c r="L515" s="68"/>
      <c r="M515" s="68"/>
      <c r="P515" s="89" t="str">
        <f t="shared" si="34"/>
        <v xml:space="preserve">  1 1900 </v>
      </c>
    </row>
    <row r="516" spans="1:16">
      <c r="A516" s="68"/>
      <c r="B516" s="87"/>
      <c r="C516" s="88"/>
      <c r="D516" s="88"/>
      <c r="E516" s="90"/>
      <c r="F516" s="84" t="str">
        <f ca="1">IF(D516="Income",LOOKUP(E516,Introduction!$A$11:$A$18,Introduction!$C$11:$C$18),IF(D516="Expense",LOOKUP(E516,Introduction!$D$11:$D$30,Introduction!$F$11:$F$30),"_"))</f>
        <v>_</v>
      </c>
      <c r="G516" s="88"/>
      <c r="H516" s="92"/>
      <c r="I516" s="85">
        <f t="shared" si="35"/>
        <v>0</v>
      </c>
      <c r="J516" s="93"/>
      <c r="K516" s="85">
        <f t="shared" si="36"/>
        <v>0</v>
      </c>
      <c r="L516" s="68"/>
      <c r="M516" s="68"/>
      <c r="P516" s="89" t="str">
        <f t="shared" si="34"/>
        <v xml:space="preserve">  1 1900 </v>
      </c>
    </row>
    <row r="517" spans="1:16">
      <c r="A517" s="68"/>
      <c r="B517" s="87"/>
      <c r="C517" s="88"/>
      <c r="D517" s="88"/>
      <c r="E517" s="90"/>
      <c r="F517" s="84" t="str">
        <f ca="1">IF(D517="Income",LOOKUP(E517,Introduction!$A$11:$A$18,Introduction!$C$11:$C$18),IF(D517="Expense",LOOKUP(E517,Introduction!$D$11:$D$30,Introduction!$F$11:$F$30),"_"))</f>
        <v>_</v>
      </c>
      <c r="G517" s="88"/>
      <c r="H517" s="92"/>
      <c r="I517" s="85">
        <f t="shared" si="35"/>
        <v>0</v>
      </c>
      <c r="J517" s="93"/>
      <c r="K517" s="85">
        <f t="shared" si="36"/>
        <v>0</v>
      </c>
      <c r="L517" s="68"/>
      <c r="M517" s="68"/>
      <c r="P517" s="89" t="str">
        <f t="shared" si="34"/>
        <v xml:space="preserve">  1 1900 </v>
      </c>
    </row>
    <row r="518" spans="1:16">
      <c r="A518" s="68"/>
      <c r="B518" s="87"/>
      <c r="C518" s="88"/>
      <c r="D518" s="88"/>
      <c r="E518" s="90"/>
      <c r="F518" s="84" t="str">
        <f ca="1">IF(D518="Income",LOOKUP(E518,Introduction!$A$11:$A$18,Introduction!$C$11:$C$18),IF(D518="Expense",LOOKUP(E518,Introduction!$D$11:$D$30,Introduction!$F$11:$F$30),"_"))</f>
        <v>_</v>
      </c>
      <c r="G518" s="88"/>
      <c r="H518" s="92"/>
      <c r="I518" s="85">
        <f t="shared" si="35"/>
        <v>0</v>
      </c>
      <c r="J518" s="93"/>
      <c r="K518" s="85">
        <f t="shared" si="36"/>
        <v>0</v>
      </c>
      <c r="L518" s="68"/>
      <c r="M518" s="68"/>
      <c r="P518" s="89" t="str">
        <f t="shared" si="34"/>
        <v xml:space="preserve">  1 1900 </v>
      </c>
    </row>
    <row r="519" spans="1:16">
      <c r="A519" s="68"/>
      <c r="B519" s="87"/>
      <c r="C519" s="88"/>
      <c r="D519" s="88"/>
      <c r="E519" s="90"/>
      <c r="F519" s="84" t="str">
        <f ca="1">IF(D519="Income",LOOKUP(E519,Introduction!$A$11:$A$18,Introduction!$C$11:$C$18),IF(D519="Expense",LOOKUP(E519,Introduction!$D$11:$D$30,Introduction!$F$11:$F$30),"_"))</f>
        <v>_</v>
      </c>
      <c r="G519" s="88"/>
      <c r="H519" s="92"/>
      <c r="I519" s="85">
        <f t="shared" si="35"/>
        <v>0</v>
      </c>
      <c r="J519" s="93"/>
      <c r="K519" s="85">
        <f t="shared" si="36"/>
        <v>0</v>
      </c>
      <c r="L519" s="68"/>
      <c r="M519" s="68"/>
      <c r="P519" s="89" t="str">
        <f t="shared" ref="P519:P582" si="37">CONCATENATE(D519," ",E519," ",MONTH(C519)," ",YEAR(C519)," ")</f>
        <v xml:space="preserve">  1 1900 </v>
      </c>
    </row>
    <row r="520" spans="1:16">
      <c r="A520" s="68"/>
      <c r="B520" s="87"/>
      <c r="C520" s="88"/>
      <c r="D520" s="88"/>
      <c r="E520" s="90"/>
      <c r="F520" s="84" t="str">
        <f ca="1">IF(D520="Income",LOOKUP(E520,Introduction!$A$11:$A$18,Introduction!$C$11:$C$18),IF(D520="Expense",LOOKUP(E520,Introduction!$D$11:$D$30,Introduction!$F$11:$F$30),"_"))</f>
        <v>_</v>
      </c>
      <c r="G520" s="88"/>
      <c r="H520" s="92"/>
      <c r="I520" s="85">
        <f t="shared" si="35"/>
        <v>0</v>
      </c>
      <c r="J520" s="93"/>
      <c r="K520" s="85">
        <f t="shared" si="36"/>
        <v>0</v>
      </c>
      <c r="L520" s="68"/>
      <c r="M520" s="68"/>
      <c r="P520" s="89" t="str">
        <f t="shared" si="37"/>
        <v xml:space="preserve">  1 1900 </v>
      </c>
    </row>
    <row r="521" spans="1:16">
      <c r="A521" s="68"/>
      <c r="B521" s="87"/>
      <c r="C521" s="88"/>
      <c r="D521" s="88"/>
      <c r="E521" s="90"/>
      <c r="F521" s="84" t="str">
        <f ca="1">IF(D521="Income",LOOKUP(E521,Introduction!$A$11:$A$18,Introduction!$C$11:$C$18),IF(D521="Expense",LOOKUP(E521,Introduction!$D$11:$D$30,Introduction!$F$11:$F$30),"_"))</f>
        <v>_</v>
      </c>
      <c r="G521" s="88"/>
      <c r="H521" s="92"/>
      <c r="I521" s="85">
        <f t="shared" si="35"/>
        <v>0</v>
      </c>
      <c r="J521" s="93"/>
      <c r="K521" s="85">
        <f t="shared" si="36"/>
        <v>0</v>
      </c>
      <c r="L521" s="68"/>
      <c r="M521" s="68"/>
      <c r="P521" s="89" t="str">
        <f t="shared" si="37"/>
        <v xml:space="preserve">  1 1900 </v>
      </c>
    </row>
    <row r="522" spans="1:16">
      <c r="A522" s="68"/>
      <c r="B522" s="87"/>
      <c r="C522" s="88"/>
      <c r="D522" s="88"/>
      <c r="E522" s="90"/>
      <c r="F522" s="84" t="str">
        <f ca="1">IF(D522="Income",LOOKUP(E522,Introduction!$A$11:$A$18,Introduction!$C$11:$C$18),IF(D522="Expense",LOOKUP(E522,Introduction!$D$11:$D$30,Introduction!$F$11:$F$30),"_"))</f>
        <v>_</v>
      </c>
      <c r="G522" s="88"/>
      <c r="H522" s="92"/>
      <c r="I522" s="85">
        <f t="shared" si="35"/>
        <v>0</v>
      </c>
      <c r="J522" s="93"/>
      <c r="K522" s="85">
        <f t="shared" si="36"/>
        <v>0</v>
      </c>
      <c r="L522" s="68"/>
      <c r="M522" s="68"/>
      <c r="P522" s="89" t="str">
        <f t="shared" si="37"/>
        <v xml:space="preserve">  1 1900 </v>
      </c>
    </row>
    <row r="523" spans="1:16">
      <c r="A523" s="68"/>
      <c r="B523" s="87"/>
      <c r="C523" s="88"/>
      <c r="D523" s="88"/>
      <c r="E523" s="90"/>
      <c r="F523" s="84" t="str">
        <f ca="1">IF(D523="Income",LOOKUP(E523,Introduction!$A$11:$A$18,Introduction!$C$11:$C$18),IF(D523="Expense",LOOKUP(E523,Introduction!$D$11:$D$30,Introduction!$F$11:$F$30),"_"))</f>
        <v>_</v>
      </c>
      <c r="G523" s="88"/>
      <c r="H523" s="92"/>
      <c r="I523" s="85">
        <f t="shared" si="35"/>
        <v>0</v>
      </c>
      <c r="J523" s="93"/>
      <c r="K523" s="85">
        <f t="shared" si="36"/>
        <v>0</v>
      </c>
      <c r="L523" s="68"/>
      <c r="M523" s="68"/>
      <c r="P523" s="89" t="str">
        <f t="shared" si="37"/>
        <v xml:space="preserve">  1 1900 </v>
      </c>
    </row>
    <row r="524" spans="1:16">
      <c r="A524" s="68"/>
      <c r="B524" s="87"/>
      <c r="C524" s="88"/>
      <c r="D524" s="88"/>
      <c r="E524" s="90"/>
      <c r="F524" s="84" t="str">
        <f ca="1">IF(D524="Income",LOOKUP(E524,Introduction!$A$11:$A$18,Introduction!$C$11:$C$18),IF(D524="Expense",LOOKUP(E524,Introduction!$D$11:$D$30,Introduction!$F$11:$F$30),"_"))</f>
        <v>_</v>
      </c>
      <c r="G524" s="88"/>
      <c r="H524" s="92"/>
      <c r="I524" s="85">
        <f t="shared" si="35"/>
        <v>0</v>
      </c>
      <c r="J524" s="93"/>
      <c r="K524" s="85">
        <f t="shared" si="36"/>
        <v>0</v>
      </c>
      <c r="L524" s="68"/>
      <c r="M524" s="68"/>
      <c r="P524" s="89" t="str">
        <f t="shared" si="37"/>
        <v xml:space="preserve">  1 1900 </v>
      </c>
    </row>
    <row r="525" spans="1:16">
      <c r="A525" s="68"/>
      <c r="B525" s="87"/>
      <c r="C525" s="88"/>
      <c r="D525" s="88"/>
      <c r="E525" s="90"/>
      <c r="F525" s="84" t="str">
        <f ca="1">IF(D525="Income",LOOKUP(E525,Introduction!$A$11:$A$18,Introduction!$C$11:$C$18),IF(D525="Expense",LOOKUP(E525,Introduction!$D$11:$D$30,Introduction!$F$11:$F$30),"_"))</f>
        <v>_</v>
      </c>
      <c r="G525" s="88"/>
      <c r="H525" s="92"/>
      <c r="I525" s="85">
        <f t="shared" si="35"/>
        <v>0</v>
      </c>
      <c r="J525" s="93"/>
      <c r="K525" s="85">
        <f t="shared" si="36"/>
        <v>0</v>
      </c>
      <c r="L525" s="68"/>
      <c r="M525" s="68"/>
      <c r="P525" s="89" t="str">
        <f t="shared" si="37"/>
        <v xml:space="preserve">  1 1900 </v>
      </c>
    </row>
    <row r="526" spans="1:16">
      <c r="A526" s="68"/>
      <c r="B526" s="87"/>
      <c r="C526" s="88"/>
      <c r="D526" s="88"/>
      <c r="E526" s="90"/>
      <c r="F526" s="84" t="str">
        <f ca="1">IF(D526="Income",LOOKUP(E526,Introduction!$A$11:$A$18,Introduction!$C$11:$C$18),IF(D526="Expense",LOOKUP(E526,Introduction!$D$11:$D$30,Introduction!$F$11:$F$30),"_"))</f>
        <v>_</v>
      </c>
      <c r="G526" s="88"/>
      <c r="H526" s="92"/>
      <c r="I526" s="85">
        <f t="shared" si="35"/>
        <v>0</v>
      </c>
      <c r="J526" s="93"/>
      <c r="K526" s="85">
        <f t="shared" si="36"/>
        <v>0</v>
      </c>
      <c r="L526" s="68"/>
      <c r="M526" s="68"/>
      <c r="P526" s="89" t="str">
        <f t="shared" si="37"/>
        <v xml:space="preserve">  1 1900 </v>
      </c>
    </row>
    <row r="527" spans="1:16">
      <c r="A527" s="68"/>
      <c r="B527" s="87"/>
      <c r="C527" s="88"/>
      <c r="D527" s="88"/>
      <c r="E527" s="90"/>
      <c r="F527" s="84" t="str">
        <f ca="1">IF(D527="Income",LOOKUP(E527,Introduction!$A$11:$A$18,Introduction!$C$11:$C$18),IF(D527="Expense",LOOKUP(E527,Introduction!$D$11:$D$30,Introduction!$F$11:$F$30),"_"))</f>
        <v>_</v>
      </c>
      <c r="G527" s="88"/>
      <c r="H527" s="92"/>
      <c r="I527" s="85">
        <f t="shared" si="35"/>
        <v>0</v>
      </c>
      <c r="J527" s="93"/>
      <c r="K527" s="85">
        <f t="shared" si="36"/>
        <v>0</v>
      </c>
      <c r="L527" s="68"/>
      <c r="M527" s="68"/>
      <c r="P527" s="89" t="str">
        <f t="shared" si="37"/>
        <v xml:space="preserve">  1 1900 </v>
      </c>
    </row>
    <row r="528" spans="1:16">
      <c r="A528" s="68"/>
      <c r="B528" s="87"/>
      <c r="C528" s="88"/>
      <c r="D528" s="88"/>
      <c r="E528" s="90"/>
      <c r="F528" s="84" t="str">
        <f ca="1">IF(D528="Income",LOOKUP(E528,Introduction!$A$11:$A$18,Introduction!$C$11:$C$18),IF(D528="Expense",LOOKUP(E528,Introduction!$D$11:$D$30,Introduction!$F$11:$F$30),"_"))</f>
        <v>_</v>
      </c>
      <c r="G528" s="88"/>
      <c r="H528" s="92"/>
      <c r="I528" s="85">
        <f t="shared" si="35"/>
        <v>0</v>
      </c>
      <c r="J528" s="93"/>
      <c r="K528" s="85">
        <f t="shared" si="36"/>
        <v>0</v>
      </c>
      <c r="L528" s="68"/>
      <c r="M528" s="68"/>
      <c r="P528" s="89" t="str">
        <f t="shared" si="37"/>
        <v xml:space="preserve">  1 1900 </v>
      </c>
    </row>
    <row r="529" spans="1:16">
      <c r="A529" s="68"/>
      <c r="B529" s="87"/>
      <c r="C529" s="88"/>
      <c r="D529" s="88"/>
      <c r="E529" s="90"/>
      <c r="F529" s="84" t="str">
        <f ca="1">IF(D529="Income",LOOKUP(E529,Introduction!$A$11:$A$18,Introduction!$C$11:$C$18),IF(D529="Expense",LOOKUP(E529,Introduction!$D$11:$D$30,Introduction!$F$11:$F$30),"_"))</f>
        <v>_</v>
      </c>
      <c r="G529" s="88"/>
      <c r="H529" s="92"/>
      <c r="I529" s="85">
        <f t="shared" ref="I529:I592" si="38">+I528+H529</f>
        <v>0</v>
      </c>
      <c r="J529" s="93"/>
      <c r="K529" s="85">
        <f t="shared" ref="K529:K592" si="39">IF(J529=1,K528+H529,++K528)</f>
        <v>0</v>
      </c>
      <c r="L529" s="68"/>
      <c r="M529" s="68"/>
      <c r="P529" s="89" t="str">
        <f t="shared" si="37"/>
        <v xml:space="preserve">  1 1900 </v>
      </c>
    </row>
    <row r="530" spans="1:16">
      <c r="A530" s="68"/>
      <c r="B530" s="87"/>
      <c r="C530" s="88"/>
      <c r="D530" s="88"/>
      <c r="E530" s="90"/>
      <c r="F530" s="84" t="str">
        <f ca="1">IF(D530="Income",LOOKUP(E530,Introduction!$A$11:$A$18,Introduction!$C$11:$C$18),IF(D530="Expense",LOOKUP(E530,Introduction!$D$11:$D$30,Introduction!$F$11:$F$30),"_"))</f>
        <v>_</v>
      </c>
      <c r="G530" s="88"/>
      <c r="H530" s="92"/>
      <c r="I530" s="85">
        <f t="shared" si="38"/>
        <v>0</v>
      </c>
      <c r="J530" s="93"/>
      <c r="K530" s="85">
        <f t="shared" si="39"/>
        <v>0</v>
      </c>
      <c r="L530" s="68"/>
      <c r="M530" s="68"/>
      <c r="P530" s="89" t="str">
        <f t="shared" si="37"/>
        <v xml:space="preserve">  1 1900 </v>
      </c>
    </row>
    <row r="531" spans="1:16">
      <c r="A531" s="68"/>
      <c r="B531" s="87"/>
      <c r="C531" s="88"/>
      <c r="D531" s="88"/>
      <c r="E531" s="90"/>
      <c r="F531" s="84" t="str">
        <f ca="1">IF(D531="Income",LOOKUP(E531,Introduction!$A$11:$A$18,Introduction!$C$11:$C$18),IF(D531="Expense",LOOKUP(E531,Introduction!$D$11:$D$30,Introduction!$F$11:$F$30),"_"))</f>
        <v>_</v>
      </c>
      <c r="G531" s="88"/>
      <c r="H531" s="92"/>
      <c r="I531" s="85">
        <f t="shared" si="38"/>
        <v>0</v>
      </c>
      <c r="J531" s="93"/>
      <c r="K531" s="85">
        <f t="shared" si="39"/>
        <v>0</v>
      </c>
      <c r="L531" s="68"/>
      <c r="M531" s="68"/>
      <c r="P531" s="89" t="str">
        <f t="shared" si="37"/>
        <v xml:space="preserve">  1 1900 </v>
      </c>
    </row>
    <row r="532" spans="1:16">
      <c r="A532" s="68"/>
      <c r="B532" s="87"/>
      <c r="C532" s="88"/>
      <c r="D532" s="88"/>
      <c r="E532" s="90"/>
      <c r="F532" s="84" t="str">
        <f ca="1">IF(D532="Income",LOOKUP(E532,Introduction!$A$11:$A$18,Introduction!$C$11:$C$18),IF(D532="Expense",LOOKUP(E532,Introduction!$D$11:$D$30,Introduction!$F$11:$F$30),"_"))</f>
        <v>_</v>
      </c>
      <c r="G532" s="88"/>
      <c r="H532" s="92"/>
      <c r="I532" s="85">
        <f t="shared" si="38"/>
        <v>0</v>
      </c>
      <c r="J532" s="93"/>
      <c r="K532" s="85">
        <f t="shared" si="39"/>
        <v>0</v>
      </c>
      <c r="L532" s="68"/>
      <c r="M532" s="68"/>
      <c r="P532" s="89" t="str">
        <f t="shared" si="37"/>
        <v xml:space="preserve">  1 1900 </v>
      </c>
    </row>
    <row r="533" spans="1:16">
      <c r="A533" s="68"/>
      <c r="B533" s="87"/>
      <c r="C533" s="88"/>
      <c r="D533" s="88"/>
      <c r="E533" s="90"/>
      <c r="F533" s="84" t="str">
        <f ca="1">IF(D533="Income",LOOKUP(E533,Introduction!$A$11:$A$18,Introduction!$C$11:$C$18),IF(D533="Expense",LOOKUP(E533,Introduction!$D$11:$D$30,Introduction!$F$11:$F$30),"_"))</f>
        <v>_</v>
      </c>
      <c r="G533" s="88"/>
      <c r="H533" s="92"/>
      <c r="I533" s="85">
        <f t="shared" si="38"/>
        <v>0</v>
      </c>
      <c r="J533" s="93"/>
      <c r="K533" s="85">
        <f t="shared" si="39"/>
        <v>0</v>
      </c>
      <c r="L533" s="68"/>
      <c r="M533" s="68"/>
      <c r="P533" s="89" t="str">
        <f t="shared" si="37"/>
        <v xml:space="preserve">  1 1900 </v>
      </c>
    </row>
    <row r="534" spans="1:16">
      <c r="A534" s="68"/>
      <c r="B534" s="87"/>
      <c r="C534" s="88"/>
      <c r="D534" s="88"/>
      <c r="E534" s="90"/>
      <c r="F534" s="84" t="str">
        <f ca="1">IF(D534="Income",LOOKUP(E534,Introduction!$A$11:$A$18,Introduction!$C$11:$C$18),IF(D534="Expense",LOOKUP(E534,Introduction!$D$11:$D$30,Introduction!$F$11:$F$30),"_"))</f>
        <v>_</v>
      </c>
      <c r="G534" s="88"/>
      <c r="H534" s="92"/>
      <c r="I534" s="85">
        <f t="shared" si="38"/>
        <v>0</v>
      </c>
      <c r="J534" s="93"/>
      <c r="K534" s="85">
        <f t="shared" si="39"/>
        <v>0</v>
      </c>
      <c r="L534" s="68"/>
      <c r="M534" s="68"/>
      <c r="P534" s="89" t="str">
        <f t="shared" si="37"/>
        <v xml:space="preserve">  1 1900 </v>
      </c>
    </row>
    <row r="535" spans="1:16">
      <c r="A535" s="68"/>
      <c r="B535" s="87"/>
      <c r="C535" s="88"/>
      <c r="D535" s="88"/>
      <c r="E535" s="90"/>
      <c r="F535" s="84" t="str">
        <f ca="1">IF(D535="Income",LOOKUP(E535,Introduction!$A$11:$A$18,Introduction!$C$11:$C$18),IF(D535="Expense",LOOKUP(E535,Introduction!$D$11:$D$30,Introduction!$F$11:$F$30),"_"))</f>
        <v>_</v>
      </c>
      <c r="G535" s="88"/>
      <c r="H535" s="92"/>
      <c r="I535" s="85">
        <f t="shared" si="38"/>
        <v>0</v>
      </c>
      <c r="J535" s="93"/>
      <c r="K535" s="85">
        <f t="shared" si="39"/>
        <v>0</v>
      </c>
      <c r="L535" s="68"/>
      <c r="M535" s="68"/>
      <c r="P535" s="89" t="str">
        <f t="shared" si="37"/>
        <v xml:space="preserve">  1 1900 </v>
      </c>
    </row>
    <row r="536" spans="1:16">
      <c r="A536" s="68"/>
      <c r="B536" s="87"/>
      <c r="C536" s="88"/>
      <c r="D536" s="88"/>
      <c r="E536" s="90"/>
      <c r="F536" s="84" t="str">
        <f ca="1">IF(D536="Income",LOOKUP(E536,Introduction!$A$11:$A$18,Introduction!$C$11:$C$18),IF(D536="Expense",LOOKUP(E536,Introduction!$D$11:$D$30,Introduction!$F$11:$F$30),"_"))</f>
        <v>_</v>
      </c>
      <c r="G536" s="88"/>
      <c r="H536" s="92"/>
      <c r="I536" s="85">
        <f t="shared" si="38"/>
        <v>0</v>
      </c>
      <c r="J536" s="93"/>
      <c r="K536" s="85">
        <f t="shared" si="39"/>
        <v>0</v>
      </c>
      <c r="L536" s="68"/>
      <c r="M536" s="68"/>
      <c r="P536" s="89" t="str">
        <f t="shared" si="37"/>
        <v xml:space="preserve">  1 1900 </v>
      </c>
    </row>
    <row r="537" spans="1:16">
      <c r="A537" s="68"/>
      <c r="B537" s="87"/>
      <c r="C537" s="88"/>
      <c r="D537" s="88"/>
      <c r="E537" s="90"/>
      <c r="F537" s="84" t="str">
        <f ca="1">IF(D537="Income",LOOKUP(E537,Introduction!$A$11:$A$18,Introduction!$C$11:$C$18),IF(D537="Expense",LOOKUP(E537,Introduction!$D$11:$D$30,Introduction!$F$11:$F$30),"_"))</f>
        <v>_</v>
      </c>
      <c r="G537" s="88"/>
      <c r="H537" s="92"/>
      <c r="I537" s="85">
        <f t="shared" si="38"/>
        <v>0</v>
      </c>
      <c r="J537" s="93"/>
      <c r="K537" s="85">
        <f t="shared" si="39"/>
        <v>0</v>
      </c>
      <c r="L537" s="68"/>
      <c r="M537" s="68"/>
      <c r="P537" s="89" t="str">
        <f t="shared" si="37"/>
        <v xml:space="preserve">  1 1900 </v>
      </c>
    </row>
    <row r="538" spans="1:16">
      <c r="A538" s="68"/>
      <c r="B538" s="87"/>
      <c r="C538" s="88"/>
      <c r="D538" s="88"/>
      <c r="E538" s="90"/>
      <c r="F538" s="84" t="str">
        <f ca="1">IF(D538="Income",LOOKUP(E538,Introduction!$A$11:$A$18,Introduction!$C$11:$C$18),IF(D538="Expense",LOOKUP(E538,Introduction!$D$11:$D$30,Introduction!$F$11:$F$30),"_"))</f>
        <v>_</v>
      </c>
      <c r="G538" s="88"/>
      <c r="H538" s="92"/>
      <c r="I538" s="85">
        <f t="shared" si="38"/>
        <v>0</v>
      </c>
      <c r="J538" s="93"/>
      <c r="K538" s="85">
        <f t="shared" si="39"/>
        <v>0</v>
      </c>
      <c r="L538" s="68"/>
      <c r="M538" s="68"/>
      <c r="P538" s="89" t="str">
        <f t="shared" si="37"/>
        <v xml:space="preserve">  1 1900 </v>
      </c>
    </row>
    <row r="539" spans="1:16">
      <c r="A539" s="68"/>
      <c r="B539" s="87"/>
      <c r="C539" s="88"/>
      <c r="D539" s="88"/>
      <c r="E539" s="90"/>
      <c r="F539" s="84" t="str">
        <f ca="1">IF(D539="Income",LOOKUP(E539,Introduction!$A$11:$A$18,Introduction!$C$11:$C$18),IF(D539="Expense",LOOKUP(E539,Introduction!$D$11:$D$30,Introduction!$F$11:$F$30),"_"))</f>
        <v>_</v>
      </c>
      <c r="G539" s="88"/>
      <c r="H539" s="92"/>
      <c r="I539" s="85">
        <f t="shared" si="38"/>
        <v>0</v>
      </c>
      <c r="J539" s="93"/>
      <c r="K539" s="85">
        <f t="shared" si="39"/>
        <v>0</v>
      </c>
      <c r="L539" s="68"/>
      <c r="M539" s="68"/>
      <c r="P539" s="89" t="str">
        <f t="shared" si="37"/>
        <v xml:space="preserve">  1 1900 </v>
      </c>
    </row>
    <row r="540" spans="1:16">
      <c r="A540" s="68"/>
      <c r="B540" s="87"/>
      <c r="C540" s="88"/>
      <c r="D540" s="88"/>
      <c r="E540" s="90"/>
      <c r="F540" s="84" t="str">
        <f ca="1">IF(D540="Income",LOOKUP(E540,Introduction!$A$11:$A$18,Introduction!$C$11:$C$18),IF(D540="Expense",LOOKUP(E540,Introduction!$D$11:$D$30,Introduction!$F$11:$F$30),"_"))</f>
        <v>_</v>
      </c>
      <c r="G540" s="88"/>
      <c r="H540" s="92"/>
      <c r="I540" s="85">
        <f t="shared" si="38"/>
        <v>0</v>
      </c>
      <c r="J540" s="93"/>
      <c r="K540" s="85">
        <f t="shared" si="39"/>
        <v>0</v>
      </c>
      <c r="L540" s="68"/>
      <c r="M540" s="68"/>
      <c r="P540" s="89" t="str">
        <f t="shared" si="37"/>
        <v xml:space="preserve">  1 1900 </v>
      </c>
    </row>
    <row r="541" spans="1:16">
      <c r="A541" s="68"/>
      <c r="B541" s="87"/>
      <c r="C541" s="88"/>
      <c r="D541" s="88"/>
      <c r="E541" s="90"/>
      <c r="F541" s="84" t="str">
        <f ca="1">IF(D541="Income",LOOKUP(E541,Introduction!$A$11:$A$18,Introduction!$C$11:$C$18),IF(D541="Expense",LOOKUP(E541,Introduction!$D$11:$D$30,Introduction!$F$11:$F$30),"_"))</f>
        <v>_</v>
      </c>
      <c r="G541" s="88"/>
      <c r="H541" s="92"/>
      <c r="I541" s="85">
        <f t="shared" si="38"/>
        <v>0</v>
      </c>
      <c r="J541" s="93"/>
      <c r="K541" s="85">
        <f t="shared" si="39"/>
        <v>0</v>
      </c>
      <c r="L541" s="68"/>
      <c r="M541" s="68"/>
      <c r="P541" s="89" t="str">
        <f t="shared" si="37"/>
        <v xml:space="preserve">  1 1900 </v>
      </c>
    </row>
    <row r="542" spans="1:16">
      <c r="A542" s="68"/>
      <c r="B542" s="87"/>
      <c r="C542" s="88"/>
      <c r="D542" s="88"/>
      <c r="E542" s="90"/>
      <c r="F542" s="84" t="str">
        <f ca="1">IF(D542="Income",LOOKUP(E542,Introduction!$A$11:$A$18,Introduction!$C$11:$C$18),IF(D542="Expense",LOOKUP(E542,Introduction!$D$11:$D$30,Introduction!$F$11:$F$30),"_"))</f>
        <v>_</v>
      </c>
      <c r="G542" s="88"/>
      <c r="H542" s="92"/>
      <c r="I542" s="85">
        <f t="shared" si="38"/>
        <v>0</v>
      </c>
      <c r="J542" s="93"/>
      <c r="K542" s="85">
        <f t="shared" si="39"/>
        <v>0</v>
      </c>
      <c r="L542" s="68"/>
      <c r="M542" s="68"/>
      <c r="P542" s="89" t="str">
        <f t="shared" si="37"/>
        <v xml:space="preserve">  1 1900 </v>
      </c>
    </row>
    <row r="543" spans="1:16">
      <c r="A543" s="68"/>
      <c r="B543" s="87"/>
      <c r="C543" s="88"/>
      <c r="D543" s="88"/>
      <c r="E543" s="90"/>
      <c r="F543" s="84" t="str">
        <f ca="1">IF(D543="Income",LOOKUP(E543,Introduction!$A$11:$A$18,Introduction!$C$11:$C$18),IF(D543="Expense",LOOKUP(E543,Introduction!$D$11:$D$30,Introduction!$F$11:$F$30),"_"))</f>
        <v>_</v>
      </c>
      <c r="G543" s="88"/>
      <c r="H543" s="92"/>
      <c r="I543" s="85">
        <f t="shared" si="38"/>
        <v>0</v>
      </c>
      <c r="J543" s="93"/>
      <c r="K543" s="85">
        <f t="shared" si="39"/>
        <v>0</v>
      </c>
      <c r="L543" s="68"/>
      <c r="M543" s="68"/>
      <c r="P543" s="89" t="str">
        <f t="shared" si="37"/>
        <v xml:space="preserve">  1 1900 </v>
      </c>
    </row>
    <row r="544" spans="1:16">
      <c r="A544" s="68"/>
      <c r="B544" s="87"/>
      <c r="C544" s="88"/>
      <c r="D544" s="88"/>
      <c r="E544" s="90"/>
      <c r="F544" s="84" t="str">
        <f ca="1">IF(D544="Income",LOOKUP(E544,Introduction!$A$11:$A$18,Introduction!$C$11:$C$18),IF(D544="Expense",LOOKUP(E544,Introduction!$D$11:$D$30,Introduction!$F$11:$F$30),"_"))</f>
        <v>_</v>
      </c>
      <c r="G544" s="88"/>
      <c r="H544" s="92"/>
      <c r="I544" s="85">
        <f t="shared" si="38"/>
        <v>0</v>
      </c>
      <c r="J544" s="93"/>
      <c r="K544" s="85">
        <f t="shared" si="39"/>
        <v>0</v>
      </c>
      <c r="L544" s="68"/>
      <c r="M544" s="68"/>
      <c r="P544" s="89" t="str">
        <f t="shared" si="37"/>
        <v xml:space="preserve">  1 1900 </v>
      </c>
    </row>
    <row r="545" spans="1:16">
      <c r="A545" s="68"/>
      <c r="B545" s="87"/>
      <c r="C545" s="88"/>
      <c r="D545" s="88"/>
      <c r="E545" s="90"/>
      <c r="F545" s="84" t="str">
        <f ca="1">IF(D545="Income",LOOKUP(E545,Introduction!$A$11:$A$18,Introduction!$C$11:$C$18),IF(D545="Expense",LOOKUP(E545,Introduction!$D$11:$D$30,Introduction!$F$11:$F$30),"_"))</f>
        <v>_</v>
      </c>
      <c r="G545" s="88"/>
      <c r="H545" s="92"/>
      <c r="I545" s="85">
        <f t="shared" si="38"/>
        <v>0</v>
      </c>
      <c r="J545" s="93"/>
      <c r="K545" s="85">
        <f t="shared" si="39"/>
        <v>0</v>
      </c>
      <c r="L545" s="68"/>
      <c r="M545" s="68"/>
      <c r="P545" s="89" t="str">
        <f t="shared" si="37"/>
        <v xml:space="preserve">  1 1900 </v>
      </c>
    </row>
    <row r="546" spans="1:16">
      <c r="A546" s="68"/>
      <c r="B546" s="87"/>
      <c r="C546" s="88"/>
      <c r="D546" s="88"/>
      <c r="E546" s="90"/>
      <c r="F546" s="84" t="str">
        <f ca="1">IF(D546="Income",LOOKUP(E546,Introduction!$A$11:$A$18,Introduction!$C$11:$C$18),IF(D546="Expense",LOOKUP(E546,Introduction!$D$11:$D$30,Introduction!$F$11:$F$30),"_"))</f>
        <v>_</v>
      </c>
      <c r="G546" s="88"/>
      <c r="H546" s="92"/>
      <c r="I546" s="85">
        <f t="shared" si="38"/>
        <v>0</v>
      </c>
      <c r="J546" s="93"/>
      <c r="K546" s="85">
        <f t="shared" si="39"/>
        <v>0</v>
      </c>
      <c r="L546" s="68"/>
      <c r="M546" s="68"/>
      <c r="P546" s="89" t="str">
        <f t="shared" si="37"/>
        <v xml:space="preserve">  1 1900 </v>
      </c>
    </row>
    <row r="547" spans="1:16">
      <c r="A547" s="68"/>
      <c r="B547" s="87"/>
      <c r="C547" s="88"/>
      <c r="D547" s="88"/>
      <c r="E547" s="90"/>
      <c r="F547" s="84" t="str">
        <f ca="1">IF(D547="Income",LOOKUP(E547,Introduction!$A$11:$A$18,Introduction!$C$11:$C$18),IF(D547="Expense",LOOKUP(E547,Introduction!$D$11:$D$30,Introduction!$F$11:$F$30),"_"))</f>
        <v>_</v>
      </c>
      <c r="G547" s="88"/>
      <c r="H547" s="92"/>
      <c r="I547" s="85">
        <f t="shared" si="38"/>
        <v>0</v>
      </c>
      <c r="J547" s="93"/>
      <c r="K547" s="85">
        <f t="shared" si="39"/>
        <v>0</v>
      </c>
      <c r="L547" s="68"/>
      <c r="M547" s="68"/>
      <c r="P547" s="89" t="str">
        <f t="shared" si="37"/>
        <v xml:space="preserve">  1 1900 </v>
      </c>
    </row>
    <row r="548" spans="1:16">
      <c r="A548" s="68"/>
      <c r="B548" s="87"/>
      <c r="C548" s="88"/>
      <c r="D548" s="88"/>
      <c r="E548" s="90"/>
      <c r="F548" s="84" t="str">
        <f ca="1">IF(D548="Income",LOOKUP(E548,Introduction!$A$11:$A$18,Introduction!$C$11:$C$18),IF(D548="Expense",LOOKUP(E548,Introduction!$D$11:$D$30,Introduction!$F$11:$F$30),"_"))</f>
        <v>_</v>
      </c>
      <c r="G548" s="88"/>
      <c r="H548" s="92"/>
      <c r="I548" s="85">
        <f t="shared" si="38"/>
        <v>0</v>
      </c>
      <c r="J548" s="93"/>
      <c r="K548" s="85">
        <f t="shared" si="39"/>
        <v>0</v>
      </c>
      <c r="L548" s="68"/>
      <c r="M548" s="68"/>
      <c r="P548" s="89" t="str">
        <f t="shared" si="37"/>
        <v xml:space="preserve">  1 1900 </v>
      </c>
    </row>
    <row r="549" spans="1:16">
      <c r="A549" s="68"/>
      <c r="B549" s="87"/>
      <c r="C549" s="88"/>
      <c r="D549" s="88"/>
      <c r="E549" s="90"/>
      <c r="F549" s="84" t="str">
        <f ca="1">IF(D549="Income",LOOKUP(E549,Introduction!$A$11:$A$18,Introduction!$C$11:$C$18),IF(D549="Expense",LOOKUP(E549,Introduction!$D$11:$D$30,Introduction!$F$11:$F$30),"_"))</f>
        <v>_</v>
      </c>
      <c r="G549" s="88"/>
      <c r="H549" s="92"/>
      <c r="I549" s="85">
        <f t="shared" si="38"/>
        <v>0</v>
      </c>
      <c r="J549" s="93"/>
      <c r="K549" s="85">
        <f t="shared" si="39"/>
        <v>0</v>
      </c>
      <c r="L549" s="68"/>
      <c r="M549" s="68"/>
      <c r="P549" s="89" t="str">
        <f t="shared" si="37"/>
        <v xml:space="preserve">  1 1900 </v>
      </c>
    </row>
    <row r="550" spans="1:16">
      <c r="A550" s="68"/>
      <c r="B550" s="87"/>
      <c r="C550" s="88"/>
      <c r="D550" s="88"/>
      <c r="E550" s="90"/>
      <c r="F550" s="84" t="str">
        <f ca="1">IF(D550="Income",LOOKUP(E550,Introduction!$A$11:$A$18,Introduction!$C$11:$C$18),IF(D550="Expense",LOOKUP(E550,Introduction!$D$11:$D$30,Introduction!$F$11:$F$30),"_"))</f>
        <v>_</v>
      </c>
      <c r="G550" s="88"/>
      <c r="H550" s="92"/>
      <c r="I550" s="85">
        <f t="shared" si="38"/>
        <v>0</v>
      </c>
      <c r="J550" s="93"/>
      <c r="K550" s="85">
        <f t="shared" si="39"/>
        <v>0</v>
      </c>
      <c r="L550" s="68"/>
      <c r="M550" s="68"/>
      <c r="P550" s="89" t="str">
        <f t="shared" si="37"/>
        <v xml:space="preserve">  1 1900 </v>
      </c>
    </row>
    <row r="551" spans="1:16">
      <c r="A551" s="68"/>
      <c r="B551" s="87"/>
      <c r="C551" s="88"/>
      <c r="D551" s="88"/>
      <c r="E551" s="90"/>
      <c r="F551" s="84" t="str">
        <f ca="1">IF(D551="Income",LOOKUP(E551,Introduction!$A$11:$A$18,Introduction!$C$11:$C$18),IF(D551="Expense",LOOKUP(E551,Introduction!$D$11:$D$30,Introduction!$F$11:$F$30),"_"))</f>
        <v>_</v>
      </c>
      <c r="G551" s="88"/>
      <c r="H551" s="92"/>
      <c r="I551" s="85">
        <f t="shared" si="38"/>
        <v>0</v>
      </c>
      <c r="J551" s="93"/>
      <c r="K551" s="85">
        <f t="shared" si="39"/>
        <v>0</v>
      </c>
      <c r="L551" s="68"/>
      <c r="M551" s="68"/>
      <c r="P551" s="89" t="str">
        <f t="shared" si="37"/>
        <v xml:space="preserve">  1 1900 </v>
      </c>
    </row>
    <row r="552" spans="1:16">
      <c r="A552" s="68"/>
      <c r="B552" s="87"/>
      <c r="C552" s="88"/>
      <c r="D552" s="88"/>
      <c r="E552" s="90"/>
      <c r="F552" s="84" t="str">
        <f ca="1">IF(D552="Income",LOOKUP(E552,Introduction!$A$11:$A$18,Introduction!$C$11:$C$18),IF(D552="Expense",LOOKUP(E552,Introduction!$D$11:$D$30,Introduction!$F$11:$F$30),"_"))</f>
        <v>_</v>
      </c>
      <c r="G552" s="88"/>
      <c r="H552" s="92"/>
      <c r="I552" s="85">
        <f t="shared" si="38"/>
        <v>0</v>
      </c>
      <c r="J552" s="93"/>
      <c r="K552" s="85">
        <f t="shared" si="39"/>
        <v>0</v>
      </c>
      <c r="L552" s="68"/>
      <c r="M552" s="68"/>
      <c r="P552" s="89" t="str">
        <f t="shared" si="37"/>
        <v xml:space="preserve">  1 1900 </v>
      </c>
    </row>
    <row r="553" spans="1:16">
      <c r="A553" s="68"/>
      <c r="B553" s="87"/>
      <c r="C553" s="88"/>
      <c r="D553" s="88"/>
      <c r="E553" s="90"/>
      <c r="F553" s="84" t="str">
        <f ca="1">IF(D553="Income",LOOKUP(E553,Introduction!$A$11:$A$18,Introduction!$C$11:$C$18),IF(D553="Expense",LOOKUP(E553,Introduction!$D$11:$D$30,Introduction!$F$11:$F$30),"_"))</f>
        <v>_</v>
      </c>
      <c r="G553" s="88"/>
      <c r="H553" s="92"/>
      <c r="I553" s="85">
        <f t="shared" si="38"/>
        <v>0</v>
      </c>
      <c r="J553" s="93"/>
      <c r="K553" s="85">
        <f t="shared" si="39"/>
        <v>0</v>
      </c>
      <c r="L553" s="68"/>
      <c r="M553" s="68"/>
      <c r="P553" s="89" t="str">
        <f t="shared" si="37"/>
        <v xml:space="preserve">  1 1900 </v>
      </c>
    </row>
    <row r="554" spans="1:16">
      <c r="A554" s="68"/>
      <c r="B554" s="87"/>
      <c r="C554" s="88"/>
      <c r="D554" s="88"/>
      <c r="E554" s="90"/>
      <c r="F554" s="84" t="str">
        <f ca="1">IF(D554="Income",LOOKUP(E554,Introduction!$A$11:$A$18,Introduction!$C$11:$C$18),IF(D554="Expense",LOOKUP(E554,Introduction!$D$11:$D$30,Introduction!$F$11:$F$30),"_"))</f>
        <v>_</v>
      </c>
      <c r="G554" s="88"/>
      <c r="H554" s="92"/>
      <c r="I554" s="85">
        <f t="shared" si="38"/>
        <v>0</v>
      </c>
      <c r="J554" s="93"/>
      <c r="K554" s="85">
        <f t="shared" si="39"/>
        <v>0</v>
      </c>
      <c r="L554" s="68"/>
      <c r="M554" s="68"/>
      <c r="P554" s="89" t="str">
        <f t="shared" si="37"/>
        <v xml:space="preserve">  1 1900 </v>
      </c>
    </row>
    <row r="555" spans="1:16">
      <c r="A555" s="68"/>
      <c r="B555" s="87"/>
      <c r="C555" s="88"/>
      <c r="D555" s="88"/>
      <c r="E555" s="90"/>
      <c r="F555" s="84" t="str">
        <f ca="1">IF(D555="Income",LOOKUP(E555,Introduction!$A$11:$A$18,Introduction!$C$11:$C$18),IF(D555="Expense",LOOKUP(E555,Introduction!$D$11:$D$30,Introduction!$F$11:$F$30),"_"))</f>
        <v>_</v>
      </c>
      <c r="G555" s="88"/>
      <c r="H555" s="92"/>
      <c r="I555" s="85">
        <f t="shared" si="38"/>
        <v>0</v>
      </c>
      <c r="J555" s="93"/>
      <c r="K555" s="85">
        <f t="shared" si="39"/>
        <v>0</v>
      </c>
      <c r="L555" s="68"/>
      <c r="M555" s="68"/>
      <c r="P555" s="89" t="str">
        <f t="shared" si="37"/>
        <v xml:space="preserve">  1 1900 </v>
      </c>
    </row>
    <row r="556" spans="1:16">
      <c r="A556" s="68"/>
      <c r="B556" s="87"/>
      <c r="C556" s="88"/>
      <c r="D556" s="88"/>
      <c r="E556" s="90"/>
      <c r="F556" s="84" t="str">
        <f ca="1">IF(D556="Income",LOOKUP(E556,Introduction!$A$11:$A$18,Introduction!$C$11:$C$18),IF(D556="Expense",LOOKUP(E556,Introduction!$D$11:$D$30,Introduction!$F$11:$F$30),"_"))</f>
        <v>_</v>
      </c>
      <c r="G556" s="88"/>
      <c r="H556" s="92"/>
      <c r="I556" s="85">
        <f t="shared" si="38"/>
        <v>0</v>
      </c>
      <c r="J556" s="93"/>
      <c r="K556" s="85">
        <f t="shared" si="39"/>
        <v>0</v>
      </c>
      <c r="L556" s="68"/>
      <c r="M556" s="68"/>
      <c r="P556" s="89" t="str">
        <f t="shared" si="37"/>
        <v xml:space="preserve">  1 1900 </v>
      </c>
    </row>
    <row r="557" spans="1:16">
      <c r="A557" s="68"/>
      <c r="B557" s="87"/>
      <c r="C557" s="88"/>
      <c r="D557" s="88"/>
      <c r="E557" s="90"/>
      <c r="F557" s="84" t="str">
        <f ca="1">IF(D557="Income",LOOKUP(E557,Introduction!$A$11:$A$18,Introduction!$C$11:$C$18),IF(D557="Expense",LOOKUP(E557,Introduction!$D$11:$D$30,Introduction!$F$11:$F$30),"_"))</f>
        <v>_</v>
      </c>
      <c r="G557" s="88"/>
      <c r="H557" s="92"/>
      <c r="I557" s="85">
        <f t="shared" si="38"/>
        <v>0</v>
      </c>
      <c r="J557" s="93"/>
      <c r="K557" s="85">
        <f t="shared" si="39"/>
        <v>0</v>
      </c>
      <c r="L557" s="68"/>
      <c r="M557" s="68"/>
      <c r="P557" s="89" t="str">
        <f t="shared" si="37"/>
        <v xml:space="preserve">  1 1900 </v>
      </c>
    </row>
    <row r="558" spans="1:16">
      <c r="A558" s="68"/>
      <c r="B558" s="87"/>
      <c r="C558" s="88"/>
      <c r="D558" s="88"/>
      <c r="E558" s="90"/>
      <c r="F558" s="84" t="str">
        <f ca="1">IF(D558="Income",LOOKUP(E558,Introduction!$A$11:$A$18,Introduction!$C$11:$C$18),IF(D558="Expense",LOOKUP(E558,Introduction!$D$11:$D$30,Introduction!$F$11:$F$30),"_"))</f>
        <v>_</v>
      </c>
      <c r="G558" s="88"/>
      <c r="H558" s="92"/>
      <c r="I558" s="85">
        <f t="shared" si="38"/>
        <v>0</v>
      </c>
      <c r="J558" s="93"/>
      <c r="K558" s="85">
        <f t="shared" si="39"/>
        <v>0</v>
      </c>
      <c r="L558" s="68"/>
      <c r="M558" s="68"/>
      <c r="P558" s="89" t="str">
        <f t="shared" si="37"/>
        <v xml:space="preserve">  1 1900 </v>
      </c>
    </row>
    <row r="559" spans="1:16">
      <c r="A559" s="68"/>
      <c r="B559" s="87"/>
      <c r="C559" s="88"/>
      <c r="D559" s="88"/>
      <c r="E559" s="90"/>
      <c r="F559" s="84" t="str">
        <f ca="1">IF(D559="Income",LOOKUP(E559,Introduction!$A$11:$A$18,Introduction!$C$11:$C$18),IF(D559="Expense",LOOKUP(E559,Introduction!$D$11:$D$30,Introduction!$F$11:$F$30),"_"))</f>
        <v>_</v>
      </c>
      <c r="G559" s="88"/>
      <c r="H559" s="92"/>
      <c r="I559" s="85">
        <f t="shared" si="38"/>
        <v>0</v>
      </c>
      <c r="J559" s="93"/>
      <c r="K559" s="85">
        <f t="shared" si="39"/>
        <v>0</v>
      </c>
      <c r="L559" s="68"/>
      <c r="M559" s="68"/>
      <c r="P559" s="89" t="str">
        <f t="shared" si="37"/>
        <v xml:space="preserve">  1 1900 </v>
      </c>
    </row>
    <row r="560" spans="1:16">
      <c r="A560" s="68"/>
      <c r="B560" s="87"/>
      <c r="C560" s="88"/>
      <c r="D560" s="88"/>
      <c r="E560" s="90"/>
      <c r="F560" s="84" t="str">
        <f ca="1">IF(D560="Income",LOOKUP(E560,Introduction!$A$11:$A$18,Introduction!$C$11:$C$18),IF(D560="Expense",LOOKUP(E560,Introduction!$D$11:$D$30,Introduction!$F$11:$F$30),"_"))</f>
        <v>_</v>
      </c>
      <c r="G560" s="88"/>
      <c r="H560" s="92"/>
      <c r="I560" s="85">
        <f t="shared" si="38"/>
        <v>0</v>
      </c>
      <c r="J560" s="93"/>
      <c r="K560" s="85">
        <f t="shared" si="39"/>
        <v>0</v>
      </c>
      <c r="L560" s="68"/>
      <c r="M560" s="68"/>
      <c r="P560" s="89" t="str">
        <f t="shared" si="37"/>
        <v xml:space="preserve">  1 1900 </v>
      </c>
    </row>
    <row r="561" spans="1:16">
      <c r="A561" s="68"/>
      <c r="B561" s="87"/>
      <c r="C561" s="88"/>
      <c r="D561" s="88"/>
      <c r="E561" s="90"/>
      <c r="F561" s="84" t="str">
        <f ca="1">IF(D561="Income",LOOKUP(E561,Introduction!$A$11:$A$18,Introduction!$C$11:$C$18),IF(D561="Expense",LOOKUP(E561,Introduction!$D$11:$D$30,Introduction!$F$11:$F$30),"_"))</f>
        <v>_</v>
      </c>
      <c r="G561" s="88"/>
      <c r="H561" s="92"/>
      <c r="I561" s="85">
        <f t="shared" si="38"/>
        <v>0</v>
      </c>
      <c r="J561" s="93"/>
      <c r="K561" s="85">
        <f t="shared" si="39"/>
        <v>0</v>
      </c>
      <c r="L561" s="68"/>
      <c r="M561" s="68"/>
      <c r="P561" s="89" t="str">
        <f t="shared" si="37"/>
        <v xml:space="preserve">  1 1900 </v>
      </c>
    </row>
    <row r="562" spans="1:16">
      <c r="A562" s="68"/>
      <c r="B562" s="87"/>
      <c r="C562" s="88"/>
      <c r="D562" s="88"/>
      <c r="E562" s="90"/>
      <c r="F562" s="84" t="str">
        <f ca="1">IF(D562="Income",LOOKUP(E562,Introduction!$A$11:$A$18,Introduction!$C$11:$C$18),IF(D562="Expense",LOOKUP(E562,Introduction!$D$11:$D$30,Introduction!$F$11:$F$30),"_"))</f>
        <v>_</v>
      </c>
      <c r="G562" s="88"/>
      <c r="H562" s="92"/>
      <c r="I562" s="85">
        <f t="shared" si="38"/>
        <v>0</v>
      </c>
      <c r="J562" s="93"/>
      <c r="K562" s="85">
        <f t="shared" si="39"/>
        <v>0</v>
      </c>
      <c r="L562" s="68"/>
      <c r="M562" s="68"/>
      <c r="P562" s="89" t="str">
        <f t="shared" si="37"/>
        <v xml:space="preserve">  1 1900 </v>
      </c>
    </row>
    <row r="563" spans="1:16">
      <c r="A563" s="68"/>
      <c r="B563" s="87"/>
      <c r="C563" s="88"/>
      <c r="D563" s="88"/>
      <c r="E563" s="90"/>
      <c r="F563" s="84" t="str">
        <f ca="1">IF(D563="Income",LOOKUP(E563,Introduction!$A$11:$A$18,Introduction!$C$11:$C$18),IF(D563="Expense",LOOKUP(E563,Introduction!$D$11:$D$30,Introduction!$F$11:$F$30),"_"))</f>
        <v>_</v>
      </c>
      <c r="G563" s="88"/>
      <c r="H563" s="92"/>
      <c r="I563" s="85">
        <f t="shared" si="38"/>
        <v>0</v>
      </c>
      <c r="J563" s="93"/>
      <c r="K563" s="85">
        <f t="shared" si="39"/>
        <v>0</v>
      </c>
      <c r="L563" s="68"/>
      <c r="M563" s="68"/>
      <c r="P563" s="89" t="str">
        <f t="shared" si="37"/>
        <v xml:space="preserve">  1 1900 </v>
      </c>
    </row>
    <row r="564" spans="1:16">
      <c r="A564" s="68"/>
      <c r="B564" s="87"/>
      <c r="C564" s="88"/>
      <c r="D564" s="88"/>
      <c r="E564" s="90"/>
      <c r="F564" s="84" t="str">
        <f ca="1">IF(D564="Income",LOOKUP(E564,Introduction!$A$11:$A$18,Introduction!$C$11:$C$18),IF(D564="Expense",LOOKUP(E564,Introduction!$D$11:$D$30,Introduction!$F$11:$F$30),"_"))</f>
        <v>_</v>
      </c>
      <c r="G564" s="88"/>
      <c r="H564" s="92"/>
      <c r="I564" s="85">
        <f t="shared" si="38"/>
        <v>0</v>
      </c>
      <c r="J564" s="93"/>
      <c r="K564" s="85">
        <f t="shared" si="39"/>
        <v>0</v>
      </c>
      <c r="L564" s="68"/>
      <c r="M564" s="68"/>
      <c r="P564" s="89" t="str">
        <f t="shared" si="37"/>
        <v xml:space="preserve">  1 1900 </v>
      </c>
    </row>
    <row r="565" spans="1:16">
      <c r="A565" s="68"/>
      <c r="B565" s="87"/>
      <c r="C565" s="88"/>
      <c r="D565" s="88"/>
      <c r="E565" s="90"/>
      <c r="F565" s="84" t="str">
        <f ca="1">IF(D565="Income",LOOKUP(E565,Introduction!$A$11:$A$18,Introduction!$C$11:$C$18),IF(D565="Expense",LOOKUP(E565,Introduction!$D$11:$D$30,Introduction!$F$11:$F$30),"_"))</f>
        <v>_</v>
      </c>
      <c r="G565" s="88"/>
      <c r="H565" s="92"/>
      <c r="I565" s="85">
        <f t="shared" si="38"/>
        <v>0</v>
      </c>
      <c r="J565" s="93"/>
      <c r="K565" s="85">
        <f t="shared" si="39"/>
        <v>0</v>
      </c>
      <c r="L565" s="68"/>
      <c r="M565" s="68"/>
      <c r="P565" s="89" t="str">
        <f t="shared" si="37"/>
        <v xml:space="preserve">  1 1900 </v>
      </c>
    </row>
    <row r="566" spans="1:16">
      <c r="A566" s="68"/>
      <c r="B566" s="87"/>
      <c r="C566" s="88"/>
      <c r="D566" s="88"/>
      <c r="E566" s="90"/>
      <c r="F566" s="84" t="str">
        <f ca="1">IF(D566="Income",LOOKUP(E566,Introduction!$A$11:$A$18,Introduction!$C$11:$C$18),IF(D566="Expense",LOOKUP(E566,Introduction!$D$11:$D$30,Introduction!$F$11:$F$30),"_"))</f>
        <v>_</v>
      </c>
      <c r="G566" s="88"/>
      <c r="H566" s="92"/>
      <c r="I566" s="85">
        <f t="shared" si="38"/>
        <v>0</v>
      </c>
      <c r="J566" s="93"/>
      <c r="K566" s="85">
        <f t="shared" si="39"/>
        <v>0</v>
      </c>
      <c r="L566" s="68"/>
      <c r="M566" s="68"/>
      <c r="P566" s="89" t="str">
        <f t="shared" si="37"/>
        <v xml:space="preserve">  1 1900 </v>
      </c>
    </row>
    <row r="567" spans="1:16">
      <c r="A567" s="68"/>
      <c r="B567" s="87"/>
      <c r="C567" s="88"/>
      <c r="D567" s="88"/>
      <c r="E567" s="90"/>
      <c r="F567" s="84" t="str">
        <f ca="1">IF(D567="Income",LOOKUP(E567,Introduction!$A$11:$A$18,Introduction!$C$11:$C$18),IF(D567="Expense",LOOKUP(E567,Introduction!$D$11:$D$30,Introduction!$F$11:$F$30),"_"))</f>
        <v>_</v>
      </c>
      <c r="G567" s="88"/>
      <c r="H567" s="92"/>
      <c r="I567" s="85">
        <f t="shared" si="38"/>
        <v>0</v>
      </c>
      <c r="J567" s="93"/>
      <c r="K567" s="85">
        <f t="shared" si="39"/>
        <v>0</v>
      </c>
      <c r="L567" s="68"/>
      <c r="M567" s="68"/>
      <c r="P567" s="89" t="str">
        <f t="shared" si="37"/>
        <v xml:space="preserve">  1 1900 </v>
      </c>
    </row>
    <row r="568" spans="1:16">
      <c r="A568" s="68"/>
      <c r="B568" s="87"/>
      <c r="C568" s="88"/>
      <c r="D568" s="88"/>
      <c r="E568" s="90"/>
      <c r="F568" s="84" t="str">
        <f ca="1">IF(D568="Income",LOOKUP(E568,Introduction!$A$11:$A$18,Introduction!$C$11:$C$18),IF(D568="Expense",LOOKUP(E568,Introduction!$D$11:$D$30,Introduction!$F$11:$F$30),"_"))</f>
        <v>_</v>
      </c>
      <c r="G568" s="88"/>
      <c r="H568" s="92"/>
      <c r="I568" s="85">
        <f t="shared" si="38"/>
        <v>0</v>
      </c>
      <c r="J568" s="93"/>
      <c r="K568" s="85">
        <f t="shared" si="39"/>
        <v>0</v>
      </c>
      <c r="L568" s="68"/>
      <c r="M568" s="68"/>
      <c r="P568" s="89" t="str">
        <f t="shared" si="37"/>
        <v xml:space="preserve">  1 1900 </v>
      </c>
    </row>
    <row r="569" spans="1:16">
      <c r="A569" s="68"/>
      <c r="B569" s="87"/>
      <c r="C569" s="88"/>
      <c r="D569" s="88"/>
      <c r="E569" s="90"/>
      <c r="F569" s="84" t="str">
        <f ca="1">IF(D569="Income",LOOKUP(E569,Introduction!$A$11:$A$18,Introduction!$C$11:$C$18),IF(D569="Expense",LOOKUP(E569,Introduction!$D$11:$D$30,Introduction!$F$11:$F$30),"_"))</f>
        <v>_</v>
      </c>
      <c r="G569" s="88"/>
      <c r="H569" s="92"/>
      <c r="I569" s="85">
        <f t="shared" si="38"/>
        <v>0</v>
      </c>
      <c r="J569" s="93"/>
      <c r="K569" s="85">
        <f t="shared" si="39"/>
        <v>0</v>
      </c>
      <c r="L569" s="68"/>
      <c r="M569" s="68"/>
      <c r="P569" s="89" t="str">
        <f t="shared" si="37"/>
        <v xml:space="preserve">  1 1900 </v>
      </c>
    </row>
    <row r="570" spans="1:16">
      <c r="A570" s="68"/>
      <c r="B570" s="87"/>
      <c r="C570" s="88"/>
      <c r="D570" s="88"/>
      <c r="E570" s="90"/>
      <c r="F570" s="84" t="str">
        <f ca="1">IF(D570="Income",LOOKUP(E570,Introduction!$A$11:$A$18,Introduction!$C$11:$C$18),IF(D570="Expense",LOOKUP(E570,Introduction!$D$11:$D$30,Introduction!$F$11:$F$30),"_"))</f>
        <v>_</v>
      </c>
      <c r="G570" s="88"/>
      <c r="H570" s="92"/>
      <c r="I570" s="85">
        <f t="shared" si="38"/>
        <v>0</v>
      </c>
      <c r="J570" s="93"/>
      <c r="K570" s="85">
        <f t="shared" si="39"/>
        <v>0</v>
      </c>
      <c r="L570" s="68"/>
      <c r="M570" s="68"/>
      <c r="P570" s="89" t="str">
        <f t="shared" si="37"/>
        <v xml:space="preserve">  1 1900 </v>
      </c>
    </row>
    <row r="571" spans="1:16">
      <c r="A571" s="68"/>
      <c r="B571" s="87"/>
      <c r="C571" s="88"/>
      <c r="D571" s="88"/>
      <c r="E571" s="90"/>
      <c r="F571" s="84" t="str">
        <f ca="1">IF(D571="Income",LOOKUP(E571,Introduction!$A$11:$A$18,Introduction!$C$11:$C$18),IF(D571="Expense",LOOKUP(E571,Introduction!$D$11:$D$30,Introduction!$F$11:$F$30),"_"))</f>
        <v>_</v>
      </c>
      <c r="G571" s="88"/>
      <c r="H571" s="92"/>
      <c r="I571" s="85">
        <f t="shared" si="38"/>
        <v>0</v>
      </c>
      <c r="J571" s="93"/>
      <c r="K571" s="85">
        <f t="shared" si="39"/>
        <v>0</v>
      </c>
      <c r="L571" s="68"/>
      <c r="M571" s="68"/>
      <c r="P571" s="89" t="str">
        <f t="shared" si="37"/>
        <v xml:space="preserve">  1 1900 </v>
      </c>
    </row>
    <row r="572" spans="1:16">
      <c r="A572" s="68"/>
      <c r="B572" s="87"/>
      <c r="C572" s="88"/>
      <c r="D572" s="88"/>
      <c r="E572" s="90"/>
      <c r="F572" s="84" t="str">
        <f ca="1">IF(D572="Income",LOOKUP(E572,Introduction!$A$11:$A$18,Introduction!$C$11:$C$18),IF(D572="Expense",LOOKUP(E572,Introduction!$D$11:$D$30,Introduction!$F$11:$F$30),"_"))</f>
        <v>_</v>
      </c>
      <c r="G572" s="88"/>
      <c r="H572" s="92"/>
      <c r="I572" s="85">
        <f t="shared" si="38"/>
        <v>0</v>
      </c>
      <c r="J572" s="93"/>
      <c r="K572" s="85">
        <f t="shared" si="39"/>
        <v>0</v>
      </c>
      <c r="L572" s="68"/>
      <c r="M572" s="68"/>
      <c r="P572" s="89" t="str">
        <f t="shared" si="37"/>
        <v xml:space="preserve">  1 1900 </v>
      </c>
    </row>
    <row r="573" spans="1:16">
      <c r="A573" s="68"/>
      <c r="B573" s="87"/>
      <c r="C573" s="88"/>
      <c r="D573" s="88"/>
      <c r="E573" s="90"/>
      <c r="F573" s="84" t="str">
        <f ca="1">IF(D573="Income",LOOKUP(E573,Introduction!$A$11:$A$18,Introduction!$C$11:$C$18),IF(D573="Expense",LOOKUP(E573,Introduction!$D$11:$D$30,Introduction!$F$11:$F$30),"_"))</f>
        <v>_</v>
      </c>
      <c r="G573" s="88"/>
      <c r="H573" s="92"/>
      <c r="I573" s="85">
        <f t="shared" si="38"/>
        <v>0</v>
      </c>
      <c r="J573" s="93"/>
      <c r="K573" s="85">
        <f t="shared" si="39"/>
        <v>0</v>
      </c>
      <c r="L573" s="68"/>
      <c r="M573" s="68"/>
      <c r="P573" s="89" t="str">
        <f t="shared" si="37"/>
        <v xml:space="preserve">  1 1900 </v>
      </c>
    </row>
    <row r="574" spans="1:16">
      <c r="A574" s="68"/>
      <c r="B574" s="87"/>
      <c r="C574" s="88"/>
      <c r="D574" s="88"/>
      <c r="E574" s="90"/>
      <c r="F574" s="84" t="str">
        <f ca="1">IF(D574="Income",LOOKUP(E574,Introduction!$A$11:$A$18,Introduction!$C$11:$C$18),IF(D574="Expense",LOOKUP(E574,Introduction!$D$11:$D$30,Introduction!$F$11:$F$30),"_"))</f>
        <v>_</v>
      </c>
      <c r="G574" s="88"/>
      <c r="H574" s="92"/>
      <c r="I574" s="85">
        <f t="shared" si="38"/>
        <v>0</v>
      </c>
      <c r="J574" s="93"/>
      <c r="K574" s="85">
        <f t="shared" si="39"/>
        <v>0</v>
      </c>
      <c r="L574" s="68"/>
      <c r="M574" s="68"/>
      <c r="P574" s="89" t="str">
        <f t="shared" si="37"/>
        <v xml:space="preserve">  1 1900 </v>
      </c>
    </row>
    <row r="575" spans="1:16">
      <c r="A575" s="68"/>
      <c r="B575" s="87"/>
      <c r="C575" s="88"/>
      <c r="D575" s="88"/>
      <c r="E575" s="90"/>
      <c r="F575" s="84" t="str">
        <f ca="1">IF(D575="Income",LOOKUP(E575,Introduction!$A$11:$A$18,Introduction!$C$11:$C$18),IF(D575="Expense",LOOKUP(E575,Introduction!$D$11:$D$30,Introduction!$F$11:$F$30),"_"))</f>
        <v>_</v>
      </c>
      <c r="G575" s="88"/>
      <c r="H575" s="92"/>
      <c r="I575" s="85">
        <f t="shared" si="38"/>
        <v>0</v>
      </c>
      <c r="J575" s="93"/>
      <c r="K575" s="85">
        <f t="shared" si="39"/>
        <v>0</v>
      </c>
      <c r="L575" s="68"/>
      <c r="M575" s="68"/>
      <c r="P575" s="89" t="str">
        <f t="shared" si="37"/>
        <v xml:space="preserve">  1 1900 </v>
      </c>
    </row>
    <row r="576" spans="1:16">
      <c r="A576" s="68"/>
      <c r="B576" s="87"/>
      <c r="C576" s="88"/>
      <c r="D576" s="88"/>
      <c r="E576" s="90"/>
      <c r="F576" s="84" t="str">
        <f ca="1">IF(D576="Income",LOOKUP(E576,Introduction!$A$11:$A$18,Introduction!$C$11:$C$18),IF(D576="Expense",LOOKUP(E576,Introduction!$D$11:$D$30,Introduction!$F$11:$F$30),"_"))</f>
        <v>_</v>
      </c>
      <c r="G576" s="88"/>
      <c r="H576" s="92"/>
      <c r="I576" s="85">
        <f t="shared" si="38"/>
        <v>0</v>
      </c>
      <c r="J576" s="93"/>
      <c r="K576" s="85">
        <f t="shared" si="39"/>
        <v>0</v>
      </c>
      <c r="L576" s="68"/>
      <c r="M576" s="68"/>
      <c r="P576" s="89" t="str">
        <f t="shared" si="37"/>
        <v xml:space="preserve">  1 1900 </v>
      </c>
    </row>
    <row r="577" spans="1:16">
      <c r="A577" s="68"/>
      <c r="B577" s="87"/>
      <c r="C577" s="88"/>
      <c r="D577" s="88"/>
      <c r="E577" s="90"/>
      <c r="F577" s="84" t="str">
        <f ca="1">IF(D577="Income",LOOKUP(E577,Introduction!$A$11:$A$18,Introduction!$C$11:$C$18),IF(D577="Expense",LOOKUP(E577,Introduction!$D$11:$D$30,Introduction!$F$11:$F$30),"_"))</f>
        <v>_</v>
      </c>
      <c r="G577" s="88"/>
      <c r="H577" s="92"/>
      <c r="I577" s="85">
        <f t="shared" si="38"/>
        <v>0</v>
      </c>
      <c r="J577" s="93"/>
      <c r="K577" s="85">
        <f t="shared" si="39"/>
        <v>0</v>
      </c>
      <c r="L577" s="68"/>
      <c r="M577" s="68"/>
      <c r="P577" s="89" t="str">
        <f t="shared" si="37"/>
        <v xml:space="preserve">  1 1900 </v>
      </c>
    </row>
    <row r="578" spans="1:16">
      <c r="A578" s="68"/>
      <c r="B578" s="87"/>
      <c r="C578" s="88"/>
      <c r="D578" s="88"/>
      <c r="E578" s="90"/>
      <c r="F578" s="84" t="str">
        <f ca="1">IF(D578="Income",LOOKUP(E578,Introduction!$A$11:$A$18,Introduction!$C$11:$C$18),IF(D578="Expense",LOOKUP(E578,Introduction!$D$11:$D$30,Introduction!$F$11:$F$30),"_"))</f>
        <v>_</v>
      </c>
      <c r="G578" s="88"/>
      <c r="H578" s="92"/>
      <c r="I578" s="85">
        <f t="shared" si="38"/>
        <v>0</v>
      </c>
      <c r="J578" s="93"/>
      <c r="K578" s="85">
        <f t="shared" si="39"/>
        <v>0</v>
      </c>
      <c r="L578" s="68"/>
      <c r="M578" s="68"/>
      <c r="P578" s="89" t="str">
        <f t="shared" si="37"/>
        <v xml:space="preserve">  1 1900 </v>
      </c>
    </row>
    <row r="579" spans="1:16">
      <c r="A579" s="68"/>
      <c r="B579" s="87"/>
      <c r="C579" s="88"/>
      <c r="D579" s="88"/>
      <c r="E579" s="90"/>
      <c r="F579" s="84" t="str">
        <f ca="1">IF(D579="Income",LOOKUP(E579,Introduction!$A$11:$A$18,Introduction!$C$11:$C$18),IF(D579="Expense",LOOKUP(E579,Introduction!$D$11:$D$30,Introduction!$F$11:$F$30),"_"))</f>
        <v>_</v>
      </c>
      <c r="G579" s="88"/>
      <c r="H579" s="92"/>
      <c r="I579" s="85">
        <f t="shared" si="38"/>
        <v>0</v>
      </c>
      <c r="J579" s="93"/>
      <c r="K579" s="85">
        <f t="shared" si="39"/>
        <v>0</v>
      </c>
      <c r="L579" s="68"/>
      <c r="M579" s="68"/>
      <c r="P579" s="89" t="str">
        <f t="shared" si="37"/>
        <v xml:space="preserve">  1 1900 </v>
      </c>
    </row>
    <row r="580" spans="1:16">
      <c r="A580" s="68"/>
      <c r="B580" s="87"/>
      <c r="C580" s="88"/>
      <c r="D580" s="88"/>
      <c r="E580" s="90"/>
      <c r="F580" s="84" t="str">
        <f ca="1">IF(D580="Income",LOOKUP(E580,Introduction!$A$11:$A$18,Introduction!$C$11:$C$18),IF(D580="Expense",LOOKUP(E580,Introduction!$D$11:$D$30,Introduction!$F$11:$F$30),"_"))</f>
        <v>_</v>
      </c>
      <c r="G580" s="88"/>
      <c r="H580" s="92"/>
      <c r="I580" s="85">
        <f t="shared" si="38"/>
        <v>0</v>
      </c>
      <c r="J580" s="93"/>
      <c r="K580" s="85">
        <f t="shared" si="39"/>
        <v>0</v>
      </c>
      <c r="L580" s="68"/>
      <c r="M580" s="68"/>
      <c r="P580" s="89" t="str">
        <f t="shared" si="37"/>
        <v xml:space="preserve">  1 1900 </v>
      </c>
    </row>
    <row r="581" spans="1:16">
      <c r="A581" s="68"/>
      <c r="B581" s="87"/>
      <c r="C581" s="88"/>
      <c r="D581" s="88"/>
      <c r="E581" s="90"/>
      <c r="F581" s="84" t="str">
        <f ca="1">IF(D581="Income",LOOKUP(E581,Introduction!$A$11:$A$18,Introduction!$C$11:$C$18),IF(D581="Expense",LOOKUP(E581,Introduction!$D$11:$D$30,Introduction!$F$11:$F$30),"_"))</f>
        <v>_</v>
      </c>
      <c r="G581" s="88"/>
      <c r="H581" s="92"/>
      <c r="I581" s="85">
        <f t="shared" si="38"/>
        <v>0</v>
      </c>
      <c r="J581" s="93"/>
      <c r="K581" s="85">
        <f t="shared" si="39"/>
        <v>0</v>
      </c>
      <c r="L581" s="68"/>
      <c r="M581" s="68"/>
      <c r="P581" s="89" t="str">
        <f t="shared" si="37"/>
        <v xml:space="preserve">  1 1900 </v>
      </c>
    </row>
    <row r="582" spans="1:16">
      <c r="A582" s="68"/>
      <c r="B582" s="87"/>
      <c r="C582" s="88"/>
      <c r="D582" s="88"/>
      <c r="E582" s="90"/>
      <c r="F582" s="84" t="str">
        <f ca="1">IF(D582="Income",LOOKUP(E582,Introduction!$A$11:$A$18,Introduction!$C$11:$C$18),IF(D582="Expense",LOOKUP(E582,Introduction!$D$11:$D$30,Introduction!$F$11:$F$30),"_"))</f>
        <v>_</v>
      </c>
      <c r="G582" s="88"/>
      <c r="H582" s="92"/>
      <c r="I582" s="85">
        <f t="shared" si="38"/>
        <v>0</v>
      </c>
      <c r="J582" s="93"/>
      <c r="K582" s="85">
        <f t="shared" si="39"/>
        <v>0</v>
      </c>
      <c r="L582" s="68"/>
      <c r="M582" s="68"/>
      <c r="P582" s="89" t="str">
        <f t="shared" si="37"/>
        <v xml:space="preserve">  1 1900 </v>
      </c>
    </row>
    <row r="583" spans="1:16">
      <c r="A583" s="68"/>
      <c r="B583" s="87"/>
      <c r="C583" s="88"/>
      <c r="D583" s="88"/>
      <c r="E583" s="90"/>
      <c r="F583" s="84" t="str">
        <f ca="1">IF(D583="Income",LOOKUP(E583,Introduction!$A$11:$A$18,Introduction!$C$11:$C$18),IF(D583="Expense",LOOKUP(E583,Introduction!$D$11:$D$30,Introduction!$F$11:$F$30),"_"))</f>
        <v>_</v>
      </c>
      <c r="G583" s="88"/>
      <c r="H583" s="92"/>
      <c r="I583" s="85">
        <f t="shared" si="38"/>
        <v>0</v>
      </c>
      <c r="J583" s="93"/>
      <c r="K583" s="85">
        <f t="shared" si="39"/>
        <v>0</v>
      </c>
      <c r="L583" s="68"/>
      <c r="M583" s="68"/>
      <c r="P583" s="89" t="str">
        <f t="shared" ref="P583:P646" si="40">CONCATENATE(D583," ",E583," ",MONTH(C583)," ",YEAR(C583)," ")</f>
        <v xml:space="preserve">  1 1900 </v>
      </c>
    </row>
    <row r="584" spans="1:16">
      <c r="A584" s="68"/>
      <c r="B584" s="87"/>
      <c r="C584" s="88"/>
      <c r="D584" s="88"/>
      <c r="E584" s="90"/>
      <c r="F584" s="84" t="str">
        <f ca="1">IF(D584="Income",LOOKUP(E584,Introduction!$A$11:$A$18,Introduction!$C$11:$C$18),IF(D584="Expense",LOOKUP(E584,Introduction!$D$11:$D$30,Introduction!$F$11:$F$30),"_"))</f>
        <v>_</v>
      </c>
      <c r="G584" s="88"/>
      <c r="H584" s="92"/>
      <c r="I584" s="85">
        <f t="shared" si="38"/>
        <v>0</v>
      </c>
      <c r="J584" s="93"/>
      <c r="K584" s="85">
        <f t="shared" si="39"/>
        <v>0</v>
      </c>
      <c r="L584" s="68"/>
      <c r="M584" s="68"/>
      <c r="P584" s="89" t="str">
        <f t="shared" si="40"/>
        <v xml:space="preserve">  1 1900 </v>
      </c>
    </row>
    <row r="585" spans="1:16">
      <c r="A585" s="68"/>
      <c r="B585" s="87"/>
      <c r="C585" s="88"/>
      <c r="D585" s="88"/>
      <c r="E585" s="90"/>
      <c r="F585" s="84" t="str">
        <f ca="1">IF(D585="Income",LOOKUP(E585,Introduction!$A$11:$A$18,Introduction!$C$11:$C$18),IF(D585="Expense",LOOKUP(E585,Introduction!$D$11:$D$30,Introduction!$F$11:$F$30),"_"))</f>
        <v>_</v>
      </c>
      <c r="G585" s="88"/>
      <c r="H585" s="92"/>
      <c r="I585" s="85">
        <f t="shared" si="38"/>
        <v>0</v>
      </c>
      <c r="J585" s="93"/>
      <c r="K585" s="85">
        <f t="shared" si="39"/>
        <v>0</v>
      </c>
      <c r="L585" s="68"/>
      <c r="M585" s="68"/>
      <c r="P585" s="89" t="str">
        <f t="shared" si="40"/>
        <v xml:space="preserve">  1 1900 </v>
      </c>
    </row>
    <row r="586" spans="1:16">
      <c r="A586" s="68"/>
      <c r="B586" s="87"/>
      <c r="C586" s="88"/>
      <c r="D586" s="88"/>
      <c r="E586" s="90"/>
      <c r="F586" s="84" t="str">
        <f ca="1">IF(D586="Income",LOOKUP(E586,Introduction!$A$11:$A$18,Introduction!$C$11:$C$18),IF(D586="Expense",LOOKUP(E586,Introduction!$D$11:$D$30,Introduction!$F$11:$F$30),"_"))</f>
        <v>_</v>
      </c>
      <c r="G586" s="88"/>
      <c r="H586" s="92"/>
      <c r="I586" s="85">
        <f t="shared" si="38"/>
        <v>0</v>
      </c>
      <c r="J586" s="93"/>
      <c r="K586" s="85">
        <f t="shared" si="39"/>
        <v>0</v>
      </c>
      <c r="L586" s="68"/>
      <c r="M586" s="68"/>
      <c r="P586" s="89" t="str">
        <f t="shared" si="40"/>
        <v xml:space="preserve">  1 1900 </v>
      </c>
    </row>
    <row r="587" spans="1:16">
      <c r="A587" s="68"/>
      <c r="B587" s="87"/>
      <c r="C587" s="88"/>
      <c r="D587" s="88"/>
      <c r="E587" s="90"/>
      <c r="F587" s="84" t="str">
        <f ca="1">IF(D587="Income",LOOKUP(E587,Introduction!$A$11:$A$18,Introduction!$C$11:$C$18),IF(D587="Expense",LOOKUP(E587,Introduction!$D$11:$D$30,Introduction!$F$11:$F$30),"_"))</f>
        <v>_</v>
      </c>
      <c r="G587" s="88"/>
      <c r="H587" s="92"/>
      <c r="I587" s="85">
        <f t="shared" si="38"/>
        <v>0</v>
      </c>
      <c r="J587" s="93"/>
      <c r="K587" s="85">
        <f t="shared" si="39"/>
        <v>0</v>
      </c>
      <c r="L587" s="68"/>
      <c r="M587" s="68"/>
      <c r="P587" s="89" t="str">
        <f t="shared" si="40"/>
        <v xml:space="preserve">  1 1900 </v>
      </c>
    </row>
    <row r="588" spans="1:16">
      <c r="A588" s="68"/>
      <c r="B588" s="87"/>
      <c r="C588" s="88"/>
      <c r="D588" s="88"/>
      <c r="E588" s="90"/>
      <c r="F588" s="84" t="str">
        <f ca="1">IF(D588="Income",LOOKUP(E588,Introduction!$A$11:$A$18,Introduction!$C$11:$C$18),IF(D588="Expense",LOOKUP(E588,Introduction!$D$11:$D$30,Introduction!$F$11:$F$30),"_"))</f>
        <v>_</v>
      </c>
      <c r="G588" s="88"/>
      <c r="H588" s="92"/>
      <c r="I588" s="85">
        <f t="shared" si="38"/>
        <v>0</v>
      </c>
      <c r="J588" s="93"/>
      <c r="K588" s="85">
        <f t="shared" si="39"/>
        <v>0</v>
      </c>
      <c r="L588" s="68"/>
      <c r="M588" s="68"/>
      <c r="P588" s="89" t="str">
        <f t="shared" si="40"/>
        <v xml:space="preserve">  1 1900 </v>
      </c>
    </row>
    <row r="589" spans="1:16">
      <c r="A589" s="68"/>
      <c r="B589" s="87"/>
      <c r="C589" s="88"/>
      <c r="D589" s="88"/>
      <c r="E589" s="90"/>
      <c r="F589" s="84" t="str">
        <f ca="1">IF(D589="Income",LOOKUP(E589,Introduction!$A$11:$A$18,Introduction!$C$11:$C$18),IF(D589="Expense",LOOKUP(E589,Introduction!$D$11:$D$30,Introduction!$F$11:$F$30),"_"))</f>
        <v>_</v>
      </c>
      <c r="G589" s="88"/>
      <c r="H589" s="92"/>
      <c r="I589" s="85">
        <f t="shared" si="38"/>
        <v>0</v>
      </c>
      <c r="J589" s="93"/>
      <c r="K589" s="85">
        <f t="shared" si="39"/>
        <v>0</v>
      </c>
      <c r="L589" s="68"/>
      <c r="M589" s="68"/>
      <c r="P589" s="89" t="str">
        <f t="shared" si="40"/>
        <v xml:space="preserve">  1 1900 </v>
      </c>
    </row>
    <row r="590" spans="1:16">
      <c r="A590" s="68"/>
      <c r="B590" s="87"/>
      <c r="C590" s="88"/>
      <c r="D590" s="88"/>
      <c r="E590" s="90"/>
      <c r="F590" s="84" t="str">
        <f ca="1">IF(D590="Income",LOOKUP(E590,Introduction!$A$11:$A$18,Introduction!$C$11:$C$18),IF(D590="Expense",LOOKUP(E590,Introduction!$D$11:$D$30,Introduction!$F$11:$F$30),"_"))</f>
        <v>_</v>
      </c>
      <c r="G590" s="88"/>
      <c r="H590" s="92"/>
      <c r="I590" s="85">
        <f t="shared" si="38"/>
        <v>0</v>
      </c>
      <c r="J590" s="93"/>
      <c r="K590" s="85">
        <f t="shared" si="39"/>
        <v>0</v>
      </c>
      <c r="L590" s="68"/>
      <c r="M590" s="68"/>
      <c r="P590" s="89" t="str">
        <f t="shared" si="40"/>
        <v xml:space="preserve">  1 1900 </v>
      </c>
    </row>
    <row r="591" spans="1:16">
      <c r="A591" s="68"/>
      <c r="B591" s="87"/>
      <c r="C591" s="88"/>
      <c r="D591" s="88"/>
      <c r="E591" s="90"/>
      <c r="F591" s="84" t="str">
        <f ca="1">IF(D591="Income",LOOKUP(E591,Introduction!$A$11:$A$18,Introduction!$C$11:$C$18),IF(D591="Expense",LOOKUP(E591,Introduction!$D$11:$D$30,Introduction!$F$11:$F$30),"_"))</f>
        <v>_</v>
      </c>
      <c r="G591" s="88"/>
      <c r="H591" s="92"/>
      <c r="I591" s="85">
        <f t="shared" si="38"/>
        <v>0</v>
      </c>
      <c r="J591" s="93"/>
      <c r="K591" s="85">
        <f t="shared" si="39"/>
        <v>0</v>
      </c>
      <c r="L591" s="68"/>
      <c r="M591" s="68"/>
      <c r="P591" s="89" t="str">
        <f t="shared" si="40"/>
        <v xml:space="preserve">  1 1900 </v>
      </c>
    </row>
    <row r="592" spans="1:16">
      <c r="A592" s="68"/>
      <c r="B592" s="87"/>
      <c r="C592" s="88"/>
      <c r="D592" s="88"/>
      <c r="E592" s="90"/>
      <c r="F592" s="84" t="str">
        <f ca="1">IF(D592="Income",LOOKUP(E592,Introduction!$A$11:$A$18,Introduction!$C$11:$C$18),IF(D592="Expense",LOOKUP(E592,Introduction!$D$11:$D$30,Introduction!$F$11:$F$30),"_"))</f>
        <v>_</v>
      </c>
      <c r="G592" s="88"/>
      <c r="H592" s="92"/>
      <c r="I592" s="85">
        <f t="shared" si="38"/>
        <v>0</v>
      </c>
      <c r="J592" s="93"/>
      <c r="K592" s="85">
        <f t="shared" si="39"/>
        <v>0</v>
      </c>
      <c r="L592" s="68"/>
      <c r="M592" s="68"/>
      <c r="P592" s="89" t="str">
        <f t="shared" si="40"/>
        <v xml:space="preserve">  1 1900 </v>
      </c>
    </row>
    <row r="593" spans="1:16">
      <c r="A593" s="68"/>
      <c r="B593" s="87"/>
      <c r="C593" s="88"/>
      <c r="D593" s="88"/>
      <c r="E593" s="90"/>
      <c r="F593" s="84" t="str">
        <f ca="1">IF(D593="Income",LOOKUP(E593,Introduction!$A$11:$A$18,Introduction!$C$11:$C$18),IF(D593="Expense",LOOKUP(E593,Introduction!$D$11:$D$30,Introduction!$F$11:$F$30),"_"))</f>
        <v>_</v>
      </c>
      <c r="G593" s="88"/>
      <c r="H593" s="92"/>
      <c r="I593" s="85">
        <f t="shared" ref="I593:I656" si="41">+I592+H593</f>
        <v>0</v>
      </c>
      <c r="J593" s="93"/>
      <c r="K593" s="85">
        <f t="shared" ref="K593:K656" si="42">IF(J593=1,K592+H593,++K592)</f>
        <v>0</v>
      </c>
      <c r="L593" s="68"/>
      <c r="M593" s="68"/>
      <c r="P593" s="89" t="str">
        <f t="shared" si="40"/>
        <v xml:space="preserve">  1 1900 </v>
      </c>
    </row>
    <row r="594" spans="1:16">
      <c r="A594" s="68"/>
      <c r="B594" s="87"/>
      <c r="C594" s="88"/>
      <c r="D594" s="88"/>
      <c r="E594" s="90"/>
      <c r="F594" s="84" t="str">
        <f ca="1">IF(D594="Income",LOOKUP(E594,Introduction!$A$11:$A$18,Introduction!$C$11:$C$18),IF(D594="Expense",LOOKUP(E594,Introduction!$D$11:$D$30,Introduction!$F$11:$F$30),"_"))</f>
        <v>_</v>
      </c>
      <c r="G594" s="88"/>
      <c r="H594" s="92"/>
      <c r="I594" s="85">
        <f t="shared" si="41"/>
        <v>0</v>
      </c>
      <c r="J594" s="93"/>
      <c r="K594" s="85">
        <f t="shared" si="42"/>
        <v>0</v>
      </c>
      <c r="L594" s="68"/>
      <c r="M594" s="68"/>
      <c r="P594" s="89" t="str">
        <f t="shared" si="40"/>
        <v xml:space="preserve">  1 1900 </v>
      </c>
    </row>
    <row r="595" spans="1:16">
      <c r="A595" s="68"/>
      <c r="B595" s="87"/>
      <c r="C595" s="88"/>
      <c r="D595" s="88"/>
      <c r="E595" s="90"/>
      <c r="F595" s="84" t="str">
        <f ca="1">IF(D595="Income",LOOKUP(E595,Introduction!$A$11:$A$18,Introduction!$C$11:$C$18),IF(D595="Expense",LOOKUP(E595,Introduction!$D$11:$D$30,Introduction!$F$11:$F$30),"_"))</f>
        <v>_</v>
      </c>
      <c r="G595" s="88"/>
      <c r="H595" s="92"/>
      <c r="I595" s="85">
        <f t="shared" si="41"/>
        <v>0</v>
      </c>
      <c r="J595" s="93"/>
      <c r="K595" s="85">
        <f t="shared" si="42"/>
        <v>0</v>
      </c>
      <c r="L595" s="68"/>
      <c r="M595" s="68"/>
      <c r="P595" s="89" t="str">
        <f t="shared" si="40"/>
        <v xml:space="preserve">  1 1900 </v>
      </c>
    </row>
    <row r="596" spans="1:16">
      <c r="A596" s="68"/>
      <c r="B596" s="87"/>
      <c r="C596" s="88"/>
      <c r="D596" s="88"/>
      <c r="E596" s="90"/>
      <c r="F596" s="84" t="str">
        <f ca="1">IF(D596="Income",LOOKUP(E596,Introduction!$A$11:$A$18,Introduction!$C$11:$C$18),IF(D596="Expense",LOOKUP(E596,Introduction!$D$11:$D$30,Introduction!$F$11:$F$30),"_"))</f>
        <v>_</v>
      </c>
      <c r="G596" s="88"/>
      <c r="H596" s="92"/>
      <c r="I596" s="85">
        <f t="shared" si="41"/>
        <v>0</v>
      </c>
      <c r="J596" s="93"/>
      <c r="K596" s="85">
        <f t="shared" si="42"/>
        <v>0</v>
      </c>
      <c r="L596" s="68"/>
      <c r="M596" s="68"/>
      <c r="P596" s="89" t="str">
        <f t="shared" si="40"/>
        <v xml:space="preserve">  1 1900 </v>
      </c>
    </row>
    <row r="597" spans="1:16">
      <c r="A597" s="68"/>
      <c r="B597" s="87"/>
      <c r="C597" s="88"/>
      <c r="D597" s="88"/>
      <c r="E597" s="90"/>
      <c r="F597" s="84" t="str">
        <f ca="1">IF(D597="Income",LOOKUP(E597,Introduction!$A$11:$A$18,Introduction!$C$11:$C$18),IF(D597="Expense",LOOKUP(E597,Introduction!$D$11:$D$30,Introduction!$F$11:$F$30),"_"))</f>
        <v>_</v>
      </c>
      <c r="G597" s="88"/>
      <c r="H597" s="92"/>
      <c r="I597" s="85">
        <f t="shared" si="41"/>
        <v>0</v>
      </c>
      <c r="J597" s="93"/>
      <c r="K597" s="85">
        <f t="shared" si="42"/>
        <v>0</v>
      </c>
      <c r="L597" s="68"/>
      <c r="M597" s="68"/>
      <c r="P597" s="89" t="str">
        <f t="shared" si="40"/>
        <v xml:space="preserve">  1 1900 </v>
      </c>
    </row>
    <row r="598" spans="1:16">
      <c r="A598" s="68"/>
      <c r="B598" s="87"/>
      <c r="C598" s="88"/>
      <c r="D598" s="88"/>
      <c r="E598" s="90"/>
      <c r="F598" s="84" t="str">
        <f ca="1">IF(D598="Income",LOOKUP(E598,Introduction!$A$11:$A$18,Introduction!$C$11:$C$18),IF(D598="Expense",LOOKUP(E598,Introduction!$D$11:$D$30,Introduction!$F$11:$F$30),"_"))</f>
        <v>_</v>
      </c>
      <c r="G598" s="88"/>
      <c r="H598" s="92"/>
      <c r="I598" s="85">
        <f t="shared" si="41"/>
        <v>0</v>
      </c>
      <c r="J598" s="93"/>
      <c r="K598" s="85">
        <f t="shared" si="42"/>
        <v>0</v>
      </c>
      <c r="L598" s="68"/>
      <c r="M598" s="68"/>
      <c r="P598" s="89" t="str">
        <f t="shared" si="40"/>
        <v xml:space="preserve">  1 1900 </v>
      </c>
    </row>
    <row r="599" spans="1:16">
      <c r="A599" s="68"/>
      <c r="B599" s="87"/>
      <c r="C599" s="88"/>
      <c r="D599" s="88"/>
      <c r="E599" s="90"/>
      <c r="F599" s="84" t="str">
        <f ca="1">IF(D599="Income",LOOKUP(E599,Introduction!$A$11:$A$18,Introduction!$C$11:$C$18),IF(D599="Expense",LOOKUP(E599,Introduction!$D$11:$D$30,Introduction!$F$11:$F$30),"_"))</f>
        <v>_</v>
      </c>
      <c r="G599" s="88"/>
      <c r="H599" s="92"/>
      <c r="I599" s="85">
        <f t="shared" si="41"/>
        <v>0</v>
      </c>
      <c r="J599" s="93"/>
      <c r="K599" s="85">
        <f t="shared" si="42"/>
        <v>0</v>
      </c>
      <c r="L599" s="68"/>
      <c r="M599" s="68"/>
      <c r="P599" s="89" t="str">
        <f t="shared" si="40"/>
        <v xml:space="preserve">  1 1900 </v>
      </c>
    </row>
    <row r="600" spans="1:16">
      <c r="A600" s="68"/>
      <c r="B600" s="87"/>
      <c r="C600" s="88"/>
      <c r="D600" s="88"/>
      <c r="E600" s="90"/>
      <c r="F600" s="84" t="str">
        <f ca="1">IF(D600="Income",LOOKUP(E600,Introduction!$A$11:$A$18,Introduction!$C$11:$C$18),IF(D600="Expense",LOOKUP(E600,Introduction!$D$11:$D$30,Introduction!$F$11:$F$30),"_"))</f>
        <v>_</v>
      </c>
      <c r="G600" s="88"/>
      <c r="H600" s="92"/>
      <c r="I600" s="85">
        <f t="shared" si="41"/>
        <v>0</v>
      </c>
      <c r="J600" s="93"/>
      <c r="K600" s="85">
        <f t="shared" si="42"/>
        <v>0</v>
      </c>
      <c r="L600" s="68"/>
      <c r="M600" s="68"/>
      <c r="P600" s="89" t="str">
        <f t="shared" si="40"/>
        <v xml:space="preserve">  1 1900 </v>
      </c>
    </row>
    <row r="601" spans="1:16">
      <c r="A601" s="68"/>
      <c r="B601" s="87"/>
      <c r="C601" s="88"/>
      <c r="D601" s="88"/>
      <c r="E601" s="90"/>
      <c r="F601" s="84" t="str">
        <f ca="1">IF(D601="Income",LOOKUP(E601,Introduction!$A$11:$A$18,Introduction!$C$11:$C$18),IF(D601="Expense",LOOKUP(E601,Introduction!$D$11:$D$30,Introduction!$F$11:$F$30),"_"))</f>
        <v>_</v>
      </c>
      <c r="G601" s="88"/>
      <c r="H601" s="92"/>
      <c r="I601" s="85">
        <f t="shared" si="41"/>
        <v>0</v>
      </c>
      <c r="J601" s="93"/>
      <c r="K601" s="85">
        <f t="shared" si="42"/>
        <v>0</v>
      </c>
      <c r="L601" s="68"/>
      <c r="M601" s="68"/>
      <c r="P601" s="89" t="str">
        <f t="shared" si="40"/>
        <v xml:space="preserve">  1 1900 </v>
      </c>
    </row>
    <row r="602" spans="1:16">
      <c r="A602" s="68"/>
      <c r="B602" s="87"/>
      <c r="C602" s="88"/>
      <c r="D602" s="88"/>
      <c r="E602" s="90"/>
      <c r="F602" s="84" t="str">
        <f ca="1">IF(D602="Income",LOOKUP(E602,Introduction!$A$11:$A$18,Introduction!$C$11:$C$18),IF(D602="Expense",LOOKUP(E602,Introduction!$D$11:$D$30,Introduction!$F$11:$F$30),"_"))</f>
        <v>_</v>
      </c>
      <c r="G602" s="88"/>
      <c r="H602" s="92"/>
      <c r="I602" s="85">
        <f t="shared" si="41"/>
        <v>0</v>
      </c>
      <c r="J602" s="93"/>
      <c r="K602" s="85">
        <f t="shared" si="42"/>
        <v>0</v>
      </c>
      <c r="L602" s="68"/>
      <c r="M602" s="68"/>
      <c r="P602" s="89" t="str">
        <f t="shared" si="40"/>
        <v xml:space="preserve">  1 1900 </v>
      </c>
    </row>
    <row r="603" spans="1:16">
      <c r="A603" s="68"/>
      <c r="B603" s="87"/>
      <c r="C603" s="88"/>
      <c r="D603" s="88"/>
      <c r="E603" s="90"/>
      <c r="F603" s="84" t="str">
        <f ca="1">IF(D603="Income",LOOKUP(E603,Introduction!$A$11:$A$18,Introduction!$C$11:$C$18),IF(D603="Expense",LOOKUP(E603,Introduction!$D$11:$D$30,Introduction!$F$11:$F$30),"_"))</f>
        <v>_</v>
      </c>
      <c r="G603" s="88"/>
      <c r="H603" s="92"/>
      <c r="I603" s="85">
        <f t="shared" si="41"/>
        <v>0</v>
      </c>
      <c r="J603" s="93"/>
      <c r="K603" s="85">
        <f t="shared" si="42"/>
        <v>0</v>
      </c>
      <c r="L603" s="68"/>
      <c r="M603" s="68"/>
      <c r="P603" s="89" t="str">
        <f t="shared" si="40"/>
        <v xml:space="preserve">  1 1900 </v>
      </c>
    </row>
    <row r="604" spans="1:16">
      <c r="A604" s="68"/>
      <c r="B604" s="87"/>
      <c r="C604" s="88"/>
      <c r="D604" s="88"/>
      <c r="E604" s="90"/>
      <c r="F604" s="84" t="str">
        <f ca="1">IF(D604="Income",LOOKUP(E604,Introduction!$A$11:$A$18,Introduction!$C$11:$C$18),IF(D604="Expense",LOOKUP(E604,Introduction!$D$11:$D$30,Introduction!$F$11:$F$30),"_"))</f>
        <v>_</v>
      </c>
      <c r="G604" s="88"/>
      <c r="H604" s="92"/>
      <c r="I604" s="85">
        <f t="shared" si="41"/>
        <v>0</v>
      </c>
      <c r="J604" s="93"/>
      <c r="K604" s="85">
        <f t="shared" si="42"/>
        <v>0</v>
      </c>
      <c r="L604" s="68"/>
      <c r="M604" s="68"/>
      <c r="P604" s="89" t="str">
        <f t="shared" si="40"/>
        <v xml:space="preserve">  1 1900 </v>
      </c>
    </row>
    <row r="605" spans="1:16">
      <c r="A605" s="68"/>
      <c r="B605" s="87"/>
      <c r="C605" s="88"/>
      <c r="D605" s="88"/>
      <c r="E605" s="90"/>
      <c r="F605" s="84" t="str">
        <f ca="1">IF(D605="Income",LOOKUP(E605,Introduction!$A$11:$A$18,Introduction!$C$11:$C$18),IF(D605="Expense",LOOKUP(E605,Introduction!$D$11:$D$30,Introduction!$F$11:$F$30),"_"))</f>
        <v>_</v>
      </c>
      <c r="G605" s="88"/>
      <c r="H605" s="92"/>
      <c r="I605" s="85">
        <f t="shared" si="41"/>
        <v>0</v>
      </c>
      <c r="J605" s="93"/>
      <c r="K605" s="85">
        <f t="shared" si="42"/>
        <v>0</v>
      </c>
      <c r="L605" s="68"/>
      <c r="M605" s="68"/>
      <c r="P605" s="89" t="str">
        <f t="shared" si="40"/>
        <v xml:space="preserve">  1 1900 </v>
      </c>
    </row>
    <row r="606" spans="1:16">
      <c r="A606" s="68"/>
      <c r="B606" s="87"/>
      <c r="C606" s="88"/>
      <c r="D606" s="88"/>
      <c r="E606" s="90"/>
      <c r="F606" s="84" t="str">
        <f ca="1">IF(D606="Income",LOOKUP(E606,Introduction!$A$11:$A$18,Introduction!$C$11:$C$18),IF(D606="Expense",LOOKUP(E606,Introduction!$D$11:$D$30,Introduction!$F$11:$F$30),"_"))</f>
        <v>_</v>
      </c>
      <c r="G606" s="88"/>
      <c r="H606" s="92"/>
      <c r="I606" s="85">
        <f t="shared" si="41"/>
        <v>0</v>
      </c>
      <c r="J606" s="93"/>
      <c r="K606" s="85">
        <f t="shared" si="42"/>
        <v>0</v>
      </c>
      <c r="L606" s="68"/>
      <c r="M606" s="68"/>
      <c r="P606" s="89" t="str">
        <f t="shared" si="40"/>
        <v xml:space="preserve">  1 1900 </v>
      </c>
    </row>
    <row r="607" spans="1:16">
      <c r="A607" s="68"/>
      <c r="B607" s="87"/>
      <c r="C607" s="88"/>
      <c r="D607" s="88"/>
      <c r="E607" s="90"/>
      <c r="F607" s="84" t="str">
        <f ca="1">IF(D607="Income",LOOKUP(E607,Introduction!$A$11:$A$18,Introduction!$C$11:$C$18),IF(D607="Expense",LOOKUP(E607,Introduction!$D$11:$D$30,Introduction!$F$11:$F$30),"_"))</f>
        <v>_</v>
      </c>
      <c r="G607" s="88"/>
      <c r="H607" s="92"/>
      <c r="I607" s="85">
        <f t="shared" si="41"/>
        <v>0</v>
      </c>
      <c r="J607" s="93"/>
      <c r="K607" s="85">
        <f t="shared" si="42"/>
        <v>0</v>
      </c>
      <c r="L607" s="68"/>
      <c r="M607" s="68"/>
      <c r="P607" s="89" t="str">
        <f t="shared" si="40"/>
        <v xml:space="preserve">  1 1900 </v>
      </c>
    </row>
    <row r="608" spans="1:16">
      <c r="A608" s="68"/>
      <c r="B608" s="87"/>
      <c r="C608" s="88"/>
      <c r="D608" s="88"/>
      <c r="E608" s="90"/>
      <c r="F608" s="84" t="str">
        <f ca="1">IF(D608="Income",LOOKUP(E608,Introduction!$A$11:$A$18,Introduction!$C$11:$C$18),IF(D608="Expense",LOOKUP(E608,Introduction!$D$11:$D$30,Introduction!$F$11:$F$30),"_"))</f>
        <v>_</v>
      </c>
      <c r="G608" s="88"/>
      <c r="H608" s="92"/>
      <c r="I608" s="85">
        <f t="shared" si="41"/>
        <v>0</v>
      </c>
      <c r="J608" s="93"/>
      <c r="K608" s="85">
        <f t="shared" si="42"/>
        <v>0</v>
      </c>
      <c r="L608" s="68"/>
      <c r="M608" s="68"/>
      <c r="P608" s="89" t="str">
        <f t="shared" si="40"/>
        <v xml:space="preserve">  1 1900 </v>
      </c>
    </row>
    <row r="609" spans="1:16">
      <c r="A609" s="68"/>
      <c r="B609" s="87"/>
      <c r="C609" s="88"/>
      <c r="D609" s="88"/>
      <c r="E609" s="90"/>
      <c r="F609" s="84" t="str">
        <f ca="1">IF(D609="Income",LOOKUP(E609,Introduction!$A$11:$A$18,Introduction!$C$11:$C$18),IF(D609="Expense",LOOKUP(E609,Introduction!$D$11:$D$30,Introduction!$F$11:$F$30),"_"))</f>
        <v>_</v>
      </c>
      <c r="G609" s="88"/>
      <c r="H609" s="92"/>
      <c r="I609" s="85">
        <f t="shared" si="41"/>
        <v>0</v>
      </c>
      <c r="J609" s="93"/>
      <c r="K609" s="85">
        <f t="shared" si="42"/>
        <v>0</v>
      </c>
      <c r="L609" s="68"/>
      <c r="M609" s="68"/>
      <c r="P609" s="89" t="str">
        <f t="shared" si="40"/>
        <v xml:space="preserve">  1 1900 </v>
      </c>
    </row>
    <row r="610" spans="1:16">
      <c r="A610" s="68"/>
      <c r="B610" s="87"/>
      <c r="C610" s="88"/>
      <c r="D610" s="88"/>
      <c r="E610" s="90"/>
      <c r="F610" s="84" t="str">
        <f ca="1">IF(D610="Income",LOOKUP(E610,Introduction!$A$11:$A$18,Introduction!$C$11:$C$18),IF(D610="Expense",LOOKUP(E610,Introduction!$D$11:$D$30,Introduction!$F$11:$F$30),"_"))</f>
        <v>_</v>
      </c>
      <c r="G610" s="88"/>
      <c r="H610" s="92"/>
      <c r="I610" s="85">
        <f t="shared" si="41"/>
        <v>0</v>
      </c>
      <c r="J610" s="93"/>
      <c r="K610" s="85">
        <f t="shared" si="42"/>
        <v>0</v>
      </c>
      <c r="L610" s="68"/>
      <c r="M610" s="68"/>
      <c r="P610" s="89" t="str">
        <f t="shared" si="40"/>
        <v xml:space="preserve">  1 1900 </v>
      </c>
    </row>
    <row r="611" spans="1:16">
      <c r="A611" s="68"/>
      <c r="B611" s="87"/>
      <c r="C611" s="88"/>
      <c r="D611" s="88"/>
      <c r="E611" s="90"/>
      <c r="F611" s="84" t="str">
        <f ca="1">IF(D611="Income",LOOKUP(E611,Introduction!$A$11:$A$18,Introduction!$C$11:$C$18),IF(D611="Expense",LOOKUP(E611,Introduction!$D$11:$D$30,Introduction!$F$11:$F$30),"_"))</f>
        <v>_</v>
      </c>
      <c r="G611" s="88"/>
      <c r="H611" s="92"/>
      <c r="I611" s="85">
        <f t="shared" si="41"/>
        <v>0</v>
      </c>
      <c r="J611" s="93"/>
      <c r="K611" s="85">
        <f t="shared" si="42"/>
        <v>0</v>
      </c>
      <c r="L611" s="68"/>
      <c r="M611" s="68"/>
      <c r="P611" s="89" t="str">
        <f t="shared" si="40"/>
        <v xml:space="preserve">  1 1900 </v>
      </c>
    </row>
    <row r="612" spans="1:16">
      <c r="A612" s="68"/>
      <c r="B612" s="87"/>
      <c r="C612" s="88"/>
      <c r="D612" s="88"/>
      <c r="E612" s="90"/>
      <c r="F612" s="84" t="str">
        <f ca="1">IF(D612="Income",LOOKUP(E612,Introduction!$A$11:$A$18,Introduction!$C$11:$C$18),IF(D612="Expense",LOOKUP(E612,Introduction!$D$11:$D$30,Introduction!$F$11:$F$30),"_"))</f>
        <v>_</v>
      </c>
      <c r="G612" s="88"/>
      <c r="H612" s="92"/>
      <c r="I612" s="85">
        <f t="shared" si="41"/>
        <v>0</v>
      </c>
      <c r="J612" s="93"/>
      <c r="K612" s="85">
        <f t="shared" si="42"/>
        <v>0</v>
      </c>
      <c r="L612" s="68"/>
      <c r="M612" s="68"/>
      <c r="P612" s="89" t="str">
        <f t="shared" si="40"/>
        <v xml:space="preserve">  1 1900 </v>
      </c>
    </row>
    <row r="613" spans="1:16">
      <c r="A613" s="68"/>
      <c r="B613" s="87"/>
      <c r="C613" s="88"/>
      <c r="D613" s="88"/>
      <c r="E613" s="90"/>
      <c r="F613" s="84" t="str">
        <f ca="1">IF(D613="Income",LOOKUP(E613,Introduction!$A$11:$A$18,Introduction!$C$11:$C$18),IF(D613="Expense",LOOKUP(E613,Introduction!$D$11:$D$30,Introduction!$F$11:$F$30),"_"))</f>
        <v>_</v>
      </c>
      <c r="G613" s="88"/>
      <c r="H613" s="92"/>
      <c r="I613" s="85">
        <f t="shared" si="41"/>
        <v>0</v>
      </c>
      <c r="J613" s="93"/>
      <c r="K613" s="85">
        <f t="shared" si="42"/>
        <v>0</v>
      </c>
      <c r="L613" s="68"/>
      <c r="M613" s="68"/>
      <c r="P613" s="89" t="str">
        <f t="shared" si="40"/>
        <v xml:space="preserve">  1 1900 </v>
      </c>
    </row>
    <row r="614" spans="1:16">
      <c r="A614" s="68"/>
      <c r="B614" s="87"/>
      <c r="C614" s="88"/>
      <c r="D614" s="88"/>
      <c r="E614" s="90"/>
      <c r="F614" s="84" t="str">
        <f ca="1">IF(D614="Income",LOOKUP(E614,Introduction!$A$11:$A$18,Introduction!$C$11:$C$18),IF(D614="Expense",LOOKUP(E614,Introduction!$D$11:$D$30,Introduction!$F$11:$F$30),"_"))</f>
        <v>_</v>
      </c>
      <c r="G614" s="88"/>
      <c r="H614" s="92"/>
      <c r="I614" s="85">
        <f t="shared" si="41"/>
        <v>0</v>
      </c>
      <c r="J614" s="93"/>
      <c r="K614" s="85">
        <f t="shared" si="42"/>
        <v>0</v>
      </c>
      <c r="L614" s="68"/>
      <c r="M614" s="68"/>
      <c r="P614" s="89" t="str">
        <f t="shared" si="40"/>
        <v xml:space="preserve">  1 1900 </v>
      </c>
    </row>
    <row r="615" spans="1:16">
      <c r="A615" s="68"/>
      <c r="B615" s="87"/>
      <c r="C615" s="88"/>
      <c r="D615" s="88"/>
      <c r="E615" s="90"/>
      <c r="F615" s="84" t="str">
        <f ca="1">IF(D615="Income",LOOKUP(E615,Introduction!$A$11:$A$18,Introduction!$C$11:$C$18),IF(D615="Expense",LOOKUP(E615,Introduction!$D$11:$D$30,Introduction!$F$11:$F$30),"_"))</f>
        <v>_</v>
      </c>
      <c r="G615" s="88"/>
      <c r="H615" s="92"/>
      <c r="I615" s="85">
        <f t="shared" si="41"/>
        <v>0</v>
      </c>
      <c r="J615" s="93"/>
      <c r="K615" s="85">
        <f t="shared" si="42"/>
        <v>0</v>
      </c>
      <c r="L615" s="68"/>
      <c r="M615" s="68"/>
      <c r="P615" s="89" t="str">
        <f t="shared" si="40"/>
        <v xml:space="preserve">  1 1900 </v>
      </c>
    </row>
    <row r="616" spans="1:16">
      <c r="A616" s="68"/>
      <c r="B616" s="87"/>
      <c r="C616" s="88"/>
      <c r="D616" s="88"/>
      <c r="E616" s="90"/>
      <c r="F616" s="84" t="str">
        <f ca="1">IF(D616="Income",LOOKUP(E616,Introduction!$A$11:$A$18,Introduction!$C$11:$C$18),IF(D616="Expense",LOOKUP(E616,Introduction!$D$11:$D$30,Introduction!$F$11:$F$30),"_"))</f>
        <v>_</v>
      </c>
      <c r="G616" s="88"/>
      <c r="H616" s="92"/>
      <c r="I616" s="85">
        <f t="shared" si="41"/>
        <v>0</v>
      </c>
      <c r="J616" s="93"/>
      <c r="K616" s="85">
        <f t="shared" si="42"/>
        <v>0</v>
      </c>
      <c r="L616" s="68"/>
      <c r="M616" s="68"/>
      <c r="P616" s="89" t="str">
        <f t="shared" si="40"/>
        <v xml:space="preserve">  1 1900 </v>
      </c>
    </row>
    <row r="617" spans="1:16">
      <c r="A617" s="68"/>
      <c r="B617" s="87"/>
      <c r="C617" s="88"/>
      <c r="D617" s="88"/>
      <c r="E617" s="90"/>
      <c r="F617" s="84" t="str">
        <f ca="1">IF(D617="Income",LOOKUP(E617,Introduction!$A$11:$A$18,Introduction!$C$11:$C$18),IF(D617="Expense",LOOKUP(E617,Introduction!$D$11:$D$30,Introduction!$F$11:$F$30),"_"))</f>
        <v>_</v>
      </c>
      <c r="G617" s="88"/>
      <c r="H617" s="92"/>
      <c r="I617" s="85">
        <f t="shared" si="41"/>
        <v>0</v>
      </c>
      <c r="J617" s="93"/>
      <c r="K617" s="85">
        <f t="shared" si="42"/>
        <v>0</v>
      </c>
      <c r="L617" s="68"/>
      <c r="M617" s="68"/>
      <c r="P617" s="89" t="str">
        <f t="shared" si="40"/>
        <v xml:space="preserve">  1 1900 </v>
      </c>
    </row>
    <row r="618" spans="1:16">
      <c r="A618" s="68"/>
      <c r="B618" s="87"/>
      <c r="C618" s="88"/>
      <c r="D618" s="88"/>
      <c r="E618" s="90"/>
      <c r="F618" s="84" t="str">
        <f ca="1">IF(D618="Income",LOOKUP(E618,Introduction!$A$11:$A$18,Introduction!$C$11:$C$18),IF(D618="Expense",LOOKUP(E618,Introduction!$D$11:$D$30,Introduction!$F$11:$F$30),"_"))</f>
        <v>_</v>
      </c>
      <c r="G618" s="88"/>
      <c r="H618" s="92"/>
      <c r="I618" s="85">
        <f t="shared" si="41"/>
        <v>0</v>
      </c>
      <c r="J618" s="93"/>
      <c r="K618" s="85">
        <f t="shared" si="42"/>
        <v>0</v>
      </c>
      <c r="L618" s="68"/>
      <c r="M618" s="68"/>
      <c r="P618" s="89" t="str">
        <f t="shared" si="40"/>
        <v xml:space="preserve">  1 1900 </v>
      </c>
    </row>
    <row r="619" spans="1:16">
      <c r="A619" s="68"/>
      <c r="B619" s="87"/>
      <c r="C619" s="88"/>
      <c r="D619" s="88"/>
      <c r="E619" s="90"/>
      <c r="F619" s="84" t="str">
        <f ca="1">IF(D619="Income",LOOKUP(E619,Introduction!$A$11:$A$18,Introduction!$C$11:$C$18),IF(D619="Expense",LOOKUP(E619,Introduction!$D$11:$D$30,Introduction!$F$11:$F$30),"_"))</f>
        <v>_</v>
      </c>
      <c r="G619" s="88"/>
      <c r="H619" s="92"/>
      <c r="I619" s="85">
        <f t="shared" si="41"/>
        <v>0</v>
      </c>
      <c r="J619" s="93"/>
      <c r="K619" s="85">
        <f t="shared" si="42"/>
        <v>0</v>
      </c>
      <c r="L619" s="68"/>
      <c r="M619" s="68"/>
      <c r="P619" s="89" t="str">
        <f t="shared" si="40"/>
        <v xml:space="preserve">  1 1900 </v>
      </c>
    </row>
    <row r="620" spans="1:16">
      <c r="A620" s="68"/>
      <c r="B620" s="87"/>
      <c r="C620" s="88"/>
      <c r="D620" s="88"/>
      <c r="E620" s="90"/>
      <c r="F620" s="84" t="str">
        <f ca="1">IF(D620="Income",LOOKUP(E620,Introduction!$A$11:$A$18,Introduction!$C$11:$C$18),IF(D620="Expense",LOOKUP(E620,Introduction!$D$11:$D$30,Introduction!$F$11:$F$30),"_"))</f>
        <v>_</v>
      </c>
      <c r="G620" s="88"/>
      <c r="H620" s="92"/>
      <c r="I620" s="85">
        <f t="shared" si="41"/>
        <v>0</v>
      </c>
      <c r="J620" s="93"/>
      <c r="K620" s="85">
        <f t="shared" si="42"/>
        <v>0</v>
      </c>
      <c r="L620" s="68"/>
      <c r="M620" s="68"/>
      <c r="P620" s="89" t="str">
        <f t="shared" si="40"/>
        <v xml:space="preserve">  1 1900 </v>
      </c>
    </row>
    <row r="621" spans="1:16">
      <c r="A621" s="68"/>
      <c r="B621" s="87"/>
      <c r="C621" s="88"/>
      <c r="D621" s="88"/>
      <c r="E621" s="90"/>
      <c r="F621" s="84" t="str">
        <f ca="1">IF(D621="Income",LOOKUP(E621,Introduction!$A$11:$A$18,Introduction!$C$11:$C$18),IF(D621="Expense",LOOKUP(E621,Introduction!$D$11:$D$30,Introduction!$F$11:$F$30),"_"))</f>
        <v>_</v>
      </c>
      <c r="G621" s="88"/>
      <c r="H621" s="92"/>
      <c r="I621" s="85">
        <f t="shared" si="41"/>
        <v>0</v>
      </c>
      <c r="J621" s="93"/>
      <c r="K621" s="85">
        <f t="shared" si="42"/>
        <v>0</v>
      </c>
      <c r="L621" s="68"/>
      <c r="M621" s="68"/>
      <c r="P621" s="89" t="str">
        <f t="shared" si="40"/>
        <v xml:space="preserve">  1 1900 </v>
      </c>
    </row>
    <row r="622" spans="1:16">
      <c r="A622" s="68"/>
      <c r="B622" s="87"/>
      <c r="C622" s="88"/>
      <c r="D622" s="88"/>
      <c r="E622" s="90"/>
      <c r="F622" s="84" t="str">
        <f ca="1">IF(D622="Income",LOOKUP(E622,Introduction!$A$11:$A$18,Introduction!$C$11:$C$18),IF(D622="Expense",LOOKUP(E622,Introduction!$D$11:$D$30,Introduction!$F$11:$F$30),"_"))</f>
        <v>_</v>
      </c>
      <c r="G622" s="88"/>
      <c r="H622" s="92"/>
      <c r="I622" s="85">
        <f t="shared" si="41"/>
        <v>0</v>
      </c>
      <c r="J622" s="93"/>
      <c r="K622" s="85">
        <f t="shared" si="42"/>
        <v>0</v>
      </c>
      <c r="L622" s="68"/>
      <c r="M622" s="68"/>
      <c r="P622" s="89" t="str">
        <f t="shared" si="40"/>
        <v xml:space="preserve">  1 1900 </v>
      </c>
    </row>
    <row r="623" spans="1:16">
      <c r="A623" s="68"/>
      <c r="B623" s="87"/>
      <c r="C623" s="88"/>
      <c r="D623" s="88"/>
      <c r="E623" s="90"/>
      <c r="F623" s="84" t="str">
        <f ca="1">IF(D623="Income",LOOKUP(E623,Introduction!$A$11:$A$18,Introduction!$C$11:$C$18),IF(D623="Expense",LOOKUP(E623,Introduction!$D$11:$D$30,Introduction!$F$11:$F$30),"_"))</f>
        <v>_</v>
      </c>
      <c r="G623" s="88"/>
      <c r="H623" s="92"/>
      <c r="I623" s="85">
        <f t="shared" si="41"/>
        <v>0</v>
      </c>
      <c r="J623" s="93"/>
      <c r="K623" s="85">
        <f t="shared" si="42"/>
        <v>0</v>
      </c>
      <c r="L623" s="68"/>
      <c r="M623" s="68"/>
      <c r="P623" s="89" t="str">
        <f t="shared" si="40"/>
        <v xml:space="preserve">  1 1900 </v>
      </c>
    </row>
    <row r="624" spans="1:16">
      <c r="A624" s="68"/>
      <c r="B624" s="87"/>
      <c r="C624" s="88"/>
      <c r="D624" s="88"/>
      <c r="E624" s="90"/>
      <c r="F624" s="84" t="str">
        <f ca="1">IF(D624="Income",LOOKUP(E624,Introduction!$A$11:$A$18,Introduction!$C$11:$C$18),IF(D624="Expense",LOOKUP(E624,Introduction!$D$11:$D$30,Introduction!$F$11:$F$30),"_"))</f>
        <v>_</v>
      </c>
      <c r="G624" s="88"/>
      <c r="H624" s="92"/>
      <c r="I624" s="85">
        <f t="shared" si="41"/>
        <v>0</v>
      </c>
      <c r="J624" s="93"/>
      <c r="K624" s="85">
        <f t="shared" si="42"/>
        <v>0</v>
      </c>
      <c r="L624" s="68"/>
      <c r="M624" s="68"/>
      <c r="P624" s="89" t="str">
        <f t="shared" si="40"/>
        <v xml:space="preserve">  1 1900 </v>
      </c>
    </row>
    <row r="625" spans="1:16">
      <c r="A625" s="68"/>
      <c r="B625" s="87"/>
      <c r="C625" s="88"/>
      <c r="D625" s="88"/>
      <c r="E625" s="90"/>
      <c r="F625" s="84" t="str">
        <f ca="1">IF(D625="Income",LOOKUP(E625,Introduction!$A$11:$A$18,Introduction!$C$11:$C$18),IF(D625="Expense",LOOKUP(E625,Introduction!$D$11:$D$30,Introduction!$F$11:$F$30),"_"))</f>
        <v>_</v>
      </c>
      <c r="G625" s="88"/>
      <c r="H625" s="92"/>
      <c r="I625" s="85">
        <f t="shared" si="41"/>
        <v>0</v>
      </c>
      <c r="J625" s="93"/>
      <c r="K625" s="85">
        <f t="shared" si="42"/>
        <v>0</v>
      </c>
      <c r="L625" s="68"/>
      <c r="M625" s="68"/>
      <c r="P625" s="89" t="str">
        <f t="shared" si="40"/>
        <v xml:space="preserve">  1 1900 </v>
      </c>
    </row>
    <row r="626" spans="1:16">
      <c r="A626" s="68"/>
      <c r="B626" s="87"/>
      <c r="C626" s="88"/>
      <c r="D626" s="88"/>
      <c r="E626" s="90"/>
      <c r="F626" s="84" t="str">
        <f ca="1">IF(D626="Income",LOOKUP(E626,Introduction!$A$11:$A$18,Introduction!$C$11:$C$18),IF(D626="Expense",LOOKUP(E626,Introduction!$D$11:$D$30,Introduction!$F$11:$F$30),"_"))</f>
        <v>_</v>
      </c>
      <c r="G626" s="88"/>
      <c r="H626" s="92"/>
      <c r="I626" s="85">
        <f t="shared" si="41"/>
        <v>0</v>
      </c>
      <c r="J626" s="93"/>
      <c r="K626" s="85">
        <f t="shared" si="42"/>
        <v>0</v>
      </c>
      <c r="L626" s="68"/>
      <c r="M626" s="68"/>
      <c r="P626" s="89" t="str">
        <f t="shared" si="40"/>
        <v xml:space="preserve">  1 1900 </v>
      </c>
    </row>
    <row r="627" spans="1:16">
      <c r="A627" s="68"/>
      <c r="B627" s="87"/>
      <c r="C627" s="88"/>
      <c r="D627" s="88"/>
      <c r="E627" s="90"/>
      <c r="F627" s="84" t="str">
        <f ca="1">IF(D627="Income",LOOKUP(E627,Introduction!$A$11:$A$18,Introduction!$C$11:$C$18),IF(D627="Expense",LOOKUP(E627,Introduction!$D$11:$D$30,Introduction!$F$11:$F$30),"_"))</f>
        <v>_</v>
      </c>
      <c r="G627" s="88"/>
      <c r="H627" s="92"/>
      <c r="I627" s="85">
        <f t="shared" si="41"/>
        <v>0</v>
      </c>
      <c r="J627" s="93"/>
      <c r="K627" s="85">
        <f t="shared" si="42"/>
        <v>0</v>
      </c>
      <c r="L627" s="68"/>
      <c r="M627" s="68"/>
      <c r="P627" s="89" t="str">
        <f t="shared" si="40"/>
        <v xml:space="preserve">  1 1900 </v>
      </c>
    </row>
    <row r="628" spans="1:16">
      <c r="A628" s="68"/>
      <c r="B628" s="87"/>
      <c r="C628" s="88"/>
      <c r="D628" s="88"/>
      <c r="E628" s="90"/>
      <c r="F628" s="84" t="str">
        <f ca="1">IF(D628="Income",LOOKUP(E628,Introduction!$A$11:$A$18,Introduction!$C$11:$C$18),IF(D628="Expense",LOOKUP(E628,Introduction!$D$11:$D$30,Introduction!$F$11:$F$30),"_"))</f>
        <v>_</v>
      </c>
      <c r="G628" s="88"/>
      <c r="H628" s="92"/>
      <c r="I628" s="85">
        <f t="shared" si="41"/>
        <v>0</v>
      </c>
      <c r="J628" s="93"/>
      <c r="K628" s="85">
        <f t="shared" si="42"/>
        <v>0</v>
      </c>
      <c r="L628" s="68"/>
      <c r="M628" s="68"/>
      <c r="P628" s="89" t="str">
        <f t="shared" si="40"/>
        <v xml:space="preserve">  1 1900 </v>
      </c>
    </row>
    <row r="629" spans="1:16">
      <c r="A629" s="68"/>
      <c r="B629" s="87"/>
      <c r="C629" s="88"/>
      <c r="D629" s="88"/>
      <c r="E629" s="90"/>
      <c r="F629" s="84" t="str">
        <f ca="1">IF(D629="Income",LOOKUP(E629,Introduction!$A$11:$A$18,Introduction!$C$11:$C$18),IF(D629="Expense",LOOKUP(E629,Introduction!$D$11:$D$30,Introduction!$F$11:$F$30),"_"))</f>
        <v>_</v>
      </c>
      <c r="G629" s="88"/>
      <c r="H629" s="92"/>
      <c r="I629" s="85">
        <f t="shared" si="41"/>
        <v>0</v>
      </c>
      <c r="J629" s="93"/>
      <c r="K629" s="85">
        <f t="shared" si="42"/>
        <v>0</v>
      </c>
      <c r="L629" s="68"/>
      <c r="M629" s="68"/>
      <c r="P629" s="89" t="str">
        <f t="shared" si="40"/>
        <v xml:space="preserve">  1 1900 </v>
      </c>
    </row>
    <row r="630" spans="1:16">
      <c r="A630" s="68"/>
      <c r="B630" s="87"/>
      <c r="C630" s="88"/>
      <c r="D630" s="88"/>
      <c r="E630" s="90"/>
      <c r="F630" s="84" t="str">
        <f ca="1">IF(D630="Income",LOOKUP(E630,Introduction!$A$11:$A$18,Introduction!$C$11:$C$18),IF(D630="Expense",LOOKUP(E630,Introduction!$D$11:$D$30,Introduction!$F$11:$F$30),"_"))</f>
        <v>_</v>
      </c>
      <c r="G630" s="88"/>
      <c r="H630" s="92"/>
      <c r="I630" s="85">
        <f t="shared" si="41"/>
        <v>0</v>
      </c>
      <c r="J630" s="93"/>
      <c r="K630" s="85">
        <f t="shared" si="42"/>
        <v>0</v>
      </c>
      <c r="L630" s="68"/>
      <c r="M630" s="68"/>
      <c r="P630" s="89" t="str">
        <f t="shared" si="40"/>
        <v xml:space="preserve">  1 1900 </v>
      </c>
    </row>
    <row r="631" spans="1:16">
      <c r="A631" s="68"/>
      <c r="B631" s="87"/>
      <c r="C631" s="88"/>
      <c r="D631" s="88"/>
      <c r="E631" s="90"/>
      <c r="F631" s="84" t="str">
        <f ca="1">IF(D631="Income",LOOKUP(E631,Introduction!$A$11:$A$18,Introduction!$C$11:$C$18),IF(D631="Expense",LOOKUP(E631,Introduction!$D$11:$D$30,Introduction!$F$11:$F$30),"_"))</f>
        <v>_</v>
      </c>
      <c r="G631" s="88"/>
      <c r="H631" s="92"/>
      <c r="I631" s="85">
        <f t="shared" si="41"/>
        <v>0</v>
      </c>
      <c r="J631" s="93"/>
      <c r="K631" s="85">
        <f t="shared" si="42"/>
        <v>0</v>
      </c>
      <c r="L631" s="68"/>
      <c r="M631" s="68"/>
      <c r="P631" s="89" t="str">
        <f t="shared" si="40"/>
        <v xml:space="preserve">  1 1900 </v>
      </c>
    </row>
    <row r="632" spans="1:16">
      <c r="A632" s="68"/>
      <c r="B632" s="87"/>
      <c r="C632" s="88"/>
      <c r="D632" s="88"/>
      <c r="E632" s="90"/>
      <c r="F632" s="84" t="str">
        <f ca="1">IF(D632="Income",LOOKUP(E632,Introduction!$A$11:$A$18,Introduction!$C$11:$C$18),IF(D632="Expense",LOOKUP(E632,Introduction!$D$11:$D$30,Introduction!$F$11:$F$30),"_"))</f>
        <v>_</v>
      </c>
      <c r="G632" s="88"/>
      <c r="H632" s="92"/>
      <c r="I632" s="85">
        <f t="shared" si="41"/>
        <v>0</v>
      </c>
      <c r="J632" s="93"/>
      <c r="K632" s="85">
        <f t="shared" si="42"/>
        <v>0</v>
      </c>
      <c r="L632" s="68"/>
      <c r="M632" s="68"/>
      <c r="P632" s="89" t="str">
        <f t="shared" si="40"/>
        <v xml:space="preserve">  1 1900 </v>
      </c>
    </row>
    <row r="633" spans="1:16">
      <c r="A633" s="68"/>
      <c r="B633" s="87"/>
      <c r="C633" s="88"/>
      <c r="D633" s="88"/>
      <c r="E633" s="90"/>
      <c r="F633" s="84" t="str">
        <f ca="1">IF(D633="Income",LOOKUP(E633,Introduction!$A$11:$A$18,Introduction!$C$11:$C$18),IF(D633="Expense",LOOKUP(E633,Introduction!$D$11:$D$30,Introduction!$F$11:$F$30),"_"))</f>
        <v>_</v>
      </c>
      <c r="G633" s="88"/>
      <c r="H633" s="92"/>
      <c r="I633" s="85">
        <f t="shared" si="41"/>
        <v>0</v>
      </c>
      <c r="J633" s="93"/>
      <c r="K633" s="85">
        <f t="shared" si="42"/>
        <v>0</v>
      </c>
      <c r="L633" s="68"/>
      <c r="M633" s="68"/>
      <c r="P633" s="89" t="str">
        <f t="shared" si="40"/>
        <v xml:space="preserve">  1 1900 </v>
      </c>
    </row>
    <row r="634" spans="1:16">
      <c r="A634" s="68"/>
      <c r="B634" s="87"/>
      <c r="C634" s="88"/>
      <c r="D634" s="88"/>
      <c r="E634" s="90"/>
      <c r="F634" s="84" t="str">
        <f ca="1">IF(D634="Income",LOOKUP(E634,Introduction!$A$11:$A$18,Introduction!$C$11:$C$18),IF(D634="Expense",LOOKUP(E634,Introduction!$D$11:$D$30,Introduction!$F$11:$F$30),"_"))</f>
        <v>_</v>
      </c>
      <c r="G634" s="88"/>
      <c r="H634" s="92"/>
      <c r="I634" s="85">
        <f t="shared" si="41"/>
        <v>0</v>
      </c>
      <c r="J634" s="93"/>
      <c r="K634" s="85">
        <f t="shared" si="42"/>
        <v>0</v>
      </c>
      <c r="L634" s="68"/>
      <c r="M634" s="68"/>
      <c r="P634" s="89" t="str">
        <f t="shared" si="40"/>
        <v xml:space="preserve">  1 1900 </v>
      </c>
    </row>
    <row r="635" spans="1:16">
      <c r="A635" s="68"/>
      <c r="B635" s="87"/>
      <c r="C635" s="88"/>
      <c r="D635" s="88"/>
      <c r="E635" s="90"/>
      <c r="F635" s="84" t="str">
        <f ca="1">IF(D635="Income",LOOKUP(E635,Introduction!$A$11:$A$18,Introduction!$C$11:$C$18),IF(D635="Expense",LOOKUP(E635,Introduction!$D$11:$D$30,Introduction!$F$11:$F$30),"_"))</f>
        <v>_</v>
      </c>
      <c r="G635" s="88"/>
      <c r="H635" s="92"/>
      <c r="I635" s="85">
        <f t="shared" si="41"/>
        <v>0</v>
      </c>
      <c r="J635" s="93"/>
      <c r="K635" s="85">
        <f t="shared" si="42"/>
        <v>0</v>
      </c>
      <c r="L635" s="68"/>
      <c r="M635" s="68"/>
      <c r="P635" s="89" t="str">
        <f t="shared" si="40"/>
        <v xml:space="preserve">  1 1900 </v>
      </c>
    </row>
    <row r="636" spans="1:16">
      <c r="A636" s="68"/>
      <c r="B636" s="87"/>
      <c r="C636" s="88"/>
      <c r="D636" s="88"/>
      <c r="E636" s="90"/>
      <c r="F636" s="84" t="str">
        <f ca="1">IF(D636="Income",LOOKUP(E636,Introduction!$A$11:$A$18,Introduction!$C$11:$C$18),IF(D636="Expense",LOOKUP(E636,Introduction!$D$11:$D$30,Introduction!$F$11:$F$30),"_"))</f>
        <v>_</v>
      </c>
      <c r="G636" s="88"/>
      <c r="H636" s="92"/>
      <c r="I636" s="85">
        <f t="shared" si="41"/>
        <v>0</v>
      </c>
      <c r="J636" s="93"/>
      <c r="K636" s="85">
        <f t="shared" si="42"/>
        <v>0</v>
      </c>
      <c r="L636" s="68"/>
      <c r="M636" s="68"/>
      <c r="P636" s="89" t="str">
        <f t="shared" si="40"/>
        <v xml:space="preserve">  1 1900 </v>
      </c>
    </row>
    <row r="637" spans="1:16">
      <c r="A637" s="68"/>
      <c r="B637" s="87"/>
      <c r="C637" s="88"/>
      <c r="D637" s="88"/>
      <c r="E637" s="90"/>
      <c r="F637" s="84" t="str">
        <f ca="1">IF(D637="Income",LOOKUP(E637,Introduction!$A$11:$A$18,Introduction!$C$11:$C$18),IF(D637="Expense",LOOKUP(E637,Introduction!$D$11:$D$30,Introduction!$F$11:$F$30),"_"))</f>
        <v>_</v>
      </c>
      <c r="G637" s="88"/>
      <c r="H637" s="92"/>
      <c r="I637" s="85">
        <f t="shared" si="41"/>
        <v>0</v>
      </c>
      <c r="J637" s="93"/>
      <c r="K637" s="85">
        <f t="shared" si="42"/>
        <v>0</v>
      </c>
      <c r="L637" s="68"/>
      <c r="M637" s="68"/>
      <c r="P637" s="89" t="str">
        <f t="shared" si="40"/>
        <v xml:space="preserve">  1 1900 </v>
      </c>
    </row>
    <row r="638" spans="1:16">
      <c r="A638" s="68"/>
      <c r="B638" s="87"/>
      <c r="C638" s="88"/>
      <c r="D638" s="88"/>
      <c r="E638" s="90"/>
      <c r="F638" s="84" t="str">
        <f ca="1">IF(D638="Income",LOOKUP(E638,Introduction!$A$11:$A$18,Introduction!$C$11:$C$18),IF(D638="Expense",LOOKUP(E638,Introduction!$D$11:$D$30,Introduction!$F$11:$F$30),"_"))</f>
        <v>_</v>
      </c>
      <c r="G638" s="88"/>
      <c r="H638" s="92"/>
      <c r="I638" s="85">
        <f t="shared" si="41"/>
        <v>0</v>
      </c>
      <c r="J638" s="93"/>
      <c r="K638" s="85">
        <f t="shared" si="42"/>
        <v>0</v>
      </c>
      <c r="L638" s="68"/>
      <c r="M638" s="68"/>
      <c r="P638" s="89" t="str">
        <f t="shared" si="40"/>
        <v xml:space="preserve">  1 1900 </v>
      </c>
    </row>
    <row r="639" spans="1:16">
      <c r="A639" s="68"/>
      <c r="B639" s="87"/>
      <c r="C639" s="88"/>
      <c r="D639" s="88"/>
      <c r="E639" s="90"/>
      <c r="F639" s="84" t="str">
        <f ca="1">IF(D639="Income",LOOKUP(E639,Introduction!$A$11:$A$18,Introduction!$C$11:$C$18),IF(D639="Expense",LOOKUP(E639,Introduction!$D$11:$D$30,Introduction!$F$11:$F$30),"_"))</f>
        <v>_</v>
      </c>
      <c r="G639" s="88"/>
      <c r="H639" s="92"/>
      <c r="I639" s="85">
        <f t="shared" si="41"/>
        <v>0</v>
      </c>
      <c r="J639" s="93"/>
      <c r="K639" s="85">
        <f t="shared" si="42"/>
        <v>0</v>
      </c>
      <c r="L639" s="68"/>
      <c r="M639" s="68"/>
      <c r="P639" s="89" t="str">
        <f t="shared" si="40"/>
        <v xml:space="preserve">  1 1900 </v>
      </c>
    </row>
    <row r="640" spans="1:16">
      <c r="A640" s="68"/>
      <c r="B640" s="87"/>
      <c r="C640" s="88"/>
      <c r="D640" s="88"/>
      <c r="E640" s="90"/>
      <c r="F640" s="84" t="str">
        <f ca="1">IF(D640="Income",LOOKUP(E640,Introduction!$A$11:$A$18,Introduction!$C$11:$C$18),IF(D640="Expense",LOOKUP(E640,Introduction!$D$11:$D$30,Introduction!$F$11:$F$30),"_"))</f>
        <v>_</v>
      </c>
      <c r="G640" s="88"/>
      <c r="H640" s="92"/>
      <c r="I640" s="85">
        <f t="shared" si="41"/>
        <v>0</v>
      </c>
      <c r="J640" s="93"/>
      <c r="K640" s="85">
        <f t="shared" si="42"/>
        <v>0</v>
      </c>
      <c r="L640" s="68"/>
      <c r="M640" s="68"/>
      <c r="P640" s="89" t="str">
        <f t="shared" si="40"/>
        <v xml:space="preserve">  1 1900 </v>
      </c>
    </row>
    <row r="641" spans="1:16">
      <c r="A641" s="68"/>
      <c r="B641" s="87"/>
      <c r="C641" s="88"/>
      <c r="D641" s="88"/>
      <c r="E641" s="90"/>
      <c r="F641" s="84" t="str">
        <f ca="1">IF(D641="Income",LOOKUP(E641,Introduction!$A$11:$A$18,Introduction!$C$11:$C$18),IF(D641="Expense",LOOKUP(E641,Introduction!$D$11:$D$30,Introduction!$F$11:$F$30),"_"))</f>
        <v>_</v>
      </c>
      <c r="G641" s="88"/>
      <c r="H641" s="92"/>
      <c r="I641" s="85">
        <f t="shared" si="41"/>
        <v>0</v>
      </c>
      <c r="J641" s="93"/>
      <c r="K641" s="85">
        <f t="shared" si="42"/>
        <v>0</v>
      </c>
      <c r="L641" s="68"/>
      <c r="M641" s="68"/>
      <c r="P641" s="89" t="str">
        <f t="shared" si="40"/>
        <v xml:space="preserve">  1 1900 </v>
      </c>
    </row>
    <row r="642" spans="1:16">
      <c r="A642" s="68"/>
      <c r="B642" s="87"/>
      <c r="C642" s="88"/>
      <c r="D642" s="88"/>
      <c r="E642" s="90"/>
      <c r="F642" s="84" t="str">
        <f ca="1">IF(D642="Income",LOOKUP(E642,Introduction!$A$11:$A$18,Introduction!$C$11:$C$18),IF(D642="Expense",LOOKUP(E642,Introduction!$D$11:$D$30,Introduction!$F$11:$F$30),"_"))</f>
        <v>_</v>
      </c>
      <c r="G642" s="88"/>
      <c r="H642" s="92"/>
      <c r="I642" s="85">
        <f t="shared" si="41"/>
        <v>0</v>
      </c>
      <c r="J642" s="93"/>
      <c r="K642" s="85">
        <f t="shared" si="42"/>
        <v>0</v>
      </c>
      <c r="L642" s="68"/>
      <c r="M642" s="68"/>
      <c r="P642" s="89" t="str">
        <f t="shared" si="40"/>
        <v xml:space="preserve">  1 1900 </v>
      </c>
    </row>
    <row r="643" spans="1:16">
      <c r="A643" s="68"/>
      <c r="B643" s="87"/>
      <c r="C643" s="88"/>
      <c r="D643" s="88"/>
      <c r="E643" s="90"/>
      <c r="F643" s="84" t="str">
        <f ca="1">IF(D643="Income",LOOKUP(E643,Introduction!$A$11:$A$18,Introduction!$C$11:$C$18),IF(D643="Expense",LOOKUP(E643,Introduction!$D$11:$D$30,Introduction!$F$11:$F$30),"_"))</f>
        <v>_</v>
      </c>
      <c r="G643" s="88"/>
      <c r="H643" s="92"/>
      <c r="I643" s="85">
        <f t="shared" si="41"/>
        <v>0</v>
      </c>
      <c r="J643" s="93"/>
      <c r="K643" s="85">
        <f t="shared" si="42"/>
        <v>0</v>
      </c>
      <c r="L643" s="68"/>
      <c r="M643" s="68"/>
      <c r="P643" s="89" t="str">
        <f t="shared" si="40"/>
        <v xml:space="preserve">  1 1900 </v>
      </c>
    </row>
    <row r="644" spans="1:16">
      <c r="A644" s="68"/>
      <c r="B644" s="87"/>
      <c r="C644" s="88"/>
      <c r="D644" s="88"/>
      <c r="E644" s="90"/>
      <c r="F644" s="84" t="str">
        <f ca="1">IF(D644="Income",LOOKUP(E644,Introduction!$A$11:$A$18,Introduction!$C$11:$C$18),IF(D644="Expense",LOOKUP(E644,Introduction!$D$11:$D$30,Introduction!$F$11:$F$30),"_"))</f>
        <v>_</v>
      </c>
      <c r="G644" s="88"/>
      <c r="H644" s="92"/>
      <c r="I644" s="85">
        <f t="shared" si="41"/>
        <v>0</v>
      </c>
      <c r="J644" s="93"/>
      <c r="K644" s="85">
        <f t="shared" si="42"/>
        <v>0</v>
      </c>
      <c r="L644" s="68"/>
      <c r="M644" s="68"/>
      <c r="P644" s="89" t="str">
        <f t="shared" si="40"/>
        <v xml:space="preserve">  1 1900 </v>
      </c>
    </row>
    <row r="645" spans="1:16">
      <c r="A645" s="68"/>
      <c r="B645" s="87"/>
      <c r="C645" s="88"/>
      <c r="D645" s="88"/>
      <c r="E645" s="90"/>
      <c r="F645" s="84" t="str">
        <f ca="1">IF(D645="Income",LOOKUP(E645,Introduction!$A$11:$A$18,Introduction!$C$11:$C$18),IF(D645="Expense",LOOKUP(E645,Introduction!$D$11:$D$30,Introduction!$F$11:$F$30),"_"))</f>
        <v>_</v>
      </c>
      <c r="G645" s="88"/>
      <c r="H645" s="92"/>
      <c r="I645" s="85">
        <f t="shared" si="41"/>
        <v>0</v>
      </c>
      <c r="J645" s="93"/>
      <c r="K645" s="85">
        <f t="shared" si="42"/>
        <v>0</v>
      </c>
      <c r="L645" s="68"/>
      <c r="M645" s="68"/>
      <c r="P645" s="89" t="str">
        <f t="shared" si="40"/>
        <v xml:space="preserve">  1 1900 </v>
      </c>
    </row>
    <row r="646" spans="1:16">
      <c r="A646" s="68"/>
      <c r="B646" s="87"/>
      <c r="C646" s="88"/>
      <c r="D646" s="88"/>
      <c r="E646" s="90"/>
      <c r="F646" s="84" t="str">
        <f ca="1">IF(D646="Income",LOOKUP(E646,Introduction!$A$11:$A$18,Introduction!$C$11:$C$18),IF(D646="Expense",LOOKUP(E646,Introduction!$D$11:$D$30,Introduction!$F$11:$F$30),"_"))</f>
        <v>_</v>
      </c>
      <c r="G646" s="88"/>
      <c r="H646" s="92"/>
      <c r="I646" s="85">
        <f t="shared" si="41"/>
        <v>0</v>
      </c>
      <c r="J646" s="93"/>
      <c r="K646" s="85">
        <f t="shared" si="42"/>
        <v>0</v>
      </c>
      <c r="L646" s="68"/>
      <c r="M646" s="68"/>
      <c r="P646" s="89" t="str">
        <f t="shared" si="40"/>
        <v xml:space="preserve">  1 1900 </v>
      </c>
    </row>
    <row r="647" spans="1:16">
      <c r="A647" s="68"/>
      <c r="B647" s="87"/>
      <c r="C647" s="88"/>
      <c r="D647" s="88"/>
      <c r="E647" s="90"/>
      <c r="F647" s="84" t="str">
        <f ca="1">IF(D647="Income",LOOKUP(E647,Introduction!$A$11:$A$18,Introduction!$C$11:$C$18),IF(D647="Expense",LOOKUP(E647,Introduction!$D$11:$D$30,Introduction!$F$11:$F$30),"_"))</f>
        <v>_</v>
      </c>
      <c r="G647" s="88"/>
      <c r="H647" s="92"/>
      <c r="I647" s="85">
        <f t="shared" si="41"/>
        <v>0</v>
      </c>
      <c r="J647" s="93"/>
      <c r="K647" s="85">
        <f t="shared" si="42"/>
        <v>0</v>
      </c>
      <c r="L647" s="68"/>
      <c r="M647" s="68"/>
      <c r="P647" s="89" t="str">
        <f t="shared" ref="P647:P710" si="43">CONCATENATE(D647," ",E647," ",MONTH(C647)," ",YEAR(C647)," ")</f>
        <v xml:space="preserve">  1 1900 </v>
      </c>
    </row>
    <row r="648" spans="1:16">
      <c r="A648" s="68"/>
      <c r="B648" s="87"/>
      <c r="C648" s="88"/>
      <c r="D648" s="88"/>
      <c r="E648" s="90"/>
      <c r="F648" s="84" t="str">
        <f ca="1">IF(D648="Income",LOOKUP(E648,Introduction!$A$11:$A$18,Introduction!$C$11:$C$18),IF(D648="Expense",LOOKUP(E648,Introduction!$D$11:$D$30,Introduction!$F$11:$F$30),"_"))</f>
        <v>_</v>
      </c>
      <c r="G648" s="88"/>
      <c r="H648" s="92"/>
      <c r="I648" s="85">
        <f t="shared" si="41"/>
        <v>0</v>
      </c>
      <c r="J648" s="93"/>
      <c r="K648" s="85">
        <f t="shared" si="42"/>
        <v>0</v>
      </c>
      <c r="L648" s="68"/>
      <c r="M648" s="68"/>
      <c r="P648" s="89" t="str">
        <f t="shared" si="43"/>
        <v xml:space="preserve">  1 1900 </v>
      </c>
    </row>
    <row r="649" spans="1:16">
      <c r="A649" s="68"/>
      <c r="B649" s="87"/>
      <c r="C649" s="88"/>
      <c r="D649" s="88"/>
      <c r="E649" s="90"/>
      <c r="F649" s="84" t="str">
        <f ca="1">IF(D649="Income",LOOKUP(E649,Introduction!$A$11:$A$18,Introduction!$C$11:$C$18),IF(D649="Expense",LOOKUP(E649,Introduction!$D$11:$D$30,Introduction!$F$11:$F$30),"_"))</f>
        <v>_</v>
      </c>
      <c r="G649" s="88"/>
      <c r="H649" s="92"/>
      <c r="I649" s="85">
        <f t="shared" si="41"/>
        <v>0</v>
      </c>
      <c r="J649" s="93"/>
      <c r="K649" s="85">
        <f t="shared" si="42"/>
        <v>0</v>
      </c>
      <c r="L649" s="68"/>
      <c r="M649" s="68"/>
      <c r="P649" s="89" t="str">
        <f t="shared" si="43"/>
        <v xml:space="preserve">  1 1900 </v>
      </c>
    </row>
    <row r="650" spans="1:16">
      <c r="A650" s="68"/>
      <c r="B650" s="87"/>
      <c r="C650" s="88"/>
      <c r="D650" s="88"/>
      <c r="E650" s="90"/>
      <c r="F650" s="84" t="str">
        <f ca="1">IF(D650="Income",LOOKUP(E650,Introduction!$A$11:$A$18,Introduction!$C$11:$C$18),IF(D650="Expense",LOOKUP(E650,Introduction!$D$11:$D$30,Introduction!$F$11:$F$30),"_"))</f>
        <v>_</v>
      </c>
      <c r="G650" s="88"/>
      <c r="H650" s="92"/>
      <c r="I650" s="85">
        <f t="shared" si="41"/>
        <v>0</v>
      </c>
      <c r="J650" s="93"/>
      <c r="K650" s="85">
        <f t="shared" si="42"/>
        <v>0</v>
      </c>
      <c r="L650" s="68"/>
      <c r="M650" s="68"/>
      <c r="P650" s="89" t="str">
        <f t="shared" si="43"/>
        <v xml:space="preserve">  1 1900 </v>
      </c>
    </row>
    <row r="651" spans="1:16">
      <c r="A651" s="68"/>
      <c r="B651" s="87"/>
      <c r="C651" s="88"/>
      <c r="D651" s="88"/>
      <c r="E651" s="90"/>
      <c r="F651" s="84" t="str">
        <f ca="1">IF(D651="Income",LOOKUP(E651,Introduction!$A$11:$A$18,Introduction!$C$11:$C$18),IF(D651="Expense",LOOKUP(E651,Introduction!$D$11:$D$30,Introduction!$F$11:$F$30),"_"))</f>
        <v>_</v>
      </c>
      <c r="G651" s="88"/>
      <c r="H651" s="92"/>
      <c r="I651" s="85">
        <f t="shared" si="41"/>
        <v>0</v>
      </c>
      <c r="J651" s="93"/>
      <c r="K651" s="85">
        <f t="shared" si="42"/>
        <v>0</v>
      </c>
      <c r="L651" s="68"/>
      <c r="M651" s="68"/>
      <c r="P651" s="89" t="str">
        <f t="shared" si="43"/>
        <v xml:space="preserve">  1 1900 </v>
      </c>
    </row>
    <row r="652" spans="1:16">
      <c r="A652" s="68"/>
      <c r="B652" s="87"/>
      <c r="C652" s="88"/>
      <c r="D652" s="88"/>
      <c r="E652" s="90"/>
      <c r="F652" s="84" t="str">
        <f ca="1">IF(D652="Income",LOOKUP(E652,Introduction!$A$11:$A$18,Introduction!$C$11:$C$18),IF(D652="Expense",LOOKUP(E652,Introduction!$D$11:$D$30,Introduction!$F$11:$F$30),"_"))</f>
        <v>_</v>
      </c>
      <c r="G652" s="88"/>
      <c r="H652" s="92"/>
      <c r="I652" s="85">
        <f t="shared" si="41"/>
        <v>0</v>
      </c>
      <c r="J652" s="93"/>
      <c r="K652" s="85">
        <f t="shared" si="42"/>
        <v>0</v>
      </c>
      <c r="L652" s="68"/>
      <c r="M652" s="68"/>
      <c r="P652" s="89" t="str">
        <f t="shared" si="43"/>
        <v xml:space="preserve">  1 1900 </v>
      </c>
    </row>
    <row r="653" spans="1:16">
      <c r="A653" s="68"/>
      <c r="B653" s="87"/>
      <c r="C653" s="88"/>
      <c r="D653" s="88"/>
      <c r="E653" s="90"/>
      <c r="F653" s="84" t="str">
        <f ca="1">IF(D653="Income",LOOKUP(E653,Introduction!$A$11:$A$18,Introduction!$C$11:$C$18),IF(D653="Expense",LOOKUP(E653,Introduction!$D$11:$D$30,Introduction!$F$11:$F$30),"_"))</f>
        <v>_</v>
      </c>
      <c r="G653" s="88"/>
      <c r="H653" s="92"/>
      <c r="I653" s="85">
        <f t="shared" si="41"/>
        <v>0</v>
      </c>
      <c r="J653" s="93"/>
      <c r="K653" s="85">
        <f t="shared" si="42"/>
        <v>0</v>
      </c>
      <c r="L653" s="68"/>
      <c r="M653" s="68"/>
      <c r="P653" s="89" t="str">
        <f t="shared" si="43"/>
        <v xml:space="preserve">  1 1900 </v>
      </c>
    </row>
    <row r="654" spans="1:16">
      <c r="A654" s="68"/>
      <c r="B654" s="87"/>
      <c r="C654" s="88"/>
      <c r="D654" s="88"/>
      <c r="E654" s="90"/>
      <c r="F654" s="84" t="str">
        <f ca="1">IF(D654="Income",LOOKUP(E654,Introduction!$A$11:$A$18,Introduction!$C$11:$C$18),IF(D654="Expense",LOOKUP(E654,Introduction!$D$11:$D$30,Introduction!$F$11:$F$30),"_"))</f>
        <v>_</v>
      </c>
      <c r="G654" s="88"/>
      <c r="H654" s="92"/>
      <c r="I654" s="85">
        <f t="shared" si="41"/>
        <v>0</v>
      </c>
      <c r="J654" s="93"/>
      <c r="K654" s="85">
        <f t="shared" si="42"/>
        <v>0</v>
      </c>
      <c r="L654" s="68"/>
      <c r="M654" s="68"/>
      <c r="P654" s="89" t="str">
        <f t="shared" si="43"/>
        <v xml:space="preserve">  1 1900 </v>
      </c>
    </row>
    <row r="655" spans="1:16">
      <c r="A655" s="68"/>
      <c r="B655" s="87"/>
      <c r="C655" s="88"/>
      <c r="D655" s="88"/>
      <c r="E655" s="90"/>
      <c r="F655" s="84" t="str">
        <f ca="1">IF(D655="Income",LOOKUP(E655,Introduction!$A$11:$A$18,Introduction!$C$11:$C$18),IF(D655="Expense",LOOKUP(E655,Introduction!$D$11:$D$30,Introduction!$F$11:$F$30),"_"))</f>
        <v>_</v>
      </c>
      <c r="G655" s="88"/>
      <c r="H655" s="92"/>
      <c r="I655" s="85">
        <f t="shared" si="41"/>
        <v>0</v>
      </c>
      <c r="J655" s="93"/>
      <c r="K655" s="85">
        <f t="shared" si="42"/>
        <v>0</v>
      </c>
      <c r="L655" s="68"/>
      <c r="M655" s="68"/>
      <c r="P655" s="89" t="str">
        <f t="shared" si="43"/>
        <v xml:space="preserve">  1 1900 </v>
      </c>
    </row>
    <row r="656" spans="1:16">
      <c r="A656" s="68"/>
      <c r="B656" s="87"/>
      <c r="C656" s="88"/>
      <c r="D656" s="88"/>
      <c r="E656" s="90"/>
      <c r="F656" s="84" t="str">
        <f ca="1">IF(D656="Income",LOOKUP(E656,Introduction!$A$11:$A$18,Introduction!$C$11:$C$18),IF(D656="Expense",LOOKUP(E656,Introduction!$D$11:$D$30,Introduction!$F$11:$F$30),"_"))</f>
        <v>_</v>
      </c>
      <c r="G656" s="88"/>
      <c r="H656" s="92"/>
      <c r="I656" s="85">
        <f t="shared" si="41"/>
        <v>0</v>
      </c>
      <c r="J656" s="93"/>
      <c r="K656" s="85">
        <f t="shared" si="42"/>
        <v>0</v>
      </c>
      <c r="L656" s="68"/>
      <c r="M656" s="68"/>
      <c r="P656" s="89" t="str">
        <f t="shared" si="43"/>
        <v xml:space="preserve">  1 1900 </v>
      </c>
    </row>
    <row r="657" spans="1:16">
      <c r="A657" s="68"/>
      <c r="B657" s="87"/>
      <c r="C657" s="88"/>
      <c r="D657" s="88"/>
      <c r="E657" s="90"/>
      <c r="F657" s="84" t="str">
        <f ca="1">IF(D657="Income",LOOKUP(E657,Introduction!$A$11:$A$18,Introduction!$C$11:$C$18),IF(D657="Expense",LOOKUP(E657,Introduction!$D$11:$D$30,Introduction!$F$11:$F$30),"_"))</f>
        <v>_</v>
      </c>
      <c r="G657" s="88"/>
      <c r="H657" s="92"/>
      <c r="I657" s="85">
        <f t="shared" ref="I657:I720" si="44">+I656+H657</f>
        <v>0</v>
      </c>
      <c r="J657" s="93"/>
      <c r="K657" s="85">
        <f t="shared" ref="K657:K720" si="45">IF(J657=1,K656+H657,++K656)</f>
        <v>0</v>
      </c>
      <c r="L657" s="68"/>
      <c r="M657" s="68"/>
      <c r="P657" s="89" t="str">
        <f t="shared" si="43"/>
        <v xml:space="preserve">  1 1900 </v>
      </c>
    </row>
    <row r="658" spans="1:16">
      <c r="A658" s="68"/>
      <c r="B658" s="87"/>
      <c r="C658" s="88"/>
      <c r="D658" s="88"/>
      <c r="E658" s="90"/>
      <c r="F658" s="84" t="str">
        <f ca="1">IF(D658="Income",LOOKUP(E658,Introduction!$A$11:$A$18,Introduction!$C$11:$C$18),IF(D658="Expense",LOOKUP(E658,Introduction!$D$11:$D$30,Introduction!$F$11:$F$30),"_"))</f>
        <v>_</v>
      </c>
      <c r="G658" s="88"/>
      <c r="H658" s="92"/>
      <c r="I658" s="85">
        <f t="shared" si="44"/>
        <v>0</v>
      </c>
      <c r="J658" s="93"/>
      <c r="K658" s="85">
        <f t="shared" si="45"/>
        <v>0</v>
      </c>
      <c r="L658" s="68"/>
      <c r="M658" s="68"/>
      <c r="P658" s="89" t="str">
        <f t="shared" si="43"/>
        <v xml:space="preserve">  1 1900 </v>
      </c>
    </row>
    <row r="659" spans="1:16">
      <c r="A659" s="68"/>
      <c r="B659" s="87"/>
      <c r="C659" s="88"/>
      <c r="D659" s="88"/>
      <c r="E659" s="90"/>
      <c r="F659" s="84" t="str">
        <f ca="1">IF(D659="Income",LOOKUP(E659,Introduction!$A$11:$A$18,Introduction!$C$11:$C$18),IF(D659="Expense",LOOKUP(E659,Introduction!$D$11:$D$30,Introduction!$F$11:$F$30),"_"))</f>
        <v>_</v>
      </c>
      <c r="G659" s="88"/>
      <c r="H659" s="92"/>
      <c r="I659" s="85">
        <f t="shared" si="44"/>
        <v>0</v>
      </c>
      <c r="J659" s="93"/>
      <c r="K659" s="85">
        <f t="shared" si="45"/>
        <v>0</v>
      </c>
      <c r="L659" s="68"/>
      <c r="M659" s="68"/>
      <c r="P659" s="89" t="str">
        <f t="shared" si="43"/>
        <v xml:space="preserve">  1 1900 </v>
      </c>
    </row>
    <row r="660" spans="1:16">
      <c r="A660" s="68"/>
      <c r="B660" s="87"/>
      <c r="C660" s="88"/>
      <c r="D660" s="88"/>
      <c r="E660" s="90"/>
      <c r="F660" s="84" t="str">
        <f ca="1">IF(D660="Income",LOOKUP(E660,Introduction!$A$11:$A$18,Introduction!$C$11:$C$18),IF(D660="Expense",LOOKUP(E660,Introduction!$D$11:$D$30,Introduction!$F$11:$F$30),"_"))</f>
        <v>_</v>
      </c>
      <c r="G660" s="88"/>
      <c r="H660" s="92"/>
      <c r="I660" s="85">
        <f t="shared" si="44"/>
        <v>0</v>
      </c>
      <c r="J660" s="93"/>
      <c r="K660" s="85">
        <f t="shared" si="45"/>
        <v>0</v>
      </c>
      <c r="L660" s="68"/>
      <c r="M660" s="68"/>
      <c r="P660" s="89" t="str">
        <f t="shared" si="43"/>
        <v xml:space="preserve">  1 1900 </v>
      </c>
    </row>
    <row r="661" spans="1:16">
      <c r="A661" s="68"/>
      <c r="B661" s="87"/>
      <c r="C661" s="88"/>
      <c r="D661" s="88"/>
      <c r="E661" s="90"/>
      <c r="F661" s="84" t="str">
        <f ca="1">IF(D661="Income",LOOKUP(E661,Introduction!$A$11:$A$18,Introduction!$C$11:$C$18),IF(D661="Expense",LOOKUP(E661,Introduction!$D$11:$D$30,Introduction!$F$11:$F$30),"_"))</f>
        <v>_</v>
      </c>
      <c r="G661" s="88"/>
      <c r="H661" s="92"/>
      <c r="I661" s="85">
        <f t="shared" si="44"/>
        <v>0</v>
      </c>
      <c r="J661" s="93"/>
      <c r="K661" s="85">
        <f t="shared" si="45"/>
        <v>0</v>
      </c>
      <c r="L661" s="68"/>
      <c r="M661" s="68"/>
      <c r="P661" s="89" t="str">
        <f t="shared" si="43"/>
        <v xml:space="preserve">  1 1900 </v>
      </c>
    </row>
    <row r="662" spans="1:16">
      <c r="A662" s="68"/>
      <c r="B662" s="87"/>
      <c r="C662" s="88"/>
      <c r="D662" s="88"/>
      <c r="E662" s="90"/>
      <c r="F662" s="84" t="str">
        <f ca="1">IF(D662="Income",LOOKUP(E662,Introduction!$A$11:$A$18,Introduction!$C$11:$C$18),IF(D662="Expense",LOOKUP(E662,Introduction!$D$11:$D$30,Introduction!$F$11:$F$30),"_"))</f>
        <v>_</v>
      </c>
      <c r="G662" s="88"/>
      <c r="H662" s="92"/>
      <c r="I662" s="85">
        <f t="shared" si="44"/>
        <v>0</v>
      </c>
      <c r="J662" s="93"/>
      <c r="K662" s="85">
        <f t="shared" si="45"/>
        <v>0</v>
      </c>
      <c r="L662" s="68"/>
      <c r="M662" s="68"/>
      <c r="P662" s="89" t="str">
        <f t="shared" si="43"/>
        <v xml:space="preserve">  1 1900 </v>
      </c>
    </row>
    <row r="663" spans="1:16">
      <c r="A663" s="68"/>
      <c r="B663" s="87"/>
      <c r="C663" s="88"/>
      <c r="D663" s="88"/>
      <c r="E663" s="90"/>
      <c r="F663" s="84" t="str">
        <f ca="1">IF(D663="Income",LOOKUP(E663,Introduction!$A$11:$A$18,Introduction!$C$11:$C$18),IF(D663="Expense",LOOKUP(E663,Introduction!$D$11:$D$30,Introduction!$F$11:$F$30),"_"))</f>
        <v>_</v>
      </c>
      <c r="G663" s="88"/>
      <c r="H663" s="92"/>
      <c r="I663" s="85">
        <f t="shared" si="44"/>
        <v>0</v>
      </c>
      <c r="J663" s="93"/>
      <c r="K663" s="85">
        <f t="shared" si="45"/>
        <v>0</v>
      </c>
      <c r="L663" s="68"/>
      <c r="M663" s="68"/>
      <c r="P663" s="89" t="str">
        <f t="shared" si="43"/>
        <v xml:space="preserve">  1 1900 </v>
      </c>
    </row>
    <row r="664" spans="1:16">
      <c r="A664" s="68"/>
      <c r="B664" s="87"/>
      <c r="C664" s="88"/>
      <c r="D664" s="88"/>
      <c r="E664" s="90"/>
      <c r="F664" s="84" t="str">
        <f ca="1">IF(D664="Income",LOOKUP(E664,Introduction!$A$11:$A$18,Introduction!$C$11:$C$18),IF(D664="Expense",LOOKUP(E664,Introduction!$D$11:$D$30,Introduction!$F$11:$F$30),"_"))</f>
        <v>_</v>
      </c>
      <c r="G664" s="88"/>
      <c r="H664" s="92"/>
      <c r="I664" s="85">
        <f t="shared" si="44"/>
        <v>0</v>
      </c>
      <c r="J664" s="93"/>
      <c r="K664" s="85">
        <f t="shared" si="45"/>
        <v>0</v>
      </c>
      <c r="L664" s="68"/>
      <c r="M664" s="68"/>
      <c r="P664" s="89" t="str">
        <f t="shared" si="43"/>
        <v xml:space="preserve">  1 1900 </v>
      </c>
    </row>
    <row r="665" spans="1:16">
      <c r="A665" s="68"/>
      <c r="B665" s="87"/>
      <c r="C665" s="88"/>
      <c r="D665" s="88"/>
      <c r="E665" s="90"/>
      <c r="F665" s="84" t="str">
        <f ca="1">IF(D665="Income",LOOKUP(E665,Introduction!$A$11:$A$18,Introduction!$C$11:$C$18),IF(D665="Expense",LOOKUP(E665,Introduction!$D$11:$D$30,Introduction!$F$11:$F$30),"_"))</f>
        <v>_</v>
      </c>
      <c r="G665" s="88"/>
      <c r="H665" s="92"/>
      <c r="I665" s="85">
        <f t="shared" si="44"/>
        <v>0</v>
      </c>
      <c r="J665" s="93"/>
      <c r="K665" s="85">
        <f t="shared" si="45"/>
        <v>0</v>
      </c>
      <c r="L665" s="68"/>
      <c r="M665" s="68"/>
      <c r="P665" s="89" t="str">
        <f t="shared" si="43"/>
        <v xml:space="preserve">  1 1900 </v>
      </c>
    </row>
    <row r="666" spans="1:16">
      <c r="A666" s="68"/>
      <c r="B666" s="87"/>
      <c r="C666" s="88"/>
      <c r="D666" s="88"/>
      <c r="E666" s="90"/>
      <c r="F666" s="84" t="str">
        <f ca="1">IF(D666="Income",LOOKUP(E666,Introduction!$A$11:$A$18,Introduction!$C$11:$C$18),IF(D666="Expense",LOOKUP(E666,Introduction!$D$11:$D$30,Introduction!$F$11:$F$30),"_"))</f>
        <v>_</v>
      </c>
      <c r="G666" s="88"/>
      <c r="H666" s="92"/>
      <c r="I666" s="85">
        <f t="shared" si="44"/>
        <v>0</v>
      </c>
      <c r="J666" s="93"/>
      <c r="K666" s="85">
        <f t="shared" si="45"/>
        <v>0</v>
      </c>
      <c r="L666" s="68"/>
      <c r="M666" s="68"/>
      <c r="P666" s="89" t="str">
        <f t="shared" si="43"/>
        <v xml:space="preserve">  1 1900 </v>
      </c>
    </row>
    <row r="667" spans="1:16">
      <c r="A667" s="68"/>
      <c r="B667" s="87"/>
      <c r="C667" s="88"/>
      <c r="D667" s="88"/>
      <c r="E667" s="90"/>
      <c r="F667" s="84" t="str">
        <f ca="1">IF(D667="Income",LOOKUP(E667,Introduction!$A$11:$A$18,Introduction!$C$11:$C$18),IF(D667="Expense",LOOKUP(E667,Introduction!$D$11:$D$30,Introduction!$F$11:$F$30),"_"))</f>
        <v>_</v>
      </c>
      <c r="G667" s="88"/>
      <c r="H667" s="92"/>
      <c r="I667" s="85">
        <f t="shared" si="44"/>
        <v>0</v>
      </c>
      <c r="J667" s="93"/>
      <c r="K667" s="85">
        <f t="shared" si="45"/>
        <v>0</v>
      </c>
      <c r="L667" s="68"/>
      <c r="M667" s="68"/>
      <c r="P667" s="89" t="str">
        <f t="shared" si="43"/>
        <v xml:space="preserve">  1 1900 </v>
      </c>
    </row>
    <row r="668" spans="1:16">
      <c r="A668" s="68"/>
      <c r="B668" s="87"/>
      <c r="C668" s="88"/>
      <c r="D668" s="88"/>
      <c r="E668" s="90"/>
      <c r="F668" s="84" t="str">
        <f ca="1">IF(D668="Income",LOOKUP(E668,Introduction!$A$11:$A$18,Introduction!$C$11:$C$18),IF(D668="Expense",LOOKUP(E668,Introduction!$D$11:$D$30,Introduction!$F$11:$F$30),"_"))</f>
        <v>_</v>
      </c>
      <c r="G668" s="88"/>
      <c r="H668" s="92"/>
      <c r="I668" s="85">
        <f t="shared" si="44"/>
        <v>0</v>
      </c>
      <c r="J668" s="93"/>
      <c r="K668" s="85">
        <f t="shared" si="45"/>
        <v>0</v>
      </c>
      <c r="L668" s="68"/>
      <c r="M668" s="68"/>
      <c r="P668" s="89" t="str">
        <f t="shared" si="43"/>
        <v xml:space="preserve">  1 1900 </v>
      </c>
    </row>
    <row r="669" spans="1:16">
      <c r="A669" s="68"/>
      <c r="B669" s="87"/>
      <c r="C669" s="88"/>
      <c r="D669" s="88"/>
      <c r="E669" s="90"/>
      <c r="F669" s="84" t="str">
        <f ca="1">IF(D669="Income",LOOKUP(E669,Introduction!$A$11:$A$18,Introduction!$C$11:$C$18),IF(D669="Expense",LOOKUP(E669,Introduction!$D$11:$D$30,Introduction!$F$11:$F$30),"_"))</f>
        <v>_</v>
      </c>
      <c r="G669" s="88"/>
      <c r="H669" s="92"/>
      <c r="I669" s="85">
        <f t="shared" si="44"/>
        <v>0</v>
      </c>
      <c r="J669" s="93"/>
      <c r="K669" s="85">
        <f t="shared" si="45"/>
        <v>0</v>
      </c>
      <c r="L669" s="68"/>
      <c r="M669" s="68"/>
      <c r="P669" s="89" t="str">
        <f t="shared" si="43"/>
        <v xml:space="preserve">  1 1900 </v>
      </c>
    </row>
    <row r="670" spans="1:16">
      <c r="A670" s="68"/>
      <c r="B670" s="87"/>
      <c r="C670" s="88"/>
      <c r="D670" s="88"/>
      <c r="E670" s="90"/>
      <c r="F670" s="84" t="str">
        <f ca="1">IF(D670="Income",LOOKUP(E670,Introduction!$A$11:$A$18,Introduction!$C$11:$C$18),IF(D670="Expense",LOOKUP(E670,Introduction!$D$11:$D$30,Introduction!$F$11:$F$30),"_"))</f>
        <v>_</v>
      </c>
      <c r="G670" s="88"/>
      <c r="H670" s="92"/>
      <c r="I670" s="85">
        <f t="shared" si="44"/>
        <v>0</v>
      </c>
      <c r="J670" s="93"/>
      <c r="K670" s="85">
        <f t="shared" si="45"/>
        <v>0</v>
      </c>
      <c r="L670" s="68"/>
      <c r="M670" s="68"/>
      <c r="P670" s="89" t="str">
        <f t="shared" si="43"/>
        <v xml:space="preserve">  1 1900 </v>
      </c>
    </row>
    <row r="671" spans="1:16">
      <c r="A671" s="68"/>
      <c r="B671" s="87"/>
      <c r="C671" s="88"/>
      <c r="D671" s="88"/>
      <c r="E671" s="90"/>
      <c r="F671" s="84" t="str">
        <f ca="1">IF(D671="Income",LOOKUP(E671,Introduction!$A$11:$A$18,Introduction!$C$11:$C$18),IF(D671="Expense",LOOKUP(E671,Introduction!$D$11:$D$30,Introduction!$F$11:$F$30),"_"))</f>
        <v>_</v>
      </c>
      <c r="G671" s="88"/>
      <c r="H671" s="92"/>
      <c r="I671" s="85">
        <f t="shared" si="44"/>
        <v>0</v>
      </c>
      <c r="J671" s="93"/>
      <c r="K671" s="85">
        <f t="shared" si="45"/>
        <v>0</v>
      </c>
      <c r="L671" s="68"/>
      <c r="M671" s="68"/>
      <c r="P671" s="89" t="str">
        <f t="shared" si="43"/>
        <v xml:space="preserve">  1 1900 </v>
      </c>
    </row>
    <row r="672" spans="1:16">
      <c r="A672" s="68"/>
      <c r="B672" s="87"/>
      <c r="C672" s="88"/>
      <c r="D672" s="88"/>
      <c r="E672" s="90"/>
      <c r="F672" s="84" t="str">
        <f ca="1">IF(D672="Income",LOOKUP(E672,Introduction!$A$11:$A$18,Introduction!$C$11:$C$18),IF(D672="Expense",LOOKUP(E672,Introduction!$D$11:$D$30,Introduction!$F$11:$F$30),"_"))</f>
        <v>_</v>
      </c>
      <c r="G672" s="88"/>
      <c r="H672" s="92"/>
      <c r="I672" s="85">
        <f t="shared" si="44"/>
        <v>0</v>
      </c>
      <c r="J672" s="93"/>
      <c r="K672" s="85">
        <f t="shared" si="45"/>
        <v>0</v>
      </c>
      <c r="L672" s="68"/>
      <c r="M672" s="68"/>
      <c r="P672" s="89" t="str">
        <f t="shared" si="43"/>
        <v xml:space="preserve">  1 1900 </v>
      </c>
    </row>
    <row r="673" spans="1:16">
      <c r="A673" s="68"/>
      <c r="B673" s="87"/>
      <c r="C673" s="88"/>
      <c r="D673" s="88"/>
      <c r="E673" s="90"/>
      <c r="F673" s="84" t="str">
        <f ca="1">IF(D673="Income",LOOKUP(E673,Introduction!$A$11:$A$18,Introduction!$C$11:$C$18),IF(D673="Expense",LOOKUP(E673,Introduction!$D$11:$D$30,Introduction!$F$11:$F$30),"_"))</f>
        <v>_</v>
      </c>
      <c r="G673" s="88"/>
      <c r="H673" s="92"/>
      <c r="I673" s="85">
        <f t="shared" si="44"/>
        <v>0</v>
      </c>
      <c r="J673" s="93"/>
      <c r="K673" s="85">
        <f t="shared" si="45"/>
        <v>0</v>
      </c>
      <c r="L673" s="68"/>
      <c r="M673" s="68"/>
      <c r="P673" s="89" t="str">
        <f t="shared" si="43"/>
        <v xml:space="preserve">  1 1900 </v>
      </c>
    </row>
    <row r="674" spans="1:16">
      <c r="A674" s="68"/>
      <c r="B674" s="87"/>
      <c r="C674" s="88"/>
      <c r="D674" s="88"/>
      <c r="E674" s="90"/>
      <c r="F674" s="84" t="str">
        <f ca="1">IF(D674="Income",LOOKUP(E674,Introduction!$A$11:$A$18,Introduction!$C$11:$C$18),IF(D674="Expense",LOOKUP(E674,Introduction!$D$11:$D$30,Introduction!$F$11:$F$30),"_"))</f>
        <v>_</v>
      </c>
      <c r="G674" s="88"/>
      <c r="H674" s="92"/>
      <c r="I674" s="85">
        <f t="shared" si="44"/>
        <v>0</v>
      </c>
      <c r="J674" s="93"/>
      <c r="K674" s="85">
        <f t="shared" si="45"/>
        <v>0</v>
      </c>
      <c r="L674" s="68"/>
      <c r="M674" s="68"/>
      <c r="P674" s="89" t="str">
        <f t="shared" si="43"/>
        <v xml:space="preserve">  1 1900 </v>
      </c>
    </row>
    <row r="675" spans="1:16">
      <c r="A675" s="68"/>
      <c r="B675" s="87"/>
      <c r="C675" s="88"/>
      <c r="D675" s="88"/>
      <c r="E675" s="90"/>
      <c r="F675" s="84" t="str">
        <f ca="1">IF(D675="Income",LOOKUP(E675,Introduction!$A$11:$A$18,Introduction!$C$11:$C$18),IF(D675="Expense",LOOKUP(E675,Introduction!$D$11:$D$30,Introduction!$F$11:$F$30),"_"))</f>
        <v>_</v>
      </c>
      <c r="G675" s="88"/>
      <c r="H675" s="92"/>
      <c r="I675" s="85">
        <f t="shared" si="44"/>
        <v>0</v>
      </c>
      <c r="J675" s="93"/>
      <c r="K675" s="85">
        <f t="shared" si="45"/>
        <v>0</v>
      </c>
      <c r="L675" s="68"/>
      <c r="M675" s="68"/>
      <c r="P675" s="89" t="str">
        <f t="shared" si="43"/>
        <v xml:space="preserve">  1 1900 </v>
      </c>
    </row>
    <row r="676" spans="1:16">
      <c r="A676" s="68"/>
      <c r="B676" s="87"/>
      <c r="C676" s="88"/>
      <c r="D676" s="88"/>
      <c r="E676" s="90"/>
      <c r="F676" s="84" t="str">
        <f ca="1">IF(D676="Income",LOOKUP(E676,Introduction!$A$11:$A$18,Introduction!$C$11:$C$18),IF(D676="Expense",LOOKUP(E676,Introduction!$D$11:$D$30,Introduction!$F$11:$F$30),"_"))</f>
        <v>_</v>
      </c>
      <c r="G676" s="88"/>
      <c r="H676" s="92"/>
      <c r="I676" s="85">
        <f t="shared" si="44"/>
        <v>0</v>
      </c>
      <c r="J676" s="93"/>
      <c r="K676" s="85">
        <f t="shared" si="45"/>
        <v>0</v>
      </c>
      <c r="L676" s="68"/>
      <c r="M676" s="68"/>
      <c r="P676" s="89" t="str">
        <f t="shared" si="43"/>
        <v xml:space="preserve">  1 1900 </v>
      </c>
    </row>
    <row r="677" spans="1:16">
      <c r="A677" s="68"/>
      <c r="B677" s="87"/>
      <c r="C677" s="88"/>
      <c r="D677" s="88"/>
      <c r="E677" s="90"/>
      <c r="F677" s="84" t="str">
        <f ca="1">IF(D677="Income",LOOKUP(E677,Introduction!$A$11:$A$18,Introduction!$C$11:$C$18),IF(D677="Expense",LOOKUP(E677,Introduction!$D$11:$D$30,Introduction!$F$11:$F$30),"_"))</f>
        <v>_</v>
      </c>
      <c r="G677" s="88"/>
      <c r="H677" s="92"/>
      <c r="I677" s="85">
        <f t="shared" si="44"/>
        <v>0</v>
      </c>
      <c r="J677" s="93"/>
      <c r="K677" s="85">
        <f t="shared" si="45"/>
        <v>0</v>
      </c>
      <c r="L677" s="68"/>
      <c r="M677" s="68"/>
      <c r="P677" s="89" t="str">
        <f t="shared" si="43"/>
        <v xml:space="preserve">  1 1900 </v>
      </c>
    </row>
    <row r="678" spans="1:16">
      <c r="A678" s="68"/>
      <c r="B678" s="87"/>
      <c r="C678" s="88"/>
      <c r="D678" s="88"/>
      <c r="E678" s="90"/>
      <c r="F678" s="84" t="str">
        <f ca="1">IF(D678="Income",LOOKUP(E678,Introduction!$A$11:$A$18,Introduction!$C$11:$C$18),IF(D678="Expense",LOOKUP(E678,Introduction!$D$11:$D$30,Introduction!$F$11:$F$30),"_"))</f>
        <v>_</v>
      </c>
      <c r="G678" s="88"/>
      <c r="H678" s="92"/>
      <c r="I678" s="85">
        <f t="shared" si="44"/>
        <v>0</v>
      </c>
      <c r="J678" s="93"/>
      <c r="K678" s="85">
        <f t="shared" si="45"/>
        <v>0</v>
      </c>
      <c r="L678" s="68"/>
      <c r="M678" s="68"/>
      <c r="P678" s="89" t="str">
        <f t="shared" si="43"/>
        <v xml:space="preserve">  1 1900 </v>
      </c>
    </row>
    <row r="679" spans="1:16">
      <c r="A679" s="68"/>
      <c r="B679" s="87"/>
      <c r="C679" s="88"/>
      <c r="D679" s="88"/>
      <c r="E679" s="90"/>
      <c r="F679" s="84" t="str">
        <f ca="1">IF(D679="Income",LOOKUP(E679,Introduction!$A$11:$A$18,Introduction!$C$11:$C$18),IF(D679="Expense",LOOKUP(E679,Introduction!$D$11:$D$30,Introduction!$F$11:$F$30),"_"))</f>
        <v>_</v>
      </c>
      <c r="G679" s="88"/>
      <c r="H679" s="92"/>
      <c r="I679" s="85">
        <f t="shared" si="44"/>
        <v>0</v>
      </c>
      <c r="J679" s="93"/>
      <c r="K679" s="85">
        <f t="shared" si="45"/>
        <v>0</v>
      </c>
      <c r="L679" s="68"/>
      <c r="M679" s="68"/>
      <c r="P679" s="89" t="str">
        <f t="shared" si="43"/>
        <v xml:space="preserve">  1 1900 </v>
      </c>
    </row>
    <row r="680" spans="1:16">
      <c r="A680" s="68"/>
      <c r="B680" s="87"/>
      <c r="C680" s="88"/>
      <c r="D680" s="88"/>
      <c r="E680" s="90"/>
      <c r="F680" s="84" t="str">
        <f ca="1">IF(D680="Income",LOOKUP(E680,Introduction!$A$11:$A$18,Introduction!$C$11:$C$18),IF(D680="Expense",LOOKUP(E680,Introduction!$D$11:$D$30,Introduction!$F$11:$F$30),"_"))</f>
        <v>_</v>
      </c>
      <c r="G680" s="88"/>
      <c r="H680" s="92"/>
      <c r="I680" s="85">
        <f t="shared" si="44"/>
        <v>0</v>
      </c>
      <c r="J680" s="93"/>
      <c r="K680" s="85">
        <f t="shared" si="45"/>
        <v>0</v>
      </c>
      <c r="L680" s="68"/>
      <c r="M680" s="68"/>
      <c r="P680" s="89" t="str">
        <f t="shared" si="43"/>
        <v xml:space="preserve">  1 1900 </v>
      </c>
    </row>
    <row r="681" spans="1:16">
      <c r="A681" s="68"/>
      <c r="B681" s="87"/>
      <c r="C681" s="88"/>
      <c r="D681" s="88"/>
      <c r="E681" s="90"/>
      <c r="F681" s="84" t="str">
        <f ca="1">IF(D681="Income",LOOKUP(E681,Introduction!$A$11:$A$18,Introduction!$C$11:$C$18),IF(D681="Expense",LOOKUP(E681,Introduction!$D$11:$D$30,Introduction!$F$11:$F$30),"_"))</f>
        <v>_</v>
      </c>
      <c r="G681" s="88"/>
      <c r="H681" s="92"/>
      <c r="I681" s="85">
        <f t="shared" si="44"/>
        <v>0</v>
      </c>
      <c r="J681" s="93"/>
      <c r="K681" s="85">
        <f t="shared" si="45"/>
        <v>0</v>
      </c>
      <c r="L681" s="68"/>
      <c r="M681" s="68"/>
      <c r="P681" s="89" t="str">
        <f t="shared" si="43"/>
        <v xml:space="preserve">  1 1900 </v>
      </c>
    </row>
    <row r="682" spans="1:16">
      <c r="A682" s="68"/>
      <c r="B682" s="87"/>
      <c r="C682" s="88"/>
      <c r="D682" s="88"/>
      <c r="E682" s="90"/>
      <c r="F682" s="84" t="str">
        <f ca="1">IF(D682="Income",LOOKUP(E682,Introduction!$A$11:$A$18,Introduction!$C$11:$C$18),IF(D682="Expense",LOOKUP(E682,Introduction!$D$11:$D$30,Introduction!$F$11:$F$30),"_"))</f>
        <v>_</v>
      </c>
      <c r="G682" s="88"/>
      <c r="H682" s="92"/>
      <c r="I682" s="85">
        <f t="shared" si="44"/>
        <v>0</v>
      </c>
      <c r="J682" s="93"/>
      <c r="K682" s="85">
        <f t="shared" si="45"/>
        <v>0</v>
      </c>
      <c r="L682" s="68"/>
      <c r="M682" s="68"/>
      <c r="P682" s="89" t="str">
        <f t="shared" si="43"/>
        <v xml:space="preserve">  1 1900 </v>
      </c>
    </row>
    <row r="683" spans="1:16">
      <c r="A683" s="68"/>
      <c r="B683" s="87"/>
      <c r="C683" s="88"/>
      <c r="D683" s="88"/>
      <c r="E683" s="90"/>
      <c r="F683" s="84" t="str">
        <f ca="1">IF(D683="Income",LOOKUP(E683,Introduction!$A$11:$A$18,Introduction!$C$11:$C$18),IF(D683="Expense",LOOKUP(E683,Introduction!$D$11:$D$30,Introduction!$F$11:$F$30),"_"))</f>
        <v>_</v>
      </c>
      <c r="G683" s="88"/>
      <c r="H683" s="92"/>
      <c r="I683" s="85">
        <f t="shared" si="44"/>
        <v>0</v>
      </c>
      <c r="J683" s="93"/>
      <c r="K683" s="85">
        <f t="shared" si="45"/>
        <v>0</v>
      </c>
      <c r="L683" s="68"/>
      <c r="M683" s="68"/>
      <c r="P683" s="89" t="str">
        <f t="shared" si="43"/>
        <v xml:space="preserve">  1 1900 </v>
      </c>
    </row>
    <row r="684" spans="1:16">
      <c r="A684" s="68"/>
      <c r="B684" s="87"/>
      <c r="C684" s="88"/>
      <c r="D684" s="88"/>
      <c r="E684" s="90"/>
      <c r="F684" s="84" t="str">
        <f ca="1">IF(D684="Income",LOOKUP(E684,Introduction!$A$11:$A$18,Introduction!$C$11:$C$18),IF(D684="Expense",LOOKUP(E684,Introduction!$D$11:$D$30,Introduction!$F$11:$F$30),"_"))</f>
        <v>_</v>
      </c>
      <c r="G684" s="88"/>
      <c r="H684" s="92"/>
      <c r="I684" s="85">
        <f t="shared" si="44"/>
        <v>0</v>
      </c>
      <c r="J684" s="93"/>
      <c r="K684" s="85">
        <f t="shared" si="45"/>
        <v>0</v>
      </c>
      <c r="L684" s="68"/>
      <c r="M684" s="68"/>
      <c r="P684" s="89" t="str">
        <f t="shared" si="43"/>
        <v xml:space="preserve">  1 1900 </v>
      </c>
    </row>
    <row r="685" spans="1:16">
      <c r="A685" s="68"/>
      <c r="B685" s="87"/>
      <c r="C685" s="88"/>
      <c r="D685" s="88"/>
      <c r="E685" s="90"/>
      <c r="F685" s="84" t="str">
        <f ca="1">IF(D685="Income",LOOKUP(E685,Introduction!$A$11:$A$18,Introduction!$C$11:$C$18),IF(D685="Expense",LOOKUP(E685,Introduction!$D$11:$D$30,Introduction!$F$11:$F$30),"_"))</f>
        <v>_</v>
      </c>
      <c r="G685" s="88"/>
      <c r="H685" s="92"/>
      <c r="I685" s="85">
        <f t="shared" si="44"/>
        <v>0</v>
      </c>
      <c r="J685" s="93"/>
      <c r="K685" s="85">
        <f t="shared" si="45"/>
        <v>0</v>
      </c>
      <c r="L685" s="68"/>
      <c r="M685" s="68"/>
      <c r="P685" s="89" t="str">
        <f t="shared" si="43"/>
        <v xml:space="preserve">  1 1900 </v>
      </c>
    </row>
    <row r="686" spans="1:16">
      <c r="A686" s="68"/>
      <c r="B686" s="87"/>
      <c r="C686" s="88"/>
      <c r="D686" s="88"/>
      <c r="E686" s="90"/>
      <c r="F686" s="84" t="str">
        <f ca="1">IF(D686="Income",LOOKUP(E686,Introduction!$A$11:$A$18,Introduction!$C$11:$C$18),IF(D686="Expense",LOOKUP(E686,Introduction!$D$11:$D$30,Introduction!$F$11:$F$30),"_"))</f>
        <v>_</v>
      </c>
      <c r="G686" s="88"/>
      <c r="H686" s="92"/>
      <c r="I686" s="85">
        <f t="shared" si="44"/>
        <v>0</v>
      </c>
      <c r="J686" s="93"/>
      <c r="K686" s="85">
        <f t="shared" si="45"/>
        <v>0</v>
      </c>
      <c r="L686" s="68"/>
      <c r="M686" s="68"/>
      <c r="P686" s="89" t="str">
        <f t="shared" si="43"/>
        <v xml:space="preserve">  1 1900 </v>
      </c>
    </row>
    <row r="687" spans="1:16">
      <c r="A687" s="68"/>
      <c r="B687" s="87"/>
      <c r="C687" s="88"/>
      <c r="D687" s="88"/>
      <c r="E687" s="90"/>
      <c r="F687" s="84" t="str">
        <f ca="1">IF(D687="Income",LOOKUP(E687,Introduction!$A$11:$A$18,Introduction!$C$11:$C$18),IF(D687="Expense",LOOKUP(E687,Introduction!$D$11:$D$30,Introduction!$F$11:$F$30),"_"))</f>
        <v>_</v>
      </c>
      <c r="G687" s="88"/>
      <c r="H687" s="92"/>
      <c r="I687" s="85">
        <f t="shared" si="44"/>
        <v>0</v>
      </c>
      <c r="J687" s="93"/>
      <c r="K687" s="85">
        <f t="shared" si="45"/>
        <v>0</v>
      </c>
      <c r="L687" s="68"/>
      <c r="M687" s="68"/>
      <c r="P687" s="89" t="str">
        <f t="shared" si="43"/>
        <v xml:space="preserve">  1 1900 </v>
      </c>
    </row>
    <row r="688" spans="1:16">
      <c r="A688" s="68"/>
      <c r="B688" s="87"/>
      <c r="C688" s="88"/>
      <c r="D688" s="88"/>
      <c r="E688" s="90"/>
      <c r="F688" s="84" t="str">
        <f ca="1">IF(D688="Income",LOOKUP(E688,Introduction!$A$11:$A$18,Introduction!$C$11:$C$18),IF(D688="Expense",LOOKUP(E688,Introduction!$D$11:$D$30,Introduction!$F$11:$F$30),"_"))</f>
        <v>_</v>
      </c>
      <c r="G688" s="88"/>
      <c r="H688" s="92"/>
      <c r="I688" s="85">
        <f t="shared" si="44"/>
        <v>0</v>
      </c>
      <c r="J688" s="93"/>
      <c r="K688" s="85">
        <f t="shared" si="45"/>
        <v>0</v>
      </c>
      <c r="L688" s="68"/>
      <c r="M688" s="68"/>
      <c r="P688" s="89" t="str">
        <f t="shared" si="43"/>
        <v xml:space="preserve">  1 1900 </v>
      </c>
    </row>
    <row r="689" spans="1:16">
      <c r="A689" s="68"/>
      <c r="B689" s="87"/>
      <c r="C689" s="88"/>
      <c r="D689" s="88"/>
      <c r="E689" s="90"/>
      <c r="F689" s="84" t="str">
        <f ca="1">IF(D689="Income",LOOKUP(E689,Introduction!$A$11:$A$18,Introduction!$C$11:$C$18),IF(D689="Expense",LOOKUP(E689,Introduction!$D$11:$D$30,Introduction!$F$11:$F$30),"_"))</f>
        <v>_</v>
      </c>
      <c r="G689" s="88"/>
      <c r="H689" s="92"/>
      <c r="I689" s="85">
        <f t="shared" si="44"/>
        <v>0</v>
      </c>
      <c r="J689" s="93"/>
      <c r="K689" s="85">
        <f t="shared" si="45"/>
        <v>0</v>
      </c>
      <c r="L689" s="68"/>
      <c r="M689" s="68"/>
      <c r="P689" s="89" t="str">
        <f t="shared" si="43"/>
        <v xml:space="preserve">  1 1900 </v>
      </c>
    </row>
    <row r="690" spans="1:16">
      <c r="A690" s="68"/>
      <c r="B690" s="87"/>
      <c r="C690" s="88"/>
      <c r="D690" s="88"/>
      <c r="E690" s="90"/>
      <c r="F690" s="84" t="str">
        <f ca="1">IF(D690="Income",LOOKUP(E690,Introduction!$A$11:$A$18,Introduction!$C$11:$C$18),IF(D690="Expense",LOOKUP(E690,Introduction!$D$11:$D$30,Introduction!$F$11:$F$30),"_"))</f>
        <v>_</v>
      </c>
      <c r="G690" s="88"/>
      <c r="H690" s="92"/>
      <c r="I690" s="85">
        <f t="shared" si="44"/>
        <v>0</v>
      </c>
      <c r="J690" s="93"/>
      <c r="K690" s="85">
        <f t="shared" si="45"/>
        <v>0</v>
      </c>
      <c r="L690" s="68"/>
      <c r="M690" s="68"/>
      <c r="P690" s="89" t="str">
        <f t="shared" si="43"/>
        <v xml:space="preserve">  1 1900 </v>
      </c>
    </row>
    <row r="691" spans="1:16">
      <c r="A691" s="68"/>
      <c r="B691" s="87"/>
      <c r="C691" s="88"/>
      <c r="D691" s="88"/>
      <c r="E691" s="90"/>
      <c r="F691" s="84" t="str">
        <f ca="1">IF(D691="Income",LOOKUP(E691,Introduction!$A$11:$A$18,Introduction!$C$11:$C$18),IF(D691="Expense",LOOKUP(E691,Introduction!$D$11:$D$30,Introduction!$F$11:$F$30),"_"))</f>
        <v>_</v>
      </c>
      <c r="G691" s="88"/>
      <c r="H691" s="92"/>
      <c r="I691" s="85">
        <f t="shared" si="44"/>
        <v>0</v>
      </c>
      <c r="J691" s="93"/>
      <c r="K691" s="85">
        <f t="shared" si="45"/>
        <v>0</v>
      </c>
      <c r="L691" s="68"/>
      <c r="M691" s="68"/>
      <c r="P691" s="89" t="str">
        <f t="shared" si="43"/>
        <v xml:space="preserve">  1 1900 </v>
      </c>
    </row>
    <row r="692" spans="1:16">
      <c r="A692" s="68"/>
      <c r="B692" s="87"/>
      <c r="C692" s="88"/>
      <c r="D692" s="88"/>
      <c r="E692" s="90"/>
      <c r="F692" s="84" t="str">
        <f ca="1">IF(D692="Income",LOOKUP(E692,Introduction!$A$11:$A$18,Introduction!$C$11:$C$18),IF(D692="Expense",LOOKUP(E692,Introduction!$D$11:$D$30,Introduction!$F$11:$F$30),"_"))</f>
        <v>_</v>
      </c>
      <c r="G692" s="88"/>
      <c r="H692" s="92"/>
      <c r="I692" s="85">
        <f t="shared" si="44"/>
        <v>0</v>
      </c>
      <c r="J692" s="93"/>
      <c r="K692" s="85">
        <f t="shared" si="45"/>
        <v>0</v>
      </c>
      <c r="L692" s="68"/>
      <c r="M692" s="68"/>
      <c r="P692" s="89" t="str">
        <f t="shared" si="43"/>
        <v xml:space="preserve">  1 1900 </v>
      </c>
    </row>
    <row r="693" spans="1:16">
      <c r="A693" s="68"/>
      <c r="B693" s="87"/>
      <c r="C693" s="88"/>
      <c r="D693" s="88"/>
      <c r="E693" s="90"/>
      <c r="F693" s="84" t="str">
        <f ca="1">IF(D693="Income",LOOKUP(E693,Introduction!$A$11:$A$18,Introduction!$C$11:$C$18),IF(D693="Expense",LOOKUP(E693,Introduction!$D$11:$D$30,Introduction!$F$11:$F$30),"_"))</f>
        <v>_</v>
      </c>
      <c r="G693" s="88"/>
      <c r="H693" s="92"/>
      <c r="I693" s="85">
        <f t="shared" si="44"/>
        <v>0</v>
      </c>
      <c r="J693" s="93"/>
      <c r="K693" s="85">
        <f t="shared" si="45"/>
        <v>0</v>
      </c>
      <c r="L693" s="68"/>
      <c r="M693" s="68"/>
      <c r="P693" s="89" t="str">
        <f t="shared" si="43"/>
        <v xml:space="preserve">  1 1900 </v>
      </c>
    </row>
    <row r="694" spans="1:16">
      <c r="A694" s="68"/>
      <c r="B694" s="87"/>
      <c r="C694" s="88"/>
      <c r="D694" s="88"/>
      <c r="E694" s="90"/>
      <c r="F694" s="84" t="str">
        <f ca="1">IF(D694="Income",LOOKUP(E694,Introduction!$A$11:$A$18,Introduction!$C$11:$C$18),IF(D694="Expense",LOOKUP(E694,Introduction!$D$11:$D$30,Introduction!$F$11:$F$30),"_"))</f>
        <v>_</v>
      </c>
      <c r="G694" s="88"/>
      <c r="H694" s="92"/>
      <c r="I694" s="85">
        <f t="shared" si="44"/>
        <v>0</v>
      </c>
      <c r="J694" s="93"/>
      <c r="K694" s="85">
        <f t="shared" si="45"/>
        <v>0</v>
      </c>
      <c r="L694" s="68"/>
      <c r="M694" s="68"/>
      <c r="P694" s="89" t="str">
        <f t="shared" si="43"/>
        <v xml:space="preserve">  1 1900 </v>
      </c>
    </row>
    <row r="695" spans="1:16">
      <c r="A695" s="68"/>
      <c r="B695" s="87"/>
      <c r="C695" s="88"/>
      <c r="D695" s="88"/>
      <c r="E695" s="90"/>
      <c r="F695" s="84" t="str">
        <f ca="1">IF(D695="Income",LOOKUP(E695,Introduction!$A$11:$A$18,Introduction!$C$11:$C$18),IF(D695="Expense",LOOKUP(E695,Introduction!$D$11:$D$30,Introduction!$F$11:$F$30),"_"))</f>
        <v>_</v>
      </c>
      <c r="G695" s="88"/>
      <c r="H695" s="92"/>
      <c r="I695" s="85">
        <f t="shared" si="44"/>
        <v>0</v>
      </c>
      <c r="J695" s="93"/>
      <c r="K695" s="85">
        <f t="shared" si="45"/>
        <v>0</v>
      </c>
      <c r="L695" s="68"/>
      <c r="M695" s="68"/>
      <c r="P695" s="89" t="str">
        <f t="shared" si="43"/>
        <v xml:space="preserve">  1 1900 </v>
      </c>
    </row>
    <row r="696" spans="1:16">
      <c r="A696" s="68"/>
      <c r="B696" s="87"/>
      <c r="C696" s="88"/>
      <c r="D696" s="88"/>
      <c r="E696" s="90"/>
      <c r="F696" s="84" t="str">
        <f ca="1">IF(D696="Income",LOOKUP(E696,Introduction!$A$11:$A$18,Introduction!$C$11:$C$18),IF(D696="Expense",LOOKUP(E696,Introduction!$D$11:$D$30,Introduction!$F$11:$F$30),"_"))</f>
        <v>_</v>
      </c>
      <c r="G696" s="88"/>
      <c r="H696" s="92"/>
      <c r="I696" s="85">
        <f t="shared" si="44"/>
        <v>0</v>
      </c>
      <c r="J696" s="93"/>
      <c r="K696" s="85">
        <f t="shared" si="45"/>
        <v>0</v>
      </c>
      <c r="L696" s="68"/>
      <c r="M696" s="68"/>
      <c r="P696" s="89" t="str">
        <f t="shared" si="43"/>
        <v xml:space="preserve">  1 1900 </v>
      </c>
    </row>
    <row r="697" spans="1:16">
      <c r="A697" s="68"/>
      <c r="B697" s="87"/>
      <c r="C697" s="88"/>
      <c r="D697" s="88"/>
      <c r="E697" s="90"/>
      <c r="F697" s="84" t="str">
        <f ca="1">IF(D697="Income",LOOKUP(E697,Introduction!$A$11:$A$18,Introduction!$C$11:$C$18),IF(D697="Expense",LOOKUP(E697,Introduction!$D$11:$D$30,Introduction!$F$11:$F$30),"_"))</f>
        <v>_</v>
      </c>
      <c r="G697" s="88"/>
      <c r="H697" s="92"/>
      <c r="I697" s="85">
        <f t="shared" si="44"/>
        <v>0</v>
      </c>
      <c r="J697" s="93"/>
      <c r="K697" s="85">
        <f t="shared" si="45"/>
        <v>0</v>
      </c>
      <c r="L697" s="68"/>
      <c r="M697" s="68"/>
      <c r="P697" s="89" t="str">
        <f t="shared" si="43"/>
        <v xml:space="preserve">  1 1900 </v>
      </c>
    </row>
    <row r="698" spans="1:16">
      <c r="A698" s="68"/>
      <c r="B698" s="87"/>
      <c r="C698" s="88"/>
      <c r="D698" s="88"/>
      <c r="E698" s="90"/>
      <c r="F698" s="84" t="str">
        <f ca="1">IF(D698="Income",LOOKUP(E698,Introduction!$A$11:$A$18,Introduction!$C$11:$C$18),IF(D698="Expense",LOOKUP(E698,Introduction!$D$11:$D$30,Introduction!$F$11:$F$30),"_"))</f>
        <v>_</v>
      </c>
      <c r="G698" s="88"/>
      <c r="H698" s="92"/>
      <c r="I698" s="85">
        <f t="shared" si="44"/>
        <v>0</v>
      </c>
      <c r="J698" s="93"/>
      <c r="K698" s="85">
        <f t="shared" si="45"/>
        <v>0</v>
      </c>
      <c r="L698" s="68"/>
      <c r="M698" s="68"/>
      <c r="P698" s="89" t="str">
        <f t="shared" si="43"/>
        <v xml:space="preserve">  1 1900 </v>
      </c>
    </row>
    <row r="699" spans="1:16">
      <c r="A699" s="68"/>
      <c r="B699" s="87"/>
      <c r="C699" s="88"/>
      <c r="D699" s="88"/>
      <c r="E699" s="90"/>
      <c r="F699" s="84" t="str">
        <f ca="1">IF(D699="Income",LOOKUP(E699,Introduction!$A$11:$A$18,Introduction!$C$11:$C$18),IF(D699="Expense",LOOKUP(E699,Introduction!$D$11:$D$30,Introduction!$F$11:$F$30),"_"))</f>
        <v>_</v>
      </c>
      <c r="G699" s="88"/>
      <c r="H699" s="92"/>
      <c r="I699" s="85">
        <f t="shared" si="44"/>
        <v>0</v>
      </c>
      <c r="J699" s="93"/>
      <c r="K699" s="85">
        <f t="shared" si="45"/>
        <v>0</v>
      </c>
      <c r="L699" s="68"/>
      <c r="M699" s="68"/>
      <c r="P699" s="89" t="str">
        <f t="shared" si="43"/>
        <v xml:space="preserve">  1 1900 </v>
      </c>
    </row>
    <row r="700" spans="1:16">
      <c r="A700" s="68"/>
      <c r="B700" s="87"/>
      <c r="C700" s="88"/>
      <c r="D700" s="88"/>
      <c r="E700" s="90"/>
      <c r="F700" s="84" t="str">
        <f ca="1">IF(D700="Income",LOOKUP(E700,Introduction!$A$11:$A$18,Introduction!$C$11:$C$18),IF(D700="Expense",LOOKUP(E700,Introduction!$D$11:$D$30,Introduction!$F$11:$F$30),"_"))</f>
        <v>_</v>
      </c>
      <c r="G700" s="88"/>
      <c r="H700" s="92"/>
      <c r="I700" s="85">
        <f t="shared" si="44"/>
        <v>0</v>
      </c>
      <c r="J700" s="93"/>
      <c r="K700" s="85">
        <f t="shared" si="45"/>
        <v>0</v>
      </c>
      <c r="L700" s="68"/>
      <c r="M700" s="68"/>
      <c r="P700" s="89" t="str">
        <f t="shared" si="43"/>
        <v xml:space="preserve">  1 1900 </v>
      </c>
    </row>
    <row r="701" spans="1:16">
      <c r="A701" s="68"/>
      <c r="B701" s="87"/>
      <c r="C701" s="88"/>
      <c r="D701" s="88"/>
      <c r="E701" s="90"/>
      <c r="F701" s="84" t="str">
        <f ca="1">IF(D701="Income",LOOKUP(E701,Introduction!$A$11:$A$18,Introduction!$C$11:$C$18),IF(D701="Expense",LOOKUP(E701,Introduction!$D$11:$D$30,Introduction!$F$11:$F$30),"_"))</f>
        <v>_</v>
      </c>
      <c r="G701" s="88"/>
      <c r="H701" s="92"/>
      <c r="I701" s="85">
        <f t="shared" si="44"/>
        <v>0</v>
      </c>
      <c r="J701" s="93"/>
      <c r="K701" s="85">
        <f t="shared" si="45"/>
        <v>0</v>
      </c>
      <c r="L701" s="68"/>
      <c r="M701" s="68"/>
      <c r="P701" s="89" t="str">
        <f t="shared" si="43"/>
        <v xml:space="preserve">  1 1900 </v>
      </c>
    </row>
    <row r="702" spans="1:16">
      <c r="A702" s="68"/>
      <c r="B702" s="87"/>
      <c r="C702" s="88"/>
      <c r="D702" s="88"/>
      <c r="E702" s="90"/>
      <c r="F702" s="84" t="str">
        <f ca="1">IF(D702="Income",LOOKUP(E702,Introduction!$A$11:$A$18,Introduction!$C$11:$C$18),IF(D702="Expense",LOOKUP(E702,Introduction!$D$11:$D$30,Introduction!$F$11:$F$30),"_"))</f>
        <v>_</v>
      </c>
      <c r="G702" s="88"/>
      <c r="H702" s="92"/>
      <c r="I702" s="85">
        <f t="shared" si="44"/>
        <v>0</v>
      </c>
      <c r="J702" s="93"/>
      <c r="K702" s="85">
        <f t="shared" si="45"/>
        <v>0</v>
      </c>
      <c r="L702" s="68"/>
      <c r="M702" s="68"/>
      <c r="P702" s="89" t="str">
        <f t="shared" si="43"/>
        <v xml:space="preserve">  1 1900 </v>
      </c>
    </row>
    <row r="703" spans="1:16">
      <c r="A703" s="68"/>
      <c r="B703" s="87"/>
      <c r="C703" s="88"/>
      <c r="D703" s="88"/>
      <c r="E703" s="90"/>
      <c r="F703" s="84" t="str">
        <f ca="1">IF(D703="Income",LOOKUP(E703,Introduction!$A$11:$A$18,Introduction!$C$11:$C$18),IF(D703="Expense",LOOKUP(E703,Introduction!$D$11:$D$30,Introduction!$F$11:$F$30),"_"))</f>
        <v>_</v>
      </c>
      <c r="G703" s="88"/>
      <c r="H703" s="92"/>
      <c r="I703" s="85">
        <f t="shared" si="44"/>
        <v>0</v>
      </c>
      <c r="J703" s="93"/>
      <c r="K703" s="85">
        <f t="shared" si="45"/>
        <v>0</v>
      </c>
      <c r="L703" s="68"/>
      <c r="M703" s="68"/>
      <c r="P703" s="89" t="str">
        <f t="shared" si="43"/>
        <v xml:space="preserve">  1 1900 </v>
      </c>
    </row>
    <row r="704" spans="1:16">
      <c r="A704" s="68"/>
      <c r="B704" s="87"/>
      <c r="C704" s="88"/>
      <c r="D704" s="88"/>
      <c r="E704" s="90"/>
      <c r="F704" s="84" t="str">
        <f ca="1">IF(D704="Income",LOOKUP(E704,Introduction!$A$11:$A$18,Introduction!$C$11:$C$18),IF(D704="Expense",LOOKUP(E704,Introduction!$D$11:$D$30,Introduction!$F$11:$F$30),"_"))</f>
        <v>_</v>
      </c>
      <c r="G704" s="88"/>
      <c r="H704" s="92"/>
      <c r="I704" s="85">
        <f t="shared" si="44"/>
        <v>0</v>
      </c>
      <c r="J704" s="93"/>
      <c r="K704" s="85">
        <f t="shared" si="45"/>
        <v>0</v>
      </c>
      <c r="L704" s="68"/>
      <c r="M704" s="68"/>
      <c r="P704" s="89" t="str">
        <f t="shared" si="43"/>
        <v xml:space="preserve">  1 1900 </v>
      </c>
    </row>
    <row r="705" spans="1:16">
      <c r="A705" s="68"/>
      <c r="B705" s="87"/>
      <c r="C705" s="88"/>
      <c r="D705" s="88"/>
      <c r="E705" s="90"/>
      <c r="F705" s="84" t="str">
        <f ca="1">IF(D705="Income",LOOKUP(E705,Introduction!$A$11:$A$18,Introduction!$C$11:$C$18),IF(D705="Expense",LOOKUP(E705,Introduction!$D$11:$D$30,Introduction!$F$11:$F$30),"_"))</f>
        <v>_</v>
      </c>
      <c r="G705" s="88"/>
      <c r="H705" s="92"/>
      <c r="I705" s="85">
        <f t="shared" si="44"/>
        <v>0</v>
      </c>
      <c r="J705" s="93"/>
      <c r="K705" s="85">
        <f t="shared" si="45"/>
        <v>0</v>
      </c>
      <c r="L705" s="68"/>
      <c r="M705" s="68"/>
      <c r="P705" s="89" t="str">
        <f t="shared" si="43"/>
        <v xml:space="preserve">  1 1900 </v>
      </c>
    </row>
    <row r="706" spans="1:16">
      <c r="A706" s="68"/>
      <c r="B706" s="87"/>
      <c r="C706" s="88"/>
      <c r="D706" s="88"/>
      <c r="E706" s="90"/>
      <c r="F706" s="84" t="str">
        <f ca="1">IF(D706="Income",LOOKUP(E706,Introduction!$A$11:$A$18,Introduction!$C$11:$C$18),IF(D706="Expense",LOOKUP(E706,Introduction!$D$11:$D$30,Introduction!$F$11:$F$30),"_"))</f>
        <v>_</v>
      </c>
      <c r="G706" s="88"/>
      <c r="H706" s="92"/>
      <c r="I706" s="85">
        <f t="shared" si="44"/>
        <v>0</v>
      </c>
      <c r="J706" s="93"/>
      <c r="K706" s="85">
        <f t="shared" si="45"/>
        <v>0</v>
      </c>
      <c r="L706" s="68"/>
      <c r="M706" s="68"/>
      <c r="P706" s="89" t="str">
        <f t="shared" si="43"/>
        <v xml:space="preserve">  1 1900 </v>
      </c>
    </row>
    <row r="707" spans="1:16">
      <c r="A707" s="68"/>
      <c r="B707" s="87"/>
      <c r="C707" s="88"/>
      <c r="D707" s="88"/>
      <c r="E707" s="90"/>
      <c r="F707" s="84" t="str">
        <f ca="1">IF(D707="Income",LOOKUP(E707,Introduction!$A$11:$A$18,Introduction!$C$11:$C$18),IF(D707="Expense",LOOKUP(E707,Introduction!$D$11:$D$30,Introduction!$F$11:$F$30),"_"))</f>
        <v>_</v>
      </c>
      <c r="G707" s="88"/>
      <c r="H707" s="92"/>
      <c r="I707" s="85">
        <f t="shared" si="44"/>
        <v>0</v>
      </c>
      <c r="J707" s="93"/>
      <c r="K707" s="85">
        <f t="shared" si="45"/>
        <v>0</v>
      </c>
      <c r="L707" s="68"/>
      <c r="M707" s="68"/>
      <c r="P707" s="89" t="str">
        <f t="shared" si="43"/>
        <v xml:space="preserve">  1 1900 </v>
      </c>
    </row>
    <row r="708" spans="1:16">
      <c r="A708" s="68"/>
      <c r="B708" s="87"/>
      <c r="C708" s="88"/>
      <c r="D708" s="88"/>
      <c r="E708" s="90"/>
      <c r="F708" s="84" t="str">
        <f ca="1">IF(D708="Income",LOOKUP(E708,Introduction!$A$11:$A$18,Introduction!$C$11:$C$18),IF(D708="Expense",LOOKUP(E708,Introduction!$D$11:$D$30,Introduction!$F$11:$F$30),"_"))</f>
        <v>_</v>
      </c>
      <c r="G708" s="88"/>
      <c r="H708" s="92"/>
      <c r="I708" s="85">
        <f t="shared" si="44"/>
        <v>0</v>
      </c>
      <c r="J708" s="93"/>
      <c r="K708" s="85">
        <f t="shared" si="45"/>
        <v>0</v>
      </c>
      <c r="L708" s="68"/>
      <c r="M708" s="68"/>
      <c r="P708" s="89" t="str">
        <f t="shared" si="43"/>
        <v xml:space="preserve">  1 1900 </v>
      </c>
    </row>
    <row r="709" spans="1:16">
      <c r="A709" s="68"/>
      <c r="B709" s="87"/>
      <c r="C709" s="88"/>
      <c r="D709" s="88"/>
      <c r="E709" s="90"/>
      <c r="F709" s="84" t="str">
        <f ca="1">IF(D709="Income",LOOKUP(E709,Introduction!$A$11:$A$18,Introduction!$C$11:$C$18),IF(D709="Expense",LOOKUP(E709,Introduction!$D$11:$D$30,Introduction!$F$11:$F$30),"_"))</f>
        <v>_</v>
      </c>
      <c r="G709" s="88"/>
      <c r="H709" s="92"/>
      <c r="I709" s="85">
        <f t="shared" si="44"/>
        <v>0</v>
      </c>
      <c r="J709" s="93"/>
      <c r="K709" s="85">
        <f t="shared" si="45"/>
        <v>0</v>
      </c>
      <c r="L709" s="68"/>
      <c r="M709" s="68"/>
      <c r="P709" s="89" t="str">
        <f t="shared" si="43"/>
        <v xml:space="preserve">  1 1900 </v>
      </c>
    </row>
    <row r="710" spans="1:16">
      <c r="A710" s="68"/>
      <c r="B710" s="87"/>
      <c r="C710" s="88"/>
      <c r="D710" s="88"/>
      <c r="E710" s="90"/>
      <c r="F710" s="84" t="str">
        <f ca="1">IF(D710="Income",LOOKUP(E710,Introduction!$A$11:$A$18,Introduction!$C$11:$C$18),IF(D710="Expense",LOOKUP(E710,Introduction!$D$11:$D$30,Introduction!$F$11:$F$30),"_"))</f>
        <v>_</v>
      </c>
      <c r="G710" s="88"/>
      <c r="H710" s="92"/>
      <c r="I710" s="85">
        <f t="shared" si="44"/>
        <v>0</v>
      </c>
      <c r="J710" s="93"/>
      <c r="K710" s="85">
        <f t="shared" si="45"/>
        <v>0</v>
      </c>
      <c r="L710" s="68"/>
      <c r="M710" s="68"/>
      <c r="P710" s="89" t="str">
        <f t="shared" si="43"/>
        <v xml:space="preserve">  1 1900 </v>
      </c>
    </row>
    <row r="711" spans="1:16">
      <c r="A711" s="68"/>
      <c r="B711" s="87"/>
      <c r="C711" s="88"/>
      <c r="D711" s="88"/>
      <c r="E711" s="90"/>
      <c r="F711" s="84" t="str">
        <f ca="1">IF(D711="Income",LOOKUP(E711,Introduction!$A$11:$A$18,Introduction!$C$11:$C$18),IF(D711="Expense",LOOKUP(E711,Introduction!$D$11:$D$30,Introduction!$F$11:$F$30),"_"))</f>
        <v>_</v>
      </c>
      <c r="G711" s="88"/>
      <c r="H711" s="92"/>
      <c r="I711" s="85">
        <f t="shared" si="44"/>
        <v>0</v>
      </c>
      <c r="J711" s="93"/>
      <c r="K711" s="85">
        <f t="shared" si="45"/>
        <v>0</v>
      </c>
      <c r="L711" s="68"/>
      <c r="M711" s="68"/>
      <c r="P711" s="89" t="str">
        <f t="shared" ref="P711:P774" si="46">CONCATENATE(D711," ",E711," ",MONTH(C711)," ",YEAR(C711)," ")</f>
        <v xml:space="preserve">  1 1900 </v>
      </c>
    </row>
    <row r="712" spans="1:16">
      <c r="A712" s="68"/>
      <c r="B712" s="87"/>
      <c r="C712" s="88"/>
      <c r="D712" s="88"/>
      <c r="E712" s="90"/>
      <c r="F712" s="84" t="str">
        <f ca="1">IF(D712="Income",LOOKUP(E712,Introduction!$A$11:$A$18,Introduction!$C$11:$C$18),IF(D712="Expense",LOOKUP(E712,Introduction!$D$11:$D$30,Introduction!$F$11:$F$30),"_"))</f>
        <v>_</v>
      </c>
      <c r="G712" s="88"/>
      <c r="H712" s="92"/>
      <c r="I712" s="85">
        <f t="shared" si="44"/>
        <v>0</v>
      </c>
      <c r="J712" s="93"/>
      <c r="K712" s="85">
        <f t="shared" si="45"/>
        <v>0</v>
      </c>
      <c r="L712" s="68"/>
      <c r="M712" s="68"/>
      <c r="P712" s="89" t="str">
        <f t="shared" si="46"/>
        <v xml:space="preserve">  1 1900 </v>
      </c>
    </row>
    <row r="713" spans="1:16">
      <c r="A713" s="68"/>
      <c r="B713" s="87"/>
      <c r="C713" s="88"/>
      <c r="D713" s="88"/>
      <c r="E713" s="90"/>
      <c r="F713" s="84" t="str">
        <f ca="1">IF(D713="Income",LOOKUP(E713,Introduction!$A$11:$A$18,Introduction!$C$11:$C$18),IF(D713="Expense",LOOKUP(E713,Introduction!$D$11:$D$30,Introduction!$F$11:$F$30),"_"))</f>
        <v>_</v>
      </c>
      <c r="G713" s="88"/>
      <c r="H713" s="92"/>
      <c r="I713" s="85">
        <f t="shared" si="44"/>
        <v>0</v>
      </c>
      <c r="J713" s="93"/>
      <c r="K713" s="85">
        <f t="shared" si="45"/>
        <v>0</v>
      </c>
      <c r="L713" s="68"/>
      <c r="M713" s="68"/>
      <c r="P713" s="89" t="str">
        <f t="shared" si="46"/>
        <v xml:space="preserve">  1 1900 </v>
      </c>
    </row>
    <row r="714" spans="1:16">
      <c r="A714" s="68"/>
      <c r="B714" s="87"/>
      <c r="C714" s="88"/>
      <c r="D714" s="88"/>
      <c r="E714" s="90"/>
      <c r="F714" s="84" t="str">
        <f ca="1">IF(D714="Income",LOOKUP(E714,Introduction!$A$11:$A$18,Introduction!$C$11:$C$18),IF(D714="Expense",LOOKUP(E714,Introduction!$D$11:$D$30,Introduction!$F$11:$F$30),"_"))</f>
        <v>_</v>
      </c>
      <c r="G714" s="88"/>
      <c r="H714" s="92"/>
      <c r="I714" s="85">
        <f t="shared" si="44"/>
        <v>0</v>
      </c>
      <c r="J714" s="93"/>
      <c r="K714" s="85">
        <f t="shared" si="45"/>
        <v>0</v>
      </c>
      <c r="L714" s="68"/>
      <c r="M714" s="68"/>
      <c r="P714" s="89" t="str">
        <f t="shared" si="46"/>
        <v xml:space="preserve">  1 1900 </v>
      </c>
    </row>
    <row r="715" spans="1:16">
      <c r="A715" s="68"/>
      <c r="B715" s="87"/>
      <c r="C715" s="88"/>
      <c r="D715" s="88"/>
      <c r="E715" s="90"/>
      <c r="F715" s="84" t="str">
        <f ca="1">IF(D715="Income",LOOKUP(E715,Introduction!$A$11:$A$18,Introduction!$C$11:$C$18),IF(D715="Expense",LOOKUP(E715,Introduction!$D$11:$D$30,Introduction!$F$11:$F$30),"_"))</f>
        <v>_</v>
      </c>
      <c r="G715" s="88"/>
      <c r="H715" s="92"/>
      <c r="I715" s="85">
        <f t="shared" si="44"/>
        <v>0</v>
      </c>
      <c r="J715" s="93"/>
      <c r="K715" s="85">
        <f t="shared" si="45"/>
        <v>0</v>
      </c>
      <c r="L715" s="68"/>
      <c r="M715" s="68"/>
      <c r="P715" s="89" t="str">
        <f t="shared" si="46"/>
        <v xml:space="preserve">  1 1900 </v>
      </c>
    </row>
    <row r="716" spans="1:16">
      <c r="A716" s="68"/>
      <c r="B716" s="87"/>
      <c r="C716" s="88"/>
      <c r="D716" s="88"/>
      <c r="E716" s="90"/>
      <c r="F716" s="84" t="str">
        <f ca="1">IF(D716="Income",LOOKUP(E716,Introduction!$A$11:$A$18,Introduction!$C$11:$C$18),IF(D716="Expense",LOOKUP(E716,Introduction!$D$11:$D$30,Introduction!$F$11:$F$30),"_"))</f>
        <v>_</v>
      </c>
      <c r="G716" s="88"/>
      <c r="H716" s="92"/>
      <c r="I716" s="85">
        <f t="shared" si="44"/>
        <v>0</v>
      </c>
      <c r="J716" s="93"/>
      <c r="K716" s="85">
        <f t="shared" si="45"/>
        <v>0</v>
      </c>
      <c r="L716" s="68"/>
      <c r="M716" s="68"/>
      <c r="P716" s="89" t="str">
        <f t="shared" si="46"/>
        <v xml:space="preserve">  1 1900 </v>
      </c>
    </row>
    <row r="717" spans="1:16">
      <c r="A717" s="68"/>
      <c r="B717" s="87"/>
      <c r="C717" s="88"/>
      <c r="D717" s="88"/>
      <c r="E717" s="90"/>
      <c r="F717" s="84" t="str">
        <f ca="1">IF(D717="Income",LOOKUP(E717,Introduction!$A$11:$A$18,Introduction!$C$11:$C$18),IF(D717="Expense",LOOKUP(E717,Introduction!$D$11:$D$30,Introduction!$F$11:$F$30),"_"))</f>
        <v>_</v>
      </c>
      <c r="G717" s="88"/>
      <c r="H717" s="92"/>
      <c r="I717" s="85">
        <f t="shared" si="44"/>
        <v>0</v>
      </c>
      <c r="J717" s="93"/>
      <c r="K717" s="85">
        <f t="shared" si="45"/>
        <v>0</v>
      </c>
      <c r="L717" s="68"/>
      <c r="M717" s="68"/>
      <c r="P717" s="89" t="str">
        <f t="shared" si="46"/>
        <v xml:space="preserve">  1 1900 </v>
      </c>
    </row>
    <row r="718" spans="1:16">
      <c r="A718" s="68"/>
      <c r="B718" s="87"/>
      <c r="C718" s="88"/>
      <c r="D718" s="88"/>
      <c r="E718" s="90"/>
      <c r="F718" s="84" t="str">
        <f ca="1">IF(D718="Income",LOOKUP(E718,Introduction!$A$11:$A$18,Introduction!$C$11:$C$18),IF(D718="Expense",LOOKUP(E718,Introduction!$D$11:$D$30,Introduction!$F$11:$F$30),"_"))</f>
        <v>_</v>
      </c>
      <c r="G718" s="88"/>
      <c r="H718" s="92"/>
      <c r="I718" s="85">
        <f t="shared" si="44"/>
        <v>0</v>
      </c>
      <c r="J718" s="93"/>
      <c r="K718" s="85">
        <f t="shared" si="45"/>
        <v>0</v>
      </c>
      <c r="L718" s="68"/>
      <c r="M718" s="68"/>
      <c r="P718" s="89" t="str">
        <f t="shared" si="46"/>
        <v xml:space="preserve">  1 1900 </v>
      </c>
    </row>
    <row r="719" spans="1:16">
      <c r="A719" s="68"/>
      <c r="B719" s="87"/>
      <c r="C719" s="88"/>
      <c r="D719" s="88"/>
      <c r="E719" s="90"/>
      <c r="F719" s="84" t="str">
        <f ca="1">IF(D719="Income",LOOKUP(E719,Introduction!$A$11:$A$18,Introduction!$C$11:$C$18),IF(D719="Expense",LOOKUP(E719,Introduction!$D$11:$D$30,Introduction!$F$11:$F$30),"_"))</f>
        <v>_</v>
      </c>
      <c r="G719" s="88"/>
      <c r="H719" s="92"/>
      <c r="I719" s="85">
        <f t="shared" si="44"/>
        <v>0</v>
      </c>
      <c r="J719" s="93"/>
      <c r="K719" s="85">
        <f t="shared" si="45"/>
        <v>0</v>
      </c>
      <c r="L719" s="68"/>
      <c r="M719" s="68"/>
      <c r="P719" s="89" t="str">
        <f t="shared" si="46"/>
        <v xml:space="preserve">  1 1900 </v>
      </c>
    </row>
    <row r="720" spans="1:16">
      <c r="A720" s="68"/>
      <c r="B720" s="87"/>
      <c r="C720" s="88"/>
      <c r="D720" s="88"/>
      <c r="E720" s="90"/>
      <c r="F720" s="84" t="str">
        <f ca="1">IF(D720="Income",LOOKUP(E720,Introduction!$A$11:$A$18,Introduction!$C$11:$C$18),IF(D720="Expense",LOOKUP(E720,Introduction!$D$11:$D$30,Introduction!$F$11:$F$30),"_"))</f>
        <v>_</v>
      </c>
      <c r="G720" s="88"/>
      <c r="H720" s="92"/>
      <c r="I720" s="85">
        <f t="shared" si="44"/>
        <v>0</v>
      </c>
      <c r="J720" s="93"/>
      <c r="K720" s="85">
        <f t="shared" si="45"/>
        <v>0</v>
      </c>
      <c r="L720" s="68"/>
      <c r="M720" s="68"/>
      <c r="P720" s="89" t="str">
        <f t="shared" si="46"/>
        <v xml:space="preserve">  1 1900 </v>
      </c>
    </row>
    <row r="721" spans="1:16">
      <c r="A721" s="68"/>
      <c r="B721" s="87"/>
      <c r="C721" s="88"/>
      <c r="D721" s="88"/>
      <c r="E721" s="90"/>
      <c r="F721" s="84" t="str">
        <f ca="1">IF(D721="Income",LOOKUP(E721,Introduction!$A$11:$A$18,Introduction!$C$11:$C$18),IF(D721="Expense",LOOKUP(E721,Introduction!$D$11:$D$30,Introduction!$F$11:$F$30),"_"))</f>
        <v>_</v>
      </c>
      <c r="G721" s="88"/>
      <c r="H721" s="92"/>
      <c r="I721" s="85">
        <f t="shared" ref="I721:I784" si="47">+I720+H721</f>
        <v>0</v>
      </c>
      <c r="J721" s="93"/>
      <c r="K721" s="85">
        <f t="shared" ref="K721:K784" si="48">IF(J721=1,K720+H721,++K720)</f>
        <v>0</v>
      </c>
      <c r="L721" s="68"/>
      <c r="M721" s="68"/>
      <c r="P721" s="89" t="str">
        <f t="shared" si="46"/>
        <v xml:space="preserve">  1 1900 </v>
      </c>
    </row>
    <row r="722" spans="1:16">
      <c r="A722" s="68"/>
      <c r="B722" s="87"/>
      <c r="C722" s="88"/>
      <c r="D722" s="88"/>
      <c r="E722" s="90"/>
      <c r="F722" s="84" t="str">
        <f ca="1">IF(D722="Income",LOOKUP(E722,Introduction!$A$11:$A$18,Introduction!$C$11:$C$18),IF(D722="Expense",LOOKUP(E722,Introduction!$D$11:$D$30,Introduction!$F$11:$F$30),"_"))</f>
        <v>_</v>
      </c>
      <c r="G722" s="88"/>
      <c r="H722" s="92"/>
      <c r="I722" s="85">
        <f t="shared" si="47"/>
        <v>0</v>
      </c>
      <c r="J722" s="93"/>
      <c r="K722" s="85">
        <f t="shared" si="48"/>
        <v>0</v>
      </c>
      <c r="L722" s="68"/>
      <c r="M722" s="68"/>
      <c r="P722" s="89" t="str">
        <f t="shared" si="46"/>
        <v xml:space="preserve">  1 1900 </v>
      </c>
    </row>
    <row r="723" spans="1:16">
      <c r="A723" s="68"/>
      <c r="B723" s="87"/>
      <c r="C723" s="88"/>
      <c r="D723" s="88"/>
      <c r="E723" s="90"/>
      <c r="F723" s="84" t="str">
        <f ca="1">IF(D723="Income",LOOKUP(E723,Introduction!$A$11:$A$18,Introduction!$C$11:$C$18),IF(D723="Expense",LOOKUP(E723,Introduction!$D$11:$D$30,Introduction!$F$11:$F$30),"_"))</f>
        <v>_</v>
      </c>
      <c r="G723" s="88"/>
      <c r="H723" s="92"/>
      <c r="I723" s="85">
        <f t="shared" si="47"/>
        <v>0</v>
      </c>
      <c r="J723" s="93"/>
      <c r="K723" s="85">
        <f t="shared" si="48"/>
        <v>0</v>
      </c>
      <c r="L723" s="68"/>
      <c r="M723" s="68"/>
      <c r="P723" s="89" t="str">
        <f t="shared" si="46"/>
        <v xml:space="preserve">  1 1900 </v>
      </c>
    </row>
    <row r="724" spans="1:16">
      <c r="A724" s="68"/>
      <c r="B724" s="87"/>
      <c r="C724" s="88"/>
      <c r="D724" s="88"/>
      <c r="E724" s="90"/>
      <c r="F724" s="84" t="str">
        <f ca="1">IF(D724="Income",LOOKUP(E724,Introduction!$A$11:$A$18,Introduction!$C$11:$C$18),IF(D724="Expense",LOOKUP(E724,Introduction!$D$11:$D$30,Introduction!$F$11:$F$30),"_"))</f>
        <v>_</v>
      </c>
      <c r="G724" s="88"/>
      <c r="H724" s="92"/>
      <c r="I724" s="85">
        <f t="shared" si="47"/>
        <v>0</v>
      </c>
      <c r="J724" s="93"/>
      <c r="K724" s="85">
        <f t="shared" si="48"/>
        <v>0</v>
      </c>
      <c r="L724" s="68"/>
      <c r="M724" s="68"/>
      <c r="P724" s="89" t="str">
        <f t="shared" si="46"/>
        <v xml:space="preserve">  1 1900 </v>
      </c>
    </row>
    <row r="725" spans="1:16">
      <c r="A725" s="68"/>
      <c r="B725" s="87"/>
      <c r="C725" s="88"/>
      <c r="D725" s="88"/>
      <c r="E725" s="90"/>
      <c r="F725" s="84" t="str">
        <f ca="1">IF(D725="Income",LOOKUP(E725,Introduction!$A$11:$A$18,Introduction!$C$11:$C$18),IF(D725="Expense",LOOKUP(E725,Introduction!$D$11:$D$30,Introduction!$F$11:$F$30),"_"))</f>
        <v>_</v>
      </c>
      <c r="G725" s="88"/>
      <c r="H725" s="92"/>
      <c r="I725" s="85">
        <f t="shared" si="47"/>
        <v>0</v>
      </c>
      <c r="J725" s="93"/>
      <c r="K725" s="85">
        <f t="shared" si="48"/>
        <v>0</v>
      </c>
      <c r="L725" s="68"/>
      <c r="M725" s="68"/>
      <c r="P725" s="89" t="str">
        <f t="shared" si="46"/>
        <v xml:space="preserve">  1 1900 </v>
      </c>
    </row>
    <row r="726" spans="1:16">
      <c r="A726" s="68"/>
      <c r="B726" s="87"/>
      <c r="C726" s="88"/>
      <c r="D726" s="88"/>
      <c r="E726" s="90"/>
      <c r="F726" s="84" t="str">
        <f ca="1">IF(D726="Income",LOOKUP(E726,Introduction!$A$11:$A$18,Introduction!$C$11:$C$18),IF(D726="Expense",LOOKUP(E726,Introduction!$D$11:$D$30,Introduction!$F$11:$F$30),"_"))</f>
        <v>_</v>
      </c>
      <c r="G726" s="88"/>
      <c r="H726" s="92"/>
      <c r="I726" s="85">
        <f t="shared" si="47"/>
        <v>0</v>
      </c>
      <c r="J726" s="93"/>
      <c r="K726" s="85">
        <f t="shared" si="48"/>
        <v>0</v>
      </c>
      <c r="L726" s="68"/>
      <c r="M726" s="68"/>
      <c r="P726" s="89" t="str">
        <f t="shared" si="46"/>
        <v xml:space="preserve">  1 1900 </v>
      </c>
    </row>
    <row r="727" spans="1:16">
      <c r="A727" s="68"/>
      <c r="B727" s="87"/>
      <c r="C727" s="88"/>
      <c r="D727" s="88"/>
      <c r="E727" s="90"/>
      <c r="F727" s="84" t="str">
        <f ca="1">IF(D727="Income",LOOKUP(E727,Introduction!$A$11:$A$18,Introduction!$C$11:$C$18),IF(D727="Expense",LOOKUP(E727,Introduction!$D$11:$D$30,Introduction!$F$11:$F$30),"_"))</f>
        <v>_</v>
      </c>
      <c r="G727" s="88"/>
      <c r="H727" s="92"/>
      <c r="I727" s="85">
        <f t="shared" si="47"/>
        <v>0</v>
      </c>
      <c r="J727" s="93"/>
      <c r="K727" s="85">
        <f t="shared" si="48"/>
        <v>0</v>
      </c>
      <c r="L727" s="68"/>
      <c r="M727" s="68"/>
      <c r="P727" s="89" t="str">
        <f t="shared" si="46"/>
        <v xml:space="preserve">  1 1900 </v>
      </c>
    </row>
    <row r="728" spans="1:16">
      <c r="A728" s="68"/>
      <c r="B728" s="87"/>
      <c r="C728" s="88"/>
      <c r="D728" s="88"/>
      <c r="E728" s="90"/>
      <c r="F728" s="84" t="str">
        <f ca="1">IF(D728="Income",LOOKUP(E728,Introduction!$A$11:$A$18,Introduction!$C$11:$C$18),IF(D728="Expense",LOOKUP(E728,Introduction!$D$11:$D$30,Introduction!$F$11:$F$30),"_"))</f>
        <v>_</v>
      </c>
      <c r="G728" s="88"/>
      <c r="H728" s="92"/>
      <c r="I728" s="85">
        <f t="shared" si="47"/>
        <v>0</v>
      </c>
      <c r="J728" s="93"/>
      <c r="K728" s="85">
        <f t="shared" si="48"/>
        <v>0</v>
      </c>
      <c r="L728" s="68"/>
      <c r="M728" s="68"/>
      <c r="P728" s="89" t="str">
        <f t="shared" si="46"/>
        <v xml:space="preserve">  1 1900 </v>
      </c>
    </row>
    <row r="729" spans="1:16">
      <c r="A729" s="68"/>
      <c r="B729" s="87"/>
      <c r="C729" s="88"/>
      <c r="D729" s="88"/>
      <c r="E729" s="90"/>
      <c r="F729" s="84" t="str">
        <f ca="1">IF(D729="Income",LOOKUP(E729,Introduction!$A$11:$A$18,Introduction!$C$11:$C$18),IF(D729="Expense",LOOKUP(E729,Introduction!$D$11:$D$30,Introduction!$F$11:$F$30),"_"))</f>
        <v>_</v>
      </c>
      <c r="G729" s="88"/>
      <c r="H729" s="92"/>
      <c r="I729" s="85">
        <f t="shared" si="47"/>
        <v>0</v>
      </c>
      <c r="J729" s="93"/>
      <c r="K729" s="85">
        <f t="shared" si="48"/>
        <v>0</v>
      </c>
      <c r="L729" s="68"/>
      <c r="M729" s="68"/>
      <c r="P729" s="89" t="str">
        <f t="shared" si="46"/>
        <v xml:space="preserve">  1 1900 </v>
      </c>
    </row>
    <row r="730" spans="1:16">
      <c r="A730" s="68"/>
      <c r="B730" s="87"/>
      <c r="C730" s="88"/>
      <c r="D730" s="88"/>
      <c r="E730" s="90"/>
      <c r="F730" s="84" t="str">
        <f ca="1">IF(D730="Income",LOOKUP(E730,Introduction!$A$11:$A$18,Introduction!$C$11:$C$18),IF(D730="Expense",LOOKUP(E730,Introduction!$D$11:$D$30,Introduction!$F$11:$F$30),"_"))</f>
        <v>_</v>
      </c>
      <c r="G730" s="88"/>
      <c r="H730" s="92"/>
      <c r="I730" s="85">
        <f t="shared" si="47"/>
        <v>0</v>
      </c>
      <c r="J730" s="93"/>
      <c r="K730" s="85">
        <f t="shared" si="48"/>
        <v>0</v>
      </c>
      <c r="L730" s="68"/>
      <c r="M730" s="68"/>
      <c r="P730" s="89" t="str">
        <f t="shared" si="46"/>
        <v xml:space="preserve">  1 1900 </v>
      </c>
    </row>
    <row r="731" spans="1:16">
      <c r="A731" s="68"/>
      <c r="B731" s="87"/>
      <c r="C731" s="88"/>
      <c r="D731" s="88"/>
      <c r="E731" s="90"/>
      <c r="F731" s="84" t="str">
        <f ca="1">IF(D731="Income",LOOKUP(E731,Introduction!$A$11:$A$18,Introduction!$C$11:$C$18),IF(D731="Expense",LOOKUP(E731,Introduction!$D$11:$D$30,Introduction!$F$11:$F$30),"_"))</f>
        <v>_</v>
      </c>
      <c r="G731" s="88"/>
      <c r="H731" s="92"/>
      <c r="I731" s="85">
        <f t="shared" si="47"/>
        <v>0</v>
      </c>
      <c r="J731" s="93"/>
      <c r="K731" s="85">
        <f t="shared" si="48"/>
        <v>0</v>
      </c>
      <c r="L731" s="68"/>
      <c r="M731" s="68"/>
      <c r="P731" s="89" t="str">
        <f t="shared" si="46"/>
        <v xml:space="preserve">  1 1900 </v>
      </c>
    </row>
    <row r="732" spans="1:16">
      <c r="A732" s="68"/>
      <c r="B732" s="87"/>
      <c r="C732" s="88"/>
      <c r="D732" s="88"/>
      <c r="E732" s="90"/>
      <c r="F732" s="84" t="str">
        <f ca="1">IF(D732="Income",LOOKUP(E732,Introduction!$A$11:$A$18,Introduction!$C$11:$C$18),IF(D732="Expense",LOOKUP(E732,Introduction!$D$11:$D$30,Introduction!$F$11:$F$30),"_"))</f>
        <v>_</v>
      </c>
      <c r="G732" s="88"/>
      <c r="H732" s="92"/>
      <c r="I732" s="85">
        <f t="shared" si="47"/>
        <v>0</v>
      </c>
      <c r="J732" s="93"/>
      <c r="K732" s="85">
        <f t="shared" si="48"/>
        <v>0</v>
      </c>
      <c r="L732" s="68"/>
      <c r="M732" s="68"/>
      <c r="P732" s="89" t="str">
        <f t="shared" si="46"/>
        <v xml:space="preserve">  1 1900 </v>
      </c>
    </row>
    <row r="733" spans="1:16">
      <c r="A733" s="68"/>
      <c r="B733" s="87"/>
      <c r="C733" s="88"/>
      <c r="D733" s="88"/>
      <c r="E733" s="90"/>
      <c r="F733" s="84" t="str">
        <f ca="1">IF(D733="Income",LOOKUP(E733,Introduction!$A$11:$A$18,Introduction!$C$11:$C$18),IF(D733="Expense",LOOKUP(E733,Introduction!$D$11:$D$30,Introduction!$F$11:$F$30),"_"))</f>
        <v>_</v>
      </c>
      <c r="G733" s="88"/>
      <c r="H733" s="92"/>
      <c r="I733" s="85">
        <f t="shared" si="47"/>
        <v>0</v>
      </c>
      <c r="J733" s="93"/>
      <c r="K733" s="85">
        <f t="shared" si="48"/>
        <v>0</v>
      </c>
      <c r="L733" s="68"/>
      <c r="M733" s="68"/>
      <c r="P733" s="89" t="str">
        <f t="shared" si="46"/>
        <v xml:space="preserve">  1 1900 </v>
      </c>
    </row>
    <row r="734" spans="1:16">
      <c r="A734" s="68"/>
      <c r="B734" s="87"/>
      <c r="C734" s="88"/>
      <c r="D734" s="88"/>
      <c r="E734" s="90"/>
      <c r="F734" s="84" t="str">
        <f ca="1">IF(D734="Income",LOOKUP(E734,Introduction!$A$11:$A$18,Introduction!$C$11:$C$18),IF(D734="Expense",LOOKUP(E734,Introduction!$D$11:$D$30,Introduction!$F$11:$F$30),"_"))</f>
        <v>_</v>
      </c>
      <c r="G734" s="88"/>
      <c r="H734" s="92"/>
      <c r="I734" s="85">
        <f t="shared" si="47"/>
        <v>0</v>
      </c>
      <c r="J734" s="93"/>
      <c r="K734" s="85">
        <f t="shared" si="48"/>
        <v>0</v>
      </c>
      <c r="L734" s="68"/>
      <c r="M734" s="68"/>
      <c r="P734" s="89" t="str">
        <f t="shared" si="46"/>
        <v xml:space="preserve">  1 1900 </v>
      </c>
    </row>
    <row r="735" spans="1:16">
      <c r="A735" s="68"/>
      <c r="B735" s="87"/>
      <c r="C735" s="88"/>
      <c r="D735" s="88"/>
      <c r="E735" s="90"/>
      <c r="F735" s="84" t="str">
        <f ca="1">IF(D735="Income",LOOKUP(E735,Introduction!$A$11:$A$18,Introduction!$C$11:$C$18),IF(D735="Expense",LOOKUP(E735,Introduction!$D$11:$D$30,Introduction!$F$11:$F$30),"_"))</f>
        <v>_</v>
      </c>
      <c r="G735" s="88"/>
      <c r="H735" s="92"/>
      <c r="I735" s="85">
        <f t="shared" si="47"/>
        <v>0</v>
      </c>
      <c r="J735" s="93"/>
      <c r="K735" s="85">
        <f t="shared" si="48"/>
        <v>0</v>
      </c>
      <c r="L735" s="68"/>
      <c r="M735" s="68"/>
      <c r="P735" s="89" t="str">
        <f t="shared" si="46"/>
        <v xml:space="preserve">  1 1900 </v>
      </c>
    </row>
    <row r="736" spans="1:16">
      <c r="A736" s="68"/>
      <c r="B736" s="87"/>
      <c r="C736" s="88"/>
      <c r="D736" s="88"/>
      <c r="E736" s="90"/>
      <c r="F736" s="84" t="str">
        <f ca="1">IF(D736="Income",LOOKUP(E736,Introduction!$A$11:$A$18,Introduction!$C$11:$C$18),IF(D736="Expense",LOOKUP(E736,Introduction!$D$11:$D$30,Introduction!$F$11:$F$30),"_"))</f>
        <v>_</v>
      </c>
      <c r="G736" s="88"/>
      <c r="H736" s="92"/>
      <c r="I736" s="85">
        <f t="shared" si="47"/>
        <v>0</v>
      </c>
      <c r="J736" s="93"/>
      <c r="K736" s="85">
        <f t="shared" si="48"/>
        <v>0</v>
      </c>
      <c r="L736" s="68"/>
      <c r="M736" s="68"/>
      <c r="P736" s="89" t="str">
        <f t="shared" si="46"/>
        <v xml:space="preserve">  1 1900 </v>
      </c>
    </row>
    <row r="737" spans="1:16">
      <c r="A737" s="68"/>
      <c r="B737" s="87"/>
      <c r="C737" s="88"/>
      <c r="D737" s="88"/>
      <c r="E737" s="90"/>
      <c r="F737" s="84" t="str">
        <f ca="1">IF(D737="Income",LOOKUP(E737,Introduction!$A$11:$A$18,Introduction!$C$11:$C$18),IF(D737="Expense",LOOKUP(E737,Introduction!$D$11:$D$30,Introduction!$F$11:$F$30),"_"))</f>
        <v>_</v>
      </c>
      <c r="G737" s="88"/>
      <c r="H737" s="92"/>
      <c r="I737" s="85">
        <f t="shared" si="47"/>
        <v>0</v>
      </c>
      <c r="J737" s="93"/>
      <c r="K737" s="85">
        <f t="shared" si="48"/>
        <v>0</v>
      </c>
      <c r="L737" s="68"/>
      <c r="M737" s="68"/>
      <c r="P737" s="89" t="str">
        <f t="shared" si="46"/>
        <v xml:space="preserve">  1 1900 </v>
      </c>
    </row>
    <row r="738" spans="1:16">
      <c r="A738" s="68"/>
      <c r="B738" s="87"/>
      <c r="C738" s="88"/>
      <c r="D738" s="88"/>
      <c r="E738" s="90"/>
      <c r="F738" s="84" t="str">
        <f ca="1">IF(D738="Income",LOOKUP(E738,Introduction!$A$11:$A$18,Introduction!$C$11:$C$18),IF(D738="Expense",LOOKUP(E738,Introduction!$D$11:$D$30,Introduction!$F$11:$F$30),"_"))</f>
        <v>_</v>
      </c>
      <c r="G738" s="88"/>
      <c r="H738" s="92"/>
      <c r="I738" s="85">
        <f t="shared" si="47"/>
        <v>0</v>
      </c>
      <c r="J738" s="93"/>
      <c r="K738" s="85">
        <f t="shared" si="48"/>
        <v>0</v>
      </c>
      <c r="L738" s="68"/>
      <c r="M738" s="68"/>
      <c r="P738" s="89" t="str">
        <f t="shared" si="46"/>
        <v xml:space="preserve">  1 1900 </v>
      </c>
    </row>
    <row r="739" spans="1:16">
      <c r="A739" s="68"/>
      <c r="B739" s="87"/>
      <c r="C739" s="88"/>
      <c r="D739" s="88"/>
      <c r="E739" s="90"/>
      <c r="F739" s="84" t="str">
        <f ca="1">IF(D739="Income",LOOKUP(E739,Introduction!$A$11:$A$18,Introduction!$C$11:$C$18),IF(D739="Expense",LOOKUP(E739,Introduction!$D$11:$D$30,Introduction!$F$11:$F$30),"_"))</f>
        <v>_</v>
      </c>
      <c r="G739" s="88"/>
      <c r="H739" s="92"/>
      <c r="I739" s="85">
        <f t="shared" si="47"/>
        <v>0</v>
      </c>
      <c r="J739" s="93"/>
      <c r="K739" s="85">
        <f t="shared" si="48"/>
        <v>0</v>
      </c>
      <c r="L739" s="68"/>
      <c r="M739" s="68"/>
      <c r="P739" s="89" t="str">
        <f t="shared" si="46"/>
        <v xml:space="preserve">  1 1900 </v>
      </c>
    </row>
    <row r="740" spans="1:16">
      <c r="A740" s="68"/>
      <c r="B740" s="87"/>
      <c r="C740" s="88"/>
      <c r="D740" s="88"/>
      <c r="E740" s="90"/>
      <c r="F740" s="84" t="str">
        <f ca="1">IF(D740="Income",LOOKUP(E740,Introduction!$A$11:$A$18,Introduction!$C$11:$C$18),IF(D740="Expense",LOOKUP(E740,Introduction!$D$11:$D$30,Introduction!$F$11:$F$30),"_"))</f>
        <v>_</v>
      </c>
      <c r="G740" s="88"/>
      <c r="H740" s="92"/>
      <c r="I740" s="85">
        <f t="shared" si="47"/>
        <v>0</v>
      </c>
      <c r="J740" s="93"/>
      <c r="K740" s="85">
        <f t="shared" si="48"/>
        <v>0</v>
      </c>
      <c r="L740" s="68"/>
      <c r="M740" s="68"/>
      <c r="P740" s="89" t="str">
        <f t="shared" si="46"/>
        <v xml:space="preserve">  1 1900 </v>
      </c>
    </row>
    <row r="741" spans="1:16">
      <c r="A741" s="68"/>
      <c r="B741" s="87"/>
      <c r="C741" s="88"/>
      <c r="D741" s="88"/>
      <c r="E741" s="90"/>
      <c r="F741" s="84" t="str">
        <f ca="1">IF(D741="Income",LOOKUP(E741,Introduction!$A$11:$A$18,Introduction!$C$11:$C$18),IF(D741="Expense",LOOKUP(E741,Introduction!$D$11:$D$30,Introduction!$F$11:$F$30),"_"))</f>
        <v>_</v>
      </c>
      <c r="G741" s="88"/>
      <c r="H741" s="92"/>
      <c r="I741" s="85">
        <f t="shared" si="47"/>
        <v>0</v>
      </c>
      <c r="J741" s="93"/>
      <c r="K741" s="85">
        <f t="shared" si="48"/>
        <v>0</v>
      </c>
      <c r="L741" s="68"/>
      <c r="M741" s="68"/>
      <c r="P741" s="89" t="str">
        <f t="shared" si="46"/>
        <v xml:space="preserve">  1 1900 </v>
      </c>
    </row>
    <row r="742" spans="1:16">
      <c r="A742" s="68"/>
      <c r="B742" s="87"/>
      <c r="C742" s="88"/>
      <c r="D742" s="88"/>
      <c r="E742" s="90"/>
      <c r="F742" s="84" t="str">
        <f ca="1">IF(D742="Income",LOOKUP(E742,Introduction!$A$11:$A$18,Introduction!$C$11:$C$18),IF(D742="Expense",LOOKUP(E742,Introduction!$D$11:$D$30,Introduction!$F$11:$F$30),"_"))</f>
        <v>_</v>
      </c>
      <c r="G742" s="88"/>
      <c r="H742" s="92"/>
      <c r="I742" s="85">
        <f t="shared" si="47"/>
        <v>0</v>
      </c>
      <c r="J742" s="93"/>
      <c r="K742" s="85">
        <f t="shared" si="48"/>
        <v>0</v>
      </c>
      <c r="L742" s="68"/>
      <c r="M742" s="68"/>
      <c r="P742" s="89" t="str">
        <f t="shared" si="46"/>
        <v xml:space="preserve">  1 1900 </v>
      </c>
    </row>
    <row r="743" spans="1:16">
      <c r="A743" s="68"/>
      <c r="B743" s="87"/>
      <c r="C743" s="88"/>
      <c r="D743" s="88"/>
      <c r="E743" s="90"/>
      <c r="F743" s="84" t="str">
        <f ca="1">IF(D743="Income",LOOKUP(E743,Introduction!$A$11:$A$18,Introduction!$C$11:$C$18),IF(D743="Expense",LOOKUP(E743,Introduction!$D$11:$D$30,Introduction!$F$11:$F$30),"_"))</f>
        <v>_</v>
      </c>
      <c r="G743" s="88"/>
      <c r="H743" s="92"/>
      <c r="I743" s="85">
        <f t="shared" si="47"/>
        <v>0</v>
      </c>
      <c r="J743" s="93"/>
      <c r="K743" s="85">
        <f t="shared" si="48"/>
        <v>0</v>
      </c>
      <c r="L743" s="68"/>
      <c r="M743" s="68"/>
      <c r="P743" s="89" t="str">
        <f t="shared" si="46"/>
        <v xml:space="preserve">  1 1900 </v>
      </c>
    </row>
    <row r="744" spans="1:16">
      <c r="A744" s="68"/>
      <c r="B744" s="87"/>
      <c r="C744" s="88"/>
      <c r="D744" s="88"/>
      <c r="E744" s="90"/>
      <c r="F744" s="84" t="str">
        <f ca="1">IF(D744="Income",LOOKUP(E744,Introduction!$A$11:$A$18,Introduction!$C$11:$C$18),IF(D744="Expense",LOOKUP(E744,Introduction!$D$11:$D$30,Introduction!$F$11:$F$30),"_"))</f>
        <v>_</v>
      </c>
      <c r="G744" s="88"/>
      <c r="H744" s="92"/>
      <c r="I744" s="85">
        <f t="shared" si="47"/>
        <v>0</v>
      </c>
      <c r="J744" s="93"/>
      <c r="K744" s="85">
        <f t="shared" si="48"/>
        <v>0</v>
      </c>
      <c r="L744" s="68"/>
      <c r="M744" s="68"/>
      <c r="P744" s="89" t="str">
        <f t="shared" si="46"/>
        <v xml:space="preserve">  1 1900 </v>
      </c>
    </row>
    <row r="745" spans="1:16">
      <c r="A745" s="68"/>
      <c r="B745" s="87"/>
      <c r="C745" s="88"/>
      <c r="D745" s="88"/>
      <c r="E745" s="90"/>
      <c r="F745" s="84" t="str">
        <f ca="1">IF(D745="Income",LOOKUP(E745,Introduction!$A$11:$A$18,Introduction!$C$11:$C$18),IF(D745="Expense",LOOKUP(E745,Introduction!$D$11:$D$30,Introduction!$F$11:$F$30),"_"))</f>
        <v>_</v>
      </c>
      <c r="G745" s="88"/>
      <c r="H745" s="92"/>
      <c r="I745" s="85">
        <f t="shared" si="47"/>
        <v>0</v>
      </c>
      <c r="J745" s="93"/>
      <c r="K745" s="85">
        <f t="shared" si="48"/>
        <v>0</v>
      </c>
      <c r="L745" s="68"/>
      <c r="M745" s="68"/>
      <c r="P745" s="89" t="str">
        <f t="shared" si="46"/>
        <v xml:space="preserve">  1 1900 </v>
      </c>
    </row>
    <row r="746" spans="1:16">
      <c r="A746" s="68"/>
      <c r="B746" s="87"/>
      <c r="C746" s="88"/>
      <c r="D746" s="88"/>
      <c r="E746" s="90"/>
      <c r="F746" s="84" t="str">
        <f ca="1">IF(D746="Income",LOOKUP(E746,Introduction!$A$11:$A$18,Introduction!$C$11:$C$18),IF(D746="Expense",LOOKUP(E746,Introduction!$D$11:$D$30,Introduction!$F$11:$F$30),"_"))</f>
        <v>_</v>
      </c>
      <c r="G746" s="88"/>
      <c r="H746" s="92"/>
      <c r="I746" s="85">
        <f t="shared" si="47"/>
        <v>0</v>
      </c>
      <c r="J746" s="93"/>
      <c r="K746" s="85">
        <f t="shared" si="48"/>
        <v>0</v>
      </c>
      <c r="L746" s="68"/>
      <c r="M746" s="68"/>
      <c r="P746" s="89" t="str">
        <f t="shared" si="46"/>
        <v xml:space="preserve">  1 1900 </v>
      </c>
    </row>
    <row r="747" spans="1:16">
      <c r="A747" s="68"/>
      <c r="B747" s="87"/>
      <c r="C747" s="88"/>
      <c r="D747" s="88"/>
      <c r="E747" s="90"/>
      <c r="F747" s="84" t="str">
        <f ca="1">IF(D747="Income",LOOKUP(E747,Introduction!$A$11:$A$18,Introduction!$C$11:$C$18),IF(D747="Expense",LOOKUP(E747,Introduction!$D$11:$D$30,Introduction!$F$11:$F$30),"_"))</f>
        <v>_</v>
      </c>
      <c r="G747" s="88"/>
      <c r="H747" s="92"/>
      <c r="I747" s="85">
        <f t="shared" si="47"/>
        <v>0</v>
      </c>
      <c r="J747" s="93"/>
      <c r="K747" s="85">
        <f t="shared" si="48"/>
        <v>0</v>
      </c>
      <c r="L747" s="68"/>
      <c r="M747" s="68"/>
      <c r="P747" s="89" t="str">
        <f t="shared" si="46"/>
        <v xml:space="preserve">  1 1900 </v>
      </c>
    </row>
    <row r="748" spans="1:16">
      <c r="A748" s="68"/>
      <c r="B748" s="87"/>
      <c r="C748" s="88"/>
      <c r="D748" s="88"/>
      <c r="E748" s="90"/>
      <c r="F748" s="84" t="str">
        <f ca="1">IF(D748="Income",LOOKUP(E748,Introduction!$A$11:$A$18,Introduction!$C$11:$C$18),IF(D748="Expense",LOOKUP(E748,Introduction!$D$11:$D$30,Introduction!$F$11:$F$30),"_"))</f>
        <v>_</v>
      </c>
      <c r="G748" s="88"/>
      <c r="H748" s="92"/>
      <c r="I748" s="85">
        <f t="shared" si="47"/>
        <v>0</v>
      </c>
      <c r="J748" s="93"/>
      <c r="K748" s="85">
        <f t="shared" si="48"/>
        <v>0</v>
      </c>
      <c r="L748" s="68"/>
      <c r="M748" s="68"/>
      <c r="P748" s="89" t="str">
        <f t="shared" si="46"/>
        <v xml:space="preserve">  1 1900 </v>
      </c>
    </row>
    <row r="749" spans="1:16">
      <c r="A749" s="68"/>
      <c r="B749" s="87"/>
      <c r="C749" s="88"/>
      <c r="D749" s="88"/>
      <c r="E749" s="90"/>
      <c r="F749" s="84" t="str">
        <f ca="1">IF(D749="Income",LOOKUP(E749,Introduction!$A$11:$A$18,Introduction!$C$11:$C$18),IF(D749="Expense",LOOKUP(E749,Introduction!$D$11:$D$30,Introduction!$F$11:$F$30),"_"))</f>
        <v>_</v>
      </c>
      <c r="G749" s="88"/>
      <c r="H749" s="92"/>
      <c r="I749" s="85">
        <f t="shared" si="47"/>
        <v>0</v>
      </c>
      <c r="J749" s="93"/>
      <c r="K749" s="85">
        <f t="shared" si="48"/>
        <v>0</v>
      </c>
      <c r="L749" s="68"/>
      <c r="M749" s="68"/>
      <c r="P749" s="89" t="str">
        <f t="shared" si="46"/>
        <v xml:space="preserve">  1 1900 </v>
      </c>
    </row>
    <row r="750" spans="1:16">
      <c r="A750" s="68"/>
      <c r="B750" s="87"/>
      <c r="C750" s="88"/>
      <c r="D750" s="88"/>
      <c r="E750" s="90"/>
      <c r="F750" s="84" t="str">
        <f ca="1">IF(D750="Income",LOOKUP(E750,Introduction!$A$11:$A$18,Introduction!$C$11:$C$18),IF(D750="Expense",LOOKUP(E750,Introduction!$D$11:$D$30,Introduction!$F$11:$F$30),"_"))</f>
        <v>_</v>
      </c>
      <c r="G750" s="88"/>
      <c r="H750" s="92"/>
      <c r="I750" s="85">
        <f t="shared" si="47"/>
        <v>0</v>
      </c>
      <c r="J750" s="93"/>
      <c r="K750" s="85">
        <f t="shared" si="48"/>
        <v>0</v>
      </c>
      <c r="L750" s="68"/>
      <c r="M750" s="68"/>
      <c r="P750" s="89" t="str">
        <f t="shared" si="46"/>
        <v xml:space="preserve">  1 1900 </v>
      </c>
    </row>
    <row r="751" spans="1:16">
      <c r="A751" s="68"/>
      <c r="B751" s="87"/>
      <c r="C751" s="88"/>
      <c r="D751" s="88"/>
      <c r="E751" s="90"/>
      <c r="F751" s="84" t="str">
        <f ca="1">IF(D751="Income",LOOKUP(E751,Introduction!$A$11:$A$18,Introduction!$C$11:$C$18),IF(D751="Expense",LOOKUP(E751,Introduction!$D$11:$D$30,Introduction!$F$11:$F$30),"_"))</f>
        <v>_</v>
      </c>
      <c r="G751" s="88"/>
      <c r="H751" s="92"/>
      <c r="I751" s="85">
        <f t="shared" si="47"/>
        <v>0</v>
      </c>
      <c r="J751" s="93"/>
      <c r="K751" s="85">
        <f t="shared" si="48"/>
        <v>0</v>
      </c>
      <c r="L751" s="68"/>
      <c r="M751" s="68"/>
      <c r="P751" s="89" t="str">
        <f t="shared" si="46"/>
        <v xml:space="preserve">  1 1900 </v>
      </c>
    </row>
    <row r="752" spans="1:16">
      <c r="A752" s="68"/>
      <c r="B752" s="87"/>
      <c r="C752" s="88"/>
      <c r="D752" s="88"/>
      <c r="E752" s="90"/>
      <c r="F752" s="84" t="str">
        <f ca="1">IF(D752="Income",LOOKUP(E752,Introduction!$A$11:$A$18,Introduction!$C$11:$C$18),IF(D752="Expense",LOOKUP(E752,Introduction!$D$11:$D$30,Introduction!$F$11:$F$30),"_"))</f>
        <v>_</v>
      </c>
      <c r="G752" s="88"/>
      <c r="H752" s="92"/>
      <c r="I752" s="85">
        <f t="shared" si="47"/>
        <v>0</v>
      </c>
      <c r="J752" s="93"/>
      <c r="K752" s="85">
        <f t="shared" si="48"/>
        <v>0</v>
      </c>
      <c r="L752" s="68"/>
      <c r="M752" s="68"/>
      <c r="P752" s="89" t="str">
        <f t="shared" si="46"/>
        <v xml:space="preserve">  1 1900 </v>
      </c>
    </row>
    <row r="753" spans="1:16">
      <c r="A753" s="68"/>
      <c r="B753" s="87"/>
      <c r="C753" s="88"/>
      <c r="D753" s="88"/>
      <c r="E753" s="90"/>
      <c r="F753" s="84" t="str">
        <f ca="1">IF(D753="Income",LOOKUP(E753,Introduction!$A$11:$A$18,Introduction!$C$11:$C$18),IF(D753="Expense",LOOKUP(E753,Introduction!$D$11:$D$30,Introduction!$F$11:$F$30),"_"))</f>
        <v>_</v>
      </c>
      <c r="G753" s="88"/>
      <c r="H753" s="92"/>
      <c r="I753" s="85">
        <f t="shared" si="47"/>
        <v>0</v>
      </c>
      <c r="J753" s="93"/>
      <c r="K753" s="85">
        <f t="shared" si="48"/>
        <v>0</v>
      </c>
      <c r="L753" s="68"/>
      <c r="M753" s="68"/>
      <c r="P753" s="89" t="str">
        <f t="shared" si="46"/>
        <v xml:space="preserve">  1 1900 </v>
      </c>
    </row>
    <row r="754" spans="1:16">
      <c r="A754" s="68"/>
      <c r="B754" s="87"/>
      <c r="C754" s="88"/>
      <c r="D754" s="88"/>
      <c r="E754" s="90"/>
      <c r="F754" s="84" t="str">
        <f ca="1">IF(D754="Income",LOOKUP(E754,Introduction!$A$11:$A$18,Introduction!$C$11:$C$18),IF(D754="Expense",LOOKUP(E754,Introduction!$D$11:$D$30,Introduction!$F$11:$F$30),"_"))</f>
        <v>_</v>
      </c>
      <c r="G754" s="88"/>
      <c r="H754" s="92"/>
      <c r="I754" s="85">
        <f t="shared" si="47"/>
        <v>0</v>
      </c>
      <c r="J754" s="93"/>
      <c r="K754" s="85">
        <f t="shared" si="48"/>
        <v>0</v>
      </c>
      <c r="L754" s="68"/>
      <c r="M754" s="68"/>
      <c r="P754" s="89" t="str">
        <f t="shared" si="46"/>
        <v xml:space="preserve">  1 1900 </v>
      </c>
    </row>
    <row r="755" spans="1:16">
      <c r="A755" s="68"/>
      <c r="B755" s="87"/>
      <c r="C755" s="88"/>
      <c r="D755" s="88"/>
      <c r="E755" s="90"/>
      <c r="F755" s="84" t="str">
        <f ca="1">IF(D755="Income",LOOKUP(E755,Introduction!$A$11:$A$18,Introduction!$C$11:$C$18),IF(D755="Expense",LOOKUP(E755,Introduction!$D$11:$D$30,Introduction!$F$11:$F$30),"_"))</f>
        <v>_</v>
      </c>
      <c r="G755" s="88"/>
      <c r="H755" s="92"/>
      <c r="I755" s="85">
        <f t="shared" si="47"/>
        <v>0</v>
      </c>
      <c r="J755" s="93"/>
      <c r="K755" s="85">
        <f t="shared" si="48"/>
        <v>0</v>
      </c>
      <c r="L755" s="68"/>
      <c r="M755" s="68"/>
      <c r="P755" s="89" t="str">
        <f t="shared" si="46"/>
        <v xml:space="preserve">  1 1900 </v>
      </c>
    </row>
    <row r="756" spans="1:16">
      <c r="A756" s="68"/>
      <c r="B756" s="87"/>
      <c r="C756" s="88"/>
      <c r="D756" s="88"/>
      <c r="E756" s="90"/>
      <c r="F756" s="84" t="str">
        <f ca="1">IF(D756="Income",LOOKUP(E756,Introduction!$A$11:$A$18,Introduction!$C$11:$C$18),IF(D756="Expense",LOOKUP(E756,Introduction!$D$11:$D$30,Introduction!$F$11:$F$30),"_"))</f>
        <v>_</v>
      </c>
      <c r="G756" s="88"/>
      <c r="H756" s="92"/>
      <c r="I756" s="85">
        <f t="shared" si="47"/>
        <v>0</v>
      </c>
      <c r="J756" s="93"/>
      <c r="K756" s="85">
        <f t="shared" si="48"/>
        <v>0</v>
      </c>
      <c r="L756" s="68"/>
      <c r="M756" s="68"/>
      <c r="P756" s="89" t="str">
        <f t="shared" si="46"/>
        <v xml:space="preserve">  1 1900 </v>
      </c>
    </row>
    <row r="757" spans="1:16">
      <c r="A757" s="68"/>
      <c r="B757" s="87"/>
      <c r="C757" s="88"/>
      <c r="D757" s="88"/>
      <c r="E757" s="90"/>
      <c r="F757" s="84" t="str">
        <f ca="1">IF(D757="Income",LOOKUP(E757,Introduction!$A$11:$A$18,Introduction!$C$11:$C$18),IF(D757="Expense",LOOKUP(E757,Introduction!$D$11:$D$30,Introduction!$F$11:$F$30),"_"))</f>
        <v>_</v>
      </c>
      <c r="G757" s="88"/>
      <c r="H757" s="92"/>
      <c r="I757" s="85">
        <f t="shared" si="47"/>
        <v>0</v>
      </c>
      <c r="J757" s="93"/>
      <c r="K757" s="85">
        <f t="shared" si="48"/>
        <v>0</v>
      </c>
      <c r="L757" s="68"/>
      <c r="M757" s="68"/>
      <c r="P757" s="89" t="str">
        <f t="shared" si="46"/>
        <v xml:space="preserve">  1 1900 </v>
      </c>
    </row>
    <row r="758" spans="1:16">
      <c r="A758" s="68"/>
      <c r="B758" s="87"/>
      <c r="C758" s="88"/>
      <c r="D758" s="88"/>
      <c r="E758" s="90"/>
      <c r="F758" s="84" t="str">
        <f ca="1">IF(D758="Income",LOOKUP(E758,Introduction!$A$11:$A$18,Introduction!$C$11:$C$18),IF(D758="Expense",LOOKUP(E758,Introduction!$D$11:$D$30,Introduction!$F$11:$F$30),"_"))</f>
        <v>_</v>
      </c>
      <c r="G758" s="88"/>
      <c r="H758" s="92"/>
      <c r="I758" s="85">
        <f t="shared" si="47"/>
        <v>0</v>
      </c>
      <c r="J758" s="93"/>
      <c r="K758" s="85">
        <f t="shared" si="48"/>
        <v>0</v>
      </c>
      <c r="L758" s="68"/>
      <c r="M758" s="68"/>
      <c r="P758" s="89" t="str">
        <f t="shared" si="46"/>
        <v xml:space="preserve">  1 1900 </v>
      </c>
    </row>
    <row r="759" spans="1:16">
      <c r="A759" s="68"/>
      <c r="B759" s="87"/>
      <c r="C759" s="88"/>
      <c r="D759" s="88"/>
      <c r="E759" s="90"/>
      <c r="F759" s="84" t="str">
        <f ca="1">IF(D759="Income",LOOKUP(E759,Introduction!$A$11:$A$18,Introduction!$C$11:$C$18),IF(D759="Expense",LOOKUP(E759,Introduction!$D$11:$D$30,Introduction!$F$11:$F$30),"_"))</f>
        <v>_</v>
      </c>
      <c r="G759" s="88"/>
      <c r="H759" s="92"/>
      <c r="I759" s="85">
        <f t="shared" si="47"/>
        <v>0</v>
      </c>
      <c r="J759" s="93"/>
      <c r="K759" s="85">
        <f t="shared" si="48"/>
        <v>0</v>
      </c>
      <c r="L759" s="68"/>
      <c r="M759" s="68"/>
      <c r="P759" s="89" t="str">
        <f t="shared" si="46"/>
        <v xml:space="preserve">  1 1900 </v>
      </c>
    </row>
    <row r="760" spans="1:16">
      <c r="A760" s="68"/>
      <c r="B760" s="87"/>
      <c r="C760" s="88"/>
      <c r="D760" s="88"/>
      <c r="E760" s="90"/>
      <c r="F760" s="84" t="str">
        <f ca="1">IF(D760="Income",LOOKUP(E760,Introduction!$A$11:$A$18,Introduction!$C$11:$C$18),IF(D760="Expense",LOOKUP(E760,Introduction!$D$11:$D$30,Introduction!$F$11:$F$30),"_"))</f>
        <v>_</v>
      </c>
      <c r="G760" s="88"/>
      <c r="H760" s="92"/>
      <c r="I760" s="85">
        <f t="shared" si="47"/>
        <v>0</v>
      </c>
      <c r="J760" s="93"/>
      <c r="K760" s="85">
        <f t="shared" si="48"/>
        <v>0</v>
      </c>
      <c r="L760" s="68"/>
      <c r="M760" s="68"/>
      <c r="P760" s="89" t="str">
        <f t="shared" si="46"/>
        <v xml:space="preserve">  1 1900 </v>
      </c>
    </row>
    <row r="761" spans="1:16">
      <c r="A761" s="68"/>
      <c r="B761" s="87"/>
      <c r="C761" s="88"/>
      <c r="D761" s="88"/>
      <c r="E761" s="90"/>
      <c r="F761" s="84" t="str">
        <f ca="1">IF(D761="Income",LOOKUP(E761,Introduction!$A$11:$A$18,Introduction!$C$11:$C$18),IF(D761="Expense",LOOKUP(E761,Introduction!$D$11:$D$30,Introduction!$F$11:$F$30),"_"))</f>
        <v>_</v>
      </c>
      <c r="G761" s="88"/>
      <c r="H761" s="92"/>
      <c r="I761" s="85">
        <f t="shared" si="47"/>
        <v>0</v>
      </c>
      <c r="J761" s="93"/>
      <c r="K761" s="85">
        <f t="shared" si="48"/>
        <v>0</v>
      </c>
      <c r="L761" s="68"/>
      <c r="M761" s="68"/>
      <c r="P761" s="89" t="str">
        <f t="shared" si="46"/>
        <v xml:space="preserve">  1 1900 </v>
      </c>
    </row>
    <row r="762" spans="1:16">
      <c r="A762" s="68"/>
      <c r="B762" s="87"/>
      <c r="C762" s="88"/>
      <c r="D762" s="88"/>
      <c r="E762" s="90"/>
      <c r="F762" s="84" t="str">
        <f ca="1">IF(D762="Income",LOOKUP(E762,Introduction!$A$11:$A$18,Introduction!$C$11:$C$18),IF(D762="Expense",LOOKUP(E762,Introduction!$D$11:$D$30,Introduction!$F$11:$F$30),"_"))</f>
        <v>_</v>
      </c>
      <c r="G762" s="88"/>
      <c r="H762" s="92"/>
      <c r="I762" s="85">
        <f t="shared" si="47"/>
        <v>0</v>
      </c>
      <c r="J762" s="93"/>
      <c r="K762" s="85">
        <f t="shared" si="48"/>
        <v>0</v>
      </c>
      <c r="L762" s="68"/>
      <c r="M762" s="68"/>
      <c r="P762" s="89" t="str">
        <f t="shared" si="46"/>
        <v xml:space="preserve">  1 1900 </v>
      </c>
    </row>
    <row r="763" spans="1:16">
      <c r="A763" s="68"/>
      <c r="B763" s="87"/>
      <c r="C763" s="88"/>
      <c r="D763" s="88"/>
      <c r="E763" s="90"/>
      <c r="F763" s="84" t="str">
        <f ca="1">IF(D763="Income",LOOKUP(E763,Introduction!$A$11:$A$18,Introduction!$C$11:$C$18),IF(D763="Expense",LOOKUP(E763,Introduction!$D$11:$D$30,Introduction!$F$11:$F$30),"_"))</f>
        <v>_</v>
      </c>
      <c r="G763" s="88"/>
      <c r="H763" s="92"/>
      <c r="I763" s="85">
        <f t="shared" si="47"/>
        <v>0</v>
      </c>
      <c r="J763" s="93"/>
      <c r="K763" s="85">
        <f t="shared" si="48"/>
        <v>0</v>
      </c>
      <c r="L763" s="68"/>
      <c r="M763" s="68"/>
      <c r="P763" s="89" t="str">
        <f t="shared" si="46"/>
        <v xml:space="preserve">  1 1900 </v>
      </c>
    </row>
    <row r="764" spans="1:16">
      <c r="A764" s="68"/>
      <c r="B764" s="87"/>
      <c r="C764" s="88"/>
      <c r="D764" s="88"/>
      <c r="E764" s="90"/>
      <c r="F764" s="84" t="str">
        <f ca="1">IF(D764="Income",LOOKUP(E764,Introduction!$A$11:$A$18,Introduction!$C$11:$C$18),IF(D764="Expense",LOOKUP(E764,Introduction!$D$11:$D$30,Introduction!$F$11:$F$30),"_"))</f>
        <v>_</v>
      </c>
      <c r="G764" s="88"/>
      <c r="H764" s="92"/>
      <c r="I764" s="85">
        <f t="shared" si="47"/>
        <v>0</v>
      </c>
      <c r="J764" s="93"/>
      <c r="K764" s="85">
        <f t="shared" si="48"/>
        <v>0</v>
      </c>
      <c r="L764" s="68"/>
      <c r="M764" s="68"/>
      <c r="P764" s="89" t="str">
        <f t="shared" si="46"/>
        <v xml:space="preserve">  1 1900 </v>
      </c>
    </row>
    <row r="765" spans="1:16">
      <c r="A765" s="68"/>
      <c r="B765" s="87"/>
      <c r="C765" s="88"/>
      <c r="D765" s="88"/>
      <c r="E765" s="90"/>
      <c r="F765" s="84" t="str">
        <f ca="1">IF(D765="Income",LOOKUP(E765,Introduction!$A$11:$A$18,Introduction!$C$11:$C$18),IF(D765="Expense",LOOKUP(E765,Introduction!$D$11:$D$30,Introduction!$F$11:$F$30),"_"))</f>
        <v>_</v>
      </c>
      <c r="G765" s="88"/>
      <c r="H765" s="92"/>
      <c r="I765" s="85">
        <f t="shared" si="47"/>
        <v>0</v>
      </c>
      <c r="J765" s="93"/>
      <c r="K765" s="85">
        <f t="shared" si="48"/>
        <v>0</v>
      </c>
      <c r="L765" s="68"/>
      <c r="M765" s="68"/>
      <c r="P765" s="89" t="str">
        <f t="shared" si="46"/>
        <v xml:space="preserve">  1 1900 </v>
      </c>
    </row>
    <row r="766" spans="1:16">
      <c r="A766" s="68"/>
      <c r="B766" s="87"/>
      <c r="C766" s="88"/>
      <c r="D766" s="88"/>
      <c r="E766" s="90"/>
      <c r="F766" s="84" t="str">
        <f ca="1">IF(D766="Income",LOOKUP(E766,Introduction!$A$11:$A$18,Introduction!$C$11:$C$18),IF(D766="Expense",LOOKUP(E766,Introduction!$D$11:$D$30,Introduction!$F$11:$F$30),"_"))</f>
        <v>_</v>
      </c>
      <c r="G766" s="88"/>
      <c r="H766" s="92"/>
      <c r="I766" s="85">
        <f t="shared" si="47"/>
        <v>0</v>
      </c>
      <c r="J766" s="93"/>
      <c r="K766" s="85">
        <f t="shared" si="48"/>
        <v>0</v>
      </c>
      <c r="L766" s="68"/>
      <c r="M766" s="68"/>
      <c r="P766" s="89" t="str">
        <f t="shared" si="46"/>
        <v xml:space="preserve">  1 1900 </v>
      </c>
    </row>
    <row r="767" spans="1:16">
      <c r="A767" s="68"/>
      <c r="B767" s="87"/>
      <c r="C767" s="88"/>
      <c r="D767" s="88"/>
      <c r="E767" s="90"/>
      <c r="F767" s="84" t="str">
        <f ca="1">IF(D767="Income",LOOKUP(E767,Introduction!$A$11:$A$18,Introduction!$C$11:$C$18),IF(D767="Expense",LOOKUP(E767,Introduction!$D$11:$D$30,Introduction!$F$11:$F$30),"_"))</f>
        <v>_</v>
      </c>
      <c r="G767" s="88"/>
      <c r="H767" s="92"/>
      <c r="I767" s="85">
        <f t="shared" si="47"/>
        <v>0</v>
      </c>
      <c r="J767" s="93"/>
      <c r="K767" s="85">
        <f t="shared" si="48"/>
        <v>0</v>
      </c>
      <c r="L767" s="68"/>
      <c r="M767" s="68"/>
      <c r="P767" s="89" t="str">
        <f t="shared" si="46"/>
        <v xml:space="preserve">  1 1900 </v>
      </c>
    </row>
    <row r="768" spans="1:16">
      <c r="A768" s="68"/>
      <c r="B768" s="87"/>
      <c r="C768" s="88"/>
      <c r="D768" s="88"/>
      <c r="E768" s="90"/>
      <c r="F768" s="84" t="str">
        <f ca="1">IF(D768="Income",LOOKUP(E768,Introduction!$A$11:$A$18,Introduction!$C$11:$C$18),IF(D768="Expense",LOOKUP(E768,Introduction!$D$11:$D$30,Introduction!$F$11:$F$30),"_"))</f>
        <v>_</v>
      </c>
      <c r="G768" s="88"/>
      <c r="H768" s="92"/>
      <c r="I768" s="85">
        <f t="shared" si="47"/>
        <v>0</v>
      </c>
      <c r="J768" s="93"/>
      <c r="K768" s="85">
        <f t="shared" si="48"/>
        <v>0</v>
      </c>
      <c r="L768" s="68"/>
      <c r="M768" s="68"/>
      <c r="P768" s="89" t="str">
        <f t="shared" si="46"/>
        <v xml:space="preserve">  1 1900 </v>
      </c>
    </row>
    <row r="769" spans="1:16">
      <c r="A769" s="68"/>
      <c r="B769" s="87"/>
      <c r="C769" s="88"/>
      <c r="D769" s="88"/>
      <c r="E769" s="90"/>
      <c r="F769" s="84" t="str">
        <f ca="1">IF(D769="Income",LOOKUP(E769,Introduction!$A$11:$A$18,Introduction!$C$11:$C$18),IF(D769="Expense",LOOKUP(E769,Introduction!$D$11:$D$30,Introduction!$F$11:$F$30),"_"))</f>
        <v>_</v>
      </c>
      <c r="G769" s="88"/>
      <c r="H769" s="92"/>
      <c r="I769" s="85">
        <f t="shared" si="47"/>
        <v>0</v>
      </c>
      <c r="J769" s="93"/>
      <c r="K769" s="85">
        <f t="shared" si="48"/>
        <v>0</v>
      </c>
      <c r="L769" s="68"/>
      <c r="M769" s="68"/>
      <c r="P769" s="89" t="str">
        <f t="shared" si="46"/>
        <v xml:space="preserve">  1 1900 </v>
      </c>
    </row>
    <row r="770" spans="1:16">
      <c r="A770" s="68"/>
      <c r="B770" s="87"/>
      <c r="C770" s="88"/>
      <c r="D770" s="88"/>
      <c r="E770" s="90"/>
      <c r="F770" s="84" t="str">
        <f ca="1">IF(D770="Income",LOOKUP(E770,Introduction!$A$11:$A$18,Introduction!$C$11:$C$18),IF(D770="Expense",LOOKUP(E770,Introduction!$D$11:$D$30,Introduction!$F$11:$F$30),"_"))</f>
        <v>_</v>
      </c>
      <c r="G770" s="88"/>
      <c r="H770" s="92"/>
      <c r="I770" s="85">
        <f t="shared" si="47"/>
        <v>0</v>
      </c>
      <c r="J770" s="93"/>
      <c r="K770" s="85">
        <f t="shared" si="48"/>
        <v>0</v>
      </c>
      <c r="L770" s="68"/>
      <c r="M770" s="68"/>
      <c r="P770" s="89" t="str">
        <f t="shared" si="46"/>
        <v xml:space="preserve">  1 1900 </v>
      </c>
    </row>
    <row r="771" spans="1:16">
      <c r="A771" s="68"/>
      <c r="B771" s="87"/>
      <c r="C771" s="88"/>
      <c r="D771" s="88"/>
      <c r="E771" s="90"/>
      <c r="F771" s="84" t="str">
        <f ca="1">IF(D771="Income",LOOKUP(E771,Introduction!$A$11:$A$18,Introduction!$C$11:$C$18),IF(D771="Expense",LOOKUP(E771,Introduction!$D$11:$D$30,Introduction!$F$11:$F$30),"_"))</f>
        <v>_</v>
      </c>
      <c r="G771" s="88"/>
      <c r="H771" s="92"/>
      <c r="I771" s="85">
        <f t="shared" si="47"/>
        <v>0</v>
      </c>
      <c r="J771" s="93"/>
      <c r="K771" s="85">
        <f t="shared" si="48"/>
        <v>0</v>
      </c>
      <c r="L771" s="68"/>
      <c r="M771" s="68"/>
      <c r="P771" s="89" t="str">
        <f t="shared" si="46"/>
        <v xml:space="preserve">  1 1900 </v>
      </c>
    </row>
    <row r="772" spans="1:16">
      <c r="A772" s="68"/>
      <c r="B772" s="87"/>
      <c r="C772" s="88"/>
      <c r="D772" s="88"/>
      <c r="E772" s="90"/>
      <c r="F772" s="84" t="str">
        <f ca="1">IF(D772="Income",LOOKUP(E772,Introduction!$A$11:$A$18,Introduction!$C$11:$C$18),IF(D772="Expense",LOOKUP(E772,Introduction!$D$11:$D$30,Introduction!$F$11:$F$30),"_"))</f>
        <v>_</v>
      </c>
      <c r="G772" s="88"/>
      <c r="H772" s="92"/>
      <c r="I772" s="85">
        <f t="shared" si="47"/>
        <v>0</v>
      </c>
      <c r="J772" s="93"/>
      <c r="K772" s="85">
        <f t="shared" si="48"/>
        <v>0</v>
      </c>
      <c r="L772" s="68"/>
      <c r="M772" s="68"/>
      <c r="P772" s="89" t="str">
        <f t="shared" si="46"/>
        <v xml:space="preserve">  1 1900 </v>
      </c>
    </row>
    <row r="773" spans="1:16">
      <c r="A773" s="68"/>
      <c r="B773" s="87"/>
      <c r="C773" s="88"/>
      <c r="D773" s="88"/>
      <c r="E773" s="90"/>
      <c r="F773" s="84" t="str">
        <f ca="1">IF(D773="Income",LOOKUP(E773,Introduction!$A$11:$A$18,Introduction!$C$11:$C$18),IF(D773="Expense",LOOKUP(E773,Introduction!$D$11:$D$30,Introduction!$F$11:$F$30),"_"))</f>
        <v>_</v>
      </c>
      <c r="G773" s="88"/>
      <c r="H773" s="92"/>
      <c r="I773" s="85">
        <f t="shared" si="47"/>
        <v>0</v>
      </c>
      <c r="J773" s="93"/>
      <c r="K773" s="85">
        <f t="shared" si="48"/>
        <v>0</v>
      </c>
      <c r="L773" s="68"/>
      <c r="M773" s="68"/>
      <c r="P773" s="89" t="str">
        <f t="shared" si="46"/>
        <v xml:space="preserve">  1 1900 </v>
      </c>
    </row>
    <row r="774" spans="1:16">
      <c r="A774" s="68"/>
      <c r="B774" s="87"/>
      <c r="C774" s="88"/>
      <c r="D774" s="88"/>
      <c r="E774" s="90"/>
      <c r="F774" s="84" t="str">
        <f ca="1">IF(D774="Income",LOOKUP(E774,Introduction!$A$11:$A$18,Introduction!$C$11:$C$18),IF(D774="Expense",LOOKUP(E774,Introduction!$D$11:$D$30,Introduction!$F$11:$F$30),"_"))</f>
        <v>_</v>
      </c>
      <c r="G774" s="88"/>
      <c r="H774" s="92"/>
      <c r="I774" s="85">
        <f t="shared" si="47"/>
        <v>0</v>
      </c>
      <c r="J774" s="93"/>
      <c r="K774" s="85">
        <f t="shared" si="48"/>
        <v>0</v>
      </c>
      <c r="L774" s="68"/>
      <c r="M774" s="68"/>
      <c r="P774" s="89" t="str">
        <f t="shared" si="46"/>
        <v xml:space="preserve">  1 1900 </v>
      </c>
    </row>
    <row r="775" spans="1:16">
      <c r="A775" s="68"/>
      <c r="B775" s="87"/>
      <c r="C775" s="88"/>
      <c r="D775" s="88"/>
      <c r="E775" s="90"/>
      <c r="F775" s="84" t="str">
        <f ca="1">IF(D775="Income",LOOKUP(E775,Introduction!$A$11:$A$18,Introduction!$C$11:$C$18),IF(D775="Expense",LOOKUP(E775,Introduction!$D$11:$D$30,Introduction!$F$11:$F$30),"_"))</f>
        <v>_</v>
      </c>
      <c r="G775" s="88"/>
      <c r="H775" s="92"/>
      <c r="I775" s="85">
        <f t="shared" si="47"/>
        <v>0</v>
      </c>
      <c r="J775" s="93"/>
      <c r="K775" s="85">
        <f t="shared" si="48"/>
        <v>0</v>
      </c>
      <c r="L775" s="68"/>
      <c r="M775" s="68"/>
      <c r="P775" s="89" t="str">
        <f t="shared" ref="P775:P838" si="49">CONCATENATE(D775," ",E775," ",MONTH(C775)," ",YEAR(C775)," ")</f>
        <v xml:space="preserve">  1 1900 </v>
      </c>
    </row>
    <row r="776" spans="1:16">
      <c r="A776" s="68"/>
      <c r="B776" s="87"/>
      <c r="C776" s="88"/>
      <c r="D776" s="88"/>
      <c r="E776" s="90"/>
      <c r="F776" s="84" t="str">
        <f ca="1">IF(D776="Income",LOOKUP(E776,Introduction!$A$11:$A$18,Introduction!$C$11:$C$18),IF(D776="Expense",LOOKUP(E776,Introduction!$D$11:$D$30,Introduction!$F$11:$F$30),"_"))</f>
        <v>_</v>
      </c>
      <c r="G776" s="88"/>
      <c r="H776" s="92"/>
      <c r="I776" s="85">
        <f t="shared" si="47"/>
        <v>0</v>
      </c>
      <c r="J776" s="93"/>
      <c r="K776" s="85">
        <f t="shared" si="48"/>
        <v>0</v>
      </c>
      <c r="L776" s="68"/>
      <c r="M776" s="68"/>
      <c r="P776" s="89" t="str">
        <f t="shared" si="49"/>
        <v xml:space="preserve">  1 1900 </v>
      </c>
    </row>
    <row r="777" spans="1:16">
      <c r="A777" s="68"/>
      <c r="B777" s="87"/>
      <c r="C777" s="88"/>
      <c r="D777" s="88"/>
      <c r="E777" s="90"/>
      <c r="F777" s="84" t="str">
        <f ca="1">IF(D777="Income",LOOKUP(E777,Introduction!$A$11:$A$18,Introduction!$C$11:$C$18),IF(D777="Expense",LOOKUP(E777,Introduction!$D$11:$D$30,Introduction!$F$11:$F$30),"_"))</f>
        <v>_</v>
      </c>
      <c r="G777" s="88"/>
      <c r="H777" s="92"/>
      <c r="I777" s="85">
        <f t="shared" si="47"/>
        <v>0</v>
      </c>
      <c r="J777" s="93"/>
      <c r="K777" s="85">
        <f t="shared" si="48"/>
        <v>0</v>
      </c>
      <c r="L777" s="68"/>
      <c r="M777" s="68"/>
      <c r="P777" s="89" t="str">
        <f t="shared" si="49"/>
        <v xml:space="preserve">  1 1900 </v>
      </c>
    </row>
    <row r="778" spans="1:16">
      <c r="A778" s="68"/>
      <c r="B778" s="87"/>
      <c r="C778" s="88"/>
      <c r="D778" s="88"/>
      <c r="E778" s="90"/>
      <c r="F778" s="84" t="str">
        <f ca="1">IF(D778="Income",LOOKUP(E778,Introduction!$A$11:$A$18,Introduction!$C$11:$C$18),IF(D778="Expense",LOOKUP(E778,Introduction!$D$11:$D$30,Introduction!$F$11:$F$30),"_"))</f>
        <v>_</v>
      </c>
      <c r="G778" s="88"/>
      <c r="H778" s="92"/>
      <c r="I778" s="85">
        <f t="shared" si="47"/>
        <v>0</v>
      </c>
      <c r="J778" s="93"/>
      <c r="K778" s="85">
        <f t="shared" si="48"/>
        <v>0</v>
      </c>
      <c r="L778" s="68"/>
      <c r="M778" s="68"/>
      <c r="P778" s="89" t="str">
        <f t="shared" si="49"/>
        <v xml:space="preserve">  1 1900 </v>
      </c>
    </row>
    <row r="779" spans="1:16">
      <c r="A779" s="68"/>
      <c r="B779" s="87"/>
      <c r="C779" s="88"/>
      <c r="D779" s="88"/>
      <c r="E779" s="90"/>
      <c r="F779" s="84" t="str">
        <f ca="1">IF(D779="Income",LOOKUP(E779,Introduction!$A$11:$A$18,Introduction!$C$11:$C$18),IF(D779="Expense",LOOKUP(E779,Introduction!$D$11:$D$30,Introduction!$F$11:$F$30),"_"))</f>
        <v>_</v>
      </c>
      <c r="G779" s="88"/>
      <c r="H779" s="92"/>
      <c r="I779" s="85">
        <f t="shared" si="47"/>
        <v>0</v>
      </c>
      <c r="J779" s="93"/>
      <c r="K779" s="85">
        <f t="shared" si="48"/>
        <v>0</v>
      </c>
      <c r="L779" s="68"/>
      <c r="M779" s="68"/>
      <c r="P779" s="89" t="str">
        <f t="shared" si="49"/>
        <v xml:space="preserve">  1 1900 </v>
      </c>
    </row>
    <row r="780" spans="1:16">
      <c r="A780" s="68"/>
      <c r="B780" s="87"/>
      <c r="C780" s="88"/>
      <c r="D780" s="88"/>
      <c r="E780" s="90"/>
      <c r="F780" s="84" t="str">
        <f ca="1">IF(D780="Income",LOOKUP(E780,Introduction!$A$11:$A$18,Introduction!$C$11:$C$18),IF(D780="Expense",LOOKUP(E780,Introduction!$D$11:$D$30,Introduction!$F$11:$F$30),"_"))</f>
        <v>_</v>
      </c>
      <c r="G780" s="88"/>
      <c r="H780" s="92"/>
      <c r="I780" s="85">
        <f t="shared" si="47"/>
        <v>0</v>
      </c>
      <c r="J780" s="93"/>
      <c r="K780" s="85">
        <f t="shared" si="48"/>
        <v>0</v>
      </c>
      <c r="L780" s="68"/>
      <c r="M780" s="68"/>
      <c r="P780" s="89" t="str">
        <f t="shared" si="49"/>
        <v xml:space="preserve">  1 1900 </v>
      </c>
    </row>
    <row r="781" spans="1:16">
      <c r="A781" s="68"/>
      <c r="B781" s="87"/>
      <c r="C781" s="88"/>
      <c r="D781" s="88"/>
      <c r="E781" s="90"/>
      <c r="F781" s="84" t="str">
        <f ca="1">IF(D781="Income",LOOKUP(E781,Introduction!$A$11:$A$18,Introduction!$C$11:$C$18),IF(D781="Expense",LOOKUP(E781,Introduction!$D$11:$D$30,Introduction!$F$11:$F$30),"_"))</f>
        <v>_</v>
      </c>
      <c r="G781" s="88"/>
      <c r="H781" s="92"/>
      <c r="I781" s="85">
        <f t="shared" si="47"/>
        <v>0</v>
      </c>
      <c r="J781" s="93"/>
      <c r="K781" s="85">
        <f t="shared" si="48"/>
        <v>0</v>
      </c>
      <c r="L781" s="68"/>
      <c r="M781" s="68"/>
      <c r="P781" s="89" t="str">
        <f t="shared" si="49"/>
        <v xml:space="preserve">  1 1900 </v>
      </c>
    </row>
    <row r="782" spans="1:16">
      <c r="A782" s="68"/>
      <c r="B782" s="87"/>
      <c r="C782" s="88"/>
      <c r="D782" s="88"/>
      <c r="E782" s="90"/>
      <c r="F782" s="84" t="str">
        <f ca="1">IF(D782="Income",LOOKUP(E782,Introduction!$A$11:$A$18,Introduction!$C$11:$C$18),IF(D782="Expense",LOOKUP(E782,Introduction!$D$11:$D$30,Introduction!$F$11:$F$30),"_"))</f>
        <v>_</v>
      </c>
      <c r="G782" s="88"/>
      <c r="H782" s="92"/>
      <c r="I782" s="85">
        <f t="shared" si="47"/>
        <v>0</v>
      </c>
      <c r="J782" s="93"/>
      <c r="K782" s="85">
        <f t="shared" si="48"/>
        <v>0</v>
      </c>
      <c r="L782" s="68"/>
      <c r="M782" s="68"/>
      <c r="P782" s="89" t="str">
        <f t="shared" si="49"/>
        <v xml:space="preserve">  1 1900 </v>
      </c>
    </row>
    <row r="783" spans="1:16">
      <c r="A783" s="68"/>
      <c r="B783" s="87"/>
      <c r="C783" s="88"/>
      <c r="D783" s="88"/>
      <c r="E783" s="90"/>
      <c r="F783" s="84" t="str">
        <f ca="1">IF(D783="Income",LOOKUP(E783,Introduction!$A$11:$A$18,Introduction!$C$11:$C$18),IF(D783="Expense",LOOKUP(E783,Introduction!$D$11:$D$30,Introduction!$F$11:$F$30),"_"))</f>
        <v>_</v>
      </c>
      <c r="G783" s="88"/>
      <c r="H783" s="92"/>
      <c r="I783" s="85">
        <f t="shared" si="47"/>
        <v>0</v>
      </c>
      <c r="J783" s="93"/>
      <c r="K783" s="85">
        <f t="shared" si="48"/>
        <v>0</v>
      </c>
      <c r="L783" s="68"/>
      <c r="M783" s="68"/>
      <c r="P783" s="89" t="str">
        <f t="shared" si="49"/>
        <v xml:space="preserve">  1 1900 </v>
      </c>
    </row>
    <row r="784" spans="1:16">
      <c r="A784" s="68"/>
      <c r="B784" s="87"/>
      <c r="C784" s="88"/>
      <c r="D784" s="88"/>
      <c r="E784" s="90"/>
      <c r="F784" s="84" t="str">
        <f ca="1">IF(D784="Income",LOOKUP(E784,Introduction!$A$11:$A$18,Introduction!$C$11:$C$18),IF(D784="Expense",LOOKUP(E784,Introduction!$D$11:$D$30,Introduction!$F$11:$F$30),"_"))</f>
        <v>_</v>
      </c>
      <c r="G784" s="88"/>
      <c r="H784" s="92"/>
      <c r="I784" s="85">
        <f t="shared" si="47"/>
        <v>0</v>
      </c>
      <c r="J784" s="93"/>
      <c r="K784" s="85">
        <f t="shared" si="48"/>
        <v>0</v>
      </c>
      <c r="L784" s="68"/>
      <c r="M784" s="68"/>
      <c r="P784" s="89" t="str">
        <f t="shared" si="49"/>
        <v xml:space="preserve">  1 1900 </v>
      </c>
    </row>
    <row r="785" spans="1:16">
      <c r="A785" s="68"/>
      <c r="B785" s="87"/>
      <c r="C785" s="88"/>
      <c r="D785" s="88"/>
      <c r="E785" s="90"/>
      <c r="F785" s="84" t="str">
        <f ca="1">IF(D785="Income",LOOKUP(E785,Introduction!$A$11:$A$18,Introduction!$C$11:$C$18),IF(D785="Expense",LOOKUP(E785,Introduction!$D$11:$D$30,Introduction!$F$11:$F$30),"_"))</f>
        <v>_</v>
      </c>
      <c r="G785" s="88"/>
      <c r="H785" s="92"/>
      <c r="I785" s="85">
        <f t="shared" ref="I785:I848" si="50">+I784+H785</f>
        <v>0</v>
      </c>
      <c r="J785" s="93"/>
      <c r="K785" s="85">
        <f t="shared" ref="K785:K848" si="51">IF(J785=1,K784+H785,++K784)</f>
        <v>0</v>
      </c>
      <c r="L785" s="68"/>
      <c r="M785" s="68"/>
      <c r="P785" s="89" t="str">
        <f t="shared" si="49"/>
        <v xml:space="preserve">  1 1900 </v>
      </c>
    </row>
    <row r="786" spans="1:16">
      <c r="A786" s="68"/>
      <c r="B786" s="87"/>
      <c r="C786" s="88"/>
      <c r="D786" s="88"/>
      <c r="E786" s="90"/>
      <c r="F786" s="84" t="str">
        <f ca="1">IF(D786="Income",LOOKUP(E786,Introduction!$A$11:$A$18,Introduction!$C$11:$C$18),IF(D786="Expense",LOOKUP(E786,Introduction!$D$11:$D$30,Introduction!$F$11:$F$30),"_"))</f>
        <v>_</v>
      </c>
      <c r="G786" s="88"/>
      <c r="H786" s="92"/>
      <c r="I786" s="85">
        <f t="shared" si="50"/>
        <v>0</v>
      </c>
      <c r="J786" s="93"/>
      <c r="K786" s="85">
        <f t="shared" si="51"/>
        <v>0</v>
      </c>
      <c r="L786" s="68"/>
      <c r="M786" s="68"/>
      <c r="P786" s="89" t="str">
        <f t="shared" si="49"/>
        <v xml:space="preserve">  1 1900 </v>
      </c>
    </row>
    <row r="787" spans="1:16">
      <c r="A787" s="68"/>
      <c r="B787" s="87"/>
      <c r="C787" s="88"/>
      <c r="D787" s="88"/>
      <c r="E787" s="90"/>
      <c r="F787" s="84" t="str">
        <f ca="1">IF(D787="Income",LOOKUP(E787,Introduction!$A$11:$A$18,Introduction!$C$11:$C$18),IF(D787="Expense",LOOKUP(E787,Introduction!$D$11:$D$30,Introduction!$F$11:$F$30),"_"))</f>
        <v>_</v>
      </c>
      <c r="G787" s="88"/>
      <c r="H787" s="92"/>
      <c r="I787" s="85">
        <f t="shared" si="50"/>
        <v>0</v>
      </c>
      <c r="J787" s="93"/>
      <c r="K787" s="85">
        <f t="shared" si="51"/>
        <v>0</v>
      </c>
      <c r="L787" s="68"/>
      <c r="M787" s="68"/>
      <c r="P787" s="89" t="str">
        <f t="shared" si="49"/>
        <v xml:space="preserve">  1 1900 </v>
      </c>
    </row>
    <row r="788" spans="1:16">
      <c r="A788" s="68"/>
      <c r="B788" s="87"/>
      <c r="C788" s="88"/>
      <c r="D788" s="88"/>
      <c r="E788" s="90"/>
      <c r="F788" s="84" t="str">
        <f ca="1">IF(D788="Income",LOOKUP(E788,Introduction!$A$11:$A$18,Introduction!$C$11:$C$18),IF(D788="Expense",LOOKUP(E788,Introduction!$D$11:$D$30,Introduction!$F$11:$F$30),"_"))</f>
        <v>_</v>
      </c>
      <c r="G788" s="88"/>
      <c r="H788" s="92"/>
      <c r="I788" s="85">
        <f t="shared" si="50"/>
        <v>0</v>
      </c>
      <c r="J788" s="93"/>
      <c r="K788" s="85">
        <f t="shared" si="51"/>
        <v>0</v>
      </c>
      <c r="L788" s="68"/>
      <c r="M788" s="68"/>
      <c r="P788" s="89" t="str">
        <f t="shared" si="49"/>
        <v xml:space="preserve">  1 1900 </v>
      </c>
    </row>
    <row r="789" spans="1:16">
      <c r="A789" s="68"/>
      <c r="B789" s="87"/>
      <c r="C789" s="88"/>
      <c r="D789" s="88"/>
      <c r="E789" s="90"/>
      <c r="F789" s="84" t="str">
        <f ca="1">IF(D789="Income",LOOKUP(E789,Introduction!$A$11:$A$18,Introduction!$C$11:$C$18),IF(D789="Expense",LOOKUP(E789,Introduction!$D$11:$D$30,Introduction!$F$11:$F$30),"_"))</f>
        <v>_</v>
      </c>
      <c r="G789" s="88"/>
      <c r="H789" s="92"/>
      <c r="I789" s="85">
        <f t="shared" si="50"/>
        <v>0</v>
      </c>
      <c r="J789" s="93"/>
      <c r="K789" s="85">
        <f t="shared" si="51"/>
        <v>0</v>
      </c>
      <c r="L789" s="68"/>
      <c r="M789" s="68"/>
      <c r="P789" s="89" t="str">
        <f t="shared" si="49"/>
        <v xml:space="preserve">  1 1900 </v>
      </c>
    </row>
    <row r="790" spans="1:16">
      <c r="A790" s="68"/>
      <c r="B790" s="87"/>
      <c r="C790" s="88"/>
      <c r="D790" s="88"/>
      <c r="E790" s="90"/>
      <c r="F790" s="84" t="str">
        <f ca="1">IF(D790="Income",LOOKUP(E790,Introduction!$A$11:$A$18,Introduction!$C$11:$C$18),IF(D790="Expense",LOOKUP(E790,Introduction!$D$11:$D$30,Introduction!$F$11:$F$30),"_"))</f>
        <v>_</v>
      </c>
      <c r="G790" s="88"/>
      <c r="H790" s="92"/>
      <c r="I790" s="85">
        <f t="shared" si="50"/>
        <v>0</v>
      </c>
      <c r="J790" s="93"/>
      <c r="K790" s="85">
        <f t="shared" si="51"/>
        <v>0</v>
      </c>
      <c r="L790" s="68"/>
      <c r="M790" s="68"/>
      <c r="P790" s="89" t="str">
        <f t="shared" si="49"/>
        <v xml:space="preserve">  1 1900 </v>
      </c>
    </row>
    <row r="791" spans="1:16">
      <c r="A791" s="68"/>
      <c r="B791" s="87"/>
      <c r="C791" s="88"/>
      <c r="D791" s="88"/>
      <c r="E791" s="90"/>
      <c r="F791" s="84" t="str">
        <f ca="1">IF(D791="Income",LOOKUP(E791,Introduction!$A$11:$A$18,Introduction!$C$11:$C$18),IF(D791="Expense",LOOKUP(E791,Introduction!$D$11:$D$30,Introduction!$F$11:$F$30),"_"))</f>
        <v>_</v>
      </c>
      <c r="G791" s="88"/>
      <c r="H791" s="92"/>
      <c r="I791" s="85">
        <f t="shared" si="50"/>
        <v>0</v>
      </c>
      <c r="J791" s="93"/>
      <c r="K791" s="85">
        <f t="shared" si="51"/>
        <v>0</v>
      </c>
      <c r="L791" s="68"/>
      <c r="M791" s="68"/>
      <c r="P791" s="89" t="str">
        <f t="shared" si="49"/>
        <v xml:space="preserve">  1 1900 </v>
      </c>
    </row>
    <row r="792" spans="1:16">
      <c r="A792" s="68"/>
      <c r="B792" s="87"/>
      <c r="C792" s="88"/>
      <c r="D792" s="88"/>
      <c r="E792" s="90"/>
      <c r="F792" s="84" t="str">
        <f ca="1">IF(D792="Income",LOOKUP(E792,Introduction!$A$11:$A$18,Introduction!$C$11:$C$18),IF(D792="Expense",LOOKUP(E792,Introduction!$D$11:$D$30,Introduction!$F$11:$F$30),"_"))</f>
        <v>_</v>
      </c>
      <c r="G792" s="88"/>
      <c r="H792" s="92"/>
      <c r="I792" s="85">
        <f t="shared" si="50"/>
        <v>0</v>
      </c>
      <c r="J792" s="93"/>
      <c r="K792" s="85">
        <f t="shared" si="51"/>
        <v>0</v>
      </c>
      <c r="L792" s="68"/>
      <c r="M792" s="68"/>
      <c r="P792" s="89" t="str">
        <f t="shared" si="49"/>
        <v xml:space="preserve">  1 1900 </v>
      </c>
    </row>
    <row r="793" spans="1:16">
      <c r="A793" s="68"/>
      <c r="B793" s="87"/>
      <c r="C793" s="88"/>
      <c r="D793" s="88"/>
      <c r="E793" s="90"/>
      <c r="F793" s="84" t="str">
        <f ca="1">IF(D793="Income",LOOKUP(E793,Introduction!$A$11:$A$18,Introduction!$C$11:$C$18),IF(D793="Expense",LOOKUP(E793,Introduction!$D$11:$D$30,Introduction!$F$11:$F$30),"_"))</f>
        <v>_</v>
      </c>
      <c r="G793" s="88"/>
      <c r="H793" s="92"/>
      <c r="I793" s="85">
        <f t="shared" si="50"/>
        <v>0</v>
      </c>
      <c r="J793" s="93"/>
      <c r="K793" s="85">
        <f t="shared" si="51"/>
        <v>0</v>
      </c>
      <c r="L793" s="68"/>
      <c r="M793" s="68"/>
      <c r="P793" s="89" t="str">
        <f t="shared" si="49"/>
        <v xml:space="preserve">  1 1900 </v>
      </c>
    </row>
    <row r="794" spans="1:16">
      <c r="A794" s="68"/>
      <c r="B794" s="87"/>
      <c r="C794" s="88"/>
      <c r="D794" s="88"/>
      <c r="E794" s="90"/>
      <c r="F794" s="84" t="str">
        <f ca="1">IF(D794="Income",LOOKUP(E794,Introduction!$A$11:$A$18,Introduction!$C$11:$C$18),IF(D794="Expense",LOOKUP(E794,Introduction!$D$11:$D$30,Introduction!$F$11:$F$30),"_"))</f>
        <v>_</v>
      </c>
      <c r="G794" s="88"/>
      <c r="H794" s="92"/>
      <c r="I794" s="85">
        <f t="shared" si="50"/>
        <v>0</v>
      </c>
      <c r="J794" s="93"/>
      <c r="K794" s="85">
        <f t="shared" si="51"/>
        <v>0</v>
      </c>
      <c r="L794" s="68"/>
      <c r="M794" s="68"/>
      <c r="P794" s="89" t="str">
        <f t="shared" si="49"/>
        <v xml:space="preserve">  1 1900 </v>
      </c>
    </row>
    <row r="795" spans="1:16">
      <c r="A795" s="68"/>
      <c r="B795" s="87"/>
      <c r="C795" s="88"/>
      <c r="D795" s="88"/>
      <c r="E795" s="90"/>
      <c r="F795" s="84" t="str">
        <f ca="1">IF(D795="Income",LOOKUP(E795,Introduction!$A$11:$A$18,Introduction!$C$11:$C$18),IF(D795="Expense",LOOKUP(E795,Introduction!$D$11:$D$30,Introduction!$F$11:$F$30),"_"))</f>
        <v>_</v>
      </c>
      <c r="G795" s="88"/>
      <c r="H795" s="92"/>
      <c r="I795" s="85">
        <f t="shared" si="50"/>
        <v>0</v>
      </c>
      <c r="J795" s="93"/>
      <c r="K795" s="85">
        <f t="shared" si="51"/>
        <v>0</v>
      </c>
      <c r="L795" s="68"/>
      <c r="M795" s="68"/>
      <c r="P795" s="89" t="str">
        <f t="shared" si="49"/>
        <v xml:space="preserve">  1 1900 </v>
      </c>
    </row>
    <row r="796" spans="1:16">
      <c r="A796" s="68"/>
      <c r="B796" s="87"/>
      <c r="C796" s="88"/>
      <c r="D796" s="88"/>
      <c r="E796" s="90"/>
      <c r="F796" s="84" t="str">
        <f ca="1">IF(D796="Income",LOOKUP(E796,Introduction!$A$11:$A$18,Introduction!$C$11:$C$18),IF(D796="Expense",LOOKUP(E796,Introduction!$D$11:$D$30,Introduction!$F$11:$F$30),"_"))</f>
        <v>_</v>
      </c>
      <c r="G796" s="88"/>
      <c r="H796" s="92"/>
      <c r="I796" s="85">
        <f t="shared" si="50"/>
        <v>0</v>
      </c>
      <c r="J796" s="93"/>
      <c r="K796" s="85">
        <f t="shared" si="51"/>
        <v>0</v>
      </c>
      <c r="L796" s="68"/>
      <c r="M796" s="68"/>
      <c r="P796" s="89" t="str">
        <f t="shared" si="49"/>
        <v xml:space="preserve">  1 1900 </v>
      </c>
    </row>
    <row r="797" spans="1:16">
      <c r="A797" s="68"/>
      <c r="B797" s="87"/>
      <c r="C797" s="88"/>
      <c r="D797" s="88"/>
      <c r="E797" s="90"/>
      <c r="F797" s="84" t="str">
        <f ca="1">IF(D797="Income",LOOKUP(E797,Introduction!$A$11:$A$18,Introduction!$C$11:$C$18),IF(D797="Expense",LOOKUP(E797,Introduction!$D$11:$D$30,Introduction!$F$11:$F$30),"_"))</f>
        <v>_</v>
      </c>
      <c r="G797" s="88"/>
      <c r="H797" s="92"/>
      <c r="I797" s="85">
        <f t="shared" si="50"/>
        <v>0</v>
      </c>
      <c r="J797" s="93"/>
      <c r="K797" s="85">
        <f t="shared" si="51"/>
        <v>0</v>
      </c>
      <c r="L797" s="68"/>
      <c r="M797" s="68"/>
      <c r="P797" s="89" t="str">
        <f t="shared" si="49"/>
        <v xml:space="preserve">  1 1900 </v>
      </c>
    </row>
    <row r="798" spans="1:16">
      <c r="A798" s="68"/>
      <c r="B798" s="87"/>
      <c r="C798" s="88"/>
      <c r="D798" s="88"/>
      <c r="E798" s="90"/>
      <c r="F798" s="84" t="str">
        <f ca="1">IF(D798="Income",LOOKUP(E798,Introduction!$A$11:$A$18,Introduction!$C$11:$C$18),IF(D798="Expense",LOOKUP(E798,Introduction!$D$11:$D$30,Introduction!$F$11:$F$30),"_"))</f>
        <v>_</v>
      </c>
      <c r="G798" s="88"/>
      <c r="H798" s="92"/>
      <c r="I798" s="85">
        <f t="shared" si="50"/>
        <v>0</v>
      </c>
      <c r="J798" s="93"/>
      <c r="K798" s="85">
        <f t="shared" si="51"/>
        <v>0</v>
      </c>
      <c r="L798" s="68"/>
      <c r="M798" s="68"/>
      <c r="P798" s="89" t="str">
        <f t="shared" si="49"/>
        <v xml:space="preserve">  1 1900 </v>
      </c>
    </row>
    <row r="799" spans="1:16">
      <c r="A799" s="68"/>
      <c r="B799" s="87"/>
      <c r="C799" s="88"/>
      <c r="D799" s="88"/>
      <c r="E799" s="90"/>
      <c r="F799" s="84" t="str">
        <f ca="1">IF(D799="Income",LOOKUP(E799,Introduction!$A$11:$A$18,Introduction!$C$11:$C$18),IF(D799="Expense",LOOKUP(E799,Introduction!$D$11:$D$30,Introduction!$F$11:$F$30),"_"))</f>
        <v>_</v>
      </c>
      <c r="G799" s="88"/>
      <c r="H799" s="92"/>
      <c r="I799" s="85">
        <f t="shared" si="50"/>
        <v>0</v>
      </c>
      <c r="J799" s="93"/>
      <c r="K799" s="85">
        <f t="shared" si="51"/>
        <v>0</v>
      </c>
      <c r="L799" s="68"/>
      <c r="M799" s="68"/>
      <c r="P799" s="89" t="str">
        <f t="shared" si="49"/>
        <v xml:space="preserve">  1 1900 </v>
      </c>
    </row>
    <row r="800" spans="1:16">
      <c r="A800" s="68"/>
      <c r="B800" s="87"/>
      <c r="C800" s="88"/>
      <c r="D800" s="88"/>
      <c r="E800" s="90"/>
      <c r="F800" s="84" t="str">
        <f ca="1">IF(D800="Income",LOOKUP(E800,Introduction!$A$11:$A$18,Introduction!$C$11:$C$18),IF(D800="Expense",LOOKUP(E800,Introduction!$D$11:$D$30,Introduction!$F$11:$F$30),"_"))</f>
        <v>_</v>
      </c>
      <c r="G800" s="88"/>
      <c r="H800" s="92"/>
      <c r="I800" s="85">
        <f t="shared" si="50"/>
        <v>0</v>
      </c>
      <c r="J800" s="93"/>
      <c r="K800" s="85">
        <f t="shared" si="51"/>
        <v>0</v>
      </c>
      <c r="L800" s="68"/>
      <c r="M800" s="68"/>
      <c r="P800" s="89" t="str">
        <f t="shared" si="49"/>
        <v xml:space="preserve">  1 1900 </v>
      </c>
    </row>
    <row r="801" spans="1:16">
      <c r="A801" s="68"/>
      <c r="B801" s="87"/>
      <c r="C801" s="88"/>
      <c r="D801" s="88"/>
      <c r="E801" s="90"/>
      <c r="F801" s="84" t="str">
        <f ca="1">IF(D801="Income",LOOKUP(E801,Introduction!$A$11:$A$18,Introduction!$C$11:$C$18),IF(D801="Expense",LOOKUP(E801,Introduction!$D$11:$D$30,Introduction!$F$11:$F$30),"_"))</f>
        <v>_</v>
      </c>
      <c r="G801" s="88"/>
      <c r="H801" s="92"/>
      <c r="I801" s="85">
        <f t="shared" si="50"/>
        <v>0</v>
      </c>
      <c r="J801" s="93"/>
      <c r="K801" s="85">
        <f t="shared" si="51"/>
        <v>0</v>
      </c>
      <c r="L801" s="68"/>
      <c r="M801" s="68"/>
      <c r="P801" s="89" t="str">
        <f t="shared" si="49"/>
        <v xml:space="preserve">  1 1900 </v>
      </c>
    </row>
    <row r="802" spans="1:16">
      <c r="A802" s="68"/>
      <c r="B802" s="87"/>
      <c r="C802" s="88"/>
      <c r="D802" s="88"/>
      <c r="E802" s="90"/>
      <c r="F802" s="84" t="str">
        <f ca="1">IF(D802="Income",LOOKUP(E802,Introduction!$A$11:$A$18,Introduction!$C$11:$C$18),IF(D802="Expense",LOOKUP(E802,Introduction!$D$11:$D$30,Introduction!$F$11:$F$30),"_"))</f>
        <v>_</v>
      </c>
      <c r="G802" s="88"/>
      <c r="H802" s="92"/>
      <c r="I802" s="85">
        <f t="shared" si="50"/>
        <v>0</v>
      </c>
      <c r="J802" s="93"/>
      <c r="K802" s="85">
        <f t="shared" si="51"/>
        <v>0</v>
      </c>
      <c r="L802" s="68"/>
      <c r="M802" s="68"/>
      <c r="P802" s="89" t="str">
        <f t="shared" si="49"/>
        <v xml:space="preserve">  1 1900 </v>
      </c>
    </row>
    <row r="803" spans="1:16">
      <c r="A803" s="68"/>
      <c r="B803" s="87"/>
      <c r="C803" s="88"/>
      <c r="D803" s="88"/>
      <c r="E803" s="90"/>
      <c r="F803" s="84" t="str">
        <f ca="1">IF(D803="Income",LOOKUP(E803,Introduction!$A$11:$A$18,Introduction!$C$11:$C$18),IF(D803="Expense",LOOKUP(E803,Introduction!$D$11:$D$30,Introduction!$F$11:$F$30),"_"))</f>
        <v>_</v>
      </c>
      <c r="G803" s="88"/>
      <c r="H803" s="92"/>
      <c r="I803" s="85">
        <f t="shared" si="50"/>
        <v>0</v>
      </c>
      <c r="J803" s="93"/>
      <c r="K803" s="85">
        <f t="shared" si="51"/>
        <v>0</v>
      </c>
      <c r="L803" s="68"/>
      <c r="M803" s="68"/>
      <c r="P803" s="89" t="str">
        <f t="shared" si="49"/>
        <v xml:space="preserve">  1 1900 </v>
      </c>
    </row>
    <row r="804" spans="1:16">
      <c r="A804" s="68"/>
      <c r="B804" s="87"/>
      <c r="C804" s="88"/>
      <c r="D804" s="88"/>
      <c r="E804" s="90"/>
      <c r="F804" s="84" t="str">
        <f ca="1">IF(D804="Income",LOOKUP(E804,Introduction!$A$11:$A$18,Introduction!$C$11:$C$18),IF(D804="Expense",LOOKUP(E804,Introduction!$D$11:$D$30,Introduction!$F$11:$F$30),"_"))</f>
        <v>_</v>
      </c>
      <c r="G804" s="88"/>
      <c r="H804" s="92"/>
      <c r="I804" s="85">
        <f t="shared" si="50"/>
        <v>0</v>
      </c>
      <c r="J804" s="93"/>
      <c r="K804" s="85">
        <f t="shared" si="51"/>
        <v>0</v>
      </c>
      <c r="L804" s="68"/>
      <c r="M804" s="68"/>
      <c r="P804" s="89" t="str">
        <f t="shared" si="49"/>
        <v xml:space="preserve">  1 1900 </v>
      </c>
    </row>
    <row r="805" spans="1:16">
      <c r="A805" s="68"/>
      <c r="B805" s="87"/>
      <c r="C805" s="88"/>
      <c r="D805" s="88"/>
      <c r="E805" s="90"/>
      <c r="F805" s="84" t="str">
        <f ca="1">IF(D805="Income",LOOKUP(E805,Introduction!$A$11:$A$18,Introduction!$C$11:$C$18),IF(D805="Expense",LOOKUP(E805,Introduction!$D$11:$D$30,Introduction!$F$11:$F$30),"_"))</f>
        <v>_</v>
      </c>
      <c r="G805" s="88"/>
      <c r="H805" s="92"/>
      <c r="I805" s="85">
        <f t="shared" si="50"/>
        <v>0</v>
      </c>
      <c r="J805" s="93"/>
      <c r="K805" s="85">
        <f t="shared" si="51"/>
        <v>0</v>
      </c>
      <c r="L805" s="68"/>
      <c r="M805" s="68"/>
      <c r="P805" s="89" t="str">
        <f t="shared" si="49"/>
        <v xml:space="preserve">  1 1900 </v>
      </c>
    </row>
    <row r="806" spans="1:16">
      <c r="A806" s="68"/>
      <c r="B806" s="87"/>
      <c r="C806" s="88"/>
      <c r="D806" s="88"/>
      <c r="E806" s="90"/>
      <c r="F806" s="84" t="str">
        <f ca="1">IF(D806="Income",LOOKUP(E806,Introduction!$A$11:$A$18,Introduction!$C$11:$C$18),IF(D806="Expense",LOOKUP(E806,Introduction!$D$11:$D$30,Introduction!$F$11:$F$30),"_"))</f>
        <v>_</v>
      </c>
      <c r="G806" s="88"/>
      <c r="H806" s="92"/>
      <c r="I806" s="85">
        <f t="shared" si="50"/>
        <v>0</v>
      </c>
      <c r="J806" s="93"/>
      <c r="K806" s="85">
        <f t="shared" si="51"/>
        <v>0</v>
      </c>
      <c r="L806" s="68"/>
      <c r="M806" s="68"/>
      <c r="P806" s="89" t="str">
        <f t="shared" si="49"/>
        <v xml:space="preserve">  1 1900 </v>
      </c>
    </row>
    <row r="807" spans="1:16">
      <c r="A807" s="68"/>
      <c r="B807" s="87"/>
      <c r="C807" s="88"/>
      <c r="D807" s="88"/>
      <c r="E807" s="90"/>
      <c r="F807" s="84" t="str">
        <f ca="1">IF(D807="Income",LOOKUP(E807,Introduction!$A$11:$A$18,Introduction!$C$11:$C$18),IF(D807="Expense",LOOKUP(E807,Introduction!$D$11:$D$30,Introduction!$F$11:$F$30),"_"))</f>
        <v>_</v>
      </c>
      <c r="G807" s="88"/>
      <c r="H807" s="92"/>
      <c r="I807" s="85">
        <f t="shared" si="50"/>
        <v>0</v>
      </c>
      <c r="J807" s="93"/>
      <c r="K807" s="85">
        <f t="shared" si="51"/>
        <v>0</v>
      </c>
      <c r="L807" s="68"/>
      <c r="M807" s="68"/>
      <c r="P807" s="89" t="str">
        <f t="shared" si="49"/>
        <v xml:space="preserve">  1 1900 </v>
      </c>
    </row>
    <row r="808" spans="1:16">
      <c r="A808" s="68"/>
      <c r="B808" s="87"/>
      <c r="C808" s="88"/>
      <c r="D808" s="88"/>
      <c r="E808" s="90"/>
      <c r="F808" s="84" t="str">
        <f ca="1">IF(D808="Income",LOOKUP(E808,Introduction!$A$11:$A$18,Introduction!$C$11:$C$18),IF(D808="Expense",LOOKUP(E808,Introduction!$D$11:$D$30,Introduction!$F$11:$F$30),"_"))</f>
        <v>_</v>
      </c>
      <c r="G808" s="88"/>
      <c r="H808" s="92"/>
      <c r="I808" s="85">
        <f t="shared" si="50"/>
        <v>0</v>
      </c>
      <c r="J808" s="93"/>
      <c r="K808" s="85">
        <f t="shared" si="51"/>
        <v>0</v>
      </c>
      <c r="L808" s="68"/>
      <c r="M808" s="68"/>
      <c r="P808" s="89" t="str">
        <f t="shared" si="49"/>
        <v xml:space="preserve">  1 1900 </v>
      </c>
    </row>
    <row r="809" spans="1:16">
      <c r="A809" s="68"/>
      <c r="B809" s="87"/>
      <c r="C809" s="88"/>
      <c r="D809" s="88"/>
      <c r="E809" s="90"/>
      <c r="F809" s="84" t="str">
        <f ca="1">IF(D809="Income",LOOKUP(E809,Introduction!$A$11:$A$18,Introduction!$C$11:$C$18),IF(D809="Expense",LOOKUP(E809,Introduction!$D$11:$D$30,Introduction!$F$11:$F$30),"_"))</f>
        <v>_</v>
      </c>
      <c r="G809" s="88"/>
      <c r="H809" s="92"/>
      <c r="I809" s="85">
        <f t="shared" si="50"/>
        <v>0</v>
      </c>
      <c r="J809" s="93"/>
      <c r="K809" s="85">
        <f t="shared" si="51"/>
        <v>0</v>
      </c>
      <c r="L809" s="68"/>
      <c r="M809" s="68"/>
      <c r="P809" s="89" t="str">
        <f t="shared" si="49"/>
        <v xml:space="preserve">  1 1900 </v>
      </c>
    </row>
    <row r="810" spans="1:16">
      <c r="A810" s="68"/>
      <c r="B810" s="87"/>
      <c r="C810" s="88"/>
      <c r="D810" s="88"/>
      <c r="E810" s="90"/>
      <c r="F810" s="84" t="str">
        <f ca="1">IF(D810="Income",LOOKUP(E810,Introduction!$A$11:$A$18,Introduction!$C$11:$C$18),IF(D810="Expense",LOOKUP(E810,Introduction!$D$11:$D$30,Introduction!$F$11:$F$30),"_"))</f>
        <v>_</v>
      </c>
      <c r="G810" s="88"/>
      <c r="H810" s="92"/>
      <c r="I810" s="85">
        <f t="shared" si="50"/>
        <v>0</v>
      </c>
      <c r="J810" s="93"/>
      <c r="K810" s="85">
        <f t="shared" si="51"/>
        <v>0</v>
      </c>
      <c r="L810" s="68"/>
      <c r="M810" s="68"/>
      <c r="P810" s="89" t="str">
        <f t="shared" si="49"/>
        <v xml:space="preserve">  1 1900 </v>
      </c>
    </row>
    <row r="811" spans="1:16">
      <c r="A811" s="68"/>
      <c r="B811" s="87"/>
      <c r="C811" s="88"/>
      <c r="D811" s="88"/>
      <c r="E811" s="90"/>
      <c r="F811" s="84" t="str">
        <f ca="1">IF(D811="Income",LOOKUP(E811,Introduction!$A$11:$A$18,Introduction!$C$11:$C$18),IF(D811="Expense",LOOKUP(E811,Introduction!$D$11:$D$30,Introduction!$F$11:$F$30),"_"))</f>
        <v>_</v>
      </c>
      <c r="G811" s="88"/>
      <c r="H811" s="92"/>
      <c r="I811" s="85">
        <f t="shared" si="50"/>
        <v>0</v>
      </c>
      <c r="J811" s="93"/>
      <c r="K811" s="85">
        <f t="shared" si="51"/>
        <v>0</v>
      </c>
      <c r="L811" s="68"/>
      <c r="M811" s="68"/>
      <c r="P811" s="89" t="str">
        <f t="shared" si="49"/>
        <v xml:space="preserve">  1 1900 </v>
      </c>
    </row>
    <row r="812" spans="1:16">
      <c r="A812" s="68"/>
      <c r="B812" s="87"/>
      <c r="C812" s="88"/>
      <c r="D812" s="88"/>
      <c r="E812" s="90"/>
      <c r="F812" s="84" t="str">
        <f ca="1">IF(D812="Income",LOOKUP(E812,Introduction!$A$11:$A$18,Introduction!$C$11:$C$18),IF(D812="Expense",LOOKUP(E812,Introduction!$D$11:$D$30,Introduction!$F$11:$F$30),"_"))</f>
        <v>_</v>
      </c>
      <c r="G812" s="88"/>
      <c r="H812" s="92"/>
      <c r="I812" s="85">
        <f t="shared" si="50"/>
        <v>0</v>
      </c>
      <c r="J812" s="93"/>
      <c r="K812" s="85">
        <f t="shared" si="51"/>
        <v>0</v>
      </c>
      <c r="L812" s="68"/>
      <c r="M812" s="68"/>
      <c r="P812" s="89" t="str">
        <f t="shared" si="49"/>
        <v xml:space="preserve">  1 1900 </v>
      </c>
    </row>
    <row r="813" spans="1:16">
      <c r="A813" s="68"/>
      <c r="B813" s="87"/>
      <c r="C813" s="88"/>
      <c r="D813" s="88"/>
      <c r="E813" s="90"/>
      <c r="F813" s="84" t="str">
        <f ca="1">IF(D813="Income",LOOKUP(E813,Introduction!$A$11:$A$18,Introduction!$C$11:$C$18),IF(D813="Expense",LOOKUP(E813,Introduction!$D$11:$D$30,Introduction!$F$11:$F$30),"_"))</f>
        <v>_</v>
      </c>
      <c r="G813" s="88"/>
      <c r="H813" s="92"/>
      <c r="I813" s="85">
        <f t="shared" si="50"/>
        <v>0</v>
      </c>
      <c r="J813" s="93"/>
      <c r="K813" s="85">
        <f t="shared" si="51"/>
        <v>0</v>
      </c>
      <c r="L813" s="68"/>
      <c r="M813" s="68"/>
      <c r="P813" s="89" t="str">
        <f t="shared" si="49"/>
        <v xml:space="preserve">  1 1900 </v>
      </c>
    </row>
    <row r="814" spans="1:16">
      <c r="A814" s="68"/>
      <c r="B814" s="87"/>
      <c r="C814" s="88"/>
      <c r="D814" s="88"/>
      <c r="E814" s="90"/>
      <c r="F814" s="84" t="str">
        <f ca="1">IF(D814="Income",LOOKUP(E814,Introduction!$A$11:$A$18,Introduction!$C$11:$C$18),IF(D814="Expense",LOOKUP(E814,Introduction!$D$11:$D$30,Introduction!$F$11:$F$30),"_"))</f>
        <v>_</v>
      </c>
      <c r="G814" s="88"/>
      <c r="H814" s="92"/>
      <c r="I814" s="85">
        <f t="shared" si="50"/>
        <v>0</v>
      </c>
      <c r="J814" s="93"/>
      <c r="K814" s="85">
        <f t="shared" si="51"/>
        <v>0</v>
      </c>
      <c r="L814" s="68"/>
      <c r="M814" s="68"/>
      <c r="P814" s="89" t="str">
        <f t="shared" si="49"/>
        <v xml:space="preserve">  1 1900 </v>
      </c>
    </row>
    <row r="815" spans="1:16">
      <c r="A815" s="68"/>
      <c r="B815" s="87"/>
      <c r="C815" s="88"/>
      <c r="D815" s="88"/>
      <c r="E815" s="90"/>
      <c r="F815" s="84" t="str">
        <f ca="1">IF(D815="Income",LOOKUP(E815,Introduction!$A$11:$A$18,Introduction!$C$11:$C$18),IF(D815="Expense",LOOKUP(E815,Introduction!$D$11:$D$30,Introduction!$F$11:$F$30),"_"))</f>
        <v>_</v>
      </c>
      <c r="G815" s="88"/>
      <c r="H815" s="92"/>
      <c r="I815" s="85">
        <f t="shared" si="50"/>
        <v>0</v>
      </c>
      <c r="J815" s="93"/>
      <c r="K815" s="85">
        <f t="shared" si="51"/>
        <v>0</v>
      </c>
      <c r="L815" s="68"/>
      <c r="M815" s="68"/>
      <c r="P815" s="89" t="str">
        <f t="shared" si="49"/>
        <v xml:space="preserve">  1 1900 </v>
      </c>
    </row>
    <row r="816" spans="1:16">
      <c r="A816" s="68"/>
      <c r="B816" s="87"/>
      <c r="C816" s="88"/>
      <c r="D816" s="88"/>
      <c r="E816" s="90"/>
      <c r="F816" s="84" t="str">
        <f ca="1">IF(D816="Income",LOOKUP(E816,Introduction!$A$11:$A$18,Introduction!$C$11:$C$18),IF(D816="Expense",LOOKUP(E816,Introduction!$D$11:$D$30,Introduction!$F$11:$F$30),"_"))</f>
        <v>_</v>
      </c>
      <c r="G816" s="88"/>
      <c r="H816" s="92"/>
      <c r="I816" s="85">
        <f t="shared" si="50"/>
        <v>0</v>
      </c>
      <c r="J816" s="93"/>
      <c r="K816" s="85">
        <f t="shared" si="51"/>
        <v>0</v>
      </c>
      <c r="L816" s="68"/>
      <c r="M816" s="68"/>
      <c r="P816" s="89" t="str">
        <f t="shared" si="49"/>
        <v xml:space="preserve">  1 1900 </v>
      </c>
    </row>
    <row r="817" spans="1:16">
      <c r="A817" s="68"/>
      <c r="B817" s="87"/>
      <c r="C817" s="88"/>
      <c r="D817" s="88"/>
      <c r="E817" s="90"/>
      <c r="F817" s="84" t="str">
        <f ca="1">IF(D817="Income",LOOKUP(E817,Introduction!$A$11:$A$18,Introduction!$C$11:$C$18),IF(D817="Expense",LOOKUP(E817,Introduction!$D$11:$D$30,Introduction!$F$11:$F$30),"_"))</f>
        <v>_</v>
      </c>
      <c r="G817" s="88"/>
      <c r="H817" s="92"/>
      <c r="I817" s="85">
        <f t="shared" si="50"/>
        <v>0</v>
      </c>
      <c r="J817" s="93"/>
      <c r="K817" s="85">
        <f t="shared" si="51"/>
        <v>0</v>
      </c>
      <c r="L817" s="68"/>
      <c r="M817" s="68"/>
      <c r="P817" s="89" t="str">
        <f t="shared" si="49"/>
        <v xml:space="preserve">  1 1900 </v>
      </c>
    </row>
    <row r="818" spans="1:16">
      <c r="A818" s="68"/>
      <c r="B818" s="87"/>
      <c r="C818" s="88"/>
      <c r="D818" s="88"/>
      <c r="E818" s="90"/>
      <c r="F818" s="84" t="str">
        <f ca="1">IF(D818="Income",LOOKUP(E818,Introduction!$A$11:$A$18,Introduction!$C$11:$C$18),IF(D818="Expense",LOOKUP(E818,Introduction!$D$11:$D$30,Introduction!$F$11:$F$30),"_"))</f>
        <v>_</v>
      </c>
      <c r="G818" s="88"/>
      <c r="H818" s="92"/>
      <c r="I818" s="85">
        <f t="shared" si="50"/>
        <v>0</v>
      </c>
      <c r="J818" s="93"/>
      <c r="K818" s="85">
        <f t="shared" si="51"/>
        <v>0</v>
      </c>
      <c r="L818" s="68"/>
      <c r="M818" s="68"/>
      <c r="P818" s="89" t="str">
        <f t="shared" si="49"/>
        <v xml:space="preserve">  1 1900 </v>
      </c>
    </row>
    <row r="819" spans="1:16">
      <c r="A819" s="68"/>
      <c r="B819" s="87"/>
      <c r="C819" s="88"/>
      <c r="D819" s="88"/>
      <c r="E819" s="90"/>
      <c r="F819" s="84" t="str">
        <f ca="1">IF(D819="Income",LOOKUP(E819,Introduction!$A$11:$A$18,Introduction!$C$11:$C$18),IF(D819="Expense",LOOKUP(E819,Introduction!$D$11:$D$30,Introduction!$F$11:$F$30),"_"))</f>
        <v>_</v>
      </c>
      <c r="G819" s="88"/>
      <c r="H819" s="92"/>
      <c r="I819" s="85">
        <f t="shared" si="50"/>
        <v>0</v>
      </c>
      <c r="J819" s="93"/>
      <c r="K819" s="85">
        <f t="shared" si="51"/>
        <v>0</v>
      </c>
      <c r="L819" s="68"/>
      <c r="M819" s="68"/>
      <c r="P819" s="89" t="str">
        <f t="shared" si="49"/>
        <v xml:space="preserve">  1 1900 </v>
      </c>
    </row>
    <row r="820" spans="1:16">
      <c r="A820" s="68"/>
      <c r="B820" s="87"/>
      <c r="C820" s="88"/>
      <c r="D820" s="88"/>
      <c r="E820" s="90"/>
      <c r="F820" s="84" t="str">
        <f ca="1">IF(D820="Income",LOOKUP(E820,Introduction!$A$11:$A$18,Introduction!$C$11:$C$18),IF(D820="Expense",LOOKUP(E820,Introduction!$D$11:$D$30,Introduction!$F$11:$F$30),"_"))</f>
        <v>_</v>
      </c>
      <c r="G820" s="88"/>
      <c r="H820" s="92"/>
      <c r="I820" s="85">
        <f t="shared" si="50"/>
        <v>0</v>
      </c>
      <c r="J820" s="93"/>
      <c r="K820" s="85">
        <f t="shared" si="51"/>
        <v>0</v>
      </c>
      <c r="L820" s="68"/>
      <c r="M820" s="68"/>
      <c r="P820" s="89" t="str">
        <f t="shared" si="49"/>
        <v xml:space="preserve">  1 1900 </v>
      </c>
    </row>
    <row r="821" spans="1:16">
      <c r="A821" s="68"/>
      <c r="B821" s="87"/>
      <c r="C821" s="88"/>
      <c r="D821" s="88"/>
      <c r="E821" s="90"/>
      <c r="F821" s="84" t="str">
        <f ca="1">IF(D821="Income",LOOKUP(E821,Introduction!$A$11:$A$18,Introduction!$C$11:$C$18),IF(D821="Expense",LOOKUP(E821,Introduction!$D$11:$D$30,Introduction!$F$11:$F$30),"_"))</f>
        <v>_</v>
      </c>
      <c r="G821" s="88"/>
      <c r="H821" s="92"/>
      <c r="I821" s="85">
        <f t="shared" si="50"/>
        <v>0</v>
      </c>
      <c r="J821" s="93"/>
      <c r="K821" s="85">
        <f t="shared" si="51"/>
        <v>0</v>
      </c>
      <c r="L821" s="68"/>
      <c r="M821" s="68"/>
      <c r="P821" s="89" t="str">
        <f t="shared" si="49"/>
        <v xml:space="preserve">  1 1900 </v>
      </c>
    </row>
    <row r="822" spans="1:16">
      <c r="A822" s="68"/>
      <c r="B822" s="87"/>
      <c r="C822" s="88"/>
      <c r="D822" s="88"/>
      <c r="E822" s="90"/>
      <c r="F822" s="84" t="str">
        <f ca="1">IF(D822="Income",LOOKUP(E822,Introduction!$A$11:$A$18,Introduction!$C$11:$C$18),IF(D822="Expense",LOOKUP(E822,Introduction!$D$11:$D$30,Introduction!$F$11:$F$30),"_"))</f>
        <v>_</v>
      </c>
      <c r="G822" s="88"/>
      <c r="H822" s="92"/>
      <c r="I822" s="85">
        <f t="shared" si="50"/>
        <v>0</v>
      </c>
      <c r="J822" s="93"/>
      <c r="K822" s="85">
        <f t="shared" si="51"/>
        <v>0</v>
      </c>
      <c r="L822" s="68"/>
      <c r="M822" s="68"/>
      <c r="P822" s="89" t="str">
        <f t="shared" si="49"/>
        <v xml:space="preserve">  1 1900 </v>
      </c>
    </row>
    <row r="823" spans="1:16">
      <c r="A823" s="68"/>
      <c r="B823" s="87"/>
      <c r="C823" s="88"/>
      <c r="D823" s="88"/>
      <c r="E823" s="90"/>
      <c r="F823" s="84" t="str">
        <f ca="1">IF(D823="Income",LOOKUP(E823,Introduction!$A$11:$A$18,Introduction!$C$11:$C$18),IF(D823="Expense",LOOKUP(E823,Introduction!$D$11:$D$30,Introduction!$F$11:$F$30),"_"))</f>
        <v>_</v>
      </c>
      <c r="G823" s="88"/>
      <c r="H823" s="92"/>
      <c r="I823" s="85">
        <f t="shared" si="50"/>
        <v>0</v>
      </c>
      <c r="J823" s="93"/>
      <c r="K823" s="85">
        <f t="shared" si="51"/>
        <v>0</v>
      </c>
      <c r="L823" s="68"/>
      <c r="M823" s="68"/>
      <c r="P823" s="89" t="str">
        <f t="shared" si="49"/>
        <v xml:space="preserve">  1 1900 </v>
      </c>
    </row>
    <row r="824" spans="1:16">
      <c r="A824" s="68"/>
      <c r="B824" s="87"/>
      <c r="C824" s="88"/>
      <c r="D824" s="88"/>
      <c r="E824" s="90"/>
      <c r="F824" s="84" t="str">
        <f ca="1">IF(D824="Income",LOOKUP(E824,Introduction!$A$11:$A$18,Introduction!$C$11:$C$18),IF(D824="Expense",LOOKUP(E824,Introduction!$D$11:$D$30,Introduction!$F$11:$F$30),"_"))</f>
        <v>_</v>
      </c>
      <c r="G824" s="88"/>
      <c r="H824" s="92"/>
      <c r="I824" s="85">
        <f t="shared" si="50"/>
        <v>0</v>
      </c>
      <c r="J824" s="93"/>
      <c r="K824" s="85">
        <f t="shared" si="51"/>
        <v>0</v>
      </c>
      <c r="L824" s="68"/>
      <c r="M824" s="68"/>
      <c r="P824" s="89" t="str">
        <f t="shared" si="49"/>
        <v xml:space="preserve">  1 1900 </v>
      </c>
    </row>
    <row r="825" spans="1:16">
      <c r="A825" s="68"/>
      <c r="B825" s="87"/>
      <c r="C825" s="88"/>
      <c r="D825" s="88"/>
      <c r="E825" s="90"/>
      <c r="F825" s="84" t="str">
        <f ca="1">IF(D825="Income",LOOKUP(E825,Introduction!$A$11:$A$18,Introduction!$C$11:$C$18),IF(D825="Expense",LOOKUP(E825,Introduction!$D$11:$D$30,Introduction!$F$11:$F$30),"_"))</f>
        <v>_</v>
      </c>
      <c r="G825" s="88"/>
      <c r="H825" s="92"/>
      <c r="I825" s="85">
        <f t="shared" si="50"/>
        <v>0</v>
      </c>
      <c r="J825" s="93"/>
      <c r="K825" s="85">
        <f t="shared" si="51"/>
        <v>0</v>
      </c>
      <c r="L825" s="68"/>
      <c r="M825" s="68"/>
      <c r="P825" s="89" t="str">
        <f t="shared" si="49"/>
        <v xml:space="preserve">  1 1900 </v>
      </c>
    </row>
    <row r="826" spans="1:16">
      <c r="A826" s="68"/>
      <c r="B826" s="87"/>
      <c r="C826" s="88"/>
      <c r="D826" s="88"/>
      <c r="E826" s="90"/>
      <c r="F826" s="84" t="str">
        <f ca="1">IF(D826="Income",LOOKUP(E826,Introduction!$A$11:$A$18,Introduction!$C$11:$C$18),IF(D826="Expense",LOOKUP(E826,Introduction!$D$11:$D$30,Introduction!$F$11:$F$30),"_"))</f>
        <v>_</v>
      </c>
      <c r="G826" s="88"/>
      <c r="H826" s="92"/>
      <c r="I826" s="85">
        <f t="shared" si="50"/>
        <v>0</v>
      </c>
      <c r="J826" s="93"/>
      <c r="K826" s="85">
        <f t="shared" si="51"/>
        <v>0</v>
      </c>
      <c r="L826" s="68"/>
      <c r="M826" s="68"/>
      <c r="P826" s="89" t="str">
        <f t="shared" si="49"/>
        <v xml:space="preserve">  1 1900 </v>
      </c>
    </row>
    <row r="827" spans="1:16">
      <c r="A827" s="68"/>
      <c r="B827" s="87"/>
      <c r="C827" s="88"/>
      <c r="D827" s="88"/>
      <c r="E827" s="90"/>
      <c r="F827" s="84" t="str">
        <f ca="1">IF(D827="Income",LOOKUP(E827,Introduction!$A$11:$A$18,Introduction!$C$11:$C$18),IF(D827="Expense",LOOKUP(E827,Introduction!$D$11:$D$30,Introduction!$F$11:$F$30),"_"))</f>
        <v>_</v>
      </c>
      <c r="G827" s="88"/>
      <c r="H827" s="92"/>
      <c r="I827" s="85">
        <f t="shared" si="50"/>
        <v>0</v>
      </c>
      <c r="J827" s="93"/>
      <c r="K827" s="85">
        <f t="shared" si="51"/>
        <v>0</v>
      </c>
      <c r="L827" s="68"/>
      <c r="M827" s="68"/>
      <c r="P827" s="89" t="str">
        <f t="shared" si="49"/>
        <v xml:space="preserve">  1 1900 </v>
      </c>
    </row>
    <row r="828" spans="1:16">
      <c r="A828" s="68"/>
      <c r="B828" s="87"/>
      <c r="C828" s="88"/>
      <c r="D828" s="88"/>
      <c r="E828" s="90"/>
      <c r="F828" s="84" t="str">
        <f ca="1">IF(D828="Income",LOOKUP(E828,Introduction!$A$11:$A$18,Introduction!$C$11:$C$18),IF(D828="Expense",LOOKUP(E828,Introduction!$D$11:$D$30,Introduction!$F$11:$F$30),"_"))</f>
        <v>_</v>
      </c>
      <c r="G828" s="88"/>
      <c r="H828" s="92"/>
      <c r="I828" s="85">
        <f t="shared" si="50"/>
        <v>0</v>
      </c>
      <c r="J828" s="93"/>
      <c r="K828" s="85">
        <f t="shared" si="51"/>
        <v>0</v>
      </c>
      <c r="L828" s="68"/>
      <c r="M828" s="68"/>
      <c r="P828" s="89" t="str">
        <f t="shared" si="49"/>
        <v xml:space="preserve">  1 1900 </v>
      </c>
    </row>
    <row r="829" spans="1:16">
      <c r="A829" s="68"/>
      <c r="B829" s="87"/>
      <c r="C829" s="88"/>
      <c r="D829" s="88"/>
      <c r="E829" s="90"/>
      <c r="F829" s="84" t="str">
        <f ca="1">IF(D829="Income",LOOKUP(E829,Introduction!$A$11:$A$18,Introduction!$C$11:$C$18),IF(D829="Expense",LOOKUP(E829,Introduction!$D$11:$D$30,Introduction!$F$11:$F$30),"_"))</f>
        <v>_</v>
      </c>
      <c r="G829" s="88"/>
      <c r="H829" s="92"/>
      <c r="I829" s="85">
        <f t="shared" si="50"/>
        <v>0</v>
      </c>
      <c r="J829" s="93"/>
      <c r="K829" s="85">
        <f t="shared" si="51"/>
        <v>0</v>
      </c>
      <c r="L829" s="68"/>
      <c r="M829" s="68"/>
      <c r="P829" s="89" t="str">
        <f t="shared" si="49"/>
        <v xml:space="preserve">  1 1900 </v>
      </c>
    </row>
    <row r="830" spans="1:16">
      <c r="A830" s="68"/>
      <c r="B830" s="87"/>
      <c r="C830" s="88"/>
      <c r="D830" s="88"/>
      <c r="E830" s="90"/>
      <c r="F830" s="84" t="str">
        <f ca="1">IF(D830="Income",LOOKUP(E830,Introduction!$A$11:$A$18,Introduction!$C$11:$C$18),IF(D830="Expense",LOOKUP(E830,Introduction!$D$11:$D$30,Introduction!$F$11:$F$30),"_"))</f>
        <v>_</v>
      </c>
      <c r="G830" s="88"/>
      <c r="H830" s="92"/>
      <c r="I830" s="85">
        <f t="shared" si="50"/>
        <v>0</v>
      </c>
      <c r="J830" s="93"/>
      <c r="K830" s="85">
        <f t="shared" si="51"/>
        <v>0</v>
      </c>
      <c r="L830" s="68"/>
      <c r="M830" s="68"/>
      <c r="P830" s="89" t="str">
        <f t="shared" si="49"/>
        <v xml:space="preserve">  1 1900 </v>
      </c>
    </row>
    <row r="831" spans="1:16">
      <c r="A831" s="68"/>
      <c r="B831" s="87"/>
      <c r="C831" s="88"/>
      <c r="D831" s="88"/>
      <c r="E831" s="90"/>
      <c r="F831" s="84" t="str">
        <f ca="1">IF(D831="Income",LOOKUP(E831,Introduction!$A$11:$A$18,Introduction!$C$11:$C$18),IF(D831="Expense",LOOKUP(E831,Introduction!$D$11:$D$30,Introduction!$F$11:$F$30),"_"))</f>
        <v>_</v>
      </c>
      <c r="G831" s="88"/>
      <c r="H831" s="92"/>
      <c r="I831" s="85">
        <f t="shared" si="50"/>
        <v>0</v>
      </c>
      <c r="J831" s="93"/>
      <c r="K831" s="85">
        <f t="shared" si="51"/>
        <v>0</v>
      </c>
      <c r="L831" s="68"/>
      <c r="M831" s="68"/>
      <c r="P831" s="89" t="str">
        <f t="shared" si="49"/>
        <v xml:space="preserve">  1 1900 </v>
      </c>
    </row>
    <row r="832" spans="1:16">
      <c r="A832" s="68"/>
      <c r="B832" s="87"/>
      <c r="C832" s="88"/>
      <c r="D832" s="88"/>
      <c r="E832" s="90"/>
      <c r="F832" s="84" t="str">
        <f ca="1">IF(D832="Income",LOOKUP(E832,Introduction!$A$11:$A$18,Introduction!$C$11:$C$18),IF(D832="Expense",LOOKUP(E832,Introduction!$D$11:$D$30,Introduction!$F$11:$F$30),"_"))</f>
        <v>_</v>
      </c>
      <c r="G832" s="88"/>
      <c r="H832" s="92"/>
      <c r="I832" s="85">
        <f t="shared" si="50"/>
        <v>0</v>
      </c>
      <c r="J832" s="93"/>
      <c r="K832" s="85">
        <f t="shared" si="51"/>
        <v>0</v>
      </c>
      <c r="L832" s="68"/>
      <c r="M832" s="68"/>
      <c r="P832" s="89" t="str">
        <f t="shared" si="49"/>
        <v xml:space="preserve">  1 1900 </v>
      </c>
    </row>
    <row r="833" spans="1:16">
      <c r="A833" s="68"/>
      <c r="B833" s="87"/>
      <c r="C833" s="88"/>
      <c r="D833" s="88"/>
      <c r="E833" s="90"/>
      <c r="F833" s="84" t="str">
        <f ca="1">IF(D833="Income",LOOKUP(E833,Introduction!$A$11:$A$18,Introduction!$C$11:$C$18),IF(D833="Expense",LOOKUP(E833,Introduction!$D$11:$D$30,Introduction!$F$11:$F$30),"_"))</f>
        <v>_</v>
      </c>
      <c r="G833" s="88"/>
      <c r="H833" s="92"/>
      <c r="I833" s="85">
        <f t="shared" si="50"/>
        <v>0</v>
      </c>
      <c r="J833" s="93"/>
      <c r="K833" s="85">
        <f t="shared" si="51"/>
        <v>0</v>
      </c>
      <c r="L833" s="68"/>
      <c r="M833" s="68"/>
      <c r="P833" s="89" t="str">
        <f t="shared" si="49"/>
        <v xml:space="preserve">  1 1900 </v>
      </c>
    </row>
    <row r="834" spans="1:16">
      <c r="A834" s="68"/>
      <c r="B834" s="87"/>
      <c r="C834" s="88"/>
      <c r="D834" s="88"/>
      <c r="E834" s="90"/>
      <c r="F834" s="84" t="str">
        <f ca="1">IF(D834="Income",LOOKUP(E834,Introduction!$A$11:$A$18,Introduction!$C$11:$C$18),IF(D834="Expense",LOOKUP(E834,Introduction!$D$11:$D$30,Introduction!$F$11:$F$30),"_"))</f>
        <v>_</v>
      </c>
      <c r="G834" s="88"/>
      <c r="H834" s="92"/>
      <c r="I834" s="85">
        <f t="shared" si="50"/>
        <v>0</v>
      </c>
      <c r="J834" s="93"/>
      <c r="K834" s="85">
        <f t="shared" si="51"/>
        <v>0</v>
      </c>
      <c r="L834" s="68"/>
      <c r="M834" s="68"/>
      <c r="P834" s="89" t="str">
        <f t="shared" si="49"/>
        <v xml:space="preserve">  1 1900 </v>
      </c>
    </row>
    <row r="835" spans="1:16">
      <c r="A835" s="68"/>
      <c r="B835" s="87"/>
      <c r="C835" s="88"/>
      <c r="D835" s="88"/>
      <c r="E835" s="90"/>
      <c r="F835" s="84" t="str">
        <f ca="1">IF(D835="Income",LOOKUP(E835,Introduction!$A$11:$A$18,Introduction!$C$11:$C$18),IF(D835="Expense",LOOKUP(E835,Introduction!$D$11:$D$30,Introduction!$F$11:$F$30),"_"))</f>
        <v>_</v>
      </c>
      <c r="G835" s="88"/>
      <c r="H835" s="92"/>
      <c r="I835" s="85">
        <f t="shared" si="50"/>
        <v>0</v>
      </c>
      <c r="J835" s="93"/>
      <c r="K835" s="85">
        <f t="shared" si="51"/>
        <v>0</v>
      </c>
      <c r="L835" s="68"/>
      <c r="M835" s="68"/>
      <c r="P835" s="89" t="str">
        <f t="shared" si="49"/>
        <v xml:space="preserve">  1 1900 </v>
      </c>
    </row>
    <row r="836" spans="1:16">
      <c r="A836" s="68"/>
      <c r="B836" s="87"/>
      <c r="C836" s="88"/>
      <c r="D836" s="88"/>
      <c r="E836" s="90"/>
      <c r="F836" s="84" t="str">
        <f ca="1">IF(D836="Income",LOOKUP(E836,Introduction!$A$11:$A$18,Introduction!$C$11:$C$18),IF(D836="Expense",LOOKUP(E836,Introduction!$D$11:$D$30,Introduction!$F$11:$F$30),"_"))</f>
        <v>_</v>
      </c>
      <c r="G836" s="88"/>
      <c r="H836" s="92"/>
      <c r="I836" s="85">
        <f t="shared" si="50"/>
        <v>0</v>
      </c>
      <c r="J836" s="93"/>
      <c r="K836" s="85">
        <f t="shared" si="51"/>
        <v>0</v>
      </c>
      <c r="L836" s="68"/>
      <c r="M836" s="68"/>
      <c r="P836" s="89" t="str">
        <f t="shared" si="49"/>
        <v xml:space="preserve">  1 1900 </v>
      </c>
    </row>
    <row r="837" spans="1:16">
      <c r="A837" s="68"/>
      <c r="B837" s="87"/>
      <c r="C837" s="88"/>
      <c r="D837" s="88"/>
      <c r="E837" s="90"/>
      <c r="F837" s="84" t="str">
        <f ca="1">IF(D837="Income",LOOKUP(E837,Introduction!$A$11:$A$18,Introduction!$C$11:$C$18),IF(D837="Expense",LOOKUP(E837,Introduction!$D$11:$D$30,Introduction!$F$11:$F$30),"_"))</f>
        <v>_</v>
      </c>
      <c r="G837" s="88"/>
      <c r="H837" s="92"/>
      <c r="I837" s="85">
        <f t="shared" si="50"/>
        <v>0</v>
      </c>
      <c r="J837" s="93"/>
      <c r="K837" s="85">
        <f t="shared" si="51"/>
        <v>0</v>
      </c>
      <c r="L837" s="68"/>
      <c r="M837" s="68"/>
      <c r="P837" s="89" t="str">
        <f t="shared" si="49"/>
        <v xml:space="preserve">  1 1900 </v>
      </c>
    </row>
    <row r="838" spans="1:16">
      <c r="A838" s="68"/>
      <c r="B838" s="87"/>
      <c r="C838" s="88"/>
      <c r="D838" s="88"/>
      <c r="E838" s="90"/>
      <c r="F838" s="84" t="str">
        <f ca="1">IF(D838="Income",LOOKUP(E838,Introduction!$A$11:$A$18,Introduction!$C$11:$C$18),IF(D838="Expense",LOOKUP(E838,Introduction!$D$11:$D$30,Introduction!$F$11:$F$30),"_"))</f>
        <v>_</v>
      </c>
      <c r="G838" s="88"/>
      <c r="H838" s="92"/>
      <c r="I838" s="85">
        <f t="shared" si="50"/>
        <v>0</v>
      </c>
      <c r="J838" s="93"/>
      <c r="K838" s="85">
        <f t="shared" si="51"/>
        <v>0</v>
      </c>
      <c r="L838" s="68"/>
      <c r="M838" s="68"/>
      <c r="P838" s="89" t="str">
        <f t="shared" si="49"/>
        <v xml:space="preserve">  1 1900 </v>
      </c>
    </row>
    <row r="839" spans="1:16">
      <c r="A839" s="68"/>
      <c r="B839" s="87"/>
      <c r="C839" s="88"/>
      <c r="D839" s="88"/>
      <c r="E839" s="90"/>
      <c r="F839" s="84" t="str">
        <f ca="1">IF(D839="Income",LOOKUP(E839,Introduction!$A$11:$A$18,Introduction!$C$11:$C$18),IF(D839="Expense",LOOKUP(E839,Introduction!$D$11:$D$30,Introduction!$F$11:$F$30),"_"))</f>
        <v>_</v>
      </c>
      <c r="G839" s="88"/>
      <c r="H839" s="92"/>
      <c r="I839" s="85">
        <f t="shared" si="50"/>
        <v>0</v>
      </c>
      <c r="J839" s="93"/>
      <c r="K839" s="85">
        <f t="shared" si="51"/>
        <v>0</v>
      </c>
      <c r="L839" s="68"/>
      <c r="M839" s="68"/>
      <c r="P839" s="89" t="str">
        <f t="shared" ref="P839:P902" si="52">CONCATENATE(D839," ",E839," ",MONTH(C839)," ",YEAR(C839)," ")</f>
        <v xml:space="preserve">  1 1900 </v>
      </c>
    </row>
    <row r="840" spans="1:16">
      <c r="A840" s="68"/>
      <c r="B840" s="87"/>
      <c r="C840" s="88"/>
      <c r="D840" s="88"/>
      <c r="E840" s="90"/>
      <c r="F840" s="84" t="str">
        <f ca="1">IF(D840="Income",LOOKUP(E840,Introduction!$A$11:$A$18,Introduction!$C$11:$C$18),IF(D840="Expense",LOOKUP(E840,Introduction!$D$11:$D$30,Introduction!$F$11:$F$30),"_"))</f>
        <v>_</v>
      </c>
      <c r="G840" s="88"/>
      <c r="H840" s="92"/>
      <c r="I840" s="85">
        <f t="shared" si="50"/>
        <v>0</v>
      </c>
      <c r="J840" s="93"/>
      <c r="K840" s="85">
        <f t="shared" si="51"/>
        <v>0</v>
      </c>
      <c r="L840" s="68"/>
      <c r="M840" s="68"/>
      <c r="P840" s="89" t="str">
        <f t="shared" si="52"/>
        <v xml:space="preserve">  1 1900 </v>
      </c>
    </row>
    <row r="841" spans="1:16">
      <c r="A841" s="68"/>
      <c r="B841" s="87"/>
      <c r="C841" s="88"/>
      <c r="D841" s="88"/>
      <c r="E841" s="90"/>
      <c r="F841" s="84" t="str">
        <f ca="1">IF(D841="Income",LOOKUP(E841,Introduction!$A$11:$A$18,Introduction!$C$11:$C$18),IF(D841="Expense",LOOKUP(E841,Introduction!$D$11:$D$30,Introduction!$F$11:$F$30),"_"))</f>
        <v>_</v>
      </c>
      <c r="G841" s="88"/>
      <c r="H841" s="92"/>
      <c r="I841" s="85">
        <f t="shared" si="50"/>
        <v>0</v>
      </c>
      <c r="J841" s="93"/>
      <c r="K841" s="85">
        <f t="shared" si="51"/>
        <v>0</v>
      </c>
      <c r="L841" s="68"/>
      <c r="M841" s="68"/>
      <c r="P841" s="89" t="str">
        <f t="shared" si="52"/>
        <v xml:space="preserve">  1 1900 </v>
      </c>
    </row>
    <row r="842" spans="1:16">
      <c r="A842" s="68"/>
      <c r="B842" s="87"/>
      <c r="C842" s="88"/>
      <c r="D842" s="88"/>
      <c r="E842" s="90"/>
      <c r="F842" s="84" t="str">
        <f ca="1">IF(D842="Income",LOOKUP(E842,Introduction!$A$11:$A$18,Introduction!$C$11:$C$18),IF(D842="Expense",LOOKUP(E842,Introduction!$D$11:$D$30,Introduction!$F$11:$F$30),"_"))</f>
        <v>_</v>
      </c>
      <c r="G842" s="88"/>
      <c r="H842" s="92"/>
      <c r="I842" s="85">
        <f t="shared" si="50"/>
        <v>0</v>
      </c>
      <c r="J842" s="93"/>
      <c r="K842" s="85">
        <f t="shared" si="51"/>
        <v>0</v>
      </c>
      <c r="L842" s="68"/>
      <c r="M842" s="68"/>
      <c r="P842" s="89" t="str">
        <f t="shared" si="52"/>
        <v xml:space="preserve">  1 1900 </v>
      </c>
    </row>
    <row r="843" spans="1:16">
      <c r="A843" s="68"/>
      <c r="B843" s="87"/>
      <c r="C843" s="88"/>
      <c r="D843" s="88"/>
      <c r="E843" s="90"/>
      <c r="F843" s="84" t="str">
        <f ca="1">IF(D843="Income",LOOKUP(E843,Introduction!$A$11:$A$18,Introduction!$C$11:$C$18),IF(D843="Expense",LOOKUP(E843,Introduction!$D$11:$D$30,Introduction!$F$11:$F$30),"_"))</f>
        <v>_</v>
      </c>
      <c r="G843" s="88"/>
      <c r="H843" s="92"/>
      <c r="I843" s="85">
        <f t="shared" si="50"/>
        <v>0</v>
      </c>
      <c r="J843" s="93"/>
      <c r="K843" s="85">
        <f t="shared" si="51"/>
        <v>0</v>
      </c>
      <c r="L843" s="68"/>
      <c r="M843" s="68"/>
      <c r="P843" s="89" t="str">
        <f t="shared" si="52"/>
        <v xml:space="preserve">  1 1900 </v>
      </c>
    </row>
    <row r="844" spans="1:16">
      <c r="A844" s="68"/>
      <c r="B844" s="87"/>
      <c r="C844" s="88"/>
      <c r="D844" s="88"/>
      <c r="E844" s="90"/>
      <c r="F844" s="84" t="str">
        <f ca="1">IF(D844="Income",LOOKUP(E844,Introduction!$A$11:$A$18,Introduction!$C$11:$C$18),IF(D844="Expense",LOOKUP(E844,Introduction!$D$11:$D$30,Introduction!$F$11:$F$30),"_"))</f>
        <v>_</v>
      </c>
      <c r="G844" s="88"/>
      <c r="H844" s="92"/>
      <c r="I844" s="85">
        <f t="shared" si="50"/>
        <v>0</v>
      </c>
      <c r="J844" s="93"/>
      <c r="K844" s="85">
        <f t="shared" si="51"/>
        <v>0</v>
      </c>
      <c r="L844" s="68"/>
      <c r="M844" s="68"/>
      <c r="P844" s="89" t="str">
        <f t="shared" si="52"/>
        <v xml:space="preserve">  1 1900 </v>
      </c>
    </row>
    <row r="845" spans="1:16">
      <c r="A845" s="68"/>
      <c r="B845" s="87"/>
      <c r="C845" s="88"/>
      <c r="D845" s="88"/>
      <c r="E845" s="90"/>
      <c r="F845" s="84" t="str">
        <f ca="1">IF(D845="Income",LOOKUP(E845,Introduction!$A$11:$A$18,Introduction!$C$11:$C$18),IF(D845="Expense",LOOKUP(E845,Introduction!$D$11:$D$30,Introduction!$F$11:$F$30),"_"))</f>
        <v>_</v>
      </c>
      <c r="G845" s="88"/>
      <c r="H845" s="92"/>
      <c r="I845" s="85">
        <f t="shared" si="50"/>
        <v>0</v>
      </c>
      <c r="J845" s="93"/>
      <c r="K845" s="85">
        <f t="shared" si="51"/>
        <v>0</v>
      </c>
      <c r="L845" s="68"/>
      <c r="M845" s="68"/>
      <c r="P845" s="89" t="str">
        <f t="shared" si="52"/>
        <v xml:space="preserve">  1 1900 </v>
      </c>
    </row>
    <row r="846" spans="1:16">
      <c r="A846" s="68"/>
      <c r="B846" s="87"/>
      <c r="C846" s="88"/>
      <c r="D846" s="88"/>
      <c r="E846" s="90"/>
      <c r="F846" s="84" t="str">
        <f ca="1">IF(D846="Income",LOOKUP(E846,Introduction!$A$11:$A$18,Introduction!$C$11:$C$18),IF(D846="Expense",LOOKUP(E846,Introduction!$D$11:$D$30,Introduction!$F$11:$F$30),"_"))</f>
        <v>_</v>
      </c>
      <c r="G846" s="88"/>
      <c r="H846" s="92"/>
      <c r="I846" s="85">
        <f t="shared" si="50"/>
        <v>0</v>
      </c>
      <c r="J846" s="93"/>
      <c r="K846" s="85">
        <f t="shared" si="51"/>
        <v>0</v>
      </c>
      <c r="L846" s="68"/>
      <c r="M846" s="68"/>
      <c r="P846" s="89" t="str">
        <f t="shared" si="52"/>
        <v xml:space="preserve">  1 1900 </v>
      </c>
    </row>
    <row r="847" spans="1:16">
      <c r="A847" s="68"/>
      <c r="B847" s="87"/>
      <c r="C847" s="88"/>
      <c r="D847" s="88"/>
      <c r="E847" s="90"/>
      <c r="F847" s="84" t="str">
        <f ca="1">IF(D847="Income",LOOKUP(E847,Introduction!$A$11:$A$18,Introduction!$C$11:$C$18),IF(D847="Expense",LOOKUP(E847,Introduction!$D$11:$D$30,Introduction!$F$11:$F$30),"_"))</f>
        <v>_</v>
      </c>
      <c r="G847" s="88"/>
      <c r="H847" s="92"/>
      <c r="I847" s="85">
        <f t="shared" si="50"/>
        <v>0</v>
      </c>
      <c r="J847" s="93"/>
      <c r="K847" s="85">
        <f t="shared" si="51"/>
        <v>0</v>
      </c>
      <c r="L847" s="68"/>
      <c r="M847" s="68"/>
      <c r="P847" s="89" t="str">
        <f t="shared" si="52"/>
        <v xml:space="preserve">  1 1900 </v>
      </c>
    </row>
    <row r="848" spans="1:16">
      <c r="A848" s="68"/>
      <c r="B848" s="87"/>
      <c r="C848" s="88"/>
      <c r="D848" s="88"/>
      <c r="E848" s="90"/>
      <c r="F848" s="84" t="str">
        <f ca="1">IF(D848="Income",LOOKUP(E848,Introduction!$A$11:$A$18,Introduction!$C$11:$C$18),IF(D848="Expense",LOOKUP(E848,Introduction!$D$11:$D$30,Introduction!$F$11:$F$30),"_"))</f>
        <v>_</v>
      </c>
      <c r="G848" s="88"/>
      <c r="H848" s="92"/>
      <c r="I848" s="85">
        <f t="shared" si="50"/>
        <v>0</v>
      </c>
      <c r="J848" s="93"/>
      <c r="K848" s="85">
        <f t="shared" si="51"/>
        <v>0</v>
      </c>
      <c r="L848" s="68"/>
      <c r="M848" s="68"/>
      <c r="P848" s="89" t="str">
        <f t="shared" si="52"/>
        <v xml:space="preserve">  1 1900 </v>
      </c>
    </row>
    <row r="849" spans="1:16">
      <c r="A849" s="68"/>
      <c r="B849" s="87"/>
      <c r="C849" s="88"/>
      <c r="D849" s="88"/>
      <c r="E849" s="90"/>
      <c r="F849" s="84" t="str">
        <f ca="1">IF(D849="Income",LOOKUP(E849,Introduction!$A$11:$A$18,Introduction!$C$11:$C$18),IF(D849="Expense",LOOKUP(E849,Introduction!$D$11:$D$30,Introduction!$F$11:$F$30),"_"))</f>
        <v>_</v>
      </c>
      <c r="G849" s="88"/>
      <c r="H849" s="92"/>
      <c r="I849" s="85">
        <f t="shared" ref="I849:I912" si="53">+I848+H849</f>
        <v>0</v>
      </c>
      <c r="J849" s="93"/>
      <c r="K849" s="85">
        <f t="shared" ref="K849:K912" si="54">IF(J849=1,K848+H849,++K848)</f>
        <v>0</v>
      </c>
      <c r="L849" s="68"/>
      <c r="M849" s="68"/>
      <c r="P849" s="89" t="str">
        <f t="shared" si="52"/>
        <v xml:space="preserve">  1 1900 </v>
      </c>
    </row>
    <row r="850" spans="1:16">
      <c r="A850" s="68"/>
      <c r="B850" s="87"/>
      <c r="C850" s="88"/>
      <c r="D850" s="88"/>
      <c r="E850" s="90"/>
      <c r="F850" s="84" t="str">
        <f ca="1">IF(D850="Income",LOOKUP(E850,Introduction!$A$11:$A$18,Introduction!$C$11:$C$18),IF(D850="Expense",LOOKUP(E850,Introduction!$D$11:$D$30,Introduction!$F$11:$F$30),"_"))</f>
        <v>_</v>
      </c>
      <c r="G850" s="88"/>
      <c r="H850" s="92"/>
      <c r="I850" s="85">
        <f t="shared" si="53"/>
        <v>0</v>
      </c>
      <c r="J850" s="93"/>
      <c r="K850" s="85">
        <f t="shared" si="54"/>
        <v>0</v>
      </c>
      <c r="L850" s="68"/>
      <c r="M850" s="68"/>
      <c r="P850" s="89" t="str">
        <f t="shared" si="52"/>
        <v xml:space="preserve">  1 1900 </v>
      </c>
    </row>
    <row r="851" spans="1:16">
      <c r="A851" s="68"/>
      <c r="B851" s="87"/>
      <c r="C851" s="88"/>
      <c r="D851" s="88"/>
      <c r="E851" s="90"/>
      <c r="F851" s="84" t="str">
        <f ca="1">IF(D851="Income",LOOKUP(E851,Introduction!$A$11:$A$18,Introduction!$C$11:$C$18),IF(D851="Expense",LOOKUP(E851,Introduction!$D$11:$D$30,Introduction!$F$11:$F$30),"_"))</f>
        <v>_</v>
      </c>
      <c r="G851" s="88"/>
      <c r="H851" s="92"/>
      <c r="I851" s="85">
        <f t="shared" si="53"/>
        <v>0</v>
      </c>
      <c r="J851" s="93"/>
      <c r="K851" s="85">
        <f t="shared" si="54"/>
        <v>0</v>
      </c>
      <c r="L851" s="68"/>
      <c r="M851" s="68"/>
      <c r="P851" s="89" t="str">
        <f t="shared" si="52"/>
        <v xml:space="preserve">  1 1900 </v>
      </c>
    </row>
    <row r="852" spans="1:16">
      <c r="A852" s="68"/>
      <c r="B852" s="87"/>
      <c r="C852" s="88"/>
      <c r="D852" s="88"/>
      <c r="E852" s="90"/>
      <c r="F852" s="84" t="str">
        <f ca="1">IF(D852="Income",LOOKUP(E852,Introduction!$A$11:$A$18,Introduction!$C$11:$C$18),IF(D852="Expense",LOOKUP(E852,Introduction!$D$11:$D$30,Introduction!$F$11:$F$30),"_"))</f>
        <v>_</v>
      </c>
      <c r="G852" s="88"/>
      <c r="H852" s="92"/>
      <c r="I852" s="85">
        <f t="shared" si="53"/>
        <v>0</v>
      </c>
      <c r="J852" s="93"/>
      <c r="K852" s="85">
        <f t="shared" si="54"/>
        <v>0</v>
      </c>
      <c r="L852" s="68"/>
      <c r="M852" s="68"/>
      <c r="P852" s="89" t="str">
        <f t="shared" si="52"/>
        <v xml:space="preserve">  1 1900 </v>
      </c>
    </row>
    <row r="853" spans="1:16">
      <c r="A853" s="68"/>
      <c r="B853" s="87"/>
      <c r="C853" s="88"/>
      <c r="D853" s="88"/>
      <c r="E853" s="90"/>
      <c r="F853" s="84" t="str">
        <f ca="1">IF(D853="Income",LOOKUP(E853,Introduction!$A$11:$A$18,Introduction!$C$11:$C$18),IF(D853="Expense",LOOKUP(E853,Introduction!$D$11:$D$30,Introduction!$F$11:$F$30),"_"))</f>
        <v>_</v>
      </c>
      <c r="G853" s="88"/>
      <c r="H853" s="92"/>
      <c r="I853" s="85">
        <f t="shared" si="53"/>
        <v>0</v>
      </c>
      <c r="J853" s="93"/>
      <c r="K853" s="85">
        <f t="shared" si="54"/>
        <v>0</v>
      </c>
      <c r="L853" s="68"/>
      <c r="M853" s="68"/>
      <c r="P853" s="89" t="str">
        <f t="shared" si="52"/>
        <v xml:space="preserve">  1 1900 </v>
      </c>
    </row>
    <row r="854" spans="1:16">
      <c r="A854" s="68"/>
      <c r="B854" s="87"/>
      <c r="C854" s="88"/>
      <c r="D854" s="88"/>
      <c r="E854" s="90"/>
      <c r="F854" s="84" t="str">
        <f ca="1">IF(D854="Income",LOOKUP(E854,Introduction!$A$11:$A$18,Introduction!$C$11:$C$18),IF(D854="Expense",LOOKUP(E854,Introduction!$D$11:$D$30,Introduction!$F$11:$F$30),"_"))</f>
        <v>_</v>
      </c>
      <c r="G854" s="88"/>
      <c r="H854" s="92"/>
      <c r="I854" s="85">
        <f t="shared" si="53"/>
        <v>0</v>
      </c>
      <c r="J854" s="93"/>
      <c r="K854" s="85">
        <f t="shared" si="54"/>
        <v>0</v>
      </c>
      <c r="L854" s="68"/>
      <c r="M854" s="68"/>
      <c r="P854" s="89" t="str">
        <f t="shared" si="52"/>
        <v xml:space="preserve">  1 1900 </v>
      </c>
    </row>
    <row r="855" spans="1:16">
      <c r="A855" s="68"/>
      <c r="B855" s="87"/>
      <c r="C855" s="88"/>
      <c r="D855" s="88"/>
      <c r="E855" s="90"/>
      <c r="F855" s="84" t="str">
        <f ca="1">IF(D855="Income",LOOKUP(E855,Introduction!$A$11:$A$18,Introduction!$C$11:$C$18),IF(D855="Expense",LOOKUP(E855,Introduction!$D$11:$D$30,Introduction!$F$11:$F$30),"_"))</f>
        <v>_</v>
      </c>
      <c r="G855" s="88"/>
      <c r="H855" s="92"/>
      <c r="I855" s="85">
        <f t="shared" si="53"/>
        <v>0</v>
      </c>
      <c r="J855" s="93"/>
      <c r="K855" s="85">
        <f t="shared" si="54"/>
        <v>0</v>
      </c>
      <c r="L855" s="68"/>
      <c r="M855" s="68"/>
      <c r="P855" s="89" t="str">
        <f t="shared" si="52"/>
        <v xml:space="preserve">  1 1900 </v>
      </c>
    </row>
    <row r="856" spans="1:16">
      <c r="A856" s="68"/>
      <c r="B856" s="87"/>
      <c r="C856" s="88"/>
      <c r="D856" s="88"/>
      <c r="E856" s="90"/>
      <c r="F856" s="84" t="str">
        <f ca="1">IF(D856="Income",LOOKUP(E856,Introduction!$A$11:$A$18,Introduction!$C$11:$C$18),IF(D856="Expense",LOOKUP(E856,Introduction!$D$11:$D$30,Introduction!$F$11:$F$30),"_"))</f>
        <v>_</v>
      </c>
      <c r="G856" s="88"/>
      <c r="H856" s="92"/>
      <c r="I856" s="85">
        <f t="shared" si="53"/>
        <v>0</v>
      </c>
      <c r="J856" s="93"/>
      <c r="K856" s="85">
        <f t="shared" si="54"/>
        <v>0</v>
      </c>
      <c r="L856" s="68"/>
      <c r="M856" s="68"/>
      <c r="P856" s="89" t="str">
        <f t="shared" si="52"/>
        <v xml:space="preserve">  1 1900 </v>
      </c>
    </row>
    <row r="857" spans="1:16">
      <c r="A857" s="68"/>
      <c r="B857" s="87"/>
      <c r="C857" s="88"/>
      <c r="D857" s="88"/>
      <c r="E857" s="90"/>
      <c r="F857" s="84" t="str">
        <f ca="1">IF(D857="Income",LOOKUP(E857,Introduction!$A$11:$A$18,Introduction!$C$11:$C$18),IF(D857="Expense",LOOKUP(E857,Introduction!$D$11:$D$30,Introduction!$F$11:$F$30),"_"))</f>
        <v>_</v>
      </c>
      <c r="G857" s="88"/>
      <c r="H857" s="92"/>
      <c r="I857" s="85">
        <f t="shared" si="53"/>
        <v>0</v>
      </c>
      <c r="J857" s="93"/>
      <c r="K857" s="85">
        <f t="shared" si="54"/>
        <v>0</v>
      </c>
      <c r="L857" s="68"/>
      <c r="M857" s="68"/>
      <c r="P857" s="89" t="str">
        <f t="shared" si="52"/>
        <v xml:space="preserve">  1 1900 </v>
      </c>
    </row>
    <row r="858" spans="1:16">
      <c r="A858" s="68"/>
      <c r="B858" s="87"/>
      <c r="C858" s="88"/>
      <c r="D858" s="88"/>
      <c r="E858" s="90"/>
      <c r="F858" s="84" t="str">
        <f ca="1">IF(D858="Income",LOOKUP(E858,Introduction!$A$11:$A$18,Introduction!$C$11:$C$18),IF(D858="Expense",LOOKUP(E858,Introduction!$D$11:$D$30,Introduction!$F$11:$F$30),"_"))</f>
        <v>_</v>
      </c>
      <c r="G858" s="88"/>
      <c r="H858" s="92"/>
      <c r="I858" s="85">
        <f t="shared" si="53"/>
        <v>0</v>
      </c>
      <c r="J858" s="93"/>
      <c r="K858" s="85">
        <f t="shared" si="54"/>
        <v>0</v>
      </c>
      <c r="L858" s="68"/>
      <c r="M858" s="68"/>
      <c r="P858" s="89" t="str">
        <f t="shared" si="52"/>
        <v xml:space="preserve">  1 1900 </v>
      </c>
    </row>
    <row r="859" spans="1:16">
      <c r="A859" s="68"/>
      <c r="B859" s="87"/>
      <c r="C859" s="88"/>
      <c r="D859" s="88"/>
      <c r="E859" s="90"/>
      <c r="F859" s="84" t="str">
        <f ca="1">IF(D859="Income",LOOKUP(E859,Introduction!$A$11:$A$18,Introduction!$C$11:$C$18),IF(D859="Expense",LOOKUP(E859,Introduction!$D$11:$D$30,Introduction!$F$11:$F$30),"_"))</f>
        <v>_</v>
      </c>
      <c r="G859" s="88"/>
      <c r="H859" s="92"/>
      <c r="I859" s="85">
        <f t="shared" si="53"/>
        <v>0</v>
      </c>
      <c r="J859" s="93"/>
      <c r="K859" s="85">
        <f t="shared" si="54"/>
        <v>0</v>
      </c>
      <c r="L859" s="68"/>
      <c r="M859" s="68"/>
      <c r="P859" s="89" t="str">
        <f t="shared" si="52"/>
        <v xml:space="preserve">  1 1900 </v>
      </c>
    </row>
    <row r="860" spans="1:16">
      <c r="A860" s="68"/>
      <c r="B860" s="87"/>
      <c r="C860" s="88"/>
      <c r="D860" s="88"/>
      <c r="E860" s="90"/>
      <c r="F860" s="84" t="str">
        <f ca="1">IF(D860="Income",LOOKUP(E860,Introduction!$A$11:$A$18,Introduction!$C$11:$C$18),IF(D860="Expense",LOOKUP(E860,Introduction!$D$11:$D$30,Introduction!$F$11:$F$30),"_"))</f>
        <v>_</v>
      </c>
      <c r="G860" s="88"/>
      <c r="H860" s="92"/>
      <c r="I860" s="85">
        <f t="shared" si="53"/>
        <v>0</v>
      </c>
      <c r="J860" s="93"/>
      <c r="K860" s="85">
        <f t="shared" si="54"/>
        <v>0</v>
      </c>
      <c r="L860" s="68"/>
      <c r="M860" s="68"/>
      <c r="P860" s="89" t="str">
        <f t="shared" si="52"/>
        <v xml:space="preserve">  1 1900 </v>
      </c>
    </row>
    <row r="861" spans="1:16">
      <c r="A861" s="68"/>
      <c r="B861" s="87"/>
      <c r="C861" s="88"/>
      <c r="D861" s="88"/>
      <c r="E861" s="90"/>
      <c r="F861" s="84" t="str">
        <f ca="1">IF(D861="Income",LOOKUP(E861,Introduction!$A$11:$A$18,Introduction!$C$11:$C$18),IF(D861="Expense",LOOKUP(E861,Introduction!$D$11:$D$30,Introduction!$F$11:$F$30),"_"))</f>
        <v>_</v>
      </c>
      <c r="G861" s="88"/>
      <c r="H861" s="92"/>
      <c r="I861" s="85">
        <f t="shared" si="53"/>
        <v>0</v>
      </c>
      <c r="J861" s="93"/>
      <c r="K861" s="85">
        <f t="shared" si="54"/>
        <v>0</v>
      </c>
      <c r="L861" s="68"/>
      <c r="M861" s="68"/>
      <c r="P861" s="89" t="str">
        <f t="shared" si="52"/>
        <v xml:space="preserve">  1 1900 </v>
      </c>
    </row>
    <row r="862" spans="1:16">
      <c r="A862" s="68"/>
      <c r="B862" s="87"/>
      <c r="C862" s="88"/>
      <c r="D862" s="88"/>
      <c r="E862" s="90"/>
      <c r="F862" s="84" t="str">
        <f ca="1">IF(D862="Income",LOOKUP(E862,Introduction!$A$11:$A$18,Introduction!$C$11:$C$18),IF(D862="Expense",LOOKUP(E862,Introduction!$D$11:$D$30,Introduction!$F$11:$F$30),"_"))</f>
        <v>_</v>
      </c>
      <c r="G862" s="88"/>
      <c r="H862" s="92"/>
      <c r="I862" s="85">
        <f t="shared" si="53"/>
        <v>0</v>
      </c>
      <c r="J862" s="93"/>
      <c r="K862" s="85">
        <f t="shared" si="54"/>
        <v>0</v>
      </c>
      <c r="L862" s="68"/>
      <c r="M862" s="68"/>
      <c r="P862" s="89" t="str">
        <f t="shared" si="52"/>
        <v xml:space="preserve">  1 1900 </v>
      </c>
    </row>
    <row r="863" spans="1:16">
      <c r="A863" s="68"/>
      <c r="B863" s="87"/>
      <c r="C863" s="88"/>
      <c r="D863" s="88"/>
      <c r="E863" s="90"/>
      <c r="F863" s="84" t="str">
        <f ca="1">IF(D863="Income",LOOKUP(E863,Introduction!$A$11:$A$18,Introduction!$C$11:$C$18),IF(D863="Expense",LOOKUP(E863,Introduction!$D$11:$D$30,Introduction!$F$11:$F$30),"_"))</f>
        <v>_</v>
      </c>
      <c r="G863" s="88"/>
      <c r="H863" s="92"/>
      <c r="I863" s="85">
        <f t="shared" si="53"/>
        <v>0</v>
      </c>
      <c r="J863" s="93"/>
      <c r="K863" s="85">
        <f t="shared" si="54"/>
        <v>0</v>
      </c>
      <c r="L863" s="68"/>
      <c r="M863" s="68"/>
      <c r="P863" s="89" t="str">
        <f t="shared" si="52"/>
        <v xml:space="preserve">  1 1900 </v>
      </c>
    </row>
    <row r="864" spans="1:16">
      <c r="A864" s="68"/>
      <c r="B864" s="87"/>
      <c r="C864" s="88"/>
      <c r="D864" s="88"/>
      <c r="E864" s="90"/>
      <c r="F864" s="84" t="str">
        <f ca="1">IF(D864="Income",LOOKUP(E864,Introduction!$A$11:$A$18,Introduction!$C$11:$C$18),IF(D864="Expense",LOOKUP(E864,Introduction!$D$11:$D$30,Introduction!$F$11:$F$30),"_"))</f>
        <v>_</v>
      </c>
      <c r="G864" s="88"/>
      <c r="H864" s="92"/>
      <c r="I864" s="85">
        <f t="shared" si="53"/>
        <v>0</v>
      </c>
      <c r="J864" s="93"/>
      <c r="K864" s="85">
        <f t="shared" si="54"/>
        <v>0</v>
      </c>
      <c r="L864" s="68"/>
      <c r="M864" s="68"/>
      <c r="P864" s="89" t="str">
        <f t="shared" si="52"/>
        <v xml:space="preserve">  1 1900 </v>
      </c>
    </row>
    <row r="865" spans="1:16">
      <c r="A865" s="68"/>
      <c r="B865" s="87"/>
      <c r="C865" s="88"/>
      <c r="D865" s="88"/>
      <c r="E865" s="90"/>
      <c r="F865" s="84" t="str">
        <f ca="1">IF(D865="Income",LOOKUP(E865,Introduction!$A$11:$A$18,Introduction!$C$11:$C$18),IF(D865="Expense",LOOKUP(E865,Introduction!$D$11:$D$30,Introduction!$F$11:$F$30),"_"))</f>
        <v>_</v>
      </c>
      <c r="G865" s="88"/>
      <c r="H865" s="92"/>
      <c r="I865" s="85">
        <f t="shared" si="53"/>
        <v>0</v>
      </c>
      <c r="J865" s="93"/>
      <c r="K865" s="85">
        <f t="shared" si="54"/>
        <v>0</v>
      </c>
      <c r="L865" s="68"/>
      <c r="M865" s="68"/>
      <c r="P865" s="89" t="str">
        <f t="shared" si="52"/>
        <v xml:space="preserve">  1 1900 </v>
      </c>
    </row>
    <row r="866" spans="1:16">
      <c r="A866" s="68"/>
      <c r="B866" s="87"/>
      <c r="C866" s="88"/>
      <c r="D866" s="88"/>
      <c r="E866" s="90"/>
      <c r="F866" s="84" t="str">
        <f ca="1">IF(D866="Income",LOOKUP(E866,Introduction!$A$11:$A$18,Introduction!$C$11:$C$18),IF(D866="Expense",LOOKUP(E866,Introduction!$D$11:$D$30,Introduction!$F$11:$F$30),"_"))</f>
        <v>_</v>
      </c>
      <c r="G866" s="88"/>
      <c r="H866" s="92"/>
      <c r="I866" s="85">
        <f t="shared" si="53"/>
        <v>0</v>
      </c>
      <c r="J866" s="93"/>
      <c r="K866" s="85">
        <f t="shared" si="54"/>
        <v>0</v>
      </c>
      <c r="L866" s="68"/>
      <c r="M866" s="68"/>
      <c r="P866" s="89" t="str">
        <f t="shared" si="52"/>
        <v xml:space="preserve">  1 1900 </v>
      </c>
    </row>
    <row r="867" spans="1:16">
      <c r="A867" s="68"/>
      <c r="B867" s="87"/>
      <c r="C867" s="88"/>
      <c r="D867" s="88"/>
      <c r="E867" s="90"/>
      <c r="F867" s="84" t="str">
        <f ca="1">IF(D867="Income",LOOKUP(E867,Introduction!$A$11:$A$18,Introduction!$C$11:$C$18),IF(D867="Expense",LOOKUP(E867,Introduction!$D$11:$D$30,Introduction!$F$11:$F$30),"_"))</f>
        <v>_</v>
      </c>
      <c r="G867" s="88"/>
      <c r="H867" s="92"/>
      <c r="I867" s="85">
        <f t="shared" si="53"/>
        <v>0</v>
      </c>
      <c r="J867" s="93"/>
      <c r="K867" s="85">
        <f t="shared" si="54"/>
        <v>0</v>
      </c>
      <c r="L867" s="68"/>
      <c r="M867" s="68"/>
      <c r="P867" s="89" t="str">
        <f t="shared" si="52"/>
        <v xml:space="preserve">  1 1900 </v>
      </c>
    </row>
    <row r="868" spans="1:16">
      <c r="A868" s="68"/>
      <c r="B868" s="87"/>
      <c r="C868" s="88"/>
      <c r="D868" s="88"/>
      <c r="E868" s="90"/>
      <c r="F868" s="84" t="str">
        <f ca="1">IF(D868="Income",LOOKUP(E868,Introduction!$A$11:$A$18,Introduction!$C$11:$C$18),IF(D868="Expense",LOOKUP(E868,Introduction!$D$11:$D$30,Introduction!$F$11:$F$30),"_"))</f>
        <v>_</v>
      </c>
      <c r="G868" s="88"/>
      <c r="H868" s="92"/>
      <c r="I868" s="85">
        <f t="shared" si="53"/>
        <v>0</v>
      </c>
      <c r="J868" s="93"/>
      <c r="K868" s="85">
        <f t="shared" si="54"/>
        <v>0</v>
      </c>
      <c r="L868" s="68"/>
      <c r="M868" s="68"/>
      <c r="P868" s="89" t="str">
        <f t="shared" si="52"/>
        <v xml:space="preserve">  1 1900 </v>
      </c>
    </row>
    <row r="869" spans="1:16">
      <c r="A869" s="68"/>
      <c r="B869" s="87"/>
      <c r="C869" s="88"/>
      <c r="D869" s="88"/>
      <c r="E869" s="90"/>
      <c r="F869" s="84" t="str">
        <f ca="1">IF(D869="Income",LOOKUP(E869,Introduction!$A$11:$A$18,Introduction!$C$11:$C$18),IF(D869="Expense",LOOKUP(E869,Introduction!$D$11:$D$30,Introduction!$F$11:$F$30),"_"))</f>
        <v>_</v>
      </c>
      <c r="G869" s="88"/>
      <c r="H869" s="92"/>
      <c r="I869" s="85">
        <f t="shared" si="53"/>
        <v>0</v>
      </c>
      <c r="J869" s="93"/>
      <c r="K869" s="85">
        <f t="shared" si="54"/>
        <v>0</v>
      </c>
      <c r="L869" s="68"/>
      <c r="M869" s="68"/>
      <c r="P869" s="89" t="str">
        <f t="shared" si="52"/>
        <v xml:space="preserve">  1 1900 </v>
      </c>
    </row>
    <row r="870" spans="1:16">
      <c r="A870" s="68"/>
      <c r="B870" s="87"/>
      <c r="C870" s="88"/>
      <c r="D870" s="88"/>
      <c r="E870" s="90"/>
      <c r="F870" s="84" t="str">
        <f ca="1">IF(D870="Income",LOOKUP(E870,Introduction!$A$11:$A$18,Introduction!$C$11:$C$18),IF(D870="Expense",LOOKUP(E870,Introduction!$D$11:$D$30,Introduction!$F$11:$F$30),"_"))</f>
        <v>_</v>
      </c>
      <c r="G870" s="88"/>
      <c r="H870" s="92"/>
      <c r="I870" s="85">
        <f t="shared" si="53"/>
        <v>0</v>
      </c>
      <c r="J870" s="93"/>
      <c r="K870" s="85">
        <f t="shared" si="54"/>
        <v>0</v>
      </c>
      <c r="L870" s="68"/>
      <c r="M870" s="68"/>
      <c r="P870" s="89" t="str">
        <f t="shared" si="52"/>
        <v xml:space="preserve">  1 1900 </v>
      </c>
    </row>
    <row r="871" spans="1:16">
      <c r="A871" s="68"/>
      <c r="B871" s="87"/>
      <c r="C871" s="88"/>
      <c r="D871" s="88"/>
      <c r="E871" s="90"/>
      <c r="F871" s="84" t="str">
        <f ca="1">IF(D871="Income",LOOKUP(E871,Introduction!$A$11:$A$18,Introduction!$C$11:$C$18),IF(D871="Expense",LOOKUP(E871,Introduction!$D$11:$D$30,Introduction!$F$11:$F$30),"_"))</f>
        <v>_</v>
      </c>
      <c r="G871" s="88"/>
      <c r="H871" s="92"/>
      <c r="I871" s="85">
        <f t="shared" si="53"/>
        <v>0</v>
      </c>
      <c r="J871" s="93"/>
      <c r="K871" s="85">
        <f t="shared" si="54"/>
        <v>0</v>
      </c>
      <c r="L871" s="68"/>
      <c r="M871" s="68"/>
      <c r="P871" s="89" t="str">
        <f t="shared" si="52"/>
        <v xml:space="preserve">  1 1900 </v>
      </c>
    </row>
    <row r="872" spans="1:16">
      <c r="A872" s="68"/>
      <c r="B872" s="87"/>
      <c r="C872" s="88"/>
      <c r="D872" s="88"/>
      <c r="E872" s="90"/>
      <c r="F872" s="84" t="str">
        <f ca="1">IF(D872="Income",LOOKUP(E872,Introduction!$A$11:$A$18,Introduction!$C$11:$C$18),IF(D872="Expense",LOOKUP(E872,Introduction!$D$11:$D$30,Introduction!$F$11:$F$30),"_"))</f>
        <v>_</v>
      </c>
      <c r="G872" s="88"/>
      <c r="H872" s="92"/>
      <c r="I872" s="85">
        <f t="shared" si="53"/>
        <v>0</v>
      </c>
      <c r="J872" s="93"/>
      <c r="K872" s="85">
        <f t="shared" si="54"/>
        <v>0</v>
      </c>
      <c r="L872" s="68"/>
      <c r="M872" s="68"/>
      <c r="P872" s="89" t="str">
        <f t="shared" si="52"/>
        <v xml:space="preserve">  1 1900 </v>
      </c>
    </row>
    <row r="873" spans="1:16">
      <c r="A873" s="68"/>
      <c r="B873" s="87"/>
      <c r="C873" s="88"/>
      <c r="D873" s="88"/>
      <c r="E873" s="90"/>
      <c r="F873" s="84" t="str">
        <f ca="1">IF(D873="Income",LOOKUP(E873,Introduction!$A$11:$A$18,Introduction!$C$11:$C$18),IF(D873="Expense",LOOKUP(E873,Introduction!$D$11:$D$30,Introduction!$F$11:$F$30),"_"))</f>
        <v>_</v>
      </c>
      <c r="G873" s="88"/>
      <c r="H873" s="92"/>
      <c r="I873" s="85">
        <f t="shared" si="53"/>
        <v>0</v>
      </c>
      <c r="J873" s="93"/>
      <c r="K873" s="85">
        <f t="shared" si="54"/>
        <v>0</v>
      </c>
      <c r="L873" s="68"/>
      <c r="M873" s="68"/>
      <c r="P873" s="89" t="str">
        <f t="shared" si="52"/>
        <v xml:space="preserve">  1 1900 </v>
      </c>
    </row>
    <row r="874" spans="1:16">
      <c r="A874" s="68"/>
      <c r="B874" s="87"/>
      <c r="C874" s="88"/>
      <c r="D874" s="88"/>
      <c r="E874" s="90"/>
      <c r="F874" s="84" t="str">
        <f ca="1">IF(D874="Income",LOOKUP(E874,Introduction!$A$11:$A$18,Introduction!$C$11:$C$18),IF(D874="Expense",LOOKUP(E874,Introduction!$D$11:$D$30,Introduction!$F$11:$F$30),"_"))</f>
        <v>_</v>
      </c>
      <c r="G874" s="88"/>
      <c r="H874" s="92"/>
      <c r="I874" s="85">
        <f t="shared" si="53"/>
        <v>0</v>
      </c>
      <c r="J874" s="93"/>
      <c r="K874" s="85">
        <f t="shared" si="54"/>
        <v>0</v>
      </c>
      <c r="L874" s="68"/>
      <c r="M874" s="68"/>
      <c r="P874" s="89" t="str">
        <f t="shared" si="52"/>
        <v xml:space="preserve">  1 1900 </v>
      </c>
    </row>
    <row r="875" spans="1:16">
      <c r="A875" s="68"/>
      <c r="B875" s="87"/>
      <c r="C875" s="88"/>
      <c r="D875" s="88"/>
      <c r="E875" s="90"/>
      <c r="F875" s="84" t="str">
        <f ca="1">IF(D875="Income",LOOKUP(E875,Introduction!$A$11:$A$18,Introduction!$C$11:$C$18),IF(D875="Expense",LOOKUP(E875,Introduction!$D$11:$D$30,Introduction!$F$11:$F$30),"_"))</f>
        <v>_</v>
      </c>
      <c r="G875" s="88"/>
      <c r="H875" s="92"/>
      <c r="I875" s="85">
        <f t="shared" si="53"/>
        <v>0</v>
      </c>
      <c r="J875" s="93"/>
      <c r="K875" s="85">
        <f t="shared" si="54"/>
        <v>0</v>
      </c>
      <c r="L875" s="68"/>
      <c r="M875" s="68"/>
      <c r="P875" s="89" t="str">
        <f t="shared" si="52"/>
        <v xml:space="preserve">  1 1900 </v>
      </c>
    </row>
    <row r="876" spans="1:16">
      <c r="A876" s="68"/>
      <c r="B876" s="87"/>
      <c r="C876" s="88"/>
      <c r="D876" s="88"/>
      <c r="E876" s="90"/>
      <c r="F876" s="84" t="str">
        <f ca="1">IF(D876="Income",LOOKUP(E876,Introduction!$A$11:$A$18,Introduction!$C$11:$C$18),IF(D876="Expense",LOOKUP(E876,Introduction!$D$11:$D$30,Introduction!$F$11:$F$30),"_"))</f>
        <v>_</v>
      </c>
      <c r="G876" s="88"/>
      <c r="H876" s="92"/>
      <c r="I876" s="85">
        <f t="shared" si="53"/>
        <v>0</v>
      </c>
      <c r="J876" s="93"/>
      <c r="K876" s="85">
        <f t="shared" si="54"/>
        <v>0</v>
      </c>
      <c r="L876" s="68"/>
      <c r="M876" s="68"/>
      <c r="P876" s="89" t="str">
        <f t="shared" si="52"/>
        <v xml:space="preserve">  1 1900 </v>
      </c>
    </row>
    <row r="877" spans="1:16">
      <c r="A877" s="68"/>
      <c r="B877" s="87"/>
      <c r="C877" s="88"/>
      <c r="D877" s="88"/>
      <c r="E877" s="90"/>
      <c r="F877" s="84" t="str">
        <f ca="1">IF(D877="Income",LOOKUP(E877,Introduction!$A$11:$A$18,Introduction!$C$11:$C$18),IF(D877="Expense",LOOKUP(E877,Introduction!$D$11:$D$30,Introduction!$F$11:$F$30),"_"))</f>
        <v>_</v>
      </c>
      <c r="G877" s="88"/>
      <c r="H877" s="92"/>
      <c r="I877" s="85">
        <f t="shared" si="53"/>
        <v>0</v>
      </c>
      <c r="J877" s="93"/>
      <c r="K877" s="85">
        <f t="shared" si="54"/>
        <v>0</v>
      </c>
      <c r="L877" s="68"/>
      <c r="M877" s="68"/>
      <c r="P877" s="89" t="str">
        <f t="shared" si="52"/>
        <v xml:space="preserve">  1 1900 </v>
      </c>
    </row>
    <row r="878" spans="1:16">
      <c r="A878" s="68"/>
      <c r="B878" s="87"/>
      <c r="C878" s="88"/>
      <c r="D878" s="88"/>
      <c r="E878" s="90"/>
      <c r="F878" s="84" t="str">
        <f ca="1">IF(D878="Income",LOOKUP(E878,Introduction!$A$11:$A$18,Introduction!$C$11:$C$18),IF(D878="Expense",LOOKUP(E878,Introduction!$D$11:$D$30,Introduction!$F$11:$F$30),"_"))</f>
        <v>_</v>
      </c>
      <c r="G878" s="88"/>
      <c r="H878" s="92"/>
      <c r="I878" s="85">
        <f t="shared" si="53"/>
        <v>0</v>
      </c>
      <c r="J878" s="93"/>
      <c r="K878" s="85">
        <f t="shared" si="54"/>
        <v>0</v>
      </c>
      <c r="L878" s="68"/>
      <c r="M878" s="68"/>
      <c r="P878" s="89" t="str">
        <f t="shared" si="52"/>
        <v xml:space="preserve">  1 1900 </v>
      </c>
    </row>
    <row r="879" spans="1:16">
      <c r="A879" s="68"/>
      <c r="B879" s="87"/>
      <c r="C879" s="88"/>
      <c r="D879" s="88"/>
      <c r="E879" s="90"/>
      <c r="F879" s="84" t="str">
        <f ca="1">IF(D879="Income",LOOKUP(E879,Introduction!$A$11:$A$18,Introduction!$C$11:$C$18),IF(D879="Expense",LOOKUP(E879,Introduction!$D$11:$D$30,Introduction!$F$11:$F$30),"_"))</f>
        <v>_</v>
      </c>
      <c r="G879" s="88"/>
      <c r="H879" s="92"/>
      <c r="I879" s="85">
        <f t="shared" si="53"/>
        <v>0</v>
      </c>
      <c r="J879" s="93"/>
      <c r="K879" s="85">
        <f t="shared" si="54"/>
        <v>0</v>
      </c>
      <c r="L879" s="68"/>
      <c r="M879" s="68"/>
      <c r="P879" s="89" t="str">
        <f t="shared" si="52"/>
        <v xml:space="preserve">  1 1900 </v>
      </c>
    </row>
    <row r="880" spans="1:16">
      <c r="A880" s="68"/>
      <c r="B880" s="87"/>
      <c r="C880" s="88"/>
      <c r="D880" s="88"/>
      <c r="E880" s="90"/>
      <c r="F880" s="84" t="str">
        <f ca="1">IF(D880="Income",LOOKUP(E880,Introduction!$A$11:$A$18,Introduction!$C$11:$C$18),IF(D880="Expense",LOOKUP(E880,Introduction!$D$11:$D$30,Introduction!$F$11:$F$30),"_"))</f>
        <v>_</v>
      </c>
      <c r="G880" s="88"/>
      <c r="H880" s="92"/>
      <c r="I880" s="85">
        <f t="shared" si="53"/>
        <v>0</v>
      </c>
      <c r="J880" s="93"/>
      <c r="K880" s="85">
        <f t="shared" si="54"/>
        <v>0</v>
      </c>
      <c r="L880" s="68"/>
      <c r="M880" s="68"/>
      <c r="P880" s="89" t="str">
        <f t="shared" si="52"/>
        <v xml:space="preserve">  1 1900 </v>
      </c>
    </row>
    <row r="881" spans="1:16">
      <c r="A881" s="68"/>
      <c r="B881" s="87"/>
      <c r="C881" s="88"/>
      <c r="D881" s="88"/>
      <c r="E881" s="90"/>
      <c r="F881" s="84" t="str">
        <f ca="1">IF(D881="Income",LOOKUP(E881,Introduction!$A$11:$A$18,Introduction!$C$11:$C$18),IF(D881="Expense",LOOKUP(E881,Introduction!$D$11:$D$30,Introduction!$F$11:$F$30),"_"))</f>
        <v>_</v>
      </c>
      <c r="G881" s="88"/>
      <c r="H881" s="92"/>
      <c r="I881" s="85">
        <f t="shared" si="53"/>
        <v>0</v>
      </c>
      <c r="J881" s="93"/>
      <c r="K881" s="85">
        <f t="shared" si="54"/>
        <v>0</v>
      </c>
      <c r="L881" s="68"/>
      <c r="M881" s="68"/>
      <c r="P881" s="89" t="str">
        <f t="shared" si="52"/>
        <v xml:space="preserve">  1 1900 </v>
      </c>
    </row>
    <row r="882" spans="1:16">
      <c r="A882" s="68"/>
      <c r="B882" s="87"/>
      <c r="C882" s="88"/>
      <c r="D882" s="88"/>
      <c r="E882" s="90"/>
      <c r="F882" s="84" t="str">
        <f ca="1">IF(D882="Income",LOOKUP(E882,Introduction!$A$11:$A$18,Introduction!$C$11:$C$18),IF(D882="Expense",LOOKUP(E882,Introduction!$D$11:$D$30,Introduction!$F$11:$F$30),"_"))</f>
        <v>_</v>
      </c>
      <c r="G882" s="88"/>
      <c r="H882" s="92"/>
      <c r="I882" s="85">
        <f t="shared" si="53"/>
        <v>0</v>
      </c>
      <c r="J882" s="93"/>
      <c r="K882" s="85">
        <f t="shared" si="54"/>
        <v>0</v>
      </c>
      <c r="L882" s="68"/>
      <c r="M882" s="68"/>
      <c r="P882" s="89" t="str">
        <f t="shared" si="52"/>
        <v xml:space="preserve">  1 1900 </v>
      </c>
    </row>
    <row r="883" spans="1:16">
      <c r="A883" s="68"/>
      <c r="B883" s="87"/>
      <c r="C883" s="88"/>
      <c r="D883" s="88"/>
      <c r="E883" s="90"/>
      <c r="F883" s="84" t="str">
        <f ca="1">IF(D883="Income",LOOKUP(E883,Introduction!$A$11:$A$18,Introduction!$C$11:$C$18),IF(D883="Expense",LOOKUP(E883,Introduction!$D$11:$D$30,Introduction!$F$11:$F$30),"_"))</f>
        <v>_</v>
      </c>
      <c r="G883" s="88"/>
      <c r="H883" s="92"/>
      <c r="I883" s="85">
        <f t="shared" si="53"/>
        <v>0</v>
      </c>
      <c r="J883" s="93"/>
      <c r="K883" s="85">
        <f t="shared" si="54"/>
        <v>0</v>
      </c>
      <c r="L883" s="68"/>
      <c r="M883" s="68"/>
      <c r="P883" s="89" t="str">
        <f t="shared" si="52"/>
        <v xml:space="preserve">  1 1900 </v>
      </c>
    </row>
    <row r="884" spans="1:16">
      <c r="A884" s="68"/>
      <c r="B884" s="87"/>
      <c r="C884" s="88"/>
      <c r="D884" s="88"/>
      <c r="E884" s="90"/>
      <c r="F884" s="84" t="str">
        <f ca="1">IF(D884="Income",LOOKUP(E884,Introduction!$A$11:$A$18,Introduction!$C$11:$C$18),IF(D884="Expense",LOOKUP(E884,Introduction!$D$11:$D$30,Introduction!$F$11:$F$30),"_"))</f>
        <v>_</v>
      </c>
      <c r="G884" s="88"/>
      <c r="H884" s="92"/>
      <c r="I884" s="85">
        <f t="shared" si="53"/>
        <v>0</v>
      </c>
      <c r="J884" s="93"/>
      <c r="K884" s="85">
        <f t="shared" si="54"/>
        <v>0</v>
      </c>
      <c r="L884" s="68"/>
      <c r="M884" s="68"/>
      <c r="P884" s="89" t="str">
        <f t="shared" si="52"/>
        <v xml:space="preserve">  1 1900 </v>
      </c>
    </row>
    <row r="885" spans="1:16">
      <c r="A885" s="68"/>
      <c r="B885" s="87"/>
      <c r="C885" s="88"/>
      <c r="D885" s="88"/>
      <c r="E885" s="90"/>
      <c r="F885" s="84" t="str">
        <f ca="1">IF(D885="Income",LOOKUP(E885,Introduction!$A$11:$A$18,Introduction!$C$11:$C$18),IF(D885="Expense",LOOKUP(E885,Introduction!$D$11:$D$30,Introduction!$F$11:$F$30),"_"))</f>
        <v>_</v>
      </c>
      <c r="G885" s="88"/>
      <c r="H885" s="92"/>
      <c r="I885" s="85">
        <f t="shared" si="53"/>
        <v>0</v>
      </c>
      <c r="J885" s="93"/>
      <c r="K885" s="85">
        <f t="shared" si="54"/>
        <v>0</v>
      </c>
      <c r="L885" s="68"/>
      <c r="M885" s="68"/>
      <c r="P885" s="89" t="str">
        <f t="shared" si="52"/>
        <v xml:space="preserve">  1 1900 </v>
      </c>
    </row>
    <row r="886" spans="1:16">
      <c r="A886" s="68"/>
      <c r="B886" s="87"/>
      <c r="C886" s="88"/>
      <c r="D886" s="88"/>
      <c r="E886" s="90"/>
      <c r="F886" s="84" t="str">
        <f ca="1">IF(D886="Income",LOOKUP(E886,Introduction!$A$11:$A$18,Introduction!$C$11:$C$18),IF(D886="Expense",LOOKUP(E886,Introduction!$D$11:$D$30,Introduction!$F$11:$F$30),"_"))</f>
        <v>_</v>
      </c>
      <c r="G886" s="88"/>
      <c r="H886" s="92"/>
      <c r="I886" s="85">
        <f t="shared" si="53"/>
        <v>0</v>
      </c>
      <c r="J886" s="93"/>
      <c r="K886" s="85">
        <f t="shared" si="54"/>
        <v>0</v>
      </c>
      <c r="L886" s="68"/>
      <c r="M886" s="68"/>
      <c r="P886" s="89" t="str">
        <f t="shared" si="52"/>
        <v xml:space="preserve">  1 1900 </v>
      </c>
    </row>
    <row r="887" spans="1:16">
      <c r="A887" s="68"/>
      <c r="B887" s="87"/>
      <c r="C887" s="88"/>
      <c r="D887" s="88"/>
      <c r="E887" s="90"/>
      <c r="F887" s="84" t="str">
        <f ca="1">IF(D887="Income",LOOKUP(E887,Introduction!$A$11:$A$18,Introduction!$C$11:$C$18),IF(D887="Expense",LOOKUP(E887,Introduction!$D$11:$D$30,Introduction!$F$11:$F$30),"_"))</f>
        <v>_</v>
      </c>
      <c r="G887" s="88"/>
      <c r="H887" s="92"/>
      <c r="I887" s="85">
        <f t="shared" si="53"/>
        <v>0</v>
      </c>
      <c r="J887" s="93"/>
      <c r="K887" s="85">
        <f t="shared" si="54"/>
        <v>0</v>
      </c>
      <c r="L887" s="68"/>
      <c r="M887" s="68"/>
      <c r="P887" s="89" t="str">
        <f t="shared" si="52"/>
        <v xml:space="preserve">  1 1900 </v>
      </c>
    </row>
    <row r="888" spans="1:16">
      <c r="A888" s="68"/>
      <c r="B888" s="87"/>
      <c r="C888" s="88"/>
      <c r="D888" s="88"/>
      <c r="E888" s="90"/>
      <c r="F888" s="84" t="str">
        <f ca="1">IF(D888="Income",LOOKUP(E888,Introduction!$A$11:$A$18,Introduction!$C$11:$C$18),IF(D888="Expense",LOOKUP(E888,Introduction!$D$11:$D$30,Introduction!$F$11:$F$30),"_"))</f>
        <v>_</v>
      </c>
      <c r="G888" s="88"/>
      <c r="H888" s="92"/>
      <c r="I888" s="85">
        <f t="shared" si="53"/>
        <v>0</v>
      </c>
      <c r="J888" s="93"/>
      <c r="K888" s="85">
        <f t="shared" si="54"/>
        <v>0</v>
      </c>
      <c r="L888" s="68"/>
      <c r="M888" s="68"/>
      <c r="P888" s="89" t="str">
        <f t="shared" si="52"/>
        <v xml:space="preserve">  1 1900 </v>
      </c>
    </row>
    <row r="889" spans="1:16">
      <c r="A889" s="68"/>
      <c r="B889" s="87"/>
      <c r="C889" s="88"/>
      <c r="D889" s="88"/>
      <c r="E889" s="90"/>
      <c r="F889" s="84" t="str">
        <f ca="1">IF(D889="Income",LOOKUP(E889,Introduction!$A$11:$A$18,Introduction!$C$11:$C$18),IF(D889="Expense",LOOKUP(E889,Introduction!$D$11:$D$30,Introduction!$F$11:$F$30),"_"))</f>
        <v>_</v>
      </c>
      <c r="G889" s="88"/>
      <c r="H889" s="92"/>
      <c r="I889" s="85">
        <f t="shared" si="53"/>
        <v>0</v>
      </c>
      <c r="J889" s="93"/>
      <c r="K889" s="85">
        <f t="shared" si="54"/>
        <v>0</v>
      </c>
      <c r="L889" s="68"/>
      <c r="M889" s="68"/>
      <c r="P889" s="89" t="str">
        <f t="shared" si="52"/>
        <v xml:space="preserve">  1 1900 </v>
      </c>
    </row>
    <row r="890" spans="1:16">
      <c r="A890" s="68"/>
      <c r="B890" s="87"/>
      <c r="C890" s="88"/>
      <c r="D890" s="88"/>
      <c r="E890" s="90"/>
      <c r="F890" s="84" t="str">
        <f ca="1">IF(D890="Income",LOOKUP(E890,Introduction!$A$11:$A$18,Introduction!$C$11:$C$18),IF(D890="Expense",LOOKUP(E890,Introduction!$D$11:$D$30,Introduction!$F$11:$F$30),"_"))</f>
        <v>_</v>
      </c>
      <c r="G890" s="88"/>
      <c r="H890" s="92"/>
      <c r="I890" s="85">
        <f t="shared" si="53"/>
        <v>0</v>
      </c>
      <c r="J890" s="93"/>
      <c r="K890" s="85">
        <f t="shared" si="54"/>
        <v>0</v>
      </c>
      <c r="L890" s="68"/>
      <c r="M890" s="68"/>
      <c r="P890" s="89" t="str">
        <f t="shared" si="52"/>
        <v xml:space="preserve">  1 1900 </v>
      </c>
    </row>
    <row r="891" spans="1:16">
      <c r="A891" s="68"/>
      <c r="B891" s="87"/>
      <c r="C891" s="88"/>
      <c r="D891" s="88"/>
      <c r="E891" s="90"/>
      <c r="F891" s="84" t="str">
        <f ca="1">IF(D891="Income",LOOKUP(E891,Introduction!$A$11:$A$18,Introduction!$C$11:$C$18),IF(D891="Expense",LOOKUP(E891,Introduction!$D$11:$D$30,Introduction!$F$11:$F$30),"_"))</f>
        <v>_</v>
      </c>
      <c r="G891" s="88"/>
      <c r="H891" s="92"/>
      <c r="I891" s="85">
        <f t="shared" si="53"/>
        <v>0</v>
      </c>
      <c r="J891" s="93"/>
      <c r="K891" s="85">
        <f t="shared" si="54"/>
        <v>0</v>
      </c>
      <c r="L891" s="68"/>
      <c r="M891" s="68"/>
      <c r="P891" s="89" t="str">
        <f t="shared" si="52"/>
        <v xml:space="preserve">  1 1900 </v>
      </c>
    </row>
    <row r="892" spans="1:16">
      <c r="A892" s="68"/>
      <c r="B892" s="87"/>
      <c r="C892" s="88"/>
      <c r="D892" s="88"/>
      <c r="E892" s="90"/>
      <c r="F892" s="84" t="str">
        <f ca="1">IF(D892="Income",LOOKUP(E892,Introduction!$A$11:$A$18,Introduction!$C$11:$C$18),IF(D892="Expense",LOOKUP(E892,Introduction!$D$11:$D$30,Introduction!$F$11:$F$30),"_"))</f>
        <v>_</v>
      </c>
      <c r="G892" s="88"/>
      <c r="H892" s="92"/>
      <c r="I892" s="85">
        <f t="shared" si="53"/>
        <v>0</v>
      </c>
      <c r="J892" s="93"/>
      <c r="K892" s="85">
        <f t="shared" si="54"/>
        <v>0</v>
      </c>
      <c r="L892" s="68"/>
      <c r="M892" s="68"/>
      <c r="P892" s="89" t="str">
        <f t="shared" si="52"/>
        <v xml:space="preserve">  1 1900 </v>
      </c>
    </row>
    <row r="893" spans="1:16">
      <c r="A893" s="68"/>
      <c r="B893" s="87"/>
      <c r="C893" s="88"/>
      <c r="D893" s="88"/>
      <c r="E893" s="90"/>
      <c r="F893" s="84" t="str">
        <f ca="1">IF(D893="Income",LOOKUP(E893,Introduction!$A$11:$A$18,Introduction!$C$11:$C$18),IF(D893="Expense",LOOKUP(E893,Introduction!$D$11:$D$30,Introduction!$F$11:$F$30),"_"))</f>
        <v>_</v>
      </c>
      <c r="G893" s="88"/>
      <c r="H893" s="92"/>
      <c r="I893" s="85">
        <f t="shared" si="53"/>
        <v>0</v>
      </c>
      <c r="J893" s="93"/>
      <c r="K893" s="85">
        <f t="shared" si="54"/>
        <v>0</v>
      </c>
      <c r="L893" s="68"/>
      <c r="M893" s="68"/>
      <c r="P893" s="89" t="str">
        <f t="shared" si="52"/>
        <v xml:space="preserve">  1 1900 </v>
      </c>
    </row>
    <row r="894" spans="1:16">
      <c r="A894" s="68"/>
      <c r="B894" s="87"/>
      <c r="C894" s="88"/>
      <c r="D894" s="88"/>
      <c r="E894" s="90"/>
      <c r="F894" s="84" t="str">
        <f ca="1">IF(D894="Income",LOOKUP(E894,Introduction!$A$11:$A$18,Introduction!$C$11:$C$18),IF(D894="Expense",LOOKUP(E894,Introduction!$D$11:$D$30,Introduction!$F$11:$F$30),"_"))</f>
        <v>_</v>
      </c>
      <c r="G894" s="88"/>
      <c r="H894" s="92"/>
      <c r="I894" s="85">
        <f t="shared" si="53"/>
        <v>0</v>
      </c>
      <c r="J894" s="93"/>
      <c r="K894" s="85">
        <f t="shared" si="54"/>
        <v>0</v>
      </c>
      <c r="L894" s="68"/>
      <c r="M894" s="68"/>
      <c r="P894" s="89" t="str">
        <f t="shared" si="52"/>
        <v xml:space="preserve">  1 1900 </v>
      </c>
    </row>
    <row r="895" spans="1:16">
      <c r="A895" s="68"/>
      <c r="B895" s="87"/>
      <c r="C895" s="88"/>
      <c r="D895" s="88"/>
      <c r="E895" s="90"/>
      <c r="F895" s="84" t="str">
        <f ca="1">IF(D895="Income",LOOKUP(E895,Introduction!$A$11:$A$18,Introduction!$C$11:$C$18),IF(D895="Expense",LOOKUP(E895,Introduction!$D$11:$D$30,Introduction!$F$11:$F$30),"_"))</f>
        <v>_</v>
      </c>
      <c r="G895" s="88"/>
      <c r="H895" s="92"/>
      <c r="I895" s="85">
        <f t="shared" si="53"/>
        <v>0</v>
      </c>
      <c r="J895" s="93"/>
      <c r="K895" s="85">
        <f t="shared" si="54"/>
        <v>0</v>
      </c>
      <c r="L895" s="68"/>
      <c r="M895" s="68"/>
      <c r="P895" s="89" t="str">
        <f t="shared" si="52"/>
        <v xml:space="preserve">  1 1900 </v>
      </c>
    </row>
    <row r="896" spans="1:16">
      <c r="A896" s="68"/>
      <c r="B896" s="87"/>
      <c r="C896" s="88"/>
      <c r="D896" s="88"/>
      <c r="E896" s="90"/>
      <c r="F896" s="84" t="str">
        <f ca="1">IF(D896="Income",LOOKUP(E896,Introduction!$A$11:$A$18,Introduction!$C$11:$C$18),IF(D896="Expense",LOOKUP(E896,Introduction!$D$11:$D$30,Introduction!$F$11:$F$30),"_"))</f>
        <v>_</v>
      </c>
      <c r="G896" s="88"/>
      <c r="H896" s="92"/>
      <c r="I896" s="85">
        <f t="shared" si="53"/>
        <v>0</v>
      </c>
      <c r="J896" s="93"/>
      <c r="K896" s="85">
        <f t="shared" si="54"/>
        <v>0</v>
      </c>
      <c r="L896" s="68"/>
      <c r="M896" s="68"/>
      <c r="P896" s="89" t="str">
        <f t="shared" si="52"/>
        <v xml:space="preserve">  1 1900 </v>
      </c>
    </row>
    <row r="897" spans="1:16">
      <c r="A897" s="68"/>
      <c r="B897" s="87"/>
      <c r="C897" s="88"/>
      <c r="D897" s="88"/>
      <c r="E897" s="90"/>
      <c r="F897" s="84" t="str">
        <f ca="1">IF(D897="Income",LOOKUP(E897,Introduction!$A$11:$A$18,Introduction!$C$11:$C$18),IF(D897="Expense",LOOKUP(E897,Introduction!$D$11:$D$30,Introduction!$F$11:$F$30),"_"))</f>
        <v>_</v>
      </c>
      <c r="G897" s="88"/>
      <c r="H897" s="92"/>
      <c r="I897" s="85">
        <f t="shared" si="53"/>
        <v>0</v>
      </c>
      <c r="J897" s="93"/>
      <c r="K897" s="85">
        <f t="shared" si="54"/>
        <v>0</v>
      </c>
      <c r="L897" s="68"/>
      <c r="M897" s="68"/>
      <c r="P897" s="89" t="str">
        <f t="shared" si="52"/>
        <v xml:space="preserve">  1 1900 </v>
      </c>
    </row>
    <row r="898" spans="1:16">
      <c r="A898" s="68"/>
      <c r="B898" s="87"/>
      <c r="C898" s="88"/>
      <c r="D898" s="88"/>
      <c r="E898" s="90"/>
      <c r="F898" s="84" t="str">
        <f ca="1">IF(D898="Income",LOOKUP(E898,Introduction!$A$11:$A$18,Introduction!$C$11:$C$18),IF(D898="Expense",LOOKUP(E898,Introduction!$D$11:$D$30,Introduction!$F$11:$F$30),"_"))</f>
        <v>_</v>
      </c>
      <c r="G898" s="88"/>
      <c r="H898" s="92"/>
      <c r="I898" s="85">
        <f t="shared" si="53"/>
        <v>0</v>
      </c>
      <c r="J898" s="93"/>
      <c r="K898" s="85">
        <f t="shared" si="54"/>
        <v>0</v>
      </c>
      <c r="L898" s="68"/>
      <c r="M898" s="68"/>
      <c r="P898" s="89" t="str">
        <f t="shared" si="52"/>
        <v xml:space="preserve">  1 1900 </v>
      </c>
    </row>
    <row r="899" spans="1:16">
      <c r="A899" s="68"/>
      <c r="B899" s="87"/>
      <c r="C899" s="88"/>
      <c r="D899" s="88"/>
      <c r="E899" s="90"/>
      <c r="F899" s="84" t="str">
        <f ca="1">IF(D899="Income",LOOKUP(E899,Introduction!$A$11:$A$18,Introduction!$C$11:$C$18),IF(D899="Expense",LOOKUP(E899,Introduction!$D$11:$D$30,Introduction!$F$11:$F$30),"_"))</f>
        <v>_</v>
      </c>
      <c r="G899" s="88"/>
      <c r="H899" s="92"/>
      <c r="I899" s="85">
        <f t="shared" si="53"/>
        <v>0</v>
      </c>
      <c r="J899" s="93"/>
      <c r="K899" s="85">
        <f t="shared" si="54"/>
        <v>0</v>
      </c>
      <c r="L899" s="68"/>
      <c r="M899" s="68"/>
      <c r="P899" s="89" t="str">
        <f t="shared" si="52"/>
        <v xml:space="preserve">  1 1900 </v>
      </c>
    </row>
    <row r="900" spans="1:16">
      <c r="A900" s="68"/>
      <c r="B900" s="87"/>
      <c r="C900" s="88"/>
      <c r="D900" s="88"/>
      <c r="E900" s="90"/>
      <c r="F900" s="84" t="str">
        <f ca="1">IF(D900="Income",LOOKUP(E900,Introduction!$A$11:$A$18,Introduction!$C$11:$C$18),IF(D900="Expense",LOOKUP(E900,Introduction!$D$11:$D$30,Introduction!$F$11:$F$30),"_"))</f>
        <v>_</v>
      </c>
      <c r="G900" s="88"/>
      <c r="H900" s="92"/>
      <c r="I900" s="85">
        <f t="shared" si="53"/>
        <v>0</v>
      </c>
      <c r="J900" s="93"/>
      <c r="K900" s="85">
        <f t="shared" si="54"/>
        <v>0</v>
      </c>
      <c r="L900" s="68"/>
      <c r="M900" s="68"/>
      <c r="P900" s="89" t="str">
        <f t="shared" si="52"/>
        <v xml:space="preserve">  1 1900 </v>
      </c>
    </row>
    <row r="901" spans="1:16">
      <c r="A901" s="68"/>
      <c r="B901" s="87"/>
      <c r="C901" s="88"/>
      <c r="D901" s="88"/>
      <c r="E901" s="90"/>
      <c r="F901" s="84" t="str">
        <f ca="1">IF(D901="Income",LOOKUP(E901,Introduction!$A$11:$A$18,Introduction!$C$11:$C$18),IF(D901="Expense",LOOKUP(E901,Introduction!$D$11:$D$30,Introduction!$F$11:$F$30),"_"))</f>
        <v>_</v>
      </c>
      <c r="G901" s="88"/>
      <c r="H901" s="92"/>
      <c r="I901" s="85">
        <f t="shared" si="53"/>
        <v>0</v>
      </c>
      <c r="J901" s="93"/>
      <c r="K901" s="85">
        <f t="shared" si="54"/>
        <v>0</v>
      </c>
      <c r="L901" s="68"/>
      <c r="M901" s="68"/>
      <c r="P901" s="89" t="str">
        <f t="shared" si="52"/>
        <v xml:space="preserve">  1 1900 </v>
      </c>
    </row>
    <row r="902" spans="1:16">
      <c r="A902" s="68"/>
      <c r="B902" s="87"/>
      <c r="C902" s="88"/>
      <c r="D902" s="88"/>
      <c r="E902" s="90"/>
      <c r="F902" s="84" t="str">
        <f ca="1">IF(D902="Income",LOOKUP(E902,Introduction!$A$11:$A$18,Introduction!$C$11:$C$18),IF(D902="Expense",LOOKUP(E902,Introduction!$D$11:$D$30,Introduction!$F$11:$F$30),"_"))</f>
        <v>_</v>
      </c>
      <c r="G902" s="88"/>
      <c r="H902" s="92"/>
      <c r="I902" s="85">
        <f t="shared" si="53"/>
        <v>0</v>
      </c>
      <c r="J902" s="93"/>
      <c r="K902" s="85">
        <f t="shared" si="54"/>
        <v>0</v>
      </c>
      <c r="L902" s="68"/>
      <c r="M902" s="68"/>
      <c r="P902" s="89" t="str">
        <f t="shared" si="52"/>
        <v xml:space="preserve">  1 1900 </v>
      </c>
    </row>
    <row r="903" spans="1:16">
      <c r="A903" s="68"/>
      <c r="B903" s="87"/>
      <c r="C903" s="88"/>
      <c r="D903" s="88"/>
      <c r="E903" s="90"/>
      <c r="F903" s="84" t="str">
        <f ca="1">IF(D903="Income",LOOKUP(E903,Introduction!$A$11:$A$18,Introduction!$C$11:$C$18),IF(D903="Expense",LOOKUP(E903,Introduction!$D$11:$D$30,Introduction!$F$11:$F$30),"_"))</f>
        <v>_</v>
      </c>
      <c r="G903" s="88"/>
      <c r="H903" s="92"/>
      <c r="I903" s="85">
        <f t="shared" si="53"/>
        <v>0</v>
      </c>
      <c r="J903" s="93"/>
      <c r="K903" s="85">
        <f t="shared" si="54"/>
        <v>0</v>
      </c>
      <c r="L903" s="68"/>
      <c r="M903" s="68"/>
      <c r="P903" s="89" t="str">
        <f t="shared" ref="P903:P966" si="55">CONCATENATE(D903," ",E903," ",MONTH(C903)," ",YEAR(C903)," ")</f>
        <v xml:space="preserve">  1 1900 </v>
      </c>
    </row>
    <row r="904" spans="1:16">
      <c r="A904" s="68"/>
      <c r="B904" s="87"/>
      <c r="C904" s="88"/>
      <c r="D904" s="88"/>
      <c r="E904" s="90"/>
      <c r="F904" s="84" t="str">
        <f ca="1">IF(D904="Income",LOOKUP(E904,Introduction!$A$11:$A$18,Introduction!$C$11:$C$18),IF(D904="Expense",LOOKUP(E904,Introduction!$D$11:$D$30,Introduction!$F$11:$F$30),"_"))</f>
        <v>_</v>
      </c>
      <c r="G904" s="88"/>
      <c r="H904" s="92"/>
      <c r="I904" s="85">
        <f t="shared" si="53"/>
        <v>0</v>
      </c>
      <c r="J904" s="93"/>
      <c r="K904" s="85">
        <f t="shared" si="54"/>
        <v>0</v>
      </c>
      <c r="L904" s="68"/>
      <c r="M904" s="68"/>
      <c r="P904" s="89" t="str">
        <f t="shared" si="55"/>
        <v xml:space="preserve">  1 1900 </v>
      </c>
    </row>
    <row r="905" spans="1:16">
      <c r="A905" s="68"/>
      <c r="B905" s="87"/>
      <c r="C905" s="88"/>
      <c r="D905" s="88"/>
      <c r="E905" s="90"/>
      <c r="F905" s="84" t="str">
        <f ca="1">IF(D905="Income",LOOKUP(E905,Introduction!$A$11:$A$18,Introduction!$C$11:$C$18),IF(D905="Expense",LOOKUP(E905,Introduction!$D$11:$D$30,Introduction!$F$11:$F$30),"_"))</f>
        <v>_</v>
      </c>
      <c r="G905" s="88"/>
      <c r="H905" s="92"/>
      <c r="I905" s="85">
        <f t="shared" si="53"/>
        <v>0</v>
      </c>
      <c r="J905" s="93"/>
      <c r="K905" s="85">
        <f t="shared" si="54"/>
        <v>0</v>
      </c>
      <c r="L905" s="68"/>
      <c r="M905" s="68"/>
      <c r="P905" s="89" t="str">
        <f t="shared" si="55"/>
        <v xml:space="preserve">  1 1900 </v>
      </c>
    </row>
    <row r="906" spans="1:16">
      <c r="A906" s="68"/>
      <c r="B906" s="87"/>
      <c r="C906" s="88"/>
      <c r="D906" s="88"/>
      <c r="E906" s="90"/>
      <c r="F906" s="84" t="str">
        <f ca="1">IF(D906="Income",LOOKUP(E906,Introduction!$A$11:$A$18,Introduction!$C$11:$C$18),IF(D906="Expense",LOOKUP(E906,Introduction!$D$11:$D$30,Introduction!$F$11:$F$30),"_"))</f>
        <v>_</v>
      </c>
      <c r="G906" s="88"/>
      <c r="H906" s="92"/>
      <c r="I906" s="85">
        <f t="shared" si="53"/>
        <v>0</v>
      </c>
      <c r="J906" s="93"/>
      <c r="K906" s="85">
        <f t="shared" si="54"/>
        <v>0</v>
      </c>
      <c r="L906" s="68"/>
      <c r="M906" s="68"/>
      <c r="P906" s="89" t="str">
        <f t="shared" si="55"/>
        <v xml:space="preserve">  1 1900 </v>
      </c>
    </row>
    <row r="907" spans="1:16">
      <c r="A907" s="68"/>
      <c r="B907" s="87"/>
      <c r="C907" s="88"/>
      <c r="D907" s="88"/>
      <c r="E907" s="90"/>
      <c r="F907" s="84" t="str">
        <f ca="1">IF(D907="Income",LOOKUP(E907,Introduction!$A$11:$A$18,Introduction!$C$11:$C$18),IF(D907="Expense",LOOKUP(E907,Introduction!$D$11:$D$30,Introduction!$F$11:$F$30),"_"))</f>
        <v>_</v>
      </c>
      <c r="G907" s="88"/>
      <c r="H907" s="92"/>
      <c r="I907" s="85">
        <f t="shared" si="53"/>
        <v>0</v>
      </c>
      <c r="J907" s="93"/>
      <c r="K907" s="85">
        <f t="shared" si="54"/>
        <v>0</v>
      </c>
      <c r="L907" s="68"/>
      <c r="M907" s="68"/>
      <c r="P907" s="89" t="str">
        <f t="shared" si="55"/>
        <v xml:space="preserve">  1 1900 </v>
      </c>
    </row>
    <row r="908" spans="1:16">
      <c r="A908" s="68"/>
      <c r="B908" s="87"/>
      <c r="C908" s="88"/>
      <c r="D908" s="88"/>
      <c r="E908" s="90"/>
      <c r="F908" s="84" t="str">
        <f ca="1">IF(D908="Income",LOOKUP(E908,Introduction!$A$11:$A$18,Introduction!$C$11:$C$18),IF(D908="Expense",LOOKUP(E908,Introduction!$D$11:$D$30,Introduction!$F$11:$F$30),"_"))</f>
        <v>_</v>
      </c>
      <c r="G908" s="88"/>
      <c r="H908" s="92"/>
      <c r="I908" s="85">
        <f t="shared" si="53"/>
        <v>0</v>
      </c>
      <c r="J908" s="93"/>
      <c r="K908" s="85">
        <f t="shared" si="54"/>
        <v>0</v>
      </c>
      <c r="L908" s="68"/>
      <c r="M908" s="68"/>
      <c r="P908" s="89" t="str">
        <f t="shared" si="55"/>
        <v xml:space="preserve">  1 1900 </v>
      </c>
    </row>
    <row r="909" spans="1:16">
      <c r="A909" s="68"/>
      <c r="B909" s="87"/>
      <c r="C909" s="88"/>
      <c r="D909" s="88"/>
      <c r="E909" s="90"/>
      <c r="F909" s="84" t="str">
        <f ca="1">IF(D909="Income",LOOKUP(E909,Introduction!$A$11:$A$18,Introduction!$C$11:$C$18),IF(D909="Expense",LOOKUP(E909,Introduction!$D$11:$D$30,Introduction!$F$11:$F$30),"_"))</f>
        <v>_</v>
      </c>
      <c r="G909" s="88"/>
      <c r="H909" s="92"/>
      <c r="I909" s="85">
        <f t="shared" si="53"/>
        <v>0</v>
      </c>
      <c r="J909" s="93"/>
      <c r="K909" s="85">
        <f t="shared" si="54"/>
        <v>0</v>
      </c>
      <c r="L909" s="68"/>
      <c r="M909" s="68"/>
      <c r="P909" s="89" t="str">
        <f t="shared" si="55"/>
        <v xml:space="preserve">  1 1900 </v>
      </c>
    </row>
    <row r="910" spans="1:16">
      <c r="A910" s="68"/>
      <c r="B910" s="87"/>
      <c r="C910" s="88"/>
      <c r="D910" s="88"/>
      <c r="E910" s="90"/>
      <c r="F910" s="84" t="str">
        <f ca="1">IF(D910="Income",LOOKUP(E910,Introduction!$A$11:$A$18,Introduction!$C$11:$C$18),IF(D910="Expense",LOOKUP(E910,Introduction!$D$11:$D$30,Introduction!$F$11:$F$30),"_"))</f>
        <v>_</v>
      </c>
      <c r="G910" s="88"/>
      <c r="H910" s="92"/>
      <c r="I910" s="85">
        <f t="shared" si="53"/>
        <v>0</v>
      </c>
      <c r="J910" s="93"/>
      <c r="K910" s="85">
        <f t="shared" si="54"/>
        <v>0</v>
      </c>
      <c r="L910" s="68"/>
      <c r="M910" s="68"/>
      <c r="P910" s="89" t="str">
        <f t="shared" si="55"/>
        <v xml:space="preserve">  1 1900 </v>
      </c>
    </row>
    <row r="911" spans="1:16">
      <c r="A911" s="68"/>
      <c r="B911" s="87"/>
      <c r="C911" s="88"/>
      <c r="D911" s="88"/>
      <c r="E911" s="90"/>
      <c r="F911" s="84" t="str">
        <f ca="1">IF(D911="Income",LOOKUP(E911,Introduction!$A$11:$A$18,Introduction!$C$11:$C$18),IF(D911="Expense",LOOKUP(E911,Introduction!$D$11:$D$30,Introduction!$F$11:$F$30),"_"))</f>
        <v>_</v>
      </c>
      <c r="G911" s="88"/>
      <c r="H911" s="92"/>
      <c r="I911" s="85">
        <f t="shared" si="53"/>
        <v>0</v>
      </c>
      <c r="J911" s="93"/>
      <c r="K911" s="85">
        <f t="shared" si="54"/>
        <v>0</v>
      </c>
      <c r="L911" s="68"/>
      <c r="M911" s="68"/>
      <c r="P911" s="89" t="str">
        <f t="shared" si="55"/>
        <v xml:space="preserve">  1 1900 </v>
      </c>
    </row>
    <row r="912" spans="1:16">
      <c r="A912" s="68"/>
      <c r="B912" s="87"/>
      <c r="C912" s="88"/>
      <c r="D912" s="88"/>
      <c r="E912" s="90"/>
      <c r="F912" s="84" t="str">
        <f ca="1">IF(D912="Income",LOOKUP(E912,Introduction!$A$11:$A$18,Introduction!$C$11:$C$18),IF(D912="Expense",LOOKUP(E912,Introduction!$D$11:$D$30,Introduction!$F$11:$F$30),"_"))</f>
        <v>_</v>
      </c>
      <c r="G912" s="88"/>
      <c r="H912" s="92"/>
      <c r="I912" s="85">
        <f t="shared" si="53"/>
        <v>0</v>
      </c>
      <c r="J912" s="93"/>
      <c r="K912" s="85">
        <f t="shared" si="54"/>
        <v>0</v>
      </c>
      <c r="L912" s="68"/>
      <c r="M912" s="68"/>
      <c r="P912" s="89" t="str">
        <f t="shared" si="55"/>
        <v xml:space="preserve">  1 1900 </v>
      </c>
    </row>
    <row r="913" spans="1:16">
      <c r="A913" s="68"/>
      <c r="B913" s="87"/>
      <c r="C913" s="88"/>
      <c r="D913" s="88"/>
      <c r="E913" s="90"/>
      <c r="F913" s="84" t="str">
        <f ca="1">IF(D913="Income",LOOKUP(E913,Introduction!$A$11:$A$18,Introduction!$C$11:$C$18),IF(D913="Expense",LOOKUP(E913,Introduction!$D$11:$D$30,Introduction!$F$11:$F$30),"_"))</f>
        <v>_</v>
      </c>
      <c r="G913" s="88"/>
      <c r="H913" s="92"/>
      <c r="I913" s="85">
        <f t="shared" ref="I913:I976" si="56">+I912+H913</f>
        <v>0</v>
      </c>
      <c r="J913" s="93"/>
      <c r="K913" s="85">
        <f t="shared" ref="K913:K976" si="57">IF(J913=1,K912+H913,++K912)</f>
        <v>0</v>
      </c>
      <c r="L913" s="68"/>
      <c r="M913" s="68"/>
      <c r="P913" s="89" t="str">
        <f t="shared" si="55"/>
        <v xml:space="preserve">  1 1900 </v>
      </c>
    </row>
    <row r="914" spans="1:16">
      <c r="A914" s="68"/>
      <c r="B914" s="87"/>
      <c r="C914" s="88"/>
      <c r="D914" s="88"/>
      <c r="E914" s="90"/>
      <c r="F914" s="84" t="str">
        <f ca="1">IF(D914="Income",LOOKUP(E914,Introduction!$A$11:$A$18,Introduction!$C$11:$C$18),IF(D914="Expense",LOOKUP(E914,Introduction!$D$11:$D$30,Introduction!$F$11:$F$30),"_"))</f>
        <v>_</v>
      </c>
      <c r="G914" s="88"/>
      <c r="H914" s="92"/>
      <c r="I914" s="85">
        <f t="shared" si="56"/>
        <v>0</v>
      </c>
      <c r="J914" s="93"/>
      <c r="K914" s="85">
        <f t="shared" si="57"/>
        <v>0</v>
      </c>
      <c r="L914" s="68"/>
      <c r="M914" s="68"/>
      <c r="P914" s="89" t="str">
        <f t="shared" si="55"/>
        <v xml:space="preserve">  1 1900 </v>
      </c>
    </row>
    <row r="915" spans="1:16">
      <c r="A915" s="68"/>
      <c r="B915" s="87"/>
      <c r="C915" s="88"/>
      <c r="D915" s="88"/>
      <c r="E915" s="90"/>
      <c r="F915" s="84" t="str">
        <f ca="1">IF(D915="Income",LOOKUP(E915,Introduction!$A$11:$A$18,Introduction!$C$11:$C$18),IF(D915="Expense",LOOKUP(E915,Introduction!$D$11:$D$30,Introduction!$F$11:$F$30),"_"))</f>
        <v>_</v>
      </c>
      <c r="G915" s="88"/>
      <c r="H915" s="92"/>
      <c r="I915" s="85">
        <f t="shared" si="56"/>
        <v>0</v>
      </c>
      <c r="J915" s="93"/>
      <c r="K915" s="85">
        <f t="shared" si="57"/>
        <v>0</v>
      </c>
      <c r="L915" s="68"/>
      <c r="M915" s="68"/>
      <c r="P915" s="89" t="str">
        <f t="shared" si="55"/>
        <v xml:space="preserve">  1 1900 </v>
      </c>
    </row>
    <row r="916" spans="1:16">
      <c r="A916" s="68"/>
      <c r="B916" s="87"/>
      <c r="C916" s="88"/>
      <c r="D916" s="88"/>
      <c r="E916" s="90"/>
      <c r="F916" s="84" t="str">
        <f ca="1">IF(D916="Income",LOOKUP(E916,Introduction!$A$11:$A$18,Introduction!$C$11:$C$18),IF(D916="Expense",LOOKUP(E916,Introduction!$D$11:$D$30,Introduction!$F$11:$F$30),"_"))</f>
        <v>_</v>
      </c>
      <c r="G916" s="88"/>
      <c r="H916" s="92"/>
      <c r="I916" s="85">
        <f t="shared" si="56"/>
        <v>0</v>
      </c>
      <c r="J916" s="93"/>
      <c r="K916" s="85">
        <f t="shared" si="57"/>
        <v>0</v>
      </c>
      <c r="L916" s="68"/>
      <c r="M916" s="68"/>
      <c r="P916" s="89" t="str">
        <f t="shared" si="55"/>
        <v xml:space="preserve">  1 1900 </v>
      </c>
    </row>
    <row r="917" spans="1:16">
      <c r="A917" s="68"/>
      <c r="B917" s="87"/>
      <c r="C917" s="88"/>
      <c r="D917" s="88"/>
      <c r="E917" s="90"/>
      <c r="F917" s="84" t="str">
        <f ca="1">IF(D917="Income",LOOKUP(E917,Introduction!$A$11:$A$18,Introduction!$C$11:$C$18),IF(D917="Expense",LOOKUP(E917,Introduction!$D$11:$D$30,Introduction!$F$11:$F$30),"_"))</f>
        <v>_</v>
      </c>
      <c r="G917" s="88"/>
      <c r="H917" s="92"/>
      <c r="I917" s="85">
        <f t="shared" si="56"/>
        <v>0</v>
      </c>
      <c r="J917" s="93"/>
      <c r="K917" s="85">
        <f t="shared" si="57"/>
        <v>0</v>
      </c>
      <c r="L917" s="68"/>
      <c r="M917" s="68"/>
      <c r="P917" s="89" t="str">
        <f t="shared" si="55"/>
        <v xml:space="preserve">  1 1900 </v>
      </c>
    </row>
    <row r="918" spans="1:16">
      <c r="A918" s="68"/>
      <c r="B918" s="87"/>
      <c r="C918" s="88"/>
      <c r="D918" s="88"/>
      <c r="E918" s="90"/>
      <c r="F918" s="84" t="str">
        <f ca="1">IF(D918="Income",LOOKUP(E918,Introduction!$A$11:$A$18,Introduction!$C$11:$C$18),IF(D918="Expense",LOOKUP(E918,Introduction!$D$11:$D$30,Introduction!$F$11:$F$30),"_"))</f>
        <v>_</v>
      </c>
      <c r="G918" s="88"/>
      <c r="H918" s="92"/>
      <c r="I918" s="85">
        <f t="shared" si="56"/>
        <v>0</v>
      </c>
      <c r="J918" s="93"/>
      <c r="K918" s="85">
        <f t="shared" si="57"/>
        <v>0</v>
      </c>
      <c r="L918" s="68"/>
      <c r="M918" s="68"/>
      <c r="P918" s="89" t="str">
        <f t="shared" si="55"/>
        <v xml:space="preserve">  1 1900 </v>
      </c>
    </row>
    <row r="919" spans="1:16">
      <c r="A919" s="68"/>
      <c r="B919" s="87"/>
      <c r="C919" s="88"/>
      <c r="D919" s="88"/>
      <c r="E919" s="90"/>
      <c r="F919" s="84" t="str">
        <f ca="1">IF(D919="Income",LOOKUP(E919,Introduction!$A$11:$A$18,Introduction!$C$11:$C$18),IF(D919="Expense",LOOKUP(E919,Introduction!$D$11:$D$30,Introduction!$F$11:$F$30),"_"))</f>
        <v>_</v>
      </c>
      <c r="G919" s="88"/>
      <c r="H919" s="92"/>
      <c r="I919" s="85">
        <f t="shared" si="56"/>
        <v>0</v>
      </c>
      <c r="J919" s="93"/>
      <c r="K919" s="85">
        <f t="shared" si="57"/>
        <v>0</v>
      </c>
      <c r="L919" s="68"/>
      <c r="M919" s="68"/>
      <c r="P919" s="89" t="str">
        <f t="shared" si="55"/>
        <v xml:space="preserve">  1 1900 </v>
      </c>
    </row>
    <row r="920" spans="1:16">
      <c r="A920" s="68"/>
      <c r="B920" s="87"/>
      <c r="C920" s="88"/>
      <c r="D920" s="88"/>
      <c r="E920" s="90"/>
      <c r="F920" s="84" t="str">
        <f ca="1">IF(D920="Income",LOOKUP(E920,Introduction!$A$11:$A$18,Introduction!$C$11:$C$18),IF(D920="Expense",LOOKUP(E920,Introduction!$D$11:$D$30,Introduction!$F$11:$F$30),"_"))</f>
        <v>_</v>
      </c>
      <c r="G920" s="88"/>
      <c r="H920" s="92"/>
      <c r="I920" s="85">
        <f t="shared" si="56"/>
        <v>0</v>
      </c>
      <c r="J920" s="93"/>
      <c r="K920" s="85">
        <f t="shared" si="57"/>
        <v>0</v>
      </c>
      <c r="L920" s="68"/>
      <c r="M920" s="68"/>
      <c r="P920" s="89" t="str">
        <f t="shared" si="55"/>
        <v xml:space="preserve">  1 1900 </v>
      </c>
    </row>
    <row r="921" spans="1:16">
      <c r="A921" s="68"/>
      <c r="B921" s="87"/>
      <c r="C921" s="88"/>
      <c r="D921" s="88"/>
      <c r="E921" s="90"/>
      <c r="F921" s="84" t="str">
        <f ca="1">IF(D921="Income",LOOKUP(E921,Introduction!$A$11:$A$18,Introduction!$C$11:$C$18),IF(D921="Expense",LOOKUP(E921,Introduction!$D$11:$D$30,Introduction!$F$11:$F$30),"_"))</f>
        <v>_</v>
      </c>
      <c r="G921" s="88"/>
      <c r="H921" s="92"/>
      <c r="I921" s="85">
        <f t="shared" si="56"/>
        <v>0</v>
      </c>
      <c r="J921" s="93"/>
      <c r="K921" s="85">
        <f t="shared" si="57"/>
        <v>0</v>
      </c>
      <c r="L921" s="68"/>
      <c r="M921" s="68"/>
      <c r="P921" s="89" t="str">
        <f t="shared" si="55"/>
        <v xml:space="preserve">  1 1900 </v>
      </c>
    </row>
    <row r="922" spans="1:16">
      <c r="A922" s="68"/>
      <c r="B922" s="87"/>
      <c r="C922" s="88"/>
      <c r="D922" s="88"/>
      <c r="E922" s="90"/>
      <c r="F922" s="84" t="str">
        <f ca="1">IF(D922="Income",LOOKUP(E922,Introduction!$A$11:$A$18,Introduction!$C$11:$C$18),IF(D922="Expense",LOOKUP(E922,Introduction!$D$11:$D$30,Introduction!$F$11:$F$30),"_"))</f>
        <v>_</v>
      </c>
      <c r="G922" s="88"/>
      <c r="H922" s="92"/>
      <c r="I922" s="85">
        <f t="shared" si="56"/>
        <v>0</v>
      </c>
      <c r="J922" s="93"/>
      <c r="K922" s="85">
        <f t="shared" si="57"/>
        <v>0</v>
      </c>
      <c r="L922" s="68"/>
      <c r="M922" s="68"/>
      <c r="P922" s="89" t="str">
        <f t="shared" si="55"/>
        <v xml:space="preserve">  1 1900 </v>
      </c>
    </row>
    <row r="923" spans="1:16">
      <c r="A923" s="68"/>
      <c r="B923" s="87"/>
      <c r="C923" s="88"/>
      <c r="D923" s="88"/>
      <c r="E923" s="90"/>
      <c r="F923" s="84" t="str">
        <f ca="1">IF(D923="Income",LOOKUP(E923,Introduction!$A$11:$A$18,Introduction!$C$11:$C$18),IF(D923="Expense",LOOKUP(E923,Introduction!$D$11:$D$30,Introduction!$F$11:$F$30),"_"))</f>
        <v>_</v>
      </c>
      <c r="G923" s="88"/>
      <c r="H923" s="92"/>
      <c r="I923" s="85">
        <f t="shared" si="56"/>
        <v>0</v>
      </c>
      <c r="J923" s="93"/>
      <c r="K923" s="85">
        <f t="shared" si="57"/>
        <v>0</v>
      </c>
      <c r="L923" s="68"/>
      <c r="M923" s="68"/>
      <c r="P923" s="89" t="str">
        <f t="shared" si="55"/>
        <v xml:space="preserve">  1 1900 </v>
      </c>
    </row>
    <row r="924" spans="1:16">
      <c r="A924" s="68"/>
      <c r="B924" s="87"/>
      <c r="C924" s="88"/>
      <c r="D924" s="88"/>
      <c r="E924" s="90"/>
      <c r="F924" s="84" t="str">
        <f ca="1">IF(D924="Income",LOOKUP(E924,Introduction!$A$11:$A$18,Introduction!$C$11:$C$18),IF(D924="Expense",LOOKUP(E924,Introduction!$D$11:$D$30,Introduction!$F$11:$F$30),"_"))</f>
        <v>_</v>
      </c>
      <c r="G924" s="88"/>
      <c r="H924" s="92"/>
      <c r="I924" s="85">
        <f t="shared" si="56"/>
        <v>0</v>
      </c>
      <c r="J924" s="93"/>
      <c r="K924" s="85">
        <f t="shared" si="57"/>
        <v>0</v>
      </c>
      <c r="L924" s="68"/>
      <c r="M924" s="68"/>
      <c r="P924" s="89" t="str">
        <f t="shared" si="55"/>
        <v xml:space="preserve">  1 1900 </v>
      </c>
    </row>
    <row r="925" spans="1:16">
      <c r="A925" s="68"/>
      <c r="B925" s="87"/>
      <c r="C925" s="88"/>
      <c r="D925" s="88"/>
      <c r="E925" s="90"/>
      <c r="F925" s="84" t="str">
        <f ca="1">IF(D925="Income",LOOKUP(E925,Introduction!$A$11:$A$18,Introduction!$C$11:$C$18),IF(D925="Expense",LOOKUP(E925,Introduction!$D$11:$D$30,Introduction!$F$11:$F$30),"_"))</f>
        <v>_</v>
      </c>
      <c r="G925" s="88"/>
      <c r="H925" s="92"/>
      <c r="I925" s="85">
        <f t="shared" si="56"/>
        <v>0</v>
      </c>
      <c r="J925" s="93"/>
      <c r="K925" s="85">
        <f t="shared" si="57"/>
        <v>0</v>
      </c>
      <c r="L925" s="68"/>
      <c r="M925" s="68"/>
      <c r="P925" s="89" t="str">
        <f t="shared" si="55"/>
        <v xml:space="preserve">  1 1900 </v>
      </c>
    </row>
    <row r="926" spans="1:16">
      <c r="A926" s="68"/>
      <c r="B926" s="87"/>
      <c r="C926" s="88"/>
      <c r="D926" s="88"/>
      <c r="E926" s="90"/>
      <c r="F926" s="84" t="str">
        <f ca="1">IF(D926="Income",LOOKUP(E926,Introduction!$A$11:$A$18,Introduction!$C$11:$C$18),IF(D926="Expense",LOOKUP(E926,Introduction!$D$11:$D$30,Introduction!$F$11:$F$30),"_"))</f>
        <v>_</v>
      </c>
      <c r="G926" s="88"/>
      <c r="H926" s="92"/>
      <c r="I926" s="85">
        <f t="shared" si="56"/>
        <v>0</v>
      </c>
      <c r="J926" s="93"/>
      <c r="K926" s="85">
        <f t="shared" si="57"/>
        <v>0</v>
      </c>
      <c r="L926" s="68"/>
      <c r="M926" s="68"/>
      <c r="P926" s="89" t="str">
        <f t="shared" si="55"/>
        <v xml:space="preserve">  1 1900 </v>
      </c>
    </row>
    <row r="927" spans="1:16">
      <c r="A927" s="68"/>
      <c r="B927" s="87"/>
      <c r="C927" s="88"/>
      <c r="D927" s="88"/>
      <c r="E927" s="90"/>
      <c r="F927" s="84" t="str">
        <f ca="1">IF(D927="Income",LOOKUP(E927,Introduction!$A$11:$A$18,Introduction!$C$11:$C$18),IF(D927="Expense",LOOKUP(E927,Introduction!$D$11:$D$30,Introduction!$F$11:$F$30),"_"))</f>
        <v>_</v>
      </c>
      <c r="G927" s="88"/>
      <c r="H927" s="92"/>
      <c r="I927" s="85">
        <f t="shared" si="56"/>
        <v>0</v>
      </c>
      <c r="J927" s="93"/>
      <c r="K927" s="85">
        <f t="shared" si="57"/>
        <v>0</v>
      </c>
      <c r="L927" s="68"/>
      <c r="M927" s="68"/>
      <c r="P927" s="89" t="str">
        <f t="shared" si="55"/>
        <v xml:space="preserve">  1 1900 </v>
      </c>
    </row>
    <row r="928" spans="1:16">
      <c r="A928" s="68"/>
      <c r="B928" s="87"/>
      <c r="C928" s="88"/>
      <c r="D928" s="88"/>
      <c r="E928" s="90"/>
      <c r="F928" s="84" t="str">
        <f ca="1">IF(D928="Income",LOOKUP(E928,Introduction!$A$11:$A$18,Introduction!$C$11:$C$18),IF(D928="Expense",LOOKUP(E928,Introduction!$D$11:$D$30,Introduction!$F$11:$F$30),"_"))</f>
        <v>_</v>
      </c>
      <c r="G928" s="88"/>
      <c r="H928" s="92"/>
      <c r="I928" s="85">
        <f t="shared" si="56"/>
        <v>0</v>
      </c>
      <c r="J928" s="93"/>
      <c r="K928" s="85">
        <f t="shared" si="57"/>
        <v>0</v>
      </c>
      <c r="L928" s="68"/>
      <c r="M928" s="68"/>
      <c r="P928" s="89" t="str">
        <f t="shared" si="55"/>
        <v xml:space="preserve">  1 1900 </v>
      </c>
    </row>
    <row r="929" spans="1:16">
      <c r="A929" s="68"/>
      <c r="B929" s="87"/>
      <c r="C929" s="88"/>
      <c r="D929" s="88"/>
      <c r="E929" s="90"/>
      <c r="F929" s="84" t="str">
        <f ca="1">IF(D929="Income",LOOKUP(E929,Introduction!$A$11:$A$18,Introduction!$C$11:$C$18),IF(D929="Expense",LOOKUP(E929,Introduction!$D$11:$D$30,Introduction!$F$11:$F$30),"_"))</f>
        <v>_</v>
      </c>
      <c r="G929" s="88"/>
      <c r="H929" s="92"/>
      <c r="I929" s="85">
        <f t="shared" si="56"/>
        <v>0</v>
      </c>
      <c r="J929" s="93"/>
      <c r="K929" s="85">
        <f t="shared" si="57"/>
        <v>0</v>
      </c>
      <c r="L929" s="68"/>
      <c r="M929" s="68"/>
      <c r="P929" s="89" t="str">
        <f t="shared" si="55"/>
        <v xml:space="preserve">  1 1900 </v>
      </c>
    </row>
    <row r="930" spans="1:16">
      <c r="A930" s="68"/>
      <c r="B930" s="87"/>
      <c r="C930" s="88"/>
      <c r="D930" s="88"/>
      <c r="E930" s="90"/>
      <c r="F930" s="84" t="str">
        <f ca="1">IF(D930="Income",LOOKUP(E930,Introduction!$A$11:$A$18,Introduction!$C$11:$C$18),IF(D930="Expense",LOOKUP(E930,Introduction!$D$11:$D$30,Introduction!$F$11:$F$30),"_"))</f>
        <v>_</v>
      </c>
      <c r="G930" s="88"/>
      <c r="H930" s="92"/>
      <c r="I930" s="85">
        <f t="shared" si="56"/>
        <v>0</v>
      </c>
      <c r="J930" s="93"/>
      <c r="K930" s="85">
        <f t="shared" si="57"/>
        <v>0</v>
      </c>
      <c r="L930" s="68"/>
      <c r="M930" s="68"/>
      <c r="P930" s="89" t="str">
        <f t="shared" si="55"/>
        <v xml:space="preserve">  1 1900 </v>
      </c>
    </row>
    <row r="931" spans="1:16">
      <c r="A931" s="68"/>
      <c r="B931" s="87"/>
      <c r="C931" s="88"/>
      <c r="D931" s="88"/>
      <c r="E931" s="90"/>
      <c r="F931" s="84" t="str">
        <f ca="1">IF(D931="Income",LOOKUP(E931,Introduction!$A$11:$A$18,Introduction!$C$11:$C$18),IF(D931="Expense",LOOKUP(E931,Introduction!$D$11:$D$30,Introduction!$F$11:$F$30),"_"))</f>
        <v>_</v>
      </c>
      <c r="G931" s="88"/>
      <c r="H931" s="92"/>
      <c r="I931" s="85">
        <f t="shared" si="56"/>
        <v>0</v>
      </c>
      <c r="J931" s="93"/>
      <c r="K931" s="85">
        <f t="shared" si="57"/>
        <v>0</v>
      </c>
      <c r="L931" s="68"/>
      <c r="M931" s="68"/>
      <c r="P931" s="89" t="str">
        <f t="shared" si="55"/>
        <v xml:space="preserve">  1 1900 </v>
      </c>
    </row>
    <row r="932" spans="1:16">
      <c r="A932" s="68"/>
      <c r="B932" s="87"/>
      <c r="C932" s="88"/>
      <c r="D932" s="88"/>
      <c r="E932" s="90"/>
      <c r="F932" s="84" t="str">
        <f ca="1">IF(D932="Income",LOOKUP(E932,Introduction!$A$11:$A$18,Introduction!$C$11:$C$18),IF(D932="Expense",LOOKUP(E932,Introduction!$D$11:$D$30,Introduction!$F$11:$F$30),"_"))</f>
        <v>_</v>
      </c>
      <c r="G932" s="88"/>
      <c r="H932" s="92"/>
      <c r="I932" s="85">
        <f t="shared" si="56"/>
        <v>0</v>
      </c>
      <c r="J932" s="93"/>
      <c r="K932" s="85">
        <f t="shared" si="57"/>
        <v>0</v>
      </c>
      <c r="L932" s="68"/>
      <c r="M932" s="68"/>
      <c r="P932" s="89" t="str">
        <f t="shared" si="55"/>
        <v xml:space="preserve">  1 1900 </v>
      </c>
    </row>
    <row r="933" spans="1:16">
      <c r="A933" s="68"/>
      <c r="B933" s="87"/>
      <c r="C933" s="88"/>
      <c r="D933" s="88"/>
      <c r="E933" s="90"/>
      <c r="F933" s="84" t="str">
        <f ca="1">IF(D933="Income",LOOKUP(E933,Introduction!$A$11:$A$18,Introduction!$C$11:$C$18),IF(D933="Expense",LOOKUP(E933,Introduction!$D$11:$D$30,Introduction!$F$11:$F$30),"_"))</f>
        <v>_</v>
      </c>
      <c r="G933" s="88"/>
      <c r="H933" s="92"/>
      <c r="I933" s="85">
        <f t="shared" si="56"/>
        <v>0</v>
      </c>
      <c r="J933" s="93"/>
      <c r="K933" s="85">
        <f t="shared" si="57"/>
        <v>0</v>
      </c>
      <c r="L933" s="68"/>
      <c r="M933" s="68"/>
      <c r="P933" s="89" t="str">
        <f t="shared" si="55"/>
        <v xml:space="preserve">  1 1900 </v>
      </c>
    </row>
    <row r="934" spans="1:16">
      <c r="A934" s="68"/>
      <c r="B934" s="87"/>
      <c r="C934" s="88"/>
      <c r="D934" s="88"/>
      <c r="E934" s="90"/>
      <c r="F934" s="84" t="str">
        <f ca="1">IF(D934="Income",LOOKUP(E934,Introduction!$A$11:$A$18,Introduction!$C$11:$C$18),IF(D934="Expense",LOOKUP(E934,Introduction!$D$11:$D$30,Introduction!$F$11:$F$30),"_"))</f>
        <v>_</v>
      </c>
      <c r="G934" s="88"/>
      <c r="H934" s="92"/>
      <c r="I934" s="85">
        <f t="shared" si="56"/>
        <v>0</v>
      </c>
      <c r="J934" s="93"/>
      <c r="K934" s="85">
        <f t="shared" si="57"/>
        <v>0</v>
      </c>
      <c r="L934" s="68"/>
      <c r="M934" s="68"/>
      <c r="P934" s="89" t="str">
        <f t="shared" si="55"/>
        <v xml:space="preserve">  1 1900 </v>
      </c>
    </row>
    <row r="935" spans="1:16">
      <c r="A935" s="68"/>
      <c r="B935" s="87"/>
      <c r="C935" s="88"/>
      <c r="D935" s="88"/>
      <c r="E935" s="90"/>
      <c r="F935" s="84" t="str">
        <f ca="1">IF(D935="Income",LOOKUP(E935,Introduction!$A$11:$A$18,Introduction!$C$11:$C$18),IF(D935="Expense",LOOKUP(E935,Introduction!$D$11:$D$30,Introduction!$F$11:$F$30),"_"))</f>
        <v>_</v>
      </c>
      <c r="G935" s="88"/>
      <c r="H935" s="92"/>
      <c r="I935" s="85">
        <f t="shared" si="56"/>
        <v>0</v>
      </c>
      <c r="J935" s="93"/>
      <c r="K935" s="85">
        <f t="shared" si="57"/>
        <v>0</v>
      </c>
      <c r="L935" s="68"/>
      <c r="M935" s="68"/>
      <c r="P935" s="89" t="str">
        <f t="shared" si="55"/>
        <v xml:space="preserve">  1 1900 </v>
      </c>
    </row>
    <row r="936" spans="1:16">
      <c r="A936" s="68"/>
      <c r="B936" s="87"/>
      <c r="C936" s="88"/>
      <c r="D936" s="88"/>
      <c r="E936" s="90"/>
      <c r="F936" s="84" t="str">
        <f ca="1">IF(D936="Income",LOOKUP(E936,Introduction!$A$11:$A$18,Introduction!$C$11:$C$18),IF(D936="Expense",LOOKUP(E936,Introduction!$D$11:$D$30,Introduction!$F$11:$F$30),"_"))</f>
        <v>_</v>
      </c>
      <c r="G936" s="88"/>
      <c r="H936" s="92"/>
      <c r="I936" s="85">
        <f t="shared" si="56"/>
        <v>0</v>
      </c>
      <c r="J936" s="93"/>
      <c r="K936" s="85">
        <f t="shared" si="57"/>
        <v>0</v>
      </c>
      <c r="L936" s="68"/>
      <c r="M936" s="68"/>
      <c r="P936" s="89" t="str">
        <f t="shared" si="55"/>
        <v xml:space="preserve">  1 1900 </v>
      </c>
    </row>
    <row r="937" spans="1:16">
      <c r="A937" s="68"/>
      <c r="B937" s="87"/>
      <c r="C937" s="88"/>
      <c r="D937" s="88"/>
      <c r="E937" s="90"/>
      <c r="F937" s="84" t="str">
        <f ca="1">IF(D937="Income",LOOKUP(E937,Introduction!$A$11:$A$18,Introduction!$C$11:$C$18),IF(D937="Expense",LOOKUP(E937,Introduction!$D$11:$D$30,Introduction!$F$11:$F$30),"_"))</f>
        <v>_</v>
      </c>
      <c r="G937" s="88"/>
      <c r="H937" s="92"/>
      <c r="I937" s="85">
        <f t="shared" si="56"/>
        <v>0</v>
      </c>
      <c r="J937" s="93"/>
      <c r="K937" s="85">
        <f t="shared" si="57"/>
        <v>0</v>
      </c>
      <c r="L937" s="68"/>
      <c r="M937" s="68"/>
      <c r="P937" s="89" t="str">
        <f t="shared" si="55"/>
        <v xml:space="preserve">  1 1900 </v>
      </c>
    </row>
    <row r="938" spans="1:16">
      <c r="A938" s="68"/>
      <c r="B938" s="87"/>
      <c r="C938" s="88"/>
      <c r="D938" s="88"/>
      <c r="E938" s="90"/>
      <c r="F938" s="84" t="str">
        <f ca="1">IF(D938="Income",LOOKUP(E938,Introduction!$A$11:$A$18,Introduction!$C$11:$C$18),IF(D938="Expense",LOOKUP(E938,Introduction!$D$11:$D$30,Introduction!$F$11:$F$30),"_"))</f>
        <v>_</v>
      </c>
      <c r="G938" s="88"/>
      <c r="H938" s="92"/>
      <c r="I938" s="85">
        <f t="shared" si="56"/>
        <v>0</v>
      </c>
      <c r="J938" s="93"/>
      <c r="K938" s="85">
        <f t="shared" si="57"/>
        <v>0</v>
      </c>
      <c r="L938" s="68"/>
      <c r="M938" s="68"/>
      <c r="P938" s="89" t="str">
        <f t="shared" si="55"/>
        <v xml:space="preserve">  1 1900 </v>
      </c>
    </row>
    <row r="939" spans="1:16">
      <c r="A939" s="68"/>
      <c r="B939" s="87"/>
      <c r="C939" s="88"/>
      <c r="D939" s="88"/>
      <c r="E939" s="90"/>
      <c r="F939" s="84" t="str">
        <f ca="1">IF(D939="Income",LOOKUP(E939,Introduction!$A$11:$A$18,Introduction!$C$11:$C$18),IF(D939="Expense",LOOKUP(E939,Introduction!$D$11:$D$30,Introduction!$F$11:$F$30),"_"))</f>
        <v>_</v>
      </c>
      <c r="G939" s="88"/>
      <c r="H939" s="92"/>
      <c r="I939" s="85">
        <f t="shared" si="56"/>
        <v>0</v>
      </c>
      <c r="J939" s="93"/>
      <c r="K939" s="85">
        <f t="shared" si="57"/>
        <v>0</v>
      </c>
      <c r="L939" s="68"/>
      <c r="M939" s="68"/>
      <c r="P939" s="89" t="str">
        <f t="shared" si="55"/>
        <v xml:space="preserve">  1 1900 </v>
      </c>
    </row>
    <row r="940" spans="1:16">
      <c r="A940" s="68"/>
      <c r="B940" s="87"/>
      <c r="C940" s="88"/>
      <c r="D940" s="88"/>
      <c r="E940" s="90"/>
      <c r="F940" s="84" t="str">
        <f ca="1">IF(D940="Income",LOOKUP(E940,Introduction!$A$11:$A$18,Introduction!$C$11:$C$18),IF(D940="Expense",LOOKUP(E940,Introduction!$D$11:$D$30,Introduction!$F$11:$F$30),"_"))</f>
        <v>_</v>
      </c>
      <c r="G940" s="88"/>
      <c r="H940" s="92"/>
      <c r="I940" s="85">
        <f t="shared" si="56"/>
        <v>0</v>
      </c>
      <c r="J940" s="93"/>
      <c r="K940" s="85">
        <f t="shared" si="57"/>
        <v>0</v>
      </c>
      <c r="L940" s="68"/>
      <c r="M940" s="68"/>
      <c r="P940" s="89" t="str">
        <f t="shared" si="55"/>
        <v xml:space="preserve">  1 1900 </v>
      </c>
    </row>
    <row r="941" spans="1:16">
      <c r="A941" s="68"/>
      <c r="B941" s="87"/>
      <c r="C941" s="88"/>
      <c r="D941" s="88"/>
      <c r="E941" s="90"/>
      <c r="F941" s="84" t="str">
        <f ca="1">IF(D941="Income",LOOKUP(E941,Introduction!$A$11:$A$18,Introduction!$C$11:$C$18),IF(D941="Expense",LOOKUP(E941,Introduction!$D$11:$D$30,Introduction!$F$11:$F$30),"_"))</f>
        <v>_</v>
      </c>
      <c r="G941" s="88"/>
      <c r="H941" s="92"/>
      <c r="I941" s="85">
        <f t="shared" si="56"/>
        <v>0</v>
      </c>
      <c r="J941" s="93"/>
      <c r="K941" s="85">
        <f t="shared" si="57"/>
        <v>0</v>
      </c>
      <c r="L941" s="68"/>
      <c r="M941" s="68"/>
      <c r="P941" s="89" t="str">
        <f t="shared" si="55"/>
        <v xml:space="preserve">  1 1900 </v>
      </c>
    </row>
    <row r="942" spans="1:16">
      <c r="A942" s="68"/>
      <c r="B942" s="87"/>
      <c r="C942" s="88"/>
      <c r="D942" s="88"/>
      <c r="E942" s="90"/>
      <c r="F942" s="84" t="str">
        <f ca="1">IF(D942="Income",LOOKUP(E942,Introduction!$A$11:$A$18,Introduction!$C$11:$C$18),IF(D942="Expense",LOOKUP(E942,Introduction!$D$11:$D$30,Introduction!$F$11:$F$30),"_"))</f>
        <v>_</v>
      </c>
      <c r="G942" s="88"/>
      <c r="H942" s="92"/>
      <c r="I942" s="85">
        <f t="shared" si="56"/>
        <v>0</v>
      </c>
      <c r="J942" s="93"/>
      <c r="K942" s="85">
        <f t="shared" si="57"/>
        <v>0</v>
      </c>
      <c r="L942" s="68"/>
      <c r="M942" s="68"/>
      <c r="P942" s="89" t="str">
        <f t="shared" si="55"/>
        <v xml:space="preserve">  1 1900 </v>
      </c>
    </row>
    <row r="943" spans="1:16">
      <c r="A943" s="68"/>
      <c r="B943" s="87"/>
      <c r="C943" s="88"/>
      <c r="D943" s="88"/>
      <c r="E943" s="90"/>
      <c r="F943" s="84" t="str">
        <f ca="1">IF(D943="Income",LOOKUP(E943,Introduction!$A$11:$A$18,Introduction!$C$11:$C$18),IF(D943="Expense",LOOKUP(E943,Introduction!$D$11:$D$30,Introduction!$F$11:$F$30),"_"))</f>
        <v>_</v>
      </c>
      <c r="G943" s="88"/>
      <c r="H943" s="92"/>
      <c r="I943" s="85">
        <f t="shared" si="56"/>
        <v>0</v>
      </c>
      <c r="J943" s="93"/>
      <c r="K943" s="85">
        <f t="shared" si="57"/>
        <v>0</v>
      </c>
      <c r="L943" s="68"/>
      <c r="M943" s="68"/>
      <c r="P943" s="89" t="str">
        <f t="shared" si="55"/>
        <v xml:space="preserve">  1 1900 </v>
      </c>
    </row>
    <row r="944" spans="1:16">
      <c r="A944" s="68"/>
      <c r="B944" s="87"/>
      <c r="C944" s="88"/>
      <c r="D944" s="88"/>
      <c r="E944" s="90"/>
      <c r="F944" s="84" t="str">
        <f ca="1">IF(D944="Income",LOOKUP(E944,Introduction!$A$11:$A$18,Introduction!$C$11:$C$18),IF(D944="Expense",LOOKUP(E944,Introduction!$D$11:$D$30,Introduction!$F$11:$F$30),"_"))</f>
        <v>_</v>
      </c>
      <c r="G944" s="88"/>
      <c r="H944" s="92"/>
      <c r="I944" s="85">
        <f t="shared" si="56"/>
        <v>0</v>
      </c>
      <c r="J944" s="93"/>
      <c r="K944" s="85">
        <f t="shared" si="57"/>
        <v>0</v>
      </c>
      <c r="L944" s="68"/>
      <c r="M944" s="68"/>
      <c r="P944" s="89" t="str">
        <f t="shared" si="55"/>
        <v xml:space="preserve">  1 1900 </v>
      </c>
    </row>
    <row r="945" spans="1:16">
      <c r="A945" s="68"/>
      <c r="B945" s="87"/>
      <c r="C945" s="88"/>
      <c r="D945" s="88"/>
      <c r="E945" s="90"/>
      <c r="F945" s="84" t="str">
        <f ca="1">IF(D945="Income",LOOKUP(E945,Introduction!$A$11:$A$18,Introduction!$C$11:$C$18),IF(D945="Expense",LOOKUP(E945,Introduction!$D$11:$D$30,Introduction!$F$11:$F$30),"_"))</f>
        <v>_</v>
      </c>
      <c r="G945" s="88"/>
      <c r="H945" s="92"/>
      <c r="I945" s="85">
        <f t="shared" si="56"/>
        <v>0</v>
      </c>
      <c r="J945" s="93"/>
      <c r="K945" s="85">
        <f t="shared" si="57"/>
        <v>0</v>
      </c>
      <c r="L945" s="68"/>
      <c r="M945" s="68"/>
      <c r="P945" s="89" t="str">
        <f t="shared" si="55"/>
        <v xml:space="preserve">  1 1900 </v>
      </c>
    </row>
    <row r="946" spans="1:16">
      <c r="A946" s="68"/>
      <c r="B946" s="87"/>
      <c r="C946" s="88"/>
      <c r="D946" s="88"/>
      <c r="E946" s="90"/>
      <c r="F946" s="84" t="str">
        <f ca="1">IF(D946="Income",LOOKUP(E946,Introduction!$A$11:$A$18,Introduction!$C$11:$C$18),IF(D946="Expense",LOOKUP(E946,Introduction!$D$11:$D$30,Introduction!$F$11:$F$30),"_"))</f>
        <v>_</v>
      </c>
      <c r="G946" s="88"/>
      <c r="H946" s="92"/>
      <c r="I946" s="85">
        <f t="shared" si="56"/>
        <v>0</v>
      </c>
      <c r="J946" s="93"/>
      <c r="K946" s="85">
        <f t="shared" si="57"/>
        <v>0</v>
      </c>
      <c r="L946" s="68"/>
      <c r="M946" s="68"/>
      <c r="P946" s="89" t="str">
        <f t="shared" si="55"/>
        <v xml:space="preserve">  1 1900 </v>
      </c>
    </row>
    <row r="947" spans="1:16">
      <c r="A947" s="68"/>
      <c r="B947" s="87"/>
      <c r="C947" s="88"/>
      <c r="D947" s="88"/>
      <c r="E947" s="90"/>
      <c r="F947" s="84" t="str">
        <f ca="1">IF(D947="Income",LOOKUP(E947,Introduction!$A$11:$A$18,Introduction!$C$11:$C$18),IF(D947="Expense",LOOKUP(E947,Introduction!$D$11:$D$30,Introduction!$F$11:$F$30),"_"))</f>
        <v>_</v>
      </c>
      <c r="G947" s="88"/>
      <c r="H947" s="92"/>
      <c r="I947" s="85">
        <f t="shared" si="56"/>
        <v>0</v>
      </c>
      <c r="J947" s="93"/>
      <c r="K947" s="85">
        <f t="shared" si="57"/>
        <v>0</v>
      </c>
      <c r="L947" s="68"/>
      <c r="M947" s="68"/>
      <c r="P947" s="89" t="str">
        <f t="shared" si="55"/>
        <v xml:space="preserve">  1 1900 </v>
      </c>
    </row>
    <row r="948" spans="1:16">
      <c r="A948" s="68"/>
      <c r="B948" s="87"/>
      <c r="C948" s="88"/>
      <c r="D948" s="88"/>
      <c r="E948" s="90"/>
      <c r="F948" s="84" t="str">
        <f ca="1">IF(D948="Income",LOOKUP(E948,Introduction!$A$11:$A$18,Introduction!$C$11:$C$18),IF(D948="Expense",LOOKUP(E948,Introduction!$D$11:$D$30,Introduction!$F$11:$F$30),"_"))</f>
        <v>_</v>
      </c>
      <c r="G948" s="88"/>
      <c r="H948" s="92"/>
      <c r="I948" s="85">
        <f t="shared" si="56"/>
        <v>0</v>
      </c>
      <c r="J948" s="93"/>
      <c r="K948" s="85">
        <f t="shared" si="57"/>
        <v>0</v>
      </c>
      <c r="L948" s="68"/>
      <c r="M948" s="68"/>
      <c r="P948" s="89" t="str">
        <f t="shared" si="55"/>
        <v xml:space="preserve">  1 1900 </v>
      </c>
    </row>
    <row r="949" spans="1:16">
      <c r="A949" s="68"/>
      <c r="B949" s="87"/>
      <c r="C949" s="88"/>
      <c r="D949" s="88"/>
      <c r="E949" s="90"/>
      <c r="F949" s="84" t="str">
        <f ca="1">IF(D949="Income",LOOKUP(E949,Introduction!$A$11:$A$18,Introduction!$C$11:$C$18),IF(D949="Expense",LOOKUP(E949,Introduction!$D$11:$D$30,Introduction!$F$11:$F$30),"_"))</f>
        <v>_</v>
      </c>
      <c r="G949" s="88"/>
      <c r="H949" s="92"/>
      <c r="I949" s="85">
        <f t="shared" si="56"/>
        <v>0</v>
      </c>
      <c r="J949" s="93"/>
      <c r="K949" s="85">
        <f t="shared" si="57"/>
        <v>0</v>
      </c>
      <c r="L949" s="68"/>
      <c r="M949" s="68"/>
      <c r="P949" s="89" t="str">
        <f t="shared" si="55"/>
        <v xml:space="preserve">  1 1900 </v>
      </c>
    </row>
    <row r="950" spans="1:16">
      <c r="A950" s="68"/>
      <c r="B950" s="87"/>
      <c r="C950" s="88"/>
      <c r="D950" s="88"/>
      <c r="E950" s="90"/>
      <c r="F950" s="84" t="str">
        <f ca="1">IF(D950="Income",LOOKUP(E950,Introduction!$A$11:$A$18,Introduction!$C$11:$C$18),IF(D950="Expense",LOOKUP(E950,Introduction!$D$11:$D$30,Introduction!$F$11:$F$30),"_"))</f>
        <v>_</v>
      </c>
      <c r="G950" s="88"/>
      <c r="H950" s="92"/>
      <c r="I950" s="85">
        <f t="shared" si="56"/>
        <v>0</v>
      </c>
      <c r="J950" s="93"/>
      <c r="K950" s="85">
        <f t="shared" si="57"/>
        <v>0</v>
      </c>
      <c r="L950" s="68"/>
      <c r="M950" s="68"/>
      <c r="P950" s="89" t="str">
        <f t="shared" si="55"/>
        <v xml:space="preserve">  1 1900 </v>
      </c>
    </row>
    <row r="951" spans="1:16">
      <c r="A951" s="68"/>
      <c r="B951" s="87"/>
      <c r="C951" s="88"/>
      <c r="D951" s="88"/>
      <c r="E951" s="90"/>
      <c r="F951" s="84" t="str">
        <f ca="1">IF(D951="Income",LOOKUP(E951,Introduction!$A$11:$A$18,Introduction!$C$11:$C$18),IF(D951="Expense",LOOKUP(E951,Introduction!$D$11:$D$30,Introduction!$F$11:$F$30),"_"))</f>
        <v>_</v>
      </c>
      <c r="G951" s="88"/>
      <c r="H951" s="92"/>
      <c r="I951" s="85">
        <f t="shared" si="56"/>
        <v>0</v>
      </c>
      <c r="J951" s="93"/>
      <c r="K951" s="85">
        <f t="shared" si="57"/>
        <v>0</v>
      </c>
      <c r="L951" s="68"/>
      <c r="M951" s="68"/>
      <c r="P951" s="89" t="str">
        <f t="shared" si="55"/>
        <v xml:space="preserve">  1 1900 </v>
      </c>
    </row>
    <row r="952" spans="1:16">
      <c r="A952" s="68"/>
      <c r="B952" s="87"/>
      <c r="C952" s="88"/>
      <c r="D952" s="88"/>
      <c r="E952" s="90"/>
      <c r="F952" s="84" t="str">
        <f ca="1">IF(D952="Income",LOOKUP(E952,Introduction!$A$11:$A$18,Introduction!$C$11:$C$18),IF(D952="Expense",LOOKUP(E952,Introduction!$D$11:$D$30,Introduction!$F$11:$F$30),"_"))</f>
        <v>_</v>
      </c>
      <c r="G952" s="88"/>
      <c r="H952" s="92"/>
      <c r="I952" s="85">
        <f t="shared" si="56"/>
        <v>0</v>
      </c>
      <c r="J952" s="93"/>
      <c r="K952" s="85">
        <f t="shared" si="57"/>
        <v>0</v>
      </c>
      <c r="L952" s="68"/>
      <c r="M952" s="68"/>
      <c r="P952" s="89" t="str">
        <f t="shared" si="55"/>
        <v xml:space="preserve">  1 1900 </v>
      </c>
    </row>
    <row r="953" spans="1:16">
      <c r="A953" s="68"/>
      <c r="B953" s="87"/>
      <c r="C953" s="88"/>
      <c r="D953" s="88"/>
      <c r="E953" s="90"/>
      <c r="F953" s="84" t="str">
        <f ca="1">IF(D953="Income",LOOKUP(E953,Introduction!$A$11:$A$18,Introduction!$C$11:$C$18),IF(D953="Expense",LOOKUP(E953,Introduction!$D$11:$D$30,Introduction!$F$11:$F$30),"_"))</f>
        <v>_</v>
      </c>
      <c r="G953" s="88"/>
      <c r="H953" s="92"/>
      <c r="I953" s="85">
        <f t="shared" si="56"/>
        <v>0</v>
      </c>
      <c r="J953" s="93"/>
      <c r="K953" s="85">
        <f t="shared" si="57"/>
        <v>0</v>
      </c>
      <c r="L953" s="68"/>
      <c r="M953" s="68"/>
      <c r="P953" s="89" t="str">
        <f t="shared" si="55"/>
        <v xml:space="preserve">  1 1900 </v>
      </c>
    </row>
    <row r="954" spans="1:16">
      <c r="A954" s="68"/>
      <c r="B954" s="87"/>
      <c r="C954" s="88"/>
      <c r="D954" s="88"/>
      <c r="E954" s="90"/>
      <c r="F954" s="84" t="str">
        <f ca="1">IF(D954="Income",LOOKUP(E954,Introduction!$A$11:$A$18,Introduction!$C$11:$C$18),IF(D954="Expense",LOOKUP(E954,Introduction!$D$11:$D$30,Introduction!$F$11:$F$30),"_"))</f>
        <v>_</v>
      </c>
      <c r="G954" s="88"/>
      <c r="H954" s="92"/>
      <c r="I954" s="85">
        <f t="shared" si="56"/>
        <v>0</v>
      </c>
      <c r="J954" s="93"/>
      <c r="K954" s="85">
        <f t="shared" si="57"/>
        <v>0</v>
      </c>
      <c r="L954" s="68"/>
      <c r="M954" s="68"/>
      <c r="P954" s="89" t="str">
        <f t="shared" si="55"/>
        <v xml:space="preserve">  1 1900 </v>
      </c>
    </row>
    <row r="955" spans="1:16">
      <c r="A955" s="68"/>
      <c r="B955" s="87"/>
      <c r="C955" s="88"/>
      <c r="D955" s="88"/>
      <c r="E955" s="90"/>
      <c r="F955" s="84" t="str">
        <f ca="1">IF(D955="Income",LOOKUP(E955,Introduction!$A$11:$A$18,Introduction!$C$11:$C$18),IF(D955="Expense",LOOKUP(E955,Introduction!$D$11:$D$30,Introduction!$F$11:$F$30),"_"))</f>
        <v>_</v>
      </c>
      <c r="G955" s="88"/>
      <c r="H955" s="92"/>
      <c r="I955" s="85">
        <f t="shared" si="56"/>
        <v>0</v>
      </c>
      <c r="J955" s="93"/>
      <c r="K955" s="85">
        <f t="shared" si="57"/>
        <v>0</v>
      </c>
      <c r="L955" s="68"/>
      <c r="M955" s="68"/>
      <c r="P955" s="89" t="str">
        <f t="shared" si="55"/>
        <v xml:space="preserve">  1 1900 </v>
      </c>
    </row>
    <row r="956" spans="1:16">
      <c r="A956" s="68"/>
      <c r="B956" s="87"/>
      <c r="C956" s="88"/>
      <c r="D956" s="88"/>
      <c r="E956" s="90"/>
      <c r="F956" s="84" t="str">
        <f ca="1">IF(D956="Income",LOOKUP(E956,Introduction!$A$11:$A$18,Introduction!$C$11:$C$18),IF(D956="Expense",LOOKUP(E956,Introduction!$D$11:$D$30,Introduction!$F$11:$F$30),"_"))</f>
        <v>_</v>
      </c>
      <c r="G956" s="88"/>
      <c r="H956" s="92"/>
      <c r="I956" s="85">
        <f t="shared" si="56"/>
        <v>0</v>
      </c>
      <c r="J956" s="93"/>
      <c r="K956" s="85">
        <f t="shared" si="57"/>
        <v>0</v>
      </c>
      <c r="L956" s="68"/>
      <c r="M956" s="68"/>
      <c r="P956" s="89" t="str">
        <f t="shared" si="55"/>
        <v xml:space="preserve">  1 1900 </v>
      </c>
    </row>
    <row r="957" spans="1:16">
      <c r="A957" s="68"/>
      <c r="B957" s="87"/>
      <c r="C957" s="88"/>
      <c r="D957" s="88"/>
      <c r="E957" s="90"/>
      <c r="F957" s="84" t="str">
        <f ca="1">IF(D957="Income",LOOKUP(E957,Introduction!$A$11:$A$18,Introduction!$C$11:$C$18),IF(D957="Expense",LOOKUP(E957,Introduction!$D$11:$D$30,Introduction!$F$11:$F$30),"_"))</f>
        <v>_</v>
      </c>
      <c r="G957" s="88"/>
      <c r="H957" s="92"/>
      <c r="I957" s="85">
        <f t="shared" si="56"/>
        <v>0</v>
      </c>
      <c r="J957" s="93"/>
      <c r="K957" s="85">
        <f t="shared" si="57"/>
        <v>0</v>
      </c>
      <c r="L957" s="68"/>
      <c r="M957" s="68"/>
      <c r="P957" s="89" t="str">
        <f t="shared" si="55"/>
        <v xml:space="preserve">  1 1900 </v>
      </c>
    </row>
    <row r="958" spans="1:16">
      <c r="A958" s="68"/>
      <c r="B958" s="87"/>
      <c r="C958" s="88"/>
      <c r="D958" s="88"/>
      <c r="E958" s="90"/>
      <c r="F958" s="84" t="str">
        <f ca="1">IF(D958="Income",LOOKUP(E958,Introduction!$A$11:$A$18,Introduction!$C$11:$C$18),IF(D958="Expense",LOOKUP(E958,Introduction!$D$11:$D$30,Introduction!$F$11:$F$30),"_"))</f>
        <v>_</v>
      </c>
      <c r="G958" s="88"/>
      <c r="H958" s="92"/>
      <c r="I958" s="85">
        <f t="shared" si="56"/>
        <v>0</v>
      </c>
      <c r="J958" s="93"/>
      <c r="K958" s="85">
        <f t="shared" si="57"/>
        <v>0</v>
      </c>
      <c r="L958" s="68"/>
      <c r="M958" s="68"/>
      <c r="P958" s="89" t="str">
        <f t="shared" si="55"/>
        <v xml:space="preserve">  1 1900 </v>
      </c>
    </row>
    <row r="959" spans="1:16">
      <c r="A959" s="68"/>
      <c r="B959" s="87"/>
      <c r="C959" s="88"/>
      <c r="D959" s="88"/>
      <c r="E959" s="90"/>
      <c r="F959" s="84" t="str">
        <f ca="1">IF(D959="Income",LOOKUP(E959,Introduction!$A$11:$A$18,Introduction!$C$11:$C$18),IF(D959="Expense",LOOKUP(E959,Introduction!$D$11:$D$30,Introduction!$F$11:$F$30),"_"))</f>
        <v>_</v>
      </c>
      <c r="G959" s="88"/>
      <c r="H959" s="92"/>
      <c r="I959" s="85">
        <f t="shared" si="56"/>
        <v>0</v>
      </c>
      <c r="J959" s="93"/>
      <c r="K959" s="85">
        <f t="shared" si="57"/>
        <v>0</v>
      </c>
      <c r="L959" s="68"/>
      <c r="M959" s="68"/>
      <c r="P959" s="89" t="str">
        <f t="shared" si="55"/>
        <v xml:space="preserve">  1 1900 </v>
      </c>
    </row>
    <row r="960" spans="1:16">
      <c r="A960" s="68"/>
      <c r="B960" s="87"/>
      <c r="C960" s="88"/>
      <c r="D960" s="88"/>
      <c r="E960" s="90"/>
      <c r="F960" s="84" t="str">
        <f ca="1">IF(D960="Income",LOOKUP(E960,Introduction!$A$11:$A$18,Introduction!$C$11:$C$18),IF(D960="Expense",LOOKUP(E960,Introduction!$D$11:$D$30,Introduction!$F$11:$F$30),"_"))</f>
        <v>_</v>
      </c>
      <c r="G960" s="88"/>
      <c r="H960" s="92"/>
      <c r="I960" s="85">
        <f t="shared" si="56"/>
        <v>0</v>
      </c>
      <c r="J960" s="93"/>
      <c r="K960" s="85">
        <f t="shared" si="57"/>
        <v>0</v>
      </c>
      <c r="L960" s="68"/>
      <c r="M960" s="68"/>
      <c r="P960" s="89" t="str">
        <f t="shared" si="55"/>
        <v xml:space="preserve">  1 1900 </v>
      </c>
    </row>
    <row r="961" spans="1:16">
      <c r="A961" s="68"/>
      <c r="B961" s="87"/>
      <c r="C961" s="88"/>
      <c r="D961" s="88"/>
      <c r="E961" s="90"/>
      <c r="F961" s="84" t="str">
        <f ca="1">IF(D961="Income",LOOKUP(E961,Introduction!$A$11:$A$18,Introduction!$C$11:$C$18),IF(D961="Expense",LOOKUP(E961,Introduction!$D$11:$D$30,Introduction!$F$11:$F$30),"_"))</f>
        <v>_</v>
      </c>
      <c r="G961" s="88"/>
      <c r="H961" s="92"/>
      <c r="I961" s="85">
        <f t="shared" si="56"/>
        <v>0</v>
      </c>
      <c r="J961" s="93"/>
      <c r="K961" s="85">
        <f t="shared" si="57"/>
        <v>0</v>
      </c>
      <c r="L961" s="68"/>
      <c r="M961" s="68"/>
      <c r="P961" s="89" t="str">
        <f t="shared" si="55"/>
        <v xml:space="preserve">  1 1900 </v>
      </c>
    </row>
    <row r="962" spans="1:16">
      <c r="A962" s="68"/>
      <c r="B962" s="87"/>
      <c r="C962" s="88"/>
      <c r="D962" s="88"/>
      <c r="E962" s="90"/>
      <c r="F962" s="84" t="str">
        <f ca="1">IF(D962="Income",LOOKUP(E962,Introduction!$A$11:$A$18,Introduction!$C$11:$C$18),IF(D962="Expense",LOOKUP(E962,Introduction!$D$11:$D$30,Introduction!$F$11:$F$30),"_"))</f>
        <v>_</v>
      </c>
      <c r="G962" s="88"/>
      <c r="H962" s="92"/>
      <c r="I962" s="85">
        <f t="shared" si="56"/>
        <v>0</v>
      </c>
      <c r="J962" s="93"/>
      <c r="K962" s="85">
        <f t="shared" si="57"/>
        <v>0</v>
      </c>
      <c r="L962" s="68"/>
      <c r="M962" s="68"/>
      <c r="P962" s="89" t="str">
        <f t="shared" si="55"/>
        <v xml:space="preserve">  1 1900 </v>
      </c>
    </row>
    <row r="963" spans="1:16">
      <c r="A963" s="68"/>
      <c r="B963" s="87"/>
      <c r="C963" s="88"/>
      <c r="D963" s="88"/>
      <c r="E963" s="90"/>
      <c r="F963" s="84" t="str">
        <f ca="1">IF(D963="Income",LOOKUP(E963,Introduction!$A$11:$A$18,Introduction!$C$11:$C$18),IF(D963="Expense",LOOKUP(E963,Introduction!$D$11:$D$30,Introduction!$F$11:$F$30),"_"))</f>
        <v>_</v>
      </c>
      <c r="G963" s="88"/>
      <c r="H963" s="92"/>
      <c r="I963" s="85">
        <f t="shared" si="56"/>
        <v>0</v>
      </c>
      <c r="J963" s="93"/>
      <c r="K963" s="85">
        <f t="shared" si="57"/>
        <v>0</v>
      </c>
      <c r="L963" s="68"/>
      <c r="M963" s="68"/>
      <c r="P963" s="89" t="str">
        <f t="shared" si="55"/>
        <v xml:space="preserve">  1 1900 </v>
      </c>
    </row>
    <row r="964" spans="1:16">
      <c r="A964" s="68"/>
      <c r="B964" s="87"/>
      <c r="C964" s="88"/>
      <c r="D964" s="88"/>
      <c r="E964" s="90"/>
      <c r="F964" s="84" t="str">
        <f ca="1">IF(D964="Income",LOOKUP(E964,Introduction!$A$11:$A$18,Introduction!$C$11:$C$18),IF(D964="Expense",LOOKUP(E964,Introduction!$D$11:$D$30,Introduction!$F$11:$F$30),"_"))</f>
        <v>_</v>
      </c>
      <c r="G964" s="88"/>
      <c r="H964" s="92"/>
      <c r="I964" s="85">
        <f t="shared" si="56"/>
        <v>0</v>
      </c>
      <c r="J964" s="93"/>
      <c r="K964" s="85">
        <f t="shared" si="57"/>
        <v>0</v>
      </c>
      <c r="L964" s="68"/>
      <c r="M964" s="68"/>
      <c r="P964" s="89" t="str">
        <f t="shared" si="55"/>
        <v xml:space="preserve">  1 1900 </v>
      </c>
    </row>
    <row r="965" spans="1:16">
      <c r="A965" s="68"/>
      <c r="B965" s="87"/>
      <c r="C965" s="88"/>
      <c r="D965" s="88"/>
      <c r="E965" s="90"/>
      <c r="F965" s="84" t="str">
        <f ca="1">IF(D965="Income",LOOKUP(E965,Introduction!$A$11:$A$18,Introduction!$C$11:$C$18),IF(D965="Expense",LOOKUP(E965,Introduction!$D$11:$D$30,Introduction!$F$11:$F$30),"_"))</f>
        <v>_</v>
      </c>
      <c r="G965" s="88"/>
      <c r="H965" s="92"/>
      <c r="I965" s="85">
        <f t="shared" si="56"/>
        <v>0</v>
      </c>
      <c r="J965" s="93"/>
      <c r="K965" s="85">
        <f t="shared" si="57"/>
        <v>0</v>
      </c>
      <c r="L965" s="68"/>
      <c r="M965" s="68"/>
      <c r="P965" s="89" t="str">
        <f t="shared" si="55"/>
        <v xml:space="preserve">  1 1900 </v>
      </c>
    </row>
    <row r="966" spans="1:16">
      <c r="A966" s="68"/>
      <c r="B966" s="87"/>
      <c r="C966" s="88"/>
      <c r="D966" s="88"/>
      <c r="E966" s="90"/>
      <c r="F966" s="84" t="str">
        <f ca="1">IF(D966="Income",LOOKUP(E966,Introduction!$A$11:$A$18,Introduction!$C$11:$C$18),IF(D966="Expense",LOOKUP(E966,Introduction!$D$11:$D$30,Introduction!$F$11:$F$30),"_"))</f>
        <v>_</v>
      </c>
      <c r="G966" s="88"/>
      <c r="H966" s="92"/>
      <c r="I966" s="85">
        <f t="shared" si="56"/>
        <v>0</v>
      </c>
      <c r="J966" s="93"/>
      <c r="K966" s="85">
        <f t="shared" si="57"/>
        <v>0</v>
      </c>
      <c r="L966" s="68"/>
      <c r="M966" s="68"/>
      <c r="P966" s="89" t="str">
        <f t="shared" si="55"/>
        <v xml:space="preserve">  1 1900 </v>
      </c>
    </row>
    <row r="967" spans="1:16">
      <c r="A967" s="68"/>
      <c r="B967" s="87"/>
      <c r="C967" s="88"/>
      <c r="D967" s="88"/>
      <c r="E967" s="90"/>
      <c r="F967" s="84" t="str">
        <f ca="1">IF(D967="Income",LOOKUP(E967,Introduction!$A$11:$A$18,Introduction!$C$11:$C$18),IF(D967="Expense",LOOKUP(E967,Introduction!$D$11:$D$30,Introduction!$F$11:$F$30),"_"))</f>
        <v>_</v>
      </c>
      <c r="G967" s="88"/>
      <c r="H967" s="92"/>
      <c r="I967" s="85">
        <f t="shared" si="56"/>
        <v>0</v>
      </c>
      <c r="J967" s="93"/>
      <c r="K967" s="85">
        <f t="shared" si="57"/>
        <v>0</v>
      </c>
      <c r="L967" s="68"/>
      <c r="M967" s="68"/>
      <c r="P967" s="89" t="str">
        <f t="shared" ref="P967:P1030" si="58">CONCATENATE(D967," ",E967," ",MONTH(C967)," ",YEAR(C967)," ")</f>
        <v xml:space="preserve">  1 1900 </v>
      </c>
    </row>
    <row r="968" spans="1:16">
      <c r="A968" s="68"/>
      <c r="B968" s="87"/>
      <c r="C968" s="88"/>
      <c r="D968" s="88"/>
      <c r="E968" s="90"/>
      <c r="F968" s="84" t="str">
        <f ca="1">IF(D968="Income",LOOKUP(E968,Introduction!$A$11:$A$18,Introduction!$C$11:$C$18),IF(D968="Expense",LOOKUP(E968,Introduction!$D$11:$D$30,Introduction!$F$11:$F$30),"_"))</f>
        <v>_</v>
      </c>
      <c r="G968" s="88"/>
      <c r="H968" s="92"/>
      <c r="I968" s="85">
        <f t="shared" si="56"/>
        <v>0</v>
      </c>
      <c r="J968" s="93"/>
      <c r="K968" s="85">
        <f t="shared" si="57"/>
        <v>0</v>
      </c>
      <c r="L968" s="68"/>
      <c r="M968" s="68"/>
      <c r="P968" s="89" t="str">
        <f t="shared" si="58"/>
        <v xml:space="preserve">  1 1900 </v>
      </c>
    </row>
    <row r="969" spans="1:16">
      <c r="A969" s="68"/>
      <c r="B969" s="87"/>
      <c r="C969" s="88"/>
      <c r="D969" s="88"/>
      <c r="E969" s="90"/>
      <c r="F969" s="84" t="str">
        <f ca="1">IF(D969="Income",LOOKUP(E969,Introduction!$A$11:$A$18,Introduction!$C$11:$C$18),IF(D969="Expense",LOOKUP(E969,Introduction!$D$11:$D$30,Introduction!$F$11:$F$30),"_"))</f>
        <v>_</v>
      </c>
      <c r="G969" s="88"/>
      <c r="H969" s="92"/>
      <c r="I969" s="85">
        <f t="shared" si="56"/>
        <v>0</v>
      </c>
      <c r="J969" s="93"/>
      <c r="K969" s="85">
        <f t="shared" si="57"/>
        <v>0</v>
      </c>
      <c r="L969" s="68"/>
      <c r="M969" s="68"/>
      <c r="P969" s="89" t="str">
        <f t="shared" si="58"/>
        <v xml:space="preserve">  1 1900 </v>
      </c>
    </row>
    <row r="970" spans="1:16">
      <c r="A970" s="68"/>
      <c r="B970" s="87"/>
      <c r="C970" s="88"/>
      <c r="D970" s="88"/>
      <c r="E970" s="90"/>
      <c r="F970" s="84" t="str">
        <f ca="1">IF(D970="Income",LOOKUP(E970,Introduction!$A$11:$A$18,Introduction!$C$11:$C$18),IF(D970="Expense",LOOKUP(E970,Introduction!$D$11:$D$30,Introduction!$F$11:$F$30),"_"))</f>
        <v>_</v>
      </c>
      <c r="G970" s="88"/>
      <c r="H970" s="92"/>
      <c r="I970" s="85">
        <f t="shared" si="56"/>
        <v>0</v>
      </c>
      <c r="J970" s="93"/>
      <c r="K970" s="85">
        <f t="shared" si="57"/>
        <v>0</v>
      </c>
      <c r="L970" s="68"/>
      <c r="M970" s="68"/>
      <c r="P970" s="89" t="str">
        <f t="shared" si="58"/>
        <v xml:space="preserve">  1 1900 </v>
      </c>
    </row>
    <row r="971" spans="1:16">
      <c r="A971" s="68"/>
      <c r="B971" s="87"/>
      <c r="C971" s="88"/>
      <c r="D971" s="88"/>
      <c r="E971" s="90"/>
      <c r="F971" s="84" t="str">
        <f ca="1">IF(D971="Income",LOOKUP(E971,Introduction!$A$11:$A$18,Introduction!$C$11:$C$18),IF(D971="Expense",LOOKUP(E971,Introduction!$D$11:$D$30,Introduction!$F$11:$F$30),"_"))</f>
        <v>_</v>
      </c>
      <c r="G971" s="88"/>
      <c r="H971" s="92"/>
      <c r="I971" s="85">
        <f t="shared" si="56"/>
        <v>0</v>
      </c>
      <c r="J971" s="93"/>
      <c r="K971" s="85">
        <f t="shared" si="57"/>
        <v>0</v>
      </c>
      <c r="L971" s="68"/>
      <c r="M971" s="68"/>
      <c r="P971" s="89" t="str">
        <f t="shared" si="58"/>
        <v xml:space="preserve">  1 1900 </v>
      </c>
    </row>
    <row r="972" spans="1:16">
      <c r="A972" s="68"/>
      <c r="B972" s="87"/>
      <c r="C972" s="88"/>
      <c r="D972" s="88"/>
      <c r="E972" s="90"/>
      <c r="F972" s="84" t="str">
        <f ca="1">IF(D972="Income",LOOKUP(E972,Introduction!$A$11:$A$18,Introduction!$C$11:$C$18),IF(D972="Expense",LOOKUP(E972,Introduction!$D$11:$D$30,Introduction!$F$11:$F$30),"_"))</f>
        <v>_</v>
      </c>
      <c r="G972" s="88"/>
      <c r="H972" s="92"/>
      <c r="I972" s="85">
        <f t="shared" si="56"/>
        <v>0</v>
      </c>
      <c r="J972" s="93"/>
      <c r="K972" s="85">
        <f t="shared" si="57"/>
        <v>0</v>
      </c>
      <c r="L972" s="68"/>
      <c r="M972" s="68"/>
      <c r="P972" s="89" t="str">
        <f t="shared" si="58"/>
        <v xml:space="preserve">  1 1900 </v>
      </c>
    </row>
    <row r="973" spans="1:16">
      <c r="A973" s="68"/>
      <c r="B973" s="87"/>
      <c r="C973" s="88"/>
      <c r="D973" s="88"/>
      <c r="E973" s="90"/>
      <c r="F973" s="84" t="str">
        <f ca="1">IF(D973="Income",LOOKUP(E973,Introduction!$A$11:$A$18,Introduction!$C$11:$C$18),IF(D973="Expense",LOOKUP(E973,Introduction!$D$11:$D$30,Introduction!$F$11:$F$30),"_"))</f>
        <v>_</v>
      </c>
      <c r="G973" s="88"/>
      <c r="H973" s="92"/>
      <c r="I973" s="85">
        <f t="shared" si="56"/>
        <v>0</v>
      </c>
      <c r="J973" s="93"/>
      <c r="K973" s="85">
        <f t="shared" si="57"/>
        <v>0</v>
      </c>
      <c r="L973" s="68"/>
      <c r="M973" s="68"/>
      <c r="P973" s="89" t="str">
        <f t="shared" si="58"/>
        <v xml:space="preserve">  1 1900 </v>
      </c>
    </row>
    <row r="974" spans="1:16">
      <c r="A974" s="68"/>
      <c r="B974" s="87"/>
      <c r="C974" s="88"/>
      <c r="D974" s="88"/>
      <c r="E974" s="90"/>
      <c r="F974" s="84" t="str">
        <f ca="1">IF(D974="Income",LOOKUP(E974,Introduction!$A$11:$A$18,Introduction!$C$11:$C$18),IF(D974="Expense",LOOKUP(E974,Introduction!$D$11:$D$30,Introduction!$F$11:$F$30),"_"))</f>
        <v>_</v>
      </c>
      <c r="G974" s="88"/>
      <c r="H974" s="92"/>
      <c r="I974" s="85">
        <f t="shared" si="56"/>
        <v>0</v>
      </c>
      <c r="J974" s="93"/>
      <c r="K974" s="85">
        <f t="shared" si="57"/>
        <v>0</v>
      </c>
      <c r="L974" s="68"/>
      <c r="M974" s="68"/>
      <c r="P974" s="89" t="str">
        <f t="shared" si="58"/>
        <v xml:space="preserve">  1 1900 </v>
      </c>
    </row>
    <row r="975" spans="1:16">
      <c r="A975" s="68"/>
      <c r="B975" s="87"/>
      <c r="C975" s="88"/>
      <c r="D975" s="88"/>
      <c r="E975" s="90"/>
      <c r="F975" s="84" t="str">
        <f ca="1">IF(D975="Income",LOOKUP(E975,Introduction!$A$11:$A$18,Introduction!$C$11:$C$18),IF(D975="Expense",LOOKUP(E975,Introduction!$D$11:$D$30,Introduction!$F$11:$F$30),"_"))</f>
        <v>_</v>
      </c>
      <c r="G975" s="88"/>
      <c r="H975" s="92"/>
      <c r="I975" s="85">
        <f t="shared" si="56"/>
        <v>0</v>
      </c>
      <c r="J975" s="93"/>
      <c r="K975" s="85">
        <f t="shared" si="57"/>
        <v>0</v>
      </c>
      <c r="L975" s="68"/>
      <c r="M975" s="68"/>
      <c r="P975" s="89" t="str">
        <f t="shared" si="58"/>
        <v xml:space="preserve">  1 1900 </v>
      </c>
    </row>
    <row r="976" spans="1:16">
      <c r="A976" s="68"/>
      <c r="B976" s="87"/>
      <c r="C976" s="88"/>
      <c r="D976" s="88"/>
      <c r="E976" s="90"/>
      <c r="F976" s="84" t="str">
        <f ca="1">IF(D976="Income",LOOKUP(E976,Introduction!$A$11:$A$18,Introduction!$C$11:$C$18),IF(D976="Expense",LOOKUP(E976,Introduction!$D$11:$D$30,Introduction!$F$11:$F$30),"_"))</f>
        <v>_</v>
      </c>
      <c r="G976" s="88"/>
      <c r="H976" s="92"/>
      <c r="I976" s="85">
        <f t="shared" si="56"/>
        <v>0</v>
      </c>
      <c r="J976" s="93"/>
      <c r="K976" s="85">
        <f t="shared" si="57"/>
        <v>0</v>
      </c>
      <c r="L976" s="68"/>
      <c r="M976" s="68"/>
      <c r="P976" s="89" t="str">
        <f t="shared" si="58"/>
        <v xml:space="preserve">  1 1900 </v>
      </c>
    </row>
    <row r="977" spans="1:16">
      <c r="A977" s="68"/>
      <c r="B977" s="87"/>
      <c r="C977" s="88"/>
      <c r="D977" s="88"/>
      <c r="E977" s="90"/>
      <c r="F977" s="84" t="str">
        <f ca="1">IF(D977="Income",LOOKUP(E977,Introduction!$A$11:$A$18,Introduction!$C$11:$C$18),IF(D977="Expense",LOOKUP(E977,Introduction!$D$11:$D$30,Introduction!$F$11:$F$30),"_"))</f>
        <v>_</v>
      </c>
      <c r="G977" s="88"/>
      <c r="H977" s="92"/>
      <c r="I977" s="85">
        <f t="shared" ref="I977:I1040" si="59">+I976+H977</f>
        <v>0</v>
      </c>
      <c r="J977" s="93"/>
      <c r="K977" s="85">
        <f t="shared" ref="K977:K1040" si="60">IF(J977=1,K976+H977,++K976)</f>
        <v>0</v>
      </c>
      <c r="L977" s="68"/>
      <c r="M977" s="68"/>
      <c r="P977" s="89" t="str">
        <f t="shared" si="58"/>
        <v xml:space="preserve">  1 1900 </v>
      </c>
    </row>
    <row r="978" spans="1:16">
      <c r="A978" s="68"/>
      <c r="B978" s="87"/>
      <c r="C978" s="88"/>
      <c r="D978" s="88"/>
      <c r="E978" s="90"/>
      <c r="F978" s="84" t="str">
        <f ca="1">IF(D978="Income",LOOKUP(E978,Introduction!$A$11:$A$18,Introduction!$C$11:$C$18),IF(D978="Expense",LOOKUP(E978,Introduction!$D$11:$D$30,Introduction!$F$11:$F$30),"_"))</f>
        <v>_</v>
      </c>
      <c r="G978" s="88"/>
      <c r="H978" s="92"/>
      <c r="I978" s="85">
        <f t="shared" si="59"/>
        <v>0</v>
      </c>
      <c r="J978" s="93"/>
      <c r="K978" s="85">
        <f t="shared" si="60"/>
        <v>0</v>
      </c>
      <c r="L978" s="68"/>
      <c r="M978" s="68"/>
      <c r="P978" s="89" t="str">
        <f t="shared" si="58"/>
        <v xml:space="preserve">  1 1900 </v>
      </c>
    </row>
    <row r="979" spans="1:16">
      <c r="A979" s="68"/>
      <c r="B979" s="87"/>
      <c r="C979" s="88"/>
      <c r="D979" s="88"/>
      <c r="E979" s="90"/>
      <c r="F979" s="84" t="str">
        <f ca="1">IF(D979="Income",LOOKUP(E979,Introduction!$A$11:$A$18,Introduction!$C$11:$C$18),IF(D979="Expense",LOOKUP(E979,Introduction!$D$11:$D$30,Introduction!$F$11:$F$30),"_"))</f>
        <v>_</v>
      </c>
      <c r="G979" s="88"/>
      <c r="H979" s="92"/>
      <c r="I979" s="85">
        <f t="shared" si="59"/>
        <v>0</v>
      </c>
      <c r="J979" s="93"/>
      <c r="K979" s="85">
        <f t="shared" si="60"/>
        <v>0</v>
      </c>
      <c r="L979" s="68"/>
      <c r="M979" s="68"/>
      <c r="P979" s="89" t="str">
        <f t="shared" si="58"/>
        <v xml:space="preserve">  1 1900 </v>
      </c>
    </row>
    <row r="980" spans="1:16">
      <c r="A980" s="68"/>
      <c r="B980" s="87"/>
      <c r="C980" s="88"/>
      <c r="D980" s="88"/>
      <c r="E980" s="90"/>
      <c r="F980" s="84" t="str">
        <f ca="1">IF(D980="Income",LOOKUP(E980,Introduction!$A$11:$A$18,Introduction!$C$11:$C$18),IF(D980="Expense",LOOKUP(E980,Introduction!$D$11:$D$30,Introduction!$F$11:$F$30),"_"))</f>
        <v>_</v>
      </c>
      <c r="G980" s="88"/>
      <c r="H980" s="92"/>
      <c r="I980" s="85">
        <f t="shared" si="59"/>
        <v>0</v>
      </c>
      <c r="J980" s="93"/>
      <c r="K980" s="85">
        <f t="shared" si="60"/>
        <v>0</v>
      </c>
      <c r="L980" s="68"/>
      <c r="M980" s="68"/>
      <c r="P980" s="89" t="str">
        <f t="shared" si="58"/>
        <v xml:space="preserve">  1 1900 </v>
      </c>
    </row>
    <row r="981" spans="1:16">
      <c r="A981" s="68"/>
      <c r="B981" s="87"/>
      <c r="C981" s="88"/>
      <c r="D981" s="88"/>
      <c r="E981" s="90"/>
      <c r="F981" s="84" t="str">
        <f ca="1">IF(D981="Income",LOOKUP(E981,Introduction!$A$11:$A$18,Introduction!$C$11:$C$18),IF(D981="Expense",LOOKUP(E981,Introduction!$D$11:$D$30,Introduction!$F$11:$F$30),"_"))</f>
        <v>_</v>
      </c>
      <c r="G981" s="88"/>
      <c r="H981" s="92"/>
      <c r="I981" s="85">
        <f t="shared" si="59"/>
        <v>0</v>
      </c>
      <c r="J981" s="93"/>
      <c r="K981" s="85">
        <f t="shared" si="60"/>
        <v>0</v>
      </c>
      <c r="L981" s="68"/>
      <c r="M981" s="68"/>
      <c r="P981" s="89" t="str">
        <f t="shared" si="58"/>
        <v xml:space="preserve">  1 1900 </v>
      </c>
    </row>
    <row r="982" spans="1:16">
      <c r="A982" s="68"/>
      <c r="B982" s="87"/>
      <c r="C982" s="88"/>
      <c r="D982" s="88"/>
      <c r="E982" s="90"/>
      <c r="F982" s="84" t="str">
        <f ca="1">IF(D982="Income",LOOKUP(E982,Introduction!$A$11:$A$18,Introduction!$C$11:$C$18),IF(D982="Expense",LOOKUP(E982,Introduction!$D$11:$D$30,Introduction!$F$11:$F$30),"_"))</f>
        <v>_</v>
      </c>
      <c r="G982" s="88"/>
      <c r="H982" s="92"/>
      <c r="I982" s="85">
        <f t="shared" si="59"/>
        <v>0</v>
      </c>
      <c r="J982" s="93"/>
      <c r="K982" s="85">
        <f t="shared" si="60"/>
        <v>0</v>
      </c>
      <c r="L982" s="68"/>
      <c r="M982" s="68"/>
      <c r="P982" s="89" t="str">
        <f t="shared" si="58"/>
        <v xml:space="preserve">  1 1900 </v>
      </c>
    </row>
    <row r="983" spans="1:16">
      <c r="A983" s="68"/>
      <c r="B983" s="87"/>
      <c r="C983" s="88"/>
      <c r="D983" s="88"/>
      <c r="E983" s="90"/>
      <c r="F983" s="84" t="str">
        <f ca="1">IF(D983="Income",LOOKUP(E983,Introduction!$A$11:$A$18,Introduction!$C$11:$C$18),IF(D983="Expense",LOOKUP(E983,Introduction!$D$11:$D$30,Introduction!$F$11:$F$30),"_"))</f>
        <v>_</v>
      </c>
      <c r="G983" s="88"/>
      <c r="H983" s="92"/>
      <c r="I983" s="85">
        <f t="shared" si="59"/>
        <v>0</v>
      </c>
      <c r="J983" s="93"/>
      <c r="K983" s="85">
        <f t="shared" si="60"/>
        <v>0</v>
      </c>
      <c r="L983" s="68"/>
      <c r="M983" s="68"/>
      <c r="P983" s="89" t="str">
        <f t="shared" si="58"/>
        <v xml:space="preserve">  1 1900 </v>
      </c>
    </row>
    <row r="984" spans="1:16">
      <c r="A984" s="68"/>
      <c r="B984" s="87"/>
      <c r="C984" s="88"/>
      <c r="D984" s="88"/>
      <c r="E984" s="90"/>
      <c r="F984" s="84" t="str">
        <f ca="1">IF(D984="Income",LOOKUP(E984,Introduction!$A$11:$A$18,Introduction!$C$11:$C$18),IF(D984="Expense",LOOKUP(E984,Introduction!$D$11:$D$30,Introduction!$F$11:$F$30),"_"))</f>
        <v>_</v>
      </c>
      <c r="G984" s="88"/>
      <c r="H984" s="92"/>
      <c r="I984" s="85">
        <f t="shared" si="59"/>
        <v>0</v>
      </c>
      <c r="J984" s="93"/>
      <c r="K984" s="85">
        <f t="shared" si="60"/>
        <v>0</v>
      </c>
      <c r="L984" s="68"/>
      <c r="M984" s="68"/>
      <c r="P984" s="89" t="str">
        <f t="shared" si="58"/>
        <v xml:space="preserve">  1 1900 </v>
      </c>
    </row>
    <row r="985" spans="1:16">
      <c r="A985" s="68"/>
      <c r="B985" s="87"/>
      <c r="C985" s="88"/>
      <c r="D985" s="88"/>
      <c r="E985" s="90"/>
      <c r="F985" s="84" t="str">
        <f ca="1">IF(D985="Income",LOOKUP(E985,Introduction!$A$11:$A$18,Introduction!$C$11:$C$18),IF(D985="Expense",LOOKUP(E985,Introduction!$D$11:$D$30,Introduction!$F$11:$F$30),"_"))</f>
        <v>_</v>
      </c>
      <c r="G985" s="88"/>
      <c r="H985" s="92"/>
      <c r="I985" s="85">
        <f t="shared" si="59"/>
        <v>0</v>
      </c>
      <c r="J985" s="93"/>
      <c r="K985" s="85">
        <f t="shared" si="60"/>
        <v>0</v>
      </c>
      <c r="L985" s="68"/>
      <c r="M985" s="68"/>
      <c r="P985" s="89" t="str">
        <f t="shared" si="58"/>
        <v xml:space="preserve">  1 1900 </v>
      </c>
    </row>
    <row r="986" spans="1:16">
      <c r="A986" s="68"/>
      <c r="B986" s="87"/>
      <c r="C986" s="88"/>
      <c r="D986" s="88"/>
      <c r="E986" s="90"/>
      <c r="F986" s="84" t="str">
        <f ca="1">IF(D986="Income",LOOKUP(E986,Introduction!$A$11:$A$18,Introduction!$C$11:$C$18),IF(D986="Expense",LOOKUP(E986,Introduction!$D$11:$D$30,Introduction!$F$11:$F$30),"_"))</f>
        <v>_</v>
      </c>
      <c r="G986" s="88"/>
      <c r="H986" s="92"/>
      <c r="I986" s="85">
        <f t="shared" si="59"/>
        <v>0</v>
      </c>
      <c r="J986" s="93"/>
      <c r="K986" s="85">
        <f t="shared" si="60"/>
        <v>0</v>
      </c>
      <c r="L986" s="68"/>
      <c r="M986" s="68"/>
      <c r="P986" s="89" t="str">
        <f t="shared" si="58"/>
        <v xml:space="preserve">  1 1900 </v>
      </c>
    </row>
    <row r="987" spans="1:16">
      <c r="A987" s="68"/>
      <c r="B987" s="87"/>
      <c r="C987" s="88"/>
      <c r="D987" s="88"/>
      <c r="E987" s="90"/>
      <c r="F987" s="84" t="str">
        <f ca="1">IF(D987="Income",LOOKUP(E987,Introduction!$A$11:$A$18,Introduction!$C$11:$C$18),IF(D987="Expense",LOOKUP(E987,Introduction!$D$11:$D$30,Introduction!$F$11:$F$30),"_"))</f>
        <v>_</v>
      </c>
      <c r="G987" s="88"/>
      <c r="H987" s="92"/>
      <c r="I987" s="85">
        <f t="shared" si="59"/>
        <v>0</v>
      </c>
      <c r="J987" s="93"/>
      <c r="K987" s="85">
        <f t="shared" si="60"/>
        <v>0</v>
      </c>
      <c r="L987" s="68"/>
      <c r="M987" s="68"/>
      <c r="P987" s="89" t="str">
        <f t="shared" si="58"/>
        <v xml:space="preserve">  1 1900 </v>
      </c>
    </row>
    <row r="988" spans="1:16">
      <c r="A988" s="68"/>
      <c r="B988" s="87"/>
      <c r="C988" s="88"/>
      <c r="D988" s="88"/>
      <c r="E988" s="90"/>
      <c r="F988" s="84" t="str">
        <f ca="1">IF(D988="Income",LOOKUP(E988,Introduction!$A$11:$A$18,Introduction!$C$11:$C$18),IF(D988="Expense",LOOKUP(E988,Introduction!$D$11:$D$30,Introduction!$F$11:$F$30),"_"))</f>
        <v>_</v>
      </c>
      <c r="G988" s="88"/>
      <c r="H988" s="92"/>
      <c r="I988" s="85">
        <f t="shared" si="59"/>
        <v>0</v>
      </c>
      <c r="J988" s="93"/>
      <c r="K988" s="85">
        <f t="shared" si="60"/>
        <v>0</v>
      </c>
      <c r="L988" s="68"/>
      <c r="M988" s="68"/>
      <c r="P988" s="89" t="str">
        <f t="shared" si="58"/>
        <v xml:space="preserve">  1 1900 </v>
      </c>
    </row>
    <row r="989" spans="1:16">
      <c r="A989" s="68"/>
      <c r="B989" s="87"/>
      <c r="C989" s="88"/>
      <c r="D989" s="88"/>
      <c r="E989" s="90"/>
      <c r="F989" s="84" t="str">
        <f ca="1">IF(D989="Income",LOOKUP(E989,Introduction!$A$11:$A$18,Introduction!$C$11:$C$18),IF(D989="Expense",LOOKUP(E989,Introduction!$D$11:$D$30,Introduction!$F$11:$F$30),"_"))</f>
        <v>_</v>
      </c>
      <c r="G989" s="88"/>
      <c r="H989" s="92"/>
      <c r="I989" s="85">
        <f t="shared" si="59"/>
        <v>0</v>
      </c>
      <c r="J989" s="93"/>
      <c r="K989" s="85">
        <f t="shared" si="60"/>
        <v>0</v>
      </c>
      <c r="L989" s="68"/>
      <c r="M989" s="68"/>
      <c r="P989" s="89" t="str">
        <f t="shared" si="58"/>
        <v xml:space="preserve">  1 1900 </v>
      </c>
    </row>
    <row r="990" spans="1:16">
      <c r="A990" s="68"/>
      <c r="B990" s="87"/>
      <c r="C990" s="88"/>
      <c r="D990" s="88"/>
      <c r="E990" s="90"/>
      <c r="F990" s="84" t="str">
        <f ca="1">IF(D990="Income",LOOKUP(E990,Introduction!$A$11:$A$18,Introduction!$C$11:$C$18),IF(D990="Expense",LOOKUP(E990,Introduction!$D$11:$D$30,Introduction!$F$11:$F$30),"_"))</f>
        <v>_</v>
      </c>
      <c r="G990" s="88"/>
      <c r="H990" s="92"/>
      <c r="I990" s="85">
        <f t="shared" si="59"/>
        <v>0</v>
      </c>
      <c r="J990" s="93"/>
      <c r="K990" s="85">
        <f t="shared" si="60"/>
        <v>0</v>
      </c>
      <c r="L990" s="68"/>
      <c r="M990" s="68"/>
      <c r="P990" s="89" t="str">
        <f t="shared" si="58"/>
        <v xml:space="preserve">  1 1900 </v>
      </c>
    </row>
    <row r="991" spans="1:16">
      <c r="A991" s="68"/>
      <c r="B991" s="87"/>
      <c r="C991" s="88"/>
      <c r="D991" s="88"/>
      <c r="E991" s="90"/>
      <c r="F991" s="84" t="str">
        <f ca="1">IF(D991="Income",LOOKUP(E991,Introduction!$A$11:$A$18,Introduction!$C$11:$C$18),IF(D991="Expense",LOOKUP(E991,Introduction!$D$11:$D$30,Introduction!$F$11:$F$30),"_"))</f>
        <v>_</v>
      </c>
      <c r="G991" s="88"/>
      <c r="H991" s="92"/>
      <c r="I991" s="85">
        <f t="shared" si="59"/>
        <v>0</v>
      </c>
      <c r="J991" s="93"/>
      <c r="K991" s="85">
        <f t="shared" si="60"/>
        <v>0</v>
      </c>
      <c r="L991" s="68"/>
      <c r="M991" s="68"/>
      <c r="P991" s="89" t="str">
        <f t="shared" si="58"/>
        <v xml:space="preserve">  1 1900 </v>
      </c>
    </row>
    <row r="992" spans="1:16">
      <c r="A992" s="68"/>
      <c r="B992" s="87"/>
      <c r="C992" s="88"/>
      <c r="D992" s="88"/>
      <c r="E992" s="90"/>
      <c r="F992" s="84" t="str">
        <f ca="1">IF(D992="Income",LOOKUP(E992,Introduction!$A$11:$A$18,Introduction!$C$11:$C$18),IF(D992="Expense",LOOKUP(E992,Introduction!$D$11:$D$30,Introduction!$F$11:$F$30),"_"))</f>
        <v>_</v>
      </c>
      <c r="G992" s="88"/>
      <c r="H992" s="92"/>
      <c r="I992" s="85">
        <f t="shared" si="59"/>
        <v>0</v>
      </c>
      <c r="J992" s="93"/>
      <c r="K992" s="85">
        <f t="shared" si="60"/>
        <v>0</v>
      </c>
      <c r="L992" s="68"/>
      <c r="M992" s="68"/>
      <c r="P992" s="89" t="str">
        <f t="shared" si="58"/>
        <v xml:space="preserve">  1 1900 </v>
      </c>
    </row>
    <row r="993" spans="1:16">
      <c r="A993" s="68"/>
      <c r="B993" s="87"/>
      <c r="C993" s="88"/>
      <c r="D993" s="88"/>
      <c r="E993" s="90"/>
      <c r="F993" s="84" t="str">
        <f ca="1">IF(D993="Income",LOOKUP(E993,Introduction!$A$11:$A$18,Introduction!$C$11:$C$18),IF(D993="Expense",LOOKUP(E993,Introduction!$D$11:$D$30,Introduction!$F$11:$F$30),"_"))</f>
        <v>_</v>
      </c>
      <c r="G993" s="88"/>
      <c r="H993" s="92"/>
      <c r="I993" s="85">
        <f t="shared" si="59"/>
        <v>0</v>
      </c>
      <c r="J993" s="93"/>
      <c r="K993" s="85">
        <f t="shared" si="60"/>
        <v>0</v>
      </c>
      <c r="L993" s="68"/>
      <c r="M993" s="68"/>
      <c r="P993" s="89" t="str">
        <f t="shared" si="58"/>
        <v xml:space="preserve">  1 1900 </v>
      </c>
    </row>
    <row r="994" spans="1:16">
      <c r="A994" s="68"/>
      <c r="B994" s="87"/>
      <c r="C994" s="88"/>
      <c r="D994" s="88"/>
      <c r="E994" s="90"/>
      <c r="F994" s="84" t="str">
        <f ca="1">IF(D994="Income",LOOKUP(E994,Introduction!$A$11:$A$18,Introduction!$C$11:$C$18),IF(D994="Expense",LOOKUP(E994,Introduction!$D$11:$D$30,Introduction!$F$11:$F$30),"_"))</f>
        <v>_</v>
      </c>
      <c r="G994" s="88"/>
      <c r="H994" s="92"/>
      <c r="I994" s="85">
        <f t="shared" si="59"/>
        <v>0</v>
      </c>
      <c r="J994" s="93"/>
      <c r="K994" s="85">
        <f t="shared" si="60"/>
        <v>0</v>
      </c>
      <c r="L994" s="68"/>
      <c r="M994" s="68"/>
      <c r="P994" s="89" t="str">
        <f t="shared" si="58"/>
        <v xml:space="preserve">  1 1900 </v>
      </c>
    </row>
    <row r="995" spans="1:16">
      <c r="A995" s="68"/>
      <c r="B995" s="87"/>
      <c r="C995" s="88"/>
      <c r="D995" s="88"/>
      <c r="E995" s="90"/>
      <c r="F995" s="84" t="str">
        <f ca="1">IF(D995="Income",LOOKUP(E995,Introduction!$A$11:$A$18,Introduction!$C$11:$C$18),IF(D995="Expense",LOOKUP(E995,Introduction!$D$11:$D$30,Introduction!$F$11:$F$30),"_"))</f>
        <v>_</v>
      </c>
      <c r="G995" s="88"/>
      <c r="H995" s="92"/>
      <c r="I995" s="85">
        <f t="shared" si="59"/>
        <v>0</v>
      </c>
      <c r="J995" s="93"/>
      <c r="K995" s="85">
        <f t="shared" si="60"/>
        <v>0</v>
      </c>
      <c r="L995" s="68"/>
      <c r="M995" s="68"/>
      <c r="P995" s="89" t="str">
        <f t="shared" si="58"/>
        <v xml:space="preserve">  1 1900 </v>
      </c>
    </row>
    <row r="996" spans="1:16">
      <c r="A996" s="68"/>
      <c r="B996" s="87"/>
      <c r="C996" s="88"/>
      <c r="D996" s="88"/>
      <c r="E996" s="90"/>
      <c r="F996" s="84" t="str">
        <f ca="1">IF(D996="Income",LOOKUP(E996,Introduction!$A$11:$A$18,Introduction!$C$11:$C$18),IF(D996="Expense",LOOKUP(E996,Introduction!$D$11:$D$30,Introduction!$F$11:$F$30),"_"))</f>
        <v>_</v>
      </c>
      <c r="G996" s="88"/>
      <c r="H996" s="92"/>
      <c r="I996" s="85">
        <f t="shared" si="59"/>
        <v>0</v>
      </c>
      <c r="J996" s="93"/>
      <c r="K996" s="85">
        <f t="shared" si="60"/>
        <v>0</v>
      </c>
      <c r="L996" s="68"/>
      <c r="M996" s="68"/>
      <c r="P996" s="89" t="str">
        <f t="shared" si="58"/>
        <v xml:space="preserve">  1 1900 </v>
      </c>
    </row>
    <row r="997" spans="1:16">
      <c r="A997" s="68"/>
      <c r="B997" s="87"/>
      <c r="C997" s="88"/>
      <c r="D997" s="88"/>
      <c r="E997" s="90"/>
      <c r="F997" s="84" t="str">
        <f ca="1">IF(D997="Income",LOOKUP(E997,Introduction!$A$11:$A$18,Introduction!$C$11:$C$18),IF(D997="Expense",LOOKUP(E997,Introduction!$D$11:$D$30,Introduction!$F$11:$F$30),"_"))</f>
        <v>_</v>
      </c>
      <c r="G997" s="88"/>
      <c r="H997" s="92"/>
      <c r="I997" s="85">
        <f t="shared" si="59"/>
        <v>0</v>
      </c>
      <c r="J997" s="93"/>
      <c r="K997" s="85">
        <f t="shared" si="60"/>
        <v>0</v>
      </c>
      <c r="L997" s="68"/>
      <c r="M997" s="68"/>
      <c r="P997" s="89" t="str">
        <f t="shared" si="58"/>
        <v xml:space="preserve">  1 1900 </v>
      </c>
    </row>
    <row r="998" spans="1:16">
      <c r="A998" s="68"/>
      <c r="B998" s="87"/>
      <c r="C998" s="88"/>
      <c r="D998" s="88"/>
      <c r="E998" s="90"/>
      <c r="F998" s="84" t="str">
        <f ca="1">IF(D998="Income",LOOKUP(E998,Introduction!$A$11:$A$18,Introduction!$C$11:$C$18),IF(D998="Expense",LOOKUP(E998,Introduction!$D$11:$D$30,Introduction!$F$11:$F$30),"_"))</f>
        <v>_</v>
      </c>
      <c r="G998" s="88"/>
      <c r="H998" s="92"/>
      <c r="I998" s="85">
        <f t="shared" si="59"/>
        <v>0</v>
      </c>
      <c r="J998" s="93"/>
      <c r="K998" s="85">
        <f t="shared" si="60"/>
        <v>0</v>
      </c>
      <c r="L998" s="68"/>
      <c r="M998" s="68"/>
      <c r="P998" s="89" t="str">
        <f t="shared" si="58"/>
        <v xml:space="preserve">  1 1900 </v>
      </c>
    </row>
    <row r="999" spans="1:16">
      <c r="A999" s="68"/>
      <c r="B999" s="87"/>
      <c r="C999" s="88"/>
      <c r="D999" s="88"/>
      <c r="E999" s="90"/>
      <c r="F999" s="84" t="str">
        <f ca="1">IF(D999="Income",LOOKUP(E999,Introduction!$A$11:$A$18,Introduction!$C$11:$C$18),IF(D999="Expense",LOOKUP(E999,Introduction!$D$11:$D$30,Introduction!$F$11:$F$30),"_"))</f>
        <v>_</v>
      </c>
      <c r="G999" s="88"/>
      <c r="H999" s="92"/>
      <c r="I999" s="85">
        <f t="shared" si="59"/>
        <v>0</v>
      </c>
      <c r="J999" s="93"/>
      <c r="K999" s="85">
        <f t="shared" si="60"/>
        <v>0</v>
      </c>
      <c r="L999" s="68"/>
      <c r="M999" s="68"/>
      <c r="P999" s="89" t="str">
        <f t="shared" si="58"/>
        <v xml:space="preserve">  1 1900 </v>
      </c>
    </row>
    <row r="1000" spans="1:16">
      <c r="A1000" s="68"/>
      <c r="B1000" s="87"/>
      <c r="C1000" s="88"/>
      <c r="D1000" s="88"/>
      <c r="E1000" s="90"/>
      <c r="F1000" s="84" t="str">
        <f ca="1">IF(D1000="Income",LOOKUP(E1000,Introduction!$A$11:$A$18,Introduction!$C$11:$C$18),IF(D1000="Expense",LOOKUP(E1000,Introduction!$D$11:$D$30,Introduction!$F$11:$F$30),"_"))</f>
        <v>_</v>
      </c>
      <c r="G1000" s="88"/>
      <c r="H1000" s="92"/>
      <c r="I1000" s="85">
        <f t="shared" si="59"/>
        <v>0</v>
      </c>
      <c r="J1000" s="93"/>
      <c r="K1000" s="85">
        <f t="shared" si="60"/>
        <v>0</v>
      </c>
      <c r="L1000" s="68"/>
      <c r="M1000" s="68"/>
      <c r="P1000" s="89" t="str">
        <f t="shared" si="58"/>
        <v xml:space="preserve">  1 1900 </v>
      </c>
    </row>
    <row r="1001" spans="1:16">
      <c r="A1001" s="68"/>
      <c r="B1001" s="87"/>
      <c r="C1001" s="88"/>
      <c r="D1001" s="88"/>
      <c r="E1001" s="90"/>
      <c r="F1001" s="84" t="str">
        <f ca="1">IF(D1001="Income",LOOKUP(E1001,Introduction!$A$11:$A$18,Introduction!$C$11:$C$18),IF(D1001="Expense",LOOKUP(E1001,Introduction!$D$11:$D$30,Introduction!$F$11:$F$30),"_"))</f>
        <v>_</v>
      </c>
      <c r="G1001" s="88"/>
      <c r="H1001" s="92"/>
      <c r="I1001" s="85">
        <f t="shared" si="59"/>
        <v>0</v>
      </c>
      <c r="J1001" s="93"/>
      <c r="K1001" s="85">
        <f t="shared" si="60"/>
        <v>0</v>
      </c>
      <c r="L1001" s="68"/>
      <c r="M1001" s="68"/>
      <c r="P1001" s="89" t="str">
        <f t="shared" si="58"/>
        <v xml:space="preserve">  1 1900 </v>
      </c>
    </row>
    <row r="1002" spans="1:16">
      <c r="A1002" s="68"/>
      <c r="B1002" s="87"/>
      <c r="C1002" s="88"/>
      <c r="D1002" s="88"/>
      <c r="E1002" s="90"/>
      <c r="F1002" s="84" t="str">
        <f ca="1">IF(D1002="Income",LOOKUP(E1002,Introduction!$A$11:$A$18,Introduction!$C$11:$C$18),IF(D1002="Expense",LOOKUP(E1002,Introduction!$D$11:$D$30,Introduction!$F$11:$F$30),"_"))</f>
        <v>_</v>
      </c>
      <c r="G1002" s="88"/>
      <c r="H1002" s="92"/>
      <c r="I1002" s="85">
        <f t="shared" si="59"/>
        <v>0</v>
      </c>
      <c r="J1002" s="93"/>
      <c r="K1002" s="85">
        <f t="shared" si="60"/>
        <v>0</v>
      </c>
      <c r="L1002" s="68"/>
      <c r="M1002" s="68"/>
      <c r="P1002" s="89" t="str">
        <f t="shared" si="58"/>
        <v xml:space="preserve">  1 1900 </v>
      </c>
    </row>
    <row r="1003" spans="1:16">
      <c r="A1003" s="68"/>
      <c r="B1003" s="87"/>
      <c r="C1003" s="88"/>
      <c r="D1003" s="88"/>
      <c r="E1003" s="90"/>
      <c r="F1003" s="84" t="str">
        <f ca="1">IF(D1003="Income",LOOKUP(E1003,Introduction!$A$11:$A$18,Introduction!$C$11:$C$18),IF(D1003="Expense",LOOKUP(E1003,Introduction!$D$11:$D$30,Introduction!$F$11:$F$30),"_"))</f>
        <v>_</v>
      </c>
      <c r="G1003" s="88"/>
      <c r="H1003" s="92"/>
      <c r="I1003" s="85">
        <f t="shared" si="59"/>
        <v>0</v>
      </c>
      <c r="J1003" s="93"/>
      <c r="K1003" s="85">
        <f t="shared" si="60"/>
        <v>0</v>
      </c>
      <c r="L1003" s="68"/>
      <c r="M1003" s="68"/>
      <c r="P1003" s="89" t="str">
        <f t="shared" si="58"/>
        <v xml:space="preserve">  1 1900 </v>
      </c>
    </row>
    <row r="1004" spans="1:16">
      <c r="A1004" s="68"/>
      <c r="B1004" s="87"/>
      <c r="C1004" s="88"/>
      <c r="D1004" s="88"/>
      <c r="E1004" s="90"/>
      <c r="F1004" s="84" t="str">
        <f ca="1">IF(D1004="Income",LOOKUP(E1004,Introduction!$A$11:$A$18,Introduction!$C$11:$C$18),IF(D1004="Expense",LOOKUP(E1004,Introduction!$D$11:$D$30,Introduction!$F$11:$F$30),"_"))</f>
        <v>_</v>
      </c>
      <c r="G1004" s="88"/>
      <c r="H1004" s="92"/>
      <c r="I1004" s="85">
        <f t="shared" si="59"/>
        <v>0</v>
      </c>
      <c r="J1004" s="93"/>
      <c r="K1004" s="85">
        <f t="shared" si="60"/>
        <v>0</v>
      </c>
      <c r="L1004" s="68"/>
      <c r="M1004" s="68"/>
      <c r="P1004" s="89" t="str">
        <f t="shared" si="58"/>
        <v xml:space="preserve">  1 1900 </v>
      </c>
    </row>
    <row r="1005" spans="1:16">
      <c r="A1005" s="68"/>
      <c r="B1005" s="87"/>
      <c r="C1005" s="88"/>
      <c r="D1005" s="88"/>
      <c r="E1005" s="90"/>
      <c r="F1005" s="84" t="str">
        <f ca="1">IF(D1005="Income",LOOKUP(E1005,Introduction!$A$11:$A$18,Introduction!$C$11:$C$18),IF(D1005="Expense",LOOKUP(E1005,Introduction!$D$11:$D$30,Introduction!$F$11:$F$30),"_"))</f>
        <v>_</v>
      </c>
      <c r="G1005" s="88"/>
      <c r="H1005" s="92"/>
      <c r="I1005" s="85">
        <f t="shared" si="59"/>
        <v>0</v>
      </c>
      <c r="J1005" s="93"/>
      <c r="K1005" s="85">
        <f t="shared" si="60"/>
        <v>0</v>
      </c>
      <c r="L1005" s="68"/>
      <c r="M1005" s="68"/>
      <c r="P1005" s="89" t="str">
        <f t="shared" si="58"/>
        <v xml:space="preserve">  1 1900 </v>
      </c>
    </row>
    <row r="1006" spans="1:16">
      <c r="A1006" s="68"/>
      <c r="B1006" s="87"/>
      <c r="C1006" s="88"/>
      <c r="D1006" s="88"/>
      <c r="E1006" s="90"/>
      <c r="F1006" s="84" t="str">
        <f ca="1">IF(D1006="Income",LOOKUP(E1006,Introduction!$A$11:$A$18,Introduction!$C$11:$C$18),IF(D1006="Expense",LOOKUP(E1006,Introduction!$D$11:$D$30,Introduction!$F$11:$F$30),"_"))</f>
        <v>_</v>
      </c>
      <c r="G1006" s="88"/>
      <c r="H1006" s="92"/>
      <c r="I1006" s="85">
        <f t="shared" si="59"/>
        <v>0</v>
      </c>
      <c r="J1006" s="93"/>
      <c r="K1006" s="85">
        <f t="shared" si="60"/>
        <v>0</v>
      </c>
      <c r="L1006" s="68"/>
      <c r="M1006" s="68"/>
      <c r="P1006" s="89" t="str">
        <f t="shared" si="58"/>
        <v xml:space="preserve">  1 1900 </v>
      </c>
    </row>
    <row r="1007" spans="1:16">
      <c r="A1007" s="68"/>
      <c r="B1007" s="87"/>
      <c r="C1007" s="88"/>
      <c r="D1007" s="88"/>
      <c r="E1007" s="90"/>
      <c r="F1007" s="84" t="str">
        <f ca="1">IF(D1007="Income",LOOKUP(E1007,Introduction!$A$11:$A$18,Introduction!$C$11:$C$18),IF(D1007="Expense",LOOKUP(E1007,Introduction!$D$11:$D$30,Introduction!$F$11:$F$30),"_"))</f>
        <v>_</v>
      </c>
      <c r="G1007" s="88"/>
      <c r="H1007" s="92"/>
      <c r="I1007" s="85">
        <f t="shared" si="59"/>
        <v>0</v>
      </c>
      <c r="J1007" s="93"/>
      <c r="K1007" s="85">
        <f t="shared" si="60"/>
        <v>0</v>
      </c>
      <c r="L1007" s="68"/>
      <c r="M1007" s="68"/>
      <c r="P1007" s="89" t="str">
        <f t="shared" si="58"/>
        <v xml:space="preserve">  1 1900 </v>
      </c>
    </row>
    <row r="1008" spans="1:16">
      <c r="A1008" s="68"/>
      <c r="B1008" s="87"/>
      <c r="C1008" s="88"/>
      <c r="D1008" s="88"/>
      <c r="E1008" s="90"/>
      <c r="F1008" s="84" t="str">
        <f ca="1">IF(D1008="Income",LOOKUP(E1008,Introduction!$A$11:$A$18,Introduction!$C$11:$C$18),IF(D1008="Expense",LOOKUP(E1008,Introduction!$D$11:$D$30,Introduction!$F$11:$F$30),"_"))</f>
        <v>_</v>
      </c>
      <c r="G1008" s="88"/>
      <c r="H1008" s="92"/>
      <c r="I1008" s="85">
        <f t="shared" si="59"/>
        <v>0</v>
      </c>
      <c r="J1008" s="93"/>
      <c r="K1008" s="85">
        <f t="shared" si="60"/>
        <v>0</v>
      </c>
      <c r="L1008" s="68"/>
      <c r="M1008" s="68"/>
      <c r="P1008" s="89" t="str">
        <f t="shared" si="58"/>
        <v xml:space="preserve">  1 1900 </v>
      </c>
    </row>
    <row r="1009" spans="1:16">
      <c r="A1009" s="68"/>
      <c r="B1009" s="87"/>
      <c r="C1009" s="88"/>
      <c r="D1009" s="88"/>
      <c r="E1009" s="90"/>
      <c r="F1009" s="84" t="str">
        <f ca="1">IF(D1009="Income",LOOKUP(E1009,Introduction!$A$11:$A$18,Introduction!$C$11:$C$18),IF(D1009="Expense",LOOKUP(E1009,Introduction!$D$11:$D$30,Introduction!$F$11:$F$30),"_"))</f>
        <v>_</v>
      </c>
      <c r="G1009" s="88"/>
      <c r="H1009" s="92"/>
      <c r="I1009" s="85">
        <f t="shared" si="59"/>
        <v>0</v>
      </c>
      <c r="J1009" s="93"/>
      <c r="K1009" s="85">
        <f t="shared" si="60"/>
        <v>0</v>
      </c>
      <c r="L1009" s="68"/>
      <c r="M1009" s="68"/>
      <c r="P1009" s="89" t="str">
        <f t="shared" si="58"/>
        <v xml:space="preserve">  1 1900 </v>
      </c>
    </row>
    <row r="1010" spans="1:16">
      <c r="A1010" s="68"/>
      <c r="B1010" s="87"/>
      <c r="C1010" s="88"/>
      <c r="D1010" s="88"/>
      <c r="E1010" s="90"/>
      <c r="F1010" s="84" t="str">
        <f ca="1">IF(D1010="Income",LOOKUP(E1010,Introduction!$A$11:$A$18,Introduction!$C$11:$C$18),IF(D1010="Expense",LOOKUP(E1010,Introduction!$D$11:$D$30,Introduction!$F$11:$F$30),"_"))</f>
        <v>_</v>
      </c>
      <c r="G1010" s="88"/>
      <c r="H1010" s="92"/>
      <c r="I1010" s="85">
        <f t="shared" si="59"/>
        <v>0</v>
      </c>
      <c r="J1010" s="93"/>
      <c r="K1010" s="85">
        <f t="shared" si="60"/>
        <v>0</v>
      </c>
      <c r="L1010" s="68"/>
      <c r="M1010" s="68"/>
      <c r="P1010" s="89" t="str">
        <f t="shared" si="58"/>
        <v xml:space="preserve">  1 1900 </v>
      </c>
    </row>
    <row r="1011" spans="1:16">
      <c r="A1011" s="68"/>
      <c r="B1011" s="87"/>
      <c r="C1011" s="88"/>
      <c r="D1011" s="88"/>
      <c r="E1011" s="90"/>
      <c r="F1011" s="84" t="str">
        <f ca="1">IF(D1011="Income",LOOKUP(E1011,Introduction!$A$11:$A$18,Introduction!$C$11:$C$18),IF(D1011="Expense",LOOKUP(E1011,Introduction!$D$11:$D$30,Introduction!$F$11:$F$30),"_"))</f>
        <v>_</v>
      </c>
      <c r="G1011" s="88"/>
      <c r="H1011" s="92"/>
      <c r="I1011" s="85">
        <f t="shared" si="59"/>
        <v>0</v>
      </c>
      <c r="J1011" s="93"/>
      <c r="K1011" s="85">
        <f t="shared" si="60"/>
        <v>0</v>
      </c>
      <c r="L1011" s="68"/>
      <c r="M1011" s="68"/>
      <c r="P1011" s="89" t="str">
        <f t="shared" si="58"/>
        <v xml:space="preserve">  1 1900 </v>
      </c>
    </row>
    <row r="1012" spans="1:16">
      <c r="A1012" s="68"/>
      <c r="B1012" s="87"/>
      <c r="C1012" s="88"/>
      <c r="D1012" s="88"/>
      <c r="E1012" s="90"/>
      <c r="F1012" s="84" t="str">
        <f ca="1">IF(D1012="Income",LOOKUP(E1012,Introduction!$A$11:$A$18,Introduction!$C$11:$C$18),IF(D1012="Expense",LOOKUP(E1012,Introduction!$D$11:$D$30,Introduction!$F$11:$F$30),"_"))</f>
        <v>_</v>
      </c>
      <c r="G1012" s="88"/>
      <c r="H1012" s="92"/>
      <c r="I1012" s="85">
        <f t="shared" si="59"/>
        <v>0</v>
      </c>
      <c r="J1012" s="93"/>
      <c r="K1012" s="85">
        <f t="shared" si="60"/>
        <v>0</v>
      </c>
      <c r="L1012" s="68"/>
      <c r="M1012" s="68"/>
      <c r="P1012" s="89" t="str">
        <f t="shared" si="58"/>
        <v xml:space="preserve">  1 1900 </v>
      </c>
    </row>
    <row r="1013" spans="1:16">
      <c r="A1013" s="68"/>
      <c r="B1013" s="87"/>
      <c r="C1013" s="88"/>
      <c r="D1013" s="88"/>
      <c r="E1013" s="90"/>
      <c r="F1013" s="84" t="str">
        <f ca="1">IF(D1013="Income",LOOKUP(E1013,Introduction!$A$11:$A$18,Introduction!$C$11:$C$18),IF(D1013="Expense",LOOKUP(E1013,Introduction!$D$11:$D$30,Introduction!$F$11:$F$30),"_"))</f>
        <v>_</v>
      </c>
      <c r="G1013" s="88"/>
      <c r="H1013" s="92"/>
      <c r="I1013" s="85">
        <f t="shared" si="59"/>
        <v>0</v>
      </c>
      <c r="J1013" s="93"/>
      <c r="K1013" s="85">
        <f t="shared" si="60"/>
        <v>0</v>
      </c>
      <c r="L1013" s="68"/>
      <c r="M1013" s="68"/>
      <c r="P1013" s="89" t="str">
        <f t="shared" si="58"/>
        <v xml:space="preserve">  1 1900 </v>
      </c>
    </row>
    <row r="1014" spans="1:16">
      <c r="A1014" s="68"/>
      <c r="B1014" s="87"/>
      <c r="C1014" s="88"/>
      <c r="D1014" s="88"/>
      <c r="E1014" s="90"/>
      <c r="F1014" s="84" t="str">
        <f ca="1">IF(D1014="Income",LOOKUP(E1014,Introduction!$A$11:$A$18,Introduction!$C$11:$C$18),IF(D1014="Expense",LOOKUP(E1014,Introduction!$D$11:$D$30,Introduction!$F$11:$F$30),"_"))</f>
        <v>_</v>
      </c>
      <c r="G1014" s="88"/>
      <c r="H1014" s="92"/>
      <c r="I1014" s="85">
        <f t="shared" si="59"/>
        <v>0</v>
      </c>
      <c r="J1014" s="93"/>
      <c r="K1014" s="85">
        <f t="shared" si="60"/>
        <v>0</v>
      </c>
      <c r="L1014" s="68"/>
      <c r="M1014" s="68"/>
      <c r="P1014" s="89" t="str">
        <f t="shared" si="58"/>
        <v xml:space="preserve">  1 1900 </v>
      </c>
    </row>
    <row r="1015" spans="1:16">
      <c r="A1015" s="68"/>
      <c r="B1015" s="87"/>
      <c r="C1015" s="88"/>
      <c r="D1015" s="88"/>
      <c r="E1015" s="90"/>
      <c r="F1015" s="84" t="str">
        <f ca="1">IF(D1015="Income",LOOKUP(E1015,Introduction!$A$11:$A$18,Introduction!$C$11:$C$18),IF(D1015="Expense",LOOKUP(E1015,Introduction!$D$11:$D$30,Introduction!$F$11:$F$30),"_"))</f>
        <v>_</v>
      </c>
      <c r="G1015" s="88"/>
      <c r="H1015" s="92"/>
      <c r="I1015" s="85">
        <f t="shared" si="59"/>
        <v>0</v>
      </c>
      <c r="J1015" s="93"/>
      <c r="K1015" s="85">
        <f t="shared" si="60"/>
        <v>0</v>
      </c>
      <c r="L1015" s="68"/>
      <c r="M1015" s="68"/>
      <c r="P1015" s="89" t="str">
        <f t="shared" si="58"/>
        <v xml:space="preserve">  1 1900 </v>
      </c>
    </row>
    <row r="1016" spans="1:16">
      <c r="A1016" s="68"/>
      <c r="B1016" s="87"/>
      <c r="C1016" s="88"/>
      <c r="D1016" s="88"/>
      <c r="E1016" s="90"/>
      <c r="F1016" s="84" t="str">
        <f ca="1">IF(D1016="Income",LOOKUP(E1016,Introduction!$A$11:$A$18,Introduction!$C$11:$C$18),IF(D1016="Expense",LOOKUP(E1016,Introduction!$D$11:$D$30,Introduction!$F$11:$F$30),"_"))</f>
        <v>_</v>
      </c>
      <c r="G1016" s="88"/>
      <c r="H1016" s="92"/>
      <c r="I1016" s="85">
        <f t="shared" si="59"/>
        <v>0</v>
      </c>
      <c r="J1016" s="93"/>
      <c r="K1016" s="85">
        <f t="shared" si="60"/>
        <v>0</v>
      </c>
      <c r="L1016" s="68"/>
      <c r="M1016" s="68"/>
      <c r="P1016" s="89" t="str">
        <f t="shared" si="58"/>
        <v xml:space="preserve">  1 1900 </v>
      </c>
    </row>
    <row r="1017" spans="1:16">
      <c r="A1017" s="68"/>
      <c r="B1017" s="87"/>
      <c r="C1017" s="88"/>
      <c r="D1017" s="88"/>
      <c r="E1017" s="90"/>
      <c r="F1017" s="84" t="str">
        <f ca="1">IF(D1017="Income",LOOKUP(E1017,Introduction!$A$11:$A$18,Introduction!$C$11:$C$18),IF(D1017="Expense",LOOKUP(E1017,Introduction!$D$11:$D$30,Introduction!$F$11:$F$30),"_"))</f>
        <v>_</v>
      </c>
      <c r="G1017" s="88"/>
      <c r="H1017" s="92"/>
      <c r="I1017" s="85">
        <f t="shared" si="59"/>
        <v>0</v>
      </c>
      <c r="J1017" s="93"/>
      <c r="K1017" s="85">
        <f t="shared" si="60"/>
        <v>0</v>
      </c>
      <c r="L1017" s="68"/>
      <c r="M1017" s="68"/>
      <c r="P1017" s="89" t="str">
        <f t="shared" si="58"/>
        <v xml:space="preserve">  1 1900 </v>
      </c>
    </row>
    <row r="1018" spans="1:16">
      <c r="A1018" s="68"/>
      <c r="B1018" s="87"/>
      <c r="C1018" s="88"/>
      <c r="D1018" s="88"/>
      <c r="E1018" s="90"/>
      <c r="F1018" s="84" t="str">
        <f ca="1">IF(D1018="Income",LOOKUP(E1018,Introduction!$A$11:$A$18,Introduction!$C$11:$C$18),IF(D1018="Expense",LOOKUP(E1018,Introduction!$D$11:$D$30,Introduction!$F$11:$F$30),"_"))</f>
        <v>_</v>
      </c>
      <c r="G1018" s="88"/>
      <c r="H1018" s="92"/>
      <c r="I1018" s="85">
        <f t="shared" si="59"/>
        <v>0</v>
      </c>
      <c r="J1018" s="93"/>
      <c r="K1018" s="85">
        <f t="shared" si="60"/>
        <v>0</v>
      </c>
      <c r="L1018" s="68"/>
      <c r="M1018" s="68"/>
      <c r="P1018" s="89" t="str">
        <f t="shared" si="58"/>
        <v xml:space="preserve">  1 1900 </v>
      </c>
    </row>
    <row r="1019" spans="1:16">
      <c r="A1019" s="68"/>
      <c r="B1019" s="87"/>
      <c r="C1019" s="88"/>
      <c r="D1019" s="88"/>
      <c r="E1019" s="90"/>
      <c r="F1019" s="84" t="str">
        <f ca="1">IF(D1019="Income",LOOKUP(E1019,Introduction!$A$11:$A$18,Introduction!$C$11:$C$18),IF(D1019="Expense",LOOKUP(E1019,Introduction!$D$11:$D$30,Introduction!$F$11:$F$30),"_"))</f>
        <v>_</v>
      </c>
      <c r="G1019" s="88"/>
      <c r="H1019" s="92"/>
      <c r="I1019" s="85">
        <f t="shared" si="59"/>
        <v>0</v>
      </c>
      <c r="J1019" s="93"/>
      <c r="K1019" s="85">
        <f t="shared" si="60"/>
        <v>0</v>
      </c>
      <c r="L1019" s="68"/>
      <c r="M1019" s="68"/>
      <c r="P1019" s="89" t="str">
        <f t="shared" si="58"/>
        <v xml:space="preserve">  1 1900 </v>
      </c>
    </row>
    <row r="1020" spans="1:16">
      <c r="A1020" s="68"/>
      <c r="B1020" s="87"/>
      <c r="C1020" s="88"/>
      <c r="D1020" s="88"/>
      <c r="E1020" s="90"/>
      <c r="F1020" s="84" t="str">
        <f ca="1">IF(D1020="Income",LOOKUP(E1020,Introduction!$A$11:$A$18,Introduction!$C$11:$C$18),IF(D1020="Expense",LOOKUP(E1020,Introduction!$D$11:$D$30,Introduction!$F$11:$F$30),"_"))</f>
        <v>_</v>
      </c>
      <c r="G1020" s="88"/>
      <c r="H1020" s="92"/>
      <c r="I1020" s="85">
        <f t="shared" si="59"/>
        <v>0</v>
      </c>
      <c r="J1020" s="93"/>
      <c r="K1020" s="85">
        <f t="shared" si="60"/>
        <v>0</v>
      </c>
      <c r="L1020" s="68"/>
      <c r="M1020" s="68"/>
      <c r="P1020" s="89" t="str">
        <f t="shared" si="58"/>
        <v xml:space="preserve">  1 1900 </v>
      </c>
    </row>
    <row r="1021" spans="1:16">
      <c r="A1021" s="68"/>
      <c r="B1021" s="87"/>
      <c r="C1021" s="88"/>
      <c r="D1021" s="88"/>
      <c r="E1021" s="90"/>
      <c r="F1021" s="84" t="str">
        <f ca="1">IF(D1021="Income",LOOKUP(E1021,Introduction!$A$11:$A$18,Introduction!$C$11:$C$18),IF(D1021="Expense",LOOKUP(E1021,Introduction!$D$11:$D$30,Introduction!$F$11:$F$30),"_"))</f>
        <v>_</v>
      </c>
      <c r="G1021" s="88"/>
      <c r="H1021" s="92"/>
      <c r="I1021" s="85">
        <f t="shared" si="59"/>
        <v>0</v>
      </c>
      <c r="J1021" s="93"/>
      <c r="K1021" s="85">
        <f t="shared" si="60"/>
        <v>0</v>
      </c>
      <c r="L1021" s="68"/>
      <c r="M1021" s="68"/>
      <c r="P1021" s="89" t="str">
        <f t="shared" si="58"/>
        <v xml:space="preserve">  1 1900 </v>
      </c>
    </row>
    <row r="1022" spans="1:16">
      <c r="A1022" s="68"/>
      <c r="B1022" s="87"/>
      <c r="C1022" s="88"/>
      <c r="D1022" s="88"/>
      <c r="E1022" s="90"/>
      <c r="F1022" s="84" t="str">
        <f ca="1">IF(D1022="Income",LOOKUP(E1022,Introduction!$A$11:$A$18,Introduction!$C$11:$C$18),IF(D1022="Expense",LOOKUP(E1022,Introduction!$D$11:$D$30,Introduction!$F$11:$F$30),"_"))</f>
        <v>_</v>
      </c>
      <c r="G1022" s="88"/>
      <c r="H1022" s="92"/>
      <c r="I1022" s="85">
        <f t="shared" si="59"/>
        <v>0</v>
      </c>
      <c r="J1022" s="93"/>
      <c r="K1022" s="85">
        <f t="shared" si="60"/>
        <v>0</v>
      </c>
      <c r="L1022" s="68"/>
      <c r="M1022" s="68"/>
      <c r="P1022" s="89" t="str">
        <f t="shared" si="58"/>
        <v xml:space="preserve">  1 1900 </v>
      </c>
    </row>
    <row r="1023" spans="1:16">
      <c r="A1023" s="68"/>
      <c r="B1023" s="87"/>
      <c r="C1023" s="88"/>
      <c r="D1023" s="88"/>
      <c r="E1023" s="90"/>
      <c r="F1023" s="84" t="str">
        <f ca="1">IF(D1023="Income",LOOKUP(E1023,Introduction!$A$11:$A$18,Introduction!$C$11:$C$18),IF(D1023="Expense",LOOKUP(E1023,Introduction!$D$11:$D$30,Introduction!$F$11:$F$30),"_"))</f>
        <v>_</v>
      </c>
      <c r="G1023" s="88"/>
      <c r="H1023" s="92"/>
      <c r="I1023" s="85">
        <f t="shared" si="59"/>
        <v>0</v>
      </c>
      <c r="J1023" s="93"/>
      <c r="K1023" s="85">
        <f t="shared" si="60"/>
        <v>0</v>
      </c>
      <c r="L1023" s="68"/>
      <c r="M1023" s="68"/>
      <c r="P1023" s="89" t="str">
        <f t="shared" si="58"/>
        <v xml:space="preserve">  1 1900 </v>
      </c>
    </row>
    <row r="1024" spans="1:16">
      <c r="A1024" s="68"/>
      <c r="B1024" s="87"/>
      <c r="C1024" s="88"/>
      <c r="D1024" s="88"/>
      <c r="E1024" s="90"/>
      <c r="F1024" s="84" t="str">
        <f ca="1">IF(D1024="Income",LOOKUP(E1024,Introduction!$A$11:$A$18,Introduction!$C$11:$C$18),IF(D1024="Expense",LOOKUP(E1024,Introduction!$D$11:$D$30,Introduction!$F$11:$F$30),"_"))</f>
        <v>_</v>
      </c>
      <c r="G1024" s="88"/>
      <c r="H1024" s="92"/>
      <c r="I1024" s="85">
        <f t="shared" si="59"/>
        <v>0</v>
      </c>
      <c r="J1024" s="93"/>
      <c r="K1024" s="85">
        <f t="shared" si="60"/>
        <v>0</v>
      </c>
      <c r="L1024" s="68"/>
      <c r="M1024" s="68"/>
      <c r="P1024" s="89" t="str">
        <f t="shared" si="58"/>
        <v xml:space="preserve">  1 1900 </v>
      </c>
    </row>
    <row r="1025" spans="1:16">
      <c r="A1025" s="68"/>
      <c r="B1025" s="87"/>
      <c r="C1025" s="88"/>
      <c r="D1025" s="88"/>
      <c r="E1025" s="90"/>
      <c r="F1025" s="84" t="str">
        <f ca="1">IF(D1025="Income",LOOKUP(E1025,Introduction!$A$11:$A$18,Introduction!$C$11:$C$18),IF(D1025="Expense",LOOKUP(E1025,Introduction!$D$11:$D$30,Introduction!$F$11:$F$30),"_"))</f>
        <v>_</v>
      </c>
      <c r="G1025" s="88"/>
      <c r="H1025" s="92"/>
      <c r="I1025" s="85">
        <f t="shared" si="59"/>
        <v>0</v>
      </c>
      <c r="J1025" s="93"/>
      <c r="K1025" s="85">
        <f t="shared" si="60"/>
        <v>0</v>
      </c>
      <c r="L1025" s="68"/>
      <c r="M1025" s="68"/>
      <c r="P1025" s="89" t="str">
        <f t="shared" si="58"/>
        <v xml:space="preserve">  1 1900 </v>
      </c>
    </row>
    <row r="1026" spans="1:16">
      <c r="A1026" s="68"/>
      <c r="B1026" s="87"/>
      <c r="C1026" s="88"/>
      <c r="D1026" s="88"/>
      <c r="E1026" s="90"/>
      <c r="F1026" s="84" t="str">
        <f ca="1">IF(D1026="Income",LOOKUP(E1026,Introduction!$A$11:$A$18,Introduction!$C$11:$C$18),IF(D1026="Expense",LOOKUP(E1026,Introduction!$D$11:$D$30,Introduction!$F$11:$F$30),"_"))</f>
        <v>_</v>
      </c>
      <c r="G1026" s="88"/>
      <c r="H1026" s="92"/>
      <c r="I1026" s="85">
        <f t="shared" si="59"/>
        <v>0</v>
      </c>
      <c r="J1026" s="93"/>
      <c r="K1026" s="85">
        <f t="shared" si="60"/>
        <v>0</v>
      </c>
      <c r="L1026" s="68"/>
      <c r="M1026" s="68"/>
      <c r="P1026" s="89" t="str">
        <f t="shared" si="58"/>
        <v xml:space="preserve">  1 1900 </v>
      </c>
    </row>
    <row r="1027" spans="1:16">
      <c r="A1027" s="68"/>
      <c r="B1027" s="87"/>
      <c r="C1027" s="88"/>
      <c r="D1027" s="88"/>
      <c r="E1027" s="90"/>
      <c r="F1027" s="84" t="str">
        <f ca="1">IF(D1027="Income",LOOKUP(E1027,Introduction!$A$11:$A$18,Introduction!$C$11:$C$18),IF(D1027="Expense",LOOKUP(E1027,Introduction!$D$11:$D$30,Introduction!$F$11:$F$30),"_"))</f>
        <v>_</v>
      </c>
      <c r="G1027" s="88"/>
      <c r="H1027" s="92"/>
      <c r="I1027" s="85">
        <f t="shared" si="59"/>
        <v>0</v>
      </c>
      <c r="J1027" s="93"/>
      <c r="K1027" s="85">
        <f t="shared" si="60"/>
        <v>0</v>
      </c>
      <c r="L1027" s="68"/>
      <c r="M1027" s="68"/>
      <c r="P1027" s="89" t="str">
        <f t="shared" si="58"/>
        <v xml:space="preserve">  1 1900 </v>
      </c>
    </row>
    <row r="1028" spans="1:16">
      <c r="A1028" s="68"/>
      <c r="B1028" s="87"/>
      <c r="C1028" s="88"/>
      <c r="D1028" s="88"/>
      <c r="E1028" s="90"/>
      <c r="F1028" s="84" t="str">
        <f ca="1">IF(D1028="Income",LOOKUP(E1028,Introduction!$A$11:$A$18,Introduction!$C$11:$C$18),IF(D1028="Expense",LOOKUP(E1028,Introduction!$D$11:$D$30,Introduction!$F$11:$F$30),"_"))</f>
        <v>_</v>
      </c>
      <c r="G1028" s="88"/>
      <c r="H1028" s="92"/>
      <c r="I1028" s="85">
        <f t="shared" si="59"/>
        <v>0</v>
      </c>
      <c r="J1028" s="93"/>
      <c r="K1028" s="85">
        <f t="shared" si="60"/>
        <v>0</v>
      </c>
      <c r="L1028" s="68"/>
      <c r="M1028" s="68"/>
      <c r="P1028" s="89" t="str">
        <f t="shared" si="58"/>
        <v xml:space="preserve">  1 1900 </v>
      </c>
    </row>
    <row r="1029" spans="1:16">
      <c r="A1029" s="68"/>
      <c r="B1029" s="87"/>
      <c r="C1029" s="88"/>
      <c r="D1029" s="88"/>
      <c r="E1029" s="90"/>
      <c r="F1029" s="84" t="str">
        <f ca="1">IF(D1029="Income",LOOKUP(E1029,Introduction!$A$11:$A$18,Introduction!$C$11:$C$18),IF(D1029="Expense",LOOKUP(E1029,Introduction!$D$11:$D$30,Introduction!$F$11:$F$30),"_"))</f>
        <v>_</v>
      </c>
      <c r="G1029" s="88"/>
      <c r="H1029" s="92"/>
      <c r="I1029" s="85">
        <f t="shared" si="59"/>
        <v>0</v>
      </c>
      <c r="J1029" s="93"/>
      <c r="K1029" s="85">
        <f t="shared" si="60"/>
        <v>0</v>
      </c>
      <c r="L1029" s="68"/>
      <c r="M1029" s="68"/>
      <c r="P1029" s="89" t="str">
        <f t="shared" si="58"/>
        <v xml:space="preserve">  1 1900 </v>
      </c>
    </row>
    <row r="1030" spans="1:16">
      <c r="A1030" s="68"/>
      <c r="B1030" s="87"/>
      <c r="C1030" s="88"/>
      <c r="D1030" s="88"/>
      <c r="E1030" s="90"/>
      <c r="F1030" s="84" t="str">
        <f ca="1">IF(D1030="Income",LOOKUP(E1030,Introduction!$A$11:$A$18,Introduction!$C$11:$C$18),IF(D1030="Expense",LOOKUP(E1030,Introduction!$D$11:$D$30,Introduction!$F$11:$F$30),"_"))</f>
        <v>_</v>
      </c>
      <c r="G1030" s="88"/>
      <c r="H1030" s="92"/>
      <c r="I1030" s="85">
        <f t="shared" si="59"/>
        <v>0</v>
      </c>
      <c r="J1030" s="93"/>
      <c r="K1030" s="85">
        <f t="shared" si="60"/>
        <v>0</v>
      </c>
      <c r="L1030" s="68"/>
      <c r="M1030" s="68"/>
      <c r="P1030" s="89" t="str">
        <f t="shared" si="58"/>
        <v xml:space="preserve">  1 1900 </v>
      </c>
    </row>
    <row r="1031" spans="1:16">
      <c r="A1031" s="68"/>
      <c r="B1031" s="87"/>
      <c r="C1031" s="88"/>
      <c r="D1031" s="88"/>
      <c r="E1031" s="90"/>
      <c r="F1031" s="84" t="str">
        <f ca="1">IF(D1031="Income",LOOKUP(E1031,Introduction!$A$11:$A$18,Introduction!$C$11:$C$18),IF(D1031="Expense",LOOKUP(E1031,Introduction!$D$11:$D$30,Introduction!$F$11:$F$30),"_"))</f>
        <v>_</v>
      </c>
      <c r="G1031" s="88"/>
      <c r="H1031" s="92"/>
      <c r="I1031" s="85">
        <f t="shared" si="59"/>
        <v>0</v>
      </c>
      <c r="J1031" s="93"/>
      <c r="K1031" s="85">
        <f t="shared" si="60"/>
        <v>0</v>
      </c>
      <c r="L1031" s="68"/>
      <c r="M1031" s="68"/>
      <c r="P1031" s="89" t="str">
        <f t="shared" ref="P1031:P1094" si="61">CONCATENATE(D1031," ",E1031," ",MONTH(C1031)," ",YEAR(C1031)," ")</f>
        <v xml:space="preserve">  1 1900 </v>
      </c>
    </row>
    <row r="1032" spans="1:16">
      <c r="A1032" s="68"/>
      <c r="B1032" s="87"/>
      <c r="C1032" s="88"/>
      <c r="D1032" s="88"/>
      <c r="E1032" s="90"/>
      <c r="F1032" s="84" t="str">
        <f ca="1">IF(D1032="Income",LOOKUP(E1032,Introduction!$A$11:$A$18,Introduction!$C$11:$C$18),IF(D1032="Expense",LOOKUP(E1032,Introduction!$D$11:$D$30,Introduction!$F$11:$F$30),"_"))</f>
        <v>_</v>
      </c>
      <c r="G1032" s="88"/>
      <c r="H1032" s="92"/>
      <c r="I1032" s="85">
        <f t="shared" si="59"/>
        <v>0</v>
      </c>
      <c r="J1032" s="93"/>
      <c r="K1032" s="85">
        <f t="shared" si="60"/>
        <v>0</v>
      </c>
      <c r="L1032" s="68"/>
      <c r="M1032" s="68"/>
      <c r="P1032" s="89" t="str">
        <f t="shared" si="61"/>
        <v xml:space="preserve">  1 1900 </v>
      </c>
    </row>
    <row r="1033" spans="1:16">
      <c r="A1033" s="68"/>
      <c r="B1033" s="87"/>
      <c r="C1033" s="88"/>
      <c r="D1033" s="88"/>
      <c r="E1033" s="90"/>
      <c r="F1033" s="84" t="str">
        <f ca="1">IF(D1033="Income",LOOKUP(E1033,Introduction!$A$11:$A$18,Introduction!$C$11:$C$18),IF(D1033="Expense",LOOKUP(E1033,Introduction!$D$11:$D$30,Introduction!$F$11:$F$30),"_"))</f>
        <v>_</v>
      </c>
      <c r="G1033" s="88"/>
      <c r="H1033" s="92"/>
      <c r="I1033" s="85">
        <f t="shared" si="59"/>
        <v>0</v>
      </c>
      <c r="J1033" s="93"/>
      <c r="K1033" s="85">
        <f t="shared" si="60"/>
        <v>0</v>
      </c>
      <c r="L1033" s="68"/>
      <c r="M1033" s="68"/>
      <c r="P1033" s="89" t="str">
        <f t="shared" si="61"/>
        <v xml:space="preserve">  1 1900 </v>
      </c>
    </row>
    <row r="1034" spans="1:16">
      <c r="A1034" s="68"/>
      <c r="B1034" s="87"/>
      <c r="C1034" s="88"/>
      <c r="D1034" s="88"/>
      <c r="E1034" s="90"/>
      <c r="F1034" s="84" t="str">
        <f ca="1">IF(D1034="Income",LOOKUP(E1034,Introduction!$A$11:$A$18,Introduction!$C$11:$C$18),IF(D1034="Expense",LOOKUP(E1034,Introduction!$D$11:$D$30,Introduction!$F$11:$F$30),"_"))</f>
        <v>_</v>
      </c>
      <c r="G1034" s="88"/>
      <c r="H1034" s="92"/>
      <c r="I1034" s="85">
        <f t="shared" si="59"/>
        <v>0</v>
      </c>
      <c r="J1034" s="93"/>
      <c r="K1034" s="85">
        <f t="shared" si="60"/>
        <v>0</v>
      </c>
      <c r="L1034" s="68"/>
      <c r="M1034" s="68"/>
      <c r="P1034" s="89" t="str">
        <f t="shared" si="61"/>
        <v xml:space="preserve">  1 1900 </v>
      </c>
    </row>
    <row r="1035" spans="1:16">
      <c r="A1035" s="68"/>
      <c r="B1035" s="87"/>
      <c r="C1035" s="88"/>
      <c r="D1035" s="88"/>
      <c r="E1035" s="90"/>
      <c r="F1035" s="84" t="str">
        <f ca="1">IF(D1035="Income",LOOKUP(E1035,Introduction!$A$11:$A$18,Introduction!$C$11:$C$18),IF(D1035="Expense",LOOKUP(E1035,Introduction!$D$11:$D$30,Introduction!$F$11:$F$30),"_"))</f>
        <v>_</v>
      </c>
      <c r="G1035" s="88"/>
      <c r="H1035" s="92"/>
      <c r="I1035" s="85">
        <f t="shared" si="59"/>
        <v>0</v>
      </c>
      <c r="J1035" s="93"/>
      <c r="K1035" s="85">
        <f t="shared" si="60"/>
        <v>0</v>
      </c>
      <c r="L1035" s="68"/>
      <c r="M1035" s="68"/>
      <c r="P1035" s="89" t="str">
        <f t="shared" si="61"/>
        <v xml:space="preserve">  1 1900 </v>
      </c>
    </row>
    <row r="1036" spans="1:16">
      <c r="A1036" s="68"/>
      <c r="B1036" s="87"/>
      <c r="C1036" s="88"/>
      <c r="D1036" s="88"/>
      <c r="E1036" s="90"/>
      <c r="F1036" s="84" t="str">
        <f ca="1">IF(D1036="Income",LOOKUP(E1036,Introduction!$A$11:$A$18,Introduction!$C$11:$C$18),IF(D1036="Expense",LOOKUP(E1036,Introduction!$D$11:$D$30,Introduction!$F$11:$F$30),"_"))</f>
        <v>_</v>
      </c>
      <c r="G1036" s="88"/>
      <c r="H1036" s="92"/>
      <c r="I1036" s="85">
        <f t="shared" si="59"/>
        <v>0</v>
      </c>
      <c r="J1036" s="93"/>
      <c r="K1036" s="85">
        <f t="shared" si="60"/>
        <v>0</v>
      </c>
      <c r="L1036" s="68"/>
      <c r="M1036" s="68"/>
      <c r="P1036" s="89" t="str">
        <f t="shared" si="61"/>
        <v xml:space="preserve">  1 1900 </v>
      </c>
    </row>
    <row r="1037" spans="1:16">
      <c r="A1037" s="68"/>
      <c r="B1037" s="87"/>
      <c r="C1037" s="88"/>
      <c r="D1037" s="88"/>
      <c r="E1037" s="90"/>
      <c r="F1037" s="84" t="str">
        <f ca="1">IF(D1037="Income",LOOKUP(E1037,Introduction!$A$11:$A$18,Introduction!$C$11:$C$18),IF(D1037="Expense",LOOKUP(E1037,Introduction!$D$11:$D$30,Introduction!$F$11:$F$30),"_"))</f>
        <v>_</v>
      </c>
      <c r="G1037" s="88"/>
      <c r="H1037" s="92"/>
      <c r="I1037" s="85">
        <f t="shared" si="59"/>
        <v>0</v>
      </c>
      <c r="J1037" s="93"/>
      <c r="K1037" s="85">
        <f t="shared" si="60"/>
        <v>0</v>
      </c>
      <c r="L1037" s="68"/>
      <c r="M1037" s="68"/>
      <c r="P1037" s="89" t="str">
        <f t="shared" si="61"/>
        <v xml:space="preserve">  1 1900 </v>
      </c>
    </row>
    <row r="1038" spans="1:16">
      <c r="A1038" s="68"/>
      <c r="B1038" s="87"/>
      <c r="C1038" s="88"/>
      <c r="D1038" s="88"/>
      <c r="E1038" s="90"/>
      <c r="F1038" s="84" t="str">
        <f ca="1">IF(D1038="Income",LOOKUP(E1038,Introduction!$A$11:$A$18,Introduction!$C$11:$C$18),IF(D1038="Expense",LOOKUP(E1038,Introduction!$D$11:$D$30,Introduction!$F$11:$F$30),"_"))</f>
        <v>_</v>
      </c>
      <c r="G1038" s="88"/>
      <c r="H1038" s="92"/>
      <c r="I1038" s="85">
        <f t="shared" si="59"/>
        <v>0</v>
      </c>
      <c r="J1038" s="93"/>
      <c r="K1038" s="85">
        <f t="shared" si="60"/>
        <v>0</v>
      </c>
      <c r="L1038" s="68"/>
      <c r="M1038" s="68"/>
      <c r="P1038" s="89" t="str">
        <f t="shared" si="61"/>
        <v xml:space="preserve">  1 1900 </v>
      </c>
    </row>
    <row r="1039" spans="1:16">
      <c r="A1039" s="68"/>
      <c r="B1039" s="87"/>
      <c r="C1039" s="88"/>
      <c r="D1039" s="88"/>
      <c r="E1039" s="90"/>
      <c r="F1039" s="84" t="str">
        <f ca="1">IF(D1039="Income",LOOKUP(E1039,Introduction!$A$11:$A$18,Introduction!$C$11:$C$18),IF(D1039="Expense",LOOKUP(E1039,Introduction!$D$11:$D$30,Introduction!$F$11:$F$30),"_"))</f>
        <v>_</v>
      </c>
      <c r="G1039" s="88"/>
      <c r="H1039" s="92"/>
      <c r="I1039" s="85">
        <f t="shared" si="59"/>
        <v>0</v>
      </c>
      <c r="J1039" s="93"/>
      <c r="K1039" s="85">
        <f t="shared" si="60"/>
        <v>0</v>
      </c>
      <c r="L1039" s="68"/>
      <c r="M1039" s="68"/>
      <c r="P1039" s="89" t="str">
        <f t="shared" si="61"/>
        <v xml:space="preserve">  1 1900 </v>
      </c>
    </row>
    <row r="1040" spans="1:16">
      <c r="A1040" s="68"/>
      <c r="B1040" s="87"/>
      <c r="C1040" s="88"/>
      <c r="D1040" s="88"/>
      <c r="E1040" s="90"/>
      <c r="F1040" s="84" t="str">
        <f ca="1">IF(D1040="Income",LOOKUP(E1040,Introduction!$A$11:$A$18,Introduction!$C$11:$C$18),IF(D1040="Expense",LOOKUP(E1040,Introduction!$D$11:$D$30,Introduction!$F$11:$F$30),"_"))</f>
        <v>_</v>
      </c>
      <c r="G1040" s="88"/>
      <c r="H1040" s="92"/>
      <c r="I1040" s="85">
        <f t="shared" si="59"/>
        <v>0</v>
      </c>
      <c r="J1040" s="93"/>
      <c r="K1040" s="85">
        <f t="shared" si="60"/>
        <v>0</v>
      </c>
      <c r="L1040" s="68"/>
      <c r="M1040" s="68"/>
      <c r="P1040" s="89" t="str">
        <f t="shared" si="61"/>
        <v xml:space="preserve">  1 1900 </v>
      </c>
    </row>
    <row r="1041" spans="1:16">
      <c r="A1041" s="68"/>
      <c r="B1041" s="87"/>
      <c r="C1041" s="88"/>
      <c r="D1041" s="88"/>
      <c r="E1041" s="90"/>
      <c r="F1041" s="84" t="str">
        <f ca="1">IF(D1041="Income",LOOKUP(E1041,Introduction!$A$11:$A$18,Introduction!$C$11:$C$18),IF(D1041="Expense",LOOKUP(E1041,Introduction!$D$11:$D$30,Introduction!$F$11:$F$30),"_"))</f>
        <v>_</v>
      </c>
      <c r="G1041" s="88"/>
      <c r="H1041" s="92"/>
      <c r="I1041" s="85">
        <f t="shared" ref="I1041:I1104" si="62">+I1040+H1041</f>
        <v>0</v>
      </c>
      <c r="J1041" s="93"/>
      <c r="K1041" s="85">
        <f t="shared" ref="K1041:K1104" si="63">IF(J1041=1,K1040+H1041,++K1040)</f>
        <v>0</v>
      </c>
      <c r="L1041" s="68"/>
      <c r="M1041" s="68"/>
      <c r="P1041" s="89" t="str">
        <f t="shared" si="61"/>
        <v xml:space="preserve">  1 1900 </v>
      </c>
    </row>
    <row r="1042" spans="1:16">
      <c r="A1042" s="68"/>
      <c r="B1042" s="87"/>
      <c r="C1042" s="88"/>
      <c r="D1042" s="88"/>
      <c r="E1042" s="90"/>
      <c r="F1042" s="84" t="str">
        <f ca="1">IF(D1042="Income",LOOKUP(E1042,Introduction!$A$11:$A$18,Introduction!$C$11:$C$18),IF(D1042="Expense",LOOKUP(E1042,Introduction!$D$11:$D$30,Introduction!$F$11:$F$30),"_"))</f>
        <v>_</v>
      </c>
      <c r="G1042" s="88"/>
      <c r="H1042" s="92"/>
      <c r="I1042" s="85">
        <f t="shared" si="62"/>
        <v>0</v>
      </c>
      <c r="J1042" s="93"/>
      <c r="K1042" s="85">
        <f t="shared" si="63"/>
        <v>0</v>
      </c>
      <c r="L1042" s="68"/>
      <c r="M1042" s="68"/>
      <c r="P1042" s="89" t="str">
        <f t="shared" si="61"/>
        <v xml:space="preserve">  1 1900 </v>
      </c>
    </row>
    <row r="1043" spans="1:16">
      <c r="A1043" s="68"/>
      <c r="B1043" s="87"/>
      <c r="C1043" s="88"/>
      <c r="D1043" s="88"/>
      <c r="E1043" s="90"/>
      <c r="F1043" s="84" t="str">
        <f ca="1">IF(D1043="Income",LOOKUP(E1043,Introduction!$A$11:$A$18,Introduction!$C$11:$C$18),IF(D1043="Expense",LOOKUP(E1043,Introduction!$D$11:$D$30,Introduction!$F$11:$F$30),"_"))</f>
        <v>_</v>
      </c>
      <c r="G1043" s="88"/>
      <c r="H1043" s="92"/>
      <c r="I1043" s="85">
        <f t="shared" si="62"/>
        <v>0</v>
      </c>
      <c r="J1043" s="93"/>
      <c r="K1043" s="85">
        <f t="shared" si="63"/>
        <v>0</v>
      </c>
      <c r="L1043" s="68"/>
      <c r="M1043" s="68"/>
      <c r="P1043" s="89" t="str">
        <f t="shared" si="61"/>
        <v xml:space="preserve">  1 1900 </v>
      </c>
    </row>
    <row r="1044" spans="1:16">
      <c r="A1044" s="68"/>
      <c r="B1044" s="87"/>
      <c r="C1044" s="88"/>
      <c r="D1044" s="88"/>
      <c r="E1044" s="90"/>
      <c r="F1044" s="84" t="str">
        <f ca="1">IF(D1044="Income",LOOKUP(E1044,Introduction!$A$11:$A$18,Introduction!$C$11:$C$18),IF(D1044="Expense",LOOKUP(E1044,Introduction!$D$11:$D$30,Introduction!$F$11:$F$30),"_"))</f>
        <v>_</v>
      </c>
      <c r="G1044" s="88"/>
      <c r="H1044" s="92"/>
      <c r="I1044" s="85">
        <f t="shared" si="62"/>
        <v>0</v>
      </c>
      <c r="J1044" s="93"/>
      <c r="K1044" s="85">
        <f t="shared" si="63"/>
        <v>0</v>
      </c>
      <c r="L1044" s="68"/>
      <c r="M1044" s="68"/>
      <c r="P1044" s="89" t="str">
        <f t="shared" si="61"/>
        <v xml:space="preserve">  1 1900 </v>
      </c>
    </row>
    <row r="1045" spans="1:16">
      <c r="A1045" s="68"/>
      <c r="B1045" s="87"/>
      <c r="C1045" s="88"/>
      <c r="D1045" s="88"/>
      <c r="E1045" s="90"/>
      <c r="F1045" s="84" t="str">
        <f ca="1">IF(D1045="Income",LOOKUP(E1045,Introduction!$A$11:$A$18,Introduction!$C$11:$C$18),IF(D1045="Expense",LOOKUP(E1045,Introduction!$D$11:$D$30,Introduction!$F$11:$F$30),"_"))</f>
        <v>_</v>
      </c>
      <c r="G1045" s="88"/>
      <c r="H1045" s="92"/>
      <c r="I1045" s="85">
        <f t="shared" si="62"/>
        <v>0</v>
      </c>
      <c r="J1045" s="93"/>
      <c r="K1045" s="85">
        <f t="shared" si="63"/>
        <v>0</v>
      </c>
      <c r="L1045" s="68"/>
      <c r="M1045" s="68"/>
      <c r="P1045" s="89" t="str">
        <f t="shared" si="61"/>
        <v xml:space="preserve">  1 1900 </v>
      </c>
    </row>
    <row r="1046" spans="1:16">
      <c r="A1046" s="68"/>
      <c r="B1046" s="87"/>
      <c r="C1046" s="88"/>
      <c r="D1046" s="88"/>
      <c r="E1046" s="90"/>
      <c r="F1046" s="84" t="str">
        <f ca="1">IF(D1046="Income",LOOKUP(E1046,Introduction!$A$11:$A$18,Introduction!$C$11:$C$18),IF(D1046="Expense",LOOKUP(E1046,Introduction!$D$11:$D$30,Introduction!$F$11:$F$30),"_"))</f>
        <v>_</v>
      </c>
      <c r="G1046" s="88"/>
      <c r="H1046" s="92"/>
      <c r="I1046" s="85">
        <f t="shared" si="62"/>
        <v>0</v>
      </c>
      <c r="J1046" s="93"/>
      <c r="K1046" s="85">
        <f t="shared" si="63"/>
        <v>0</v>
      </c>
      <c r="L1046" s="68"/>
      <c r="M1046" s="68"/>
      <c r="P1046" s="89" t="str">
        <f t="shared" si="61"/>
        <v xml:space="preserve">  1 1900 </v>
      </c>
    </row>
    <row r="1047" spans="1:16">
      <c r="A1047" s="68"/>
      <c r="B1047" s="87"/>
      <c r="C1047" s="88"/>
      <c r="D1047" s="88"/>
      <c r="E1047" s="90"/>
      <c r="F1047" s="84" t="str">
        <f ca="1">IF(D1047="Income",LOOKUP(E1047,Introduction!$A$11:$A$18,Introduction!$C$11:$C$18),IF(D1047="Expense",LOOKUP(E1047,Introduction!$D$11:$D$30,Introduction!$F$11:$F$30),"_"))</f>
        <v>_</v>
      </c>
      <c r="G1047" s="88"/>
      <c r="H1047" s="92"/>
      <c r="I1047" s="85">
        <f t="shared" si="62"/>
        <v>0</v>
      </c>
      <c r="J1047" s="93"/>
      <c r="K1047" s="85">
        <f t="shared" si="63"/>
        <v>0</v>
      </c>
      <c r="L1047" s="68"/>
      <c r="M1047" s="68"/>
      <c r="P1047" s="89" t="str">
        <f t="shared" si="61"/>
        <v xml:space="preserve">  1 1900 </v>
      </c>
    </row>
    <row r="1048" spans="1:16">
      <c r="A1048" s="68"/>
      <c r="B1048" s="87"/>
      <c r="C1048" s="88"/>
      <c r="D1048" s="88"/>
      <c r="E1048" s="90"/>
      <c r="F1048" s="84" t="str">
        <f ca="1">IF(D1048="Income",LOOKUP(E1048,Introduction!$A$11:$A$18,Introduction!$C$11:$C$18),IF(D1048="Expense",LOOKUP(E1048,Introduction!$D$11:$D$30,Introduction!$F$11:$F$30),"_"))</f>
        <v>_</v>
      </c>
      <c r="G1048" s="88"/>
      <c r="H1048" s="92"/>
      <c r="I1048" s="85">
        <f t="shared" si="62"/>
        <v>0</v>
      </c>
      <c r="J1048" s="93"/>
      <c r="K1048" s="85">
        <f t="shared" si="63"/>
        <v>0</v>
      </c>
      <c r="L1048" s="68"/>
      <c r="M1048" s="68"/>
      <c r="P1048" s="89" t="str">
        <f t="shared" si="61"/>
        <v xml:space="preserve">  1 1900 </v>
      </c>
    </row>
    <row r="1049" spans="1:16">
      <c r="A1049" s="68"/>
      <c r="B1049" s="87"/>
      <c r="C1049" s="88"/>
      <c r="D1049" s="88"/>
      <c r="E1049" s="90"/>
      <c r="F1049" s="84" t="str">
        <f ca="1">IF(D1049="Income",LOOKUP(E1049,Introduction!$A$11:$A$18,Introduction!$C$11:$C$18),IF(D1049="Expense",LOOKUP(E1049,Introduction!$D$11:$D$30,Introduction!$F$11:$F$30),"_"))</f>
        <v>_</v>
      </c>
      <c r="G1049" s="88"/>
      <c r="H1049" s="92"/>
      <c r="I1049" s="85">
        <f t="shared" si="62"/>
        <v>0</v>
      </c>
      <c r="J1049" s="93"/>
      <c r="K1049" s="85">
        <f t="shared" si="63"/>
        <v>0</v>
      </c>
      <c r="L1049" s="68"/>
      <c r="M1049" s="68"/>
      <c r="P1049" s="89" t="str">
        <f t="shared" si="61"/>
        <v xml:space="preserve">  1 1900 </v>
      </c>
    </row>
    <row r="1050" spans="1:16">
      <c r="A1050" s="68"/>
      <c r="B1050" s="87"/>
      <c r="C1050" s="88"/>
      <c r="D1050" s="88"/>
      <c r="E1050" s="90"/>
      <c r="F1050" s="84" t="str">
        <f ca="1">IF(D1050="Income",LOOKUP(E1050,Introduction!$A$11:$A$18,Introduction!$C$11:$C$18),IF(D1050="Expense",LOOKUP(E1050,Introduction!$D$11:$D$30,Introduction!$F$11:$F$30),"_"))</f>
        <v>_</v>
      </c>
      <c r="G1050" s="88"/>
      <c r="H1050" s="92"/>
      <c r="I1050" s="85">
        <f t="shared" si="62"/>
        <v>0</v>
      </c>
      <c r="J1050" s="93"/>
      <c r="K1050" s="85">
        <f t="shared" si="63"/>
        <v>0</v>
      </c>
      <c r="L1050" s="68"/>
      <c r="M1050" s="68"/>
      <c r="P1050" s="89" t="str">
        <f t="shared" si="61"/>
        <v xml:space="preserve">  1 1900 </v>
      </c>
    </row>
    <row r="1051" spans="1:16">
      <c r="A1051" s="68"/>
      <c r="B1051" s="87"/>
      <c r="C1051" s="88"/>
      <c r="D1051" s="88"/>
      <c r="E1051" s="90"/>
      <c r="F1051" s="84" t="str">
        <f ca="1">IF(D1051="Income",LOOKUP(E1051,Introduction!$A$11:$A$18,Introduction!$C$11:$C$18),IF(D1051="Expense",LOOKUP(E1051,Introduction!$D$11:$D$30,Introduction!$F$11:$F$30),"_"))</f>
        <v>_</v>
      </c>
      <c r="G1051" s="88"/>
      <c r="H1051" s="92"/>
      <c r="I1051" s="85">
        <f t="shared" si="62"/>
        <v>0</v>
      </c>
      <c r="J1051" s="93"/>
      <c r="K1051" s="85">
        <f t="shared" si="63"/>
        <v>0</v>
      </c>
      <c r="L1051" s="68"/>
      <c r="M1051" s="68"/>
      <c r="P1051" s="89" t="str">
        <f t="shared" si="61"/>
        <v xml:space="preserve">  1 1900 </v>
      </c>
    </row>
    <row r="1052" spans="1:16">
      <c r="A1052" s="68"/>
      <c r="B1052" s="87"/>
      <c r="C1052" s="88"/>
      <c r="D1052" s="88"/>
      <c r="E1052" s="90"/>
      <c r="F1052" s="84" t="str">
        <f ca="1">IF(D1052="Income",LOOKUP(E1052,Introduction!$A$11:$A$18,Introduction!$C$11:$C$18),IF(D1052="Expense",LOOKUP(E1052,Introduction!$D$11:$D$30,Introduction!$F$11:$F$30),"_"))</f>
        <v>_</v>
      </c>
      <c r="G1052" s="88"/>
      <c r="H1052" s="92"/>
      <c r="I1052" s="85">
        <f t="shared" si="62"/>
        <v>0</v>
      </c>
      <c r="J1052" s="93"/>
      <c r="K1052" s="85">
        <f t="shared" si="63"/>
        <v>0</v>
      </c>
      <c r="L1052" s="68"/>
      <c r="M1052" s="68"/>
      <c r="P1052" s="89" t="str">
        <f t="shared" si="61"/>
        <v xml:space="preserve">  1 1900 </v>
      </c>
    </row>
    <row r="1053" spans="1:16">
      <c r="A1053" s="68"/>
      <c r="B1053" s="87"/>
      <c r="C1053" s="88"/>
      <c r="D1053" s="88"/>
      <c r="E1053" s="90"/>
      <c r="F1053" s="84" t="str">
        <f ca="1">IF(D1053="Income",LOOKUP(E1053,Introduction!$A$11:$A$18,Introduction!$C$11:$C$18),IF(D1053="Expense",LOOKUP(E1053,Introduction!$D$11:$D$30,Introduction!$F$11:$F$30),"_"))</f>
        <v>_</v>
      </c>
      <c r="G1053" s="88"/>
      <c r="H1053" s="92"/>
      <c r="I1053" s="85">
        <f t="shared" si="62"/>
        <v>0</v>
      </c>
      <c r="J1053" s="93"/>
      <c r="K1053" s="85">
        <f t="shared" si="63"/>
        <v>0</v>
      </c>
      <c r="L1053" s="68"/>
      <c r="M1053" s="68"/>
      <c r="P1053" s="89" t="str">
        <f t="shared" si="61"/>
        <v xml:space="preserve">  1 1900 </v>
      </c>
    </row>
    <row r="1054" spans="1:16">
      <c r="A1054" s="68"/>
      <c r="B1054" s="87"/>
      <c r="C1054" s="88"/>
      <c r="D1054" s="88"/>
      <c r="E1054" s="90"/>
      <c r="F1054" s="84" t="str">
        <f ca="1">IF(D1054="Income",LOOKUP(E1054,Introduction!$A$11:$A$18,Introduction!$C$11:$C$18),IF(D1054="Expense",LOOKUP(E1054,Introduction!$D$11:$D$30,Introduction!$F$11:$F$30),"_"))</f>
        <v>_</v>
      </c>
      <c r="G1054" s="88"/>
      <c r="H1054" s="92"/>
      <c r="I1054" s="85">
        <f t="shared" si="62"/>
        <v>0</v>
      </c>
      <c r="J1054" s="93"/>
      <c r="K1054" s="85">
        <f t="shared" si="63"/>
        <v>0</v>
      </c>
      <c r="L1054" s="68"/>
      <c r="M1054" s="68"/>
      <c r="P1054" s="89" t="str">
        <f t="shared" si="61"/>
        <v xml:space="preserve">  1 1900 </v>
      </c>
    </row>
    <row r="1055" spans="1:16">
      <c r="A1055" s="68"/>
      <c r="B1055" s="87"/>
      <c r="C1055" s="88"/>
      <c r="D1055" s="88"/>
      <c r="E1055" s="90"/>
      <c r="F1055" s="84" t="str">
        <f ca="1">IF(D1055="Income",LOOKUP(E1055,Introduction!$A$11:$A$18,Introduction!$C$11:$C$18),IF(D1055="Expense",LOOKUP(E1055,Introduction!$D$11:$D$30,Introduction!$F$11:$F$30),"_"))</f>
        <v>_</v>
      </c>
      <c r="G1055" s="88"/>
      <c r="H1055" s="92"/>
      <c r="I1055" s="85">
        <f t="shared" si="62"/>
        <v>0</v>
      </c>
      <c r="J1055" s="93"/>
      <c r="K1055" s="85">
        <f t="shared" si="63"/>
        <v>0</v>
      </c>
      <c r="L1055" s="68"/>
      <c r="M1055" s="68"/>
      <c r="P1055" s="89" t="str">
        <f t="shared" si="61"/>
        <v xml:space="preserve">  1 1900 </v>
      </c>
    </row>
    <row r="1056" spans="1:16">
      <c r="A1056" s="68"/>
      <c r="B1056" s="87"/>
      <c r="C1056" s="88"/>
      <c r="D1056" s="88"/>
      <c r="E1056" s="90"/>
      <c r="F1056" s="84" t="str">
        <f ca="1">IF(D1056="Income",LOOKUP(E1056,Introduction!$A$11:$A$18,Introduction!$C$11:$C$18),IF(D1056="Expense",LOOKUP(E1056,Introduction!$D$11:$D$30,Introduction!$F$11:$F$30),"_"))</f>
        <v>_</v>
      </c>
      <c r="G1056" s="88"/>
      <c r="H1056" s="92"/>
      <c r="I1056" s="85">
        <f t="shared" si="62"/>
        <v>0</v>
      </c>
      <c r="J1056" s="93"/>
      <c r="K1056" s="85">
        <f t="shared" si="63"/>
        <v>0</v>
      </c>
      <c r="L1056" s="68"/>
      <c r="M1056" s="68"/>
      <c r="P1056" s="89" t="str">
        <f t="shared" si="61"/>
        <v xml:space="preserve">  1 1900 </v>
      </c>
    </row>
    <row r="1057" spans="1:16">
      <c r="A1057" s="68"/>
      <c r="B1057" s="87"/>
      <c r="C1057" s="88"/>
      <c r="D1057" s="88"/>
      <c r="E1057" s="90"/>
      <c r="F1057" s="84" t="str">
        <f ca="1">IF(D1057="Income",LOOKUP(E1057,Introduction!$A$11:$A$18,Introduction!$C$11:$C$18),IF(D1057="Expense",LOOKUP(E1057,Introduction!$D$11:$D$30,Introduction!$F$11:$F$30),"_"))</f>
        <v>_</v>
      </c>
      <c r="G1057" s="88"/>
      <c r="H1057" s="92"/>
      <c r="I1057" s="85">
        <f t="shared" si="62"/>
        <v>0</v>
      </c>
      <c r="J1057" s="93"/>
      <c r="K1057" s="85">
        <f t="shared" si="63"/>
        <v>0</v>
      </c>
      <c r="L1057" s="68"/>
      <c r="M1057" s="68"/>
      <c r="P1057" s="89" t="str">
        <f t="shared" si="61"/>
        <v xml:space="preserve">  1 1900 </v>
      </c>
    </row>
    <row r="1058" spans="1:16">
      <c r="A1058" s="68"/>
      <c r="B1058" s="87"/>
      <c r="C1058" s="88"/>
      <c r="D1058" s="88"/>
      <c r="E1058" s="90"/>
      <c r="F1058" s="84" t="str">
        <f ca="1">IF(D1058="Income",LOOKUP(E1058,Introduction!$A$11:$A$18,Introduction!$C$11:$C$18),IF(D1058="Expense",LOOKUP(E1058,Introduction!$D$11:$D$30,Introduction!$F$11:$F$30),"_"))</f>
        <v>_</v>
      </c>
      <c r="G1058" s="88"/>
      <c r="H1058" s="92"/>
      <c r="I1058" s="85">
        <f t="shared" si="62"/>
        <v>0</v>
      </c>
      <c r="J1058" s="93"/>
      <c r="K1058" s="85">
        <f t="shared" si="63"/>
        <v>0</v>
      </c>
      <c r="L1058" s="68"/>
      <c r="M1058" s="68"/>
      <c r="P1058" s="89" t="str">
        <f t="shared" si="61"/>
        <v xml:space="preserve">  1 1900 </v>
      </c>
    </row>
    <row r="1059" spans="1:16">
      <c r="A1059" s="68"/>
      <c r="B1059" s="87"/>
      <c r="C1059" s="88"/>
      <c r="D1059" s="88"/>
      <c r="E1059" s="90"/>
      <c r="F1059" s="84" t="str">
        <f ca="1">IF(D1059="Income",LOOKUP(E1059,Introduction!$A$11:$A$18,Introduction!$C$11:$C$18),IF(D1059="Expense",LOOKUP(E1059,Introduction!$D$11:$D$30,Introduction!$F$11:$F$30),"_"))</f>
        <v>_</v>
      </c>
      <c r="G1059" s="88"/>
      <c r="H1059" s="92"/>
      <c r="I1059" s="85">
        <f t="shared" si="62"/>
        <v>0</v>
      </c>
      <c r="J1059" s="93"/>
      <c r="K1059" s="85">
        <f t="shared" si="63"/>
        <v>0</v>
      </c>
      <c r="L1059" s="68"/>
      <c r="M1059" s="68"/>
      <c r="P1059" s="89" t="str">
        <f t="shared" si="61"/>
        <v xml:space="preserve">  1 1900 </v>
      </c>
    </row>
    <row r="1060" spans="1:16">
      <c r="A1060" s="68"/>
      <c r="B1060" s="87"/>
      <c r="C1060" s="88"/>
      <c r="D1060" s="88"/>
      <c r="E1060" s="90"/>
      <c r="F1060" s="84" t="str">
        <f ca="1">IF(D1060="Income",LOOKUP(E1060,Introduction!$A$11:$A$18,Introduction!$C$11:$C$18),IF(D1060="Expense",LOOKUP(E1060,Introduction!$D$11:$D$30,Introduction!$F$11:$F$30),"_"))</f>
        <v>_</v>
      </c>
      <c r="G1060" s="88"/>
      <c r="H1060" s="92"/>
      <c r="I1060" s="85">
        <f t="shared" si="62"/>
        <v>0</v>
      </c>
      <c r="J1060" s="93"/>
      <c r="K1060" s="85">
        <f t="shared" si="63"/>
        <v>0</v>
      </c>
      <c r="L1060" s="68"/>
      <c r="M1060" s="68"/>
      <c r="P1060" s="89" t="str">
        <f t="shared" si="61"/>
        <v xml:space="preserve">  1 1900 </v>
      </c>
    </row>
    <row r="1061" spans="1:16">
      <c r="A1061" s="68"/>
      <c r="B1061" s="87"/>
      <c r="C1061" s="88"/>
      <c r="D1061" s="88"/>
      <c r="E1061" s="90"/>
      <c r="F1061" s="84" t="str">
        <f ca="1">IF(D1061="Income",LOOKUP(E1061,Introduction!$A$11:$A$18,Introduction!$C$11:$C$18),IF(D1061="Expense",LOOKUP(E1061,Introduction!$D$11:$D$30,Introduction!$F$11:$F$30),"_"))</f>
        <v>_</v>
      </c>
      <c r="G1061" s="88"/>
      <c r="H1061" s="92"/>
      <c r="I1061" s="85">
        <f t="shared" si="62"/>
        <v>0</v>
      </c>
      <c r="J1061" s="93"/>
      <c r="K1061" s="85">
        <f t="shared" si="63"/>
        <v>0</v>
      </c>
      <c r="L1061" s="68"/>
      <c r="M1061" s="68"/>
      <c r="P1061" s="89" t="str">
        <f t="shared" si="61"/>
        <v xml:space="preserve">  1 1900 </v>
      </c>
    </row>
    <row r="1062" spans="1:16">
      <c r="A1062" s="68"/>
      <c r="B1062" s="87"/>
      <c r="C1062" s="88"/>
      <c r="D1062" s="88"/>
      <c r="E1062" s="90"/>
      <c r="F1062" s="84" t="str">
        <f ca="1">IF(D1062="Income",LOOKUP(E1062,Introduction!$A$11:$A$18,Introduction!$C$11:$C$18),IF(D1062="Expense",LOOKUP(E1062,Introduction!$D$11:$D$30,Introduction!$F$11:$F$30),"_"))</f>
        <v>_</v>
      </c>
      <c r="G1062" s="88"/>
      <c r="H1062" s="92"/>
      <c r="I1062" s="85">
        <f t="shared" si="62"/>
        <v>0</v>
      </c>
      <c r="J1062" s="93"/>
      <c r="K1062" s="85">
        <f t="shared" si="63"/>
        <v>0</v>
      </c>
      <c r="L1062" s="68"/>
      <c r="M1062" s="68"/>
      <c r="P1062" s="89" t="str">
        <f t="shared" si="61"/>
        <v xml:space="preserve">  1 1900 </v>
      </c>
    </row>
    <row r="1063" spans="1:16">
      <c r="A1063" s="68"/>
      <c r="B1063" s="87"/>
      <c r="C1063" s="88"/>
      <c r="D1063" s="88"/>
      <c r="E1063" s="90"/>
      <c r="F1063" s="84" t="str">
        <f ca="1">IF(D1063="Income",LOOKUP(E1063,Introduction!$A$11:$A$18,Introduction!$C$11:$C$18),IF(D1063="Expense",LOOKUP(E1063,Introduction!$D$11:$D$30,Introduction!$F$11:$F$30),"_"))</f>
        <v>_</v>
      </c>
      <c r="G1063" s="88"/>
      <c r="H1063" s="92"/>
      <c r="I1063" s="85">
        <f t="shared" si="62"/>
        <v>0</v>
      </c>
      <c r="J1063" s="93"/>
      <c r="K1063" s="85">
        <f t="shared" si="63"/>
        <v>0</v>
      </c>
      <c r="L1063" s="68"/>
      <c r="M1063" s="68"/>
      <c r="P1063" s="89" t="str">
        <f t="shared" si="61"/>
        <v xml:space="preserve">  1 1900 </v>
      </c>
    </row>
    <row r="1064" spans="1:16">
      <c r="A1064" s="68"/>
      <c r="B1064" s="87"/>
      <c r="C1064" s="88"/>
      <c r="D1064" s="88"/>
      <c r="E1064" s="90"/>
      <c r="F1064" s="84" t="str">
        <f ca="1">IF(D1064="Income",LOOKUP(E1064,Introduction!$A$11:$A$18,Introduction!$C$11:$C$18),IF(D1064="Expense",LOOKUP(E1064,Introduction!$D$11:$D$30,Introduction!$F$11:$F$30),"_"))</f>
        <v>_</v>
      </c>
      <c r="G1064" s="88"/>
      <c r="H1064" s="92"/>
      <c r="I1064" s="85">
        <f t="shared" si="62"/>
        <v>0</v>
      </c>
      <c r="J1064" s="93"/>
      <c r="K1064" s="85">
        <f t="shared" si="63"/>
        <v>0</v>
      </c>
      <c r="L1064" s="68"/>
      <c r="M1064" s="68"/>
      <c r="P1064" s="89" t="str">
        <f t="shared" si="61"/>
        <v xml:space="preserve">  1 1900 </v>
      </c>
    </row>
    <row r="1065" spans="1:16">
      <c r="A1065" s="68"/>
      <c r="B1065" s="87"/>
      <c r="C1065" s="88"/>
      <c r="D1065" s="88"/>
      <c r="E1065" s="90"/>
      <c r="F1065" s="84" t="str">
        <f ca="1">IF(D1065="Income",LOOKUP(E1065,Introduction!$A$11:$A$18,Introduction!$C$11:$C$18),IF(D1065="Expense",LOOKUP(E1065,Introduction!$D$11:$D$30,Introduction!$F$11:$F$30),"_"))</f>
        <v>_</v>
      </c>
      <c r="G1065" s="88"/>
      <c r="H1065" s="92"/>
      <c r="I1065" s="85">
        <f t="shared" si="62"/>
        <v>0</v>
      </c>
      <c r="J1065" s="93"/>
      <c r="K1065" s="85">
        <f t="shared" si="63"/>
        <v>0</v>
      </c>
      <c r="L1065" s="68"/>
      <c r="M1065" s="68"/>
      <c r="P1065" s="89" t="str">
        <f t="shared" si="61"/>
        <v xml:space="preserve">  1 1900 </v>
      </c>
    </row>
    <row r="1066" spans="1:16">
      <c r="A1066" s="68"/>
      <c r="B1066" s="87"/>
      <c r="C1066" s="88"/>
      <c r="D1066" s="88"/>
      <c r="E1066" s="90"/>
      <c r="F1066" s="84" t="str">
        <f ca="1">IF(D1066="Income",LOOKUP(E1066,Introduction!$A$11:$A$18,Introduction!$C$11:$C$18),IF(D1066="Expense",LOOKUP(E1066,Introduction!$D$11:$D$30,Introduction!$F$11:$F$30),"_"))</f>
        <v>_</v>
      </c>
      <c r="G1066" s="88"/>
      <c r="H1066" s="92"/>
      <c r="I1066" s="85">
        <f t="shared" si="62"/>
        <v>0</v>
      </c>
      <c r="J1066" s="93"/>
      <c r="K1066" s="85">
        <f t="shared" si="63"/>
        <v>0</v>
      </c>
      <c r="L1066" s="68"/>
      <c r="M1066" s="68"/>
      <c r="P1066" s="89" t="str">
        <f t="shared" si="61"/>
        <v xml:space="preserve">  1 1900 </v>
      </c>
    </row>
    <row r="1067" spans="1:16">
      <c r="A1067" s="68"/>
      <c r="B1067" s="87"/>
      <c r="C1067" s="88"/>
      <c r="D1067" s="88"/>
      <c r="E1067" s="90"/>
      <c r="F1067" s="84" t="str">
        <f ca="1">IF(D1067="Income",LOOKUP(E1067,Introduction!$A$11:$A$18,Introduction!$C$11:$C$18),IF(D1067="Expense",LOOKUP(E1067,Introduction!$D$11:$D$30,Introduction!$F$11:$F$30),"_"))</f>
        <v>_</v>
      </c>
      <c r="G1067" s="88"/>
      <c r="H1067" s="92"/>
      <c r="I1067" s="85">
        <f t="shared" si="62"/>
        <v>0</v>
      </c>
      <c r="J1067" s="93"/>
      <c r="K1067" s="85">
        <f t="shared" si="63"/>
        <v>0</v>
      </c>
      <c r="L1067" s="68"/>
      <c r="M1067" s="68"/>
      <c r="P1067" s="89" t="str">
        <f t="shared" si="61"/>
        <v xml:space="preserve">  1 1900 </v>
      </c>
    </row>
    <row r="1068" spans="1:16">
      <c r="A1068" s="68"/>
      <c r="B1068" s="87"/>
      <c r="C1068" s="88"/>
      <c r="D1068" s="88"/>
      <c r="E1068" s="90"/>
      <c r="F1068" s="84" t="str">
        <f ca="1">IF(D1068="Income",LOOKUP(E1068,Introduction!$A$11:$A$18,Introduction!$C$11:$C$18),IF(D1068="Expense",LOOKUP(E1068,Introduction!$D$11:$D$30,Introduction!$F$11:$F$30),"_"))</f>
        <v>_</v>
      </c>
      <c r="G1068" s="88"/>
      <c r="H1068" s="92"/>
      <c r="I1068" s="85">
        <f t="shared" si="62"/>
        <v>0</v>
      </c>
      <c r="J1068" s="93"/>
      <c r="K1068" s="85">
        <f t="shared" si="63"/>
        <v>0</v>
      </c>
      <c r="L1068" s="68"/>
      <c r="M1068" s="68"/>
      <c r="P1068" s="89" t="str">
        <f t="shared" si="61"/>
        <v xml:space="preserve">  1 1900 </v>
      </c>
    </row>
    <row r="1069" spans="1:16">
      <c r="A1069" s="68"/>
      <c r="B1069" s="87"/>
      <c r="C1069" s="88"/>
      <c r="D1069" s="88"/>
      <c r="E1069" s="90"/>
      <c r="F1069" s="84" t="str">
        <f ca="1">IF(D1069="Income",LOOKUP(E1069,Introduction!$A$11:$A$18,Introduction!$C$11:$C$18),IF(D1069="Expense",LOOKUP(E1069,Introduction!$D$11:$D$30,Introduction!$F$11:$F$30),"_"))</f>
        <v>_</v>
      </c>
      <c r="G1069" s="88"/>
      <c r="H1069" s="92"/>
      <c r="I1069" s="85">
        <f t="shared" si="62"/>
        <v>0</v>
      </c>
      <c r="J1069" s="93"/>
      <c r="K1069" s="85">
        <f t="shared" si="63"/>
        <v>0</v>
      </c>
      <c r="L1069" s="68"/>
      <c r="M1069" s="68"/>
      <c r="P1069" s="89" t="str">
        <f t="shared" si="61"/>
        <v xml:space="preserve">  1 1900 </v>
      </c>
    </row>
    <row r="1070" spans="1:16">
      <c r="A1070" s="68"/>
      <c r="B1070" s="87"/>
      <c r="C1070" s="88"/>
      <c r="D1070" s="88"/>
      <c r="E1070" s="90"/>
      <c r="F1070" s="84" t="str">
        <f ca="1">IF(D1070="Income",LOOKUP(E1070,Introduction!$A$11:$A$18,Introduction!$C$11:$C$18),IF(D1070="Expense",LOOKUP(E1070,Introduction!$D$11:$D$30,Introduction!$F$11:$F$30),"_"))</f>
        <v>_</v>
      </c>
      <c r="G1070" s="88"/>
      <c r="H1070" s="92"/>
      <c r="I1070" s="85">
        <f t="shared" si="62"/>
        <v>0</v>
      </c>
      <c r="J1070" s="93"/>
      <c r="K1070" s="85">
        <f t="shared" si="63"/>
        <v>0</v>
      </c>
      <c r="L1070" s="68"/>
      <c r="M1070" s="68"/>
      <c r="P1070" s="89" t="str">
        <f t="shared" si="61"/>
        <v xml:space="preserve">  1 1900 </v>
      </c>
    </row>
    <row r="1071" spans="1:16">
      <c r="A1071" s="68"/>
      <c r="B1071" s="87"/>
      <c r="C1071" s="88"/>
      <c r="D1071" s="88"/>
      <c r="E1071" s="90"/>
      <c r="F1071" s="84" t="str">
        <f ca="1">IF(D1071="Income",LOOKUP(E1071,Introduction!$A$11:$A$18,Introduction!$C$11:$C$18),IF(D1071="Expense",LOOKUP(E1071,Introduction!$D$11:$D$30,Introduction!$F$11:$F$30),"_"))</f>
        <v>_</v>
      </c>
      <c r="G1071" s="88"/>
      <c r="H1071" s="92"/>
      <c r="I1071" s="85">
        <f t="shared" si="62"/>
        <v>0</v>
      </c>
      <c r="J1071" s="93"/>
      <c r="K1071" s="85">
        <f t="shared" si="63"/>
        <v>0</v>
      </c>
      <c r="L1071" s="68"/>
      <c r="M1071" s="68"/>
      <c r="P1071" s="89" t="str">
        <f t="shared" si="61"/>
        <v xml:space="preserve">  1 1900 </v>
      </c>
    </row>
    <row r="1072" spans="1:16">
      <c r="A1072" s="68"/>
      <c r="B1072" s="87"/>
      <c r="C1072" s="88"/>
      <c r="D1072" s="88"/>
      <c r="E1072" s="90"/>
      <c r="F1072" s="84" t="str">
        <f ca="1">IF(D1072="Income",LOOKUP(E1072,Introduction!$A$11:$A$18,Introduction!$C$11:$C$18),IF(D1072="Expense",LOOKUP(E1072,Introduction!$D$11:$D$30,Introduction!$F$11:$F$30),"_"))</f>
        <v>_</v>
      </c>
      <c r="G1072" s="88"/>
      <c r="H1072" s="92"/>
      <c r="I1072" s="85">
        <f t="shared" si="62"/>
        <v>0</v>
      </c>
      <c r="J1072" s="93"/>
      <c r="K1072" s="85">
        <f t="shared" si="63"/>
        <v>0</v>
      </c>
      <c r="L1072" s="68"/>
      <c r="M1072" s="68"/>
      <c r="P1072" s="89" t="str">
        <f t="shared" si="61"/>
        <v xml:space="preserve">  1 1900 </v>
      </c>
    </row>
    <row r="1073" spans="1:16">
      <c r="A1073" s="68"/>
      <c r="B1073" s="87"/>
      <c r="C1073" s="88"/>
      <c r="D1073" s="88"/>
      <c r="E1073" s="90"/>
      <c r="F1073" s="84" t="str">
        <f ca="1">IF(D1073="Income",LOOKUP(E1073,Introduction!$A$11:$A$18,Introduction!$C$11:$C$18),IF(D1073="Expense",LOOKUP(E1073,Introduction!$D$11:$D$30,Introduction!$F$11:$F$30),"_"))</f>
        <v>_</v>
      </c>
      <c r="G1073" s="88"/>
      <c r="H1073" s="92"/>
      <c r="I1073" s="85">
        <f t="shared" si="62"/>
        <v>0</v>
      </c>
      <c r="J1073" s="93"/>
      <c r="K1073" s="85">
        <f t="shared" si="63"/>
        <v>0</v>
      </c>
      <c r="L1073" s="68"/>
      <c r="M1073" s="68"/>
      <c r="P1073" s="89" t="str">
        <f t="shared" si="61"/>
        <v xml:space="preserve">  1 1900 </v>
      </c>
    </row>
    <row r="1074" spans="1:16">
      <c r="A1074" s="68"/>
      <c r="B1074" s="87"/>
      <c r="C1074" s="88"/>
      <c r="D1074" s="88"/>
      <c r="E1074" s="90"/>
      <c r="F1074" s="84" t="str">
        <f ca="1">IF(D1074="Income",LOOKUP(E1074,Introduction!$A$11:$A$18,Introduction!$C$11:$C$18),IF(D1074="Expense",LOOKUP(E1074,Introduction!$D$11:$D$30,Introduction!$F$11:$F$30),"_"))</f>
        <v>_</v>
      </c>
      <c r="G1074" s="88"/>
      <c r="H1074" s="92"/>
      <c r="I1074" s="85">
        <f t="shared" si="62"/>
        <v>0</v>
      </c>
      <c r="J1074" s="93"/>
      <c r="K1074" s="85">
        <f t="shared" si="63"/>
        <v>0</v>
      </c>
      <c r="L1074" s="68"/>
      <c r="M1074" s="68"/>
      <c r="P1074" s="89" t="str">
        <f t="shared" si="61"/>
        <v xml:space="preserve">  1 1900 </v>
      </c>
    </row>
    <row r="1075" spans="1:16">
      <c r="A1075" s="68"/>
      <c r="B1075" s="87"/>
      <c r="C1075" s="88"/>
      <c r="D1075" s="88"/>
      <c r="E1075" s="90"/>
      <c r="F1075" s="84" t="str">
        <f ca="1">IF(D1075="Income",LOOKUP(E1075,Introduction!$A$11:$A$18,Introduction!$C$11:$C$18),IF(D1075="Expense",LOOKUP(E1075,Introduction!$D$11:$D$30,Introduction!$F$11:$F$30),"_"))</f>
        <v>_</v>
      </c>
      <c r="G1075" s="88"/>
      <c r="H1075" s="92"/>
      <c r="I1075" s="85">
        <f t="shared" si="62"/>
        <v>0</v>
      </c>
      <c r="J1075" s="93"/>
      <c r="K1075" s="85">
        <f t="shared" si="63"/>
        <v>0</v>
      </c>
      <c r="L1075" s="68"/>
      <c r="M1075" s="68"/>
      <c r="P1075" s="89" t="str">
        <f t="shared" si="61"/>
        <v xml:space="preserve">  1 1900 </v>
      </c>
    </row>
    <row r="1076" spans="1:16">
      <c r="A1076" s="68"/>
      <c r="B1076" s="87"/>
      <c r="C1076" s="88"/>
      <c r="D1076" s="88"/>
      <c r="E1076" s="90"/>
      <c r="F1076" s="84" t="str">
        <f ca="1">IF(D1076="Income",LOOKUP(E1076,Introduction!$A$11:$A$18,Introduction!$C$11:$C$18),IF(D1076="Expense",LOOKUP(E1076,Introduction!$D$11:$D$30,Introduction!$F$11:$F$30),"_"))</f>
        <v>_</v>
      </c>
      <c r="G1076" s="88"/>
      <c r="H1076" s="92"/>
      <c r="I1076" s="85">
        <f t="shared" si="62"/>
        <v>0</v>
      </c>
      <c r="J1076" s="93"/>
      <c r="K1076" s="85">
        <f t="shared" si="63"/>
        <v>0</v>
      </c>
      <c r="L1076" s="68"/>
      <c r="M1076" s="68"/>
      <c r="P1076" s="89" t="str">
        <f t="shared" si="61"/>
        <v xml:space="preserve">  1 1900 </v>
      </c>
    </row>
    <row r="1077" spans="1:16">
      <c r="A1077" s="68"/>
      <c r="B1077" s="87"/>
      <c r="C1077" s="88"/>
      <c r="D1077" s="88"/>
      <c r="E1077" s="90"/>
      <c r="F1077" s="84" t="str">
        <f ca="1">IF(D1077="Income",LOOKUP(E1077,Introduction!$A$11:$A$18,Introduction!$C$11:$C$18),IF(D1077="Expense",LOOKUP(E1077,Introduction!$D$11:$D$30,Introduction!$F$11:$F$30),"_"))</f>
        <v>_</v>
      </c>
      <c r="G1077" s="88"/>
      <c r="H1077" s="92"/>
      <c r="I1077" s="85">
        <f t="shared" si="62"/>
        <v>0</v>
      </c>
      <c r="J1077" s="93"/>
      <c r="K1077" s="85">
        <f t="shared" si="63"/>
        <v>0</v>
      </c>
      <c r="L1077" s="68"/>
      <c r="M1077" s="68"/>
      <c r="P1077" s="89" t="str">
        <f t="shared" si="61"/>
        <v xml:space="preserve">  1 1900 </v>
      </c>
    </row>
    <row r="1078" spans="1:16">
      <c r="A1078" s="68"/>
      <c r="B1078" s="87"/>
      <c r="C1078" s="88"/>
      <c r="D1078" s="88"/>
      <c r="E1078" s="90"/>
      <c r="F1078" s="84" t="str">
        <f ca="1">IF(D1078="Income",LOOKUP(E1078,Introduction!$A$11:$A$18,Introduction!$C$11:$C$18),IF(D1078="Expense",LOOKUP(E1078,Introduction!$D$11:$D$30,Introduction!$F$11:$F$30),"_"))</f>
        <v>_</v>
      </c>
      <c r="G1078" s="88"/>
      <c r="H1078" s="92"/>
      <c r="I1078" s="85">
        <f t="shared" si="62"/>
        <v>0</v>
      </c>
      <c r="J1078" s="93"/>
      <c r="K1078" s="85">
        <f t="shared" si="63"/>
        <v>0</v>
      </c>
      <c r="L1078" s="68"/>
      <c r="M1078" s="68"/>
      <c r="P1078" s="89" t="str">
        <f t="shared" si="61"/>
        <v xml:space="preserve">  1 1900 </v>
      </c>
    </row>
    <row r="1079" spans="1:16">
      <c r="A1079" s="68"/>
      <c r="B1079" s="87"/>
      <c r="C1079" s="88"/>
      <c r="D1079" s="88"/>
      <c r="E1079" s="90"/>
      <c r="F1079" s="84" t="str">
        <f ca="1">IF(D1079="Income",LOOKUP(E1079,Introduction!$A$11:$A$18,Introduction!$C$11:$C$18),IF(D1079="Expense",LOOKUP(E1079,Introduction!$D$11:$D$30,Introduction!$F$11:$F$30),"_"))</f>
        <v>_</v>
      </c>
      <c r="G1079" s="88"/>
      <c r="H1079" s="92"/>
      <c r="I1079" s="85">
        <f t="shared" si="62"/>
        <v>0</v>
      </c>
      <c r="J1079" s="93"/>
      <c r="K1079" s="85">
        <f t="shared" si="63"/>
        <v>0</v>
      </c>
      <c r="L1079" s="68"/>
      <c r="M1079" s="68"/>
      <c r="P1079" s="89" t="str">
        <f t="shared" si="61"/>
        <v xml:space="preserve">  1 1900 </v>
      </c>
    </row>
    <row r="1080" spans="1:16">
      <c r="A1080" s="68"/>
      <c r="B1080" s="87"/>
      <c r="C1080" s="88"/>
      <c r="D1080" s="88"/>
      <c r="E1080" s="90"/>
      <c r="F1080" s="84" t="str">
        <f ca="1">IF(D1080="Income",LOOKUP(E1080,Introduction!$A$11:$A$18,Introduction!$C$11:$C$18),IF(D1080="Expense",LOOKUP(E1080,Introduction!$D$11:$D$30,Introduction!$F$11:$F$30),"_"))</f>
        <v>_</v>
      </c>
      <c r="G1080" s="88"/>
      <c r="H1080" s="92"/>
      <c r="I1080" s="85">
        <f t="shared" si="62"/>
        <v>0</v>
      </c>
      <c r="J1080" s="93"/>
      <c r="K1080" s="85">
        <f t="shared" si="63"/>
        <v>0</v>
      </c>
      <c r="L1080" s="68"/>
      <c r="M1080" s="68"/>
      <c r="P1080" s="89" t="str">
        <f t="shared" si="61"/>
        <v xml:space="preserve">  1 1900 </v>
      </c>
    </row>
    <row r="1081" spans="1:16">
      <c r="A1081" s="68"/>
      <c r="B1081" s="87"/>
      <c r="C1081" s="88"/>
      <c r="D1081" s="88"/>
      <c r="E1081" s="90"/>
      <c r="F1081" s="84" t="str">
        <f ca="1">IF(D1081="Income",LOOKUP(E1081,Introduction!$A$11:$A$18,Introduction!$C$11:$C$18),IF(D1081="Expense",LOOKUP(E1081,Introduction!$D$11:$D$30,Introduction!$F$11:$F$30),"_"))</f>
        <v>_</v>
      </c>
      <c r="G1081" s="88"/>
      <c r="H1081" s="92"/>
      <c r="I1081" s="85">
        <f t="shared" si="62"/>
        <v>0</v>
      </c>
      <c r="J1081" s="93"/>
      <c r="K1081" s="85">
        <f t="shared" si="63"/>
        <v>0</v>
      </c>
      <c r="L1081" s="68"/>
      <c r="M1081" s="68"/>
      <c r="P1081" s="89" t="str">
        <f t="shared" si="61"/>
        <v xml:space="preserve">  1 1900 </v>
      </c>
    </row>
    <row r="1082" spans="1:16">
      <c r="A1082" s="68"/>
      <c r="B1082" s="87"/>
      <c r="C1082" s="88"/>
      <c r="D1082" s="88"/>
      <c r="E1082" s="90"/>
      <c r="F1082" s="84" t="str">
        <f ca="1">IF(D1082="Income",LOOKUP(E1082,Introduction!$A$11:$A$18,Introduction!$C$11:$C$18),IF(D1082="Expense",LOOKUP(E1082,Introduction!$D$11:$D$30,Introduction!$F$11:$F$30),"_"))</f>
        <v>_</v>
      </c>
      <c r="G1082" s="88"/>
      <c r="H1082" s="92"/>
      <c r="I1082" s="85">
        <f t="shared" si="62"/>
        <v>0</v>
      </c>
      <c r="J1082" s="93"/>
      <c r="K1082" s="85">
        <f t="shared" si="63"/>
        <v>0</v>
      </c>
      <c r="L1082" s="68"/>
      <c r="M1082" s="68"/>
      <c r="P1082" s="89" t="str">
        <f t="shared" si="61"/>
        <v xml:space="preserve">  1 1900 </v>
      </c>
    </row>
    <row r="1083" spans="1:16">
      <c r="A1083" s="68"/>
      <c r="B1083" s="87"/>
      <c r="C1083" s="88"/>
      <c r="D1083" s="88"/>
      <c r="E1083" s="90"/>
      <c r="F1083" s="84" t="str">
        <f ca="1">IF(D1083="Income",LOOKUP(E1083,Introduction!$A$11:$A$18,Introduction!$C$11:$C$18),IF(D1083="Expense",LOOKUP(E1083,Introduction!$D$11:$D$30,Introduction!$F$11:$F$30),"_"))</f>
        <v>_</v>
      </c>
      <c r="G1083" s="88"/>
      <c r="H1083" s="92"/>
      <c r="I1083" s="85">
        <f t="shared" si="62"/>
        <v>0</v>
      </c>
      <c r="J1083" s="93"/>
      <c r="K1083" s="85">
        <f t="shared" si="63"/>
        <v>0</v>
      </c>
      <c r="L1083" s="68"/>
      <c r="M1083" s="68"/>
      <c r="P1083" s="89" t="str">
        <f t="shared" si="61"/>
        <v xml:space="preserve">  1 1900 </v>
      </c>
    </row>
    <row r="1084" spans="1:16">
      <c r="A1084" s="68"/>
      <c r="B1084" s="87"/>
      <c r="C1084" s="88"/>
      <c r="D1084" s="88"/>
      <c r="E1084" s="90"/>
      <c r="F1084" s="84" t="str">
        <f ca="1">IF(D1084="Income",LOOKUP(E1084,Introduction!$A$11:$A$18,Introduction!$C$11:$C$18),IF(D1084="Expense",LOOKUP(E1084,Introduction!$D$11:$D$30,Introduction!$F$11:$F$30),"_"))</f>
        <v>_</v>
      </c>
      <c r="G1084" s="88"/>
      <c r="H1084" s="92"/>
      <c r="I1084" s="85">
        <f t="shared" si="62"/>
        <v>0</v>
      </c>
      <c r="J1084" s="93"/>
      <c r="K1084" s="85">
        <f t="shared" si="63"/>
        <v>0</v>
      </c>
      <c r="L1084" s="68"/>
      <c r="M1084" s="68"/>
      <c r="P1084" s="89" t="str">
        <f t="shared" si="61"/>
        <v xml:space="preserve">  1 1900 </v>
      </c>
    </row>
    <row r="1085" spans="1:16">
      <c r="A1085" s="68"/>
      <c r="B1085" s="87"/>
      <c r="C1085" s="88"/>
      <c r="D1085" s="88"/>
      <c r="E1085" s="90"/>
      <c r="F1085" s="84" t="str">
        <f ca="1">IF(D1085="Income",LOOKUP(E1085,Introduction!$A$11:$A$18,Introduction!$C$11:$C$18),IF(D1085="Expense",LOOKUP(E1085,Introduction!$D$11:$D$30,Introduction!$F$11:$F$30),"_"))</f>
        <v>_</v>
      </c>
      <c r="G1085" s="88"/>
      <c r="H1085" s="92"/>
      <c r="I1085" s="85">
        <f t="shared" si="62"/>
        <v>0</v>
      </c>
      <c r="J1085" s="93"/>
      <c r="K1085" s="85">
        <f t="shared" si="63"/>
        <v>0</v>
      </c>
      <c r="L1085" s="68"/>
      <c r="M1085" s="68"/>
      <c r="P1085" s="89" t="str">
        <f t="shared" si="61"/>
        <v xml:space="preserve">  1 1900 </v>
      </c>
    </row>
    <row r="1086" spans="1:16">
      <c r="A1086" s="68"/>
      <c r="B1086" s="87"/>
      <c r="C1086" s="88"/>
      <c r="D1086" s="88"/>
      <c r="E1086" s="90"/>
      <c r="F1086" s="84" t="str">
        <f ca="1">IF(D1086="Income",LOOKUP(E1086,Introduction!$A$11:$A$18,Introduction!$C$11:$C$18),IF(D1086="Expense",LOOKUP(E1086,Introduction!$D$11:$D$30,Introduction!$F$11:$F$30),"_"))</f>
        <v>_</v>
      </c>
      <c r="G1086" s="88"/>
      <c r="H1086" s="92"/>
      <c r="I1086" s="85">
        <f t="shared" si="62"/>
        <v>0</v>
      </c>
      <c r="J1086" s="93"/>
      <c r="K1086" s="85">
        <f t="shared" si="63"/>
        <v>0</v>
      </c>
      <c r="L1086" s="68"/>
      <c r="M1086" s="68"/>
      <c r="P1086" s="89" t="str">
        <f t="shared" si="61"/>
        <v xml:space="preserve">  1 1900 </v>
      </c>
    </row>
    <row r="1087" spans="1:16">
      <c r="A1087" s="68"/>
      <c r="B1087" s="87"/>
      <c r="C1087" s="88"/>
      <c r="D1087" s="88"/>
      <c r="E1087" s="90"/>
      <c r="F1087" s="84" t="str">
        <f ca="1">IF(D1087="Income",LOOKUP(E1087,Introduction!$A$11:$A$18,Introduction!$C$11:$C$18),IF(D1087="Expense",LOOKUP(E1087,Introduction!$D$11:$D$30,Introduction!$F$11:$F$30),"_"))</f>
        <v>_</v>
      </c>
      <c r="G1087" s="88"/>
      <c r="H1087" s="92"/>
      <c r="I1087" s="85">
        <f t="shared" si="62"/>
        <v>0</v>
      </c>
      <c r="J1087" s="93"/>
      <c r="K1087" s="85">
        <f t="shared" si="63"/>
        <v>0</v>
      </c>
      <c r="L1087" s="68"/>
      <c r="M1087" s="68"/>
      <c r="P1087" s="89" t="str">
        <f t="shared" si="61"/>
        <v xml:space="preserve">  1 1900 </v>
      </c>
    </row>
    <row r="1088" spans="1:16">
      <c r="A1088" s="68"/>
      <c r="B1088" s="87"/>
      <c r="C1088" s="88"/>
      <c r="D1088" s="88"/>
      <c r="E1088" s="90"/>
      <c r="F1088" s="84" t="str">
        <f ca="1">IF(D1088="Income",LOOKUP(E1088,Introduction!$A$11:$A$18,Introduction!$C$11:$C$18),IF(D1088="Expense",LOOKUP(E1088,Introduction!$D$11:$D$30,Introduction!$F$11:$F$30),"_"))</f>
        <v>_</v>
      </c>
      <c r="G1088" s="88"/>
      <c r="H1088" s="92"/>
      <c r="I1088" s="85">
        <f t="shared" si="62"/>
        <v>0</v>
      </c>
      <c r="J1088" s="93"/>
      <c r="K1088" s="85">
        <f t="shared" si="63"/>
        <v>0</v>
      </c>
      <c r="L1088" s="68"/>
      <c r="M1088" s="68"/>
      <c r="P1088" s="89" t="str">
        <f t="shared" si="61"/>
        <v xml:space="preserve">  1 1900 </v>
      </c>
    </row>
    <row r="1089" spans="1:16">
      <c r="A1089" s="68"/>
      <c r="B1089" s="87"/>
      <c r="C1089" s="88"/>
      <c r="D1089" s="88"/>
      <c r="E1089" s="90"/>
      <c r="F1089" s="84" t="str">
        <f ca="1">IF(D1089="Income",LOOKUP(E1089,Introduction!$A$11:$A$18,Introduction!$C$11:$C$18),IF(D1089="Expense",LOOKUP(E1089,Introduction!$D$11:$D$30,Introduction!$F$11:$F$30),"_"))</f>
        <v>_</v>
      </c>
      <c r="G1089" s="88"/>
      <c r="H1089" s="92"/>
      <c r="I1089" s="85">
        <f t="shared" si="62"/>
        <v>0</v>
      </c>
      <c r="J1089" s="93"/>
      <c r="K1089" s="85">
        <f t="shared" si="63"/>
        <v>0</v>
      </c>
      <c r="L1089" s="68"/>
      <c r="M1089" s="68"/>
      <c r="P1089" s="89" t="str">
        <f t="shared" si="61"/>
        <v xml:space="preserve">  1 1900 </v>
      </c>
    </row>
    <row r="1090" spans="1:16">
      <c r="A1090" s="68"/>
      <c r="B1090" s="87"/>
      <c r="C1090" s="88"/>
      <c r="D1090" s="88"/>
      <c r="E1090" s="90"/>
      <c r="F1090" s="84" t="str">
        <f ca="1">IF(D1090="Income",LOOKUP(E1090,Introduction!$A$11:$A$18,Introduction!$C$11:$C$18),IF(D1090="Expense",LOOKUP(E1090,Introduction!$D$11:$D$30,Introduction!$F$11:$F$30),"_"))</f>
        <v>_</v>
      </c>
      <c r="G1090" s="88"/>
      <c r="H1090" s="92"/>
      <c r="I1090" s="85">
        <f t="shared" si="62"/>
        <v>0</v>
      </c>
      <c r="J1090" s="93"/>
      <c r="K1090" s="85">
        <f t="shared" si="63"/>
        <v>0</v>
      </c>
      <c r="L1090" s="68"/>
      <c r="M1090" s="68"/>
      <c r="P1090" s="89" t="str">
        <f t="shared" si="61"/>
        <v xml:space="preserve">  1 1900 </v>
      </c>
    </row>
    <row r="1091" spans="1:16">
      <c r="A1091" s="68"/>
      <c r="B1091" s="87"/>
      <c r="C1091" s="88"/>
      <c r="D1091" s="88"/>
      <c r="E1091" s="90"/>
      <c r="F1091" s="84" t="str">
        <f ca="1">IF(D1091="Income",LOOKUP(E1091,Introduction!$A$11:$A$18,Introduction!$C$11:$C$18),IF(D1091="Expense",LOOKUP(E1091,Introduction!$D$11:$D$30,Introduction!$F$11:$F$30),"_"))</f>
        <v>_</v>
      </c>
      <c r="G1091" s="88"/>
      <c r="H1091" s="92"/>
      <c r="I1091" s="85">
        <f t="shared" si="62"/>
        <v>0</v>
      </c>
      <c r="J1091" s="93"/>
      <c r="K1091" s="85">
        <f t="shared" si="63"/>
        <v>0</v>
      </c>
      <c r="L1091" s="68"/>
      <c r="M1091" s="68"/>
      <c r="P1091" s="89" t="str">
        <f t="shared" si="61"/>
        <v xml:space="preserve">  1 1900 </v>
      </c>
    </row>
    <row r="1092" spans="1:16">
      <c r="A1092" s="68"/>
      <c r="B1092" s="87"/>
      <c r="C1092" s="88"/>
      <c r="D1092" s="88"/>
      <c r="E1092" s="90"/>
      <c r="F1092" s="84" t="str">
        <f ca="1">IF(D1092="Income",LOOKUP(E1092,Introduction!$A$11:$A$18,Introduction!$C$11:$C$18),IF(D1092="Expense",LOOKUP(E1092,Introduction!$D$11:$D$30,Introduction!$F$11:$F$30),"_"))</f>
        <v>_</v>
      </c>
      <c r="G1092" s="88"/>
      <c r="H1092" s="92"/>
      <c r="I1092" s="85">
        <f t="shared" si="62"/>
        <v>0</v>
      </c>
      <c r="J1092" s="93"/>
      <c r="K1092" s="85">
        <f t="shared" si="63"/>
        <v>0</v>
      </c>
      <c r="L1092" s="68"/>
      <c r="M1092" s="68"/>
      <c r="P1092" s="89" t="str">
        <f t="shared" si="61"/>
        <v xml:space="preserve">  1 1900 </v>
      </c>
    </row>
    <row r="1093" spans="1:16">
      <c r="A1093" s="68"/>
      <c r="B1093" s="87"/>
      <c r="C1093" s="88"/>
      <c r="D1093" s="88"/>
      <c r="E1093" s="90"/>
      <c r="F1093" s="84" t="str">
        <f ca="1">IF(D1093="Income",LOOKUP(E1093,Introduction!$A$11:$A$18,Introduction!$C$11:$C$18),IF(D1093="Expense",LOOKUP(E1093,Introduction!$D$11:$D$30,Introduction!$F$11:$F$30),"_"))</f>
        <v>_</v>
      </c>
      <c r="G1093" s="88"/>
      <c r="H1093" s="92"/>
      <c r="I1093" s="85">
        <f t="shared" si="62"/>
        <v>0</v>
      </c>
      <c r="J1093" s="93"/>
      <c r="K1093" s="85">
        <f t="shared" si="63"/>
        <v>0</v>
      </c>
      <c r="L1093" s="68"/>
      <c r="M1093" s="68"/>
      <c r="P1093" s="89" t="str">
        <f t="shared" si="61"/>
        <v xml:space="preserve">  1 1900 </v>
      </c>
    </row>
    <row r="1094" spans="1:16">
      <c r="A1094" s="68"/>
      <c r="B1094" s="87"/>
      <c r="C1094" s="88"/>
      <c r="D1094" s="88"/>
      <c r="E1094" s="90"/>
      <c r="F1094" s="84" t="str">
        <f ca="1">IF(D1094="Income",LOOKUP(E1094,Introduction!$A$11:$A$18,Introduction!$C$11:$C$18),IF(D1094="Expense",LOOKUP(E1094,Introduction!$D$11:$D$30,Introduction!$F$11:$F$30),"_"))</f>
        <v>_</v>
      </c>
      <c r="G1094" s="88"/>
      <c r="H1094" s="92"/>
      <c r="I1094" s="85">
        <f t="shared" si="62"/>
        <v>0</v>
      </c>
      <c r="J1094" s="93"/>
      <c r="K1094" s="85">
        <f t="shared" si="63"/>
        <v>0</v>
      </c>
      <c r="L1094" s="68"/>
      <c r="M1094" s="68"/>
      <c r="P1094" s="89" t="str">
        <f t="shared" si="61"/>
        <v xml:space="preserve">  1 1900 </v>
      </c>
    </row>
    <row r="1095" spans="1:16">
      <c r="A1095" s="68"/>
      <c r="B1095" s="87"/>
      <c r="C1095" s="88"/>
      <c r="D1095" s="88"/>
      <c r="E1095" s="90"/>
      <c r="F1095" s="84" t="str">
        <f ca="1">IF(D1095="Income",LOOKUP(E1095,Introduction!$A$11:$A$18,Introduction!$C$11:$C$18),IF(D1095="Expense",LOOKUP(E1095,Introduction!$D$11:$D$30,Introduction!$F$11:$F$30),"_"))</f>
        <v>_</v>
      </c>
      <c r="G1095" s="88"/>
      <c r="H1095" s="92"/>
      <c r="I1095" s="85">
        <f t="shared" si="62"/>
        <v>0</v>
      </c>
      <c r="J1095" s="93"/>
      <c r="K1095" s="85">
        <f t="shared" si="63"/>
        <v>0</v>
      </c>
      <c r="L1095" s="68"/>
      <c r="M1095" s="68"/>
      <c r="P1095" s="89" t="str">
        <f t="shared" ref="P1095:P1158" si="64">CONCATENATE(D1095," ",E1095," ",MONTH(C1095)," ",YEAR(C1095)," ")</f>
        <v xml:space="preserve">  1 1900 </v>
      </c>
    </row>
    <row r="1096" spans="1:16">
      <c r="A1096" s="68"/>
      <c r="B1096" s="87"/>
      <c r="C1096" s="88"/>
      <c r="D1096" s="88"/>
      <c r="E1096" s="90"/>
      <c r="F1096" s="84" t="str">
        <f ca="1">IF(D1096="Income",LOOKUP(E1096,Introduction!$A$11:$A$18,Introduction!$C$11:$C$18),IF(D1096="Expense",LOOKUP(E1096,Introduction!$D$11:$D$30,Introduction!$F$11:$F$30),"_"))</f>
        <v>_</v>
      </c>
      <c r="G1096" s="88"/>
      <c r="H1096" s="92"/>
      <c r="I1096" s="85">
        <f t="shared" si="62"/>
        <v>0</v>
      </c>
      <c r="J1096" s="93"/>
      <c r="K1096" s="85">
        <f t="shared" si="63"/>
        <v>0</v>
      </c>
      <c r="L1096" s="68"/>
      <c r="M1096" s="68"/>
      <c r="P1096" s="89" t="str">
        <f t="shared" si="64"/>
        <v xml:space="preserve">  1 1900 </v>
      </c>
    </row>
    <row r="1097" spans="1:16">
      <c r="A1097" s="68"/>
      <c r="B1097" s="87"/>
      <c r="C1097" s="88"/>
      <c r="D1097" s="88"/>
      <c r="E1097" s="90"/>
      <c r="F1097" s="84" t="str">
        <f ca="1">IF(D1097="Income",LOOKUP(E1097,Introduction!$A$11:$A$18,Introduction!$C$11:$C$18),IF(D1097="Expense",LOOKUP(E1097,Introduction!$D$11:$D$30,Introduction!$F$11:$F$30),"_"))</f>
        <v>_</v>
      </c>
      <c r="G1097" s="88"/>
      <c r="H1097" s="92"/>
      <c r="I1097" s="85">
        <f t="shared" si="62"/>
        <v>0</v>
      </c>
      <c r="J1097" s="93"/>
      <c r="K1097" s="85">
        <f t="shared" si="63"/>
        <v>0</v>
      </c>
      <c r="L1097" s="68"/>
      <c r="M1097" s="68"/>
      <c r="P1097" s="89" t="str">
        <f t="shared" si="64"/>
        <v xml:space="preserve">  1 1900 </v>
      </c>
    </row>
    <row r="1098" spans="1:16">
      <c r="A1098" s="68"/>
      <c r="B1098" s="87"/>
      <c r="C1098" s="88"/>
      <c r="D1098" s="88"/>
      <c r="E1098" s="90"/>
      <c r="F1098" s="84" t="str">
        <f ca="1">IF(D1098="Income",LOOKUP(E1098,Introduction!$A$11:$A$18,Introduction!$C$11:$C$18),IF(D1098="Expense",LOOKUP(E1098,Introduction!$D$11:$D$30,Introduction!$F$11:$F$30),"_"))</f>
        <v>_</v>
      </c>
      <c r="G1098" s="88"/>
      <c r="H1098" s="92"/>
      <c r="I1098" s="85">
        <f t="shared" si="62"/>
        <v>0</v>
      </c>
      <c r="J1098" s="93"/>
      <c r="K1098" s="85">
        <f t="shared" si="63"/>
        <v>0</v>
      </c>
      <c r="L1098" s="68"/>
      <c r="M1098" s="68"/>
      <c r="P1098" s="89" t="str">
        <f t="shared" si="64"/>
        <v xml:space="preserve">  1 1900 </v>
      </c>
    </row>
    <row r="1099" spans="1:16">
      <c r="A1099" s="68"/>
      <c r="B1099" s="87"/>
      <c r="C1099" s="88"/>
      <c r="D1099" s="88"/>
      <c r="E1099" s="90"/>
      <c r="F1099" s="84" t="str">
        <f ca="1">IF(D1099="Income",LOOKUP(E1099,Introduction!$A$11:$A$18,Introduction!$C$11:$C$18),IF(D1099="Expense",LOOKUP(E1099,Introduction!$D$11:$D$30,Introduction!$F$11:$F$30),"_"))</f>
        <v>_</v>
      </c>
      <c r="G1099" s="88"/>
      <c r="H1099" s="92"/>
      <c r="I1099" s="85">
        <f t="shared" si="62"/>
        <v>0</v>
      </c>
      <c r="J1099" s="93"/>
      <c r="K1099" s="85">
        <f t="shared" si="63"/>
        <v>0</v>
      </c>
      <c r="L1099" s="68"/>
      <c r="M1099" s="68"/>
      <c r="P1099" s="89" t="str">
        <f t="shared" si="64"/>
        <v xml:space="preserve">  1 1900 </v>
      </c>
    </row>
    <row r="1100" spans="1:16">
      <c r="A1100" s="68"/>
      <c r="B1100" s="87"/>
      <c r="C1100" s="88"/>
      <c r="D1100" s="88"/>
      <c r="E1100" s="90"/>
      <c r="F1100" s="84" t="str">
        <f ca="1">IF(D1100="Income",LOOKUP(E1100,Introduction!$A$11:$A$18,Introduction!$C$11:$C$18),IF(D1100="Expense",LOOKUP(E1100,Introduction!$D$11:$D$30,Introduction!$F$11:$F$30),"_"))</f>
        <v>_</v>
      </c>
      <c r="G1100" s="88"/>
      <c r="H1100" s="92"/>
      <c r="I1100" s="85">
        <f t="shared" si="62"/>
        <v>0</v>
      </c>
      <c r="J1100" s="93"/>
      <c r="K1100" s="85">
        <f t="shared" si="63"/>
        <v>0</v>
      </c>
      <c r="L1100" s="68"/>
      <c r="M1100" s="68"/>
      <c r="P1100" s="89" t="str">
        <f t="shared" si="64"/>
        <v xml:space="preserve">  1 1900 </v>
      </c>
    </row>
    <row r="1101" spans="1:16">
      <c r="A1101" s="68"/>
      <c r="B1101" s="87"/>
      <c r="C1101" s="88"/>
      <c r="D1101" s="88"/>
      <c r="E1101" s="90"/>
      <c r="F1101" s="84" t="str">
        <f ca="1">IF(D1101="Income",LOOKUP(E1101,Introduction!$A$11:$A$18,Introduction!$C$11:$C$18),IF(D1101="Expense",LOOKUP(E1101,Introduction!$D$11:$D$30,Introduction!$F$11:$F$30),"_"))</f>
        <v>_</v>
      </c>
      <c r="G1101" s="88"/>
      <c r="H1101" s="92"/>
      <c r="I1101" s="85">
        <f t="shared" si="62"/>
        <v>0</v>
      </c>
      <c r="J1101" s="93"/>
      <c r="K1101" s="85">
        <f t="shared" si="63"/>
        <v>0</v>
      </c>
      <c r="L1101" s="68"/>
      <c r="M1101" s="68"/>
      <c r="P1101" s="89" t="str">
        <f t="shared" si="64"/>
        <v xml:space="preserve">  1 1900 </v>
      </c>
    </row>
    <row r="1102" spans="1:16">
      <c r="A1102" s="68"/>
      <c r="B1102" s="87"/>
      <c r="C1102" s="88"/>
      <c r="D1102" s="88"/>
      <c r="E1102" s="90"/>
      <c r="F1102" s="84" t="str">
        <f ca="1">IF(D1102="Income",LOOKUP(E1102,Introduction!$A$11:$A$18,Introduction!$C$11:$C$18),IF(D1102="Expense",LOOKUP(E1102,Introduction!$D$11:$D$30,Introduction!$F$11:$F$30),"_"))</f>
        <v>_</v>
      </c>
      <c r="G1102" s="88"/>
      <c r="H1102" s="92"/>
      <c r="I1102" s="85">
        <f t="shared" si="62"/>
        <v>0</v>
      </c>
      <c r="J1102" s="93"/>
      <c r="K1102" s="85">
        <f t="shared" si="63"/>
        <v>0</v>
      </c>
      <c r="L1102" s="68"/>
      <c r="M1102" s="68"/>
      <c r="P1102" s="89" t="str">
        <f t="shared" si="64"/>
        <v xml:space="preserve">  1 1900 </v>
      </c>
    </row>
    <row r="1103" spans="1:16">
      <c r="A1103" s="68"/>
      <c r="B1103" s="87"/>
      <c r="C1103" s="88"/>
      <c r="D1103" s="88"/>
      <c r="E1103" s="90"/>
      <c r="F1103" s="84" t="str">
        <f ca="1">IF(D1103="Income",LOOKUP(E1103,Introduction!$A$11:$A$18,Introduction!$C$11:$C$18),IF(D1103="Expense",LOOKUP(E1103,Introduction!$D$11:$D$30,Introduction!$F$11:$F$30),"_"))</f>
        <v>_</v>
      </c>
      <c r="G1103" s="88"/>
      <c r="H1103" s="92"/>
      <c r="I1103" s="85">
        <f t="shared" si="62"/>
        <v>0</v>
      </c>
      <c r="J1103" s="93"/>
      <c r="K1103" s="85">
        <f t="shared" si="63"/>
        <v>0</v>
      </c>
      <c r="L1103" s="68"/>
      <c r="M1103" s="68"/>
      <c r="P1103" s="89" t="str">
        <f t="shared" si="64"/>
        <v xml:space="preserve">  1 1900 </v>
      </c>
    </row>
    <row r="1104" spans="1:16">
      <c r="A1104" s="68"/>
      <c r="B1104" s="87"/>
      <c r="C1104" s="88"/>
      <c r="D1104" s="88"/>
      <c r="E1104" s="90"/>
      <c r="F1104" s="84" t="str">
        <f ca="1">IF(D1104="Income",LOOKUP(E1104,Introduction!$A$11:$A$18,Introduction!$C$11:$C$18),IF(D1104="Expense",LOOKUP(E1104,Introduction!$D$11:$D$30,Introduction!$F$11:$F$30),"_"))</f>
        <v>_</v>
      </c>
      <c r="G1104" s="88"/>
      <c r="H1104" s="92"/>
      <c r="I1104" s="85">
        <f t="shared" si="62"/>
        <v>0</v>
      </c>
      <c r="J1104" s="93"/>
      <c r="K1104" s="85">
        <f t="shared" si="63"/>
        <v>0</v>
      </c>
      <c r="L1104" s="68"/>
      <c r="M1104" s="68"/>
      <c r="P1104" s="89" t="str">
        <f t="shared" si="64"/>
        <v xml:space="preserve">  1 1900 </v>
      </c>
    </row>
    <row r="1105" spans="1:16">
      <c r="A1105" s="68"/>
      <c r="B1105" s="87"/>
      <c r="C1105" s="88"/>
      <c r="D1105" s="88"/>
      <c r="E1105" s="90"/>
      <c r="F1105" s="84" t="str">
        <f ca="1">IF(D1105="Income",LOOKUP(E1105,Introduction!$A$11:$A$18,Introduction!$C$11:$C$18),IF(D1105="Expense",LOOKUP(E1105,Introduction!$D$11:$D$30,Introduction!$F$11:$F$30),"_"))</f>
        <v>_</v>
      </c>
      <c r="G1105" s="88"/>
      <c r="H1105" s="92"/>
      <c r="I1105" s="85">
        <f t="shared" ref="I1105:I1168" si="65">+I1104+H1105</f>
        <v>0</v>
      </c>
      <c r="J1105" s="93"/>
      <c r="K1105" s="85">
        <f t="shared" ref="K1105:K1168" si="66">IF(J1105=1,K1104+H1105,++K1104)</f>
        <v>0</v>
      </c>
      <c r="L1105" s="68"/>
      <c r="M1105" s="68"/>
      <c r="P1105" s="89" t="str">
        <f t="shared" si="64"/>
        <v xml:space="preserve">  1 1900 </v>
      </c>
    </row>
    <row r="1106" spans="1:16">
      <c r="A1106" s="68"/>
      <c r="B1106" s="87"/>
      <c r="C1106" s="88"/>
      <c r="D1106" s="88"/>
      <c r="E1106" s="90"/>
      <c r="F1106" s="84" t="str">
        <f ca="1">IF(D1106="Income",LOOKUP(E1106,Introduction!$A$11:$A$18,Introduction!$C$11:$C$18),IF(D1106="Expense",LOOKUP(E1106,Introduction!$D$11:$D$30,Introduction!$F$11:$F$30),"_"))</f>
        <v>_</v>
      </c>
      <c r="G1106" s="88"/>
      <c r="H1106" s="92"/>
      <c r="I1106" s="85">
        <f t="shared" si="65"/>
        <v>0</v>
      </c>
      <c r="J1106" s="93"/>
      <c r="K1106" s="85">
        <f t="shared" si="66"/>
        <v>0</v>
      </c>
      <c r="L1106" s="68"/>
      <c r="M1106" s="68"/>
      <c r="P1106" s="89" t="str">
        <f t="shared" si="64"/>
        <v xml:space="preserve">  1 1900 </v>
      </c>
    </row>
    <row r="1107" spans="1:16">
      <c r="A1107" s="68"/>
      <c r="B1107" s="87"/>
      <c r="C1107" s="88"/>
      <c r="D1107" s="88"/>
      <c r="E1107" s="90"/>
      <c r="F1107" s="84" t="str">
        <f ca="1">IF(D1107="Income",LOOKUP(E1107,Introduction!$A$11:$A$18,Introduction!$C$11:$C$18),IF(D1107="Expense",LOOKUP(E1107,Introduction!$D$11:$D$30,Introduction!$F$11:$F$30),"_"))</f>
        <v>_</v>
      </c>
      <c r="G1107" s="88"/>
      <c r="H1107" s="92"/>
      <c r="I1107" s="85">
        <f t="shared" si="65"/>
        <v>0</v>
      </c>
      <c r="J1107" s="93"/>
      <c r="K1107" s="85">
        <f t="shared" si="66"/>
        <v>0</v>
      </c>
      <c r="L1107" s="68"/>
      <c r="M1107" s="68"/>
      <c r="P1107" s="89" t="str">
        <f t="shared" si="64"/>
        <v xml:space="preserve">  1 1900 </v>
      </c>
    </row>
    <row r="1108" spans="1:16">
      <c r="A1108" s="68"/>
      <c r="B1108" s="87"/>
      <c r="C1108" s="88"/>
      <c r="D1108" s="88"/>
      <c r="E1108" s="90"/>
      <c r="F1108" s="84" t="str">
        <f ca="1">IF(D1108="Income",LOOKUP(E1108,Introduction!$A$11:$A$18,Introduction!$C$11:$C$18),IF(D1108="Expense",LOOKUP(E1108,Introduction!$D$11:$D$30,Introduction!$F$11:$F$30),"_"))</f>
        <v>_</v>
      </c>
      <c r="G1108" s="88"/>
      <c r="H1108" s="92"/>
      <c r="I1108" s="85">
        <f t="shared" si="65"/>
        <v>0</v>
      </c>
      <c r="J1108" s="93"/>
      <c r="K1108" s="85">
        <f t="shared" si="66"/>
        <v>0</v>
      </c>
      <c r="L1108" s="68"/>
      <c r="M1108" s="68"/>
      <c r="P1108" s="89" t="str">
        <f t="shared" si="64"/>
        <v xml:space="preserve">  1 1900 </v>
      </c>
    </row>
    <row r="1109" spans="1:16">
      <c r="A1109" s="68"/>
      <c r="B1109" s="87"/>
      <c r="C1109" s="88"/>
      <c r="D1109" s="88"/>
      <c r="E1109" s="90"/>
      <c r="F1109" s="84" t="str">
        <f ca="1">IF(D1109="Income",LOOKUP(E1109,Introduction!$A$11:$A$18,Introduction!$C$11:$C$18),IF(D1109="Expense",LOOKUP(E1109,Introduction!$D$11:$D$30,Introduction!$F$11:$F$30),"_"))</f>
        <v>_</v>
      </c>
      <c r="G1109" s="88"/>
      <c r="H1109" s="92"/>
      <c r="I1109" s="85">
        <f t="shared" si="65"/>
        <v>0</v>
      </c>
      <c r="J1109" s="93"/>
      <c r="K1109" s="85">
        <f t="shared" si="66"/>
        <v>0</v>
      </c>
      <c r="L1109" s="68"/>
      <c r="M1109" s="68"/>
      <c r="P1109" s="89" t="str">
        <f t="shared" si="64"/>
        <v xml:space="preserve">  1 1900 </v>
      </c>
    </row>
    <row r="1110" spans="1:16">
      <c r="A1110" s="68"/>
      <c r="B1110" s="87"/>
      <c r="C1110" s="88"/>
      <c r="D1110" s="88"/>
      <c r="E1110" s="90"/>
      <c r="F1110" s="84" t="str">
        <f ca="1">IF(D1110="Income",LOOKUP(E1110,Introduction!$A$11:$A$18,Introduction!$C$11:$C$18),IF(D1110="Expense",LOOKUP(E1110,Introduction!$D$11:$D$30,Introduction!$F$11:$F$30),"_"))</f>
        <v>_</v>
      </c>
      <c r="G1110" s="88"/>
      <c r="H1110" s="92"/>
      <c r="I1110" s="85">
        <f t="shared" si="65"/>
        <v>0</v>
      </c>
      <c r="J1110" s="93"/>
      <c r="K1110" s="85">
        <f t="shared" si="66"/>
        <v>0</v>
      </c>
      <c r="L1110" s="68"/>
      <c r="M1110" s="68"/>
      <c r="P1110" s="89" t="str">
        <f t="shared" si="64"/>
        <v xml:space="preserve">  1 1900 </v>
      </c>
    </row>
    <row r="1111" spans="1:16">
      <c r="A1111" s="68"/>
      <c r="B1111" s="87"/>
      <c r="C1111" s="88"/>
      <c r="D1111" s="88"/>
      <c r="E1111" s="90"/>
      <c r="F1111" s="84" t="str">
        <f ca="1">IF(D1111="Income",LOOKUP(E1111,Introduction!$A$11:$A$18,Introduction!$C$11:$C$18),IF(D1111="Expense",LOOKUP(E1111,Introduction!$D$11:$D$30,Introduction!$F$11:$F$30),"_"))</f>
        <v>_</v>
      </c>
      <c r="G1111" s="88"/>
      <c r="H1111" s="92"/>
      <c r="I1111" s="85">
        <f t="shared" si="65"/>
        <v>0</v>
      </c>
      <c r="J1111" s="93"/>
      <c r="K1111" s="85">
        <f t="shared" si="66"/>
        <v>0</v>
      </c>
      <c r="L1111" s="68"/>
      <c r="M1111" s="68"/>
      <c r="P1111" s="89" t="str">
        <f t="shared" si="64"/>
        <v xml:space="preserve">  1 1900 </v>
      </c>
    </row>
    <row r="1112" spans="1:16">
      <c r="A1112" s="68"/>
      <c r="B1112" s="87"/>
      <c r="C1112" s="88"/>
      <c r="D1112" s="88"/>
      <c r="E1112" s="90"/>
      <c r="F1112" s="84" t="str">
        <f ca="1">IF(D1112="Income",LOOKUP(E1112,Introduction!$A$11:$A$18,Introduction!$C$11:$C$18),IF(D1112="Expense",LOOKUP(E1112,Introduction!$D$11:$D$30,Introduction!$F$11:$F$30),"_"))</f>
        <v>_</v>
      </c>
      <c r="G1112" s="88"/>
      <c r="H1112" s="92"/>
      <c r="I1112" s="85">
        <f t="shared" si="65"/>
        <v>0</v>
      </c>
      <c r="J1112" s="93"/>
      <c r="K1112" s="85">
        <f t="shared" si="66"/>
        <v>0</v>
      </c>
      <c r="L1112" s="68"/>
      <c r="M1112" s="68"/>
      <c r="P1112" s="89" t="str">
        <f t="shared" si="64"/>
        <v xml:space="preserve">  1 1900 </v>
      </c>
    </row>
    <row r="1113" spans="1:16">
      <c r="A1113" s="68"/>
      <c r="B1113" s="87"/>
      <c r="C1113" s="88"/>
      <c r="D1113" s="88"/>
      <c r="E1113" s="90"/>
      <c r="F1113" s="84" t="str">
        <f ca="1">IF(D1113="Income",LOOKUP(E1113,Introduction!$A$11:$A$18,Introduction!$C$11:$C$18),IF(D1113="Expense",LOOKUP(E1113,Introduction!$D$11:$D$30,Introduction!$F$11:$F$30),"_"))</f>
        <v>_</v>
      </c>
      <c r="G1113" s="88"/>
      <c r="H1113" s="92"/>
      <c r="I1113" s="85">
        <f t="shared" si="65"/>
        <v>0</v>
      </c>
      <c r="J1113" s="93"/>
      <c r="K1113" s="85">
        <f t="shared" si="66"/>
        <v>0</v>
      </c>
      <c r="L1113" s="68"/>
      <c r="M1113" s="68"/>
      <c r="P1113" s="89" t="str">
        <f t="shared" si="64"/>
        <v xml:space="preserve">  1 1900 </v>
      </c>
    </row>
    <row r="1114" spans="1:16">
      <c r="A1114" s="68"/>
      <c r="B1114" s="87"/>
      <c r="C1114" s="88"/>
      <c r="D1114" s="88"/>
      <c r="E1114" s="90"/>
      <c r="F1114" s="84" t="str">
        <f ca="1">IF(D1114="Income",LOOKUP(E1114,Introduction!$A$11:$A$18,Introduction!$C$11:$C$18),IF(D1114="Expense",LOOKUP(E1114,Introduction!$D$11:$D$30,Introduction!$F$11:$F$30),"_"))</f>
        <v>_</v>
      </c>
      <c r="G1114" s="88"/>
      <c r="H1114" s="92"/>
      <c r="I1114" s="85">
        <f t="shared" si="65"/>
        <v>0</v>
      </c>
      <c r="J1114" s="93"/>
      <c r="K1114" s="85">
        <f t="shared" si="66"/>
        <v>0</v>
      </c>
      <c r="L1114" s="68"/>
      <c r="M1114" s="68"/>
      <c r="P1114" s="89" t="str">
        <f t="shared" si="64"/>
        <v xml:space="preserve">  1 1900 </v>
      </c>
    </row>
    <row r="1115" spans="1:16">
      <c r="A1115" s="68"/>
      <c r="B1115" s="87"/>
      <c r="C1115" s="88"/>
      <c r="D1115" s="88"/>
      <c r="E1115" s="90"/>
      <c r="F1115" s="84" t="str">
        <f ca="1">IF(D1115="Income",LOOKUP(E1115,Introduction!$A$11:$A$18,Introduction!$C$11:$C$18),IF(D1115="Expense",LOOKUP(E1115,Introduction!$D$11:$D$30,Introduction!$F$11:$F$30),"_"))</f>
        <v>_</v>
      </c>
      <c r="G1115" s="88"/>
      <c r="H1115" s="92"/>
      <c r="I1115" s="85">
        <f t="shared" si="65"/>
        <v>0</v>
      </c>
      <c r="J1115" s="93"/>
      <c r="K1115" s="85">
        <f t="shared" si="66"/>
        <v>0</v>
      </c>
      <c r="L1115" s="68"/>
      <c r="M1115" s="68"/>
      <c r="P1115" s="89" t="str">
        <f t="shared" si="64"/>
        <v xml:space="preserve">  1 1900 </v>
      </c>
    </row>
    <row r="1116" spans="1:16">
      <c r="A1116" s="68"/>
      <c r="B1116" s="87"/>
      <c r="C1116" s="88"/>
      <c r="D1116" s="88"/>
      <c r="E1116" s="90"/>
      <c r="F1116" s="84" t="str">
        <f ca="1">IF(D1116="Income",LOOKUP(E1116,Introduction!$A$11:$A$18,Introduction!$C$11:$C$18),IF(D1116="Expense",LOOKUP(E1116,Introduction!$D$11:$D$30,Introduction!$F$11:$F$30),"_"))</f>
        <v>_</v>
      </c>
      <c r="G1116" s="88"/>
      <c r="H1116" s="92"/>
      <c r="I1116" s="85">
        <f t="shared" si="65"/>
        <v>0</v>
      </c>
      <c r="J1116" s="93"/>
      <c r="K1116" s="85">
        <f t="shared" si="66"/>
        <v>0</v>
      </c>
      <c r="L1116" s="68"/>
      <c r="M1116" s="68"/>
      <c r="P1116" s="89" t="str">
        <f t="shared" si="64"/>
        <v xml:space="preserve">  1 1900 </v>
      </c>
    </row>
    <row r="1117" spans="1:16">
      <c r="A1117" s="68"/>
      <c r="B1117" s="87"/>
      <c r="C1117" s="88"/>
      <c r="D1117" s="88"/>
      <c r="E1117" s="90"/>
      <c r="F1117" s="84" t="str">
        <f ca="1">IF(D1117="Income",LOOKUP(E1117,Introduction!$A$11:$A$18,Introduction!$C$11:$C$18),IF(D1117="Expense",LOOKUP(E1117,Introduction!$D$11:$D$30,Introduction!$F$11:$F$30),"_"))</f>
        <v>_</v>
      </c>
      <c r="G1117" s="88"/>
      <c r="H1117" s="92"/>
      <c r="I1117" s="85">
        <f t="shared" si="65"/>
        <v>0</v>
      </c>
      <c r="J1117" s="93"/>
      <c r="K1117" s="85">
        <f t="shared" si="66"/>
        <v>0</v>
      </c>
      <c r="L1117" s="68"/>
      <c r="M1117" s="68"/>
      <c r="P1117" s="89" t="str">
        <f t="shared" si="64"/>
        <v xml:space="preserve">  1 1900 </v>
      </c>
    </row>
    <row r="1118" spans="1:16">
      <c r="A1118" s="68"/>
      <c r="B1118" s="87"/>
      <c r="C1118" s="88"/>
      <c r="D1118" s="88"/>
      <c r="E1118" s="90"/>
      <c r="F1118" s="84" t="str">
        <f ca="1">IF(D1118="Income",LOOKUP(E1118,Introduction!$A$11:$A$18,Introduction!$C$11:$C$18),IF(D1118="Expense",LOOKUP(E1118,Introduction!$D$11:$D$30,Introduction!$F$11:$F$30),"_"))</f>
        <v>_</v>
      </c>
      <c r="G1118" s="88"/>
      <c r="H1118" s="92"/>
      <c r="I1118" s="85">
        <f t="shared" si="65"/>
        <v>0</v>
      </c>
      <c r="J1118" s="93"/>
      <c r="K1118" s="85">
        <f t="shared" si="66"/>
        <v>0</v>
      </c>
      <c r="L1118" s="68"/>
      <c r="M1118" s="68"/>
      <c r="P1118" s="89" t="str">
        <f t="shared" si="64"/>
        <v xml:space="preserve">  1 1900 </v>
      </c>
    </row>
    <row r="1119" spans="1:16">
      <c r="A1119" s="68"/>
      <c r="B1119" s="87"/>
      <c r="C1119" s="88"/>
      <c r="D1119" s="88"/>
      <c r="E1119" s="90"/>
      <c r="F1119" s="84" t="str">
        <f ca="1">IF(D1119="Income",LOOKUP(E1119,Introduction!$A$11:$A$18,Introduction!$C$11:$C$18),IF(D1119="Expense",LOOKUP(E1119,Introduction!$D$11:$D$30,Introduction!$F$11:$F$30),"_"))</f>
        <v>_</v>
      </c>
      <c r="G1119" s="88"/>
      <c r="H1119" s="92"/>
      <c r="I1119" s="85">
        <f t="shared" si="65"/>
        <v>0</v>
      </c>
      <c r="J1119" s="93"/>
      <c r="K1119" s="85">
        <f t="shared" si="66"/>
        <v>0</v>
      </c>
      <c r="L1119" s="68"/>
      <c r="M1119" s="68"/>
      <c r="P1119" s="89" t="str">
        <f t="shared" si="64"/>
        <v xml:space="preserve">  1 1900 </v>
      </c>
    </row>
    <row r="1120" spans="1:16">
      <c r="A1120" s="68"/>
      <c r="B1120" s="87"/>
      <c r="C1120" s="88"/>
      <c r="D1120" s="88"/>
      <c r="E1120" s="90"/>
      <c r="F1120" s="84" t="str">
        <f ca="1">IF(D1120="Income",LOOKUP(E1120,Introduction!$A$11:$A$18,Introduction!$C$11:$C$18),IF(D1120="Expense",LOOKUP(E1120,Introduction!$D$11:$D$30,Introduction!$F$11:$F$30),"_"))</f>
        <v>_</v>
      </c>
      <c r="G1120" s="88"/>
      <c r="H1120" s="92"/>
      <c r="I1120" s="85">
        <f t="shared" si="65"/>
        <v>0</v>
      </c>
      <c r="J1120" s="93"/>
      <c r="K1120" s="85">
        <f t="shared" si="66"/>
        <v>0</v>
      </c>
      <c r="L1120" s="68"/>
      <c r="M1120" s="68"/>
      <c r="P1120" s="89" t="str">
        <f t="shared" si="64"/>
        <v xml:space="preserve">  1 1900 </v>
      </c>
    </row>
    <row r="1121" spans="1:16">
      <c r="A1121" s="68"/>
      <c r="B1121" s="87"/>
      <c r="C1121" s="88"/>
      <c r="D1121" s="88"/>
      <c r="E1121" s="90"/>
      <c r="F1121" s="84" t="str">
        <f ca="1">IF(D1121="Income",LOOKUP(E1121,Introduction!$A$11:$A$18,Introduction!$C$11:$C$18),IF(D1121="Expense",LOOKUP(E1121,Introduction!$D$11:$D$30,Introduction!$F$11:$F$30),"_"))</f>
        <v>_</v>
      </c>
      <c r="G1121" s="88"/>
      <c r="H1121" s="92"/>
      <c r="I1121" s="85">
        <f t="shared" si="65"/>
        <v>0</v>
      </c>
      <c r="J1121" s="93"/>
      <c r="K1121" s="85">
        <f t="shared" si="66"/>
        <v>0</v>
      </c>
      <c r="L1121" s="68"/>
      <c r="M1121" s="68"/>
      <c r="P1121" s="89" t="str">
        <f t="shared" si="64"/>
        <v xml:space="preserve">  1 1900 </v>
      </c>
    </row>
    <row r="1122" spans="1:16">
      <c r="A1122" s="68"/>
      <c r="B1122" s="87"/>
      <c r="C1122" s="88"/>
      <c r="D1122" s="88"/>
      <c r="E1122" s="90"/>
      <c r="F1122" s="84" t="str">
        <f ca="1">IF(D1122="Income",LOOKUP(E1122,Introduction!$A$11:$A$18,Introduction!$C$11:$C$18),IF(D1122="Expense",LOOKUP(E1122,Introduction!$D$11:$D$30,Introduction!$F$11:$F$30),"_"))</f>
        <v>_</v>
      </c>
      <c r="G1122" s="88"/>
      <c r="H1122" s="92"/>
      <c r="I1122" s="85">
        <f t="shared" si="65"/>
        <v>0</v>
      </c>
      <c r="J1122" s="93"/>
      <c r="K1122" s="85">
        <f t="shared" si="66"/>
        <v>0</v>
      </c>
      <c r="L1122" s="68"/>
      <c r="M1122" s="68"/>
      <c r="P1122" s="89" t="str">
        <f t="shared" si="64"/>
        <v xml:space="preserve">  1 1900 </v>
      </c>
    </row>
    <row r="1123" spans="1:16">
      <c r="A1123" s="68"/>
      <c r="B1123" s="87"/>
      <c r="C1123" s="88"/>
      <c r="D1123" s="88"/>
      <c r="E1123" s="90"/>
      <c r="F1123" s="84" t="str">
        <f ca="1">IF(D1123="Income",LOOKUP(E1123,Introduction!$A$11:$A$18,Introduction!$C$11:$C$18),IF(D1123="Expense",LOOKUP(E1123,Introduction!$D$11:$D$30,Introduction!$F$11:$F$30),"_"))</f>
        <v>_</v>
      </c>
      <c r="G1123" s="88"/>
      <c r="H1123" s="92"/>
      <c r="I1123" s="85">
        <f t="shared" si="65"/>
        <v>0</v>
      </c>
      <c r="J1123" s="93"/>
      <c r="K1123" s="85">
        <f t="shared" si="66"/>
        <v>0</v>
      </c>
      <c r="L1123" s="68"/>
      <c r="M1123" s="68"/>
      <c r="P1123" s="89" t="str">
        <f t="shared" si="64"/>
        <v xml:space="preserve">  1 1900 </v>
      </c>
    </row>
    <row r="1124" spans="1:16">
      <c r="A1124" s="68"/>
      <c r="B1124" s="87"/>
      <c r="C1124" s="88"/>
      <c r="D1124" s="88"/>
      <c r="E1124" s="90"/>
      <c r="F1124" s="84" t="str">
        <f ca="1">IF(D1124="Income",LOOKUP(E1124,Introduction!$A$11:$A$18,Introduction!$C$11:$C$18),IF(D1124="Expense",LOOKUP(E1124,Introduction!$D$11:$D$30,Introduction!$F$11:$F$30),"_"))</f>
        <v>_</v>
      </c>
      <c r="G1124" s="88"/>
      <c r="H1124" s="92"/>
      <c r="I1124" s="85">
        <f t="shared" si="65"/>
        <v>0</v>
      </c>
      <c r="J1124" s="93"/>
      <c r="K1124" s="85">
        <f t="shared" si="66"/>
        <v>0</v>
      </c>
      <c r="L1124" s="68"/>
      <c r="M1124" s="68"/>
      <c r="P1124" s="89" t="str">
        <f t="shared" si="64"/>
        <v xml:space="preserve">  1 1900 </v>
      </c>
    </row>
    <row r="1125" spans="1:16">
      <c r="A1125" s="68"/>
      <c r="B1125" s="87"/>
      <c r="C1125" s="88"/>
      <c r="D1125" s="88"/>
      <c r="E1125" s="90"/>
      <c r="F1125" s="84" t="str">
        <f ca="1">IF(D1125="Income",LOOKUP(E1125,Introduction!$A$11:$A$18,Introduction!$C$11:$C$18),IF(D1125="Expense",LOOKUP(E1125,Introduction!$D$11:$D$30,Introduction!$F$11:$F$30),"_"))</f>
        <v>_</v>
      </c>
      <c r="G1125" s="88"/>
      <c r="H1125" s="92"/>
      <c r="I1125" s="85">
        <f t="shared" si="65"/>
        <v>0</v>
      </c>
      <c r="J1125" s="93"/>
      <c r="K1125" s="85">
        <f t="shared" si="66"/>
        <v>0</v>
      </c>
      <c r="L1125" s="68"/>
      <c r="M1125" s="68"/>
      <c r="P1125" s="89" t="str">
        <f t="shared" si="64"/>
        <v xml:space="preserve">  1 1900 </v>
      </c>
    </row>
    <row r="1126" spans="1:16">
      <c r="A1126" s="68"/>
      <c r="B1126" s="87"/>
      <c r="C1126" s="88"/>
      <c r="D1126" s="88"/>
      <c r="E1126" s="90"/>
      <c r="F1126" s="84" t="str">
        <f ca="1">IF(D1126="Income",LOOKUP(E1126,Introduction!$A$11:$A$18,Introduction!$C$11:$C$18),IF(D1126="Expense",LOOKUP(E1126,Introduction!$D$11:$D$30,Introduction!$F$11:$F$30),"_"))</f>
        <v>_</v>
      </c>
      <c r="G1126" s="88"/>
      <c r="H1126" s="92"/>
      <c r="I1126" s="85">
        <f t="shared" si="65"/>
        <v>0</v>
      </c>
      <c r="J1126" s="93"/>
      <c r="K1126" s="85">
        <f t="shared" si="66"/>
        <v>0</v>
      </c>
      <c r="L1126" s="68"/>
      <c r="M1126" s="68"/>
      <c r="P1126" s="89" t="str">
        <f t="shared" si="64"/>
        <v xml:space="preserve">  1 1900 </v>
      </c>
    </row>
    <row r="1127" spans="1:16">
      <c r="A1127" s="68"/>
      <c r="B1127" s="87"/>
      <c r="C1127" s="88"/>
      <c r="D1127" s="88"/>
      <c r="E1127" s="90"/>
      <c r="F1127" s="84" t="str">
        <f ca="1">IF(D1127="Income",LOOKUP(E1127,Introduction!$A$11:$A$18,Introduction!$C$11:$C$18),IF(D1127="Expense",LOOKUP(E1127,Introduction!$D$11:$D$30,Introduction!$F$11:$F$30),"_"))</f>
        <v>_</v>
      </c>
      <c r="G1127" s="88"/>
      <c r="H1127" s="92"/>
      <c r="I1127" s="85">
        <f t="shared" si="65"/>
        <v>0</v>
      </c>
      <c r="J1127" s="93"/>
      <c r="K1127" s="85">
        <f t="shared" si="66"/>
        <v>0</v>
      </c>
      <c r="L1127" s="68"/>
      <c r="M1127" s="68"/>
      <c r="P1127" s="89" t="str">
        <f t="shared" si="64"/>
        <v xml:space="preserve">  1 1900 </v>
      </c>
    </row>
    <row r="1128" spans="1:16">
      <c r="A1128" s="68"/>
      <c r="B1128" s="87"/>
      <c r="C1128" s="88"/>
      <c r="D1128" s="88"/>
      <c r="E1128" s="90"/>
      <c r="F1128" s="84" t="str">
        <f ca="1">IF(D1128="Income",LOOKUP(E1128,Introduction!$A$11:$A$18,Introduction!$C$11:$C$18),IF(D1128="Expense",LOOKUP(E1128,Introduction!$D$11:$D$30,Introduction!$F$11:$F$30),"_"))</f>
        <v>_</v>
      </c>
      <c r="G1128" s="88"/>
      <c r="H1128" s="92"/>
      <c r="I1128" s="85">
        <f t="shared" si="65"/>
        <v>0</v>
      </c>
      <c r="J1128" s="93"/>
      <c r="K1128" s="85">
        <f t="shared" si="66"/>
        <v>0</v>
      </c>
      <c r="L1128" s="68"/>
      <c r="M1128" s="68"/>
      <c r="P1128" s="89" t="str">
        <f t="shared" si="64"/>
        <v xml:space="preserve">  1 1900 </v>
      </c>
    </row>
    <row r="1129" spans="1:16">
      <c r="A1129" s="68"/>
      <c r="B1129" s="87"/>
      <c r="C1129" s="88"/>
      <c r="D1129" s="88"/>
      <c r="E1129" s="90"/>
      <c r="F1129" s="84" t="str">
        <f ca="1">IF(D1129="Income",LOOKUP(E1129,Introduction!$A$11:$A$18,Introduction!$C$11:$C$18),IF(D1129="Expense",LOOKUP(E1129,Introduction!$D$11:$D$30,Introduction!$F$11:$F$30),"_"))</f>
        <v>_</v>
      </c>
      <c r="G1129" s="88"/>
      <c r="H1129" s="92"/>
      <c r="I1129" s="85">
        <f t="shared" si="65"/>
        <v>0</v>
      </c>
      <c r="J1129" s="93"/>
      <c r="K1129" s="85">
        <f t="shared" si="66"/>
        <v>0</v>
      </c>
      <c r="L1129" s="68"/>
      <c r="M1129" s="68"/>
      <c r="P1129" s="89" t="str">
        <f t="shared" si="64"/>
        <v xml:space="preserve">  1 1900 </v>
      </c>
    </row>
    <row r="1130" spans="1:16">
      <c r="A1130" s="68"/>
      <c r="B1130" s="87"/>
      <c r="C1130" s="88"/>
      <c r="D1130" s="88"/>
      <c r="E1130" s="90"/>
      <c r="F1130" s="84" t="str">
        <f ca="1">IF(D1130="Income",LOOKUP(E1130,Introduction!$A$11:$A$18,Introduction!$C$11:$C$18),IF(D1130="Expense",LOOKUP(E1130,Introduction!$D$11:$D$30,Introduction!$F$11:$F$30),"_"))</f>
        <v>_</v>
      </c>
      <c r="G1130" s="88"/>
      <c r="H1130" s="92"/>
      <c r="I1130" s="85">
        <f t="shared" si="65"/>
        <v>0</v>
      </c>
      <c r="J1130" s="93"/>
      <c r="K1130" s="85">
        <f t="shared" si="66"/>
        <v>0</v>
      </c>
      <c r="L1130" s="68"/>
      <c r="M1130" s="68"/>
      <c r="P1130" s="89" t="str">
        <f t="shared" si="64"/>
        <v xml:space="preserve">  1 1900 </v>
      </c>
    </row>
    <row r="1131" spans="1:16">
      <c r="A1131" s="68"/>
      <c r="B1131" s="87"/>
      <c r="C1131" s="88"/>
      <c r="D1131" s="88"/>
      <c r="E1131" s="90"/>
      <c r="F1131" s="84" t="str">
        <f ca="1">IF(D1131="Income",LOOKUP(E1131,Introduction!$A$11:$A$18,Introduction!$C$11:$C$18),IF(D1131="Expense",LOOKUP(E1131,Introduction!$D$11:$D$30,Introduction!$F$11:$F$30),"_"))</f>
        <v>_</v>
      </c>
      <c r="G1131" s="88"/>
      <c r="H1131" s="92"/>
      <c r="I1131" s="85">
        <f t="shared" si="65"/>
        <v>0</v>
      </c>
      <c r="J1131" s="93"/>
      <c r="K1131" s="85">
        <f t="shared" si="66"/>
        <v>0</v>
      </c>
      <c r="L1131" s="68"/>
      <c r="M1131" s="68"/>
      <c r="P1131" s="89" t="str">
        <f t="shared" si="64"/>
        <v xml:space="preserve">  1 1900 </v>
      </c>
    </row>
    <row r="1132" spans="1:16">
      <c r="A1132" s="68"/>
      <c r="B1132" s="87"/>
      <c r="C1132" s="88"/>
      <c r="D1132" s="88"/>
      <c r="E1132" s="90"/>
      <c r="F1132" s="84" t="str">
        <f ca="1">IF(D1132="Income",LOOKUP(E1132,Introduction!$A$11:$A$18,Introduction!$C$11:$C$18),IF(D1132="Expense",LOOKUP(E1132,Introduction!$D$11:$D$30,Introduction!$F$11:$F$30),"_"))</f>
        <v>_</v>
      </c>
      <c r="G1132" s="88"/>
      <c r="H1132" s="92"/>
      <c r="I1132" s="85">
        <f t="shared" si="65"/>
        <v>0</v>
      </c>
      <c r="J1132" s="93"/>
      <c r="K1132" s="85">
        <f t="shared" si="66"/>
        <v>0</v>
      </c>
      <c r="L1132" s="68"/>
      <c r="M1132" s="68"/>
      <c r="P1132" s="89" t="str">
        <f t="shared" si="64"/>
        <v xml:space="preserve">  1 1900 </v>
      </c>
    </row>
    <row r="1133" spans="1:16">
      <c r="A1133" s="68"/>
      <c r="B1133" s="87"/>
      <c r="C1133" s="88"/>
      <c r="D1133" s="88"/>
      <c r="E1133" s="90"/>
      <c r="F1133" s="84" t="str">
        <f ca="1">IF(D1133="Income",LOOKUP(E1133,Introduction!$A$11:$A$18,Introduction!$C$11:$C$18),IF(D1133="Expense",LOOKUP(E1133,Introduction!$D$11:$D$30,Introduction!$F$11:$F$30),"_"))</f>
        <v>_</v>
      </c>
      <c r="G1133" s="88"/>
      <c r="H1133" s="92"/>
      <c r="I1133" s="85">
        <f t="shared" si="65"/>
        <v>0</v>
      </c>
      <c r="J1133" s="93"/>
      <c r="K1133" s="85">
        <f t="shared" si="66"/>
        <v>0</v>
      </c>
      <c r="L1133" s="68"/>
      <c r="M1133" s="68"/>
      <c r="P1133" s="89" t="str">
        <f t="shared" si="64"/>
        <v xml:space="preserve">  1 1900 </v>
      </c>
    </row>
    <row r="1134" spans="1:16">
      <c r="A1134" s="68"/>
      <c r="B1134" s="87"/>
      <c r="C1134" s="88"/>
      <c r="D1134" s="88"/>
      <c r="E1134" s="90"/>
      <c r="F1134" s="84" t="str">
        <f ca="1">IF(D1134="Income",LOOKUP(E1134,Introduction!$A$11:$A$18,Introduction!$C$11:$C$18),IF(D1134="Expense",LOOKUP(E1134,Introduction!$D$11:$D$30,Introduction!$F$11:$F$30),"_"))</f>
        <v>_</v>
      </c>
      <c r="G1134" s="88"/>
      <c r="H1134" s="92"/>
      <c r="I1134" s="85">
        <f t="shared" si="65"/>
        <v>0</v>
      </c>
      <c r="J1134" s="93"/>
      <c r="K1134" s="85">
        <f t="shared" si="66"/>
        <v>0</v>
      </c>
      <c r="L1134" s="68"/>
      <c r="M1134" s="68"/>
      <c r="P1134" s="89" t="str">
        <f t="shared" si="64"/>
        <v xml:space="preserve">  1 1900 </v>
      </c>
    </row>
    <row r="1135" spans="1:16">
      <c r="A1135" s="68"/>
      <c r="B1135" s="87"/>
      <c r="C1135" s="88"/>
      <c r="D1135" s="88"/>
      <c r="E1135" s="90"/>
      <c r="F1135" s="84" t="str">
        <f ca="1">IF(D1135="Income",LOOKUP(E1135,Introduction!$A$11:$A$18,Introduction!$C$11:$C$18),IF(D1135="Expense",LOOKUP(E1135,Introduction!$D$11:$D$30,Introduction!$F$11:$F$30),"_"))</f>
        <v>_</v>
      </c>
      <c r="G1135" s="88"/>
      <c r="H1135" s="92"/>
      <c r="I1135" s="85">
        <f t="shared" si="65"/>
        <v>0</v>
      </c>
      <c r="J1135" s="93"/>
      <c r="K1135" s="85">
        <f t="shared" si="66"/>
        <v>0</v>
      </c>
      <c r="L1135" s="68"/>
      <c r="M1135" s="68"/>
      <c r="P1135" s="89" t="str">
        <f t="shared" si="64"/>
        <v xml:space="preserve">  1 1900 </v>
      </c>
    </row>
    <row r="1136" spans="1:16">
      <c r="A1136" s="68"/>
      <c r="B1136" s="87"/>
      <c r="C1136" s="88"/>
      <c r="D1136" s="88"/>
      <c r="E1136" s="90"/>
      <c r="F1136" s="84" t="str">
        <f ca="1">IF(D1136="Income",LOOKUP(E1136,Introduction!$A$11:$A$18,Introduction!$C$11:$C$18),IF(D1136="Expense",LOOKUP(E1136,Introduction!$D$11:$D$30,Introduction!$F$11:$F$30),"_"))</f>
        <v>_</v>
      </c>
      <c r="G1136" s="88"/>
      <c r="H1136" s="92"/>
      <c r="I1136" s="85">
        <f t="shared" si="65"/>
        <v>0</v>
      </c>
      <c r="J1136" s="93"/>
      <c r="K1136" s="85">
        <f t="shared" si="66"/>
        <v>0</v>
      </c>
      <c r="L1136" s="68"/>
      <c r="M1136" s="68"/>
      <c r="P1136" s="89" t="str">
        <f t="shared" si="64"/>
        <v xml:space="preserve">  1 1900 </v>
      </c>
    </row>
    <row r="1137" spans="1:16">
      <c r="A1137" s="68"/>
      <c r="B1137" s="87"/>
      <c r="C1137" s="88"/>
      <c r="D1137" s="88"/>
      <c r="E1137" s="90"/>
      <c r="F1137" s="84" t="str">
        <f ca="1">IF(D1137="Income",LOOKUP(E1137,Introduction!$A$11:$A$18,Introduction!$C$11:$C$18),IF(D1137="Expense",LOOKUP(E1137,Introduction!$D$11:$D$30,Introduction!$F$11:$F$30),"_"))</f>
        <v>_</v>
      </c>
      <c r="G1137" s="88"/>
      <c r="H1137" s="92"/>
      <c r="I1137" s="85">
        <f t="shared" si="65"/>
        <v>0</v>
      </c>
      <c r="J1137" s="93"/>
      <c r="K1137" s="85">
        <f t="shared" si="66"/>
        <v>0</v>
      </c>
      <c r="L1137" s="68"/>
      <c r="M1137" s="68"/>
      <c r="P1137" s="89" t="str">
        <f t="shared" si="64"/>
        <v xml:space="preserve">  1 1900 </v>
      </c>
    </row>
    <row r="1138" spans="1:16">
      <c r="A1138" s="68"/>
      <c r="B1138" s="87"/>
      <c r="C1138" s="88"/>
      <c r="D1138" s="88"/>
      <c r="E1138" s="90"/>
      <c r="F1138" s="84" t="str">
        <f ca="1">IF(D1138="Income",LOOKUP(E1138,Introduction!$A$11:$A$18,Introduction!$C$11:$C$18),IF(D1138="Expense",LOOKUP(E1138,Introduction!$D$11:$D$30,Introduction!$F$11:$F$30),"_"))</f>
        <v>_</v>
      </c>
      <c r="G1138" s="88"/>
      <c r="H1138" s="92"/>
      <c r="I1138" s="85">
        <f t="shared" si="65"/>
        <v>0</v>
      </c>
      <c r="J1138" s="93"/>
      <c r="K1138" s="85">
        <f t="shared" si="66"/>
        <v>0</v>
      </c>
      <c r="L1138" s="68"/>
      <c r="M1138" s="68"/>
      <c r="P1138" s="89" t="str">
        <f t="shared" si="64"/>
        <v xml:space="preserve">  1 1900 </v>
      </c>
    </row>
    <row r="1139" spans="1:16">
      <c r="A1139" s="68"/>
      <c r="B1139" s="87"/>
      <c r="C1139" s="88"/>
      <c r="D1139" s="88"/>
      <c r="E1139" s="90"/>
      <c r="F1139" s="84" t="str">
        <f ca="1">IF(D1139="Income",LOOKUP(E1139,Introduction!$A$11:$A$18,Introduction!$C$11:$C$18),IF(D1139="Expense",LOOKUP(E1139,Introduction!$D$11:$D$30,Introduction!$F$11:$F$30),"_"))</f>
        <v>_</v>
      </c>
      <c r="G1139" s="88"/>
      <c r="H1139" s="92"/>
      <c r="I1139" s="85">
        <f t="shared" si="65"/>
        <v>0</v>
      </c>
      <c r="J1139" s="93"/>
      <c r="K1139" s="85">
        <f t="shared" si="66"/>
        <v>0</v>
      </c>
      <c r="L1139" s="68"/>
      <c r="M1139" s="68"/>
      <c r="P1139" s="89" t="str">
        <f t="shared" si="64"/>
        <v xml:space="preserve">  1 1900 </v>
      </c>
    </row>
    <row r="1140" spans="1:16">
      <c r="A1140" s="68"/>
      <c r="B1140" s="87"/>
      <c r="C1140" s="88"/>
      <c r="D1140" s="88"/>
      <c r="E1140" s="90"/>
      <c r="F1140" s="84" t="str">
        <f ca="1">IF(D1140="Income",LOOKUP(E1140,Introduction!$A$11:$A$18,Introduction!$C$11:$C$18),IF(D1140="Expense",LOOKUP(E1140,Introduction!$D$11:$D$30,Introduction!$F$11:$F$30),"_"))</f>
        <v>_</v>
      </c>
      <c r="G1140" s="88"/>
      <c r="H1140" s="92"/>
      <c r="I1140" s="85">
        <f t="shared" si="65"/>
        <v>0</v>
      </c>
      <c r="J1140" s="93"/>
      <c r="K1140" s="85">
        <f t="shared" si="66"/>
        <v>0</v>
      </c>
      <c r="L1140" s="68"/>
      <c r="M1140" s="68"/>
      <c r="P1140" s="89" t="str">
        <f t="shared" si="64"/>
        <v xml:space="preserve">  1 1900 </v>
      </c>
    </row>
    <row r="1141" spans="1:16">
      <c r="A1141" s="68"/>
      <c r="B1141" s="87"/>
      <c r="C1141" s="88"/>
      <c r="D1141" s="88"/>
      <c r="E1141" s="90"/>
      <c r="F1141" s="84" t="str">
        <f ca="1">IF(D1141="Income",LOOKUP(E1141,Introduction!$A$11:$A$18,Introduction!$C$11:$C$18),IF(D1141="Expense",LOOKUP(E1141,Introduction!$D$11:$D$30,Introduction!$F$11:$F$30),"_"))</f>
        <v>_</v>
      </c>
      <c r="G1141" s="88"/>
      <c r="H1141" s="92"/>
      <c r="I1141" s="85">
        <f t="shared" si="65"/>
        <v>0</v>
      </c>
      <c r="J1141" s="93"/>
      <c r="K1141" s="85">
        <f t="shared" si="66"/>
        <v>0</v>
      </c>
      <c r="L1141" s="68"/>
      <c r="M1141" s="68"/>
      <c r="P1141" s="89" t="str">
        <f t="shared" si="64"/>
        <v xml:space="preserve">  1 1900 </v>
      </c>
    </row>
    <row r="1142" spans="1:16">
      <c r="A1142" s="68"/>
      <c r="B1142" s="87"/>
      <c r="C1142" s="88"/>
      <c r="D1142" s="88"/>
      <c r="E1142" s="90"/>
      <c r="F1142" s="84" t="str">
        <f ca="1">IF(D1142="Income",LOOKUP(E1142,Introduction!$A$11:$A$18,Introduction!$C$11:$C$18),IF(D1142="Expense",LOOKUP(E1142,Introduction!$D$11:$D$30,Introduction!$F$11:$F$30),"_"))</f>
        <v>_</v>
      </c>
      <c r="G1142" s="88"/>
      <c r="H1142" s="92"/>
      <c r="I1142" s="85">
        <f t="shared" si="65"/>
        <v>0</v>
      </c>
      <c r="J1142" s="93"/>
      <c r="K1142" s="85">
        <f t="shared" si="66"/>
        <v>0</v>
      </c>
      <c r="L1142" s="68"/>
      <c r="M1142" s="68"/>
      <c r="P1142" s="89" t="str">
        <f t="shared" si="64"/>
        <v xml:space="preserve">  1 1900 </v>
      </c>
    </row>
    <row r="1143" spans="1:16">
      <c r="A1143" s="68"/>
      <c r="B1143" s="87"/>
      <c r="C1143" s="88"/>
      <c r="D1143" s="88"/>
      <c r="E1143" s="90"/>
      <c r="F1143" s="84" t="str">
        <f ca="1">IF(D1143="Income",LOOKUP(E1143,Introduction!$A$11:$A$18,Introduction!$C$11:$C$18),IF(D1143="Expense",LOOKUP(E1143,Introduction!$D$11:$D$30,Introduction!$F$11:$F$30),"_"))</f>
        <v>_</v>
      </c>
      <c r="G1143" s="88"/>
      <c r="H1143" s="92"/>
      <c r="I1143" s="85">
        <f t="shared" si="65"/>
        <v>0</v>
      </c>
      <c r="J1143" s="93"/>
      <c r="K1143" s="85">
        <f t="shared" si="66"/>
        <v>0</v>
      </c>
      <c r="L1143" s="68"/>
      <c r="M1143" s="68"/>
      <c r="P1143" s="89" t="str">
        <f t="shared" si="64"/>
        <v xml:space="preserve">  1 1900 </v>
      </c>
    </row>
    <row r="1144" spans="1:16">
      <c r="A1144" s="68"/>
      <c r="B1144" s="87"/>
      <c r="C1144" s="88"/>
      <c r="D1144" s="88"/>
      <c r="E1144" s="90"/>
      <c r="F1144" s="84" t="str">
        <f ca="1">IF(D1144="Income",LOOKUP(E1144,Introduction!$A$11:$A$18,Introduction!$C$11:$C$18),IF(D1144="Expense",LOOKUP(E1144,Introduction!$D$11:$D$30,Introduction!$F$11:$F$30),"_"))</f>
        <v>_</v>
      </c>
      <c r="G1144" s="88"/>
      <c r="H1144" s="92"/>
      <c r="I1144" s="85">
        <f t="shared" si="65"/>
        <v>0</v>
      </c>
      <c r="J1144" s="93"/>
      <c r="K1144" s="85">
        <f t="shared" si="66"/>
        <v>0</v>
      </c>
      <c r="L1144" s="68"/>
      <c r="M1144" s="68"/>
      <c r="P1144" s="89" t="str">
        <f t="shared" si="64"/>
        <v xml:space="preserve">  1 1900 </v>
      </c>
    </row>
    <row r="1145" spans="1:16">
      <c r="A1145" s="68"/>
      <c r="B1145" s="87"/>
      <c r="C1145" s="88"/>
      <c r="D1145" s="88"/>
      <c r="E1145" s="90"/>
      <c r="F1145" s="84" t="str">
        <f ca="1">IF(D1145="Income",LOOKUP(E1145,Introduction!$A$11:$A$18,Introduction!$C$11:$C$18),IF(D1145="Expense",LOOKUP(E1145,Introduction!$D$11:$D$30,Introduction!$F$11:$F$30),"_"))</f>
        <v>_</v>
      </c>
      <c r="G1145" s="88"/>
      <c r="H1145" s="92"/>
      <c r="I1145" s="85">
        <f t="shared" si="65"/>
        <v>0</v>
      </c>
      <c r="J1145" s="93"/>
      <c r="K1145" s="85">
        <f t="shared" si="66"/>
        <v>0</v>
      </c>
      <c r="L1145" s="68"/>
      <c r="M1145" s="68"/>
      <c r="P1145" s="89" t="str">
        <f t="shared" si="64"/>
        <v xml:space="preserve">  1 1900 </v>
      </c>
    </row>
    <row r="1146" spans="1:16">
      <c r="A1146" s="68"/>
      <c r="B1146" s="87"/>
      <c r="C1146" s="88"/>
      <c r="D1146" s="88"/>
      <c r="E1146" s="90"/>
      <c r="F1146" s="84" t="str">
        <f ca="1">IF(D1146="Income",LOOKUP(E1146,Introduction!$A$11:$A$18,Introduction!$C$11:$C$18),IF(D1146="Expense",LOOKUP(E1146,Introduction!$D$11:$D$30,Introduction!$F$11:$F$30),"_"))</f>
        <v>_</v>
      </c>
      <c r="G1146" s="88"/>
      <c r="H1146" s="92"/>
      <c r="I1146" s="85">
        <f t="shared" si="65"/>
        <v>0</v>
      </c>
      <c r="J1146" s="93"/>
      <c r="K1146" s="85">
        <f t="shared" si="66"/>
        <v>0</v>
      </c>
      <c r="L1146" s="68"/>
      <c r="M1146" s="68"/>
      <c r="P1146" s="89" t="str">
        <f t="shared" si="64"/>
        <v xml:space="preserve">  1 1900 </v>
      </c>
    </row>
    <row r="1147" spans="1:16">
      <c r="A1147" s="68"/>
      <c r="B1147" s="87"/>
      <c r="C1147" s="88"/>
      <c r="D1147" s="88"/>
      <c r="E1147" s="90"/>
      <c r="F1147" s="84" t="str">
        <f ca="1">IF(D1147="Income",LOOKUP(E1147,Introduction!$A$11:$A$18,Introduction!$C$11:$C$18),IF(D1147="Expense",LOOKUP(E1147,Introduction!$D$11:$D$30,Introduction!$F$11:$F$30),"_"))</f>
        <v>_</v>
      </c>
      <c r="G1147" s="88"/>
      <c r="H1147" s="92"/>
      <c r="I1147" s="85">
        <f t="shared" si="65"/>
        <v>0</v>
      </c>
      <c r="J1147" s="93"/>
      <c r="K1147" s="85">
        <f t="shared" si="66"/>
        <v>0</v>
      </c>
      <c r="L1147" s="68"/>
      <c r="M1147" s="68"/>
      <c r="P1147" s="89" t="str">
        <f t="shared" si="64"/>
        <v xml:space="preserve">  1 1900 </v>
      </c>
    </row>
    <row r="1148" spans="1:16">
      <c r="A1148" s="68"/>
      <c r="B1148" s="87"/>
      <c r="C1148" s="88"/>
      <c r="D1148" s="88"/>
      <c r="E1148" s="90"/>
      <c r="F1148" s="84" t="str">
        <f ca="1">IF(D1148="Income",LOOKUP(E1148,Introduction!$A$11:$A$18,Introduction!$C$11:$C$18),IF(D1148="Expense",LOOKUP(E1148,Introduction!$D$11:$D$30,Introduction!$F$11:$F$30),"_"))</f>
        <v>_</v>
      </c>
      <c r="G1148" s="88"/>
      <c r="H1148" s="92"/>
      <c r="I1148" s="85">
        <f t="shared" si="65"/>
        <v>0</v>
      </c>
      <c r="J1148" s="93"/>
      <c r="K1148" s="85">
        <f t="shared" si="66"/>
        <v>0</v>
      </c>
      <c r="L1148" s="68"/>
      <c r="M1148" s="68"/>
      <c r="P1148" s="89" t="str">
        <f t="shared" si="64"/>
        <v xml:space="preserve">  1 1900 </v>
      </c>
    </row>
    <row r="1149" spans="1:16">
      <c r="A1149" s="68"/>
      <c r="B1149" s="87"/>
      <c r="C1149" s="88"/>
      <c r="D1149" s="88"/>
      <c r="E1149" s="90"/>
      <c r="F1149" s="84" t="str">
        <f ca="1">IF(D1149="Income",LOOKUP(E1149,Introduction!$A$11:$A$18,Introduction!$C$11:$C$18),IF(D1149="Expense",LOOKUP(E1149,Introduction!$D$11:$D$30,Introduction!$F$11:$F$30),"_"))</f>
        <v>_</v>
      </c>
      <c r="G1149" s="88"/>
      <c r="H1149" s="92"/>
      <c r="I1149" s="85">
        <f t="shared" si="65"/>
        <v>0</v>
      </c>
      <c r="J1149" s="93"/>
      <c r="K1149" s="85">
        <f t="shared" si="66"/>
        <v>0</v>
      </c>
      <c r="L1149" s="68"/>
      <c r="M1149" s="68"/>
      <c r="P1149" s="89" t="str">
        <f t="shared" si="64"/>
        <v xml:space="preserve">  1 1900 </v>
      </c>
    </row>
    <row r="1150" spans="1:16">
      <c r="A1150" s="68"/>
      <c r="B1150" s="87"/>
      <c r="C1150" s="88"/>
      <c r="D1150" s="88"/>
      <c r="E1150" s="90"/>
      <c r="F1150" s="84" t="str">
        <f ca="1">IF(D1150="Income",LOOKUP(E1150,Introduction!$A$11:$A$18,Introduction!$C$11:$C$18),IF(D1150="Expense",LOOKUP(E1150,Introduction!$D$11:$D$30,Introduction!$F$11:$F$30),"_"))</f>
        <v>_</v>
      </c>
      <c r="G1150" s="88"/>
      <c r="H1150" s="92"/>
      <c r="I1150" s="85">
        <f t="shared" si="65"/>
        <v>0</v>
      </c>
      <c r="J1150" s="93"/>
      <c r="K1150" s="85">
        <f t="shared" si="66"/>
        <v>0</v>
      </c>
      <c r="L1150" s="68"/>
      <c r="M1150" s="68"/>
      <c r="P1150" s="89" t="str">
        <f t="shared" si="64"/>
        <v xml:space="preserve">  1 1900 </v>
      </c>
    </row>
    <row r="1151" spans="1:16">
      <c r="A1151" s="68"/>
      <c r="B1151" s="87"/>
      <c r="C1151" s="88"/>
      <c r="D1151" s="88"/>
      <c r="E1151" s="90"/>
      <c r="F1151" s="84" t="str">
        <f ca="1">IF(D1151="Income",LOOKUP(E1151,Introduction!$A$11:$A$18,Introduction!$C$11:$C$18),IF(D1151="Expense",LOOKUP(E1151,Introduction!$D$11:$D$30,Introduction!$F$11:$F$30),"_"))</f>
        <v>_</v>
      </c>
      <c r="G1151" s="88"/>
      <c r="H1151" s="92"/>
      <c r="I1151" s="85">
        <f t="shared" si="65"/>
        <v>0</v>
      </c>
      <c r="J1151" s="93"/>
      <c r="K1151" s="85">
        <f t="shared" si="66"/>
        <v>0</v>
      </c>
      <c r="L1151" s="68"/>
      <c r="M1151" s="68"/>
      <c r="P1151" s="89" t="str">
        <f t="shared" si="64"/>
        <v xml:space="preserve">  1 1900 </v>
      </c>
    </row>
    <row r="1152" spans="1:16">
      <c r="A1152" s="68"/>
      <c r="B1152" s="87"/>
      <c r="C1152" s="88"/>
      <c r="D1152" s="88"/>
      <c r="E1152" s="90"/>
      <c r="F1152" s="84" t="str">
        <f ca="1">IF(D1152="Income",LOOKUP(E1152,Introduction!$A$11:$A$18,Introduction!$C$11:$C$18),IF(D1152="Expense",LOOKUP(E1152,Introduction!$D$11:$D$30,Introduction!$F$11:$F$30),"_"))</f>
        <v>_</v>
      </c>
      <c r="G1152" s="88"/>
      <c r="H1152" s="92"/>
      <c r="I1152" s="85">
        <f t="shared" si="65"/>
        <v>0</v>
      </c>
      <c r="J1152" s="93"/>
      <c r="K1152" s="85">
        <f t="shared" si="66"/>
        <v>0</v>
      </c>
      <c r="L1152" s="68"/>
      <c r="M1152" s="68"/>
      <c r="P1152" s="89" t="str">
        <f t="shared" si="64"/>
        <v xml:space="preserve">  1 1900 </v>
      </c>
    </row>
    <row r="1153" spans="1:16">
      <c r="A1153" s="68"/>
      <c r="B1153" s="87"/>
      <c r="C1153" s="88"/>
      <c r="D1153" s="88"/>
      <c r="E1153" s="90"/>
      <c r="F1153" s="84" t="str">
        <f ca="1">IF(D1153="Income",LOOKUP(E1153,Introduction!$A$11:$A$18,Introduction!$C$11:$C$18),IF(D1153="Expense",LOOKUP(E1153,Introduction!$D$11:$D$30,Introduction!$F$11:$F$30),"_"))</f>
        <v>_</v>
      </c>
      <c r="G1153" s="88"/>
      <c r="H1153" s="92"/>
      <c r="I1153" s="85">
        <f t="shared" si="65"/>
        <v>0</v>
      </c>
      <c r="J1153" s="93"/>
      <c r="K1153" s="85">
        <f t="shared" si="66"/>
        <v>0</v>
      </c>
      <c r="L1153" s="68"/>
      <c r="M1153" s="68"/>
      <c r="P1153" s="89" t="str">
        <f t="shared" si="64"/>
        <v xml:space="preserve">  1 1900 </v>
      </c>
    </row>
    <row r="1154" spans="1:16">
      <c r="A1154" s="68"/>
      <c r="B1154" s="87"/>
      <c r="C1154" s="88"/>
      <c r="D1154" s="88"/>
      <c r="E1154" s="90"/>
      <c r="F1154" s="84" t="str">
        <f ca="1">IF(D1154="Income",LOOKUP(E1154,Introduction!$A$11:$A$18,Introduction!$C$11:$C$18),IF(D1154="Expense",LOOKUP(E1154,Introduction!$D$11:$D$30,Introduction!$F$11:$F$30),"_"))</f>
        <v>_</v>
      </c>
      <c r="G1154" s="88"/>
      <c r="H1154" s="92"/>
      <c r="I1154" s="85">
        <f t="shared" si="65"/>
        <v>0</v>
      </c>
      <c r="J1154" s="93"/>
      <c r="K1154" s="85">
        <f t="shared" si="66"/>
        <v>0</v>
      </c>
      <c r="L1154" s="68"/>
      <c r="M1154" s="68"/>
      <c r="P1154" s="89" t="str">
        <f t="shared" si="64"/>
        <v xml:space="preserve">  1 1900 </v>
      </c>
    </row>
    <row r="1155" spans="1:16">
      <c r="A1155" s="68"/>
      <c r="B1155" s="87"/>
      <c r="C1155" s="88"/>
      <c r="D1155" s="88"/>
      <c r="E1155" s="90"/>
      <c r="F1155" s="84" t="str">
        <f ca="1">IF(D1155="Income",LOOKUP(E1155,Introduction!$A$11:$A$18,Introduction!$C$11:$C$18),IF(D1155="Expense",LOOKUP(E1155,Introduction!$D$11:$D$30,Introduction!$F$11:$F$30),"_"))</f>
        <v>_</v>
      </c>
      <c r="G1155" s="88"/>
      <c r="H1155" s="92"/>
      <c r="I1155" s="85">
        <f t="shared" si="65"/>
        <v>0</v>
      </c>
      <c r="J1155" s="93"/>
      <c r="K1155" s="85">
        <f t="shared" si="66"/>
        <v>0</v>
      </c>
      <c r="L1155" s="68"/>
      <c r="M1155" s="68"/>
      <c r="P1155" s="89" t="str">
        <f t="shared" si="64"/>
        <v xml:space="preserve">  1 1900 </v>
      </c>
    </row>
    <row r="1156" spans="1:16">
      <c r="A1156" s="68"/>
      <c r="B1156" s="87"/>
      <c r="C1156" s="88"/>
      <c r="D1156" s="88"/>
      <c r="E1156" s="90"/>
      <c r="F1156" s="84" t="str">
        <f ca="1">IF(D1156="Income",LOOKUP(E1156,Introduction!$A$11:$A$18,Introduction!$C$11:$C$18),IF(D1156="Expense",LOOKUP(E1156,Introduction!$D$11:$D$30,Introduction!$F$11:$F$30),"_"))</f>
        <v>_</v>
      </c>
      <c r="G1156" s="88"/>
      <c r="H1156" s="92"/>
      <c r="I1156" s="85">
        <f t="shared" si="65"/>
        <v>0</v>
      </c>
      <c r="J1156" s="93"/>
      <c r="K1156" s="85">
        <f t="shared" si="66"/>
        <v>0</v>
      </c>
      <c r="L1156" s="68"/>
      <c r="M1156" s="68"/>
      <c r="P1156" s="89" t="str">
        <f t="shared" si="64"/>
        <v xml:space="preserve">  1 1900 </v>
      </c>
    </row>
    <row r="1157" spans="1:16">
      <c r="A1157" s="68"/>
      <c r="B1157" s="87"/>
      <c r="C1157" s="88"/>
      <c r="D1157" s="88"/>
      <c r="E1157" s="90"/>
      <c r="F1157" s="84" t="str">
        <f ca="1">IF(D1157="Income",LOOKUP(E1157,Introduction!$A$11:$A$18,Introduction!$C$11:$C$18),IF(D1157="Expense",LOOKUP(E1157,Introduction!$D$11:$D$30,Introduction!$F$11:$F$30),"_"))</f>
        <v>_</v>
      </c>
      <c r="G1157" s="88"/>
      <c r="H1157" s="92"/>
      <c r="I1157" s="85">
        <f t="shared" si="65"/>
        <v>0</v>
      </c>
      <c r="J1157" s="93"/>
      <c r="K1157" s="85">
        <f t="shared" si="66"/>
        <v>0</v>
      </c>
      <c r="L1157" s="68"/>
      <c r="M1157" s="68"/>
      <c r="P1157" s="89" t="str">
        <f t="shared" si="64"/>
        <v xml:space="preserve">  1 1900 </v>
      </c>
    </row>
    <row r="1158" spans="1:16">
      <c r="A1158" s="68"/>
      <c r="B1158" s="87"/>
      <c r="C1158" s="88"/>
      <c r="D1158" s="88"/>
      <c r="E1158" s="90"/>
      <c r="F1158" s="84" t="str">
        <f ca="1">IF(D1158="Income",LOOKUP(E1158,Introduction!$A$11:$A$18,Introduction!$C$11:$C$18),IF(D1158="Expense",LOOKUP(E1158,Introduction!$D$11:$D$30,Introduction!$F$11:$F$30),"_"))</f>
        <v>_</v>
      </c>
      <c r="G1158" s="88"/>
      <c r="H1158" s="92"/>
      <c r="I1158" s="85">
        <f t="shared" si="65"/>
        <v>0</v>
      </c>
      <c r="J1158" s="93"/>
      <c r="K1158" s="85">
        <f t="shared" si="66"/>
        <v>0</v>
      </c>
      <c r="L1158" s="68"/>
      <c r="M1158" s="68"/>
      <c r="P1158" s="89" t="str">
        <f t="shared" si="64"/>
        <v xml:space="preserve">  1 1900 </v>
      </c>
    </row>
    <row r="1159" spans="1:16">
      <c r="A1159" s="68"/>
      <c r="B1159" s="87"/>
      <c r="C1159" s="88"/>
      <c r="D1159" s="88"/>
      <c r="E1159" s="90"/>
      <c r="F1159" s="84" t="str">
        <f ca="1">IF(D1159="Income",LOOKUP(E1159,Introduction!$A$11:$A$18,Introduction!$C$11:$C$18),IF(D1159="Expense",LOOKUP(E1159,Introduction!$D$11:$D$30,Introduction!$F$11:$F$30),"_"))</f>
        <v>_</v>
      </c>
      <c r="G1159" s="88"/>
      <c r="H1159" s="92"/>
      <c r="I1159" s="85">
        <f t="shared" si="65"/>
        <v>0</v>
      </c>
      <c r="J1159" s="93"/>
      <c r="K1159" s="85">
        <f t="shared" si="66"/>
        <v>0</v>
      </c>
      <c r="L1159" s="68"/>
      <c r="M1159" s="68"/>
      <c r="P1159" s="89" t="str">
        <f t="shared" ref="P1159:P1222" si="67">CONCATENATE(D1159," ",E1159," ",MONTH(C1159)," ",YEAR(C1159)," ")</f>
        <v xml:space="preserve">  1 1900 </v>
      </c>
    </row>
    <row r="1160" spans="1:16">
      <c r="A1160" s="68"/>
      <c r="B1160" s="87"/>
      <c r="C1160" s="88"/>
      <c r="D1160" s="88"/>
      <c r="E1160" s="90"/>
      <c r="F1160" s="84" t="str">
        <f ca="1">IF(D1160="Income",LOOKUP(E1160,Introduction!$A$11:$A$18,Introduction!$C$11:$C$18),IF(D1160="Expense",LOOKUP(E1160,Introduction!$D$11:$D$30,Introduction!$F$11:$F$30),"_"))</f>
        <v>_</v>
      </c>
      <c r="G1160" s="88"/>
      <c r="H1160" s="92"/>
      <c r="I1160" s="85">
        <f t="shared" si="65"/>
        <v>0</v>
      </c>
      <c r="J1160" s="93"/>
      <c r="K1160" s="85">
        <f t="shared" si="66"/>
        <v>0</v>
      </c>
      <c r="L1160" s="68"/>
      <c r="M1160" s="68"/>
      <c r="P1160" s="89" t="str">
        <f t="shared" si="67"/>
        <v xml:space="preserve">  1 1900 </v>
      </c>
    </row>
    <row r="1161" spans="1:16">
      <c r="A1161" s="68"/>
      <c r="B1161" s="87"/>
      <c r="C1161" s="88"/>
      <c r="D1161" s="88"/>
      <c r="E1161" s="90"/>
      <c r="F1161" s="84" t="str">
        <f ca="1">IF(D1161="Income",LOOKUP(E1161,Introduction!$A$11:$A$18,Introduction!$C$11:$C$18),IF(D1161="Expense",LOOKUP(E1161,Introduction!$D$11:$D$30,Introduction!$F$11:$F$30),"_"))</f>
        <v>_</v>
      </c>
      <c r="G1161" s="88"/>
      <c r="H1161" s="92"/>
      <c r="I1161" s="85">
        <f t="shared" si="65"/>
        <v>0</v>
      </c>
      <c r="J1161" s="93"/>
      <c r="K1161" s="85">
        <f t="shared" si="66"/>
        <v>0</v>
      </c>
      <c r="L1161" s="68"/>
      <c r="M1161" s="68"/>
      <c r="P1161" s="89" t="str">
        <f t="shared" si="67"/>
        <v xml:space="preserve">  1 1900 </v>
      </c>
    </row>
    <row r="1162" spans="1:16">
      <c r="A1162" s="68"/>
      <c r="B1162" s="87"/>
      <c r="C1162" s="88"/>
      <c r="D1162" s="88"/>
      <c r="E1162" s="90"/>
      <c r="F1162" s="84" t="str">
        <f ca="1">IF(D1162="Income",LOOKUP(E1162,Introduction!$A$11:$A$18,Introduction!$C$11:$C$18),IF(D1162="Expense",LOOKUP(E1162,Introduction!$D$11:$D$30,Introduction!$F$11:$F$30),"_"))</f>
        <v>_</v>
      </c>
      <c r="G1162" s="88"/>
      <c r="H1162" s="92"/>
      <c r="I1162" s="85">
        <f t="shared" si="65"/>
        <v>0</v>
      </c>
      <c r="J1162" s="93"/>
      <c r="K1162" s="85">
        <f t="shared" si="66"/>
        <v>0</v>
      </c>
      <c r="L1162" s="68"/>
      <c r="M1162" s="68"/>
      <c r="P1162" s="89" t="str">
        <f t="shared" si="67"/>
        <v xml:space="preserve">  1 1900 </v>
      </c>
    </row>
    <row r="1163" spans="1:16">
      <c r="A1163" s="68"/>
      <c r="B1163" s="87"/>
      <c r="C1163" s="88"/>
      <c r="D1163" s="88"/>
      <c r="E1163" s="90"/>
      <c r="F1163" s="84" t="str">
        <f ca="1">IF(D1163="Income",LOOKUP(E1163,Introduction!$A$11:$A$18,Introduction!$C$11:$C$18),IF(D1163="Expense",LOOKUP(E1163,Introduction!$D$11:$D$30,Introduction!$F$11:$F$30),"_"))</f>
        <v>_</v>
      </c>
      <c r="G1163" s="88"/>
      <c r="H1163" s="92"/>
      <c r="I1163" s="85">
        <f t="shared" si="65"/>
        <v>0</v>
      </c>
      <c r="J1163" s="93"/>
      <c r="K1163" s="85">
        <f t="shared" si="66"/>
        <v>0</v>
      </c>
      <c r="L1163" s="68"/>
      <c r="M1163" s="68"/>
      <c r="P1163" s="89" t="str">
        <f t="shared" si="67"/>
        <v xml:space="preserve">  1 1900 </v>
      </c>
    </row>
    <row r="1164" spans="1:16">
      <c r="A1164" s="68"/>
      <c r="B1164" s="87"/>
      <c r="C1164" s="88"/>
      <c r="D1164" s="88"/>
      <c r="E1164" s="90"/>
      <c r="F1164" s="84" t="str">
        <f ca="1">IF(D1164="Income",LOOKUP(E1164,Introduction!$A$11:$A$18,Introduction!$C$11:$C$18),IF(D1164="Expense",LOOKUP(E1164,Introduction!$D$11:$D$30,Introduction!$F$11:$F$30),"_"))</f>
        <v>_</v>
      </c>
      <c r="G1164" s="88"/>
      <c r="H1164" s="92"/>
      <c r="I1164" s="85">
        <f t="shared" si="65"/>
        <v>0</v>
      </c>
      <c r="J1164" s="93"/>
      <c r="K1164" s="85">
        <f t="shared" si="66"/>
        <v>0</v>
      </c>
      <c r="L1164" s="68"/>
      <c r="M1164" s="68"/>
      <c r="P1164" s="89" t="str">
        <f t="shared" si="67"/>
        <v xml:space="preserve">  1 1900 </v>
      </c>
    </row>
    <row r="1165" spans="1:16">
      <c r="A1165" s="68"/>
      <c r="B1165" s="87"/>
      <c r="C1165" s="88"/>
      <c r="D1165" s="88"/>
      <c r="E1165" s="90"/>
      <c r="F1165" s="84" t="str">
        <f ca="1">IF(D1165="Income",LOOKUP(E1165,Introduction!$A$11:$A$18,Introduction!$C$11:$C$18),IF(D1165="Expense",LOOKUP(E1165,Introduction!$D$11:$D$30,Introduction!$F$11:$F$30),"_"))</f>
        <v>_</v>
      </c>
      <c r="G1165" s="88"/>
      <c r="H1165" s="92"/>
      <c r="I1165" s="85">
        <f t="shared" si="65"/>
        <v>0</v>
      </c>
      <c r="J1165" s="93"/>
      <c r="K1165" s="85">
        <f t="shared" si="66"/>
        <v>0</v>
      </c>
      <c r="L1165" s="68"/>
      <c r="M1165" s="68"/>
      <c r="P1165" s="89" t="str">
        <f t="shared" si="67"/>
        <v xml:space="preserve">  1 1900 </v>
      </c>
    </row>
    <row r="1166" spans="1:16">
      <c r="A1166" s="68"/>
      <c r="B1166" s="87"/>
      <c r="C1166" s="88"/>
      <c r="D1166" s="88"/>
      <c r="E1166" s="90"/>
      <c r="F1166" s="84" t="str">
        <f ca="1">IF(D1166="Income",LOOKUP(E1166,Introduction!$A$11:$A$18,Introduction!$C$11:$C$18),IF(D1166="Expense",LOOKUP(E1166,Introduction!$D$11:$D$30,Introduction!$F$11:$F$30),"_"))</f>
        <v>_</v>
      </c>
      <c r="G1166" s="88"/>
      <c r="H1166" s="92"/>
      <c r="I1166" s="85">
        <f t="shared" si="65"/>
        <v>0</v>
      </c>
      <c r="J1166" s="93"/>
      <c r="K1166" s="85">
        <f t="shared" si="66"/>
        <v>0</v>
      </c>
      <c r="L1166" s="68"/>
      <c r="M1166" s="68"/>
      <c r="P1166" s="89" t="str">
        <f t="shared" si="67"/>
        <v xml:space="preserve">  1 1900 </v>
      </c>
    </row>
    <row r="1167" spans="1:16">
      <c r="A1167" s="68"/>
      <c r="B1167" s="87"/>
      <c r="C1167" s="88"/>
      <c r="D1167" s="88"/>
      <c r="E1167" s="90"/>
      <c r="F1167" s="84" t="str">
        <f ca="1">IF(D1167="Income",LOOKUP(E1167,Introduction!$A$11:$A$18,Introduction!$C$11:$C$18),IF(D1167="Expense",LOOKUP(E1167,Introduction!$D$11:$D$30,Introduction!$F$11:$F$30),"_"))</f>
        <v>_</v>
      </c>
      <c r="G1167" s="88"/>
      <c r="H1167" s="92"/>
      <c r="I1167" s="85">
        <f t="shared" si="65"/>
        <v>0</v>
      </c>
      <c r="J1167" s="93"/>
      <c r="K1167" s="85">
        <f t="shared" si="66"/>
        <v>0</v>
      </c>
      <c r="L1167" s="68"/>
      <c r="M1167" s="68"/>
      <c r="P1167" s="89" t="str">
        <f t="shared" si="67"/>
        <v xml:space="preserve">  1 1900 </v>
      </c>
    </row>
    <row r="1168" spans="1:16">
      <c r="A1168" s="68"/>
      <c r="B1168" s="87"/>
      <c r="C1168" s="88"/>
      <c r="D1168" s="88"/>
      <c r="E1168" s="90"/>
      <c r="F1168" s="84" t="str">
        <f ca="1">IF(D1168="Income",LOOKUP(E1168,Introduction!$A$11:$A$18,Introduction!$C$11:$C$18),IF(D1168="Expense",LOOKUP(E1168,Introduction!$D$11:$D$30,Introduction!$F$11:$F$30),"_"))</f>
        <v>_</v>
      </c>
      <c r="G1168" s="88"/>
      <c r="H1168" s="92"/>
      <c r="I1168" s="85">
        <f t="shared" si="65"/>
        <v>0</v>
      </c>
      <c r="J1168" s="93"/>
      <c r="K1168" s="85">
        <f t="shared" si="66"/>
        <v>0</v>
      </c>
      <c r="L1168" s="68"/>
      <c r="M1168" s="68"/>
      <c r="P1168" s="89" t="str">
        <f t="shared" si="67"/>
        <v xml:space="preserve">  1 1900 </v>
      </c>
    </row>
    <row r="1169" spans="1:16">
      <c r="A1169" s="68"/>
      <c r="B1169" s="87"/>
      <c r="C1169" s="88"/>
      <c r="D1169" s="88"/>
      <c r="E1169" s="90"/>
      <c r="F1169" s="84" t="str">
        <f ca="1">IF(D1169="Income",LOOKUP(E1169,Introduction!$A$11:$A$18,Introduction!$C$11:$C$18),IF(D1169="Expense",LOOKUP(E1169,Introduction!$D$11:$D$30,Introduction!$F$11:$F$30),"_"))</f>
        <v>_</v>
      </c>
      <c r="G1169" s="88"/>
      <c r="H1169" s="92"/>
      <c r="I1169" s="85">
        <f t="shared" ref="I1169:I1232" si="68">+I1168+H1169</f>
        <v>0</v>
      </c>
      <c r="J1169" s="93"/>
      <c r="K1169" s="85">
        <f t="shared" ref="K1169:K1232" si="69">IF(J1169=1,K1168+H1169,++K1168)</f>
        <v>0</v>
      </c>
      <c r="L1169" s="68"/>
      <c r="M1169" s="68"/>
      <c r="P1169" s="89" t="str">
        <f t="shared" si="67"/>
        <v xml:space="preserve">  1 1900 </v>
      </c>
    </row>
    <row r="1170" spans="1:16">
      <c r="A1170" s="68"/>
      <c r="B1170" s="87"/>
      <c r="C1170" s="88"/>
      <c r="D1170" s="88"/>
      <c r="E1170" s="90"/>
      <c r="F1170" s="84" t="str">
        <f ca="1">IF(D1170="Income",LOOKUP(E1170,Introduction!$A$11:$A$18,Introduction!$C$11:$C$18),IF(D1170="Expense",LOOKUP(E1170,Introduction!$D$11:$D$30,Introduction!$F$11:$F$30),"_"))</f>
        <v>_</v>
      </c>
      <c r="G1170" s="88"/>
      <c r="H1170" s="92"/>
      <c r="I1170" s="85">
        <f t="shared" si="68"/>
        <v>0</v>
      </c>
      <c r="J1170" s="93"/>
      <c r="K1170" s="85">
        <f t="shared" si="69"/>
        <v>0</v>
      </c>
      <c r="L1170" s="68"/>
      <c r="M1170" s="68"/>
      <c r="P1170" s="89" t="str">
        <f t="shared" si="67"/>
        <v xml:space="preserve">  1 1900 </v>
      </c>
    </row>
    <row r="1171" spans="1:16">
      <c r="A1171" s="68"/>
      <c r="B1171" s="87"/>
      <c r="C1171" s="88"/>
      <c r="D1171" s="88"/>
      <c r="E1171" s="90"/>
      <c r="F1171" s="84" t="str">
        <f ca="1">IF(D1171="Income",LOOKUP(E1171,Introduction!$A$11:$A$18,Introduction!$C$11:$C$18),IF(D1171="Expense",LOOKUP(E1171,Introduction!$D$11:$D$30,Introduction!$F$11:$F$30),"_"))</f>
        <v>_</v>
      </c>
      <c r="G1171" s="88"/>
      <c r="H1171" s="92"/>
      <c r="I1171" s="85">
        <f t="shared" si="68"/>
        <v>0</v>
      </c>
      <c r="J1171" s="93"/>
      <c r="K1171" s="85">
        <f t="shared" si="69"/>
        <v>0</v>
      </c>
      <c r="L1171" s="68"/>
      <c r="M1171" s="68"/>
      <c r="P1171" s="89" t="str">
        <f t="shared" si="67"/>
        <v xml:space="preserve">  1 1900 </v>
      </c>
    </row>
    <row r="1172" spans="1:16">
      <c r="A1172" s="68"/>
      <c r="B1172" s="87"/>
      <c r="C1172" s="88"/>
      <c r="D1172" s="88"/>
      <c r="E1172" s="90"/>
      <c r="F1172" s="84" t="str">
        <f ca="1">IF(D1172="Income",LOOKUP(E1172,Introduction!$A$11:$A$18,Introduction!$C$11:$C$18),IF(D1172="Expense",LOOKUP(E1172,Introduction!$D$11:$D$30,Introduction!$F$11:$F$30),"_"))</f>
        <v>_</v>
      </c>
      <c r="G1172" s="88"/>
      <c r="H1172" s="92"/>
      <c r="I1172" s="85">
        <f t="shared" si="68"/>
        <v>0</v>
      </c>
      <c r="J1172" s="93"/>
      <c r="K1172" s="85">
        <f t="shared" si="69"/>
        <v>0</v>
      </c>
      <c r="L1172" s="68"/>
      <c r="M1172" s="68"/>
      <c r="P1172" s="89" t="str">
        <f t="shared" si="67"/>
        <v xml:space="preserve">  1 1900 </v>
      </c>
    </row>
    <row r="1173" spans="1:16">
      <c r="A1173" s="68"/>
      <c r="B1173" s="87"/>
      <c r="C1173" s="88"/>
      <c r="D1173" s="88"/>
      <c r="E1173" s="90"/>
      <c r="F1173" s="84" t="str">
        <f ca="1">IF(D1173="Income",LOOKUP(E1173,Introduction!$A$11:$A$18,Introduction!$C$11:$C$18),IF(D1173="Expense",LOOKUP(E1173,Introduction!$D$11:$D$30,Introduction!$F$11:$F$30),"_"))</f>
        <v>_</v>
      </c>
      <c r="G1173" s="88"/>
      <c r="H1173" s="92"/>
      <c r="I1173" s="85">
        <f t="shared" si="68"/>
        <v>0</v>
      </c>
      <c r="J1173" s="93"/>
      <c r="K1173" s="85">
        <f t="shared" si="69"/>
        <v>0</v>
      </c>
      <c r="L1173" s="68"/>
      <c r="M1173" s="68"/>
      <c r="P1173" s="89" t="str">
        <f t="shared" si="67"/>
        <v xml:space="preserve">  1 1900 </v>
      </c>
    </row>
    <row r="1174" spans="1:16">
      <c r="A1174" s="68"/>
      <c r="B1174" s="87"/>
      <c r="C1174" s="88"/>
      <c r="D1174" s="88"/>
      <c r="E1174" s="90"/>
      <c r="F1174" s="84" t="str">
        <f ca="1">IF(D1174="Income",LOOKUP(E1174,Introduction!$A$11:$A$18,Introduction!$C$11:$C$18),IF(D1174="Expense",LOOKUP(E1174,Introduction!$D$11:$D$30,Introduction!$F$11:$F$30),"_"))</f>
        <v>_</v>
      </c>
      <c r="G1174" s="88"/>
      <c r="H1174" s="92"/>
      <c r="I1174" s="85">
        <f t="shared" si="68"/>
        <v>0</v>
      </c>
      <c r="J1174" s="93"/>
      <c r="K1174" s="85">
        <f t="shared" si="69"/>
        <v>0</v>
      </c>
      <c r="L1174" s="68"/>
      <c r="M1174" s="68"/>
      <c r="P1174" s="89" t="str">
        <f t="shared" si="67"/>
        <v xml:space="preserve">  1 1900 </v>
      </c>
    </row>
    <row r="1175" spans="1:16">
      <c r="A1175" s="68"/>
      <c r="B1175" s="87"/>
      <c r="C1175" s="88"/>
      <c r="D1175" s="88"/>
      <c r="E1175" s="90"/>
      <c r="F1175" s="84" t="str">
        <f ca="1">IF(D1175="Income",LOOKUP(E1175,Introduction!$A$11:$A$18,Introduction!$C$11:$C$18),IF(D1175="Expense",LOOKUP(E1175,Introduction!$D$11:$D$30,Introduction!$F$11:$F$30),"_"))</f>
        <v>_</v>
      </c>
      <c r="G1175" s="88"/>
      <c r="H1175" s="92"/>
      <c r="I1175" s="85">
        <f t="shared" si="68"/>
        <v>0</v>
      </c>
      <c r="J1175" s="93"/>
      <c r="K1175" s="85">
        <f t="shared" si="69"/>
        <v>0</v>
      </c>
      <c r="L1175" s="68"/>
      <c r="M1175" s="68"/>
      <c r="P1175" s="89" t="str">
        <f t="shared" si="67"/>
        <v xml:space="preserve">  1 1900 </v>
      </c>
    </row>
    <row r="1176" spans="1:16">
      <c r="A1176" s="68"/>
      <c r="B1176" s="87"/>
      <c r="C1176" s="88"/>
      <c r="D1176" s="88"/>
      <c r="E1176" s="90"/>
      <c r="F1176" s="84" t="str">
        <f ca="1">IF(D1176="Income",LOOKUP(E1176,Introduction!$A$11:$A$18,Introduction!$C$11:$C$18),IF(D1176="Expense",LOOKUP(E1176,Introduction!$D$11:$D$30,Introduction!$F$11:$F$30),"_"))</f>
        <v>_</v>
      </c>
      <c r="G1176" s="88"/>
      <c r="H1176" s="92"/>
      <c r="I1176" s="85">
        <f t="shared" si="68"/>
        <v>0</v>
      </c>
      <c r="J1176" s="93"/>
      <c r="K1176" s="85">
        <f t="shared" si="69"/>
        <v>0</v>
      </c>
      <c r="L1176" s="68"/>
      <c r="M1176" s="68"/>
      <c r="P1176" s="89" t="str">
        <f t="shared" si="67"/>
        <v xml:space="preserve">  1 1900 </v>
      </c>
    </row>
    <row r="1177" spans="1:16">
      <c r="A1177" s="68"/>
      <c r="B1177" s="87"/>
      <c r="C1177" s="88"/>
      <c r="D1177" s="88"/>
      <c r="E1177" s="90"/>
      <c r="F1177" s="84" t="str">
        <f ca="1">IF(D1177="Income",LOOKUP(E1177,Introduction!$A$11:$A$18,Introduction!$C$11:$C$18),IF(D1177="Expense",LOOKUP(E1177,Introduction!$D$11:$D$30,Introduction!$F$11:$F$30),"_"))</f>
        <v>_</v>
      </c>
      <c r="G1177" s="88"/>
      <c r="H1177" s="92"/>
      <c r="I1177" s="85">
        <f t="shared" si="68"/>
        <v>0</v>
      </c>
      <c r="J1177" s="93"/>
      <c r="K1177" s="85">
        <f t="shared" si="69"/>
        <v>0</v>
      </c>
      <c r="L1177" s="68"/>
      <c r="M1177" s="68"/>
      <c r="P1177" s="89" t="str">
        <f t="shared" si="67"/>
        <v xml:space="preserve">  1 1900 </v>
      </c>
    </row>
    <row r="1178" spans="1:16">
      <c r="A1178" s="68"/>
      <c r="B1178" s="87"/>
      <c r="C1178" s="88"/>
      <c r="D1178" s="88"/>
      <c r="E1178" s="90"/>
      <c r="F1178" s="84" t="str">
        <f ca="1">IF(D1178="Income",LOOKUP(E1178,Introduction!$A$11:$A$18,Introduction!$C$11:$C$18),IF(D1178="Expense",LOOKUP(E1178,Introduction!$D$11:$D$30,Introduction!$F$11:$F$30),"_"))</f>
        <v>_</v>
      </c>
      <c r="G1178" s="88"/>
      <c r="H1178" s="92"/>
      <c r="I1178" s="85">
        <f t="shared" si="68"/>
        <v>0</v>
      </c>
      <c r="J1178" s="93"/>
      <c r="K1178" s="85">
        <f t="shared" si="69"/>
        <v>0</v>
      </c>
      <c r="L1178" s="68"/>
      <c r="M1178" s="68"/>
      <c r="P1178" s="89" t="str">
        <f t="shared" si="67"/>
        <v xml:space="preserve">  1 1900 </v>
      </c>
    </row>
    <row r="1179" spans="1:16">
      <c r="A1179" s="68"/>
      <c r="B1179" s="87"/>
      <c r="C1179" s="88"/>
      <c r="D1179" s="88"/>
      <c r="E1179" s="90"/>
      <c r="F1179" s="84" t="str">
        <f ca="1">IF(D1179="Income",LOOKUP(E1179,Introduction!$A$11:$A$18,Introduction!$C$11:$C$18),IF(D1179="Expense",LOOKUP(E1179,Introduction!$D$11:$D$30,Introduction!$F$11:$F$30),"_"))</f>
        <v>_</v>
      </c>
      <c r="G1179" s="88"/>
      <c r="H1179" s="92"/>
      <c r="I1179" s="85">
        <f t="shared" si="68"/>
        <v>0</v>
      </c>
      <c r="J1179" s="93"/>
      <c r="K1179" s="85">
        <f t="shared" si="69"/>
        <v>0</v>
      </c>
      <c r="L1179" s="68"/>
      <c r="M1179" s="68"/>
      <c r="P1179" s="89" t="str">
        <f t="shared" si="67"/>
        <v xml:space="preserve">  1 1900 </v>
      </c>
    </row>
    <row r="1180" spans="1:16">
      <c r="A1180" s="68"/>
      <c r="B1180" s="87"/>
      <c r="C1180" s="88"/>
      <c r="D1180" s="88"/>
      <c r="E1180" s="90"/>
      <c r="F1180" s="84" t="str">
        <f ca="1">IF(D1180="Income",LOOKUP(E1180,Introduction!$A$11:$A$18,Introduction!$C$11:$C$18),IF(D1180="Expense",LOOKUP(E1180,Introduction!$D$11:$D$30,Introduction!$F$11:$F$30),"_"))</f>
        <v>_</v>
      </c>
      <c r="G1180" s="88"/>
      <c r="H1180" s="92"/>
      <c r="I1180" s="85">
        <f t="shared" si="68"/>
        <v>0</v>
      </c>
      <c r="J1180" s="93"/>
      <c r="K1180" s="85">
        <f t="shared" si="69"/>
        <v>0</v>
      </c>
      <c r="L1180" s="68"/>
      <c r="M1180" s="68"/>
      <c r="P1180" s="89" t="str">
        <f t="shared" si="67"/>
        <v xml:space="preserve">  1 1900 </v>
      </c>
    </row>
    <row r="1181" spans="1:16">
      <c r="A1181" s="68"/>
      <c r="B1181" s="87"/>
      <c r="C1181" s="88"/>
      <c r="D1181" s="88"/>
      <c r="E1181" s="90"/>
      <c r="F1181" s="84" t="str">
        <f ca="1">IF(D1181="Income",LOOKUP(E1181,Introduction!$A$11:$A$18,Introduction!$C$11:$C$18),IF(D1181="Expense",LOOKUP(E1181,Introduction!$D$11:$D$30,Introduction!$F$11:$F$30),"_"))</f>
        <v>_</v>
      </c>
      <c r="G1181" s="88"/>
      <c r="H1181" s="92"/>
      <c r="I1181" s="85">
        <f t="shared" si="68"/>
        <v>0</v>
      </c>
      <c r="J1181" s="93"/>
      <c r="K1181" s="85">
        <f t="shared" si="69"/>
        <v>0</v>
      </c>
      <c r="L1181" s="68"/>
      <c r="M1181" s="68"/>
      <c r="P1181" s="89" t="str">
        <f t="shared" si="67"/>
        <v xml:space="preserve">  1 1900 </v>
      </c>
    </row>
    <row r="1182" spans="1:16">
      <c r="A1182" s="68"/>
      <c r="B1182" s="87"/>
      <c r="C1182" s="88"/>
      <c r="D1182" s="88"/>
      <c r="E1182" s="90"/>
      <c r="F1182" s="84" t="str">
        <f ca="1">IF(D1182="Income",LOOKUP(E1182,Introduction!$A$11:$A$18,Introduction!$C$11:$C$18),IF(D1182="Expense",LOOKUP(E1182,Introduction!$D$11:$D$30,Introduction!$F$11:$F$30),"_"))</f>
        <v>_</v>
      </c>
      <c r="G1182" s="88"/>
      <c r="H1182" s="92"/>
      <c r="I1182" s="85">
        <f t="shared" si="68"/>
        <v>0</v>
      </c>
      <c r="J1182" s="93"/>
      <c r="K1182" s="85">
        <f t="shared" si="69"/>
        <v>0</v>
      </c>
      <c r="L1182" s="68"/>
      <c r="M1182" s="68"/>
      <c r="P1182" s="89" t="str">
        <f t="shared" si="67"/>
        <v xml:space="preserve">  1 1900 </v>
      </c>
    </row>
    <row r="1183" spans="1:16">
      <c r="A1183" s="68"/>
      <c r="B1183" s="87"/>
      <c r="C1183" s="88"/>
      <c r="D1183" s="88"/>
      <c r="E1183" s="90"/>
      <c r="F1183" s="84" t="str">
        <f ca="1">IF(D1183="Income",LOOKUP(E1183,Introduction!$A$11:$A$18,Introduction!$C$11:$C$18),IF(D1183="Expense",LOOKUP(E1183,Introduction!$D$11:$D$30,Introduction!$F$11:$F$30),"_"))</f>
        <v>_</v>
      </c>
      <c r="G1183" s="88"/>
      <c r="H1183" s="92"/>
      <c r="I1183" s="85">
        <f t="shared" si="68"/>
        <v>0</v>
      </c>
      <c r="J1183" s="93"/>
      <c r="K1183" s="85">
        <f t="shared" si="69"/>
        <v>0</v>
      </c>
      <c r="L1183" s="68"/>
      <c r="M1183" s="68"/>
      <c r="P1183" s="89" t="str">
        <f t="shared" si="67"/>
        <v xml:space="preserve">  1 1900 </v>
      </c>
    </row>
    <row r="1184" spans="1:16">
      <c r="A1184" s="68"/>
      <c r="B1184" s="87"/>
      <c r="C1184" s="88"/>
      <c r="D1184" s="88"/>
      <c r="E1184" s="90"/>
      <c r="F1184" s="84" t="str">
        <f ca="1">IF(D1184="Income",LOOKUP(E1184,Introduction!$A$11:$A$18,Introduction!$C$11:$C$18),IF(D1184="Expense",LOOKUP(E1184,Introduction!$D$11:$D$30,Introduction!$F$11:$F$30),"_"))</f>
        <v>_</v>
      </c>
      <c r="G1184" s="88"/>
      <c r="H1184" s="92"/>
      <c r="I1184" s="85">
        <f t="shared" si="68"/>
        <v>0</v>
      </c>
      <c r="J1184" s="93"/>
      <c r="K1184" s="85">
        <f t="shared" si="69"/>
        <v>0</v>
      </c>
      <c r="L1184" s="68"/>
      <c r="M1184" s="68"/>
      <c r="P1184" s="89" t="str">
        <f t="shared" si="67"/>
        <v xml:space="preserve">  1 1900 </v>
      </c>
    </row>
    <row r="1185" spans="1:16">
      <c r="A1185" s="68"/>
      <c r="B1185" s="87"/>
      <c r="C1185" s="88"/>
      <c r="D1185" s="88"/>
      <c r="E1185" s="90"/>
      <c r="F1185" s="84" t="str">
        <f ca="1">IF(D1185="Income",LOOKUP(E1185,Introduction!$A$11:$A$18,Introduction!$C$11:$C$18),IF(D1185="Expense",LOOKUP(E1185,Introduction!$D$11:$D$30,Introduction!$F$11:$F$30),"_"))</f>
        <v>_</v>
      </c>
      <c r="G1185" s="88"/>
      <c r="H1185" s="92"/>
      <c r="I1185" s="85">
        <f t="shared" si="68"/>
        <v>0</v>
      </c>
      <c r="J1185" s="93"/>
      <c r="K1185" s="85">
        <f t="shared" si="69"/>
        <v>0</v>
      </c>
      <c r="L1185" s="68"/>
      <c r="M1185" s="68"/>
      <c r="P1185" s="89" t="str">
        <f t="shared" si="67"/>
        <v xml:space="preserve">  1 1900 </v>
      </c>
    </row>
    <row r="1186" spans="1:16">
      <c r="A1186" s="68"/>
      <c r="B1186" s="87"/>
      <c r="C1186" s="88"/>
      <c r="D1186" s="88"/>
      <c r="E1186" s="90"/>
      <c r="F1186" s="84" t="str">
        <f ca="1">IF(D1186="Income",LOOKUP(E1186,Introduction!$A$11:$A$18,Introduction!$C$11:$C$18),IF(D1186="Expense",LOOKUP(E1186,Introduction!$D$11:$D$30,Introduction!$F$11:$F$30),"_"))</f>
        <v>_</v>
      </c>
      <c r="G1186" s="88"/>
      <c r="H1186" s="92"/>
      <c r="I1186" s="85">
        <f t="shared" si="68"/>
        <v>0</v>
      </c>
      <c r="J1186" s="93"/>
      <c r="K1186" s="85">
        <f t="shared" si="69"/>
        <v>0</v>
      </c>
      <c r="L1186" s="68"/>
      <c r="M1186" s="68"/>
      <c r="P1186" s="89" t="str">
        <f t="shared" si="67"/>
        <v xml:space="preserve">  1 1900 </v>
      </c>
    </row>
    <row r="1187" spans="1:16">
      <c r="A1187" s="68"/>
      <c r="B1187" s="87"/>
      <c r="C1187" s="88"/>
      <c r="D1187" s="88"/>
      <c r="E1187" s="90"/>
      <c r="F1187" s="84" t="str">
        <f ca="1">IF(D1187="Income",LOOKUP(E1187,Introduction!$A$11:$A$18,Introduction!$C$11:$C$18),IF(D1187="Expense",LOOKUP(E1187,Introduction!$D$11:$D$30,Introduction!$F$11:$F$30),"_"))</f>
        <v>_</v>
      </c>
      <c r="G1187" s="88"/>
      <c r="H1187" s="92"/>
      <c r="I1187" s="85">
        <f t="shared" si="68"/>
        <v>0</v>
      </c>
      <c r="J1187" s="93"/>
      <c r="K1187" s="85">
        <f t="shared" si="69"/>
        <v>0</v>
      </c>
      <c r="L1187" s="68"/>
      <c r="M1187" s="68"/>
      <c r="P1187" s="89" t="str">
        <f t="shared" si="67"/>
        <v xml:space="preserve">  1 1900 </v>
      </c>
    </row>
    <row r="1188" spans="1:16">
      <c r="A1188" s="68"/>
      <c r="B1188" s="87"/>
      <c r="C1188" s="88"/>
      <c r="D1188" s="88"/>
      <c r="E1188" s="90"/>
      <c r="F1188" s="84" t="str">
        <f ca="1">IF(D1188="Income",LOOKUP(E1188,Introduction!$A$11:$A$18,Introduction!$C$11:$C$18),IF(D1188="Expense",LOOKUP(E1188,Introduction!$D$11:$D$30,Introduction!$F$11:$F$30),"_"))</f>
        <v>_</v>
      </c>
      <c r="G1188" s="88"/>
      <c r="H1188" s="92"/>
      <c r="I1188" s="85">
        <f t="shared" si="68"/>
        <v>0</v>
      </c>
      <c r="J1188" s="93"/>
      <c r="K1188" s="85">
        <f t="shared" si="69"/>
        <v>0</v>
      </c>
      <c r="L1188" s="68"/>
      <c r="M1188" s="68"/>
      <c r="P1188" s="89" t="str">
        <f t="shared" si="67"/>
        <v xml:space="preserve">  1 1900 </v>
      </c>
    </row>
    <row r="1189" spans="1:16">
      <c r="A1189" s="68"/>
      <c r="B1189" s="87"/>
      <c r="C1189" s="88"/>
      <c r="D1189" s="88"/>
      <c r="E1189" s="90"/>
      <c r="F1189" s="84" t="str">
        <f ca="1">IF(D1189="Income",LOOKUP(E1189,Introduction!$A$11:$A$18,Introduction!$C$11:$C$18),IF(D1189="Expense",LOOKUP(E1189,Introduction!$D$11:$D$30,Introduction!$F$11:$F$30),"_"))</f>
        <v>_</v>
      </c>
      <c r="G1189" s="88"/>
      <c r="H1189" s="92"/>
      <c r="I1189" s="85">
        <f t="shared" si="68"/>
        <v>0</v>
      </c>
      <c r="J1189" s="93"/>
      <c r="K1189" s="85">
        <f t="shared" si="69"/>
        <v>0</v>
      </c>
      <c r="L1189" s="68"/>
      <c r="M1189" s="68"/>
      <c r="P1189" s="89" t="str">
        <f t="shared" si="67"/>
        <v xml:space="preserve">  1 1900 </v>
      </c>
    </row>
    <row r="1190" spans="1:16">
      <c r="A1190" s="68"/>
      <c r="B1190" s="87"/>
      <c r="C1190" s="88"/>
      <c r="D1190" s="88"/>
      <c r="E1190" s="90"/>
      <c r="F1190" s="84" t="str">
        <f ca="1">IF(D1190="Income",LOOKUP(E1190,Introduction!$A$11:$A$18,Introduction!$C$11:$C$18),IF(D1190="Expense",LOOKUP(E1190,Introduction!$D$11:$D$30,Introduction!$F$11:$F$30),"_"))</f>
        <v>_</v>
      </c>
      <c r="G1190" s="88"/>
      <c r="H1190" s="92"/>
      <c r="I1190" s="85">
        <f t="shared" si="68"/>
        <v>0</v>
      </c>
      <c r="J1190" s="93"/>
      <c r="K1190" s="85">
        <f t="shared" si="69"/>
        <v>0</v>
      </c>
      <c r="L1190" s="68"/>
      <c r="M1190" s="68"/>
      <c r="P1190" s="89" t="str">
        <f t="shared" si="67"/>
        <v xml:space="preserve">  1 1900 </v>
      </c>
    </row>
    <row r="1191" spans="1:16">
      <c r="A1191" s="68"/>
      <c r="B1191" s="87"/>
      <c r="C1191" s="88"/>
      <c r="D1191" s="88"/>
      <c r="E1191" s="90"/>
      <c r="F1191" s="84" t="str">
        <f ca="1">IF(D1191="Income",LOOKUP(E1191,Introduction!$A$11:$A$18,Introduction!$C$11:$C$18),IF(D1191="Expense",LOOKUP(E1191,Introduction!$D$11:$D$30,Introduction!$F$11:$F$30),"_"))</f>
        <v>_</v>
      </c>
      <c r="G1191" s="88"/>
      <c r="H1191" s="92"/>
      <c r="I1191" s="85">
        <f t="shared" si="68"/>
        <v>0</v>
      </c>
      <c r="J1191" s="93"/>
      <c r="K1191" s="85">
        <f t="shared" si="69"/>
        <v>0</v>
      </c>
      <c r="L1191" s="68"/>
      <c r="M1191" s="68"/>
      <c r="P1191" s="89" t="str">
        <f t="shared" si="67"/>
        <v xml:space="preserve">  1 1900 </v>
      </c>
    </row>
    <row r="1192" spans="1:16">
      <c r="A1192" s="68"/>
      <c r="B1192" s="87"/>
      <c r="C1192" s="88"/>
      <c r="D1192" s="88"/>
      <c r="E1192" s="90"/>
      <c r="F1192" s="84" t="str">
        <f ca="1">IF(D1192="Income",LOOKUP(E1192,Introduction!$A$11:$A$18,Introduction!$C$11:$C$18),IF(D1192="Expense",LOOKUP(E1192,Introduction!$D$11:$D$30,Introduction!$F$11:$F$30),"_"))</f>
        <v>_</v>
      </c>
      <c r="G1192" s="88"/>
      <c r="H1192" s="92"/>
      <c r="I1192" s="85">
        <f t="shared" si="68"/>
        <v>0</v>
      </c>
      <c r="J1192" s="93"/>
      <c r="K1192" s="85">
        <f t="shared" si="69"/>
        <v>0</v>
      </c>
      <c r="L1192" s="68"/>
      <c r="M1192" s="68"/>
      <c r="P1192" s="89" t="str">
        <f t="shared" si="67"/>
        <v xml:space="preserve">  1 1900 </v>
      </c>
    </row>
    <row r="1193" spans="1:16">
      <c r="A1193" s="68"/>
      <c r="B1193" s="87"/>
      <c r="C1193" s="88"/>
      <c r="D1193" s="88"/>
      <c r="E1193" s="90"/>
      <c r="F1193" s="84" t="str">
        <f ca="1">IF(D1193="Income",LOOKUP(E1193,Introduction!$A$11:$A$18,Introduction!$C$11:$C$18),IF(D1193="Expense",LOOKUP(E1193,Introduction!$D$11:$D$30,Introduction!$F$11:$F$30),"_"))</f>
        <v>_</v>
      </c>
      <c r="G1193" s="88"/>
      <c r="H1193" s="92"/>
      <c r="I1193" s="85">
        <f t="shared" si="68"/>
        <v>0</v>
      </c>
      <c r="J1193" s="93"/>
      <c r="K1193" s="85">
        <f t="shared" si="69"/>
        <v>0</v>
      </c>
      <c r="L1193" s="68"/>
      <c r="M1193" s="68"/>
      <c r="P1193" s="89" t="str">
        <f t="shared" si="67"/>
        <v xml:space="preserve">  1 1900 </v>
      </c>
    </row>
    <row r="1194" spans="1:16">
      <c r="A1194" s="68"/>
      <c r="B1194" s="87"/>
      <c r="C1194" s="88"/>
      <c r="D1194" s="88"/>
      <c r="E1194" s="90"/>
      <c r="F1194" s="84" t="str">
        <f ca="1">IF(D1194="Income",LOOKUP(E1194,Introduction!$A$11:$A$18,Introduction!$C$11:$C$18),IF(D1194="Expense",LOOKUP(E1194,Introduction!$D$11:$D$30,Introduction!$F$11:$F$30),"_"))</f>
        <v>_</v>
      </c>
      <c r="G1194" s="88"/>
      <c r="H1194" s="92"/>
      <c r="I1194" s="85">
        <f t="shared" si="68"/>
        <v>0</v>
      </c>
      <c r="J1194" s="93"/>
      <c r="K1194" s="85">
        <f t="shared" si="69"/>
        <v>0</v>
      </c>
      <c r="L1194" s="68"/>
      <c r="M1194" s="68"/>
      <c r="P1194" s="89" t="str">
        <f t="shared" si="67"/>
        <v xml:space="preserve">  1 1900 </v>
      </c>
    </row>
    <row r="1195" spans="1:16">
      <c r="A1195" s="68"/>
      <c r="B1195" s="87"/>
      <c r="C1195" s="88"/>
      <c r="D1195" s="88"/>
      <c r="E1195" s="90"/>
      <c r="F1195" s="84" t="str">
        <f ca="1">IF(D1195="Income",LOOKUP(E1195,Introduction!$A$11:$A$18,Introduction!$C$11:$C$18),IF(D1195="Expense",LOOKUP(E1195,Introduction!$D$11:$D$30,Introduction!$F$11:$F$30),"_"))</f>
        <v>_</v>
      </c>
      <c r="G1195" s="88"/>
      <c r="H1195" s="92"/>
      <c r="I1195" s="85">
        <f t="shared" si="68"/>
        <v>0</v>
      </c>
      <c r="J1195" s="93"/>
      <c r="K1195" s="85">
        <f t="shared" si="69"/>
        <v>0</v>
      </c>
      <c r="L1195" s="68"/>
      <c r="M1195" s="68"/>
      <c r="P1195" s="89" t="str">
        <f t="shared" si="67"/>
        <v xml:space="preserve">  1 1900 </v>
      </c>
    </row>
    <row r="1196" spans="1:16">
      <c r="A1196" s="68"/>
      <c r="B1196" s="87"/>
      <c r="C1196" s="88"/>
      <c r="D1196" s="88"/>
      <c r="E1196" s="90"/>
      <c r="F1196" s="84" t="str">
        <f ca="1">IF(D1196="Income",LOOKUP(E1196,Introduction!$A$11:$A$18,Introduction!$C$11:$C$18),IF(D1196="Expense",LOOKUP(E1196,Introduction!$D$11:$D$30,Introduction!$F$11:$F$30),"_"))</f>
        <v>_</v>
      </c>
      <c r="G1196" s="88"/>
      <c r="H1196" s="92"/>
      <c r="I1196" s="85">
        <f t="shared" si="68"/>
        <v>0</v>
      </c>
      <c r="J1196" s="93"/>
      <c r="K1196" s="85">
        <f t="shared" si="69"/>
        <v>0</v>
      </c>
      <c r="L1196" s="68"/>
      <c r="M1196" s="68"/>
      <c r="P1196" s="89" t="str">
        <f t="shared" si="67"/>
        <v xml:space="preserve">  1 1900 </v>
      </c>
    </row>
    <row r="1197" spans="1:16">
      <c r="A1197" s="68"/>
      <c r="B1197" s="87"/>
      <c r="C1197" s="88"/>
      <c r="D1197" s="88"/>
      <c r="E1197" s="90"/>
      <c r="F1197" s="84" t="str">
        <f ca="1">IF(D1197="Income",LOOKUP(E1197,Introduction!$A$11:$A$18,Introduction!$C$11:$C$18),IF(D1197="Expense",LOOKUP(E1197,Introduction!$D$11:$D$30,Introduction!$F$11:$F$30),"_"))</f>
        <v>_</v>
      </c>
      <c r="G1197" s="88"/>
      <c r="H1197" s="92"/>
      <c r="I1197" s="85">
        <f t="shared" si="68"/>
        <v>0</v>
      </c>
      <c r="J1197" s="93"/>
      <c r="K1197" s="85">
        <f t="shared" si="69"/>
        <v>0</v>
      </c>
      <c r="L1197" s="68"/>
      <c r="M1197" s="68"/>
      <c r="P1197" s="89" t="str">
        <f t="shared" si="67"/>
        <v xml:space="preserve">  1 1900 </v>
      </c>
    </row>
    <row r="1198" spans="1:16">
      <c r="A1198" s="68"/>
      <c r="B1198" s="87"/>
      <c r="C1198" s="88"/>
      <c r="D1198" s="88"/>
      <c r="E1198" s="90"/>
      <c r="F1198" s="84" t="str">
        <f ca="1">IF(D1198="Income",LOOKUP(E1198,Introduction!$A$11:$A$18,Introduction!$C$11:$C$18),IF(D1198="Expense",LOOKUP(E1198,Introduction!$D$11:$D$30,Introduction!$F$11:$F$30),"_"))</f>
        <v>_</v>
      </c>
      <c r="G1198" s="88"/>
      <c r="H1198" s="92"/>
      <c r="I1198" s="85">
        <f t="shared" si="68"/>
        <v>0</v>
      </c>
      <c r="J1198" s="93"/>
      <c r="K1198" s="85">
        <f t="shared" si="69"/>
        <v>0</v>
      </c>
      <c r="L1198" s="68"/>
      <c r="M1198" s="68"/>
      <c r="P1198" s="89" t="str">
        <f t="shared" si="67"/>
        <v xml:space="preserve">  1 1900 </v>
      </c>
    </row>
    <row r="1199" spans="1:16">
      <c r="A1199" s="68"/>
      <c r="B1199" s="87"/>
      <c r="C1199" s="88"/>
      <c r="D1199" s="88"/>
      <c r="E1199" s="90"/>
      <c r="F1199" s="84" t="str">
        <f ca="1">IF(D1199="Income",LOOKUP(E1199,Introduction!$A$11:$A$18,Introduction!$C$11:$C$18),IF(D1199="Expense",LOOKUP(E1199,Introduction!$D$11:$D$30,Introduction!$F$11:$F$30),"_"))</f>
        <v>_</v>
      </c>
      <c r="G1199" s="88"/>
      <c r="H1199" s="92"/>
      <c r="I1199" s="85">
        <f t="shared" si="68"/>
        <v>0</v>
      </c>
      <c r="J1199" s="93"/>
      <c r="K1199" s="85">
        <f t="shared" si="69"/>
        <v>0</v>
      </c>
      <c r="L1199" s="68"/>
      <c r="M1199" s="68"/>
      <c r="P1199" s="89" t="str">
        <f t="shared" si="67"/>
        <v xml:space="preserve">  1 1900 </v>
      </c>
    </row>
    <row r="1200" spans="1:16">
      <c r="A1200" s="68"/>
      <c r="B1200" s="87"/>
      <c r="C1200" s="88"/>
      <c r="D1200" s="88"/>
      <c r="E1200" s="90"/>
      <c r="F1200" s="84" t="str">
        <f ca="1">IF(D1200="Income",LOOKUP(E1200,Introduction!$A$11:$A$18,Introduction!$C$11:$C$18),IF(D1200="Expense",LOOKUP(E1200,Introduction!$D$11:$D$30,Introduction!$F$11:$F$30),"_"))</f>
        <v>_</v>
      </c>
      <c r="G1200" s="88"/>
      <c r="H1200" s="92"/>
      <c r="I1200" s="85">
        <f t="shared" si="68"/>
        <v>0</v>
      </c>
      <c r="J1200" s="93"/>
      <c r="K1200" s="85">
        <f t="shared" si="69"/>
        <v>0</v>
      </c>
      <c r="L1200" s="68"/>
      <c r="M1200" s="68"/>
      <c r="P1200" s="89" t="str">
        <f t="shared" si="67"/>
        <v xml:space="preserve">  1 1900 </v>
      </c>
    </row>
    <row r="1201" spans="1:16">
      <c r="A1201" s="68"/>
      <c r="B1201" s="87"/>
      <c r="C1201" s="88"/>
      <c r="D1201" s="88"/>
      <c r="E1201" s="90"/>
      <c r="F1201" s="84" t="str">
        <f ca="1">IF(D1201="Income",LOOKUP(E1201,Introduction!$A$11:$A$18,Introduction!$C$11:$C$18),IF(D1201="Expense",LOOKUP(E1201,Introduction!$D$11:$D$30,Introduction!$F$11:$F$30),"_"))</f>
        <v>_</v>
      </c>
      <c r="G1201" s="88"/>
      <c r="H1201" s="92"/>
      <c r="I1201" s="85">
        <f t="shared" si="68"/>
        <v>0</v>
      </c>
      <c r="J1201" s="93"/>
      <c r="K1201" s="85">
        <f t="shared" si="69"/>
        <v>0</v>
      </c>
      <c r="L1201" s="68"/>
      <c r="M1201" s="68"/>
      <c r="P1201" s="89" t="str">
        <f t="shared" si="67"/>
        <v xml:space="preserve">  1 1900 </v>
      </c>
    </row>
    <row r="1202" spans="1:16">
      <c r="A1202" s="68"/>
      <c r="B1202" s="87"/>
      <c r="C1202" s="88"/>
      <c r="D1202" s="88"/>
      <c r="E1202" s="90"/>
      <c r="F1202" s="84" t="str">
        <f ca="1">IF(D1202="Income",LOOKUP(E1202,Introduction!$A$11:$A$18,Introduction!$C$11:$C$18),IF(D1202="Expense",LOOKUP(E1202,Introduction!$D$11:$D$30,Introduction!$F$11:$F$30),"_"))</f>
        <v>_</v>
      </c>
      <c r="G1202" s="88"/>
      <c r="H1202" s="92"/>
      <c r="I1202" s="85">
        <f t="shared" si="68"/>
        <v>0</v>
      </c>
      <c r="J1202" s="93"/>
      <c r="K1202" s="85">
        <f t="shared" si="69"/>
        <v>0</v>
      </c>
      <c r="L1202" s="68"/>
      <c r="M1202" s="68"/>
      <c r="P1202" s="89" t="str">
        <f t="shared" si="67"/>
        <v xml:space="preserve">  1 1900 </v>
      </c>
    </row>
    <row r="1203" spans="1:16">
      <c r="A1203" s="68"/>
      <c r="B1203" s="87"/>
      <c r="C1203" s="88"/>
      <c r="D1203" s="88"/>
      <c r="E1203" s="90"/>
      <c r="F1203" s="84" t="str">
        <f ca="1">IF(D1203="Income",LOOKUP(E1203,Introduction!$A$11:$A$18,Introduction!$C$11:$C$18),IF(D1203="Expense",LOOKUP(E1203,Introduction!$D$11:$D$30,Introduction!$F$11:$F$30),"_"))</f>
        <v>_</v>
      </c>
      <c r="G1203" s="88"/>
      <c r="H1203" s="92"/>
      <c r="I1203" s="85">
        <f t="shared" si="68"/>
        <v>0</v>
      </c>
      <c r="J1203" s="93"/>
      <c r="K1203" s="85">
        <f t="shared" si="69"/>
        <v>0</v>
      </c>
      <c r="L1203" s="68"/>
      <c r="M1203" s="68"/>
      <c r="P1203" s="89" t="str">
        <f t="shared" si="67"/>
        <v xml:space="preserve">  1 1900 </v>
      </c>
    </row>
    <row r="1204" spans="1:16">
      <c r="A1204" s="68"/>
      <c r="B1204" s="87"/>
      <c r="C1204" s="88"/>
      <c r="D1204" s="88"/>
      <c r="E1204" s="90"/>
      <c r="F1204" s="84" t="str">
        <f ca="1">IF(D1204="Income",LOOKUP(E1204,Introduction!$A$11:$A$18,Introduction!$C$11:$C$18),IF(D1204="Expense",LOOKUP(E1204,Introduction!$D$11:$D$30,Introduction!$F$11:$F$30),"_"))</f>
        <v>_</v>
      </c>
      <c r="G1204" s="88"/>
      <c r="H1204" s="92"/>
      <c r="I1204" s="85">
        <f t="shared" si="68"/>
        <v>0</v>
      </c>
      <c r="J1204" s="93"/>
      <c r="K1204" s="85">
        <f t="shared" si="69"/>
        <v>0</v>
      </c>
      <c r="L1204" s="68"/>
      <c r="M1204" s="68"/>
      <c r="P1204" s="89" t="str">
        <f t="shared" si="67"/>
        <v xml:space="preserve">  1 1900 </v>
      </c>
    </row>
    <row r="1205" spans="1:16">
      <c r="A1205" s="68"/>
      <c r="B1205" s="87"/>
      <c r="C1205" s="88"/>
      <c r="D1205" s="88"/>
      <c r="E1205" s="90"/>
      <c r="F1205" s="84" t="str">
        <f ca="1">IF(D1205="Income",LOOKUP(E1205,Introduction!$A$11:$A$18,Introduction!$C$11:$C$18),IF(D1205="Expense",LOOKUP(E1205,Introduction!$D$11:$D$30,Introduction!$F$11:$F$30),"_"))</f>
        <v>_</v>
      </c>
      <c r="G1205" s="88"/>
      <c r="H1205" s="92"/>
      <c r="I1205" s="85">
        <f t="shared" si="68"/>
        <v>0</v>
      </c>
      <c r="J1205" s="93"/>
      <c r="K1205" s="85">
        <f t="shared" si="69"/>
        <v>0</v>
      </c>
      <c r="L1205" s="68"/>
      <c r="M1205" s="68"/>
      <c r="P1205" s="89" t="str">
        <f t="shared" si="67"/>
        <v xml:space="preserve">  1 1900 </v>
      </c>
    </row>
    <row r="1206" spans="1:16">
      <c r="A1206" s="68"/>
      <c r="B1206" s="87"/>
      <c r="C1206" s="88"/>
      <c r="D1206" s="88"/>
      <c r="E1206" s="90"/>
      <c r="F1206" s="84" t="str">
        <f ca="1">IF(D1206="Income",LOOKUP(E1206,Introduction!$A$11:$A$18,Introduction!$C$11:$C$18),IF(D1206="Expense",LOOKUP(E1206,Introduction!$D$11:$D$30,Introduction!$F$11:$F$30),"_"))</f>
        <v>_</v>
      </c>
      <c r="G1206" s="88"/>
      <c r="H1206" s="92"/>
      <c r="I1206" s="85">
        <f t="shared" si="68"/>
        <v>0</v>
      </c>
      <c r="J1206" s="93"/>
      <c r="K1206" s="85">
        <f t="shared" si="69"/>
        <v>0</v>
      </c>
      <c r="L1206" s="68"/>
      <c r="M1206" s="68"/>
      <c r="P1206" s="89" t="str">
        <f t="shared" si="67"/>
        <v xml:space="preserve">  1 1900 </v>
      </c>
    </row>
    <row r="1207" spans="1:16">
      <c r="A1207" s="68"/>
      <c r="B1207" s="87"/>
      <c r="C1207" s="88"/>
      <c r="D1207" s="88"/>
      <c r="E1207" s="90"/>
      <c r="F1207" s="84" t="str">
        <f ca="1">IF(D1207="Income",LOOKUP(E1207,Introduction!$A$11:$A$18,Introduction!$C$11:$C$18),IF(D1207="Expense",LOOKUP(E1207,Introduction!$D$11:$D$30,Introduction!$F$11:$F$30),"_"))</f>
        <v>_</v>
      </c>
      <c r="G1207" s="88"/>
      <c r="H1207" s="92"/>
      <c r="I1207" s="85">
        <f t="shared" si="68"/>
        <v>0</v>
      </c>
      <c r="J1207" s="93"/>
      <c r="K1207" s="85">
        <f t="shared" si="69"/>
        <v>0</v>
      </c>
      <c r="L1207" s="68"/>
      <c r="M1207" s="68"/>
      <c r="P1207" s="89" t="str">
        <f t="shared" si="67"/>
        <v xml:space="preserve">  1 1900 </v>
      </c>
    </row>
    <row r="1208" spans="1:16">
      <c r="A1208" s="68"/>
      <c r="B1208" s="87"/>
      <c r="C1208" s="88"/>
      <c r="D1208" s="88"/>
      <c r="E1208" s="90"/>
      <c r="F1208" s="84" t="str">
        <f ca="1">IF(D1208="Income",LOOKUP(E1208,Introduction!$A$11:$A$18,Introduction!$C$11:$C$18),IF(D1208="Expense",LOOKUP(E1208,Introduction!$D$11:$D$30,Introduction!$F$11:$F$30),"_"))</f>
        <v>_</v>
      </c>
      <c r="G1208" s="88"/>
      <c r="H1208" s="92"/>
      <c r="I1208" s="85">
        <f t="shared" si="68"/>
        <v>0</v>
      </c>
      <c r="J1208" s="93"/>
      <c r="K1208" s="85">
        <f t="shared" si="69"/>
        <v>0</v>
      </c>
      <c r="L1208" s="68"/>
      <c r="M1208" s="68"/>
      <c r="P1208" s="89" t="str">
        <f t="shared" si="67"/>
        <v xml:space="preserve">  1 1900 </v>
      </c>
    </row>
    <row r="1209" spans="1:16">
      <c r="A1209" s="68"/>
      <c r="B1209" s="87"/>
      <c r="C1209" s="88"/>
      <c r="D1209" s="88"/>
      <c r="E1209" s="90"/>
      <c r="F1209" s="84" t="str">
        <f ca="1">IF(D1209="Income",LOOKUP(E1209,Introduction!$A$11:$A$18,Introduction!$C$11:$C$18),IF(D1209="Expense",LOOKUP(E1209,Introduction!$D$11:$D$30,Introduction!$F$11:$F$30),"_"))</f>
        <v>_</v>
      </c>
      <c r="G1209" s="88"/>
      <c r="H1209" s="92"/>
      <c r="I1209" s="85">
        <f t="shared" si="68"/>
        <v>0</v>
      </c>
      <c r="J1209" s="93"/>
      <c r="K1209" s="85">
        <f t="shared" si="69"/>
        <v>0</v>
      </c>
      <c r="L1209" s="68"/>
      <c r="M1209" s="68"/>
      <c r="P1209" s="89" t="str">
        <f t="shared" si="67"/>
        <v xml:space="preserve">  1 1900 </v>
      </c>
    </row>
    <row r="1210" spans="1:16">
      <c r="A1210" s="68"/>
      <c r="B1210" s="87"/>
      <c r="C1210" s="88"/>
      <c r="D1210" s="88"/>
      <c r="E1210" s="90"/>
      <c r="F1210" s="84" t="str">
        <f ca="1">IF(D1210="Income",LOOKUP(E1210,Introduction!$A$11:$A$18,Introduction!$C$11:$C$18),IF(D1210="Expense",LOOKUP(E1210,Introduction!$D$11:$D$30,Introduction!$F$11:$F$30),"_"))</f>
        <v>_</v>
      </c>
      <c r="G1210" s="88"/>
      <c r="H1210" s="92"/>
      <c r="I1210" s="85">
        <f t="shared" si="68"/>
        <v>0</v>
      </c>
      <c r="J1210" s="93"/>
      <c r="K1210" s="85">
        <f t="shared" si="69"/>
        <v>0</v>
      </c>
      <c r="L1210" s="68"/>
      <c r="M1210" s="68"/>
      <c r="P1210" s="89" t="str">
        <f t="shared" si="67"/>
        <v xml:space="preserve">  1 1900 </v>
      </c>
    </row>
    <row r="1211" spans="1:16">
      <c r="A1211" s="68"/>
      <c r="B1211" s="87"/>
      <c r="C1211" s="88"/>
      <c r="D1211" s="88"/>
      <c r="E1211" s="90"/>
      <c r="F1211" s="84" t="str">
        <f ca="1">IF(D1211="Income",LOOKUP(E1211,Introduction!$A$11:$A$18,Introduction!$C$11:$C$18),IF(D1211="Expense",LOOKUP(E1211,Introduction!$D$11:$D$30,Introduction!$F$11:$F$30),"_"))</f>
        <v>_</v>
      </c>
      <c r="G1211" s="88"/>
      <c r="H1211" s="92"/>
      <c r="I1211" s="85">
        <f t="shared" si="68"/>
        <v>0</v>
      </c>
      <c r="J1211" s="93"/>
      <c r="K1211" s="85">
        <f t="shared" si="69"/>
        <v>0</v>
      </c>
      <c r="L1211" s="68"/>
      <c r="M1211" s="68"/>
      <c r="P1211" s="89" t="str">
        <f t="shared" si="67"/>
        <v xml:space="preserve">  1 1900 </v>
      </c>
    </row>
    <row r="1212" spans="1:16">
      <c r="A1212" s="68"/>
      <c r="B1212" s="87"/>
      <c r="C1212" s="88"/>
      <c r="D1212" s="88"/>
      <c r="E1212" s="90"/>
      <c r="F1212" s="84" t="str">
        <f ca="1">IF(D1212="Income",LOOKUP(E1212,Introduction!$A$11:$A$18,Introduction!$C$11:$C$18),IF(D1212="Expense",LOOKUP(E1212,Introduction!$D$11:$D$30,Introduction!$F$11:$F$30),"_"))</f>
        <v>_</v>
      </c>
      <c r="G1212" s="88"/>
      <c r="H1212" s="92"/>
      <c r="I1212" s="85">
        <f t="shared" si="68"/>
        <v>0</v>
      </c>
      <c r="J1212" s="93"/>
      <c r="K1212" s="85">
        <f t="shared" si="69"/>
        <v>0</v>
      </c>
      <c r="L1212" s="68"/>
      <c r="M1212" s="68"/>
      <c r="P1212" s="89" t="str">
        <f t="shared" si="67"/>
        <v xml:space="preserve">  1 1900 </v>
      </c>
    </row>
    <row r="1213" spans="1:16">
      <c r="A1213" s="68"/>
      <c r="B1213" s="87"/>
      <c r="C1213" s="88"/>
      <c r="D1213" s="88"/>
      <c r="E1213" s="90"/>
      <c r="F1213" s="84" t="str">
        <f ca="1">IF(D1213="Income",LOOKUP(E1213,Introduction!$A$11:$A$18,Introduction!$C$11:$C$18),IF(D1213="Expense",LOOKUP(E1213,Introduction!$D$11:$D$30,Introduction!$F$11:$F$30),"_"))</f>
        <v>_</v>
      </c>
      <c r="G1213" s="88"/>
      <c r="H1213" s="92"/>
      <c r="I1213" s="85">
        <f t="shared" si="68"/>
        <v>0</v>
      </c>
      <c r="J1213" s="93"/>
      <c r="K1213" s="85">
        <f t="shared" si="69"/>
        <v>0</v>
      </c>
      <c r="L1213" s="68"/>
      <c r="M1213" s="68"/>
      <c r="P1213" s="89" t="str">
        <f t="shared" si="67"/>
        <v xml:space="preserve">  1 1900 </v>
      </c>
    </row>
    <row r="1214" spans="1:16">
      <c r="A1214" s="68"/>
      <c r="B1214" s="87"/>
      <c r="C1214" s="88"/>
      <c r="D1214" s="88"/>
      <c r="E1214" s="90"/>
      <c r="F1214" s="84" t="str">
        <f ca="1">IF(D1214="Income",LOOKUP(E1214,Introduction!$A$11:$A$18,Introduction!$C$11:$C$18),IF(D1214="Expense",LOOKUP(E1214,Introduction!$D$11:$D$30,Introduction!$F$11:$F$30),"_"))</f>
        <v>_</v>
      </c>
      <c r="G1214" s="88"/>
      <c r="H1214" s="92"/>
      <c r="I1214" s="85">
        <f t="shared" si="68"/>
        <v>0</v>
      </c>
      <c r="J1214" s="93"/>
      <c r="K1214" s="85">
        <f t="shared" si="69"/>
        <v>0</v>
      </c>
      <c r="L1214" s="68"/>
      <c r="M1214" s="68"/>
      <c r="P1214" s="89" t="str">
        <f t="shared" si="67"/>
        <v xml:space="preserve">  1 1900 </v>
      </c>
    </row>
    <row r="1215" spans="1:16">
      <c r="A1215" s="68"/>
      <c r="B1215" s="87"/>
      <c r="C1215" s="88"/>
      <c r="D1215" s="88"/>
      <c r="E1215" s="90"/>
      <c r="F1215" s="84" t="str">
        <f ca="1">IF(D1215="Income",LOOKUP(E1215,Introduction!$A$11:$A$18,Introduction!$C$11:$C$18),IF(D1215="Expense",LOOKUP(E1215,Introduction!$D$11:$D$30,Introduction!$F$11:$F$30),"_"))</f>
        <v>_</v>
      </c>
      <c r="G1215" s="88"/>
      <c r="H1215" s="92"/>
      <c r="I1215" s="85">
        <f t="shared" si="68"/>
        <v>0</v>
      </c>
      <c r="J1215" s="93"/>
      <c r="K1215" s="85">
        <f t="shared" si="69"/>
        <v>0</v>
      </c>
      <c r="L1215" s="68"/>
      <c r="M1215" s="68"/>
      <c r="P1215" s="89" t="str">
        <f t="shared" si="67"/>
        <v xml:space="preserve">  1 1900 </v>
      </c>
    </row>
    <row r="1216" spans="1:16">
      <c r="A1216" s="68"/>
      <c r="B1216" s="87"/>
      <c r="C1216" s="88"/>
      <c r="D1216" s="88"/>
      <c r="E1216" s="90"/>
      <c r="F1216" s="84" t="str">
        <f ca="1">IF(D1216="Income",LOOKUP(E1216,Introduction!$A$11:$A$18,Introduction!$C$11:$C$18),IF(D1216="Expense",LOOKUP(E1216,Introduction!$D$11:$D$30,Introduction!$F$11:$F$30),"_"))</f>
        <v>_</v>
      </c>
      <c r="G1216" s="88"/>
      <c r="H1216" s="92"/>
      <c r="I1216" s="85">
        <f t="shared" si="68"/>
        <v>0</v>
      </c>
      <c r="J1216" s="93"/>
      <c r="K1216" s="85">
        <f t="shared" si="69"/>
        <v>0</v>
      </c>
      <c r="L1216" s="68"/>
      <c r="M1216" s="68"/>
      <c r="P1216" s="89" t="str">
        <f t="shared" si="67"/>
        <v xml:space="preserve">  1 1900 </v>
      </c>
    </row>
    <row r="1217" spans="1:16">
      <c r="A1217" s="68"/>
      <c r="B1217" s="87"/>
      <c r="C1217" s="88"/>
      <c r="D1217" s="88"/>
      <c r="E1217" s="90"/>
      <c r="F1217" s="84" t="str">
        <f ca="1">IF(D1217="Income",LOOKUP(E1217,Introduction!$A$11:$A$18,Introduction!$C$11:$C$18),IF(D1217="Expense",LOOKUP(E1217,Introduction!$D$11:$D$30,Introduction!$F$11:$F$30),"_"))</f>
        <v>_</v>
      </c>
      <c r="G1217" s="88"/>
      <c r="H1217" s="92"/>
      <c r="I1217" s="85">
        <f t="shared" si="68"/>
        <v>0</v>
      </c>
      <c r="J1217" s="93"/>
      <c r="K1217" s="85">
        <f t="shared" si="69"/>
        <v>0</v>
      </c>
      <c r="L1217" s="68"/>
      <c r="M1217" s="68"/>
      <c r="P1217" s="89" t="str">
        <f t="shared" si="67"/>
        <v xml:space="preserve">  1 1900 </v>
      </c>
    </row>
    <row r="1218" spans="1:16">
      <c r="A1218" s="68"/>
      <c r="B1218" s="87"/>
      <c r="C1218" s="88"/>
      <c r="D1218" s="88"/>
      <c r="E1218" s="90"/>
      <c r="F1218" s="84" t="str">
        <f ca="1">IF(D1218="Income",LOOKUP(E1218,Introduction!$A$11:$A$18,Introduction!$C$11:$C$18),IF(D1218="Expense",LOOKUP(E1218,Introduction!$D$11:$D$30,Introduction!$F$11:$F$30),"_"))</f>
        <v>_</v>
      </c>
      <c r="G1218" s="88"/>
      <c r="H1218" s="92"/>
      <c r="I1218" s="85">
        <f t="shared" si="68"/>
        <v>0</v>
      </c>
      <c r="J1218" s="93"/>
      <c r="K1218" s="85">
        <f t="shared" si="69"/>
        <v>0</v>
      </c>
      <c r="L1218" s="68"/>
      <c r="M1218" s="68"/>
      <c r="P1218" s="89" t="str">
        <f t="shared" si="67"/>
        <v xml:space="preserve">  1 1900 </v>
      </c>
    </row>
    <row r="1219" spans="1:16">
      <c r="A1219" s="68"/>
      <c r="B1219" s="87"/>
      <c r="C1219" s="88"/>
      <c r="D1219" s="88"/>
      <c r="E1219" s="90"/>
      <c r="F1219" s="84" t="str">
        <f ca="1">IF(D1219="Income",LOOKUP(E1219,Introduction!$A$11:$A$18,Introduction!$C$11:$C$18),IF(D1219="Expense",LOOKUP(E1219,Introduction!$D$11:$D$30,Introduction!$F$11:$F$30),"_"))</f>
        <v>_</v>
      </c>
      <c r="G1219" s="88"/>
      <c r="H1219" s="92"/>
      <c r="I1219" s="85">
        <f t="shared" si="68"/>
        <v>0</v>
      </c>
      <c r="J1219" s="93"/>
      <c r="K1219" s="85">
        <f t="shared" si="69"/>
        <v>0</v>
      </c>
      <c r="L1219" s="68"/>
      <c r="M1219" s="68"/>
      <c r="P1219" s="89" t="str">
        <f t="shared" si="67"/>
        <v xml:space="preserve">  1 1900 </v>
      </c>
    </row>
    <row r="1220" spans="1:16">
      <c r="A1220" s="68"/>
      <c r="B1220" s="87"/>
      <c r="C1220" s="88"/>
      <c r="D1220" s="88"/>
      <c r="E1220" s="90"/>
      <c r="F1220" s="84" t="str">
        <f ca="1">IF(D1220="Income",LOOKUP(E1220,Introduction!$A$11:$A$18,Introduction!$C$11:$C$18),IF(D1220="Expense",LOOKUP(E1220,Introduction!$D$11:$D$30,Introduction!$F$11:$F$30),"_"))</f>
        <v>_</v>
      </c>
      <c r="G1220" s="88"/>
      <c r="H1220" s="92"/>
      <c r="I1220" s="85">
        <f t="shared" si="68"/>
        <v>0</v>
      </c>
      <c r="J1220" s="93"/>
      <c r="K1220" s="85">
        <f t="shared" si="69"/>
        <v>0</v>
      </c>
      <c r="L1220" s="68"/>
      <c r="M1220" s="68"/>
      <c r="P1220" s="89" t="str">
        <f t="shared" si="67"/>
        <v xml:space="preserve">  1 1900 </v>
      </c>
    </row>
    <row r="1221" spans="1:16">
      <c r="A1221" s="68"/>
      <c r="B1221" s="87"/>
      <c r="C1221" s="88"/>
      <c r="D1221" s="88"/>
      <c r="E1221" s="90"/>
      <c r="F1221" s="84" t="str">
        <f ca="1">IF(D1221="Income",LOOKUP(E1221,Introduction!$A$11:$A$18,Introduction!$C$11:$C$18),IF(D1221="Expense",LOOKUP(E1221,Introduction!$D$11:$D$30,Introduction!$F$11:$F$30),"_"))</f>
        <v>_</v>
      </c>
      <c r="G1221" s="88"/>
      <c r="H1221" s="92"/>
      <c r="I1221" s="85">
        <f t="shared" si="68"/>
        <v>0</v>
      </c>
      <c r="J1221" s="93"/>
      <c r="K1221" s="85">
        <f t="shared" si="69"/>
        <v>0</v>
      </c>
      <c r="L1221" s="68"/>
      <c r="M1221" s="68"/>
      <c r="P1221" s="89" t="str">
        <f t="shared" si="67"/>
        <v xml:space="preserve">  1 1900 </v>
      </c>
    </row>
    <row r="1222" spans="1:16">
      <c r="A1222" s="68"/>
      <c r="B1222" s="87"/>
      <c r="C1222" s="88"/>
      <c r="D1222" s="88"/>
      <c r="E1222" s="90"/>
      <c r="F1222" s="84" t="str">
        <f ca="1">IF(D1222="Income",LOOKUP(E1222,Introduction!$A$11:$A$18,Introduction!$C$11:$C$18),IF(D1222="Expense",LOOKUP(E1222,Introduction!$D$11:$D$30,Introduction!$F$11:$F$30),"_"))</f>
        <v>_</v>
      </c>
      <c r="G1222" s="88"/>
      <c r="H1222" s="92"/>
      <c r="I1222" s="85">
        <f t="shared" si="68"/>
        <v>0</v>
      </c>
      <c r="J1222" s="93"/>
      <c r="K1222" s="85">
        <f t="shared" si="69"/>
        <v>0</v>
      </c>
      <c r="L1222" s="68"/>
      <c r="M1222" s="68"/>
      <c r="P1222" s="89" t="str">
        <f t="shared" si="67"/>
        <v xml:space="preserve">  1 1900 </v>
      </c>
    </row>
    <row r="1223" spans="1:16">
      <c r="A1223" s="68"/>
      <c r="B1223" s="87"/>
      <c r="C1223" s="88"/>
      <c r="D1223" s="88"/>
      <c r="E1223" s="90"/>
      <c r="F1223" s="84" t="str">
        <f ca="1">IF(D1223="Income",LOOKUP(E1223,Introduction!$A$11:$A$18,Introduction!$C$11:$C$18),IF(D1223="Expense",LOOKUP(E1223,Introduction!$D$11:$D$30,Introduction!$F$11:$F$30),"_"))</f>
        <v>_</v>
      </c>
      <c r="G1223" s="88"/>
      <c r="H1223" s="92"/>
      <c r="I1223" s="85">
        <f t="shared" si="68"/>
        <v>0</v>
      </c>
      <c r="J1223" s="93"/>
      <c r="K1223" s="85">
        <f t="shared" si="69"/>
        <v>0</v>
      </c>
      <c r="L1223" s="68"/>
      <c r="M1223" s="68"/>
      <c r="P1223" s="89" t="str">
        <f t="shared" ref="P1223:P1286" si="70">CONCATENATE(D1223," ",E1223," ",MONTH(C1223)," ",YEAR(C1223)," ")</f>
        <v xml:space="preserve">  1 1900 </v>
      </c>
    </row>
    <row r="1224" spans="1:16">
      <c r="A1224" s="68"/>
      <c r="B1224" s="87"/>
      <c r="C1224" s="88"/>
      <c r="D1224" s="88"/>
      <c r="E1224" s="90"/>
      <c r="F1224" s="84" t="str">
        <f ca="1">IF(D1224="Income",LOOKUP(E1224,Introduction!$A$11:$A$18,Introduction!$C$11:$C$18),IF(D1224="Expense",LOOKUP(E1224,Introduction!$D$11:$D$30,Introduction!$F$11:$F$30),"_"))</f>
        <v>_</v>
      </c>
      <c r="G1224" s="88"/>
      <c r="H1224" s="92"/>
      <c r="I1224" s="85">
        <f t="shared" si="68"/>
        <v>0</v>
      </c>
      <c r="J1224" s="93"/>
      <c r="K1224" s="85">
        <f t="shared" si="69"/>
        <v>0</v>
      </c>
      <c r="L1224" s="68"/>
      <c r="M1224" s="68"/>
      <c r="P1224" s="89" t="str">
        <f t="shared" si="70"/>
        <v xml:space="preserve">  1 1900 </v>
      </c>
    </row>
    <row r="1225" spans="1:16">
      <c r="A1225" s="68"/>
      <c r="B1225" s="87"/>
      <c r="C1225" s="88"/>
      <c r="D1225" s="88"/>
      <c r="E1225" s="90"/>
      <c r="F1225" s="84" t="str">
        <f ca="1">IF(D1225="Income",LOOKUP(E1225,Introduction!$A$11:$A$18,Introduction!$C$11:$C$18),IF(D1225="Expense",LOOKUP(E1225,Introduction!$D$11:$D$30,Introduction!$F$11:$F$30),"_"))</f>
        <v>_</v>
      </c>
      <c r="G1225" s="88"/>
      <c r="H1225" s="92"/>
      <c r="I1225" s="85">
        <f t="shared" si="68"/>
        <v>0</v>
      </c>
      <c r="J1225" s="93"/>
      <c r="K1225" s="85">
        <f t="shared" si="69"/>
        <v>0</v>
      </c>
      <c r="L1225" s="68"/>
      <c r="M1225" s="68"/>
      <c r="P1225" s="89" t="str">
        <f t="shared" si="70"/>
        <v xml:space="preserve">  1 1900 </v>
      </c>
    </row>
    <row r="1226" spans="1:16">
      <c r="A1226" s="68"/>
      <c r="B1226" s="87"/>
      <c r="C1226" s="88"/>
      <c r="D1226" s="88"/>
      <c r="E1226" s="90"/>
      <c r="F1226" s="84" t="str">
        <f ca="1">IF(D1226="Income",LOOKUP(E1226,Introduction!$A$11:$A$18,Introduction!$C$11:$C$18),IF(D1226="Expense",LOOKUP(E1226,Introduction!$D$11:$D$30,Introduction!$F$11:$F$30),"_"))</f>
        <v>_</v>
      </c>
      <c r="G1226" s="88"/>
      <c r="H1226" s="92"/>
      <c r="I1226" s="85">
        <f t="shared" si="68"/>
        <v>0</v>
      </c>
      <c r="J1226" s="93"/>
      <c r="K1226" s="85">
        <f t="shared" si="69"/>
        <v>0</v>
      </c>
      <c r="L1226" s="68"/>
      <c r="M1226" s="68"/>
      <c r="P1226" s="89" t="str">
        <f t="shared" si="70"/>
        <v xml:space="preserve">  1 1900 </v>
      </c>
    </row>
    <row r="1227" spans="1:16">
      <c r="A1227" s="68"/>
      <c r="B1227" s="87"/>
      <c r="C1227" s="88"/>
      <c r="D1227" s="88"/>
      <c r="E1227" s="90"/>
      <c r="F1227" s="84" t="str">
        <f ca="1">IF(D1227="Income",LOOKUP(E1227,Introduction!$A$11:$A$18,Introduction!$C$11:$C$18),IF(D1227="Expense",LOOKUP(E1227,Introduction!$D$11:$D$30,Introduction!$F$11:$F$30),"_"))</f>
        <v>_</v>
      </c>
      <c r="G1227" s="88"/>
      <c r="H1227" s="92"/>
      <c r="I1227" s="85">
        <f t="shared" si="68"/>
        <v>0</v>
      </c>
      <c r="J1227" s="93"/>
      <c r="K1227" s="85">
        <f t="shared" si="69"/>
        <v>0</v>
      </c>
      <c r="L1227" s="68"/>
      <c r="M1227" s="68"/>
      <c r="P1227" s="89" t="str">
        <f t="shared" si="70"/>
        <v xml:space="preserve">  1 1900 </v>
      </c>
    </row>
    <row r="1228" spans="1:16">
      <c r="A1228" s="68"/>
      <c r="B1228" s="87"/>
      <c r="C1228" s="88"/>
      <c r="D1228" s="88"/>
      <c r="E1228" s="90"/>
      <c r="F1228" s="84" t="str">
        <f ca="1">IF(D1228="Income",LOOKUP(E1228,Introduction!$A$11:$A$18,Introduction!$C$11:$C$18),IF(D1228="Expense",LOOKUP(E1228,Introduction!$D$11:$D$30,Introduction!$F$11:$F$30),"_"))</f>
        <v>_</v>
      </c>
      <c r="G1228" s="88"/>
      <c r="H1228" s="92"/>
      <c r="I1228" s="85">
        <f t="shared" si="68"/>
        <v>0</v>
      </c>
      <c r="J1228" s="93"/>
      <c r="K1228" s="85">
        <f t="shared" si="69"/>
        <v>0</v>
      </c>
      <c r="L1228" s="68"/>
      <c r="M1228" s="68"/>
      <c r="P1228" s="89" t="str">
        <f t="shared" si="70"/>
        <v xml:space="preserve">  1 1900 </v>
      </c>
    </row>
    <row r="1229" spans="1:16">
      <c r="A1229" s="68"/>
      <c r="B1229" s="87"/>
      <c r="C1229" s="88"/>
      <c r="D1229" s="88"/>
      <c r="E1229" s="90"/>
      <c r="F1229" s="84" t="str">
        <f ca="1">IF(D1229="Income",LOOKUP(E1229,Introduction!$A$11:$A$18,Introduction!$C$11:$C$18),IF(D1229="Expense",LOOKUP(E1229,Introduction!$D$11:$D$30,Introduction!$F$11:$F$30),"_"))</f>
        <v>_</v>
      </c>
      <c r="G1229" s="88"/>
      <c r="H1229" s="92"/>
      <c r="I1229" s="85">
        <f t="shared" si="68"/>
        <v>0</v>
      </c>
      <c r="J1229" s="93"/>
      <c r="K1229" s="85">
        <f t="shared" si="69"/>
        <v>0</v>
      </c>
      <c r="L1229" s="68"/>
      <c r="M1229" s="68"/>
      <c r="P1229" s="89" t="str">
        <f t="shared" si="70"/>
        <v xml:space="preserve">  1 1900 </v>
      </c>
    </row>
    <row r="1230" spans="1:16">
      <c r="A1230" s="68"/>
      <c r="B1230" s="87"/>
      <c r="C1230" s="88"/>
      <c r="D1230" s="88"/>
      <c r="E1230" s="90"/>
      <c r="F1230" s="84" t="str">
        <f ca="1">IF(D1230="Income",LOOKUP(E1230,Introduction!$A$11:$A$18,Introduction!$C$11:$C$18),IF(D1230="Expense",LOOKUP(E1230,Introduction!$D$11:$D$30,Introduction!$F$11:$F$30),"_"))</f>
        <v>_</v>
      </c>
      <c r="G1230" s="88"/>
      <c r="H1230" s="92"/>
      <c r="I1230" s="85">
        <f t="shared" si="68"/>
        <v>0</v>
      </c>
      <c r="J1230" s="93"/>
      <c r="K1230" s="85">
        <f t="shared" si="69"/>
        <v>0</v>
      </c>
      <c r="L1230" s="68"/>
      <c r="M1230" s="68"/>
      <c r="P1230" s="89" t="str">
        <f t="shared" si="70"/>
        <v xml:space="preserve">  1 1900 </v>
      </c>
    </row>
    <row r="1231" spans="1:16">
      <c r="A1231" s="68"/>
      <c r="B1231" s="87"/>
      <c r="C1231" s="88"/>
      <c r="D1231" s="88"/>
      <c r="E1231" s="90"/>
      <c r="F1231" s="84" t="str">
        <f ca="1">IF(D1231="Income",LOOKUP(E1231,Introduction!$A$11:$A$18,Introduction!$C$11:$C$18),IF(D1231="Expense",LOOKUP(E1231,Introduction!$D$11:$D$30,Introduction!$F$11:$F$30),"_"))</f>
        <v>_</v>
      </c>
      <c r="G1231" s="88"/>
      <c r="H1231" s="92"/>
      <c r="I1231" s="85">
        <f t="shared" si="68"/>
        <v>0</v>
      </c>
      <c r="J1231" s="93"/>
      <c r="K1231" s="85">
        <f t="shared" si="69"/>
        <v>0</v>
      </c>
      <c r="L1231" s="68"/>
      <c r="M1231" s="68"/>
      <c r="P1231" s="89" t="str">
        <f t="shared" si="70"/>
        <v xml:space="preserve">  1 1900 </v>
      </c>
    </row>
    <row r="1232" spans="1:16">
      <c r="A1232" s="68"/>
      <c r="B1232" s="87"/>
      <c r="C1232" s="88"/>
      <c r="D1232" s="88"/>
      <c r="E1232" s="90"/>
      <c r="F1232" s="84" t="str">
        <f ca="1">IF(D1232="Income",LOOKUP(E1232,Introduction!$A$11:$A$18,Introduction!$C$11:$C$18),IF(D1232="Expense",LOOKUP(E1232,Introduction!$D$11:$D$30,Introduction!$F$11:$F$30),"_"))</f>
        <v>_</v>
      </c>
      <c r="G1232" s="88"/>
      <c r="H1232" s="92"/>
      <c r="I1232" s="85">
        <f t="shared" si="68"/>
        <v>0</v>
      </c>
      <c r="J1232" s="93"/>
      <c r="K1232" s="85">
        <f t="shared" si="69"/>
        <v>0</v>
      </c>
      <c r="L1232" s="68"/>
      <c r="M1232" s="68"/>
      <c r="P1232" s="89" t="str">
        <f t="shared" si="70"/>
        <v xml:space="preserve">  1 1900 </v>
      </c>
    </row>
    <row r="1233" spans="1:16">
      <c r="A1233" s="68"/>
      <c r="B1233" s="87"/>
      <c r="C1233" s="88"/>
      <c r="D1233" s="88"/>
      <c r="E1233" s="90"/>
      <c r="F1233" s="84" t="str">
        <f ca="1">IF(D1233="Income",LOOKUP(E1233,Introduction!$A$11:$A$18,Introduction!$C$11:$C$18),IF(D1233="Expense",LOOKUP(E1233,Introduction!$D$11:$D$30,Introduction!$F$11:$F$30),"_"))</f>
        <v>_</v>
      </c>
      <c r="G1233" s="88"/>
      <c r="H1233" s="92"/>
      <c r="I1233" s="85">
        <f t="shared" ref="I1233:I1296" si="71">+I1232+H1233</f>
        <v>0</v>
      </c>
      <c r="J1233" s="93"/>
      <c r="K1233" s="85">
        <f t="shared" ref="K1233:K1296" si="72">IF(J1233=1,K1232+H1233,++K1232)</f>
        <v>0</v>
      </c>
      <c r="L1233" s="68"/>
      <c r="M1233" s="68"/>
      <c r="P1233" s="89" t="str">
        <f t="shared" si="70"/>
        <v xml:space="preserve">  1 1900 </v>
      </c>
    </row>
    <row r="1234" spans="1:16">
      <c r="A1234" s="68"/>
      <c r="B1234" s="87"/>
      <c r="C1234" s="88"/>
      <c r="D1234" s="88"/>
      <c r="E1234" s="90"/>
      <c r="F1234" s="84" t="str">
        <f ca="1">IF(D1234="Income",LOOKUP(E1234,Introduction!$A$11:$A$18,Introduction!$C$11:$C$18),IF(D1234="Expense",LOOKUP(E1234,Introduction!$D$11:$D$30,Introduction!$F$11:$F$30),"_"))</f>
        <v>_</v>
      </c>
      <c r="G1234" s="88"/>
      <c r="H1234" s="92"/>
      <c r="I1234" s="85">
        <f t="shared" si="71"/>
        <v>0</v>
      </c>
      <c r="J1234" s="93"/>
      <c r="K1234" s="85">
        <f t="shared" si="72"/>
        <v>0</v>
      </c>
      <c r="L1234" s="68"/>
      <c r="M1234" s="68"/>
      <c r="P1234" s="89" t="str">
        <f t="shared" si="70"/>
        <v xml:space="preserve">  1 1900 </v>
      </c>
    </row>
    <row r="1235" spans="1:16">
      <c r="A1235" s="68"/>
      <c r="B1235" s="87"/>
      <c r="C1235" s="88"/>
      <c r="D1235" s="88"/>
      <c r="E1235" s="90"/>
      <c r="F1235" s="84" t="str">
        <f ca="1">IF(D1235="Income",LOOKUP(E1235,Introduction!$A$11:$A$18,Introduction!$C$11:$C$18),IF(D1235="Expense",LOOKUP(E1235,Introduction!$D$11:$D$30,Introduction!$F$11:$F$30),"_"))</f>
        <v>_</v>
      </c>
      <c r="G1235" s="88"/>
      <c r="H1235" s="92"/>
      <c r="I1235" s="85">
        <f t="shared" si="71"/>
        <v>0</v>
      </c>
      <c r="J1235" s="93"/>
      <c r="K1235" s="85">
        <f t="shared" si="72"/>
        <v>0</v>
      </c>
      <c r="L1235" s="68"/>
      <c r="M1235" s="68"/>
      <c r="P1235" s="89" t="str">
        <f t="shared" si="70"/>
        <v xml:space="preserve">  1 1900 </v>
      </c>
    </row>
    <row r="1236" spans="1:16">
      <c r="A1236" s="68"/>
      <c r="B1236" s="87"/>
      <c r="C1236" s="88"/>
      <c r="D1236" s="88"/>
      <c r="E1236" s="90"/>
      <c r="F1236" s="84" t="str">
        <f ca="1">IF(D1236="Income",LOOKUP(E1236,Introduction!$A$11:$A$18,Introduction!$C$11:$C$18),IF(D1236="Expense",LOOKUP(E1236,Introduction!$D$11:$D$30,Introduction!$F$11:$F$30),"_"))</f>
        <v>_</v>
      </c>
      <c r="G1236" s="88"/>
      <c r="H1236" s="92"/>
      <c r="I1236" s="85">
        <f t="shared" si="71"/>
        <v>0</v>
      </c>
      <c r="J1236" s="93"/>
      <c r="K1236" s="85">
        <f t="shared" si="72"/>
        <v>0</v>
      </c>
      <c r="L1236" s="68"/>
      <c r="M1236" s="68"/>
      <c r="P1236" s="89" t="str">
        <f t="shared" si="70"/>
        <v xml:space="preserve">  1 1900 </v>
      </c>
    </row>
    <row r="1237" spans="1:16">
      <c r="A1237" s="68"/>
      <c r="B1237" s="87"/>
      <c r="C1237" s="88"/>
      <c r="D1237" s="88"/>
      <c r="E1237" s="90"/>
      <c r="F1237" s="84" t="str">
        <f ca="1">IF(D1237="Income",LOOKUP(E1237,Introduction!$A$11:$A$18,Introduction!$C$11:$C$18),IF(D1237="Expense",LOOKUP(E1237,Introduction!$D$11:$D$30,Introduction!$F$11:$F$30),"_"))</f>
        <v>_</v>
      </c>
      <c r="G1237" s="88"/>
      <c r="H1237" s="92"/>
      <c r="I1237" s="85">
        <f t="shared" si="71"/>
        <v>0</v>
      </c>
      <c r="J1237" s="93"/>
      <c r="K1237" s="85">
        <f t="shared" si="72"/>
        <v>0</v>
      </c>
      <c r="L1237" s="68"/>
      <c r="M1237" s="68"/>
      <c r="P1237" s="89" t="str">
        <f t="shared" si="70"/>
        <v xml:space="preserve">  1 1900 </v>
      </c>
    </row>
    <row r="1238" spans="1:16">
      <c r="A1238" s="68"/>
      <c r="B1238" s="87"/>
      <c r="C1238" s="88"/>
      <c r="D1238" s="88"/>
      <c r="E1238" s="90"/>
      <c r="F1238" s="84" t="str">
        <f ca="1">IF(D1238="Income",LOOKUP(E1238,Introduction!$A$11:$A$18,Introduction!$C$11:$C$18),IF(D1238="Expense",LOOKUP(E1238,Introduction!$D$11:$D$30,Introduction!$F$11:$F$30),"_"))</f>
        <v>_</v>
      </c>
      <c r="G1238" s="88"/>
      <c r="H1238" s="92"/>
      <c r="I1238" s="85">
        <f t="shared" si="71"/>
        <v>0</v>
      </c>
      <c r="J1238" s="93"/>
      <c r="K1238" s="85">
        <f t="shared" si="72"/>
        <v>0</v>
      </c>
      <c r="L1238" s="68"/>
      <c r="M1238" s="68"/>
      <c r="P1238" s="89" t="str">
        <f t="shared" si="70"/>
        <v xml:space="preserve">  1 1900 </v>
      </c>
    </row>
    <row r="1239" spans="1:16">
      <c r="A1239" s="68"/>
      <c r="B1239" s="87"/>
      <c r="C1239" s="88"/>
      <c r="D1239" s="88"/>
      <c r="E1239" s="90"/>
      <c r="F1239" s="84" t="str">
        <f ca="1">IF(D1239="Income",LOOKUP(E1239,Introduction!$A$11:$A$18,Introduction!$C$11:$C$18),IF(D1239="Expense",LOOKUP(E1239,Introduction!$D$11:$D$30,Introduction!$F$11:$F$30),"_"))</f>
        <v>_</v>
      </c>
      <c r="G1239" s="88"/>
      <c r="H1239" s="92"/>
      <c r="I1239" s="85">
        <f t="shared" si="71"/>
        <v>0</v>
      </c>
      <c r="J1239" s="93"/>
      <c r="K1239" s="85">
        <f t="shared" si="72"/>
        <v>0</v>
      </c>
      <c r="L1239" s="68"/>
      <c r="M1239" s="68"/>
      <c r="P1239" s="89" t="str">
        <f t="shared" si="70"/>
        <v xml:space="preserve">  1 1900 </v>
      </c>
    </row>
    <row r="1240" spans="1:16">
      <c r="A1240" s="68"/>
      <c r="B1240" s="87"/>
      <c r="C1240" s="88"/>
      <c r="D1240" s="88"/>
      <c r="E1240" s="90"/>
      <c r="F1240" s="84" t="str">
        <f ca="1">IF(D1240="Income",LOOKUP(E1240,Introduction!$A$11:$A$18,Introduction!$C$11:$C$18),IF(D1240="Expense",LOOKUP(E1240,Introduction!$D$11:$D$30,Introduction!$F$11:$F$30),"_"))</f>
        <v>_</v>
      </c>
      <c r="G1240" s="88"/>
      <c r="H1240" s="92"/>
      <c r="I1240" s="85">
        <f t="shared" si="71"/>
        <v>0</v>
      </c>
      <c r="J1240" s="93"/>
      <c r="K1240" s="85">
        <f t="shared" si="72"/>
        <v>0</v>
      </c>
      <c r="L1240" s="68"/>
      <c r="M1240" s="68"/>
      <c r="P1240" s="89" t="str">
        <f t="shared" si="70"/>
        <v xml:space="preserve">  1 1900 </v>
      </c>
    </row>
    <row r="1241" spans="1:16">
      <c r="A1241" s="68"/>
      <c r="B1241" s="87"/>
      <c r="C1241" s="88"/>
      <c r="D1241" s="88"/>
      <c r="E1241" s="90"/>
      <c r="F1241" s="84" t="str">
        <f ca="1">IF(D1241="Income",LOOKUP(E1241,Introduction!$A$11:$A$18,Introduction!$C$11:$C$18),IF(D1241="Expense",LOOKUP(E1241,Introduction!$D$11:$D$30,Introduction!$F$11:$F$30),"_"))</f>
        <v>_</v>
      </c>
      <c r="G1241" s="88"/>
      <c r="H1241" s="92"/>
      <c r="I1241" s="85">
        <f t="shared" si="71"/>
        <v>0</v>
      </c>
      <c r="J1241" s="93"/>
      <c r="K1241" s="85">
        <f t="shared" si="72"/>
        <v>0</v>
      </c>
      <c r="L1241" s="68"/>
      <c r="M1241" s="68"/>
      <c r="P1241" s="89" t="str">
        <f t="shared" si="70"/>
        <v xml:space="preserve">  1 1900 </v>
      </c>
    </row>
    <row r="1242" spans="1:16">
      <c r="A1242" s="68"/>
      <c r="B1242" s="87"/>
      <c r="C1242" s="88"/>
      <c r="D1242" s="88"/>
      <c r="E1242" s="90"/>
      <c r="F1242" s="84" t="str">
        <f ca="1">IF(D1242="Income",LOOKUP(E1242,Introduction!$A$11:$A$18,Introduction!$C$11:$C$18),IF(D1242="Expense",LOOKUP(E1242,Introduction!$D$11:$D$30,Introduction!$F$11:$F$30),"_"))</f>
        <v>_</v>
      </c>
      <c r="G1242" s="88"/>
      <c r="H1242" s="92"/>
      <c r="I1242" s="85">
        <f t="shared" si="71"/>
        <v>0</v>
      </c>
      <c r="J1242" s="93"/>
      <c r="K1242" s="85">
        <f t="shared" si="72"/>
        <v>0</v>
      </c>
      <c r="L1242" s="68"/>
      <c r="M1242" s="68"/>
      <c r="P1242" s="89" t="str">
        <f t="shared" si="70"/>
        <v xml:space="preserve">  1 1900 </v>
      </c>
    </row>
    <row r="1243" spans="1:16">
      <c r="A1243" s="68"/>
      <c r="B1243" s="87"/>
      <c r="C1243" s="88"/>
      <c r="D1243" s="88"/>
      <c r="E1243" s="90"/>
      <c r="F1243" s="84" t="str">
        <f ca="1">IF(D1243="Income",LOOKUP(E1243,Introduction!$A$11:$A$18,Introduction!$C$11:$C$18),IF(D1243="Expense",LOOKUP(E1243,Introduction!$D$11:$D$30,Introduction!$F$11:$F$30),"_"))</f>
        <v>_</v>
      </c>
      <c r="G1243" s="88"/>
      <c r="H1243" s="92"/>
      <c r="I1243" s="85">
        <f t="shared" si="71"/>
        <v>0</v>
      </c>
      <c r="J1243" s="93"/>
      <c r="K1243" s="85">
        <f t="shared" si="72"/>
        <v>0</v>
      </c>
      <c r="L1243" s="68"/>
      <c r="M1243" s="68"/>
      <c r="P1243" s="89" t="str">
        <f t="shared" si="70"/>
        <v xml:space="preserve">  1 1900 </v>
      </c>
    </row>
    <row r="1244" spans="1:16">
      <c r="A1244" s="68"/>
      <c r="B1244" s="87"/>
      <c r="C1244" s="88"/>
      <c r="D1244" s="88"/>
      <c r="E1244" s="90"/>
      <c r="F1244" s="84" t="str">
        <f ca="1">IF(D1244="Income",LOOKUP(E1244,Introduction!$A$11:$A$18,Introduction!$C$11:$C$18),IF(D1244="Expense",LOOKUP(E1244,Introduction!$D$11:$D$30,Introduction!$F$11:$F$30),"_"))</f>
        <v>_</v>
      </c>
      <c r="G1244" s="88"/>
      <c r="H1244" s="92"/>
      <c r="I1244" s="85">
        <f t="shared" si="71"/>
        <v>0</v>
      </c>
      <c r="J1244" s="93"/>
      <c r="K1244" s="85">
        <f t="shared" si="72"/>
        <v>0</v>
      </c>
      <c r="L1244" s="68"/>
      <c r="M1244" s="68"/>
      <c r="P1244" s="89" t="str">
        <f t="shared" si="70"/>
        <v xml:space="preserve">  1 1900 </v>
      </c>
    </row>
    <row r="1245" spans="1:16">
      <c r="A1245" s="68"/>
      <c r="B1245" s="87"/>
      <c r="C1245" s="88"/>
      <c r="D1245" s="88"/>
      <c r="E1245" s="90"/>
      <c r="F1245" s="84" t="str">
        <f ca="1">IF(D1245="Income",LOOKUP(E1245,Introduction!$A$11:$A$18,Introduction!$C$11:$C$18),IF(D1245="Expense",LOOKUP(E1245,Introduction!$D$11:$D$30,Introduction!$F$11:$F$30),"_"))</f>
        <v>_</v>
      </c>
      <c r="G1245" s="88"/>
      <c r="H1245" s="92"/>
      <c r="I1245" s="85">
        <f t="shared" si="71"/>
        <v>0</v>
      </c>
      <c r="J1245" s="93"/>
      <c r="K1245" s="85">
        <f t="shared" si="72"/>
        <v>0</v>
      </c>
      <c r="L1245" s="68"/>
      <c r="M1245" s="68"/>
      <c r="P1245" s="89" t="str">
        <f t="shared" si="70"/>
        <v xml:space="preserve">  1 1900 </v>
      </c>
    </row>
    <row r="1246" spans="1:16">
      <c r="A1246" s="68"/>
      <c r="B1246" s="87"/>
      <c r="C1246" s="88"/>
      <c r="D1246" s="88"/>
      <c r="E1246" s="90"/>
      <c r="F1246" s="84" t="str">
        <f ca="1">IF(D1246="Income",LOOKUP(E1246,Introduction!$A$11:$A$18,Introduction!$C$11:$C$18),IF(D1246="Expense",LOOKUP(E1246,Introduction!$D$11:$D$30,Introduction!$F$11:$F$30),"_"))</f>
        <v>_</v>
      </c>
      <c r="G1246" s="88"/>
      <c r="H1246" s="92"/>
      <c r="I1246" s="85">
        <f t="shared" si="71"/>
        <v>0</v>
      </c>
      <c r="J1246" s="93"/>
      <c r="K1246" s="85">
        <f t="shared" si="72"/>
        <v>0</v>
      </c>
      <c r="L1246" s="68"/>
      <c r="M1246" s="68"/>
      <c r="P1246" s="89" t="str">
        <f t="shared" si="70"/>
        <v xml:space="preserve">  1 1900 </v>
      </c>
    </row>
    <row r="1247" spans="1:16">
      <c r="A1247" s="68"/>
      <c r="B1247" s="87"/>
      <c r="C1247" s="88"/>
      <c r="D1247" s="88"/>
      <c r="E1247" s="90"/>
      <c r="F1247" s="84" t="str">
        <f ca="1">IF(D1247="Income",LOOKUP(E1247,Introduction!$A$11:$A$18,Introduction!$C$11:$C$18),IF(D1247="Expense",LOOKUP(E1247,Introduction!$D$11:$D$30,Introduction!$F$11:$F$30),"_"))</f>
        <v>_</v>
      </c>
      <c r="G1247" s="88"/>
      <c r="H1247" s="92"/>
      <c r="I1247" s="85">
        <f t="shared" si="71"/>
        <v>0</v>
      </c>
      <c r="J1247" s="93"/>
      <c r="K1247" s="85">
        <f t="shared" si="72"/>
        <v>0</v>
      </c>
      <c r="L1247" s="68"/>
      <c r="M1247" s="68"/>
      <c r="P1247" s="89" t="str">
        <f t="shared" si="70"/>
        <v xml:space="preserve">  1 1900 </v>
      </c>
    </row>
    <row r="1248" spans="1:16">
      <c r="A1248" s="68"/>
      <c r="B1248" s="87"/>
      <c r="C1248" s="88"/>
      <c r="D1248" s="88"/>
      <c r="E1248" s="90"/>
      <c r="F1248" s="84" t="str">
        <f ca="1">IF(D1248="Income",LOOKUP(E1248,Introduction!$A$11:$A$18,Introduction!$C$11:$C$18),IF(D1248="Expense",LOOKUP(E1248,Introduction!$D$11:$D$30,Introduction!$F$11:$F$30),"_"))</f>
        <v>_</v>
      </c>
      <c r="G1248" s="88"/>
      <c r="H1248" s="92"/>
      <c r="I1248" s="85">
        <f t="shared" si="71"/>
        <v>0</v>
      </c>
      <c r="J1248" s="93"/>
      <c r="K1248" s="85">
        <f t="shared" si="72"/>
        <v>0</v>
      </c>
      <c r="L1248" s="68"/>
      <c r="M1248" s="68"/>
      <c r="P1248" s="89" t="str">
        <f t="shared" si="70"/>
        <v xml:space="preserve">  1 1900 </v>
      </c>
    </row>
    <row r="1249" spans="1:16">
      <c r="A1249" s="68"/>
      <c r="B1249" s="87"/>
      <c r="C1249" s="88"/>
      <c r="D1249" s="88"/>
      <c r="E1249" s="90"/>
      <c r="F1249" s="84" t="str">
        <f ca="1">IF(D1249="Income",LOOKUP(E1249,Introduction!$A$11:$A$18,Introduction!$C$11:$C$18),IF(D1249="Expense",LOOKUP(E1249,Introduction!$D$11:$D$30,Introduction!$F$11:$F$30),"_"))</f>
        <v>_</v>
      </c>
      <c r="G1249" s="88"/>
      <c r="H1249" s="92"/>
      <c r="I1249" s="85">
        <f t="shared" si="71"/>
        <v>0</v>
      </c>
      <c r="J1249" s="93"/>
      <c r="K1249" s="85">
        <f t="shared" si="72"/>
        <v>0</v>
      </c>
      <c r="L1249" s="68"/>
      <c r="M1249" s="68"/>
      <c r="P1249" s="89" t="str">
        <f t="shared" si="70"/>
        <v xml:space="preserve">  1 1900 </v>
      </c>
    </row>
    <row r="1250" spans="1:16">
      <c r="A1250" s="68"/>
      <c r="B1250" s="87"/>
      <c r="C1250" s="88"/>
      <c r="D1250" s="88"/>
      <c r="E1250" s="90"/>
      <c r="F1250" s="84" t="str">
        <f ca="1">IF(D1250="Income",LOOKUP(E1250,Introduction!$A$11:$A$18,Introduction!$C$11:$C$18),IF(D1250="Expense",LOOKUP(E1250,Introduction!$D$11:$D$30,Introduction!$F$11:$F$30),"_"))</f>
        <v>_</v>
      </c>
      <c r="G1250" s="88"/>
      <c r="H1250" s="92"/>
      <c r="I1250" s="85">
        <f t="shared" si="71"/>
        <v>0</v>
      </c>
      <c r="J1250" s="93"/>
      <c r="K1250" s="85">
        <f t="shared" si="72"/>
        <v>0</v>
      </c>
      <c r="L1250" s="68"/>
      <c r="M1250" s="68"/>
      <c r="P1250" s="89" t="str">
        <f t="shared" si="70"/>
        <v xml:space="preserve">  1 1900 </v>
      </c>
    </row>
    <row r="1251" spans="1:16">
      <c r="A1251" s="68"/>
      <c r="B1251" s="87"/>
      <c r="C1251" s="88"/>
      <c r="D1251" s="88"/>
      <c r="E1251" s="90"/>
      <c r="F1251" s="84" t="str">
        <f ca="1">IF(D1251="Income",LOOKUP(E1251,Introduction!$A$11:$A$18,Introduction!$C$11:$C$18),IF(D1251="Expense",LOOKUP(E1251,Introduction!$D$11:$D$30,Introduction!$F$11:$F$30),"_"))</f>
        <v>_</v>
      </c>
      <c r="G1251" s="88"/>
      <c r="H1251" s="92"/>
      <c r="I1251" s="85">
        <f t="shared" si="71"/>
        <v>0</v>
      </c>
      <c r="J1251" s="93"/>
      <c r="K1251" s="85">
        <f t="shared" si="72"/>
        <v>0</v>
      </c>
      <c r="L1251" s="68"/>
      <c r="M1251" s="68"/>
      <c r="P1251" s="89" t="str">
        <f t="shared" si="70"/>
        <v xml:space="preserve">  1 1900 </v>
      </c>
    </row>
    <row r="1252" spans="1:16">
      <c r="A1252" s="68"/>
      <c r="B1252" s="87"/>
      <c r="C1252" s="88"/>
      <c r="D1252" s="88"/>
      <c r="E1252" s="90"/>
      <c r="F1252" s="84" t="str">
        <f ca="1">IF(D1252="Income",LOOKUP(E1252,Introduction!$A$11:$A$18,Introduction!$C$11:$C$18),IF(D1252="Expense",LOOKUP(E1252,Introduction!$D$11:$D$30,Introduction!$F$11:$F$30),"_"))</f>
        <v>_</v>
      </c>
      <c r="G1252" s="88"/>
      <c r="H1252" s="92"/>
      <c r="I1252" s="85">
        <f t="shared" si="71"/>
        <v>0</v>
      </c>
      <c r="J1252" s="93"/>
      <c r="K1252" s="85">
        <f t="shared" si="72"/>
        <v>0</v>
      </c>
      <c r="L1252" s="68"/>
      <c r="M1252" s="68"/>
      <c r="P1252" s="89" t="str">
        <f t="shared" si="70"/>
        <v xml:space="preserve">  1 1900 </v>
      </c>
    </row>
    <row r="1253" spans="1:16">
      <c r="A1253" s="68"/>
      <c r="B1253" s="87"/>
      <c r="C1253" s="88"/>
      <c r="D1253" s="88"/>
      <c r="E1253" s="90"/>
      <c r="F1253" s="84" t="str">
        <f ca="1">IF(D1253="Income",LOOKUP(E1253,Introduction!$A$11:$A$18,Introduction!$C$11:$C$18),IF(D1253="Expense",LOOKUP(E1253,Introduction!$D$11:$D$30,Introduction!$F$11:$F$30),"_"))</f>
        <v>_</v>
      </c>
      <c r="G1253" s="88"/>
      <c r="H1253" s="92"/>
      <c r="I1253" s="85">
        <f t="shared" si="71"/>
        <v>0</v>
      </c>
      <c r="J1253" s="93"/>
      <c r="K1253" s="85">
        <f t="shared" si="72"/>
        <v>0</v>
      </c>
      <c r="L1253" s="68"/>
      <c r="M1253" s="68"/>
      <c r="P1253" s="89" t="str">
        <f t="shared" si="70"/>
        <v xml:space="preserve">  1 1900 </v>
      </c>
    </row>
    <row r="1254" spans="1:16">
      <c r="A1254" s="68"/>
      <c r="B1254" s="87"/>
      <c r="C1254" s="88"/>
      <c r="D1254" s="88"/>
      <c r="E1254" s="90"/>
      <c r="F1254" s="84" t="str">
        <f ca="1">IF(D1254="Income",LOOKUP(E1254,Introduction!$A$11:$A$18,Introduction!$C$11:$C$18),IF(D1254="Expense",LOOKUP(E1254,Introduction!$D$11:$D$30,Introduction!$F$11:$F$30),"_"))</f>
        <v>_</v>
      </c>
      <c r="G1254" s="88"/>
      <c r="H1254" s="92"/>
      <c r="I1254" s="85">
        <f t="shared" si="71"/>
        <v>0</v>
      </c>
      <c r="J1254" s="93"/>
      <c r="K1254" s="85">
        <f t="shared" si="72"/>
        <v>0</v>
      </c>
      <c r="L1254" s="68"/>
      <c r="M1254" s="68"/>
      <c r="P1254" s="89" t="str">
        <f t="shared" si="70"/>
        <v xml:space="preserve">  1 1900 </v>
      </c>
    </row>
    <row r="1255" spans="1:16">
      <c r="A1255" s="68"/>
      <c r="B1255" s="87"/>
      <c r="C1255" s="88"/>
      <c r="D1255" s="88"/>
      <c r="E1255" s="90"/>
      <c r="F1255" s="84" t="str">
        <f ca="1">IF(D1255="Income",LOOKUP(E1255,Introduction!$A$11:$A$18,Introduction!$C$11:$C$18),IF(D1255="Expense",LOOKUP(E1255,Introduction!$D$11:$D$30,Introduction!$F$11:$F$30),"_"))</f>
        <v>_</v>
      </c>
      <c r="G1255" s="88"/>
      <c r="H1255" s="92"/>
      <c r="I1255" s="85">
        <f t="shared" si="71"/>
        <v>0</v>
      </c>
      <c r="J1255" s="93"/>
      <c r="K1255" s="85">
        <f t="shared" si="72"/>
        <v>0</v>
      </c>
      <c r="L1255" s="68"/>
      <c r="M1255" s="68"/>
      <c r="P1255" s="89" t="str">
        <f t="shared" si="70"/>
        <v xml:space="preserve">  1 1900 </v>
      </c>
    </row>
    <row r="1256" spans="1:16">
      <c r="A1256" s="68"/>
      <c r="B1256" s="87"/>
      <c r="C1256" s="88"/>
      <c r="D1256" s="88"/>
      <c r="E1256" s="90"/>
      <c r="F1256" s="84" t="str">
        <f ca="1">IF(D1256="Income",LOOKUP(E1256,Introduction!$A$11:$A$18,Introduction!$C$11:$C$18),IF(D1256="Expense",LOOKUP(E1256,Introduction!$D$11:$D$30,Introduction!$F$11:$F$30),"_"))</f>
        <v>_</v>
      </c>
      <c r="G1256" s="88"/>
      <c r="H1256" s="92"/>
      <c r="I1256" s="85">
        <f t="shared" si="71"/>
        <v>0</v>
      </c>
      <c r="J1256" s="93"/>
      <c r="K1256" s="85">
        <f t="shared" si="72"/>
        <v>0</v>
      </c>
      <c r="L1256" s="68"/>
      <c r="M1256" s="68"/>
      <c r="P1256" s="89" t="str">
        <f t="shared" si="70"/>
        <v xml:space="preserve">  1 1900 </v>
      </c>
    </row>
    <row r="1257" spans="1:16">
      <c r="A1257" s="68"/>
      <c r="B1257" s="87"/>
      <c r="C1257" s="88"/>
      <c r="D1257" s="88"/>
      <c r="E1257" s="90"/>
      <c r="F1257" s="84" t="str">
        <f ca="1">IF(D1257="Income",LOOKUP(E1257,Introduction!$A$11:$A$18,Introduction!$C$11:$C$18),IF(D1257="Expense",LOOKUP(E1257,Introduction!$D$11:$D$30,Introduction!$F$11:$F$30),"_"))</f>
        <v>_</v>
      </c>
      <c r="G1257" s="88"/>
      <c r="H1257" s="92"/>
      <c r="I1257" s="85">
        <f t="shared" si="71"/>
        <v>0</v>
      </c>
      <c r="J1257" s="93"/>
      <c r="K1257" s="85">
        <f t="shared" si="72"/>
        <v>0</v>
      </c>
      <c r="L1257" s="68"/>
      <c r="M1257" s="68"/>
      <c r="P1257" s="89" t="str">
        <f t="shared" si="70"/>
        <v xml:space="preserve">  1 1900 </v>
      </c>
    </row>
    <row r="1258" spans="1:16">
      <c r="A1258" s="68"/>
      <c r="B1258" s="87"/>
      <c r="C1258" s="88"/>
      <c r="D1258" s="88"/>
      <c r="E1258" s="90"/>
      <c r="F1258" s="84" t="str">
        <f ca="1">IF(D1258="Income",LOOKUP(E1258,Introduction!$A$11:$A$18,Introduction!$C$11:$C$18),IF(D1258="Expense",LOOKUP(E1258,Introduction!$D$11:$D$30,Introduction!$F$11:$F$30),"_"))</f>
        <v>_</v>
      </c>
      <c r="G1258" s="88"/>
      <c r="H1258" s="92"/>
      <c r="I1258" s="85">
        <f t="shared" si="71"/>
        <v>0</v>
      </c>
      <c r="J1258" s="93"/>
      <c r="K1258" s="85">
        <f t="shared" si="72"/>
        <v>0</v>
      </c>
      <c r="L1258" s="68"/>
      <c r="M1258" s="68"/>
      <c r="P1258" s="89" t="str">
        <f t="shared" si="70"/>
        <v xml:space="preserve">  1 1900 </v>
      </c>
    </row>
    <row r="1259" spans="1:16">
      <c r="A1259" s="68"/>
      <c r="B1259" s="87"/>
      <c r="C1259" s="88"/>
      <c r="D1259" s="88"/>
      <c r="E1259" s="90"/>
      <c r="F1259" s="84" t="str">
        <f ca="1">IF(D1259="Income",LOOKUP(E1259,Introduction!$A$11:$A$18,Introduction!$C$11:$C$18),IF(D1259="Expense",LOOKUP(E1259,Introduction!$D$11:$D$30,Introduction!$F$11:$F$30),"_"))</f>
        <v>_</v>
      </c>
      <c r="G1259" s="88"/>
      <c r="H1259" s="92"/>
      <c r="I1259" s="85">
        <f t="shared" si="71"/>
        <v>0</v>
      </c>
      <c r="J1259" s="93"/>
      <c r="K1259" s="85">
        <f t="shared" si="72"/>
        <v>0</v>
      </c>
      <c r="L1259" s="68"/>
      <c r="M1259" s="68"/>
      <c r="P1259" s="89" t="str">
        <f t="shared" si="70"/>
        <v xml:space="preserve">  1 1900 </v>
      </c>
    </row>
    <row r="1260" spans="1:16">
      <c r="A1260" s="68"/>
      <c r="B1260" s="87"/>
      <c r="C1260" s="88"/>
      <c r="D1260" s="88"/>
      <c r="E1260" s="90"/>
      <c r="F1260" s="84" t="str">
        <f ca="1">IF(D1260="Income",LOOKUP(E1260,Introduction!$A$11:$A$18,Introduction!$C$11:$C$18),IF(D1260="Expense",LOOKUP(E1260,Introduction!$D$11:$D$30,Introduction!$F$11:$F$30),"_"))</f>
        <v>_</v>
      </c>
      <c r="G1260" s="88"/>
      <c r="H1260" s="92"/>
      <c r="I1260" s="85">
        <f t="shared" si="71"/>
        <v>0</v>
      </c>
      <c r="J1260" s="93"/>
      <c r="K1260" s="85">
        <f t="shared" si="72"/>
        <v>0</v>
      </c>
      <c r="L1260" s="68"/>
      <c r="M1260" s="68"/>
      <c r="P1260" s="89" t="str">
        <f t="shared" si="70"/>
        <v xml:space="preserve">  1 1900 </v>
      </c>
    </row>
    <row r="1261" spans="1:16">
      <c r="A1261" s="68"/>
      <c r="B1261" s="87"/>
      <c r="C1261" s="88"/>
      <c r="D1261" s="88"/>
      <c r="E1261" s="90"/>
      <c r="F1261" s="84" t="str">
        <f ca="1">IF(D1261="Income",LOOKUP(E1261,Introduction!$A$11:$A$18,Introduction!$C$11:$C$18),IF(D1261="Expense",LOOKUP(E1261,Introduction!$D$11:$D$30,Introduction!$F$11:$F$30),"_"))</f>
        <v>_</v>
      </c>
      <c r="G1261" s="88"/>
      <c r="H1261" s="92"/>
      <c r="I1261" s="85">
        <f t="shared" si="71"/>
        <v>0</v>
      </c>
      <c r="J1261" s="93"/>
      <c r="K1261" s="85">
        <f t="shared" si="72"/>
        <v>0</v>
      </c>
      <c r="L1261" s="68"/>
      <c r="M1261" s="68"/>
      <c r="P1261" s="89" t="str">
        <f t="shared" si="70"/>
        <v xml:space="preserve">  1 1900 </v>
      </c>
    </row>
    <row r="1262" spans="1:16">
      <c r="A1262" s="68"/>
      <c r="B1262" s="87"/>
      <c r="C1262" s="88"/>
      <c r="D1262" s="88"/>
      <c r="E1262" s="90"/>
      <c r="F1262" s="84" t="str">
        <f ca="1">IF(D1262="Income",LOOKUP(E1262,Introduction!$A$11:$A$18,Introduction!$C$11:$C$18),IF(D1262="Expense",LOOKUP(E1262,Introduction!$D$11:$D$30,Introduction!$F$11:$F$30),"_"))</f>
        <v>_</v>
      </c>
      <c r="G1262" s="88"/>
      <c r="H1262" s="92"/>
      <c r="I1262" s="85">
        <f t="shared" si="71"/>
        <v>0</v>
      </c>
      <c r="J1262" s="93"/>
      <c r="K1262" s="85">
        <f t="shared" si="72"/>
        <v>0</v>
      </c>
      <c r="L1262" s="68"/>
      <c r="M1262" s="68"/>
      <c r="P1262" s="89" t="str">
        <f t="shared" si="70"/>
        <v xml:space="preserve">  1 1900 </v>
      </c>
    </row>
    <row r="1263" spans="1:16">
      <c r="A1263" s="68"/>
      <c r="B1263" s="87"/>
      <c r="C1263" s="88"/>
      <c r="D1263" s="88"/>
      <c r="E1263" s="90"/>
      <c r="F1263" s="84" t="str">
        <f ca="1">IF(D1263="Income",LOOKUP(E1263,Introduction!$A$11:$A$18,Introduction!$C$11:$C$18),IF(D1263="Expense",LOOKUP(E1263,Introduction!$D$11:$D$30,Introduction!$F$11:$F$30),"_"))</f>
        <v>_</v>
      </c>
      <c r="G1263" s="88"/>
      <c r="H1263" s="92"/>
      <c r="I1263" s="85">
        <f t="shared" si="71"/>
        <v>0</v>
      </c>
      <c r="J1263" s="93"/>
      <c r="K1263" s="85">
        <f t="shared" si="72"/>
        <v>0</v>
      </c>
      <c r="L1263" s="68"/>
      <c r="M1263" s="68"/>
      <c r="P1263" s="89" t="str">
        <f t="shared" si="70"/>
        <v xml:space="preserve">  1 1900 </v>
      </c>
    </row>
    <row r="1264" spans="1:16">
      <c r="A1264" s="68"/>
      <c r="B1264" s="87"/>
      <c r="C1264" s="88"/>
      <c r="D1264" s="88"/>
      <c r="E1264" s="90"/>
      <c r="F1264" s="84" t="str">
        <f ca="1">IF(D1264="Income",LOOKUP(E1264,Introduction!$A$11:$A$18,Introduction!$C$11:$C$18),IF(D1264="Expense",LOOKUP(E1264,Introduction!$D$11:$D$30,Introduction!$F$11:$F$30),"_"))</f>
        <v>_</v>
      </c>
      <c r="G1264" s="88"/>
      <c r="H1264" s="92"/>
      <c r="I1264" s="85">
        <f t="shared" si="71"/>
        <v>0</v>
      </c>
      <c r="J1264" s="93"/>
      <c r="K1264" s="85">
        <f t="shared" si="72"/>
        <v>0</v>
      </c>
      <c r="L1264" s="68"/>
      <c r="M1264" s="68"/>
      <c r="P1264" s="89" t="str">
        <f t="shared" si="70"/>
        <v xml:space="preserve">  1 1900 </v>
      </c>
    </row>
    <row r="1265" spans="1:16">
      <c r="A1265" s="68"/>
      <c r="B1265" s="87"/>
      <c r="C1265" s="88"/>
      <c r="D1265" s="88"/>
      <c r="E1265" s="90"/>
      <c r="F1265" s="84" t="str">
        <f ca="1">IF(D1265="Income",LOOKUP(E1265,Introduction!$A$11:$A$18,Introduction!$C$11:$C$18),IF(D1265="Expense",LOOKUP(E1265,Introduction!$D$11:$D$30,Introduction!$F$11:$F$30),"_"))</f>
        <v>_</v>
      </c>
      <c r="G1265" s="88"/>
      <c r="H1265" s="92"/>
      <c r="I1265" s="85">
        <f t="shared" si="71"/>
        <v>0</v>
      </c>
      <c r="J1265" s="93"/>
      <c r="K1265" s="85">
        <f t="shared" si="72"/>
        <v>0</v>
      </c>
      <c r="L1265" s="68"/>
      <c r="M1265" s="68"/>
      <c r="P1265" s="89" t="str">
        <f t="shared" si="70"/>
        <v xml:space="preserve">  1 1900 </v>
      </c>
    </row>
    <row r="1266" spans="1:16">
      <c r="A1266" s="68"/>
      <c r="B1266" s="87"/>
      <c r="C1266" s="88"/>
      <c r="D1266" s="88"/>
      <c r="E1266" s="90"/>
      <c r="F1266" s="84" t="str">
        <f ca="1">IF(D1266="Income",LOOKUP(E1266,Introduction!$A$11:$A$18,Introduction!$C$11:$C$18),IF(D1266="Expense",LOOKUP(E1266,Introduction!$D$11:$D$30,Introduction!$F$11:$F$30),"_"))</f>
        <v>_</v>
      </c>
      <c r="G1266" s="88"/>
      <c r="H1266" s="92"/>
      <c r="I1266" s="85">
        <f t="shared" si="71"/>
        <v>0</v>
      </c>
      <c r="J1266" s="93"/>
      <c r="K1266" s="85">
        <f t="shared" si="72"/>
        <v>0</v>
      </c>
      <c r="L1266" s="68"/>
      <c r="M1266" s="68"/>
      <c r="P1266" s="89" t="str">
        <f t="shared" si="70"/>
        <v xml:space="preserve">  1 1900 </v>
      </c>
    </row>
    <row r="1267" spans="1:16">
      <c r="A1267" s="68"/>
      <c r="B1267" s="87"/>
      <c r="C1267" s="88"/>
      <c r="D1267" s="88"/>
      <c r="E1267" s="90"/>
      <c r="F1267" s="84" t="str">
        <f ca="1">IF(D1267="Income",LOOKUP(E1267,Introduction!$A$11:$A$18,Introduction!$C$11:$C$18),IF(D1267="Expense",LOOKUP(E1267,Introduction!$D$11:$D$30,Introduction!$F$11:$F$30),"_"))</f>
        <v>_</v>
      </c>
      <c r="G1267" s="88"/>
      <c r="H1267" s="92"/>
      <c r="I1267" s="85">
        <f t="shared" si="71"/>
        <v>0</v>
      </c>
      <c r="J1267" s="93"/>
      <c r="K1267" s="85">
        <f t="shared" si="72"/>
        <v>0</v>
      </c>
      <c r="L1267" s="68"/>
      <c r="M1267" s="68"/>
      <c r="P1267" s="89" t="str">
        <f t="shared" si="70"/>
        <v xml:space="preserve">  1 1900 </v>
      </c>
    </row>
    <row r="1268" spans="1:16">
      <c r="A1268" s="68"/>
      <c r="B1268" s="87"/>
      <c r="C1268" s="88"/>
      <c r="D1268" s="88"/>
      <c r="E1268" s="90"/>
      <c r="F1268" s="84" t="str">
        <f ca="1">IF(D1268="Income",LOOKUP(E1268,Introduction!$A$11:$A$18,Introduction!$C$11:$C$18),IF(D1268="Expense",LOOKUP(E1268,Introduction!$D$11:$D$30,Introduction!$F$11:$F$30),"_"))</f>
        <v>_</v>
      </c>
      <c r="G1268" s="88"/>
      <c r="H1268" s="92"/>
      <c r="I1268" s="85">
        <f t="shared" si="71"/>
        <v>0</v>
      </c>
      <c r="J1268" s="93"/>
      <c r="K1268" s="85">
        <f t="shared" si="72"/>
        <v>0</v>
      </c>
      <c r="L1268" s="68"/>
      <c r="M1268" s="68"/>
      <c r="P1268" s="89" t="str">
        <f t="shared" si="70"/>
        <v xml:space="preserve">  1 1900 </v>
      </c>
    </row>
    <row r="1269" spans="1:16">
      <c r="A1269" s="68"/>
      <c r="B1269" s="87"/>
      <c r="C1269" s="88"/>
      <c r="D1269" s="88"/>
      <c r="E1269" s="90"/>
      <c r="F1269" s="84" t="str">
        <f ca="1">IF(D1269="Income",LOOKUP(E1269,Introduction!$A$11:$A$18,Introduction!$C$11:$C$18),IF(D1269="Expense",LOOKUP(E1269,Introduction!$D$11:$D$30,Introduction!$F$11:$F$30),"_"))</f>
        <v>_</v>
      </c>
      <c r="G1269" s="88"/>
      <c r="H1269" s="92"/>
      <c r="I1269" s="85">
        <f t="shared" si="71"/>
        <v>0</v>
      </c>
      <c r="J1269" s="93"/>
      <c r="K1269" s="85">
        <f t="shared" si="72"/>
        <v>0</v>
      </c>
      <c r="L1269" s="68"/>
      <c r="M1269" s="68"/>
      <c r="P1269" s="89" t="str">
        <f t="shared" si="70"/>
        <v xml:space="preserve">  1 1900 </v>
      </c>
    </row>
    <row r="1270" spans="1:16">
      <c r="A1270" s="68"/>
      <c r="B1270" s="87"/>
      <c r="C1270" s="88"/>
      <c r="D1270" s="88"/>
      <c r="E1270" s="90"/>
      <c r="F1270" s="84" t="str">
        <f ca="1">IF(D1270="Income",LOOKUP(E1270,Introduction!$A$11:$A$18,Introduction!$C$11:$C$18),IF(D1270="Expense",LOOKUP(E1270,Introduction!$D$11:$D$30,Introduction!$F$11:$F$30),"_"))</f>
        <v>_</v>
      </c>
      <c r="G1270" s="88"/>
      <c r="H1270" s="92"/>
      <c r="I1270" s="85">
        <f t="shared" si="71"/>
        <v>0</v>
      </c>
      <c r="J1270" s="93"/>
      <c r="K1270" s="85">
        <f t="shared" si="72"/>
        <v>0</v>
      </c>
      <c r="L1270" s="68"/>
      <c r="M1270" s="68"/>
      <c r="P1270" s="89" t="str">
        <f t="shared" si="70"/>
        <v xml:space="preserve">  1 1900 </v>
      </c>
    </row>
    <row r="1271" spans="1:16">
      <c r="A1271" s="68"/>
      <c r="B1271" s="87"/>
      <c r="C1271" s="88"/>
      <c r="D1271" s="88"/>
      <c r="E1271" s="90"/>
      <c r="F1271" s="84" t="str">
        <f ca="1">IF(D1271="Income",LOOKUP(E1271,Introduction!$A$11:$A$18,Introduction!$C$11:$C$18),IF(D1271="Expense",LOOKUP(E1271,Introduction!$D$11:$D$30,Introduction!$F$11:$F$30),"_"))</f>
        <v>_</v>
      </c>
      <c r="G1271" s="88"/>
      <c r="H1271" s="92"/>
      <c r="I1271" s="85">
        <f t="shared" si="71"/>
        <v>0</v>
      </c>
      <c r="J1271" s="93"/>
      <c r="K1271" s="85">
        <f t="shared" si="72"/>
        <v>0</v>
      </c>
      <c r="L1271" s="68"/>
      <c r="M1271" s="68"/>
      <c r="P1271" s="89" t="str">
        <f t="shared" si="70"/>
        <v xml:space="preserve">  1 1900 </v>
      </c>
    </row>
    <row r="1272" spans="1:16">
      <c r="A1272" s="68"/>
      <c r="B1272" s="87"/>
      <c r="C1272" s="88"/>
      <c r="D1272" s="88"/>
      <c r="E1272" s="90"/>
      <c r="F1272" s="84" t="str">
        <f ca="1">IF(D1272="Income",LOOKUP(E1272,Introduction!$A$11:$A$18,Introduction!$C$11:$C$18),IF(D1272="Expense",LOOKUP(E1272,Introduction!$D$11:$D$30,Introduction!$F$11:$F$30),"_"))</f>
        <v>_</v>
      </c>
      <c r="G1272" s="88"/>
      <c r="H1272" s="92"/>
      <c r="I1272" s="85">
        <f t="shared" si="71"/>
        <v>0</v>
      </c>
      <c r="J1272" s="93"/>
      <c r="K1272" s="85">
        <f t="shared" si="72"/>
        <v>0</v>
      </c>
      <c r="L1272" s="68"/>
      <c r="M1272" s="68"/>
      <c r="P1272" s="89" t="str">
        <f t="shared" si="70"/>
        <v xml:space="preserve">  1 1900 </v>
      </c>
    </row>
    <row r="1273" spans="1:16">
      <c r="A1273" s="68"/>
      <c r="B1273" s="87"/>
      <c r="C1273" s="88"/>
      <c r="D1273" s="88"/>
      <c r="E1273" s="90"/>
      <c r="F1273" s="84" t="str">
        <f ca="1">IF(D1273="Income",LOOKUP(E1273,Introduction!$A$11:$A$18,Introduction!$C$11:$C$18),IF(D1273="Expense",LOOKUP(E1273,Introduction!$D$11:$D$30,Introduction!$F$11:$F$30),"_"))</f>
        <v>_</v>
      </c>
      <c r="G1273" s="88"/>
      <c r="H1273" s="92"/>
      <c r="I1273" s="85">
        <f t="shared" si="71"/>
        <v>0</v>
      </c>
      <c r="J1273" s="93"/>
      <c r="K1273" s="85">
        <f t="shared" si="72"/>
        <v>0</v>
      </c>
      <c r="L1273" s="68"/>
      <c r="M1273" s="68"/>
      <c r="P1273" s="89" t="str">
        <f t="shared" si="70"/>
        <v xml:space="preserve">  1 1900 </v>
      </c>
    </row>
    <row r="1274" spans="1:16">
      <c r="A1274" s="68"/>
      <c r="B1274" s="87"/>
      <c r="C1274" s="88"/>
      <c r="D1274" s="88"/>
      <c r="E1274" s="90"/>
      <c r="F1274" s="84" t="str">
        <f ca="1">IF(D1274="Income",LOOKUP(E1274,Introduction!$A$11:$A$18,Introduction!$C$11:$C$18),IF(D1274="Expense",LOOKUP(E1274,Introduction!$D$11:$D$30,Introduction!$F$11:$F$30),"_"))</f>
        <v>_</v>
      </c>
      <c r="G1274" s="88"/>
      <c r="H1274" s="92"/>
      <c r="I1274" s="85">
        <f t="shared" si="71"/>
        <v>0</v>
      </c>
      <c r="J1274" s="93"/>
      <c r="K1274" s="85">
        <f t="shared" si="72"/>
        <v>0</v>
      </c>
      <c r="L1274" s="68"/>
      <c r="M1274" s="68"/>
      <c r="P1274" s="89" t="str">
        <f t="shared" si="70"/>
        <v xml:space="preserve">  1 1900 </v>
      </c>
    </row>
    <row r="1275" spans="1:16">
      <c r="A1275" s="68"/>
      <c r="B1275" s="87"/>
      <c r="C1275" s="88"/>
      <c r="D1275" s="88"/>
      <c r="E1275" s="90"/>
      <c r="F1275" s="84" t="str">
        <f ca="1">IF(D1275="Income",LOOKUP(E1275,Introduction!$A$11:$A$18,Introduction!$C$11:$C$18),IF(D1275="Expense",LOOKUP(E1275,Introduction!$D$11:$D$30,Introduction!$F$11:$F$30),"_"))</f>
        <v>_</v>
      </c>
      <c r="G1275" s="88"/>
      <c r="H1275" s="92"/>
      <c r="I1275" s="85">
        <f t="shared" si="71"/>
        <v>0</v>
      </c>
      <c r="J1275" s="93"/>
      <c r="K1275" s="85">
        <f t="shared" si="72"/>
        <v>0</v>
      </c>
      <c r="L1275" s="68"/>
      <c r="M1275" s="68"/>
      <c r="P1275" s="89" t="str">
        <f t="shared" si="70"/>
        <v xml:space="preserve">  1 1900 </v>
      </c>
    </row>
    <row r="1276" spans="1:16">
      <c r="A1276" s="68"/>
      <c r="B1276" s="87"/>
      <c r="C1276" s="88"/>
      <c r="D1276" s="88"/>
      <c r="E1276" s="90"/>
      <c r="F1276" s="84" t="str">
        <f ca="1">IF(D1276="Income",LOOKUP(E1276,Introduction!$A$11:$A$18,Introduction!$C$11:$C$18),IF(D1276="Expense",LOOKUP(E1276,Introduction!$D$11:$D$30,Introduction!$F$11:$F$30),"_"))</f>
        <v>_</v>
      </c>
      <c r="G1276" s="88"/>
      <c r="H1276" s="92"/>
      <c r="I1276" s="85">
        <f t="shared" si="71"/>
        <v>0</v>
      </c>
      <c r="J1276" s="93"/>
      <c r="K1276" s="85">
        <f t="shared" si="72"/>
        <v>0</v>
      </c>
      <c r="L1276" s="68"/>
      <c r="M1276" s="68"/>
      <c r="P1276" s="89" t="str">
        <f t="shared" si="70"/>
        <v xml:space="preserve">  1 1900 </v>
      </c>
    </row>
    <row r="1277" spans="1:16">
      <c r="A1277" s="68"/>
      <c r="B1277" s="87"/>
      <c r="C1277" s="88"/>
      <c r="D1277" s="88"/>
      <c r="E1277" s="90"/>
      <c r="F1277" s="84" t="str">
        <f ca="1">IF(D1277="Income",LOOKUP(E1277,Introduction!$A$11:$A$18,Introduction!$C$11:$C$18),IF(D1277="Expense",LOOKUP(E1277,Introduction!$D$11:$D$30,Introduction!$F$11:$F$30),"_"))</f>
        <v>_</v>
      </c>
      <c r="G1277" s="88"/>
      <c r="H1277" s="92"/>
      <c r="I1277" s="85">
        <f t="shared" si="71"/>
        <v>0</v>
      </c>
      <c r="J1277" s="93"/>
      <c r="K1277" s="85">
        <f t="shared" si="72"/>
        <v>0</v>
      </c>
      <c r="L1277" s="68"/>
      <c r="M1277" s="68"/>
      <c r="P1277" s="89" t="str">
        <f t="shared" si="70"/>
        <v xml:space="preserve">  1 1900 </v>
      </c>
    </row>
    <row r="1278" spans="1:16">
      <c r="A1278" s="68"/>
      <c r="B1278" s="87"/>
      <c r="C1278" s="88"/>
      <c r="D1278" s="88"/>
      <c r="E1278" s="90"/>
      <c r="F1278" s="84" t="str">
        <f ca="1">IF(D1278="Income",LOOKUP(E1278,Introduction!$A$11:$A$18,Introduction!$C$11:$C$18),IF(D1278="Expense",LOOKUP(E1278,Introduction!$D$11:$D$30,Introduction!$F$11:$F$30),"_"))</f>
        <v>_</v>
      </c>
      <c r="G1278" s="88"/>
      <c r="H1278" s="92"/>
      <c r="I1278" s="85">
        <f t="shared" si="71"/>
        <v>0</v>
      </c>
      <c r="J1278" s="93"/>
      <c r="K1278" s="85">
        <f t="shared" si="72"/>
        <v>0</v>
      </c>
      <c r="L1278" s="68"/>
      <c r="M1278" s="68"/>
      <c r="P1278" s="89" t="str">
        <f t="shared" si="70"/>
        <v xml:space="preserve">  1 1900 </v>
      </c>
    </row>
    <row r="1279" spans="1:16">
      <c r="A1279" s="68"/>
      <c r="B1279" s="87"/>
      <c r="C1279" s="88"/>
      <c r="D1279" s="88"/>
      <c r="E1279" s="90"/>
      <c r="F1279" s="84" t="str">
        <f ca="1">IF(D1279="Income",LOOKUP(E1279,Introduction!$A$11:$A$18,Introduction!$C$11:$C$18),IF(D1279="Expense",LOOKUP(E1279,Introduction!$D$11:$D$30,Introduction!$F$11:$F$30),"_"))</f>
        <v>_</v>
      </c>
      <c r="G1279" s="88"/>
      <c r="H1279" s="92"/>
      <c r="I1279" s="85">
        <f t="shared" si="71"/>
        <v>0</v>
      </c>
      <c r="J1279" s="93"/>
      <c r="K1279" s="85">
        <f t="shared" si="72"/>
        <v>0</v>
      </c>
      <c r="L1279" s="68"/>
      <c r="M1279" s="68"/>
      <c r="P1279" s="89" t="str">
        <f t="shared" si="70"/>
        <v xml:space="preserve">  1 1900 </v>
      </c>
    </row>
    <row r="1280" spans="1:16">
      <c r="A1280" s="68"/>
      <c r="B1280" s="87"/>
      <c r="C1280" s="88"/>
      <c r="D1280" s="88"/>
      <c r="E1280" s="90"/>
      <c r="F1280" s="84" t="str">
        <f ca="1">IF(D1280="Income",LOOKUP(E1280,Introduction!$A$11:$A$18,Introduction!$C$11:$C$18),IF(D1280="Expense",LOOKUP(E1280,Introduction!$D$11:$D$30,Introduction!$F$11:$F$30),"_"))</f>
        <v>_</v>
      </c>
      <c r="G1280" s="88"/>
      <c r="H1280" s="92"/>
      <c r="I1280" s="85">
        <f t="shared" si="71"/>
        <v>0</v>
      </c>
      <c r="J1280" s="93"/>
      <c r="K1280" s="85">
        <f t="shared" si="72"/>
        <v>0</v>
      </c>
      <c r="L1280" s="68"/>
      <c r="M1280" s="68"/>
      <c r="P1280" s="89" t="str">
        <f t="shared" si="70"/>
        <v xml:space="preserve">  1 1900 </v>
      </c>
    </row>
    <row r="1281" spans="1:16">
      <c r="A1281" s="68"/>
      <c r="B1281" s="87"/>
      <c r="C1281" s="88"/>
      <c r="D1281" s="88"/>
      <c r="E1281" s="90"/>
      <c r="F1281" s="84" t="str">
        <f ca="1">IF(D1281="Income",LOOKUP(E1281,Introduction!$A$11:$A$18,Introduction!$C$11:$C$18),IF(D1281="Expense",LOOKUP(E1281,Introduction!$D$11:$D$30,Introduction!$F$11:$F$30),"_"))</f>
        <v>_</v>
      </c>
      <c r="G1281" s="88"/>
      <c r="H1281" s="92"/>
      <c r="I1281" s="85">
        <f t="shared" si="71"/>
        <v>0</v>
      </c>
      <c r="J1281" s="93"/>
      <c r="K1281" s="85">
        <f t="shared" si="72"/>
        <v>0</v>
      </c>
      <c r="L1281" s="68"/>
      <c r="M1281" s="68"/>
      <c r="P1281" s="89" t="str">
        <f t="shared" si="70"/>
        <v xml:space="preserve">  1 1900 </v>
      </c>
    </row>
    <row r="1282" spans="1:16">
      <c r="A1282" s="68"/>
      <c r="B1282" s="87"/>
      <c r="C1282" s="88"/>
      <c r="D1282" s="88"/>
      <c r="E1282" s="90"/>
      <c r="F1282" s="84" t="str">
        <f ca="1">IF(D1282="Income",LOOKUP(E1282,Introduction!$A$11:$A$18,Introduction!$C$11:$C$18),IF(D1282="Expense",LOOKUP(E1282,Introduction!$D$11:$D$30,Introduction!$F$11:$F$30),"_"))</f>
        <v>_</v>
      </c>
      <c r="G1282" s="88"/>
      <c r="H1282" s="92"/>
      <c r="I1282" s="85">
        <f t="shared" si="71"/>
        <v>0</v>
      </c>
      <c r="J1282" s="93"/>
      <c r="K1282" s="85">
        <f t="shared" si="72"/>
        <v>0</v>
      </c>
      <c r="L1282" s="68"/>
      <c r="M1282" s="68"/>
      <c r="P1282" s="89" t="str">
        <f t="shared" si="70"/>
        <v xml:space="preserve">  1 1900 </v>
      </c>
    </row>
    <row r="1283" spans="1:16">
      <c r="A1283" s="68"/>
      <c r="B1283" s="87"/>
      <c r="C1283" s="88"/>
      <c r="D1283" s="88"/>
      <c r="E1283" s="90"/>
      <c r="F1283" s="84" t="str">
        <f ca="1">IF(D1283="Income",LOOKUP(E1283,Introduction!$A$11:$A$18,Introduction!$C$11:$C$18),IF(D1283="Expense",LOOKUP(E1283,Introduction!$D$11:$D$30,Introduction!$F$11:$F$30),"_"))</f>
        <v>_</v>
      </c>
      <c r="G1283" s="88"/>
      <c r="H1283" s="92"/>
      <c r="I1283" s="85">
        <f t="shared" si="71"/>
        <v>0</v>
      </c>
      <c r="J1283" s="93"/>
      <c r="K1283" s="85">
        <f t="shared" si="72"/>
        <v>0</v>
      </c>
      <c r="L1283" s="68"/>
      <c r="M1283" s="68"/>
      <c r="P1283" s="89" t="str">
        <f t="shared" si="70"/>
        <v xml:space="preserve">  1 1900 </v>
      </c>
    </row>
    <row r="1284" spans="1:16">
      <c r="A1284" s="68"/>
      <c r="B1284" s="87"/>
      <c r="C1284" s="88"/>
      <c r="D1284" s="88"/>
      <c r="E1284" s="90"/>
      <c r="F1284" s="84" t="str">
        <f ca="1">IF(D1284="Income",LOOKUP(E1284,Introduction!$A$11:$A$18,Introduction!$C$11:$C$18),IF(D1284="Expense",LOOKUP(E1284,Introduction!$D$11:$D$30,Introduction!$F$11:$F$30),"_"))</f>
        <v>_</v>
      </c>
      <c r="G1284" s="88"/>
      <c r="H1284" s="92"/>
      <c r="I1284" s="85">
        <f t="shared" si="71"/>
        <v>0</v>
      </c>
      <c r="J1284" s="93"/>
      <c r="K1284" s="85">
        <f t="shared" si="72"/>
        <v>0</v>
      </c>
      <c r="L1284" s="68"/>
      <c r="M1284" s="68"/>
      <c r="P1284" s="89" t="str">
        <f t="shared" si="70"/>
        <v xml:space="preserve">  1 1900 </v>
      </c>
    </row>
    <row r="1285" spans="1:16">
      <c r="A1285" s="68"/>
      <c r="B1285" s="87"/>
      <c r="C1285" s="88"/>
      <c r="D1285" s="88"/>
      <c r="E1285" s="90"/>
      <c r="F1285" s="84" t="str">
        <f ca="1">IF(D1285="Income",LOOKUP(E1285,Introduction!$A$11:$A$18,Introduction!$C$11:$C$18),IF(D1285="Expense",LOOKUP(E1285,Introduction!$D$11:$D$30,Introduction!$F$11:$F$30),"_"))</f>
        <v>_</v>
      </c>
      <c r="G1285" s="88"/>
      <c r="H1285" s="92"/>
      <c r="I1285" s="85">
        <f t="shared" si="71"/>
        <v>0</v>
      </c>
      <c r="J1285" s="93"/>
      <c r="K1285" s="85">
        <f t="shared" si="72"/>
        <v>0</v>
      </c>
      <c r="L1285" s="68"/>
      <c r="M1285" s="68"/>
      <c r="P1285" s="89" t="str">
        <f t="shared" si="70"/>
        <v xml:space="preserve">  1 1900 </v>
      </c>
    </row>
    <row r="1286" spans="1:16">
      <c r="A1286" s="68"/>
      <c r="B1286" s="87"/>
      <c r="C1286" s="88"/>
      <c r="D1286" s="88"/>
      <c r="E1286" s="90"/>
      <c r="F1286" s="84" t="str">
        <f ca="1">IF(D1286="Income",LOOKUP(E1286,Introduction!$A$11:$A$18,Introduction!$C$11:$C$18),IF(D1286="Expense",LOOKUP(E1286,Introduction!$D$11:$D$30,Introduction!$F$11:$F$30),"_"))</f>
        <v>_</v>
      </c>
      <c r="G1286" s="88"/>
      <c r="H1286" s="92"/>
      <c r="I1286" s="85">
        <f t="shared" si="71"/>
        <v>0</v>
      </c>
      <c r="J1286" s="93"/>
      <c r="K1286" s="85">
        <f t="shared" si="72"/>
        <v>0</v>
      </c>
      <c r="L1286" s="68"/>
      <c r="M1286" s="68"/>
      <c r="P1286" s="89" t="str">
        <f t="shared" si="70"/>
        <v xml:space="preserve">  1 1900 </v>
      </c>
    </row>
    <row r="1287" spans="1:16">
      <c r="A1287" s="68"/>
      <c r="B1287" s="87"/>
      <c r="C1287" s="88"/>
      <c r="D1287" s="88"/>
      <c r="E1287" s="90"/>
      <c r="F1287" s="84" t="str">
        <f ca="1">IF(D1287="Income",LOOKUP(E1287,Introduction!$A$11:$A$18,Introduction!$C$11:$C$18),IF(D1287="Expense",LOOKUP(E1287,Introduction!$D$11:$D$30,Introduction!$F$11:$F$30),"_"))</f>
        <v>_</v>
      </c>
      <c r="G1287" s="88"/>
      <c r="H1287" s="92"/>
      <c r="I1287" s="85">
        <f t="shared" si="71"/>
        <v>0</v>
      </c>
      <c r="J1287" s="93"/>
      <c r="K1287" s="85">
        <f t="shared" si="72"/>
        <v>0</v>
      </c>
      <c r="L1287" s="68"/>
      <c r="M1287" s="68"/>
      <c r="P1287" s="89" t="str">
        <f t="shared" ref="P1287:P1350" si="73">CONCATENATE(D1287," ",E1287," ",MONTH(C1287)," ",YEAR(C1287)," ")</f>
        <v xml:space="preserve">  1 1900 </v>
      </c>
    </row>
    <row r="1288" spans="1:16">
      <c r="A1288" s="68"/>
      <c r="B1288" s="87"/>
      <c r="C1288" s="88"/>
      <c r="D1288" s="88"/>
      <c r="E1288" s="90"/>
      <c r="F1288" s="84" t="str">
        <f ca="1">IF(D1288="Income",LOOKUP(E1288,Introduction!$A$11:$A$18,Introduction!$C$11:$C$18),IF(D1288="Expense",LOOKUP(E1288,Introduction!$D$11:$D$30,Introduction!$F$11:$F$30),"_"))</f>
        <v>_</v>
      </c>
      <c r="G1288" s="88"/>
      <c r="H1288" s="92"/>
      <c r="I1288" s="85">
        <f t="shared" si="71"/>
        <v>0</v>
      </c>
      <c r="J1288" s="93"/>
      <c r="K1288" s="85">
        <f t="shared" si="72"/>
        <v>0</v>
      </c>
      <c r="L1288" s="68"/>
      <c r="M1288" s="68"/>
      <c r="P1288" s="89" t="str">
        <f t="shared" si="73"/>
        <v xml:space="preserve">  1 1900 </v>
      </c>
    </row>
    <row r="1289" spans="1:16">
      <c r="A1289" s="68"/>
      <c r="B1289" s="87"/>
      <c r="C1289" s="88"/>
      <c r="D1289" s="88"/>
      <c r="E1289" s="90"/>
      <c r="F1289" s="84" t="str">
        <f ca="1">IF(D1289="Income",LOOKUP(E1289,Introduction!$A$11:$A$18,Introduction!$C$11:$C$18),IF(D1289="Expense",LOOKUP(E1289,Introduction!$D$11:$D$30,Introduction!$F$11:$F$30),"_"))</f>
        <v>_</v>
      </c>
      <c r="G1289" s="88"/>
      <c r="H1289" s="92"/>
      <c r="I1289" s="85">
        <f t="shared" si="71"/>
        <v>0</v>
      </c>
      <c r="J1289" s="93"/>
      <c r="K1289" s="85">
        <f t="shared" si="72"/>
        <v>0</v>
      </c>
      <c r="L1289" s="68"/>
      <c r="M1289" s="68"/>
      <c r="P1289" s="89" t="str">
        <f t="shared" si="73"/>
        <v xml:space="preserve">  1 1900 </v>
      </c>
    </row>
    <row r="1290" spans="1:16">
      <c r="A1290" s="68"/>
      <c r="B1290" s="87"/>
      <c r="C1290" s="88"/>
      <c r="D1290" s="88"/>
      <c r="E1290" s="90"/>
      <c r="F1290" s="84" t="str">
        <f ca="1">IF(D1290="Income",LOOKUP(E1290,Introduction!$A$11:$A$18,Introduction!$C$11:$C$18),IF(D1290="Expense",LOOKUP(E1290,Introduction!$D$11:$D$30,Introduction!$F$11:$F$30),"_"))</f>
        <v>_</v>
      </c>
      <c r="G1290" s="88"/>
      <c r="H1290" s="92"/>
      <c r="I1290" s="85">
        <f t="shared" si="71"/>
        <v>0</v>
      </c>
      <c r="J1290" s="93"/>
      <c r="K1290" s="85">
        <f t="shared" si="72"/>
        <v>0</v>
      </c>
      <c r="L1290" s="68"/>
      <c r="M1290" s="68"/>
      <c r="P1290" s="89" t="str">
        <f t="shared" si="73"/>
        <v xml:space="preserve">  1 1900 </v>
      </c>
    </row>
    <row r="1291" spans="1:16">
      <c r="A1291" s="68"/>
      <c r="B1291" s="87"/>
      <c r="C1291" s="88"/>
      <c r="D1291" s="88"/>
      <c r="E1291" s="90"/>
      <c r="F1291" s="84" t="str">
        <f ca="1">IF(D1291="Income",LOOKUP(E1291,Introduction!$A$11:$A$18,Introduction!$C$11:$C$18),IF(D1291="Expense",LOOKUP(E1291,Introduction!$D$11:$D$30,Introduction!$F$11:$F$30),"_"))</f>
        <v>_</v>
      </c>
      <c r="G1291" s="88"/>
      <c r="H1291" s="92"/>
      <c r="I1291" s="85">
        <f t="shared" si="71"/>
        <v>0</v>
      </c>
      <c r="J1291" s="93"/>
      <c r="K1291" s="85">
        <f t="shared" si="72"/>
        <v>0</v>
      </c>
      <c r="L1291" s="68"/>
      <c r="M1291" s="68"/>
      <c r="P1291" s="89" t="str">
        <f t="shared" si="73"/>
        <v xml:space="preserve">  1 1900 </v>
      </c>
    </row>
    <row r="1292" spans="1:16">
      <c r="A1292" s="68"/>
      <c r="B1292" s="87"/>
      <c r="C1292" s="88"/>
      <c r="D1292" s="88"/>
      <c r="E1292" s="90"/>
      <c r="F1292" s="84" t="str">
        <f ca="1">IF(D1292="Income",LOOKUP(E1292,Introduction!$A$11:$A$18,Introduction!$C$11:$C$18),IF(D1292="Expense",LOOKUP(E1292,Introduction!$D$11:$D$30,Introduction!$F$11:$F$30),"_"))</f>
        <v>_</v>
      </c>
      <c r="G1292" s="88"/>
      <c r="H1292" s="92"/>
      <c r="I1292" s="85">
        <f t="shared" si="71"/>
        <v>0</v>
      </c>
      <c r="J1292" s="93"/>
      <c r="K1292" s="85">
        <f t="shared" si="72"/>
        <v>0</v>
      </c>
      <c r="L1292" s="68"/>
      <c r="M1292" s="68"/>
      <c r="P1292" s="89" t="str">
        <f t="shared" si="73"/>
        <v xml:space="preserve">  1 1900 </v>
      </c>
    </row>
    <row r="1293" spans="1:16">
      <c r="A1293" s="68"/>
      <c r="B1293" s="87"/>
      <c r="C1293" s="88"/>
      <c r="D1293" s="88"/>
      <c r="E1293" s="90"/>
      <c r="F1293" s="84" t="str">
        <f ca="1">IF(D1293="Income",LOOKUP(E1293,Introduction!$A$11:$A$18,Introduction!$C$11:$C$18),IF(D1293="Expense",LOOKUP(E1293,Introduction!$D$11:$D$30,Introduction!$F$11:$F$30),"_"))</f>
        <v>_</v>
      </c>
      <c r="G1293" s="88"/>
      <c r="H1293" s="92"/>
      <c r="I1293" s="85">
        <f t="shared" si="71"/>
        <v>0</v>
      </c>
      <c r="J1293" s="93"/>
      <c r="K1293" s="85">
        <f t="shared" si="72"/>
        <v>0</v>
      </c>
      <c r="L1293" s="68"/>
      <c r="M1293" s="68"/>
      <c r="P1293" s="89" t="str">
        <f t="shared" si="73"/>
        <v xml:space="preserve">  1 1900 </v>
      </c>
    </row>
    <row r="1294" spans="1:16">
      <c r="A1294" s="68"/>
      <c r="B1294" s="87"/>
      <c r="C1294" s="88"/>
      <c r="D1294" s="88"/>
      <c r="E1294" s="90"/>
      <c r="F1294" s="84" t="str">
        <f ca="1">IF(D1294="Income",LOOKUP(E1294,Introduction!$A$11:$A$18,Introduction!$C$11:$C$18),IF(D1294="Expense",LOOKUP(E1294,Introduction!$D$11:$D$30,Introduction!$F$11:$F$30),"_"))</f>
        <v>_</v>
      </c>
      <c r="G1294" s="88"/>
      <c r="H1294" s="92"/>
      <c r="I1294" s="85">
        <f t="shared" si="71"/>
        <v>0</v>
      </c>
      <c r="J1294" s="93"/>
      <c r="K1294" s="85">
        <f t="shared" si="72"/>
        <v>0</v>
      </c>
      <c r="L1294" s="68"/>
      <c r="M1294" s="68"/>
      <c r="P1294" s="89" t="str">
        <f t="shared" si="73"/>
        <v xml:space="preserve">  1 1900 </v>
      </c>
    </row>
    <row r="1295" spans="1:16">
      <c r="A1295" s="68"/>
      <c r="B1295" s="87"/>
      <c r="C1295" s="88"/>
      <c r="D1295" s="88"/>
      <c r="E1295" s="90"/>
      <c r="F1295" s="84" t="str">
        <f ca="1">IF(D1295="Income",LOOKUP(E1295,Introduction!$A$11:$A$18,Introduction!$C$11:$C$18),IF(D1295="Expense",LOOKUP(E1295,Introduction!$D$11:$D$30,Introduction!$F$11:$F$30),"_"))</f>
        <v>_</v>
      </c>
      <c r="G1295" s="88"/>
      <c r="H1295" s="92"/>
      <c r="I1295" s="85">
        <f t="shared" si="71"/>
        <v>0</v>
      </c>
      <c r="J1295" s="93"/>
      <c r="K1295" s="85">
        <f t="shared" si="72"/>
        <v>0</v>
      </c>
      <c r="L1295" s="68"/>
      <c r="M1295" s="68"/>
      <c r="P1295" s="89" t="str">
        <f t="shared" si="73"/>
        <v xml:space="preserve">  1 1900 </v>
      </c>
    </row>
    <row r="1296" spans="1:16">
      <c r="A1296" s="68"/>
      <c r="B1296" s="87"/>
      <c r="C1296" s="88"/>
      <c r="D1296" s="88"/>
      <c r="E1296" s="90"/>
      <c r="F1296" s="84" t="str">
        <f ca="1">IF(D1296="Income",LOOKUP(E1296,Introduction!$A$11:$A$18,Introduction!$C$11:$C$18),IF(D1296="Expense",LOOKUP(E1296,Introduction!$D$11:$D$30,Introduction!$F$11:$F$30),"_"))</f>
        <v>_</v>
      </c>
      <c r="G1296" s="88"/>
      <c r="H1296" s="92"/>
      <c r="I1296" s="85">
        <f t="shared" si="71"/>
        <v>0</v>
      </c>
      <c r="J1296" s="93"/>
      <c r="K1296" s="85">
        <f t="shared" si="72"/>
        <v>0</v>
      </c>
      <c r="L1296" s="68"/>
      <c r="M1296" s="68"/>
      <c r="P1296" s="89" t="str">
        <f t="shared" si="73"/>
        <v xml:space="preserve">  1 1900 </v>
      </c>
    </row>
    <row r="1297" spans="1:16">
      <c r="A1297" s="68"/>
      <c r="B1297" s="87"/>
      <c r="C1297" s="88"/>
      <c r="D1297" s="88"/>
      <c r="E1297" s="90"/>
      <c r="F1297" s="84" t="str">
        <f ca="1">IF(D1297="Income",LOOKUP(E1297,Introduction!$A$11:$A$18,Introduction!$C$11:$C$18),IF(D1297="Expense",LOOKUP(E1297,Introduction!$D$11:$D$30,Introduction!$F$11:$F$30),"_"))</f>
        <v>_</v>
      </c>
      <c r="G1297" s="88"/>
      <c r="H1297" s="92"/>
      <c r="I1297" s="85">
        <f t="shared" ref="I1297:I1360" si="74">+I1296+H1297</f>
        <v>0</v>
      </c>
      <c r="J1297" s="93"/>
      <c r="K1297" s="85">
        <f t="shared" ref="K1297:K1360" si="75">IF(J1297=1,K1296+H1297,++K1296)</f>
        <v>0</v>
      </c>
      <c r="L1297" s="68"/>
      <c r="M1297" s="68"/>
      <c r="P1297" s="89" t="str">
        <f t="shared" si="73"/>
        <v xml:space="preserve">  1 1900 </v>
      </c>
    </row>
    <row r="1298" spans="1:16">
      <c r="A1298" s="68"/>
      <c r="B1298" s="87"/>
      <c r="C1298" s="88"/>
      <c r="D1298" s="88"/>
      <c r="E1298" s="90"/>
      <c r="F1298" s="84" t="str">
        <f ca="1">IF(D1298="Income",LOOKUP(E1298,Introduction!$A$11:$A$18,Introduction!$C$11:$C$18),IF(D1298="Expense",LOOKUP(E1298,Introduction!$D$11:$D$30,Introduction!$F$11:$F$30),"_"))</f>
        <v>_</v>
      </c>
      <c r="G1298" s="88"/>
      <c r="H1298" s="92"/>
      <c r="I1298" s="85">
        <f t="shared" si="74"/>
        <v>0</v>
      </c>
      <c r="J1298" s="93"/>
      <c r="K1298" s="85">
        <f t="shared" si="75"/>
        <v>0</v>
      </c>
      <c r="L1298" s="68"/>
      <c r="M1298" s="68"/>
      <c r="P1298" s="89" t="str">
        <f t="shared" si="73"/>
        <v xml:space="preserve">  1 1900 </v>
      </c>
    </row>
    <row r="1299" spans="1:16">
      <c r="A1299" s="68"/>
      <c r="B1299" s="87"/>
      <c r="C1299" s="88"/>
      <c r="D1299" s="88"/>
      <c r="E1299" s="90"/>
      <c r="F1299" s="84" t="str">
        <f ca="1">IF(D1299="Income",LOOKUP(E1299,Introduction!$A$11:$A$18,Introduction!$C$11:$C$18),IF(D1299="Expense",LOOKUP(E1299,Introduction!$D$11:$D$30,Introduction!$F$11:$F$30),"_"))</f>
        <v>_</v>
      </c>
      <c r="G1299" s="88"/>
      <c r="H1299" s="92"/>
      <c r="I1299" s="85">
        <f t="shared" si="74"/>
        <v>0</v>
      </c>
      <c r="J1299" s="93"/>
      <c r="K1299" s="85">
        <f t="shared" si="75"/>
        <v>0</v>
      </c>
      <c r="L1299" s="68"/>
      <c r="M1299" s="68"/>
      <c r="P1299" s="89" t="str">
        <f t="shared" si="73"/>
        <v xml:space="preserve">  1 1900 </v>
      </c>
    </row>
    <row r="1300" spans="1:16">
      <c r="A1300" s="68"/>
      <c r="B1300" s="87"/>
      <c r="C1300" s="88"/>
      <c r="D1300" s="88"/>
      <c r="E1300" s="90"/>
      <c r="F1300" s="84" t="str">
        <f ca="1">IF(D1300="Income",LOOKUP(E1300,Introduction!$A$11:$A$18,Introduction!$C$11:$C$18),IF(D1300="Expense",LOOKUP(E1300,Introduction!$D$11:$D$30,Introduction!$F$11:$F$30),"_"))</f>
        <v>_</v>
      </c>
      <c r="G1300" s="88"/>
      <c r="H1300" s="92"/>
      <c r="I1300" s="85">
        <f t="shared" si="74"/>
        <v>0</v>
      </c>
      <c r="J1300" s="93"/>
      <c r="K1300" s="85">
        <f t="shared" si="75"/>
        <v>0</v>
      </c>
      <c r="L1300" s="68"/>
      <c r="M1300" s="68"/>
      <c r="P1300" s="89" t="str">
        <f t="shared" si="73"/>
        <v xml:space="preserve">  1 1900 </v>
      </c>
    </row>
    <row r="1301" spans="1:16">
      <c r="A1301" s="68"/>
      <c r="B1301" s="87"/>
      <c r="C1301" s="88"/>
      <c r="D1301" s="88"/>
      <c r="E1301" s="90"/>
      <c r="F1301" s="84" t="str">
        <f ca="1">IF(D1301="Income",LOOKUP(E1301,Introduction!$A$11:$A$18,Introduction!$C$11:$C$18),IF(D1301="Expense",LOOKUP(E1301,Introduction!$D$11:$D$30,Introduction!$F$11:$F$30),"_"))</f>
        <v>_</v>
      </c>
      <c r="G1301" s="88"/>
      <c r="H1301" s="92"/>
      <c r="I1301" s="85">
        <f t="shared" si="74"/>
        <v>0</v>
      </c>
      <c r="J1301" s="93"/>
      <c r="K1301" s="85">
        <f t="shared" si="75"/>
        <v>0</v>
      </c>
      <c r="L1301" s="68"/>
      <c r="M1301" s="68"/>
      <c r="P1301" s="89" t="str">
        <f t="shared" si="73"/>
        <v xml:space="preserve">  1 1900 </v>
      </c>
    </row>
    <row r="1302" spans="1:16">
      <c r="A1302" s="68"/>
      <c r="B1302" s="87"/>
      <c r="C1302" s="88"/>
      <c r="D1302" s="88"/>
      <c r="E1302" s="90"/>
      <c r="F1302" s="84" t="str">
        <f ca="1">IF(D1302="Income",LOOKUP(E1302,Introduction!$A$11:$A$18,Introduction!$C$11:$C$18),IF(D1302="Expense",LOOKUP(E1302,Introduction!$D$11:$D$30,Introduction!$F$11:$F$30),"_"))</f>
        <v>_</v>
      </c>
      <c r="G1302" s="88"/>
      <c r="H1302" s="92"/>
      <c r="I1302" s="85">
        <f t="shared" si="74"/>
        <v>0</v>
      </c>
      <c r="J1302" s="93"/>
      <c r="K1302" s="85">
        <f t="shared" si="75"/>
        <v>0</v>
      </c>
      <c r="L1302" s="68"/>
      <c r="M1302" s="68"/>
      <c r="P1302" s="89" t="str">
        <f t="shared" si="73"/>
        <v xml:space="preserve">  1 1900 </v>
      </c>
    </row>
    <row r="1303" spans="1:16">
      <c r="A1303" s="68"/>
      <c r="B1303" s="87"/>
      <c r="C1303" s="88"/>
      <c r="D1303" s="88"/>
      <c r="E1303" s="90"/>
      <c r="F1303" s="84" t="str">
        <f ca="1">IF(D1303="Income",LOOKUP(E1303,Introduction!$A$11:$A$18,Introduction!$C$11:$C$18),IF(D1303="Expense",LOOKUP(E1303,Introduction!$D$11:$D$30,Introduction!$F$11:$F$30),"_"))</f>
        <v>_</v>
      </c>
      <c r="G1303" s="88"/>
      <c r="H1303" s="92"/>
      <c r="I1303" s="85">
        <f t="shared" si="74"/>
        <v>0</v>
      </c>
      <c r="J1303" s="93"/>
      <c r="K1303" s="85">
        <f t="shared" si="75"/>
        <v>0</v>
      </c>
      <c r="L1303" s="68"/>
      <c r="M1303" s="68"/>
      <c r="P1303" s="89" t="str">
        <f t="shared" si="73"/>
        <v xml:space="preserve">  1 1900 </v>
      </c>
    </row>
    <row r="1304" spans="1:16">
      <c r="A1304" s="68"/>
      <c r="B1304" s="87"/>
      <c r="C1304" s="88"/>
      <c r="D1304" s="88"/>
      <c r="E1304" s="90"/>
      <c r="F1304" s="84" t="str">
        <f ca="1">IF(D1304="Income",LOOKUP(E1304,Introduction!$A$11:$A$18,Introduction!$C$11:$C$18),IF(D1304="Expense",LOOKUP(E1304,Introduction!$D$11:$D$30,Introduction!$F$11:$F$30),"_"))</f>
        <v>_</v>
      </c>
      <c r="G1304" s="88"/>
      <c r="H1304" s="92"/>
      <c r="I1304" s="85">
        <f t="shared" si="74"/>
        <v>0</v>
      </c>
      <c r="J1304" s="93"/>
      <c r="K1304" s="85">
        <f t="shared" si="75"/>
        <v>0</v>
      </c>
      <c r="L1304" s="68"/>
      <c r="M1304" s="68"/>
      <c r="P1304" s="89" t="str">
        <f t="shared" si="73"/>
        <v xml:space="preserve">  1 1900 </v>
      </c>
    </row>
    <row r="1305" spans="1:16">
      <c r="A1305" s="68"/>
      <c r="B1305" s="87"/>
      <c r="C1305" s="88"/>
      <c r="D1305" s="88"/>
      <c r="E1305" s="90"/>
      <c r="F1305" s="84" t="str">
        <f ca="1">IF(D1305="Income",LOOKUP(E1305,Introduction!$A$11:$A$18,Introduction!$C$11:$C$18),IF(D1305="Expense",LOOKUP(E1305,Introduction!$D$11:$D$30,Introduction!$F$11:$F$30),"_"))</f>
        <v>_</v>
      </c>
      <c r="G1305" s="88"/>
      <c r="H1305" s="92"/>
      <c r="I1305" s="85">
        <f t="shared" si="74"/>
        <v>0</v>
      </c>
      <c r="J1305" s="93"/>
      <c r="K1305" s="85">
        <f t="shared" si="75"/>
        <v>0</v>
      </c>
      <c r="L1305" s="68"/>
      <c r="M1305" s="68"/>
      <c r="P1305" s="89" t="str">
        <f t="shared" si="73"/>
        <v xml:space="preserve">  1 1900 </v>
      </c>
    </row>
    <row r="1306" spans="1:16">
      <c r="A1306" s="68"/>
      <c r="B1306" s="87"/>
      <c r="C1306" s="88"/>
      <c r="D1306" s="88"/>
      <c r="E1306" s="90"/>
      <c r="F1306" s="84" t="str">
        <f ca="1">IF(D1306="Income",LOOKUP(E1306,Introduction!$A$11:$A$18,Introduction!$C$11:$C$18),IF(D1306="Expense",LOOKUP(E1306,Introduction!$D$11:$D$30,Introduction!$F$11:$F$30),"_"))</f>
        <v>_</v>
      </c>
      <c r="G1306" s="88"/>
      <c r="H1306" s="92"/>
      <c r="I1306" s="85">
        <f t="shared" si="74"/>
        <v>0</v>
      </c>
      <c r="J1306" s="93"/>
      <c r="K1306" s="85">
        <f t="shared" si="75"/>
        <v>0</v>
      </c>
      <c r="L1306" s="68"/>
      <c r="M1306" s="68"/>
      <c r="P1306" s="89" t="str">
        <f t="shared" si="73"/>
        <v xml:space="preserve">  1 1900 </v>
      </c>
    </row>
    <row r="1307" spans="1:16">
      <c r="A1307" s="68"/>
      <c r="B1307" s="87"/>
      <c r="C1307" s="88"/>
      <c r="D1307" s="88"/>
      <c r="E1307" s="90"/>
      <c r="F1307" s="84" t="str">
        <f ca="1">IF(D1307="Income",LOOKUP(E1307,Introduction!$A$11:$A$18,Introduction!$C$11:$C$18),IF(D1307="Expense",LOOKUP(E1307,Introduction!$D$11:$D$30,Introduction!$F$11:$F$30),"_"))</f>
        <v>_</v>
      </c>
      <c r="G1307" s="88"/>
      <c r="H1307" s="92"/>
      <c r="I1307" s="85">
        <f t="shared" si="74"/>
        <v>0</v>
      </c>
      <c r="J1307" s="93"/>
      <c r="K1307" s="85">
        <f t="shared" si="75"/>
        <v>0</v>
      </c>
      <c r="L1307" s="68"/>
      <c r="M1307" s="68"/>
      <c r="P1307" s="89" t="str">
        <f t="shared" si="73"/>
        <v xml:space="preserve">  1 1900 </v>
      </c>
    </row>
    <row r="1308" spans="1:16">
      <c r="A1308" s="68"/>
      <c r="B1308" s="87"/>
      <c r="C1308" s="88"/>
      <c r="D1308" s="88"/>
      <c r="E1308" s="90"/>
      <c r="F1308" s="84" t="str">
        <f ca="1">IF(D1308="Income",LOOKUP(E1308,Introduction!$A$11:$A$18,Introduction!$C$11:$C$18),IF(D1308="Expense",LOOKUP(E1308,Introduction!$D$11:$D$30,Introduction!$F$11:$F$30),"_"))</f>
        <v>_</v>
      </c>
      <c r="G1308" s="88"/>
      <c r="H1308" s="92"/>
      <c r="I1308" s="85">
        <f t="shared" si="74"/>
        <v>0</v>
      </c>
      <c r="J1308" s="93"/>
      <c r="K1308" s="85">
        <f t="shared" si="75"/>
        <v>0</v>
      </c>
      <c r="L1308" s="68"/>
      <c r="M1308" s="68"/>
      <c r="P1308" s="89" t="str">
        <f t="shared" si="73"/>
        <v xml:space="preserve">  1 1900 </v>
      </c>
    </row>
    <row r="1309" spans="1:16">
      <c r="A1309" s="68"/>
      <c r="B1309" s="87"/>
      <c r="C1309" s="88"/>
      <c r="D1309" s="88"/>
      <c r="E1309" s="90"/>
      <c r="F1309" s="84" t="str">
        <f ca="1">IF(D1309="Income",LOOKUP(E1309,Introduction!$A$11:$A$18,Introduction!$C$11:$C$18),IF(D1309="Expense",LOOKUP(E1309,Introduction!$D$11:$D$30,Introduction!$F$11:$F$30),"_"))</f>
        <v>_</v>
      </c>
      <c r="G1309" s="88"/>
      <c r="H1309" s="92"/>
      <c r="I1309" s="85">
        <f t="shared" si="74"/>
        <v>0</v>
      </c>
      <c r="J1309" s="93"/>
      <c r="K1309" s="85">
        <f t="shared" si="75"/>
        <v>0</v>
      </c>
      <c r="L1309" s="68"/>
      <c r="M1309" s="68"/>
      <c r="P1309" s="89" t="str">
        <f t="shared" si="73"/>
        <v xml:space="preserve">  1 1900 </v>
      </c>
    </row>
    <row r="1310" spans="1:16">
      <c r="A1310" s="68"/>
      <c r="B1310" s="87"/>
      <c r="C1310" s="88"/>
      <c r="D1310" s="88"/>
      <c r="E1310" s="90"/>
      <c r="F1310" s="84" t="str">
        <f ca="1">IF(D1310="Income",LOOKUP(E1310,Introduction!$A$11:$A$18,Introduction!$C$11:$C$18),IF(D1310="Expense",LOOKUP(E1310,Introduction!$D$11:$D$30,Introduction!$F$11:$F$30),"_"))</f>
        <v>_</v>
      </c>
      <c r="G1310" s="88"/>
      <c r="H1310" s="92"/>
      <c r="I1310" s="85">
        <f t="shared" si="74"/>
        <v>0</v>
      </c>
      <c r="J1310" s="93"/>
      <c r="K1310" s="85">
        <f t="shared" si="75"/>
        <v>0</v>
      </c>
      <c r="L1310" s="68"/>
      <c r="M1310" s="68"/>
      <c r="P1310" s="89" t="str">
        <f t="shared" si="73"/>
        <v xml:space="preserve">  1 1900 </v>
      </c>
    </row>
    <row r="1311" spans="1:16">
      <c r="A1311" s="68"/>
      <c r="B1311" s="87"/>
      <c r="C1311" s="88"/>
      <c r="D1311" s="88"/>
      <c r="E1311" s="90"/>
      <c r="F1311" s="84" t="str">
        <f ca="1">IF(D1311="Income",LOOKUP(E1311,Introduction!$A$11:$A$18,Introduction!$C$11:$C$18),IF(D1311="Expense",LOOKUP(E1311,Introduction!$D$11:$D$30,Introduction!$F$11:$F$30),"_"))</f>
        <v>_</v>
      </c>
      <c r="G1311" s="88"/>
      <c r="H1311" s="92"/>
      <c r="I1311" s="85">
        <f t="shared" si="74"/>
        <v>0</v>
      </c>
      <c r="J1311" s="93"/>
      <c r="K1311" s="85">
        <f t="shared" si="75"/>
        <v>0</v>
      </c>
      <c r="L1311" s="68"/>
      <c r="M1311" s="68"/>
      <c r="P1311" s="89" t="str">
        <f t="shared" si="73"/>
        <v xml:space="preserve">  1 1900 </v>
      </c>
    </row>
    <row r="1312" spans="1:16">
      <c r="A1312" s="68"/>
      <c r="B1312" s="87"/>
      <c r="C1312" s="88"/>
      <c r="D1312" s="88"/>
      <c r="E1312" s="90"/>
      <c r="F1312" s="84" t="str">
        <f ca="1">IF(D1312="Income",LOOKUP(E1312,Introduction!$A$11:$A$18,Introduction!$C$11:$C$18),IF(D1312="Expense",LOOKUP(E1312,Introduction!$D$11:$D$30,Introduction!$F$11:$F$30),"_"))</f>
        <v>_</v>
      </c>
      <c r="G1312" s="88"/>
      <c r="H1312" s="92"/>
      <c r="I1312" s="85">
        <f t="shared" si="74"/>
        <v>0</v>
      </c>
      <c r="J1312" s="93"/>
      <c r="K1312" s="85">
        <f t="shared" si="75"/>
        <v>0</v>
      </c>
      <c r="L1312" s="68"/>
      <c r="M1312" s="68"/>
      <c r="P1312" s="89" t="str">
        <f t="shared" si="73"/>
        <v xml:space="preserve">  1 1900 </v>
      </c>
    </row>
    <row r="1313" spans="1:16">
      <c r="A1313" s="68"/>
      <c r="B1313" s="87"/>
      <c r="C1313" s="88"/>
      <c r="D1313" s="88"/>
      <c r="E1313" s="90"/>
      <c r="F1313" s="84" t="str">
        <f ca="1">IF(D1313="Income",LOOKUP(E1313,Introduction!$A$11:$A$18,Introduction!$C$11:$C$18),IF(D1313="Expense",LOOKUP(E1313,Introduction!$D$11:$D$30,Introduction!$F$11:$F$30),"_"))</f>
        <v>_</v>
      </c>
      <c r="G1313" s="88"/>
      <c r="H1313" s="92"/>
      <c r="I1313" s="85">
        <f t="shared" si="74"/>
        <v>0</v>
      </c>
      <c r="J1313" s="93"/>
      <c r="K1313" s="85">
        <f t="shared" si="75"/>
        <v>0</v>
      </c>
      <c r="L1313" s="68"/>
      <c r="M1313" s="68"/>
      <c r="P1313" s="89" t="str">
        <f t="shared" si="73"/>
        <v xml:space="preserve">  1 1900 </v>
      </c>
    </row>
    <row r="1314" spans="1:16">
      <c r="A1314" s="68"/>
      <c r="B1314" s="87"/>
      <c r="C1314" s="88"/>
      <c r="D1314" s="88"/>
      <c r="E1314" s="90"/>
      <c r="F1314" s="84" t="str">
        <f ca="1">IF(D1314="Income",LOOKUP(E1314,Introduction!$A$11:$A$18,Introduction!$C$11:$C$18),IF(D1314="Expense",LOOKUP(E1314,Introduction!$D$11:$D$30,Introduction!$F$11:$F$30),"_"))</f>
        <v>_</v>
      </c>
      <c r="G1314" s="88"/>
      <c r="H1314" s="92"/>
      <c r="I1314" s="85">
        <f t="shared" si="74"/>
        <v>0</v>
      </c>
      <c r="J1314" s="93"/>
      <c r="K1314" s="85">
        <f t="shared" si="75"/>
        <v>0</v>
      </c>
      <c r="L1314" s="68"/>
      <c r="M1314" s="68"/>
      <c r="P1314" s="89" t="str">
        <f t="shared" si="73"/>
        <v xml:space="preserve">  1 1900 </v>
      </c>
    </row>
    <row r="1315" spans="1:16">
      <c r="A1315" s="68"/>
      <c r="B1315" s="87"/>
      <c r="C1315" s="88"/>
      <c r="D1315" s="88"/>
      <c r="E1315" s="90"/>
      <c r="F1315" s="84" t="str">
        <f ca="1">IF(D1315="Income",LOOKUP(E1315,Introduction!$A$11:$A$18,Introduction!$C$11:$C$18),IF(D1315="Expense",LOOKUP(E1315,Introduction!$D$11:$D$30,Introduction!$F$11:$F$30),"_"))</f>
        <v>_</v>
      </c>
      <c r="G1315" s="88"/>
      <c r="H1315" s="92"/>
      <c r="I1315" s="85">
        <f t="shared" si="74"/>
        <v>0</v>
      </c>
      <c r="J1315" s="93"/>
      <c r="K1315" s="85">
        <f t="shared" si="75"/>
        <v>0</v>
      </c>
      <c r="L1315" s="68"/>
      <c r="M1315" s="68"/>
      <c r="P1315" s="89" t="str">
        <f t="shared" si="73"/>
        <v xml:space="preserve">  1 1900 </v>
      </c>
    </row>
    <row r="1316" spans="1:16">
      <c r="A1316" s="68"/>
      <c r="B1316" s="87"/>
      <c r="C1316" s="88"/>
      <c r="D1316" s="88"/>
      <c r="E1316" s="90"/>
      <c r="F1316" s="84" t="str">
        <f ca="1">IF(D1316="Income",LOOKUP(E1316,Introduction!$A$11:$A$18,Introduction!$C$11:$C$18),IF(D1316="Expense",LOOKUP(E1316,Introduction!$D$11:$D$30,Introduction!$F$11:$F$30),"_"))</f>
        <v>_</v>
      </c>
      <c r="G1316" s="88"/>
      <c r="H1316" s="92"/>
      <c r="I1316" s="85">
        <f t="shared" si="74"/>
        <v>0</v>
      </c>
      <c r="J1316" s="93"/>
      <c r="K1316" s="85">
        <f t="shared" si="75"/>
        <v>0</v>
      </c>
      <c r="L1316" s="68"/>
      <c r="M1316" s="68"/>
      <c r="P1316" s="89" t="str">
        <f t="shared" si="73"/>
        <v xml:space="preserve">  1 1900 </v>
      </c>
    </row>
    <row r="1317" spans="1:16">
      <c r="A1317" s="68"/>
      <c r="B1317" s="87"/>
      <c r="C1317" s="88"/>
      <c r="D1317" s="88"/>
      <c r="E1317" s="90"/>
      <c r="F1317" s="84" t="str">
        <f ca="1">IF(D1317="Income",LOOKUP(E1317,Introduction!$A$11:$A$18,Introduction!$C$11:$C$18),IF(D1317="Expense",LOOKUP(E1317,Introduction!$D$11:$D$30,Introduction!$F$11:$F$30),"_"))</f>
        <v>_</v>
      </c>
      <c r="G1317" s="88"/>
      <c r="H1317" s="92"/>
      <c r="I1317" s="85">
        <f t="shared" si="74"/>
        <v>0</v>
      </c>
      <c r="J1317" s="93"/>
      <c r="K1317" s="85">
        <f t="shared" si="75"/>
        <v>0</v>
      </c>
      <c r="L1317" s="68"/>
      <c r="M1317" s="68"/>
      <c r="P1317" s="89" t="str">
        <f t="shared" si="73"/>
        <v xml:space="preserve">  1 1900 </v>
      </c>
    </row>
    <row r="1318" spans="1:16">
      <c r="A1318" s="68"/>
      <c r="B1318" s="87"/>
      <c r="C1318" s="88"/>
      <c r="D1318" s="88"/>
      <c r="E1318" s="90"/>
      <c r="F1318" s="84" t="str">
        <f ca="1">IF(D1318="Income",LOOKUP(E1318,Introduction!$A$11:$A$18,Introduction!$C$11:$C$18),IF(D1318="Expense",LOOKUP(E1318,Introduction!$D$11:$D$30,Introduction!$F$11:$F$30),"_"))</f>
        <v>_</v>
      </c>
      <c r="G1318" s="88"/>
      <c r="H1318" s="92"/>
      <c r="I1318" s="85">
        <f t="shared" si="74"/>
        <v>0</v>
      </c>
      <c r="J1318" s="93"/>
      <c r="K1318" s="85">
        <f t="shared" si="75"/>
        <v>0</v>
      </c>
      <c r="L1318" s="68"/>
      <c r="M1318" s="68"/>
      <c r="P1318" s="89" t="str">
        <f t="shared" si="73"/>
        <v xml:space="preserve">  1 1900 </v>
      </c>
    </row>
    <row r="1319" spans="1:16">
      <c r="A1319" s="68"/>
      <c r="B1319" s="87"/>
      <c r="C1319" s="88"/>
      <c r="D1319" s="88"/>
      <c r="E1319" s="90"/>
      <c r="F1319" s="84" t="str">
        <f ca="1">IF(D1319="Income",LOOKUP(E1319,Introduction!$A$11:$A$18,Introduction!$C$11:$C$18),IF(D1319="Expense",LOOKUP(E1319,Introduction!$D$11:$D$30,Introduction!$F$11:$F$30),"_"))</f>
        <v>_</v>
      </c>
      <c r="G1319" s="88"/>
      <c r="H1319" s="92"/>
      <c r="I1319" s="85">
        <f t="shared" si="74"/>
        <v>0</v>
      </c>
      <c r="J1319" s="93"/>
      <c r="K1319" s="85">
        <f t="shared" si="75"/>
        <v>0</v>
      </c>
      <c r="L1319" s="68"/>
      <c r="M1319" s="68"/>
      <c r="P1319" s="89" t="str">
        <f t="shared" si="73"/>
        <v xml:space="preserve">  1 1900 </v>
      </c>
    </row>
    <row r="1320" spans="1:16">
      <c r="A1320" s="68"/>
      <c r="B1320" s="87"/>
      <c r="C1320" s="88"/>
      <c r="D1320" s="88"/>
      <c r="E1320" s="90"/>
      <c r="F1320" s="84" t="str">
        <f ca="1">IF(D1320="Income",LOOKUP(E1320,Introduction!$A$11:$A$18,Introduction!$C$11:$C$18),IF(D1320="Expense",LOOKUP(E1320,Introduction!$D$11:$D$30,Introduction!$F$11:$F$30),"_"))</f>
        <v>_</v>
      </c>
      <c r="G1320" s="88"/>
      <c r="H1320" s="92"/>
      <c r="I1320" s="85">
        <f t="shared" si="74"/>
        <v>0</v>
      </c>
      <c r="J1320" s="93"/>
      <c r="K1320" s="85">
        <f t="shared" si="75"/>
        <v>0</v>
      </c>
      <c r="L1320" s="68"/>
      <c r="M1320" s="68"/>
      <c r="P1320" s="89" t="str">
        <f t="shared" si="73"/>
        <v xml:space="preserve">  1 1900 </v>
      </c>
    </row>
    <row r="1321" spans="1:16">
      <c r="A1321" s="68"/>
      <c r="B1321" s="87"/>
      <c r="C1321" s="88"/>
      <c r="D1321" s="88"/>
      <c r="E1321" s="90"/>
      <c r="F1321" s="84" t="str">
        <f ca="1">IF(D1321="Income",LOOKUP(E1321,Introduction!$A$11:$A$18,Introduction!$C$11:$C$18),IF(D1321="Expense",LOOKUP(E1321,Introduction!$D$11:$D$30,Introduction!$F$11:$F$30),"_"))</f>
        <v>_</v>
      </c>
      <c r="G1321" s="88"/>
      <c r="H1321" s="92"/>
      <c r="I1321" s="85">
        <f t="shared" si="74"/>
        <v>0</v>
      </c>
      <c r="J1321" s="93"/>
      <c r="K1321" s="85">
        <f t="shared" si="75"/>
        <v>0</v>
      </c>
      <c r="L1321" s="68"/>
      <c r="M1321" s="68"/>
      <c r="P1321" s="89" t="str">
        <f t="shared" si="73"/>
        <v xml:space="preserve">  1 1900 </v>
      </c>
    </row>
    <row r="1322" spans="1:16">
      <c r="A1322" s="68"/>
      <c r="B1322" s="87"/>
      <c r="C1322" s="88"/>
      <c r="D1322" s="88"/>
      <c r="E1322" s="90"/>
      <c r="F1322" s="84" t="str">
        <f ca="1">IF(D1322="Income",LOOKUP(E1322,Introduction!$A$11:$A$18,Introduction!$C$11:$C$18),IF(D1322="Expense",LOOKUP(E1322,Introduction!$D$11:$D$30,Introduction!$F$11:$F$30),"_"))</f>
        <v>_</v>
      </c>
      <c r="G1322" s="88"/>
      <c r="H1322" s="92"/>
      <c r="I1322" s="85">
        <f t="shared" si="74"/>
        <v>0</v>
      </c>
      <c r="J1322" s="93"/>
      <c r="K1322" s="85">
        <f t="shared" si="75"/>
        <v>0</v>
      </c>
      <c r="L1322" s="68"/>
      <c r="M1322" s="68"/>
      <c r="P1322" s="89" t="str">
        <f t="shared" si="73"/>
        <v xml:space="preserve">  1 1900 </v>
      </c>
    </row>
    <row r="1323" spans="1:16">
      <c r="A1323" s="68"/>
      <c r="B1323" s="87"/>
      <c r="C1323" s="88"/>
      <c r="D1323" s="88"/>
      <c r="E1323" s="90"/>
      <c r="F1323" s="84" t="str">
        <f ca="1">IF(D1323="Income",LOOKUP(E1323,Introduction!$A$11:$A$18,Introduction!$C$11:$C$18),IF(D1323="Expense",LOOKUP(E1323,Introduction!$D$11:$D$30,Introduction!$F$11:$F$30),"_"))</f>
        <v>_</v>
      </c>
      <c r="G1323" s="88"/>
      <c r="H1323" s="92"/>
      <c r="I1323" s="85">
        <f t="shared" si="74"/>
        <v>0</v>
      </c>
      <c r="J1323" s="93"/>
      <c r="K1323" s="85">
        <f t="shared" si="75"/>
        <v>0</v>
      </c>
      <c r="L1323" s="68"/>
      <c r="M1323" s="68"/>
      <c r="P1323" s="89" t="str">
        <f t="shared" si="73"/>
        <v xml:space="preserve">  1 1900 </v>
      </c>
    </row>
    <row r="1324" spans="1:16">
      <c r="A1324" s="68"/>
      <c r="B1324" s="87"/>
      <c r="C1324" s="88"/>
      <c r="D1324" s="88"/>
      <c r="E1324" s="90"/>
      <c r="F1324" s="84" t="str">
        <f ca="1">IF(D1324="Income",LOOKUP(E1324,Introduction!$A$11:$A$18,Introduction!$C$11:$C$18),IF(D1324="Expense",LOOKUP(E1324,Introduction!$D$11:$D$30,Introduction!$F$11:$F$30),"_"))</f>
        <v>_</v>
      </c>
      <c r="G1324" s="88"/>
      <c r="H1324" s="92"/>
      <c r="I1324" s="85">
        <f t="shared" si="74"/>
        <v>0</v>
      </c>
      <c r="J1324" s="93"/>
      <c r="K1324" s="85">
        <f t="shared" si="75"/>
        <v>0</v>
      </c>
      <c r="L1324" s="68"/>
      <c r="M1324" s="68"/>
      <c r="P1324" s="89" t="str">
        <f t="shared" si="73"/>
        <v xml:space="preserve">  1 1900 </v>
      </c>
    </row>
    <row r="1325" spans="1:16">
      <c r="A1325" s="68"/>
      <c r="B1325" s="87"/>
      <c r="C1325" s="88"/>
      <c r="D1325" s="88"/>
      <c r="E1325" s="90"/>
      <c r="F1325" s="84" t="str">
        <f ca="1">IF(D1325="Income",LOOKUP(E1325,Introduction!$A$11:$A$18,Introduction!$C$11:$C$18),IF(D1325="Expense",LOOKUP(E1325,Introduction!$D$11:$D$30,Introduction!$F$11:$F$30),"_"))</f>
        <v>_</v>
      </c>
      <c r="G1325" s="88"/>
      <c r="H1325" s="92"/>
      <c r="I1325" s="85">
        <f t="shared" si="74"/>
        <v>0</v>
      </c>
      <c r="J1325" s="93"/>
      <c r="K1325" s="85">
        <f t="shared" si="75"/>
        <v>0</v>
      </c>
      <c r="L1325" s="68"/>
      <c r="M1325" s="68"/>
      <c r="P1325" s="89" t="str">
        <f t="shared" si="73"/>
        <v xml:space="preserve">  1 1900 </v>
      </c>
    </row>
    <row r="1326" spans="1:16">
      <c r="A1326" s="68"/>
      <c r="B1326" s="87"/>
      <c r="C1326" s="88"/>
      <c r="D1326" s="88"/>
      <c r="E1326" s="90"/>
      <c r="F1326" s="84" t="str">
        <f ca="1">IF(D1326="Income",LOOKUP(E1326,Introduction!$A$11:$A$18,Introduction!$C$11:$C$18),IF(D1326="Expense",LOOKUP(E1326,Introduction!$D$11:$D$30,Introduction!$F$11:$F$30),"_"))</f>
        <v>_</v>
      </c>
      <c r="G1326" s="88"/>
      <c r="H1326" s="92"/>
      <c r="I1326" s="85">
        <f t="shared" si="74"/>
        <v>0</v>
      </c>
      <c r="J1326" s="93"/>
      <c r="K1326" s="85">
        <f t="shared" si="75"/>
        <v>0</v>
      </c>
      <c r="L1326" s="68"/>
      <c r="M1326" s="68"/>
      <c r="P1326" s="89" t="str">
        <f t="shared" si="73"/>
        <v xml:space="preserve">  1 1900 </v>
      </c>
    </row>
    <row r="1327" spans="1:16">
      <c r="A1327" s="68"/>
      <c r="B1327" s="87"/>
      <c r="C1327" s="88"/>
      <c r="D1327" s="88"/>
      <c r="E1327" s="90"/>
      <c r="F1327" s="84" t="str">
        <f ca="1">IF(D1327="Income",LOOKUP(E1327,Introduction!$A$11:$A$18,Introduction!$C$11:$C$18),IF(D1327="Expense",LOOKUP(E1327,Introduction!$D$11:$D$30,Introduction!$F$11:$F$30),"_"))</f>
        <v>_</v>
      </c>
      <c r="G1327" s="88"/>
      <c r="H1327" s="92"/>
      <c r="I1327" s="85">
        <f t="shared" si="74"/>
        <v>0</v>
      </c>
      <c r="J1327" s="93"/>
      <c r="K1327" s="85">
        <f t="shared" si="75"/>
        <v>0</v>
      </c>
      <c r="L1327" s="68"/>
      <c r="M1327" s="68"/>
      <c r="P1327" s="89" t="str">
        <f t="shared" si="73"/>
        <v xml:space="preserve">  1 1900 </v>
      </c>
    </row>
    <row r="1328" spans="1:16">
      <c r="A1328" s="68"/>
      <c r="B1328" s="87"/>
      <c r="C1328" s="88"/>
      <c r="D1328" s="88"/>
      <c r="E1328" s="90"/>
      <c r="F1328" s="84" t="str">
        <f ca="1">IF(D1328="Income",LOOKUP(E1328,Introduction!$A$11:$A$18,Introduction!$C$11:$C$18),IF(D1328="Expense",LOOKUP(E1328,Introduction!$D$11:$D$30,Introduction!$F$11:$F$30),"_"))</f>
        <v>_</v>
      </c>
      <c r="G1328" s="88"/>
      <c r="H1328" s="92"/>
      <c r="I1328" s="85">
        <f t="shared" si="74"/>
        <v>0</v>
      </c>
      <c r="J1328" s="93"/>
      <c r="K1328" s="85">
        <f t="shared" si="75"/>
        <v>0</v>
      </c>
      <c r="L1328" s="68"/>
      <c r="M1328" s="68"/>
      <c r="P1328" s="89" t="str">
        <f t="shared" si="73"/>
        <v xml:space="preserve">  1 1900 </v>
      </c>
    </row>
    <row r="1329" spans="1:16">
      <c r="A1329" s="68"/>
      <c r="B1329" s="87"/>
      <c r="C1329" s="88"/>
      <c r="D1329" s="88"/>
      <c r="E1329" s="90"/>
      <c r="F1329" s="84" t="str">
        <f ca="1">IF(D1329="Income",LOOKUP(E1329,Introduction!$A$11:$A$18,Introduction!$C$11:$C$18),IF(D1329="Expense",LOOKUP(E1329,Introduction!$D$11:$D$30,Introduction!$F$11:$F$30),"_"))</f>
        <v>_</v>
      </c>
      <c r="G1329" s="88"/>
      <c r="H1329" s="92"/>
      <c r="I1329" s="85">
        <f t="shared" si="74"/>
        <v>0</v>
      </c>
      <c r="J1329" s="93"/>
      <c r="K1329" s="85">
        <f t="shared" si="75"/>
        <v>0</v>
      </c>
      <c r="L1329" s="68"/>
      <c r="M1329" s="68"/>
      <c r="P1329" s="89" t="str">
        <f t="shared" si="73"/>
        <v xml:space="preserve">  1 1900 </v>
      </c>
    </row>
    <row r="1330" spans="1:16">
      <c r="A1330" s="68"/>
      <c r="B1330" s="87"/>
      <c r="C1330" s="88"/>
      <c r="D1330" s="88"/>
      <c r="E1330" s="90"/>
      <c r="F1330" s="84" t="str">
        <f ca="1">IF(D1330="Income",LOOKUP(E1330,Introduction!$A$11:$A$18,Introduction!$C$11:$C$18),IF(D1330="Expense",LOOKUP(E1330,Introduction!$D$11:$D$30,Introduction!$F$11:$F$30),"_"))</f>
        <v>_</v>
      </c>
      <c r="G1330" s="88"/>
      <c r="H1330" s="92"/>
      <c r="I1330" s="85">
        <f t="shared" si="74"/>
        <v>0</v>
      </c>
      <c r="J1330" s="93"/>
      <c r="K1330" s="85">
        <f t="shared" si="75"/>
        <v>0</v>
      </c>
      <c r="L1330" s="68"/>
      <c r="M1330" s="68"/>
      <c r="P1330" s="89" t="str">
        <f t="shared" si="73"/>
        <v xml:space="preserve">  1 1900 </v>
      </c>
    </row>
    <row r="1331" spans="1:16">
      <c r="A1331" s="68"/>
      <c r="B1331" s="87"/>
      <c r="C1331" s="88"/>
      <c r="D1331" s="88"/>
      <c r="E1331" s="90"/>
      <c r="F1331" s="84" t="str">
        <f ca="1">IF(D1331="Income",LOOKUP(E1331,Introduction!$A$11:$A$18,Introduction!$C$11:$C$18),IF(D1331="Expense",LOOKUP(E1331,Introduction!$D$11:$D$30,Introduction!$F$11:$F$30),"_"))</f>
        <v>_</v>
      </c>
      <c r="G1331" s="88"/>
      <c r="H1331" s="92"/>
      <c r="I1331" s="85">
        <f t="shared" si="74"/>
        <v>0</v>
      </c>
      <c r="J1331" s="93"/>
      <c r="K1331" s="85">
        <f t="shared" si="75"/>
        <v>0</v>
      </c>
      <c r="L1331" s="68"/>
      <c r="M1331" s="68"/>
      <c r="P1331" s="89" t="str">
        <f t="shared" si="73"/>
        <v xml:space="preserve">  1 1900 </v>
      </c>
    </row>
    <row r="1332" spans="1:16">
      <c r="A1332" s="68"/>
      <c r="B1332" s="87"/>
      <c r="C1332" s="88"/>
      <c r="D1332" s="88"/>
      <c r="E1332" s="90"/>
      <c r="F1332" s="84" t="str">
        <f ca="1">IF(D1332="Income",LOOKUP(E1332,Introduction!$A$11:$A$18,Introduction!$C$11:$C$18),IF(D1332="Expense",LOOKUP(E1332,Introduction!$D$11:$D$30,Introduction!$F$11:$F$30),"_"))</f>
        <v>_</v>
      </c>
      <c r="G1332" s="88"/>
      <c r="H1332" s="92"/>
      <c r="I1332" s="85">
        <f t="shared" si="74"/>
        <v>0</v>
      </c>
      <c r="J1332" s="93"/>
      <c r="K1332" s="85">
        <f t="shared" si="75"/>
        <v>0</v>
      </c>
      <c r="L1332" s="68"/>
      <c r="M1332" s="68"/>
      <c r="P1332" s="89" t="str">
        <f t="shared" si="73"/>
        <v xml:space="preserve">  1 1900 </v>
      </c>
    </row>
    <row r="1333" spans="1:16">
      <c r="A1333" s="68"/>
      <c r="B1333" s="87"/>
      <c r="C1333" s="88"/>
      <c r="D1333" s="88"/>
      <c r="E1333" s="90"/>
      <c r="F1333" s="84" t="str">
        <f ca="1">IF(D1333="Income",LOOKUP(E1333,Introduction!$A$11:$A$18,Introduction!$C$11:$C$18),IF(D1333="Expense",LOOKUP(E1333,Introduction!$D$11:$D$30,Introduction!$F$11:$F$30),"_"))</f>
        <v>_</v>
      </c>
      <c r="G1333" s="88"/>
      <c r="H1333" s="92"/>
      <c r="I1333" s="85">
        <f t="shared" si="74"/>
        <v>0</v>
      </c>
      <c r="J1333" s="93"/>
      <c r="K1333" s="85">
        <f t="shared" si="75"/>
        <v>0</v>
      </c>
      <c r="L1333" s="68"/>
      <c r="M1333" s="68"/>
      <c r="P1333" s="89" t="str">
        <f t="shared" si="73"/>
        <v xml:space="preserve">  1 1900 </v>
      </c>
    </row>
    <row r="1334" spans="1:16">
      <c r="A1334" s="68"/>
      <c r="B1334" s="87"/>
      <c r="C1334" s="88"/>
      <c r="D1334" s="88"/>
      <c r="E1334" s="90"/>
      <c r="F1334" s="84" t="str">
        <f ca="1">IF(D1334="Income",LOOKUP(E1334,Introduction!$A$11:$A$18,Introduction!$C$11:$C$18),IF(D1334="Expense",LOOKUP(E1334,Introduction!$D$11:$D$30,Introduction!$F$11:$F$30),"_"))</f>
        <v>_</v>
      </c>
      <c r="G1334" s="88"/>
      <c r="H1334" s="92"/>
      <c r="I1334" s="85">
        <f t="shared" si="74"/>
        <v>0</v>
      </c>
      <c r="J1334" s="93"/>
      <c r="K1334" s="85">
        <f t="shared" si="75"/>
        <v>0</v>
      </c>
      <c r="L1334" s="68"/>
      <c r="M1334" s="68"/>
      <c r="P1334" s="89" t="str">
        <f t="shared" si="73"/>
        <v xml:space="preserve">  1 1900 </v>
      </c>
    </row>
    <row r="1335" spans="1:16">
      <c r="A1335" s="68"/>
      <c r="B1335" s="87"/>
      <c r="C1335" s="88"/>
      <c r="D1335" s="88"/>
      <c r="E1335" s="90"/>
      <c r="F1335" s="84" t="str">
        <f ca="1">IF(D1335="Income",LOOKUP(E1335,Introduction!$A$11:$A$18,Introduction!$C$11:$C$18),IF(D1335="Expense",LOOKUP(E1335,Introduction!$D$11:$D$30,Introduction!$F$11:$F$30),"_"))</f>
        <v>_</v>
      </c>
      <c r="G1335" s="88"/>
      <c r="H1335" s="92"/>
      <c r="I1335" s="85">
        <f t="shared" si="74"/>
        <v>0</v>
      </c>
      <c r="J1335" s="93"/>
      <c r="K1335" s="85">
        <f t="shared" si="75"/>
        <v>0</v>
      </c>
      <c r="L1335" s="68"/>
      <c r="M1335" s="68"/>
      <c r="P1335" s="89" t="str">
        <f t="shared" si="73"/>
        <v xml:space="preserve">  1 1900 </v>
      </c>
    </row>
    <row r="1336" spans="1:16">
      <c r="A1336" s="68"/>
      <c r="B1336" s="87"/>
      <c r="C1336" s="88"/>
      <c r="D1336" s="88"/>
      <c r="E1336" s="90"/>
      <c r="F1336" s="84" t="str">
        <f ca="1">IF(D1336="Income",LOOKUP(E1336,Introduction!$A$11:$A$18,Introduction!$C$11:$C$18),IF(D1336="Expense",LOOKUP(E1336,Introduction!$D$11:$D$30,Introduction!$F$11:$F$30),"_"))</f>
        <v>_</v>
      </c>
      <c r="G1336" s="88"/>
      <c r="H1336" s="92"/>
      <c r="I1336" s="85">
        <f t="shared" si="74"/>
        <v>0</v>
      </c>
      <c r="J1336" s="93"/>
      <c r="K1336" s="85">
        <f t="shared" si="75"/>
        <v>0</v>
      </c>
      <c r="L1336" s="68"/>
      <c r="M1336" s="68"/>
      <c r="P1336" s="89" t="str">
        <f t="shared" si="73"/>
        <v xml:space="preserve">  1 1900 </v>
      </c>
    </row>
    <row r="1337" spans="1:16">
      <c r="A1337" s="68"/>
      <c r="B1337" s="87"/>
      <c r="C1337" s="88"/>
      <c r="D1337" s="88"/>
      <c r="E1337" s="90"/>
      <c r="F1337" s="84" t="str">
        <f ca="1">IF(D1337="Income",LOOKUP(E1337,Introduction!$A$11:$A$18,Introduction!$C$11:$C$18),IF(D1337="Expense",LOOKUP(E1337,Introduction!$D$11:$D$30,Introduction!$F$11:$F$30),"_"))</f>
        <v>_</v>
      </c>
      <c r="G1337" s="88"/>
      <c r="H1337" s="92"/>
      <c r="I1337" s="85">
        <f t="shared" si="74"/>
        <v>0</v>
      </c>
      <c r="J1337" s="93"/>
      <c r="K1337" s="85">
        <f t="shared" si="75"/>
        <v>0</v>
      </c>
      <c r="L1337" s="68"/>
      <c r="M1337" s="68"/>
      <c r="P1337" s="89" t="str">
        <f t="shared" si="73"/>
        <v xml:space="preserve">  1 1900 </v>
      </c>
    </row>
    <row r="1338" spans="1:16">
      <c r="A1338" s="68"/>
      <c r="B1338" s="87"/>
      <c r="C1338" s="88"/>
      <c r="D1338" s="88"/>
      <c r="E1338" s="90"/>
      <c r="F1338" s="84" t="str">
        <f ca="1">IF(D1338="Income",LOOKUP(E1338,Introduction!$A$11:$A$18,Introduction!$C$11:$C$18),IF(D1338="Expense",LOOKUP(E1338,Introduction!$D$11:$D$30,Introduction!$F$11:$F$30),"_"))</f>
        <v>_</v>
      </c>
      <c r="G1338" s="88"/>
      <c r="H1338" s="92"/>
      <c r="I1338" s="85">
        <f t="shared" si="74"/>
        <v>0</v>
      </c>
      <c r="J1338" s="93"/>
      <c r="K1338" s="85">
        <f t="shared" si="75"/>
        <v>0</v>
      </c>
      <c r="L1338" s="68"/>
      <c r="M1338" s="68"/>
      <c r="P1338" s="89" t="str">
        <f t="shared" si="73"/>
        <v xml:space="preserve">  1 1900 </v>
      </c>
    </row>
    <row r="1339" spans="1:16">
      <c r="A1339" s="68"/>
      <c r="B1339" s="87"/>
      <c r="C1339" s="88"/>
      <c r="D1339" s="88"/>
      <c r="E1339" s="90"/>
      <c r="F1339" s="84" t="str">
        <f ca="1">IF(D1339="Income",LOOKUP(E1339,Introduction!$A$11:$A$18,Introduction!$C$11:$C$18),IF(D1339="Expense",LOOKUP(E1339,Introduction!$D$11:$D$30,Introduction!$F$11:$F$30),"_"))</f>
        <v>_</v>
      </c>
      <c r="G1339" s="88"/>
      <c r="H1339" s="92"/>
      <c r="I1339" s="85">
        <f t="shared" si="74"/>
        <v>0</v>
      </c>
      <c r="J1339" s="93"/>
      <c r="K1339" s="85">
        <f t="shared" si="75"/>
        <v>0</v>
      </c>
      <c r="L1339" s="68"/>
      <c r="M1339" s="68"/>
      <c r="P1339" s="89" t="str">
        <f t="shared" si="73"/>
        <v xml:space="preserve">  1 1900 </v>
      </c>
    </row>
    <row r="1340" spans="1:16">
      <c r="A1340" s="68"/>
      <c r="B1340" s="87"/>
      <c r="C1340" s="88"/>
      <c r="D1340" s="88"/>
      <c r="E1340" s="90"/>
      <c r="F1340" s="84" t="str">
        <f ca="1">IF(D1340="Income",LOOKUP(E1340,Introduction!$A$11:$A$18,Introduction!$C$11:$C$18),IF(D1340="Expense",LOOKUP(E1340,Introduction!$D$11:$D$30,Introduction!$F$11:$F$30),"_"))</f>
        <v>_</v>
      </c>
      <c r="G1340" s="88"/>
      <c r="H1340" s="92"/>
      <c r="I1340" s="85">
        <f t="shared" si="74"/>
        <v>0</v>
      </c>
      <c r="J1340" s="93"/>
      <c r="K1340" s="85">
        <f t="shared" si="75"/>
        <v>0</v>
      </c>
      <c r="L1340" s="68"/>
      <c r="M1340" s="68"/>
      <c r="P1340" s="89" t="str">
        <f t="shared" si="73"/>
        <v xml:space="preserve">  1 1900 </v>
      </c>
    </row>
    <row r="1341" spans="1:16">
      <c r="A1341" s="68"/>
      <c r="B1341" s="87"/>
      <c r="C1341" s="88"/>
      <c r="D1341" s="88"/>
      <c r="E1341" s="90"/>
      <c r="F1341" s="84" t="str">
        <f ca="1">IF(D1341="Income",LOOKUP(E1341,Introduction!$A$11:$A$18,Introduction!$C$11:$C$18),IF(D1341="Expense",LOOKUP(E1341,Introduction!$D$11:$D$30,Introduction!$F$11:$F$30),"_"))</f>
        <v>_</v>
      </c>
      <c r="G1341" s="88"/>
      <c r="H1341" s="92"/>
      <c r="I1341" s="85">
        <f t="shared" si="74"/>
        <v>0</v>
      </c>
      <c r="J1341" s="93"/>
      <c r="K1341" s="85">
        <f t="shared" si="75"/>
        <v>0</v>
      </c>
      <c r="L1341" s="68"/>
      <c r="M1341" s="68"/>
      <c r="P1341" s="89" t="str">
        <f t="shared" si="73"/>
        <v xml:space="preserve">  1 1900 </v>
      </c>
    </row>
    <row r="1342" spans="1:16">
      <c r="A1342" s="68"/>
      <c r="B1342" s="87"/>
      <c r="C1342" s="88"/>
      <c r="D1342" s="88"/>
      <c r="E1342" s="90"/>
      <c r="F1342" s="84" t="str">
        <f ca="1">IF(D1342="Income",LOOKUP(E1342,Introduction!$A$11:$A$18,Introduction!$C$11:$C$18),IF(D1342="Expense",LOOKUP(E1342,Introduction!$D$11:$D$30,Introduction!$F$11:$F$30),"_"))</f>
        <v>_</v>
      </c>
      <c r="G1342" s="88"/>
      <c r="H1342" s="92"/>
      <c r="I1342" s="85">
        <f t="shared" si="74"/>
        <v>0</v>
      </c>
      <c r="J1342" s="93"/>
      <c r="K1342" s="85">
        <f t="shared" si="75"/>
        <v>0</v>
      </c>
      <c r="L1342" s="68"/>
      <c r="M1342" s="68"/>
      <c r="P1342" s="89" t="str">
        <f t="shared" si="73"/>
        <v xml:space="preserve">  1 1900 </v>
      </c>
    </row>
    <row r="1343" spans="1:16">
      <c r="A1343" s="68"/>
      <c r="B1343" s="87"/>
      <c r="C1343" s="88"/>
      <c r="D1343" s="88"/>
      <c r="E1343" s="90"/>
      <c r="F1343" s="84" t="str">
        <f ca="1">IF(D1343="Income",LOOKUP(E1343,Introduction!$A$11:$A$18,Introduction!$C$11:$C$18),IF(D1343="Expense",LOOKUP(E1343,Introduction!$D$11:$D$30,Introduction!$F$11:$F$30),"_"))</f>
        <v>_</v>
      </c>
      <c r="G1343" s="88"/>
      <c r="H1343" s="92"/>
      <c r="I1343" s="85">
        <f t="shared" si="74"/>
        <v>0</v>
      </c>
      <c r="J1343" s="93"/>
      <c r="K1343" s="85">
        <f t="shared" si="75"/>
        <v>0</v>
      </c>
      <c r="L1343" s="68"/>
      <c r="M1343" s="68"/>
      <c r="P1343" s="89" t="str">
        <f t="shared" si="73"/>
        <v xml:space="preserve">  1 1900 </v>
      </c>
    </row>
    <row r="1344" spans="1:16">
      <c r="A1344" s="68"/>
      <c r="B1344" s="87"/>
      <c r="C1344" s="88"/>
      <c r="D1344" s="88"/>
      <c r="E1344" s="90"/>
      <c r="F1344" s="84" t="str">
        <f ca="1">IF(D1344="Income",LOOKUP(E1344,Introduction!$A$11:$A$18,Introduction!$C$11:$C$18),IF(D1344="Expense",LOOKUP(E1344,Introduction!$D$11:$D$30,Introduction!$F$11:$F$30),"_"))</f>
        <v>_</v>
      </c>
      <c r="G1344" s="88"/>
      <c r="H1344" s="92"/>
      <c r="I1344" s="85">
        <f t="shared" si="74"/>
        <v>0</v>
      </c>
      <c r="J1344" s="93"/>
      <c r="K1344" s="85">
        <f t="shared" si="75"/>
        <v>0</v>
      </c>
      <c r="L1344" s="68"/>
      <c r="M1344" s="68"/>
      <c r="P1344" s="89" t="str">
        <f t="shared" si="73"/>
        <v xml:space="preserve">  1 1900 </v>
      </c>
    </row>
    <row r="1345" spans="1:16">
      <c r="A1345" s="68"/>
      <c r="B1345" s="87"/>
      <c r="C1345" s="88"/>
      <c r="D1345" s="88"/>
      <c r="E1345" s="90"/>
      <c r="F1345" s="84" t="str">
        <f ca="1">IF(D1345="Income",LOOKUP(E1345,Introduction!$A$11:$A$18,Introduction!$C$11:$C$18),IF(D1345="Expense",LOOKUP(E1345,Introduction!$D$11:$D$30,Introduction!$F$11:$F$30),"_"))</f>
        <v>_</v>
      </c>
      <c r="G1345" s="88"/>
      <c r="H1345" s="92"/>
      <c r="I1345" s="85">
        <f t="shared" si="74"/>
        <v>0</v>
      </c>
      <c r="J1345" s="93"/>
      <c r="K1345" s="85">
        <f t="shared" si="75"/>
        <v>0</v>
      </c>
      <c r="L1345" s="68"/>
      <c r="M1345" s="68"/>
      <c r="P1345" s="89" t="str">
        <f t="shared" si="73"/>
        <v xml:space="preserve">  1 1900 </v>
      </c>
    </row>
    <row r="1346" spans="1:16">
      <c r="A1346" s="68"/>
      <c r="B1346" s="87"/>
      <c r="C1346" s="88"/>
      <c r="D1346" s="88"/>
      <c r="E1346" s="90"/>
      <c r="F1346" s="84" t="str">
        <f ca="1">IF(D1346="Income",LOOKUP(E1346,Introduction!$A$11:$A$18,Introduction!$C$11:$C$18),IF(D1346="Expense",LOOKUP(E1346,Introduction!$D$11:$D$30,Introduction!$F$11:$F$30),"_"))</f>
        <v>_</v>
      </c>
      <c r="G1346" s="88"/>
      <c r="H1346" s="92"/>
      <c r="I1346" s="85">
        <f t="shared" si="74"/>
        <v>0</v>
      </c>
      <c r="J1346" s="93"/>
      <c r="K1346" s="85">
        <f t="shared" si="75"/>
        <v>0</v>
      </c>
      <c r="L1346" s="68"/>
      <c r="M1346" s="68"/>
      <c r="P1346" s="89" t="str">
        <f t="shared" si="73"/>
        <v xml:space="preserve">  1 1900 </v>
      </c>
    </row>
    <row r="1347" spans="1:16">
      <c r="A1347" s="68"/>
      <c r="B1347" s="87"/>
      <c r="C1347" s="88"/>
      <c r="D1347" s="88"/>
      <c r="E1347" s="90"/>
      <c r="F1347" s="84" t="str">
        <f ca="1">IF(D1347="Income",LOOKUP(E1347,Introduction!$A$11:$A$18,Introduction!$C$11:$C$18),IF(D1347="Expense",LOOKUP(E1347,Introduction!$D$11:$D$30,Introduction!$F$11:$F$30),"_"))</f>
        <v>_</v>
      </c>
      <c r="G1347" s="88"/>
      <c r="H1347" s="92"/>
      <c r="I1347" s="85">
        <f t="shared" si="74"/>
        <v>0</v>
      </c>
      <c r="J1347" s="93"/>
      <c r="K1347" s="85">
        <f t="shared" si="75"/>
        <v>0</v>
      </c>
      <c r="L1347" s="68"/>
      <c r="M1347" s="68"/>
      <c r="P1347" s="89" t="str">
        <f t="shared" si="73"/>
        <v xml:space="preserve">  1 1900 </v>
      </c>
    </row>
    <row r="1348" spans="1:16">
      <c r="A1348" s="68"/>
      <c r="B1348" s="87"/>
      <c r="C1348" s="88"/>
      <c r="D1348" s="88"/>
      <c r="E1348" s="90"/>
      <c r="F1348" s="84" t="str">
        <f ca="1">IF(D1348="Income",LOOKUP(E1348,Introduction!$A$11:$A$18,Introduction!$C$11:$C$18),IF(D1348="Expense",LOOKUP(E1348,Introduction!$D$11:$D$30,Introduction!$F$11:$F$30),"_"))</f>
        <v>_</v>
      </c>
      <c r="G1348" s="88"/>
      <c r="H1348" s="92"/>
      <c r="I1348" s="85">
        <f t="shared" si="74"/>
        <v>0</v>
      </c>
      <c r="J1348" s="93"/>
      <c r="K1348" s="85">
        <f t="shared" si="75"/>
        <v>0</v>
      </c>
      <c r="L1348" s="68"/>
      <c r="M1348" s="68"/>
      <c r="P1348" s="89" t="str">
        <f t="shared" si="73"/>
        <v xml:space="preserve">  1 1900 </v>
      </c>
    </row>
    <row r="1349" spans="1:16">
      <c r="A1349" s="68"/>
      <c r="B1349" s="87"/>
      <c r="C1349" s="88"/>
      <c r="D1349" s="88"/>
      <c r="E1349" s="90"/>
      <c r="F1349" s="84" t="str">
        <f ca="1">IF(D1349="Income",LOOKUP(E1349,Introduction!$A$11:$A$18,Introduction!$C$11:$C$18),IF(D1349="Expense",LOOKUP(E1349,Introduction!$D$11:$D$30,Introduction!$F$11:$F$30),"_"))</f>
        <v>_</v>
      </c>
      <c r="G1349" s="88"/>
      <c r="H1349" s="92"/>
      <c r="I1349" s="85">
        <f t="shared" si="74"/>
        <v>0</v>
      </c>
      <c r="J1349" s="93"/>
      <c r="K1349" s="85">
        <f t="shared" si="75"/>
        <v>0</v>
      </c>
      <c r="L1349" s="68"/>
      <c r="M1349" s="68"/>
      <c r="P1349" s="89" t="str">
        <f t="shared" si="73"/>
        <v xml:space="preserve">  1 1900 </v>
      </c>
    </row>
    <row r="1350" spans="1:16">
      <c r="A1350" s="68"/>
      <c r="B1350" s="87"/>
      <c r="C1350" s="88"/>
      <c r="D1350" s="88"/>
      <c r="E1350" s="90"/>
      <c r="F1350" s="84" t="str">
        <f ca="1">IF(D1350="Income",LOOKUP(E1350,Introduction!$A$11:$A$18,Introduction!$C$11:$C$18),IF(D1350="Expense",LOOKUP(E1350,Introduction!$D$11:$D$30,Introduction!$F$11:$F$30),"_"))</f>
        <v>_</v>
      </c>
      <c r="G1350" s="88"/>
      <c r="H1350" s="92"/>
      <c r="I1350" s="85">
        <f t="shared" si="74"/>
        <v>0</v>
      </c>
      <c r="J1350" s="93"/>
      <c r="K1350" s="85">
        <f t="shared" si="75"/>
        <v>0</v>
      </c>
      <c r="L1350" s="68"/>
      <c r="M1350" s="68"/>
      <c r="P1350" s="89" t="str">
        <f t="shared" si="73"/>
        <v xml:space="preserve">  1 1900 </v>
      </c>
    </row>
    <row r="1351" spans="1:16">
      <c r="A1351" s="68"/>
      <c r="B1351" s="87"/>
      <c r="C1351" s="88"/>
      <c r="D1351" s="88"/>
      <c r="E1351" s="90"/>
      <c r="F1351" s="84" t="str">
        <f ca="1">IF(D1351="Income",LOOKUP(E1351,Introduction!$A$11:$A$18,Introduction!$C$11:$C$18),IF(D1351="Expense",LOOKUP(E1351,Introduction!$D$11:$D$30,Introduction!$F$11:$F$30),"_"))</f>
        <v>_</v>
      </c>
      <c r="G1351" s="88"/>
      <c r="H1351" s="92"/>
      <c r="I1351" s="85">
        <f t="shared" si="74"/>
        <v>0</v>
      </c>
      <c r="J1351" s="93"/>
      <c r="K1351" s="85">
        <f t="shared" si="75"/>
        <v>0</v>
      </c>
      <c r="L1351" s="68"/>
      <c r="M1351" s="68"/>
      <c r="P1351" s="89" t="str">
        <f t="shared" ref="P1351:P1414" si="76">CONCATENATE(D1351," ",E1351," ",MONTH(C1351)," ",YEAR(C1351)," ")</f>
        <v xml:space="preserve">  1 1900 </v>
      </c>
    </row>
    <row r="1352" spans="1:16">
      <c r="A1352" s="68"/>
      <c r="B1352" s="87"/>
      <c r="C1352" s="88"/>
      <c r="D1352" s="88"/>
      <c r="E1352" s="90"/>
      <c r="F1352" s="84" t="str">
        <f ca="1">IF(D1352="Income",LOOKUP(E1352,Introduction!$A$11:$A$18,Introduction!$C$11:$C$18),IF(D1352="Expense",LOOKUP(E1352,Introduction!$D$11:$D$30,Introduction!$F$11:$F$30),"_"))</f>
        <v>_</v>
      </c>
      <c r="G1352" s="88"/>
      <c r="H1352" s="92"/>
      <c r="I1352" s="85">
        <f t="shared" si="74"/>
        <v>0</v>
      </c>
      <c r="J1352" s="93"/>
      <c r="K1352" s="85">
        <f t="shared" si="75"/>
        <v>0</v>
      </c>
      <c r="L1352" s="68"/>
      <c r="M1352" s="68"/>
      <c r="P1352" s="89" t="str">
        <f t="shared" si="76"/>
        <v xml:space="preserve">  1 1900 </v>
      </c>
    </row>
    <row r="1353" spans="1:16">
      <c r="A1353" s="68"/>
      <c r="B1353" s="87"/>
      <c r="C1353" s="88"/>
      <c r="D1353" s="88"/>
      <c r="E1353" s="90"/>
      <c r="F1353" s="84" t="str">
        <f ca="1">IF(D1353="Income",LOOKUP(E1353,Introduction!$A$11:$A$18,Introduction!$C$11:$C$18),IF(D1353="Expense",LOOKUP(E1353,Introduction!$D$11:$D$30,Introduction!$F$11:$F$30),"_"))</f>
        <v>_</v>
      </c>
      <c r="G1353" s="88"/>
      <c r="H1353" s="92"/>
      <c r="I1353" s="85">
        <f t="shared" si="74"/>
        <v>0</v>
      </c>
      <c r="J1353" s="93"/>
      <c r="K1353" s="85">
        <f t="shared" si="75"/>
        <v>0</v>
      </c>
      <c r="L1353" s="68"/>
      <c r="M1353" s="68"/>
      <c r="P1353" s="89" t="str">
        <f t="shared" si="76"/>
        <v xml:space="preserve">  1 1900 </v>
      </c>
    </row>
    <row r="1354" spans="1:16">
      <c r="A1354" s="68"/>
      <c r="B1354" s="87"/>
      <c r="C1354" s="88"/>
      <c r="D1354" s="88"/>
      <c r="E1354" s="90"/>
      <c r="F1354" s="84" t="str">
        <f ca="1">IF(D1354="Income",LOOKUP(E1354,Introduction!$A$11:$A$18,Introduction!$C$11:$C$18),IF(D1354="Expense",LOOKUP(E1354,Introduction!$D$11:$D$30,Introduction!$F$11:$F$30),"_"))</f>
        <v>_</v>
      </c>
      <c r="G1354" s="88"/>
      <c r="H1354" s="92"/>
      <c r="I1354" s="85">
        <f t="shared" si="74"/>
        <v>0</v>
      </c>
      <c r="J1354" s="93"/>
      <c r="K1354" s="85">
        <f t="shared" si="75"/>
        <v>0</v>
      </c>
      <c r="L1354" s="68"/>
      <c r="M1354" s="68"/>
      <c r="P1354" s="89" t="str">
        <f t="shared" si="76"/>
        <v xml:space="preserve">  1 1900 </v>
      </c>
    </row>
    <row r="1355" spans="1:16">
      <c r="A1355" s="68"/>
      <c r="B1355" s="87"/>
      <c r="C1355" s="88"/>
      <c r="D1355" s="88"/>
      <c r="E1355" s="90"/>
      <c r="F1355" s="84" t="str">
        <f ca="1">IF(D1355="Income",LOOKUP(E1355,Introduction!$A$11:$A$18,Introduction!$C$11:$C$18),IF(D1355="Expense",LOOKUP(E1355,Introduction!$D$11:$D$30,Introduction!$F$11:$F$30),"_"))</f>
        <v>_</v>
      </c>
      <c r="G1355" s="88"/>
      <c r="H1355" s="92"/>
      <c r="I1355" s="85">
        <f t="shared" si="74"/>
        <v>0</v>
      </c>
      <c r="J1355" s="93"/>
      <c r="K1355" s="85">
        <f t="shared" si="75"/>
        <v>0</v>
      </c>
      <c r="L1355" s="68"/>
      <c r="M1355" s="68"/>
      <c r="P1355" s="89" t="str">
        <f t="shared" si="76"/>
        <v xml:space="preserve">  1 1900 </v>
      </c>
    </row>
    <row r="1356" spans="1:16">
      <c r="A1356" s="68"/>
      <c r="B1356" s="87"/>
      <c r="C1356" s="88"/>
      <c r="D1356" s="88"/>
      <c r="E1356" s="90"/>
      <c r="F1356" s="84" t="str">
        <f ca="1">IF(D1356="Income",LOOKUP(E1356,Introduction!$A$11:$A$18,Introduction!$C$11:$C$18),IF(D1356="Expense",LOOKUP(E1356,Introduction!$D$11:$D$30,Introduction!$F$11:$F$30),"_"))</f>
        <v>_</v>
      </c>
      <c r="G1356" s="88"/>
      <c r="H1356" s="92"/>
      <c r="I1356" s="85">
        <f t="shared" si="74"/>
        <v>0</v>
      </c>
      <c r="J1356" s="93"/>
      <c r="K1356" s="85">
        <f t="shared" si="75"/>
        <v>0</v>
      </c>
      <c r="L1356" s="68"/>
      <c r="M1356" s="68"/>
      <c r="P1356" s="89" t="str">
        <f t="shared" si="76"/>
        <v xml:space="preserve">  1 1900 </v>
      </c>
    </row>
    <row r="1357" spans="1:16">
      <c r="A1357" s="68"/>
      <c r="B1357" s="87"/>
      <c r="C1357" s="88"/>
      <c r="D1357" s="88"/>
      <c r="E1357" s="90"/>
      <c r="F1357" s="84" t="str">
        <f ca="1">IF(D1357="Income",LOOKUP(E1357,Introduction!$A$11:$A$18,Introduction!$C$11:$C$18),IF(D1357="Expense",LOOKUP(E1357,Introduction!$D$11:$D$30,Introduction!$F$11:$F$30),"_"))</f>
        <v>_</v>
      </c>
      <c r="G1357" s="88"/>
      <c r="H1357" s="92"/>
      <c r="I1357" s="85">
        <f t="shared" si="74"/>
        <v>0</v>
      </c>
      <c r="J1357" s="93"/>
      <c r="K1357" s="85">
        <f t="shared" si="75"/>
        <v>0</v>
      </c>
      <c r="L1357" s="68"/>
      <c r="M1357" s="68"/>
      <c r="P1357" s="89" t="str">
        <f t="shared" si="76"/>
        <v xml:space="preserve">  1 1900 </v>
      </c>
    </row>
    <row r="1358" spans="1:16">
      <c r="A1358" s="68"/>
      <c r="B1358" s="87"/>
      <c r="C1358" s="88"/>
      <c r="D1358" s="88"/>
      <c r="E1358" s="90"/>
      <c r="F1358" s="84" t="str">
        <f ca="1">IF(D1358="Income",LOOKUP(E1358,Introduction!$A$11:$A$18,Introduction!$C$11:$C$18),IF(D1358="Expense",LOOKUP(E1358,Introduction!$D$11:$D$30,Introduction!$F$11:$F$30),"_"))</f>
        <v>_</v>
      </c>
      <c r="G1358" s="88"/>
      <c r="H1358" s="92"/>
      <c r="I1358" s="85">
        <f t="shared" si="74"/>
        <v>0</v>
      </c>
      <c r="J1358" s="93"/>
      <c r="K1358" s="85">
        <f t="shared" si="75"/>
        <v>0</v>
      </c>
      <c r="L1358" s="68"/>
      <c r="M1358" s="68"/>
      <c r="P1358" s="89" t="str">
        <f t="shared" si="76"/>
        <v xml:space="preserve">  1 1900 </v>
      </c>
    </row>
    <row r="1359" spans="1:16">
      <c r="A1359" s="68"/>
      <c r="B1359" s="87"/>
      <c r="C1359" s="88"/>
      <c r="D1359" s="88"/>
      <c r="E1359" s="90"/>
      <c r="F1359" s="84" t="str">
        <f ca="1">IF(D1359="Income",LOOKUP(E1359,Introduction!$A$11:$A$18,Introduction!$C$11:$C$18),IF(D1359="Expense",LOOKUP(E1359,Introduction!$D$11:$D$30,Introduction!$F$11:$F$30),"_"))</f>
        <v>_</v>
      </c>
      <c r="G1359" s="88"/>
      <c r="H1359" s="92"/>
      <c r="I1359" s="85">
        <f t="shared" si="74"/>
        <v>0</v>
      </c>
      <c r="J1359" s="93"/>
      <c r="K1359" s="85">
        <f t="shared" si="75"/>
        <v>0</v>
      </c>
      <c r="L1359" s="68"/>
      <c r="M1359" s="68"/>
      <c r="P1359" s="89" t="str">
        <f t="shared" si="76"/>
        <v xml:space="preserve">  1 1900 </v>
      </c>
    </row>
    <row r="1360" spans="1:16">
      <c r="A1360" s="68"/>
      <c r="B1360" s="87"/>
      <c r="C1360" s="88"/>
      <c r="D1360" s="88"/>
      <c r="E1360" s="90"/>
      <c r="F1360" s="84" t="str">
        <f ca="1">IF(D1360="Income",LOOKUP(E1360,Introduction!$A$11:$A$18,Introduction!$C$11:$C$18),IF(D1360="Expense",LOOKUP(E1360,Introduction!$D$11:$D$30,Introduction!$F$11:$F$30),"_"))</f>
        <v>_</v>
      </c>
      <c r="G1360" s="88"/>
      <c r="H1360" s="92"/>
      <c r="I1360" s="85">
        <f t="shared" si="74"/>
        <v>0</v>
      </c>
      <c r="J1360" s="93"/>
      <c r="K1360" s="85">
        <f t="shared" si="75"/>
        <v>0</v>
      </c>
      <c r="L1360" s="68"/>
      <c r="M1360" s="68"/>
      <c r="P1360" s="89" t="str">
        <f t="shared" si="76"/>
        <v xml:space="preserve">  1 1900 </v>
      </c>
    </row>
    <row r="1361" spans="1:16">
      <c r="A1361" s="68"/>
      <c r="B1361" s="87"/>
      <c r="C1361" s="88"/>
      <c r="D1361" s="88"/>
      <c r="E1361" s="90"/>
      <c r="F1361" s="84" t="str">
        <f ca="1">IF(D1361="Income",LOOKUP(E1361,Introduction!$A$11:$A$18,Introduction!$C$11:$C$18),IF(D1361="Expense",LOOKUP(E1361,Introduction!$D$11:$D$30,Introduction!$F$11:$F$30),"_"))</f>
        <v>_</v>
      </c>
      <c r="G1361" s="88"/>
      <c r="H1361" s="92"/>
      <c r="I1361" s="85">
        <f t="shared" ref="I1361:I1424" si="77">+I1360+H1361</f>
        <v>0</v>
      </c>
      <c r="J1361" s="93"/>
      <c r="K1361" s="85">
        <f t="shared" ref="K1361:K1424" si="78">IF(J1361=1,K1360+H1361,++K1360)</f>
        <v>0</v>
      </c>
      <c r="L1361" s="68"/>
      <c r="M1361" s="68"/>
      <c r="P1361" s="89" t="str">
        <f t="shared" si="76"/>
        <v xml:space="preserve">  1 1900 </v>
      </c>
    </row>
    <row r="1362" spans="1:16">
      <c r="A1362" s="68"/>
      <c r="B1362" s="87"/>
      <c r="C1362" s="88"/>
      <c r="D1362" s="88"/>
      <c r="E1362" s="90"/>
      <c r="F1362" s="84" t="str">
        <f ca="1">IF(D1362="Income",LOOKUP(E1362,Introduction!$A$11:$A$18,Introduction!$C$11:$C$18),IF(D1362="Expense",LOOKUP(E1362,Introduction!$D$11:$D$30,Introduction!$F$11:$F$30),"_"))</f>
        <v>_</v>
      </c>
      <c r="G1362" s="88"/>
      <c r="H1362" s="92"/>
      <c r="I1362" s="85">
        <f t="shared" si="77"/>
        <v>0</v>
      </c>
      <c r="J1362" s="93"/>
      <c r="K1362" s="85">
        <f t="shared" si="78"/>
        <v>0</v>
      </c>
      <c r="L1362" s="68"/>
      <c r="M1362" s="68"/>
      <c r="P1362" s="89" t="str">
        <f t="shared" si="76"/>
        <v xml:space="preserve">  1 1900 </v>
      </c>
    </row>
    <row r="1363" spans="1:16">
      <c r="A1363" s="68"/>
      <c r="B1363" s="87"/>
      <c r="C1363" s="88"/>
      <c r="D1363" s="88"/>
      <c r="E1363" s="90"/>
      <c r="F1363" s="84" t="str">
        <f ca="1">IF(D1363="Income",LOOKUP(E1363,Introduction!$A$11:$A$18,Introduction!$C$11:$C$18),IF(D1363="Expense",LOOKUP(E1363,Introduction!$D$11:$D$30,Introduction!$F$11:$F$30),"_"))</f>
        <v>_</v>
      </c>
      <c r="G1363" s="88"/>
      <c r="H1363" s="92"/>
      <c r="I1363" s="85">
        <f t="shared" si="77"/>
        <v>0</v>
      </c>
      <c r="J1363" s="93"/>
      <c r="K1363" s="85">
        <f t="shared" si="78"/>
        <v>0</v>
      </c>
      <c r="L1363" s="68"/>
      <c r="M1363" s="68"/>
      <c r="P1363" s="89" t="str">
        <f t="shared" si="76"/>
        <v xml:space="preserve">  1 1900 </v>
      </c>
    </row>
    <row r="1364" spans="1:16">
      <c r="A1364" s="68"/>
      <c r="B1364" s="87"/>
      <c r="C1364" s="88"/>
      <c r="D1364" s="88"/>
      <c r="E1364" s="90"/>
      <c r="F1364" s="84" t="str">
        <f ca="1">IF(D1364="Income",LOOKUP(E1364,Introduction!$A$11:$A$18,Introduction!$C$11:$C$18),IF(D1364="Expense",LOOKUP(E1364,Introduction!$D$11:$D$30,Introduction!$F$11:$F$30),"_"))</f>
        <v>_</v>
      </c>
      <c r="G1364" s="88"/>
      <c r="H1364" s="92"/>
      <c r="I1364" s="85">
        <f t="shared" si="77"/>
        <v>0</v>
      </c>
      <c r="J1364" s="93"/>
      <c r="K1364" s="85">
        <f t="shared" si="78"/>
        <v>0</v>
      </c>
      <c r="L1364" s="68"/>
      <c r="M1364" s="68"/>
      <c r="P1364" s="89" t="str">
        <f t="shared" si="76"/>
        <v xml:space="preserve">  1 1900 </v>
      </c>
    </row>
    <row r="1365" spans="1:16">
      <c r="A1365" s="68"/>
      <c r="B1365" s="87"/>
      <c r="C1365" s="88"/>
      <c r="D1365" s="88"/>
      <c r="E1365" s="90"/>
      <c r="F1365" s="84" t="str">
        <f ca="1">IF(D1365="Income",LOOKUP(E1365,Introduction!$A$11:$A$18,Introduction!$C$11:$C$18),IF(D1365="Expense",LOOKUP(E1365,Introduction!$D$11:$D$30,Introduction!$F$11:$F$30),"_"))</f>
        <v>_</v>
      </c>
      <c r="G1365" s="88"/>
      <c r="H1365" s="92"/>
      <c r="I1365" s="85">
        <f t="shared" si="77"/>
        <v>0</v>
      </c>
      <c r="J1365" s="93"/>
      <c r="K1365" s="85">
        <f t="shared" si="78"/>
        <v>0</v>
      </c>
      <c r="L1365" s="68"/>
      <c r="M1365" s="68"/>
      <c r="P1365" s="89" t="str">
        <f t="shared" si="76"/>
        <v xml:space="preserve">  1 1900 </v>
      </c>
    </row>
    <row r="1366" spans="1:16">
      <c r="A1366" s="68"/>
      <c r="B1366" s="87"/>
      <c r="C1366" s="88"/>
      <c r="D1366" s="88"/>
      <c r="E1366" s="90"/>
      <c r="F1366" s="84" t="str">
        <f ca="1">IF(D1366="Income",LOOKUP(E1366,Introduction!$A$11:$A$18,Introduction!$C$11:$C$18),IF(D1366="Expense",LOOKUP(E1366,Introduction!$D$11:$D$30,Introduction!$F$11:$F$30),"_"))</f>
        <v>_</v>
      </c>
      <c r="G1366" s="88"/>
      <c r="H1366" s="92"/>
      <c r="I1366" s="85">
        <f t="shared" si="77"/>
        <v>0</v>
      </c>
      <c r="J1366" s="93"/>
      <c r="K1366" s="85">
        <f t="shared" si="78"/>
        <v>0</v>
      </c>
      <c r="L1366" s="68"/>
      <c r="M1366" s="68"/>
      <c r="P1366" s="89" t="str">
        <f t="shared" si="76"/>
        <v xml:space="preserve">  1 1900 </v>
      </c>
    </row>
    <row r="1367" spans="1:16">
      <c r="A1367" s="68"/>
      <c r="B1367" s="87"/>
      <c r="C1367" s="88"/>
      <c r="D1367" s="88"/>
      <c r="E1367" s="90"/>
      <c r="F1367" s="84" t="str">
        <f ca="1">IF(D1367="Income",LOOKUP(E1367,Introduction!$A$11:$A$18,Introduction!$C$11:$C$18),IF(D1367="Expense",LOOKUP(E1367,Introduction!$D$11:$D$30,Introduction!$F$11:$F$30),"_"))</f>
        <v>_</v>
      </c>
      <c r="G1367" s="88"/>
      <c r="H1367" s="92"/>
      <c r="I1367" s="85">
        <f t="shared" si="77"/>
        <v>0</v>
      </c>
      <c r="J1367" s="93"/>
      <c r="K1367" s="85">
        <f t="shared" si="78"/>
        <v>0</v>
      </c>
      <c r="L1367" s="68"/>
      <c r="M1367" s="68"/>
      <c r="P1367" s="89" t="str">
        <f t="shared" si="76"/>
        <v xml:space="preserve">  1 1900 </v>
      </c>
    </row>
    <row r="1368" spans="1:16">
      <c r="A1368" s="68"/>
      <c r="B1368" s="87"/>
      <c r="C1368" s="88"/>
      <c r="D1368" s="88"/>
      <c r="E1368" s="90"/>
      <c r="F1368" s="84" t="str">
        <f ca="1">IF(D1368="Income",LOOKUP(E1368,Introduction!$A$11:$A$18,Introduction!$C$11:$C$18),IF(D1368="Expense",LOOKUP(E1368,Introduction!$D$11:$D$30,Introduction!$F$11:$F$30),"_"))</f>
        <v>_</v>
      </c>
      <c r="G1368" s="88"/>
      <c r="H1368" s="92"/>
      <c r="I1368" s="85">
        <f t="shared" si="77"/>
        <v>0</v>
      </c>
      <c r="J1368" s="93"/>
      <c r="K1368" s="85">
        <f t="shared" si="78"/>
        <v>0</v>
      </c>
      <c r="L1368" s="68"/>
      <c r="M1368" s="68"/>
      <c r="P1368" s="89" t="str">
        <f t="shared" si="76"/>
        <v xml:space="preserve">  1 1900 </v>
      </c>
    </row>
    <row r="1369" spans="1:16">
      <c r="A1369" s="68"/>
      <c r="B1369" s="87"/>
      <c r="C1369" s="88"/>
      <c r="D1369" s="88"/>
      <c r="E1369" s="90"/>
      <c r="F1369" s="84" t="str">
        <f ca="1">IF(D1369="Income",LOOKUP(E1369,Introduction!$A$11:$A$18,Introduction!$C$11:$C$18),IF(D1369="Expense",LOOKUP(E1369,Introduction!$D$11:$D$30,Introduction!$F$11:$F$30),"_"))</f>
        <v>_</v>
      </c>
      <c r="G1369" s="88"/>
      <c r="H1369" s="92"/>
      <c r="I1369" s="85">
        <f t="shared" si="77"/>
        <v>0</v>
      </c>
      <c r="J1369" s="93"/>
      <c r="K1369" s="85">
        <f t="shared" si="78"/>
        <v>0</v>
      </c>
      <c r="L1369" s="68"/>
      <c r="M1369" s="68"/>
      <c r="P1369" s="89" t="str">
        <f t="shared" si="76"/>
        <v xml:space="preserve">  1 1900 </v>
      </c>
    </row>
    <row r="1370" spans="1:16">
      <c r="A1370" s="68"/>
      <c r="B1370" s="87"/>
      <c r="C1370" s="88"/>
      <c r="D1370" s="88"/>
      <c r="E1370" s="90"/>
      <c r="F1370" s="84" t="str">
        <f ca="1">IF(D1370="Income",LOOKUP(E1370,Introduction!$A$11:$A$18,Introduction!$C$11:$C$18),IF(D1370="Expense",LOOKUP(E1370,Introduction!$D$11:$D$30,Introduction!$F$11:$F$30),"_"))</f>
        <v>_</v>
      </c>
      <c r="G1370" s="88"/>
      <c r="H1370" s="92"/>
      <c r="I1370" s="85">
        <f t="shared" si="77"/>
        <v>0</v>
      </c>
      <c r="J1370" s="93"/>
      <c r="K1370" s="85">
        <f t="shared" si="78"/>
        <v>0</v>
      </c>
      <c r="L1370" s="68"/>
      <c r="M1370" s="68"/>
      <c r="P1370" s="89" t="str">
        <f t="shared" si="76"/>
        <v xml:space="preserve">  1 1900 </v>
      </c>
    </row>
    <row r="1371" spans="1:16">
      <c r="A1371" s="68"/>
      <c r="B1371" s="87"/>
      <c r="C1371" s="88"/>
      <c r="D1371" s="88"/>
      <c r="E1371" s="90"/>
      <c r="F1371" s="84" t="str">
        <f ca="1">IF(D1371="Income",LOOKUP(E1371,Introduction!$A$11:$A$18,Introduction!$C$11:$C$18),IF(D1371="Expense",LOOKUP(E1371,Introduction!$D$11:$D$30,Introduction!$F$11:$F$30),"_"))</f>
        <v>_</v>
      </c>
      <c r="G1371" s="88"/>
      <c r="H1371" s="92"/>
      <c r="I1371" s="85">
        <f t="shared" si="77"/>
        <v>0</v>
      </c>
      <c r="J1371" s="93"/>
      <c r="K1371" s="85">
        <f t="shared" si="78"/>
        <v>0</v>
      </c>
      <c r="L1371" s="68"/>
      <c r="M1371" s="68"/>
      <c r="P1371" s="89" t="str">
        <f t="shared" si="76"/>
        <v xml:space="preserve">  1 1900 </v>
      </c>
    </row>
    <row r="1372" spans="1:16">
      <c r="A1372" s="68"/>
      <c r="B1372" s="87"/>
      <c r="C1372" s="88"/>
      <c r="D1372" s="88"/>
      <c r="E1372" s="90"/>
      <c r="F1372" s="84" t="str">
        <f ca="1">IF(D1372="Income",LOOKUP(E1372,Introduction!$A$11:$A$18,Introduction!$C$11:$C$18),IF(D1372="Expense",LOOKUP(E1372,Introduction!$D$11:$D$30,Introduction!$F$11:$F$30),"_"))</f>
        <v>_</v>
      </c>
      <c r="G1372" s="88"/>
      <c r="H1372" s="92"/>
      <c r="I1372" s="85">
        <f t="shared" si="77"/>
        <v>0</v>
      </c>
      <c r="J1372" s="93"/>
      <c r="K1372" s="85">
        <f t="shared" si="78"/>
        <v>0</v>
      </c>
      <c r="L1372" s="68"/>
      <c r="M1372" s="68"/>
      <c r="P1372" s="89" t="str">
        <f t="shared" si="76"/>
        <v xml:space="preserve">  1 1900 </v>
      </c>
    </row>
    <row r="1373" spans="1:16">
      <c r="A1373" s="68"/>
      <c r="B1373" s="87"/>
      <c r="C1373" s="88"/>
      <c r="D1373" s="88"/>
      <c r="E1373" s="90"/>
      <c r="F1373" s="84" t="str">
        <f ca="1">IF(D1373="Income",LOOKUP(E1373,Introduction!$A$11:$A$18,Introduction!$C$11:$C$18),IF(D1373="Expense",LOOKUP(E1373,Introduction!$D$11:$D$30,Introduction!$F$11:$F$30),"_"))</f>
        <v>_</v>
      </c>
      <c r="G1373" s="88"/>
      <c r="H1373" s="92"/>
      <c r="I1373" s="85">
        <f t="shared" si="77"/>
        <v>0</v>
      </c>
      <c r="J1373" s="93"/>
      <c r="K1373" s="85">
        <f t="shared" si="78"/>
        <v>0</v>
      </c>
      <c r="L1373" s="68"/>
      <c r="M1373" s="68"/>
      <c r="P1373" s="89" t="str">
        <f t="shared" si="76"/>
        <v xml:space="preserve">  1 1900 </v>
      </c>
    </row>
    <row r="1374" spans="1:16">
      <c r="A1374" s="68"/>
      <c r="B1374" s="87"/>
      <c r="C1374" s="88"/>
      <c r="D1374" s="88"/>
      <c r="E1374" s="90"/>
      <c r="F1374" s="84" t="str">
        <f ca="1">IF(D1374="Income",LOOKUP(E1374,Introduction!$A$11:$A$18,Introduction!$C$11:$C$18),IF(D1374="Expense",LOOKUP(E1374,Introduction!$D$11:$D$30,Introduction!$F$11:$F$30),"_"))</f>
        <v>_</v>
      </c>
      <c r="G1374" s="88"/>
      <c r="H1374" s="92"/>
      <c r="I1374" s="85">
        <f t="shared" si="77"/>
        <v>0</v>
      </c>
      <c r="J1374" s="93"/>
      <c r="K1374" s="85">
        <f t="shared" si="78"/>
        <v>0</v>
      </c>
      <c r="L1374" s="68"/>
      <c r="M1374" s="68"/>
      <c r="P1374" s="89" t="str">
        <f t="shared" si="76"/>
        <v xml:space="preserve">  1 1900 </v>
      </c>
    </row>
    <row r="1375" spans="1:16">
      <c r="A1375" s="68"/>
      <c r="B1375" s="87"/>
      <c r="C1375" s="88"/>
      <c r="D1375" s="88"/>
      <c r="E1375" s="90"/>
      <c r="F1375" s="84" t="str">
        <f ca="1">IF(D1375="Income",LOOKUP(E1375,Introduction!$A$11:$A$18,Introduction!$C$11:$C$18),IF(D1375="Expense",LOOKUP(E1375,Introduction!$D$11:$D$30,Introduction!$F$11:$F$30),"_"))</f>
        <v>_</v>
      </c>
      <c r="G1375" s="88"/>
      <c r="H1375" s="92"/>
      <c r="I1375" s="85">
        <f t="shared" si="77"/>
        <v>0</v>
      </c>
      <c r="J1375" s="93"/>
      <c r="K1375" s="85">
        <f t="shared" si="78"/>
        <v>0</v>
      </c>
      <c r="L1375" s="68"/>
      <c r="M1375" s="68"/>
      <c r="P1375" s="89" t="str">
        <f t="shared" si="76"/>
        <v xml:space="preserve">  1 1900 </v>
      </c>
    </row>
    <row r="1376" spans="1:16">
      <c r="A1376" s="68"/>
      <c r="B1376" s="87"/>
      <c r="C1376" s="88"/>
      <c r="D1376" s="88"/>
      <c r="E1376" s="90"/>
      <c r="F1376" s="84" t="str">
        <f ca="1">IF(D1376="Income",LOOKUP(E1376,Introduction!$A$11:$A$18,Introduction!$C$11:$C$18),IF(D1376="Expense",LOOKUP(E1376,Introduction!$D$11:$D$30,Introduction!$F$11:$F$30),"_"))</f>
        <v>_</v>
      </c>
      <c r="G1376" s="88"/>
      <c r="H1376" s="92"/>
      <c r="I1376" s="85">
        <f t="shared" si="77"/>
        <v>0</v>
      </c>
      <c r="J1376" s="93"/>
      <c r="K1376" s="85">
        <f t="shared" si="78"/>
        <v>0</v>
      </c>
      <c r="L1376" s="68"/>
      <c r="M1376" s="68"/>
      <c r="P1376" s="89" t="str">
        <f t="shared" si="76"/>
        <v xml:space="preserve">  1 1900 </v>
      </c>
    </row>
    <row r="1377" spans="1:16">
      <c r="A1377" s="68"/>
      <c r="B1377" s="87"/>
      <c r="C1377" s="88"/>
      <c r="D1377" s="88"/>
      <c r="E1377" s="90"/>
      <c r="F1377" s="84" t="str">
        <f ca="1">IF(D1377="Income",LOOKUP(E1377,Introduction!$A$11:$A$18,Introduction!$C$11:$C$18),IF(D1377="Expense",LOOKUP(E1377,Introduction!$D$11:$D$30,Introduction!$F$11:$F$30),"_"))</f>
        <v>_</v>
      </c>
      <c r="G1377" s="88"/>
      <c r="H1377" s="92"/>
      <c r="I1377" s="85">
        <f t="shared" si="77"/>
        <v>0</v>
      </c>
      <c r="J1377" s="93"/>
      <c r="K1377" s="85">
        <f t="shared" si="78"/>
        <v>0</v>
      </c>
      <c r="L1377" s="68"/>
      <c r="M1377" s="68"/>
      <c r="P1377" s="89" t="str">
        <f t="shared" si="76"/>
        <v xml:space="preserve">  1 1900 </v>
      </c>
    </row>
    <row r="1378" spans="1:16">
      <c r="A1378" s="68"/>
      <c r="B1378" s="87"/>
      <c r="C1378" s="88"/>
      <c r="D1378" s="88"/>
      <c r="E1378" s="90"/>
      <c r="F1378" s="84" t="str">
        <f ca="1">IF(D1378="Income",LOOKUP(E1378,Introduction!$A$11:$A$18,Introduction!$C$11:$C$18),IF(D1378="Expense",LOOKUP(E1378,Introduction!$D$11:$D$30,Introduction!$F$11:$F$30),"_"))</f>
        <v>_</v>
      </c>
      <c r="G1378" s="88"/>
      <c r="H1378" s="92"/>
      <c r="I1378" s="85">
        <f t="shared" si="77"/>
        <v>0</v>
      </c>
      <c r="J1378" s="93"/>
      <c r="K1378" s="85">
        <f t="shared" si="78"/>
        <v>0</v>
      </c>
      <c r="L1378" s="68"/>
      <c r="M1378" s="68"/>
      <c r="P1378" s="89" t="str">
        <f t="shared" si="76"/>
        <v xml:space="preserve">  1 1900 </v>
      </c>
    </row>
    <row r="1379" spans="1:16">
      <c r="A1379" s="68"/>
      <c r="B1379" s="87"/>
      <c r="C1379" s="88"/>
      <c r="D1379" s="88"/>
      <c r="E1379" s="90"/>
      <c r="F1379" s="84" t="str">
        <f ca="1">IF(D1379="Income",LOOKUP(E1379,Introduction!$A$11:$A$18,Introduction!$C$11:$C$18),IF(D1379="Expense",LOOKUP(E1379,Introduction!$D$11:$D$30,Introduction!$F$11:$F$30),"_"))</f>
        <v>_</v>
      </c>
      <c r="G1379" s="88"/>
      <c r="H1379" s="92"/>
      <c r="I1379" s="85">
        <f t="shared" si="77"/>
        <v>0</v>
      </c>
      <c r="J1379" s="93"/>
      <c r="K1379" s="85">
        <f t="shared" si="78"/>
        <v>0</v>
      </c>
      <c r="L1379" s="68"/>
      <c r="M1379" s="68"/>
      <c r="P1379" s="89" t="str">
        <f t="shared" si="76"/>
        <v xml:space="preserve">  1 1900 </v>
      </c>
    </row>
    <row r="1380" spans="1:16">
      <c r="A1380" s="68"/>
      <c r="B1380" s="87"/>
      <c r="C1380" s="88"/>
      <c r="D1380" s="88"/>
      <c r="E1380" s="90"/>
      <c r="F1380" s="84" t="str">
        <f ca="1">IF(D1380="Income",LOOKUP(E1380,Introduction!$A$11:$A$18,Introduction!$C$11:$C$18),IF(D1380="Expense",LOOKUP(E1380,Introduction!$D$11:$D$30,Introduction!$F$11:$F$30),"_"))</f>
        <v>_</v>
      </c>
      <c r="G1380" s="88"/>
      <c r="H1380" s="92"/>
      <c r="I1380" s="85">
        <f t="shared" si="77"/>
        <v>0</v>
      </c>
      <c r="J1380" s="93"/>
      <c r="K1380" s="85">
        <f t="shared" si="78"/>
        <v>0</v>
      </c>
      <c r="L1380" s="68"/>
      <c r="M1380" s="68"/>
      <c r="P1380" s="89" t="str">
        <f t="shared" si="76"/>
        <v xml:space="preserve">  1 1900 </v>
      </c>
    </row>
    <row r="1381" spans="1:16">
      <c r="A1381" s="68"/>
      <c r="B1381" s="87"/>
      <c r="C1381" s="88"/>
      <c r="D1381" s="88"/>
      <c r="E1381" s="90"/>
      <c r="F1381" s="84" t="str">
        <f ca="1">IF(D1381="Income",LOOKUP(E1381,Introduction!$A$11:$A$18,Introduction!$C$11:$C$18),IF(D1381="Expense",LOOKUP(E1381,Introduction!$D$11:$D$30,Introduction!$F$11:$F$30),"_"))</f>
        <v>_</v>
      </c>
      <c r="G1381" s="88"/>
      <c r="H1381" s="92"/>
      <c r="I1381" s="85">
        <f t="shared" si="77"/>
        <v>0</v>
      </c>
      <c r="J1381" s="93"/>
      <c r="K1381" s="85">
        <f t="shared" si="78"/>
        <v>0</v>
      </c>
      <c r="L1381" s="68"/>
      <c r="M1381" s="68"/>
      <c r="P1381" s="89" t="str">
        <f t="shared" si="76"/>
        <v xml:space="preserve">  1 1900 </v>
      </c>
    </row>
    <row r="1382" spans="1:16">
      <c r="A1382" s="68"/>
      <c r="B1382" s="87"/>
      <c r="C1382" s="88"/>
      <c r="D1382" s="88"/>
      <c r="E1382" s="90"/>
      <c r="F1382" s="84" t="str">
        <f ca="1">IF(D1382="Income",LOOKUP(E1382,Introduction!$A$11:$A$18,Introduction!$C$11:$C$18),IF(D1382="Expense",LOOKUP(E1382,Introduction!$D$11:$D$30,Introduction!$F$11:$F$30),"_"))</f>
        <v>_</v>
      </c>
      <c r="G1382" s="88"/>
      <c r="H1382" s="92"/>
      <c r="I1382" s="85">
        <f t="shared" si="77"/>
        <v>0</v>
      </c>
      <c r="J1382" s="93"/>
      <c r="K1382" s="85">
        <f t="shared" si="78"/>
        <v>0</v>
      </c>
      <c r="L1382" s="68"/>
      <c r="M1382" s="68"/>
      <c r="P1382" s="89" t="str">
        <f t="shared" si="76"/>
        <v xml:space="preserve">  1 1900 </v>
      </c>
    </row>
    <row r="1383" spans="1:16">
      <c r="A1383" s="68"/>
      <c r="B1383" s="87"/>
      <c r="C1383" s="88"/>
      <c r="D1383" s="88"/>
      <c r="E1383" s="90"/>
      <c r="F1383" s="84" t="str">
        <f ca="1">IF(D1383="Income",LOOKUP(E1383,Introduction!$A$11:$A$18,Introduction!$C$11:$C$18),IF(D1383="Expense",LOOKUP(E1383,Introduction!$D$11:$D$30,Introduction!$F$11:$F$30),"_"))</f>
        <v>_</v>
      </c>
      <c r="G1383" s="88"/>
      <c r="H1383" s="92"/>
      <c r="I1383" s="85">
        <f t="shared" si="77"/>
        <v>0</v>
      </c>
      <c r="J1383" s="93"/>
      <c r="K1383" s="85">
        <f t="shared" si="78"/>
        <v>0</v>
      </c>
      <c r="L1383" s="68"/>
      <c r="M1383" s="68"/>
      <c r="P1383" s="89" t="str">
        <f t="shared" si="76"/>
        <v xml:space="preserve">  1 1900 </v>
      </c>
    </row>
    <row r="1384" spans="1:16">
      <c r="A1384" s="68"/>
      <c r="B1384" s="87"/>
      <c r="C1384" s="88"/>
      <c r="D1384" s="88"/>
      <c r="E1384" s="90"/>
      <c r="F1384" s="84" t="str">
        <f ca="1">IF(D1384="Income",LOOKUP(E1384,Introduction!$A$11:$A$18,Introduction!$C$11:$C$18),IF(D1384="Expense",LOOKUP(E1384,Introduction!$D$11:$D$30,Introduction!$F$11:$F$30),"_"))</f>
        <v>_</v>
      </c>
      <c r="G1384" s="88"/>
      <c r="H1384" s="92"/>
      <c r="I1384" s="85">
        <f t="shared" si="77"/>
        <v>0</v>
      </c>
      <c r="J1384" s="93"/>
      <c r="K1384" s="85">
        <f t="shared" si="78"/>
        <v>0</v>
      </c>
      <c r="L1384" s="68"/>
      <c r="M1384" s="68"/>
      <c r="P1384" s="89" t="str">
        <f t="shared" si="76"/>
        <v xml:space="preserve">  1 1900 </v>
      </c>
    </row>
    <row r="1385" spans="1:16">
      <c r="A1385" s="68"/>
      <c r="B1385" s="87"/>
      <c r="C1385" s="88"/>
      <c r="D1385" s="88"/>
      <c r="E1385" s="90"/>
      <c r="F1385" s="84" t="str">
        <f ca="1">IF(D1385="Income",LOOKUP(E1385,Introduction!$A$11:$A$18,Introduction!$C$11:$C$18),IF(D1385="Expense",LOOKUP(E1385,Introduction!$D$11:$D$30,Introduction!$F$11:$F$30),"_"))</f>
        <v>_</v>
      </c>
      <c r="G1385" s="88"/>
      <c r="H1385" s="92"/>
      <c r="I1385" s="85">
        <f t="shared" si="77"/>
        <v>0</v>
      </c>
      <c r="J1385" s="93"/>
      <c r="K1385" s="85">
        <f t="shared" si="78"/>
        <v>0</v>
      </c>
      <c r="L1385" s="68"/>
      <c r="M1385" s="68"/>
      <c r="P1385" s="89" t="str">
        <f t="shared" si="76"/>
        <v xml:space="preserve">  1 1900 </v>
      </c>
    </row>
    <row r="1386" spans="1:16">
      <c r="A1386" s="68"/>
      <c r="B1386" s="87"/>
      <c r="C1386" s="88"/>
      <c r="D1386" s="88"/>
      <c r="E1386" s="90"/>
      <c r="F1386" s="84" t="str">
        <f ca="1">IF(D1386="Income",LOOKUP(E1386,Introduction!$A$11:$A$18,Introduction!$C$11:$C$18),IF(D1386="Expense",LOOKUP(E1386,Introduction!$D$11:$D$30,Introduction!$F$11:$F$30),"_"))</f>
        <v>_</v>
      </c>
      <c r="G1386" s="88"/>
      <c r="H1386" s="92"/>
      <c r="I1386" s="85">
        <f t="shared" si="77"/>
        <v>0</v>
      </c>
      <c r="J1386" s="93"/>
      <c r="K1386" s="85">
        <f t="shared" si="78"/>
        <v>0</v>
      </c>
      <c r="L1386" s="68"/>
      <c r="M1386" s="68"/>
      <c r="P1386" s="89" t="str">
        <f t="shared" si="76"/>
        <v xml:space="preserve">  1 1900 </v>
      </c>
    </row>
    <row r="1387" spans="1:16">
      <c r="A1387" s="68"/>
      <c r="B1387" s="87"/>
      <c r="C1387" s="88"/>
      <c r="D1387" s="88"/>
      <c r="E1387" s="90"/>
      <c r="F1387" s="84" t="str">
        <f ca="1">IF(D1387="Income",LOOKUP(E1387,Introduction!$A$11:$A$18,Introduction!$C$11:$C$18),IF(D1387="Expense",LOOKUP(E1387,Introduction!$D$11:$D$30,Introduction!$F$11:$F$30),"_"))</f>
        <v>_</v>
      </c>
      <c r="G1387" s="88"/>
      <c r="H1387" s="92"/>
      <c r="I1387" s="85">
        <f t="shared" si="77"/>
        <v>0</v>
      </c>
      <c r="J1387" s="93"/>
      <c r="K1387" s="85">
        <f t="shared" si="78"/>
        <v>0</v>
      </c>
      <c r="L1387" s="68"/>
      <c r="M1387" s="68"/>
      <c r="P1387" s="89" t="str">
        <f t="shared" si="76"/>
        <v xml:space="preserve">  1 1900 </v>
      </c>
    </row>
    <row r="1388" spans="1:16">
      <c r="A1388" s="68"/>
      <c r="B1388" s="87"/>
      <c r="C1388" s="88"/>
      <c r="D1388" s="88"/>
      <c r="E1388" s="90"/>
      <c r="F1388" s="84" t="str">
        <f ca="1">IF(D1388="Income",LOOKUP(E1388,Introduction!$A$11:$A$18,Introduction!$C$11:$C$18),IF(D1388="Expense",LOOKUP(E1388,Introduction!$D$11:$D$30,Introduction!$F$11:$F$30),"_"))</f>
        <v>_</v>
      </c>
      <c r="G1388" s="88"/>
      <c r="H1388" s="92"/>
      <c r="I1388" s="85">
        <f t="shared" si="77"/>
        <v>0</v>
      </c>
      <c r="J1388" s="93"/>
      <c r="K1388" s="85">
        <f t="shared" si="78"/>
        <v>0</v>
      </c>
      <c r="L1388" s="68"/>
      <c r="M1388" s="68"/>
      <c r="P1388" s="89" t="str">
        <f t="shared" si="76"/>
        <v xml:space="preserve">  1 1900 </v>
      </c>
    </row>
    <row r="1389" spans="1:16">
      <c r="A1389" s="68"/>
      <c r="B1389" s="87"/>
      <c r="C1389" s="88"/>
      <c r="D1389" s="88"/>
      <c r="E1389" s="90"/>
      <c r="F1389" s="84" t="str">
        <f ca="1">IF(D1389="Income",LOOKUP(E1389,Introduction!$A$11:$A$18,Introduction!$C$11:$C$18),IF(D1389="Expense",LOOKUP(E1389,Introduction!$D$11:$D$30,Introduction!$F$11:$F$30),"_"))</f>
        <v>_</v>
      </c>
      <c r="G1389" s="88"/>
      <c r="H1389" s="92"/>
      <c r="I1389" s="85">
        <f t="shared" si="77"/>
        <v>0</v>
      </c>
      <c r="J1389" s="93"/>
      <c r="K1389" s="85">
        <f t="shared" si="78"/>
        <v>0</v>
      </c>
      <c r="L1389" s="68"/>
      <c r="M1389" s="68"/>
      <c r="P1389" s="89" t="str">
        <f t="shared" si="76"/>
        <v xml:space="preserve">  1 1900 </v>
      </c>
    </row>
    <row r="1390" spans="1:16">
      <c r="A1390" s="68"/>
      <c r="B1390" s="87"/>
      <c r="C1390" s="88"/>
      <c r="D1390" s="88"/>
      <c r="E1390" s="90"/>
      <c r="F1390" s="84" t="str">
        <f ca="1">IF(D1390="Income",LOOKUP(E1390,Introduction!$A$11:$A$18,Introduction!$C$11:$C$18),IF(D1390="Expense",LOOKUP(E1390,Introduction!$D$11:$D$30,Introduction!$F$11:$F$30),"_"))</f>
        <v>_</v>
      </c>
      <c r="G1390" s="88"/>
      <c r="H1390" s="92"/>
      <c r="I1390" s="85">
        <f t="shared" si="77"/>
        <v>0</v>
      </c>
      <c r="J1390" s="93"/>
      <c r="K1390" s="85">
        <f t="shared" si="78"/>
        <v>0</v>
      </c>
      <c r="L1390" s="68"/>
      <c r="M1390" s="68"/>
      <c r="P1390" s="89" t="str">
        <f t="shared" si="76"/>
        <v xml:space="preserve">  1 1900 </v>
      </c>
    </row>
    <row r="1391" spans="1:16">
      <c r="A1391" s="68"/>
      <c r="B1391" s="87"/>
      <c r="C1391" s="88"/>
      <c r="D1391" s="88"/>
      <c r="E1391" s="90"/>
      <c r="F1391" s="84" t="str">
        <f ca="1">IF(D1391="Income",LOOKUP(E1391,Introduction!$A$11:$A$18,Introduction!$C$11:$C$18),IF(D1391="Expense",LOOKUP(E1391,Introduction!$D$11:$D$30,Introduction!$F$11:$F$30),"_"))</f>
        <v>_</v>
      </c>
      <c r="G1391" s="88"/>
      <c r="H1391" s="92"/>
      <c r="I1391" s="85">
        <f t="shared" si="77"/>
        <v>0</v>
      </c>
      <c r="J1391" s="93"/>
      <c r="K1391" s="85">
        <f t="shared" si="78"/>
        <v>0</v>
      </c>
      <c r="L1391" s="68"/>
      <c r="M1391" s="68"/>
      <c r="P1391" s="89" t="str">
        <f t="shared" si="76"/>
        <v xml:space="preserve">  1 1900 </v>
      </c>
    </row>
    <row r="1392" spans="1:16">
      <c r="A1392" s="68"/>
      <c r="B1392" s="87"/>
      <c r="C1392" s="88"/>
      <c r="D1392" s="88"/>
      <c r="E1392" s="90"/>
      <c r="F1392" s="84" t="str">
        <f ca="1">IF(D1392="Income",LOOKUP(E1392,Introduction!$A$11:$A$18,Introduction!$C$11:$C$18),IF(D1392="Expense",LOOKUP(E1392,Introduction!$D$11:$D$30,Introduction!$F$11:$F$30),"_"))</f>
        <v>_</v>
      </c>
      <c r="G1392" s="88"/>
      <c r="H1392" s="92"/>
      <c r="I1392" s="85">
        <f t="shared" si="77"/>
        <v>0</v>
      </c>
      <c r="J1392" s="93"/>
      <c r="K1392" s="85">
        <f t="shared" si="78"/>
        <v>0</v>
      </c>
      <c r="L1392" s="68"/>
      <c r="M1392" s="68"/>
      <c r="P1392" s="89" t="str">
        <f t="shared" si="76"/>
        <v xml:space="preserve">  1 1900 </v>
      </c>
    </row>
    <row r="1393" spans="1:16">
      <c r="A1393" s="68"/>
      <c r="B1393" s="87"/>
      <c r="C1393" s="88"/>
      <c r="D1393" s="88"/>
      <c r="E1393" s="90"/>
      <c r="F1393" s="84" t="str">
        <f ca="1">IF(D1393="Income",LOOKUP(E1393,Introduction!$A$11:$A$18,Introduction!$C$11:$C$18),IF(D1393="Expense",LOOKUP(E1393,Introduction!$D$11:$D$30,Introduction!$F$11:$F$30),"_"))</f>
        <v>_</v>
      </c>
      <c r="G1393" s="88"/>
      <c r="H1393" s="92"/>
      <c r="I1393" s="85">
        <f t="shared" si="77"/>
        <v>0</v>
      </c>
      <c r="J1393" s="93"/>
      <c r="K1393" s="85">
        <f t="shared" si="78"/>
        <v>0</v>
      </c>
      <c r="L1393" s="68"/>
      <c r="M1393" s="68"/>
      <c r="P1393" s="89" t="str">
        <f t="shared" si="76"/>
        <v xml:space="preserve">  1 1900 </v>
      </c>
    </row>
    <row r="1394" spans="1:16">
      <c r="A1394" s="68"/>
      <c r="B1394" s="87"/>
      <c r="C1394" s="88"/>
      <c r="D1394" s="88"/>
      <c r="E1394" s="90"/>
      <c r="F1394" s="84" t="str">
        <f ca="1">IF(D1394="Income",LOOKUP(E1394,Introduction!$A$11:$A$18,Introduction!$C$11:$C$18),IF(D1394="Expense",LOOKUP(E1394,Introduction!$D$11:$D$30,Introduction!$F$11:$F$30),"_"))</f>
        <v>_</v>
      </c>
      <c r="G1394" s="88"/>
      <c r="H1394" s="92"/>
      <c r="I1394" s="85">
        <f t="shared" si="77"/>
        <v>0</v>
      </c>
      <c r="J1394" s="93"/>
      <c r="K1394" s="85">
        <f t="shared" si="78"/>
        <v>0</v>
      </c>
      <c r="L1394" s="68"/>
      <c r="M1394" s="68"/>
      <c r="P1394" s="89" t="str">
        <f t="shared" si="76"/>
        <v xml:space="preserve">  1 1900 </v>
      </c>
    </row>
    <row r="1395" spans="1:16">
      <c r="A1395" s="68"/>
      <c r="B1395" s="87"/>
      <c r="C1395" s="88"/>
      <c r="D1395" s="88"/>
      <c r="E1395" s="90"/>
      <c r="F1395" s="84" t="str">
        <f ca="1">IF(D1395="Income",LOOKUP(E1395,Introduction!$A$11:$A$18,Introduction!$C$11:$C$18),IF(D1395="Expense",LOOKUP(E1395,Introduction!$D$11:$D$30,Introduction!$F$11:$F$30),"_"))</f>
        <v>_</v>
      </c>
      <c r="G1395" s="88"/>
      <c r="H1395" s="92"/>
      <c r="I1395" s="85">
        <f t="shared" si="77"/>
        <v>0</v>
      </c>
      <c r="J1395" s="93"/>
      <c r="K1395" s="85">
        <f t="shared" si="78"/>
        <v>0</v>
      </c>
      <c r="L1395" s="68"/>
      <c r="M1395" s="68"/>
      <c r="P1395" s="89" t="str">
        <f t="shared" si="76"/>
        <v xml:space="preserve">  1 1900 </v>
      </c>
    </row>
    <row r="1396" spans="1:16">
      <c r="A1396" s="68"/>
      <c r="B1396" s="87"/>
      <c r="C1396" s="88"/>
      <c r="D1396" s="88"/>
      <c r="E1396" s="90"/>
      <c r="F1396" s="84" t="str">
        <f ca="1">IF(D1396="Income",LOOKUP(E1396,Introduction!$A$11:$A$18,Introduction!$C$11:$C$18),IF(D1396="Expense",LOOKUP(E1396,Introduction!$D$11:$D$30,Introduction!$F$11:$F$30),"_"))</f>
        <v>_</v>
      </c>
      <c r="G1396" s="88"/>
      <c r="H1396" s="92"/>
      <c r="I1396" s="85">
        <f t="shared" si="77"/>
        <v>0</v>
      </c>
      <c r="J1396" s="93"/>
      <c r="K1396" s="85">
        <f t="shared" si="78"/>
        <v>0</v>
      </c>
      <c r="L1396" s="68"/>
      <c r="M1396" s="68"/>
      <c r="P1396" s="89" t="str">
        <f t="shared" si="76"/>
        <v xml:space="preserve">  1 1900 </v>
      </c>
    </row>
    <row r="1397" spans="1:16">
      <c r="A1397" s="68"/>
      <c r="B1397" s="87"/>
      <c r="C1397" s="88"/>
      <c r="D1397" s="88"/>
      <c r="E1397" s="90"/>
      <c r="F1397" s="84" t="str">
        <f ca="1">IF(D1397="Income",LOOKUP(E1397,Introduction!$A$11:$A$18,Introduction!$C$11:$C$18),IF(D1397="Expense",LOOKUP(E1397,Introduction!$D$11:$D$30,Introduction!$F$11:$F$30),"_"))</f>
        <v>_</v>
      </c>
      <c r="G1397" s="88"/>
      <c r="H1397" s="92"/>
      <c r="I1397" s="85">
        <f t="shared" si="77"/>
        <v>0</v>
      </c>
      <c r="J1397" s="93"/>
      <c r="K1397" s="85">
        <f t="shared" si="78"/>
        <v>0</v>
      </c>
      <c r="L1397" s="68"/>
      <c r="M1397" s="68"/>
      <c r="P1397" s="89" t="str">
        <f t="shared" si="76"/>
        <v xml:space="preserve">  1 1900 </v>
      </c>
    </row>
    <row r="1398" spans="1:16">
      <c r="A1398" s="68"/>
      <c r="B1398" s="87"/>
      <c r="C1398" s="88"/>
      <c r="D1398" s="88"/>
      <c r="E1398" s="90"/>
      <c r="F1398" s="84" t="str">
        <f ca="1">IF(D1398="Income",LOOKUP(E1398,Introduction!$A$11:$A$18,Introduction!$C$11:$C$18),IF(D1398="Expense",LOOKUP(E1398,Introduction!$D$11:$D$30,Introduction!$F$11:$F$30),"_"))</f>
        <v>_</v>
      </c>
      <c r="G1398" s="88"/>
      <c r="H1398" s="92"/>
      <c r="I1398" s="85">
        <f t="shared" si="77"/>
        <v>0</v>
      </c>
      <c r="J1398" s="93"/>
      <c r="K1398" s="85">
        <f t="shared" si="78"/>
        <v>0</v>
      </c>
      <c r="L1398" s="68"/>
      <c r="M1398" s="68"/>
      <c r="P1398" s="89" t="str">
        <f t="shared" si="76"/>
        <v xml:space="preserve">  1 1900 </v>
      </c>
    </row>
    <row r="1399" spans="1:16">
      <c r="A1399" s="68"/>
      <c r="B1399" s="87"/>
      <c r="C1399" s="88"/>
      <c r="D1399" s="88"/>
      <c r="E1399" s="90"/>
      <c r="F1399" s="84" t="str">
        <f ca="1">IF(D1399="Income",LOOKUP(E1399,Introduction!$A$11:$A$18,Introduction!$C$11:$C$18),IF(D1399="Expense",LOOKUP(E1399,Introduction!$D$11:$D$30,Introduction!$F$11:$F$30),"_"))</f>
        <v>_</v>
      </c>
      <c r="G1399" s="88"/>
      <c r="H1399" s="92"/>
      <c r="I1399" s="85">
        <f t="shared" si="77"/>
        <v>0</v>
      </c>
      <c r="J1399" s="93"/>
      <c r="K1399" s="85">
        <f t="shared" si="78"/>
        <v>0</v>
      </c>
      <c r="L1399" s="68"/>
      <c r="M1399" s="68"/>
      <c r="P1399" s="89" t="str">
        <f t="shared" si="76"/>
        <v xml:space="preserve">  1 1900 </v>
      </c>
    </row>
    <row r="1400" spans="1:16">
      <c r="A1400" s="68"/>
      <c r="B1400" s="87"/>
      <c r="C1400" s="88"/>
      <c r="D1400" s="88"/>
      <c r="E1400" s="90"/>
      <c r="F1400" s="84" t="str">
        <f ca="1">IF(D1400="Income",LOOKUP(E1400,Introduction!$A$11:$A$18,Introduction!$C$11:$C$18),IF(D1400="Expense",LOOKUP(E1400,Introduction!$D$11:$D$30,Introduction!$F$11:$F$30),"_"))</f>
        <v>_</v>
      </c>
      <c r="G1400" s="88"/>
      <c r="H1400" s="92"/>
      <c r="I1400" s="85">
        <f t="shared" si="77"/>
        <v>0</v>
      </c>
      <c r="J1400" s="93"/>
      <c r="K1400" s="85">
        <f t="shared" si="78"/>
        <v>0</v>
      </c>
      <c r="L1400" s="68"/>
      <c r="M1400" s="68"/>
      <c r="P1400" s="89" t="str">
        <f t="shared" si="76"/>
        <v xml:space="preserve">  1 1900 </v>
      </c>
    </row>
    <row r="1401" spans="1:16">
      <c r="A1401" s="68"/>
      <c r="B1401" s="87"/>
      <c r="C1401" s="88"/>
      <c r="D1401" s="88"/>
      <c r="E1401" s="90"/>
      <c r="F1401" s="84" t="str">
        <f ca="1">IF(D1401="Income",LOOKUP(E1401,Introduction!$A$11:$A$18,Introduction!$C$11:$C$18),IF(D1401="Expense",LOOKUP(E1401,Introduction!$D$11:$D$30,Introduction!$F$11:$F$30),"_"))</f>
        <v>_</v>
      </c>
      <c r="G1401" s="88"/>
      <c r="H1401" s="92"/>
      <c r="I1401" s="85">
        <f t="shared" si="77"/>
        <v>0</v>
      </c>
      <c r="J1401" s="93"/>
      <c r="K1401" s="85">
        <f t="shared" si="78"/>
        <v>0</v>
      </c>
      <c r="L1401" s="68"/>
      <c r="M1401" s="68"/>
      <c r="P1401" s="89" t="str">
        <f t="shared" si="76"/>
        <v xml:space="preserve">  1 1900 </v>
      </c>
    </row>
    <row r="1402" spans="1:16">
      <c r="A1402" s="68"/>
      <c r="B1402" s="87"/>
      <c r="C1402" s="88"/>
      <c r="D1402" s="88"/>
      <c r="E1402" s="90"/>
      <c r="F1402" s="84" t="str">
        <f ca="1">IF(D1402="Income",LOOKUP(E1402,Introduction!$A$11:$A$18,Introduction!$C$11:$C$18),IF(D1402="Expense",LOOKUP(E1402,Introduction!$D$11:$D$30,Introduction!$F$11:$F$30),"_"))</f>
        <v>_</v>
      </c>
      <c r="G1402" s="88"/>
      <c r="H1402" s="92"/>
      <c r="I1402" s="85">
        <f t="shared" si="77"/>
        <v>0</v>
      </c>
      <c r="J1402" s="93"/>
      <c r="K1402" s="85">
        <f t="shared" si="78"/>
        <v>0</v>
      </c>
      <c r="L1402" s="68"/>
      <c r="M1402" s="68"/>
      <c r="P1402" s="89" t="str">
        <f t="shared" si="76"/>
        <v xml:space="preserve">  1 1900 </v>
      </c>
    </row>
    <row r="1403" spans="1:16">
      <c r="A1403" s="68"/>
      <c r="B1403" s="87"/>
      <c r="C1403" s="88"/>
      <c r="D1403" s="88"/>
      <c r="E1403" s="90"/>
      <c r="F1403" s="84" t="str">
        <f ca="1">IF(D1403="Income",LOOKUP(E1403,Introduction!$A$11:$A$18,Introduction!$C$11:$C$18),IF(D1403="Expense",LOOKUP(E1403,Introduction!$D$11:$D$30,Introduction!$F$11:$F$30),"_"))</f>
        <v>_</v>
      </c>
      <c r="G1403" s="88"/>
      <c r="H1403" s="92"/>
      <c r="I1403" s="85">
        <f t="shared" si="77"/>
        <v>0</v>
      </c>
      <c r="J1403" s="93"/>
      <c r="K1403" s="85">
        <f t="shared" si="78"/>
        <v>0</v>
      </c>
      <c r="L1403" s="68"/>
      <c r="M1403" s="68"/>
      <c r="P1403" s="89" t="str">
        <f t="shared" si="76"/>
        <v xml:space="preserve">  1 1900 </v>
      </c>
    </row>
    <row r="1404" spans="1:16">
      <c r="A1404" s="68"/>
      <c r="B1404" s="87"/>
      <c r="C1404" s="88"/>
      <c r="D1404" s="88"/>
      <c r="E1404" s="90"/>
      <c r="F1404" s="84" t="str">
        <f ca="1">IF(D1404="Income",LOOKUP(E1404,Introduction!$A$11:$A$18,Introduction!$C$11:$C$18),IF(D1404="Expense",LOOKUP(E1404,Introduction!$D$11:$D$30,Introduction!$F$11:$F$30),"_"))</f>
        <v>_</v>
      </c>
      <c r="G1404" s="88"/>
      <c r="H1404" s="92"/>
      <c r="I1404" s="85">
        <f t="shared" si="77"/>
        <v>0</v>
      </c>
      <c r="J1404" s="93"/>
      <c r="K1404" s="85">
        <f t="shared" si="78"/>
        <v>0</v>
      </c>
      <c r="L1404" s="68"/>
      <c r="M1404" s="68"/>
      <c r="P1404" s="89" t="str">
        <f t="shared" si="76"/>
        <v xml:space="preserve">  1 1900 </v>
      </c>
    </row>
    <row r="1405" spans="1:16">
      <c r="A1405" s="68"/>
      <c r="B1405" s="87"/>
      <c r="C1405" s="88"/>
      <c r="D1405" s="88"/>
      <c r="E1405" s="90"/>
      <c r="F1405" s="84" t="str">
        <f ca="1">IF(D1405="Income",LOOKUP(E1405,Introduction!$A$11:$A$18,Introduction!$C$11:$C$18),IF(D1405="Expense",LOOKUP(E1405,Introduction!$D$11:$D$30,Introduction!$F$11:$F$30),"_"))</f>
        <v>_</v>
      </c>
      <c r="G1405" s="88"/>
      <c r="H1405" s="92"/>
      <c r="I1405" s="85">
        <f t="shared" si="77"/>
        <v>0</v>
      </c>
      <c r="J1405" s="93"/>
      <c r="K1405" s="85">
        <f t="shared" si="78"/>
        <v>0</v>
      </c>
      <c r="L1405" s="68"/>
      <c r="M1405" s="68"/>
      <c r="P1405" s="89" t="str">
        <f t="shared" si="76"/>
        <v xml:space="preserve">  1 1900 </v>
      </c>
    </row>
    <row r="1406" spans="1:16">
      <c r="A1406" s="68"/>
      <c r="B1406" s="87"/>
      <c r="C1406" s="88"/>
      <c r="D1406" s="88"/>
      <c r="E1406" s="90"/>
      <c r="F1406" s="84" t="str">
        <f ca="1">IF(D1406="Income",LOOKUP(E1406,Introduction!$A$11:$A$18,Introduction!$C$11:$C$18),IF(D1406="Expense",LOOKUP(E1406,Introduction!$D$11:$D$30,Introduction!$F$11:$F$30),"_"))</f>
        <v>_</v>
      </c>
      <c r="G1406" s="88"/>
      <c r="H1406" s="92"/>
      <c r="I1406" s="85">
        <f t="shared" si="77"/>
        <v>0</v>
      </c>
      <c r="J1406" s="93"/>
      <c r="K1406" s="85">
        <f t="shared" si="78"/>
        <v>0</v>
      </c>
      <c r="L1406" s="68"/>
      <c r="M1406" s="68"/>
      <c r="P1406" s="89" t="str">
        <f t="shared" si="76"/>
        <v xml:space="preserve">  1 1900 </v>
      </c>
    </row>
    <row r="1407" spans="1:16">
      <c r="A1407" s="68"/>
      <c r="B1407" s="87"/>
      <c r="C1407" s="88"/>
      <c r="D1407" s="88"/>
      <c r="E1407" s="90"/>
      <c r="F1407" s="84" t="str">
        <f ca="1">IF(D1407="Income",LOOKUP(E1407,Introduction!$A$11:$A$18,Introduction!$C$11:$C$18),IF(D1407="Expense",LOOKUP(E1407,Introduction!$D$11:$D$30,Introduction!$F$11:$F$30),"_"))</f>
        <v>_</v>
      </c>
      <c r="G1407" s="88"/>
      <c r="H1407" s="92"/>
      <c r="I1407" s="85">
        <f t="shared" si="77"/>
        <v>0</v>
      </c>
      <c r="J1407" s="93"/>
      <c r="K1407" s="85">
        <f t="shared" si="78"/>
        <v>0</v>
      </c>
      <c r="L1407" s="68"/>
      <c r="M1407" s="68"/>
      <c r="P1407" s="89" t="str">
        <f t="shared" si="76"/>
        <v xml:space="preserve">  1 1900 </v>
      </c>
    </row>
    <row r="1408" spans="1:16">
      <c r="A1408" s="68"/>
      <c r="B1408" s="87"/>
      <c r="C1408" s="88"/>
      <c r="D1408" s="88"/>
      <c r="E1408" s="90"/>
      <c r="F1408" s="84" t="str">
        <f ca="1">IF(D1408="Income",LOOKUP(E1408,Introduction!$A$11:$A$18,Introduction!$C$11:$C$18),IF(D1408="Expense",LOOKUP(E1408,Introduction!$D$11:$D$30,Introduction!$F$11:$F$30),"_"))</f>
        <v>_</v>
      </c>
      <c r="G1408" s="88"/>
      <c r="H1408" s="92"/>
      <c r="I1408" s="85">
        <f t="shared" si="77"/>
        <v>0</v>
      </c>
      <c r="J1408" s="93"/>
      <c r="K1408" s="85">
        <f t="shared" si="78"/>
        <v>0</v>
      </c>
      <c r="L1408" s="68"/>
      <c r="M1408" s="68"/>
      <c r="P1408" s="89" t="str">
        <f t="shared" si="76"/>
        <v xml:space="preserve">  1 1900 </v>
      </c>
    </row>
    <row r="1409" spans="1:16">
      <c r="A1409" s="68"/>
      <c r="B1409" s="87"/>
      <c r="C1409" s="88"/>
      <c r="D1409" s="88"/>
      <c r="E1409" s="90"/>
      <c r="F1409" s="84" t="str">
        <f ca="1">IF(D1409="Income",LOOKUP(E1409,Introduction!$A$11:$A$18,Introduction!$C$11:$C$18),IF(D1409="Expense",LOOKUP(E1409,Introduction!$D$11:$D$30,Introduction!$F$11:$F$30),"_"))</f>
        <v>_</v>
      </c>
      <c r="G1409" s="88"/>
      <c r="H1409" s="92"/>
      <c r="I1409" s="85">
        <f t="shared" si="77"/>
        <v>0</v>
      </c>
      <c r="J1409" s="93"/>
      <c r="K1409" s="85">
        <f t="shared" si="78"/>
        <v>0</v>
      </c>
      <c r="L1409" s="68"/>
      <c r="M1409" s="68"/>
      <c r="P1409" s="89" t="str">
        <f t="shared" si="76"/>
        <v xml:space="preserve">  1 1900 </v>
      </c>
    </row>
    <row r="1410" spans="1:16">
      <c r="A1410" s="68"/>
      <c r="B1410" s="87"/>
      <c r="C1410" s="88"/>
      <c r="D1410" s="88"/>
      <c r="E1410" s="90"/>
      <c r="F1410" s="84" t="str">
        <f ca="1">IF(D1410="Income",LOOKUP(E1410,Introduction!$A$11:$A$18,Introduction!$C$11:$C$18),IF(D1410="Expense",LOOKUP(E1410,Introduction!$D$11:$D$30,Introduction!$F$11:$F$30),"_"))</f>
        <v>_</v>
      </c>
      <c r="G1410" s="88"/>
      <c r="H1410" s="92"/>
      <c r="I1410" s="85">
        <f t="shared" si="77"/>
        <v>0</v>
      </c>
      <c r="J1410" s="93"/>
      <c r="K1410" s="85">
        <f t="shared" si="78"/>
        <v>0</v>
      </c>
      <c r="L1410" s="68"/>
      <c r="M1410" s="68"/>
      <c r="P1410" s="89" t="str">
        <f t="shared" si="76"/>
        <v xml:space="preserve">  1 1900 </v>
      </c>
    </row>
    <row r="1411" spans="1:16">
      <c r="A1411" s="68"/>
      <c r="B1411" s="87"/>
      <c r="C1411" s="88"/>
      <c r="D1411" s="88"/>
      <c r="E1411" s="90"/>
      <c r="F1411" s="84" t="str">
        <f ca="1">IF(D1411="Income",LOOKUP(E1411,Introduction!$A$11:$A$18,Introduction!$C$11:$C$18),IF(D1411="Expense",LOOKUP(E1411,Introduction!$D$11:$D$30,Introduction!$F$11:$F$30),"_"))</f>
        <v>_</v>
      </c>
      <c r="G1411" s="88"/>
      <c r="H1411" s="92"/>
      <c r="I1411" s="85">
        <f t="shared" si="77"/>
        <v>0</v>
      </c>
      <c r="J1411" s="93"/>
      <c r="K1411" s="85">
        <f t="shared" si="78"/>
        <v>0</v>
      </c>
      <c r="L1411" s="68"/>
      <c r="M1411" s="68"/>
      <c r="P1411" s="89" t="str">
        <f t="shared" si="76"/>
        <v xml:space="preserve">  1 1900 </v>
      </c>
    </row>
    <row r="1412" spans="1:16">
      <c r="A1412" s="68"/>
      <c r="B1412" s="87"/>
      <c r="C1412" s="88"/>
      <c r="D1412" s="88"/>
      <c r="E1412" s="90"/>
      <c r="F1412" s="84" t="str">
        <f ca="1">IF(D1412="Income",LOOKUP(E1412,Introduction!$A$11:$A$18,Introduction!$C$11:$C$18),IF(D1412="Expense",LOOKUP(E1412,Introduction!$D$11:$D$30,Introduction!$F$11:$F$30),"_"))</f>
        <v>_</v>
      </c>
      <c r="G1412" s="88"/>
      <c r="H1412" s="92"/>
      <c r="I1412" s="85">
        <f t="shared" si="77"/>
        <v>0</v>
      </c>
      <c r="J1412" s="93"/>
      <c r="K1412" s="85">
        <f t="shared" si="78"/>
        <v>0</v>
      </c>
      <c r="L1412" s="68"/>
      <c r="M1412" s="68"/>
      <c r="P1412" s="89" t="str">
        <f t="shared" si="76"/>
        <v xml:space="preserve">  1 1900 </v>
      </c>
    </row>
    <row r="1413" spans="1:16">
      <c r="A1413" s="68"/>
      <c r="B1413" s="87"/>
      <c r="C1413" s="88"/>
      <c r="D1413" s="88"/>
      <c r="E1413" s="90"/>
      <c r="F1413" s="84" t="str">
        <f ca="1">IF(D1413="Income",LOOKUP(E1413,Introduction!$A$11:$A$18,Introduction!$C$11:$C$18),IF(D1413="Expense",LOOKUP(E1413,Introduction!$D$11:$D$30,Introduction!$F$11:$F$30),"_"))</f>
        <v>_</v>
      </c>
      <c r="G1413" s="88"/>
      <c r="H1413" s="92"/>
      <c r="I1413" s="85">
        <f t="shared" si="77"/>
        <v>0</v>
      </c>
      <c r="J1413" s="93"/>
      <c r="K1413" s="85">
        <f t="shared" si="78"/>
        <v>0</v>
      </c>
      <c r="L1413" s="68"/>
      <c r="M1413" s="68"/>
      <c r="P1413" s="89" t="str">
        <f t="shared" si="76"/>
        <v xml:space="preserve">  1 1900 </v>
      </c>
    </row>
    <row r="1414" spans="1:16">
      <c r="A1414" s="68"/>
      <c r="B1414" s="87"/>
      <c r="C1414" s="88"/>
      <c r="D1414" s="88"/>
      <c r="E1414" s="90"/>
      <c r="F1414" s="84" t="str">
        <f ca="1">IF(D1414="Income",LOOKUP(E1414,Introduction!$A$11:$A$18,Introduction!$C$11:$C$18),IF(D1414="Expense",LOOKUP(E1414,Introduction!$D$11:$D$30,Introduction!$F$11:$F$30),"_"))</f>
        <v>_</v>
      </c>
      <c r="G1414" s="88"/>
      <c r="H1414" s="92"/>
      <c r="I1414" s="85">
        <f t="shared" si="77"/>
        <v>0</v>
      </c>
      <c r="J1414" s="93"/>
      <c r="K1414" s="85">
        <f t="shared" si="78"/>
        <v>0</v>
      </c>
      <c r="L1414" s="68"/>
      <c r="M1414" s="68"/>
      <c r="P1414" s="89" t="str">
        <f t="shared" si="76"/>
        <v xml:space="preserve">  1 1900 </v>
      </c>
    </row>
    <row r="1415" spans="1:16">
      <c r="A1415" s="68"/>
      <c r="B1415" s="87"/>
      <c r="C1415" s="88"/>
      <c r="D1415" s="88"/>
      <c r="E1415" s="90"/>
      <c r="F1415" s="84" t="str">
        <f ca="1">IF(D1415="Income",LOOKUP(E1415,Introduction!$A$11:$A$18,Introduction!$C$11:$C$18),IF(D1415="Expense",LOOKUP(E1415,Introduction!$D$11:$D$30,Introduction!$F$11:$F$30),"_"))</f>
        <v>_</v>
      </c>
      <c r="G1415" s="88"/>
      <c r="H1415" s="92"/>
      <c r="I1415" s="85">
        <f t="shared" si="77"/>
        <v>0</v>
      </c>
      <c r="J1415" s="93"/>
      <c r="K1415" s="85">
        <f t="shared" si="78"/>
        <v>0</v>
      </c>
      <c r="L1415" s="68"/>
      <c r="M1415" s="68"/>
      <c r="P1415" s="89" t="str">
        <f t="shared" ref="P1415:P1478" si="79">CONCATENATE(D1415," ",E1415," ",MONTH(C1415)," ",YEAR(C1415)," ")</f>
        <v xml:space="preserve">  1 1900 </v>
      </c>
    </row>
    <row r="1416" spans="1:16">
      <c r="A1416" s="68"/>
      <c r="B1416" s="87"/>
      <c r="C1416" s="88"/>
      <c r="D1416" s="88"/>
      <c r="E1416" s="90"/>
      <c r="F1416" s="84" t="str">
        <f ca="1">IF(D1416="Income",LOOKUP(E1416,Introduction!$A$11:$A$18,Introduction!$C$11:$C$18),IF(D1416="Expense",LOOKUP(E1416,Introduction!$D$11:$D$30,Introduction!$F$11:$F$30),"_"))</f>
        <v>_</v>
      </c>
      <c r="G1416" s="88"/>
      <c r="H1416" s="92"/>
      <c r="I1416" s="85">
        <f t="shared" si="77"/>
        <v>0</v>
      </c>
      <c r="J1416" s="93"/>
      <c r="K1416" s="85">
        <f t="shared" si="78"/>
        <v>0</v>
      </c>
      <c r="L1416" s="68"/>
      <c r="M1416" s="68"/>
      <c r="P1416" s="89" t="str">
        <f t="shared" si="79"/>
        <v xml:space="preserve">  1 1900 </v>
      </c>
    </row>
    <row r="1417" spans="1:16">
      <c r="A1417" s="68"/>
      <c r="B1417" s="87"/>
      <c r="C1417" s="88"/>
      <c r="D1417" s="88"/>
      <c r="E1417" s="90"/>
      <c r="F1417" s="84" t="str">
        <f ca="1">IF(D1417="Income",LOOKUP(E1417,Introduction!$A$11:$A$18,Introduction!$C$11:$C$18),IF(D1417="Expense",LOOKUP(E1417,Introduction!$D$11:$D$30,Introduction!$F$11:$F$30),"_"))</f>
        <v>_</v>
      </c>
      <c r="G1417" s="88"/>
      <c r="H1417" s="92"/>
      <c r="I1417" s="85">
        <f t="shared" si="77"/>
        <v>0</v>
      </c>
      <c r="J1417" s="93"/>
      <c r="K1417" s="85">
        <f t="shared" si="78"/>
        <v>0</v>
      </c>
      <c r="L1417" s="68"/>
      <c r="M1417" s="68"/>
      <c r="P1417" s="89" t="str">
        <f t="shared" si="79"/>
        <v xml:space="preserve">  1 1900 </v>
      </c>
    </row>
    <row r="1418" spans="1:16">
      <c r="A1418" s="68"/>
      <c r="B1418" s="87"/>
      <c r="C1418" s="88"/>
      <c r="D1418" s="88"/>
      <c r="E1418" s="90"/>
      <c r="F1418" s="84" t="str">
        <f ca="1">IF(D1418="Income",LOOKUP(E1418,Introduction!$A$11:$A$18,Introduction!$C$11:$C$18),IF(D1418="Expense",LOOKUP(E1418,Introduction!$D$11:$D$30,Introduction!$F$11:$F$30),"_"))</f>
        <v>_</v>
      </c>
      <c r="G1418" s="88"/>
      <c r="H1418" s="92"/>
      <c r="I1418" s="85">
        <f t="shared" si="77"/>
        <v>0</v>
      </c>
      <c r="J1418" s="93"/>
      <c r="K1418" s="85">
        <f t="shared" si="78"/>
        <v>0</v>
      </c>
      <c r="L1418" s="68"/>
      <c r="M1418" s="68"/>
      <c r="P1418" s="89" t="str">
        <f t="shared" si="79"/>
        <v xml:space="preserve">  1 1900 </v>
      </c>
    </row>
    <row r="1419" spans="1:16">
      <c r="A1419" s="68"/>
      <c r="B1419" s="87"/>
      <c r="C1419" s="88"/>
      <c r="D1419" s="88"/>
      <c r="E1419" s="90"/>
      <c r="F1419" s="84" t="str">
        <f ca="1">IF(D1419="Income",LOOKUP(E1419,Introduction!$A$11:$A$18,Introduction!$C$11:$C$18),IF(D1419="Expense",LOOKUP(E1419,Introduction!$D$11:$D$30,Introduction!$F$11:$F$30),"_"))</f>
        <v>_</v>
      </c>
      <c r="G1419" s="88"/>
      <c r="H1419" s="92"/>
      <c r="I1419" s="85">
        <f t="shared" si="77"/>
        <v>0</v>
      </c>
      <c r="J1419" s="93"/>
      <c r="K1419" s="85">
        <f t="shared" si="78"/>
        <v>0</v>
      </c>
      <c r="L1419" s="68"/>
      <c r="M1419" s="68"/>
      <c r="P1419" s="89" t="str">
        <f t="shared" si="79"/>
        <v xml:space="preserve">  1 1900 </v>
      </c>
    </row>
    <row r="1420" spans="1:16">
      <c r="A1420" s="68"/>
      <c r="B1420" s="87"/>
      <c r="C1420" s="88"/>
      <c r="D1420" s="88"/>
      <c r="E1420" s="90"/>
      <c r="F1420" s="84" t="str">
        <f ca="1">IF(D1420="Income",LOOKUP(E1420,Introduction!$A$11:$A$18,Introduction!$C$11:$C$18),IF(D1420="Expense",LOOKUP(E1420,Introduction!$D$11:$D$30,Introduction!$F$11:$F$30),"_"))</f>
        <v>_</v>
      </c>
      <c r="G1420" s="88"/>
      <c r="H1420" s="92"/>
      <c r="I1420" s="85">
        <f t="shared" si="77"/>
        <v>0</v>
      </c>
      <c r="J1420" s="93"/>
      <c r="K1420" s="85">
        <f t="shared" si="78"/>
        <v>0</v>
      </c>
      <c r="L1420" s="68"/>
      <c r="M1420" s="68"/>
      <c r="P1420" s="89" t="str">
        <f t="shared" si="79"/>
        <v xml:space="preserve">  1 1900 </v>
      </c>
    </row>
    <row r="1421" spans="1:16">
      <c r="A1421" s="68"/>
      <c r="B1421" s="87"/>
      <c r="C1421" s="88"/>
      <c r="D1421" s="88"/>
      <c r="E1421" s="90"/>
      <c r="F1421" s="84" t="str">
        <f ca="1">IF(D1421="Income",LOOKUP(E1421,Introduction!$A$11:$A$18,Introduction!$C$11:$C$18),IF(D1421="Expense",LOOKUP(E1421,Introduction!$D$11:$D$30,Introduction!$F$11:$F$30),"_"))</f>
        <v>_</v>
      </c>
      <c r="G1421" s="88"/>
      <c r="H1421" s="92"/>
      <c r="I1421" s="85">
        <f t="shared" si="77"/>
        <v>0</v>
      </c>
      <c r="J1421" s="93"/>
      <c r="K1421" s="85">
        <f t="shared" si="78"/>
        <v>0</v>
      </c>
      <c r="L1421" s="68"/>
      <c r="M1421" s="68"/>
      <c r="P1421" s="89" t="str">
        <f t="shared" si="79"/>
        <v xml:space="preserve">  1 1900 </v>
      </c>
    </row>
    <row r="1422" spans="1:16">
      <c r="A1422" s="68"/>
      <c r="B1422" s="87"/>
      <c r="C1422" s="88"/>
      <c r="D1422" s="88"/>
      <c r="E1422" s="90"/>
      <c r="F1422" s="84" t="str">
        <f ca="1">IF(D1422="Income",LOOKUP(E1422,Introduction!$A$11:$A$18,Introduction!$C$11:$C$18),IF(D1422="Expense",LOOKUP(E1422,Introduction!$D$11:$D$30,Introduction!$F$11:$F$30),"_"))</f>
        <v>_</v>
      </c>
      <c r="G1422" s="88"/>
      <c r="H1422" s="92"/>
      <c r="I1422" s="85">
        <f t="shared" si="77"/>
        <v>0</v>
      </c>
      <c r="J1422" s="93"/>
      <c r="K1422" s="85">
        <f t="shared" si="78"/>
        <v>0</v>
      </c>
      <c r="L1422" s="68"/>
      <c r="M1422" s="68"/>
      <c r="P1422" s="89" t="str">
        <f t="shared" si="79"/>
        <v xml:space="preserve">  1 1900 </v>
      </c>
    </row>
    <row r="1423" spans="1:16">
      <c r="A1423" s="68"/>
      <c r="B1423" s="87"/>
      <c r="C1423" s="88"/>
      <c r="D1423" s="88"/>
      <c r="E1423" s="90"/>
      <c r="F1423" s="84" t="str">
        <f ca="1">IF(D1423="Income",LOOKUP(E1423,Introduction!$A$11:$A$18,Introduction!$C$11:$C$18),IF(D1423="Expense",LOOKUP(E1423,Introduction!$D$11:$D$30,Introduction!$F$11:$F$30),"_"))</f>
        <v>_</v>
      </c>
      <c r="G1423" s="88"/>
      <c r="H1423" s="92"/>
      <c r="I1423" s="85">
        <f t="shared" si="77"/>
        <v>0</v>
      </c>
      <c r="J1423" s="93"/>
      <c r="K1423" s="85">
        <f t="shared" si="78"/>
        <v>0</v>
      </c>
      <c r="L1423" s="68"/>
      <c r="M1423" s="68"/>
      <c r="P1423" s="89" t="str">
        <f t="shared" si="79"/>
        <v xml:space="preserve">  1 1900 </v>
      </c>
    </row>
    <row r="1424" spans="1:16">
      <c r="A1424" s="68"/>
      <c r="B1424" s="87"/>
      <c r="C1424" s="88"/>
      <c r="D1424" s="88"/>
      <c r="E1424" s="90"/>
      <c r="F1424" s="84" t="str">
        <f ca="1">IF(D1424="Income",LOOKUP(E1424,Introduction!$A$11:$A$18,Introduction!$C$11:$C$18),IF(D1424="Expense",LOOKUP(E1424,Introduction!$D$11:$D$30,Introduction!$F$11:$F$30),"_"))</f>
        <v>_</v>
      </c>
      <c r="G1424" s="88"/>
      <c r="H1424" s="92"/>
      <c r="I1424" s="85">
        <f t="shared" si="77"/>
        <v>0</v>
      </c>
      <c r="J1424" s="93"/>
      <c r="K1424" s="85">
        <f t="shared" si="78"/>
        <v>0</v>
      </c>
      <c r="L1424" s="68"/>
      <c r="M1424" s="68"/>
      <c r="P1424" s="89" t="str">
        <f t="shared" si="79"/>
        <v xml:space="preserve">  1 1900 </v>
      </c>
    </row>
    <row r="1425" spans="1:16">
      <c r="A1425" s="68"/>
      <c r="B1425" s="87"/>
      <c r="C1425" s="88"/>
      <c r="D1425" s="88"/>
      <c r="E1425" s="90"/>
      <c r="F1425" s="84" t="str">
        <f ca="1">IF(D1425="Income",LOOKUP(E1425,Introduction!$A$11:$A$18,Introduction!$C$11:$C$18),IF(D1425="Expense",LOOKUP(E1425,Introduction!$D$11:$D$30,Introduction!$F$11:$F$30),"_"))</f>
        <v>_</v>
      </c>
      <c r="G1425" s="88"/>
      <c r="H1425" s="92"/>
      <c r="I1425" s="85">
        <f t="shared" ref="I1425:I1488" si="80">+I1424+H1425</f>
        <v>0</v>
      </c>
      <c r="J1425" s="93"/>
      <c r="K1425" s="85">
        <f t="shared" ref="K1425:K1488" si="81">IF(J1425=1,K1424+H1425,++K1424)</f>
        <v>0</v>
      </c>
      <c r="L1425" s="68"/>
      <c r="M1425" s="68"/>
      <c r="P1425" s="89" t="str">
        <f t="shared" si="79"/>
        <v xml:space="preserve">  1 1900 </v>
      </c>
    </row>
    <row r="1426" spans="1:16">
      <c r="A1426" s="68"/>
      <c r="B1426" s="87"/>
      <c r="C1426" s="88"/>
      <c r="D1426" s="88"/>
      <c r="E1426" s="90"/>
      <c r="F1426" s="84" t="str">
        <f ca="1">IF(D1426="Income",LOOKUP(E1426,Introduction!$A$11:$A$18,Introduction!$C$11:$C$18),IF(D1426="Expense",LOOKUP(E1426,Introduction!$D$11:$D$30,Introduction!$F$11:$F$30),"_"))</f>
        <v>_</v>
      </c>
      <c r="G1426" s="88"/>
      <c r="H1426" s="92"/>
      <c r="I1426" s="85">
        <f t="shared" si="80"/>
        <v>0</v>
      </c>
      <c r="J1426" s="93"/>
      <c r="K1426" s="85">
        <f t="shared" si="81"/>
        <v>0</v>
      </c>
      <c r="L1426" s="68"/>
      <c r="M1426" s="68"/>
      <c r="P1426" s="89" t="str">
        <f t="shared" si="79"/>
        <v xml:space="preserve">  1 1900 </v>
      </c>
    </row>
    <row r="1427" spans="1:16">
      <c r="A1427" s="68"/>
      <c r="B1427" s="87"/>
      <c r="C1427" s="88"/>
      <c r="D1427" s="88"/>
      <c r="E1427" s="90"/>
      <c r="F1427" s="84" t="str">
        <f ca="1">IF(D1427="Income",LOOKUP(E1427,Introduction!$A$11:$A$18,Introduction!$C$11:$C$18),IF(D1427="Expense",LOOKUP(E1427,Introduction!$D$11:$D$30,Introduction!$F$11:$F$30),"_"))</f>
        <v>_</v>
      </c>
      <c r="G1427" s="88"/>
      <c r="H1427" s="92"/>
      <c r="I1427" s="85">
        <f t="shared" si="80"/>
        <v>0</v>
      </c>
      <c r="J1427" s="93"/>
      <c r="K1427" s="85">
        <f t="shared" si="81"/>
        <v>0</v>
      </c>
      <c r="L1427" s="68"/>
      <c r="M1427" s="68"/>
      <c r="P1427" s="89" t="str">
        <f t="shared" si="79"/>
        <v xml:space="preserve">  1 1900 </v>
      </c>
    </row>
    <row r="1428" spans="1:16">
      <c r="A1428" s="68"/>
      <c r="B1428" s="87"/>
      <c r="C1428" s="88"/>
      <c r="D1428" s="88"/>
      <c r="E1428" s="90"/>
      <c r="F1428" s="84" t="str">
        <f ca="1">IF(D1428="Income",LOOKUP(E1428,Introduction!$A$11:$A$18,Introduction!$C$11:$C$18),IF(D1428="Expense",LOOKUP(E1428,Introduction!$D$11:$D$30,Introduction!$F$11:$F$30),"_"))</f>
        <v>_</v>
      </c>
      <c r="G1428" s="88"/>
      <c r="H1428" s="92"/>
      <c r="I1428" s="85">
        <f t="shared" si="80"/>
        <v>0</v>
      </c>
      <c r="J1428" s="93"/>
      <c r="K1428" s="85">
        <f t="shared" si="81"/>
        <v>0</v>
      </c>
      <c r="L1428" s="68"/>
      <c r="M1428" s="68"/>
      <c r="P1428" s="89" t="str">
        <f t="shared" si="79"/>
        <v xml:space="preserve">  1 1900 </v>
      </c>
    </row>
    <row r="1429" spans="1:16">
      <c r="A1429" s="68"/>
      <c r="B1429" s="87"/>
      <c r="C1429" s="88"/>
      <c r="D1429" s="88"/>
      <c r="E1429" s="90"/>
      <c r="F1429" s="84" t="str">
        <f ca="1">IF(D1429="Income",LOOKUP(E1429,Introduction!$A$11:$A$18,Introduction!$C$11:$C$18),IF(D1429="Expense",LOOKUP(E1429,Introduction!$D$11:$D$30,Introduction!$F$11:$F$30),"_"))</f>
        <v>_</v>
      </c>
      <c r="G1429" s="88"/>
      <c r="H1429" s="92"/>
      <c r="I1429" s="85">
        <f t="shared" si="80"/>
        <v>0</v>
      </c>
      <c r="J1429" s="93"/>
      <c r="K1429" s="85">
        <f t="shared" si="81"/>
        <v>0</v>
      </c>
      <c r="L1429" s="68"/>
      <c r="M1429" s="68"/>
      <c r="P1429" s="89" t="str">
        <f t="shared" si="79"/>
        <v xml:space="preserve">  1 1900 </v>
      </c>
    </row>
    <row r="1430" spans="1:16">
      <c r="A1430" s="68"/>
      <c r="B1430" s="87"/>
      <c r="C1430" s="88"/>
      <c r="D1430" s="88"/>
      <c r="E1430" s="90"/>
      <c r="F1430" s="84" t="str">
        <f ca="1">IF(D1430="Income",LOOKUP(E1430,Introduction!$A$11:$A$18,Introduction!$C$11:$C$18),IF(D1430="Expense",LOOKUP(E1430,Introduction!$D$11:$D$30,Introduction!$F$11:$F$30),"_"))</f>
        <v>_</v>
      </c>
      <c r="G1430" s="88"/>
      <c r="H1430" s="92"/>
      <c r="I1430" s="85">
        <f t="shared" si="80"/>
        <v>0</v>
      </c>
      <c r="J1430" s="93"/>
      <c r="K1430" s="85">
        <f t="shared" si="81"/>
        <v>0</v>
      </c>
      <c r="L1430" s="68"/>
      <c r="M1430" s="68"/>
      <c r="P1430" s="89" t="str">
        <f t="shared" si="79"/>
        <v xml:space="preserve">  1 1900 </v>
      </c>
    </row>
    <row r="1431" spans="1:16">
      <c r="A1431" s="68"/>
      <c r="B1431" s="87"/>
      <c r="C1431" s="88"/>
      <c r="D1431" s="88"/>
      <c r="E1431" s="90"/>
      <c r="F1431" s="84" t="str">
        <f ca="1">IF(D1431="Income",LOOKUP(E1431,Introduction!$A$11:$A$18,Introduction!$C$11:$C$18),IF(D1431="Expense",LOOKUP(E1431,Introduction!$D$11:$D$30,Introduction!$F$11:$F$30),"_"))</f>
        <v>_</v>
      </c>
      <c r="G1431" s="88"/>
      <c r="H1431" s="92"/>
      <c r="I1431" s="85">
        <f t="shared" si="80"/>
        <v>0</v>
      </c>
      <c r="J1431" s="93"/>
      <c r="K1431" s="85">
        <f t="shared" si="81"/>
        <v>0</v>
      </c>
      <c r="L1431" s="68"/>
      <c r="M1431" s="68"/>
      <c r="P1431" s="89" t="str">
        <f t="shared" si="79"/>
        <v xml:space="preserve">  1 1900 </v>
      </c>
    </row>
    <row r="1432" spans="1:16">
      <c r="A1432" s="68"/>
      <c r="B1432" s="87"/>
      <c r="C1432" s="88"/>
      <c r="D1432" s="88"/>
      <c r="E1432" s="90"/>
      <c r="F1432" s="84" t="str">
        <f ca="1">IF(D1432="Income",LOOKUP(E1432,Introduction!$A$11:$A$18,Introduction!$C$11:$C$18),IF(D1432="Expense",LOOKUP(E1432,Introduction!$D$11:$D$30,Introduction!$F$11:$F$30),"_"))</f>
        <v>_</v>
      </c>
      <c r="G1432" s="88"/>
      <c r="H1432" s="92"/>
      <c r="I1432" s="85">
        <f t="shared" si="80"/>
        <v>0</v>
      </c>
      <c r="J1432" s="93"/>
      <c r="K1432" s="85">
        <f t="shared" si="81"/>
        <v>0</v>
      </c>
      <c r="L1432" s="68"/>
      <c r="M1432" s="68"/>
      <c r="P1432" s="89" t="str">
        <f t="shared" si="79"/>
        <v xml:space="preserve">  1 1900 </v>
      </c>
    </row>
    <row r="1433" spans="1:16">
      <c r="A1433" s="68"/>
      <c r="B1433" s="87"/>
      <c r="C1433" s="88"/>
      <c r="D1433" s="88"/>
      <c r="E1433" s="90"/>
      <c r="F1433" s="84" t="str">
        <f ca="1">IF(D1433="Income",LOOKUP(E1433,Introduction!$A$11:$A$18,Introduction!$C$11:$C$18),IF(D1433="Expense",LOOKUP(E1433,Introduction!$D$11:$D$30,Introduction!$F$11:$F$30),"_"))</f>
        <v>_</v>
      </c>
      <c r="G1433" s="88"/>
      <c r="H1433" s="92"/>
      <c r="I1433" s="85">
        <f t="shared" si="80"/>
        <v>0</v>
      </c>
      <c r="J1433" s="93"/>
      <c r="K1433" s="85">
        <f t="shared" si="81"/>
        <v>0</v>
      </c>
      <c r="L1433" s="68"/>
      <c r="M1433" s="68"/>
      <c r="P1433" s="89" t="str">
        <f t="shared" si="79"/>
        <v xml:space="preserve">  1 1900 </v>
      </c>
    </row>
    <row r="1434" spans="1:16">
      <c r="A1434" s="68"/>
      <c r="B1434" s="87"/>
      <c r="C1434" s="88"/>
      <c r="D1434" s="88"/>
      <c r="E1434" s="90"/>
      <c r="F1434" s="84" t="str">
        <f ca="1">IF(D1434="Income",LOOKUP(E1434,Introduction!$A$11:$A$18,Introduction!$C$11:$C$18),IF(D1434="Expense",LOOKUP(E1434,Introduction!$D$11:$D$30,Introduction!$F$11:$F$30),"_"))</f>
        <v>_</v>
      </c>
      <c r="G1434" s="88"/>
      <c r="H1434" s="92"/>
      <c r="I1434" s="85">
        <f t="shared" si="80"/>
        <v>0</v>
      </c>
      <c r="J1434" s="93"/>
      <c r="K1434" s="85">
        <f t="shared" si="81"/>
        <v>0</v>
      </c>
      <c r="L1434" s="68"/>
      <c r="M1434" s="68"/>
      <c r="P1434" s="89" t="str">
        <f t="shared" si="79"/>
        <v xml:space="preserve">  1 1900 </v>
      </c>
    </row>
    <row r="1435" spans="1:16">
      <c r="A1435" s="68"/>
      <c r="B1435" s="87"/>
      <c r="C1435" s="88"/>
      <c r="D1435" s="88"/>
      <c r="E1435" s="90"/>
      <c r="F1435" s="84" t="str">
        <f ca="1">IF(D1435="Income",LOOKUP(E1435,Introduction!$A$11:$A$18,Introduction!$C$11:$C$18),IF(D1435="Expense",LOOKUP(E1435,Introduction!$D$11:$D$30,Introduction!$F$11:$F$30),"_"))</f>
        <v>_</v>
      </c>
      <c r="G1435" s="88"/>
      <c r="H1435" s="92"/>
      <c r="I1435" s="85">
        <f t="shared" si="80"/>
        <v>0</v>
      </c>
      <c r="J1435" s="93"/>
      <c r="K1435" s="85">
        <f t="shared" si="81"/>
        <v>0</v>
      </c>
      <c r="L1435" s="68"/>
      <c r="M1435" s="68"/>
      <c r="P1435" s="89" t="str">
        <f t="shared" si="79"/>
        <v xml:space="preserve">  1 1900 </v>
      </c>
    </row>
    <row r="1436" spans="1:16">
      <c r="A1436" s="68"/>
      <c r="B1436" s="87"/>
      <c r="C1436" s="88"/>
      <c r="D1436" s="88"/>
      <c r="E1436" s="90"/>
      <c r="F1436" s="84" t="str">
        <f ca="1">IF(D1436="Income",LOOKUP(E1436,Introduction!$A$11:$A$18,Introduction!$C$11:$C$18),IF(D1436="Expense",LOOKUP(E1436,Introduction!$D$11:$D$30,Introduction!$F$11:$F$30),"_"))</f>
        <v>_</v>
      </c>
      <c r="G1436" s="88"/>
      <c r="H1436" s="92"/>
      <c r="I1436" s="85">
        <f t="shared" si="80"/>
        <v>0</v>
      </c>
      <c r="J1436" s="93"/>
      <c r="K1436" s="85">
        <f t="shared" si="81"/>
        <v>0</v>
      </c>
      <c r="L1436" s="68"/>
      <c r="M1436" s="68"/>
      <c r="P1436" s="89" t="str">
        <f t="shared" si="79"/>
        <v xml:space="preserve">  1 1900 </v>
      </c>
    </row>
    <row r="1437" spans="1:16">
      <c r="A1437" s="68"/>
      <c r="B1437" s="87"/>
      <c r="C1437" s="88"/>
      <c r="D1437" s="88"/>
      <c r="E1437" s="90"/>
      <c r="F1437" s="84" t="str">
        <f ca="1">IF(D1437="Income",LOOKUP(E1437,Introduction!$A$11:$A$18,Introduction!$C$11:$C$18),IF(D1437="Expense",LOOKUP(E1437,Introduction!$D$11:$D$30,Introduction!$F$11:$F$30),"_"))</f>
        <v>_</v>
      </c>
      <c r="G1437" s="88"/>
      <c r="H1437" s="92"/>
      <c r="I1437" s="85">
        <f t="shared" si="80"/>
        <v>0</v>
      </c>
      <c r="J1437" s="93"/>
      <c r="K1437" s="85">
        <f t="shared" si="81"/>
        <v>0</v>
      </c>
      <c r="L1437" s="68"/>
      <c r="M1437" s="68"/>
      <c r="P1437" s="89" t="str">
        <f t="shared" si="79"/>
        <v xml:space="preserve">  1 1900 </v>
      </c>
    </row>
    <row r="1438" spans="1:16">
      <c r="A1438" s="68"/>
      <c r="B1438" s="87"/>
      <c r="C1438" s="88"/>
      <c r="D1438" s="88"/>
      <c r="E1438" s="90"/>
      <c r="F1438" s="84" t="str">
        <f ca="1">IF(D1438="Income",LOOKUP(E1438,Introduction!$A$11:$A$18,Introduction!$C$11:$C$18),IF(D1438="Expense",LOOKUP(E1438,Introduction!$D$11:$D$30,Introduction!$F$11:$F$30),"_"))</f>
        <v>_</v>
      </c>
      <c r="G1438" s="88"/>
      <c r="H1438" s="92"/>
      <c r="I1438" s="85">
        <f t="shared" si="80"/>
        <v>0</v>
      </c>
      <c r="J1438" s="93"/>
      <c r="K1438" s="85">
        <f t="shared" si="81"/>
        <v>0</v>
      </c>
      <c r="L1438" s="68"/>
      <c r="M1438" s="68"/>
      <c r="P1438" s="89" t="str">
        <f t="shared" si="79"/>
        <v xml:space="preserve">  1 1900 </v>
      </c>
    </row>
    <row r="1439" spans="1:16">
      <c r="A1439" s="68"/>
      <c r="B1439" s="87"/>
      <c r="C1439" s="88"/>
      <c r="D1439" s="88"/>
      <c r="E1439" s="90"/>
      <c r="F1439" s="84" t="str">
        <f ca="1">IF(D1439="Income",LOOKUP(E1439,Introduction!$A$11:$A$18,Introduction!$C$11:$C$18),IF(D1439="Expense",LOOKUP(E1439,Introduction!$D$11:$D$30,Introduction!$F$11:$F$30),"_"))</f>
        <v>_</v>
      </c>
      <c r="G1439" s="88"/>
      <c r="H1439" s="92"/>
      <c r="I1439" s="85">
        <f t="shared" si="80"/>
        <v>0</v>
      </c>
      <c r="J1439" s="93"/>
      <c r="K1439" s="85">
        <f t="shared" si="81"/>
        <v>0</v>
      </c>
      <c r="L1439" s="68"/>
      <c r="M1439" s="68"/>
      <c r="P1439" s="89" t="str">
        <f t="shared" si="79"/>
        <v xml:space="preserve">  1 1900 </v>
      </c>
    </row>
    <row r="1440" spans="1:16">
      <c r="A1440" s="68"/>
      <c r="B1440" s="87"/>
      <c r="C1440" s="88"/>
      <c r="D1440" s="88"/>
      <c r="E1440" s="90"/>
      <c r="F1440" s="84" t="str">
        <f ca="1">IF(D1440="Income",LOOKUP(E1440,Introduction!$A$11:$A$18,Introduction!$C$11:$C$18),IF(D1440="Expense",LOOKUP(E1440,Introduction!$D$11:$D$30,Introduction!$F$11:$F$30),"_"))</f>
        <v>_</v>
      </c>
      <c r="G1440" s="88"/>
      <c r="H1440" s="92"/>
      <c r="I1440" s="85">
        <f t="shared" si="80"/>
        <v>0</v>
      </c>
      <c r="J1440" s="93"/>
      <c r="K1440" s="85">
        <f t="shared" si="81"/>
        <v>0</v>
      </c>
      <c r="L1440" s="68"/>
      <c r="M1440" s="68"/>
      <c r="P1440" s="89" t="str">
        <f t="shared" si="79"/>
        <v xml:space="preserve">  1 1900 </v>
      </c>
    </row>
    <row r="1441" spans="1:16">
      <c r="A1441" s="68"/>
      <c r="B1441" s="87"/>
      <c r="C1441" s="88"/>
      <c r="D1441" s="88"/>
      <c r="E1441" s="90"/>
      <c r="F1441" s="84" t="str">
        <f ca="1">IF(D1441="Income",LOOKUP(E1441,Introduction!$A$11:$A$18,Introduction!$C$11:$C$18),IF(D1441="Expense",LOOKUP(E1441,Introduction!$D$11:$D$30,Introduction!$F$11:$F$30),"_"))</f>
        <v>_</v>
      </c>
      <c r="G1441" s="88"/>
      <c r="H1441" s="92"/>
      <c r="I1441" s="85">
        <f t="shared" si="80"/>
        <v>0</v>
      </c>
      <c r="J1441" s="93"/>
      <c r="K1441" s="85">
        <f t="shared" si="81"/>
        <v>0</v>
      </c>
      <c r="L1441" s="68"/>
      <c r="M1441" s="68"/>
      <c r="P1441" s="89" t="str">
        <f t="shared" si="79"/>
        <v xml:space="preserve">  1 1900 </v>
      </c>
    </row>
    <row r="1442" spans="1:16">
      <c r="A1442" s="68"/>
      <c r="B1442" s="87"/>
      <c r="C1442" s="88"/>
      <c r="D1442" s="88"/>
      <c r="E1442" s="90"/>
      <c r="F1442" s="84" t="str">
        <f ca="1">IF(D1442="Income",LOOKUP(E1442,Introduction!$A$11:$A$18,Introduction!$C$11:$C$18),IF(D1442="Expense",LOOKUP(E1442,Introduction!$D$11:$D$30,Introduction!$F$11:$F$30),"_"))</f>
        <v>_</v>
      </c>
      <c r="G1442" s="88"/>
      <c r="H1442" s="92"/>
      <c r="I1442" s="85">
        <f t="shared" si="80"/>
        <v>0</v>
      </c>
      <c r="J1442" s="93"/>
      <c r="K1442" s="85">
        <f t="shared" si="81"/>
        <v>0</v>
      </c>
      <c r="L1442" s="68"/>
      <c r="M1442" s="68"/>
      <c r="P1442" s="89" t="str">
        <f t="shared" si="79"/>
        <v xml:space="preserve">  1 1900 </v>
      </c>
    </row>
    <row r="1443" spans="1:16">
      <c r="A1443" s="68"/>
      <c r="B1443" s="87"/>
      <c r="C1443" s="88"/>
      <c r="D1443" s="88"/>
      <c r="E1443" s="90"/>
      <c r="F1443" s="84" t="str">
        <f ca="1">IF(D1443="Income",LOOKUP(E1443,Introduction!$A$11:$A$18,Introduction!$C$11:$C$18),IF(D1443="Expense",LOOKUP(E1443,Introduction!$D$11:$D$30,Introduction!$F$11:$F$30),"_"))</f>
        <v>_</v>
      </c>
      <c r="G1443" s="88"/>
      <c r="H1443" s="92"/>
      <c r="I1443" s="85">
        <f t="shared" si="80"/>
        <v>0</v>
      </c>
      <c r="J1443" s="93"/>
      <c r="K1443" s="85">
        <f t="shared" si="81"/>
        <v>0</v>
      </c>
      <c r="L1443" s="68"/>
      <c r="M1443" s="68"/>
      <c r="P1443" s="89" t="str">
        <f t="shared" si="79"/>
        <v xml:space="preserve">  1 1900 </v>
      </c>
    </row>
    <row r="1444" spans="1:16">
      <c r="A1444" s="68"/>
      <c r="B1444" s="87"/>
      <c r="C1444" s="88"/>
      <c r="D1444" s="88"/>
      <c r="E1444" s="90"/>
      <c r="F1444" s="84" t="str">
        <f ca="1">IF(D1444="Income",LOOKUP(E1444,Introduction!$A$11:$A$18,Introduction!$C$11:$C$18),IF(D1444="Expense",LOOKUP(E1444,Introduction!$D$11:$D$30,Introduction!$F$11:$F$30),"_"))</f>
        <v>_</v>
      </c>
      <c r="G1444" s="88"/>
      <c r="H1444" s="92"/>
      <c r="I1444" s="85">
        <f t="shared" si="80"/>
        <v>0</v>
      </c>
      <c r="J1444" s="93"/>
      <c r="K1444" s="85">
        <f t="shared" si="81"/>
        <v>0</v>
      </c>
      <c r="L1444" s="68"/>
      <c r="M1444" s="68"/>
      <c r="P1444" s="89" t="str">
        <f t="shared" si="79"/>
        <v xml:space="preserve">  1 1900 </v>
      </c>
    </row>
    <row r="1445" spans="1:16">
      <c r="A1445" s="68"/>
      <c r="B1445" s="87"/>
      <c r="C1445" s="88"/>
      <c r="D1445" s="88"/>
      <c r="E1445" s="90"/>
      <c r="F1445" s="84" t="str">
        <f ca="1">IF(D1445="Income",LOOKUP(E1445,Introduction!$A$11:$A$18,Introduction!$C$11:$C$18),IF(D1445="Expense",LOOKUP(E1445,Introduction!$D$11:$D$30,Introduction!$F$11:$F$30),"_"))</f>
        <v>_</v>
      </c>
      <c r="G1445" s="88"/>
      <c r="H1445" s="92"/>
      <c r="I1445" s="85">
        <f t="shared" si="80"/>
        <v>0</v>
      </c>
      <c r="J1445" s="93"/>
      <c r="K1445" s="85">
        <f t="shared" si="81"/>
        <v>0</v>
      </c>
      <c r="L1445" s="68"/>
      <c r="M1445" s="68"/>
      <c r="P1445" s="89" t="str">
        <f t="shared" si="79"/>
        <v xml:space="preserve">  1 1900 </v>
      </c>
    </row>
    <row r="1446" spans="1:16">
      <c r="A1446" s="68"/>
      <c r="B1446" s="87"/>
      <c r="C1446" s="88"/>
      <c r="D1446" s="88"/>
      <c r="E1446" s="90"/>
      <c r="F1446" s="84" t="str">
        <f ca="1">IF(D1446="Income",LOOKUP(E1446,Introduction!$A$11:$A$18,Introduction!$C$11:$C$18),IF(D1446="Expense",LOOKUP(E1446,Introduction!$D$11:$D$30,Introduction!$F$11:$F$30),"_"))</f>
        <v>_</v>
      </c>
      <c r="G1446" s="88"/>
      <c r="H1446" s="92"/>
      <c r="I1446" s="85">
        <f t="shared" si="80"/>
        <v>0</v>
      </c>
      <c r="J1446" s="93"/>
      <c r="K1446" s="85">
        <f t="shared" si="81"/>
        <v>0</v>
      </c>
      <c r="L1446" s="68"/>
      <c r="M1446" s="68"/>
      <c r="P1446" s="89" t="str">
        <f t="shared" si="79"/>
        <v xml:space="preserve">  1 1900 </v>
      </c>
    </row>
    <row r="1447" spans="1:16">
      <c r="A1447" s="68"/>
      <c r="B1447" s="87"/>
      <c r="C1447" s="88"/>
      <c r="D1447" s="88"/>
      <c r="E1447" s="90"/>
      <c r="F1447" s="84" t="str">
        <f ca="1">IF(D1447="Income",LOOKUP(E1447,Introduction!$A$11:$A$18,Introduction!$C$11:$C$18),IF(D1447="Expense",LOOKUP(E1447,Introduction!$D$11:$D$30,Introduction!$F$11:$F$30),"_"))</f>
        <v>_</v>
      </c>
      <c r="G1447" s="88"/>
      <c r="H1447" s="92"/>
      <c r="I1447" s="85">
        <f t="shared" si="80"/>
        <v>0</v>
      </c>
      <c r="J1447" s="93"/>
      <c r="K1447" s="85">
        <f t="shared" si="81"/>
        <v>0</v>
      </c>
      <c r="L1447" s="68"/>
      <c r="M1447" s="68"/>
      <c r="P1447" s="89" t="str">
        <f t="shared" si="79"/>
        <v xml:space="preserve">  1 1900 </v>
      </c>
    </row>
    <row r="1448" spans="1:16">
      <c r="A1448" s="68"/>
      <c r="B1448" s="87"/>
      <c r="C1448" s="88"/>
      <c r="D1448" s="88"/>
      <c r="E1448" s="90"/>
      <c r="F1448" s="84" t="str">
        <f ca="1">IF(D1448="Income",LOOKUP(E1448,Introduction!$A$11:$A$18,Introduction!$C$11:$C$18),IF(D1448="Expense",LOOKUP(E1448,Introduction!$D$11:$D$30,Introduction!$F$11:$F$30),"_"))</f>
        <v>_</v>
      </c>
      <c r="G1448" s="88"/>
      <c r="H1448" s="92"/>
      <c r="I1448" s="85">
        <f t="shared" si="80"/>
        <v>0</v>
      </c>
      <c r="J1448" s="93"/>
      <c r="K1448" s="85">
        <f t="shared" si="81"/>
        <v>0</v>
      </c>
      <c r="L1448" s="68"/>
      <c r="M1448" s="68"/>
      <c r="P1448" s="89" t="str">
        <f t="shared" si="79"/>
        <v xml:space="preserve">  1 1900 </v>
      </c>
    </row>
    <row r="1449" spans="1:16">
      <c r="A1449" s="68"/>
      <c r="B1449" s="87"/>
      <c r="C1449" s="88"/>
      <c r="D1449" s="88"/>
      <c r="E1449" s="90"/>
      <c r="F1449" s="84" t="str">
        <f ca="1">IF(D1449="Income",LOOKUP(E1449,Introduction!$A$11:$A$18,Introduction!$C$11:$C$18),IF(D1449="Expense",LOOKUP(E1449,Introduction!$D$11:$D$30,Introduction!$F$11:$F$30),"_"))</f>
        <v>_</v>
      </c>
      <c r="G1449" s="88"/>
      <c r="H1449" s="92"/>
      <c r="I1449" s="85">
        <f t="shared" si="80"/>
        <v>0</v>
      </c>
      <c r="J1449" s="93"/>
      <c r="K1449" s="85">
        <f t="shared" si="81"/>
        <v>0</v>
      </c>
      <c r="L1449" s="68"/>
      <c r="M1449" s="68"/>
      <c r="P1449" s="89" t="str">
        <f t="shared" si="79"/>
        <v xml:space="preserve">  1 1900 </v>
      </c>
    </row>
    <row r="1450" spans="1:16">
      <c r="A1450" s="68"/>
      <c r="B1450" s="87"/>
      <c r="C1450" s="88"/>
      <c r="D1450" s="88"/>
      <c r="E1450" s="90"/>
      <c r="F1450" s="84" t="str">
        <f ca="1">IF(D1450="Income",LOOKUP(E1450,Introduction!$A$11:$A$18,Introduction!$C$11:$C$18),IF(D1450="Expense",LOOKUP(E1450,Introduction!$D$11:$D$30,Introduction!$F$11:$F$30),"_"))</f>
        <v>_</v>
      </c>
      <c r="G1450" s="88"/>
      <c r="H1450" s="92"/>
      <c r="I1450" s="85">
        <f t="shared" si="80"/>
        <v>0</v>
      </c>
      <c r="J1450" s="93"/>
      <c r="K1450" s="85">
        <f t="shared" si="81"/>
        <v>0</v>
      </c>
      <c r="L1450" s="68"/>
      <c r="M1450" s="68"/>
      <c r="P1450" s="89" t="str">
        <f t="shared" si="79"/>
        <v xml:space="preserve">  1 1900 </v>
      </c>
    </row>
    <row r="1451" spans="1:16">
      <c r="A1451" s="68"/>
      <c r="B1451" s="87"/>
      <c r="C1451" s="88"/>
      <c r="D1451" s="88"/>
      <c r="E1451" s="90"/>
      <c r="F1451" s="84" t="str">
        <f ca="1">IF(D1451="Income",LOOKUP(E1451,Introduction!$A$11:$A$18,Introduction!$C$11:$C$18),IF(D1451="Expense",LOOKUP(E1451,Introduction!$D$11:$D$30,Introduction!$F$11:$F$30),"_"))</f>
        <v>_</v>
      </c>
      <c r="G1451" s="88"/>
      <c r="H1451" s="92"/>
      <c r="I1451" s="85">
        <f t="shared" si="80"/>
        <v>0</v>
      </c>
      <c r="J1451" s="93"/>
      <c r="K1451" s="85">
        <f t="shared" si="81"/>
        <v>0</v>
      </c>
      <c r="L1451" s="68"/>
      <c r="M1451" s="68"/>
      <c r="P1451" s="89" t="str">
        <f t="shared" si="79"/>
        <v xml:space="preserve">  1 1900 </v>
      </c>
    </row>
    <row r="1452" spans="1:16">
      <c r="A1452" s="68"/>
      <c r="B1452" s="87"/>
      <c r="C1452" s="88"/>
      <c r="D1452" s="88"/>
      <c r="E1452" s="90"/>
      <c r="F1452" s="84" t="str">
        <f ca="1">IF(D1452="Income",LOOKUP(E1452,Introduction!$A$11:$A$18,Introduction!$C$11:$C$18),IF(D1452="Expense",LOOKUP(E1452,Introduction!$D$11:$D$30,Introduction!$F$11:$F$30),"_"))</f>
        <v>_</v>
      </c>
      <c r="G1452" s="88"/>
      <c r="H1452" s="92"/>
      <c r="I1452" s="85">
        <f t="shared" si="80"/>
        <v>0</v>
      </c>
      <c r="J1452" s="93"/>
      <c r="K1452" s="85">
        <f t="shared" si="81"/>
        <v>0</v>
      </c>
      <c r="L1452" s="68"/>
      <c r="M1452" s="68"/>
      <c r="P1452" s="89" t="str">
        <f t="shared" si="79"/>
        <v xml:space="preserve">  1 1900 </v>
      </c>
    </row>
    <row r="1453" spans="1:16">
      <c r="A1453" s="68"/>
      <c r="B1453" s="87"/>
      <c r="C1453" s="88"/>
      <c r="D1453" s="88"/>
      <c r="E1453" s="90"/>
      <c r="F1453" s="84" t="str">
        <f ca="1">IF(D1453="Income",LOOKUP(E1453,Introduction!$A$11:$A$18,Introduction!$C$11:$C$18),IF(D1453="Expense",LOOKUP(E1453,Introduction!$D$11:$D$30,Introduction!$F$11:$F$30),"_"))</f>
        <v>_</v>
      </c>
      <c r="G1453" s="88"/>
      <c r="H1453" s="92"/>
      <c r="I1453" s="85">
        <f t="shared" si="80"/>
        <v>0</v>
      </c>
      <c r="J1453" s="93"/>
      <c r="K1453" s="85">
        <f t="shared" si="81"/>
        <v>0</v>
      </c>
      <c r="L1453" s="68"/>
      <c r="M1453" s="68"/>
      <c r="P1453" s="89" t="str">
        <f t="shared" si="79"/>
        <v xml:space="preserve">  1 1900 </v>
      </c>
    </row>
    <row r="1454" spans="1:16">
      <c r="A1454" s="68"/>
      <c r="B1454" s="87"/>
      <c r="C1454" s="88"/>
      <c r="D1454" s="88"/>
      <c r="E1454" s="90"/>
      <c r="F1454" s="84" t="str">
        <f ca="1">IF(D1454="Income",LOOKUP(E1454,Introduction!$A$11:$A$18,Introduction!$C$11:$C$18),IF(D1454="Expense",LOOKUP(E1454,Introduction!$D$11:$D$30,Introduction!$F$11:$F$30),"_"))</f>
        <v>_</v>
      </c>
      <c r="G1454" s="88"/>
      <c r="H1454" s="92"/>
      <c r="I1454" s="85">
        <f t="shared" si="80"/>
        <v>0</v>
      </c>
      <c r="J1454" s="93"/>
      <c r="K1454" s="85">
        <f t="shared" si="81"/>
        <v>0</v>
      </c>
      <c r="L1454" s="68"/>
      <c r="M1454" s="68"/>
      <c r="P1454" s="89" t="str">
        <f t="shared" si="79"/>
        <v xml:space="preserve">  1 1900 </v>
      </c>
    </row>
    <row r="1455" spans="1:16">
      <c r="A1455" s="68"/>
      <c r="B1455" s="87"/>
      <c r="C1455" s="88"/>
      <c r="D1455" s="88"/>
      <c r="E1455" s="90"/>
      <c r="F1455" s="84" t="str">
        <f ca="1">IF(D1455="Income",LOOKUP(E1455,Introduction!$A$11:$A$18,Introduction!$C$11:$C$18),IF(D1455="Expense",LOOKUP(E1455,Introduction!$D$11:$D$30,Introduction!$F$11:$F$30),"_"))</f>
        <v>_</v>
      </c>
      <c r="G1455" s="88"/>
      <c r="H1455" s="92"/>
      <c r="I1455" s="85">
        <f t="shared" si="80"/>
        <v>0</v>
      </c>
      <c r="J1455" s="93"/>
      <c r="K1455" s="85">
        <f t="shared" si="81"/>
        <v>0</v>
      </c>
      <c r="L1455" s="68"/>
      <c r="M1455" s="68"/>
      <c r="P1455" s="89" t="str">
        <f t="shared" si="79"/>
        <v xml:space="preserve">  1 1900 </v>
      </c>
    </row>
    <row r="1456" spans="1:16">
      <c r="A1456" s="68"/>
      <c r="B1456" s="87"/>
      <c r="C1456" s="88"/>
      <c r="D1456" s="88"/>
      <c r="E1456" s="90"/>
      <c r="F1456" s="84" t="str">
        <f ca="1">IF(D1456="Income",LOOKUP(E1456,Introduction!$A$11:$A$18,Introduction!$C$11:$C$18),IF(D1456="Expense",LOOKUP(E1456,Introduction!$D$11:$D$30,Introduction!$F$11:$F$30),"_"))</f>
        <v>_</v>
      </c>
      <c r="G1456" s="88"/>
      <c r="H1456" s="92"/>
      <c r="I1456" s="85">
        <f t="shared" si="80"/>
        <v>0</v>
      </c>
      <c r="J1456" s="93"/>
      <c r="K1456" s="85">
        <f t="shared" si="81"/>
        <v>0</v>
      </c>
      <c r="L1456" s="68"/>
      <c r="M1456" s="68"/>
      <c r="P1456" s="89" t="str">
        <f t="shared" si="79"/>
        <v xml:space="preserve">  1 1900 </v>
      </c>
    </row>
    <row r="1457" spans="1:16">
      <c r="A1457" s="68"/>
      <c r="B1457" s="87"/>
      <c r="C1457" s="88"/>
      <c r="D1457" s="88"/>
      <c r="E1457" s="90"/>
      <c r="F1457" s="84" t="str">
        <f ca="1">IF(D1457="Income",LOOKUP(E1457,Introduction!$A$11:$A$18,Introduction!$C$11:$C$18),IF(D1457="Expense",LOOKUP(E1457,Introduction!$D$11:$D$30,Introduction!$F$11:$F$30),"_"))</f>
        <v>_</v>
      </c>
      <c r="G1457" s="88"/>
      <c r="H1457" s="92"/>
      <c r="I1457" s="85">
        <f t="shared" si="80"/>
        <v>0</v>
      </c>
      <c r="J1457" s="93"/>
      <c r="K1457" s="85">
        <f t="shared" si="81"/>
        <v>0</v>
      </c>
      <c r="L1457" s="68"/>
      <c r="M1457" s="68"/>
      <c r="P1457" s="89" t="str">
        <f t="shared" si="79"/>
        <v xml:space="preserve">  1 1900 </v>
      </c>
    </row>
    <row r="1458" spans="1:16">
      <c r="A1458" s="68"/>
      <c r="B1458" s="87"/>
      <c r="C1458" s="88"/>
      <c r="D1458" s="88"/>
      <c r="E1458" s="90"/>
      <c r="F1458" s="84" t="str">
        <f ca="1">IF(D1458="Income",LOOKUP(E1458,Introduction!$A$11:$A$18,Introduction!$C$11:$C$18),IF(D1458="Expense",LOOKUP(E1458,Introduction!$D$11:$D$30,Introduction!$F$11:$F$30),"_"))</f>
        <v>_</v>
      </c>
      <c r="G1458" s="88"/>
      <c r="H1458" s="92"/>
      <c r="I1458" s="85">
        <f t="shared" si="80"/>
        <v>0</v>
      </c>
      <c r="J1458" s="93"/>
      <c r="K1458" s="85">
        <f t="shared" si="81"/>
        <v>0</v>
      </c>
      <c r="L1458" s="68"/>
      <c r="M1458" s="68"/>
      <c r="P1458" s="89" t="str">
        <f t="shared" si="79"/>
        <v xml:space="preserve">  1 1900 </v>
      </c>
    </row>
    <row r="1459" spans="1:16">
      <c r="A1459" s="68"/>
      <c r="B1459" s="87"/>
      <c r="C1459" s="88"/>
      <c r="D1459" s="88"/>
      <c r="E1459" s="90"/>
      <c r="F1459" s="84" t="str">
        <f ca="1">IF(D1459="Income",LOOKUP(E1459,Introduction!$A$11:$A$18,Introduction!$C$11:$C$18),IF(D1459="Expense",LOOKUP(E1459,Introduction!$D$11:$D$30,Introduction!$F$11:$F$30),"_"))</f>
        <v>_</v>
      </c>
      <c r="G1459" s="88"/>
      <c r="H1459" s="92"/>
      <c r="I1459" s="85">
        <f t="shared" si="80"/>
        <v>0</v>
      </c>
      <c r="J1459" s="93"/>
      <c r="K1459" s="85">
        <f t="shared" si="81"/>
        <v>0</v>
      </c>
      <c r="L1459" s="68"/>
      <c r="M1459" s="68"/>
      <c r="P1459" s="89" t="str">
        <f t="shared" si="79"/>
        <v xml:space="preserve">  1 1900 </v>
      </c>
    </row>
    <row r="1460" spans="1:16">
      <c r="A1460" s="68"/>
      <c r="B1460" s="87"/>
      <c r="C1460" s="88"/>
      <c r="D1460" s="88"/>
      <c r="E1460" s="90"/>
      <c r="F1460" s="84" t="str">
        <f ca="1">IF(D1460="Income",LOOKUP(E1460,Introduction!$A$11:$A$18,Introduction!$C$11:$C$18),IF(D1460="Expense",LOOKUP(E1460,Introduction!$D$11:$D$30,Introduction!$F$11:$F$30),"_"))</f>
        <v>_</v>
      </c>
      <c r="G1460" s="88"/>
      <c r="H1460" s="92"/>
      <c r="I1460" s="85">
        <f t="shared" si="80"/>
        <v>0</v>
      </c>
      <c r="J1460" s="93"/>
      <c r="K1460" s="85">
        <f t="shared" si="81"/>
        <v>0</v>
      </c>
      <c r="L1460" s="68"/>
      <c r="M1460" s="68"/>
      <c r="P1460" s="89" t="str">
        <f t="shared" si="79"/>
        <v xml:space="preserve">  1 1900 </v>
      </c>
    </row>
    <row r="1461" spans="1:16">
      <c r="A1461" s="68"/>
      <c r="B1461" s="87"/>
      <c r="C1461" s="88"/>
      <c r="D1461" s="88"/>
      <c r="E1461" s="90"/>
      <c r="F1461" s="84" t="str">
        <f ca="1">IF(D1461="Income",LOOKUP(E1461,Introduction!$A$11:$A$18,Introduction!$C$11:$C$18),IF(D1461="Expense",LOOKUP(E1461,Introduction!$D$11:$D$30,Introduction!$F$11:$F$30),"_"))</f>
        <v>_</v>
      </c>
      <c r="G1461" s="88"/>
      <c r="H1461" s="92"/>
      <c r="I1461" s="85">
        <f t="shared" si="80"/>
        <v>0</v>
      </c>
      <c r="J1461" s="93"/>
      <c r="K1461" s="85">
        <f t="shared" si="81"/>
        <v>0</v>
      </c>
      <c r="L1461" s="68"/>
      <c r="M1461" s="68"/>
      <c r="P1461" s="89" t="str">
        <f t="shared" si="79"/>
        <v xml:space="preserve">  1 1900 </v>
      </c>
    </row>
    <row r="1462" spans="1:16">
      <c r="A1462" s="68"/>
      <c r="B1462" s="87"/>
      <c r="C1462" s="88"/>
      <c r="D1462" s="88"/>
      <c r="E1462" s="90"/>
      <c r="F1462" s="84" t="str">
        <f ca="1">IF(D1462="Income",LOOKUP(E1462,Introduction!$A$11:$A$18,Introduction!$C$11:$C$18),IF(D1462="Expense",LOOKUP(E1462,Introduction!$D$11:$D$30,Introduction!$F$11:$F$30),"_"))</f>
        <v>_</v>
      </c>
      <c r="G1462" s="88"/>
      <c r="H1462" s="92"/>
      <c r="I1462" s="85">
        <f t="shared" si="80"/>
        <v>0</v>
      </c>
      <c r="J1462" s="93"/>
      <c r="K1462" s="85">
        <f t="shared" si="81"/>
        <v>0</v>
      </c>
      <c r="L1462" s="68"/>
      <c r="M1462" s="68"/>
      <c r="P1462" s="89" t="str">
        <f t="shared" si="79"/>
        <v xml:space="preserve">  1 1900 </v>
      </c>
    </row>
    <row r="1463" spans="1:16">
      <c r="A1463" s="68"/>
      <c r="B1463" s="87"/>
      <c r="C1463" s="88"/>
      <c r="D1463" s="88"/>
      <c r="E1463" s="90"/>
      <c r="F1463" s="84" t="str">
        <f ca="1">IF(D1463="Income",LOOKUP(E1463,Introduction!$A$11:$A$18,Introduction!$C$11:$C$18),IF(D1463="Expense",LOOKUP(E1463,Introduction!$D$11:$D$30,Introduction!$F$11:$F$30),"_"))</f>
        <v>_</v>
      </c>
      <c r="G1463" s="88"/>
      <c r="H1463" s="92"/>
      <c r="I1463" s="85">
        <f t="shared" si="80"/>
        <v>0</v>
      </c>
      <c r="J1463" s="93"/>
      <c r="K1463" s="85">
        <f t="shared" si="81"/>
        <v>0</v>
      </c>
      <c r="L1463" s="68"/>
      <c r="M1463" s="68"/>
      <c r="P1463" s="89" t="str">
        <f t="shared" si="79"/>
        <v xml:space="preserve">  1 1900 </v>
      </c>
    </row>
    <row r="1464" spans="1:16">
      <c r="A1464" s="68"/>
      <c r="B1464" s="87"/>
      <c r="C1464" s="88"/>
      <c r="D1464" s="88"/>
      <c r="E1464" s="90"/>
      <c r="F1464" s="84" t="str">
        <f ca="1">IF(D1464="Income",LOOKUP(E1464,Introduction!$A$11:$A$18,Introduction!$C$11:$C$18),IF(D1464="Expense",LOOKUP(E1464,Introduction!$D$11:$D$30,Introduction!$F$11:$F$30),"_"))</f>
        <v>_</v>
      </c>
      <c r="G1464" s="88"/>
      <c r="H1464" s="92"/>
      <c r="I1464" s="85">
        <f t="shared" si="80"/>
        <v>0</v>
      </c>
      <c r="J1464" s="93"/>
      <c r="K1464" s="85">
        <f t="shared" si="81"/>
        <v>0</v>
      </c>
      <c r="L1464" s="68"/>
      <c r="M1464" s="68"/>
      <c r="P1464" s="89" t="str">
        <f t="shared" si="79"/>
        <v xml:space="preserve">  1 1900 </v>
      </c>
    </row>
    <row r="1465" spans="1:16">
      <c r="A1465" s="68"/>
      <c r="B1465" s="87"/>
      <c r="C1465" s="88"/>
      <c r="D1465" s="88"/>
      <c r="E1465" s="90"/>
      <c r="F1465" s="84" t="str">
        <f ca="1">IF(D1465="Income",LOOKUP(E1465,Introduction!$A$11:$A$18,Introduction!$C$11:$C$18),IF(D1465="Expense",LOOKUP(E1465,Introduction!$D$11:$D$30,Introduction!$F$11:$F$30),"_"))</f>
        <v>_</v>
      </c>
      <c r="G1465" s="88"/>
      <c r="H1465" s="92"/>
      <c r="I1465" s="85">
        <f t="shared" si="80"/>
        <v>0</v>
      </c>
      <c r="J1465" s="93"/>
      <c r="K1465" s="85">
        <f t="shared" si="81"/>
        <v>0</v>
      </c>
      <c r="L1465" s="68"/>
      <c r="M1465" s="68"/>
      <c r="P1465" s="89" t="str">
        <f t="shared" si="79"/>
        <v xml:space="preserve">  1 1900 </v>
      </c>
    </row>
    <row r="1466" spans="1:16">
      <c r="A1466" s="68"/>
      <c r="B1466" s="87"/>
      <c r="C1466" s="88"/>
      <c r="D1466" s="88"/>
      <c r="E1466" s="90"/>
      <c r="F1466" s="84" t="str">
        <f ca="1">IF(D1466="Income",LOOKUP(E1466,Introduction!$A$11:$A$18,Introduction!$C$11:$C$18),IF(D1466="Expense",LOOKUP(E1466,Introduction!$D$11:$D$30,Introduction!$F$11:$F$30),"_"))</f>
        <v>_</v>
      </c>
      <c r="G1466" s="88"/>
      <c r="H1466" s="92"/>
      <c r="I1466" s="85">
        <f t="shared" si="80"/>
        <v>0</v>
      </c>
      <c r="J1466" s="93"/>
      <c r="K1466" s="85">
        <f t="shared" si="81"/>
        <v>0</v>
      </c>
      <c r="L1466" s="68"/>
      <c r="M1466" s="68"/>
      <c r="P1466" s="89" t="str">
        <f t="shared" si="79"/>
        <v xml:space="preserve">  1 1900 </v>
      </c>
    </row>
    <row r="1467" spans="1:16">
      <c r="A1467" s="68"/>
      <c r="B1467" s="87"/>
      <c r="C1467" s="88"/>
      <c r="D1467" s="88"/>
      <c r="E1467" s="90"/>
      <c r="F1467" s="84" t="str">
        <f ca="1">IF(D1467="Income",LOOKUP(E1467,Introduction!$A$11:$A$18,Introduction!$C$11:$C$18),IF(D1467="Expense",LOOKUP(E1467,Introduction!$D$11:$D$30,Introduction!$F$11:$F$30),"_"))</f>
        <v>_</v>
      </c>
      <c r="G1467" s="88"/>
      <c r="H1467" s="92"/>
      <c r="I1467" s="85">
        <f t="shared" si="80"/>
        <v>0</v>
      </c>
      <c r="J1467" s="93"/>
      <c r="K1467" s="85">
        <f t="shared" si="81"/>
        <v>0</v>
      </c>
      <c r="L1467" s="68"/>
      <c r="M1467" s="68"/>
      <c r="P1467" s="89" t="str">
        <f t="shared" si="79"/>
        <v xml:space="preserve">  1 1900 </v>
      </c>
    </row>
    <row r="1468" spans="1:16">
      <c r="A1468" s="68"/>
      <c r="B1468" s="87"/>
      <c r="C1468" s="88"/>
      <c r="D1468" s="88"/>
      <c r="E1468" s="90"/>
      <c r="F1468" s="84" t="str">
        <f ca="1">IF(D1468="Income",LOOKUP(E1468,Introduction!$A$11:$A$18,Introduction!$C$11:$C$18),IF(D1468="Expense",LOOKUP(E1468,Introduction!$D$11:$D$30,Introduction!$F$11:$F$30),"_"))</f>
        <v>_</v>
      </c>
      <c r="G1468" s="88"/>
      <c r="H1468" s="92"/>
      <c r="I1468" s="85">
        <f t="shared" si="80"/>
        <v>0</v>
      </c>
      <c r="J1468" s="93"/>
      <c r="K1468" s="85">
        <f t="shared" si="81"/>
        <v>0</v>
      </c>
      <c r="L1468" s="68"/>
      <c r="M1468" s="68"/>
      <c r="P1468" s="89" t="str">
        <f t="shared" si="79"/>
        <v xml:space="preserve">  1 1900 </v>
      </c>
    </row>
    <row r="1469" spans="1:16">
      <c r="A1469" s="68"/>
      <c r="B1469" s="87"/>
      <c r="C1469" s="88"/>
      <c r="D1469" s="88"/>
      <c r="E1469" s="90"/>
      <c r="F1469" s="84" t="str">
        <f ca="1">IF(D1469="Income",LOOKUP(E1469,Introduction!$A$11:$A$18,Introduction!$C$11:$C$18),IF(D1469="Expense",LOOKUP(E1469,Introduction!$D$11:$D$30,Introduction!$F$11:$F$30),"_"))</f>
        <v>_</v>
      </c>
      <c r="G1469" s="88"/>
      <c r="H1469" s="92"/>
      <c r="I1469" s="85">
        <f t="shared" si="80"/>
        <v>0</v>
      </c>
      <c r="J1469" s="93"/>
      <c r="K1469" s="85">
        <f t="shared" si="81"/>
        <v>0</v>
      </c>
      <c r="L1469" s="68"/>
      <c r="M1469" s="68"/>
      <c r="P1469" s="89" t="str">
        <f t="shared" si="79"/>
        <v xml:space="preserve">  1 1900 </v>
      </c>
    </row>
    <row r="1470" spans="1:16">
      <c r="A1470" s="68"/>
      <c r="B1470" s="87"/>
      <c r="C1470" s="88"/>
      <c r="D1470" s="88"/>
      <c r="E1470" s="90"/>
      <c r="F1470" s="84" t="str">
        <f ca="1">IF(D1470="Income",LOOKUP(E1470,Introduction!$A$11:$A$18,Introduction!$C$11:$C$18),IF(D1470="Expense",LOOKUP(E1470,Introduction!$D$11:$D$30,Introduction!$F$11:$F$30),"_"))</f>
        <v>_</v>
      </c>
      <c r="G1470" s="88"/>
      <c r="H1470" s="92"/>
      <c r="I1470" s="85">
        <f t="shared" si="80"/>
        <v>0</v>
      </c>
      <c r="J1470" s="93"/>
      <c r="K1470" s="85">
        <f t="shared" si="81"/>
        <v>0</v>
      </c>
      <c r="L1470" s="68"/>
      <c r="M1470" s="68"/>
      <c r="P1470" s="89" t="str">
        <f t="shared" si="79"/>
        <v xml:space="preserve">  1 1900 </v>
      </c>
    </row>
    <row r="1471" spans="1:16">
      <c r="A1471" s="68"/>
      <c r="B1471" s="87"/>
      <c r="C1471" s="88"/>
      <c r="D1471" s="88"/>
      <c r="E1471" s="90"/>
      <c r="F1471" s="84" t="str">
        <f ca="1">IF(D1471="Income",LOOKUP(E1471,Introduction!$A$11:$A$18,Introduction!$C$11:$C$18),IF(D1471="Expense",LOOKUP(E1471,Introduction!$D$11:$D$30,Introduction!$F$11:$F$30),"_"))</f>
        <v>_</v>
      </c>
      <c r="G1471" s="88"/>
      <c r="H1471" s="92"/>
      <c r="I1471" s="85">
        <f t="shared" si="80"/>
        <v>0</v>
      </c>
      <c r="J1471" s="93"/>
      <c r="K1471" s="85">
        <f t="shared" si="81"/>
        <v>0</v>
      </c>
      <c r="L1471" s="68"/>
      <c r="M1471" s="68"/>
      <c r="P1471" s="89" t="str">
        <f t="shared" si="79"/>
        <v xml:space="preserve">  1 1900 </v>
      </c>
    </row>
    <row r="1472" spans="1:16">
      <c r="A1472" s="68"/>
      <c r="B1472" s="87"/>
      <c r="C1472" s="88"/>
      <c r="D1472" s="88"/>
      <c r="E1472" s="90"/>
      <c r="F1472" s="84" t="str">
        <f ca="1">IF(D1472="Income",LOOKUP(E1472,Introduction!$A$11:$A$18,Introduction!$C$11:$C$18),IF(D1472="Expense",LOOKUP(E1472,Introduction!$D$11:$D$30,Introduction!$F$11:$F$30),"_"))</f>
        <v>_</v>
      </c>
      <c r="G1472" s="88"/>
      <c r="H1472" s="92"/>
      <c r="I1472" s="85">
        <f t="shared" si="80"/>
        <v>0</v>
      </c>
      <c r="J1472" s="93"/>
      <c r="K1472" s="85">
        <f t="shared" si="81"/>
        <v>0</v>
      </c>
      <c r="L1472" s="68"/>
      <c r="M1472" s="68"/>
      <c r="P1472" s="89" t="str">
        <f t="shared" si="79"/>
        <v xml:space="preserve">  1 1900 </v>
      </c>
    </row>
    <row r="1473" spans="1:16">
      <c r="A1473" s="68"/>
      <c r="B1473" s="87"/>
      <c r="C1473" s="88"/>
      <c r="D1473" s="88"/>
      <c r="E1473" s="90"/>
      <c r="F1473" s="84" t="str">
        <f ca="1">IF(D1473="Income",LOOKUP(E1473,Introduction!$A$11:$A$18,Introduction!$C$11:$C$18),IF(D1473="Expense",LOOKUP(E1473,Introduction!$D$11:$D$30,Introduction!$F$11:$F$30),"_"))</f>
        <v>_</v>
      </c>
      <c r="G1473" s="88"/>
      <c r="H1473" s="92"/>
      <c r="I1473" s="85">
        <f t="shared" si="80"/>
        <v>0</v>
      </c>
      <c r="J1473" s="93"/>
      <c r="K1473" s="85">
        <f t="shared" si="81"/>
        <v>0</v>
      </c>
      <c r="L1473" s="68"/>
      <c r="M1473" s="68"/>
      <c r="P1473" s="89" t="str">
        <f t="shared" si="79"/>
        <v xml:space="preserve">  1 1900 </v>
      </c>
    </row>
    <row r="1474" spans="1:16">
      <c r="A1474" s="68"/>
      <c r="B1474" s="87"/>
      <c r="C1474" s="88"/>
      <c r="D1474" s="88"/>
      <c r="E1474" s="90"/>
      <c r="F1474" s="84" t="str">
        <f ca="1">IF(D1474="Income",LOOKUP(E1474,Introduction!$A$11:$A$18,Introduction!$C$11:$C$18),IF(D1474="Expense",LOOKUP(E1474,Introduction!$D$11:$D$30,Introduction!$F$11:$F$30),"_"))</f>
        <v>_</v>
      </c>
      <c r="G1474" s="88"/>
      <c r="H1474" s="92"/>
      <c r="I1474" s="85">
        <f t="shared" si="80"/>
        <v>0</v>
      </c>
      <c r="J1474" s="93"/>
      <c r="K1474" s="85">
        <f t="shared" si="81"/>
        <v>0</v>
      </c>
      <c r="L1474" s="68"/>
      <c r="M1474" s="68"/>
      <c r="P1474" s="89" t="str">
        <f t="shared" si="79"/>
        <v xml:space="preserve">  1 1900 </v>
      </c>
    </row>
    <row r="1475" spans="1:16">
      <c r="A1475" s="68"/>
      <c r="B1475" s="87"/>
      <c r="C1475" s="88"/>
      <c r="D1475" s="88"/>
      <c r="E1475" s="90"/>
      <c r="F1475" s="84" t="str">
        <f ca="1">IF(D1475="Income",LOOKUP(E1475,Introduction!$A$11:$A$18,Introduction!$C$11:$C$18),IF(D1475="Expense",LOOKUP(E1475,Introduction!$D$11:$D$30,Introduction!$F$11:$F$30),"_"))</f>
        <v>_</v>
      </c>
      <c r="G1475" s="88"/>
      <c r="H1475" s="92"/>
      <c r="I1475" s="85">
        <f t="shared" si="80"/>
        <v>0</v>
      </c>
      <c r="J1475" s="93"/>
      <c r="K1475" s="85">
        <f t="shared" si="81"/>
        <v>0</v>
      </c>
      <c r="L1475" s="68"/>
      <c r="M1475" s="68"/>
      <c r="P1475" s="89" t="str">
        <f t="shared" si="79"/>
        <v xml:space="preserve">  1 1900 </v>
      </c>
    </row>
    <row r="1476" spans="1:16">
      <c r="A1476" s="68"/>
      <c r="B1476" s="87"/>
      <c r="C1476" s="88"/>
      <c r="D1476" s="88"/>
      <c r="E1476" s="90"/>
      <c r="F1476" s="84" t="str">
        <f ca="1">IF(D1476="Income",LOOKUP(E1476,Introduction!$A$11:$A$18,Introduction!$C$11:$C$18),IF(D1476="Expense",LOOKUP(E1476,Introduction!$D$11:$D$30,Introduction!$F$11:$F$30),"_"))</f>
        <v>_</v>
      </c>
      <c r="G1476" s="88"/>
      <c r="H1476" s="92"/>
      <c r="I1476" s="85">
        <f t="shared" si="80"/>
        <v>0</v>
      </c>
      <c r="J1476" s="93"/>
      <c r="K1476" s="85">
        <f t="shared" si="81"/>
        <v>0</v>
      </c>
      <c r="L1476" s="68"/>
      <c r="M1476" s="68"/>
      <c r="P1476" s="89" t="str">
        <f t="shared" si="79"/>
        <v xml:space="preserve">  1 1900 </v>
      </c>
    </row>
    <row r="1477" spans="1:16">
      <c r="A1477" s="68"/>
      <c r="B1477" s="87"/>
      <c r="C1477" s="88"/>
      <c r="D1477" s="88"/>
      <c r="E1477" s="90"/>
      <c r="F1477" s="84" t="str">
        <f ca="1">IF(D1477="Income",LOOKUP(E1477,Introduction!$A$11:$A$18,Introduction!$C$11:$C$18),IF(D1477="Expense",LOOKUP(E1477,Introduction!$D$11:$D$30,Introduction!$F$11:$F$30),"_"))</f>
        <v>_</v>
      </c>
      <c r="G1477" s="88"/>
      <c r="H1477" s="92"/>
      <c r="I1477" s="85">
        <f t="shared" si="80"/>
        <v>0</v>
      </c>
      <c r="J1477" s="93"/>
      <c r="K1477" s="85">
        <f t="shared" si="81"/>
        <v>0</v>
      </c>
      <c r="L1477" s="68"/>
      <c r="M1477" s="68"/>
      <c r="P1477" s="89" t="str">
        <f t="shared" si="79"/>
        <v xml:space="preserve">  1 1900 </v>
      </c>
    </row>
    <row r="1478" spans="1:16">
      <c r="A1478" s="68"/>
      <c r="B1478" s="87"/>
      <c r="C1478" s="88"/>
      <c r="D1478" s="88"/>
      <c r="E1478" s="90"/>
      <c r="F1478" s="84" t="str">
        <f ca="1">IF(D1478="Income",LOOKUP(E1478,Introduction!$A$11:$A$18,Introduction!$C$11:$C$18),IF(D1478="Expense",LOOKUP(E1478,Introduction!$D$11:$D$30,Introduction!$F$11:$F$30),"_"))</f>
        <v>_</v>
      </c>
      <c r="G1478" s="88"/>
      <c r="H1478" s="92"/>
      <c r="I1478" s="85">
        <f t="shared" si="80"/>
        <v>0</v>
      </c>
      <c r="J1478" s="93"/>
      <c r="K1478" s="85">
        <f t="shared" si="81"/>
        <v>0</v>
      </c>
      <c r="L1478" s="68"/>
      <c r="M1478" s="68"/>
      <c r="P1478" s="89" t="str">
        <f t="shared" si="79"/>
        <v xml:space="preserve">  1 1900 </v>
      </c>
    </row>
    <row r="1479" spans="1:16">
      <c r="A1479" s="68"/>
      <c r="B1479" s="87"/>
      <c r="C1479" s="88"/>
      <c r="D1479" s="88"/>
      <c r="E1479" s="90"/>
      <c r="F1479" s="84" t="str">
        <f ca="1">IF(D1479="Income",LOOKUP(E1479,Introduction!$A$11:$A$18,Introduction!$C$11:$C$18),IF(D1479="Expense",LOOKUP(E1479,Introduction!$D$11:$D$30,Introduction!$F$11:$F$30),"_"))</f>
        <v>_</v>
      </c>
      <c r="G1479" s="88"/>
      <c r="H1479" s="92"/>
      <c r="I1479" s="85">
        <f t="shared" si="80"/>
        <v>0</v>
      </c>
      <c r="J1479" s="93"/>
      <c r="K1479" s="85">
        <f t="shared" si="81"/>
        <v>0</v>
      </c>
      <c r="L1479" s="68"/>
      <c r="M1479" s="68"/>
      <c r="P1479" s="89" t="str">
        <f t="shared" ref="P1479:P1542" si="82">CONCATENATE(D1479," ",E1479," ",MONTH(C1479)," ",YEAR(C1479)," ")</f>
        <v xml:space="preserve">  1 1900 </v>
      </c>
    </row>
    <row r="1480" spans="1:16">
      <c r="A1480" s="68"/>
      <c r="B1480" s="87"/>
      <c r="C1480" s="88"/>
      <c r="D1480" s="88"/>
      <c r="E1480" s="90"/>
      <c r="F1480" s="84" t="str">
        <f ca="1">IF(D1480="Income",LOOKUP(E1480,Introduction!$A$11:$A$18,Introduction!$C$11:$C$18),IF(D1480="Expense",LOOKUP(E1480,Introduction!$D$11:$D$30,Introduction!$F$11:$F$30),"_"))</f>
        <v>_</v>
      </c>
      <c r="G1480" s="88"/>
      <c r="H1480" s="92"/>
      <c r="I1480" s="85">
        <f t="shared" si="80"/>
        <v>0</v>
      </c>
      <c r="J1480" s="93"/>
      <c r="K1480" s="85">
        <f t="shared" si="81"/>
        <v>0</v>
      </c>
      <c r="L1480" s="68"/>
      <c r="M1480" s="68"/>
      <c r="P1480" s="89" t="str">
        <f t="shared" si="82"/>
        <v xml:space="preserve">  1 1900 </v>
      </c>
    </row>
    <row r="1481" spans="1:16">
      <c r="A1481" s="68"/>
      <c r="B1481" s="87"/>
      <c r="C1481" s="88"/>
      <c r="D1481" s="88"/>
      <c r="E1481" s="90"/>
      <c r="F1481" s="84" t="str">
        <f ca="1">IF(D1481="Income",LOOKUP(E1481,Introduction!$A$11:$A$18,Introduction!$C$11:$C$18),IF(D1481="Expense",LOOKUP(E1481,Introduction!$D$11:$D$30,Introduction!$F$11:$F$30),"_"))</f>
        <v>_</v>
      </c>
      <c r="G1481" s="88"/>
      <c r="H1481" s="92"/>
      <c r="I1481" s="85">
        <f t="shared" si="80"/>
        <v>0</v>
      </c>
      <c r="J1481" s="93"/>
      <c r="K1481" s="85">
        <f t="shared" si="81"/>
        <v>0</v>
      </c>
      <c r="L1481" s="68"/>
      <c r="M1481" s="68"/>
      <c r="P1481" s="89" t="str">
        <f t="shared" si="82"/>
        <v xml:space="preserve">  1 1900 </v>
      </c>
    </row>
    <row r="1482" spans="1:16">
      <c r="A1482" s="68"/>
      <c r="B1482" s="87"/>
      <c r="C1482" s="88"/>
      <c r="D1482" s="88"/>
      <c r="E1482" s="90"/>
      <c r="F1482" s="84" t="str">
        <f ca="1">IF(D1482="Income",LOOKUP(E1482,Introduction!$A$11:$A$18,Introduction!$C$11:$C$18),IF(D1482="Expense",LOOKUP(E1482,Introduction!$D$11:$D$30,Introduction!$F$11:$F$30),"_"))</f>
        <v>_</v>
      </c>
      <c r="G1482" s="88"/>
      <c r="H1482" s="92"/>
      <c r="I1482" s="85">
        <f t="shared" si="80"/>
        <v>0</v>
      </c>
      <c r="J1482" s="93"/>
      <c r="K1482" s="85">
        <f t="shared" si="81"/>
        <v>0</v>
      </c>
      <c r="L1482" s="68"/>
      <c r="M1482" s="68"/>
      <c r="P1482" s="89" t="str">
        <f t="shared" si="82"/>
        <v xml:space="preserve">  1 1900 </v>
      </c>
    </row>
    <row r="1483" spans="1:16">
      <c r="A1483" s="68"/>
      <c r="B1483" s="87"/>
      <c r="C1483" s="88"/>
      <c r="D1483" s="88"/>
      <c r="E1483" s="90"/>
      <c r="F1483" s="84" t="str">
        <f ca="1">IF(D1483="Income",LOOKUP(E1483,Introduction!$A$11:$A$18,Introduction!$C$11:$C$18),IF(D1483="Expense",LOOKUP(E1483,Introduction!$D$11:$D$30,Introduction!$F$11:$F$30),"_"))</f>
        <v>_</v>
      </c>
      <c r="G1483" s="88"/>
      <c r="H1483" s="92"/>
      <c r="I1483" s="85">
        <f t="shared" si="80"/>
        <v>0</v>
      </c>
      <c r="J1483" s="93"/>
      <c r="K1483" s="85">
        <f t="shared" si="81"/>
        <v>0</v>
      </c>
      <c r="L1483" s="68"/>
      <c r="M1483" s="68"/>
      <c r="P1483" s="89" t="str">
        <f t="shared" si="82"/>
        <v xml:space="preserve">  1 1900 </v>
      </c>
    </row>
    <row r="1484" spans="1:16">
      <c r="A1484" s="68"/>
      <c r="B1484" s="87"/>
      <c r="C1484" s="88"/>
      <c r="D1484" s="88"/>
      <c r="E1484" s="90"/>
      <c r="F1484" s="84" t="str">
        <f ca="1">IF(D1484="Income",LOOKUP(E1484,Introduction!$A$11:$A$18,Introduction!$C$11:$C$18),IF(D1484="Expense",LOOKUP(E1484,Introduction!$D$11:$D$30,Introduction!$F$11:$F$30),"_"))</f>
        <v>_</v>
      </c>
      <c r="G1484" s="88"/>
      <c r="H1484" s="92"/>
      <c r="I1484" s="85">
        <f t="shared" si="80"/>
        <v>0</v>
      </c>
      <c r="J1484" s="93"/>
      <c r="K1484" s="85">
        <f t="shared" si="81"/>
        <v>0</v>
      </c>
      <c r="L1484" s="68"/>
      <c r="M1484" s="68"/>
      <c r="P1484" s="89" t="str">
        <f t="shared" si="82"/>
        <v xml:space="preserve">  1 1900 </v>
      </c>
    </row>
    <row r="1485" spans="1:16">
      <c r="A1485" s="68"/>
      <c r="B1485" s="87"/>
      <c r="C1485" s="88"/>
      <c r="D1485" s="88"/>
      <c r="E1485" s="90"/>
      <c r="F1485" s="84" t="str">
        <f ca="1">IF(D1485="Income",LOOKUP(E1485,Introduction!$A$11:$A$18,Introduction!$C$11:$C$18),IF(D1485="Expense",LOOKUP(E1485,Introduction!$D$11:$D$30,Introduction!$F$11:$F$30),"_"))</f>
        <v>_</v>
      </c>
      <c r="G1485" s="88"/>
      <c r="H1485" s="92"/>
      <c r="I1485" s="85">
        <f t="shared" si="80"/>
        <v>0</v>
      </c>
      <c r="J1485" s="93"/>
      <c r="K1485" s="85">
        <f t="shared" si="81"/>
        <v>0</v>
      </c>
      <c r="L1485" s="68"/>
      <c r="M1485" s="68"/>
      <c r="P1485" s="89" t="str">
        <f t="shared" si="82"/>
        <v xml:space="preserve">  1 1900 </v>
      </c>
    </row>
    <row r="1486" spans="1:16">
      <c r="A1486" s="68"/>
      <c r="B1486" s="87"/>
      <c r="C1486" s="88"/>
      <c r="D1486" s="88"/>
      <c r="E1486" s="90"/>
      <c r="F1486" s="84" t="str">
        <f ca="1">IF(D1486="Income",LOOKUP(E1486,Introduction!$A$11:$A$18,Introduction!$C$11:$C$18),IF(D1486="Expense",LOOKUP(E1486,Introduction!$D$11:$D$30,Introduction!$F$11:$F$30),"_"))</f>
        <v>_</v>
      </c>
      <c r="G1486" s="88"/>
      <c r="H1486" s="92"/>
      <c r="I1486" s="85">
        <f t="shared" si="80"/>
        <v>0</v>
      </c>
      <c r="J1486" s="93"/>
      <c r="K1486" s="85">
        <f t="shared" si="81"/>
        <v>0</v>
      </c>
      <c r="L1486" s="68"/>
      <c r="M1486" s="68"/>
      <c r="P1486" s="89" t="str">
        <f t="shared" si="82"/>
        <v xml:space="preserve">  1 1900 </v>
      </c>
    </row>
    <row r="1487" spans="1:16">
      <c r="A1487" s="68"/>
      <c r="B1487" s="87"/>
      <c r="C1487" s="88"/>
      <c r="D1487" s="88"/>
      <c r="E1487" s="90"/>
      <c r="F1487" s="84" t="str">
        <f ca="1">IF(D1487="Income",LOOKUP(E1487,Introduction!$A$11:$A$18,Introduction!$C$11:$C$18),IF(D1487="Expense",LOOKUP(E1487,Introduction!$D$11:$D$30,Introduction!$F$11:$F$30),"_"))</f>
        <v>_</v>
      </c>
      <c r="G1487" s="88"/>
      <c r="H1487" s="92"/>
      <c r="I1487" s="85">
        <f t="shared" si="80"/>
        <v>0</v>
      </c>
      <c r="J1487" s="93"/>
      <c r="K1487" s="85">
        <f t="shared" si="81"/>
        <v>0</v>
      </c>
      <c r="L1487" s="68"/>
      <c r="M1487" s="68"/>
      <c r="P1487" s="89" t="str">
        <f t="shared" si="82"/>
        <v xml:space="preserve">  1 1900 </v>
      </c>
    </row>
    <row r="1488" spans="1:16">
      <c r="A1488" s="68"/>
      <c r="B1488" s="87"/>
      <c r="C1488" s="88"/>
      <c r="D1488" s="88"/>
      <c r="E1488" s="90"/>
      <c r="F1488" s="84" t="str">
        <f ca="1">IF(D1488="Income",LOOKUP(E1488,Introduction!$A$11:$A$18,Introduction!$C$11:$C$18),IF(D1488="Expense",LOOKUP(E1488,Introduction!$D$11:$D$30,Introduction!$F$11:$F$30),"_"))</f>
        <v>_</v>
      </c>
      <c r="G1488" s="88"/>
      <c r="H1488" s="92"/>
      <c r="I1488" s="85">
        <f t="shared" si="80"/>
        <v>0</v>
      </c>
      <c r="J1488" s="93"/>
      <c r="K1488" s="85">
        <f t="shared" si="81"/>
        <v>0</v>
      </c>
      <c r="L1488" s="68"/>
      <c r="M1488" s="68"/>
      <c r="P1488" s="89" t="str">
        <f t="shared" si="82"/>
        <v xml:space="preserve">  1 1900 </v>
      </c>
    </row>
    <row r="1489" spans="1:16">
      <c r="A1489" s="68"/>
      <c r="B1489" s="87"/>
      <c r="C1489" s="88"/>
      <c r="D1489" s="88"/>
      <c r="E1489" s="90"/>
      <c r="F1489" s="84" t="str">
        <f ca="1">IF(D1489="Income",LOOKUP(E1489,Introduction!$A$11:$A$18,Introduction!$C$11:$C$18),IF(D1489="Expense",LOOKUP(E1489,Introduction!$D$11:$D$30,Introduction!$F$11:$F$30),"_"))</f>
        <v>_</v>
      </c>
      <c r="G1489" s="88"/>
      <c r="H1489" s="92"/>
      <c r="I1489" s="85">
        <f t="shared" ref="I1489:I1552" si="83">+I1488+H1489</f>
        <v>0</v>
      </c>
      <c r="J1489" s="93"/>
      <c r="K1489" s="85">
        <f t="shared" ref="K1489:K1552" si="84">IF(J1489=1,K1488+H1489,++K1488)</f>
        <v>0</v>
      </c>
      <c r="L1489" s="68"/>
      <c r="M1489" s="68"/>
      <c r="P1489" s="89" t="str">
        <f t="shared" si="82"/>
        <v xml:space="preserve">  1 1900 </v>
      </c>
    </row>
    <row r="1490" spans="1:16">
      <c r="A1490" s="68"/>
      <c r="B1490" s="87"/>
      <c r="C1490" s="88"/>
      <c r="D1490" s="88"/>
      <c r="E1490" s="90"/>
      <c r="F1490" s="84" t="str">
        <f ca="1">IF(D1490="Income",LOOKUP(E1490,Introduction!$A$11:$A$18,Introduction!$C$11:$C$18),IF(D1490="Expense",LOOKUP(E1490,Introduction!$D$11:$D$30,Introduction!$F$11:$F$30),"_"))</f>
        <v>_</v>
      </c>
      <c r="G1490" s="88"/>
      <c r="H1490" s="92"/>
      <c r="I1490" s="85">
        <f t="shared" si="83"/>
        <v>0</v>
      </c>
      <c r="J1490" s="93"/>
      <c r="K1490" s="85">
        <f t="shared" si="84"/>
        <v>0</v>
      </c>
      <c r="L1490" s="68"/>
      <c r="M1490" s="68"/>
      <c r="P1490" s="89" t="str">
        <f t="shared" si="82"/>
        <v xml:space="preserve">  1 1900 </v>
      </c>
    </row>
    <row r="1491" spans="1:16">
      <c r="A1491" s="68"/>
      <c r="B1491" s="87"/>
      <c r="C1491" s="88"/>
      <c r="D1491" s="88"/>
      <c r="E1491" s="90"/>
      <c r="F1491" s="84" t="str">
        <f ca="1">IF(D1491="Income",LOOKUP(E1491,Introduction!$A$11:$A$18,Introduction!$C$11:$C$18),IF(D1491="Expense",LOOKUP(E1491,Introduction!$D$11:$D$30,Introduction!$F$11:$F$30),"_"))</f>
        <v>_</v>
      </c>
      <c r="G1491" s="88"/>
      <c r="H1491" s="92"/>
      <c r="I1491" s="85">
        <f t="shared" si="83"/>
        <v>0</v>
      </c>
      <c r="J1491" s="93"/>
      <c r="K1491" s="85">
        <f t="shared" si="84"/>
        <v>0</v>
      </c>
      <c r="L1491" s="68"/>
      <c r="M1491" s="68"/>
      <c r="P1491" s="89" t="str">
        <f t="shared" si="82"/>
        <v xml:space="preserve">  1 1900 </v>
      </c>
    </row>
    <row r="1492" spans="1:16">
      <c r="A1492" s="68"/>
      <c r="B1492" s="87"/>
      <c r="C1492" s="88"/>
      <c r="D1492" s="88"/>
      <c r="E1492" s="90"/>
      <c r="F1492" s="84" t="str">
        <f ca="1">IF(D1492="Income",LOOKUP(E1492,Introduction!$A$11:$A$18,Introduction!$C$11:$C$18),IF(D1492="Expense",LOOKUP(E1492,Introduction!$D$11:$D$30,Introduction!$F$11:$F$30),"_"))</f>
        <v>_</v>
      </c>
      <c r="G1492" s="88"/>
      <c r="H1492" s="92"/>
      <c r="I1492" s="85">
        <f t="shared" si="83"/>
        <v>0</v>
      </c>
      <c r="J1492" s="93"/>
      <c r="K1492" s="85">
        <f t="shared" si="84"/>
        <v>0</v>
      </c>
      <c r="L1492" s="68"/>
      <c r="M1492" s="68"/>
      <c r="P1492" s="89" t="str">
        <f t="shared" si="82"/>
        <v xml:space="preserve">  1 1900 </v>
      </c>
    </row>
    <row r="1493" spans="1:16">
      <c r="A1493" s="68"/>
      <c r="B1493" s="87"/>
      <c r="C1493" s="88"/>
      <c r="D1493" s="88"/>
      <c r="E1493" s="90"/>
      <c r="F1493" s="84" t="str">
        <f ca="1">IF(D1493="Income",LOOKUP(E1493,Introduction!$A$11:$A$18,Introduction!$C$11:$C$18),IF(D1493="Expense",LOOKUP(E1493,Introduction!$D$11:$D$30,Introduction!$F$11:$F$30),"_"))</f>
        <v>_</v>
      </c>
      <c r="G1493" s="88"/>
      <c r="H1493" s="92"/>
      <c r="I1493" s="85">
        <f t="shared" si="83"/>
        <v>0</v>
      </c>
      <c r="J1493" s="93"/>
      <c r="K1493" s="85">
        <f t="shared" si="84"/>
        <v>0</v>
      </c>
      <c r="L1493" s="68"/>
      <c r="M1493" s="68"/>
      <c r="P1493" s="89" t="str">
        <f t="shared" si="82"/>
        <v xml:space="preserve">  1 1900 </v>
      </c>
    </row>
    <row r="1494" spans="1:16">
      <c r="A1494" s="68"/>
      <c r="B1494" s="87"/>
      <c r="C1494" s="88"/>
      <c r="D1494" s="88"/>
      <c r="E1494" s="90"/>
      <c r="F1494" s="84" t="str">
        <f ca="1">IF(D1494="Income",LOOKUP(E1494,Introduction!$A$11:$A$18,Introduction!$C$11:$C$18),IF(D1494="Expense",LOOKUP(E1494,Introduction!$D$11:$D$30,Introduction!$F$11:$F$30),"_"))</f>
        <v>_</v>
      </c>
      <c r="G1494" s="88"/>
      <c r="H1494" s="92"/>
      <c r="I1494" s="85">
        <f t="shared" si="83"/>
        <v>0</v>
      </c>
      <c r="J1494" s="93"/>
      <c r="K1494" s="85">
        <f t="shared" si="84"/>
        <v>0</v>
      </c>
      <c r="L1494" s="68"/>
      <c r="M1494" s="68"/>
      <c r="P1494" s="89" t="str">
        <f t="shared" si="82"/>
        <v xml:space="preserve">  1 1900 </v>
      </c>
    </row>
    <row r="1495" spans="1:16">
      <c r="A1495" s="68"/>
      <c r="B1495" s="87"/>
      <c r="C1495" s="88"/>
      <c r="D1495" s="88"/>
      <c r="E1495" s="90"/>
      <c r="F1495" s="84" t="str">
        <f ca="1">IF(D1495="Income",LOOKUP(E1495,Introduction!$A$11:$A$18,Introduction!$C$11:$C$18),IF(D1495="Expense",LOOKUP(E1495,Introduction!$D$11:$D$30,Introduction!$F$11:$F$30),"_"))</f>
        <v>_</v>
      </c>
      <c r="G1495" s="88"/>
      <c r="H1495" s="92"/>
      <c r="I1495" s="85">
        <f t="shared" si="83"/>
        <v>0</v>
      </c>
      <c r="J1495" s="93"/>
      <c r="K1495" s="85">
        <f t="shared" si="84"/>
        <v>0</v>
      </c>
      <c r="L1495" s="68"/>
      <c r="M1495" s="68"/>
      <c r="P1495" s="89" t="str">
        <f t="shared" si="82"/>
        <v xml:space="preserve">  1 1900 </v>
      </c>
    </row>
    <row r="1496" spans="1:16">
      <c r="A1496" s="68"/>
      <c r="B1496" s="87"/>
      <c r="C1496" s="88"/>
      <c r="D1496" s="88"/>
      <c r="E1496" s="90"/>
      <c r="F1496" s="84" t="str">
        <f ca="1">IF(D1496="Income",LOOKUP(E1496,Introduction!$A$11:$A$18,Introduction!$C$11:$C$18),IF(D1496="Expense",LOOKUP(E1496,Introduction!$D$11:$D$30,Introduction!$F$11:$F$30),"_"))</f>
        <v>_</v>
      </c>
      <c r="G1496" s="88"/>
      <c r="H1496" s="92"/>
      <c r="I1496" s="85">
        <f t="shared" si="83"/>
        <v>0</v>
      </c>
      <c r="J1496" s="93"/>
      <c r="K1496" s="85">
        <f t="shared" si="84"/>
        <v>0</v>
      </c>
      <c r="L1496" s="68"/>
      <c r="M1496" s="68"/>
      <c r="P1496" s="89" t="str">
        <f t="shared" si="82"/>
        <v xml:space="preserve">  1 1900 </v>
      </c>
    </row>
    <row r="1497" spans="1:16">
      <c r="A1497" s="68"/>
      <c r="B1497" s="87"/>
      <c r="C1497" s="88"/>
      <c r="D1497" s="88"/>
      <c r="E1497" s="90"/>
      <c r="F1497" s="84" t="str">
        <f ca="1">IF(D1497="Income",LOOKUP(E1497,Introduction!$A$11:$A$18,Introduction!$C$11:$C$18),IF(D1497="Expense",LOOKUP(E1497,Introduction!$D$11:$D$30,Introduction!$F$11:$F$30),"_"))</f>
        <v>_</v>
      </c>
      <c r="G1497" s="88"/>
      <c r="H1497" s="92"/>
      <c r="I1497" s="85">
        <f t="shared" si="83"/>
        <v>0</v>
      </c>
      <c r="J1497" s="93"/>
      <c r="K1497" s="85">
        <f t="shared" si="84"/>
        <v>0</v>
      </c>
      <c r="L1497" s="68"/>
      <c r="M1497" s="68"/>
      <c r="P1497" s="89" t="str">
        <f t="shared" si="82"/>
        <v xml:space="preserve">  1 1900 </v>
      </c>
    </row>
    <row r="1498" spans="1:16">
      <c r="A1498" s="68"/>
      <c r="B1498" s="87"/>
      <c r="C1498" s="88"/>
      <c r="D1498" s="88"/>
      <c r="E1498" s="90"/>
      <c r="F1498" s="84" t="str">
        <f ca="1">IF(D1498="Income",LOOKUP(E1498,Introduction!$A$11:$A$18,Introduction!$C$11:$C$18),IF(D1498="Expense",LOOKUP(E1498,Introduction!$D$11:$D$30,Introduction!$F$11:$F$30),"_"))</f>
        <v>_</v>
      </c>
      <c r="G1498" s="88"/>
      <c r="H1498" s="92"/>
      <c r="I1498" s="85">
        <f t="shared" si="83"/>
        <v>0</v>
      </c>
      <c r="J1498" s="93"/>
      <c r="K1498" s="85">
        <f t="shared" si="84"/>
        <v>0</v>
      </c>
      <c r="L1498" s="68"/>
      <c r="M1498" s="68"/>
      <c r="P1498" s="89" t="str">
        <f t="shared" si="82"/>
        <v xml:space="preserve">  1 1900 </v>
      </c>
    </row>
    <row r="1499" spans="1:16">
      <c r="A1499" s="68"/>
      <c r="B1499" s="87"/>
      <c r="C1499" s="88"/>
      <c r="D1499" s="88"/>
      <c r="E1499" s="90"/>
      <c r="F1499" s="84" t="str">
        <f ca="1">IF(D1499="Income",LOOKUP(E1499,Introduction!$A$11:$A$18,Introduction!$C$11:$C$18),IF(D1499="Expense",LOOKUP(E1499,Introduction!$D$11:$D$30,Introduction!$F$11:$F$30),"_"))</f>
        <v>_</v>
      </c>
      <c r="G1499" s="88"/>
      <c r="H1499" s="92"/>
      <c r="I1499" s="85">
        <f t="shared" si="83"/>
        <v>0</v>
      </c>
      <c r="J1499" s="93"/>
      <c r="K1499" s="85">
        <f t="shared" si="84"/>
        <v>0</v>
      </c>
      <c r="L1499" s="68"/>
      <c r="M1499" s="68"/>
      <c r="P1499" s="89" t="str">
        <f t="shared" si="82"/>
        <v xml:space="preserve">  1 1900 </v>
      </c>
    </row>
    <row r="1500" spans="1:16">
      <c r="A1500" s="68"/>
      <c r="B1500" s="87"/>
      <c r="C1500" s="88"/>
      <c r="D1500" s="88"/>
      <c r="E1500" s="90"/>
      <c r="F1500" s="84" t="str">
        <f ca="1">IF(D1500="Income",LOOKUP(E1500,Introduction!$A$11:$A$18,Introduction!$C$11:$C$18),IF(D1500="Expense",LOOKUP(E1500,Introduction!$D$11:$D$30,Introduction!$F$11:$F$30),"_"))</f>
        <v>_</v>
      </c>
      <c r="G1500" s="88"/>
      <c r="H1500" s="92"/>
      <c r="I1500" s="85">
        <f t="shared" si="83"/>
        <v>0</v>
      </c>
      <c r="J1500" s="93"/>
      <c r="K1500" s="85">
        <f t="shared" si="84"/>
        <v>0</v>
      </c>
      <c r="L1500" s="68"/>
      <c r="M1500" s="68"/>
      <c r="P1500" s="89" t="str">
        <f t="shared" si="82"/>
        <v xml:space="preserve">  1 1900 </v>
      </c>
    </row>
    <row r="1501" spans="1:16">
      <c r="A1501" s="68"/>
      <c r="B1501" s="87"/>
      <c r="C1501" s="88"/>
      <c r="D1501" s="88"/>
      <c r="E1501" s="90"/>
      <c r="F1501" s="84" t="str">
        <f ca="1">IF(D1501="Income",LOOKUP(E1501,Introduction!$A$11:$A$18,Introduction!$C$11:$C$18),IF(D1501="Expense",LOOKUP(E1501,Introduction!$D$11:$D$30,Introduction!$F$11:$F$30),"_"))</f>
        <v>_</v>
      </c>
      <c r="G1501" s="88"/>
      <c r="H1501" s="92"/>
      <c r="I1501" s="85">
        <f t="shared" si="83"/>
        <v>0</v>
      </c>
      <c r="J1501" s="93"/>
      <c r="K1501" s="85">
        <f t="shared" si="84"/>
        <v>0</v>
      </c>
      <c r="L1501" s="68"/>
      <c r="M1501" s="68"/>
      <c r="P1501" s="89" t="str">
        <f t="shared" si="82"/>
        <v xml:space="preserve">  1 1900 </v>
      </c>
    </row>
    <row r="1502" spans="1:16">
      <c r="A1502" s="68"/>
      <c r="B1502" s="87"/>
      <c r="C1502" s="88"/>
      <c r="D1502" s="88"/>
      <c r="E1502" s="90"/>
      <c r="F1502" s="84" t="str">
        <f ca="1">IF(D1502="Income",LOOKUP(E1502,Introduction!$A$11:$A$18,Introduction!$C$11:$C$18),IF(D1502="Expense",LOOKUP(E1502,Introduction!$D$11:$D$30,Introduction!$F$11:$F$30),"_"))</f>
        <v>_</v>
      </c>
      <c r="G1502" s="88"/>
      <c r="H1502" s="92"/>
      <c r="I1502" s="85">
        <f t="shared" si="83"/>
        <v>0</v>
      </c>
      <c r="J1502" s="93"/>
      <c r="K1502" s="85">
        <f t="shared" si="84"/>
        <v>0</v>
      </c>
      <c r="L1502" s="68"/>
      <c r="M1502" s="68"/>
      <c r="P1502" s="89" t="str">
        <f t="shared" si="82"/>
        <v xml:space="preserve">  1 1900 </v>
      </c>
    </row>
    <row r="1503" spans="1:16">
      <c r="A1503" s="68"/>
      <c r="B1503" s="87"/>
      <c r="C1503" s="88"/>
      <c r="D1503" s="88"/>
      <c r="E1503" s="90"/>
      <c r="F1503" s="84" t="str">
        <f ca="1">IF(D1503="Income",LOOKUP(E1503,Introduction!$A$11:$A$18,Introduction!$C$11:$C$18),IF(D1503="Expense",LOOKUP(E1503,Introduction!$D$11:$D$30,Introduction!$F$11:$F$30),"_"))</f>
        <v>_</v>
      </c>
      <c r="G1503" s="88"/>
      <c r="H1503" s="92"/>
      <c r="I1503" s="85">
        <f t="shared" si="83"/>
        <v>0</v>
      </c>
      <c r="J1503" s="93"/>
      <c r="K1503" s="85">
        <f t="shared" si="84"/>
        <v>0</v>
      </c>
      <c r="L1503" s="68"/>
      <c r="M1503" s="68"/>
      <c r="P1503" s="89" t="str">
        <f t="shared" si="82"/>
        <v xml:space="preserve">  1 1900 </v>
      </c>
    </row>
    <row r="1504" spans="1:16">
      <c r="A1504" s="68"/>
      <c r="B1504" s="87"/>
      <c r="C1504" s="88"/>
      <c r="D1504" s="88"/>
      <c r="E1504" s="90"/>
      <c r="F1504" s="84" t="str">
        <f ca="1">IF(D1504="Income",LOOKUP(E1504,Introduction!$A$11:$A$18,Introduction!$C$11:$C$18),IF(D1504="Expense",LOOKUP(E1504,Introduction!$D$11:$D$30,Introduction!$F$11:$F$30),"_"))</f>
        <v>_</v>
      </c>
      <c r="G1504" s="88"/>
      <c r="H1504" s="92"/>
      <c r="I1504" s="85">
        <f t="shared" si="83"/>
        <v>0</v>
      </c>
      <c r="J1504" s="93"/>
      <c r="K1504" s="85">
        <f t="shared" si="84"/>
        <v>0</v>
      </c>
      <c r="L1504" s="68"/>
      <c r="M1504" s="68"/>
      <c r="P1504" s="89" t="str">
        <f t="shared" si="82"/>
        <v xml:space="preserve">  1 1900 </v>
      </c>
    </row>
    <row r="1505" spans="1:16">
      <c r="A1505" s="68"/>
      <c r="B1505" s="87"/>
      <c r="C1505" s="88"/>
      <c r="D1505" s="88"/>
      <c r="E1505" s="90"/>
      <c r="F1505" s="84" t="str">
        <f ca="1">IF(D1505="Income",LOOKUP(E1505,Introduction!$A$11:$A$18,Introduction!$C$11:$C$18),IF(D1505="Expense",LOOKUP(E1505,Introduction!$D$11:$D$30,Introduction!$F$11:$F$30),"_"))</f>
        <v>_</v>
      </c>
      <c r="G1505" s="88"/>
      <c r="H1505" s="92"/>
      <c r="I1505" s="85">
        <f t="shared" si="83"/>
        <v>0</v>
      </c>
      <c r="J1505" s="93"/>
      <c r="K1505" s="85">
        <f t="shared" si="84"/>
        <v>0</v>
      </c>
      <c r="L1505" s="68"/>
      <c r="M1505" s="68"/>
      <c r="P1505" s="89" t="str">
        <f t="shared" si="82"/>
        <v xml:space="preserve">  1 1900 </v>
      </c>
    </row>
    <row r="1506" spans="1:16">
      <c r="A1506" s="68"/>
      <c r="B1506" s="87"/>
      <c r="C1506" s="88"/>
      <c r="D1506" s="88"/>
      <c r="E1506" s="90"/>
      <c r="F1506" s="84" t="str">
        <f ca="1">IF(D1506="Income",LOOKUP(E1506,Introduction!$A$11:$A$18,Introduction!$C$11:$C$18),IF(D1506="Expense",LOOKUP(E1506,Introduction!$D$11:$D$30,Introduction!$F$11:$F$30),"_"))</f>
        <v>_</v>
      </c>
      <c r="G1506" s="88"/>
      <c r="H1506" s="92"/>
      <c r="I1506" s="85">
        <f t="shared" si="83"/>
        <v>0</v>
      </c>
      <c r="J1506" s="93"/>
      <c r="K1506" s="85">
        <f t="shared" si="84"/>
        <v>0</v>
      </c>
      <c r="L1506" s="68"/>
      <c r="M1506" s="68"/>
      <c r="P1506" s="89" t="str">
        <f t="shared" si="82"/>
        <v xml:space="preserve">  1 1900 </v>
      </c>
    </row>
    <row r="1507" spans="1:16">
      <c r="A1507" s="68"/>
      <c r="B1507" s="87"/>
      <c r="C1507" s="88"/>
      <c r="D1507" s="88"/>
      <c r="E1507" s="90"/>
      <c r="F1507" s="84" t="str">
        <f ca="1">IF(D1507="Income",LOOKUP(E1507,Introduction!$A$11:$A$18,Introduction!$C$11:$C$18),IF(D1507="Expense",LOOKUP(E1507,Introduction!$D$11:$D$30,Introduction!$F$11:$F$30),"_"))</f>
        <v>_</v>
      </c>
      <c r="G1507" s="88"/>
      <c r="H1507" s="92"/>
      <c r="I1507" s="85">
        <f t="shared" si="83"/>
        <v>0</v>
      </c>
      <c r="J1507" s="93"/>
      <c r="K1507" s="85">
        <f t="shared" si="84"/>
        <v>0</v>
      </c>
      <c r="L1507" s="68"/>
      <c r="M1507" s="68"/>
      <c r="P1507" s="89" t="str">
        <f t="shared" si="82"/>
        <v xml:space="preserve">  1 1900 </v>
      </c>
    </row>
    <row r="1508" spans="1:16">
      <c r="A1508" s="68"/>
      <c r="B1508" s="87"/>
      <c r="C1508" s="88"/>
      <c r="D1508" s="88"/>
      <c r="E1508" s="90"/>
      <c r="F1508" s="84" t="str">
        <f ca="1">IF(D1508="Income",LOOKUP(E1508,Introduction!$A$11:$A$18,Introduction!$C$11:$C$18),IF(D1508="Expense",LOOKUP(E1508,Introduction!$D$11:$D$30,Introduction!$F$11:$F$30),"_"))</f>
        <v>_</v>
      </c>
      <c r="G1508" s="88"/>
      <c r="H1508" s="92"/>
      <c r="I1508" s="85">
        <f t="shared" si="83"/>
        <v>0</v>
      </c>
      <c r="J1508" s="93"/>
      <c r="K1508" s="85">
        <f t="shared" si="84"/>
        <v>0</v>
      </c>
      <c r="L1508" s="68"/>
      <c r="M1508" s="68"/>
      <c r="P1508" s="89" t="str">
        <f t="shared" si="82"/>
        <v xml:space="preserve">  1 1900 </v>
      </c>
    </row>
    <row r="1509" spans="1:16">
      <c r="A1509" s="68"/>
      <c r="B1509" s="87"/>
      <c r="C1509" s="88"/>
      <c r="D1509" s="88"/>
      <c r="E1509" s="90"/>
      <c r="F1509" s="84" t="str">
        <f ca="1">IF(D1509="Income",LOOKUP(E1509,Introduction!$A$11:$A$18,Introduction!$C$11:$C$18),IF(D1509="Expense",LOOKUP(E1509,Introduction!$D$11:$D$30,Introduction!$F$11:$F$30),"_"))</f>
        <v>_</v>
      </c>
      <c r="G1509" s="88"/>
      <c r="H1509" s="92"/>
      <c r="I1509" s="85">
        <f t="shared" si="83"/>
        <v>0</v>
      </c>
      <c r="J1509" s="93"/>
      <c r="K1509" s="85">
        <f t="shared" si="84"/>
        <v>0</v>
      </c>
      <c r="L1509" s="68"/>
      <c r="M1509" s="68"/>
      <c r="P1509" s="89" t="str">
        <f t="shared" si="82"/>
        <v xml:space="preserve">  1 1900 </v>
      </c>
    </row>
    <row r="1510" spans="1:16">
      <c r="A1510" s="68"/>
      <c r="B1510" s="87"/>
      <c r="C1510" s="88"/>
      <c r="D1510" s="88"/>
      <c r="E1510" s="90"/>
      <c r="F1510" s="84" t="str">
        <f ca="1">IF(D1510="Income",LOOKUP(E1510,Introduction!$A$11:$A$18,Introduction!$C$11:$C$18),IF(D1510="Expense",LOOKUP(E1510,Introduction!$D$11:$D$30,Introduction!$F$11:$F$30),"_"))</f>
        <v>_</v>
      </c>
      <c r="G1510" s="88"/>
      <c r="H1510" s="92"/>
      <c r="I1510" s="85">
        <f t="shared" si="83"/>
        <v>0</v>
      </c>
      <c r="J1510" s="93"/>
      <c r="K1510" s="85">
        <f t="shared" si="84"/>
        <v>0</v>
      </c>
      <c r="L1510" s="68"/>
      <c r="M1510" s="68"/>
      <c r="P1510" s="89" t="str">
        <f t="shared" si="82"/>
        <v xml:space="preserve">  1 1900 </v>
      </c>
    </row>
    <row r="1511" spans="1:16">
      <c r="A1511" s="68"/>
      <c r="B1511" s="87"/>
      <c r="C1511" s="88"/>
      <c r="D1511" s="88"/>
      <c r="E1511" s="90"/>
      <c r="F1511" s="84" t="str">
        <f ca="1">IF(D1511="Income",LOOKUP(E1511,Introduction!$A$11:$A$18,Introduction!$C$11:$C$18),IF(D1511="Expense",LOOKUP(E1511,Introduction!$D$11:$D$30,Introduction!$F$11:$F$30),"_"))</f>
        <v>_</v>
      </c>
      <c r="G1511" s="88"/>
      <c r="H1511" s="92"/>
      <c r="I1511" s="85">
        <f t="shared" si="83"/>
        <v>0</v>
      </c>
      <c r="J1511" s="93"/>
      <c r="K1511" s="85">
        <f t="shared" si="84"/>
        <v>0</v>
      </c>
      <c r="L1511" s="68"/>
      <c r="M1511" s="68"/>
      <c r="P1511" s="89" t="str">
        <f t="shared" si="82"/>
        <v xml:space="preserve">  1 1900 </v>
      </c>
    </row>
    <row r="1512" spans="1:16">
      <c r="A1512" s="68"/>
      <c r="B1512" s="87"/>
      <c r="C1512" s="88"/>
      <c r="D1512" s="88"/>
      <c r="E1512" s="90"/>
      <c r="F1512" s="84" t="str">
        <f ca="1">IF(D1512="Income",LOOKUP(E1512,Introduction!$A$11:$A$18,Introduction!$C$11:$C$18),IF(D1512="Expense",LOOKUP(E1512,Introduction!$D$11:$D$30,Introduction!$F$11:$F$30),"_"))</f>
        <v>_</v>
      </c>
      <c r="G1512" s="88"/>
      <c r="H1512" s="92"/>
      <c r="I1512" s="85">
        <f t="shared" si="83"/>
        <v>0</v>
      </c>
      <c r="J1512" s="93"/>
      <c r="K1512" s="85">
        <f t="shared" si="84"/>
        <v>0</v>
      </c>
      <c r="L1512" s="68"/>
      <c r="M1512" s="68"/>
      <c r="P1512" s="89" t="str">
        <f t="shared" si="82"/>
        <v xml:space="preserve">  1 1900 </v>
      </c>
    </row>
    <row r="1513" spans="1:16">
      <c r="A1513" s="68"/>
      <c r="B1513" s="87"/>
      <c r="C1513" s="88"/>
      <c r="D1513" s="88"/>
      <c r="E1513" s="90"/>
      <c r="F1513" s="84" t="str">
        <f ca="1">IF(D1513="Income",LOOKUP(E1513,Introduction!$A$11:$A$18,Introduction!$C$11:$C$18),IF(D1513="Expense",LOOKUP(E1513,Introduction!$D$11:$D$30,Introduction!$F$11:$F$30),"_"))</f>
        <v>_</v>
      </c>
      <c r="G1513" s="88"/>
      <c r="H1513" s="92"/>
      <c r="I1513" s="85">
        <f t="shared" si="83"/>
        <v>0</v>
      </c>
      <c r="J1513" s="93"/>
      <c r="K1513" s="85">
        <f t="shared" si="84"/>
        <v>0</v>
      </c>
      <c r="L1513" s="68"/>
      <c r="M1513" s="68"/>
      <c r="P1513" s="89" t="str">
        <f t="shared" si="82"/>
        <v xml:space="preserve">  1 1900 </v>
      </c>
    </row>
    <row r="1514" spans="1:16">
      <c r="A1514" s="68"/>
      <c r="B1514" s="87"/>
      <c r="C1514" s="88"/>
      <c r="D1514" s="88"/>
      <c r="E1514" s="90"/>
      <c r="F1514" s="84" t="str">
        <f ca="1">IF(D1514="Income",LOOKUP(E1514,Introduction!$A$11:$A$18,Introduction!$C$11:$C$18),IF(D1514="Expense",LOOKUP(E1514,Introduction!$D$11:$D$30,Introduction!$F$11:$F$30),"_"))</f>
        <v>_</v>
      </c>
      <c r="G1514" s="88"/>
      <c r="H1514" s="92"/>
      <c r="I1514" s="85">
        <f t="shared" si="83"/>
        <v>0</v>
      </c>
      <c r="J1514" s="93"/>
      <c r="K1514" s="85">
        <f t="shared" si="84"/>
        <v>0</v>
      </c>
      <c r="L1514" s="68"/>
      <c r="M1514" s="68"/>
      <c r="P1514" s="89" t="str">
        <f t="shared" si="82"/>
        <v xml:space="preserve">  1 1900 </v>
      </c>
    </row>
    <row r="1515" spans="1:16">
      <c r="A1515" s="68"/>
      <c r="B1515" s="87"/>
      <c r="C1515" s="88"/>
      <c r="D1515" s="88"/>
      <c r="E1515" s="90"/>
      <c r="F1515" s="84" t="str">
        <f ca="1">IF(D1515="Income",LOOKUP(E1515,Introduction!$A$11:$A$18,Introduction!$C$11:$C$18),IF(D1515="Expense",LOOKUP(E1515,Introduction!$D$11:$D$30,Introduction!$F$11:$F$30),"_"))</f>
        <v>_</v>
      </c>
      <c r="G1515" s="88"/>
      <c r="H1515" s="92"/>
      <c r="I1515" s="85">
        <f t="shared" si="83"/>
        <v>0</v>
      </c>
      <c r="J1515" s="93"/>
      <c r="K1515" s="85">
        <f t="shared" si="84"/>
        <v>0</v>
      </c>
      <c r="L1515" s="68"/>
      <c r="M1515" s="68"/>
      <c r="P1515" s="89" t="str">
        <f t="shared" si="82"/>
        <v xml:space="preserve">  1 1900 </v>
      </c>
    </row>
    <row r="1516" spans="1:16">
      <c r="A1516" s="68"/>
      <c r="B1516" s="87"/>
      <c r="C1516" s="88"/>
      <c r="D1516" s="88"/>
      <c r="E1516" s="90"/>
      <c r="F1516" s="84" t="str">
        <f ca="1">IF(D1516="Income",LOOKUP(E1516,Introduction!$A$11:$A$18,Introduction!$C$11:$C$18),IF(D1516="Expense",LOOKUP(E1516,Introduction!$D$11:$D$30,Introduction!$F$11:$F$30),"_"))</f>
        <v>_</v>
      </c>
      <c r="G1516" s="88"/>
      <c r="H1516" s="92"/>
      <c r="I1516" s="85">
        <f t="shared" si="83"/>
        <v>0</v>
      </c>
      <c r="J1516" s="93"/>
      <c r="K1516" s="85">
        <f t="shared" si="84"/>
        <v>0</v>
      </c>
      <c r="L1516" s="68"/>
      <c r="M1516" s="68"/>
      <c r="P1516" s="89" t="str">
        <f t="shared" si="82"/>
        <v xml:space="preserve">  1 1900 </v>
      </c>
    </row>
    <row r="1517" spans="1:16">
      <c r="A1517" s="68"/>
      <c r="B1517" s="87"/>
      <c r="C1517" s="88"/>
      <c r="D1517" s="88"/>
      <c r="E1517" s="90"/>
      <c r="F1517" s="84" t="str">
        <f ca="1">IF(D1517="Income",LOOKUP(E1517,Introduction!$A$11:$A$18,Introduction!$C$11:$C$18),IF(D1517="Expense",LOOKUP(E1517,Introduction!$D$11:$D$30,Introduction!$F$11:$F$30),"_"))</f>
        <v>_</v>
      </c>
      <c r="G1517" s="88"/>
      <c r="H1517" s="92"/>
      <c r="I1517" s="85">
        <f t="shared" si="83"/>
        <v>0</v>
      </c>
      <c r="J1517" s="93"/>
      <c r="K1517" s="85">
        <f t="shared" si="84"/>
        <v>0</v>
      </c>
      <c r="L1517" s="68"/>
      <c r="M1517" s="68"/>
      <c r="P1517" s="89" t="str">
        <f t="shared" si="82"/>
        <v xml:space="preserve">  1 1900 </v>
      </c>
    </row>
    <row r="1518" spans="1:16">
      <c r="A1518" s="68"/>
      <c r="B1518" s="87"/>
      <c r="C1518" s="88"/>
      <c r="D1518" s="88"/>
      <c r="E1518" s="90"/>
      <c r="F1518" s="84" t="str">
        <f ca="1">IF(D1518="Income",LOOKUP(E1518,Introduction!$A$11:$A$18,Introduction!$C$11:$C$18),IF(D1518="Expense",LOOKUP(E1518,Introduction!$D$11:$D$30,Introduction!$F$11:$F$30),"_"))</f>
        <v>_</v>
      </c>
      <c r="G1518" s="88"/>
      <c r="H1518" s="92"/>
      <c r="I1518" s="85">
        <f t="shared" si="83"/>
        <v>0</v>
      </c>
      <c r="J1518" s="93"/>
      <c r="K1518" s="85">
        <f t="shared" si="84"/>
        <v>0</v>
      </c>
      <c r="L1518" s="68"/>
      <c r="M1518" s="68"/>
      <c r="P1518" s="89" t="str">
        <f t="shared" si="82"/>
        <v xml:space="preserve">  1 1900 </v>
      </c>
    </row>
    <row r="1519" spans="1:16">
      <c r="A1519" s="68"/>
      <c r="B1519" s="87"/>
      <c r="C1519" s="88"/>
      <c r="D1519" s="88"/>
      <c r="E1519" s="90"/>
      <c r="F1519" s="84" t="str">
        <f ca="1">IF(D1519="Income",LOOKUP(E1519,Introduction!$A$11:$A$18,Introduction!$C$11:$C$18),IF(D1519="Expense",LOOKUP(E1519,Introduction!$D$11:$D$30,Introduction!$F$11:$F$30),"_"))</f>
        <v>_</v>
      </c>
      <c r="G1519" s="88"/>
      <c r="H1519" s="92"/>
      <c r="I1519" s="85">
        <f t="shared" si="83"/>
        <v>0</v>
      </c>
      <c r="J1519" s="93"/>
      <c r="K1519" s="85">
        <f t="shared" si="84"/>
        <v>0</v>
      </c>
      <c r="L1519" s="68"/>
      <c r="M1519" s="68"/>
      <c r="P1519" s="89" t="str">
        <f t="shared" si="82"/>
        <v xml:space="preserve">  1 1900 </v>
      </c>
    </row>
    <row r="1520" spans="1:16">
      <c r="A1520" s="68"/>
      <c r="B1520" s="87"/>
      <c r="C1520" s="88"/>
      <c r="D1520" s="88"/>
      <c r="E1520" s="90"/>
      <c r="F1520" s="84" t="str">
        <f ca="1">IF(D1520="Income",LOOKUP(E1520,Introduction!$A$11:$A$18,Introduction!$C$11:$C$18),IF(D1520="Expense",LOOKUP(E1520,Introduction!$D$11:$D$30,Introduction!$F$11:$F$30),"_"))</f>
        <v>_</v>
      </c>
      <c r="G1520" s="88"/>
      <c r="H1520" s="92"/>
      <c r="I1520" s="85">
        <f t="shared" si="83"/>
        <v>0</v>
      </c>
      <c r="J1520" s="93"/>
      <c r="K1520" s="85">
        <f t="shared" si="84"/>
        <v>0</v>
      </c>
      <c r="L1520" s="68"/>
      <c r="M1520" s="68"/>
      <c r="P1520" s="89" t="str">
        <f t="shared" si="82"/>
        <v xml:space="preserve">  1 1900 </v>
      </c>
    </row>
    <row r="1521" spans="1:16">
      <c r="A1521" s="68"/>
      <c r="B1521" s="87"/>
      <c r="C1521" s="88"/>
      <c r="D1521" s="88"/>
      <c r="E1521" s="90"/>
      <c r="F1521" s="84" t="str">
        <f ca="1">IF(D1521="Income",LOOKUP(E1521,Introduction!$A$11:$A$18,Introduction!$C$11:$C$18),IF(D1521="Expense",LOOKUP(E1521,Introduction!$D$11:$D$30,Introduction!$F$11:$F$30),"_"))</f>
        <v>_</v>
      </c>
      <c r="G1521" s="88"/>
      <c r="H1521" s="92"/>
      <c r="I1521" s="85">
        <f t="shared" si="83"/>
        <v>0</v>
      </c>
      <c r="J1521" s="93"/>
      <c r="K1521" s="85">
        <f t="shared" si="84"/>
        <v>0</v>
      </c>
      <c r="L1521" s="68"/>
      <c r="M1521" s="68"/>
      <c r="P1521" s="89" t="str">
        <f t="shared" si="82"/>
        <v xml:space="preserve">  1 1900 </v>
      </c>
    </row>
    <row r="1522" spans="1:16">
      <c r="A1522" s="68"/>
      <c r="B1522" s="87"/>
      <c r="C1522" s="88"/>
      <c r="D1522" s="88"/>
      <c r="E1522" s="90"/>
      <c r="F1522" s="84" t="str">
        <f ca="1">IF(D1522="Income",LOOKUP(E1522,Introduction!$A$11:$A$18,Introduction!$C$11:$C$18),IF(D1522="Expense",LOOKUP(E1522,Introduction!$D$11:$D$30,Introduction!$F$11:$F$30),"_"))</f>
        <v>_</v>
      </c>
      <c r="G1522" s="88"/>
      <c r="H1522" s="92"/>
      <c r="I1522" s="85">
        <f t="shared" si="83"/>
        <v>0</v>
      </c>
      <c r="J1522" s="93"/>
      <c r="K1522" s="85">
        <f t="shared" si="84"/>
        <v>0</v>
      </c>
      <c r="L1522" s="68"/>
      <c r="M1522" s="68"/>
      <c r="P1522" s="89" t="str">
        <f t="shared" si="82"/>
        <v xml:space="preserve">  1 1900 </v>
      </c>
    </row>
    <row r="1523" spans="1:16">
      <c r="A1523" s="68"/>
      <c r="B1523" s="87"/>
      <c r="C1523" s="88"/>
      <c r="D1523" s="88"/>
      <c r="E1523" s="90"/>
      <c r="F1523" s="84" t="str">
        <f ca="1">IF(D1523="Income",LOOKUP(E1523,Introduction!$A$11:$A$18,Introduction!$C$11:$C$18),IF(D1523="Expense",LOOKUP(E1523,Introduction!$D$11:$D$30,Introduction!$F$11:$F$30),"_"))</f>
        <v>_</v>
      </c>
      <c r="G1523" s="88"/>
      <c r="H1523" s="92"/>
      <c r="I1523" s="85">
        <f t="shared" si="83"/>
        <v>0</v>
      </c>
      <c r="J1523" s="93"/>
      <c r="K1523" s="85">
        <f t="shared" si="84"/>
        <v>0</v>
      </c>
      <c r="L1523" s="68"/>
      <c r="M1523" s="68"/>
      <c r="P1523" s="89" t="str">
        <f t="shared" si="82"/>
        <v xml:space="preserve">  1 1900 </v>
      </c>
    </row>
    <row r="1524" spans="1:16">
      <c r="A1524" s="68"/>
      <c r="B1524" s="87"/>
      <c r="C1524" s="88"/>
      <c r="D1524" s="88"/>
      <c r="E1524" s="90"/>
      <c r="F1524" s="84" t="str">
        <f ca="1">IF(D1524="Income",LOOKUP(E1524,Introduction!$A$11:$A$18,Introduction!$C$11:$C$18),IF(D1524="Expense",LOOKUP(E1524,Introduction!$D$11:$D$30,Introduction!$F$11:$F$30),"_"))</f>
        <v>_</v>
      </c>
      <c r="G1524" s="88"/>
      <c r="H1524" s="92"/>
      <c r="I1524" s="85">
        <f t="shared" si="83"/>
        <v>0</v>
      </c>
      <c r="J1524" s="93"/>
      <c r="K1524" s="85">
        <f t="shared" si="84"/>
        <v>0</v>
      </c>
      <c r="L1524" s="68"/>
      <c r="M1524" s="68"/>
      <c r="P1524" s="89" t="str">
        <f t="shared" si="82"/>
        <v xml:space="preserve">  1 1900 </v>
      </c>
    </row>
    <row r="1525" spans="1:16">
      <c r="A1525" s="68"/>
      <c r="B1525" s="87"/>
      <c r="C1525" s="88"/>
      <c r="D1525" s="88"/>
      <c r="E1525" s="90"/>
      <c r="F1525" s="84" t="str">
        <f ca="1">IF(D1525="Income",LOOKUP(E1525,Introduction!$A$11:$A$18,Introduction!$C$11:$C$18),IF(D1525="Expense",LOOKUP(E1525,Introduction!$D$11:$D$30,Introduction!$F$11:$F$30),"_"))</f>
        <v>_</v>
      </c>
      <c r="G1525" s="88"/>
      <c r="H1525" s="92"/>
      <c r="I1525" s="85">
        <f t="shared" si="83"/>
        <v>0</v>
      </c>
      <c r="J1525" s="93"/>
      <c r="K1525" s="85">
        <f t="shared" si="84"/>
        <v>0</v>
      </c>
      <c r="L1525" s="68"/>
      <c r="M1525" s="68"/>
      <c r="P1525" s="89" t="str">
        <f t="shared" si="82"/>
        <v xml:space="preserve">  1 1900 </v>
      </c>
    </row>
    <row r="1526" spans="1:16">
      <c r="A1526" s="68"/>
      <c r="B1526" s="87"/>
      <c r="C1526" s="88"/>
      <c r="D1526" s="88"/>
      <c r="E1526" s="90"/>
      <c r="F1526" s="84" t="str">
        <f ca="1">IF(D1526="Income",LOOKUP(E1526,Introduction!$A$11:$A$18,Introduction!$C$11:$C$18),IF(D1526="Expense",LOOKUP(E1526,Introduction!$D$11:$D$30,Introduction!$F$11:$F$30),"_"))</f>
        <v>_</v>
      </c>
      <c r="G1526" s="88"/>
      <c r="H1526" s="92"/>
      <c r="I1526" s="85">
        <f t="shared" si="83"/>
        <v>0</v>
      </c>
      <c r="J1526" s="93"/>
      <c r="K1526" s="85">
        <f t="shared" si="84"/>
        <v>0</v>
      </c>
      <c r="L1526" s="68"/>
      <c r="M1526" s="68"/>
      <c r="P1526" s="89" t="str">
        <f t="shared" si="82"/>
        <v xml:space="preserve">  1 1900 </v>
      </c>
    </row>
    <row r="1527" spans="1:16">
      <c r="A1527" s="68"/>
      <c r="B1527" s="87"/>
      <c r="C1527" s="88"/>
      <c r="D1527" s="88"/>
      <c r="E1527" s="90"/>
      <c r="F1527" s="84" t="str">
        <f ca="1">IF(D1527="Income",LOOKUP(E1527,Introduction!$A$11:$A$18,Introduction!$C$11:$C$18),IF(D1527="Expense",LOOKUP(E1527,Introduction!$D$11:$D$30,Introduction!$F$11:$F$30),"_"))</f>
        <v>_</v>
      </c>
      <c r="G1527" s="88"/>
      <c r="H1527" s="92"/>
      <c r="I1527" s="85">
        <f t="shared" si="83"/>
        <v>0</v>
      </c>
      <c r="J1527" s="93"/>
      <c r="K1527" s="85">
        <f t="shared" si="84"/>
        <v>0</v>
      </c>
      <c r="L1527" s="68"/>
      <c r="M1527" s="68"/>
      <c r="P1527" s="89" t="str">
        <f t="shared" si="82"/>
        <v xml:space="preserve">  1 1900 </v>
      </c>
    </row>
    <row r="1528" spans="1:16">
      <c r="A1528" s="68"/>
      <c r="B1528" s="87"/>
      <c r="C1528" s="88"/>
      <c r="D1528" s="88"/>
      <c r="E1528" s="90"/>
      <c r="F1528" s="84" t="str">
        <f ca="1">IF(D1528="Income",LOOKUP(E1528,Introduction!$A$11:$A$18,Introduction!$C$11:$C$18),IF(D1528="Expense",LOOKUP(E1528,Introduction!$D$11:$D$30,Introduction!$F$11:$F$30),"_"))</f>
        <v>_</v>
      </c>
      <c r="G1528" s="88"/>
      <c r="H1528" s="92"/>
      <c r="I1528" s="85">
        <f t="shared" si="83"/>
        <v>0</v>
      </c>
      <c r="J1528" s="93"/>
      <c r="K1528" s="85">
        <f t="shared" si="84"/>
        <v>0</v>
      </c>
      <c r="L1528" s="68"/>
      <c r="M1528" s="68"/>
      <c r="P1528" s="89" t="str">
        <f t="shared" si="82"/>
        <v xml:space="preserve">  1 1900 </v>
      </c>
    </row>
    <row r="1529" spans="1:16">
      <c r="A1529" s="68"/>
      <c r="B1529" s="87"/>
      <c r="C1529" s="88"/>
      <c r="D1529" s="88"/>
      <c r="E1529" s="90"/>
      <c r="F1529" s="84" t="str">
        <f ca="1">IF(D1529="Income",LOOKUP(E1529,Introduction!$A$11:$A$18,Introduction!$C$11:$C$18),IF(D1529="Expense",LOOKUP(E1529,Introduction!$D$11:$D$30,Introduction!$F$11:$F$30),"_"))</f>
        <v>_</v>
      </c>
      <c r="G1529" s="88"/>
      <c r="H1529" s="92"/>
      <c r="I1529" s="85">
        <f t="shared" si="83"/>
        <v>0</v>
      </c>
      <c r="J1529" s="93"/>
      <c r="K1529" s="85">
        <f t="shared" si="84"/>
        <v>0</v>
      </c>
      <c r="L1529" s="68"/>
      <c r="M1529" s="68"/>
      <c r="P1529" s="89" t="str">
        <f t="shared" si="82"/>
        <v xml:space="preserve">  1 1900 </v>
      </c>
    </row>
    <row r="1530" spans="1:16">
      <c r="A1530" s="68"/>
      <c r="B1530" s="87"/>
      <c r="C1530" s="88"/>
      <c r="D1530" s="88"/>
      <c r="E1530" s="90"/>
      <c r="F1530" s="84" t="str">
        <f ca="1">IF(D1530="Income",LOOKUP(E1530,Introduction!$A$11:$A$18,Introduction!$C$11:$C$18),IF(D1530="Expense",LOOKUP(E1530,Introduction!$D$11:$D$30,Introduction!$F$11:$F$30),"_"))</f>
        <v>_</v>
      </c>
      <c r="G1530" s="88"/>
      <c r="H1530" s="92"/>
      <c r="I1530" s="85">
        <f t="shared" si="83"/>
        <v>0</v>
      </c>
      <c r="J1530" s="93"/>
      <c r="K1530" s="85">
        <f t="shared" si="84"/>
        <v>0</v>
      </c>
      <c r="L1530" s="68"/>
      <c r="M1530" s="68"/>
      <c r="P1530" s="89" t="str">
        <f t="shared" si="82"/>
        <v xml:space="preserve">  1 1900 </v>
      </c>
    </row>
    <row r="1531" spans="1:16">
      <c r="A1531" s="68"/>
      <c r="B1531" s="87"/>
      <c r="C1531" s="88"/>
      <c r="D1531" s="88"/>
      <c r="E1531" s="90"/>
      <c r="F1531" s="84" t="str">
        <f ca="1">IF(D1531="Income",LOOKUP(E1531,Introduction!$A$11:$A$18,Introduction!$C$11:$C$18),IF(D1531="Expense",LOOKUP(E1531,Introduction!$D$11:$D$30,Introduction!$F$11:$F$30),"_"))</f>
        <v>_</v>
      </c>
      <c r="G1531" s="88"/>
      <c r="H1531" s="92"/>
      <c r="I1531" s="85">
        <f t="shared" si="83"/>
        <v>0</v>
      </c>
      <c r="J1531" s="93"/>
      <c r="K1531" s="85">
        <f t="shared" si="84"/>
        <v>0</v>
      </c>
      <c r="L1531" s="68"/>
      <c r="M1531" s="68"/>
      <c r="P1531" s="89" t="str">
        <f t="shared" si="82"/>
        <v xml:space="preserve">  1 1900 </v>
      </c>
    </row>
    <row r="1532" spans="1:16">
      <c r="A1532" s="68"/>
      <c r="B1532" s="87"/>
      <c r="C1532" s="88"/>
      <c r="D1532" s="88"/>
      <c r="E1532" s="90"/>
      <c r="F1532" s="84" t="str">
        <f ca="1">IF(D1532="Income",LOOKUP(E1532,Introduction!$A$11:$A$18,Introduction!$C$11:$C$18),IF(D1532="Expense",LOOKUP(E1532,Introduction!$D$11:$D$30,Introduction!$F$11:$F$30),"_"))</f>
        <v>_</v>
      </c>
      <c r="G1532" s="88"/>
      <c r="H1532" s="92"/>
      <c r="I1532" s="85">
        <f t="shared" si="83"/>
        <v>0</v>
      </c>
      <c r="J1532" s="93"/>
      <c r="K1532" s="85">
        <f t="shared" si="84"/>
        <v>0</v>
      </c>
      <c r="L1532" s="68"/>
      <c r="M1532" s="68"/>
      <c r="P1532" s="89" t="str">
        <f t="shared" si="82"/>
        <v xml:space="preserve">  1 1900 </v>
      </c>
    </row>
    <row r="1533" spans="1:16">
      <c r="A1533" s="68"/>
      <c r="B1533" s="87"/>
      <c r="C1533" s="88"/>
      <c r="D1533" s="88"/>
      <c r="E1533" s="90"/>
      <c r="F1533" s="84" t="str">
        <f ca="1">IF(D1533="Income",LOOKUP(E1533,Introduction!$A$11:$A$18,Introduction!$C$11:$C$18),IF(D1533="Expense",LOOKUP(E1533,Introduction!$D$11:$D$30,Introduction!$F$11:$F$30),"_"))</f>
        <v>_</v>
      </c>
      <c r="G1533" s="88"/>
      <c r="H1533" s="92"/>
      <c r="I1533" s="85">
        <f t="shared" si="83"/>
        <v>0</v>
      </c>
      <c r="J1533" s="93"/>
      <c r="K1533" s="85">
        <f t="shared" si="84"/>
        <v>0</v>
      </c>
      <c r="L1533" s="68"/>
      <c r="M1533" s="68"/>
      <c r="P1533" s="89" t="str">
        <f t="shared" si="82"/>
        <v xml:space="preserve">  1 1900 </v>
      </c>
    </row>
    <row r="1534" spans="1:16">
      <c r="A1534" s="68"/>
      <c r="B1534" s="87"/>
      <c r="C1534" s="88"/>
      <c r="D1534" s="88"/>
      <c r="E1534" s="90"/>
      <c r="F1534" s="84" t="str">
        <f ca="1">IF(D1534="Income",LOOKUP(E1534,Introduction!$A$11:$A$18,Introduction!$C$11:$C$18),IF(D1534="Expense",LOOKUP(E1534,Introduction!$D$11:$D$30,Introduction!$F$11:$F$30),"_"))</f>
        <v>_</v>
      </c>
      <c r="G1534" s="88"/>
      <c r="H1534" s="92"/>
      <c r="I1534" s="85">
        <f t="shared" si="83"/>
        <v>0</v>
      </c>
      <c r="J1534" s="93"/>
      <c r="K1534" s="85">
        <f t="shared" si="84"/>
        <v>0</v>
      </c>
      <c r="L1534" s="68"/>
      <c r="M1534" s="68"/>
      <c r="P1534" s="89" t="str">
        <f t="shared" si="82"/>
        <v xml:space="preserve">  1 1900 </v>
      </c>
    </row>
    <row r="1535" spans="1:16">
      <c r="A1535" s="68"/>
      <c r="B1535" s="87"/>
      <c r="C1535" s="88"/>
      <c r="D1535" s="88"/>
      <c r="E1535" s="90"/>
      <c r="F1535" s="84" t="str">
        <f ca="1">IF(D1535="Income",LOOKUP(E1535,Introduction!$A$11:$A$18,Introduction!$C$11:$C$18),IF(D1535="Expense",LOOKUP(E1535,Introduction!$D$11:$D$30,Introduction!$F$11:$F$30),"_"))</f>
        <v>_</v>
      </c>
      <c r="G1535" s="88"/>
      <c r="H1535" s="92"/>
      <c r="I1535" s="85">
        <f t="shared" si="83"/>
        <v>0</v>
      </c>
      <c r="J1535" s="93"/>
      <c r="K1535" s="85">
        <f t="shared" si="84"/>
        <v>0</v>
      </c>
      <c r="L1535" s="68"/>
      <c r="M1535" s="68"/>
      <c r="P1535" s="89" t="str">
        <f t="shared" si="82"/>
        <v xml:space="preserve">  1 1900 </v>
      </c>
    </row>
    <row r="1536" spans="1:16">
      <c r="A1536" s="68"/>
      <c r="B1536" s="87"/>
      <c r="C1536" s="88"/>
      <c r="D1536" s="88"/>
      <c r="E1536" s="90"/>
      <c r="F1536" s="84" t="str">
        <f ca="1">IF(D1536="Income",LOOKUP(E1536,Introduction!$A$11:$A$18,Introduction!$C$11:$C$18),IF(D1536="Expense",LOOKUP(E1536,Introduction!$D$11:$D$30,Introduction!$F$11:$F$30),"_"))</f>
        <v>_</v>
      </c>
      <c r="G1536" s="88"/>
      <c r="H1536" s="92"/>
      <c r="I1536" s="85">
        <f t="shared" si="83"/>
        <v>0</v>
      </c>
      <c r="J1536" s="93"/>
      <c r="K1536" s="85">
        <f t="shared" si="84"/>
        <v>0</v>
      </c>
      <c r="L1536" s="68"/>
      <c r="M1536" s="68"/>
      <c r="P1536" s="89" t="str">
        <f t="shared" si="82"/>
        <v xml:space="preserve">  1 1900 </v>
      </c>
    </row>
    <row r="1537" spans="1:16">
      <c r="A1537" s="68"/>
      <c r="B1537" s="87"/>
      <c r="C1537" s="88"/>
      <c r="D1537" s="88"/>
      <c r="E1537" s="90"/>
      <c r="F1537" s="84" t="str">
        <f ca="1">IF(D1537="Income",LOOKUP(E1537,Introduction!$A$11:$A$18,Introduction!$C$11:$C$18),IF(D1537="Expense",LOOKUP(E1537,Introduction!$D$11:$D$30,Introduction!$F$11:$F$30),"_"))</f>
        <v>_</v>
      </c>
      <c r="G1537" s="88"/>
      <c r="H1537" s="92"/>
      <c r="I1537" s="85">
        <f t="shared" si="83"/>
        <v>0</v>
      </c>
      <c r="J1537" s="93"/>
      <c r="K1537" s="85">
        <f t="shared" si="84"/>
        <v>0</v>
      </c>
      <c r="L1537" s="68"/>
      <c r="M1537" s="68"/>
      <c r="P1537" s="89" t="str">
        <f t="shared" si="82"/>
        <v xml:space="preserve">  1 1900 </v>
      </c>
    </row>
    <row r="1538" spans="1:16">
      <c r="A1538" s="68"/>
      <c r="B1538" s="87"/>
      <c r="C1538" s="88"/>
      <c r="D1538" s="88"/>
      <c r="E1538" s="90"/>
      <c r="F1538" s="84" t="str">
        <f ca="1">IF(D1538="Income",LOOKUP(E1538,Introduction!$A$11:$A$18,Introduction!$C$11:$C$18),IF(D1538="Expense",LOOKUP(E1538,Introduction!$D$11:$D$30,Introduction!$F$11:$F$30),"_"))</f>
        <v>_</v>
      </c>
      <c r="G1538" s="88"/>
      <c r="H1538" s="92"/>
      <c r="I1538" s="85">
        <f t="shared" si="83"/>
        <v>0</v>
      </c>
      <c r="J1538" s="93"/>
      <c r="K1538" s="85">
        <f t="shared" si="84"/>
        <v>0</v>
      </c>
      <c r="L1538" s="68"/>
      <c r="M1538" s="68"/>
      <c r="P1538" s="89" t="str">
        <f t="shared" si="82"/>
        <v xml:space="preserve">  1 1900 </v>
      </c>
    </row>
    <row r="1539" spans="1:16">
      <c r="A1539" s="68"/>
      <c r="B1539" s="87"/>
      <c r="C1539" s="88"/>
      <c r="D1539" s="88"/>
      <c r="E1539" s="90"/>
      <c r="F1539" s="84" t="str">
        <f ca="1">IF(D1539="Income",LOOKUP(E1539,Introduction!$A$11:$A$18,Introduction!$C$11:$C$18),IF(D1539="Expense",LOOKUP(E1539,Introduction!$D$11:$D$30,Introduction!$F$11:$F$30),"_"))</f>
        <v>_</v>
      </c>
      <c r="G1539" s="88"/>
      <c r="H1539" s="92"/>
      <c r="I1539" s="85">
        <f t="shared" si="83"/>
        <v>0</v>
      </c>
      <c r="J1539" s="93"/>
      <c r="K1539" s="85">
        <f t="shared" si="84"/>
        <v>0</v>
      </c>
      <c r="L1539" s="68"/>
      <c r="M1539" s="68"/>
      <c r="P1539" s="89" t="str">
        <f t="shared" si="82"/>
        <v xml:space="preserve">  1 1900 </v>
      </c>
    </row>
    <row r="1540" spans="1:16">
      <c r="A1540" s="68"/>
      <c r="B1540" s="87"/>
      <c r="C1540" s="88"/>
      <c r="D1540" s="88"/>
      <c r="E1540" s="90"/>
      <c r="F1540" s="84" t="str">
        <f ca="1">IF(D1540="Income",LOOKUP(E1540,Introduction!$A$11:$A$18,Introduction!$C$11:$C$18),IF(D1540="Expense",LOOKUP(E1540,Introduction!$D$11:$D$30,Introduction!$F$11:$F$30),"_"))</f>
        <v>_</v>
      </c>
      <c r="G1540" s="88"/>
      <c r="H1540" s="92"/>
      <c r="I1540" s="85">
        <f t="shared" si="83"/>
        <v>0</v>
      </c>
      <c r="J1540" s="93"/>
      <c r="K1540" s="85">
        <f t="shared" si="84"/>
        <v>0</v>
      </c>
      <c r="L1540" s="68"/>
      <c r="M1540" s="68"/>
      <c r="P1540" s="89" t="str">
        <f t="shared" si="82"/>
        <v xml:space="preserve">  1 1900 </v>
      </c>
    </row>
    <row r="1541" spans="1:16">
      <c r="A1541" s="68"/>
      <c r="B1541" s="87"/>
      <c r="C1541" s="88"/>
      <c r="D1541" s="88"/>
      <c r="E1541" s="90"/>
      <c r="F1541" s="84" t="str">
        <f ca="1">IF(D1541="Income",LOOKUP(E1541,Introduction!$A$11:$A$18,Introduction!$C$11:$C$18),IF(D1541="Expense",LOOKUP(E1541,Introduction!$D$11:$D$30,Introduction!$F$11:$F$30),"_"))</f>
        <v>_</v>
      </c>
      <c r="G1541" s="88"/>
      <c r="H1541" s="92"/>
      <c r="I1541" s="85">
        <f t="shared" si="83"/>
        <v>0</v>
      </c>
      <c r="J1541" s="93"/>
      <c r="K1541" s="85">
        <f t="shared" si="84"/>
        <v>0</v>
      </c>
      <c r="L1541" s="68"/>
      <c r="M1541" s="68"/>
      <c r="P1541" s="89" t="str">
        <f t="shared" si="82"/>
        <v xml:space="preserve">  1 1900 </v>
      </c>
    </row>
    <row r="1542" spans="1:16">
      <c r="A1542" s="68"/>
      <c r="B1542" s="87"/>
      <c r="C1542" s="88"/>
      <c r="D1542" s="88"/>
      <c r="E1542" s="90"/>
      <c r="F1542" s="84" t="str">
        <f ca="1">IF(D1542="Income",LOOKUP(E1542,Introduction!$A$11:$A$18,Introduction!$C$11:$C$18),IF(D1542="Expense",LOOKUP(E1542,Introduction!$D$11:$D$30,Introduction!$F$11:$F$30),"_"))</f>
        <v>_</v>
      </c>
      <c r="G1542" s="88"/>
      <c r="H1542" s="92"/>
      <c r="I1542" s="85">
        <f t="shared" si="83"/>
        <v>0</v>
      </c>
      <c r="J1542" s="93"/>
      <c r="K1542" s="85">
        <f t="shared" si="84"/>
        <v>0</v>
      </c>
      <c r="L1542" s="68"/>
      <c r="M1542" s="68"/>
      <c r="P1542" s="89" t="str">
        <f t="shared" si="82"/>
        <v xml:space="preserve">  1 1900 </v>
      </c>
    </row>
    <row r="1543" spans="1:16">
      <c r="A1543" s="68"/>
      <c r="B1543" s="87"/>
      <c r="C1543" s="88"/>
      <c r="D1543" s="88"/>
      <c r="E1543" s="90"/>
      <c r="F1543" s="84" t="str">
        <f ca="1">IF(D1543="Income",LOOKUP(E1543,Introduction!$A$11:$A$18,Introduction!$C$11:$C$18),IF(D1543="Expense",LOOKUP(E1543,Introduction!$D$11:$D$30,Introduction!$F$11:$F$30),"_"))</f>
        <v>_</v>
      </c>
      <c r="G1543" s="88"/>
      <c r="H1543" s="92"/>
      <c r="I1543" s="85">
        <f t="shared" si="83"/>
        <v>0</v>
      </c>
      <c r="J1543" s="93"/>
      <c r="K1543" s="85">
        <f t="shared" si="84"/>
        <v>0</v>
      </c>
      <c r="L1543" s="68"/>
      <c r="M1543" s="68"/>
      <c r="P1543" s="89" t="str">
        <f t="shared" ref="P1543:P1606" si="85">CONCATENATE(D1543," ",E1543," ",MONTH(C1543)," ",YEAR(C1543)," ")</f>
        <v xml:space="preserve">  1 1900 </v>
      </c>
    </row>
    <row r="1544" spans="1:16">
      <c r="A1544" s="68"/>
      <c r="B1544" s="87"/>
      <c r="C1544" s="88"/>
      <c r="D1544" s="88"/>
      <c r="E1544" s="90"/>
      <c r="F1544" s="84" t="str">
        <f ca="1">IF(D1544="Income",LOOKUP(E1544,Introduction!$A$11:$A$18,Introduction!$C$11:$C$18),IF(D1544="Expense",LOOKUP(E1544,Introduction!$D$11:$D$30,Introduction!$F$11:$F$30),"_"))</f>
        <v>_</v>
      </c>
      <c r="G1544" s="88"/>
      <c r="H1544" s="92"/>
      <c r="I1544" s="85">
        <f t="shared" si="83"/>
        <v>0</v>
      </c>
      <c r="J1544" s="93"/>
      <c r="K1544" s="85">
        <f t="shared" si="84"/>
        <v>0</v>
      </c>
      <c r="L1544" s="68"/>
      <c r="M1544" s="68"/>
      <c r="P1544" s="89" t="str">
        <f t="shared" si="85"/>
        <v xml:space="preserve">  1 1900 </v>
      </c>
    </row>
    <row r="1545" spans="1:16">
      <c r="A1545" s="68"/>
      <c r="B1545" s="87"/>
      <c r="C1545" s="88"/>
      <c r="D1545" s="88"/>
      <c r="E1545" s="90"/>
      <c r="F1545" s="84" t="str">
        <f ca="1">IF(D1545="Income",LOOKUP(E1545,Introduction!$A$11:$A$18,Introduction!$C$11:$C$18),IF(D1545="Expense",LOOKUP(E1545,Introduction!$D$11:$D$30,Introduction!$F$11:$F$30),"_"))</f>
        <v>_</v>
      </c>
      <c r="G1545" s="88"/>
      <c r="H1545" s="92"/>
      <c r="I1545" s="85">
        <f t="shared" si="83"/>
        <v>0</v>
      </c>
      <c r="J1545" s="93"/>
      <c r="K1545" s="85">
        <f t="shared" si="84"/>
        <v>0</v>
      </c>
      <c r="L1545" s="68"/>
      <c r="M1545" s="68"/>
      <c r="P1545" s="89" t="str">
        <f t="shared" si="85"/>
        <v xml:space="preserve">  1 1900 </v>
      </c>
    </row>
    <row r="1546" spans="1:16">
      <c r="A1546" s="68"/>
      <c r="B1546" s="87"/>
      <c r="C1546" s="88"/>
      <c r="D1546" s="88"/>
      <c r="E1546" s="90"/>
      <c r="F1546" s="84" t="str">
        <f ca="1">IF(D1546="Income",LOOKUP(E1546,Introduction!$A$11:$A$18,Introduction!$C$11:$C$18),IF(D1546="Expense",LOOKUP(E1546,Introduction!$D$11:$D$30,Introduction!$F$11:$F$30),"_"))</f>
        <v>_</v>
      </c>
      <c r="G1546" s="88"/>
      <c r="H1546" s="92"/>
      <c r="I1546" s="85">
        <f t="shared" si="83"/>
        <v>0</v>
      </c>
      <c r="J1546" s="93"/>
      <c r="K1546" s="85">
        <f t="shared" si="84"/>
        <v>0</v>
      </c>
      <c r="L1546" s="68"/>
      <c r="M1546" s="68"/>
      <c r="P1546" s="89" t="str">
        <f t="shared" si="85"/>
        <v xml:space="preserve">  1 1900 </v>
      </c>
    </row>
    <row r="1547" spans="1:16">
      <c r="A1547" s="68"/>
      <c r="B1547" s="87"/>
      <c r="C1547" s="88"/>
      <c r="D1547" s="88"/>
      <c r="E1547" s="90"/>
      <c r="F1547" s="84" t="str">
        <f ca="1">IF(D1547="Income",LOOKUP(E1547,Introduction!$A$11:$A$18,Introduction!$C$11:$C$18),IF(D1547="Expense",LOOKUP(E1547,Introduction!$D$11:$D$30,Introduction!$F$11:$F$30),"_"))</f>
        <v>_</v>
      </c>
      <c r="G1547" s="88"/>
      <c r="H1547" s="92"/>
      <c r="I1547" s="85">
        <f t="shared" si="83"/>
        <v>0</v>
      </c>
      <c r="J1547" s="93"/>
      <c r="K1547" s="85">
        <f t="shared" si="84"/>
        <v>0</v>
      </c>
      <c r="L1547" s="68"/>
      <c r="M1547" s="68"/>
      <c r="P1547" s="89" t="str">
        <f t="shared" si="85"/>
        <v xml:space="preserve">  1 1900 </v>
      </c>
    </row>
    <row r="1548" spans="1:16">
      <c r="A1548" s="68"/>
      <c r="B1548" s="87"/>
      <c r="C1548" s="88"/>
      <c r="D1548" s="88"/>
      <c r="E1548" s="90"/>
      <c r="F1548" s="84" t="str">
        <f ca="1">IF(D1548="Income",LOOKUP(E1548,Introduction!$A$11:$A$18,Introduction!$C$11:$C$18),IF(D1548="Expense",LOOKUP(E1548,Introduction!$D$11:$D$30,Introduction!$F$11:$F$30),"_"))</f>
        <v>_</v>
      </c>
      <c r="G1548" s="88"/>
      <c r="H1548" s="92"/>
      <c r="I1548" s="85">
        <f t="shared" si="83"/>
        <v>0</v>
      </c>
      <c r="J1548" s="93"/>
      <c r="K1548" s="85">
        <f t="shared" si="84"/>
        <v>0</v>
      </c>
      <c r="L1548" s="68"/>
      <c r="M1548" s="68"/>
      <c r="P1548" s="89" t="str">
        <f t="shared" si="85"/>
        <v xml:space="preserve">  1 1900 </v>
      </c>
    </row>
    <row r="1549" spans="1:16">
      <c r="A1549" s="68"/>
      <c r="B1549" s="87"/>
      <c r="C1549" s="88"/>
      <c r="D1549" s="88"/>
      <c r="E1549" s="90"/>
      <c r="F1549" s="84" t="str">
        <f ca="1">IF(D1549="Income",LOOKUP(E1549,Introduction!$A$11:$A$18,Introduction!$C$11:$C$18),IF(D1549="Expense",LOOKUP(E1549,Introduction!$D$11:$D$30,Introduction!$F$11:$F$30),"_"))</f>
        <v>_</v>
      </c>
      <c r="G1549" s="88"/>
      <c r="H1549" s="92"/>
      <c r="I1549" s="85">
        <f t="shared" si="83"/>
        <v>0</v>
      </c>
      <c r="J1549" s="93"/>
      <c r="K1549" s="85">
        <f t="shared" si="84"/>
        <v>0</v>
      </c>
      <c r="L1549" s="68"/>
      <c r="M1549" s="68"/>
      <c r="P1549" s="89" t="str">
        <f t="shared" si="85"/>
        <v xml:space="preserve">  1 1900 </v>
      </c>
    </row>
    <row r="1550" spans="1:16">
      <c r="A1550" s="68"/>
      <c r="B1550" s="87"/>
      <c r="C1550" s="88"/>
      <c r="D1550" s="88"/>
      <c r="E1550" s="90"/>
      <c r="F1550" s="84" t="str">
        <f ca="1">IF(D1550="Income",LOOKUP(E1550,Introduction!$A$11:$A$18,Introduction!$C$11:$C$18),IF(D1550="Expense",LOOKUP(E1550,Introduction!$D$11:$D$30,Introduction!$F$11:$F$30),"_"))</f>
        <v>_</v>
      </c>
      <c r="G1550" s="88"/>
      <c r="H1550" s="92"/>
      <c r="I1550" s="85">
        <f t="shared" si="83"/>
        <v>0</v>
      </c>
      <c r="J1550" s="93"/>
      <c r="K1550" s="85">
        <f t="shared" si="84"/>
        <v>0</v>
      </c>
      <c r="L1550" s="68"/>
      <c r="M1550" s="68"/>
      <c r="P1550" s="89" t="str">
        <f t="shared" si="85"/>
        <v xml:space="preserve">  1 1900 </v>
      </c>
    </row>
    <row r="1551" spans="1:16">
      <c r="A1551" s="68"/>
      <c r="B1551" s="87"/>
      <c r="C1551" s="88"/>
      <c r="D1551" s="88"/>
      <c r="E1551" s="90"/>
      <c r="F1551" s="84" t="str">
        <f ca="1">IF(D1551="Income",LOOKUP(E1551,Introduction!$A$11:$A$18,Introduction!$C$11:$C$18),IF(D1551="Expense",LOOKUP(E1551,Introduction!$D$11:$D$30,Introduction!$F$11:$F$30),"_"))</f>
        <v>_</v>
      </c>
      <c r="G1551" s="88"/>
      <c r="H1551" s="92"/>
      <c r="I1551" s="85">
        <f t="shared" si="83"/>
        <v>0</v>
      </c>
      <c r="J1551" s="93"/>
      <c r="K1551" s="85">
        <f t="shared" si="84"/>
        <v>0</v>
      </c>
      <c r="L1551" s="68"/>
      <c r="M1551" s="68"/>
      <c r="P1551" s="89" t="str">
        <f t="shared" si="85"/>
        <v xml:space="preserve">  1 1900 </v>
      </c>
    </row>
    <row r="1552" spans="1:16">
      <c r="A1552" s="68"/>
      <c r="B1552" s="87"/>
      <c r="C1552" s="88"/>
      <c r="D1552" s="88"/>
      <c r="E1552" s="90"/>
      <c r="F1552" s="84" t="str">
        <f ca="1">IF(D1552="Income",LOOKUP(E1552,Introduction!$A$11:$A$18,Introduction!$C$11:$C$18),IF(D1552="Expense",LOOKUP(E1552,Introduction!$D$11:$D$30,Introduction!$F$11:$F$30),"_"))</f>
        <v>_</v>
      </c>
      <c r="G1552" s="88"/>
      <c r="H1552" s="92"/>
      <c r="I1552" s="85">
        <f t="shared" si="83"/>
        <v>0</v>
      </c>
      <c r="J1552" s="93"/>
      <c r="K1552" s="85">
        <f t="shared" si="84"/>
        <v>0</v>
      </c>
      <c r="L1552" s="68"/>
      <c r="M1552" s="68"/>
      <c r="P1552" s="89" t="str">
        <f t="shared" si="85"/>
        <v xml:space="preserve">  1 1900 </v>
      </c>
    </row>
    <row r="1553" spans="1:16">
      <c r="A1553" s="68"/>
      <c r="B1553" s="87"/>
      <c r="C1553" s="88"/>
      <c r="D1553" s="88"/>
      <c r="E1553" s="90"/>
      <c r="F1553" s="84" t="str">
        <f ca="1">IF(D1553="Income",LOOKUP(E1553,Introduction!$A$11:$A$18,Introduction!$C$11:$C$18),IF(D1553="Expense",LOOKUP(E1553,Introduction!$D$11:$D$30,Introduction!$F$11:$F$30),"_"))</f>
        <v>_</v>
      </c>
      <c r="G1553" s="88"/>
      <c r="H1553" s="92"/>
      <c r="I1553" s="85">
        <f t="shared" ref="I1553:I1616" si="86">+I1552+H1553</f>
        <v>0</v>
      </c>
      <c r="J1553" s="93"/>
      <c r="K1553" s="85">
        <f t="shared" ref="K1553:K1616" si="87">IF(J1553=1,K1552+H1553,++K1552)</f>
        <v>0</v>
      </c>
      <c r="L1553" s="68"/>
      <c r="M1553" s="68"/>
      <c r="P1553" s="89" t="str">
        <f t="shared" si="85"/>
        <v xml:space="preserve">  1 1900 </v>
      </c>
    </row>
    <row r="1554" spans="1:16">
      <c r="A1554" s="68"/>
      <c r="B1554" s="87"/>
      <c r="C1554" s="88"/>
      <c r="D1554" s="88"/>
      <c r="E1554" s="90"/>
      <c r="F1554" s="84" t="str">
        <f ca="1">IF(D1554="Income",LOOKUP(E1554,Introduction!$A$11:$A$18,Introduction!$C$11:$C$18),IF(D1554="Expense",LOOKUP(E1554,Introduction!$D$11:$D$30,Introduction!$F$11:$F$30),"_"))</f>
        <v>_</v>
      </c>
      <c r="G1554" s="88"/>
      <c r="H1554" s="92"/>
      <c r="I1554" s="85">
        <f t="shared" si="86"/>
        <v>0</v>
      </c>
      <c r="J1554" s="93"/>
      <c r="K1554" s="85">
        <f t="shared" si="87"/>
        <v>0</v>
      </c>
      <c r="L1554" s="68"/>
      <c r="M1554" s="68"/>
      <c r="P1554" s="89" t="str">
        <f t="shared" si="85"/>
        <v xml:space="preserve">  1 1900 </v>
      </c>
    </row>
    <row r="1555" spans="1:16">
      <c r="A1555" s="68"/>
      <c r="B1555" s="87"/>
      <c r="C1555" s="88"/>
      <c r="D1555" s="88"/>
      <c r="E1555" s="90"/>
      <c r="F1555" s="84" t="str">
        <f ca="1">IF(D1555="Income",LOOKUP(E1555,Introduction!$A$11:$A$18,Introduction!$C$11:$C$18),IF(D1555="Expense",LOOKUP(E1555,Introduction!$D$11:$D$30,Introduction!$F$11:$F$30),"_"))</f>
        <v>_</v>
      </c>
      <c r="G1555" s="88"/>
      <c r="H1555" s="92"/>
      <c r="I1555" s="85">
        <f t="shared" si="86"/>
        <v>0</v>
      </c>
      <c r="J1555" s="93"/>
      <c r="K1555" s="85">
        <f t="shared" si="87"/>
        <v>0</v>
      </c>
      <c r="L1555" s="68"/>
      <c r="M1555" s="68"/>
      <c r="P1555" s="89" t="str">
        <f t="shared" si="85"/>
        <v xml:space="preserve">  1 1900 </v>
      </c>
    </row>
    <row r="1556" spans="1:16">
      <c r="A1556" s="68"/>
      <c r="B1556" s="87"/>
      <c r="C1556" s="88"/>
      <c r="D1556" s="88"/>
      <c r="E1556" s="90"/>
      <c r="F1556" s="84" t="str">
        <f ca="1">IF(D1556="Income",LOOKUP(E1556,Introduction!$A$11:$A$18,Introduction!$C$11:$C$18),IF(D1556="Expense",LOOKUP(E1556,Introduction!$D$11:$D$30,Introduction!$F$11:$F$30),"_"))</f>
        <v>_</v>
      </c>
      <c r="G1556" s="88"/>
      <c r="H1556" s="92"/>
      <c r="I1556" s="85">
        <f t="shared" si="86"/>
        <v>0</v>
      </c>
      <c r="J1556" s="93"/>
      <c r="K1556" s="85">
        <f t="shared" si="87"/>
        <v>0</v>
      </c>
      <c r="L1556" s="68"/>
      <c r="M1556" s="68"/>
      <c r="P1556" s="89" t="str">
        <f t="shared" si="85"/>
        <v xml:space="preserve">  1 1900 </v>
      </c>
    </row>
    <row r="1557" spans="1:16">
      <c r="A1557" s="68"/>
      <c r="B1557" s="87"/>
      <c r="C1557" s="88"/>
      <c r="D1557" s="88"/>
      <c r="E1557" s="90"/>
      <c r="F1557" s="84" t="str">
        <f ca="1">IF(D1557="Income",LOOKUP(E1557,Introduction!$A$11:$A$18,Introduction!$C$11:$C$18),IF(D1557="Expense",LOOKUP(E1557,Introduction!$D$11:$D$30,Introduction!$F$11:$F$30),"_"))</f>
        <v>_</v>
      </c>
      <c r="G1557" s="88"/>
      <c r="H1557" s="92"/>
      <c r="I1557" s="85">
        <f t="shared" si="86"/>
        <v>0</v>
      </c>
      <c r="J1557" s="93"/>
      <c r="K1557" s="85">
        <f t="shared" si="87"/>
        <v>0</v>
      </c>
      <c r="L1557" s="68"/>
      <c r="M1557" s="68"/>
      <c r="P1557" s="89" t="str">
        <f t="shared" si="85"/>
        <v xml:space="preserve">  1 1900 </v>
      </c>
    </row>
    <row r="1558" spans="1:16">
      <c r="A1558" s="68"/>
      <c r="B1558" s="87"/>
      <c r="C1558" s="88"/>
      <c r="D1558" s="88"/>
      <c r="E1558" s="90"/>
      <c r="F1558" s="84" t="str">
        <f ca="1">IF(D1558="Income",LOOKUP(E1558,Introduction!$A$11:$A$18,Introduction!$C$11:$C$18),IF(D1558="Expense",LOOKUP(E1558,Introduction!$D$11:$D$30,Introduction!$F$11:$F$30),"_"))</f>
        <v>_</v>
      </c>
      <c r="G1558" s="88"/>
      <c r="H1558" s="92"/>
      <c r="I1558" s="85">
        <f t="shared" si="86"/>
        <v>0</v>
      </c>
      <c r="J1558" s="93"/>
      <c r="K1558" s="85">
        <f t="shared" si="87"/>
        <v>0</v>
      </c>
      <c r="L1558" s="68"/>
      <c r="M1558" s="68"/>
      <c r="P1558" s="89" t="str">
        <f t="shared" si="85"/>
        <v xml:space="preserve">  1 1900 </v>
      </c>
    </row>
    <row r="1559" spans="1:16">
      <c r="A1559" s="68"/>
      <c r="B1559" s="87"/>
      <c r="C1559" s="88"/>
      <c r="D1559" s="88"/>
      <c r="E1559" s="90"/>
      <c r="F1559" s="84" t="str">
        <f ca="1">IF(D1559="Income",LOOKUP(E1559,Introduction!$A$11:$A$18,Introduction!$C$11:$C$18),IF(D1559="Expense",LOOKUP(E1559,Introduction!$D$11:$D$30,Introduction!$F$11:$F$30),"_"))</f>
        <v>_</v>
      </c>
      <c r="G1559" s="88"/>
      <c r="H1559" s="92"/>
      <c r="I1559" s="85">
        <f t="shared" si="86"/>
        <v>0</v>
      </c>
      <c r="J1559" s="93"/>
      <c r="K1559" s="85">
        <f t="shared" si="87"/>
        <v>0</v>
      </c>
      <c r="L1559" s="68"/>
      <c r="M1559" s="68"/>
      <c r="P1559" s="89" t="str">
        <f t="shared" si="85"/>
        <v xml:space="preserve">  1 1900 </v>
      </c>
    </row>
    <row r="1560" spans="1:16">
      <c r="A1560" s="68"/>
      <c r="B1560" s="87"/>
      <c r="C1560" s="88"/>
      <c r="D1560" s="88"/>
      <c r="E1560" s="90"/>
      <c r="F1560" s="84" t="str">
        <f ca="1">IF(D1560="Income",LOOKUP(E1560,Introduction!$A$11:$A$18,Introduction!$C$11:$C$18),IF(D1560="Expense",LOOKUP(E1560,Introduction!$D$11:$D$30,Introduction!$F$11:$F$30),"_"))</f>
        <v>_</v>
      </c>
      <c r="G1560" s="88"/>
      <c r="H1560" s="92"/>
      <c r="I1560" s="85">
        <f t="shared" si="86"/>
        <v>0</v>
      </c>
      <c r="J1560" s="93"/>
      <c r="K1560" s="85">
        <f t="shared" si="87"/>
        <v>0</v>
      </c>
      <c r="L1560" s="68"/>
      <c r="M1560" s="68"/>
      <c r="P1560" s="89" t="str">
        <f t="shared" si="85"/>
        <v xml:space="preserve">  1 1900 </v>
      </c>
    </row>
    <row r="1561" spans="1:16">
      <c r="A1561" s="68"/>
      <c r="B1561" s="87"/>
      <c r="C1561" s="88"/>
      <c r="D1561" s="88"/>
      <c r="E1561" s="90"/>
      <c r="F1561" s="84" t="str">
        <f ca="1">IF(D1561="Income",LOOKUP(E1561,Introduction!$A$11:$A$18,Introduction!$C$11:$C$18),IF(D1561="Expense",LOOKUP(E1561,Introduction!$D$11:$D$30,Introduction!$F$11:$F$30),"_"))</f>
        <v>_</v>
      </c>
      <c r="G1561" s="88"/>
      <c r="H1561" s="92"/>
      <c r="I1561" s="85">
        <f t="shared" si="86"/>
        <v>0</v>
      </c>
      <c r="J1561" s="93"/>
      <c r="K1561" s="85">
        <f t="shared" si="87"/>
        <v>0</v>
      </c>
      <c r="L1561" s="68"/>
      <c r="M1561" s="68"/>
      <c r="P1561" s="89" t="str">
        <f t="shared" si="85"/>
        <v xml:space="preserve">  1 1900 </v>
      </c>
    </row>
    <row r="1562" spans="1:16">
      <c r="A1562" s="68"/>
      <c r="B1562" s="87"/>
      <c r="C1562" s="88"/>
      <c r="D1562" s="88"/>
      <c r="E1562" s="90"/>
      <c r="F1562" s="84" t="str">
        <f ca="1">IF(D1562="Income",LOOKUP(E1562,Introduction!$A$11:$A$18,Introduction!$C$11:$C$18),IF(D1562="Expense",LOOKUP(E1562,Introduction!$D$11:$D$30,Introduction!$F$11:$F$30),"_"))</f>
        <v>_</v>
      </c>
      <c r="G1562" s="88"/>
      <c r="H1562" s="92"/>
      <c r="I1562" s="85">
        <f t="shared" si="86"/>
        <v>0</v>
      </c>
      <c r="J1562" s="93"/>
      <c r="K1562" s="85">
        <f t="shared" si="87"/>
        <v>0</v>
      </c>
      <c r="L1562" s="68"/>
      <c r="M1562" s="68"/>
      <c r="P1562" s="89" t="str">
        <f t="shared" si="85"/>
        <v xml:space="preserve">  1 1900 </v>
      </c>
    </row>
    <row r="1563" spans="1:16">
      <c r="A1563" s="68"/>
      <c r="B1563" s="87"/>
      <c r="C1563" s="88"/>
      <c r="D1563" s="88"/>
      <c r="E1563" s="90"/>
      <c r="F1563" s="84" t="str">
        <f ca="1">IF(D1563="Income",LOOKUP(E1563,Introduction!$A$11:$A$18,Introduction!$C$11:$C$18),IF(D1563="Expense",LOOKUP(E1563,Introduction!$D$11:$D$30,Introduction!$F$11:$F$30),"_"))</f>
        <v>_</v>
      </c>
      <c r="G1563" s="88"/>
      <c r="H1563" s="92"/>
      <c r="I1563" s="85">
        <f t="shared" si="86"/>
        <v>0</v>
      </c>
      <c r="J1563" s="93"/>
      <c r="K1563" s="85">
        <f t="shared" si="87"/>
        <v>0</v>
      </c>
      <c r="L1563" s="68"/>
      <c r="M1563" s="68"/>
      <c r="P1563" s="89" t="str">
        <f t="shared" si="85"/>
        <v xml:space="preserve">  1 1900 </v>
      </c>
    </row>
    <row r="1564" spans="1:16">
      <c r="A1564" s="68"/>
      <c r="B1564" s="87"/>
      <c r="C1564" s="88"/>
      <c r="D1564" s="88"/>
      <c r="E1564" s="90"/>
      <c r="F1564" s="84" t="str">
        <f ca="1">IF(D1564="Income",LOOKUP(E1564,Introduction!$A$11:$A$18,Introduction!$C$11:$C$18),IF(D1564="Expense",LOOKUP(E1564,Introduction!$D$11:$D$30,Introduction!$F$11:$F$30),"_"))</f>
        <v>_</v>
      </c>
      <c r="G1564" s="88"/>
      <c r="H1564" s="92"/>
      <c r="I1564" s="85">
        <f t="shared" si="86"/>
        <v>0</v>
      </c>
      <c r="J1564" s="93"/>
      <c r="K1564" s="85">
        <f t="shared" si="87"/>
        <v>0</v>
      </c>
      <c r="L1564" s="68"/>
      <c r="M1564" s="68"/>
      <c r="P1564" s="89" t="str">
        <f t="shared" si="85"/>
        <v xml:space="preserve">  1 1900 </v>
      </c>
    </row>
    <row r="1565" spans="1:16">
      <c r="A1565" s="68"/>
      <c r="B1565" s="87"/>
      <c r="C1565" s="88"/>
      <c r="D1565" s="88"/>
      <c r="E1565" s="90"/>
      <c r="F1565" s="84" t="str">
        <f ca="1">IF(D1565="Income",LOOKUP(E1565,Introduction!$A$11:$A$18,Introduction!$C$11:$C$18),IF(D1565="Expense",LOOKUP(E1565,Introduction!$D$11:$D$30,Introduction!$F$11:$F$30),"_"))</f>
        <v>_</v>
      </c>
      <c r="G1565" s="88"/>
      <c r="H1565" s="92"/>
      <c r="I1565" s="85">
        <f t="shared" si="86"/>
        <v>0</v>
      </c>
      <c r="J1565" s="93"/>
      <c r="K1565" s="85">
        <f t="shared" si="87"/>
        <v>0</v>
      </c>
      <c r="L1565" s="68"/>
      <c r="M1565" s="68"/>
      <c r="P1565" s="89" t="str">
        <f t="shared" si="85"/>
        <v xml:space="preserve">  1 1900 </v>
      </c>
    </row>
    <row r="1566" spans="1:16">
      <c r="A1566" s="68"/>
      <c r="B1566" s="87"/>
      <c r="C1566" s="88"/>
      <c r="D1566" s="88"/>
      <c r="E1566" s="90"/>
      <c r="F1566" s="84" t="str">
        <f ca="1">IF(D1566="Income",LOOKUP(E1566,Introduction!$A$11:$A$18,Introduction!$C$11:$C$18),IF(D1566="Expense",LOOKUP(E1566,Introduction!$D$11:$D$30,Introduction!$F$11:$F$30),"_"))</f>
        <v>_</v>
      </c>
      <c r="G1566" s="88"/>
      <c r="H1566" s="92"/>
      <c r="I1566" s="85">
        <f t="shared" si="86"/>
        <v>0</v>
      </c>
      <c r="J1566" s="93"/>
      <c r="K1566" s="85">
        <f t="shared" si="87"/>
        <v>0</v>
      </c>
      <c r="L1566" s="68"/>
      <c r="M1566" s="68"/>
      <c r="P1566" s="89" t="str">
        <f t="shared" si="85"/>
        <v xml:space="preserve">  1 1900 </v>
      </c>
    </row>
    <row r="1567" spans="1:16">
      <c r="A1567" s="68"/>
      <c r="B1567" s="87"/>
      <c r="C1567" s="88"/>
      <c r="D1567" s="88"/>
      <c r="E1567" s="90"/>
      <c r="F1567" s="84" t="str">
        <f ca="1">IF(D1567="Income",LOOKUP(E1567,Introduction!$A$11:$A$18,Introduction!$C$11:$C$18),IF(D1567="Expense",LOOKUP(E1567,Introduction!$D$11:$D$30,Introduction!$F$11:$F$30),"_"))</f>
        <v>_</v>
      </c>
      <c r="G1567" s="88"/>
      <c r="H1567" s="92"/>
      <c r="I1567" s="85">
        <f t="shared" si="86"/>
        <v>0</v>
      </c>
      <c r="J1567" s="93"/>
      <c r="K1567" s="85">
        <f t="shared" si="87"/>
        <v>0</v>
      </c>
      <c r="L1567" s="68"/>
      <c r="M1567" s="68"/>
      <c r="P1567" s="89" t="str">
        <f t="shared" si="85"/>
        <v xml:space="preserve">  1 1900 </v>
      </c>
    </row>
    <row r="1568" spans="1:16">
      <c r="A1568" s="68"/>
      <c r="B1568" s="87"/>
      <c r="C1568" s="88"/>
      <c r="D1568" s="88"/>
      <c r="E1568" s="90"/>
      <c r="F1568" s="84" t="str">
        <f ca="1">IF(D1568="Income",LOOKUP(E1568,Introduction!$A$11:$A$18,Introduction!$C$11:$C$18),IF(D1568="Expense",LOOKUP(E1568,Introduction!$D$11:$D$30,Introduction!$F$11:$F$30),"_"))</f>
        <v>_</v>
      </c>
      <c r="G1568" s="88"/>
      <c r="H1568" s="92"/>
      <c r="I1568" s="85">
        <f t="shared" si="86"/>
        <v>0</v>
      </c>
      <c r="J1568" s="93"/>
      <c r="K1568" s="85">
        <f t="shared" si="87"/>
        <v>0</v>
      </c>
      <c r="L1568" s="68"/>
      <c r="M1568" s="68"/>
      <c r="P1568" s="89" t="str">
        <f t="shared" si="85"/>
        <v xml:space="preserve">  1 1900 </v>
      </c>
    </row>
    <row r="1569" spans="1:16">
      <c r="A1569" s="68"/>
      <c r="B1569" s="87"/>
      <c r="C1569" s="88"/>
      <c r="D1569" s="88"/>
      <c r="E1569" s="90"/>
      <c r="F1569" s="84" t="str">
        <f ca="1">IF(D1569="Income",LOOKUP(E1569,Introduction!$A$11:$A$18,Introduction!$C$11:$C$18),IF(D1569="Expense",LOOKUP(E1569,Introduction!$D$11:$D$30,Introduction!$F$11:$F$30),"_"))</f>
        <v>_</v>
      </c>
      <c r="G1569" s="88"/>
      <c r="H1569" s="92"/>
      <c r="I1569" s="85">
        <f t="shared" si="86"/>
        <v>0</v>
      </c>
      <c r="J1569" s="93"/>
      <c r="K1569" s="85">
        <f t="shared" si="87"/>
        <v>0</v>
      </c>
      <c r="L1569" s="68"/>
      <c r="M1569" s="68"/>
      <c r="P1569" s="89" t="str">
        <f t="shared" si="85"/>
        <v xml:space="preserve">  1 1900 </v>
      </c>
    </row>
    <row r="1570" spans="1:16">
      <c r="A1570" s="68"/>
      <c r="B1570" s="87"/>
      <c r="C1570" s="88"/>
      <c r="D1570" s="88"/>
      <c r="E1570" s="90"/>
      <c r="F1570" s="84" t="str">
        <f ca="1">IF(D1570="Income",LOOKUP(E1570,Introduction!$A$11:$A$18,Introduction!$C$11:$C$18),IF(D1570="Expense",LOOKUP(E1570,Introduction!$D$11:$D$30,Introduction!$F$11:$F$30),"_"))</f>
        <v>_</v>
      </c>
      <c r="G1570" s="88"/>
      <c r="H1570" s="92"/>
      <c r="I1570" s="85">
        <f t="shared" si="86"/>
        <v>0</v>
      </c>
      <c r="J1570" s="93"/>
      <c r="K1570" s="85">
        <f t="shared" si="87"/>
        <v>0</v>
      </c>
      <c r="L1570" s="68"/>
      <c r="M1570" s="68"/>
      <c r="P1570" s="89" t="str">
        <f t="shared" si="85"/>
        <v xml:space="preserve">  1 1900 </v>
      </c>
    </row>
    <row r="1571" spans="1:16">
      <c r="A1571" s="68"/>
      <c r="B1571" s="87"/>
      <c r="C1571" s="88"/>
      <c r="D1571" s="88"/>
      <c r="E1571" s="90"/>
      <c r="F1571" s="84" t="str">
        <f ca="1">IF(D1571="Income",LOOKUP(E1571,Introduction!$A$11:$A$18,Introduction!$C$11:$C$18),IF(D1571="Expense",LOOKUP(E1571,Introduction!$D$11:$D$30,Introduction!$F$11:$F$30),"_"))</f>
        <v>_</v>
      </c>
      <c r="G1571" s="88"/>
      <c r="H1571" s="92"/>
      <c r="I1571" s="85">
        <f t="shared" si="86"/>
        <v>0</v>
      </c>
      <c r="J1571" s="93"/>
      <c r="K1571" s="85">
        <f t="shared" si="87"/>
        <v>0</v>
      </c>
      <c r="L1571" s="68"/>
      <c r="M1571" s="68"/>
      <c r="P1571" s="89" t="str">
        <f t="shared" si="85"/>
        <v xml:space="preserve">  1 1900 </v>
      </c>
    </row>
    <row r="1572" spans="1:16">
      <c r="A1572" s="68"/>
      <c r="B1572" s="87"/>
      <c r="C1572" s="88"/>
      <c r="D1572" s="88"/>
      <c r="E1572" s="90"/>
      <c r="F1572" s="84" t="str">
        <f ca="1">IF(D1572="Income",LOOKUP(E1572,Introduction!$A$11:$A$18,Introduction!$C$11:$C$18),IF(D1572="Expense",LOOKUP(E1572,Introduction!$D$11:$D$30,Introduction!$F$11:$F$30),"_"))</f>
        <v>_</v>
      </c>
      <c r="G1572" s="88"/>
      <c r="H1572" s="92"/>
      <c r="I1572" s="85">
        <f t="shared" si="86"/>
        <v>0</v>
      </c>
      <c r="J1572" s="93"/>
      <c r="K1572" s="85">
        <f t="shared" si="87"/>
        <v>0</v>
      </c>
      <c r="L1572" s="68"/>
      <c r="M1572" s="68"/>
      <c r="P1572" s="89" t="str">
        <f t="shared" si="85"/>
        <v xml:space="preserve">  1 1900 </v>
      </c>
    </row>
    <row r="1573" spans="1:16">
      <c r="A1573" s="68"/>
      <c r="B1573" s="87"/>
      <c r="C1573" s="88"/>
      <c r="D1573" s="88"/>
      <c r="E1573" s="90"/>
      <c r="F1573" s="84" t="str">
        <f ca="1">IF(D1573="Income",LOOKUP(E1573,Introduction!$A$11:$A$18,Introduction!$C$11:$C$18),IF(D1573="Expense",LOOKUP(E1573,Introduction!$D$11:$D$30,Introduction!$F$11:$F$30),"_"))</f>
        <v>_</v>
      </c>
      <c r="G1573" s="88"/>
      <c r="H1573" s="92"/>
      <c r="I1573" s="85">
        <f t="shared" si="86"/>
        <v>0</v>
      </c>
      <c r="J1573" s="93"/>
      <c r="K1573" s="85">
        <f t="shared" si="87"/>
        <v>0</v>
      </c>
      <c r="L1573" s="68"/>
      <c r="M1573" s="68"/>
      <c r="P1573" s="89" t="str">
        <f t="shared" si="85"/>
        <v xml:space="preserve">  1 1900 </v>
      </c>
    </row>
    <row r="1574" spans="1:16">
      <c r="A1574" s="68"/>
      <c r="B1574" s="87"/>
      <c r="C1574" s="88"/>
      <c r="D1574" s="88"/>
      <c r="E1574" s="90"/>
      <c r="F1574" s="84" t="str">
        <f ca="1">IF(D1574="Income",LOOKUP(E1574,Introduction!$A$11:$A$18,Introduction!$C$11:$C$18),IF(D1574="Expense",LOOKUP(E1574,Introduction!$D$11:$D$30,Introduction!$F$11:$F$30),"_"))</f>
        <v>_</v>
      </c>
      <c r="G1574" s="88"/>
      <c r="H1574" s="92"/>
      <c r="I1574" s="85">
        <f t="shared" si="86"/>
        <v>0</v>
      </c>
      <c r="J1574" s="93"/>
      <c r="K1574" s="85">
        <f t="shared" si="87"/>
        <v>0</v>
      </c>
      <c r="L1574" s="68"/>
      <c r="M1574" s="68"/>
      <c r="P1574" s="89" t="str">
        <f t="shared" si="85"/>
        <v xml:space="preserve">  1 1900 </v>
      </c>
    </row>
    <row r="1575" spans="1:16">
      <c r="A1575" s="68"/>
      <c r="B1575" s="87"/>
      <c r="C1575" s="88"/>
      <c r="D1575" s="88"/>
      <c r="E1575" s="90"/>
      <c r="F1575" s="84" t="str">
        <f ca="1">IF(D1575="Income",LOOKUP(E1575,Introduction!$A$11:$A$18,Introduction!$C$11:$C$18),IF(D1575="Expense",LOOKUP(E1575,Introduction!$D$11:$D$30,Introduction!$F$11:$F$30),"_"))</f>
        <v>_</v>
      </c>
      <c r="G1575" s="88"/>
      <c r="H1575" s="92"/>
      <c r="I1575" s="85">
        <f t="shared" si="86"/>
        <v>0</v>
      </c>
      <c r="J1575" s="93"/>
      <c r="K1575" s="85">
        <f t="shared" si="87"/>
        <v>0</v>
      </c>
      <c r="L1575" s="68"/>
      <c r="M1575" s="68"/>
      <c r="P1575" s="89" t="str">
        <f t="shared" si="85"/>
        <v xml:space="preserve">  1 1900 </v>
      </c>
    </row>
    <row r="1576" spans="1:16">
      <c r="A1576" s="68"/>
      <c r="B1576" s="87"/>
      <c r="C1576" s="88"/>
      <c r="D1576" s="88"/>
      <c r="E1576" s="90"/>
      <c r="F1576" s="84" t="str">
        <f ca="1">IF(D1576="Income",LOOKUP(E1576,Introduction!$A$11:$A$18,Introduction!$C$11:$C$18),IF(D1576="Expense",LOOKUP(E1576,Introduction!$D$11:$D$30,Introduction!$F$11:$F$30),"_"))</f>
        <v>_</v>
      </c>
      <c r="G1576" s="88"/>
      <c r="H1576" s="92"/>
      <c r="I1576" s="85">
        <f t="shared" si="86"/>
        <v>0</v>
      </c>
      <c r="J1576" s="93"/>
      <c r="K1576" s="85">
        <f t="shared" si="87"/>
        <v>0</v>
      </c>
      <c r="L1576" s="68"/>
      <c r="M1576" s="68"/>
      <c r="P1576" s="89" t="str">
        <f t="shared" si="85"/>
        <v xml:space="preserve">  1 1900 </v>
      </c>
    </row>
    <row r="1577" spans="1:16">
      <c r="A1577" s="68"/>
      <c r="B1577" s="87"/>
      <c r="C1577" s="88"/>
      <c r="D1577" s="88"/>
      <c r="E1577" s="90"/>
      <c r="F1577" s="84" t="str">
        <f ca="1">IF(D1577="Income",LOOKUP(E1577,Introduction!$A$11:$A$18,Introduction!$C$11:$C$18),IF(D1577="Expense",LOOKUP(E1577,Introduction!$D$11:$D$30,Introduction!$F$11:$F$30),"_"))</f>
        <v>_</v>
      </c>
      <c r="G1577" s="88"/>
      <c r="H1577" s="92"/>
      <c r="I1577" s="85">
        <f t="shared" si="86"/>
        <v>0</v>
      </c>
      <c r="J1577" s="93"/>
      <c r="K1577" s="85">
        <f t="shared" si="87"/>
        <v>0</v>
      </c>
      <c r="L1577" s="68"/>
      <c r="M1577" s="68"/>
      <c r="P1577" s="89" t="str">
        <f t="shared" si="85"/>
        <v xml:space="preserve">  1 1900 </v>
      </c>
    </row>
    <row r="1578" spans="1:16">
      <c r="A1578" s="68"/>
      <c r="B1578" s="87"/>
      <c r="C1578" s="88"/>
      <c r="D1578" s="88"/>
      <c r="E1578" s="90"/>
      <c r="F1578" s="84" t="str">
        <f ca="1">IF(D1578="Income",LOOKUP(E1578,Introduction!$A$11:$A$18,Introduction!$C$11:$C$18),IF(D1578="Expense",LOOKUP(E1578,Introduction!$D$11:$D$30,Introduction!$F$11:$F$30),"_"))</f>
        <v>_</v>
      </c>
      <c r="G1578" s="88"/>
      <c r="H1578" s="92"/>
      <c r="I1578" s="85">
        <f t="shared" si="86"/>
        <v>0</v>
      </c>
      <c r="J1578" s="93"/>
      <c r="K1578" s="85">
        <f t="shared" si="87"/>
        <v>0</v>
      </c>
      <c r="L1578" s="68"/>
      <c r="M1578" s="68"/>
      <c r="P1578" s="89" t="str">
        <f t="shared" si="85"/>
        <v xml:space="preserve">  1 1900 </v>
      </c>
    </row>
    <row r="1579" spans="1:16">
      <c r="A1579" s="68"/>
      <c r="B1579" s="87"/>
      <c r="C1579" s="88"/>
      <c r="D1579" s="88"/>
      <c r="E1579" s="90"/>
      <c r="F1579" s="84" t="str">
        <f ca="1">IF(D1579="Income",LOOKUP(E1579,Introduction!$A$11:$A$18,Introduction!$C$11:$C$18),IF(D1579="Expense",LOOKUP(E1579,Introduction!$D$11:$D$30,Introduction!$F$11:$F$30),"_"))</f>
        <v>_</v>
      </c>
      <c r="G1579" s="88"/>
      <c r="H1579" s="92"/>
      <c r="I1579" s="85">
        <f t="shared" si="86"/>
        <v>0</v>
      </c>
      <c r="J1579" s="93"/>
      <c r="K1579" s="85">
        <f t="shared" si="87"/>
        <v>0</v>
      </c>
      <c r="L1579" s="68"/>
      <c r="M1579" s="68"/>
      <c r="P1579" s="89" t="str">
        <f t="shared" si="85"/>
        <v xml:space="preserve">  1 1900 </v>
      </c>
    </row>
    <row r="1580" spans="1:16">
      <c r="A1580" s="68"/>
      <c r="B1580" s="87"/>
      <c r="C1580" s="88"/>
      <c r="D1580" s="88"/>
      <c r="E1580" s="90"/>
      <c r="F1580" s="84" t="str">
        <f ca="1">IF(D1580="Income",LOOKUP(E1580,Introduction!$A$11:$A$18,Introduction!$C$11:$C$18),IF(D1580="Expense",LOOKUP(E1580,Introduction!$D$11:$D$30,Introduction!$F$11:$F$30),"_"))</f>
        <v>_</v>
      </c>
      <c r="G1580" s="88"/>
      <c r="H1580" s="92"/>
      <c r="I1580" s="85">
        <f t="shared" si="86"/>
        <v>0</v>
      </c>
      <c r="J1580" s="93"/>
      <c r="K1580" s="85">
        <f t="shared" si="87"/>
        <v>0</v>
      </c>
      <c r="L1580" s="68"/>
      <c r="M1580" s="68"/>
      <c r="P1580" s="89" t="str">
        <f t="shared" si="85"/>
        <v xml:space="preserve">  1 1900 </v>
      </c>
    </row>
    <row r="1581" spans="1:16">
      <c r="A1581" s="68"/>
      <c r="B1581" s="87"/>
      <c r="C1581" s="88"/>
      <c r="D1581" s="88"/>
      <c r="E1581" s="90"/>
      <c r="F1581" s="84" t="str">
        <f ca="1">IF(D1581="Income",LOOKUP(E1581,Introduction!$A$11:$A$18,Introduction!$C$11:$C$18),IF(D1581="Expense",LOOKUP(E1581,Introduction!$D$11:$D$30,Introduction!$F$11:$F$30),"_"))</f>
        <v>_</v>
      </c>
      <c r="G1581" s="88"/>
      <c r="H1581" s="92"/>
      <c r="I1581" s="85">
        <f t="shared" si="86"/>
        <v>0</v>
      </c>
      <c r="J1581" s="93"/>
      <c r="K1581" s="85">
        <f t="shared" si="87"/>
        <v>0</v>
      </c>
      <c r="L1581" s="68"/>
      <c r="M1581" s="68"/>
      <c r="P1581" s="89" t="str">
        <f t="shared" si="85"/>
        <v xml:space="preserve">  1 1900 </v>
      </c>
    </row>
    <row r="1582" spans="1:16">
      <c r="A1582" s="68"/>
      <c r="B1582" s="87"/>
      <c r="C1582" s="88"/>
      <c r="D1582" s="88"/>
      <c r="E1582" s="90"/>
      <c r="F1582" s="84" t="str">
        <f ca="1">IF(D1582="Income",LOOKUP(E1582,Introduction!$A$11:$A$18,Introduction!$C$11:$C$18),IF(D1582="Expense",LOOKUP(E1582,Introduction!$D$11:$D$30,Introduction!$F$11:$F$30),"_"))</f>
        <v>_</v>
      </c>
      <c r="G1582" s="88"/>
      <c r="H1582" s="92"/>
      <c r="I1582" s="85">
        <f t="shared" si="86"/>
        <v>0</v>
      </c>
      <c r="J1582" s="93"/>
      <c r="K1582" s="85">
        <f t="shared" si="87"/>
        <v>0</v>
      </c>
      <c r="L1582" s="68"/>
      <c r="M1582" s="68"/>
      <c r="P1582" s="89" t="str">
        <f t="shared" si="85"/>
        <v xml:space="preserve">  1 1900 </v>
      </c>
    </row>
    <row r="1583" spans="1:16">
      <c r="A1583" s="68"/>
      <c r="B1583" s="87"/>
      <c r="C1583" s="88"/>
      <c r="D1583" s="88"/>
      <c r="E1583" s="90"/>
      <c r="F1583" s="84" t="str">
        <f ca="1">IF(D1583="Income",LOOKUP(E1583,Introduction!$A$11:$A$18,Introduction!$C$11:$C$18),IF(D1583="Expense",LOOKUP(E1583,Introduction!$D$11:$D$30,Introduction!$F$11:$F$30),"_"))</f>
        <v>_</v>
      </c>
      <c r="G1583" s="88"/>
      <c r="H1583" s="92"/>
      <c r="I1583" s="85">
        <f t="shared" si="86"/>
        <v>0</v>
      </c>
      <c r="J1583" s="93"/>
      <c r="K1583" s="85">
        <f t="shared" si="87"/>
        <v>0</v>
      </c>
      <c r="L1583" s="68"/>
      <c r="M1583" s="68"/>
      <c r="P1583" s="89" t="str">
        <f t="shared" si="85"/>
        <v xml:space="preserve">  1 1900 </v>
      </c>
    </row>
    <row r="1584" spans="1:16">
      <c r="A1584" s="68"/>
      <c r="B1584" s="87"/>
      <c r="C1584" s="88"/>
      <c r="D1584" s="88"/>
      <c r="E1584" s="90"/>
      <c r="F1584" s="84" t="str">
        <f ca="1">IF(D1584="Income",LOOKUP(E1584,Introduction!$A$11:$A$18,Introduction!$C$11:$C$18),IF(D1584="Expense",LOOKUP(E1584,Introduction!$D$11:$D$30,Introduction!$F$11:$F$30),"_"))</f>
        <v>_</v>
      </c>
      <c r="G1584" s="88"/>
      <c r="H1584" s="92"/>
      <c r="I1584" s="85">
        <f t="shared" si="86"/>
        <v>0</v>
      </c>
      <c r="J1584" s="93"/>
      <c r="K1584" s="85">
        <f t="shared" si="87"/>
        <v>0</v>
      </c>
      <c r="L1584" s="68"/>
      <c r="M1584" s="68"/>
      <c r="P1584" s="89" t="str">
        <f t="shared" si="85"/>
        <v xml:space="preserve">  1 1900 </v>
      </c>
    </row>
    <row r="1585" spans="1:16">
      <c r="A1585" s="68"/>
      <c r="B1585" s="87"/>
      <c r="C1585" s="88"/>
      <c r="D1585" s="88"/>
      <c r="E1585" s="90"/>
      <c r="F1585" s="84" t="str">
        <f ca="1">IF(D1585="Income",LOOKUP(E1585,Introduction!$A$11:$A$18,Introduction!$C$11:$C$18),IF(D1585="Expense",LOOKUP(E1585,Introduction!$D$11:$D$30,Introduction!$F$11:$F$30),"_"))</f>
        <v>_</v>
      </c>
      <c r="G1585" s="88"/>
      <c r="H1585" s="92"/>
      <c r="I1585" s="85">
        <f t="shared" si="86"/>
        <v>0</v>
      </c>
      <c r="J1585" s="93"/>
      <c r="K1585" s="85">
        <f t="shared" si="87"/>
        <v>0</v>
      </c>
      <c r="L1585" s="68"/>
      <c r="M1585" s="68"/>
      <c r="P1585" s="89" t="str">
        <f t="shared" si="85"/>
        <v xml:space="preserve">  1 1900 </v>
      </c>
    </row>
    <row r="1586" spans="1:16">
      <c r="A1586" s="68"/>
      <c r="B1586" s="87"/>
      <c r="C1586" s="88"/>
      <c r="D1586" s="88"/>
      <c r="E1586" s="90"/>
      <c r="F1586" s="84" t="str">
        <f ca="1">IF(D1586="Income",LOOKUP(E1586,Introduction!$A$11:$A$18,Introduction!$C$11:$C$18),IF(D1586="Expense",LOOKUP(E1586,Introduction!$D$11:$D$30,Introduction!$F$11:$F$30),"_"))</f>
        <v>_</v>
      </c>
      <c r="G1586" s="88"/>
      <c r="H1586" s="92"/>
      <c r="I1586" s="85">
        <f t="shared" si="86"/>
        <v>0</v>
      </c>
      <c r="J1586" s="93"/>
      <c r="K1586" s="85">
        <f t="shared" si="87"/>
        <v>0</v>
      </c>
      <c r="L1586" s="68"/>
      <c r="M1586" s="68"/>
      <c r="P1586" s="89" t="str">
        <f t="shared" si="85"/>
        <v xml:space="preserve">  1 1900 </v>
      </c>
    </row>
    <row r="1587" spans="1:16">
      <c r="A1587" s="68"/>
      <c r="B1587" s="87"/>
      <c r="C1587" s="88"/>
      <c r="D1587" s="88"/>
      <c r="E1587" s="90"/>
      <c r="F1587" s="84" t="str">
        <f ca="1">IF(D1587="Income",LOOKUP(E1587,Introduction!$A$11:$A$18,Introduction!$C$11:$C$18),IF(D1587="Expense",LOOKUP(E1587,Introduction!$D$11:$D$30,Introduction!$F$11:$F$30),"_"))</f>
        <v>_</v>
      </c>
      <c r="G1587" s="88"/>
      <c r="H1587" s="92"/>
      <c r="I1587" s="85">
        <f t="shared" si="86"/>
        <v>0</v>
      </c>
      <c r="J1587" s="93"/>
      <c r="K1587" s="85">
        <f t="shared" si="87"/>
        <v>0</v>
      </c>
      <c r="L1587" s="68"/>
      <c r="M1587" s="68"/>
      <c r="P1587" s="89" t="str">
        <f t="shared" si="85"/>
        <v xml:space="preserve">  1 1900 </v>
      </c>
    </row>
    <row r="1588" spans="1:16">
      <c r="A1588" s="68"/>
      <c r="B1588" s="87"/>
      <c r="C1588" s="88"/>
      <c r="D1588" s="88"/>
      <c r="E1588" s="90"/>
      <c r="F1588" s="84" t="str">
        <f ca="1">IF(D1588="Income",LOOKUP(E1588,Introduction!$A$11:$A$18,Introduction!$C$11:$C$18),IF(D1588="Expense",LOOKUP(E1588,Introduction!$D$11:$D$30,Introduction!$F$11:$F$30),"_"))</f>
        <v>_</v>
      </c>
      <c r="G1588" s="88"/>
      <c r="H1588" s="92"/>
      <c r="I1588" s="85">
        <f t="shared" si="86"/>
        <v>0</v>
      </c>
      <c r="J1588" s="93"/>
      <c r="K1588" s="85">
        <f t="shared" si="87"/>
        <v>0</v>
      </c>
      <c r="L1588" s="68"/>
      <c r="M1588" s="68"/>
      <c r="P1588" s="89" t="str">
        <f t="shared" si="85"/>
        <v xml:space="preserve">  1 1900 </v>
      </c>
    </row>
    <row r="1589" spans="1:16">
      <c r="A1589" s="68"/>
      <c r="B1589" s="87"/>
      <c r="C1589" s="88"/>
      <c r="D1589" s="88"/>
      <c r="E1589" s="90"/>
      <c r="F1589" s="84" t="str">
        <f ca="1">IF(D1589="Income",LOOKUP(E1589,Introduction!$A$11:$A$18,Introduction!$C$11:$C$18),IF(D1589="Expense",LOOKUP(E1589,Introduction!$D$11:$D$30,Introduction!$F$11:$F$30),"_"))</f>
        <v>_</v>
      </c>
      <c r="G1589" s="88"/>
      <c r="H1589" s="92"/>
      <c r="I1589" s="85">
        <f t="shared" si="86"/>
        <v>0</v>
      </c>
      <c r="J1589" s="93"/>
      <c r="K1589" s="85">
        <f t="shared" si="87"/>
        <v>0</v>
      </c>
      <c r="L1589" s="68"/>
      <c r="M1589" s="68"/>
      <c r="P1589" s="89" t="str">
        <f t="shared" si="85"/>
        <v xml:space="preserve">  1 1900 </v>
      </c>
    </row>
    <row r="1590" spans="1:16">
      <c r="A1590" s="68"/>
      <c r="B1590" s="87"/>
      <c r="C1590" s="88"/>
      <c r="D1590" s="88"/>
      <c r="E1590" s="90"/>
      <c r="F1590" s="84" t="str">
        <f ca="1">IF(D1590="Income",LOOKUP(E1590,Introduction!$A$11:$A$18,Introduction!$C$11:$C$18),IF(D1590="Expense",LOOKUP(E1590,Introduction!$D$11:$D$30,Introduction!$F$11:$F$30),"_"))</f>
        <v>_</v>
      </c>
      <c r="G1590" s="88"/>
      <c r="H1590" s="92"/>
      <c r="I1590" s="85">
        <f t="shared" si="86"/>
        <v>0</v>
      </c>
      <c r="J1590" s="93"/>
      <c r="K1590" s="85">
        <f t="shared" si="87"/>
        <v>0</v>
      </c>
      <c r="L1590" s="68"/>
      <c r="M1590" s="68"/>
      <c r="P1590" s="89" t="str">
        <f t="shared" si="85"/>
        <v xml:space="preserve">  1 1900 </v>
      </c>
    </row>
    <row r="1591" spans="1:16">
      <c r="A1591" s="68"/>
      <c r="B1591" s="87"/>
      <c r="C1591" s="88"/>
      <c r="D1591" s="88"/>
      <c r="E1591" s="90"/>
      <c r="F1591" s="84" t="str">
        <f ca="1">IF(D1591="Income",LOOKUP(E1591,Introduction!$A$11:$A$18,Introduction!$C$11:$C$18),IF(D1591="Expense",LOOKUP(E1591,Introduction!$D$11:$D$30,Introduction!$F$11:$F$30),"_"))</f>
        <v>_</v>
      </c>
      <c r="G1591" s="88"/>
      <c r="H1591" s="92"/>
      <c r="I1591" s="85">
        <f t="shared" si="86"/>
        <v>0</v>
      </c>
      <c r="J1591" s="93"/>
      <c r="K1591" s="85">
        <f t="shared" si="87"/>
        <v>0</v>
      </c>
      <c r="L1591" s="68"/>
      <c r="M1591" s="68"/>
      <c r="P1591" s="89" t="str">
        <f t="shared" si="85"/>
        <v xml:space="preserve">  1 1900 </v>
      </c>
    </row>
    <row r="1592" spans="1:16">
      <c r="A1592" s="68"/>
      <c r="B1592" s="87"/>
      <c r="C1592" s="88"/>
      <c r="D1592" s="88"/>
      <c r="E1592" s="90"/>
      <c r="F1592" s="84" t="str">
        <f ca="1">IF(D1592="Income",LOOKUP(E1592,Introduction!$A$11:$A$18,Introduction!$C$11:$C$18),IF(D1592="Expense",LOOKUP(E1592,Introduction!$D$11:$D$30,Introduction!$F$11:$F$30),"_"))</f>
        <v>_</v>
      </c>
      <c r="G1592" s="88"/>
      <c r="H1592" s="92"/>
      <c r="I1592" s="85">
        <f t="shared" si="86"/>
        <v>0</v>
      </c>
      <c r="J1592" s="93"/>
      <c r="K1592" s="85">
        <f t="shared" si="87"/>
        <v>0</v>
      </c>
      <c r="L1592" s="68"/>
      <c r="M1592" s="68"/>
      <c r="P1592" s="89" t="str">
        <f t="shared" si="85"/>
        <v xml:space="preserve">  1 1900 </v>
      </c>
    </row>
    <row r="1593" spans="1:16">
      <c r="A1593" s="68"/>
      <c r="B1593" s="87"/>
      <c r="C1593" s="88"/>
      <c r="D1593" s="88"/>
      <c r="E1593" s="90"/>
      <c r="F1593" s="84" t="str">
        <f ca="1">IF(D1593="Income",LOOKUP(E1593,Introduction!$A$11:$A$18,Introduction!$C$11:$C$18),IF(D1593="Expense",LOOKUP(E1593,Introduction!$D$11:$D$30,Introduction!$F$11:$F$30),"_"))</f>
        <v>_</v>
      </c>
      <c r="G1593" s="88"/>
      <c r="H1593" s="92"/>
      <c r="I1593" s="85">
        <f t="shared" si="86"/>
        <v>0</v>
      </c>
      <c r="J1593" s="93"/>
      <c r="K1593" s="85">
        <f t="shared" si="87"/>
        <v>0</v>
      </c>
      <c r="L1593" s="68"/>
      <c r="M1593" s="68"/>
      <c r="P1593" s="89" t="str">
        <f t="shared" si="85"/>
        <v xml:space="preserve">  1 1900 </v>
      </c>
    </row>
    <row r="1594" spans="1:16">
      <c r="A1594" s="68"/>
      <c r="B1594" s="87"/>
      <c r="C1594" s="88"/>
      <c r="D1594" s="88"/>
      <c r="E1594" s="90"/>
      <c r="F1594" s="84" t="str">
        <f ca="1">IF(D1594="Income",LOOKUP(E1594,Introduction!$A$11:$A$18,Introduction!$C$11:$C$18),IF(D1594="Expense",LOOKUP(E1594,Introduction!$D$11:$D$30,Introduction!$F$11:$F$30),"_"))</f>
        <v>_</v>
      </c>
      <c r="G1594" s="88"/>
      <c r="H1594" s="92"/>
      <c r="I1594" s="85">
        <f t="shared" si="86"/>
        <v>0</v>
      </c>
      <c r="J1594" s="93"/>
      <c r="K1594" s="85">
        <f t="shared" si="87"/>
        <v>0</v>
      </c>
      <c r="L1594" s="68"/>
      <c r="M1594" s="68"/>
      <c r="P1594" s="89" t="str">
        <f t="shared" si="85"/>
        <v xml:space="preserve">  1 1900 </v>
      </c>
    </row>
    <row r="1595" spans="1:16">
      <c r="A1595" s="68"/>
      <c r="B1595" s="87"/>
      <c r="C1595" s="88"/>
      <c r="D1595" s="88"/>
      <c r="E1595" s="90"/>
      <c r="F1595" s="84" t="str">
        <f ca="1">IF(D1595="Income",LOOKUP(E1595,Introduction!$A$11:$A$18,Introduction!$C$11:$C$18),IF(D1595="Expense",LOOKUP(E1595,Introduction!$D$11:$D$30,Introduction!$F$11:$F$30),"_"))</f>
        <v>_</v>
      </c>
      <c r="G1595" s="88"/>
      <c r="H1595" s="92"/>
      <c r="I1595" s="85">
        <f t="shared" si="86"/>
        <v>0</v>
      </c>
      <c r="J1595" s="93"/>
      <c r="K1595" s="85">
        <f t="shared" si="87"/>
        <v>0</v>
      </c>
      <c r="L1595" s="68"/>
      <c r="M1595" s="68"/>
      <c r="P1595" s="89" t="str">
        <f t="shared" si="85"/>
        <v xml:space="preserve">  1 1900 </v>
      </c>
    </row>
    <row r="1596" spans="1:16">
      <c r="A1596" s="68"/>
      <c r="B1596" s="87"/>
      <c r="C1596" s="88"/>
      <c r="D1596" s="88"/>
      <c r="E1596" s="90"/>
      <c r="F1596" s="84" t="str">
        <f ca="1">IF(D1596="Income",LOOKUP(E1596,Introduction!$A$11:$A$18,Introduction!$C$11:$C$18),IF(D1596="Expense",LOOKUP(E1596,Introduction!$D$11:$D$30,Introduction!$F$11:$F$30),"_"))</f>
        <v>_</v>
      </c>
      <c r="G1596" s="88"/>
      <c r="H1596" s="92"/>
      <c r="I1596" s="85">
        <f t="shared" si="86"/>
        <v>0</v>
      </c>
      <c r="J1596" s="93"/>
      <c r="K1596" s="85">
        <f t="shared" si="87"/>
        <v>0</v>
      </c>
      <c r="L1596" s="68"/>
      <c r="M1596" s="68"/>
      <c r="P1596" s="89" t="str">
        <f t="shared" si="85"/>
        <v xml:space="preserve">  1 1900 </v>
      </c>
    </row>
    <row r="1597" spans="1:16">
      <c r="A1597" s="68"/>
      <c r="B1597" s="87"/>
      <c r="C1597" s="88"/>
      <c r="D1597" s="88"/>
      <c r="E1597" s="90"/>
      <c r="F1597" s="84" t="str">
        <f ca="1">IF(D1597="Income",LOOKUP(E1597,Introduction!$A$11:$A$18,Introduction!$C$11:$C$18),IF(D1597="Expense",LOOKUP(E1597,Introduction!$D$11:$D$30,Introduction!$F$11:$F$30),"_"))</f>
        <v>_</v>
      </c>
      <c r="G1597" s="88"/>
      <c r="H1597" s="92"/>
      <c r="I1597" s="85">
        <f t="shared" si="86"/>
        <v>0</v>
      </c>
      <c r="J1597" s="93"/>
      <c r="K1597" s="85">
        <f t="shared" si="87"/>
        <v>0</v>
      </c>
      <c r="L1597" s="68"/>
      <c r="M1597" s="68"/>
      <c r="P1597" s="89" t="str">
        <f t="shared" si="85"/>
        <v xml:space="preserve">  1 1900 </v>
      </c>
    </row>
    <row r="1598" spans="1:16">
      <c r="A1598" s="68"/>
      <c r="B1598" s="87"/>
      <c r="C1598" s="88"/>
      <c r="D1598" s="88"/>
      <c r="E1598" s="90"/>
      <c r="F1598" s="84" t="str">
        <f ca="1">IF(D1598="Income",LOOKUP(E1598,Introduction!$A$11:$A$18,Introduction!$C$11:$C$18),IF(D1598="Expense",LOOKUP(E1598,Introduction!$D$11:$D$30,Introduction!$F$11:$F$30),"_"))</f>
        <v>_</v>
      </c>
      <c r="G1598" s="88"/>
      <c r="H1598" s="92"/>
      <c r="I1598" s="85">
        <f t="shared" si="86"/>
        <v>0</v>
      </c>
      <c r="J1598" s="93"/>
      <c r="K1598" s="85">
        <f t="shared" si="87"/>
        <v>0</v>
      </c>
      <c r="L1598" s="68"/>
      <c r="M1598" s="68"/>
      <c r="P1598" s="89" t="str">
        <f t="shared" si="85"/>
        <v xml:space="preserve">  1 1900 </v>
      </c>
    </row>
    <row r="1599" spans="1:16">
      <c r="A1599" s="68"/>
      <c r="B1599" s="87"/>
      <c r="C1599" s="88"/>
      <c r="D1599" s="88"/>
      <c r="E1599" s="90"/>
      <c r="F1599" s="84" t="str">
        <f ca="1">IF(D1599="Income",LOOKUP(E1599,Introduction!$A$11:$A$18,Introduction!$C$11:$C$18),IF(D1599="Expense",LOOKUP(E1599,Introduction!$D$11:$D$30,Introduction!$F$11:$F$30),"_"))</f>
        <v>_</v>
      </c>
      <c r="G1599" s="88"/>
      <c r="H1599" s="92"/>
      <c r="I1599" s="85">
        <f t="shared" si="86"/>
        <v>0</v>
      </c>
      <c r="J1599" s="93"/>
      <c r="K1599" s="85">
        <f t="shared" si="87"/>
        <v>0</v>
      </c>
      <c r="L1599" s="68"/>
      <c r="M1599" s="68"/>
      <c r="P1599" s="89" t="str">
        <f t="shared" si="85"/>
        <v xml:space="preserve">  1 1900 </v>
      </c>
    </row>
    <row r="1600" spans="1:16">
      <c r="A1600" s="68"/>
      <c r="B1600" s="87"/>
      <c r="C1600" s="88"/>
      <c r="D1600" s="88"/>
      <c r="E1600" s="90"/>
      <c r="F1600" s="84" t="str">
        <f ca="1">IF(D1600="Income",LOOKUP(E1600,Introduction!$A$11:$A$18,Introduction!$C$11:$C$18),IF(D1600="Expense",LOOKUP(E1600,Introduction!$D$11:$D$30,Introduction!$F$11:$F$30),"_"))</f>
        <v>_</v>
      </c>
      <c r="G1600" s="88"/>
      <c r="H1600" s="92"/>
      <c r="I1600" s="85">
        <f t="shared" si="86"/>
        <v>0</v>
      </c>
      <c r="J1600" s="93"/>
      <c r="K1600" s="85">
        <f t="shared" si="87"/>
        <v>0</v>
      </c>
      <c r="L1600" s="68"/>
      <c r="M1600" s="68"/>
      <c r="P1600" s="89" t="str">
        <f t="shared" si="85"/>
        <v xml:space="preserve">  1 1900 </v>
      </c>
    </row>
    <row r="1601" spans="1:16">
      <c r="A1601" s="68"/>
      <c r="B1601" s="87"/>
      <c r="C1601" s="88"/>
      <c r="D1601" s="88"/>
      <c r="E1601" s="90"/>
      <c r="F1601" s="84" t="str">
        <f ca="1">IF(D1601="Income",LOOKUP(E1601,Introduction!$A$11:$A$18,Introduction!$C$11:$C$18),IF(D1601="Expense",LOOKUP(E1601,Introduction!$D$11:$D$30,Introduction!$F$11:$F$30),"_"))</f>
        <v>_</v>
      </c>
      <c r="G1601" s="88"/>
      <c r="H1601" s="92"/>
      <c r="I1601" s="85">
        <f t="shared" si="86"/>
        <v>0</v>
      </c>
      <c r="J1601" s="93"/>
      <c r="K1601" s="85">
        <f t="shared" si="87"/>
        <v>0</v>
      </c>
      <c r="L1601" s="68"/>
      <c r="M1601" s="68"/>
      <c r="P1601" s="89" t="str">
        <f t="shared" si="85"/>
        <v xml:space="preserve">  1 1900 </v>
      </c>
    </row>
    <row r="1602" spans="1:16">
      <c r="A1602" s="68"/>
      <c r="B1602" s="87"/>
      <c r="C1602" s="88"/>
      <c r="D1602" s="88"/>
      <c r="E1602" s="90"/>
      <c r="F1602" s="84" t="str">
        <f ca="1">IF(D1602="Income",LOOKUP(E1602,Introduction!$A$11:$A$18,Introduction!$C$11:$C$18),IF(D1602="Expense",LOOKUP(E1602,Introduction!$D$11:$D$30,Introduction!$F$11:$F$30),"_"))</f>
        <v>_</v>
      </c>
      <c r="G1602" s="88"/>
      <c r="H1602" s="92"/>
      <c r="I1602" s="85">
        <f t="shared" si="86"/>
        <v>0</v>
      </c>
      <c r="J1602" s="93"/>
      <c r="K1602" s="85">
        <f t="shared" si="87"/>
        <v>0</v>
      </c>
      <c r="L1602" s="68"/>
      <c r="M1602" s="68"/>
      <c r="P1602" s="89" t="str">
        <f t="shared" si="85"/>
        <v xml:space="preserve">  1 1900 </v>
      </c>
    </row>
    <row r="1603" spans="1:16">
      <c r="A1603" s="68"/>
      <c r="B1603" s="87"/>
      <c r="C1603" s="88"/>
      <c r="D1603" s="88"/>
      <c r="E1603" s="90"/>
      <c r="F1603" s="84" t="str">
        <f ca="1">IF(D1603="Income",LOOKUP(E1603,Introduction!$A$11:$A$18,Introduction!$C$11:$C$18),IF(D1603="Expense",LOOKUP(E1603,Introduction!$D$11:$D$30,Introduction!$F$11:$F$30),"_"))</f>
        <v>_</v>
      </c>
      <c r="G1603" s="88"/>
      <c r="H1603" s="92"/>
      <c r="I1603" s="85">
        <f t="shared" si="86"/>
        <v>0</v>
      </c>
      <c r="J1603" s="93"/>
      <c r="K1603" s="85">
        <f t="shared" si="87"/>
        <v>0</v>
      </c>
      <c r="L1603" s="68"/>
      <c r="M1603" s="68"/>
      <c r="P1603" s="89" t="str">
        <f t="shared" si="85"/>
        <v xml:space="preserve">  1 1900 </v>
      </c>
    </row>
    <row r="1604" spans="1:16">
      <c r="A1604" s="68"/>
      <c r="B1604" s="87"/>
      <c r="C1604" s="88"/>
      <c r="D1604" s="88"/>
      <c r="E1604" s="90"/>
      <c r="F1604" s="84" t="str">
        <f ca="1">IF(D1604="Income",LOOKUP(E1604,Introduction!$A$11:$A$18,Introduction!$C$11:$C$18),IF(D1604="Expense",LOOKUP(E1604,Introduction!$D$11:$D$30,Introduction!$F$11:$F$30),"_"))</f>
        <v>_</v>
      </c>
      <c r="G1604" s="88"/>
      <c r="H1604" s="92"/>
      <c r="I1604" s="85">
        <f t="shared" si="86"/>
        <v>0</v>
      </c>
      <c r="J1604" s="93"/>
      <c r="K1604" s="85">
        <f t="shared" si="87"/>
        <v>0</v>
      </c>
      <c r="L1604" s="68"/>
      <c r="M1604" s="68"/>
      <c r="P1604" s="89" t="str">
        <f t="shared" si="85"/>
        <v xml:space="preserve">  1 1900 </v>
      </c>
    </row>
    <row r="1605" spans="1:16">
      <c r="A1605" s="68"/>
      <c r="B1605" s="87"/>
      <c r="C1605" s="88"/>
      <c r="D1605" s="88"/>
      <c r="E1605" s="90"/>
      <c r="F1605" s="84" t="str">
        <f ca="1">IF(D1605="Income",LOOKUP(E1605,Introduction!$A$11:$A$18,Introduction!$C$11:$C$18),IF(D1605="Expense",LOOKUP(E1605,Introduction!$D$11:$D$30,Introduction!$F$11:$F$30),"_"))</f>
        <v>_</v>
      </c>
      <c r="G1605" s="88"/>
      <c r="H1605" s="92"/>
      <c r="I1605" s="85">
        <f t="shared" si="86"/>
        <v>0</v>
      </c>
      <c r="J1605" s="93"/>
      <c r="K1605" s="85">
        <f t="shared" si="87"/>
        <v>0</v>
      </c>
      <c r="L1605" s="68"/>
      <c r="M1605" s="68"/>
      <c r="P1605" s="89" t="str">
        <f t="shared" si="85"/>
        <v xml:space="preserve">  1 1900 </v>
      </c>
    </row>
    <row r="1606" spans="1:16">
      <c r="A1606" s="68"/>
      <c r="B1606" s="87"/>
      <c r="C1606" s="88"/>
      <c r="D1606" s="88"/>
      <c r="E1606" s="90"/>
      <c r="F1606" s="84" t="str">
        <f ca="1">IF(D1606="Income",LOOKUP(E1606,Introduction!$A$11:$A$18,Introduction!$C$11:$C$18),IF(D1606="Expense",LOOKUP(E1606,Introduction!$D$11:$D$30,Introduction!$F$11:$F$30),"_"))</f>
        <v>_</v>
      </c>
      <c r="G1606" s="88"/>
      <c r="H1606" s="92"/>
      <c r="I1606" s="85">
        <f t="shared" si="86"/>
        <v>0</v>
      </c>
      <c r="J1606" s="93"/>
      <c r="K1606" s="85">
        <f t="shared" si="87"/>
        <v>0</v>
      </c>
      <c r="L1606" s="68"/>
      <c r="M1606" s="68"/>
      <c r="P1606" s="89" t="str">
        <f t="shared" si="85"/>
        <v xml:space="preserve">  1 1900 </v>
      </c>
    </row>
    <row r="1607" spans="1:16">
      <c r="A1607" s="68"/>
      <c r="B1607" s="87"/>
      <c r="C1607" s="88"/>
      <c r="D1607" s="88"/>
      <c r="E1607" s="90"/>
      <c r="F1607" s="84" t="str">
        <f ca="1">IF(D1607="Income",LOOKUP(E1607,Introduction!$A$11:$A$18,Introduction!$C$11:$C$18),IF(D1607="Expense",LOOKUP(E1607,Introduction!$D$11:$D$30,Introduction!$F$11:$F$30),"_"))</f>
        <v>_</v>
      </c>
      <c r="G1607" s="88"/>
      <c r="H1607" s="92"/>
      <c r="I1607" s="85">
        <f t="shared" si="86"/>
        <v>0</v>
      </c>
      <c r="J1607" s="93"/>
      <c r="K1607" s="85">
        <f t="shared" si="87"/>
        <v>0</v>
      </c>
      <c r="L1607" s="68"/>
      <c r="M1607" s="68"/>
      <c r="P1607" s="89" t="str">
        <f t="shared" ref="P1607:P1670" si="88">CONCATENATE(D1607," ",E1607," ",MONTH(C1607)," ",YEAR(C1607)," ")</f>
        <v xml:space="preserve">  1 1900 </v>
      </c>
    </row>
    <row r="1608" spans="1:16">
      <c r="A1608" s="68"/>
      <c r="B1608" s="87"/>
      <c r="C1608" s="88"/>
      <c r="D1608" s="88"/>
      <c r="E1608" s="90"/>
      <c r="F1608" s="84" t="str">
        <f ca="1">IF(D1608="Income",LOOKUP(E1608,Introduction!$A$11:$A$18,Introduction!$C$11:$C$18),IF(D1608="Expense",LOOKUP(E1608,Introduction!$D$11:$D$30,Introduction!$F$11:$F$30),"_"))</f>
        <v>_</v>
      </c>
      <c r="G1608" s="88"/>
      <c r="H1608" s="92"/>
      <c r="I1608" s="85">
        <f t="shared" si="86"/>
        <v>0</v>
      </c>
      <c r="J1608" s="93"/>
      <c r="K1608" s="85">
        <f t="shared" si="87"/>
        <v>0</v>
      </c>
      <c r="L1608" s="68"/>
      <c r="M1608" s="68"/>
      <c r="P1608" s="89" t="str">
        <f t="shared" si="88"/>
        <v xml:space="preserve">  1 1900 </v>
      </c>
    </row>
    <row r="1609" spans="1:16">
      <c r="A1609" s="68"/>
      <c r="B1609" s="87"/>
      <c r="C1609" s="88"/>
      <c r="D1609" s="88"/>
      <c r="E1609" s="90"/>
      <c r="F1609" s="84" t="str">
        <f ca="1">IF(D1609="Income",LOOKUP(E1609,Introduction!$A$11:$A$18,Introduction!$C$11:$C$18),IF(D1609="Expense",LOOKUP(E1609,Introduction!$D$11:$D$30,Introduction!$F$11:$F$30),"_"))</f>
        <v>_</v>
      </c>
      <c r="G1609" s="88"/>
      <c r="H1609" s="92"/>
      <c r="I1609" s="85">
        <f t="shared" si="86"/>
        <v>0</v>
      </c>
      <c r="J1609" s="93"/>
      <c r="K1609" s="85">
        <f t="shared" si="87"/>
        <v>0</v>
      </c>
      <c r="L1609" s="68"/>
      <c r="M1609" s="68"/>
      <c r="P1609" s="89" t="str">
        <f t="shared" si="88"/>
        <v xml:space="preserve">  1 1900 </v>
      </c>
    </row>
    <row r="1610" spans="1:16">
      <c r="A1610" s="68"/>
      <c r="B1610" s="87"/>
      <c r="C1610" s="88"/>
      <c r="D1610" s="88"/>
      <c r="E1610" s="90"/>
      <c r="F1610" s="84" t="str">
        <f ca="1">IF(D1610="Income",LOOKUP(E1610,Introduction!$A$11:$A$18,Introduction!$C$11:$C$18),IF(D1610="Expense",LOOKUP(E1610,Introduction!$D$11:$D$30,Introduction!$F$11:$F$30),"_"))</f>
        <v>_</v>
      </c>
      <c r="G1610" s="88"/>
      <c r="H1610" s="92"/>
      <c r="I1610" s="85">
        <f t="shared" si="86"/>
        <v>0</v>
      </c>
      <c r="J1610" s="93"/>
      <c r="K1610" s="85">
        <f t="shared" si="87"/>
        <v>0</v>
      </c>
      <c r="L1610" s="68"/>
      <c r="M1610" s="68"/>
      <c r="P1610" s="89" t="str">
        <f t="shared" si="88"/>
        <v xml:space="preserve">  1 1900 </v>
      </c>
    </row>
    <row r="1611" spans="1:16">
      <c r="A1611" s="68"/>
      <c r="B1611" s="87"/>
      <c r="C1611" s="88"/>
      <c r="D1611" s="88"/>
      <c r="E1611" s="90"/>
      <c r="F1611" s="84" t="str">
        <f ca="1">IF(D1611="Income",LOOKUP(E1611,Introduction!$A$11:$A$18,Introduction!$C$11:$C$18),IF(D1611="Expense",LOOKUP(E1611,Introduction!$D$11:$D$30,Introduction!$F$11:$F$30),"_"))</f>
        <v>_</v>
      </c>
      <c r="G1611" s="88"/>
      <c r="H1611" s="92"/>
      <c r="I1611" s="85">
        <f t="shared" si="86"/>
        <v>0</v>
      </c>
      <c r="J1611" s="93"/>
      <c r="K1611" s="85">
        <f t="shared" si="87"/>
        <v>0</v>
      </c>
      <c r="L1611" s="68"/>
      <c r="M1611" s="68"/>
      <c r="P1611" s="89" t="str">
        <f t="shared" si="88"/>
        <v xml:space="preserve">  1 1900 </v>
      </c>
    </row>
    <row r="1612" spans="1:16">
      <c r="A1612" s="68"/>
      <c r="B1612" s="87"/>
      <c r="C1612" s="88"/>
      <c r="D1612" s="88"/>
      <c r="E1612" s="90"/>
      <c r="F1612" s="84" t="str">
        <f ca="1">IF(D1612="Income",LOOKUP(E1612,Introduction!$A$11:$A$18,Introduction!$C$11:$C$18),IF(D1612="Expense",LOOKUP(E1612,Introduction!$D$11:$D$30,Introduction!$F$11:$F$30),"_"))</f>
        <v>_</v>
      </c>
      <c r="G1612" s="88"/>
      <c r="H1612" s="92"/>
      <c r="I1612" s="85">
        <f t="shared" si="86"/>
        <v>0</v>
      </c>
      <c r="J1612" s="93"/>
      <c r="K1612" s="85">
        <f t="shared" si="87"/>
        <v>0</v>
      </c>
      <c r="L1612" s="68"/>
      <c r="M1612" s="68"/>
      <c r="P1612" s="89" t="str">
        <f t="shared" si="88"/>
        <v xml:space="preserve">  1 1900 </v>
      </c>
    </row>
    <row r="1613" spans="1:16">
      <c r="A1613" s="68"/>
      <c r="B1613" s="87"/>
      <c r="C1613" s="88"/>
      <c r="D1613" s="88"/>
      <c r="E1613" s="90"/>
      <c r="F1613" s="84" t="str">
        <f ca="1">IF(D1613="Income",LOOKUP(E1613,Introduction!$A$11:$A$18,Introduction!$C$11:$C$18),IF(D1613="Expense",LOOKUP(E1613,Introduction!$D$11:$D$30,Introduction!$F$11:$F$30),"_"))</f>
        <v>_</v>
      </c>
      <c r="G1613" s="88"/>
      <c r="H1613" s="92"/>
      <c r="I1613" s="85">
        <f t="shared" si="86"/>
        <v>0</v>
      </c>
      <c r="J1613" s="93"/>
      <c r="K1613" s="85">
        <f t="shared" si="87"/>
        <v>0</v>
      </c>
      <c r="L1613" s="68"/>
      <c r="M1613" s="68"/>
      <c r="P1613" s="89" t="str">
        <f t="shared" si="88"/>
        <v xml:space="preserve">  1 1900 </v>
      </c>
    </row>
    <row r="1614" spans="1:16">
      <c r="A1614" s="68"/>
      <c r="B1614" s="87"/>
      <c r="C1614" s="88"/>
      <c r="D1614" s="88"/>
      <c r="E1614" s="90"/>
      <c r="F1614" s="84" t="str">
        <f ca="1">IF(D1614="Income",LOOKUP(E1614,Introduction!$A$11:$A$18,Introduction!$C$11:$C$18),IF(D1614="Expense",LOOKUP(E1614,Introduction!$D$11:$D$30,Introduction!$F$11:$F$30),"_"))</f>
        <v>_</v>
      </c>
      <c r="G1614" s="88"/>
      <c r="H1614" s="92"/>
      <c r="I1614" s="85">
        <f t="shared" si="86"/>
        <v>0</v>
      </c>
      <c r="J1614" s="93"/>
      <c r="K1614" s="85">
        <f t="shared" si="87"/>
        <v>0</v>
      </c>
      <c r="L1614" s="68"/>
      <c r="M1614" s="68"/>
      <c r="P1614" s="89" t="str">
        <f t="shared" si="88"/>
        <v xml:space="preserve">  1 1900 </v>
      </c>
    </row>
    <row r="1615" spans="1:16">
      <c r="A1615" s="68"/>
      <c r="B1615" s="87"/>
      <c r="C1615" s="88"/>
      <c r="D1615" s="88"/>
      <c r="E1615" s="90"/>
      <c r="F1615" s="84" t="str">
        <f ca="1">IF(D1615="Income",LOOKUP(E1615,Introduction!$A$11:$A$18,Introduction!$C$11:$C$18),IF(D1615="Expense",LOOKUP(E1615,Introduction!$D$11:$D$30,Introduction!$F$11:$F$30),"_"))</f>
        <v>_</v>
      </c>
      <c r="G1615" s="88"/>
      <c r="H1615" s="92"/>
      <c r="I1615" s="85">
        <f t="shared" si="86"/>
        <v>0</v>
      </c>
      <c r="J1615" s="93"/>
      <c r="K1615" s="85">
        <f t="shared" si="87"/>
        <v>0</v>
      </c>
      <c r="L1615" s="68"/>
      <c r="M1615" s="68"/>
      <c r="P1615" s="89" t="str">
        <f t="shared" si="88"/>
        <v xml:space="preserve">  1 1900 </v>
      </c>
    </row>
    <row r="1616" spans="1:16">
      <c r="A1616" s="68"/>
      <c r="B1616" s="87"/>
      <c r="C1616" s="88"/>
      <c r="D1616" s="88"/>
      <c r="E1616" s="90"/>
      <c r="F1616" s="84" t="str">
        <f ca="1">IF(D1616="Income",LOOKUP(E1616,Introduction!$A$11:$A$18,Introduction!$C$11:$C$18),IF(D1616="Expense",LOOKUP(E1616,Introduction!$D$11:$D$30,Introduction!$F$11:$F$30),"_"))</f>
        <v>_</v>
      </c>
      <c r="G1616" s="88"/>
      <c r="H1616" s="92"/>
      <c r="I1616" s="85">
        <f t="shared" si="86"/>
        <v>0</v>
      </c>
      <c r="J1616" s="93"/>
      <c r="K1616" s="85">
        <f t="shared" si="87"/>
        <v>0</v>
      </c>
      <c r="L1616" s="68"/>
      <c r="M1616" s="68"/>
      <c r="P1616" s="89" t="str">
        <f t="shared" si="88"/>
        <v xml:space="preserve">  1 1900 </v>
      </c>
    </row>
    <row r="1617" spans="1:16">
      <c r="A1617" s="68"/>
      <c r="B1617" s="87"/>
      <c r="C1617" s="88"/>
      <c r="D1617" s="88"/>
      <c r="E1617" s="90"/>
      <c r="F1617" s="84" t="str">
        <f ca="1">IF(D1617="Income",LOOKUP(E1617,Introduction!$A$11:$A$18,Introduction!$C$11:$C$18),IF(D1617="Expense",LOOKUP(E1617,Introduction!$D$11:$D$30,Introduction!$F$11:$F$30),"_"))</f>
        <v>_</v>
      </c>
      <c r="G1617" s="88"/>
      <c r="H1617" s="92"/>
      <c r="I1617" s="85">
        <f t="shared" ref="I1617:I1680" si="89">+I1616+H1617</f>
        <v>0</v>
      </c>
      <c r="J1617" s="93"/>
      <c r="K1617" s="85">
        <f t="shared" ref="K1617:K1680" si="90">IF(J1617=1,K1616+H1617,++K1616)</f>
        <v>0</v>
      </c>
      <c r="L1617" s="68"/>
      <c r="M1617" s="68"/>
      <c r="P1617" s="89" t="str">
        <f t="shared" si="88"/>
        <v xml:space="preserve">  1 1900 </v>
      </c>
    </row>
    <row r="1618" spans="1:16">
      <c r="A1618" s="68"/>
      <c r="B1618" s="87"/>
      <c r="C1618" s="88"/>
      <c r="D1618" s="88"/>
      <c r="E1618" s="90"/>
      <c r="F1618" s="84" t="str">
        <f ca="1">IF(D1618="Income",LOOKUP(E1618,Introduction!$A$11:$A$18,Introduction!$C$11:$C$18),IF(D1618="Expense",LOOKUP(E1618,Introduction!$D$11:$D$30,Introduction!$F$11:$F$30),"_"))</f>
        <v>_</v>
      </c>
      <c r="G1618" s="88"/>
      <c r="H1618" s="92"/>
      <c r="I1618" s="85">
        <f t="shared" si="89"/>
        <v>0</v>
      </c>
      <c r="J1618" s="93"/>
      <c r="K1618" s="85">
        <f t="shared" si="90"/>
        <v>0</v>
      </c>
      <c r="L1618" s="68"/>
      <c r="M1618" s="68"/>
      <c r="P1618" s="89" t="str">
        <f t="shared" si="88"/>
        <v xml:space="preserve">  1 1900 </v>
      </c>
    </row>
    <row r="1619" spans="1:16">
      <c r="A1619" s="68"/>
      <c r="B1619" s="87"/>
      <c r="C1619" s="88"/>
      <c r="D1619" s="88"/>
      <c r="E1619" s="90"/>
      <c r="F1619" s="84" t="str">
        <f ca="1">IF(D1619="Income",LOOKUP(E1619,Introduction!$A$11:$A$18,Introduction!$C$11:$C$18),IF(D1619="Expense",LOOKUP(E1619,Introduction!$D$11:$D$30,Introduction!$F$11:$F$30),"_"))</f>
        <v>_</v>
      </c>
      <c r="G1619" s="88"/>
      <c r="H1619" s="92"/>
      <c r="I1619" s="85">
        <f t="shared" si="89"/>
        <v>0</v>
      </c>
      <c r="J1619" s="93"/>
      <c r="K1619" s="85">
        <f t="shared" si="90"/>
        <v>0</v>
      </c>
      <c r="L1619" s="68"/>
      <c r="M1619" s="68"/>
      <c r="P1619" s="89" t="str">
        <f t="shared" si="88"/>
        <v xml:space="preserve">  1 1900 </v>
      </c>
    </row>
    <row r="1620" spans="1:16">
      <c r="A1620" s="68"/>
      <c r="B1620" s="87"/>
      <c r="C1620" s="88"/>
      <c r="D1620" s="88"/>
      <c r="E1620" s="90"/>
      <c r="F1620" s="84" t="str">
        <f ca="1">IF(D1620="Income",LOOKUP(E1620,Introduction!$A$11:$A$18,Introduction!$C$11:$C$18),IF(D1620="Expense",LOOKUP(E1620,Introduction!$D$11:$D$30,Introduction!$F$11:$F$30),"_"))</f>
        <v>_</v>
      </c>
      <c r="G1620" s="88"/>
      <c r="H1620" s="92"/>
      <c r="I1620" s="85">
        <f t="shared" si="89"/>
        <v>0</v>
      </c>
      <c r="J1620" s="93"/>
      <c r="K1620" s="85">
        <f t="shared" si="90"/>
        <v>0</v>
      </c>
      <c r="L1620" s="68"/>
      <c r="M1620" s="68"/>
      <c r="P1620" s="89" t="str">
        <f t="shared" si="88"/>
        <v xml:space="preserve">  1 1900 </v>
      </c>
    </row>
    <row r="1621" spans="1:16">
      <c r="A1621" s="68"/>
      <c r="B1621" s="87"/>
      <c r="C1621" s="88"/>
      <c r="D1621" s="88"/>
      <c r="E1621" s="90"/>
      <c r="F1621" s="84" t="str">
        <f ca="1">IF(D1621="Income",LOOKUP(E1621,Introduction!$A$11:$A$18,Introduction!$C$11:$C$18),IF(D1621="Expense",LOOKUP(E1621,Introduction!$D$11:$D$30,Introduction!$F$11:$F$30),"_"))</f>
        <v>_</v>
      </c>
      <c r="G1621" s="88"/>
      <c r="H1621" s="92"/>
      <c r="I1621" s="85">
        <f t="shared" si="89"/>
        <v>0</v>
      </c>
      <c r="J1621" s="93"/>
      <c r="K1621" s="85">
        <f t="shared" si="90"/>
        <v>0</v>
      </c>
      <c r="L1621" s="68"/>
      <c r="M1621" s="68"/>
      <c r="P1621" s="89" t="str">
        <f t="shared" si="88"/>
        <v xml:space="preserve">  1 1900 </v>
      </c>
    </row>
    <row r="1622" spans="1:16">
      <c r="A1622" s="68"/>
      <c r="B1622" s="87"/>
      <c r="C1622" s="88"/>
      <c r="D1622" s="88"/>
      <c r="E1622" s="90"/>
      <c r="F1622" s="84" t="str">
        <f ca="1">IF(D1622="Income",LOOKUP(E1622,Introduction!$A$11:$A$18,Introduction!$C$11:$C$18),IF(D1622="Expense",LOOKUP(E1622,Introduction!$D$11:$D$30,Introduction!$F$11:$F$30),"_"))</f>
        <v>_</v>
      </c>
      <c r="G1622" s="88"/>
      <c r="H1622" s="92"/>
      <c r="I1622" s="85">
        <f t="shared" si="89"/>
        <v>0</v>
      </c>
      <c r="J1622" s="93"/>
      <c r="K1622" s="85">
        <f t="shared" si="90"/>
        <v>0</v>
      </c>
      <c r="L1622" s="68"/>
      <c r="M1622" s="68"/>
      <c r="P1622" s="89" t="str">
        <f t="shared" si="88"/>
        <v xml:space="preserve">  1 1900 </v>
      </c>
    </row>
    <row r="1623" spans="1:16">
      <c r="A1623" s="68"/>
      <c r="B1623" s="87"/>
      <c r="C1623" s="88"/>
      <c r="D1623" s="88"/>
      <c r="E1623" s="90"/>
      <c r="F1623" s="84" t="str">
        <f ca="1">IF(D1623="Income",LOOKUP(E1623,Introduction!$A$11:$A$18,Introduction!$C$11:$C$18),IF(D1623="Expense",LOOKUP(E1623,Introduction!$D$11:$D$30,Introduction!$F$11:$F$30),"_"))</f>
        <v>_</v>
      </c>
      <c r="G1623" s="88"/>
      <c r="H1623" s="92"/>
      <c r="I1623" s="85">
        <f t="shared" si="89"/>
        <v>0</v>
      </c>
      <c r="J1623" s="93"/>
      <c r="K1623" s="85">
        <f t="shared" si="90"/>
        <v>0</v>
      </c>
      <c r="L1623" s="68"/>
      <c r="M1623" s="68"/>
      <c r="P1623" s="89" t="str">
        <f t="shared" si="88"/>
        <v xml:space="preserve">  1 1900 </v>
      </c>
    </row>
    <row r="1624" spans="1:16">
      <c r="A1624" s="68"/>
      <c r="B1624" s="87"/>
      <c r="C1624" s="88"/>
      <c r="D1624" s="88"/>
      <c r="E1624" s="90"/>
      <c r="F1624" s="84" t="str">
        <f ca="1">IF(D1624="Income",LOOKUP(E1624,Introduction!$A$11:$A$18,Introduction!$C$11:$C$18),IF(D1624="Expense",LOOKUP(E1624,Introduction!$D$11:$D$30,Introduction!$F$11:$F$30),"_"))</f>
        <v>_</v>
      </c>
      <c r="G1624" s="88"/>
      <c r="H1624" s="92"/>
      <c r="I1624" s="85">
        <f t="shared" si="89"/>
        <v>0</v>
      </c>
      <c r="J1624" s="93"/>
      <c r="K1624" s="85">
        <f t="shared" si="90"/>
        <v>0</v>
      </c>
      <c r="L1624" s="68"/>
      <c r="M1624" s="68"/>
      <c r="P1624" s="89" t="str">
        <f t="shared" si="88"/>
        <v xml:space="preserve">  1 1900 </v>
      </c>
    </row>
    <row r="1625" spans="1:16">
      <c r="A1625" s="68"/>
      <c r="B1625" s="87"/>
      <c r="C1625" s="88"/>
      <c r="D1625" s="88"/>
      <c r="E1625" s="90"/>
      <c r="F1625" s="84" t="str">
        <f ca="1">IF(D1625="Income",LOOKUP(E1625,Introduction!$A$11:$A$18,Introduction!$C$11:$C$18),IF(D1625="Expense",LOOKUP(E1625,Introduction!$D$11:$D$30,Introduction!$F$11:$F$30),"_"))</f>
        <v>_</v>
      </c>
      <c r="G1625" s="88"/>
      <c r="H1625" s="92"/>
      <c r="I1625" s="85">
        <f t="shared" si="89"/>
        <v>0</v>
      </c>
      <c r="J1625" s="93"/>
      <c r="K1625" s="85">
        <f t="shared" si="90"/>
        <v>0</v>
      </c>
      <c r="L1625" s="68"/>
      <c r="M1625" s="68"/>
      <c r="P1625" s="89" t="str">
        <f t="shared" si="88"/>
        <v xml:space="preserve">  1 1900 </v>
      </c>
    </row>
    <row r="1626" spans="1:16">
      <c r="A1626" s="68"/>
      <c r="B1626" s="87"/>
      <c r="C1626" s="88"/>
      <c r="D1626" s="88"/>
      <c r="E1626" s="90"/>
      <c r="F1626" s="84" t="str">
        <f ca="1">IF(D1626="Income",LOOKUP(E1626,Introduction!$A$11:$A$18,Introduction!$C$11:$C$18),IF(D1626="Expense",LOOKUP(E1626,Introduction!$D$11:$D$30,Introduction!$F$11:$F$30),"_"))</f>
        <v>_</v>
      </c>
      <c r="G1626" s="88"/>
      <c r="H1626" s="92"/>
      <c r="I1626" s="85">
        <f t="shared" si="89"/>
        <v>0</v>
      </c>
      <c r="J1626" s="93"/>
      <c r="K1626" s="85">
        <f t="shared" si="90"/>
        <v>0</v>
      </c>
      <c r="L1626" s="68"/>
      <c r="M1626" s="68"/>
      <c r="P1626" s="89" t="str">
        <f t="shared" si="88"/>
        <v xml:space="preserve">  1 1900 </v>
      </c>
    </row>
    <row r="1627" spans="1:16">
      <c r="A1627" s="68"/>
      <c r="B1627" s="87"/>
      <c r="C1627" s="88"/>
      <c r="D1627" s="88"/>
      <c r="E1627" s="90"/>
      <c r="F1627" s="84" t="str">
        <f ca="1">IF(D1627="Income",LOOKUP(E1627,Introduction!$A$11:$A$18,Introduction!$C$11:$C$18),IF(D1627="Expense",LOOKUP(E1627,Introduction!$D$11:$D$30,Introduction!$F$11:$F$30),"_"))</f>
        <v>_</v>
      </c>
      <c r="G1627" s="88"/>
      <c r="H1627" s="92"/>
      <c r="I1627" s="85">
        <f t="shared" si="89"/>
        <v>0</v>
      </c>
      <c r="J1627" s="93"/>
      <c r="K1627" s="85">
        <f t="shared" si="90"/>
        <v>0</v>
      </c>
      <c r="L1627" s="68"/>
      <c r="M1627" s="68"/>
      <c r="P1627" s="89" t="str">
        <f t="shared" si="88"/>
        <v xml:space="preserve">  1 1900 </v>
      </c>
    </row>
    <row r="1628" spans="1:16">
      <c r="A1628" s="68"/>
      <c r="B1628" s="87"/>
      <c r="C1628" s="88"/>
      <c r="D1628" s="88"/>
      <c r="E1628" s="90"/>
      <c r="F1628" s="84" t="str">
        <f ca="1">IF(D1628="Income",LOOKUP(E1628,Introduction!$A$11:$A$18,Introduction!$C$11:$C$18),IF(D1628="Expense",LOOKUP(E1628,Introduction!$D$11:$D$30,Introduction!$F$11:$F$30),"_"))</f>
        <v>_</v>
      </c>
      <c r="G1628" s="88"/>
      <c r="H1628" s="92"/>
      <c r="I1628" s="85">
        <f t="shared" si="89"/>
        <v>0</v>
      </c>
      <c r="J1628" s="93"/>
      <c r="K1628" s="85">
        <f t="shared" si="90"/>
        <v>0</v>
      </c>
      <c r="L1628" s="68"/>
      <c r="M1628" s="68"/>
      <c r="P1628" s="89" t="str">
        <f t="shared" si="88"/>
        <v xml:space="preserve">  1 1900 </v>
      </c>
    </row>
    <row r="1629" spans="1:16">
      <c r="A1629" s="68"/>
      <c r="B1629" s="87"/>
      <c r="C1629" s="88"/>
      <c r="D1629" s="88"/>
      <c r="E1629" s="90"/>
      <c r="F1629" s="84" t="str">
        <f ca="1">IF(D1629="Income",LOOKUP(E1629,Introduction!$A$11:$A$18,Introduction!$C$11:$C$18),IF(D1629="Expense",LOOKUP(E1629,Introduction!$D$11:$D$30,Introduction!$F$11:$F$30),"_"))</f>
        <v>_</v>
      </c>
      <c r="G1629" s="88"/>
      <c r="H1629" s="92"/>
      <c r="I1629" s="85">
        <f t="shared" si="89"/>
        <v>0</v>
      </c>
      <c r="J1629" s="93"/>
      <c r="K1629" s="85">
        <f t="shared" si="90"/>
        <v>0</v>
      </c>
      <c r="L1629" s="68"/>
      <c r="M1629" s="68"/>
      <c r="P1629" s="89" t="str">
        <f t="shared" si="88"/>
        <v xml:space="preserve">  1 1900 </v>
      </c>
    </row>
    <row r="1630" spans="1:16">
      <c r="A1630" s="68"/>
      <c r="B1630" s="87"/>
      <c r="C1630" s="88"/>
      <c r="D1630" s="88"/>
      <c r="E1630" s="90"/>
      <c r="F1630" s="84" t="str">
        <f ca="1">IF(D1630="Income",LOOKUP(E1630,Introduction!$A$11:$A$18,Introduction!$C$11:$C$18),IF(D1630="Expense",LOOKUP(E1630,Introduction!$D$11:$D$30,Introduction!$F$11:$F$30),"_"))</f>
        <v>_</v>
      </c>
      <c r="G1630" s="88"/>
      <c r="H1630" s="92"/>
      <c r="I1630" s="85">
        <f t="shared" si="89"/>
        <v>0</v>
      </c>
      <c r="J1630" s="93"/>
      <c r="K1630" s="85">
        <f t="shared" si="90"/>
        <v>0</v>
      </c>
      <c r="L1630" s="68"/>
      <c r="M1630" s="68"/>
      <c r="P1630" s="89" t="str">
        <f t="shared" si="88"/>
        <v xml:space="preserve">  1 1900 </v>
      </c>
    </row>
    <row r="1631" spans="1:16">
      <c r="A1631" s="68"/>
      <c r="B1631" s="87"/>
      <c r="C1631" s="88"/>
      <c r="D1631" s="88"/>
      <c r="E1631" s="90"/>
      <c r="F1631" s="84" t="str">
        <f ca="1">IF(D1631="Income",LOOKUP(E1631,Introduction!$A$11:$A$18,Introduction!$C$11:$C$18),IF(D1631="Expense",LOOKUP(E1631,Introduction!$D$11:$D$30,Introduction!$F$11:$F$30),"_"))</f>
        <v>_</v>
      </c>
      <c r="G1631" s="88"/>
      <c r="H1631" s="92"/>
      <c r="I1631" s="85">
        <f t="shared" si="89"/>
        <v>0</v>
      </c>
      <c r="J1631" s="93"/>
      <c r="K1631" s="85">
        <f t="shared" si="90"/>
        <v>0</v>
      </c>
      <c r="L1631" s="68"/>
      <c r="M1631" s="68"/>
      <c r="P1631" s="89" t="str">
        <f t="shared" si="88"/>
        <v xml:space="preserve">  1 1900 </v>
      </c>
    </row>
    <row r="1632" spans="1:16">
      <c r="A1632" s="68"/>
      <c r="B1632" s="87"/>
      <c r="C1632" s="88"/>
      <c r="D1632" s="88"/>
      <c r="E1632" s="90"/>
      <c r="F1632" s="84" t="str">
        <f ca="1">IF(D1632="Income",LOOKUP(E1632,Introduction!$A$11:$A$18,Introduction!$C$11:$C$18),IF(D1632="Expense",LOOKUP(E1632,Introduction!$D$11:$D$30,Introduction!$F$11:$F$30),"_"))</f>
        <v>_</v>
      </c>
      <c r="G1632" s="88"/>
      <c r="H1632" s="92"/>
      <c r="I1632" s="85">
        <f t="shared" si="89"/>
        <v>0</v>
      </c>
      <c r="J1632" s="93"/>
      <c r="K1632" s="85">
        <f t="shared" si="90"/>
        <v>0</v>
      </c>
      <c r="L1632" s="68"/>
      <c r="M1632" s="68"/>
      <c r="P1632" s="89" t="str">
        <f t="shared" si="88"/>
        <v xml:space="preserve">  1 1900 </v>
      </c>
    </row>
    <row r="1633" spans="1:16">
      <c r="A1633" s="68"/>
      <c r="B1633" s="87"/>
      <c r="C1633" s="88"/>
      <c r="D1633" s="88"/>
      <c r="E1633" s="90"/>
      <c r="F1633" s="84" t="str">
        <f ca="1">IF(D1633="Income",LOOKUP(E1633,Introduction!$A$11:$A$18,Introduction!$C$11:$C$18),IF(D1633="Expense",LOOKUP(E1633,Introduction!$D$11:$D$30,Introduction!$F$11:$F$30),"_"))</f>
        <v>_</v>
      </c>
      <c r="G1633" s="88"/>
      <c r="H1633" s="92"/>
      <c r="I1633" s="85">
        <f t="shared" si="89"/>
        <v>0</v>
      </c>
      <c r="J1633" s="93"/>
      <c r="K1633" s="85">
        <f t="shared" si="90"/>
        <v>0</v>
      </c>
      <c r="L1633" s="68"/>
      <c r="M1633" s="68"/>
      <c r="P1633" s="89" t="str">
        <f t="shared" si="88"/>
        <v xml:space="preserve">  1 1900 </v>
      </c>
    </row>
    <row r="1634" spans="1:16">
      <c r="A1634" s="68"/>
      <c r="B1634" s="87"/>
      <c r="C1634" s="88"/>
      <c r="D1634" s="88"/>
      <c r="E1634" s="90"/>
      <c r="F1634" s="84" t="str">
        <f ca="1">IF(D1634="Income",LOOKUP(E1634,Introduction!$A$11:$A$18,Introduction!$C$11:$C$18),IF(D1634="Expense",LOOKUP(E1634,Introduction!$D$11:$D$30,Introduction!$F$11:$F$30),"_"))</f>
        <v>_</v>
      </c>
      <c r="G1634" s="88"/>
      <c r="H1634" s="92"/>
      <c r="I1634" s="85">
        <f t="shared" si="89"/>
        <v>0</v>
      </c>
      <c r="J1634" s="93"/>
      <c r="K1634" s="85">
        <f t="shared" si="90"/>
        <v>0</v>
      </c>
      <c r="L1634" s="68"/>
      <c r="M1634" s="68"/>
      <c r="P1634" s="89" t="str">
        <f t="shared" si="88"/>
        <v xml:space="preserve">  1 1900 </v>
      </c>
    </row>
    <row r="1635" spans="1:16">
      <c r="A1635" s="68"/>
      <c r="B1635" s="87"/>
      <c r="C1635" s="88"/>
      <c r="D1635" s="88"/>
      <c r="E1635" s="90"/>
      <c r="F1635" s="84" t="str">
        <f ca="1">IF(D1635="Income",LOOKUP(E1635,Introduction!$A$11:$A$18,Introduction!$C$11:$C$18),IF(D1635="Expense",LOOKUP(E1635,Introduction!$D$11:$D$30,Introduction!$F$11:$F$30),"_"))</f>
        <v>_</v>
      </c>
      <c r="G1635" s="88"/>
      <c r="H1635" s="92"/>
      <c r="I1635" s="85">
        <f t="shared" si="89"/>
        <v>0</v>
      </c>
      <c r="J1635" s="93"/>
      <c r="K1635" s="85">
        <f t="shared" si="90"/>
        <v>0</v>
      </c>
      <c r="L1635" s="68"/>
      <c r="M1635" s="68"/>
      <c r="P1635" s="89" t="str">
        <f t="shared" si="88"/>
        <v xml:space="preserve">  1 1900 </v>
      </c>
    </row>
    <row r="1636" spans="1:16">
      <c r="A1636" s="68"/>
      <c r="B1636" s="87"/>
      <c r="C1636" s="88"/>
      <c r="D1636" s="88"/>
      <c r="E1636" s="90"/>
      <c r="F1636" s="84" t="str">
        <f ca="1">IF(D1636="Income",LOOKUP(E1636,Introduction!$A$11:$A$18,Introduction!$C$11:$C$18),IF(D1636="Expense",LOOKUP(E1636,Introduction!$D$11:$D$30,Introduction!$F$11:$F$30),"_"))</f>
        <v>_</v>
      </c>
      <c r="G1636" s="88"/>
      <c r="H1636" s="92"/>
      <c r="I1636" s="85">
        <f t="shared" si="89"/>
        <v>0</v>
      </c>
      <c r="J1636" s="93"/>
      <c r="K1636" s="85">
        <f t="shared" si="90"/>
        <v>0</v>
      </c>
      <c r="L1636" s="68"/>
      <c r="M1636" s="68"/>
      <c r="P1636" s="89" t="str">
        <f t="shared" si="88"/>
        <v xml:space="preserve">  1 1900 </v>
      </c>
    </row>
    <row r="1637" spans="1:16">
      <c r="A1637" s="68"/>
      <c r="B1637" s="87"/>
      <c r="C1637" s="88"/>
      <c r="D1637" s="88"/>
      <c r="E1637" s="90"/>
      <c r="F1637" s="84" t="str">
        <f ca="1">IF(D1637="Income",LOOKUP(E1637,Introduction!$A$11:$A$18,Introduction!$C$11:$C$18),IF(D1637="Expense",LOOKUP(E1637,Introduction!$D$11:$D$30,Introduction!$F$11:$F$30),"_"))</f>
        <v>_</v>
      </c>
      <c r="G1637" s="88"/>
      <c r="H1637" s="92"/>
      <c r="I1637" s="85">
        <f t="shared" si="89"/>
        <v>0</v>
      </c>
      <c r="J1637" s="93"/>
      <c r="K1637" s="85">
        <f t="shared" si="90"/>
        <v>0</v>
      </c>
      <c r="L1637" s="68"/>
      <c r="M1637" s="68"/>
      <c r="P1637" s="89" t="str">
        <f t="shared" si="88"/>
        <v xml:space="preserve">  1 1900 </v>
      </c>
    </row>
    <row r="1638" spans="1:16">
      <c r="A1638" s="68"/>
      <c r="B1638" s="87"/>
      <c r="C1638" s="88"/>
      <c r="D1638" s="88"/>
      <c r="E1638" s="90"/>
      <c r="F1638" s="84" t="str">
        <f ca="1">IF(D1638="Income",LOOKUP(E1638,Introduction!$A$11:$A$18,Introduction!$C$11:$C$18),IF(D1638="Expense",LOOKUP(E1638,Introduction!$D$11:$D$30,Introduction!$F$11:$F$30),"_"))</f>
        <v>_</v>
      </c>
      <c r="G1638" s="88"/>
      <c r="H1638" s="92"/>
      <c r="I1638" s="85">
        <f t="shared" si="89"/>
        <v>0</v>
      </c>
      <c r="J1638" s="93"/>
      <c r="K1638" s="85">
        <f t="shared" si="90"/>
        <v>0</v>
      </c>
      <c r="L1638" s="68"/>
      <c r="M1638" s="68"/>
      <c r="P1638" s="89" t="str">
        <f t="shared" si="88"/>
        <v xml:space="preserve">  1 1900 </v>
      </c>
    </row>
    <row r="1639" spans="1:16">
      <c r="A1639" s="68"/>
      <c r="B1639" s="87"/>
      <c r="C1639" s="88"/>
      <c r="D1639" s="88"/>
      <c r="E1639" s="90"/>
      <c r="F1639" s="84" t="str">
        <f ca="1">IF(D1639="Income",LOOKUP(E1639,Introduction!$A$11:$A$18,Introduction!$C$11:$C$18),IF(D1639="Expense",LOOKUP(E1639,Introduction!$D$11:$D$30,Introduction!$F$11:$F$30),"_"))</f>
        <v>_</v>
      </c>
      <c r="G1639" s="88"/>
      <c r="H1639" s="92"/>
      <c r="I1639" s="85">
        <f t="shared" si="89"/>
        <v>0</v>
      </c>
      <c r="J1639" s="93"/>
      <c r="K1639" s="85">
        <f t="shared" si="90"/>
        <v>0</v>
      </c>
      <c r="L1639" s="68"/>
      <c r="M1639" s="68"/>
      <c r="P1639" s="89" t="str">
        <f t="shared" si="88"/>
        <v xml:space="preserve">  1 1900 </v>
      </c>
    </row>
    <row r="1640" spans="1:16">
      <c r="A1640" s="68"/>
      <c r="B1640" s="87"/>
      <c r="C1640" s="88"/>
      <c r="D1640" s="88"/>
      <c r="E1640" s="90"/>
      <c r="F1640" s="84" t="str">
        <f ca="1">IF(D1640="Income",LOOKUP(E1640,Introduction!$A$11:$A$18,Introduction!$C$11:$C$18),IF(D1640="Expense",LOOKUP(E1640,Introduction!$D$11:$D$30,Introduction!$F$11:$F$30),"_"))</f>
        <v>_</v>
      </c>
      <c r="G1640" s="88"/>
      <c r="H1640" s="92"/>
      <c r="I1640" s="85">
        <f t="shared" si="89"/>
        <v>0</v>
      </c>
      <c r="J1640" s="93"/>
      <c r="K1640" s="85">
        <f t="shared" si="90"/>
        <v>0</v>
      </c>
      <c r="L1640" s="68"/>
      <c r="M1640" s="68"/>
      <c r="P1640" s="89" t="str">
        <f t="shared" si="88"/>
        <v xml:space="preserve">  1 1900 </v>
      </c>
    </row>
    <row r="1641" spans="1:16">
      <c r="A1641" s="68"/>
      <c r="B1641" s="87"/>
      <c r="C1641" s="88"/>
      <c r="D1641" s="88"/>
      <c r="E1641" s="90"/>
      <c r="F1641" s="84" t="str">
        <f ca="1">IF(D1641="Income",LOOKUP(E1641,Introduction!$A$11:$A$18,Introduction!$C$11:$C$18),IF(D1641="Expense",LOOKUP(E1641,Introduction!$D$11:$D$30,Introduction!$F$11:$F$30),"_"))</f>
        <v>_</v>
      </c>
      <c r="G1641" s="88"/>
      <c r="H1641" s="92"/>
      <c r="I1641" s="85">
        <f t="shared" si="89"/>
        <v>0</v>
      </c>
      <c r="J1641" s="93"/>
      <c r="K1641" s="85">
        <f t="shared" si="90"/>
        <v>0</v>
      </c>
      <c r="L1641" s="68"/>
      <c r="M1641" s="68"/>
      <c r="P1641" s="89" t="str">
        <f t="shared" si="88"/>
        <v xml:space="preserve">  1 1900 </v>
      </c>
    </row>
    <row r="1642" spans="1:16">
      <c r="A1642" s="68"/>
      <c r="B1642" s="87"/>
      <c r="C1642" s="88"/>
      <c r="D1642" s="88"/>
      <c r="E1642" s="90"/>
      <c r="F1642" s="84" t="str">
        <f ca="1">IF(D1642="Income",LOOKUP(E1642,Introduction!$A$11:$A$18,Introduction!$C$11:$C$18),IF(D1642="Expense",LOOKUP(E1642,Introduction!$D$11:$D$30,Introduction!$F$11:$F$30),"_"))</f>
        <v>_</v>
      </c>
      <c r="G1642" s="88"/>
      <c r="H1642" s="92"/>
      <c r="I1642" s="85">
        <f t="shared" si="89"/>
        <v>0</v>
      </c>
      <c r="J1642" s="93"/>
      <c r="K1642" s="85">
        <f t="shared" si="90"/>
        <v>0</v>
      </c>
      <c r="L1642" s="68"/>
      <c r="M1642" s="68"/>
      <c r="P1642" s="89" t="str">
        <f t="shared" si="88"/>
        <v xml:space="preserve">  1 1900 </v>
      </c>
    </row>
    <row r="1643" spans="1:16">
      <c r="A1643" s="68"/>
      <c r="B1643" s="87"/>
      <c r="C1643" s="88"/>
      <c r="D1643" s="88"/>
      <c r="E1643" s="90"/>
      <c r="F1643" s="84" t="str">
        <f ca="1">IF(D1643="Income",LOOKUP(E1643,Introduction!$A$11:$A$18,Introduction!$C$11:$C$18),IF(D1643="Expense",LOOKUP(E1643,Introduction!$D$11:$D$30,Introduction!$F$11:$F$30),"_"))</f>
        <v>_</v>
      </c>
      <c r="G1643" s="88"/>
      <c r="H1643" s="92"/>
      <c r="I1643" s="85">
        <f t="shared" si="89"/>
        <v>0</v>
      </c>
      <c r="J1643" s="93"/>
      <c r="K1643" s="85">
        <f t="shared" si="90"/>
        <v>0</v>
      </c>
      <c r="L1643" s="68"/>
      <c r="M1643" s="68"/>
      <c r="P1643" s="89" t="str">
        <f t="shared" si="88"/>
        <v xml:space="preserve">  1 1900 </v>
      </c>
    </row>
    <row r="1644" spans="1:16">
      <c r="A1644" s="68"/>
      <c r="B1644" s="87"/>
      <c r="C1644" s="88"/>
      <c r="D1644" s="88"/>
      <c r="E1644" s="90"/>
      <c r="F1644" s="84" t="str">
        <f ca="1">IF(D1644="Income",LOOKUP(E1644,Introduction!$A$11:$A$18,Introduction!$C$11:$C$18),IF(D1644="Expense",LOOKUP(E1644,Introduction!$D$11:$D$30,Introduction!$F$11:$F$30),"_"))</f>
        <v>_</v>
      </c>
      <c r="G1644" s="88"/>
      <c r="H1644" s="92"/>
      <c r="I1644" s="85">
        <f t="shared" si="89"/>
        <v>0</v>
      </c>
      <c r="J1644" s="93"/>
      <c r="K1644" s="85">
        <f t="shared" si="90"/>
        <v>0</v>
      </c>
      <c r="L1644" s="68"/>
      <c r="M1644" s="68"/>
      <c r="P1644" s="89" t="str">
        <f t="shared" si="88"/>
        <v xml:space="preserve">  1 1900 </v>
      </c>
    </row>
    <row r="1645" spans="1:16">
      <c r="A1645" s="68"/>
      <c r="B1645" s="87"/>
      <c r="C1645" s="88"/>
      <c r="D1645" s="88"/>
      <c r="E1645" s="90"/>
      <c r="F1645" s="84" t="str">
        <f ca="1">IF(D1645="Income",LOOKUP(E1645,Introduction!$A$11:$A$18,Introduction!$C$11:$C$18),IF(D1645="Expense",LOOKUP(E1645,Introduction!$D$11:$D$30,Introduction!$F$11:$F$30),"_"))</f>
        <v>_</v>
      </c>
      <c r="G1645" s="88"/>
      <c r="H1645" s="92"/>
      <c r="I1645" s="85">
        <f t="shared" si="89"/>
        <v>0</v>
      </c>
      <c r="J1645" s="93"/>
      <c r="K1645" s="85">
        <f t="shared" si="90"/>
        <v>0</v>
      </c>
      <c r="L1645" s="68"/>
      <c r="M1645" s="68"/>
      <c r="P1645" s="89" t="str">
        <f t="shared" si="88"/>
        <v xml:space="preserve">  1 1900 </v>
      </c>
    </row>
    <row r="1646" spans="1:16">
      <c r="A1646" s="68"/>
      <c r="B1646" s="87"/>
      <c r="C1646" s="88"/>
      <c r="D1646" s="88"/>
      <c r="E1646" s="90"/>
      <c r="F1646" s="84" t="str">
        <f ca="1">IF(D1646="Income",LOOKUP(E1646,Introduction!$A$11:$A$18,Introduction!$C$11:$C$18),IF(D1646="Expense",LOOKUP(E1646,Introduction!$D$11:$D$30,Introduction!$F$11:$F$30),"_"))</f>
        <v>_</v>
      </c>
      <c r="G1646" s="88"/>
      <c r="H1646" s="92"/>
      <c r="I1646" s="85">
        <f t="shared" si="89"/>
        <v>0</v>
      </c>
      <c r="J1646" s="93"/>
      <c r="K1646" s="85">
        <f t="shared" si="90"/>
        <v>0</v>
      </c>
      <c r="L1646" s="68"/>
      <c r="M1646" s="68"/>
      <c r="P1646" s="89" t="str">
        <f t="shared" si="88"/>
        <v xml:space="preserve">  1 1900 </v>
      </c>
    </row>
    <row r="1647" spans="1:16">
      <c r="A1647" s="68"/>
      <c r="B1647" s="87"/>
      <c r="C1647" s="88"/>
      <c r="D1647" s="88"/>
      <c r="E1647" s="90"/>
      <c r="F1647" s="84" t="str">
        <f ca="1">IF(D1647="Income",LOOKUP(E1647,Introduction!$A$11:$A$18,Introduction!$C$11:$C$18),IF(D1647="Expense",LOOKUP(E1647,Introduction!$D$11:$D$30,Introduction!$F$11:$F$30),"_"))</f>
        <v>_</v>
      </c>
      <c r="G1647" s="88"/>
      <c r="H1647" s="92"/>
      <c r="I1647" s="85">
        <f t="shared" si="89"/>
        <v>0</v>
      </c>
      <c r="J1647" s="93"/>
      <c r="K1647" s="85">
        <f t="shared" si="90"/>
        <v>0</v>
      </c>
      <c r="L1647" s="68"/>
      <c r="M1647" s="68"/>
      <c r="P1647" s="89" t="str">
        <f t="shared" si="88"/>
        <v xml:space="preserve">  1 1900 </v>
      </c>
    </row>
    <row r="1648" spans="1:16">
      <c r="A1648" s="68"/>
      <c r="B1648" s="87"/>
      <c r="C1648" s="88"/>
      <c r="D1648" s="88"/>
      <c r="E1648" s="90"/>
      <c r="F1648" s="84" t="str">
        <f ca="1">IF(D1648="Income",LOOKUP(E1648,Introduction!$A$11:$A$18,Introduction!$C$11:$C$18),IF(D1648="Expense",LOOKUP(E1648,Introduction!$D$11:$D$30,Introduction!$F$11:$F$30),"_"))</f>
        <v>_</v>
      </c>
      <c r="G1648" s="88"/>
      <c r="H1648" s="92"/>
      <c r="I1648" s="85">
        <f t="shared" si="89"/>
        <v>0</v>
      </c>
      <c r="J1648" s="93"/>
      <c r="K1648" s="85">
        <f t="shared" si="90"/>
        <v>0</v>
      </c>
      <c r="L1648" s="68"/>
      <c r="M1648" s="68"/>
      <c r="P1648" s="89" t="str">
        <f t="shared" si="88"/>
        <v xml:space="preserve">  1 1900 </v>
      </c>
    </row>
    <row r="1649" spans="1:16">
      <c r="A1649" s="68"/>
      <c r="B1649" s="87"/>
      <c r="C1649" s="88"/>
      <c r="D1649" s="88"/>
      <c r="E1649" s="90"/>
      <c r="F1649" s="84" t="str">
        <f ca="1">IF(D1649="Income",LOOKUP(E1649,Introduction!$A$11:$A$18,Introduction!$C$11:$C$18),IF(D1649="Expense",LOOKUP(E1649,Introduction!$D$11:$D$30,Introduction!$F$11:$F$30),"_"))</f>
        <v>_</v>
      </c>
      <c r="G1649" s="88"/>
      <c r="H1649" s="92"/>
      <c r="I1649" s="85">
        <f t="shared" si="89"/>
        <v>0</v>
      </c>
      <c r="J1649" s="93"/>
      <c r="K1649" s="85">
        <f t="shared" si="90"/>
        <v>0</v>
      </c>
      <c r="L1649" s="68"/>
      <c r="M1649" s="68"/>
      <c r="P1649" s="89" t="str">
        <f t="shared" si="88"/>
        <v xml:space="preserve">  1 1900 </v>
      </c>
    </row>
    <row r="1650" spans="1:16">
      <c r="A1650" s="68"/>
      <c r="B1650" s="87"/>
      <c r="C1650" s="88"/>
      <c r="D1650" s="88"/>
      <c r="E1650" s="90"/>
      <c r="F1650" s="84" t="str">
        <f ca="1">IF(D1650="Income",LOOKUP(E1650,Introduction!$A$11:$A$18,Introduction!$C$11:$C$18),IF(D1650="Expense",LOOKUP(E1650,Introduction!$D$11:$D$30,Introduction!$F$11:$F$30),"_"))</f>
        <v>_</v>
      </c>
      <c r="G1650" s="88"/>
      <c r="H1650" s="92"/>
      <c r="I1650" s="85">
        <f t="shared" si="89"/>
        <v>0</v>
      </c>
      <c r="J1650" s="93"/>
      <c r="K1650" s="85">
        <f t="shared" si="90"/>
        <v>0</v>
      </c>
      <c r="L1650" s="68"/>
      <c r="M1650" s="68"/>
      <c r="P1650" s="89" t="str">
        <f t="shared" si="88"/>
        <v xml:space="preserve">  1 1900 </v>
      </c>
    </row>
    <row r="1651" spans="1:16">
      <c r="A1651" s="68"/>
      <c r="B1651" s="87"/>
      <c r="C1651" s="88"/>
      <c r="D1651" s="88"/>
      <c r="E1651" s="90"/>
      <c r="F1651" s="84" t="str">
        <f ca="1">IF(D1651="Income",LOOKUP(E1651,Introduction!$A$11:$A$18,Introduction!$C$11:$C$18),IF(D1651="Expense",LOOKUP(E1651,Introduction!$D$11:$D$30,Introduction!$F$11:$F$30),"_"))</f>
        <v>_</v>
      </c>
      <c r="G1651" s="88"/>
      <c r="H1651" s="92"/>
      <c r="I1651" s="85">
        <f t="shared" si="89"/>
        <v>0</v>
      </c>
      <c r="J1651" s="93"/>
      <c r="K1651" s="85">
        <f t="shared" si="90"/>
        <v>0</v>
      </c>
      <c r="L1651" s="68"/>
      <c r="M1651" s="68"/>
      <c r="P1651" s="89" t="str">
        <f t="shared" si="88"/>
        <v xml:space="preserve">  1 1900 </v>
      </c>
    </row>
    <row r="1652" spans="1:16">
      <c r="A1652" s="68"/>
      <c r="B1652" s="87"/>
      <c r="C1652" s="88"/>
      <c r="D1652" s="88"/>
      <c r="E1652" s="90"/>
      <c r="F1652" s="84" t="str">
        <f ca="1">IF(D1652="Income",LOOKUP(E1652,Introduction!$A$11:$A$18,Introduction!$C$11:$C$18),IF(D1652="Expense",LOOKUP(E1652,Introduction!$D$11:$D$30,Introduction!$F$11:$F$30),"_"))</f>
        <v>_</v>
      </c>
      <c r="G1652" s="88"/>
      <c r="H1652" s="92"/>
      <c r="I1652" s="85">
        <f t="shared" si="89"/>
        <v>0</v>
      </c>
      <c r="J1652" s="93"/>
      <c r="K1652" s="85">
        <f t="shared" si="90"/>
        <v>0</v>
      </c>
      <c r="L1652" s="68"/>
      <c r="M1652" s="68"/>
      <c r="P1652" s="89" t="str">
        <f t="shared" si="88"/>
        <v xml:space="preserve">  1 1900 </v>
      </c>
    </row>
    <row r="1653" spans="1:16">
      <c r="A1653" s="68"/>
      <c r="B1653" s="87"/>
      <c r="C1653" s="88"/>
      <c r="D1653" s="88"/>
      <c r="E1653" s="90"/>
      <c r="F1653" s="84" t="str">
        <f ca="1">IF(D1653="Income",LOOKUP(E1653,Introduction!$A$11:$A$18,Introduction!$C$11:$C$18),IF(D1653="Expense",LOOKUP(E1653,Introduction!$D$11:$D$30,Introduction!$F$11:$F$30),"_"))</f>
        <v>_</v>
      </c>
      <c r="G1653" s="88"/>
      <c r="H1653" s="92"/>
      <c r="I1653" s="85">
        <f t="shared" si="89"/>
        <v>0</v>
      </c>
      <c r="J1653" s="93"/>
      <c r="K1653" s="85">
        <f t="shared" si="90"/>
        <v>0</v>
      </c>
      <c r="L1653" s="68"/>
      <c r="M1653" s="68"/>
      <c r="P1653" s="89" t="str">
        <f t="shared" si="88"/>
        <v xml:space="preserve">  1 1900 </v>
      </c>
    </row>
    <row r="1654" spans="1:16">
      <c r="A1654" s="68"/>
      <c r="B1654" s="87"/>
      <c r="C1654" s="88"/>
      <c r="D1654" s="88"/>
      <c r="E1654" s="90"/>
      <c r="F1654" s="84" t="str">
        <f ca="1">IF(D1654="Income",LOOKUP(E1654,Introduction!$A$11:$A$18,Introduction!$C$11:$C$18),IF(D1654="Expense",LOOKUP(E1654,Introduction!$D$11:$D$30,Introduction!$F$11:$F$30),"_"))</f>
        <v>_</v>
      </c>
      <c r="G1654" s="88"/>
      <c r="H1654" s="92"/>
      <c r="I1654" s="85">
        <f t="shared" si="89"/>
        <v>0</v>
      </c>
      <c r="J1654" s="93"/>
      <c r="K1654" s="85">
        <f t="shared" si="90"/>
        <v>0</v>
      </c>
      <c r="L1654" s="68"/>
      <c r="M1654" s="68"/>
      <c r="P1654" s="89" t="str">
        <f t="shared" si="88"/>
        <v xml:space="preserve">  1 1900 </v>
      </c>
    </row>
    <row r="1655" spans="1:16">
      <c r="A1655" s="68"/>
      <c r="B1655" s="87"/>
      <c r="C1655" s="88"/>
      <c r="D1655" s="88"/>
      <c r="E1655" s="90"/>
      <c r="F1655" s="84" t="str">
        <f ca="1">IF(D1655="Income",LOOKUP(E1655,Introduction!$A$11:$A$18,Introduction!$C$11:$C$18),IF(D1655="Expense",LOOKUP(E1655,Introduction!$D$11:$D$30,Introduction!$F$11:$F$30),"_"))</f>
        <v>_</v>
      </c>
      <c r="G1655" s="88"/>
      <c r="H1655" s="92"/>
      <c r="I1655" s="85">
        <f t="shared" si="89"/>
        <v>0</v>
      </c>
      <c r="J1655" s="93"/>
      <c r="K1655" s="85">
        <f t="shared" si="90"/>
        <v>0</v>
      </c>
      <c r="L1655" s="68"/>
      <c r="M1655" s="68"/>
      <c r="P1655" s="89" t="str">
        <f t="shared" si="88"/>
        <v xml:space="preserve">  1 1900 </v>
      </c>
    </row>
    <row r="1656" spans="1:16">
      <c r="A1656" s="68"/>
      <c r="B1656" s="87"/>
      <c r="C1656" s="88"/>
      <c r="D1656" s="88"/>
      <c r="E1656" s="90"/>
      <c r="F1656" s="84" t="str">
        <f ca="1">IF(D1656="Income",LOOKUP(E1656,Introduction!$A$11:$A$18,Introduction!$C$11:$C$18),IF(D1656="Expense",LOOKUP(E1656,Introduction!$D$11:$D$30,Introduction!$F$11:$F$30),"_"))</f>
        <v>_</v>
      </c>
      <c r="G1656" s="88"/>
      <c r="H1656" s="92"/>
      <c r="I1656" s="85">
        <f t="shared" si="89"/>
        <v>0</v>
      </c>
      <c r="J1656" s="93"/>
      <c r="K1656" s="85">
        <f t="shared" si="90"/>
        <v>0</v>
      </c>
      <c r="L1656" s="68"/>
      <c r="M1656" s="68"/>
      <c r="P1656" s="89" t="str">
        <f t="shared" si="88"/>
        <v xml:space="preserve">  1 1900 </v>
      </c>
    </row>
    <row r="1657" spans="1:16">
      <c r="A1657" s="68"/>
      <c r="B1657" s="87"/>
      <c r="C1657" s="88"/>
      <c r="D1657" s="88"/>
      <c r="E1657" s="90"/>
      <c r="F1657" s="84" t="str">
        <f ca="1">IF(D1657="Income",LOOKUP(E1657,Introduction!$A$11:$A$18,Introduction!$C$11:$C$18),IF(D1657="Expense",LOOKUP(E1657,Introduction!$D$11:$D$30,Introduction!$F$11:$F$30),"_"))</f>
        <v>_</v>
      </c>
      <c r="G1657" s="88"/>
      <c r="H1657" s="92"/>
      <c r="I1657" s="85">
        <f t="shared" si="89"/>
        <v>0</v>
      </c>
      <c r="J1657" s="93"/>
      <c r="K1657" s="85">
        <f t="shared" si="90"/>
        <v>0</v>
      </c>
      <c r="L1657" s="68"/>
      <c r="M1657" s="68"/>
      <c r="P1657" s="89" t="str">
        <f t="shared" si="88"/>
        <v xml:space="preserve">  1 1900 </v>
      </c>
    </row>
    <row r="1658" spans="1:16">
      <c r="A1658" s="68"/>
      <c r="B1658" s="87"/>
      <c r="C1658" s="88"/>
      <c r="D1658" s="88"/>
      <c r="E1658" s="90"/>
      <c r="F1658" s="84" t="str">
        <f ca="1">IF(D1658="Income",LOOKUP(E1658,Introduction!$A$11:$A$18,Introduction!$C$11:$C$18),IF(D1658="Expense",LOOKUP(E1658,Introduction!$D$11:$D$30,Introduction!$F$11:$F$30),"_"))</f>
        <v>_</v>
      </c>
      <c r="G1658" s="88"/>
      <c r="H1658" s="92"/>
      <c r="I1658" s="85">
        <f t="shared" si="89"/>
        <v>0</v>
      </c>
      <c r="J1658" s="93"/>
      <c r="K1658" s="85">
        <f t="shared" si="90"/>
        <v>0</v>
      </c>
      <c r="L1658" s="68"/>
      <c r="M1658" s="68"/>
      <c r="P1658" s="89" t="str">
        <f t="shared" si="88"/>
        <v xml:space="preserve">  1 1900 </v>
      </c>
    </row>
    <row r="1659" spans="1:16">
      <c r="A1659" s="68"/>
      <c r="B1659" s="87"/>
      <c r="C1659" s="88"/>
      <c r="D1659" s="88"/>
      <c r="E1659" s="90"/>
      <c r="F1659" s="84" t="str">
        <f ca="1">IF(D1659="Income",LOOKUP(E1659,Introduction!$A$11:$A$18,Introduction!$C$11:$C$18),IF(D1659="Expense",LOOKUP(E1659,Introduction!$D$11:$D$30,Introduction!$F$11:$F$30),"_"))</f>
        <v>_</v>
      </c>
      <c r="G1659" s="88"/>
      <c r="H1659" s="92"/>
      <c r="I1659" s="85">
        <f t="shared" si="89"/>
        <v>0</v>
      </c>
      <c r="J1659" s="93"/>
      <c r="K1659" s="85">
        <f t="shared" si="90"/>
        <v>0</v>
      </c>
      <c r="L1659" s="68"/>
      <c r="M1659" s="68"/>
      <c r="P1659" s="89" t="str">
        <f t="shared" si="88"/>
        <v xml:space="preserve">  1 1900 </v>
      </c>
    </row>
    <row r="1660" spans="1:16">
      <c r="A1660" s="68"/>
      <c r="B1660" s="87"/>
      <c r="C1660" s="88"/>
      <c r="D1660" s="88"/>
      <c r="E1660" s="90"/>
      <c r="F1660" s="84" t="str">
        <f ca="1">IF(D1660="Income",LOOKUP(E1660,Introduction!$A$11:$A$18,Introduction!$C$11:$C$18),IF(D1660="Expense",LOOKUP(E1660,Introduction!$D$11:$D$30,Introduction!$F$11:$F$30),"_"))</f>
        <v>_</v>
      </c>
      <c r="G1660" s="88"/>
      <c r="H1660" s="92"/>
      <c r="I1660" s="85">
        <f t="shared" si="89"/>
        <v>0</v>
      </c>
      <c r="J1660" s="93"/>
      <c r="K1660" s="85">
        <f t="shared" si="90"/>
        <v>0</v>
      </c>
      <c r="L1660" s="68"/>
      <c r="M1660" s="68"/>
      <c r="P1660" s="89" t="str">
        <f t="shared" si="88"/>
        <v xml:space="preserve">  1 1900 </v>
      </c>
    </row>
    <row r="1661" spans="1:16">
      <c r="A1661" s="68"/>
      <c r="B1661" s="87"/>
      <c r="C1661" s="88"/>
      <c r="D1661" s="88"/>
      <c r="E1661" s="90"/>
      <c r="F1661" s="84" t="str">
        <f ca="1">IF(D1661="Income",LOOKUP(E1661,Introduction!$A$11:$A$18,Introduction!$C$11:$C$18),IF(D1661="Expense",LOOKUP(E1661,Introduction!$D$11:$D$30,Introduction!$F$11:$F$30),"_"))</f>
        <v>_</v>
      </c>
      <c r="G1661" s="88"/>
      <c r="H1661" s="92"/>
      <c r="I1661" s="85">
        <f t="shared" si="89"/>
        <v>0</v>
      </c>
      <c r="J1661" s="93"/>
      <c r="K1661" s="85">
        <f t="shared" si="90"/>
        <v>0</v>
      </c>
      <c r="L1661" s="68"/>
      <c r="M1661" s="68"/>
      <c r="P1661" s="89" t="str">
        <f t="shared" si="88"/>
        <v xml:space="preserve">  1 1900 </v>
      </c>
    </row>
    <row r="1662" spans="1:16">
      <c r="A1662" s="68"/>
      <c r="B1662" s="87"/>
      <c r="C1662" s="88"/>
      <c r="D1662" s="88"/>
      <c r="E1662" s="90"/>
      <c r="F1662" s="84" t="str">
        <f ca="1">IF(D1662="Income",LOOKUP(E1662,Introduction!$A$11:$A$18,Introduction!$C$11:$C$18),IF(D1662="Expense",LOOKUP(E1662,Introduction!$D$11:$D$30,Introduction!$F$11:$F$30),"_"))</f>
        <v>_</v>
      </c>
      <c r="G1662" s="88"/>
      <c r="H1662" s="92"/>
      <c r="I1662" s="85">
        <f t="shared" si="89"/>
        <v>0</v>
      </c>
      <c r="J1662" s="93"/>
      <c r="K1662" s="85">
        <f t="shared" si="90"/>
        <v>0</v>
      </c>
      <c r="L1662" s="68"/>
      <c r="M1662" s="68"/>
      <c r="P1662" s="89" t="str">
        <f t="shared" si="88"/>
        <v xml:space="preserve">  1 1900 </v>
      </c>
    </row>
    <row r="1663" spans="1:16">
      <c r="A1663" s="68"/>
      <c r="B1663" s="87"/>
      <c r="C1663" s="88"/>
      <c r="D1663" s="88"/>
      <c r="E1663" s="90"/>
      <c r="F1663" s="84" t="str">
        <f ca="1">IF(D1663="Income",LOOKUP(E1663,Introduction!$A$11:$A$18,Introduction!$C$11:$C$18),IF(D1663="Expense",LOOKUP(E1663,Introduction!$D$11:$D$30,Introduction!$F$11:$F$30),"_"))</f>
        <v>_</v>
      </c>
      <c r="G1663" s="88"/>
      <c r="H1663" s="92"/>
      <c r="I1663" s="85">
        <f t="shared" si="89"/>
        <v>0</v>
      </c>
      <c r="J1663" s="93"/>
      <c r="K1663" s="85">
        <f t="shared" si="90"/>
        <v>0</v>
      </c>
      <c r="L1663" s="68"/>
      <c r="M1663" s="68"/>
      <c r="P1663" s="89" t="str">
        <f t="shared" si="88"/>
        <v xml:space="preserve">  1 1900 </v>
      </c>
    </row>
    <row r="1664" spans="1:16">
      <c r="A1664" s="68"/>
      <c r="B1664" s="87"/>
      <c r="C1664" s="88"/>
      <c r="D1664" s="88"/>
      <c r="E1664" s="90"/>
      <c r="F1664" s="84" t="str">
        <f ca="1">IF(D1664="Income",LOOKUP(E1664,Introduction!$A$11:$A$18,Introduction!$C$11:$C$18),IF(D1664="Expense",LOOKUP(E1664,Introduction!$D$11:$D$30,Introduction!$F$11:$F$30),"_"))</f>
        <v>_</v>
      </c>
      <c r="G1664" s="88"/>
      <c r="H1664" s="92"/>
      <c r="I1664" s="85">
        <f t="shared" si="89"/>
        <v>0</v>
      </c>
      <c r="J1664" s="93"/>
      <c r="K1664" s="85">
        <f t="shared" si="90"/>
        <v>0</v>
      </c>
      <c r="L1664" s="68"/>
      <c r="M1664" s="68"/>
      <c r="P1664" s="89" t="str">
        <f t="shared" si="88"/>
        <v xml:space="preserve">  1 1900 </v>
      </c>
    </row>
    <row r="1665" spans="1:16">
      <c r="A1665" s="68"/>
      <c r="B1665" s="87"/>
      <c r="C1665" s="88"/>
      <c r="D1665" s="88"/>
      <c r="E1665" s="90"/>
      <c r="F1665" s="84" t="str">
        <f ca="1">IF(D1665="Income",LOOKUP(E1665,Introduction!$A$11:$A$18,Introduction!$C$11:$C$18),IF(D1665="Expense",LOOKUP(E1665,Introduction!$D$11:$D$30,Introduction!$F$11:$F$30),"_"))</f>
        <v>_</v>
      </c>
      <c r="G1665" s="88"/>
      <c r="H1665" s="92"/>
      <c r="I1665" s="85">
        <f t="shared" si="89"/>
        <v>0</v>
      </c>
      <c r="J1665" s="93"/>
      <c r="K1665" s="85">
        <f t="shared" si="90"/>
        <v>0</v>
      </c>
      <c r="L1665" s="68"/>
      <c r="M1665" s="68"/>
      <c r="P1665" s="89" t="str">
        <f t="shared" si="88"/>
        <v xml:space="preserve">  1 1900 </v>
      </c>
    </row>
    <row r="1666" spans="1:16">
      <c r="A1666" s="68"/>
      <c r="B1666" s="87"/>
      <c r="C1666" s="88"/>
      <c r="D1666" s="88"/>
      <c r="E1666" s="90"/>
      <c r="F1666" s="84" t="str">
        <f ca="1">IF(D1666="Income",LOOKUP(E1666,Introduction!$A$11:$A$18,Introduction!$C$11:$C$18),IF(D1666="Expense",LOOKUP(E1666,Introduction!$D$11:$D$30,Introduction!$F$11:$F$30),"_"))</f>
        <v>_</v>
      </c>
      <c r="G1666" s="88"/>
      <c r="H1666" s="92"/>
      <c r="I1666" s="85">
        <f t="shared" si="89"/>
        <v>0</v>
      </c>
      <c r="J1666" s="93"/>
      <c r="K1666" s="85">
        <f t="shared" si="90"/>
        <v>0</v>
      </c>
      <c r="L1666" s="68"/>
      <c r="M1666" s="68"/>
      <c r="P1666" s="89" t="str">
        <f t="shared" si="88"/>
        <v xml:space="preserve">  1 1900 </v>
      </c>
    </row>
    <row r="1667" spans="1:16">
      <c r="A1667" s="68"/>
      <c r="B1667" s="87"/>
      <c r="C1667" s="88"/>
      <c r="D1667" s="88"/>
      <c r="E1667" s="90"/>
      <c r="F1667" s="84" t="str">
        <f ca="1">IF(D1667="Income",LOOKUP(E1667,Introduction!$A$11:$A$18,Introduction!$C$11:$C$18),IF(D1667="Expense",LOOKUP(E1667,Introduction!$D$11:$D$30,Introduction!$F$11:$F$30),"_"))</f>
        <v>_</v>
      </c>
      <c r="G1667" s="88"/>
      <c r="H1667" s="92"/>
      <c r="I1667" s="85">
        <f t="shared" si="89"/>
        <v>0</v>
      </c>
      <c r="J1667" s="93"/>
      <c r="K1667" s="85">
        <f t="shared" si="90"/>
        <v>0</v>
      </c>
      <c r="L1667" s="68"/>
      <c r="M1667" s="68"/>
      <c r="P1667" s="89" t="str">
        <f t="shared" si="88"/>
        <v xml:space="preserve">  1 1900 </v>
      </c>
    </row>
    <row r="1668" spans="1:16">
      <c r="A1668" s="68"/>
      <c r="B1668" s="87"/>
      <c r="C1668" s="88"/>
      <c r="D1668" s="88"/>
      <c r="E1668" s="90"/>
      <c r="F1668" s="84" t="str">
        <f ca="1">IF(D1668="Income",LOOKUP(E1668,Introduction!$A$11:$A$18,Introduction!$C$11:$C$18),IF(D1668="Expense",LOOKUP(E1668,Introduction!$D$11:$D$30,Introduction!$F$11:$F$30),"_"))</f>
        <v>_</v>
      </c>
      <c r="G1668" s="88"/>
      <c r="H1668" s="92"/>
      <c r="I1668" s="85">
        <f t="shared" si="89"/>
        <v>0</v>
      </c>
      <c r="J1668" s="93"/>
      <c r="K1668" s="85">
        <f t="shared" si="90"/>
        <v>0</v>
      </c>
      <c r="L1668" s="68"/>
      <c r="M1668" s="68"/>
      <c r="P1668" s="89" t="str">
        <f t="shared" si="88"/>
        <v xml:space="preserve">  1 1900 </v>
      </c>
    </row>
    <row r="1669" spans="1:16">
      <c r="A1669" s="68"/>
      <c r="B1669" s="87"/>
      <c r="C1669" s="88"/>
      <c r="D1669" s="88"/>
      <c r="E1669" s="90"/>
      <c r="F1669" s="84" t="str">
        <f ca="1">IF(D1669="Income",LOOKUP(E1669,Introduction!$A$11:$A$18,Introduction!$C$11:$C$18),IF(D1669="Expense",LOOKUP(E1669,Introduction!$D$11:$D$30,Introduction!$F$11:$F$30),"_"))</f>
        <v>_</v>
      </c>
      <c r="G1669" s="88"/>
      <c r="H1669" s="92"/>
      <c r="I1669" s="85">
        <f t="shared" si="89"/>
        <v>0</v>
      </c>
      <c r="J1669" s="93"/>
      <c r="K1669" s="85">
        <f t="shared" si="90"/>
        <v>0</v>
      </c>
      <c r="L1669" s="68"/>
      <c r="M1669" s="68"/>
      <c r="P1669" s="89" t="str">
        <f t="shared" si="88"/>
        <v xml:space="preserve">  1 1900 </v>
      </c>
    </row>
    <row r="1670" spans="1:16">
      <c r="A1670" s="68"/>
      <c r="B1670" s="87"/>
      <c r="C1670" s="88"/>
      <c r="D1670" s="88"/>
      <c r="E1670" s="90"/>
      <c r="F1670" s="84" t="str">
        <f ca="1">IF(D1670="Income",LOOKUP(E1670,Introduction!$A$11:$A$18,Introduction!$C$11:$C$18),IF(D1670="Expense",LOOKUP(E1670,Introduction!$D$11:$D$30,Introduction!$F$11:$F$30),"_"))</f>
        <v>_</v>
      </c>
      <c r="G1670" s="88"/>
      <c r="H1670" s="92"/>
      <c r="I1670" s="85">
        <f t="shared" si="89"/>
        <v>0</v>
      </c>
      <c r="J1670" s="93"/>
      <c r="K1670" s="85">
        <f t="shared" si="90"/>
        <v>0</v>
      </c>
      <c r="L1670" s="68"/>
      <c r="M1670" s="68"/>
      <c r="P1670" s="89" t="str">
        <f t="shared" si="88"/>
        <v xml:space="preserve">  1 1900 </v>
      </c>
    </row>
    <row r="1671" spans="1:16">
      <c r="A1671" s="68"/>
      <c r="B1671" s="87"/>
      <c r="C1671" s="88"/>
      <c r="D1671" s="88"/>
      <c r="E1671" s="90"/>
      <c r="F1671" s="84" t="str">
        <f ca="1">IF(D1671="Income",LOOKUP(E1671,Introduction!$A$11:$A$18,Introduction!$C$11:$C$18),IF(D1671="Expense",LOOKUP(E1671,Introduction!$D$11:$D$30,Introduction!$F$11:$F$30),"_"))</f>
        <v>_</v>
      </c>
      <c r="G1671" s="88"/>
      <c r="H1671" s="92"/>
      <c r="I1671" s="85">
        <f t="shared" si="89"/>
        <v>0</v>
      </c>
      <c r="J1671" s="93"/>
      <c r="K1671" s="85">
        <f t="shared" si="90"/>
        <v>0</v>
      </c>
      <c r="L1671" s="68"/>
      <c r="M1671" s="68"/>
      <c r="P1671" s="89" t="str">
        <f t="shared" ref="P1671:P1734" si="91">CONCATENATE(D1671," ",E1671," ",MONTH(C1671)," ",YEAR(C1671)," ")</f>
        <v xml:space="preserve">  1 1900 </v>
      </c>
    </row>
    <row r="1672" spans="1:16">
      <c r="A1672" s="68"/>
      <c r="B1672" s="87"/>
      <c r="C1672" s="88"/>
      <c r="D1672" s="88"/>
      <c r="E1672" s="90"/>
      <c r="F1672" s="84" t="str">
        <f ca="1">IF(D1672="Income",LOOKUP(E1672,Introduction!$A$11:$A$18,Introduction!$C$11:$C$18),IF(D1672="Expense",LOOKUP(E1672,Introduction!$D$11:$D$30,Introduction!$F$11:$F$30),"_"))</f>
        <v>_</v>
      </c>
      <c r="G1672" s="88"/>
      <c r="H1672" s="92"/>
      <c r="I1672" s="85">
        <f t="shared" si="89"/>
        <v>0</v>
      </c>
      <c r="J1672" s="93"/>
      <c r="K1672" s="85">
        <f t="shared" si="90"/>
        <v>0</v>
      </c>
      <c r="L1672" s="68"/>
      <c r="M1672" s="68"/>
      <c r="P1672" s="89" t="str">
        <f t="shared" si="91"/>
        <v xml:space="preserve">  1 1900 </v>
      </c>
    </row>
    <row r="1673" spans="1:16">
      <c r="A1673" s="68"/>
      <c r="B1673" s="87"/>
      <c r="C1673" s="88"/>
      <c r="D1673" s="88"/>
      <c r="E1673" s="90"/>
      <c r="F1673" s="84" t="str">
        <f ca="1">IF(D1673="Income",LOOKUP(E1673,Introduction!$A$11:$A$18,Introduction!$C$11:$C$18),IF(D1673="Expense",LOOKUP(E1673,Introduction!$D$11:$D$30,Introduction!$F$11:$F$30),"_"))</f>
        <v>_</v>
      </c>
      <c r="G1673" s="88"/>
      <c r="H1673" s="92"/>
      <c r="I1673" s="85">
        <f t="shared" si="89"/>
        <v>0</v>
      </c>
      <c r="J1673" s="93"/>
      <c r="K1673" s="85">
        <f t="shared" si="90"/>
        <v>0</v>
      </c>
      <c r="L1673" s="68"/>
      <c r="M1673" s="68"/>
      <c r="P1673" s="89" t="str">
        <f t="shared" si="91"/>
        <v xml:space="preserve">  1 1900 </v>
      </c>
    </row>
    <row r="1674" spans="1:16">
      <c r="A1674" s="68"/>
      <c r="B1674" s="87"/>
      <c r="C1674" s="88"/>
      <c r="D1674" s="88"/>
      <c r="E1674" s="90"/>
      <c r="F1674" s="84" t="str">
        <f ca="1">IF(D1674="Income",LOOKUP(E1674,Introduction!$A$11:$A$18,Introduction!$C$11:$C$18),IF(D1674="Expense",LOOKUP(E1674,Introduction!$D$11:$D$30,Introduction!$F$11:$F$30),"_"))</f>
        <v>_</v>
      </c>
      <c r="G1674" s="88"/>
      <c r="H1674" s="92"/>
      <c r="I1674" s="85">
        <f t="shared" si="89"/>
        <v>0</v>
      </c>
      <c r="J1674" s="93"/>
      <c r="K1674" s="85">
        <f t="shared" si="90"/>
        <v>0</v>
      </c>
      <c r="L1674" s="68"/>
      <c r="M1674" s="68"/>
      <c r="P1674" s="89" t="str">
        <f t="shared" si="91"/>
        <v xml:space="preserve">  1 1900 </v>
      </c>
    </row>
    <row r="1675" spans="1:16">
      <c r="A1675" s="68"/>
      <c r="B1675" s="87"/>
      <c r="C1675" s="88"/>
      <c r="D1675" s="88"/>
      <c r="E1675" s="90"/>
      <c r="F1675" s="84" t="str">
        <f ca="1">IF(D1675="Income",LOOKUP(E1675,Introduction!$A$11:$A$18,Introduction!$C$11:$C$18),IF(D1675="Expense",LOOKUP(E1675,Introduction!$D$11:$D$30,Introduction!$F$11:$F$30),"_"))</f>
        <v>_</v>
      </c>
      <c r="G1675" s="88"/>
      <c r="H1675" s="92"/>
      <c r="I1675" s="85">
        <f t="shared" si="89"/>
        <v>0</v>
      </c>
      <c r="J1675" s="93"/>
      <c r="K1675" s="85">
        <f t="shared" si="90"/>
        <v>0</v>
      </c>
      <c r="L1675" s="68"/>
      <c r="M1675" s="68"/>
      <c r="P1675" s="89" t="str">
        <f t="shared" si="91"/>
        <v xml:space="preserve">  1 1900 </v>
      </c>
    </row>
    <row r="1676" spans="1:16">
      <c r="A1676" s="68"/>
      <c r="B1676" s="87"/>
      <c r="C1676" s="88"/>
      <c r="D1676" s="88"/>
      <c r="E1676" s="90"/>
      <c r="F1676" s="84" t="str">
        <f ca="1">IF(D1676="Income",LOOKUP(E1676,Introduction!$A$11:$A$18,Introduction!$C$11:$C$18),IF(D1676="Expense",LOOKUP(E1676,Introduction!$D$11:$D$30,Introduction!$F$11:$F$30),"_"))</f>
        <v>_</v>
      </c>
      <c r="G1676" s="88"/>
      <c r="H1676" s="92"/>
      <c r="I1676" s="85">
        <f t="shared" si="89"/>
        <v>0</v>
      </c>
      <c r="J1676" s="93"/>
      <c r="K1676" s="85">
        <f t="shared" si="90"/>
        <v>0</v>
      </c>
      <c r="L1676" s="68"/>
      <c r="M1676" s="68"/>
      <c r="P1676" s="89" t="str">
        <f t="shared" si="91"/>
        <v xml:space="preserve">  1 1900 </v>
      </c>
    </row>
    <row r="1677" spans="1:16">
      <c r="A1677" s="68"/>
      <c r="B1677" s="87"/>
      <c r="C1677" s="88"/>
      <c r="D1677" s="88"/>
      <c r="E1677" s="90"/>
      <c r="F1677" s="84" t="str">
        <f ca="1">IF(D1677="Income",LOOKUP(E1677,Introduction!$A$11:$A$18,Introduction!$C$11:$C$18),IF(D1677="Expense",LOOKUP(E1677,Introduction!$D$11:$D$30,Introduction!$F$11:$F$30),"_"))</f>
        <v>_</v>
      </c>
      <c r="G1677" s="88"/>
      <c r="H1677" s="92"/>
      <c r="I1677" s="85">
        <f t="shared" si="89"/>
        <v>0</v>
      </c>
      <c r="J1677" s="93"/>
      <c r="K1677" s="85">
        <f t="shared" si="90"/>
        <v>0</v>
      </c>
      <c r="L1677" s="68"/>
      <c r="M1677" s="68"/>
      <c r="P1677" s="89" t="str">
        <f t="shared" si="91"/>
        <v xml:space="preserve">  1 1900 </v>
      </c>
    </row>
    <row r="1678" spans="1:16">
      <c r="A1678" s="68"/>
      <c r="B1678" s="87"/>
      <c r="C1678" s="88"/>
      <c r="D1678" s="88"/>
      <c r="E1678" s="90"/>
      <c r="F1678" s="84" t="str">
        <f ca="1">IF(D1678="Income",LOOKUP(E1678,Introduction!$A$11:$A$18,Introduction!$C$11:$C$18),IF(D1678="Expense",LOOKUP(E1678,Introduction!$D$11:$D$30,Introduction!$F$11:$F$30),"_"))</f>
        <v>_</v>
      </c>
      <c r="G1678" s="88"/>
      <c r="H1678" s="92"/>
      <c r="I1678" s="85">
        <f t="shared" si="89"/>
        <v>0</v>
      </c>
      <c r="J1678" s="93"/>
      <c r="K1678" s="85">
        <f t="shared" si="90"/>
        <v>0</v>
      </c>
      <c r="L1678" s="68"/>
      <c r="M1678" s="68"/>
      <c r="P1678" s="89" t="str">
        <f t="shared" si="91"/>
        <v xml:space="preserve">  1 1900 </v>
      </c>
    </row>
    <row r="1679" spans="1:16">
      <c r="A1679" s="68"/>
      <c r="B1679" s="87"/>
      <c r="C1679" s="88"/>
      <c r="D1679" s="88"/>
      <c r="E1679" s="90"/>
      <c r="F1679" s="84" t="str">
        <f ca="1">IF(D1679="Income",LOOKUP(E1679,Introduction!$A$11:$A$18,Introduction!$C$11:$C$18),IF(D1679="Expense",LOOKUP(E1679,Introduction!$D$11:$D$30,Introduction!$F$11:$F$30),"_"))</f>
        <v>_</v>
      </c>
      <c r="G1679" s="88"/>
      <c r="H1679" s="92"/>
      <c r="I1679" s="85">
        <f t="shared" si="89"/>
        <v>0</v>
      </c>
      <c r="J1679" s="93"/>
      <c r="K1679" s="85">
        <f t="shared" si="90"/>
        <v>0</v>
      </c>
      <c r="L1679" s="68"/>
      <c r="M1679" s="68"/>
      <c r="P1679" s="89" t="str">
        <f t="shared" si="91"/>
        <v xml:space="preserve">  1 1900 </v>
      </c>
    </row>
    <row r="1680" spans="1:16">
      <c r="A1680" s="68"/>
      <c r="B1680" s="87"/>
      <c r="C1680" s="88"/>
      <c r="D1680" s="88"/>
      <c r="E1680" s="90"/>
      <c r="F1680" s="84" t="str">
        <f ca="1">IF(D1680="Income",LOOKUP(E1680,Introduction!$A$11:$A$18,Introduction!$C$11:$C$18),IF(D1680="Expense",LOOKUP(E1680,Introduction!$D$11:$D$30,Introduction!$F$11:$F$30),"_"))</f>
        <v>_</v>
      </c>
      <c r="G1680" s="88"/>
      <c r="H1680" s="92"/>
      <c r="I1680" s="85">
        <f t="shared" si="89"/>
        <v>0</v>
      </c>
      <c r="J1680" s="93"/>
      <c r="K1680" s="85">
        <f t="shared" si="90"/>
        <v>0</v>
      </c>
      <c r="L1680" s="68"/>
      <c r="M1680" s="68"/>
      <c r="P1680" s="89" t="str">
        <f t="shared" si="91"/>
        <v xml:space="preserve">  1 1900 </v>
      </c>
    </row>
    <row r="1681" spans="1:16">
      <c r="A1681" s="68"/>
      <c r="B1681" s="87"/>
      <c r="C1681" s="88"/>
      <c r="D1681" s="88"/>
      <c r="E1681" s="90"/>
      <c r="F1681" s="84" t="str">
        <f ca="1">IF(D1681="Income",LOOKUP(E1681,Introduction!$A$11:$A$18,Introduction!$C$11:$C$18),IF(D1681="Expense",LOOKUP(E1681,Introduction!$D$11:$D$30,Introduction!$F$11:$F$30),"_"))</f>
        <v>_</v>
      </c>
      <c r="G1681" s="88"/>
      <c r="H1681" s="92"/>
      <c r="I1681" s="85">
        <f t="shared" ref="I1681:I1744" si="92">+I1680+H1681</f>
        <v>0</v>
      </c>
      <c r="J1681" s="93"/>
      <c r="K1681" s="85">
        <f t="shared" ref="K1681:K1744" si="93">IF(J1681=1,K1680+H1681,++K1680)</f>
        <v>0</v>
      </c>
      <c r="L1681" s="68"/>
      <c r="M1681" s="68"/>
      <c r="P1681" s="89" t="str">
        <f t="shared" si="91"/>
        <v xml:space="preserve">  1 1900 </v>
      </c>
    </row>
    <row r="1682" spans="1:16">
      <c r="A1682" s="68"/>
      <c r="B1682" s="87"/>
      <c r="C1682" s="88"/>
      <c r="D1682" s="88"/>
      <c r="E1682" s="90"/>
      <c r="F1682" s="84" t="str">
        <f ca="1">IF(D1682="Income",LOOKUP(E1682,Introduction!$A$11:$A$18,Introduction!$C$11:$C$18),IF(D1682="Expense",LOOKUP(E1682,Introduction!$D$11:$D$30,Introduction!$F$11:$F$30),"_"))</f>
        <v>_</v>
      </c>
      <c r="G1682" s="88"/>
      <c r="H1682" s="92"/>
      <c r="I1682" s="85">
        <f t="shared" si="92"/>
        <v>0</v>
      </c>
      <c r="J1682" s="93"/>
      <c r="K1682" s="85">
        <f t="shared" si="93"/>
        <v>0</v>
      </c>
      <c r="L1682" s="68"/>
      <c r="M1682" s="68"/>
      <c r="P1682" s="89" t="str">
        <f t="shared" si="91"/>
        <v xml:space="preserve">  1 1900 </v>
      </c>
    </row>
    <row r="1683" spans="1:16">
      <c r="A1683" s="68"/>
      <c r="B1683" s="87"/>
      <c r="C1683" s="88"/>
      <c r="D1683" s="88"/>
      <c r="E1683" s="90"/>
      <c r="F1683" s="84" t="str">
        <f ca="1">IF(D1683="Income",LOOKUP(E1683,Introduction!$A$11:$A$18,Introduction!$C$11:$C$18),IF(D1683="Expense",LOOKUP(E1683,Introduction!$D$11:$D$30,Introduction!$F$11:$F$30),"_"))</f>
        <v>_</v>
      </c>
      <c r="G1683" s="88"/>
      <c r="H1683" s="92"/>
      <c r="I1683" s="85">
        <f t="shared" si="92"/>
        <v>0</v>
      </c>
      <c r="J1683" s="93"/>
      <c r="K1683" s="85">
        <f t="shared" si="93"/>
        <v>0</v>
      </c>
      <c r="L1683" s="68"/>
      <c r="M1683" s="68"/>
      <c r="P1683" s="89" t="str">
        <f t="shared" si="91"/>
        <v xml:space="preserve">  1 1900 </v>
      </c>
    </row>
    <row r="1684" spans="1:16">
      <c r="A1684" s="68"/>
      <c r="B1684" s="87"/>
      <c r="C1684" s="88"/>
      <c r="D1684" s="88"/>
      <c r="E1684" s="90"/>
      <c r="F1684" s="84" t="str">
        <f ca="1">IF(D1684="Income",LOOKUP(E1684,Introduction!$A$11:$A$18,Introduction!$C$11:$C$18),IF(D1684="Expense",LOOKUP(E1684,Introduction!$D$11:$D$30,Introduction!$F$11:$F$30),"_"))</f>
        <v>_</v>
      </c>
      <c r="G1684" s="88"/>
      <c r="H1684" s="92"/>
      <c r="I1684" s="85">
        <f t="shared" si="92"/>
        <v>0</v>
      </c>
      <c r="J1684" s="93"/>
      <c r="K1684" s="85">
        <f t="shared" si="93"/>
        <v>0</v>
      </c>
      <c r="L1684" s="68"/>
      <c r="M1684" s="68"/>
      <c r="P1684" s="89" t="str">
        <f t="shared" si="91"/>
        <v xml:space="preserve">  1 1900 </v>
      </c>
    </row>
    <row r="1685" spans="1:16">
      <c r="A1685" s="68"/>
      <c r="B1685" s="87"/>
      <c r="C1685" s="88"/>
      <c r="D1685" s="88"/>
      <c r="E1685" s="90"/>
      <c r="F1685" s="84" t="str">
        <f ca="1">IF(D1685="Income",LOOKUP(E1685,Introduction!$A$11:$A$18,Introduction!$C$11:$C$18),IF(D1685="Expense",LOOKUP(E1685,Introduction!$D$11:$D$30,Introduction!$F$11:$F$30),"_"))</f>
        <v>_</v>
      </c>
      <c r="G1685" s="88"/>
      <c r="H1685" s="92"/>
      <c r="I1685" s="85">
        <f t="shared" si="92"/>
        <v>0</v>
      </c>
      <c r="J1685" s="93"/>
      <c r="K1685" s="85">
        <f t="shared" si="93"/>
        <v>0</v>
      </c>
      <c r="L1685" s="68"/>
      <c r="M1685" s="68"/>
      <c r="P1685" s="89" t="str">
        <f t="shared" si="91"/>
        <v xml:space="preserve">  1 1900 </v>
      </c>
    </row>
    <row r="1686" spans="1:16">
      <c r="A1686" s="68"/>
      <c r="B1686" s="87"/>
      <c r="C1686" s="88"/>
      <c r="D1686" s="88"/>
      <c r="E1686" s="90"/>
      <c r="F1686" s="84" t="str">
        <f ca="1">IF(D1686="Income",LOOKUP(E1686,Introduction!$A$11:$A$18,Introduction!$C$11:$C$18),IF(D1686="Expense",LOOKUP(E1686,Introduction!$D$11:$D$30,Introduction!$F$11:$F$30),"_"))</f>
        <v>_</v>
      </c>
      <c r="G1686" s="88"/>
      <c r="H1686" s="92"/>
      <c r="I1686" s="85">
        <f t="shared" si="92"/>
        <v>0</v>
      </c>
      <c r="J1686" s="93"/>
      <c r="K1686" s="85">
        <f t="shared" si="93"/>
        <v>0</v>
      </c>
      <c r="L1686" s="68"/>
      <c r="M1686" s="68"/>
      <c r="P1686" s="89" t="str">
        <f t="shared" si="91"/>
        <v xml:space="preserve">  1 1900 </v>
      </c>
    </row>
    <row r="1687" spans="1:16">
      <c r="A1687" s="68"/>
      <c r="B1687" s="87"/>
      <c r="C1687" s="88"/>
      <c r="D1687" s="88"/>
      <c r="E1687" s="90"/>
      <c r="F1687" s="84" t="str">
        <f ca="1">IF(D1687="Income",LOOKUP(E1687,Introduction!$A$11:$A$18,Introduction!$C$11:$C$18),IF(D1687="Expense",LOOKUP(E1687,Introduction!$D$11:$D$30,Introduction!$F$11:$F$30),"_"))</f>
        <v>_</v>
      </c>
      <c r="G1687" s="88"/>
      <c r="H1687" s="92"/>
      <c r="I1687" s="85">
        <f t="shared" si="92"/>
        <v>0</v>
      </c>
      <c r="J1687" s="93"/>
      <c r="K1687" s="85">
        <f t="shared" si="93"/>
        <v>0</v>
      </c>
      <c r="L1687" s="68"/>
      <c r="M1687" s="68"/>
      <c r="P1687" s="89" t="str">
        <f t="shared" si="91"/>
        <v xml:space="preserve">  1 1900 </v>
      </c>
    </row>
    <row r="1688" spans="1:16">
      <c r="A1688" s="68"/>
      <c r="B1688" s="87"/>
      <c r="C1688" s="88"/>
      <c r="D1688" s="88"/>
      <c r="E1688" s="90"/>
      <c r="F1688" s="84" t="str">
        <f ca="1">IF(D1688="Income",LOOKUP(E1688,Introduction!$A$11:$A$18,Introduction!$C$11:$C$18),IF(D1688="Expense",LOOKUP(E1688,Introduction!$D$11:$D$30,Introduction!$F$11:$F$30),"_"))</f>
        <v>_</v>
      </c>
      <c r="G1688" s="88"/>
      <c r="H1688" s="92"/>
      <c r="I1688" s="85">
        <f t="shared" si="92"/>
        <v>0</v>
      </c>
      <c r="J1688" s="93"/>
      <c r="K1688" s="85">
        <f t="shared" si="93"/>
        <v>0</v>
      </c>
      <c r="L1688" s="68"/>
      <c r="M1688" s="68"/>
      <c r="P1688" s="89" t="str">
        <f t="shared" si="91"/>
        <v xml:space="preserve">  1 1900 </v>
      </c>
    </row>
    <row r="1689" spans="1:16">
      <c r="A1689" s="68"/>
      <c r="B1689" s="87"/>
      <c r="C1689" s="88"/>
      <c r="D1689" s="88"/>
      <c r="E1689" s="90"/>
      <c r="F1689" s="84" t="str">
        <f ca="1">IF(D1689="Income",LOOKUP(E1689,Introduction!$A$11:$A$18,Introduction!$C$11:$C$18),IF(D1689="Expense",LOOKUP(E1689,Introduction!$D$11:$D$30,Introduction!$F$11:$F$30),"_"))</f>
        <v>_</v>
      </c>
      <c r="G1689" s="88"/>
      <c r="H1689" s="92"/>
      <c r="I1689" s="85">
        <f t="shared" si="92"/>
        <v>0</v>
      </c>
      <c r="J1689" s="93"/>
      <c r="K1689" s="85">
        <f t="shared" si="93"/>
        <v>0</v>
      </c>
      <c r="L1689" s="68"/>
      <c r="M1689" s="68"/>
      <c r="P1689" s="89" t="str">
        <f t="shared" si="91"/>
        <v xml:space="preserve">  1 1900 </v>
      </c>
    </row>
    <row r="1690" spans="1:16">
      <c r="A1690" s="68"/>
      <c r="B1690" s="87"/>
      <c r="C1690" s="88"/>
      <c r="D1690" s="88"/>
      <c r="E1690" s="90"/>
      <c r="F1690" s="84" t="str">
        <f ca="1">IF(D1690="Income",LOOKUP(E1690,Introduction!$A$11:$A$18,Introduction!$C$11:$C$18),IF(D1690="Expense",LOOKUP(E1690,Introduction!$D$11:$D$30,Introduction!$F$11:$F$30),"_"))</f>
        <v>_</v>
      </c>
      <c r="G1690" s="88"/>
      <c r="H1690" s="92"/>
      <c r="I1690" s="85">
        <f t="shared" si="92"/>
        <v>0</v>
      </c>
      <c r="J1690" s="93"/>
      <c r="K1690" s="85">
        <f t="shared" si="93"/>
        <v>0</v>
      </c>
      <c r="L1690" s="68"/>
      <c r="M1690" s="68"/>
      <c r="P1690" s="89" t="str">
        <f t="shared" si="91"/>
        <v xml:space="preserve">  1 1900 </v>
      </c>
    </row>
    <row r="1691" spans="1:16">
      <c r="A1691" s="68"/>
      <c r="B1691" s="87"/>
      <c r="C1691" s="88"/>
      <c r="D1691" s="88"/>
      <c r="E1691" s="90"/>
      <c r="F1691" s="84" t="str">
        <f ca="1">IF(D1691="Income",LOOKUP(E1691,Introduction!$A$11:$A$18,Introduction!$C$11:$C$18),IF(D1691="Expense",LOOKUP(E1691,Introduction!$D$11:$D$30,Introduction!$F$11:$F$30),"_"))</f>
        <v>_</v>
      </c>
      <c r="G1691" s="88"/>
      <c r="H1691" s="92"/>
      <c r="I1691" s="85">
        <f t="shared" si="92"/>
        <v>0</v>
      </c>
      <c r="J1691" s="93"/>
      <c r="K1691" s="85">
        <f t="shared" si="93"/>
        <v>0</v>
      </c>
      <c r="L1691" s="68"/>
      <c r="M1691" s="68"/>
      <c r="P1691" s="89" t="str">
        <f t="shared" si="91"/>
        <v xml:space="preserve">  1 1900 </v>
      </c>
    </row>
    <row r="1692" spans="1:16">
      <c r="A1692" s="68"/>
      <c r="B1692" s="87"/>
      <c r="C1692" s="88"/>
      <c r="D1692" s="88"/>
      <c r="E1692" s="90"/>
      <c r="F1692" s="84" t="str">
        <f ca="1">IF(D1692="Income",LOOKUP(E1692,Introduction!$A$11:$A$18,Introduction!$C$11:$C$18),IF(D1692="Expense",LOOKUP(E1692,Introduction!$D$11:$D$30,Introduction!$F$11:$F$30),"_"))</f>
        <v>_</v>
      </c>
      <c r="G1692" s="88"/>
      <c r="H1692" s="92"/>
      <c r="I1692" s="85">
        <f t="shared" si="92"/>
        <v>0</v>
      </c>
      <c r="J1692" s="93"/>
      <c r="K1692" s="85">
        <f t="shared" si="93"/>
        <v>0</v>
      </c>
      <c r="L1692" s="68"/>
      <c r="M1692" s="68"/>
      <c r="P1692" s="89" t="str">
        <f t="shared" si="91"/>
        <v xml:space="preserve">  1 1900 </v>
      </c>
    </row>
    <row r="1693" spans="1:16">
      <c r="A1693" s="68"/>
      <c r="B1693" s="87"/>
      <c r="C1693" s="88"/>
      <c r="D1693" s="88"/>
      <c r="E1693" s="90"/>
      <c r="F1693" s="84" t="str">
        <f ca="1">IF(D1693="Income",LOOKUP(E1693,Introduction!$A$11:$A$18,Introduction!$C$11:$C$18),IF(D1693="Expense",LOOKUP(E1693,Introduction!$D$11:$D$30,Introduction!$F$11:$F$30),"_"))</f>
        <v>_</v>
      </c>
      <c r="G1693" s="88"/>
      <c r="H1693" s="92"/>
      <c r="I1693" s="85">
        <f t="shared" si="92"/>
        <v>0</v>
      </c>
      <c r="J1693" s="93"/>
      <c r="K1693" s="85">
        <f t="shared" si="93"/>
        <v>0</v>
      </c>
      <c r="L1693" s="68"/>
      <c r="M1693" s="68"/>
      <c r="P1693" s="89" t="str">
        <f t="shared" si="91"/>
        <v xml:space="preserve">  1 1900 </v>
      </c>
    </row>
    <row r="1694" spans="1:16">
      <c r="A1694" s="68"/>
      <c r="B1694" s="87"/>
      <c r="C1694" s="88"/>
      <c r="D1694" s="88"/>
      <c r="E1694" s="90"/>
      <c r="F1694" s="84" t="str">
        <f ca="1">IF(D1694="Income",LOOKUP(E1694,Introduction!$A$11:$A$18,Introduction!$C$11:$C$18),IF(D1694="Expense",LOOKUP(E1694,Introduction!$D$11:$D$30,Introduction!$F$11:$F$30),"_"))</f>
        <v>_</v>
      </c>
      <c r="G1694" s="88"/>
      <c r="H1694" s="92"/>
      <c r="I1694" s="85">
        <f t="shared" si="92"/>
        <v>0</v>
      </c>
      <c r="J1694" s="93"/>
      <c r="K1694" s="85">
        <f t="shared" si="93"/>
        <v>0</v>
      </c>
      <c r="L1694" s="68"/>
      <c r="M1694" s="68"/>
      <c r="P1694" s="89" t="str">
        <f t="shared" si="91"/>
        <v xml:space="preserve">  1 1900 </v>
      </c>
    </row>
    <row r="1695" spans="1:16">
      <c r="A1695" s="68"/>
      <c r="B1695" s="87"/>
      <c r="C1695" s="88"/>
      <c r="D1695" s="88"/>
      <c r="E1695" s="90"/>
      <c r="F1695" s="84" t="str">
        <f ca="1">IF(D1695="Income",LOOKUP(E1695,Introduction!$A$11:$A$18,Introduction!$C$11:$C$18),IF(D1695="Expense",LOOKUP(E1695,Introduction!$D$11:$D$30,Introduction!$F$11:$F$30),"_"))</f>
        <v>_</v>
      </c>
      <c r="G1695" s="88"/>
      <c r="H1695" s="92"/>
      <c r="I1695" s="85">
        <f t="shared" si="92"/>
        <v>0</v>
      </c>
      <c r="J1695" s="93"/>
      <c r="K1695" s="85">
        <f t="shared" si="93"/>
        <v>0</v>
      </c>
      <c r="L1695" s="68"/>
      <c r="M1695" s="68"/>
      <c r="P1695" s="89" t="str">
        <f t="shared" si="91"/>
        <v xml:space="preserve">  1 1900 </v>
      </c>
    </row>
    <row r="1696" spans="1:16">
      <c r="A1696" s="68"/>
      <c r="B1696" s="87"/>
      <c r="C1696" s="88"/>
      <c r="D1696" s="88"/>
      <c r="E1696" s="90"/>
      <c r="F1696" s="84" t="str">
        <f ca="1">IF(D1696="Income",LOOKUP(E1696,Introduction!$A$11:$A$18,Introduction!$C$11:$C$18),IF(D1696="Expense",LOOKUP(E1696,Introduction!$D$11:$D$30,Introduction!$F$11:$F$30),"_"))</f>
        <v>_</v>
      </c>
      <c r="G1696" s="88"/>
      <c r="H1696" s="92"/>
      <c r="I1696" s="85">
        <f t="shared" si="92"/>
        <v>0</v>
      </c>
      <c r="J1696" s="93"/>
      <c r="K1696" s="85">
        <f t="shared" si="93"/>
        <v>0</v>
      </c>
      <c r="L1696" s="68"/>
      <c r="M1696" s="68"/>
      <c r="P1696" s="89" t="str">
        <f t="shared" si="91"/>
        <v xml:space="preserve">  1 1900 </v>
      </c>
    </row>
    <row r="1697" spans="1:16">
      <c r="A1697" s="68"/>
      <c r="B1697" s="87"/>
      <c r="C1697" s="88"/>
      <c r="D1697" s="88"/>
      <c r="E1697" s="90"/>
      <c r="F1697" s="84" t="str">
        <f ca="1">IF(D1697="Income",LOOKUP(E1697,Introduction!$A$11:$A$18,Introduction!$C$11:$C$18),IF(D1697="Expense",LOOKUP(E1697,Introduction!$D$11:$D$30,Introduction!$F$11:$F$30),"_"))</f>
        <v>_</v>
      </c>
      <c r="G1697" s="88"/>
      <c r="H1697" s="92"/>
      <c r="I1697" s="85">
        <f t="shared" si="92"/>
        <v>0</v>
      </c>
      <c r="J1697" s="93"/>
      <c r="K1697" s="85">
        <f t="shared" si="93"/>
        <v>0</v>
      </c>
      <c r="L1697" s="68"/>
      <c r="M1697" s="68"/>
      <c r="P1697" s="89" t="str">
        <f t="shared" si="91"/>
        <v xml:space="preserve">  1 1900 </v>
      </c>
    </row>
    <row r="1698" spans="1:16">
      <c r="A1698" s="68"/>
      <c r="B1698" s="87"/>
      <c r="C1698" s="88"/>
      <c r="D1698" s="88"/>
      <c r="E1698" s="90"/>
      <c r="F1698" s="84" t="str">
        <f ca="1">IF(D1698="Income",LOOKUP(E1698,Introduction!$A$11:$A$18,Introduction!$C$11:$C$18),IF(D1698="Expense",LOOKUP(E1698,Introduction!$D$11:$D$30,Introduction!$F$11:$F$30),"_"))</f>
        <v>_</v>
      </c>
      <c r="G1698" s="88"/>
      <c r="H1698" s="92"/>
      <c r="I1698" s="85">
        <f t="shared" si="92"/>
        <v>0</v>
      </c>
      <c r="J1698" s="93"/>
      <c r="K1698" s="85">
        <f t="shared" si="93"/>
        <v>0</v>
      </c>
      <c r="L1698" s="68"/>
      <c r="M1698" s="68"/>
      <c r="P1698" s="89" t="str">
        <f t="shared" si="91"/>
        <v xml:space="preserve">  1 1900 </v>
      </c>
    </row>
    <row r="1699" spans="1:16">
      <c r="A1699" s="68"/>
      <c r="B1699" s="87"/>
      <c r="C1699" s="88"/>
      <c r="D1699" s="88"/>
      <c r="E1699" s="90"/>
      <c r="F1699" s="84" t="str">
        <f ca="1">IF(D1699="Income",LOOKUP(E1699,Introduction!$A$11:$A$18,Introduction!$C$11:$C$18),IF(D1699="Expense",LOOKUP(E1699,Introduction!$D$11:$D$30,Introduction!$F$11:$F$30),"_"))</f>
        <v>_</v>
      </c>
      <c r="G1699" s="88"/>
      <c r="H1699" s="92"/>
      <c r="I1699" s="85">
        <f t="shared" si="92"/>
        <v>0</v>
      </c>
      <c r="J1699" s="93"/>
      <c r="K1699" s="85">
        <f t="shared" si="93"/>
        <v>0</v>
      </c>
      <c r="L1699" s="68"/>
      <c r="M1699" s="68"/>
      <c r="P1699" s="89" t="str">
        <f t="shared" si="91"/>
        <v xml:space="preserve">  1 1900 </v>
      </c>
    </row>
    <row r="1700" spans="1:16">
      <c r="A1700" s="68"/>
      <c r="B1700" s="87"/>
      <c r="C1700" s="88"/>
      <c r="D1700" s="88"/>
      <c r="E1700" s="90"/>
      <c r="F1700" s="84" t="str">
        <f ca="1">IF(D1700="Income",LOOKUP(E1700,Introduction!$A$11:$A$18,Introduction!$C$11:$C$18),IF(D1700="Expense",LOOKUP(E1700,Introduction!$D$11:$D$30,Introduction!$F$11:$F$30),"_"))</f>
        <v>_</v>
      </c>
      <c r="G1700" s="88"/>
      <c r="H1700" s="92"/>
      <c r="I1700" s="85">
        <f t="shared" si="92"/>
        <v>0</v>
      </c>
      <c r="J1700" s="93"/>
      <c r="K1700" s="85">
        <f t="shared" si="93"/>
        <v>0</v>
      </c>
      <c r="L1700" s="68"/>
      <c r="M1700" s="68"/>
      <c r="P1700" s="89" t="str">
        <f t="shared" si="91"/>
        <v xml:space="preserve">  1 1900 </v>
      </c>
    </row>
    <row r="1701" spans="1:16">
      <c r="A1701" s="68"/>
      <c r="B1701" s="87"/>
      <c r="C1701" s="88"/>
      <c r="D1701" s="88"/>
      <c r="E1701" s="90"/>
      <c r="F1701" s="84" t="str">
        <f ca="1">IF(D1701="Income",LOOKUP(E1701,Introduction!$A$11:$A$18,Introduction!$C$11:$C$18),IF(D1701="Expense",LOOKUP(E1701,Introduction!$D$11:$D$30,Introduction!$F$11:$F$30),"_"))</f>
        <v>_</v>
      </c>
      <c r="G1701" s="88"/>
      <c r="H1701" s="92"/>
      <c r="I1701" s="85">
        <f t="shared" si="92"/>
        <v>0</v>
      </c>
      <c r="J1701" s="93"/>
      <c r="K1701" s="85">
        <f t="shared" si="93"/>
        <v>0</v>
      </c>
      <c r="L1701" s="68"/>
      <c r="M1701" s="68"/>
      <c r="P1701" s="89" t="str">
        <f t="shared" si="91"/>
        <v xml:space="preserve">  1 1900 </v>
      </c>
    </row>
    <row r="1702" spans="1:16">
      <c r="A1702" s="68"/>
      <c r="B1702" s="87"/>
      <c r="C1702" s="88"/>
      <c r="D1702" s="88"/>
      <c r="E1702" s="90"/>
      <c r="F1702" s="84" t="str">
        <f ca="1">IF(D1702="Income",LOOKUP(E1702,Introduction!$A$11:$A$18,Introduction!$C$11:$C$18),IF(D1702="Expense",LOOKUP(E1702,Introduction!$D$11:$D$30,Introduction!$F$11:$F$30),"_"))</f>
        <v>_</v>
      </c>
      <c r="G1702" s="88"/>
      <c r="H1702" s="92"/>
      <c r="I1702" s="85">
        <f t="shared" si="92"/>
        <v>0</v>
      </c>
      <c r="J1702" s="93"/>
      <c r="K1702" s="85">
        <f t="shared" si="93"/>
        <v>0</v>
      </c>
      <c r="L1702" s="68"/>
      <c r="M1702" s="68"/>
      <c r="P1702" s="89" t="str">
        <f t="shared" si="91"/>
        <v xml:space="preserve">  1 1900 </v>
      </c>
    </row>
    <row r="1703" spans="1:16">
      <c r="A1703" s="68"/>
      <c r="B1703" s="87"/>
      <c r="C1703" s="88"/>
      <c r="D1703" s="88"/>
      <c r="E1703" s="90"/>
      <c r="F1703" s="84" t="str">
        <f ca="1">IF(D1703="Income",LOOKUP(E1703,Introduction!$A$11:$A$18,Introduction!$C$11:$C$18),IF(D1703="Expense",LOOKUP(E1703,Introduction!$D$11:$D$30,Introduction!$F$11:$F$30),"_"))</f>
        <v>_</v>
      </c>
      <c r="G1703" s="88"/>
      <c r="H1703" s="92"/>
      <c r="I1703" s="85">
        <f t="shared" si="92"/>
        <v>0</v>
      </c>
      <c r="J1703" s="93"/>
      <c r="K1703" s="85">
        <f t="shared" si="93"/>
        <v>0</v>
      </c>
      <c r="L1703" s="68"/>
      <c r="M1703" s="68"/>
      <c r="P1703" s="89" t="str">
        <f t="shared" si="91"/>
        <v xml:space="preserve">  1 1900 </v>
      </c>
    </row>
    <row r="1704" spans="1:16">
      <c r="A1704" s="68"/>
      <c r="B1704" s="87"/>
      <c r="C1704" s="88"/>
      <c r="D1704" s="88"/>
      <c r="E1704" s="90"/>
      <c r="F1704" s="84" t="str">
        <f ca="1">IF(D1704="Income",LOOKUP(E1704,Introduction!$A$11:$A$18,Introduction!$C$11:$C$18),IF(D1704="Expense",LOOKUP(E1704,Introduction!$D$11:$D$30,Introduction!$F$11:$F$30),"_"))</f>
        <v>_</v>
      </c>
      <c r="G1704" s="88"/>
      <c r="H1704" s="92"/>
      <c r="I1704" s="85">
        <f t="shared" si="92"/>
        <v>0</v>
      </c>
      <c r="J1704" s="93"/>
      <c r="K1704" s="85">
        <f t="shared" si="93"/>
        <v>0</v>
      </c>
      <c r="L1704" s="68"/>
      <c r="M1704" s="68"/>
      <c r="P1704" s="89" t="str">
        <f t="shared" si="91"/>
        <v xml:space="preserve">  1 1900 </v>
      </c>
    </row>
    <row r="1705" spans="1:16">
      <c r="A1705" s="68"/>
      <c r="B1705" s="87"/>
      <c r="C1705" s="88"/>
      <c r="D1705" s="88"/>
      <c r="E1705" s="90"/>
      <c r="F1705" s="84" t="str">
        <f ca="1">IF(D1705="Income",LOOKUP(E1705,Introduction!$A$11:$A$18,Introduction!$C$11:$C$18),IF(D1705="Expense",LOOKUP(E1705,Introduction!$D$11:$D$30,Introduction!$F$11:$F$30),"_"))</f>
        <v>_</v>
      </c>
      <c r="G1705" s="88"/>
      <c r="H1705" s="92"/>
      <c r="I1705" s="85">
        <f t="shared" si="92"/>
        <v>0</v>
      </c>
      <c r="J1705" s="93"/>
      <c r="K1705" s="85">
        <f t="shared" si="93"/>
        <v>0</v>
      </c>
      <c r="L1705" s="68"/>
      <c r="M1705" s="68"/>
      <c r="P1705" s="89" t="str">
        <f t="shared" si="91"/>
        <v xml:space="preserve">  1 1900 </v>
      </c>
    </row>
    <row r="1706" spans="1:16">
      <c r="A1706" s="68"/>
      <c r="B1706" s="87"/>
      <c r="C1706" s="88"/>
      <c r="D1706" s="88"/>
      <c r="E1706" s="90"/>
      <c r="F1706" s="84" t="str">
        <f ca="1">IF(D1706="Income",LOOKUP(E1706,Introduction!$A$11:$A$18,Introduction!$C$11:$C$18),IF(D1706="Expense",LOOKUP(E1706,Introduction!$D$11:$D$30,Introduction!$F$11:$F$30),"_"))</f>
        <v>_</v>
      </c>
      <c r="G1706" s="88"/>
      <c r="H1706" s="92"/>
      <c r="I1706" s="85">
        <f t="shared" si="92"/>
        <v>0</v>
      </c>
      <c r="J1706" s="93"/>
      <c r="K1706" s="85">
        <f t="shared" si="93"/>
        <v>0</v>
      </c>
      <c r="L1706" s="68"/>
      <c r="M1706" s="68"/>
      <c r="P1706" s="89" t="str">
        <f t="shared" si="91"/>
        <v xml:space="preserve">  1 1900 </v>
      </c>
    </row>
    <row r="1707" spans="1:16">
      <c r="A1707" s="68"/>
      <c r="B1707" s="87"/>
      <c r="C1707" s="88"/>
      <c r="D1707" s="88"/>
      <c r="E1707" s="90"/>
      <c r="F1707" s="84" t="str">
        <f ca="1">IF(D1707="Income",LOOKUP(E1707,Introduction!$A$11:$A$18,Introduction!$C$11:$C$18),IF(D1707="Expense",LOOKUP(E1707,Introduction!$D$11:$D$30,Introduction!$F$11:$F$30),"_"))</f>
        <v>_</v>
      </c>
      <c r="G1707" s="88"/>
      <c r="H1707" s="92"/>
      <c r="I1707" s="85">
        <f t="shared" si="92"/>
        <v>0</v>
      </c>
      <c r="J1707" s="93"/>
      <c r="K1707" s="85">
        <f t="shared" si="93"/>
        <v>0</v>
      </c>
      <c r="L1707" s="68"/>
      <c r="M1707" s="68"/>
      <c r="P1707" s="89" t="str">
        <f t="shared" si="91"/>
        <v xml:space="preserve">  1 1900 </v>
      </c>
    </row>
    <row r="1708" spans="1:16">
      <c r="A1708" s="68"/>
      <c r="B1708" s="87"/>
      <c r="C1708" s="88"/>
      <c r="D1708" s="88"/>
      <c r="E1708" s="90"/>
      <c r="F1708" s="84" t="str">
        <f ca="1">IF(D1708="Income",LOOKUP(E1708,Introduction!$A$11:$A$18,Introduction!$C$11:$C$18),IF(D1708="Expense",LOOKUP(E1708,Introduction!$D$11:$D$30,Introduction!$F$11:$F$30),"_"))</f>
        <v>_</v>
      </c>
      <c r="G1708" s="88"/>
      <c r="H1708" s="92"/>
      <c r="I1708" s="85">
        <f t="shared" si="92"/>
        <v>0</v>
      </c>
      <c r="J1708" s="93"/>
      <c r="K1708" s="85">
        <f t="shared" si="93"/>
        <v>0</v>
      </c>
      <c r="L1708" s="68"/>
      <c r="M1708" s="68"/>
      <c r="P1708" s="89" t="str">
        <f t="shared" si="91"/>
        <v xml:space="preserve">  1 1900 </v>
      </c>
    </row>
    <row r="1709" spans="1:16">
      <c r="A1709" s="68"/>
      <c r="B1709" s="87"/>
      <c r="C1709" s="88"/>
      <c r="D1709" s="88"/>
      <c r="E1709" s="90"/>
      <c r="F1709" s="84" t="str">
        <f ca="1">IF(D1709="Income",LOOKUP(E1709,Introduction!$A$11:$A$18,Introduction!$C$11:$C$18),IF(D1709="Expense",LOOKUP(E1709,Introduction!$D$11:$D$30,Introduction!$F$11:$F$30),"_"))</f>
        <v>_</v>
      </c>
      <c r="G1709" s="88"/>
      <c r="H1709" s="92"/>
      <c r="I1709" s="85">
        <f t="shared" si="92"/>
        <v>0</v>
      </c>
      <c r="J1709" s="93"/>
      <c r="K1709" s="85">
        <f t="shared" si="93"/>
        <v>0</v>
      </c>
      <c r="L1709" s="68"/>
      <c r="M1709" s="68"/>
      <c r="P1709" s="89" t="str">
        <f t="shared" si="91"/>
        <v xml:space="preserve">  1 1900 </v>
      </c>
    </row>
    <row r="1710" spans="1:16">
      <c r="A1710" s="68"/>
      <c r="B1710" s="87"/>
      <c r="C1710" s="88"/>
      <c r="D1710" s="88"/>
      <c r="E1710" s="90"/>
      <c r="F1710" s="84" t="str">
        <f ca="1">IF(D1710="Income",LOOKUP(E1710,Introduction!$A$11:$A$18,Introduction!$C$11:$C$18),IF(D1710="Expense",LOOKUP(E1710,Introduction!$D$11:$D$30,Introduction!$F$11:$F$30),"_"))</f>
        <v>_</v>
      </c>
      <c r="G1710" s="88"/>
      <c r="H1710" s="92"/>
      <c r="I1710" s="85">
        <f t="shared" si="92"/>
        <v>0</v>
      </c>
      <c r="J1710" s="93"/>
      <c r="K1710" s="85">
        <f t="shared" si="93"/>
        <v>0</v>
      </c>
      <c r="L1710" s="68"/>
      <c r="M1710" s="68"/>
      <c r="P1710" s="89" t="str">
        <f t="shared" si="91"/>
        <v xml:space="preserve">  1 1900 </v>
      </c>
    </row>
    <row r="1711" spans="1:16">
      <c r="A1711" s="68"/>
      <c r="B1711" s="87"/>
      <c r="C1711" s="88"/>
      <c r="D1711" s="88"/>
      <c r="E1711" s="90"/>
      <c r="F1711" s="84" t="str">
        <f ca="1">IF(D1711="Income",LOOKUP(E1711,Introduction!$A$11:$A$18,Introduction!$C$11:$C$18),IF(D1711="Expense",LOOKUP(E1711,Introduction!$D$11:$D$30,Introduction!$F$11:$F$30),"_"))</f>
        <v>_</v>
      </c>
      <c r="G1711" s="88"/>
      <c r="H1711" s="92"/>
      <c r="I1711" s="85">
        <f t="shared" si="92"/>
        <v>0</v>
      </c>
      <c r="J1711" s="93"/>
      <c r="K1711" s="85">
        <f t="shared" si="93"/>
        <v>0</v>
      </c>
      <c r="L1711" s="68"/>
      <c r="M1711" s="68"/>
      <c r="P1711" s="89" t="str">
        <f t="shared" si="91"/>
        <v xml:space="preserve">  1 1900 </v>
      </c>
    </row>
    <row r="1712" spans="1:16">
      <c r="A1712" s="68"/>
      <c r="B1712" s="87"/>
      <c r="C1712" s="88"/>
      <c r="D1712" s="88"/>
      <c r="E1712" s="90"/>
      <c r="F1712" s="84" t="str">
        <f ca="1">IF(D1712="Income",LOOKUP(E1712,Introduction!$A$11:$A$18,Introduction!$C$11:$C$18),IF(D1712="Expense",LOOKUP(E1712,Introduction!$D$11:$D$30,Introduction!$F$11:$F$30),"_"))</f>
        <v>_</v>
      </c>
      <c r="G1712" s="88"/>
      <c r="H1712" s="92"/>
      <c r="I1712" s="85">
        <f t="shared" si="92"/>
        <v>0</v>
      </c>
      <c r="J1712" s="93"/>
      <c r="K1712" s="85">
        <f t="shared" si="93"/>
        <v>0</v>
      </c>
      <c r="L1712" s="68"/>
      <c r="M1712" s="68"/>
      <c r="P1712" s="89" t="str">
        <f t="shared" si="91"/>
        <v xml:space="preserve">  1 1900 </v>
      </c>
    </row>
    <row r="1713" spans="1:16">
      <c r="A1713" s="68"/>
      <c r="B1713" s="87"/>
      <c r="C1713" s="88"/>
      <c r="D1713" s="88"/>
      <c r="E1713" s="90"/>
      <c r="F1713" s="84" t="str">
        <f ca="1">IF(D1713="Income",LOOKUP(E1713,Introduction!$A$11:$A$18,Introduction!$C$11:$C$18),IF(D1713="Expense",LOOKUP(E1713,Introduction!$D$11:$D$30,Introduction!$F$11:$F$30),"_"))</f>
        <v>_</v>
      </c>
      <c r="G1713" s="88"/>
      <c r="H1713" s="92"/>
      <c r="I1713" s="85">
        <f t="shared" si="92"/>
        <v>0</v>
      </c>
      <c r="J1713" s="93"/>
      <c r="K1713" s="85">
        <f t="shared" si="93"/>
        <v>0</v>
      </c>
      <c r="L1713" s="68"/>
      <c r="M1713" s="68"/>
      <c r="P1713" s="89" t="str">
        <f t="shared" si="91"/>
        <v xml:space="preserve">  1 1900 </v>
      </c>
    </row>
    <row r="1714" spans="1:16">
      <c r="A1714" s="68"/>
      <c r="B1714" s="87"/>
      <c r="C1714" s="88"/>
      <c r="D1714" s="88"/>
      <c r="E1714" s="90"/>
      <c r="F1714" s="84" t="str">
        <f ca="1">IF(D1714="Income",LOOKUP(E1714,Introduction!$A$11:$A$18,Introduction!$C$11:$C$18),IF(D1714="Expense",LOOKUP(E1714,Introduction!$D$11:$D$30,Introduction!$F$11:$F$30),"_"))</f>
        <v>_</v>
      </c>
      <c r="G1714" s="88"/>
      <c r="H1714" s="92"/>
      <c r="I1714" s="85">
        <f t="shared" si="92"/>
        <v>0</v>
      </c>
      <c r="J1714" s="93"/>
      <c r="K1714" s="85">
        <f t="shared" si="93"/>
        <v>0</v>
      </c>
      <c r="L1714" s="68"/>
      <c r="M1714" s="68"/>
      <c r="P1714" s="89" t="str">
        <f t="shared" si="91"/>
        <v xml:space="preserve">  1 1900 </v>
      </c>
    </row>
    <row r="1715" spans="1:16">
      <c r="A1715" s="68"/>
      <c r="B1715" s="87"/>
      <c r="C1715" s="88"/>
      <c r="D1715" s="88"/>
      <c r="E1715" s="90"/>
      <c r="F1715" s="84" t="str">
        <f ca="1">IF(D1715="Income",LOOKUP(E1715,Introduction!$A$11:$A$18,Introduction!$C$11:$C$18),IF(D1715="Expense",LOOKUP(E1715,Introduction!$D$11:$D$30,Introduction!$F$11:$F$30),"_"))</f>
        <v>_</v>
      </c>
      <c r="G1715" s="88"/>
      <c r="H1715" s="92"/>
      <c r="I1715" s="85">
        <f t="shared" si="92"/>
        <v>0</v>
      </c>
      <c r="J1715" s="93"/>
      <c r="K1715" s="85">
        <f t="shared" si="93"/>
        <v>0</v>
      </c>
      <c r="L1715" s="68"/>
      <c r="M1715" s="68"/>
      <c r="P1715" s="89" t="str">
        <f t="shared" si="91"/>
        <v xml:space="preserve">  1 1900 </v>
      </c>
    </row>
    <row r="1716" spans="1:16">
      <c r="A1716" s="68"/>
      <c r="B1716" s="87"/>
      <c r="C1716" s="88"/>
      <c r="D1716" s="88"/>
      <c r="E1716" s="90"/>
      <c r="F1716" s="84" t="str">
        <f ca="1">IF(D1716="Income",LOOKUP(E1716,Introduction!$A$11:$A$18,Introduction!$C$11:$C$18),IF(D1716="Expense",LOOKUP(E1716,Introduction!$D$11:$D$30,Introduction!$F$11:$F$30),"_"))</f>
        <v>_</v>
      </c>
      <c r="G1716" s="88"/>
      <c r="H1716" s="92"/>
      <c r="I1716" s="85">
        <f t="shared" si="92"/>
        <v>0</v>
      </c>
      <c r="J1716" s="93"/>
      <c r="K1716" s="85">
        <f t="shared" si="93"/>
        <v>0</v>
      </c>
      <c r="L1716" s="68"/>
      <c r="M1716" s="68"/>
      <c r="P1716" s="89" t="str">
        <f t="shared" si="91"/>
        <v xml:space="preserve">  1 1900 </v>
      </c>
    </row>
    <row r="1717" spans="1:16">
      <c r="A1717" s="68"/>
      <c r="B1717" s="87"/>
      <c r="C1717" s="88"/>
      <c r="D1717" s="88"/>
      <c r="E1717" s="90"/>
      <c r="F1717" s="84" t="str">
        <f ca="1">IF(D1717="Income",LOOKUP(E1717,Introduction!$A$11:$A$18,Introduction!$C$11:$C$18),IF(D1717="Expense",LOOKUP(E1717,Introduction!$D$11:$D$30,Introduction!$F$11:$F$30),"_"))</f>
        <v>_</v>
      </c>
      <c r="G1717" s="88"/>
      <c r="H1717" s="92"/>
      <c r="I1717" s="85">
        <f t="shared" si="92"/>
        <v>0</v>
      </c>
      <c r="J1717" s="93"/>
      <c r="K1717" s="85">
        <f t="shared" si="93"/>
        <v>0</v>
      </c>
      <c r="L1717" s="68"/>
      <c r="M1717" s="68"/>
      <c r="P1717" s="89" t="str">
        <f t="shared" si="91"/>
        <v xml:space="preserve">  1 1900 </v>
      </c>
    </row>
    <row r="1718" spans="1:16">
      <c r="A1718" s="68"/>
      <c r="B1718" s="87"/>
      <c r="C1718" s="88"/>
      <c r="D1718" s="88"/>
      <c r="E1718" s="90"/>
      <c r="F1718" s="84" t="str">
        <f ca="1">IF(D1718="Income",LOOKUP(E1718,Introduction!$A$11:$A$18,Introduction!$C$11:$C$18),IF(D1718="Expense",LOOKUP(E1718,Introduction!$D$11:$D$30,Introduction!$F$11:$F$30),"_"))</f>
        <v>_</v>
      </c>
      <c r="G1718" s="88"/>
      <c r="H1718" s="92"/>
      <c r="I1718" s="85">
        <f t="shared" si="92"/>
        <v>0</v>
      </c>
      <c r="J1718" s="93"/>
      <c r="K1718" s="85">
        <f t="shared" si="93"/>
        <v>0</v>
      </c>
      <c r="L1718" s="68"/>
      <c r="M1718" s="68"/>
      <c r="P1718" s="89" t="str">
        <f t="shared" si="91"/>
        <v xml:space="preserve">  1 1900 </v>
      </c>
    </row>
    <row r="1719" spans="1:16">
      <c r="A1719" s="68"/>
      <c r="B1719" s="87"/>
      <c r="C1719" s="88"/>
      <c r="D1719" s="88"/>
      <c r="E1719" s="90"/>
      <c r="F1719" s="84" t="str">
        <f ca="1">IF(D1719="Income",LOOKUP(E1719,Introduction!$A$11:$A$18,Introduction!$C$11:$C$18),IF(D1719="Expense",LOOKUP(E1719,Introduction!$D$11:$D$30,Introduction!$F$11:$F$30),"_"))</f>
        <v>_</v>
      </c>
      <c r="G1719" s="88"/>
      <c r="H1719" s="92"/>
      <c r="I1719" s="85">
        <f t="shared" si="92"/>
        <v>0</v>
      </c>
      <c r="J1719" s="93"/>
      <c r="K1719" s="85">
        <f t="shared" si="93"/>
        <v>0</v>
      </c>
      <c r="L1719" s="68"/>
      <c r="M1719" s="68"/>
      <c r="P1719" s="89" t="str">
        <f t="shared" si="91"/>
        <v xml:space="preserve">  1 1900 </v>
      </c>
    </row>
    <row r="1720" spans="1:16">
      <c r="A1720" s="68"/>
      <c r="B1720" s="87"/>
      <c r="C1720" s="88"/>
      <c r="D1720" s="88"/>
      <c r="E1720" s="90"/>
      <c r="F1720" s="84" t="str">
        <f ca="1">IF(D1720="Income",LOOKUP(E1720,Introduction!$A$11:$A$18,Introduction!$C$11:$C$18),IF(D1720="Expense",LOOKUP(E1720,Introduction!$D$11:$D$30,Introduction!$F$11:$F$30),"_"))</f>
        <v>_</v>
      </c>
      <c r="G1720" s="88"/>
      <c r="H1720" s="92"/>
      <c r="I1720" s="85">
        <f t="shared" si="92"/>
        <v>0</v>
      </c>
      <c r="J1720" s="93"/>
      <c r="K1720" s="85">
        <f t="shared" si="93"/>
        <v>0</v>
      </c>
      <c r="L1720" s="68"/>
      <c r="M1720" s="68"/>
      <c r="P1720" s="89" t="str">
        <f t="shared" si="91"/>
        <v xml:space="preserve">  1 1900 </v>
      </c>
    </row>
    <row r="1721" spans="1:16">
      <c r="A1721" s="68"/>
      <c r="B1721" s="87"/>
      <c r="C1721" s="88"/>
      <c r="D1721" s="88"/>
      <c r="E1721" s="90"/>
      <c r="F1721" s="84" t="str">
        <f ca="1">IF(D1721="Income",LOOKUP(E1721,Introduction!$A$11:$A$18,Introduction!$C$11:$C$18),IF(D1721="Expense",LOOKUP(E1721,Introduction!$D$11:$D$30,Introduction!$F$11:$F$30),"_"))</f>
        <v>_</v>
      </c>
      <c r="G1721" s="88"/>
      <c r="H1721" s="92"/>
      <c r="I1721" s="85">
        <f t="shared" si="92"/>
        <v>0</v>
      </c>
      <c r="J1721" s="93"/>
      <c r="K1721" s="85">
        <f t="shared" si="93"/>
        <v>0</v>
      </c>
      <c r="L1721" s="68"/>
      <c r="M1721" s="68"/>
      <c r="P1721" s="89" t="str">
        <f t="shared" si="91"/>
        <v xml:space="preserve">  1 1900 </v>
      </c>
    </row>
    <row r="1722" spans="1:16">
      <c r="A1722" s="68"/>
      <c r="B1722" s="87"/>
      <c r="C1722" s="88"/>
      <c r="D1722" s="88"/>
      <c r="E1722" s="90"/>
      <c r="F1722" s="84" t="str">
        <f ca="1">IF(D1722="Income",LOOKUP(E1722,Introduction!$A$11:$A$18,Introduction!$C$11:$C$18),IF(D1722="Expense",LOOKUP(E1722,Introduction!$D$11:$D$30,Introduction!$F$11:$F$30),"_"))</f>
        <v>_</v>
      </c>
      <c r="G1722" s="88"/>
      <c r="H1722" s="92"/>
      <c r="I1722" s="85">
        <f t="shared" si="92"/>
        <v>0</v>
      </c>
      <c r="J1722" s="93"/>
      <c r="K1722" s="85">
        <f t="shared" si="93"/>
        <v>0</v>
      </c>
      <c r="L1722" s="68"/>
      <c r="M1722" s="68"/>
      <c r="P1722" s="89" t="str">
        <f t="shared" si="91"/>
        <v xml:space="preserve">  1 1900 </v>
      </c>
    </row>
    <row r="1723" spans="1:16">
      <c r="A1723" s="68"/>
      <c r="B1723" s="87"/>
      <c r="C1723" s="88"/>
      <c r="D1723" s="88"/>
      <c r="E1723" s="90"/>
      <c r="F1723" s="84" t="str">
        <f ca="1">IF(D1723="Income",LOOKUP(E1723,Introduction!$A$11:$A$18,Introduction!$C$11:$C$18),IF(D1723="Expense",LOOKUP(E1723,Introduction!$D$11:$D$30,Introduction!$F$11:$F$30),"_"))</f>
        <v>_</v>
      </c>
      <c r="G1723" s="88"/>
      <c r="H1723" s="92"/>
      <c r="I1723" s="85">
        <f t="shared" si="92"/>
        <v>0</v>
      </c>
      <c r="J1723" s="93"/>
      <c r="K1723" s="85">
        <f t="shared" si="93"/>
        <v>0</v>
      </c>
      <c r="L1723" s="68"/>
      <c r="M1723" s="68"/>
      <c r="P1723" s="89" t="str">
        <f t="shared" si="91"/>
        <v xml:space="preserve">  1 1900 </v>
      </c>
    </row>
    <row r="1724" spans="1:16">
      <c r="A1724" s="68"/>
      <c r="B1724" s="87"/>
      <c r="C1724" s="88"/>
      <c r="D1724" s="88"/>
      <c r="E1724" s="90"/>
      <c r="F1724" s="84" t="str">
        <f ca="1">IF(D1724="Income",LOOKUP(E1724,Introduction!$A$11:$A$18,Introduction!$C$11:$C$18),IF(D1724="Expense",LOOKUP(E1724,Introduction!$D$11:$D$30,Introduction!$F$11:$F$30),"_"))</f>
        <v>_</v>
      </c>
      <c r="G1724" s="88"/>
      <c r="H1724" s="92"/>
      <c r="I1724" s="85">
        <f t="shared" si="92"/>
        <v>0</v>
      </c>
      <c r="J1724" s="93"/>
      <c r="K1724" s="85">
        <f t="shared" si="93"/>
        <v>0</v>
      </c>
      <c r="L1724" s="68"/>
      <c r="M1724" s="68"/>
      <c r="P1724" s="89" t="str">
        <f t="shared" si="91"/>
        <v xml:space="preserve">  1 1900 </v>
      </c>
    </row>
    <row r="1725" spans="1:16">
      <c r="A1725" s="68"/>
      <c r="B1725" s="87"/>
      <c r="C1725" s="88"/>
      <c r="D1725" s="88"/>
      <c r="E1725" s="90"/>
      <c r="F1725" s="84" t="str">
        <f ca="1">IF(D1725="Income",LOOKUP(E1725,Introduction!$A$11:$A$18,Introduction!$C$11:$C$18),IF(D1725="Expense",LOOKUP(E1725,Introduction!$D$11:$D$30,Introduction!$F$11:$F$30),"_"))</f>
        <v>_</v>
      </c>
      <c r="G1725" s="88"/>
      <c r="H1725" s="92"/>
      <c r="I1725" s="85">
        <f t="shared" si="92"/>
        <v>0</v>
      </c>
      <c r="J1725" s="93"/>
      <c r="K1725" s="85">
        <f t="shared" si="93"/>
        <v>0</v>
      </c>
      <c r="L1725" s="68"/>
      <c r="M1725" s="68"/>
      <c r="P1725" s="89" t="str">
        <f t="shared" si="91"/>
        <v xml:space="preserve">  1 1900 </v>
      </c>
    </row>
    <row r="1726" spans="1:16">
      <c r="A1726" s="68"/>
      <c r="B1726" s="87"/>
      <c r="C1726" s="88"/>
      <c r="D1726" s="88"/>
      <c r="E1726" s="90"/>
      <c r="F1726" s="84" t="str">
        <f ca="1">IF(D1726="Income",LOOKUP(E1726,Introduction!$A$11:$A$18,Introduction!$C$11:$C$18),IF(D1726="Expense",LOOKUP(E1726,Introduction!$D$11:$D$30,Introduction!$F$11:$F$30),"_"))</f>
        <v>_</v>
      </c>
      <c r="G1726" s="88"/>
      <c r="H1726" s="92"/>
      <c r="I1726" s="85">
        <f t="shared" si="92"/>
        <v>0</v>
      </c>
      <c r="J1726" s="93"/>
      <c r="K1726" s="85">
        <f t="shared" si="93"/>
        <v>0</v>
      </c>
      <c r="L1726" s="68"/>
      <c r="M1726" s="68"/>
      <c r="P1726" s="89" t="str">
        <f t="shared" si="91"/>
        <v xml:space="preserve">  1 1900 </v>
      </c>
    </row>
    <row r="1727" spans="1:16">
      <c r="A1727" s="68"/>
      <c r="B1727" s="87"/>
      <c r="C1727" s="88"/>
      <c r="D1727" s="88"/>
      <c r="E1727" s="90"/>
      <c r="F1727" s="84" t="str">
        <f ca="1">IF(D1727="Income",LOOKUP(E1727,Introduction!$A$11:$A$18,Introduction!$C$11:$C$18),IF(D1727="Expense",LOOKUP(E1727,Introduction!$D$11:$D$30,Introduction!$F$11:$F$30),"_"))</f>
        <v>_</v>
      </c>
      <c r="G1727" s="88"/>
      <c r="H1727" s="92"/>
      <c r="I1727" s="85">
        <f t="shared" si="92"/>
        <v>0</v>
      </c>
      <c r="J1727" s="93"/>
      <c r="K1727" s="85">
        <f t="shared" si="93"/>
        <v>0</v>
      </c>
      <c r="L1727" s="68"/>
      <c r="M1727" s="68"/>
      <c r="P1727" s="89" t="str">
        <f t="shared" si="91"/>
        <v xml:space="preserve">  1 1900 </v>
      </c>
    </row>
    <row r="1728" spans="1:16">
      <c r="A1728" s="68"/>
      <c r="B1728" s="87"/>
      <c r="C1728" s="88"/>
      <c r="D1728" s="88"/>
      <c r="E1728" s="90"/>
      <c r="F1728" s="84" t="str">
        <f ca="1">IF(D1728="Income",LOOKUP(E1728,Introduction!$A$11:$A$18,Introduction!$C$11:$C$18),IF(D1728="Expense",LOOKUP(E1728,Introduction!$D$11:$D$30,Introduction!$F$11:$F$30),"_"))</f>
        <v>_</v>
      </c>
      <c r="G1728" s="88"/>
      <c r="H1728" s="92"/>
      <c r="I1728" s="85">
        <f t="shared" si="92"/>
        <v>0</v>
      </c>
      <c r="J1728" s="93"/>
      <c r="K1728" s="85">
        <f t="shared" si="93"/>
        <v>0</v>
      </c>
      <c r="L1728" s="68"/>
      <c r="M1728" s="68"/>
      <c r="P1728" s="89" t="str">
        <f t="shared" si="91"/>
        <v xml:space="preserve">  1 1900 </v>
      </c>
    </row>
    <row r="1729" spans="1:16">
      <c r="A1729" s="68"/>
      <c r="B1729" s="87"/>
      <c r="C1729" s="88"/>
      <c r="D1729" s="88"/>
      <c r="E1729" s="90"/>
      <c r="F1729" s="84" t="str">
        <f ca="1">IF(D1729="Income",LOOKUP(E1729,Introduction!$A$11:$A$18,Introduction!$C$11:$C$18),IF(D1729="Expense",LOOKUP(E1729,Introduction!$D$11:$D$30,Introduction!$F$11:$F$30),"_"))</f>
        <v>_</v>
      </c>
      <c r="G1729" s="88"/>
      <c r="H1729" s="92"/>
      <c r="I1729" s="85">
        <f t="shared" si="92"/>
        <v>0</v>
      </c>
      <c r="J1729" s="93"/>
      <c r="K1729" s="85">
        <f t="shared" si="93"/>
        <v>0</v>
      </c>
      <c r="L1729" s="68"/>
      <c r="M1729" s="68"/>
      <c r="P1729" s="89" t="str">
        <f t="shared" si="91"/>
        <v xml:space="preserve">  1 1900 </v>
      </c>
    </row>
    <row r="1730" spans="1:16">
      <c r="A1730" s="68"/>
      <c r="B1730" s="87"/>
      <c r="C1730" s="88"/>
      <c r="D1730" s="88"/>
      <c r="E1730" s="90"/>
      <c r="F1730" s="84" t="str">
        <f ca="1">IF(D1730="Income",LOOKUP(E1730,Introduction!$A$11:$A$18,Introduction!$C$11:$C$18),IF(D1730="Expense",LOOKUP(E1730,Introduction!$D$11:$D$30,Introduction!$F$11:$F$30),"_"))</f>
        <v>_</v>
      </c>
      <c r="G1730" s="88"/>
      <c r="H1730" s="92"/>
      <c r="I1730" s="85">
        <f t="shared" si="92"/>
        <v>0</v>
      </c>
      <c r="J1730" s="93"/>
      <c r="K1730" s="85">
        <f t="shared" si="93"/>
        <v>0</v>
      </c>
      <c r="L1730" s="68"/>
      <c r="M1730" s="68"/>
      <c r="P1730" s="89" t="str">
        <f t="shared" si="91"/>
        <v xml:space="preserve">  1 1900 </v>
      </c>
    </row>
    <row r="1731" spans="1:16">
      <c r="A1731" s="68"/>
      <c r="B1731" s="87"/>
      <c r="C1731" s="88"/>
      <c r="D1731" s="88"/>
      <c r="E1731" s="90"/>
      <c r="F1731" s="84" t="str">
        <f ca="1">IF(D1731="Income",LOOKUP(E1731,Introduction!$A$11:$A$18,Introduction!$C$11:$C$18),IF(D1731="Expense",LOOKUP(E1731,Introduction!$D$11:$D$30,Introduction!$F$11:$F$30),"_"))</f>
        <v>_</v>
      </c>
      <c r="G1731" s="88"/>
      <c r="H1731" s="92"/>
      <c r="I1731" s="85">
        <f t="shared" si="92"/>
        <v>0</v>
      </c>
      <c r="J1731" s="93"/>
      <c r="K1731" s="85">
        <f t="shared" si="93"/>
        <v>0</v>
      </c>
      <c r="L1731" s="68"/>
      <c r="M1731" s="68"/>
      <c r="P1731" s="89" t="str">
        <f t="shared" si="91"/>
        <v xml:space="preserve">  1 1900 </v>
      </c>
    </row>
    <row r="1732" spans="1:16">
      <c r="A1732" s="68"/>
      <c r="B1732" s="87"/>
      <c r="C1732" s="88"/>
      <c r="D1732" s="88"/>
      <c r="E1732" s="90"/>
      <c r="F1732" s="84" t="str">
        <f ca="1">IF(D1732="Income",LOOKUP(E1732,Introduction!$A$11:$A$18,Introduction!$C$11:$C$18),IF(D1732="Expense",LOOKUP(E1732,Introduction!$D$11:$D$30,Introduction!$F$11:$F$30),"_"))</f>
        <v>_</v>
      </c>
      <c r="G1732" s="88"/>
      <c r="H1732" s="92"/>
      <c r="I1732" s="85">
        <f t="shared" si="92"/>
        <v>0</v>
      </c>
      <c r="J1732" s="93"/>
      <c r="K1732" s="85">
        <f t="shared" si="93"/>
        <v>0</v>
      </c>
      <c r="L1732" s="68"/>
      <c r="M1732" s="68"/>
      <c r="P1732" s="89" t="str">
        <f t="shared" si="91"/>
        <v xml:space="preserve">  1 1900 </v>
      </c>
    </row>
    <row r="1733" spans="1:16">
      <c r="A1733" s="68"/>
      <c r="B1733" s="87"/>
      <c r="C1733" s="88"/>
      <c r="D1733" s="88"/>
      <c r="E1733" s="90"/>
      <c r="F1733" s="84" t="str">
        <f ca="1">IF(D1733="Income",LOOKUP(E1733,Introduction!$A$11:$A$18,Introduction!$C$11:$C$18),IF(D1733="Expense",LOOKUP(E1733,Introduction!$D$11:$D$30,Introduction!$F$11:$F$30),"_"))</f>
        <v>_</v>
      </c>
      <c r="G1733" s="88"/>
      <c r="H1733" s="92"/>
      <c r="I1733" s="85">
        <f t="shared" si="92"/>
        <v>0</v>
      </c>
      <c r="J1733" s="93"/>
      <c r="K1733" s="85">
        <f t="shared" si="93"/>
        <v>0</v>
      </c>
      <c r="L1733" s="68"/>
      <c r="M1733" s="68"/>
      <c r="P1733" s="89" t="str">
        <f t="shared" si="91"/>
        <v xml:space="preserve">  1 1900 </v>
      </c>
    </row>
    <row r="1734" spans="1:16">
      <c r="A1734" s="68"/>
      <c r="B1734" s="87"/>
      <c r="C1734" s="88"/>
      <c r="D1734" s="88"/>
      <c r="E1734" s="90"/>
      <c r="F1734" s="84" t="str">
        <f ca="1">IF(D1734="Income",LOOKUP(E1734,Introduction!$A$11:$A$18,Introduction!$C$11:$C$18),IF(D1734="Expense",LOOKUP(E1734,Introduction!$D$11:$D$30,Introduction!$F$11:$F$30),"_"))</f>
        <v>_</v>
      </c>
      <c r="G1734" s="88"/>
      <c r="H1734" s="92"/>
      <c r="I1734" s="85">
        <f t="shared" si="92"/>
        <v>0</v>
      </c>
      <c r="J1734" s="93"/>
      <c r="K1734" s="85">
        <f t="shared" si="93"/>
        <v>0</v>
      </c>
      <c r="L1734" s="68"/>
      <c r="M1734" s="68"/>
      <c r="P1734" s="89" t="str">
        <f t="shared" si="91"/>
        <v xml:space="preserve">  1 1900 </v>
      </c>
    </row>
    <row r="1735" spans="1:16">
      <c r="A1735" s="68"/>
      <c r="B1735" s="87"/>
      <c r="C1735" s="88"/>
      <c r="D1735" s="88"/>
      <c r="E1735" s="90"/>
      <c r="F1735" s="84" t="str">
        <f ca="1">IF(D1735="Income",LOOKUP(E1735,Introduction!$A$11:$A$18,Introduction!$C$11:$C$18),IF(D1735="Expense",LOOKUP(E1735,Introduction!$D$11:$D$30,Introduction!$F$11:$F$30),"_"))</f>
        <v>_</v>
      </c>
      <c r="G1735" s="88"/>
      <c r="H1735" s="92"/>
      <c r="I1735" s="85">
        <f t="shared" si="92"/>
        <v>0</v>
      </c>
      <c r="J1735" s="93"/>
      <c r="K1735" s="85">
        <f t="shared" si="93"/>
        <v>0</v>
      </c>
      <c r="L1735" s="68"/>
      <c r="M1735" s="68"/>
      <c r="P1735" s="89" t="str">
        <f t="shared" ref="P1735:P1798" si="94">CONCATENATE(D1735," ",E1735," ",MONTH(C1735)," ",YEAR(C1735)," ")</f>
        <v xml:space="preserve">  1 1900 </v>
      </c>
    </row>
    <row r="1736" spans="1:16">
      <c r="A1736" s="68"/>
      <c r="B1736" s="87"/>
      <c r="C1736" s="88"/>
      <c r="D1736" s="88"/>
      <c r="E1736" s="90"/>
      <c r="F1736" s="84" t="str">
        <f ca="1">IF(D1736="Income",LOOKUP(E1736,Introduction!$A$11:$A$18,Introduction!$C$11:$C$18),IF(D1736="Expense",LOOKUP(E1736,Introduction!$D$11:$D$30,Introduction!$F$11:$F$30),"_"))</f>
        <v>_</v>
      </c>
      <c r="G1736" s="88"/>
      <c r="H1736" s="92"/>
      <c r="I1736" s="85">
        <f t="shared" si="92"/>
        <v>0</v>
      </c>
      <c r="J1736" s="93"/>
      <c r="K1736" s="85">
        <f t="shared" si="93"/>
        <v>0</v>
      </c>
      <c r="L1736" s="68"/>
      <c r="M1736" s="68"/>
      <c r="P1736" s="89" t="str">
        <f t="shared" si="94"/>
        <v xml:space="preserve">  1 1900 </v>
      </c>
    </row>
    <row r="1737" spans="1:16">
      <c r="A1737" s="68"/>
      <c r="B1737" s="87"/>
      <c r="C1737" s="88"/>
      <c r="D1737" s="88"/>
      <c r="E1737" s="90"/>
      <c r="F1737" s="84" t="str">
        <f ca="1">IF(D1737="Income",LOOKUP(E1737,Introduction!$A$11:$A$18,Introduction!$C$11:$C$18),IF(D1737="Expense",LOOKUP(E1737,Introduction!$D$11:$D$30,Introduction!$F$11:$F$30),"_"))</f>
        <v>_</v>
      </c>
      <c r="G1737" s="88"/>
      <c r="H1737" s="92"/>
      <c r="I1737" s="85">
        <f t="shared" si="92"/>
        <v>0</v>
      </c>
      <c r="J1737" s="93"/>
      <c r="K1737" s="85">
        <f t="shared" si="93"/>
        <v>0</v>
      </c>
      <c r="L1737" s="68"/>
      <c r="M1737" s="68"/>
      <c r="P1737" s="89" t="str">
        <f t="shared" si="94"/>
        <v xml:space="preserve">  1 1900 </v>
      </c>
    </row>
    <row r="1738" spans="1:16">
      <c r="A1738" s="68"/>
      <c r="B1738" s="87"/>
      <c r="C1738" s="88"/>
      <c r="D1738" s="88"/>
      <c r="E1738" s="90"/>
      <c r="F1738" s="84" t="str">
        <f ca="1">IF(D1738="Income",LOOKUP(E1738,Introduction!$A$11:$A$18,Introduction!$C$11:$C$18),IF(D1738="Expense",LOOKUP(E1738,Introduction!$D$11:$D$30,Introduction!$F$11:$F$30),"_"))</f>
        <v>_</v>
      </c>
      <c r="G1738" s="88"/>
      <c r="H1738" s="92"/>
      <c r="I1738" s="85">
        <f t="shared" si="92"/>
        <v>0</v>
      </c>
      <c r="J1738" s="93"/>
      <c r="K1738" s="85">
        <f t="shared" si="93"/>
        <v>0</v>
      </c>
      <c r="L1738" s="68"/>
      <c r="M1738" s="68"/>
      <c r="P1738" s="89" t="str">
        <f t="shared" si="94"/>
        <v xml:space="preserve">  1 1900 </v>
      </c>
    </row>
    <row r="1739" spans="1:16">
      <c r="A1739" s="68"/>
      <c r="B1739" s="87"/>
      <c r="C1739" s="88"/>
      <c r="D1739" s="88"/>
      <c r="E1739" s="90"/>
      <c r="F1739" s="84" t="str">
        <f ca="1">IF(D1739="Income",LOOKUP(E1739,Introduction!$A$11:$A$18,Introduction!$C$11:$C$18),IF(D1739="Expense",LOOKUP(E1739,Introduction!$D$11:$D$30,Introduction!$F$11:$F$30),"_"))</f>
        <v>_</v>
      </c>
      <c r="G1739" s="88"/>
      <c r="H1739" s="92"/>
      <c r="I1739" s="85">
        <f t="shared" si="92"/>
        <v>0</v>
      </c>
      <c r="J1739" s="93"/>
      <c r="K1739" s="85">
        <f t="shared" si="93"/>
        <v>0</v>
      </c>
      <c r="L1739" s="68"/>
      <c r="M1739" s="68"/>
      <c r="P1739" s="89" t="str">
        <f t="shared" si="94"/>
        <v xml:space="preserve">  1 1900 </v>
      </c>
    </row>
    <row r="1740" spans="1:16">
      <c r="A1740" s="68"/>
      <c r="B1740" s="87"/>
      <c r="C1740" s="88"/>
      <c r="D1740" s="88"/>
      <c r="E1740" s="90"/>
      <c r="F1740" s="84" t="str">
        <f ca="1">IF(D1740="Income",LOOKUP(E1740,Introduction!$A$11:$A$18,Introduction!$C$11:$C$18),IF(D1740="Expense",LOOKUP(E1740,Introduction!$D$11:$D$30,Introduction!$F$11:$F$30),"_"))</f>
        <v>_</v>
      </c>
      <c r="G1740" s="88"/>
      <c r="H1740" s="92"/>
      <c r="I1740" s="85">
        <f t="shared" si="92"/>
        <v>0</v>
      </c>
      <c r="J1740" s="93"/>
      <c r="K1740" s="85">
        <f t="shared" si="93"/>
        <v>0</v>
      </c>
      <c r="L1740" s="68"/>
      <c r="M1740" s="68"/>
      <c r="P1740" s="89" t="str">
        <f t="shared" si="94"/>
        <v xml:space="preserve">  1 1900 </v>
      </c>
    </row>
    <row r="1741" spans="1:16">
      <c r="A1741" s="68"/>
      <c r="B1741" s="87"/>
      <c r="C1741" s="88"/>
      <c r="D1741" s="88"/>
      <c r="E1741" s="90"/>
      <c r="F1741" s="84" t="str">
        <f ca="1">IF(D1741="Income",LOOKUP(E1741,Introduction!$A$11:$A$18,Introduction!$C$11:$C$18),IF(D1741="Expense",LOOKUP(E1741,Introduction!$D$11:$D$30,Introduction!$F$11:$F$30),"_"))</f>
        <v>_</v>
      </c>
      <c r="G1741" s="88"/>
      <c r="H1741" s="92"/>
      <c r="I1741" s="85">
        <f t="shared" si="92"/>
        <v>0</v>
      </c>
      <c r="J1741" s="93"/>
      <c r="K1741" s="85">
        <f t="shared" si="93"/>
        <v>0</v>
      </c>
      <c r="L1741" s="68"/>
      <c r="M1741" s="68"/>
      <c r="P1741" s="89" t="str">
        <f t="shared" si="94"/>
        <v xml:space="preserve">  1 1900 </v>
      </c>
    </row>
    <row r="1742" spans="1:16">
      <c r="A1742" s="68"/>
      <c r="B1742" s="87"/>
      <c r="C1742" s="88"/>
      <c r="D1742" s="88"/>
      <c r="E1742" s="90"/>
      <c r="F1742" s="84" t="str">
        <f ca="1">IF(D1742="Income",LOOKUP(E1742,Introduction!$A$11:$A$18,Introduction!$C$11:$C$18),IF(D1742="Expense",LOOKUP(E1742,Introduction!$D$11:$D$30,Introduction!$F$11:$F$30),"_"))</f>
        <v>_</v>
      </c>
      <c r="G1742" s="88"/>
      <c r="H1742" s="92"/>
      <c r="I1742" s="85">
        <f t="shared" si="92"/>
        <v>0</v>
      </c>
      <c r="J1742" s="93"/>
      <c r="K1742" s="85">
        <f t="shared" si="93"/>
        <v>0</v>
      </c>
      <c r="L1742" s="68"/>
      <c r="M1742" s="68"/>
      <c r="P1742" s="89" t="str">
        <f t="shared" si="94"/>
        <v xml:space="preserve">  1 1900 </v>
      </c>
    </row>
    <row r="1743" spans="1:16">
      <c r="A1743" s="68"/>
      <c r="B1743" s="87"/>
      <c r="C1743" s="88"/>
      <c r="D1743" s="88"/>
      <c r="E1743" s="90"/>
      <c r="F1743" s="84" t="str">
        <f ca="1">IF(D1743="Income",LOOKUP(E1743,Introduction!$A$11:$A$18,Introduction!$C$11:$C$18),IF(D1743="Expense",LOOKUP(E1743,Introduction!$D$11:$D$30,Introduction!$F$11:$F$30),"_"))</f>
        <v>_</v>
      </c>
      <c r="G1743" s="88"/>
      <c r="H1743" s="92"/>
      <c r="I1743" s="85">
        <f t="shared" si="92"/>
        <v>0</v>
      </c>
      <c r="J1743" s="93"/>
      <c r="K1743" s="85">
        <f t="shared" si="93"/>
        <v>0</v>
      </c>
      <c r="L1743" s="68"/>
      <c r="M1743" s="68"/>
      <c r="P1743" s="89" t="str">
        <f t="shared" si="94"/>
        <v xml:space="preserve">  1 1900 </v>
      </c>
    </row>
    <row r="1744" spans="1:16">
      <c r="A1744" s="68"/>
      <c r="B1744" s="87"/>
      <c r="C1744" s="88"/>
      <c r="D1744" s="88"/>
      <c r="E1744" s="90"/>
      <c r="F1744" s="84" t="str">
        <f ca="1">IF(D1744="Income",LOOKUP(E1744,Introduction!$A$11:$A$18,Introduction!$C$11:$C$18),IF(D1744="Expense",LOOKUP(E1744,Introduction!$D$11:$D$30,Introduction!$F$11:$F$30),"_"))</f>
        <v>_</v>
      </c>
      <c r="G1744" s="88"/>
      <c r="H1744" s="92"/>
      <c r="I1744" s="85">
        <f t="shared" si="92"/>
        <v>0</v>
      </c>
      <c r="J1744" s="93"/>
      <c r="K1744" s="85">
        <f t="shared" si="93"/>
        <v>0</v>
      </c>
      <c r="L1744" s="68"/>
      <c r="M1744" s="68"/>
      <c r="P1744" s="89" t="str">
        <f t="shared" si="94"/>
        <v xml:space="preserve">  1 1900 </v>
      </c>
    </row>
    <row r="1745" spans="1:16">
      <c r="A1745" s="68"/>
      <c r="B1745" s="87"/>
      <c r="C1745" s="88"/>
      <c r="D1745" s="88"/>
      <c r="E1745" s="90"/>
      <c r="F1745" s="84" t="str">
        <f ca="1">IF(D1745="Income",LOOKUP(E1745,Introduction!$A$11:$A$18,Introduction!$C$11:$C$18),IF(D1745="Expense",LOOKUP(E1745,Introduction!$D$11:$D$30,Introduction!$F$11:$F$30),"_"))</f>
        <v>_</v>
      </c>
      <c r="G1745" s="88"/>
      <c r="H1745" s="92"/>
      <c r="I1745" s="85">
        <f t="shared" ref="I1745:I1808" si="95">+I1744+H1745</f>
        <v>0</v>
      </c>
      <c r="J1745" s="93"/>
      <c r="K1745" s="85">
        <f t="shared" ref="K1745:K1808" si="96">IF(J1745=1,K1744+H1745,++K1744)</f>
        <v>0</v>
      </c>
      <c r="L1745" s="68"/>
      <c r="M1745" s="68"/>
      <c r="P1745" s="89" t="str">
        <f t="shared" si="94"/>
        <v xml:space="preserve">  1 1900 </v>
      </c>
    </row>
    <row r="1746" spans="1:16">
      <c r="A1746" s="68"/>
      <c r="B1746" s="87"/>
      <c r="C1746" s="88"/>
      <c r="D1746" s="88"/>
      <c r="E1746" s="90"/>
      <c r="F1746" s="84" t="str">
        <f ca="1">IF(D1746="Income",LOOKUP(E1746,Introduction!$A$11:$A$18,Introduction!$C$11:$C$18),IF(D1746="Expense",LOOKUP(E1746,Introduction!$D$11:$D$30,Introduction!$F$11:$F$30),"_"))</f>
        <v>_</v>
      </c>
      <c r="G1746" s="88"/>
      <c r="H1746" s="92"/>
      <c r="I1746" s="85">
        <f t="shared" si="95"/>
        <v>0</v>
      </c>
      <c r="J1746" s="93"/>
      <c r="K1746" s="85">
        <f t="shared" si="96"/>
        <v>0</v>
      </c>
      <c r="L1746" s="68"/>
      <c r="M1746" s="68"/>
      <c r="P1746" s="89" t="str">
        <f t="shared" si="94"/>
        <v xml:space="preserve">  1 1900 </v>
      </c>
    </row>
    <row r="1747" spans="1:16">
      <c r="A1747" s="68"/>
      <c r="B1747" s="87"/>
      <c r="C1747" s="88"/>
      <c r="D1747" s="88"/>
      <c r="E1747" s="90"/>
      <c r="F1747" s="84" t="str">
        <f ca="1">IF(D1747="Income",LOOKUP(E1747,Introduction!$A$11:$A$18,Introduction!$C$11:$C$18),IF(D1747="Expense",LOOKUP(E1747,Introduction!$D$11:$D$30,Introduction!$F$11:$F$30),"_"))</f>
        <v>_</v>
      </c>
      <c r="G1747" s="88"/>
      <c r="H1747" s="92"/>
      <c r="I1747" s="85">
        <f t="shared" si="95"/>
        <v>0</v>
      </c>
      <c r="J1747" s="93"/>
      <c r="K1747" s="85">
        <f t="shared" si="96"/>
        <v>0</v>
      </c>
      <c r="L1747" s="68"/>
      <c r="M1747" s="68"/>
      <c r="P1747" s="89" t="str">
        <f t="shared" si="94"/>
        <v xml:space="preserve">  1 1900 </v>
      </c>
    </row>
    <row r="1748" spans="1:16">
      <c r="A1748" s="68"/>
      <c r="B1748" s="87"/>
      <c r="C1748" s="88"/>
      <c r="D1748" s="88"/>
      <c r="E1748" s="90"/>
      <c r="F1748" s="84" t="str">
        <f ca="1">IF(D1748="Income",LOOKUP(E1748,Introduction!$A$11:$A$18,Introduction!$C$11:$C$18),IF(D1748="Expense",LOOKUP(E1748,Introduction!$D$11:$D$30,Introduction!$F$11:$F$30),"_"))</f>
        <v>_</v>
      </c>
      <c r="G1748" s="88"/>
      <c r="H1748" s="92"/>
      <c r="I1748" s="85">
        <f t="shared" si="95"/>
        <v>0</v>
      </c>
      <c r="J1748" s="93"/>
      <c r="K1748" s="85">
        <f t="shared" si="96"/>
        <v>0</v>
      </c>
      <c r="L1748" s="68"/>
      <c r="M1748" s="68"/>
      <c r="P1748" s="89" t="str">
        <f t="shared" si="94"/>
        <v xml:space="preserve">  1 1900 </v>
      </c>
    </row>
    <row r="1749" spans="1:16">
      <c r="A1749" s="68"/>
      <c r="B1749" s="87"/>
      <c r="C1749" s="88"/>
      <c r="D1749" s="88"/>
      <c r="E1749" s="90"/>
      <c r="F1749" s="84" t="str">
        <f ca="1">IF(D1749="Income",LOOKUP(E1749,Introduction!$A$11:$A$18,Introduction!$C$11:$C$18),IF(D1749="Expense",LOOKUP(E1749,Introduction!$D$11:$D$30,Introduction!$F$11:$F$30),"_"))</f>
        <v>_</v>
      </c>
      <c r="G1749" s="88"/>
      <c r="H1749" s="92"/>
      <c r="I1749" s="85">
        <f t="shared" si="95"/>
        <v>0</v>
      </c>
      <c r="J1749" s="93"/>
      <c r="K1749" s="85">
        <f t="shared" si="96"/>
        <v>0</v>
      </c>
      <c r="L1749" s="68"/>
      <c r="M1749" s="68"/>
      <c r="P1749" s="89" t="str">
        <f t="shared" si="94"/>
        <v xml:space="preserve">  1 1900 </v>
      </c>
    </row>
    <row r="1750" spans="1:16">
      <c r="A1750" s="68"/>
      <c r="B1750" s="87"/>
      <c r="C1750" s="88"/>
      <c r="D1750" s="88"/>
      <c r="E1750" s="90"/>
      <c r="F1750" s="84" t="str">
        <f ca="1">IF(D1750="Income",LOOKUP(E1750,Introduction!$A$11:$A$18,Introduction!$C$11:$C$18),IF(D1750="Expense",LOOKUP(E1750,Introduction!$D$11:$D$30,Introduction!$F$11:$F$30),"_"))</f>
        <v>_</v>
      </c>
      <c r="G1750" s="88"/>
      <c r="H1750" s="92"/>
      <c r="I1750" s="85">
        <f t="shared" si="95"/>
        <v>0</v>
      </c>
      <c r="J1750" s="93"/>
      <c r="K1750" s="85">
        <f t="shared" si="96"/>
        <v>0</v>
      </c>
      <c r="L1750" s="68"/>
      <c r="M1750" s="68"/>
      <c r="P1750" s="89" t="str">
        <f t="shared" si="94"/>
        <v xml:space="preserve">  1 1900 </v>
      </c>
    </row>
    <row r="1751" spans="1:16">
      <c r="A1751" s="68"/>
      <c r="B1751" s="87"/>
      <c r="C1751" s="88"/>
      <c r="D1751" s="88"/>
      <c r="E1751" s="90"/>
      <c r="F1751" s="84" t="str">
        <f ca="1">IF(D1751="Income",LOOKUP(E1751,Introduction!$A$11:$A$18,Introduction!$C$11:$C$18),IF(D1751="Expense",LOOKUP(E1751,Introduction!$D$11:$D$30,Introduction!$F$11:$F$30),"_"))</f>
        <v>_</v>
      </c>
      <c r="G1751" s="88"/>
      <c r="H1751" s="92"/>
      <c r="I1751" s="85">
        <f t="shared" si="95"/>
        <v>0</v>
      </c>
      <c r="J1751" s="93"/>
      <c r="K1751" s="85">
        <f t="shared" si="96"/>
        <v>0</v>
      </c>
      <c r="L1751" s="68"/>
      <c r="M1751" s="68"/>
      <c r="P1751" s="89" t="str">
        <f t="shared" si="94"/>
        <v xml:space="preserve">  1 1900 </v>
      </c>
    </row>
    <row r="1752" spans="1:16">
      <c r="A1752" s="68"/>
      <c r="B1752" s="87"/>
      <c r="C1752" s="88"/>
      <c r="D1752" s="88"/>
      <c r="E1752" s="90"/>
      <c r="F1752" s="84" t="str">
        <f ca="1">IF(D1752="Income",LOOKUP(E1752,Introduction!$A$11:$A$18,Introduction!$C$11:$C$18),IF(D1752="Expense",LOOKUP(E1752,Introduction!$D$11:$D$30,Introduction!$F$11:$F$30),"_"))</f>
        <v>_</v>
      </c>
      <c r="G1752" s="88"/>
      <c r="H1752" s="92"/>
      <c r="I1752" s="85">
        <f t="shared" si="95"/>
        <v>0</v>
      </c>
      <c r="J1752" s="93"/>
      <c r="K1752" s="85">
        <f t="shared" si="96"/>
        <v>0</v>
      </c>
      <c r="L1752" s="68"/>
      <c r="M1752" s="68"/>
      <c r="P1752" s="89" t="str">
        <f t="shared" si="94"/>
        <v xml:space="preserve">  1 1900 </v>
      </c>
    </row>
    <row r="1753" spans="1:16">
      <c r="A1753" s="68"/>
      <c r="B1753" s="87"/>
      <c r="C1753" s="88"/>
      <c r="D1753" s="88"/>
      <c r="E1753" s="90"/>
      <c r="F1753" s="84" t="str">
        <f ca="1">IF(D1753="Income",LOOKUP(E1753,Introduction!$A$11:$A$18,Introduction!$C$11:$C$18),IF(D1753="Expense",LOOKUP(E1753,Introduction!$D$11:$D$30,Introduction!$F$11:$F$30),"_"))</f>
        <v>_</v>
      </c>
      <c r="G1753" s="88"/>
      <c r="H1753" s="92"/>
      <c r="I1753" s="85">
        <f t="shared" si="95"/>
        <v>0</v>
      </c>
      <c r="J1753" s="93"/>
      <c r="K1753" s="85">
        <f t="shared" si="96"/>
        <v>0</v>
      </c>
      <c r="L1753" s="68"/>
      <c r="M1753" s="68"/>
      <c r="P1753" s="89" t="str">
        <f t="shared" si="94"/>
        <v xml:space="preserve">  1 1900 </v>
      </c>
    </row>
    <row r="1754" spans="1:16">
      <c r="A1754" s="68"/>
      <c r="B1754" s="87"/>
      <c r="C1754" s="88"/>
      <c r="D1754" s="88"/>
      <c r="E1754" s="90"/>
      <c r="F1754" s="84" t="str">
        <f ca="1">IF(D1754="Income",LOOKUP(E1754,Introduction!$A$11:$A$18,Introduction!$C$11:$C$18),IF(D1754="Expense",LOOKUP(E1754,Introduction!$D$11:$D$30,Introduction!$F$11:$F$30),"_"))</f>
        <v>_</v>
      </c>
      <c r="G1754" s="88"/>
      <c r="H1754" s="92"/>
      <c r="I1754" s="85">
        <f t="shared" si="95"/>
        <v>0</v>
      </c>
      <c r="J1754" s="93"/>
      <c r="K1754" s="85">
        <f t="shared" si="96"/>
        <v>0</v>
      </c>
      <c r="L1754" s="68"/>
      <c r="M1754" s="68"/>
      <c r="P1754" s="89" t="str">
        <f t="shared" si="94"/>
        <v xml:space="preserve">  1 1900 </v>
      </c>
    </row>
    <row r="1755" spans="1:16">
      <c r="A1755" s="68"/>
      <c r="B1755" s="87"/>
      <c r="C1755" s="88"/>
      <c r="D1755" s="88"/>
      <c r="E1755" s="90"/>
      <c r="F1755" s="84" t="str">
        <f ca="1">IF(D1755="Income",LOOKUP(E1755,Introduction!$A$11:$A$18,Introduction!$C$11:$C$18),IF(D1755="Expense",LOOKUP(E1755,Introduction!$D$11:$D$30,Introduction!$F$11:$F$30),"_"))</f>
        <v>_</v>
      </c>
      <c r="G1755" s="88"/>
      <c r="H1755" s="92"/>
      <c r="I1755" s="85">
        <f t="shared" si="95"/>
        <v>0</v>
      </c>
      <c r="J1755" s="93"/>
      <c r="K1755" s="85">
        <f t="shared" si="96"/>
        <v>0</v>
      </c>
      <c r="L1755" s="68"/>
      <c r="M1755" s="68"/>
      <c r="P1755" s="89" t="str">
        <f t="shared" si="94"/>
        <v xml:space="preserve">  1 1900 </v>
      </c>
    </row>
    <row r="1756" spans="1:16">
      <c r="A1756" s="68"/>
      <c r="B1756" s="87"/>
      <c r="C1756" s="88"/>
      <c r="D1756" s="88"/>
      <c r="E1756" s="90"/>
      <c r="F1756" s="84" t="str">
        <f ca="1">IF(D1756="Income",LOOKUP(E1756,Introduction!$A$11:$A$18,Introduction!$C$11:$C$18),IF(D1756="Expense",LOOKUP(E1756,Introduction!$D$11:$D$30,Introduction!$F$11:$F$30),"_"))</f>
        <v>_</v>
      </c>
      <c r="G1756" s="88"/>
      <c r="H1756" s="92"/>
      <c r="I1756" s="85">
        <f t="shared" si="95"/>
        <v>0</v>
      </c>
      <c r="J1756" s="93"/>
      <c r="K1756" s="85">
        <f t="shared" si="96"/>
        <v>0</v>
      </c>
      <c r="L1756" s="68"/>
      <c r="M1756" s="68"/>
      <c r="P1756" s="89" t="str">
        <f t="shared" si="94"/>
        <v xml:space="preserve">  1 1900 </v>
      </c>
    </row>
    <row r="1757" spans="1:16">
      <c r="A1757" s="68"/>
      <c r="B1757" s="87"/>
      <c r="C1757" s="88"/>
      <c r="D1757" s="88"/>
      <c r="E1757" s="90"/>
      <c r="F1757" s="84" t="str">
        <f ca="1">IF(D1757="Income",LOOKUP(E1757,Introduction!$A$11:$A$18,Introduction!$C$11:$C$18),IF(D1757="Expense",LOOKUP(E1757,Introduction!$D$11:$D$30,Introduction!$F$11:$F$30),"_"))</f>
        <v>_</v>
      </c>
      <c r="G1757" s="88"/>
      <c r="H1757" s="92"/>
      <c r="I1757" s="85">
        <f t="shared" si="95"/>
        <v>0</v>
      </c>
      <c r="J1757" s="93"/>
      <c r="K1757" s="85">
        <f t="shared" si="96"/>
        <v>0</v>
      </c>
      <c r="L1757" s="68"/>
      <c r="M1757" s="68"/>
      <c r="P1757" s="89" t="str">
        <f t="shared" si="94"/>
        <v xml:space="preserve">  1 1900 </v>
      </c>
    </row>
    <row r="1758" spans="1:16">
      <c r="A1758" s="68"/>
      <c r="B1758" s="87"/>
      <c r="C1758" s="88"/>
      <c r="D1758" s="88"/>
      <c r="E1758" s="90"/>
      <c r="F1758" s="84" t="str">
        <f ca="1">IF(D1758="Income",LOOKUP(E1758,Introduction!$A$11:$A$18,Introduction!$C$11:$C$18),IF(D1758="Expense",LOOKUP(E1758,Introduction!$D$11:$D$30,Introduction!$F$11:$F$30),"_"))</f>
        <v>_</v>
      </c>
      <c r="G1758" s="88"/>
      <c r="H1758" s="92"/>
      <c r="I1758" s="85">
        <f t="shared" si="95"/>
        <v>0</v>
      </c>
      <c r="J1758" s="93"/>
      <c r="K1758" s="85">
        <f t="shared" si="96"/>
        <v>0</v>
      </c>
      <c r="L1758" s="68"/>
      <c r="M1758" s="68"/>
      <c r="P1758" s="89" t="str">
        <f t="shared" si="94"/>
        <v xml:space="preserve">  1 1900 </v>
      </c>
    </row>
    <row r="1759" spans="1:16">
      <c r="A1759" s="68"/>
      <c r="B1759" s="87"/>
      <c r="C1759" s="88"/>
      <c r="D1759" s="88"/>
      <c r="E1759" s="90"/>
      <c r="F1759" s="84" t="str">
        <f ca="1">IF(D1759="Income",LOOKUP(E1759,Introduction!$A$11:$A$18,Introduction!$C$11:$C$18),IF(D1759="Expense",LOOKUP(E1759,Introduction!$D$11:$D$30,Introduction!$F$11:$F$30),"_"))</f>
        <v>_</v>
      </c>
      <c r="G1759" s="88"/>
      <c r="H1759" s="92"/>
      <c r="I1759" s="85">
        <f t="shared" si="95"/>
        <v>0</v>
      </c>
      <c r="J1759" s="93"/>
      <c r="K1759" s="85">
        <f t="shared" si="96"/>
        <v>0</v>
      </c>
      <c r="L1759" s="68"/>
      <c r="M1759" s="68"/>
      <c r="P1759" s="89" t="str">
        <f t="shared" si="94"/>
        <v xml:space="preserve">  1 1900 </v>
      </c>
    </row>
    <row r="1760" spans="1:16">
      <c r="A1760" s="68"/>
      <c r="B1760" s="87"/>
      <c r="C1760" s="88"/>
      <c r="D1760" s="88"/>
      <c r="E1760" s="90"/>
      <c r="F1760" s="84" t="str">
        <f ca="1">IF(D1760="Income",LOOKUP(E1760,Introduction!$A$11:$A$18,Introduction!$C$11:$C$18),IF(D1760="Expense",LOOKUP(E1760,Introduction!$D$11:$D$30,Introduction!$F$11:$F$30),"_"))</f>
        <v>_</v>
      </c>
      <c r="G1760" s="88"/>
      <c r="H1760" s="92"/>
      <c r="I1760" s="85">
        <f t="shared" si="95"/>
        <v>0</v>
      </c>
      <c r="J1760" s="93"/>
      <c r="K1760" s="85">
        <f t="shared" si="96"/>
        <v>0</v>
      </c>
      <c r="L1760" s="68"/>
      <c r="M1760" s="68"/>
      <c r="P1760" s="89" t="str">
        <f t="shared" si="94"/>
        <v xml:space="preserve">  1 1900 </v>
      </c>
    </row>
    <row r="1761" spans="1:16">
      <c r="A1761" s="68"/>
      <c r="B1761" s="87"/>
      <c r="C1761" s="88"/>
      <c r="D1761" s="88"/>
      <c r="E1761" s="90"/>
      <c r="F1761" s="84" t="str">
        <f ca="1">IF(D1761="Income",LOOKUP(E1761,Introduction!$A$11:$A$18,Introduction!$C$11:$C$18),IF(D1761="Expense",LOOKUP(E1761,Introduction!$D$11:$D$30,Introduction!$F$11:$F$30),"_"))</f>
        <v>_</v>
      </c>
      <c r="G1761" s="88"/>
      <c r="H1761" s="92"/>
      <c r="I1761" s="85">
        <f t="shared" si="95"/>
        <v>0</v>
      </c>
      <c r="J1761" s="93"/>
      <c r="K1761" s="85">
        <f t="shared" si="96"/>
        <v>0</v>
      </c>
      <c r="L1761" s="68"/>
      <c r="M1761" s="68"/>
      <c r="P1761" s="89" t="str">
        <f t="shared" si="94"/>
        <v xml:space="preserve">  1 1900 </v>
      </c>
    </row>
    <row r="1762" spans="1:16">
      <c r="A1762" s="68"/>
      <c r="B1762" s="87"/>
      <c r="C1762" s="88"/>
      <c r="D1762" s="88"/>
      <c r="E1762" s="90"/>
      <c r="F1762" s="84" t="str">
        <f ca="1">IF(D1762="Income",LOOKUP(E1762,Introduction!$A$11:$A$18,Introduction!$C$11:$C$18),IF(D1762="Expense",LOOKUP(E1762,Introduction!$D$11:$D$30,Introduction!$F$11:$F$30),"_"))</f>
        <v>_</v>
      </c>
      <c r="G1762" s="88"/>
      <c r="H1762" s="92"/>
      <c r="I1762" s="85">
        <f t="shared" si="95"/>
        <v>0</v>
      </c>
      <c r="J1762" s="93"/>
      <c r="K1762" s="85">
        <f t="shared" si="96"/>
        <v>0</v>
      </c>
      <c r="L1762" s="68"/>
      <c r="M1762" s="68"/>
      <c r="P1762" s="89" t="str">
        <f t="shared" si="94"/>
        <v xml:space="preserve">  1 1900 </v>
      </c>
    </row>
    <row r="1763" spans="1:16">
      <c r="A1763" s="68"/>
      <c r="B1763" s="87"/>
      <c r="C1763" s="88"/>
      <c r="D1763" s="88"/>
      <c r="E1763" s="90"/>
      <c r="F1763" s="84" t="str">
        <f ca="1">IF(D1763="Income",LOOKUP(E1763,Introduction!$A$11:$A$18,Introduction!$C$11:$C$18),IF(D1763="Expense",LOOKUP(E1763,Introduction!$D$11:$D$30,Introduction!$F$11:$F$30),"_"))</f>
        <v>_</v>
      </c>
      <c r="G1763" s="88"/>
      <c r="H1763" s="92"/>
      <c r="I1763" s="85">
        <f t="shared" si="95"/>
        <v>0</v>
      </c>
      <c r="J1763" s="93"/>
      <c r="K1763" s="85">
        <f t="shared" si="96"/>
        <v>0</v>
      </c>
      <c r="L1763" s="68"/>
      <c r="M1763" s="68"/>
      <c r="P1763" s="89" t="str">
        <f t="shared" si="94"/>
        <v xml:space="preserve">  1 1900 </v>
      </c>
    </row>
    <row r="1764" spans="1:16">
      <c r="A1764" s="68"/>
      <c r="B1764" s="87"/>
      <c r="C1764" s="88"/>
      <c r="D1764" s="88"/>
      <c r="E1764" s="90"/>
      <c r="F1764" s="84" t="str">
        <f ca="1">IF(D1764="Income",LOOKUP(E1764,Introduction!$A$11:$A$18,Introduction!$C$11:$C$18),IF(D1764="Expense",LOOKUP(E1764,Introduction!$D$11:$D$30,Introduction!$F$11:$F$30),"_"))</f>
        <v>_</v>
      </c>
      <c r="G1764" s="88"/>
      <c r="H1764" s="92"/>
      <c r="I1764" s="85">
        <f t="shared" si="95"/>
        <v>0</v>
      </c>
      <c r="J1764" s="93"/>
      <c r="K1764" s="85">
        <f t="shared" si="96"/>
        <v>0</v>
      </c>
      <c r="L1764" s="68"/>
      <c r="M1764" s="68"/>
      <c r="P1764" s="89" t="str">
        <f t="shared" si="94"/>
        <v xml:space="preserve">  1 1900 </v>
      </c>
    </row>
    <row r="1765" spans="1:16">
      <c r="A1765" s="68"/>
      <c r="B1765" s="87"/>
      <c r="C1765" s="88"/>
      <c r="D1765" s="88"/>
      <c r="E1765" s="90"/>
      <c r="F1765" s="84" t="str">
        <f ca="1">IF(D1765="Income",LOOKUP(E1765,Introduction!$A$11:$A$18,Introduction!$C$11:$C$18),IF(D1765="Expense",LOOKUP(E1765,Introduction!$D$11:$D$30,Introduction!$F$11:$F$30),"_"))</f>
        <v>_</v>
      </c>
      <c r="G1765" s="88"/>
      <c r="H1765" s="92"/>
      <c r="I1765" s="85">
        <f t="shared" si="95"/>
        <v>0</v>
      </c>
      <c r="J1765" s="93"/>
      <c r="K1765" s="85">
        <f t="shared" si="96"/>
        <v>0</v>
      </c>
      <c r="L1765" s="68"/>
      <c r="M1765" s="68"/>
      <c r="P1765" s="89" t="str">
        <f t="shared" si="94"/>
        <v xml:space="preserve">  1 1900 </v>
      </c>
    </row>
    <row r="1766" spans="1:16">
      <c r="A1766" s="68"/>
      <c r="B1766" s="87"/>
      <c r="C1766" s="88"/>
      <c r="D1766" s="88"/>
      <c r="E1766" s="90"/>
      <c r="F1766" s="84" t="str">
        <f ca="1">IF(D1766="Income",LOOKUP(E1766,Introduction!$A$11:$A$18,Introduction!$C$11:$C$18),IF(D1766="Expense",LOOKUP(E1766,Introduction!$D$11:$D$30,Introduction!$F$11:$F$30),"_"))</f>
        <v>_</v>
      </c>
      <c r="G1766" s="88"/>
      <c r="H1766" s="92"/>
      <c r="I1766" s="85">
        <f t="shared" si="95"/>
        <v>0</v>
      </c>
      <c r="J1766" s="93"/>
      <c r="K1766" s="85">
        <f t="shared" si="96"/>
        <v>0</v>
      </c>
      <c r="L1766" s="68"/>
      <c r="M1766" s="68"/>
      <c r="P1766" s="89" t="str">
        <f t="shared" si="94"/>
        <v xml:space="preserve">  1 1900 </v>
      </c>
    </row>
    <row r="1767" spans="1:16">
      <c r="A1767" s="68"/>
      <c r="B1767" s="87"/>
      <c r="C1767" s="88"/>
      <c r="D1767" s="88"/>
      <c r="E1767" s="90"/>
      <c r="F1767" s="84" t="str">
        <f ca="1">IF(D1767="Income",LOOKUP(E1767,Introduction!$A$11:$A$18,Introduction!$C$11:$C$18),IF(D1767="Expense",LOOKUP(E1767,Introduction!$D$11:$D$30,Introduction!$F$11:$F$30),"_"))</f>
        <v>_</v>
      </c>
      <c r="G1767" s="88"/>
      <c r="H1767" s="92"/>
      <c r="I1767" s="85">
        <f t="shared" si="95"/>
        <v>0</v>
      </c>
      <c r="J1767" s="93"/>
      <c r="K1767" s="85">
        <f t="shared" si="96"/>
        <v>0</v>
      </c>
      <c r="L1767" s="68"/>
      <c r="M1767" s="68"/>
      <c r="P1767" s="89" t="str">
        <f t="shared" si="94"/>
        <v xml:space="preserve">  1 1900 </v>
      </c>
    </row>
    <row r="1768" spans="1:16">
      <c r="A1768" s="68"/>
      <c r="B1768" s="87"/>
      <c r="C1768" s="88"/>
      <c r="D1768" s="88"/>
      <c r="E1768" s="90"/>
      <c r="F1768" s="84" t="str">
        <f ca="1">IF(D1768="Income",LOOKUP(E1768,Introduction!$A$11:$A$18,Introduction!$C$11:$C$18),IF(D1768="Expense",LOOKUP(E1768,Introduction!$D$11:$D$30,Introduction!$F$11:$F$30),"_"))</f>
        <v>_</v>
      </c>
      <c r="G1768" s="88"/>
      <c r="H1768" s="92"/>
      <c r="I1768" s="85">
        <f t="shared" si="95"/>
        <v>0</v>
      </c>
      <c r="J1768" s="93"/>
      <c r="K1768" s="85">
        <f t="shared" si="96"/>
        <v>0</v>
      </c>
      <c r="L1768" s="68"/>
      <c r="M1768" s="68"/>
      <c r="P1768" s="89" t="str">
        <f t="shared" si="94"/>
        <v xml:space="preserve">  1 1900 </v>
      </c>
    </row>
    <row r="1769" spans="1:16">
      <c r="A1769" s="68"/>
      <c r="B1769" s="87"/>
      <c r="C1769" s="88"/>
      <c r="D1769" s="88"/>
      <c r="E1769" s="90"/>
      <c r="F1769" s="84" t="str">
        <f ca="1">IF(D1769="Income",LOOKUP(E1769,Introduction!$A$11:$A$18,Introduction!$C$11:$C$18),IF(D1769="Expense",LOOKUP(E1769,Introduction!$D$11:$D$30,Introduction!$F$11:$F$30),"_"))</f>
        <v>_</v>
      </c>
      <c r="G1769" s="88"/>
      <c r="H1769" s="92"/>
      <c r="I1769" s="85">
        <f t="shared" si="95"/>
        <v>0</v>
      </c>
      <c r="J1769" s="93"/>
      <c r="K1769" s="85">
        <f t="shared" si="96"/>
        <v>0</v>
      </c>
      <c r="L1769" s="68"/>
      <c r="M1769" s="68"/>
      <c r="P1769" s="89" t="str">
        <f t="shared" si="94"/>
        <v xml:space="preserve">  1 1900 </v>
      </c>
    </row>
    <row r="1770" spans="1:16">
      <c r="A1770" s="68"/>
      <c r="B1770" s="87"/>
      <c r="C1770" s="88"/>
      <c r="D1770" s="88"/>
      <c r="E1770" s="90"/>
      <c r="F1770" s="84" t="str">
        <f ca="1">IF(D1770="Income",LOOKUP(E1770,Introduction!$A$11:$A$18,Introduction!$C$11:$C$18),IF(D1770="Expense",LOOKUP(E1770,Introduction!$D$11:$D$30,Introduction!$F$11:$F$30),"_"))</f>
        <v>_</v>
      </c>
      <c r="G1770" s="88"/>
      <c r="H1770" s="92"/>
      <c r="I1770" s="85">
        <f t="shared" si="95"/>
        <v>0</v>
      </c>
      <c r="J1770" s="93"/>
      <c r="K1770" s="85">
        <f t="shared" si="96"/>
        <v>0</v>
      </c>
      <c r="L1770" s="68"/>
      <c r="M1770" s="68"/>
      <c r="P1770" s="89" t="str">
        <f t="shared" si="94"/>
        <v xml:space="preserve">  1 1900 </v>
      </c>
    </row>
    <row r="1771" spans="1:16">
      <c r="A1771" s="68"/>
      <c r="B1771" s="87"/>
      <c r="C1771" s="88"/>
      <c r="D1771" s="88"/>
      <c r="E1771" s="90"/>
      <c r="F1771" s="84" t="str">
        <f ca="1">IF(D1771="Income",LOOKUP(E1771,Introduction!$A$11:$A$18,Introduction!$C$11:$C$18),IF(D1771="Expense",LOOKUP(E1771,Introduction!$D$11:$D$30,Introduction!$F$11:$F$30),"_"))</f>
        <v>_</v>
      </c>
      <c r="G1771" s="88"/>
      <c r="H1771" s="92"/>
      <c r="I1771" s="85">
        <f t="shared" si="95"/>
        <v>0</v>
      </c>
      <c r="J1771" s="93"/>
      <c r="K1771" s="85">
        <f t="shared" si="96"/>
        <v>0</v>
      </c>
      <c r="L1771" s="68"/>
      <c r="M1771" s="68"/>
      <c r="P1771" s="89" t="str">
        <f t="shared" si="94"/>
        <v xml:space="preserve">  1 1900 </v>
      </c>
    </row>
    <row r="1772" spans="1:16">
      <c r="A1772" s="68"/>
      <c r="B1772" s="87"/>
      <c r="C1772" s="88"/>
      <c r="D1772" s="88"/>
      <c r="E1772" s="90"/>
      <c r="F1772" s="84" t="str">
        <f ca="1">IF(D1772="Income",LOOKUP(E1772,Introduction!$A$11:$A$18,Introduction!$C$11:$C$18),IF(D1772="Expense",LOOKUP(E1772,Introduction!$D$11:$D$30,Introduction!$F$11:$F$30),"_"))</f>
        <v>_</v>
      </c>
      <c r="G1772" s="88"/>
      <c r="H1772" s="92"/>
      <c r="I1772" s="85">
        <f t="shared" si="95"/>
        <v>0</v>
      </c>
      <c r="J1772" s="93"/>
      <c r="K1772" s="85">
        <f t="shared" si="96"/>
        <v>0</v>
      </c>
      <c r="L1772" s="68"/>
      <c r="M1772" s="68"/>
      <c r="P1772" s="89" t="str">
        <f t="shared" si="94"/>
        <v xml:space="preserve">  1 1900 </v>
      </c>
    </row>
    <row r="1773" spans="1:16">
      <c r="A1773" s="68"/>
      <c r="B1773" s="87"/>
      <c r="C1773" s="88"/>
      <c r="D1773" s="88"/>
      <c r="E1773" s="90"/>
      <c r="F1773" s="84" t="str">
        <f ca="1">IF(D1773="Income",LOOKUP(E1773,Introduction!$A$11:$A$18,Introduction!$C$11:$C$18),IF(D1773="Expense",LOOKUP(E1773,Introduction!$D$11:$D$30,Introduction!$F$11:$F$30),"_"))</f>
        <v>_</v>
      </c>
      <c r="G1773" s="88"/>
      <c r="H1773" s="92"/>
      <c r="I1773" s="85">
        <f t="shared" si="95"/>
        <v>0</v>
      </c>
      <c r="J1773" s="93"/>
      <c r="K1773" s="85">
        <f t="shared" si="96"/>
        <v>0</v>
      </c>
      <c r="L1773" s="68"/>
      <c r="M1773" s="68"/>
      <c r="P1773" s="89" t="str">
        <f t="shared" si="94"/>
        <v xml:space="preserve">  1 1900 </v>
      </c>
    </row>
    <row r="1774" spans="1:16">
      <c r="A1774" s="68"/>
      <c r="B1774" s="87"/>
      <c r="C1774" s="88"/>
      <c r="D1774" s="88"/>
      <c r="E1774" s="90"/>
      <c r="F1774" s="84" t="str">
        <f ca="1">IF(D1774="Income",LOOKUP(E1774,Introduction!$A$11:$A$18,Introduction!$C$11:$C$18),IF(D1774="Expense",LOOKUP(E1774,Introduction!$D$11:$D$30,Introduction!$F$11:$F$30),"_"))</f>
        <v>_</v>
      </c>
      <c r="G1774" s="88"/>
      <c r="H1774" s="92"/>
      <c r="I1774" s="85">
        <f t="shared" si="95"/>
        <v>0</v>
      </c>
      <c r="J1774" s="93"/>
      <c r="K1774" s="85">
        <f t="shared" si="96"/>
        <v>0</v>
      </c>
      <c r="L1774" s="68"/>
      <c r="M1774" s="68"/>
      <c r="P1774" s="89" t="str">
        <f t="shared" si="94"/>
        <v xml:space="preserve">  1 1900 </v>
      </c>
    </row>
    <row r="1775" spans="1:16">
      <c r="A1775" s="68"/>
      <c r="B1775" s="87"/>
      <c r="C1775" s="88"/>
      <c r="D1775" s="88"/>
      <c r="E1775" s="90"/>
      <c r="F1775" s="84" t="str">
        <f ca="1">IF(D1775="Income",LOOKUP(E1775,Introduction!$A$11:$A$18,Introduction!$C$11:$C$18),IF(D1775="Expense",LOOKUP(E1775,Introduction!$D$11:$D$30,Introduction!$F$11:$F$30),"_"))</f>
        <v>_</v>
      </c>
      <c r="G1775" s="88"/>
      <c r="H1775" s="92"/>
      <c r="I1775" s="85">
        <f t="shared" si="95"/>
        <v>0</v>
      </c>
      <c r="J1775" s="93"/>
      <c r="K1775" s="85">
        <f t="shared" si="96"/>
        <v>0</v>
      </c>
      <c r="L1775" s="68"/>
      <c r="M1775" s="68"/>
      <c r="P1775" s="89" t="str">
        <f t="shared" si="94"/>
        <v xml:space="preserve">  1 1900 </v>
      </c>
    </row>
    <row r="1776" spans="1:16">
      <c r="A1776" s="68"/>
      <c r="B1776" s="87"/>
      <c r="C1776" s="88"/>
      <c r="D1776" s="88"/>
      <c r="E1776" s="90"/>
      <c r="F1776" s="84" t="str">
        <f ca="1">IF(D1776="Income",LOOKUP(E1776,Introduction!$A$11:$A$18,Introduction!$C$11:$C$18),IF(D1776="Expense",LOOKUP(E1776,Introduction!$D$11:$D$30,Introduction!$F$11:$F$30),"_"))</f>
        <v>_</v>
      </c>
      <c r="G1776" s="88"/>
      <c r="H1776" s="92"/>
      <c r="I1776" s="85">
        <f t="shared" si="95"/>
        <v>0</v>
      </c>
      <c r="J1776" s="93"/>
      <c r="K1776" s="85">
        <f t="shared" si="96"/>
        <v>0</v>
      </c>
      <c r="L1776" s="68"/>
      <c r="M1776" s="68"/>
      <c r="P1776" s="89" t="str">
        <f t="shared" si="94"/>
        <v xml:space="preserve">  1 1900 </v>
      </c>
    </row>
    <row r="1777" spans="1:16">
      <c r="A1777" s="68"/>
      <c r="B1777" s="87"/>
      <c r="C1777" s="88"/>
      <c r="D1777" s="88"/>
      <c r="E1777" s="90"/>
      <c r="F1777" s="84" t="str">
        <f ca="1">IF(D1777="Income",LOOKUP(E1777,Introduction!$A$11:$A$18,Introduction!$C$11:$C$18),IF(D1777="Expense",LOOKUP(E1777,Introduction!$D$11:$D$30,Introduction!$F$11:$F$30),"_"))</f>
        <v>_</v>
      </c>
      <c r="G1777" s="88"/>
      <c r="H1777" s="92"/>
      <c r="I1777" s="85">
        <f t="shared" si="95"/>
        <v>0</v>
      </c>
      <c r="J1777" s="93"/>
      <c r="K1777" s="85">
        <f t="shared" si="96"/>
        <v>0</v>
      </c>
      <c r="L1777" s="68"/>
      <c r="M1777" s="68"/>
      <c r="P1777" s="89" t="str">
        <f t="shared" si="94"/>
        <v xml:space="preserve">  1 1900 </v>
      </c>
    </row>
    <row r="1778" spans="1:16">
      <c r="A1778" s="68"/>
      <c r="B1778" s="87"/>
      <c r="C1778" s="88"/>
      <c r="D1778" s="88"/>
      <c r="E1778" s="90"/>
      <c r="F1778" s="84" t="str">
        <f ca="1">IF(D1778="Income",LOOKUP(E1778,Introduction!$A$11:$A$18,Introduction!$C$11:$C$18),IF(D1778="Expense",LOOKUP(E1778,Introduction!$D$11:$D$30,Introduction!$F$11:$F$30),"_"))</f>
        <v>_</v>
      </c>
      <c r="G1778" s="88"/>
      <c r="H1778" s="92"/>
      <c r="I1778" s="85">
        <f t="shared" si="95"/>
        <v>0</v>
      </c>
      <c r="J1778" s="93"/>
      <c r="K1778" s="85">
        <f t="shared" si="96"/>
        <v>0</v>
      </c>
      <c r="L1778" s="68"/>
      <c r="M1778" s="68"/>
      <c r="P1778" s="89" t="str">
        <f t="shared" si="94"/>
        <v xml:space="preserve">  1 1900 </v>
      </c>
    </row>
    <row r="1779" spans="1:16">
      <c r="A1779" s="68"/>
      <c r="B1779" s="87"/>
      <c r="C1779" s="88"/>
      <c r="D1779" s="88"/>
      <c r="E1779" s="90"/>
      <c r="F1779" s="84" t="str">
        <f ca="1">IF(D1779="Income",LOOKUP(E1779,Introduction!$A$11:$A$18,Introduction!$C$11:$C$18),IF(D1779="Expense",LOOKUP(E1779,Introduction!$D$11:$D$30,Introduction!$F$11:$F$30),"_"))</f>
        <v>_</v>
      </c>
      <c r="G1779" s="88"/>
      <c r="H1779" s="92"/>
      <c r="I1779" s="85">
        <f t="shared" si="95"/>
        <v>0</v>
      </c>
      <c r="J1779" s="93"/>
      <c r="K1779" s="85">
        <f t="shared" si="96"/>
        <v>0</v>
      </c>
      <c r="L1779" s="68"/>
      <c r="M1779" s="68"/>
      <c r="P1779" s="89" t="str">
        <f t="shared" si="94"/>
        <v xml:space="preserve">  1 1900 </v>
      </c>
    </row>
    <row r="1780" spans="1:16">
      <c r="A1780" s="68"/>
      <c r="B1780" s="87"/>
      <c r="C1780" s="88"/>
      <c r="D1780" s="88"/>
      <c r="E1780" s="90"/>
      <c r="F1780" s="84" t="str">
        <f ca="1">IF(D1780="Income",LOOKUP(E1780,Introduction!$A$11:$A$18,Introduction!$C$11:$C$18),IF(D1780="Expense",LOOKUP(E1780,Introduction!$D$11:$D$30,Introduction!$F$11:$F$30),"_"))</f>
        <v>_</v>
      </c>
      <c r="G1780" s="88"/>
      <c r="H1780" s="92"/>
      <c r="I1780" s="85">
        <f t="shared" si="95"/>
        <v>0</v>
      </c>
      <c r="J1780" s="93"/>
      <c r="K1780" s="85">
        <f t="shared" si="96"/>
        <v>0</v>
      </c>
      <c r="L1780" s="68"/>
      <c r="M1780" s="68"/>
      <c r="P1780" s="89" t="str">
        <f t="shared" si="94"/>
        <v xml:space="preserve">  1 1900 </v>
      </c>
    </row>
    <row r="1781" spans="1:16">
      <c r="A1781" s="68"/>
      <c r="B1781" s="87"/>
      <c r="C1781" s="88"/>
      <c r="D1781" s="88"/>
      <c r="E1781" s="90"/>
      <c r="F1781" s="84" t="str">
        <f ca="1">IF(D1781="Income",LOOKUP(E1781,Introduction!$A$11:$A$18,Introduction!$C$11:$C$18),IF(D1781="Expense",LOOKUP(E1781,Introduction!$D$11:$D$30,Introduction!$F$11:$F$30),"_"))</f>
        <v>_</v>
      </c>
      <c r="G1781" s="88"/>
      <c r="H1781" s="92"/>
      <c r="I1781" s="85">
        <f t="shared" si="95"/>
        <v>0</v>
      </c>
      <c r="J1781" s="93"/>
      <c r="K1781" s="85">
        <f t="shared" si="96"/>
        <v>0</v>
      </c>
      <c r="L1781" s="68"/>
      <c r="M1781" s="68"/>
      <c r="P1781" s="89" t="str">
        <f t="shared" si="94"/>
        <v xml:space="preserve">  1 1900 </v>
      </c>
    </row>
    <row r="1782" spans="1:16">
      <c r="A1782" s="68"/>
      <c r="B1782" s="87"/>
      <c r="C1782" s="88"/>
      <c r="D1782" s="88"/>
      <c r="E1782" s="90"/>
      <c r="F1782" s="84" t="str">
        <f ca="1">IF(D1782="Income",LOOKUP(E1782,Introduction!$A$11:$A$18,Introduction!$C$11:$C$18),IF(D1782="Expense",LOOKUP(E1782,Introduction!$D$11:$D$30,Introduction!$F$11:$F$30),"_"))</f>
        <v>_</v>
      </c>
      <c r="G1782" s="88"/>
      <c r="H1782" s="92"/>
      <c r="I1782" s="85">
        <f t="shared" si="95"/>
        <v>0</v>
      </c>
      <c r="J1782" s="93"/>
      <c r="K1782" s="85">
        <f t="shared" si="96"/>
        <v>0</v>
      </c>
      <c r="L1782" s="68"/>
      <c r="M1782" s="68"/>
      <c r="P1782" s="89" t="str">
        <f t="shared" si="94"/>
        <v xml:space="preserve">  1 1900 </v>
      </c>
    </row>
    <row r="1783" spans="1:16">
      <c r="A1783" s="68"/>
      <c r="B1783" s="87"/>
      <c r="C1783" s="88"/>
      <c r="D1783" s="88"/>
      <c r="E1783" s="90"/>
      <c r="F1783" s="84" t="str">
        <f ca="1">IF(D1783="Income",LOOKUP(E1783,Introduction!$A$11:$A$18,Introduction!$C$11:$C$18),IF(D1783="Expense",LOOKUP(E1783,Introduction!$D$11:$D$30,Introduction!$F$11:$F$30),"_"))</f>
        <v>_</v>
      </c>
      <c r="G1783" s="88"/>
      <c r="H1783" s="92"/>
      <c r="I1783" s="85">
        <f t="shared" si="95"/>
        <v>0</v>
      </c>
      <c r="J1783" s="93"/>
      <c r="K1783" s="85">
        <f t="shared" si="96"/>
        <v>0</v>
      </c>
      <c r="L1783" s="68"/>
      <c r="M1783" s="68"/>
      <c r="P1783" s="89" t="str">
        <f t="shared" si="94"/>
        <v xml:space="preserve">  1 1900 </v>
      </c>
    </row>
    <row r="1784" spans="1:16">
      <c r="A1784" s="68"/>
      <c r="B1784" s="87"/>
      <c r="C1784" s="88"/>
      <c r="D1784" s="88"/>
      <c r="E1784" s="90"/>
      <c r="F1784" s="84" t="str">
        <f ca="1">IF(D1784="Income",LOOKUP(E1784,Introduction!$A$11:$A$18,Introduction!$C$11:$C$18),IF(D1784="Expense",LOOKUP(E1784,Introduction!$D$11:$D$30,Introduction!$F$11:$F$30),"_"))</f>
        <v>_</v>
      </c>
      <c r="G1784" s="88"/>
      <c r="H1784" s="92"/>
      <c r="I1784" s="85">
        <f t="shared" si="95"/>
        <v>0</v>
      </c>
      <c r="J1784" s="93"/>
      <c r="K1784" s="85">
        <f t="shared" si="96"/>
        <v>0</v>
      </c>
      <c r="L1784" s="68"/>
      <c r="M1784" s="68"/>
      <c r="P1784" s="89" t="str">
        <f t="shared" si="94"/>
        <v xml:space="preserve">  1 1900 </v>
      </c>
    </row>
    <row r="1785" spans="1:16">
      <c r="A1785" s="68"/>
      <c r="B1785" s="87"/>
      <c r="C1785" s="88"/>
      <c r="D1785" s="88"/>
      <c r="E1785" s="90"/>
      <c r="F1785" s="84" t="str">
        <f ca="1">IF(D1785="Income",LOOKUP(E1785,Introduction!$A$11:$A$18,Introduction!$C$11:$C$18),IF(D1785="Expense",LOOKUP(E1785,Introduction!$D$11:$D$30,Introduction!$F$11:$F$30),"_"))</f>
        <v>_</v>
      </c>
      <c r="G1785" s="88"/>
      <c r="H1785" s="92"/>
      <c r="I1785" s="85">
        <f t="shared" si="95"/>
        <v>0</v>
      </c>
      <c r="J1785" s="93"/>
      <c r="K1785" s="85">
        <f t="shared" si="96"/>
        <v>0</v>
      </c>
      <c r="L1785" s="68"/>
      <c r="M1785" s="68"/>
      <c r="P1785" s="89" t="str">
        <f t="shared" si="94"/>
        <v xml:space="preserve">  1 1900 </v>
      </c>
    </row>
    <row r="1786" spans="1:16">
      <c r="A1786" s="68"/>
      <c r="B1786" s="87"/>
      <c r="C1786" s="88"/>
      <c r="D1786" s="88"/>
      <c r="E1786" s="90"/>
      <c r="F1786" s="84" t="str">
        <f ca="1">IF(D1786="Income",LOOKUP(E1786,Introduction!$A$11:$A$18,Introduction!$C$11:$C$18),IF(D1786="Expense",LOOKUP(E1786,Introduction!$D$11:$D$30,Introduction!$F$11:$F$30),"_"))</f>
        <v>_</v>
      </c>
      <c r="G1786" s="88"/>
      <c r="H1786" s="92"/>
      <c r="I1786" s="85">
        <f t="shared" si="95"/>
        <v>0</v>
      </c>
      <c r="J1786" s="93"/>
      <c r="K1786" s="85">
        <f t="shared" si="96"/>
        <v>0</v>
      </c>
      <c r="L1786" s="68"/>
      <c r="M1786" s="68"/>
      <c r="P1786" s="89" t="str">
        <f t="shared" si="94"/>
        <v xml:space="preserve">  1 1900 </v>
      </c>
    </row>
    <row r="1787" spans="1:16">
      <c r="A1787" s="68"/>
      <c r="B1787" s="87"/>
      <c r="C1787" s="88"/>
      <c r="D1787" s="88"/>
      <c r="E1787" s="90"/>
      <c r="F1787" s="84" t="str">
        <f ca="1">IF(D1787="Income",LOOKUP(E1787,Introduction!$A$11:$A$18,Introduction!$C$11:$C$18),IF(D1787="Expense",LOOKUP(E1787,Introduction!$D$11:$D$30,Introduction!$F$11:$F$30),"_"))</f>
        <v>_</v>
      </c>
      <c r="G1787" s="88"/>
      <c r="H1787" s="92"/>
      <c r="I1787" s="85">
        <f t="shared" si="95"/>
        <v>0</v>
      </c>
      <c r="J1787" s="93"/>
      <c r="K1787" s="85">
        <f t="shared" si="96"/>
        <v>0</v>
      </c>
      <c r="L1787" s="68"/>
      <c r="M1787" s="68"/>
      <c r="P1787" s="89" t="str">
        <f t="shared" si="94"/>
        <v xml:space="preserve">  1 1900 </v>
      </c>
    </row>
    <row r="1788" spans="1:16">
      <c r="A1788" s="68"/>
      <c r="B1788" s="87"/>
      <c r="C1788" s="88"/>
      <c r="D1788" s="88"/>
      <c r="E1788" s="90"/>
      <c r="F1788" s="84" t="str">
        <f ca="1">IF(D1788="Income",LOOKUP(E1788,Introduction!$A$11:$A$18,Introduction!$C$11:$C$18),IF(D1788="Expense",LOOKUP(E1788,Introduction!$D$11:$D$30,Introduction!$F$11:$F$30),"_"))</f>
        <v>_</v>
      </c>
      <c r="G1788" s="88"/>
      <c r="H1788" s="92"/>
      <c r="I1788" s="85">
        <f t="shared" si="95"/>
        <v>0</v>
      </c>
      <c r="J1788" s="93"/>
      <c r="K1788" s="85">
        <f t="shared" si="96"/>
        <v>0</v>
      </c>
      <c r="L1788" s="68"/>
      <c r="M1788" s="68"/>
      <c r="P1788" s="89" t="str">
        <f t="shared" si="94"/>
        <v xml:space="preserve">  1 1900 </v>
      </c>
    </row>
    <row r="1789" spans="1:16">
      <c r="A1789" s="68"/>
      <c r="B1789" s="87"/>
      <c r="C1789" s="88"/>
      <c r="D1789" s="88"/>
      <c r="E1789" s="90"/>
      <c r="F1789" s="84" t="str">
        <f ca="1">IF(D1789="Income",LOOKUP(E1789,Introduction!$A$11:$A$18,Introduction!$C$11:$C$18),IF(D1789="Expense",LOOKUP(E1789,Introduction!$D$11:$D$30,Introduction!$F$11:$F$30),"_"))</f>
        <v>_</v>
      </c>
      <c r="G1789" s="88"/>
      <c r="H1789" s="92"/>
      <c r="I1789" s="85">
        <f t="shared" si="95"/>
        <v>0</v>
      </c>
      <c r="J1789" s="93"/>
      <c r="K1789" s="85">
        <f t="shared" si="96"/>
        <v>0</v>
      </c>
      <c r="L1789" s="68"/>
      <c r="M1789" s="68"/>
      <c r="P1789" s="89" t="str">
        <f t="shared" si="94"/>
        <v xml:space="preserve">  1 1900 </v>
      </c>
    </row>
    <row r="1790" spans="1:16">
      <c r="A1790" s="68"/>
      <c r="B1790" s="87"/>
      <c r="C1790" s="88"/>
      <c r="D1790" s="88"/>
      <c r="E1790" s="90"/>
      <c r="F1790" s="84" t="str">
        <f ca="1">IF(D1790="Income",LOOKUP(E1790,Introduction!$A$11:$A$18,Introduction!$C$11:$C$18),IF(D1790="Expense",LOOKUP(E1790,Introduction!$D$11:$D$30,Introduction!$F$11:$F$30),"_"))</f>
        <v>_</v>
      </c>
      <c r="G1790" s="88"/>
      <c r="H1790" s="92"/>
      <c r="I1790" s="85">
        <f t="shared" si="95"/>
        <v>0</v>
      </c>
      <c r="J1790" s="93"/>
      <c r="K1790" s="85">
        <f t="shared" si="96"/>
        <v>0</v>
      </c>
      <c r="L1790" s="68"/>
      <c r="M1790" s="68"/>
      <c r="P1790" s="89" t="str">
        <f t="shared" si="94"/>
        <v xml:space="preserve">  1 1900 </v>
      </c>
    </row>
    <row r="1791" spans="1:16">
      <c r="A1791" s="68"/>
      <c r="B1791" s="87"/>
      <c r="C1791" s="88"/>
      <c r="D1791" s="88"/>
      <c r="E1791" s="90"/>
      <c r="F1791" s="84" t="str">
        <f ca="1">IF(D1791="Income",LOOKUP(E1791,Introduction!$A$11:$A$18,Introduction!$C$11:$C$18),IF(D1791="Expense",LOOKUP(E1791,Introduction!$D$11:$D$30,Introduction!$F$11:$F$30),"_"))</f>
        <v>_</v>
      </c>
      <c r="G1791" s="88"/>
      <c r="H1791" s="92"/>
      <c r="I1791" s="85">
        <f t="shared" si="95"/>
        <v>0</v>
      </c>
      <c r="J1791" s="93"/>
      <c r="K1791" s="85">
        <f t="shared" si="96"/>
        <v>0</v>
      </c>
      <c r="L1791" s="68"/>
      <c r="M1791" s="68"/>
      <c r="P1791" s="89" t="str">
        <f t="shared" si="94"/>
        <v xml:space="preserve">  1 1900 </v>
      </c>
    </row>
    <row r="1792" spans="1:16">
      <c r="A1792" s="68"/>
      <c r="B1792" s="87"/>
      <c r="C1792" s="88"/>
      <c r="D1792" s="88"/>
      <c r="E1792" s="90"/>
      <c r="F1792" s="84" t="str">
        <f ca="1">IF(D1792="Income",LOOKUP(E1792,Introduction!$A$11:$A$18,Introduction!$C$11:$C$18),IF(D1792="Expense",LOOKUP(E1792,Introduction!$D$11:$D$30,Introduction!$F$11:$F$30),"_"))</f>
        <v>_</v>
      </c>
      <c r="G1792" s="88"/>
      <c r="H1792" s="92"/>
      <c r="I1792" s="85">
        <f t="shared" si="95"/>
        <v>0</v>
      </c>
      <c r="J1792" s="93"/>
      <c r="K1792" s="85">
        <f t="shared" si="96"/>
        <v>0</v>
      </c>
      <c r="L1792" s="68"/>
      <c r="M1792" s="68"/>
      <c r="P1792" s="89" t="str">
        <f t="shared" si="94"/>
        <v xml:space="preserve">  1 1900 </v>
      </c>
    </row>
    <row r="1793" spans="1:16">
      <c r="A1793" s="68"/>
      <c r="B1793" s="87"/>
      <c r="C1793" s="88"/>
      <c r="D1793" s="88"/>
      <c r="E1793" s="90"/>
      <c r="F1793" s="84" t="str">
        <f ca="1">IF(D1793="Income",LOOKUP(E1793,Introduction!$A$11:$A$18,Introduction!$C$11:$C$18),IF(D1793="Expense",LOOKUP(E1793,Introduction!$D$11:$D$30,Introduction!$F$11:$F$30),"_"))</f>
        <v>_</v>
      </c>
      <c r="G1793" s="88"/>
      <c r="H1793" s="92"/>
      <c r="I1793" s="85">
        <f t="shared" si="95"/>
        <v>0</v>
      </c>
      <c r="J1793" s="93"/>
      <c r="K1793" s="85">
        <f t="shared" si="96"/>
        <v>0</v>
      </c>
      <c r="L1793" s="68"/>
      <c r="M1793" s="68"/>
      <c r="P1793" s="89" t="str">
        <f t="shared" si="94"/>
        <v xml:space="preserve">  1 1900 </v>
      </c>
    </row>
    <row r="1794" spans="1:16">
      <c r="A1794" s="68"/>
      <c r="B1794" s="87"/>
      <c r="C1794" s="88"/>
      <c r="D1794" s="88"/>
      <c r="E1794" s="90"/>
      <c r="F1794" s="84" t="str">
        <f ca="1">IF(D1794="Income",LOOKUP(E1794,Introduction!$A$11:$A$18,Introduction!$C$11:$C$18),IF(D1794="Expense",LOOKUP(E1794,Introduction!$D$11:$D$30,Introduction!$F$11:$F$30),"_"))</f>
        <v>_</v>
      </c>
      <c r="G1794" s="88"/>
      <c r="H1794" s="92"/>
      <c r="I1794" s="85">
        <f t="shared" si="95"/>
        <v>0</v>
      </c>
      <c r="J1794" s="93"/>
      <c r="K1794" s="85">
        <f t="shared" si="96"/>
        <v>0</v>
      </c>
      <c r="L1794" s="68"/>
      <c r="M1794" s="68"/>
      <c r="P1794" s="89" t="str">
        <f t="shared" si="94"/>
        <v xml:space="preserve">  1 1900 </v>
      </c>
    </row>
    <row r="1795" spans="1:16">
      <c r="A1795" s="68"/>
      <c r="B1795" s="87"/>
      <c r="C1795" s="88"/>
      <c r="D1795" s="88"/>
      <c r="E1795" s="90"/>
      <c r="F1795" s="84" t="str">
        <f ca="1">IF(D1795="Income",LOOKUP(E1795,Introduction!$A$11:$A$18,Introduction!$C$11:$C$18),IF(D1795="Expense",LOOKUP(E1795,Introduction!$D$11:$D$30,Introduction!$F$11:$F$30),"_"))</f>
        <v>_</v>
      </c>
      <c r="G1795" s="88"/>
      <c r="H1795" s="92"/>
      <c r="I1795" s="85">
        <f t="shared" si="95"/>
        <v>0</v>
      </c>
      <c r="J1795" s="93"/>
      <c r="K1795" s="85">
        <f t="shared" si="96"/>
        <v>0</v>
      </c>
      <c r="L1795" s="68"/>
      <c r="M1795" s="68"/>
      <c r="P1795" s="89" t="str">
        <f t="shared" si="94"/>
        <v xml:space="preserve">  1 1900 </v>
      </c>
    </row>
    <row r="1796" spans="1:16">
      <c r="A1796" s="68"/>
      <c r="B1796" s="87"/>
      <c r="C1796" s="88"/>
      <c r="D1796" s="88"/>
      <c r="E1796" s="90"/>
      <c r="F1796" s="84" t="str">
        <f ca="1">IF(D1796="Income",LOOKUP(E1796,Introduction!$A$11:$A$18,Introduction!$C$11:$C$18),IF(D1796="Expense",LOOKUP(E1796,Introduction!$D$11:$D$30,Introduction!$F$11:$F$30),"_"))</f>
        <v>_</v>
      </c>
      <c r="G1796" s="88"/>
      <c r="H1796" s="92"/>
      <c r="I1796" s="85">
        <f t="shared" si="95"/>
        <v>0</v>
      </c>
      <c r="J1796" s="93"/>
      <c r="K1796" s="85">
        <f t="shared" si="96"/>
        <v>0</v>
      </c>
      <c r="L1796" s="68"/>
      <c r="M1796" s="68"/>
      <c r="P1796" s="89" t="str">
        <f t="shared" si="94"/>
        <v xml:space="preserve">  1 1900 </v>
      </c>
    </row>
    <row r="1797" spans="1:16">
      <c r="A1797" s="68"/>
      <c r="B1797" s="87"/>
      <c r="C1797" s="88"/>
      <c r="D1797" s="88"/>
      <c r="E1797" s="90"/>
      <c r="F1797" s="84" t="str">
        <f ca="1">IF(D1797="Income",LOOKUP(E1797,Introduction!$A$11:$A$18,Introduction!$C$11:$C$18),IF(D1797="Expense",LOOKUP(E1797,Introduction!$D$11:$D$30,Introduction!$F$11:$F$30),"_"))</f>
        <v>_</v>
      </c>
      <c r="G1797" s="88"/>
      <c r="H1797" s="92"/>
      <c r="I1797" s="85">
        <f t="shared" si="95"/>
        <v>0</v>
      </c>
      <c r="J1797" s="93"/>
      <c r="K1797" s="85">
        <f t="shared" si="96"/>
        <v>0</v>
      </c>
      <c r="L1797" s="68"/>
      <c r="M1797" s="68"/>
      <c r="P1797" s="89" t="str">
        <f t="shared" si="94"/>
        <v xml:space="preserve">  1 1900 </v>
      </c>
    </row>
    <row r="1798" spans="1:16">
      <c r="A1798" s="68"/>
      <c r="B1798" s="87"/>
      <c r="C1798" s="88"/>
      <c r="D1798" s="88"/>
      <c r="E1798" s="90"/>
      <c r="F1798" s="84" t="str">
        <f ca="1">IF(D1798="Income",LOOKUP(E1798,Introduction!$A$11:$A$18,Introduction!$C$11:$C$18),IF(D1798="Expense",LOOKUP(E1798,Introduction!$D$11:$D$30,Introduction!$F$11:$F$30),"_"))</f>
        <v>_</v>
      </c>
      <c r="G1798" s="88"/>
      <c r="H1798" s="92"/>
      <c r="I1798" s="85">
        <f t="shared" si="95"/>
        <v>0</v>
      </c>
      <c r="J1798" s="93"/>
      <c r="K1798" s="85">
        <f t="shared" si="96"/>
        <v>0</v>
      </c>
      <c r="L1798" s="68"/>
      <c r="M1798" s="68"/>
      <c r="P1798" s="89" t="str">
        <f t="shared" si="94"/>
        <v xml:space="preserve">  1 1900 </v>
      </c>
    </row>
    <row r="1799" spans="1:16">
      <c r="A1799" s="68"/>
      <c r="B1799" s="87"/>
      <c r="C1799" s="88"/>
      <c r="D1799" s="88"/>
      <c r="E1799" s="90"/>
      <c r="F1799" s="84" t="str">
        <f ca="1">IF(D1799="Income",LOOKUP(E1799,Introduction!$A$11:$A$18,Introduction!$C$11:$C$18),IF(D1799="Expense",LOOKUP(E1799,Introduction!$D$11:$D$30,Introduction!$F$11:$F$30),"_"))</f>
        <v>_</v>
      </c>
      <c r="G1799" s="88"/>
      <c r="H1799" s="92"/>
      <c r="I1799" s="85">
        <f t="shared" si="95"/>
        <v>0</v>
      </c>
      <c r="J1799" s="93"/>
      <c r="K1799" s="85">
        <f t="shared" si="96"/>
        <v>0</v>
      </c>
      <c r="L1799" s="68"/>
      <c r="M1799" s="68"/>
      <c r="P1799" s="89" t="str">
        <f t="shared" ref="P1799:P1862" si="97">CONCATENATE(D1799," ",E1799," ",MONTH(C1799)," ",YEAR(C1799)," ")</f>
        <v xml:space="preserve">  1 1900 </v>
      </c>
    </row>
    <row r="1800" spans="1:16">
      <c r="A1800" s="68"/>
      <c r="B1800" s="87"/>
      <c r="C1800" s="88"/>
      <c r="D1800" s="88"/>
      <c r="E1800" s="90"/>
      <c r="F1800" s="84" t="str">
        <f ca="1">IF(D1800="Income",LOOKUP(E1800,Introduction!$A$11:$A$18,Introduction!$C$11:$C$18),IF(D1800="Expense",LOOKUP(E1800,Introduction!$D$11:$D$30,Introduction!$F$11:$F$30),"_"))</f>
        <v>_</v>
      </c>
      <c r="G1800" s="88"/>
      <c r="H1800" s="92"/>
      <c r="I1800" s="85">
        <f t="shared" si="95"/>
        <v>0</v>
      </c>
      <c r="J1800" s="93"/>
      <c r="K1800" s="85">
        <f t="shared" si="96"/>
        <v>0</v>
      </c>
      <c r="L1800" s="68"/>
      <c r="M1800" s="68"/>
      <c r="P1800" s="89" t="str">
        <f t="shared" si="97"/>
        <v xml:space="preserve">  1 1900 </v>
      </c>
    </row>
    <row r="1801" spans="1:16">
      <c r="A1801" s="68"/>
      <c r="B1801" s="87"/>
      <c r="C1801" s="88"/>
      <c r="D1801" s="88"/>
      <c r="E1801" s="90"/>
      <c r="F1801" s="84" t="str">
        <f ca="1">IF(D1801="Income",LOOKUP(E1801,Introduction!$A$11:$A$18,Introduction!$C$11:$C$18),IF(D1801="Expense",LOOKUP(E1801,Introduction!$D$11:$D$30,Introduction!$F$11:$F$30),"_"))</f>
        <v>_</v>
      </c>
      <c r="G1801" s="88"/>
      <c r="H1801" s="92"/>
      <c r="I1801" s="85">
        <f t="shared" si="95"/>
        <v>0</v>
      </c>
      <c r="J1801" s="93"/>
      <c r="K1801" s="85">
        <f t="shared" si="96"/>
        <v>0</v>
      </c>
      <c r="L1801" s="68"/>
      <c r="M1801" s="68"/>
      <c r="P1801" s="89" t="str">
        <f t="shared" si="97"/>
        <v xml:space="preserve">  1 1900 </v>
      </c>
    </row>
    <row r="1802" spans="1:16">
      <c r="A1802" s="68"/>
      <c r="B1802" s="87"/>
      <c r="C1802" s="88"/>
      <c r="D1802" s="88"/>
      <c r="E1802" s="90"/>
      <c r="F1802" s="84" t="str">
        <f ca="1">IF(D1802="Income",LOOKUP(E1802,Introduction!$A$11:$A$18,Introduction!$C$11:$C$18),IF(D1802="Expense",LOOKUP(E1802,Introduction!$D$11:$D$30,Introduction!$F$11:$F$30),"_"))</f>
        <v>_</v>
      </c>
      <c r="G1802" s="88"/>
      <c r="H1802" s="92"/>
      <c r="I1802" s="85">
        <f t="shared" si="95"/>
        <v>0</v>
      </c>
      <c r="J1802" s="93"/>
      <c r="K1802" s="85">
        <f t="shared" si="96"/>
        <v>0</v>
      </c>
      <c r="L1802" s="68"/>
      <c r="M1802" s="68"/>
      <c r="P1802" s="89" t="str">
        <f t="shared" si="97"/>
        <v xml:space="preserve">  1 1900 </v>
      </c>
    </row>
    <row r="1803" spans="1:16">
      <c r="A1803" s="68"/>
      <c r="B1803" s="87"/>
      <c r="C1803" s="88"/>
      <c r="D1803" s="88"/>
      <c r="E1803" s="90"/>
      <c r="F1803" s="84" t="str">
        <f ca="1">IF(D1803="Income",LOOKUP(E1803,Introduction!$A$11:$A$18,Introduction!$C$11:$C$18),IF(D1803="Expense",LOOKUP(E1803,Introduction!$D$11:$D$30,Introduction!$F$11:$F$30),"_"))</f>
        <v>_</v>
      </c>
      <c r="G1803" s="88"/>
      <c r="H1803" s="92"/>
      <c r="I1803" s="85">
        <f t="shared" si="95"/>
        <v>0</v>
      </c>
      <c r="J1803" s="93"/>
      <c r="K1803" s="85">
        <f t="shared" si="96"/>
        <v>0</v>
      </c>
      <c r="L1803" s="68"/>
      <c r="M1803" s="68"/>
      <c r="P1803" s="89" t="str">
        <f t="shared" si="97"/>
        <v xml:space="preserve">  1 1900 </v>
      </c>
    </row>
    <row r="1804" spans="1:16">
      <c r="A1804" s="68"/>
      <c r="B1804" s="87"/>
      <c r="C1804" s="88"/>
      <c r="D1804" s="88"/>
      <c r="E1804" s="90"/>
      <c r="F1804" s="84" t="str">
        <f ca="1">IF(D1804="Income",LOOKUP(E1804,Introduction!$A$11:$A$18,Introduction!$C$11:$C$18),IF(D1804="Expense",LOOKUP(E1804,Introduction!$D$11:$D$30,Introduction!$F$11:$F$30),"_"))</f>
        <v>_</v>
      </c>
      <c r="G1804" s="88"/>
      <c r="H1804" s="92"/>
      <c r="I1804" s="85">
        <f t="shared" si="95"/>
        <v>0</v>
      </c>
      <c r="J1804" s="93"/>
      <c r="K1804" s="85">
        <f t="shared" si="96"/>
        <v>0</v>
      </c>
      <c r="L1804" s="68"/>
      <c r="M1804" s="68"/>
      <c r="P1804" s="89" t="str">
        <f t="shared" si="97"/>
        <v xml:space="preserve">  1 1900 </v>
      </c>
    </row>
    <row r="1805" spans="1:16">
      <c r="A1805" s="68"/>
      <c r="B1805" s="87"/>
      <c r="C1805" s="88"/>
      <c r="D1805" s="88"/>
      <c r="E1805" s="90"/>
      <c r="F1805" s="84" t="str">
        <f ca="1">IF(D1805="Income",LOOKUP(E1805,Introduction!$A$11:$A$18,Introduction!$C$11:$C$18),IF(D1805="Expense",LOOKUP(E1805,Introduction!$D$11:$D$30,Introduction!$F$11:$F$30),"_"))</f>
        <v>_</v>
      </c>
      <c r="G1805" s="88"/>
      <c r="H1805" s="92"/>
      <c r="I1805" s="85">
        <f t="shared" si="95"/>
        <v>0</v>
      </c>
      <c r="J1805" s="93"/>
      <c r="K1805" s="85">
        <f t="shared" si="96"/>
        <v>0</v>
      </c>
      <c r="L1805" s="68"/>
      <c r="M1805" s="68"/>
      <c r="P1805" s="89" t="str">
        <f t="shared" si="97"/>
        <v xml:space="preserve">  1 1900 </v>
      </c>
    </row>
    <row r="1806" spans="1:16">
      <c r="A1806" s="68"/>
      <c r="B1806" s="87"/>
      <c r="C1806" s="88"/>
      <c r="D1806" s="88"/>
      <c r="E1806" s="90"/>
      <c r="F1806" s="84" t="str">
        <f ca="1">IF(D1806="Income",LOOKUP(E1806,Introduction!$A$11:$A$18,Introduction!$C$11:$C$18),IF(D1806="Expense",LOOKUP(E1806,Introduction!$D$11:$D$30,Introduction!$F$11:$F$30),"_"))</f>
        <v>_</v>
      </c>
      <c r="G1806" s="88"/>
      <c r="H1806" s="92"/>
      <c r="I1806" s="85">
        <f t="shared" si="95"/>
        <v>0</v>
      </c>
      <c r="J1806" s="93"/>
      <c r="K1806" s="85">
        <f t="shared" si="96"/>
        <v>0</v>
      </c>
      <c r="L1806" s="68"/>
      <c r="M1806" s="68"/>
      <c r="P1806" s="89" t="str">
        <f t="shared" si="97"/>
        <v xml:space="preserve">  1 1900 </v>
      </c>
    </row>
    <row r="1807" spans="1:16">
      <c r="A1807" s="68"/>
      <c r="B1807" s="87"/>
      <c r="C1807" s="88"/>
      <c r="D1807" s="88"/>
      <c r="E1807" s="90"/>
      <c r="F1807" s="84" t="str">
        <f ca="1">IF(D1807="Income",LOOKUP(E1807,Introduction!$A$11:$A$18,Introduction!$C$11:$C$18),IF(D1807="Expense",LOOKUP(E1807,Introduction!$D$11:$D$30,Introduction!$F$11:$F$30),"_"))</f>
        <v>_</v>
      </c>
      <c r="G1807" s="88"/>
      <c r="H1807" s="92"/>
      <c r="I1807" s="85">
        <f t="shared" si="95"/>
        <v>0</v>
      </c>
      <c r="J1807" s="93"/>
      <c r="K1807" s="85">
        <f t="shared" si="96"/>
        <v>0</v>
      </c>
      <c r="L1807" s="68"/>
      <c r="M1807" s="68"/>
      <c r="P1807" s="89" t="str">
        <f t="shared" si="97"/>
        <v xml:space="preserve">  1 1900 </v>
      </c>
    </row>
    <row r="1808" spans="1:16">
      <c r="A1808" s="68"/>
      <c r="B1808" s="87"/>
      <c r="C1808" s="88"/>
      <c r="D1808" s="88"/>
      <c r="E1808" s="90"/>
      <c r="F1808" s="84" t="str">
        <f ca="1">IF(D1808="Income",LOOKUP(E1808,Introduction!$A$11:$A$18,Introduction!$C$11:$C$18),IF(D1808="Expense",LOOKUP(E1808,Introduction!$D$11:$D$30,Introduction!$F$11:$F$30),"_"))</f>
        <v>_</v>
      </c>
      <c r="G1808" s="88"/>
      <c r="H1808" s="92"/>
      <c r="I1808" s="85">
        <f t="shared" si="95"/>
        <v>0</v>
      </c>
      <c r="J1808" s="93"/>
      <c r="K1808" s="85">
        <f t="shared" si="96"/>
        <v>0</v>
      </c>
      <c r="L1808" s="68"/>
      <c r="M1808" s="68"/>
      <c r="P1808" s="89" t="str">
        <f t="shared" si="97"/>
        <v xml:space="preserve">  1 1900 </v>
      </c>
    </row>
    <row r="1809" spans="1:16">
      <c r="A1809" s="68"/>
      <c r="B1809" s="87"/>
      <c r="C1809" s="88"/>
      <c r="D1809" s="88"/>
      <c r="E1809" s="90"/>
      <c r="F1809" s="84" t="str">
        <f ca="1">IF(D1809="Income",LOOKUP(E1809,Introduction!$A$11:$A$18,Introduction!$C$11:$C$18),IF(D1809="Expense",LOOKUP(E1809,Introduction!$D$11:$D$30,Introduction!$F$11:$F$30),"_"))</f>
        <v>_</v>
      </c>
      <c r="G1809" s="88"/>
      <c r="H1809" s="92"/>
      <c r="I1809" s="85">
        <f t="shared" ref="I1809:I1872" si="98">+I1808+H1809</f>
        <v>0</v>
      </c>
      <c r="J1809" s="93"/>
      <c r="K1809" s="85">
        <f t="shared" ref="K1809:K1872" si="99">IF(J1809=1,K1808+H1809,++K1808)</f>
        <v>0</v>
      </c>
      <c r="L1809" s="68"/>
      <c r="M1809" s="68"/>
      <c r="P1809" s="89" t="str">
        <f t="shared" si="97"/>
        <v xml:space="preserve">  1 1900 </v>
      </c>
    </row>
    <row r="1810" spans="1:16">
      <c r="A1810" s="68"/>
      <c r="B1810" s="87"/>
      <c r="C1810" s="88"/>
      <c r="D1810" s="88"/>
      <c r="E1810" s="90"/>
      <c r="F1810" s="84" t="str">
        <f ca="1">IF(D1810="Income",LOOKUP(E1810,Introduction!$A$11:$A$18,Introduction!$C$11:$C$18),IF(D1810="Expense",LOOKUP(E1810,Introduction!$D$11:$D$30,Introduction!$F$11:$F$30),"_"))</f>
        <v>_</v>
      </c>
      <c r="G1810" s="88"/>
      <c r="H1810" s="92"/>
      <c r="I1810" s="85">
        <f t="shared" si="98"/>
        <v>0</v>
      </c>
      <c r="J1810" s="93"/>
      <c r="K1810" s="85">
        <f t="shared" si="99"/>
        <v>0</v>
      </c>
      <c r="L1810" s="68"/>
      <c r="M1810" s="68"/>
      <c r="P1810" s="89" t="str">
        <f t="shared" si="97"/>
        <v xml:space="preserve">  1 1900 </v>
      </c>
    </row>
    <row r="1811" spans="1:16">
      <c r="A1811" s="68"/>
      <c r="B1811" s="87"/>
      <c r="C1811" s="88"/>
      <c r="D1811" s="88"/>
      <c r="E1811" s="90"/>
      <c r="F1811" s="84" t="str">
        <f ca="1">IF(D1811="Income",LOOKUP(E1811,Introduction!$A$11:$A$18,Introduction!$C$11:$C$18),IF(D1811="Expense",LOOKUP(E1811,Introduction!$D$11:$D$30,Introduction!$F$11:$F$30),"_"))</f>
        <v>_</v>
      </c>
      <c r="G1811" s="88"/>
      <c r="H1811" s="92"/>
      <c r="I1811" s="85">
        <f t="shared" si="98"/>
        <v>0</v>
      </c>
      <c r="J1811" s="93"/>
      <c r="K1811" s="85">
        <f t="shared" si="99"/>
        <v>0</v>
      </c>
      <c r="L1811" s="68"/>
      <c r="M1811" s="68"/>
      <c r="P1811" s="89" t="str">
        <f t="shared" si="97"/>
        <v xml:space="preserve">  1 1900 </v>
      </c>
    </row>
    <row r="1812" spans="1:16">
      <c r="A1812" s="68"/>
      <c r="B1812" s="87"/>
      <c r="C1812" s="88"/>
      <c r="D1812" s="88"/>
      <c r="E1812" s="90"/>
      <c r="F1812" s="84" t="str">
        <f ca="1">IF(D1812="Income",LOOKUP(E1812,Introduction!$A$11:$A$18,Introduction!$C$11:$C$18),IF(D1812="Expense",LOOKUP(E1812,Introduction!$D$11:$D$30,Introduction!$F$11:$F$30),"_"))</f>
        <v>_</v>
      </c>
      <c r="G1812" s="88"/>
      <c r="H1812" s="92"/>
      <c r="I1812" s="85">
        <f t="shared" si="98"/>
        <v>0</v>
      </c>
      <c r="J1812" s="93"/>
      <c r="K1812" s="85">
        <f t="shared" si="99"/>
        <v>0</v>
      </c>
      <c r="L1812" s="68"/>
      <c r="M1812" s="68"/>
      <c r="P1812" s="89" t="str">
        <f t="shared" si="97"/>
        <v xml:space="preserve">  1 1900 </v>
      </c>
    </row>
    <row r="1813" spans="1:16">
      <c r="A1813" s="68"/>
      <c r="B1813" s="87"/>
      <c r="C1813" s="88"/>
      <c r="D1813" s="88"/>
      <c r="E1813" s="90"/>
      <c r="F1813" s="84" t="str">
        <f ca="1">IF(D1813="Income",LOOKUP(E1813,Introduction!$A$11:$A$18,Introduction!$C$11:$C$18),IF(D1813="Expense",LOOKUP(E1813,Introduction!$D$11:$D$30,Introduction!$F$11:$F$30),"_"))</f>
        <v>_</v>
      </c>
      <c r="G1813" s="88"/>
      <c r="H1813" s="92"/>
      <c r="I1813" s="85">
        <f t="shared" si="98"/>
        <v>0</v>
      </c>
      <c r="J1813" s="93"/>
      <c r="K1813" s="85">
        <f t="shared" si="99"/>
        <v>0</v>
      </c>
      <c r="L1813" s="68"/>
      <c r="M1813" s="68"/>
      <c r="P1813" s="89" t="str">
        <f t="shared" si="97"/>
        <v xml:space="preserve">  1 1900 </v>
      </c>
    </row>
    <row r="1814" spans="1:16">
      <c r="A1814" s="68"/>
      <c r="B1814" s="87"/>
      <c r="C1814" s="88"/>
      <c r="D1814" s="88"/>
      <c r="E1814" s="90"/>
      <c r="F1814" s="84" t="str">
        <f ca="1">IF(D1814="Income",LOOKUP(E1814,Introduction!$A$11:$A$18,Introduction!$C$11:$C$18),IF(D1814="Expense",LOOKUP(E1814,Introduction!$D$11:$D$30,Introduction!$F$11:$F$30),"_"))</f>
        <v>_</v>
      </c>
      <c r="G1814" s="88"/>
      <c r="H1814" s="92"/>
      <c r="I1814" s="85">
        <f t="shared" si="98"/>
        <v>0</v>
      </c>
      <c r="J1814" s="93"/>
      <c r="K1814" s="85">
        <f t="shared" si="99"/>
        <v>0</v>
      </c>
      <c r="L1814" s="68"/>
      <c r="M1814" s="68"/>
      <c r="P1814" s="89" t="str">
        <f t="shared" si="97"/>
        <v xml:space="preserve">  1 1900 </v>
      </c>
    </row>
    <row r="1815" spans="1:16">
      <c r="A1815" s="68"/>
      <c r="B1815" s="87"/>
      <c r="C1815" s="88"/>
      <c r="D1815" s="88"/>
      <c r="E1815" s="90"/>
      <c r="F1815" s="84" t="str">
        <f ca="1">IF(D1815="Income",LOOKUP(E1815,Introduction!$A$11:$A$18,Introduction!$C$11:$C$18),IF(D1815="Expense",LOOKUP(E1815,Introduction!$D$11:$D$30,Introduction!$F$11:$F$30),"_"))</f>
        <v>_</v>
      </c>
      <c r="G1815" s="88"/>
      <c r="H1815" s="92"/>
      <c r="I1815" s="85">
        <f t="shared" si="98"/>
        <v>0</v>
      </c>
      <c r="J1815" s="93"/>
      <c r="K1815" s="85">
        <f t="shared" si="99"/>
        <v>0</v>
      </c>
      <c r="L1815" s="68"/>
      <c r="M1815" s="68"/>
      <c r="P1815" s="89" t="str">
        <f t="shared" si="97"/>
        <v xml:space="preserve">  1 1900 </v>
      </c>
    </row>
    <row r="1816" spans="1:16">
      <c r="A1816" s="68"/>
      <c r="B1816" s="87"/>
      <c r="C1816" s="88"/>
      <c r="D1816" s="88"/>
      <c r="E1816" s="90"/>
      <c r="F1816" s="84" t="str">
        <f ca="1">IF(D1816="Income",LOOKUP(E1816,Introduction!$A$11:$A$18,Introduction!$C$11:$C$18),IF(D1816="Expense",LOOKUP(E1816,Introduction!$D$11:$D$30,Introduction!$F$11:$F$30),"_"))</f>
        <v>_</v>
      </c>
      <c r="G1816" s="88"/>
      <c r="H1816" s="92"/>
      <c r="I1816" s="85">
        <f t="shared" si="98"/>
        <v>0</v>
      </c>
      <c r="J1816" s="93"/>
      <c r="K1816" s="85">
        <f t="shared" si="99"/>
        <v>0</v>
      </c>
      <c r="L1816" s="68"/>
      <c r="M1816" s="68"/>
      <c r="P1816" s="89" t="str">
        <f t="shared" si="97"/>
        <v xml:space="preserve">  1 1900 </v>
      </c>
    </row>
    <row r="1817" spans="1:16">
      <c r="A1817" s="68"/>
      <c r="B1817" s="87"/>
      <c r="C1817" s="88"/>
      <c r="D1817" s="88"/>
      <c r="E1817" s="90"/>
      <c r="F1817" s="84" t="str">
        <f ca="1">IF(D1817="Income",LOOKUP(E1817,Introduction!$A$11:$A$18,Introduction!$C$11:$C$18),IF(D1817="Expense",LOOKUP(E1817,Introduction!$D$11:$D$30,Introduction!$F$11:$F$30),"_"))</f>
        <v>_</v>
      </c>
      <c r="G1817" s="88"/>
      <c r="H1817" s="92"/>
      <c r="I1817" s="85">
        <f t="shared" si="98"/>
        <v>0</v>
      </c>
      <c r="J1817" s="93"/>
      <c r="K1817" s="85">
        <f t="shared" si="99"/>
        <v>0</v>
      </c>
      <c r="L1817" s="68"/>
      <c r="M1817" s="68"/>
      <c r="P1817" s="89" t="str">
        <f t="shared" si="97"/>
        <v xml:space="preserve">  1 1900 </v>
      </c>
    </row>
    <row r="1818" spans="1:16">
      <c r="A1818" s="68"/>
      <c r="B1818" s="87"/>
      <c r="C1818" s="88"/>
      <c r="D1818" s="88"/>
      <c r="E1818" s="90"/>
      <c r="F1818" s="84" t="str">
        <f ca="1">IF(D1818="Income",LOOKUP(E1818,Introduction!$A$11:$A$18,Introduction!$C$11:$C$18),IF(D1818="Expense",LOOKUP(E1818,Introduction!$D$11:$D$30,Introduction!$F$11:$F$30),"_"))</f>
        <v>_</v>
      </c>
      <c r="G1818" s="88"/>
      <c r="H1818" s="92"/>
      <c r="I1818" s="85">
        <f t="shared" si="98"/>
        <v>0</v>
      </c>
      <c r="J1818" s="93"/>
      <c r="K1818" s="85">
        <f t="shared" si="99"/>
        <v>0</v>
      </c>
      <c r="L1818" s="68"/>
      <c r="M1818" s="68"/>
      <c r="P1818" s="89" t="str">
        <f t="shared" si="97"/>
        <v xml:space="preserve">  1 1900 </v>
      </c>
    </row>
    <row r="1819" spans="1:16">
      <c r="A1819" s="68"/>
      <c r="B1819" s="87"/>
      <c r="C1819" s="88"/>
      <c r="D1819" s="88"/>
      <c r="E1819" s="90"/>
      <c r="F1819" s="84" t="str">
        <f ca="1">IF(D1819="Income",LOOKUP(E1819,Introduction!$A$11:$A$18,Introduction!$C$11:$C$18),IF(D1819="Expense",LOOKUP(E1819,Introduction!$D$11:$D$30,Introduction!$F$11:$F$30),"_"))</f>
        <v>_</v>
      </c>
      <c r="G1819" s="88"/>
      <c r="H1819" s="92"/>
      <c r="I1819" s="85">
        <f t="shared" si="98"/>
        <v>0</v>
      </c>
      <c r="J1819" s="93"/>
      <c r="K1819" s="85">
        <f t="shared" si="99"/>
        <v>0</v>
      </c>
      <c r="L1819" s="68"/>
      <c r="M1819" s="68"/>
      <c r="P1819" s="89" t="str">
        <f t="shared" si="97"/>
        <v xml:space="preserve">  1 1900 </v>
      </c>
    </row>
    <row r="1820" spans="1:16">
      <c r="A1820" s="68"/>
      <c r="B1820" s="87"/>
      <c r="C1820" s="88"/>
      <c r="D1820" s="88"/>
      <c r="E1820" s="90"/>
      <c r="F1820" s="84" t="str">
        <f ca="1">IF(D1820="Income",LOOKUP(E1820,Introduction!$A$11:$A$18,Introduction!$C$11:$C$18),IF(D1820="Expense",LOOKUP(E1820,Introduction!$D$11:$D$30,Introduction!$F$11:$F$30),"_"))</f>
        <v>_</v>
      </c>
      <c r="G1820" s="88"/>
      <c r="H1820" s="92"/>
      <c r="I1820" s="85">
        <f t="shared" si="98"/>
        <v>0</v>
      </c>
      <c r="J1820" s="93"/>
      <c r="K1820" s="85">
        <f t="shared" si="99"/>
        <v>0</v>
      </c>
      <c r="L1820" s="68"/>
      <c r="M1820" s="68"/>
      <c r="P1820" s="89" t="str">
        <f t="shared" si="97"/>
        <v xml:space="preserve">  1 1900 </v>
      </c>
    </row>
    <row r="1821" spans="1:16">
      <c r="A1821" s="68"/>
      <c r="B1821" s="87"/>
      <c r="C1821" s="88"/>
      <c r="D1821" s="88"/>
      <c r="E1821" s="90"/>
      <c r="F1821" s="84" t="str">
        <f ca="1">IF(D1821="Income",LOOKUP(E1821,Introduction!$A$11:$A$18,Introduction!$C$11:$C$18),IF(D1821="Expense",LOOKUP(E1821,Introduction!$D$11:$D$30,Introduction!$F$11:$F$30),"_"))</f>
        <v>_</v>
      </c>
      <c r="G1821" s="88"/>
      <c r="H1821" s="92"/>
      <c r="I1821" s="85">
        <f t="shared" si="98"/>
        <v>0</v>
      </c>
      <c r="J1821" s="93"/>
      <c r="K1821" s="85">
        <f t="shared" si="99"/>
        <v>0</v>
      </c>
      <c r="L1821" s="68"/>
      <c r="M1821" s="68"/>
      <c r="P1821" s="89" t="str">
        <f t="shared" si="97"/>
        <v xml:space="preserve">  1 1900 </v>
      </c>
    </row>
    <row r="1822" spans="1:16">
      <c r="A1822" s="68"/>
      <c r="B1822" s="87"/>
      <c r="C1822" s="88"/>
      <c r="D1822" s="88"/>
      <c r="E1822" s="90"/>
      <c r="F1822" s="84" t="str">
        <f ca="1">IF(D1822="Income",LOOKUP(E1822,Introduction!$A$11:$A$18,Introduction!$C$11:$C$18),IF(D1822="Expense",LOOKUP(E1822,Introduction!$D$11:$D$30,Introduction!$F$11:$F$30),"_"))</f>
        <v>_</v>
      </c>
      <c r="G1822" s="88"/>
      <c r="H1822" s="92"/>
      <c r="I1822" s="85">
        <f t="shared" si="98"/>
        <v>0</v>
      </c>
      <c r="J1822" s="93"/>
      <c r="K1822" s="85">
        <f t="shared" si="99"/>
        <v>0</v>
      </c>
      <c r="L1822" s="68"/>
      <c r="M1822" s="68"/>
      <c r="P1822" s="89" t="str">
        <f t="shared" si="97"/>
        <v xml:space="preserve">  1 1900 </v>
      </c>
    </row>
    <row r="1823" spans="1:16">
      <c r="A1823" s="68"/>
      <c r="B1823" s="87"/>
      <c r="C1823" s="88"/>
      <c r="D1823" s="88"/>
      <c r="E1823" s="90"/>
      <c r="F1823" s="84" t="str">
        <f ca="1">IF(D1823="Income",LOOKUP(E1823,Introduction!$A$11:$A$18,Introduction!$C$11:$C$18),IF(D1823="Expense",LOOKUP(E1823,Introduction!$D$11:$D$30,Introduction!$F$11:$F$30),"_"))</f>
        <v>_</v>
      </c>
      <c r="G1823" s="88"/>
      <c r="H1823" s="92"/>
      <c r="I1823" s="85">
        <f t="shared" si="98"/>
        <v>0</v>
      </c>
      <c r="J1823" s="93"/>
      <c r="K1823" s="85">
        <f t="shared" si="99"/>
        <v>0</v>
      </c>
      <c r="L1823" s="68"/>
      <c r="M1823" s="68"/>
      <c r="P1823" s="89" t="str">
        <f t="shared" si="97"/>
        <v xml:space="preserve">  1 1900 </v>
      </c>
    </row>
    <row r="1824" spans="1:16">
      <c r="A1824" s="68"/>
      <c r="B1824" s="87"/>
      <c r="C1824" s="88"/>
      <c r="D1824" s="88"/>
      <c r="E1824" s="90"/>
      <c r="F1824" s="84" t="str">
        <f ca="1">IF(D1824="Income",LOOKUP(E1824,Introduction!$A$11:$A$18,Introduction!$C$11:$C$18),IF(D1824="Expense",LOOKUP(E1824,Introduction!$D$11:$D$30,Introduction!$F$11:$F$30),"_"))</f>
        <v>_</v>
      </c>
      <c r="G1824" s="88"/>
      <c r="H1824" s="92"/>
      <c r="I1824" s="85">
        <f t="shared" si="98"/>
        <v>0</v>
      </c>
      <c r="J1824" s="93"/>
      <c r="K1824" s="85">
        <f t="shared" si="99"/>
        <v>0</v>
      </c>
      <c r="L1824" s="68"/>
      <c r="M1824" s="68"/>
      <c r="P1824" s="89" t="str">
        <f t="shared" si="97"/>
        <v xml:space="preserve">  1 1900 </v>
      </c>
    </row>
    <row r="1825" spans="1:16">
      <c r="A1825" s="68"/>
      <c r="B1825" s="87"/>
      <c r="C1825" s="88"/>
      <c r="D1825" s="88"/>
      <c r="E1825" s="90"/>
      <c r="F1825" s="84" t="str">
        <f ca="1">IF(D1825="Income",LOOKUP(E1825,Introduction!$A$11:$A$18,Introduction!$C$11:$C$18),IF(D1825="Expense",LOOKUP(E1825,Introduction!$D$11:$D$30,Introduction!$F$11:$F$30),"_"))</f>
        <v>_</v>
      </c>
      <c r="G1825" s="88"/>
      <c r="H1825" s="92"/>
      <c r="I1825" s="85">
        <f t="shared" si="98"/>
        <v>0</v>
      </c>
      <c r="J1825" s="93"/>
      <c r="K1825" s="85">
        <f t="shared" si="99"/>
        <v>0</v>
      </c>
      <c r="L1825" s="68"/>
      <c r="M1825" s="68"/>
      <c r="P1825" s="89" t="str">
        <f t="shared" si="97"/>
        <v xml:space="preserve">  1 1900 </v>
      </c>
    </row>
    <row r="1826" spans="1:16">
      <c r="A1826" s="68"/>
      <c r="B1826" s="87"/>
      <c r="C1826" s="88"/>
      <c r="D1826" s="88"/>
      <c r="E1826" s="90"/>
      <c r="F1826" s="84" t="str">
        <f ca="1">IF(D1826="Income",LOOKUP(E1826,Introduction!$A$11:$A$18,Introduction!$C$11:$C$18),IF(D1826="Expense",LOOKUP(E1826,Introduction!$D$11:$D$30,Introduction!$F$11:$F$30),"_"))</f>
        <v>_</v>
      </c>
      <c r="G1826" s="88"/>
      <c r="H1826" s="92"/>
      <c r="I1826" s="85">
        <f t="shared" si="98"/>
        <v>0</v>
      </c>
      <c r="J1826" s="93"/>
      <c r="K1826" s="85">
        <f t="shared" si="99"/>
        <v>0</v>
      </c>
      <c r="L1826" s="68"/>
      <c r="M1826" s="68"/>
      <c r="P1826" s="89" t="str">
        <f t="shared" si="97"/>
        <v xml:space="preserve">  1 1900 </v>
      </c>
    </row>
    <row r="1827" spans="1:16">
      <c r="A1827" s="68"/>
      <c r="B1827" s="87"/>
      <c r="C1827" s="88"/>
      <c r="D1827" s="88"/>
      <c r="E1827" s="90"/>
      <c r="F1827" s="84" t="str">
        <f ca="1">IF(D1827="Income",LOOKUP(E1827,Introduction!$A$11:$A$18,Introduction!$C$11:$C$18),IF(D1827="Expense",LOOKUP(E1827,Introduction!$D$11:$D$30,Introduction!$F$11:$F$30),"_"))</f>
        <v>_</v>
      </c>
      <c r="G1827" s="88"/>
      <c r="H1827" s="92"/>
      <c r="I1827" s="85">
        <f t="shared" si="98"/>
        <v>0</v>
      </c>
      <c r="J1827" s="93"/>
      <c r="K1827" s="85">
        <f t="shared" si="99"/>
        <v>0</v>
      </c>
      <c r="L1827" s="68"/>
      <c r="M1827" s="68"/>
      <c r="P1827" s="89" t="str">
        <f t="shared" si="97"/>
        <v xml:space="preserve">  1 1900 </v>
      </c>
    </row>
    <row r="1828" spans="1:16">
      <c r="A1828" s="68"/>
      <c r="B1828" s="87"/>
      <c r="C1828" s="88"/>
      <c r="D1828" s="88"/>
      <c r="E1828" s="90"/>
      <c r="F1828" s="84" t="str">
        <f ca="1">IF(D1828="Income",LOOKUP(E1828,Introduction!$A$11:$A$18,Introduction!$C$11:$C$18),IF(D1828="Expense",LOOKUP(E1828,Introduction!$D$11:$D$30,Introduction!$F$11:$F$30),"_"))</f>
        <v>_</v>
      </c>
      <c r="G1828" s="88"/>
      <c r="H1828" s="92"/>
      <c r="I1828" s="85">
        <f t="shared" si="98"/>
        <v>0</v>
      </c>
      <c r="J1828" s="93"/>
      <c r="K1828" s="85">
        <f t="shared" si="99"/>
        <v>0</v>
      </c>
      <c r="L1828" s="68"/>
      <c r="M1828" s="68"/>
      <c r="P1828" s="89" t="str">
        <f t="shared" si="97"/>
        <v xml:space="preserve">  1 1900 </v>
      </c>
    </row>
    <row r="1829" spans="1:16">
      <c r="A1829" s="68"/>
      <c r="B1829" s="87"/>
      <c r="C1829" s="88"/>
      <c r="D1829" s="88"/>
      <c r="E1829" s="90"/>
      <c r="F1829" s="84" t="str">
        <f ca="1">IF(D1829="Income",LOOKUP(E1829,Introduction!$A$11:$A$18,Introduction!$C$11:$C$18),IF(D1829="Expense",LOOKUP(E1829,Introduction!$D$11:$D$30,Introduction!$F$11:$F$30),"_"))</f>
        <v>_</v>
      </c>
      <c r="G1829" s="88"/>
      <c r="H1829" s="92"/>
      <c r="I1829" s="85">
        <f t="shared" si="98"/>
        <v>0</v>
      </c>
      <c r="J1829" s="93"/>
      <c r="K1829" s="85">
        <f t="shared" si="99"/>
        <v>0</v>
      </c>
      <c r="L1829" s="68"/>
      <c r="M1829" s="68"/>
      <c r="P1829" s="89" t="str">
        <f t="shared" si="97"/>
        <v xml:space="preserve">  1 1900 </v>
      </c>
    </row>
    <row r="1830" spans="1:16">
      <c r="A1830" s="68"/>
      <c r="B1830" s="87"/>
      <c r="C1830" s="88"/>
      <c r="D1830" s="88"/>
      <c r="E1830" s="90"/>
      <c r="F1830" s="84" t="str">
        <f ca="1">IF(D1830="Income",LOOKUP(E1830,Introduction!$A$11:$A$18,Introduction!$C$11:$C$18),IF(D1830="Expense",LOOKUP(E1830,Introduction!$D$11:$D$30,Introduction!$F$11:$F$30),"_"))</f>
        <v>_</v>
      </c>
      <c r="G1830" s="88"/>
      <c r="H1830" s="92"/>
      <c r="I1830" s="85">
        <f t="shared" si="98"/>
        <v>0</v>
      </c>
      <c r="J1830" s="93"/>
      <c r="K1830" s="85">
        <f t="shared" si="99"/>
        <v>0</v>
      </c>
      <c r="L1830" s="68"/>
      <c r="M1830" s="68"/>
      <c r="P1830" s="89" t="str">
        <f t="shared" si="97"/>
        <v xml:space="preserve">  1 1900 </v>
      </c>
    </row>
    <row r="1831" spans="1:16">
      <c r="A1831" s="68"/>
      <c r="B1831" s="87"/>
      <c r="C1831" s="88"/>
      <c r="D1831" s="88"/>
      <c r="E1831" s="90"/>
      <c r="F1831" s="84" t="str">
        <f ca="1">IF(D1831="Income",LOOKUP(E1831,Introduction!$A$11:$A$18,Introduction!$C$11:$C$18),IF(D1831="Expense",LOOKUP(E1831,Introduction!$D$11:$D$30,Introduction!$F$11:$F$30),"_"))</f>
        <v>_</v>
      </c>
      <c r="G1831" s="88"/>
      <c r="H1831" s="92"/>
      <c r="I1831" s="85">
        <f t="shared" si="98"/>
        <v>0</v>
      </c>
      <c r="J1831" s="93"/>
      <c r="K1831" s="85">
        <f t="shared" si="99"/>
        <v>0</v>
      </c>
      <c r="L1831" s="68"/>
      <c r="M1831" s="68"/>
      <c r="P1831" s="89" t="str">
        <f t="shared" si="97"/>
        <v xml:space="preserve">  1 1900 </v>
      </c>
    </row>
    <row r="1832" spans="1:16">
      <c r="A1832" s="68"/>
      <c r="B1832" s="87"/>
      <c r="C1832" s="88"/>
      <c r="D1832" s="88"/>
      <c r="E1832" s="90"/>
      <c r="F1832" s="84" t="str">
        <f ca="1">IF(D1832="Income",LOOKUP(E1832,Introduction!$A$11:$A$18,Introduction!$C$11:$C$18),IF(D1832="Expense",LOOKUP(E1832,Introduction!$D$11:$D$30,Introduction!$F$11:$F$30),"_"))</f>
        <v>_</v>
      </c>
      <c r="G1832" s="88"/>
      <c r="H1832" s="92"/>
      <c r="I1832" s="85">
        <f t="shared" si="98"/>
        <v>0</v>
      </c>
      <c r="J1832" s="93"/>
      <c r="K1832" s="85">
        <f t="shared" si="99"/>
        <v>0</v>
      </c>
      <c r="L1832" s="68"/>
      <c r="M1832" s="68"/>
      <c r="P1832" s="89" t="str">
        <f t="shared" si="97"/>
        <v xml:space="preserve">  1 1900 </v>
      </c>
    </row>
    <row r="1833" spans="1:16">
      <c r="A1833" s="68"/>
      <c r="B1833" s="87"/>
      <c r="C1833" s="88"/>
      <c r="D1833" s="88"/>
      <c r="E1833" s="90"/>
      <c r="F1833" s="84" t="str">
        <f ca="1">IF(D1833="Income",LOOKUP(E1833,Introduction!$A$11:$A$18,Introduction!$C$11:$C$18),IF(D1833="Expense",LOOKUP(E1833,Introduction!$D$11:$D$30,Introduction!$F$11:$F$30),"_"))</f>
        <v>_</v>
      </c>
      <c r="G1833" s="88"/>
      <c r="H1833" s="92"/>
      <c r="I1833" s="85">
        <f t="shared" si="98"/>
        <v>0</v>
      </c>
      <c r="J1833" s="93"/>
      <c r="K1833" s="85">
        <f t="shared" si="99"/>
        <v>0</v>
      </c>
      <c r="L1833" s="68"/>
      <c r="M1833" s="68"/>
      <c r="P1833" s="89" t="str">
        <f t="shared" si="97"/>
        <v xml:space="preserve">  1 1900 </v>
      </c>
    </row>
    <row r="1834" spans="1:16">
      <c r="A1834" s="68"/>
      <c r="B1834" s="87"/>
      <c r="C1834" s="88"/>
      <c r="D1834" s="88"/>
      <c r="E1834" s="90"/>
      <c r="F1834" s="84" t="str">
        <f ca="1">IF(D1834="Income",LOOKUP(E1834,Introduction!$A$11:$A$18,Introduction!$C$11:$C$18),IF(D1834="Expense",LOOKUP(E1834,Introduction!$D$11:$D$30,Introduction!$F$11:$F$30),"_"))</f>
        <v>_</v>
      </c>
      <c r="G1834" s="88"/>
      <c r="H1834" s="92"/>
      <c r="I1834" s="85">
        <f t="shared" si="98"/>
        <v>0</v>
      </c>
      <c r="J1834" s="93"/>
      <c r="K1834" s="85">
        <f t="shared" si="99"/>
        <v>0</v>
      </c>
      <c r="L1834" s="68"/>
      <c r="M1834" s="68"/>
      <c r="P1834" s="89" t="str">
        <f t="shared" si="97"/>
        <v xml:space="preserve">  1 1900 </v>
      </c>
    </row>
    <row r="1835" spans="1:16">
      <c r="A1835" s="68"/>
      <c r="B1835" s="87"/>
      <c r="C1835" s="88"/>
      <c r="D1835" s="88"/>
      <c r="E1835" s="90"/>
      <c r="F1835" s="84" t="str">
        <f ca="1">IF(D1835="Income",LOOKUP(E1835,Introduction!$A$11:$A$18,Introduction!$C$11:$C$18),IF(D1835="Expense",LOOKUP(E1835,Introduction!$D$11:$D$30,Introduction!$F$11:$F$30),"_"))</f>
        <v>_</v>
      </c>
      <c r="G1835" s="88"/>
      <c r="H1835" s="92"/>
      <c r="I1835" s="85">
        <f t="shared" si="98"/>
        <v>0</v>
      </c>
      <c r="J1835" s="93"/>
      <c r="K1835" s="85">
        <f t="shared" si="99"/>
        <v>0</v>
      </c>
      <c r="L1835" s="68"/>
      <c r="M1835" s="68"/>
      <c r="P1835" s="89" t="str">
        <f t="shared" si="97"/>
        <v xml:space="preserve">  1 1900 </v>
      </c>
    </row>
    <row r="1836" spans="1:16">
      <c r="A1836" s="68"/>
      <c r="B1836" s="87"/>
      <c r="C1836" s="88"/>
      <c r="D1836" s="88"/>
      <c r="E1836" s="90"/>
      <c r="F1836" s="84" t="str">
        <f ca="1">IF(D1836="Income",LOOKUP(E1836,Introduction!$A$11:$A$18,Introduction!$C$11:$C$18),IF(D1836="Expense",LOOKUP(E1836,Introduction!$D$11:$D$30,Introduction!$F$11:$F$30),"_"))</f>
        <v>_</v>
      </c>
      <c r="G1836" s="88"/>
      <c r="H1836" s="92"/>
      <c r="I1836" s="85">
        <f t="shared" si="98"/>
        <v>0</v>
      </c>
      <c r="J1836" s="93"/>
      <c r="K1836" s="85">
        <f t="shared" si="99"/>
        <v>0</v>
      </c>
      <c r="L1836" s="68"/>
      <c r="M1836" s="68"/>
      <c r="P1836" s="89" t="str">
        <f t="shared" si="97"/>
        <v xml:space="preserve">  1 1900 </v>
      </c>
    </row>
    <row r="1837" spans="1:16">
      <c r="A1837" s="68"/>
      <c r="B1837" s="87"/>
      <c r="C1837" s="88"/>
      <c r="D1837" s="88"/>
      <c r="E1837" s="90"/>
      <c r="F1837" s="84" t="str">
        <f ca="1">IF(D1837="Income",LOOKUP(E1837,Introduction!$A$11:$A$18,Introduction!$C$11:$C$18),IF(D1837="Expense",LOOKUP(E1837,Introduction!$D$11:$D$30,Introduction!$F$11:$F$30),"_"))</f>
        <v>_</v>
      </c>
      <c r="G1837" s="88"/>
      <c r="H1837" s="92"/>
      <c r="I1837" s="85">
        <f t="shared" si="98"/>
        <v>0</v>
      </c>
      <c r="J1837" s="93"/>
      <c r="K1837" s="85">
        <f t="shared" si="99"/>
        <v>0</v>
      </c>
      <c r="L1837" s="68"/>
      <c r="M1837" s="68"/>
      <c r="P1837" s="89" t="str">
        <f t="shared" si="97"/>
        <v xml:space="preserve">  1 1900 </v>
      </c>
    </row>
    <row r="1838" spans="1:16">
      <c r="A1838" s="68"/>
      <c r="B1838" s="87"/>
      <c r="C1838" s="88"/>
      <c r="D1838" s="88"/>
      <c r="E1838" s="90"/>
      <c r="F1838" s="84" t="str">
        <f ca="1">IF(D1838="Income",LOOKUP(E1838,Introduction!$A$11:$A$18,Introduction!$C$11:$C$18),IF(D1838="Expense",LOOKUP(E1838,Introduction!$D$11:$D$30,Introduction!$F$11:$F$30),"_"))</f>
        <v>_</v>
      </c>
      <c r="G1838" s="88"/>
      <c r="H1838" s="92"/>
      <c r="I1838" s="85">
        <f t="shared" si="98"/>
        <v>0</v>
      </c>
      <c r="J1838" s="93"/>
      <c r="K1838" s="85">
        <f t="shared" si="99"/>
        <v>0</v>
      </c>
      <c r="L1838" s="68"/>
      <c r="M1838" s="68"/>
      <c r="P1838" s="89" t="str">
        <f t="shared" si="97"/>
        <v xml:space="preserve">  1 1900 </v>
      </c>
    </row>
    <row r="1839" spans="1:16">
      <c r="A1839" s="68"/>
      <c r="B1839" s="87"/>
      <c r="C1839" s="88"/>
      <c r="D1839" s="88"/>
      <c r="E1839" s="90"/>
      <c r="F1839" s="84" t="str">
        <f ca="1">IF(D1839="Income",LOOKUP(E1839,Introduction!$A$11:$A$18,Introduction!$C$11:$C$18),IF(D1839="Expense",LOOKUP(E1839,Introduction!$D$11:$D$30,Introduction!$F$11:$F$30),"_"))</f>
        <v>_</v>
      </c>
      <c r="G1839" s="88"/>
      <c r="H1839" s="92"/>
      <c r="I1839" s="85">
        <f t="shared" si="98"/>
        <v>0</v>
      </c>
      <c r="J1839" s="93"/>
      <c r="K1839" s="85">
        <f t="shared" si="99"/>
        <v>0</v>
      </c>
      <c r="L1839" s="68"/>
      <c r="M1839" s="68"/>
      <c r="P1839" s="89" t="str">
        <f t="shared" si="97"/>
        <v xml:space="preserve">  1 1900 </v>
      </c>
    </row>
    <row r="1840" spans="1:16">
      <c r="A1840" s="68"/>
      <c r="B1840" s="87"/>
      <c r="C1840" s="88"/>
      <c r="D1840" s="88"/>
      <c r="E1840" s="90"/>
      <c r="F1840" s="84" t="str">
        <f ca="1">IF(D1840="Income",LOOKUP(E1840,Introduction!$A$11:$A$18,Introduction!$C$11:$C$18),IF(D1840="Expense",LOOKUP(E1840,Introduction!$D$11:$D$30,Introduction!$F$11:$F$30),"_"))</f>
        <v>_</v>
      </c>
      <c r="G1840" s="88"/>
      <c r="H1840" s="92"/>
      <c r="I1840" s="85">
        <f t="shared" si="98"/>
        <v>0</v>
      </c>
      <c r="J1840" s="93"/>
      <c r="K1840" s="85">
        <f t="shared" si="99"/>
        <v>0</v>
      </c>
      <c r="L1840" s="68"/>
      <c r="M1840" s="68"/>
      <c r="P1840" s="89" t="str">
        <f t="shared" si="97"/>
        <v xml:space="preserve">  1 1900 </v>
      </c>
    </row>
    <row r="1841" spans="1:16">
      <c r="A1841" s="68"/>
      <c r="B1841" s="87"/>
      <c r="C1841" s="88"/>
      <c r="D1841" s="88"/>
      <c r="E1841" s="90"/>
      <c r="F1841" s="84" t="str">
        <f ca="1">IF(D1841="Income",LOOKUP(E1841,Introduction!$A$11:$A$18,Introduction!$C$11:$C$18),IF(D1841="Expense",LOOKUP(E1841,Introduction!$D$11:$D$30,Introduction!$F$11:$F$30),"_"))</f>
        <v>_</v>
      </c>
      <c r="G1841" s="88"/>
      <c r="H1841" s="92"/>
      <c r="I1841" s="85">
        <f t="shared" si="98"/>
        <v>0</v>
      </c>
      <c r="J1841" s="93"/>
      <c r="K1841" s="85">
        <f t="shared" si="99"/>
        <v>0</v>
      </c>
      <c r="L1841" s="68"/>
      <c r="M1841" s="68"/>
      <c r="P1841" s="89" t="str">
        <f t="shared" si="97"/>
        <v xml:space="preserve">  1 1900 </v>
      </c>
    </row>
    <row r="1842" spans="1:16">
      <c r="A1842" s="68"/>
      <c r="B1842" s="87"/>
      <c r="C1842" s="88"/>
      <c r="D1842" s="88"/>
      <c r="E1842" s="90"/>
      <c r="F1842" s="84" t="str">
        <f ca="1">IF(D1842="Income",LOOKUP(E1842,Introduction!$A$11:$A$18,Introduction!$C$11:$C$18),IF(D1842="Expense",LOOKUP(E1842,Introduction!$D$11:$D$30,Introduction!$F$11:$F$30),"_"))</f>
        <v>_</v>
      </c>
      <c r="G1842" s="88"/>
      <c r="H1842" s="92"/>
      <c r="I1842" s="85">
        <f t="shared" si="98"/>
        <v>0</v>
      </c>
      <c r="J1842" s="93"/>
      <c r="K1842" s="85">
        <f t="shared" si="99"/>
        <v>0</v>
      </c>
      <c r="L1842" s="68"/>
      <c r="M1842" s="68"/>
      <c r="P1842" s="89" t="str">
        <f t="shared" si="97"/>
        <v xml:space="preserve">  1 1900 </v>
      </c>
    </row>
    <row r="1843" spans="1:16">
      <c r="A1843" s="68"/>
      <c r="B1843" s="87"/>
      <c r="C1843" s="88"/>
      <c r="D1843" s="88"/>
      <c r="E1843" s="90"/>
      <c r="F1843" s="84" t="str">
        <f ca="1">IF(D1843="Income",LOOKUP(E1843,Introduction!$A$11:$A$18,Introduction!$C$11:$C$18),IF(D1843="Expense",LOOKUP(E1843,Introduction!$D$11:$D$30,Introduction!$F$11:$F$30),"_"))</f>
        <v>_</v>
      </c>
      <c r="G1843" s="88"/>
      <c r="H1843" s="92"/>
      <c r="I1843" s="85">
        <f t="shared" si="98"/>
        <v>0</v>
      </c>
      <c r="J1843" s="93"/>
      <c r="K1843" s="85">
        <f t="shared" si="99"/>
        <v>0</v>
      </c>
      <c r="L1843" s="68"/>
      <c r="M1843" s="68"/>
      <c r="P1843" s="89" t="str">
        <f t="shared" si="97"/>
        <v xml:space="preserve">  1 1900 </v>
      </c>
    </row>
    <row r="1844" spans="1:16">
      <c r="A1844" s="68"/>
      <c r="B1844" s="87"/>
      <c r="C1844" s="88"/>
      <c r="D1844" s="88"/>
      <c r="E1844" s="90"/>
      <c r="F1844" s="84" t="str">
        <f ca="1">IF(D1844="Income",LOOKUP(E1844,Introduction!$A$11:$A$18,Introduction!$C$11:$C$18),IF(D1844="Expense",LOOKUP(E1844,Introduction!$D$11:$D$30,Introduction!$F$11:$F$30),"_"))</f>
        <v>_</v>
      </c>
      <c r="G1844" s="88"/>
      <c r="H1844" s="92"/>
      <c r="I1844" s="85">
        <f t="shared" si="98"/>
        <v>0</v>
      </c>
      <c r="J1844" s="93"/>
      <c r="K1844" s="85">
        <f t="shared" si="99"/>
        <v>0</v>
      </c>
      <c r="L1844" s="68"/>
      <c r="M1844" s="68"/>
      <c r="P1844" s="89" t="str">
        <f t="shared" si="97"/>
        <v xml:space="preserve">  1 1900 </v>
      </c>
    </row>
    <row r="1845" spans="1:16">
      <c r="A1845" s="68"/>
      <c r="B1845" s="87"/>
      <c r="C1845" s="88"/>
      <c r="D1845" s="88"/>
      <c r="E1845" s="90"/>
      <c r="F1845" s="84" t="str">
        <f ca="1">IF(D1845="Income",LOOKUP(E1845,Introduction!$A$11:$A$18,Introduction!$C$11:$C$18),IF(D1845="Expense",LOOKUP(E1845,Introduction!$D$11:$D$30,Introduction!$F$11:$F$30),"_"))</f>
        <v>_</v>
      </c>
      <c r="G1845" s="88"/>
      <c r="H1845" s="92"/>
      <c r="I1845" s="85">
        <f t="shared" si="98"/>
        <v>0</v>
      </c>
      <c r="J1845" s="93"/>
      <c r="K1845" s="85">
        <f t="shared" si="99"/>
        <v>0</v>
      </c>
      <c r="L1845" s="68"/>
      <c r="M1845" s="68"/>
      <c r="P1845" s="89" t="str">
        <f t="shared" si="97"/>
        <v xml:space="preserve">  1 1900 </v>
      </c>
    </row>
    <row r="1846" spans="1:16">
      <c r="A1846" s="68"/>
      <c r="B1846" s="87"/>
      <c r="C1846" s="88"/>
      <c r="D1846" s="88"/>
      <c r="E1846" s="90"/>
      <c r="F1846" s="84" t="str">
        <f ca="1">IF(D1846="Income",LOOKUP(E1846,Introduction!$A$11:$A$18,Introduction!$C$11:$C$18),IF(D1846="Expense",LOOKUP(E1846,Introduction!$D$11:$D$30,Introduction!$F$11:$F$30),"_"))</f>
        <v>_</v>
      </c>
      <c r="G1846" s="88"/>
      <c r="H1846" s="92"/>
      <c r="I1846" s="85">
        <f t="shared" si="98"/>
        <v>0</v>
      </c>
      <c r="J1846" s="93"/>
      <c r="K1846" s="85">
        <f t="shared" si="99"/>
        <v>0</v>
      </c>
      <c r="L1846" s="68"/>
      <c r="M1846" s="68"/>
      <c r="P1846" s="89" t="str">
        <f t="shared" si="97"/>
        <v xml:space="preserve">  1 1900 </v>
      </c>
    </row>
    <row r="1847" spans="1:16">
      <c r="A1847" s="68"/>
      <c r="B1847" s="87"/>
      <c r="C1847" s="88"/>
      <c r="D1847" s="88"/>
      <c r="E1847" s="90"/>
      <c r="F1847" s="84" t="str">
        <f ca="1">IF(D1847="Income",LOOKUP(E1847,Introduction!$A$11:$A$18,Introduction!$C$11:$C$18),IF(D1847="Expense",LOOKUP(E1847,Introduction!$D$11:$D$30,Introduction!$F$11:$F$30),"_"))</f>
        <v>_</v>
      </c>
      <c r="G1847" s="88"/>
      <c r="H1847" s="92"/>
      <c r="I1847" s="85">
        <f t="shared" si="98"/>
        <v>0</v>
      </c>
      <c r="J1847" s="93"/>
      <c r="K1847" s="85">
        <f t="shared" si="99"/>
        <v>0</v>
      </c>
      <c r="L1847" s="68"/>
      <c r="M1847" s="68"/>
      <c r="P1847" s="89" t="str">
        <f t="shared" si="97"/>
        <v xml:space="preserve">  1 1900 </v>
      </c>
    </row>
    <row r="1848" spans="1:16">
      <c r="A1848" s="68"/>
      <c r="B1848" s="87"/>
      <c r="C1848" s="88"/>
      <c r="D1848" s="88"/>
      <c r="E1848" s="90"/>
      <c r="F1848" s="84" t="str">
        <f ca="1">IF(D1848="Income",LOOKUP(E1848,Introduction!$A$11:$A$18,Introduction!$C$11:$C$18),IF(D1848="Expense",LOOKUP(E1848,Introduction!$D$11:$D$30,Introduction!$F$11:$F$30),"_"))</f>
        <v>_</v>
      </c>
      <c r="G1848" s="88"/>
      <c r="H1848" s="92"/>
      <c r="I1848" s="85">
        <f t="shared" si="98"/>
        <v>0</v>
      </c>
      <c r="J1848" s="93"/>
      <c r="K1848" s="85">
        <f t="shared" si="99"/>
        <v>0</v>
      </c>
      <c r="L1848" s="68"/>
      <c r="M1848" s="68"/>
      <c r="P1848" s="89" t="str">
        <f t="shared" si="97"/>
        <v xml:space="preserve">  1 1900 </v>
      </c>
    </row>
    <row r="1849" spans="1:16">
      <c r="A1849" s="68"/>
      <c r="B1849" s="87"/>
      <c r="C1849" s="88"/>
      <c r="D1849" s="88"/>
      <c r="E1849" s="90"/>
      <c r="F1849" s="84" t="str">
        <f ca="1">IF(D1849="Income",LOOKUP(E1849,Introduction!$A$11:$A$18,Introduction!$C$11:$C$18),IF(D1849="Expense",LOOKUP(E1849,Introduction!$D$11:$D$30,Introduction!$F$11:$F$30),"_"))</f>
        <v>_</v>
      </c>
      <c r="G1849" s="88"/>
      <c r="H1849" s="92"/>
      <c r="I1849" s="85">
        <f t="shared" si="98"/>
        <v>0</v>
      </c>
      <c r="J1849" s="93"/>
      <c r="K1849" s="85">
        <f t="shared" si="99"/>
        <v>0</v>
      </c>
      <c r="L1849" s="68"/>
      <c r="M1849" s="68"/>
      <c r="P1849" s="89" t="str">
        <f t="shared" si="97"/>
        <v xml:space="preserve">  1 1900 </v>
      </c>
    </row>
    <row r="1850" spans="1:16">
      <c r="A1850" s="68"/>
      <c r="B1850" s="87"/>
      <c r="C1850" s="88"/>
      <c r="D1850" s="88"/>
      <c r="E1850" s="90"/>
      <c r="F1850" s="84" t="str">
        <f ca="1">IF(D1850="Income",LOOKUP(E1850,Introduction!$A$11:$A$18,Introduction!$C$11:$C$18),IF(D1850="Expense",LOOKUP(E1850,Introduction!$D$11:$D$30,Introduction!$F$11:$F$30),"_"))</f>
        <v>_</v>
      </c>
      <c r="G1850" s="88"/>
      <c r="H1850" s="92"/>
      <c r="I1850" s="85">
        <f t="shared" si="98"/>
        <v>0</v>
      </c>
      <c r="J1850" s="93"/>
      <c r="K1850" s="85">
        <f t="shared" si="99"/>
        <v>0</v>
      </c>
      <c r="L1850" s="68"/>
      <c r="M1850" s="68"/>
      <c r="P1850" s="89" t="str">
        <f t="shared" si="97"/>
        <v xml:space="preserve">  1 1900 </v>
      </c>
    </row>
    <row r="1851" spans="1:16">
      <c r="A1851" s="68"/>
      <c r="B1851" s="87"/>
      <c r="C1851" s="88"/>
      <c r="D1851" s="88"/>
      <c r="E1851" s="90"/>
      <c r="F1851" s="84" t="str">
        <f ca="1">IF(D1851="Income",LOOKUP(E1851,Introduction!$A$11:$A$18,Introduction!$C$11:$C$18),IF(D1851="Expense",LOOKUP(E1851,Introduction!$D$11:$D$30,Introduction!$F$11:$F$30),"_"))</f>
        <v>_</v>
      </c>
      <c r="G1851" s="88"/>
      <c r="H1851" s="92"/>
      <c r="I1851" s="85">
        <f t="shared" si="98"/>
        <v>0</v>
      </c>
      <c r="J1851" s="93"/>
      <c r="K1851" s="85">
        <f t="shared" si="99"/>
        <v>0</v>
      </c>
      <c r="L1851" s="68"/>
      <c r="M1851" s="68"/>
      <c r="P1851" s="89" t="str">
        <f t="shared" si="97"/>
        <v xml:space="preserve">  1 1900 </v>
      </c>
    </row>
    <row r="1852" spans="1:16">
      <c r="A1852" s="68"/>
      <c r="B1852" s="87"/>
      <c r="C1852" s="88"/>
      <c r="D1852" s="88"/>
      <c r="E1852" s="90"/>
      <c r="F1852" s="84" t="str">
        <f ca="1">IF(D1852="Income",LOOKUP(E1852,Introduction!$A$11:$A$18,Introduction!$C$11:$C$18),IF(D1852="Expense",LOOKUP(E1852,Introduction!$D$11:$D$30,Introduction!$F$11:$F$30),"_"))</f>
        <v>_</v>
      </c>
      <c r="G1852" s="88"/>
      <c r="H1852" s="92"/>
      <c r="I1852" s="85">
        <f t="shared" si="98"/>
        <v>0</v>
      </c>
      <c r="J1852" s="93"/>
      <c r="K1852" s="85">
        <f t="shared" si="99"/>
        <v>0</v>
      </c>
      <c r="L1852" s="68"/>
      <c r="M1852" s="68"/>
      <c r="P1852" s="89" t="str">
        <f t="shared" si="97"/>
        <v xml:space="preserve">  1 1900 </v>
      </c>
    </row>
    <row r="1853" spans="1:16">
      <c r="A1853" s="68"/>
      <c r="B1853" s="87"/>
      <c r="C1853" s="88"/>
      <c r="D1853" s="88"/>
      <c r="E1853" s="90"/>
      <c r="F1853" s="84" t="str">
        <f ca="1">IF(D1853="Income",LOOKUP(E1853,Introduction!$A$11:$A$18,Introduction!$C$11:$C$18),IF(D1853="Expense",LOOKUP(E1853,Introduction!$D$11:$D$30,Introduction!$F$11:$F$30),"_"))</f>
        <v>_</v>
      </c>
      <c r="G1853" s="88"/>
      <c r="H1853" s="92"/>
      <c r="I1853" s="85">
        <f t="shared" si="98"/>
        <v>0</v>
      </c>
      <c r="J1853" s="93"/>
      <c r="K1853" s="85">
        <f t="shared" si="99"/>
        <v>0</v>
      </c>
      <c r="L1853" s="68"/>
      <c r="M1853" s="68"/>
      <c r="P1853" s="89" t="str">
        <f t="shared" si="97"/>
        <v xml:space="preserve">  1 1900 </v>
      </c>
    </row>
    <row r="1854" spans="1:16">
      <c r="A1854" s="68"/>
      <c r="B1854" s="87"/>
      <c r="C1854" s="88"/>
      <c r="D1854" s="88"/>
      <c r="E1854" s="90"/>
      <c r="F1854" s="84" t="str">
        <f ca="1">IF(D1854="Income",LOOKUP(E1854,Introduction!$A$11:$A$18,Introduction!$C$11:$C$18),IF(D1854="Expense",LOOKUP(E1854,Introduction!$D$11:$D$30,Introduction!$F$11:$F$30),"_"))</f>
        <v>_</v>
      </c>
      <c r="G1854" s="88"/>
      <c r="H1854" s="92"/>
      <c r="I1854" s="85">
        <f t="shared" si="98"/>
        <v>0</v>
      </c>
      <c r="J1854" s="93"/>
      <c r="K1854" s="85">
        <f t="shared" si="99"/>
        <v>0</v>
      </c>
      <c r="L1854" s="68"/>
      <c r="M1854" s="68"/>
      <c r="P1854" s="89" t="str">
        <f t="shared" si="97"/>
        <v xml:space="preserve">  1 1900 </v>
      </c>
    </row>
    <row r="1855" spans="1:16">
      <c r="A1855" s="68"/>
      <c r="B1855" s="87"/>
      <c r="C1855" s="88"/>
      <c r="D1855" s="88"/>
      <c r="E1855" s="90"/>
      <c r="F1855" s="84" t="str">
        <f ca="1">IF(D1855="Income",LOOKUP(E1855,Introduction!$A$11:$A$18,Introduction!$C$11:$C$18),IF(D1855="Expense",LOOKUP(E1855,Introduction!$D$11:$D$30,Introduction!$F$11:$F$30),"_"))</f>
        <v>_</v>
      </c>
      <c r="G1855" s="88"/>
      <c r="H1855" s="92"/>
      <c r="I1855" s="85">
        <f t="shared" si="98"/>
        <v>0</v>
      </c>
      <c r="J1855" s="93"/>
      <c r="K1855" s="85">
        <f t="shared" si="99"/>
        <v>0</v>
      </c>
      <c r="L1855" s="68"/>
      <c r="M1855" s="68"/>
      <c r="P1855" s="89" t="str">
        <f t="shared" si="97"/>
        <v xml:space="preserve">  1 1900 </v>
      </c>
    </row>
    <row r="1856" spans="1:16">
      <c r="A1856" s="68"/>
      <c r="B1856" s="87"/>
      <c r="C1856" s="88"/>
      <c r="D1856" s="88"/>
      <c r="E1856" s="90"/>
      <c r="F1856" s="84" t="str">
        <f ca="1">IF(D1856="Income",LOOKUP(E1856,Introduction!$A$11:$A$18,Introduction!$C$11:$C$18),IF(D1856="Expense",LOOKUP(E1856,Introduction!$D$11:$D$30,Introduction!$F$11:$F$30),"_"))</f>
        <v>_</v>
      </c>
      <c r="G1856" s="88"/>
      <c r="H1856" s="92"/>
      <c r="I1856" s="85">
        <f t="shared" si="98"/>
        <v>0</v>
      </c>
      <c r="J1856" s="93"/>
      <c r="K1856" s="85">
        <f t="shared" si="99"/>
        <v>0</v>
      </c>
      <c r="L1856" s="68"/>
      <c r="M1856" s="68"/>
      <c r="P1856" s="89" t="str">
        <f t="shared" si="97"/>
        <v xml:space="preserve">  1 1900 </v>
      </c>
    </row>
    <row r="1857" spans="1:16">
      <c r="A1857" s="68"/>
      <c r="B1857" s="87"/>
      <c r="C1857" s="88"/>
      <c r="D1857" s="88"/>
      <c r="E1857" s="90"/>
      <c r="F1857" s="84" t="str">
        <f ca="1">IF(D1857="Income",LOOKUP(E1857,Introduction!$A$11:$A$18,Introduction!$C$11:$C$18),IF(D1857="Expense",LOOKUP(E1857,Introduction!$D$11:$D$30,Introduction!$F$11:$F$30),"_"))</f>
        <v>_</v>
      </c>
      <c r="G1857" s="88"/>
      <c r="H1857" s="92"/>
      <c r="I1857" s="85">
        <f t="shared" si="98"/>
        <v>0</v>
      </c>
      <c r="J1857" s="93"/>
      <c r="K1857" s="85">
        <f t="shared" si="99"/>
        <v>0</v>
      </c>
      <c r="L1857" s="68"/>
      <c r="M1857" s="68"/>
      <c r="P1857" s="89" t="str">
        <f t="shared" si="97"/>
        <v xml:space="preserve">  1 1900 </v>
      </c>
    </row>
    <row r="1858" spans="1:16">
      <c r="A1858" s="68"/>
      <c r="B1858" s="87"/>
      <c r="C1858" s="88"/>
      <c r="D1858" s="88"/>
      <c r="E1858" s="90"/>
      <c r="F1858" s="84" t="str">
        <f ca="1">IF(D1858="Income",LOOKUP(E1858,Introduction!$A$11:$A$18,Introduction!$C$11:$C$18),IF(D1858="Expense",LOOKUP(E1858,Introduction!$D$11:$D$30,Introduction!$F$11:$F$30),"_"))</f>
        <v>_</v>
      </c>
      <c r="G1858" s="88"/>
      <c r="H1858" s="92"/>
      <c r="I1858" s="85">
        <f t="shared" si="98"/>
        <v>0</v>
      </c>
      <c r="J1858" s="93"/>
      <c r="K1858" s="85">
        <f t="shared" si="99"/>
        <v>0</v>
      </c>
      <c r="L1858" s="68"/>
      <c r="M1858" s="68"/>
      <c r="P1858" s="89" t="str">
        <f t="shared" si="97"/>
        <v xml:space="preserve">  1 1900 </v>
      </c>
    </row>
    <row r="1859" spans="1:16">
      <c r="A1859" s="68"/>
      <c r="B1859" s="87"/>
      <c r="C1859" s="88"/>
      <c r="D1859" s="88"/>
      <c r="E1859" s="90"/>
      <c r="F1859" s="84" t="str">
        <f ca="1">IF(D1859="Income",LOOKUP(E1859,Introduction!$A$11:$A$18,Introduction!$C$11:$C$18),IF(D1859="Expense",LOOKUP(E1859,Introduction!$D$11:$D$30,Introduction!$F$11:$F$30),"_"))</f>
        <v>_</v>
      </c>
      <c r="G1859" s="88"/>
      <c r="H1859" s="92"/>
      <c r="I1859" s="85">
        <f t="shared" si="98"/>
        <v>0</v>
      </c>
      <c r="J1859" s="93"/>
      <c r="K1859" s="85">
        <f t="shared" si="99"/>
        <v>0</v>
      </c>
      <c r="L1859" s="68"/>
      <c r="M1859" s="68"/>
      <c r="P1859" s="89" t="str">
        <f t="shared" si="97"/>
        <v xml:space="preserve">  1 1900 </v>
      </c>
    </row>
    <row r="1860" spans="1:16">
      <c r="A1860" s="68"/>
      <c r="B1860" s="87"/>
      <c r="C1860" s="88"/>
      <c r="D1860" s="88"/>
      <c r="E1860" s="90"/>
      <c r="F1860" s="84" t="str">
        <f ca="1">IF(D1860="Income",LOOKUP(E1860,Introduction!$A$11:$A$18,Introduction!$C$11:$C$18),IF(D1860="Expense",LOOKUP(E1860,Introduction!$D$11:$D$30,Introduction!$F$11:$F$30),"_"))</f>
        <v>_</v>
      </c>
      <c r="G1860" s="88"/>
      <c r="H1860" s="92"/>
      <c r="I1860" s="85">
        <f t="shared" si="98"/>
        <v>0</v>
      </c>
      <c r="J1860" s="93"/>
      <c r="K1860" s="85">
        <f t="shared" si="99"/>
        <v>0</v>
      </c>
      <c r="L1860" s="68"/>
      <c r="M1860" s="68"/>
      <c r="P1860" s="89" t="str">
        <f t="shared" si="97"/>
        <v xml:space="preserve">  1 1900 </v>
      </c>
    </row>
    <row r="1861" spans="1:16">
      <c r="A1861" s="68"/>
      <c r="B1861" s="87"/>
      <c r="C1861" s="88"/>
      <c r="D1861" s="88"/>
      <c r="E1861" s="90"/>
      <c r="F1861" s="84" t="str">
        <f ca="1">IF(D1861="Income",LOOKUP(E1861,Introduction!$A$11:$A$18,Introduction!$C$11:$C$18),IF(D1861="Expense",LOOKUP(E1861,Introduction!$D$11:$D$30,Introduction!$F$11:$F$30),"_"))</f>
        <v>_</v>
      </c>
      <c r="G1861" s="88"/>
      <c r="H1861" s="92"/>
      <c r="I1861" s="85">
        <f t="shared" si="98"/>
        <v>0</v>
      </c>
      <c r="J1861" s="93"/>
      <c r="K1861" s="85">
        <f t="shared" si="99"/>
        <v>0</v>
      </c>
      <c r="L1861" s="68"/>
      <c r="M1861" s="68"/>
      <c r="P1861" s="89" t="str">
        <f t="shared" si="97"/>
        <v xml:space="preserve">  1 1900 </v>
      </c>
    </row>
    <row r="1862" spans="1:16">
      <c r="A1862" s="68"/>
      <c r="B1862" s="87"/>
      <c r="C1862" s="88"/>
      <c r="D1862" s="88"/>
      <c r="E1862" s="90"/>
      <c r="F1862" s="84" t="str">
        <f ca="1">IF(D1862="Income",LOOKUP(E1862,Introduction!$A$11:$A$18,Introduction!$C$11:$C$18),IF(D1862="Expense",LOOKUP(E1862,Introduction!$D$11:$D$30,Introduction!$F$11:$F$30),"_"))</f>
        <v>_</v>
      </c>
      <c r="G1862" s="88"/>
      <c r="H1862" s="92"/>
      <c r="I1862" s="85">
        <f t="shared" si="98"/>
        <v>0</v>
      </c>
      <c r="J1862" s="93"/>
      <c r="K1862" s="85">
        <f t="shared" si="99"/>
        <v>0</v>
      </c>
      <c r="L1862" s="68"/>
      <c r="M1862" s="68"/>
      <c r="P1862" s="89" t="str">
        <f t="shared" si="97"/>
        <v xml:space="preserve">  1 1900 </v>
      </c>
    </row>
    <row r="1863" spans="1:16">
      <c r="A1863" s="68"/>
      <c r="B1863" s="87"/>
      <c r="C1863" s="88"/>
      <c r="D1863" s="88"/>
      <c r="E1863" s="90"/>
      <c r="F1863" s="84" t="str">
        <f ca="1">IF(D1863="Income",LOOKUP(E1863,Introduction!$A$11:$A$18,Introduction!$C$11:$C$18),IF(D1863="Expense",LOOKUP(E1863,Introduction!$D$11:$D$30,Introduction!$F$11:$F$30),"_"))</f>
        <v>_</v>
      </c>
      <c r="G1863" s="88"/>
      <c r="H1863" s="92"/>
      <c r="I1863" s="85">
        <f t="shared" si="98"/>
        <v>0</v>
      </c>
      <c r="J1863" s="93"/>
      <c r="K1863" s="85">
        <f t="shared" si="99"/>
        <v>0</v>
      </c>
      <c r="L1863" s="68"/>
      <c r="M1863" s="68"/>
      <c r="P1863" s="89" t="str">
        <f t="shared" ref="P1863:P1926" si="100">CONCATENATE(D1863," ",E1863," ",MONTH(C1863)," ",YEAR(C1863)," ")</f>
        <v xml:space="preserve">  1 1900 </v>
      </c>
    </row>
    <row r="1864" spans="1:16">
      <c r="A1864" s="68"/>
      <c r="B1864" s="87"/>
      <c r="C1864" s="88"/>
      <c r="D1864" s="88"/>
      <c r="E1864" s="90"/>
      <c r="F1864" s="84" t="str">
        <f ca="1">IF(D1864="Income",LOOKUP(E1864,Introduction!$A$11:$A$18,Introduction!$C$11:$C$18),IF(D1864="Expense",LOOKUP(E1864,Introduction!$D$11:$D$30,Introduction!$F$11:$F$30),"_"))</f>
        <v>_</v>
      </c>
      <c r="G1864" s="88"/>
      <c r="H1864" s="92"/>
      <c r="I1864" s="85">
        <f t="shared" si="98"/>
        <v>0</v>
      </c>
      <c r="J1864" s="93"/>
      <c r="K1864" s="85">
        <f t="shared" si="99"/>
        <v>0</v>
      </c>
      <c r="L1864" s="68"/>
      <c r="M1864" s="68"/>
      <c r="P1864" s="89" t="str">
        <f t="shared" si="100"/>
        <v xml:space="preserve">  1 1900 </v>
      </c>
    </row>
    <row r="1865" spans="1:16">
      <c r="A1865" s="68"/>
      <c r="B1865" s="87"/>
      <c r="C1865" s="88"/>
      <c r="D1865" s="88"/>
      <c r="E1865" s="90"/>
      <c r="F1865" s="84" t="str">
        <f ca="1">IF(D1865="Income",LOOKUP(E1865,Introduction!$A$11:$A$18,Introduction!$C$11:$C$18),IF(D1865="Expense",LOOKUP(E1865,Introduction!$D$11:$D$30,Introduction!$F$11:$F$30),"_"))</f>
        <v>_</v>
      </c>
      <c r="G1865" s="88"/>
      <c r="H1865" s="92"/>
      <c r="I1865" s="85">
        <f t="shared" si="98"/>
        <v>0</v>
      </c>
      <c r="J1865" s="93"/>
      <c r="K1865" s="85">
        <f t="shared" si="99"/>
        <v>0</v>
      </c>
      <c r="L1865" s="68"/>
      <c r="M1865" s="68"/>
      <c r="P1865" s="89" t="str">
        <f t="shared" si="100"/>
        <v xml:space="preserve">  1 1900 </v>
      </c>
    </row>
    <row r="1866" spans="1:16">
      <c r="A1866" s="68"/>
      <c r="B1866" s="87"/>
      <c r="C1866" s="88"/>
      <c r="D1866" s="88"/>
      <c r="E1866" s="90"/>
      <c r="F1866" s="84" t="str">
        <f ca="1">IF(D1866="Income",LOOKUP(E1866,Introduction!$A$11:$A$18,Introduction!$C$11:$C$18),IF(D1866="Expense",LOOKUP(E1866,Introduction!$D$11:$D$30,Introduction!$F$11:$F$30),"_"))</f>
        <v>_</v>
      </c>
      <c r="G1866" s="88"/>
      <c r="H1866" s="92"/>
      <c r="I1866" s="85">
        <f t="shared" si="98"/>
        <v>0</v>
      </c>
      <c r="J1866" s="93"/>
      <c r="K1866" s="85">
        <f t="shared" si="99"/>
        <v>0</v>
      </c>
      <c r="L1866" s="68"/>
      <c r="M1866" s="68"/>
      <c r="P1866" s="89" t="str">
        <f t="shared" si="100"/>
        <v xml:space="preserve">  1 1900 </v>
      </c>
    </row>
    <row r="1867" spans="1:16">
      <c r="A1867" s="68"/>
      <c r="B1867" s="87"/>
      <c r="C1867" s="88"/>
      <c r="D1867" s="88"/>
      <c r="E1867" s="90"/>
      <c r="F1867" s="84" t="str">
        <f ca="1">IF(D1867="Income",LOOKUP(E1867,Introduction!$A$11:$A$18,Introduction!$C$11:$C$18),IF(D1867="Expense",LOOKUP(E1867,Introduction!$D$11:$D$30,Introduction!$F$11:$F$30),"_"))</f>
        <v>_</v>
      </c>
      <c r="G1867" s="88"/>
      <c r="H1867" s="92"/>
      <c r="I1867" s="85">
        <f t="shared" si="98"/>
        <v>0</v>
      </c>
      <c r="J1867" s="93"/>
      <c r="K1867" s="85">
        <f t="shared" si="99"/>
        <v>0</v>
      </c>
      <c r="L1867" s="68"/>
      <c r="M1867" s="68"/>
      <c r="P1867" s="89" t="str">
        <f t="shared" si="100"/>
        <v xml:space="preserve">  1 1900 </v>
      </c>
    </row>
    <row r="1868" spans="1:16">
      <c r="A1868" s="68"/>
      <c r="B1868" s="87"/>
      <c r="C1868" s="88"/>
      <c r="D1868" s="88"/>
      <c r="E1868" s="90"/>
      <c r="F1868" s="84" t="str">
        <f ca="1">IF(D1868="Income",LOOKUP(E1868,Introduction!$A$11:$A$18,Introduction!$C$11:$C$18),IF(D1868="Expense",LOOKUP(E1868,Introduction!$D$11:$D$30,Introduction!$F$11:$F$30),"_"))</f>
        <v>_</v>
      </c>
      <c r="G1868" s="88"/>
      <c r="H1868" s="92"/>
      <c r="I1868" s="85">
        <f t="shared" si="98"/>
        <v>0</v>
      </c>
      <c r="J1868" s="93"/>
      <c r="K1868" s="85">
        <f t="shared" si="99"/>
        <v>0</v>
      </c>
      <c r="L1868" s="68"/>
      <c r="M1868" s="68"/>
      <c r="P1868" s="89" t="str">
        <f t="shared" si="100"/>
        <v xml:space="preserve">  1 1900 </v>
      </c>
    </row>
    <row r="1869" spans="1:16">
      <c r="A1869" s="68"/>
      <c r="B1869" s="87"/>
      <c r="C1869" s="88"/>
      <c r="D1869" s="88"/>
      <c r="E1869" s="90"/>
      <c r="F1869" s="84" t="str">
        <f ca="1">IF(D1869="Income",LOOKUP(E1869,Introduction!$A$11:$A$18,Introduction!$C$11:$C$18),IF(D1869="Expense",LOOKUP(E1869,Introduction!$D$11:$D$30,Introduction!$F$11:$F$30),"_"))</f>
        <v>_</v>
      </c>
      <c r="G1869" s="88"/>
      <c r="H1869" s="92"/>
      <c r="I1869" s="85">
        <f t="shared" si="98"/>
        <v>0</v>
      </c>
      <c r="J1869" s="93"/>
      <c r="K1869" s="85">
        <f t="shared" si="99"/>
        <v>0</v>
      </c>
      <c r="L1869" s="68"/>
      <c r="M1869" s="68"/>
      <c r="P1869" s="89" t="str">
        <f t="shared" si="100"/>
        <v xml:space="preserve">  1 1900 </v>
      </c>
    </row>
    <row r="1870" spans="1:16">
      <c r="A1870" s="68"/>
      <c r="B1870" s="87"/>
      <c r="C1870" s="88"/>
      <c r="D1870" s="88"/>
      <c r="E1870" s="90"/>
      <c r="F1870" s="84" t="str">
        <f ca="1">IF(D1870="Income",LOOKUP(E1870,Introduction!$A$11:$A$18,Introduction!$C$11:$C$18),IF(D1870="Expense",LOOKUP(E1870,Introduction!$D$11:$D$30,Introduction!$F$11:$F$30),"_"))</f>
        <v>_</v>
      </c>
      <c r="G1870" s="88"/>
      <c r="H1870" s="92"/>
      <c r="I1870" s="85">
        <f t="shared" si="98"/>
        <v>0</v>
      </c>
      <c r="J1870" s="93"/>
      <c r="K1870" s="85">
        <f t="shared" si="99"/>
        <v>0</v>
      </c>
      <c r="L1870" s="68"/>
      <c r="M1870" s="68"/>
      <c r="P1870" s="89" t="str">
        <f t="shared" si="100"/>
        <v xml:space="preserve">  1 1900 </v>
      </c>
    </row>
    <row r="1871" spans="1:16">
      <c r="A1871" s="68"/>
      <c r="B1871" s="87"/>
      <c r="C1871" s="88"/>
      <c r="D1871" s="88"/>
      <c r="E1871" s="90"/>
      <c r="F1871" s="84" t="str">
        <f ca="1">IF(D1871="Income",LOOKUP(E1871,Introduction!$A$11:$A$18,Introduction!$C$11:$C$18),IF(D1871="Expense",LOOKUP(E1871,Introduction!$D$11:$D$30,Introduction!$F$11:$F$30),"_"))</f>
        <v>_</v>
      </c>
      <c r="G1871" s="88"/>
      <c r="H1871" s="92"/>
      <c r="I1871" s="85">
        <f t="shared" si="98"/>
        <v>0</v>
      </c>
      <c r="J1871" s="93"/>
      <c r="K1871" s="85">
        <f t="shared" si="99"/>
        <v>0</v>
      </c>
      <c r="L1871" s="68"/>
      <c r="M1871" s="68"/>
      <c r="P1871" s="89" t="str">
        <f t="shared" si="100"/>
        <v xml:space="preserve">  1 1900 </v>
      </c>
    </row>
    <row r="1872" spans="1:16">
      <c r="A1872" s="68"/>
      <c r="B1872" s="87"/>
      <c r="C1872" s="88"/>
      <c r="D1872" s="88"/>
      <c r="E1872" s="90"/>
      <c r="F1872" s="84" t="str">
        <f ca="1">IF(D1872="Income",LOOKUP(E1872,Introduction!$A$11:$A$18,Introduction!$C$11:$C$18),IF(D1872="Expense",LOOKUP(E1872,Introduction!$D$11:$D$30,Introduction!$F$11:$F$30),"_"))</f>
        <v>_</v>
      </c>
      <c r="G1872" s="88"/>
      <c r="H1872" s="92"/>
      <c r="I1872" s="85">
        <f t="shared" si="98"/>
        <v>0</v>
      </c>
      <c r="J1872" s="93"/>
      <c r="K1872" s="85">
        <f t="shared" si="99"/>
        <v>0</v>
      </c>
      <c r="L1872" s="68"/>
      <c r="M1872" s="68"/>
      <c r="P1872" s="89" t="str">
        <f t="shared" si="100"/>
        <v xml:space="preserve">  1 1900 </v>
      </c>
    </row>
    <row r="1873" spans="1:16">
      <c r="A1873" s="68"/>
      <c r="B1873" s="87"/>
      <c r="C1873" s="88"/>
      <c r="D1873" s="88"/>
      <c r="E1873" s="90"/>
      <c r="F1873" s="84" t="str">
        <f ca="1">IF(D1873="Income",LOOKUP(E1873,Introduction!$A$11:$A$18,Introduction!$C$11:$C$18),IF(D1873="Expense",LOOKUP(E1873,Introduction!$D$11:$D$30,Introduction!$F$11:$F$30),"_"))</f>
        <v>_</v>
      </c>
      <c r="G1873" s="88"/>
      <c r="H1873" s="92"/>
      <c r="I1873" s="85">
        <f t="shared" ref="I1873:I1936" si="101">+I1872+H1873</f>
        <v>0</v>
      </c>
      <c r="J1873" s="93"/>
      <c r="K1873" s="85">
        <f t="shared" ref="K1873:K1936" si="102">IF(J1873=1,K1872+H1873,++K1872)</f>
        <v>0</v>
      </c>
      <c r="L1873" s="68"/>
      <c r="M1873" s="68"/>
      <c r="P1873" s="89" t="str">
        <f t="shared" si="100"/>
        <v xml:space="preserve">  1 1900 </v>
      </c>
    </row>
    <row r="1874" spans="1:16">
      <c r="A1874" s="68"/>
      <c r="B1874" s="87"/>
      <c r="C1874" s="88"/>
      <c r="D1874" s="88"/>
      <c r="E1874" s="90"/>
      <c r="F1874" s="84" t="str">
        <f ca="1">IF(D1874="Income",LOOKUP(E1874,Introduction!$A$11:$A$18,Introduction!$C$11:$C$18),IF(D1874="Expense",LOOKUP(E1874,Introduction!$D$11:$D$30,Introduction!$F$11:$F$30),"_"))</f>
        <v>_</v>
      </c>
      <c r="G1874" s="88"/>
      <c r="H1874" s="92"/>
      <c r="I1874" s="85">
        <f t="shared" si="101"/>
        <v>0</v>
      </c>
      <c r="J1874" s="93"/>
      <c r="K1874" s="85">
        <f t="shared" si="102"/>
        <v>0</v>
      </c>
      <c r="L1874" s="68"/>
      <c r="M1874" s="68"/>
      <c r="P1874" s="89" t="str">
        <f t="shared" si="100"/>
        <v xml:space="preserve">  1 1900 </v>
      </c>
    </row>
    <row r="1875" spans="1:16">
      <c r="A1875" s="68"/>
      <c r="B1875" s="87"/>
      <c r="C1875" s="88"/>
      <c r="D1875" s="88"/>
      <c r="E1875" s="90"/>
      <c r="F1875" s="84" t="str">
        <f ca="1">IF(D1875="Income",LOOKUP(E1875,Introduction!$A$11:$A$18,Introduction!$C$11:$C$18),IF(D1875="Expense",LOOKUP(E1875,Introduction!$D$11:$D$30,Introduction!$F$11:$F$30),"_"))</f>
        <v>_</v>
      </c>
      <c r="G1875" s="88"/>
      <c r="H1875" s="92"/>
      <c r="I1875" s="85">
        <f t="shared" si="101"/>
        <v>0</v>
      </c>
      <c r="J1875" s="93"/>
      <c r="K1875" s="85">
        <f t="shared" si="102"/>
        <v>0</v>
      </c>
      <c r="L1875" s="68"/>
      <c r="M1875" s="68"/>
      <c r="P1875" s="89" t="str">
        <f t="shared" si="100"/>
        <v xml:space="preserve">  1 1900 </v>
      </c>
    </row>
    <row r="1876" spans="1:16">
      <c r="A1876" s="68"/>
      <c r="B1876" s="87"/>
      <c r="C1876" s="88"/>
      <c r="D1876" s="88"/>
      <c r="E1876" s="90"/>
      <c r="F1876" s="84" t="str">
        <f ca="1">IF(D1876="Income",LOOKUP(E1876,Introduction!$A$11:$A$18,Introduction!$C$11:$C$18),IF(D1876="Expense",LOOKUP(E1876,Introduction!$D$11:$D$30,Introduction!$F$11:$F$30),"_"))</f>
        <v>_</v>
      </c>
      <c r="G1876" s="88"/>
      <c r="H1876" s="92"/>
      <c r="I1876" s="85">
        <f t="shared" si="101"/>
        <v>0</v>
      </c>
      <c r="J1876" s="93"/>
      <c r="K1876" s="85">
        <f t="shared" si="102"/>
        <v>0</v>
      </c>
      <c r="L1876" s="68"/>
      <c r="M1876" s="68"/>
      <c r="P1876" s="89" t="str">
        <f t="shared" si="100"/>
        <v xml:space="preserve">  1 1900 </v>
      </c>
    </row>
    <row r="1877" spans="1:16">
      <c r="A1877" s="68"/>
      <c r="B1877" s="87"/>
      <c r="C1877" s="88"/>
      <c r="D1877" s="88"/>
      <c r="E1877" s="90"/>
      <c r="F1877" s="84" t="str">
        <f ca="1">IF(D1877="Income",LOOKUP(E1877,Introduction!$A$11:$A$18,Introduction!$C$11:$C$18),IF(D1877="Expense",LOOKUP(E1877,Introduction!$D$11:$D$30,Introduction!$F$11:$F$30),"_"))</f>
        <v>_</v>
      </c>
      <c r="G1877" s="88"/>
      <c r="H1877" s="92"/>
      <c r="I1877" s="85">
        <f t="shared" si="101"/>
        <v>0</v>
      </c>
      <c r="J1877" s="93"/>
      <c r="K1877" s="85">
        <f t="shared" si="102"/>
        <v>0</v>
      </c>
      <c r="L1877" s="68"/>
      <c r="M1877" s="68"/>
      <c r="P1877" s="89" t="str">
        <f t="shared" si="100"/>
        <v xml:space="preserve">  1 1900 </v>
      </c>
    </row>
    <row r="1878" spans="1:16">
      <c r="A1878" s="68"/>
      <c r="B1878" s="87"/>
      <c r="C1878" s="88"/>
      <c r="D1878" s="88"/>
      <c r="E1878" s="90"/>
      <c r="F1878" s="84" t="str">
        <f ca="1">IF(D1878="Income",LOOKUP(E1878,Introduction!$A$11:$A$18,Introduction!$C$11:$C$18),IF(D1878="Expense",LOOKUP(E1878,Introduction!$D$11:$D$30,Introduction!$F$11:$F$30),"_"))</f>
        <v>_</v>
      </c>
      <c r="G1878" s="88"/>
      <c r="H1878" s="92"/>
      <c r="I1878" s="85">
        <f t="shared" si="101"/>
        <v>0</v>
      </c>
      <c r="J1878" s="93"/>
      <c r="K1878" s="85">
        <f t="shared" si="102"/>
        <v>0</v>
      </c>
      <c r="L1878" s="68"/>
      <c r="M1878" s="68"/>
      <c r="P1878" s="89" t="str">
        <f t="shared" si="100"/>
        <v xml:space="preserve">  1 1900 </v>
      </c>
    </row>
    <row r="1879" spans="1:16">
      <c r="A1879" s="68"/>
      <c r="B1879" s="87"/>
      <c r="C1879" s="88"/>
      <c r="D1879" s="88"/>
      <c r="E1879" s="90"/>
      <c r="F1879" s="84" t="str">
        <f ca="1">IF(D1879="Income",LOOKUP(E1879,Introduction!$A$11:$A$18,Introduction!$C$11:$C$18),IF(D1879="Expense",LOOKUP(E1879,Introduction!$D$11:$D$30,Introduction!$F$11:$F$30),"_"))</f>
        <v>_</v>
      </c>
      <c r="G1879" s="88"/>
      <c r="H1879" s="92"/>
      <c r="I1879" s="85">
        <f t="shared" si="101"/>
        <v>0</v>
      </c>
      <c r="J1879" s="93"/>
      <c r="K1879" s="85">
        <f t="shared" si="102"/>
        <v>0</v>
      </c>
      <c r="L1879" s="68"/>
      <c r="M1879" s="68"/>
      <c r="P1879" s="89" t="str">
        <f t="shared" si="100"/>
        <v xml:space="preserve">  1 1900 </v>
      </c>
    </row>
    <row r="1880" spans="1:16">
      <c r="A1880" s="68"/>
      <c r="B1880" s="87"/>
      <c r="C1880" s="88"/>
      <c r="D1880" s="88"/>
      <c r="E1880" s="90"/>
      <c r="F1880" s="84" t="str">
        <f ca="1">IF(D1880="Income",LOOKUP(E1880,Introduction!$A$11:$A$18,Introduction!$C$11:$C$18),IF(D1880="Expense",LOOKUP(E1880,Introduction!$D$11:$D$30,Introduction!$F$11:$F$30),"_"))</f>
        <v>_</v>
      </c>
      <c r="G1880" s="88"/>
      <c r="H1880" s="92"/>
      <c r="I1880" s="85">
        <f t="shared" si="101"/>
        <v>0</v>
      </c>
      <c r="J1880" s="93"/>
      <c r="K1880" s="85">
        <f t="shared" si="102"/>
        <v>0</v>
      </c>
      <c r="L1880" s="68"/>
      <c r="M1880" s="68"/>
      <c r="P1880" s="89" t="str">
        <f t="shared" si="100"/>
        <v xml:space="preserve">  1 1900 </v>
      </c>
    </row>
    <row r="1881" spans="1:16">
      <c r="A1881" s="68"/>
      <c r="B1881" s="87"/>
      <c r="C1881" s="88"/>
      <c r="D1881" s="88"/>
      <c r="E1881" s="90"/>
      <c r="F1881" s="84" t="str">
        <f ca="1">IF(D1881="Income",LOOKUP(E1881,Introduction!$A$11:$A$18,Introduction!$C$11:$C$18),IF(D1881="Expense",LOOKUP(E1881,Introduction!$D$11:$D$30,Introduction!$F$11:$F$30),"_"))</f>
        <v>_</v>
      </c>
      <c r="G1881" s="88"/>
      <c r="H1881" s="92"/>
      <c r="I1881" s="85">
        <f t="shared" si="101"/>
        <v>0</v>
      </c>
      <c r="J1881" s="93"/>
      <c r="K1881" s="85">
        <f t="shared" si="102"/>
        <v>0</v>
      </c>
      <c r="L1881" s="68"/>
      <c r="M1881" s="68"/>
      <c r="P1881" s="89" t="str">
        <f t="shared" si="100"/>
        <v xml:space="preserve">  1 1900 </v>
      </c>
    </row>
    <row r="1882" spans="1:16">
      <c r="A1882" s="68"/>
      <c r="B1882" s="87"/>
      <c r="C1882" s="88"/>
      <c r="D1882" s="88"/>
      <c r="E1882" s="90"/>
      <c r="F1882" s="84" t="str">
        <f ca="1">IF(D1882="Income",LOOKUP(E1882,Introduction!$A$11:$A$18,Introduction!$C$11:$C$18),IF(D1882="Expense",LOOKUP(E1882,Introduction!$D$11:$D$30,Introduction!$F$11:$F$30),"_"))</f>
        <v>_</v>
      </c>
      <c r="G1882" s="88"/>
      <c r="H1882" s="92"/>
      <c r="I1882" s="85">
        <f t="shared" si="101"/>
        <v>0</v>
      </c>
      <c r="J1882" s="93"/>
      <c r="K1882" s="85">
        <f t="shared" si="102"/>
        <v>0</v>
      </c>
      <c r="L1882" s="68"/>
      <c r="M1882" s="68"/>
      <c r="P1882" s="89" t="str">
        <f t="shared" si="100"/>
        <v xml:space="preserve">  1 1900 </v>
      </c>
    </row>
    <row r="1883" spans="1:16">
      <c r="A1883" s="68"/>
      <c r="B1883" s="87"/>
      <c r="C1883" s="88"/>
      <c r="D1883" s="88"/>
      <c r="E1883" s="90"/>
      <c r="F1883" s="84" t="str">
        <f ca="1">IF(D1883="Income",LOOKUP(E1883,Introduction!$A$11:$A$18,Introduction!$C$11:$C$18),IF(D1883="Expense",LOOKUP(E1883,Introduction!$D$11:$D$30,Introduction!$F$11:$F$30),"_"))</f>
        <v>_</v>
      </c>
      <c r="G1883" s="88"/>
      <c r="H1883" s="92"/>
      <c r="I1883" s="85">
        <f t="shared" si="101"/>
        <v>0</v>
      </c>
      <c r="J1883" s="93"/>
      <c r="K1883" s="85">
        <f t="shared" si="102"/>
        <v>0</v>
      </c>
      <c r="L1883" s="68"/>
      <c r="M1883" s="68"/>
      <c r="P1883" s="89" t="str">
        <f t="shared" si="100"/>
        <v xml:space="preserve">  1 1900 </v>
      </c>
    </row>
    <row r="1884" spans="1:16">
      <c r="A1884" s="68"/>
      <c r="B1884" s="87"/>
      <c r="C1884" s="88"/>
      <c r="D1884" s="88"/>
      <c r="E1884" s="90"/>
      <c r="F1884" s="84" t="str">
        <f ca="1">IF(D1884="Income",LOOKUP(E1884,Introduction!$A$11:$A$18,Introduction!$C$11:$C$18),IF(D1884="Expense",LOOKUP(E1884,Introduction!$D$11:$D$30,Introduction!$F$11:$F$30),"_"))</f>
        <v>_</v>
      </c>
      <c r="G1884" s="88"/>
      <c r="H1884" s="92"/>
      <c r="I1884" s="85">
        <f t="shared" si="101"/>
        <v>0</v>
      </c>
      <c r="J1884" s="93"/>
      <c r="K1884" s="85">
        <f t="shared" si="102"/>
        <v>0</v>
      </c>
      <c r="L1884" s="68"/>
      <c r="M1884" s="68"/>
      <c r="P1884" s="89" t="str">
        <f t="shared" si="100"/>
        <v xml:space="preserve">  1 1900 </v>
      </c>
    </row>
    <row r="1885" spans="1:16">
      <c r="A1885" s="68"/>
      <c r="B1885" s="87"/>
      <c r="C1885" s="88"/>
      <c r="D1885" s="88"/>
      <c r="E1885" s="90"/>
      <c r="F1885" s="84" t="str">
        <f ca="1">IF(D1885="Income",LOOKUP(E1885,Introduction!$A$11:$A$18,Introduction!$C$11:$C$18),IF(D1885="Expense",LOOKUP(E1885,Introduction!$D$11:$D$30,Introduction!$F$11:$F$30),"_"))</f>
        <v>_</v>
      </c>
      <c r="G1885" s="88"/>
      <c r="H1885" s="92"/>
      <c r="I1885" s="85">
        <f t="shared" si="101"/>
        <v>0</v>
      </c>
      <c r="J1885" s="93"/>
      <c r="K1885" s="85">
        <f t="shared" si="102"/>
        <v>0</v>
      </c>
      <c r="L1885" s="68"/>
      <c r="M1885" s="68"/>
      <c r="P1885" s="89" t="str">
        <f t="shared" si="100"/>
        <v xml:space="preserve">  1 1900 </v>
      </c>
    </row>
    <row r="1886" spans="1:16">
      <c r="A1886" s="68"/>
      <c r="B1886" s="87"/>
      <c r="C1886" s="88"/>
      <c r="D1886" s="88"/>
      <c r="E1886" s="90"/>
      <c r="F1886" s="84" t="str">
        <f ca="1">IF(D1886="Income",LOOKUP(E1886,Introduction!$A$11:$A$18,Introduction!$C$11:$C$18),IF(D1886="Expense",LOOKUP(E1886,Introduction!$D$11:$D$30,Introduction!$F$11:$F$30),"_"))</f>
        <v>_</v>
      </c>
      <c r="G1886" s="88"/>
      <c r="H1886" s="92"/>
      <c r="I1886" s="85">
        <f t="shared" si="101"/>
        <v>0</v>
      </c>
      <c r="J1886" s="93"/>
      <c r="K1886" s="85">
        <f t="shared" si="102"/>
        <v>0</v>
      </c>
      <c r="L1886" s="68"/>
      <c r="M1886" s="68"/>
      <c r="P1886" s="89" t="str">
        <f t="shared" si="100"/>
        <v xml:space="preserve">  1 1900 </v>
      </c>
    </row>
    <row r="1887" spans="1:16">
      <c r="A1887" s="68"/>
      <c r="B1887" s="87"/>
      <c r="C1887" s="88"/>
      <c r="D1887" s="88"/>
      <c r="E1887" s="90"/>
      <c r="F1887" s="84" t="str">
        <f ca="1">IF(D1887="Income",LOOKUP(E1887,Introduction!$A$11:$A$18,Introduction!$C$11:$C$18),IF(D1887="Expense",LOOKUP(E1887,Introduction!$D$11:$D$30,Introduction!$F$11:$F$30),"_"))</f>
        <v>_</v>
      </c>
      <c r="G1887" s="88"/>
      <c r="H1887" s="92"/>
      <c r="I1887" s="85">
        <f t="shared" si="101"/>
        <v>0</v>
      </c>
      <c r="J1887" s="93"/>
      <c r="K1887" s="85">
        <f t="shared" si="102"/>
        <v>0</v>
      </c>
      <c r="L1887" s="68"/>
      <c r="M1887" s="68"/>
      <c r="P1887" s="89" t="str">
        <f t="shared" si="100"/>
        <v xml:space="preserve">  1 1900 </v>
      </c>
    </row>
    <row r="1888" spans="1:16">
      <c r="A1888" s="68"/>
      <c r="B1888" s="87"/>
      <c r="C1888" s="88"/>
      <c r="D1888" s="88"/>
      <c r="E1888" s="90"/>
      <c r="F1888" s="84" t="str">
        <f ca="1">IF(D1888="Income",LOOKUP(E1888,Introduction!$A$11:$A$18,Introduction!$C$11:$C$18),IF(D1888="Expense",LOOKUP(E1888,Introduction!$D$11:$D$30,Introduction!$F$11:$F$30),"_"))</f>
        <v>_</v>
      </c>
      <c r="G1888" s="88"/>
      <c r="H1888" s="92"/>
      <c r="I1888" s="85">
        <f t="shared" si="101"/>
        <v>0</v>
      </c>
      <c r="J1888" s="93"/>
      <c r="K1888" s="85">
        <f t="shared" si="102"/>
        <v>0</v>
      </c>
      <c r="L1888" s="68"/>
      <c r="M1888" s="68"/>
      <c r="P1888" s="89" t="str">
        <f t="shared" si="100"/>
        <v xml:space="preserve">  1 1900 </v>
      </c>
    </row>
    <row r="1889" spans="1:16">
      <c r="A1889" s="68"/>
      <c r="B1889" s="87"/>
      <c r="C1889" s="88"/>
      <c r="D1889" s="88"/>
      <c r="E1889" s="90"/>
      <c r="F1889" s="84" t="str">
        <f ca="1">IF(D1889="Income",LOOKUP(E1889,Introduction!$A$11:$A$18,Introduction!$C$11:$C$18),IF(D1889="Expense",LOOKUP(E1889,Introduction!$D$11:$D$30,Introduction!$F$11:$F$30),"_"))</f>
        <v>_</v>
      </c>
      <c r="G1889" s="88"/>
      <c r="H1889" s="92"/>
      <c r="I1889" s="85">
        <f t="shared" si="101"/>
        <v>0</v>
      </c>
      <c r="J1889" s="93"/>
      <c r="K1889" s="85">
        <f t="shared" si="102"/>
        <v>0</v>
      </c>
      <c r="L1889" s="68"/>
      <c r="M1889" s="68"/>
      <c r="P1889" s="89" t="str">
        <f t="shared" si="100"/>
        <v xml:space="preserve">  1 1900 </v>
      </c>
    </row>
    <row r="1890" spans="1:16">
      <c r="A1890" s="68"/>
      <c r="B1890" s="87"/>
      <c r="C1890" s="88"/>
      <c r="D1890" s="88"/>
      <c r="E1890" s="90"/>
      <c r="F1890" s="84" t="str">
        <f ca="1">IF(D1890="Income",LOOKUP(E1890,Introduction!$A$11:$A$18,Introduction!$C$11:$C$18),IF(D1890="Expense",LOOKUP(E1890,Introduction!$D$11:$D$30,Introduction!$F$11:$F$30),"_"))</f>
        <v>_</v>
      </c>
      <c r="G1890" s="88"/>
      <c r="H1890" s="92"/>
      <c r="I1890" s="85">
        <f t="shared" si="101"/>
        <v>0</v>
      </c>
      <c r="J1890" s="93"/>
      <c r="K1890" s="85">
        <f t="shared" si="102"/>
        <v>0</v>
      </c>
      <c r="L1890" s="68"/>
      <c r="M1890" s="68"/>
      <c r="P1890" s="89" t="str">
        <f t="shared" si="100"/>
        <v xml:space="preserve">  1 1900 </v>
      </c>
    </row>
    <row r="1891" spans="1:16">
      <c r="A1891" s="68"/>
      <c r="B1891" s="87"/>
      <c r="C1891" s="88"/>
      <c r="D1891" s="88"/>
      <c r="E1891" s="90"/>
      <c r="F1891" s="84" t="str">
        <f ca="1">IF(D1891="Income",LOOKUP(E1891,Introduction!$A$11:$A$18,Introduction!$C$11:$C$18),IF(D1891="Expense",LOOKUP(E1891,Introduction!$D$11:$D$30,Introduction!$F$11:$F$30),"_"))</f>
        <v>_</v>
      </c>
      <c r="G1891" s="88"/>
      <c r="H1891" s="92"/>
      <c r="I1891" s="85">
        <f t="shared" si="101"/>
        <v>0</v>
      </c>
      <c r="J1891" s="93"/>
      <c r="K1891" s="85">
        <f t="shared" si="102"/>
        <v>0</v>
      </c>
      <c r="L1891" s="68"/>
      <c r="M1891" s="68"/>
      <c r="P1891" s="89" t="str">
        <f t="shared" si="100"/>
        <v xml:space="preserve">  1 1900 </v>
      </c>
    </row>
    <row r="1892" spans="1:16">
      <c r="A1892" s="68"/>
      <c r="B1892" s="87"/>
      <c r="C1892" s="88"/>
      <c r="D1892" s="88"/>
      <c r="E1892" s="90"/>
      <c r="F1892" s="84" t="str">
        <f ca="1">IF(D1892="Income",LOOKUP(E1892,Introduction!$A$11:$A$18,Introduction!$C$11:$C$18),IF(D1892="Expense",LOOKUP(E1892,Introduction!$D$11:$D$30,Introduction!$F$11:$F$30),"_"))</f>
        <v>_</v>
      </c>
      <c r="G1892" s="88"/>
      <c r="H1892" s="92"/>
      <c r="I1892" s="85">
        <f t="shared" si="101"/>
        <v>0</v>
      </c>
      <c r="J1892" s="93"/>
      <c r="K1892" s="85">
        <f t="shared" si="102"/>
        <v>0</v>
      </c>
      <c r="L1892" s="68"/>
      <c r="M1892" s="68"/>
      <c r="P1892" s="89" t="str">
        <f t="shared" si="100"/>
        <v xml:space="preserve">  1 1900 </v>
      </c>
    </row>
    <row r="1893" spans="1:16">
      <c r="A1893" s="68"/>
      <c r="B1893" s="87"/>
      <c r="C1893" s="88"/>
      <c r="D1893" s="88"/>
      <c r="E1893" s="90"/>
      <c r="F1893" s="84" t="str">
        <f ca="1">IF(D1893="Income",LOOKUP(E1893,Introduction!$A$11:$A$18,Introduction!$C$11:$C$18),IF(D1893="Expense",LOOKUP(E1893,Introduction!$D$11:$D$30,Introduction!$F$11:$F$30),"_"))</f>
        <v>_</v>
      </c>
      <c r="G1893" s="88"/>
      <c r="H1893" s="92"/>
      <c r="I1893" s="85">
        <f t="shared" si="101"/>
        <v>0</v>
      </c>
      <c r="J1893" s="93"/>
      <c r="K1893" s="85">
        <f t="shared" si="102"/>
        <v>0</v>
      </c>
      <c r="L1893" s="68"/>
      <c r="M1893" s="68"/>
      <c r="P1893" s="89" t="str">
        <f t="shared" si="100"/>
        <v xml:space="preserve">  1 1900 </v>
      </c>
    </row>
    <row r="1894" spans="1:16">
      <c r="A1894" s="68"/>
      <c r="B1894" s="87"/>
      <c r="C1894" s="88"/>
      <c r="D1894" s="88"/>
      <c r="E1894" s="90"/>
      <c r="F1894" s="84" t="str">
        <f ca="1">IF(D1894="Income",LOOKUP(E1894,Introduction!$A$11:$A$18,Introduction!$C$11:$C$18),IF(D1894="Expense",LOOKUP(E1894,Introduction!$D$11:$D$30,Introduction!$F$11:$F$30),"_"))</f>
        <v>_</v>
      </c>
      <c r="G1894" s="88"/>
      <c r="H1894" s="92"/>
      <c r="I1894" s="85">
        <f t="shared" si="101"/>
        <v>0</v>
      </c>
      <c r="J1894" s="93"/>
      <c r="K1894" s="85">
        <f t="shared" si="102"/>
        <v>0</v>
      </c>
      <c r="L1894" s="68"/>
      <c r="M1894" s="68"/>
      <c r="P1894" s="89" t="str">
        <f t="shared" si="100"/>
        <v xml:space="preserve">  1 1900 </v>
      </c>
    </row>
    <row r="1895" spans="1:16">
      <c r="A1895" s="68"/>
      <c r="B1895" s="87"/>
      <c r="C1895" s="88"/>
      <c r="D1895" s="88"/>
      <c r="E1895" s="90"/>
      <c r="F1895" s="84" t="str">
        <f ca="1">IF(D1895="Income",LOOKUP(E1895,Introduction!$A$11:$A$18,Introduction!$C$11:$C$18),IF(D1895="Expense",LOOKUP(E1895,Introduction!$D$11:$D$30,Introduction!$F$11:$F$30),"_"))</f>
        <v>_</v>
      </c>
      <c r="G1895" s="88"/>
      <c r="H1895" s="92"/>
      <c r="I1895" s="85">
        <f t="shared" si="101"/>
        <v>0</v>
      </c>
      <c r="J1895" s="93"/>
      <c r="K1895" s="85">
        <f t="shared" si="102"/>
        <v>0</v>
      </c>
      <c r="L1895" s="68"/>
      <c r="M1895" s="68"/>
      <c r="P1895" s="89" t="str">
        <f t="shared" si="100"/>
        <v xml:space="preserve">  1 1900 </v>
      </c>
    </row>
    <row r="1896" spans="1:16">
      <c r="A1896" s="68"/>
      <c r="B1896" s="87"/>
      <c r="C1896" s="88"/>
      <c r="D1896" s="88"/>
      <c r="E1896" s="90"/>
      <c r="F1896" s="84" t="str">
        <f ca="1">IF(D1896="Income",LOOKUP(E1896,Introduction!$A$11:$A$18,Introduction!$C$11:$C$18),IF(D1896="Expense",LOOKUP(E1896,Introduction!$D$11:$D$30,Introduction!$F$11:$F$30),"_"))</f>
        <v>_</v>
      </c>
      <c r="G1896" s="88"/>
      <c r="H1896" s="92"/>
      <c r="I1896" s="85">
        <f t="shared" si="101"/>
        <v>0</v>
      </c>
      <c r="J1896" s="93"/>
      <c r="K1896" s="85">
        <f t="shared" si="102"/>
        <v>0</v>
      </c>
      <c r="L1896" s="68"/>
      <c r="M1896" s="68"/>
      <c r="P1896" s="89" t="str">
        <f t="shared" si="100"/>
        <v xml:space="preserve">  1 1900 </v>
      </c>
    </row>
    <row r="1897" spans="1:16">
      <c r="A1897" s="68"/>
      <c r="B1897" s="87"/>
      <c r="C1897" s="88"/>
      <c r="D1897" s="88"/>
      <c r="E1897" s="90"/>
      <c r="F1897" s="84" t="str">
        <f ca="1">IF(D1897="Income",LOOKUP(E1897,Introduction!$A$11:$A$18,Introduction!$C$11:$C$18),IF(D1897="Expense",LOOKUP(E1897,Introduction!$D$11:$D$30,Introduction!$F$11:$F$30),"_"))</f>
        <v>_</v>
      </c>
      <c r="G1897" s="88"/>
      <c r="H1897" s="92"/>
      <c r="I1897" s="85">
        <f t="shared" si="101"/>
        <v>0</v>
      </c>
      <c r="J1897" s="93"/>
      <c r="K1897" s="85">
        <f t="shared" si="102"/>
        <v>0</v>
      </c>
      <c r="L1897" s="68"/>
      <c r="M1897" s="68"/>
      <c r="P1897" s="89" t="str">
        <f t="shared" si="100"/>
        <v xml:space="preserve">  1 1900 </v>
      </c>
    </row>
    <row r="1898" spans="1:16">
      <c r="A1898" s="68"/>
      <c r="B1898" s="87"/>
      <c r="C1898" s="88"/>
      <c r="D1898" s="88"/>
      <c r="E1898" s="90"/>
      <c r="F1898" s="84" t="str">
        <f ca="1">IF(D1898="Income",LOOKUP(E1898,Introduction!$A$11:$A$18,Introduction!$C$11:$C$18),IF(D1898="Expense",LOOKUP(E1898,Introduction!$D$11:$D$30,Introduction!$F$11:$F$30),"_"))</f>
        <v>_</v>
      </c>
      <c r="G1898" s="88"/>
      <c r="H1898" s="92"/>
      <c r="I1898" s="85">
        <f t="shared" si="101"/>
        <v>0</v>
      </c>
      <c r="J1898" s="93"/>
      <c r="K1898" s="85">
        <f t="shared" si="102"/>
        <v>0</v>
      </c>
      <c r="L1898" s="68"/>
      <c r="M1898" s="68"/>
      <c r="P1898" s="89" t="str">
        <f t="shared" si="100"/>
        <v xml:space="preserve">  1 1900 </v>
      </c>
    </row>
    <row r="1899" spans="1:16">
      <c r="A1899" s="68"/>
      <c r="B1899" s="87"/>
      <c r="C1899" s="88"/>
      <c r="D1899" s="88"/>
      <c r="E1899" s="90"/>
      <c r="F1899" s="84" t="str">
        <f ca="1">IF(D1899="Income",LOOKUP(E1899,Introduction!$A$11:$A$18,Introduction!$C$11:$C$18),IF(D1899="Expense",LOOKUP(E1899,Introduction!$D$11:$D$30,Introduction!$F$11:$F$30),"_"))</f>
        <v>_</v>
      </c>
      <c r="G1899" s="88"/>
      <c r="H1899" s="92"/>
      <c r="I1899" s="85">
        <f t="shared" si="101"/>
        <v>0</v>
      </c>
      <c r="J1899" s="93"/>
      <c r="K1899" s="85">
        <f t="shared" si="102"/>
        <v>0</v>
      </c>
      <c r="L1899" s="68"/>
      <c r="M1899" s="68"/>
      <c r="P1899" s="89" t="str">
        <f t="shared" si="100"/>
        <v xml:space="preserve">  1 1900 </v>
      </c>
    </row>
    <row r="1900" spans="1:16">
      <c r="A1900" s="68"/>
      <c r="B1900" s="87"/>
      <c r="C1900" s="88"/>
      <c r="D1900" s="88"/>
      <c r="E1900" s="90"/>
      <c r="F1900" s="84" t="str">
        <f ca="1">IF(D1900="Income",LOOKUP(E1900,Introduction!$A$11:$A$18,Introduction!$C$11:$C$18),IF(D1900="Expense",LOOKUP(E1900,Introduction!$D$11:$D$30,Introduction!$F$11:$F$30),"_"))</f>
        <v>_</v>
      </c>
      <c r="G1900" s="88"/>
      <c r="H1900" s="92"/>
      <c r="I1900" s="85">
        <f t="shared" si="101"/>
        <v>0</v>
      </c>
      <c r="J1900" s="93"/>
      <c r="K1900" s="85">
        <f t="shared" si="102"/>
        <v>0</v>
      </c>
      <c r="L1900" s="68"/>
      <c r="M1900" s="68"/>
      <c r="P1900" s="89" t="str">
        <f t="shared" si="100"/>
        <v xml:space="preserve">  1 1900 </v>
      </c>
    </row>
    <row r="1901" spans="1:16">
      <c r="A1901" s="68"/>
      <c r="B1901" s="87"/>
      <c r="C1901" s="88"/>
      <c r="D1901" s="88"/>
      <c r="E1901" s="90"/>
      <c r="F1901" s="84" t="str">
        <f ca="1">IF(D1901="Income",LOOKUP(E1901,Introduction!$A$11:$A$18,Introduction!$C$11:$C$18),IF(D1901="Expense",LOOKUP(E1901,Introduction!$D$11:$D$30,Introduction!$F$11:$F$30),"_"))</f>
        <v>_</v>
      </c>
      <c r="G1901" s="88"/>
      <c r="H1901" s="92"/>
      <c r="I1901" s="85">
        <f t="shared" si="101"/>
        <v>0</v>
      </c>
      <c r="J1901" s="93"/>
      <c r="K1901" s="85">
        <f t="shared" si="102"/>
        <v>0</v>
      </c>
      <c r="L1901" s="68"/>
      <c r="M1901" s="68"/>
      <c r="P1901" s="89" t="str">
        <f t="shared" si="100"/>
        <v xml:space="preserve">  1 1900 </v>
      </c>
    </row>
    <row r="1902" spans="1:16">
      <c r="A1902" s="68"/>
      <c r="B1902" s="87"/>
      <c r="C1902" s="88"/>
      <c r="D1902" s="88"/>
      <c r="E1902" s="90"/>
      <c r="F1902" s="84" t="str">
        <f ca="1">IF(D1902="Income",LOOKUP(E1902,Introduction!$A$11:$A$18,Introduction!$C$11:$C$18),IF(D1902="Expense",LOOKUP(E1902,Introduction!$D$11:$D$30,Introduction!$F$11:$F$30),"_"))</f>
        <v>_</v>
      </c>
      <c r="G1902" s="88"/>
      <c r="H1902" s="92"/>
      <c r="I1902" s="85">
        <f t="shared" si="101"/>
        <v>0</v>
      </c>
      <c r="J1902" s="93"/>
      <c r="K1902" s="85">
        <f t="shared" si="102"/>
        <v>0</v>
      </c>
      <c r="L1902" s="68"/>
      <c r="M1902" s="68"/>
      <c r="P1902" s="89" t="str">
        <f t="shared" si="100"/>
        <v xml:space="preserve">  1 1900 </v>
      </c>
    </row>
    <row r="1903" spans="1:16">
      <c r="A1903" s="68"/>
      <c r="B1903" s="87"/>
      <c r="C1903" s="88"/>
      <c r="D1903" s="88"/>
      <c r="E1903" s="90"/>
      <c r="F1903" s="84" t="str">
        <f ca="1">IF(D1903="Income",LOOKUP(E1903,Introduction!$A$11:$A$18,Introduction!$C$11:$C$18),IF(D1903="Expense",LOOKUP(E1903,Introduction!$D$11:$D$30,Introduction!$F$11:$F$30),"_"))</f>
        <v>_</v>
      </c>
      <c r="G1903" s="88"/>
      <c r="H1903" s="92"/>
      <c r="I1903" s="85">
        <f t="shared" si="101"/>
        <v>0</v>
      </c>
      <c r="J1903" s="93"/>
      <c r="K1903" s="85">
        <f t="shared" si="102"/>
        <v>0</v>
      </c>
      <c r="L1903" s="68"/>
      <c r="M1903" s="68"/>
      <c r="P1903" s="89" t="str">
        <f t="shared" si="100"/>
        <v xml:space="preserve">  1 1900 </v>
      </c>
    </row>
    <row r="1904" spans="1:16">
      <c r="A1904" s="68"/>
      <c r="B1904" s="87"/>
      <c r="C1904" s="88"/>
      <c r="D1904" s="88"/>
      <c r="E1904" s="90"/>
      <c r="F1904" s="84" t="str">
        <f ca="1">IF(D1904="Income",LOOKUP(E1904,Introduction!$A$11:$A$18,Introduction!$C$11:$C$18),IF(D1904="Expense",LOOKUP(E1904,Introduction!$D$11:$D$30,Introduction!$F$11:$F$30),"_"))</f>
        <v>_</v>
      </c>
      <c r="G1904" s="88"/>
      <c r="H1904" s="92"/>
      <c r="I1904" s="85">
        <f t="shared" si="101"/>
        <v>0</v>
      </c>
      <c r="J1904" s="93"/>
      <c r="K1904" s="85">
        <f t="shared" si="102"/>
        <v>0</v>
      </c>
      <c r="L1904" s="68"/>
      <c r="M1904" s="68"/>
      <c r="P1904" s="89" t="str">
        <f t="shared" si="100"/>
        <v xml:space="preserve">  1 1900 </v>
      </c>
    </row>
    <row r="1905" spans="1:16">
      <c r="A1905" s="68"/>
      <c r="B1905" s="87"/>
      <c r="C1905" s="88"/>
      <c r="D1905" s="88"/>
      <c r="E1905" s="90"/>
      <c r="F1905" s="84" t="str">
        <f ca="1">IF(D1905="Income",LOOKUP(E1905,Introduction!$A$11:$A$18,Introduction!$C$11:$C$18),IF(D1905="Expense",LOOKUP(E1905,Introduction!$D$11:$D$30,Introduction!$F$11:$F$30),"_"))</f>
        <v>_</v>
      </c>
      <c r="G1905" s="88"/>
      <c r="H1905" s="92"/>
      <c r="I1905" s="85">
        <f t="shared" si="101"/>
        <v>0</v>
      </c>
      <c r="J1905" s="93"/>
      <c r="K1905" s="85">
        <f t="shared" si="102"/>
        <v>0</v>
      </c>
      <c r="L1905" s="68"/>
      <c r="M1905" s="68"/>
      <c r="P1905" s="89" t="str">
        <f t="shared" si="100"/>
        <v xml:space="preserve">  1 1900 </v>
      </c>
    </row>
    <row r="1906" spans="1:16">
      <c r="A1906" s="68"/>
      <c r="B1906" s="87"/>
      <c r="C1906" s="88"/>
      <c r="D1906" s="88"/>
      <c r="E1906" s="90"/>
      <c r="F1906" s="84" t="str">
        <f ca="1">IF(D1906="Income",LOOKUP(E1906,Introduction!$A$11:$A$18,Introduction!$C$11:$C$18),IF(D1906="Expense",LOOKUP(E1906,Introduction!$D$11:$D$30,Introduction!$F$11:$F$30),"_"))</f>
        <v>_</v>
      </c>
      <c r="G1906" s="88"/>
      <c r="H1906" s="92"/>
      <c r="I1906" s="85">
        <f t="shared" si="101"/>
        <v>0</v>
      </c>
      <c r="J1906" s="93"/>
      <c r="K1906" s="85">
        <f t="shared" si="102"/>
        <v>0</v>
      </c>
      <c r="L1906" s="68"/>
      <c r="M1906" s="68"/>
      <c r="P1906" s="89" t="str">
        <f t="shared" si="100"/>
        <v xml:space="preserve">  1 1900 </v>
      </c>
    </row>
    <row r="1907" spans="1:16">
      <c r="A1907" s="68"/>
      <c r="B1907" s="87"/>
      <c r="C1907" s="88"/>
      <c r="D1907" s="88"/>
      <c r="E1907" s="90"/>
      <c r="F1907" s="84" t="str">
        <f ca="1">IF(D1907="Income",LOOKUP(E1907,Introduction!$A$11:$A$18,Introduction!$C$11:$C$18),IF(D1907="Expense",LOOKUP(E1907,Introduction!$D$11:$D$30,Introduction!$F$11:$F$30),"_"))</f>
        <v>_</v>
      </c>
      <c r="G1907" s="88"/>
      <c r="H1907" s="92"/>
      <c r="I1907" s="85">
        <f t="shared" si="101"/>
        <v>0</v>
      </c>
      <c r="J1907" s="93"/>
      <c r="K1907" s="85">
        <f t="shared" si="102"/>
        <v>0</v>
      </c>
      <c r="L1907" s="68"/>
      <c r="M1907" s="68"/>
      <c r="P1907" s="89" t="str">
        <f t="shared" si="100"/>
        <v xml:space="preserve">  1 1900 </v>
      </c>
    </row>
    <row r="1908" spans="1:16">
      <c r="A1908" s="68"/>
      <c r="B1908" s="87"/>
      <c r="C1908" s="88"/>
      <c r="D1908" s="88"/>
      <c r="E1908" s="90"/>
      <c r="F1908" s="84" t="str">
        <f ca="1">IF(D1908="Income",LOOKUP(E1908,Introduction!$A$11:$A$18,Introduction!$C$11:$C$18),IF(D1908="Expense",LOOKUP(E1908,Introduction!$D$11:$D$30,Introduction!$F$11:$F$30),"_"))</f>
        <v>_</v>
      </c>
      <c r="G1908" s="88"/>
      <c r="H1908" s="92"/>
      <c r="I1908" s="85">
        <f t="shared" si="101"/>
        <v>0</v>
      </c>
      <c r="J1908" s="93"/>
      <c r="K1908" s="85">
        <f t="shared" si="102"/>
        <v>0</v>
      </c>
      <c r="L1908" s="68"/>
      <c r="M1908" s="68"/>
      <c r="P1908" s="89" t="str">
        <f t="shared" si="100"/>
        <v xml:space="preserve">  1 1900 </v>
      </c>
    </row>
    <row r="1909" spans="1:16">
      <c r="A1909" s="68"/>
      <c r="B1909" s="87"/>
      <c r="C1909" s="88"/>
      <c r="D1909" s="88"/>
      <c r="E1909" s="90"/>
      <c r="F1909" s="84" t="str">
        <f ca="1">IF(D1909="Income",LOOKUP(E1909,Introduction!$A$11:$A$18,Introduction!$C$11:$C$18),IF(D1909="Expense",LOOKUP(E1909,Introduction!$D$11:$D$30,Introduction!$F$11:$F$30),"_"))</f>
        <v>_</v>
      </c>
      <c r="G1909" s="88"/>
      <c r="H1909" s="92"/>
      <c r="I1909" s="85">
        <f t="shared" si="101"/>
        <v>0</v>
      </c>
      <c r="J1909" s="93"/>
      <c r="K1909" s="85">
        <f t="shared" si="102"/>
        <v>0</v>
      </c>
      <c r="L1909" s="68"/>
      <c r="M1909" s="68"/>
      <c r="P1909" s="89" t="str">
        <f t="shared" si="100"/>
        <v xml:space="preserve">  1 1900 </v>
      </c>
    </row>
    <row r="1910" spans="1:16">
      <c r="A1910" s="68"/>
      <c r="B1910" s="87"/>
      <c r="C1910" s="88"/>
      <c r="D1910" s="88"/>
      <c r="E1910" s="90"/>
      <c r="F1910" s="84" t="str">
        <f ca="1">IF(D1910="Income",LOOKUP(E1910,Introduction!$A$11:$A$18,Introduction!$C$11:$C$18),IF(D1910="Expense",LOOKUP(E1910,Introduction!$D$11:$D$30,Introduction!$F$11:$F$30),"_"))</f>
        <v>_</v>
      </c>
      <c r="G1910" s="88"/>
      <c r="H1910" s="92"/>
      <c r="I1910" s="85">
        <f t="shared" si="101"/>
        <v>0</v>
      </c>
      <c r="J1910" s="93"/>
      <c r="K1910" s="85">
        <f t="shared" si="102"/>
        <v>0</v>
      </c>
      <c r="L1910" s="68"/>
      <c r="M1910" s="68"/>
      <c r="P1910" s="89" t="str">
        <f t="shared" si="100"/>
        <v xml:space="preserve">  1 1900 </v>
      </c>
    </row>
    <row r="1911" spans="1:16">
      <c r="A1911" s="68"/>
      <c r="B1911" s="87"/>
      <c r="C1911" s="88"/>
      <c r="D1911" s="88"/>
      <c r="E1911" s="90"/>
      <c r="F1911" s="84" t="str">
        <f ca="1">IF(D1911="Income",LOOKUP(E1911,Introduction!$A$11:$A$18,Introduction!$C$11:$C$18),IF(D1911="Expense",LOOKUP(E1911,Introduction!$D$11:$D$30,Introduction!$F$11:$F$30),"_"))</f>
        <v>_</v>
      </c>
      <c r="G1911" s="88"/>
      <c r="H1911" s="92"/>
      <c r="I1911" s="85">
        <f t="shared" si="101"/>
        <v>0</v>
      </c>
      <c r="J1911" s="93"/>
      <c r="K1911" s="85">
        <f t="shared" si="102"/>
        <v>0</v>
      </c>
      <c r="L1911" s="68"/>
      <c r="M1911" s="68"/>
      <c r="P1911" s="89" t="str">
        <f t="shared" si="100"/>
        <v xml:space="preserve">  1 1900 </v>
      </c>
    </row>
    <row r="1912" spans="1:16">
      <c r="A1912" s="68"/>
      <c r="B1912" s="87"/>
      <c r="C1912" s="88"/>
      <c r="D1912" s="88"/>
      <c r="E1912" s="90"/>
      <c r="F1912" s="84" t="str">
        <f ca="1">IF(D1912="Income",LOOKUP(E1912,Introduction!$A$11:$A$18,Introduction!$C$11:$C$18),IF(D1912="Expense",LOOKUP(E1912,Introduction!$D$11:$D$30,Introduction!$F$11:$F$30),"_"))</f>
        <v>_</v>
      </c>
      <c r="G1912" s="88"/>
      <c r="H1912" s="92"/>
      <c r="I1912" s="85">
        <f t="shared" si="101"/>
        <v>0</v>
      </c>
      <c r="J1912" s="93"/>
      <c r="K1912" s="85">
        <f t="shared" si="102"/>
        <v>0</v>
      </c>
      <c r="L1912" s="68"/>
      <c r="M1912" s="68"/>
      <c r="P1912" s="89" t="str">
        <f t="shared" si="100"/>
        <v xml:space="preserve">  1 1900 </v>
      </c>
    </row>
    <row r="1913" spans="1:16">
      <c r="A1913" s="68"/>
      <c r="B1913" s="87"/>
      <c r="C1913" s="88"/>
      <c r="D1913" s="88"/>
      <c r="E1913" s="90"/>
      <c r="F1913" s="84" t="str">
        <f ca="1">IF(D1913="Income",LOOKUP(E1913,Introduction!$A$11:$A$18,Introduction!$C$11:$C$18),IF(D1913="Expense",LOOKUP(E1913,Introduction!$D$11:$D$30,Introduction!$F$11:$F$30),"_"))</f>
        <v>_</v>
      </c>
      <c r="G1913" s="88"/>
      <c r="H1913" s="92"/>
      <c r="I1913" s="85">
        <f t="shared" si="101"/>
        <v>0</v>
      </c>
      <c r="J1913" s="93"/>
      <c r="K1913" s="85">
        <f t="shared" si="102"/>
        <v>0</v>
      </c>
      <c r="L1913" s="68"/>
      <c r="M1913" s="68"/>
      <c r="P1913" s="89" t="str">
        <f t="shared" si="100"/>
        <v xml:space="preserve">  1 1900 </v>
      </c>
    </row>
    <row r="1914" spans="1:16">
      <c r="A1914" s="68"/>
      <c r="B1914" s="87"/>
      <c r="C1914" s="88"/>
      <c r="D1914" s="88"/>
      <c r="E1914" s="90"/>
      <c r="F1914" s="84" t="str">
        <f ca="1">IF(D1914="Income",LOOKUP(E1914,Introduction!$A$11:$A$18,Introduction!$C$11:$C$18),IF(D1914="Expense",LOOKUP(E1914,Introduction!$D$11:$D$30,Introduction!$F$11:$F$30),"_"))</f>
        <v>_</v>
      </c>
      <c r="G1914" s="88"/>
      <c r="H1914" s="92"/>
      <c r="I1914" s="85">
        <f t="shared" si="101"/>
        <v>0</v>
      </c>
      <c r="J1914" s="93"/>
      <c r="K1914" s="85">
        <f t="shared" si="102"/>
        <v>0</v>
      </c>
      <c r="L1914" s="68"/>
      <c r="M1914" s="68"/>
      <c r="P1914" s="89" t="str">
        <f t="shared" si="100"/>
        <v xml:space="preserve">  1 1900 </v>
      </c>
    </row>
    <row r="1915" spans="1:16">
      <c r="A1915" s="68"/>
      <c r="B1915" s="87"/>
      <c r="C1915" s="88"/>
      <c r="D1915" s="88"/>
      <c r="E1915" s="90"/>
      <c r="F1915" s="84" t="str">
        <f ca="1">IF(D1915="Income",LOOKUP(E1915,Introduction!$A$11:$A$18,Introduction!$C$11:$C$18),IF(D1915="Expense",LOOKUP(E1915,Introduction!$D$11:$D$30,Introduction!$F$11:$F$30),"_"))</f>
        <v>_</v>
      </c>
      <c r="G1915" s="88"/>
      <c r="H1915" s="92"/>
      <c r="I1915" s="85">
        <f t="shared" si="101"/>
        <v>0</v>
      </c>
      <c r="J1915" s="93"/>
      <c r="K1915" s="85">
        <f t="shared" si="102"/>
        <v>0</v>
      </c>
      <c r="L1915" s="68"/>
      <c r="M1915" s="68"/>
      <c r="P1915" s="89" t="str">
        <f t="shared" si="100"/>
        <v xml:space="preserve">  1 1900 </v>
      </c>
    </row>
    <row r="1916" spans="1:16">
      <c r="A1916" s="68"/>
      <c r="B1916" s="87"/>
      <c r="C1916" s="88"/>
      <c r="D1916" s="88"/>
      <c r="E1916" s="90"/>
      <c r="F1916" s="84" t="str">
        <f ca="1">IF(D1916="Income",LOOKUP(E1916,Introduction!$A$11:$A$18,Introduction!$C$11:$C$18),IF(D1916="Expense",LOOKUP(E1916,Introduction!$D$11:$D$30,Introduction!$F$11:$F$30),"_"))</f>
        <v>_</v>
      </c>
      <c r="G1916" s="88"/>
      <c r="H1916" s="92"/>
      <c r="I1916" s="85">
        <f t="shared" si="101"/>
        <v>0</v>
      </c>
      <c r="J1916" s="93"/>
      <c r="K1916" s="85">
        <f t="shared" si="102"/>
        <v>0</v>
      </c>
      <c r="L1916" s="68"/>
      <c r="M1916" s="68"/>
      <c r="P1916" s="89" t="str">
        <f t="shared" si="100"/>
        <v xml:space="preserve">  1 1900 </v>
      </c>
    </row>
    <row r="1917" spans="1:16">
      <c r="A1917" s="68"/>
      <c r="B1917" s="87"/>
      <c r="C1917" s="88"/>
      <c r="D1917" s="88"/>
      <c r="E1917" s="90"/>
      <c r="F1917" s="84" t="str">
        <f ca="1">IF(D1917="Income",LOOKUP(E1917,Introduction!$A$11:$A$18,Introduction!$C$11:$C$18),IF(D1917="Expense",LOOKUP(E1917,Introduction!$D$11:$D$30,Introduction!$F$11:$F$30),"_"))</f>
        <v>_</v>
      </c>
      <c r="G1917" s="88"/>
      <c r="H1917" s="92"/>
      <c r="I1917" s="85">
        <f t="shared" si="101"/>
        <v>0</v>
      </c>
      <c r="J1917" s="93"/>
      <c r="K1917" s="85">
        <f t="shared" si="102"/>
        <v>0</v>
      </c>
      <c r="L1917" s="68"/>
      <c r="M1917" s="68"/>
      <c r="P1917" s="89" t="str">
        <f t="shared" si="100"/>
        <v xml:space="preserve">  1 1900 </v>
      </c>
    </row>
    <row r="1918" spans="1:16">
      <c r="A1918" s="68"/>
      <c r="B1918" s="87"/>
      <c r="C1918" s="88"/>
      <c r="D1918" s="88"/>
      <c r="E1918" s="90"/>
      <c r="F1918" s="84" t="str">
        <f ca="1">IF(D1918="Income",LOOKUP(E1918,Introduction!$A$11:$A$18,Introduction!$C$11:$C$18),IF(D1918="Expense",LOOKUP(E1918,Introduction!$D$11:$D$30,Introduction!$F$11:$F$30),"_"))</f>
        <v>_</v>
      </c>
      <c r="G1918" s="88"/>
      <c r="H1918" s="92"/>
      <c r="I1918" s="85">
        <f t="shared" si="101"/>
        <v>0</v>
      </c>
      <c r="J1918" s="93"/>
      <c r="K1918" s="85">
        <f t="shared" si="102"/>
        <v>0</v>
      </c>
      <c r="L1918" s="68"/>
      <c r="M1918" s="68"/>
      <c r="P1918" s="89" t="str">
        <f t="shared" si="100"/>
        <v xml:space="preserve">  1 1900 </v>
      </c>
    </row>
    <row r="1919" spans="1:16">
      <c r="A1919" s="68"/>
      <c r="B1919" s="87"/>
      <c r="C1919" s="88"/>
      <c r="D1919" s="88"/>
      <c r="E1919" s="90"/>
      <c r="F1919" s="84" t="str">
        <f ca="1">IF(D1919="Income",LOOKUP(E1919,Introduction!$A$11:$A$18,Introduction!$C$11:$C$18),IF(D1919="Expense",LOOKUP(E1919,Introduction!$D$11:$D$30,Introduction!$F$11:$F$30),"_"))</f>
        <v>_</v>
      </c>
      <c r="G1919" s="88"/>
      <c r="H1919" s="92"/>
      <c r="I1919" s="85">
        <f t="shared" si="101"/>
        <v>0</v>
      </c>
      <c r="J1919" s="93"/>
      <c r="K1919" s="85">
        <f t="shared" si="102"/>
        <v>0</v>
      </c>
      <c r="L1919" s="68"/>
      <c r="M1919" s="68"/>
      <c r="P1919" s="89" t="str">
        <f t="shared" si="100"/>
        <v xml:space="preserve">  1 1900 </v>
      </c>
    </row>
    <row r="1920" spans="1:16">
      <c r="A1920" s="68"/>
      <c r="B1920" s="87"/>
      <c r="C1920" s="88"/>
      <c r="D1920" s="88"/>
      <c r="E1920" s="90"/>
      <c r="F1920" s="84" t="str">
        <f ca="1">IF(D1920="Income",LOOKUP(E1920,Introduction!$A$11:$A$18,Introduction!$C$11:$C$18),IF(D1920="Expense",LOOKUP(E1920,Introduction!$D$11:$D$30,Introduction!$F$11:$F$30),"_"))</f>
        <v>_</v>
      </c>
      <c r="G1920" s="88"/>
      <c r="H1920" s="92"/>
      <c r="I1920" s="85">
        <f t="shared" si="101"/>
        <v>0</v>
      </c>
      <c r="J1920" s="93"/>
      <c r="K1920" s="85">
        <f t="shared" si="102"/>
        <v>0</v>
      </c>
      <c r="L1920" s="68"/>
      <c r="M1920" s="68"/>
      <c r="P1920" s="89" t="str">
        <f t="shared" si="100"/>
        <v xml:space="preserve">  1 1900 </v>
      </c>
    </row>
    <row r="1921" spans="1:16">
      <c r="A1921" s="68"/>
      <c r="B1921" s="87"/>
      <c r="C1921" s="88"/>
      <c r="D1921" s="88"/>
      <c r="E1921" s="90"/>
      <c r="F1921" s="84" t="str">
        <f ca="1">IF(D1921="Income",LOOKUP(E1921,Introduction!$A$11:$A$18,Introduction!$C$11:$C$18),IF(D1921="Expense",LOOKUP(E1921,Introduction!$D$11:$D$30,Introduction!$F$11:$F$30),"_"))</f>
        <v>_</v>
      </c>
      <c r="G1921" s="88"/>
      <c r="H1921" s="92"/>
      <c r="I1921" s="85">
        <f t="shared" si="101"/>
        <v>0</v>
      </c>
      <c r="J1921" s="93"/>
      <c r="K1921" s="85">
        <f t="shared" si="102"/>
        <v>0</v>
      </c>
      <c r="L1921" s="68"/>
      <c r="M1921" s="68"/>
      <c r="P1921" s="89" t="str">
        <f t="shared" si="100"/>
        <v xml:space="preserve">  1 1900 </v>
      </c>
    </row>
    <row r="1922" spans="1:16">
      <c r="A1922" s="68"/>
      <c r="B1922" s="87"/>
      <c r="C1922" s="88"/>
      <c r="D1922" s="88"/>
      <c r="E1922" s="90"/>
      <c r="F1922" s="84" t="str">
        <f ca="1">IF(D1922="Income",LOOKUP(E1922,Introduction!$A$11:$A$18,Introduction!$C$11:$C$18),IF(D1922="Expense",LOOKUP(E1922,Introduction!$D$11:$D$30,Introduction!$F$11:$F$30),"_"))</f>
        <v>_</v>
      </c>
      <c r="G1922" s="88"/>
      <c r="H1922" s="92"/>
      <c r="I1922" s="85">
        <f t="shared" si="101"/>
        <v>0</v>
      </c>
      <c r="J1922" s="93"/>
      <c r="K1922" s="85">
        <f t="shared" si="102"/>
        <v>0</v>
      </c>
      <c r="L1922" s="68"/>
      <c r="M1922" s="68"/>
      <c r="P1922" s="89" t="str">
        <f t="shared" si="100"/>
        <v xml:space="preserve">  1 1900 </v>
      </c>
    </row>
    <row r="1923" spans="1:16">
      <c r="A1923" s="68"/>
      <c r="B1923" s="87"/>
      <c r="C1923" s="88"/>
      <c r="D1923" s="88"/>
      <c r="E1923" s="90"/>
      <c r="F1923" s="84" t="str">
        <f ca="1">IF(D1923="Income",LOOKUP(E1923,Introduction!$A$11:$A$18,Introduction!$C$11:$C$18),IF(D1923="Expense",LOOKUP(E1923,Introduction!$D$11:$D$30,Introduction!$F$11:$F$30),"_"))</f>
        <v>_</v>
      </c>
      <c r="G1923" s="88"/>
      <c r="H1923" s="92"/>
      <c r="I1923" s="85">
        <f t="shared" si="101"/>
        <v>0</v>
      </c>
      <c r="J1923" s="93"/>
      <c r="K1923" s="85">
        <f t="shared" si="102"/>
        <v>0</v>
      </c>
      <c r="L1923" s="68"/>
      <c r="M1923" s="68"/>
      <c r="P1923" s="89" t="str">
        <f t="shared" si="100"/>
        <v xml:space="preserve">  1 1900 </v>
      </c>
    </row>
    <row r="1924" spans="1:16">
      <c r="A1924" s="68"/>
      <c r="B1924" s="87"/>
      <c r="C1924" s="88"/>
      <c r="D1924" s="88"/>
      <c r="E1924" s="90"/>
      <c r="F1924" s="84" t="str">
        <f ca="1">IF(D1924="Income",LOOKUP(E1924,Introduction!$A$11:$A$18,Introduction!$C$11:$C$18),IF(D1924="Expense",LOOKUP(E1924,Introduction!$D$11:$D$30,Introduction!$F$11:$F$30),"_"))</f>
        <v>_</v>
      </c>
      <c r="G1924" s="88"/>
      <c r="H1924" s="92"/>
      <c r="I1924" s="85">
        <f t="shared" si="101"/>
        <v>0</v>
      </c>
      <c r="J1924" s="93"/>
      <c r="K1924" s="85">
        <f t="shared" si="102"/>
        <v>0</v>
      </c>
      <c r="L1924" s="68"/>
      <c r="M1924" s="68"/>
      <c r="P1924" s="89" t="str">
        <f t="shared" si="100"/>
        <v xml:space="preserve">  1 1900 </v>
      </c>
    </row>
    <row r="1925" spans="1:16">
      <c r="A1925" s="68"/>
      <c r="B1925" s="87"/>
      <c r="C1925" s="88"/>
      <c r="D1925" s="88"/>
      <c r="E1925" s="90"/>
      <c r="F1925" s="84" t="str">
        <f ca="1">IF(D1925="Income",LOOKUP(E1925,Introduction!$A$11:$A$18,Introduction!$C$11:$C$18),IF(D1925="Expense",LOOKUP(E1925,Introduction!$D$11:$D$30,Introduction!$F$11:$F$30),"_"))</f>
        <v>_</v>
      </c>
      <c r="G1925" s="88"/>
      <c r="H1925" s="92"/>
      <c r="I1925" s="85">
        <f t="shared" si="101"/>
        <v>0</v>
      </c>
      <c r="J1925" s="93"/>
      <c r="K1925" s="85">
        <f t="shared" si="102"/>
        <v>0</v>
      </c>
      <c r="L1925" s="68"/>
      <c r="M1925" s="68"/>
      <c r="P1925" s="89" t="str">
        <f t="shared" si="100"/>
        <v xml:space="preserve">  1 1900 </v>
      </c>
    </row>
    <row r="1926" spans="1:16">
      <c r="A1926" s="68"/>
      <c r="B1926" s="87"/>
      <c r="C1926" s="88"/>
      <c r="D1926" s="88"/>
      <c r="E1926" s="90"/>
      <c r="F1926" s="84" t="str">
        <f ca="1">IF(D1926="Income",LOOKUP(E1926,Introduction!$A$11:$A$18,Introduction!$C$11:$C$18),IF(D1926="Expense",LOOKUP(E1926,Introduction!$D$11:$D$30,Introduction!$F$11:$F$30),"_"))</f>
        <v>_</v>
      </c>
      <c r="G1926" s="88"/>
      <c r="H1926" s="92"/>
      <c r="I1926" s="85">
        <f t="shared" si="101"/>
        <v>0</v>
      </c>
      <c r="J1926" s="93"/>
      <c r="K1926" s="85">
        <f t="shared" si="102"/>
        <v>0</v>
      </c>
      <c r="L1926" s="68"/>
      <c r="M1926" s="68"/>
      <c r="P1926" s="89" t="str">
        <f t="shared" si="100"/>
        <v xml:space="preserve">  1 1900 </v>
      </c>
    </row>
    <row r="1927" spans="1:16">
      <c r="A1927" s="68"/>
      <c r="B1927" s="87"/>
      <c r="C1927" s="88"/>
      <c r="D1927" s="88"/>
      <c r="E1927" s="90"/>
      <c r="F1927" s="84" t="str">
        <f ca="1">IF(D1927="Income",LOOKUP(E1927,Introduction!$A$11:$A$18,Introduction!$C$11:$C$18),IF(D1927="Expense",LOOKUP(E1927,Introduction!$D$11:$D$30,Introduction!$F$11:$F$30),"_"))</f>
        <v>_</v>
      </c>
      <c r="G1927" s="88"/>
      <c r="H1927" s="92"/>
      <c r="I1927" s="85">
        <f t="shared" si="101"/>
        <v>0</v>
      </c>
      <c r="J1927" s="93"/>
      <c r="K1927" s="85">
        <f t="shared" si="102"/>
        <v>0</v>
      </c>
      <c r="L1927" s="68"/>
      <c r="M1927" s="68"/>
      <c r="P1927" s="89" t="str">
        <f t="shared" ref="P1927:P1990" si="103">CONCATENATE(D1927," ",E1927," ",MONTH(C1927)," ",YEAR(C1927)," ")</f>
        <v xml:space="preserve">  1 1900 </v>
      </c>
    </row>
    <row r="1928" spans="1:16">
      <c r="A1928" s="68"/>
      <c r="B1928" s="87"/>
      <c r="C1928" s="88"/>
      <c r="D1928" s="88"/>
      <c r="E1928" s="90"/>
      <c r="F1928" s="84" t="str">
        <f ca="1">IF(D1928="Income",LOOKUP(E1928,Introduction!$A$11:$A$18,Introduction!$C$11:$C$18),IF(D1928="Expense",LOOKUP(E1928,Introduction!$D$11:$D$30,Introduction!$F$11:$F$30),"_"))</f>
        <v>_</v>
      </c>
      <c r="G1928" s="88"/>
      <c r="H1928" s="92"/>
      <c r="I1928" s="85">
        <f t="shared" si="101"/>
        <v>0</v>
      </c>
      <c r="J1928" s="93"/>
      <c r="K1928" s="85">
        <f t="shared" si="102"/>
        <v>0</v>
      </c>
      <c r="L1928" s="68"/>
      <c r="M1928" s="68"/>
      <c r="P1928" s="89" t="str">
        <f t="shared" si="103"/>
        <v xml:space="preserve">  1 1900 </v>
      </c>
    </row>
    <row r="1929" spans="1:16">
      <c r="A1929" s="68"/>
      <c r="B1929" s="87"/>
      <c r="C1929" s="88"/>
      <c r="D1929" s="88"/>
      <c r="E1929" s="90"/>
      <c r="F1929" s="84" t="str">
        <f ca="1">IF(D1929="Income",LOOKUP(E1929,Introduction!$A$11:$A$18,Introduction!$C$11:$C$18),IF(D1929="Expense",LOOKUP(E1929,Introduction!$D$11:$D$30,Introduction!$F$11:$F$30),"_"))</f>
        <v>_</v>
      </c>
      <c r="G1929" s="88"/>
      <c r="H1929" s="92"/>
      <c r="I1929" s="85">
        <f t="shared" si="101"/>
        <v>0</v>
      </c>
      <c r="J1929" s="93"/>
      <c r="K1929" s="85">
        <f t="shared" si="102"/>
        <v>0</v>
      </c>
      <c r="L1929" s="68"/>
      <c r="M1929" s="68"/>
      <c r="P1929" s="89" t="str">
        <f t="shared" si="103"/>
        <v xml:space="preserve">  1 1900 </v>
      </c>
    </row>
    <row r="1930" spans="1:16">
      <c r="A1930" s="68"/>
      <c r="B1930" s="87"/>
      <c r="C1930" s="88"/>
      <c r="D1930" s="88"/>
      <c r="E1930" s="90"/>
      <c r="F1930" s="84" t="str">
        <f ca="1">IF(D1930="Income",LOOKUP(E1930,Introduction!$A$11:$A$18,Introduction!$C$11:$C$18),IF(D1930="Expense",LOOKUP(E1930,Introduction!$D$11:$D$30,Introduction!$F$11:$F$30),"_"))</f>
        <v>_</v>
      </c>
      <c r="G1930" s="88"/>
      <c r="H1930" s="92"/>
      <c r="I1930" s="85">
        <f t="shared" si="101"/>
        <v>0</v>
      </c>
      <c r="J1930" s="93"/>
      <c r="K1930" s="85">
        <f t="shared" si="102"/>
        <v>0</v>
      </c>
      <c r="L1930" s="68"/>
      <c r="M1930" s="68"/>
      <c r="P1930" s="89" t="str">
        <f t="shared" si="103"/>
        <v xml:space="preserve">  1 1900 </v>
      </c>
    </row>
    <row r="1931" spans="1:16">
      <c r="A1931" s="68"/>
      <c r="B1931" s="87"/>
      <c r="C1931" s="88"/>
      <c r="D1931" s="88"/>
      <c r="E1931" s="90"/>
      <c r="F1931" s="84" t="str">
        <f ca="1">IF(D1931="Income",LOOKUP(E1931,Introduction!$A$11:$A$18,Introduction!$C$11:$C$18),IF(D1931="Expense",LOOKUP(E1931,Introduction!$D$11:$D$30,Introduction!$F$11:$F$30),"_"))</f>
        <v>_</v>
      </c>
      <c r="G1931" s="88"/>
      <c r="H1931" s="92"/>
      <c r="I1931" s="85">
        <f t="shared" si="101"/>
        <v>0</v>
      </c>
      <c r="J1931" s="93"/>
      <c r="K1931" s="85">
        <f t="shared" si="102"/>
        <v>0</v>
      </c>
      <c r="L1931" s="68"/>
      <c r="M1931" s="68"/>
      <c r="P1931" s="89" t="str">
        <f t="shared" si="103"/>
        <v xml:space="preserve">  1 1900 </v>
      </c>
    </row>
    <row r="1932" spans="1:16">
      <c r="A1932" s="68"/>
      <c r="B1932" s="87"/>
      <c r="C1932" s="88"/>
      <c r="D1932" s="88"/>
      <c r="E1932" s="90"/>
      <c r="F1932" s="84" t="str">
        <f ca="1">IF(D1932="Income",LOOKUP(E1932,Introduction!$A$11:$A$18,Introduction!$C$11:$C$18),IF(D1932="Expense",LOOKUP(E1932,Introduction!$D$11:$D$30,Introduction!$F$11:$F$30),"_"))</f>
        <v>_</v>
      </c>
      <c r="G1932" s="88"/>
      <c r="H1932" s="92"/>
      <c r="I1932" s="85">
        <f t="shared" si="101"/>
        <v>0</v>
      </c>
      <c r="J1932" s="93"/>
      <c r="K1932" s="85">
        <f t="shared" si="102"/>
        <v>0</v>
      </c>
      <c r="L1932" s="68"/>
      <c r="M1932" s="68"/>
      <c r="P1932" s="89" t="str">
        <f t="shared" si="103"/>
        <v xml:space="preserve">  1 1900 </v>
      </c>
    </row>
    <row r="1933" spans="1:16">
      <c r="A1933" s="68"/>
      <c r="B1933" s="87"/>
      <c r="C1933" s="88"/>
      <c r="D1933" s="88"/>
      <c r="E1933" s="90"/>
      <c r="F1933" s="84" t="str">
        <f ca="1">IF(D1933="Income",LOOKUP(E1933,Introduction!$A$11:$A$18,Introduction!$C$11:$C$18),IF(D1933="Expense",LOOKUP(E1933,Introduction!$D$11:$D$30,Introduction!$F$11:$F$30),"_"))</f>
        <v>_</v>
      </c>
      <c r="G1933" s="88"/>
      <c r="H1933" s="92"/>
      <c r="I1933" s="85">
        <f t="shared" si="101"/>
        <v>0</v>
      </c>
      <c r="J1933" s="93"/>
      <c r="K1933" s="85">
        <f t="shared" si="102"/>
        <v>0</v>
      </c>
      <c r="L1933" s="68"/>
      <c r="M1933" s="68"/>
      <c r="P1933" s="89" t="str">
        <f t="shared" si="103"/>
        <v xml:space="preserve">  1 1900 </v>
      </c>
    </row>
    <row r="1934" spans="1:16">
      <c r="A1934" s="68"/>
      <c r="B1934" s="87"/>
      <c r="C1934" s="88"/>
      <c r="D1934" s="88"/>
      <c r="E1934" s="90"/>
      <c r="F1934" s="84" t="str">
        <f ca="1">IF(D1934="Income",LOOKUP(E1934,Introduction!$A$11:$A$18,Introduction!$C$11:$C$18),IF(D1934="Expense",LOOKUP(E1934,Introduction!$D$11:$D$30,Introduction!$F$11:$F$30),"_"))</f>
        <v>_</v>
      </c>
      <c r="G1934" s="88"/>
      <c r="H1934" s="92"/>
      <c r="I1934" s="85">
        <f t="shared" si="101"/>
        <v>0</v>
      </c>
      <c r="J1934" s="93"/>
      <c r="K1934" s="85">
        <f t="shared" si="102"/>
        <v>0</v>
      </c>
      <c r="L1934" s="68"/>
      <c r="M1934" s="68"/>
      <c r="P1934" s="89" t="str">
        <f t="shared" si="103"/>
        <v xml:space="preserve">  1 1900 </v>
      </c>
    </row>
    <row r="1935" spans="1:16">
      <c r="A1935" s="68"/>
      <c r="B1935" s="87"/>
      <c r="C1935" s="88"/>
      <c r="D1935" s="88"/>
      <c r="E1935" s="90"/>
      <c r="F1935" s="84" t="str">
        <f ca="1">IF(D1935="Income",LOOKUP(E1935,Introduction!$A$11:$A$18,Introduction!$C$11:$C$18),IF(D1935="Expense",LOOKUP(E1935,Introduction!$D$11:$D$30,Introduction!$F$11:$F$30),"_"))</f>
        <v>_</v>
      </c>
      <c r="G1935" s="88"/>
      <c r="H1935" s="92"/>
      <c r="I1935" s="85">
        <f t="shared" si="101"/>
        <v>0</v>
      </c>
      <c r="J1935" s="93"/>
      <c r="K1935" s="85">
        <f t="shared" si="102"/>
        <v>0</v>
      </c>
      <c r="L1935" s="68"/>
      <c r="M1935" s="68"/>
      <c r="P1935" s="89" t="str">
        <f t="shared" si="103"/>
        <v xml:space="preserve">  1 1900 </v>
      </c>
    </row>
    <row r="1936" spans="1:16">
      <c r="A1936" s="68"/>
      <c r="B1936" s="87"/>
      <c r="C1936" s="88"/>
      <c r="D1936" s="88"/>
      <c r="E1936" s="90"/>
      <c r="F1936" s="84" t="str">
        <f ca="1">IF(D1936="Income",LOOKUP(E1936,Introduction!$A$11:$A$18,Introduction!$C$11:$C$18),IF(D1936="Expense",LOOKUP(E1936,Introduction!$D$11:$D$30,Introduction!$F$11:$F$30),"_"))</f>
        <v>_</v>
      </c>
      <c r="G1936" s="88"/>
      <c r="H1936" s="92"/>
      <c r="I1936" s="85">
        <f t="shared" si="101"/>
        <v>0</v>
      </c>
      <c r="J1936" s="93"/>
      <c r="K1936" s="85">
        <f t="shared" si="102"/>
        <v>0</v>
      </c>
      <c r="L1936" s="68"/>
      <c r="M1936" s="68"/>
      <c r="P1936" s="89" t="str">
        <f t="shared" si="103"/>
        <v xml:space="preserve">  1 1900 </v>
      </c>
    </row>
    <row r="1937" spans="1:16">
      <c r="A1937" s="68"/>
      <c r="B1937" s="87"/>
      <c r="C1937" s="88"/>
      <c r="D1937" s="88"/>
      <c r="E1937" s="90"/>
      <c r="F1937" s="84" t="str">
        <f ca="1">IF(D1937="Income",LOOKUP(E1937,Introduction!$A$11:$A$18,Introduction!$C$11:$C$18),IF(D1937="Expense",LOOKUP(E1937,Introduction!$D$11:$D$30,Introduction!$F$11:$F$30),"_"))</f>
        <v>_</v>
      </c>
      <c r="G1937" s="88"/>
      <c r="H1937" s="92"/>
      <c r="I1937" s="85">
        <f t="shared" ref="I1937:I2000" si="104">+I1936+H1937</f>
        <v>0</v>
      </c>
      <c r="J1937" s="93"/>
      <c r="K1937" s="85">
        <f t="shared" ref="K1937:K2000" si="105">IF(J1937=1,K1936+H1937,++K1936)</f>
        <v>0</v>
      </c>
      <c r="L1937" s="68"/>
      <c r="M1937" s="68"/>
      <c r="P1937" s="89" t="str">
        <f t="shared" si="103"/>
        <v xml:space="preserve">  1 1900 </v>
      </c>
    </row>
    <row r="1938" spans="1:16">
      <c r="A1938" s="68"/>
      <c r="B1938" s="87"/>
      <c r="C1938" s="88"/>
      <c r="D1938" s="88"/>
      <c r="E1938" s="90"/>
      <c r="F1938" s="84" t="str">
        <f ca="1">IF(D1938="Income",LOOKUP(E1938,Introduction!$A$11:$A$18,Introduction!$C$11:$C$18),IF(D1938="Expense",LOOKUP(E1938,Introduction!$D$11:$D$30,Introduction!$F$11:$F$30),"_"))</f>
        <v>_</v>
      </c>
      <c r="G1938" s="88"/>
      <c r="H1938" s="92"/>
      <c r="I1938" s="85">
        <f t="shared" si="104"/>
        <v>0</v>
      </c>
      <c r="J1938" s="93"/>
      <c r="K1938" s="85">
        <f t="shared" si="105"/>
        <v>0</v>
      </c>
      <c r="L1938" s="68"/>
      <c r="M1938" s="68"/>
      <c r="P1938" s="89" t="str">
        <f t="shared" si="103"/>
        <v xml:space="preserve">  1 1900 </v>
      </c>
    </row>
    <row r="1939" spans="1:16">
      <c r="A1939" s="68"/>
      <c r="B1939" s="87"/>
      <c r="C1939" s="88"/>
      <c r="D1939" s="88"/>
      <c r="E1939" s="90"/>
      <c r="F1939" s="84" t="str">
        <f ca="1">IF(D1939="Income",LOOKUP(E1939,Introduction!$A$11:$A$18,Introduction!$C$11:$C$18),IF(D1939="Expense",LOOKUP(E1939,Introduction!$D$11:$D$30,Introduction!$F$11:$F$30),"_"))</f>
        <v>_</v>
      </c>
      <c r="G1939" s="88"/>
      <c r="H1939" s="92"/>
      <c r="I1939" s="85">
        <f t="shared" si="104"/>
        <v>0</v>
      </c>
      <c r="J1939" s="93"/>
      <c r="K1939" s="85">
        <f t="shared" si="105"/>
        <v>0</v>
      </c>
      <c r="L1939" s="68"/>
      <c r="M1939" s="68"/>
      <c r="P1939" s="89" t="str">
        <f t="shared" si="103"/>
        <v xml:space="preserve">  1 1900 </v>
      </c>
    </row>
    <row r="1940" spans="1:16">
      <c r="A1940" s="68"/>
      <c r="B1940" s="87"/>
      <c r="C1940" s="88"/>
      <c r="D1940" s="88"/>
      <c r="E1940" s="90"/>
      <c r="F1940" s="84" t="str">
        <f ca="1">IF(D1940="Income",LOOKUP(E1940,Introduction!$A$11:$A$18,Introduction!$C$11:$C$18),IF(D1940="Expense",LOOKUP(E1940,Introduction!$D$11:$D$30,Introduction!$F$11:$F$30),"_"))</f>
        <v>_</v>
      </c>
      <c r="G1940" s="88"/>
      <c r="H1940" s="92"/>
      <c r="I1940" s="85">
        <f t="shared" si="104"/>
        <v>0</v>
      </c>
      <c r="J1940" s="93"/>
      <c r="K1940" s="85">
        <f t="shared" si="105"/>
        <v>0</v>
      </c>
      <c r="L1940" s="68"/>
      <c r="M1940" s="68"/>
      <c r="P1940" s="89" t="str">
        <f t="shared" si="103"/>
        <v xml:space="preserve">  1 1900 </v>
      </c>
    </row>
    <row r="1941" spans="1:16">
      <c r="A1941" s="68"/>
      <c r="B1941" s="87"/>
      <c r="C1941" s="88"/>
      <c r="D1941" s="88"/>
      <c r="E1941" s="90"/>
      <c r="F1941" s="84" t="str">
        <f ca="1">IF(D1941="Income",LOOKUP(E1941,Introduction!$A$11:$A$18,Introduction!$C$11:$C$18),IF(D1941="Expense",LOOKUP(E1941,Introduction!$D$11:$D$30,Introduction!$F$11:$F$30),"_"))</f>
        <v>_</v>
      </c>
      <c r="G1941" s="88"/>
      <c r="H1941" s="92"/>
      <c r="I1941" s="85">
        <f t="shared" si="104"/>
        <v>0</v>
      </c>
      <c r="J1941" s="93"/>
      <c r="K1941" s="85">
        <f t="shared" si="105"/>
        <v>0</v>
      </c>
      <c r="L1941" s="68"/>
      <c r="M1941" s="68"/>
      <c r="P1941" s="89" t="str">
        <f t="shared" si="103"/>
        <v xml:space="preserve">  1 1900 </v>
      </c>
    </row>
    <row r="1942" spans="1:16">
      <c r="A1942" s="68"/>
      <c r="B1942" s="87"/>
      <c r="C1942" s="88"/>
      <c r="D1942" s="88"/>
      <c r="E1942" s="90"/>
      <c r="F1942" s="84" t="str">
        <f ca="1">IF(D1942="Income",LOOKUP(E1942,Introduction!$A$11:$A$18,Introduction!$C$11:$C$18),IF(D1942="Expense",LOOKUP(E1942,Introduction!$D$11:$D$30,Introduction!$F$11:$F$30),"_"))</f>
        <v>_</v>
      </c>
      <c r="G1942" s="88"/>
      <c r="H1942" s="92"/>
      <c r="I1942" s="85">
        <f t="shared" si="104"/>
        <v>0</v>
      </c>
      <c r="J1942" s="93"/>
      <c r="K1942" s="85">
        <f t="shared" si="105"/>
        <v>0</v>
      </c>
      <c r="L1942" s="68"/>
      <c r="M1942" s="68"/>
      <c r="P1942" s="89" t="str">
        <f t="shared" si="103"/>
        <v xml:space="preserve">  1 1900 </v>
      </c>
    </row>
    <row r="1943" spans="1:16">
      <c r="A1943" s="68"/>
      <c r="B1943" s="87"/>
      <c r="C1943" s="88"/>
      <c r="D1943" s="88"/>
      <c r="E1943" s="90"/>
      <c r="F1943" s="84" t="str">
        <f ca="1">IF(D1943="Income",LOOKUP(E1943,Introduction!$A$11:$A$18,Introduction!$C$11:$C$18),IF(D1943="Expense",LOOKUP(E1943,Introduction!$D$11:$D$30,Introduction!$F$11:$F$30),"_"))</f>
        <v>_</v>
      </c>
      <c r="G1943" s="88"/>
      <c r="H1943" s="92"/>
      <c r="I1943" s="85">
        <f t="shared" si="104"/>
        <v>0</v>
      </c>
      <c r="J1943" s="93"/>
      <c r="K1943" s="85">
        <f t="shared" si="105"/>
        <v>0</v>
      </c>
      <c r="L1943" s="68"/>
      <c r="M1943" s="68"/>
      <c r="P1943" s="89" t="str">
        <f t="shared" si="103"/>
        <v xml:space="preserve">  1 1900 </v>
      </c>
    </row>
    <row r="1944" spans="1:16">
      <c r="A1944" s="68"/>
      <c r="B1944" s="87"/>
      <c r="C1944" s="88"/>
      <c r="D1944" s="88"/>
      <c r="E1944" s="90"/>
      <c r="F1944" s="84" t="str">
        <f ca="1">IF(D1944="Income",LOOKUP(E1944,Introduction!$A$11:$A$18,Introduction!$C$11:$C$18),IF(D1944="Expense",LOOKUP(E1944,Introduction!$D$11:$D$30,Introduction!$F$11:$F$30),"_"))</f>
        <v>_</v>
      </c>
      <c r="G1944" s="88"/>
      <c r="H1944" s="92"/>
      <c r="I1944" s="85">
        <f t="shared" si="104"/>
        <v>0</v>
      </c>
      <c r="J1944" s="93"/>
      <c r="K1944" s="85">
        <f t="shared" si="105"/>
        <v>0</v>
      </c>
      <c r="L1944" s="68"/>
      <c r="M1944" s="68"/>
      <c r="P1944" s="89" t="str">
        <f t="shared" si="103"/>
        <v xml:space="preserve">  1 1900 </v>
      </c>
    </row>
    <row r="1945" spans="1:16">
      <c r="A1945" s="68"/>
      <c r="B1945" s="87"/>
      <c r="C1945" s="88"/>
      <c r="D1945" s="88"/>
      <c r="E1945" s="90"/>
      <c r="F1945" s="84" t="str">
        <f ca="1">IF(D1945="Income",LOOKUP(E1945,Introduction!$A$11:$A$18,Introduction!$C$11:$C$18),IF(D1945="Expense",LOOKUP(E1945,Introduction!$D$11:$D$30,Introduction!$F$11:$F$30),"_"))</f>
        <v>_</v>
      </c>
      <c r="G1945" s="88"/>
      <c r="H1945" s="92"/>
      <c r="I1945" s="85">
        <f t="shared" si="104"/>
        <v>0</v>
      </c>
      <c r="J1945" s="93"/>
      <c r="K1945" s="85">
        <f t="shared" si="105"/>
        <v>0</v>
      </c>
      <c r="L1945" s="68"/>
      <c r="M1945" s="68"/>
      <c r="P1945" s="89" t="str">
        <f t="shared" si="103"/>
        <v xml:space="preserve">  1 1900 </v>
      </c>
    </row>
    <row r="1946" spans="1:16">
      <c r="A1946" s="68"/>
      <c r="B1946" s="87"/>
      <c r="C1946" s="88"/>
      <c r="D1946" s="88"/>
      <c r="E1946" s="90"/>
      <c r="F1946" s="84" t="str">
        <f ca="1">IF(D1946="Income",LOOKUP(E1946,Introduction!$A$11:$A$18,Introduction!$C$11:$C$18),IF(D1946="Expense",LOOKUP(E1946,Introduction!$D$11:$D$30,Introduction!$F$11:$F$30),"_"))</f>
        <v>_</v>
      </c>
      <c r="G1946" s="88"/>
      <c r="H1946" s="92"/>
      <c r="I1946" s="85">
        <f t="shared" si="104"/>
        <v>0</v>
      </c>
      <c r="J1946" s="93"/>
      <c r="K1946" s="85">
        <f t="shared" si="105"/>
        <v>0</v>
      </c>
      <c r="L1946" s="68"/>
      <c r="M1946" s="68"/>
      <c r="P1946" s="89" t="str">
        <f t="shared" si="103"/>
        <v xml:space="preserve">  1 1900 </v>
      </c>
    </row>
    <row r="1947" spans="1:16">
      <c r="A1947" s="68"/>
      <c r="B1947" s="87"/>
      <c r="C1947" s="88"/>
      <c r="D1947" s="88"/>
      <c r="E1947" s="90"/>
      <c r="F1947" s="84" t="str">
        <f ca="1">IF(D1947="Income",LOOKUP(E1947,Introduction!$A$11:$A$18,Introduction!$C$11:$C$18),IF(D1947="Expense",LOOKUP(E1947,Introduction!$D$11:$D$30,Introduction!$F$11:$F$30),"_"))</f>
        <v>_</v>
      </c>
      <c r="G1947" s="88"/>
      <c r="H1947" s="92"/>
      <c r="I1947" s="85">
        <f t="shared" si="104"/>
        <v>0</v>
      </c>
      <c r="J1947" s="93"/>
      <c r="K1947" s="85">
        <f t="shared" si="105"/>
        <v>0</v>
      </c>
      <c r="L1947" s="68"/>
      <c r="M1947" s="68"/>
      <c r="P1947" s="89" t="str">
        <f t="shared" si="103"/>
        <v xml:space="preserve">  1 1900 </v>
      </c>
    </row>
    <row r="1948" spans="1:16">
      <c r="A1948" s="68"/>
      <c r="B1948" s="87"/>
      <c r="C1948" s="88"/>
      <c r="D1948" s="88"/>
      <c r="E1948" s="90"/>
      <c r="F1948" s="84" t="str">
        <f ca="1">IF(D1948="Income",LOOKUP(E1948,Introduction!$A$11:$A$18,Introduction!$C$11:$C$18),IF(D1948="Expense",LOOKUP(E1948,Introduction!$D$11:$D$30,Introduction!$F$11:$F$30),"_"))</f>
        <v>_</v>
      </c>
      <c r="G1948" s="88"/>
      <c r="H1948" s="92"/>
      <c r="I1948" s="85">
        <f t="shared" si="104"/>
        <v>0</v>
      </c>
      <c r="J1948" s="93"/>
      <c r="K1948" s="85">
        <f t="shared" si="105"/>
        <v>0</v>
      </c>
      <c r="L1948" s="68"/>
      <c r="M1948" s="68"/>
      <c r="P1948" s="89" t="str">
        <f t="shared" si="103"/>
        <v xml:space="preserve">  1 1900 </v>
      </c>
    </row>
    <row r="1949" spans="1:16">
      <c r="A1949" s="68"/>
      <c r="B1949" s="87"/>
      <c r="C1949" s="88"/>
      <c r="D1949" s="88"/>
      <c r="E1949" s="90"/>
      <c r="F1949" s="84" t="str">
        <f ca="1">IF(D1949="Income",LOOKUP(E1949,Introduction!$A$11:$A$18,Introduction!$C$11:$C$18),IF(D1949="Expense",LOOKUP(E1949,Introduction!$D$11:$D$30,Introduction!$F$11:$F$30),"_"))</f>
        <v>_</v>
      </c>
      <c r="G1949" s="88"/>
      <c r="H1949" s="92"/>
      <c r="I1949" s="85">
        <f t="shared" si="104"/>
        <v>0</v>
      </c>
      <c r="J1949" s="93"/>
      <c r="K1949" s="85">
        <f t="shared" si="105"/>
        <v>0</v>
      </c>
      <c r="L1949" s="68"/>
      <c r="M1949" s="68"/>
      <c r="P1949" s="89" t="str">
        <f t="shared" si="103"/>
        <v xml:space="preserve">  1 1900 </v>
      </c>
    </row>
    <row r="1950" spans="1:16">
      <c r="A1950" s="68"/>
      <c r="B1950" s="87"/>
      <c r="C1950" s="88"/>
      <c r="D1950" s="88"/>
      <c r="E1950" s="90"/>
      <c r="F1950" s="84" t="str">
        <f ca="1">IF(D1950="Income",LOOKUP(E1950,Introduction!$A$11:$A$18,Introduction!$C$11:$C$18),IF(D1950="Expense",LOOKUP(E1950,Introduction!$D$11:$D$30,Introduction!$F$11:$F$30),"_"))</f>
        <v>_</v>
      </c>
      <c r="G1950" s="88"/>
      <c r="H1950" s="92"/>
      <c r="I1950" s="85">
        <f t="shared" si="104"/>
        <v>0</v>
      </c>
      <c r="J1950" s="93"/>
      <c r="K1950" s="85">
        <f t="shared" si="105"/>
        <v>0</v>
      </c>
      <c r="L1950" s="68"/>
      <c r="M1950" s="68"/>
      <c r="P1950" s="89" t="str">
        <f t="shared" si="103"/>
        <v xml:space="preserve">  1 1900 </v>
      </c>
    </row>
    <row r="1951" spans="1:16">
      <c r="A1951" s="68"/>
      <c r="B1951" s="87"/>
      <c r="C1951" s="88"/>
      <c r="D1951" s="88"/>
      <c r="E1951" s="90"/>
      <c r="F1951" s="84" t="str">
        <f ca="1">IF(D1951="Income",LOOKUP(E1951,Introduction!$A$11:$A$18,Introduction!$C$11:$C$18),IF(D1951="Expense",LOOKUP(E1951,Introduction!$D$11:$D$30,Introduction!$F$11:$F$30),"_"))</f>
        <v>_</v>
      </c>
      <c r="G1951" s="88"/>
      <c r="H1951" s="92"/>
      <c r="I1951" s="85">
        <f t="shared" si="104"/>
        <v>0</v>
      </c>
      <c r="J1951" s="93"/>
      <c r="K1951" s="85">
        <f t="shared" si="105"/>
        <v>0</v>
      </c>
      <c r="L1951" s="68"/>
      <c r="M1951" s="68"/>
      <c r="P1951" s="89" t="str">
        <f t="shared" si="103"/>
        <v xml:space="preserve">  1 1900 </v>
      </c>
    </row>
    <row r="1952" spans="1:16">
      <c r="A1952" s="68"/>
      <c r="B1952" s="87"/>
      <c r="C1952" s="88"/>
      <c r="D1952" s="88"/>
      <c r="E1952" s="90"/>
      <c r="F1952" s="84" t="str">
        <f ca="1">IF(D1952="Income",LOOKUP(E1952,Introduction!$A$11:$A$18,Introduction!$C$11:$C$18),IF(D1952="Expense",LOOKUP(E1952,Introduction!$D$11:$D$30,Introduction!$F$11:$F$30),"_"))</f>
        <v>_</v>
      </c>
      <c r="G1952" s="88"/>
      <c r="H1952" s="92"/>
      <c r="I1952" s="85">
        <f t="shared" si="104"/>
        <v>0</v>
      </c>
      <c r="J1952" s="93"/>
      <c r="K1952" s="85">
        <f t="shared" si="105"/>
        <v>0</v>
      </c>
      <c r="L1952" s="68"/>
      <c r="M1952" s="68"/>
      <c r="P1952" s="89" t="str">
        <f t="shared" si="103"/>
        <v xml:space="preserve">  1 1900 </v>
      </c>
    </row>
    <row r="1953" spans="1:16">
      <c r="A1953" s="68"/>
      <c r="B1953" s="87"/>
      <c r="C1953" s="88"/>
      <c r="D1953" s="88"/>
      <c r="E1953" s="90"/>
      <c r="F1953" s="84" t="str">
        <f ca="1">IF(D1953="Income",LOOKUP(E1953,Introduction!$A$11:$A$18,Introduction!$C$11:$C$18),IF(D1953="Expense",LOOKUP(E1953,Introduction!$D$11:$D$30,Introduction!$F$11:$F$30),"_"))</f>
        <v>_</v>
      </c>
      <c r="G1953" s="88"/>
      <c r="H1953" s="92"/>
      <c r="I1953" s="85">
        <f t="shared" si="104"/>
        <v>0</v>
      </c>
      <c r="J1953" s="93"/>
      <c r="K1953" s="85">
        <f t="shared" si="105"/>
        <v>0</v>
      </c>
      <c r="L1953" s="68"/>
      <c r="M1953" s="68"/>
      <c r="P1953" s="89" t="str">
        <f t="shared" si="103"/>
        <v xml:space="preserve">  1 1900 </v>
      </c>
    </row>
    <row r="1954" spans="1:16">
      <c r="A1954" s="68"/>
      <c r="B1954" s="87"/>
      <c r="C1954" s="88"/>
      <c r="D1954" s="88"/>
      <c r="E1954" s="90"/>
      <c r="F1954" s="84" t="str">
        <f ca="1">IF(D1954="Income",LOOKUP(E1954,Introduction!$A$11:$A$18,Introduction!$C$11:$C$18),IF(D1954="Expense",LOOKUP(E1954,Introduction!$D$11:$D$30,Introduction!$F$11:$F$30),"_"))</f>
        <v>_</v>
      </c>
      <c r="G1954" s="88"/>
      <c r="H1954" s="92"/>
      <c r="I1954" s="85">
        <f t="shared" si="104"/>
        <v>0</v>
      </c>
      <c r="J1954" s="93"/>
      <c r="K1954" s="85">
        <f t="shared" si="105"/>
        <v>0</v>
      </c>
      <c r="L1954" s="68"/>
      <c r="M1954" s="68"/>
      <c r="P1954" s="89" t="str">
        <f t="shared" si="103"/>
        <v xml:space="preserve">  1 1900 </v>
      </c>
    </row>
    <row r="1955" spans="1:16">
      <c r="A1955" s="68"/>
      <c r="B1955" s="87"/>
      <c r="C1955" s="88"/>
      <c r="D1955" s="88"/>
      <c r="E1955" s="90"/>
      <c r="F1955" s="84" t="str">
        <f ca="1">IF(D1955="Income",LOOKUP(E1955,Introduction!$A$11:$A$18,Introduction!$C$11:$C$18),IF(D1955="Expense",LOOKUP(E1955,Introduction!$D$11:$D$30,Introduction!$F$11:$F$30),"_"))</f>
        <v>_</v>
      </c>
      <c r="G1955" s="88"/>
      <c r="H1955" s="92"/>
      <c r="I1955" s="85">
        <f t="shared" si="104"/>
        <v>0</v>
      </c>
      <c r="J1955" s="93"/>
      <c r="K1955" s="85">
        <f t="shared" si="105"/>
        <v>0</v>
      </c>
      <c r="L1955" s="68"/>
      <c r="M1955" s="68"/>
      <c r="P1955" s="89" t="str">
        <f t="shared" si="103"/>
        <v xml:space="preserve">  1 1900 </v>
      </c>
    </row>
    <row r="1956" spans="1:16">
      <c r="A1956" s="68"/>
      <c r="B1956" s="87"/>
      <c r="C1956" s="88"/>
      <c r="D1956" s="88"/>
      <c r="E1956" s="90"/>
      <c r="F1956" s="84" t="str">
        <f ca="1">IF(D1956="Income",LOOKUP(E1956,Introduction!$A$11:$A$18,Introduction!$C$11:$C$18),IF(D1956="Expense",LOOKUP(E1956,Introduction!$D$11:$D$30,Introduction!$F$11:$F$30),"_"))</f>
        <v>_</v>
      </c>
      <c r="G1956" s="88"/>
      <c r="H1956" s="92"/>
      <c r="I1956" s="85">
        <f t="shared" si="104"/>
        <v>0</v>
      </c>
      <c r="J1956" s="93"/>
      <c r="K1956" s="85">
        <f t="shared" si="105"/>
        <v>0</v>
      </c>
      <c r="L1956" s="68"/>
      <c r="M1956" s="68"/>
      <c r="P1956" s="89" t="str">
        <f t="shared" si="103"/>
        <v xml:space="preserve">  1 1900 </v>
      </c>
    </row>
    <row r="1957" spans="1:16">
      <c r="A1957" s="68"/>
      <c r="B1957" s="87"/>
      <c r="C1957" s="88"/>
      <c r="D1957" s="88"/>
      <c r="E1957" s="90"/>
      <c r="F1957" s="84" t="str">
        <f ca="1">IF(D1957="Income",LOOKUP(E1957,Introduction!$A$11:$A$18,Introduction!$C$11:$C$18),IF(D1957="Expense",LOOKUP(E1957,Introduction!$D$11:$D$30,Introduction!$F$11:$F$30),"_"))</f>
        <v>_</v>
      </c>
      <c r="G1957" s="88"/>
      <c r="H1957" s="92"/>
      <c r="I1957" s="85">
        <f t="shared" si="104"/>
        <v>0</v>
      </c>
      <c r="J1957" s="93"/>
      <c r="K1957" s="85">
        <f t="shared" si="105"/>
        <v>0</v>
      </c>
      <c r="L1957" s="68"/>
      <c r="M1957" s="68"/>
      <c r="P1957" s="89" t="str">
        <f t="shared" si="103"/>
        <v xml:space="preserve">  1 1900 </v>
      </c>
    </row>
    <row r="1958" spans="1:16">
      <c r="A1958" s="68"/>
      <c r="B1958" s="87"/>
      <c r="C1958" s="88"/>
      <c r="D1958" s="88"/>
      <c r="E1958" s="90"/>
      <c r="F1958" s="84" t="str">
        <f ca="1">IF(D1958="Income",LOOKUP(E1958,Introduction!$A$11:$A$18,Introduction!$C$11:$C$18),IF(D1958="Expense",LOOKUP(E1958,Introduction!$D$11:$D$30,Introduction!$F$11:$F$30),"_"))</f>
        <v>_</v>
      </c>
      <c r="G1958" s="88"/>
      <c r="H1958" s="92"/>
      <c r="I1958" s="85">
        <f t="shared" si="104"/>
        <v>0</v>
      </c>
      <c r="J1958" s="93"/>
      <c r="K1958" s="85">
        <f t="shared" si="105"/>
        <v>0</v>
      </c>
      <c r="L1958" s="68"/>
      <c r="M1958" s="68"/>
      <c r="P1958" s="89" t="str">
        <f t="shared" si="103"/>
        <v xml:space="preserve">  1 1900 </v>
      </c>
    </row>
    <row r="1959" spans="1:16">
      <c r="A1959" s="68"/>
      <c r="B1959" s="87"/>
      <c r="C1959" s="88"/>
      <c r="D1959" s="88"/>
      <c r="E1959" s="90"/>
      <c r="F1959" s="84" t="str">
        <f ca="1">IF(D1959="Income",LOOKUP(E1959,Introduction!$A$11:$A$18,Introduction!$C$11:$C$18),IF(D1959="Expense",LOOKUP(E1959,Introduction!$D$11:$D$30,Introduction!$F$11:$F$30),"_"))</f>
        <v>_</v>
      </c>
      <c r="G1959" s="88"/>
      <c r="H1959" s="92"/>
      <c r="I1959" s="85">
        <f t="shared" si="104"/>
        <v>0</v>
      </c>
      <c r="J1959" s="93"/>
      <c r="K1959" s="85">
        <f t="shared" si="105"/>
        <v>0</v>
      </c>
      <c r="L1959" s="68"/>
      <c r="M1959" s="68"/>
      <c r="P1959" s="89" t="str">
        <f t="shared" si="103"/>
        <v xml:space="preserve">  1 1900 </v>
      </c>
    </row>
    <row r="1960" spans="1:16">
      <c r="A1960" s="68"/>
      <c r="B1960" s="87"/>
      <c r="C1960" s="88"/>
      <c r="D1960" s="88"/>
      <c r="E1960" s="90"/>
      <c r="F1960" s="84" t="str">
        <f ca="1">IF(D1960="Income",LOOKUP(E1960,Introduction!$A$11:$A$18,Introduction!$C$11:$C$18),IF(D1960="Expense",LOOKUP(E1960,Introduction!$D$11:$D$30,Introduction!$F$11:$F$30),"_"))</f>
        <v>_</v>
      </c>
      <c r="G1960" s="88"/>
      <c r="H1960" s="92"/>
      <c r="I1960" s="85">
        <f t="shared" si="104"/>
        <v>0</v>
      </c>
      <c r="J1960" s="93"/>
      <c r="K1960" s="85">
        <f t="shared" si="105"/>
        <v>0</v>
      </c>
      <c r="L1960" s="68"/>
      <c r="M1960" s="68"/>
      <c r="P1960" s="89" t="str">
        <f t="shared" si="103"/>
        <v xml:space="preserve">  1 1900 </v>
      </c>
    </row>
    <row r="1961" spans="1:16">
      <c r="A1961" s="68"/>
      <c r="B1961" s="87"/>
      <c r="C1961" s="88"/>
      <c r="D1961" s="88"/>
      <c r="E1961" s="90"/>
      <c r="F1961" s="84" t="str">
        <f ca="1">IF(D1961="Income",LOOKUP(E1961,Introduction!$A$11:$A$18,Introduction!$C$11:$C$18),IF(D1961="Expense",LOOKUP(E1961,Introduction!$D$11:$D$30,Introduction!$F$11:$F$30),"_"))</f>
        <v>_</v>
      </c>
      <c r="G1961" s="88"/>
      <c r="H1961" s="92"/>
      <c r="I1961" s="85">
        <f t="shared" si="104"/>
        <v>0</v>
      </c>
      <c r="J1961" s="93"/>
      <c r="K1961" s="85">
        <f t="shared" si="105"/>
        <v>0</v>
      </c>
      <c r="L1961" s="68"/>
      <c r="M1961" s="68"/>
      <c r="P1961" s="89" t="str">
        <f t="shared" si="103"/>
        <v xml:space="preserve">  1 1900 </v>
      </c>
    </row>
    <row r="1962" spans="1:16">
      <c r="A1962" s="68"/>
      <c r="B1962" s="87"/>
      <c r="C1962" s="88"/>
      <c r="D1962" s="88"/>
      <c r="E1962" s="90"/>
      <c r="F1962" s="84" t="str">
        <f ca="1">IF(D1962="Income",LOOKUP(E1962,Introduction!$A$11:$A$18,Introduction!$C$11:$C$18),IF(D1962="Expense",LOOKUP(E1962,Introduction!$D$11:$D$30,Introduction!$F$11:$F$30),"_"))</f>
        <v>_</v>
      </c>
      <c r="G1962" s="88"/>
      <c r="H1962" s="92"/>
      <c r="I1962" s="85">
        <f t="shared" si="104"/>
        <v>0</v>
      </c>
      <c r="J1962" s="93"/>
      <c r="K1962" s="85">
        <f t="shared" si="105"/>
        <v>0</v>
      </c>
      <c r="L1962" s="68"/>
      <c r="M1962" s="68"/>
      <c r="P1962" s="89" t="str">
        <f t="shared" si="103"/>
        <v xml:space="preserve">  1 1900 </v>
      </c>
    </row>
    <row r="1963" spans="1:16">
      <c r="A1963" s="68"/>
      <c r="B1963" s="87"/>
      <c r="C1963" s="88"/>
      <c r="D1963" s="88"/>
      <c r="E1963" s="90"/>
      <c r="F1963" s="84" t="str">
        <f ca="1">IF(D1963="Income",LOOKUP(E1963,Introduction!$A$11:$A$18,Introduction!$C$11:$C$18),IF(D1963="Expense",LOOKUP(E1963,Introduction!$D$11:$D$30,Introduction!$F$11:$F$30),"_"))</f>
        <v>_</v>
      </c>
      <c r="G1963" s="88"/>
      <c r="H1963" s="92"/>
      <c r="I1963" s="85">
        <f t="shared" si="104"/>
        <v>0</v>
      </c>
      <c r="J1963" s="93"/>
      <c r="K1963" s="85">
        <f t="shared" si="105"/>
        <v>0</v>
      </c>
      <c r="L1963" s="68"/>
      <c r="M1963" s="68"/>
      <c r="P1963" s="89" t="str">
        <f t="shared" si="103"/>
        <v xml:space="preserve">  1 1900 </v>
      </c>
    </row>
    <row r="1964" spans="1:16">
      <c r="A1964" s="68"/>
      <c r="B1964" s="87"/>
      <c r="C1964" s="88"/>
      <c r="D1964" s="88"/>
      <c r="E1964" s="90"/>
      <c r="F1964" s="84" t="str">
        <f ca="1">IF(D1964="Income",LOOKUP(E1964,Introduction!$A$11:$A$18,Introduction!$C$11:$C$18),IF(D1964="Expense",LOOKUP(E1964,Introduction!$D$11:$D$30,Introduction!$F$11:$F$30),"_"))</f>
        <v>_</v>
      </c>
      <c r="G1964" s="88"/>
      <c r="H1964" s="92"/>
      <c r="I1964" s="85">
        <f t="shared" si="104"/>
        <v>0</v>
      </c>
      <c r="J1964" s="93"/>
      <c r="K1964" s="85">
        <f t="shared" si="105"/>
        <v>0</v>
      </c>
      <c r="L1964" s="68"/>
      <c r="M1964" s="68"/>
      <c r="P1964" s="89" t="str">
        <f t="shared" si="103"/>
        <v xml:space="preserve">  1 1900 </v>
      </c>
    </row>
    <row r="1965" spans="1:16">
      <c r="A1965" s="68"/>
      <c r="B1965" s="87"/>
      <c r="C1965" s="88"/>
      <c r="D1965" s="88"/>
      <c r="E1965" s="90"/>
      <c r="F1965" s="84" t="str">
        <f ca="1">IF(D1965="Income",LOOKUP(E1965,Introduction!$A$11:$A$18,Introduction!$C$11:$C$18),IF(D1965="Expense",LOOKUP(E1965,Introduction!$D$11:$D$30,Introduction!$F$11:$F$30),"_"))</f>
        <v>_</v>
      </c>
      <c r="G1965" s="88"/>
      <c r="H1965" s="92"/>
      <c r="I1965" s="85">
        <f t="shared" si="104"/>
        <v>0</v>
      </c>
      <c r="J1965" s="93"/>
      <c r="K1965" s="85">
        <f t="shared" si="105"/>
        <v>0</v>
      </c>
      <c r="L1965" s="68"/>
      <c r="M1965" s="68"/>
      <c r="P1965" s="89" t="str">
        <f t="shared" si="103"/>
        <v xml:space="preserve">  1 1900 </v>
      </c>
    </row>
    <row r="1966" spans="1:16">
      <c r="A1966" s="68"/>
      <c r="B1966" s="87"/>
      <c r="C1966" s="88"/>
      <c r="D1966" s="88"/>
      <c r="E1966" s="90"/>
      <c r="F1966" s="84" t="str">
        <f ca="1">IF(D1966="Income",LOOKUP(E1966,Introduction!$A$11:$A$18,Introduction!$C$11:$C$18),IF(D1966="Expense",LOOKUP(E1966,Introduction!$D$11:$D$30,Introduction!$F$11:$F$30),"_"))</f>
        <v>_</v>
      </c>
      <c r="G1966" s="88"/>
      <c r="H1966" s="92"/>
      <c r="I1966" s="85">
        <f t="shared" si="104"/>
        <v>0</v>
      </c>
      <c r="J1966" s="93"/>
      <c r="K1966" s="85">
        <f t="shared" si="105"/>
        <v>0</v>
      </c>
      <c r="L1966" s="68"/>
      <c r="M1966" s="68"/>
      <c r="P1966" s="89" t="str">
        <f t="shared" si="103"/>
        <v xml:space="preserve">  1 1900 </v>
      </c>
    </row>
    <row r="1967" spans="1:16">
      <c r="A1967" s="68"/>
      <c r="B1967" s="87"/>
      <c r="C1967" s="88"/>
      <c r="D1967" s="88"/>
      <c r="E1967" s="90"/>
      <c r="F1967" s="84" t="str">
        <f ca="1">IF(D1967="Income",LOOKUP(E1967,Introduction!$A$11:$A$18,Introduction!$C$11:$C$18),IF(D1967="Expense",LOOKUP(E1967,Introduction!$D$11:$D$30,Introduction!$F$11:$F$30),"_"))</f>
        <v>_</v>
      </c>
      <c r="G1967" s="88"/>
      <c r="H1967" s="92"/>
      <c r="I1967" s="85">
        <f t="shared" si="104"/>
        <v>0</v>
      </c>
      <c r="J1967" s="93"/>
      <c r="K1967" s="85">
        <f t="shared" si="105"/>
        <v>0</v>
      </c>
      <c r="L1967" s="68"/>
      <c r="M1967" s="68"/>
      <c r="P1967" s="89" t="str">
        <f t="shared" si="103"/>
        <v xml:space="preserve">  1 1900 </v>
      </c>
    </row>
    <row r="1968" spans="1:16">
      <c r="A1968" s="68"/>
      <c r="B1968" s="87"/>
      <c r="C1968" s="88"/>
      <c r="D1968" s="88"/>
      <c r="E1968" s="90"/>
      <c r="F1968" s="84" t="str">
        <f ca="1">IF(D1968="Income",LOOKUP(E1968,Introduction!$A$11:$A$18,Introduction!$C$11:$C$18),IF(D1968="Expense",LOOKUP(E1968,Introduction!$D$11:$D$30,Introduction!$F$11:$F$30),"_"))</f>
        <v>_</v>
      </c>
      <c r="G1968" s="88"/>
      <c r="H1968" s="92"/>
      <c r="I1968" s="85">
        <f t="shared" si="104"/>
        <v>0</v>
      </c>
      <c r="J1968" s="93"/>
      <c r="K1968" s="85">
        <f t="shared" si="105"/>
        <v>0</v>
      </c>
      <c r="L1968" s="68"/>
      <c r="M1968" s="68"/>
      <c r="P1968" s="89" t="str">
        <f t="shared" si="103"/>
        <v xml:space="preserve">  1 1900 </v>
      </c>
    </row>
    <row r="1969" spans="1:16">
      <c r="A1969" s="68"/>
      <c r="B1969" s="87"/>
      <c r="C1969" s="88"/>
      <c r="D1969" s="88"/>
      <c r="E1969" s="90"/>
      <c r="F1969" s="84" t="str">
        <f ca="1">IF(D1969="Income",LOOKUP(E1969,Introduction!$A$11:$A$18,Introduction!$C$11:$C$18),IF(D1969="Expense",LOOKUP(E1969,Introduction!$D$11:$D$30,Introduction!$F$11:$F$30),"_"))</f>
        <v>_</v>
      </c>
      <c r="G1969" s="88"/>
      <c r="H1969" s="92"/>
      <c r="I1969" s="85">
        <f t="shared" si="104"/>
        <v>0</v>
      </c>
      <c r="J1969" s="93"/>
      <c r="K1969" s="85">
        <f t="shared" si="105"/>
        <v>0</v>
      </c>
      <c r="L1969" s="68"/>
      <c r="M1969" s="68"/>
      <c r="P1969" s="89" t="str">
        <f t="shared" si="103"/>
        <v xml:space="preserve">  1 1900 </v>
      </c>
    </row>
    <row r="1970" spans="1:16">
      <c r="A1970" s="68"/>
      <c r="B1970" s="87"/>
      <c r="C1970" s="88"/>
      <c r="D1970" s="88"/>
      <c r="E1970" s="90"/>
      <c r="F1970" s="84" t="str">
        <f ca="1">IF(D1970="Income",LOOKUP(E1970,Introduction!$A$11:$A$18,Introduction!$C$11:$C$18),IF(D1970="Expense",LOOKUP(E1970,Introduction!$D$11:$D$30,Introduction!$F$11:$F$30),"_"))</f>
        <v>_</v>
      </c>
      <c r="G1970" s="88"/>
      <c r="H1970" s="92"/>
      <c r="I1970" s="85">
        <f t="shared" si="104"/>
        <v>0</v>
      </c>
      <c r="J1970" s="93"/>
      <c r="K1970" s="85">
        <f t="shared" si="105"/>
        <v>0</v>
      </c>
      <c r="L1970" s="68"/>
      <c r="M1970" s="68"/>
      <c r="P1970" s="89" t="str">
        <f t="shared" si="103"/>
        <v xml:space="preserve">  1 1900 </v>
      </c>
    </row>
    <row r="1971" spans="1:16">
      <c r="A1971" s="68"/>
      <c r="B1971" s="87"/>
      <c r="C1971" s="88"/>
      <c r="D1971" s="88"/>
      <c r="E1971" s="90"/>
      <c r="F1971" s="84" t="str">
        <f ca="1">IF(D1971="Income",LOOKUP(E1971,Introduction!$A$11:$A$18,Introduction!$C$11:$C$18),IF(D1971="Expense",LOOKUP(E1971,Introduction!$D$11:$D$30,Introduction!$F$11:$F$30),"_"))</f>
        <v>_</v>
      </c>
      <c r="G1971" s="88"/>
      <c r="H1971" s="92"/>
      <c r="I1971" s="85">
        <f t="shared" si="104"/>
        <v>0</v>
      </c>
      <c r="J1971" s="93"/>
      <c r="K1971" s="85">
        <f t="shared" si="105"/>
        <v>0</v>
      </c>
      <c r="L1971" s="68"/>
      <c r="M1971" s="68"/>
      <c r="P1971" s="89" t="str">
        <f t="shared" si="103"/>
        <v xml:space="preserve">  1 1900 </v>
      </c>
    </row>
    <row r="1972" spans="1:16">
      <c r="A1972" s="68"/>
      <c r="B1972" s="87"/>
      <c r="C1972" s="88"/>
      <c r="D1972" s="88"/>
      <c r="E1972" s="90"/>
      <c r="F1972" s="84" t="str">
        <f ca="1">IF(D1972="Income",LOOKUP(E1972,Introduction!$A$11:$A$18,Introduction!$C$11:$C$18),IF(D1972="Expense",LOOKUP(E1972,Introduction!$D$11:$D$30,Introduction!$F$11:$F$30),"_"))</f>
        <v>_</v>
      </c>
      <c r="G1972" s="88"/>
      <c r="H1972" s="92"/>
      <c r="I1972" s="85">
        <f t="shared" si="104"/>
        <v>0</v>
      </c>
      <c r="J1972" s="93"/>
      <c r="K1972" s="85">
        <f t="shared" si="105"/>
        <v>0</v>
      </c>
      <c r="L1972" s="68"/>
      <c r="M1972" s="68"/>
      <c r="P1972" s="89" t="str">
        <f t="shared" si="103"/>
        <v xml:space="preserve">  1 1900 </v>
      </c>
    </row>
    <row r="1973" spans="1:16">
      <c r="A1973" s="68"/>
      <c r="B1973" s="87"/>
      <c r="C1973" s="88"/>
      <c r="D1973" s="88"/>
      <c r="E1973" s="90"/>
      <c r="F1973" s="84" t="str">
        <f ca="1">IF(D1973="Income",LOOKUP(E1973,Introduction!$A$11:$A$18,Introduction!$C$11:$C$18),IF(D1973="Expense",LOOKUP(E1973,Introduction!$D$11:$D$30,Introduction!$F$11:$F$30),"_"))</f>
        <v>_</v>
      </c>
      <c r="G1973" s="88"/>
      <c r="H1973" s="92"/>
      <c r="I1973" s="85">
        <f t="shared" si="104"/>
        <v>0</v>
      </c>
      <c r="J1973" s="93"/>
      <c r="K1973" s="85">
        <f t="shared" si="105"/>
        <v>0</v>
      </c>
      <c r="L1973" s="68"/>
      <c r="M1973" s="68"/>
      <c r="P1973" s="89" t="str">
        <f t="shared" si="103"/>
        <v xml:space="preserve">  1 1900 </v>
      </c>
    </row>
    <row r="1974" spans="1:16">
      <c r="A1974" s="68"/>
      <c r="B1974" s="87"/>
      <c r="C1974" s="88"/>
      <c r="D1974" s="88"/>
      <c r="E1974" s="90"/>
      <c r="F1974" s="84" t="str">
        <f ca="1">IF(D1974="Income",LOOKUP(E1974,Introduction!$A$11:$A$18,Introduction!$C$11:$C$18),IF(D1974="Expense",LOOKUP(E1974,Introduction!$D$11:$D$30,Introduction!$F$11:$F$30),"_"))</f>
        <v>_</v>
      </c>
      <c r="G1974" s="88"/>
      <c r="H1974" s="92"/>
      <c r="I1974" s="85">
        <f t="shared" si="104"/>
        <v>0</v>
      </c>
      <c r="J1974" s="93"/>
      <c r="K1974" s="85">
        <f t="shared" si="105"/>
        <v>0</v>
      </c>
      <c r="L1974" s="68"/>
      <c r="M1974" s="68"/>
      <c r="P1974" s="89" t="str">
        <f t="shared" si="103"/>
        <v xml:space="preserve">  1 1900 </v>
      </c>
    </row>
    <row r="1975" spans="1:16">
      <c r="A1975" s="68"/>
      <c r="B1975" s="87"/>
      <c r="C1975" s="88"/>
      <c r="D1975" s="88"/>
      <c r="E1975" s="90"/>
      <c r="F1975" s="84" t="str">
        <f ca="1">IF(D1975="Income",LOOKUP(E1975,Introduction!$A$11:$A$18,Introduction!$C$11:$C$18),IF(D1975="Expense",LOOKUP(E1975,Introduction!$D$11:$D$30,Introduction!$F$11:$F$30),"_"))</f>
        <v>_</v>
      </c>
      <c r="G1975" s="88"/>
      <c r="H1975" s="92"/>
      <c r="I1975" s="85">
        <f t="shared" si="104"/>
        <v>0</v>
      </c>
      <c r="J1975" s="93"/>
      <c r="K1975" s="85">
        <f t="shared" si="105"/>
        <v>0</v>
      </c>
      <c r="L1975" s="68"/>
      <c r="M1975" s="68"/>
      <c r="P1975" s="89" t="str">
        <f t="shared" si="103"/>
        <v xml:space="preserve">  1 1900 </v>
      </c>
    </row>
    <row r="1976" spans="1:16">
      <c r="A1976" s="68"/>
      <c r="B1976" s="87"/>
      <c r="C1976" s="88"/>
      <c r="D1976" s="88"/>
      <c r="E1976" s="90"/>
      <c r="F1976" s="84" t="str">
        <f ca="1">IF(D1976="Income",LOOKUP(E1976,Introduction!$A$11:$A$18,Introduction!$C$11:$C$18),IF(D1976="Expense",LOOKUP(E1976,Introduction!$D$11:$D$30,Introduction!$F$11:$F$30),"_"))</f>
        <v>_</v>
      </c>
      <c r="G1976" s="88"/>
      <c r="H1976" s="92"/>
      <c r="I1976" s="85">
        <f t="shared" si="104"/>
        <v>0</v>
      </c>
      <c r="J1976" s="93"/>
      <c r="K1976" s="85">
        <f t="shared" si="105"/>
        <v>0</v>
      </c>
      <c r="L1976" s="68"/>
      <c r="M1976" s="68"/>
      <c r="P1976" s="89" t="str">
        <f t="shared" si="103"/>
        <v xml:space="preserve">  1 1900 </v>
      </c>
    </row>
    <row r="1977" spans="1:16">
      <c r="A1977" s="68"/>
      <c r="B1977" s="87"/>
      <c r="C1977" s="88"/>
      <c r="D1977" s="88"/>
      <c r="E1977" s="90"/>
      <c r="F1977" s="84" t="str">
        <f ca="1">IF(D1977="Income",LOOKUP(E1977,Introduction!$A$11:$A$18,Introduction!$C$11:$C$18),IF(D1977="Expense",LOOKUP(E1977,Introduction!$D$11:$D$30,Introduction!$F$11:$F$30),"_"))</f>
        <v>_</v>
      </c>
      <c r="G1977" s="88"/>
      <c r="H1977" s="92"/>
      <c r="I1977" s="85">
        <f t="shared" si="104"/>
        <v>0</v>
      </c>
      <c r="J1977" s="93"/>
      <c r="K1977" s="85">
        <f t="shared" si="105"/>
        <v>0</v>
      </c>
      <c r="L1977" s="68"/>
      <c r="M1977" s="68"/>
      <c r="P1977" s="89" t="str">
        <f t="shared" si="103"/>
        <v xml:space="preserve">  1 1900 </v>
      </c>
    </row>
    <row r="1978" spans="1:16">
      <c r="A1978" s="68"/>
      <c r="B1978" s="87"/>
      <c r="C1978" s="88"/>
      <c r="D1978" s="88"/>
      <c r="E1978" s="90"/>
      <c r="F1978" s="84" t="str">
        <f ca="1">IF(D1978="Income",LOOKUP(E1978,Introduction!$A$11:$A$18,Introduction!$C$11:$C$18),IF(D1978="Expense",LOOKUP(E1978,Introduction!$D$11:$D$30,Introduction!$F$11:$F$30),"_"))</f>
        <v>_</v>
      </c>
      <c r="G1978" s="88"/>
      <c r="H1978" s="92"/>
      <c r="I1978" s="85">
        <f t="shared" si="104"/>
        <v>0</v>
      </c>
      <c r="J1978" s="93"/>
      <c r="K1978" s="85">
        <f t="shared" si="105"/>
        <v>0</v>
      </c>
      <c r="L1978" s="68"/>
      <c r="M1978" s="68"/>
      <c r="P1978" s="89" t="str">
        <f t="shared" si="103"/>
        <v xml:space="preserve">  1 1900 </v>
      </c>
    </row>
    <row r="1979" spans="1:16">
      <c r="A1979" s="68"/>
      <c r="B1979" s="87"/>
      <c r="C1979" s="88"/>
      <c r="D1979" s="88"/>
      <c r="E1979" s="90"/>
      <c r="F1979" s="84" t="str">
        <f ca="1">IF(D1979="Income",LOOKUP(E1979,Introduction!$A$11:$A$18,Introduction!$C$11:$C$18),IF(D1979="Expense",LOOKUP(E1979,Introduction!$D$11:$D$30,Introduction!$F$11:$F$30),"_"))</f>
        <v>_</v>
      </c>
      <c r="G1979" s="88"/>
      <c r="H1979" s="92"/>
      <c r="I1979" s="85">
        <f t="shared" si="104"/>
        <v>0</v>
      </c>
      <c r="J1979" s="93"/>
      <c r="K1979" s="85">
        <f t="shared" si="105"/>
        <v>0</v>
      </c>
      <c r="L1979" s="68"/>
      <c r="M1979" s="68"/>
      <c r="P1979" s="89" t="str">
        <f t="shared" si="103"/>
        <v xml:space="preserve">  1 1900 </v>
      </c>
    </row>
    <row r="1980" spans="1:16">
      <c r="A1980" s="68"/>
      <c r="B1980" s="87"/>
      <c r="C1980" s="88"/>
      <c r="D1980" s="88"/>
      <c r="E1980" s="90"/>
      <c r="F1980" s="84" t="str">
        <f ca="1">IF(D1980="Income",LOOKUP(E1980,Introduction!$A$11:$A$18,Introduction!$C$11:$C$18),IF(D1980="Expense",LOOKUP(E1980,Introduction!$D$11:$D$30,Introduction!$F$11:$F$30),"_"))</f>
        <v>_</v>
      </c>
      <c r="G1980" s="88"/>
      <c r="H1980" s="92"/>
      <c r="I1980" s="85">
        <f t="shared" si="104"/>
        <v>0</v>
      </c>
      <c r="J1980" s="93"/>
      <c r="K1980" s="85">
        <f t="shared" si="105"/>
        <v>0</v>
      </c>
      <c r="L1980" s="68"/>
      <c r="M1980" s="68"/>
      <c r="P1980" s="89" t="str">
        <f t="shared" si="103"/>
        <v xml:space="preserve">  1 1900 </v>
      </c>
    </row>
    <row r="1981" spans="1:16">
      <c r="A1981" s="68"/>
      <c r="B1981" s="87"/>
      <c r="C1981" s="88"/>
      <c r="D1981" s="88"/>
      <c r="E1981" s="90"/>
      <c r="F1981" s="84" t="str">
        <f ca="1">IF(D1981="Income",LOOKUP(E1981,Introduction!$A$11:$A$18,Introduction!$C$11:$C$18),IF(D1981="Expense",LOOKUP(E1981,Introduction!$D$11:$D$30,Introduction!$F$11:$F$30),"_"))</f>
        <v>_</v>
      </c>
      <c r="G1981" s="88"/>
      <c r="H1981" s="92"/>
      <c r="I1981" s="85">
        <f t="shared" si="104"/>
        <v>0</v>
      </c>
      <c r="J1981" s="93"/>
      <c r="K1981" s="85">
        <f t="shared" si="105"/>
        <v>0</v>
      </c>
      <c r="L1981" s="68"/>
      <c r="M1981" s="68"/>
      <c r="P1981" s="89" t="str">
        <f t="shared" si="103"/>
        <v xml:space="preserve">  1 1900 </v>
      </c>
    </row>
    <row r="1982" spans="1:16">
      <c r="A1982" s="68"/>
      <c r="B1982" s="87"/>
      <c r="C1982" s="88"/>
      <c r="D1982" s="88"/>
      <c r="E1982" s="90"/>
      <c r="F1982" s="84" t="str">
        <f ca="1">IF(D1982="Income",LOOKUP(E1982,Introduction!$A$11:$A$18,Introduction!$C$11:$C$18),IF(D1982="Expense",LOOKUP(E1982,Introduction!$D$11:$D$30,Introduction!$F$11:$F$30),"_"))</f>
        <v>_</v>
      </c>
      <c r="G1982" s="88"/>
      <c r="H1982" s="92"/>
      <c r="I1982" s="85">
        <f t="shared" si="104"/>
        <v>0</v>
      </c>
      <c r="J1982" s="93"/>
      <c r="K1982" s="85">
        <f t="shared" si="105"/>
        <v>0</v>
      </c>
      <c r="L1982" s="68"/>
      <c r="M1982" s="68"/>
      <c r="P1982" s="89" t="str">
        <f t="shared" si="103"/>
        <v xml:space="preserve">  1 1900 </v>
      </c>
    </row>
    <row r="1983" spans="1:16">
      <c r="A1983" s="68"/>
      <c r="B1983" s="87"/>
      <c r="C1983" s="88"/>
      <c r="D1983" s="88"/>
      <c r="E1983" s="90"/>
      <c r="F1983" s="84" t="str">
        <f ca="1">IF(D1983="Income",LOOKUP(E1983,Introduction!$A$11:$A$18,Introduction!$C$11:$C$18),IF(D1983="Expense",LOOKUP(E1983,Introduction!$D$11:$D$30,Introduction!$F$11:$F$30),"_"))</f>
        <v>_</v>
      </c>
      <c r="G1983" s="88"/>
      <c r="H1983" s="92"/>
      <c r="I1983" s="85">
        <f t="shared" si="104"/>
        <v>0</v>
      </c>
      <c r="J1983" s="93"/>
      <c r="K1983" s="85">
        <f t="shared" si="105"/>
        <v>0</v>
      </c>
      <c r="L1983" s="68"/>
      <c r="M1983" s="68"/>
      <c r="P1983" s="89" t="str">
        <f t="shared" si="103"/>
        <v xml:space="preserve">  1 1900 </v>
      </c>
    </row>
    <row r="1984" spans="1:16">
      <c r="A1984" s="68"/>
      <c r="B1984" s="87"/>
      <c r="C1984" s="88"/>
      <c r="D1984" s="88"/>
      <c r="E1984" s="90"/>
      <c r="F1984" s="84" t="str">
        <f ca="1">IF(D1984="Income",LOOKUP(E1984,Introduction!$A$11:$A$18,Introduction!$C$11:$C$18),IF(D1984="Expense",LOOKUP(E1984,Introduction!$D$11:$D$30,Introduction!$F$11:$F$30),"_"))</f>
        <v>_</v>
      </c>
      <c r="G1984" s="88"/>
      <c r="H1984" s="92"/>
      <c r="I1984" s="85">
        <f t="shared" si="104"/>
        <v>0</v>
      </c>
      <c r="J1984" s="93"/>
      <c r="K1984" s="85">
        <f t="shared" si="105"/>
        <v>0</v>
      </c>
      <c r="L1984" s="68"/>
      <c r="M1984" s="68"/>
      <c r="P1984" s="89" t="str">
        <f t="shared" si="103"/>
        <v xml:space="preserve">  1 1900 </v>
      </c>
    </row>
    <row r="1985" spans="1:16">
      <c r="A1985" s="68"/>
      <c r="B1985" s="87"/>
      <c r="C1985" s="88"/>
      <c r="D1985" s="88"/>
      <c r="E1985" s="90"/>
      <c r="F1985" s="84" t="str">
        <f ca="1">IF(D1985="Income",LOOKUP(E1985,Introduction!$A$11:$A$18,Introduction!$C$11:$C$18),IF(D1985="Expense",LOOKUP(E1985,Introduction!$D$11:$D$30,Introduction!$F$11:$F$30),"_"))</f>
        <v>_</v>
      </c>
      <c r="G1985" s="88"/>
      <c r="H1985" s="92"/>
      <c r="I1985" s="85">
        <f t="shared" si="104"/>
        <v>0</v>
      </c>
      <c r="J1985" s="93"/>
      <c r="K1985" s="85">
        <f t="shared" si="105"/>
        <v>0</v>
      </c>
      <c r="L1985" s="68"/>
      <c r="M1985" s="68"/>
      <c r="P1985" s="89" t="str">
        <f t="shared" si="103"/>
        <v xml:space="preserve">  1 1900 </v>
      </c>
    </row>
    <row r="1986" spans="1:16">
      <c r="A1986" s="68"/>
      <c r="B1986" s="87"/>
      <c r="C1986" s="88"/>
      <c r="D1986" s="88"/>
      <c r="E1986" s="90"/>
      <c r="F1986" s="84" t="str">
        <f ca="1">IF(D1986="Income",LOOKUP(E1986,Introduction!$A$11:$A$18,Introduction!$C$11:$C$18),IF(D1986="Expense",LOOKUP(E1986,Introduction!$D$11:$D$30,Introduction!$F$11:$F$30),"_"))</f>
        <v>_</v>
      </c>
      <c r="G1986" s="88"/>
      <c r="H1986" s="92"/>
      <c r="I1986" s="85">
        <f t="shared" si="104"/>
        <v>0</v>
      </c>
      <c r="J1986" s="93"/>
      <c r="K1986" s="85">
        <f t="shared" si="105"/>
        <v>0</v>
      </c>
      <c r="L1986" s="68"/>
      <c r="M1986" s="68"/>
      <c r="P1986" s="89" t="str">
        <f t="shared" si="103"/>
        <v xml:space="preserve">  1 1900 </v>
      </c>
    </row>
    <row r="1987" spans="1:16">
      <c r="A1987" s="68"/>
      <c r="B1987" s="87"/>
      <c r="C1987" s="88"/>
      <c r="D1987" s="88"/>
      <c r="E1987" s="90"/>
      <c r="F1987" s="84" t="str">
        <f ca="1">IF(D1987="Income",LOOKUP(E1987,Introduction!$A$11:$A$18,Introduction!$C$11:$C$18),IF(D1987="Expense",LOOKUP(E1987,Introduction!$D$11:$D$30,Introduction!$F$11:$F$30),"_"))</f>
        <v>_</v>
      </c>
      <c r="G1987" s="88"/>
      <c r="H1987" s="92"/>
      <c r="I1987" s="85">
        <f t="shared" si="104"/>
        <v>0</v>
      </c>
      <c r="J1987" s="93"/>
      <c r="K1987" s="85">
        <f t="shared" si="105"/>
        <v>0</v>
      </c>
      <c r="L1987" s="68"/>
      <c r="M1987" s="68"/>
      <c r="P1987" s="89" t="str">
        <f t="shared" si="103"/>
        <v xml:space="preserve">  1 1900 </v>
      </c>
    </row>
    <row r="1988" spans="1:16">
      <c r="A1988" s="68"/>
      <c r="B1988" s="87"/>
      <c r="C1988" s="88"/>
      <c r="D1988" s="88"/>
      <c r="E1988" s="90"/>
      <c r="F1988" s="84" t="str">
        <f ca="1">IF(D1988="Income",LOOKUP(E1988,Introduction!$A$11:$A$18,Introduction!$C$11:$C$18),IF(D1988="Expense",LOOKUP(E1988,Introduction!$D$11:$D$30,Introduction!$F$11:$F$30),"_"))</f>
        <v>_</v>
      </c>
      <c r="G1988" s="88"/>
      <c r="H1988" s="92"/>
      <c r="I1988" s="85">
        <f t="shared" si="104"/>
        <v>0</v>
      </c>
      <c r="J1988" s="93"/>
      <c r="K1988" s="85">
        <f t="shared" si="105"/>
        <v>0</v>
      </c>
      <c r="L1988" s="68"/>
      <c r="M1988" s="68"/>
      <c r="P1988" s="89" t="str">
        <f t="shared" si="103"/>
        <v xml:space="preserve">  1 1900 </v>
      </c>
    </row>
    <row r="1989" spans="1:16">
      <c r="A1989" s="68"/>
      <c r="B1989" s="87"/>
      <c r="C1989" s="88"/>
      <c r="D1989" s="88"/>
      <c r="E1989" s="90"/>
      <c r="F1989" s="84" t="str">
        <f ca="1">IF(D1989="Income",LOOKUP(E1989,Introduction!$A$11:$A$18,Introduction!$C$11:$C$18),IF(D1989="Expense",LOOKUP(E1989,Introduction!$D$11:$D$30,Introduction!$F$11:$F$30),"_"))</f>
        <v>_</v>
      </c>
      <c r="G1989" s="88"/>
      <c r="H1989" s="92"/>
      <c r="I1989" s="85">
        <f t="shared" si="104"/>
        <v>0</v>
      </c>
      <c r="J1989" s="93"/>
      <c r="K1989" s="85">
        <f t="shared" si="105"/>
        <v>0</v>
      </c>
      <c r="L1989" s="68"/>
      <c r="M1989" s="68"/>
      <c r="P1989" s="89" t="str">
        <f t="shared" si="103"/>
        <v xml:space="preserve">  1 1900 </v>
      </c>
    </row>
    <row r="1990" spans="1:16">
      <c r="A1990" s="68"/>
      <c r="B1990" s="87"/>
      <c r="C1990" s="88"/>
      <c r="D1990" s="88"/>
      <c r="E1990" s="90"/>
      <c r="F1990" s="84" t="str">
        <f ca="1">IF(D1990="Income",LOOKUP(E1990,Introduction!$A$11:$A$18,Introduction!$C$11:$C$18),IF(D1990="Expense",LOOKUP(E1990,Introduction!$D$11:$D$30,Introduction!$F$11:$F$30),"_"))</f>
        <v>_</v>
      </c>
      <c r="G1990" s="88"/>
      <c r="H1990" s="92"/>
      <c r="I1990" s="85">
        <f t="shared" si="104"/>
        <v>0</v>
      </c>
      <c r="J1990" s="93"/>
      <c r="K1990" s="85">
        <f t="shared" si="105"/>
        <v>0</v>
      </c>
      <c r="L1990" s="68"/>
      <c r="M1990" s="68"/>
      <c r="P1990" s="89" t="str">
        <f t="shared" si="103"/>
        <v xml:space="preserve">  1 1900 </v>
      </c>
    </row>
    <row r="1991" spans="1:16">
      <c r="A1991" s="68"/>
      <c r="B1991" s="87"/>
      <c r="C1991" s="88"/>
      <c r="D1991" s="88"/>
      <c r="E1991" s="90"/>
      <c r="F1991" s="84" t="str">
        <f ca="1">IF(D1991="Income",LOOKUP(E1991,Introduction!$A$11:$A$18,Introduction!$C$11:$C$18),IF(D1991="Expense",LOOKUP(E1991,Introduction!$D$11:$D$30,Introduction!$F$11:$F$30),"_"))</f>
        <v>_</v>
      </c>
      <c r="G1991" s="88"/>
      <c r="H1991" s="92"/>
      <c r="I1991" s="85">
        <f t="shared" si="104"/>
        <v>0</v>
      </c>
      <c r="J1991" s="93"/>
      <c r="K1991" s="85">
        <f t="shared" si="105"/>
        <v>0</v>
      </c>
      <c r="L1991" s="68"/>
      <c r="M1991" s="68"/>
      <c r="P1991" s="89" t="str">
        <f t="shared" ref="P1991:P2011" si="106">CONCATENATE(D1991," ",E1991," ",MONTH(C1991)," ",YEAR(C1991)," ")</f>
        <v xml:space="preserve">  1 1900 </v>
      </c>
    </row>
    <row r="1992" spans="1:16">
      <c r="A1992" s="68"/>
      <c r="B1992" s="87"/>
      <c r="C1992" s="88"/>
      <c r="D1992" s="88"/>
      <c r="E1992" s="90"/>
      <c r="F1992" s="84" t="str">
        <f ca="1">IF(D1992="Income",LOOKUP(E1992,Introduction!$A$11:$A$18,Introduction!$C$11:$C$18),IF(D1992="Expense",LOOKUP(E1992,Introduction!$D$11:$D$30,Introduction!$F$11:$F$30),"_"))</f>
        <v>_</v>
      </c>
      <c r="G1992" s="88"/>
      <c r="H1992" s="92"/>
      <c r="I1992" s="85">
        <f t="shared" si="104"/>
        <v>0</v>
      </c>
      <c r="J1992" s="93"/>
      <c r="K1992" s="85">
        <f t="shared" si="105"/>
        <v>0</v>
      </c>
      <c r="L1992" s="68"/>
      <c r="M1992" s="68"/>
      <c r="P1992" s="89" t="str">
        <f t="shared" si="106"/>
        <v xml:space="preserve">  1 1900 </v>
      </c>
    </row>
    <row r="1993" spans="1:16">
      <c r="A1993" s="68"/>
      <c r="B1993" s="87"/>
      <c r="C1993" s="88"/>
      <c r="D1993" s="88"/>
      <c r="E1993" s="90"/>
      <c r="F1993" s="84" t="str">
        <f ca="1">IF(D1993="Income",LOOKUP(E1993,Introduction!$A$11:$A$18,Introduction!$C$11:$C$18),IF(D1993="Expense",LOOKUP(E1993,Introduction!$D$11:$D$30,Introduction!$F$11:$F$30),"_"))</f>
        <v>_</v>
      </c>
      <c r="G1993" s="88"/>
      <c r="H1993" s="92"/>
      <c r="I1993" s="85">
        <f t="shared" si="104"/>
        <v>0</v>
      </c>
      <c r="J1993" s="93"/>
      <c r="K1993" s="85">
        <f t="shared" si="105"/>
        <v>0</v>
      </c>
      <c r="L1993" s="68"/>
      <c r="M1993" s="68"/>
      <c r="P1993" s="89" t="str">
        <f t="shared" si="106"/>
        <v xml:space="preserve">  1 1900 </v>
      </c>
    </row>
    <row r="1994" spans="1:16">
      <c r="A1994" s="68"/>
      <c r="B1994" s="87"/>
      <c r="C1994" s="88"/>
      <c r="D1994" s="88"/>
      <c r="E1994" s="90"/>
      <c r="F1994" s="84" t="str">
        <f ca="1">IF(D1994="Income",LOOKUP(E1994,Introduction!$A$11:$A$18,Introduction!$C$11:$C$18),IF(D1994="Expense",LOOKUP(E1994,Introduction!$D$11:$D$30,Introduction!$F$11:$F$30),"_"))</f>
        <v>_</v>
      </c>
      <c r="G1994" s="88"/>
      <c r="H1994" s="92"/>
      <c r="I1994" s="85">
        <f t="shared" si="104"/>
        <v>0</v>
      </c>
      <c r="J1994" s="93"/>
      <c r="K1994" s="85">
        <f t="shared" si="105"/>
        <v>0</v>
      </c>
      <c r="L1994" s="68"/>
      <c r="M1994" s="68"/>
      <c r="P1994" s="89" t="str">
        <f t="shared" si="106"/>
        <v xml:space="preserve">  1 1900 </v>
      </c>
    </row>
    <row r="1995" spans="1:16">
      <c r="A1995" s="68"/>
      <c r="B1995" s="87"/>
      <c r="C1995" s="88"/>
      <c r="D1995" s="88"/>
      <c r="E1995" s="90"/>
      <c r="F1995" s="84" t="str">
        <f ca="1">IF(D1995="Income",LOOKUP(E1995,Introduction!$A$11:$A$18,Introduction!$C$11:$C$18),IF(D1995="Expense",LOOKUP(E1995,Introduction!$D$11:$D$30,Introduction!$F$11:$F$30),"_"))</f>
        <v>_</v>
      </c>
      <c r="G1995" s="88"/>
      <c r="H1995" s="92"/>
      <c r="I1995" s="85">
        <f t="shared" si="104"/>
        <v>0</v>
      </c>
      <c r="J1995" s="93"/>
      <c r="K1995" s="85">
        <f t="shared" si="105"/>
        <v>0</v>
      </c>
      <c r="L1995" s="68"/>
      <c r="M1995" s="68"/>
      <c r="P1995" s="89" t="str">
        <f t="shared" si="106"/>
        <v xml:space="preserve">  1 1900 </v>
      </c>
    </row>
    <row r="1996" spans="1:16">
      <c r="A1996" s="68"/>
      <c r="B1996" s="87"/>
      <c r="C1996" s="88"/>
      <c r="D1996" s="88"/>
      <c r="E1996" s="90"/>
      <c r="F1996" s="84" t="str">
        <f ca="1">IF(D1996="Income",LOOKUP(E1996,Introduction!$A$11:$A$18,Introduction!$C$11:$C$18),IF(D1996="Expense",LOOKUP(E1996,Introduction!$D$11:$D$30,Introduction!$F$11:$F$30),"_"))</f>
        <v>_</v>
      </c>
      <c r="G1996" s="88"/>
      <c r="H1996" s="92"/>
      <c r="I1996" s="85">
        <f t="shared" si="104"/>
        <v>0</v>
      </c>
      <c r="J1996" s="93"/>
      <c r="K1996" s="85">
        <f t="shared" si="105"/>
        <v>0</v>
      </c>
      <c r="L1996" s="68"/>
      <c r="M1996" s="68"/>
      <c r="P1996" s="89" t="str">
        <f t="shared" si="106"/>
        <v xml:space="preserve">  1 1900 </v>
      </c>
    </row>
    <row r="1997" spans="1:16">
      <c r="A1997" s="68"/>
      <c r="B1997" s="87"/>
      <c r="C1997" s="88"/>
      <c r="D1997" s="88"/>
      <c r="E1997" s="90"/>
      <c r="F1997" s="84" t="str">
        <f ca="1">IF(D1997="Income",LOOKUP(E1997,Introduction!$A$11:$A$18,Introduction!$C$11:$C$18),IF(D1997="Expense",LOOKUP(E1997,Introduction!$D$11:$D$30,Introduction!$F$11:$F$30),"_"))</f>
        <v>_</v>
      </c>
      <c r="G1997" s="88"/>
      <c r="H1997" s="92"/>
      <c r="I1997" s="85">
        <f t="shared" si="104"/>
        <v>0</v>
      </c>
      <c r="J1997" s="93"/>
      <c r="K1997" s="85">
        <f t="shared" si="105"/>
        <v>0</v>
      </c>
      <c r="L1997" s="68"/>
      <c r="M1997" s="68"/>
      <c r="P1997" s="89" t="str">
        <f t="shared" si="106"/>
        <v xml:space="preserve">  1 1900 </v>
      </c>
    </row>
    <row r="1998" spans="1:16">
      <c r="A1998" s="68"/>
      <c r="B1998" s="87"/>
      <c r="C1998" s="88"/>
      <c r="D1998" s="88"/>
      <c r="E1998" s="90"/>
      <c r="F1998" s="84" t="str">
        <f ca="1">IF(D1998="Income",LOOKUP(E1998,Introduction!$A$11:$A$18,Introduction!$C$11:$C$18),IF(D1998="Expense",LOOKUP(E1998,Introduction!$D$11:$D$30,Introduction!$F$11:$F$30),"_"))</f>
        <v>_</v>
      </c>
      <c r="G1998" s="88"/>
      <c r="H1998" s="92"/>
      <c r="I1998" s="85">
        <f t="shared" si="104"/>
        <v>0</v>
      </c>
      <c r="J1998" s="93"/>
      <c r="K1998" s="85">
        <f t="shared" si="105"/>
        <v>0</v>
      </c>
      <c r="L1998" s="68"/>
      <c r="M1998" s="68"/>
      <c r="P1998" s="89" t="str">
        <f t="shared" si="106"/>
        <v xml:space="preserve">  1 1900 </v>
      </c>
    </row>
    <row r="1999" spans="1:16">
      <c r="A1999" s="68"/>
      <c r="B1999" s="87"/>
      <c r="C1999" s="88"/>
      <c r="D1999" s="88"/>
      <c r="E1999" s="90"/>
      <c r="F1999" s="84" t="str">
        <f ca="1">IF(D1999="Income",LOOKUP(E1999,Introduction!$A$11:$A$18,Introduction!$C$11:$C$18),IF(D1999="Expense",LOOKUP(E1999,Introduction!$D$11:$D$30,Introduction!$F$11:$F$30),"_"))</f>
        <v>_</v>
      </c>
      <c r="G1999" s="88"/>
      <c r="H1999" s="92"/>
      <c r="I1999" s="85">
        <f t="shared" si="104"/>
        <v>0</v>
      </c>
      <c r="J1999" s="93"/>
      <c r="K1999" s="85">
        <f t="shared" si="105"/>
        <v>0</v>
      </c>
      <c r="L1999" s="68"/>
      <c r="M1999" s="68"/>
      <c r="P1999" s="89" t="str">
        <f t="shared" si="106"/>
        <v xml:space="preserve">  1 1900 </v>
      </c>
    </row>
    <row r="2000" spans="1:16">
      <c r="A2000" s="68"/>
      <c r="B2000" s="87"/>
      <c r="C2000" s="88"/>
      <c r="D2000" s="88"/>
      <c r="E2000" s="90"/>
      <c r="F2000" s="84" t="str">
        <f ca="1">IF(D2000="Income",LOOKUP(E2000,Introduction!$A$11:$A$18,Introduction!$C$11:$C$18),IF(D2000="Expense",LOOKUP(E2000,Introduction!$D$11:$D$30,Introduction!$F$11:$F$30),"_"))</f>
        <v>_</v>
      </c>
      <c r="G2000" s="88"/>
      <c r="H2000" s="92"/>
      <c r="I2000" s="85">
        <f t="shared" si="104"/>
        <v>0</v>
      </c>
      <c r="J2000" s="93"/>
      <c r="K2000" s="85">
        <f t="shared" si="105"/>
        <v>0</v>
      </c>
      <c r="L2000" s="68"/>
      <c r="M2000" s="68"/>
      <c r="P2000" s="89" t="str">
        <f t="shared" si="106"/>
        <v xml:space="preserve">  1 1900 </v>
      </c>
    </row>
    <row r="2001" spans="1:16">
      <c r="A2001" s="68"/>
      <c r="B2001" s="87"/>
      <c r="C2001" s="88"/>
      <c r="D2001" s="88"/>
      <c r="E2001" s="90"/>
      <c r="F2001" s="84" t="str">
        <f ca="1">IF(D2001="Income",LOOKUP(E2001,Introduction!$A$11:$A$18,Introduction!$C$11:$C$18),IF(D2001="Expense",LOOKUP(E2001,Introduction!$D$11:$D$30,Introduction!$F$11:$F$30),"_"))</f>
        <v>_</v>
      </c>
      <c r="G2001" s="88"/>
      <c r="H2001" s="92"/>
      <c r="I2001" s="85">
        <f t="shared" ref="I2001:I2011" si="107">+I2000+H2001</f>
        <v>0</v>
      </c>
      <c r="J2001" s="93"/>
      <c r="K2001" s="85">
        <f t="shared" ref="K2001:K2011" si="108">IF(J2001=1,K2000+H2001,++K2000)</f>
        <v>0</v>
      </c>
      <c r="L2001" s="68"/>
      <c r="M2001" s="68"/>
      <c r="P2001" s="89" t="str">
        <f t="shared" si="106"/>
        <v xml:space="preserve">  1 1900 </v>
      </c>
    </row>
    <row r="2002" spans="1:16">
      <c r="A2002" s="68"/>
      <c r="B2002" s="87"/>
      <c r="C2002" s="88"/>
      <c r="D2002" s="88"/>
      <c r="E2002" s="90"/>
      <c r="F2002" s="84" t="str">
        <f ca="1">IF(D2002="Income",LOOKUP(E2002,Introduction!$A$11:$A$18,Introduction!$C$11:$C$18),IF(D2002="Expense",LOOKUP(E2002,Introduction!$D$11:$D$30,Introduction!$F$11:$F$30),"_"))</f>
        <v>_</v>
      </c>
      <c r="G2002" s="88"/>
      <c r="H2002" s="92"/>
      <c r="I2002" s="85">
        <f t="shared" si="107"/>
        <v>0</v>
      </c>
      <c r="J2002" s="93"/>
      <c r="K2002" s="85">
        <f t="shared" si="108"/>
        <v>0</v>
      </c>
      <c r="L2002" s="68"/>
      <c r="M2002" s="68"/>
      <c r="P2002" s="89" t="str">
        <f t="shared" si="106"/>
        <v xml:space="preserve">  1 1900 </v>
      </c>
    </row>
    <row r="2003" spans="1:16">
      <c r="A2003" s="68"/>
      <c r="B2003" s="87"/>
      <c r="C2003" s="88"/>
      <c r="D2003" s="88"/>
      <c r="E2003" s="90"/>
      <c r="F2003" s="84" t="str">
        <f ca="1">IF(D2003="Income",LOOKUP(E2003,Introduction!$A$11:$A$18,Introduction!$C$11:$C$18),IF(D2003="Expense",LOOKUP(E2003,Introduction!$D$11:$D$30,Introduction!$F$11:$F$30),"_"))</f>
        <v>_</v>
      </c>
      <c r="G2003" s="88"/>
      <c r="H2003" s="92"/>
      <c r="I2003" s="85">
        <f t="shared" si="107"/>
        <v>0</v>
      </c>
      <c r="J2003" s="93"/>
      <c r="K2003" s="85">
        <f t="shared" si="108"/>
        <v>0</v>
      </c>
      <c r="L2003" s="68"/>
      <c r="M2003" s="68"/>
      <c r="P2003" s="89" t="str">
        <f t="shared" si="106"/>
        <v xml:space="preserve">  1 1900 </v>
      </c>
    </row>
    <row r="2004" spans="1:16">
      <c r="A2004" s="68"/>
      <c r="B2004" s="87"/>
      <c r="C2004" s="88"/>
      <c r="D2004" s="88"/>
      <c r="E2004" s="90"/>
      <c r="F2004" s="84" t="str">
        <f ca="1">IF(D2004="Income",LOOKUP(E2004,Introduction!$A$11:$A$18,Introduction!$C$11:$C$18),IF(D2004="Expense",LOOKUP(E2004,Introduction!$D$11:$D$30,Introduction!$F$11:$F$30),"_"))</f>
        <v>_</v>
      </c>
      <c r="G2004" s="88"/>
      <c r="H2004" s="92"/>
      <c r="I2004" s="85">
        <f t="shared" si="107"/>
        <v>0</v>
      </c>
      <c r="J2004" s="93"/>
      <c r="K2004" s="85">
        <f t="shared" si="108"/>
        <v>0</v>
      </c>
      <c r="L2004" s="68"/>
      <c r="M2004" s="68"/>
      <c r="P2004" s="89" t="str">
        <f t="shared" si="106"/>
        <v xml:space="preserve">  1 1900 </v>
      </c>
    </row>
    <row r="2005" spans="1:16">
      <c r="A2005" s="68"/>
      <c r="B2005" s="87"/>
      <c r="C2005" s="88"/>
      <c r="D2005" s="88"/>
      <c r="E2005" s="90"/>
      <c r="F2005" s="84" t="str">
        <f ca="1">IF(D2005="Income",LOOKUP(E2005,Introduction!$A$11:$A$18,Introduction!$C$11:$C$18),IF(D2005="Expense",LOOKUP(E2005,Introduction!$D$11:$D$30,Introduction!$F$11:$F$30),"_"))</f>
        <v>_</v>
      </c>
      <c r="G2005" s="88"/>
      <c r="H2005" s="92"/>
      <c r="I2005" s="85">
        <f t="shared" si="107"/>
        <v>0</v>
      </c>
      <c r="J2005" s="93"/>
      <c r="K2005" s="85">
        <f t="shared" si="108"/>
        <v>0</v>
      </c>
      <c r="L2005" s="68"/>
      <c r="M2005" s="68"/>
      <c r="P2005" s="89" t="str">
        <f t="shared" si="106"/>
        <v xml:space="preserve">  1 1900 </v>
      </c>
    </row>
    <row r="2006" spans="1:16">
      <c r="A2006" s="68"/>
      <c r="B2006" s="87"/>
      <c r="C2006" s="88"/>
      <c r="D2006" s="88"/>
      <c r="E2006" s="90"/>
      <c r="F2006" s="84" t="str">
        <f ca="1">IF(D2006="Income",LOOKUP(E2006,Introduction!$A$11:$A$18,Introduction!$C$11:$C$18),IF(D2006="Expense",LOOKUP(E2006,Introduction!$D$11:$D$30,Introduction!$F$11:$F$30),"_"))</f>
        <v>_</v>
      </c>
      <c r="G2006" s="88"/>
      <c r="H2006" s="92"/>
      <c r="I2006" s="85">
        <f t="shared" si="107"/>
        <v>0</v>
      </c>
      <c r="J2006" s="93"/>
      <c r="K2006" s="85">
        <f t="shared" si="108"/>
        <v>0</v>
      </c>
      <c r="L2006" s="68"/>
      <c r="M2006" s="68"/>
      <c r="P2006" s="89" t="str">
        <f t="shared" si="106"/>
        <v xml:space="preserve">  1 1900 </v>
      </c>
    </row>
    <row r="2007" spans="1:16">
      <c r="A2007" s="68"/>
      <c r="B2007" s="87"/>
      <c r="C2007" s="88"/>
      <c r="D2007" s="88"/>
      <c r="E2007" s="90"/>
      <c r="F2007" s="84" t="str">
        <f ca="1">IF(D2007="Income",LOOKUP(E2007,Introduction!$A$11:$A$18,Introduction!$C$11:$C$18),IF(D2007="Expense",LOOKUP(E2007,Introduction!$D$11:$D$30,Introduction!$F$11:$F$30),"_"))</f>
        <v>_</v>
      </c>
      <c r="G2007" s="88"/>
      <c r="H2007" s="92"/>
      <c r="I2007" s="85">
        <f t="shared" si="107"/>
        <v>0</v>
      </c>
      <c r="J2007" s="93"/>
      <c r="K2007" s="85">
        <f t="shared" si="108"/>
        <v>0</v>
      </c>
      <c r="L2007" s="68"/>
      <c r="M2007" s="68"/>
      <c r="P2007" s="89" t="str">
        <f t="shared" si="106"/>
        <v xml:space="preserve">  1 1900 </v>
      </c>
    </row>
    <row r="2008" spans="1:16">
      <c r="A2008" s="68"/>
      <c r="B2008" s="87"/>
      <c r="C2008" s="88"/>
      <c r="D2008" s="88"/>
      <c r="E2008" s="90"/>
      <c r="F2008" s="84" t="str">
        <f ca="1">IF(D2008="Income",LOOKUP(E2008,Introduction!$A$11:$A$18,Introduction!$C$11:$C$18),IF(D2008="Expense",LOOKUP(E2008,Introduction!$D$11:$D$30,Introduction!$F$11:$F$30),"_"))</f>
        <v>_</v>
      </c>
      <c r="G2008" s="88"/>
      <c r="H2008" s="92"/>
      <c r="I2008" s="85">
        <f t="shared" si="107"/>
        <v>0</v>
      </c>
      <c r="J2008" s="93"/>
      <c r="K2008" s="85">
        <f t="shared" si="108"/>
        <v>0</v>
      </c>
      <c r="L2008" s="68"/>
      <c r="M2008" s="68"/>
      <c r="P2008" s="89" t="str">
        <f t="shared" si="106"/>
        <v xml:space="preserve">  1 1900 </v>
      </c>
    </row>
    <row r="2009" spans="1:16">
      <c r="A2009" s="68"/>
      <c r="B2009" s="87"/>
      <c r="C2009" s="88"/>
      <c r="D2009" s="88"/>
      <c r="E2009" s="90"/>
      <c r="F2009" s="84" t="str">
        <f ca="1">IF(D2009="Income",LOOKUP(E2009,Introduction!$A$11:$A$18,Introduction!$C$11:$C$18),IF(D2009="Expense",LOOKUP(E2009,Introduction!$D$11:$D$30,Introduction!$F$11:$F$30),"_"))</f>
        <v>_</v>
      </c>
      <c r="G2009" s="88"/>
      <c r="H2009" s="92"/>
      <c r="I2009" s="85">
        <f t="shared" si="107"/>
        <v>0</v>
      </c>
      <c r="J2009" s="93"/>
      <c r="K2009" s="85">
        <f t="shared" si="108"/>
        <v>0</v>
      </c>
      <c r="L2009" s="68"/>
      <c r="M2009" s="68"/>
      <c r="P2009" s="89" t="str">
        <f t="shared" si="106"/>
        <v xml:space="preserve">  1 1900 </v>
      </c>
    </row>
    <row r="2010" spans="1:16">
      <c r="A2010" s="68"/>
      <c r="B2010" s="87"/>
      <c r="C2010" s="88"/>
      <c r="D2010" s="88"/>
      <c r="E2010" s="90"/>
      <c r="F2010" s="84" t="str">
        <f ca="1">IF(D2010="Income",LOOKUP(E2010,Introduction!$A$11:$A$18,Introduction!$C$11:$C$18),IF(D2010="Expense",LOOKUP(E2010,Introduction!$D$11:$D$30,Introduction!$F$11:$F$30),"_"))</f>
        <v>_</v>
      </c>
      <c r="G2010" s="88"/>
      <c r="H2010" s="92"/>
      <c r="I2010" s="85">
        <f t="shared" si="107"/>
        <v>0</v>
      </c>
      <c r="J2010" s="93"/>
      <c r="K2010" s="85">
        <f t="shared" si="108"/>
        <v>0</v>
      </c>
      <c r="L2010" s="68"/>
      <c r="M2010" s="68"/>
      <c r="P2010" s="89" t="str">
        <f t="shared" si="106"/>
        <v xml:space="preserve">  1 1900 </v>
      </c>
    </row>
    <row r="2011" spans="1:16">
      <c r="A2011" s="68"/>
      <c r="B2011" s="87"/>
      <c r="C2011" s="88"/>
      <c r="D2011" s="88"/>
      <c r="E2011" s="90"/>
      <c r="F2011" s="84" t="str">
        <f ca="1">IF(D2011="Income",LOOKUP(E2011,Introduction!$A$11:$A$18,Introduction!$C$11:$C$18),IF(D2011="Expense",LOOKUP(E2011,Introduction!$D$11:$D$30,Introduction!$F$11:$F$30),"_"))</f>
        <v>_</v>
      </c>
      <c r="G2011" s="88"/>
      <c r="H2011" s="92"/>
      <c r="I2011" s="85">
        <f t="shared" si="107"/>
        <v>0</v>
      </c>
      <c r="J2011" s="93"/>
      <c r="K2011" s="85">
        <f t="shared" si="108"/>
        <v>0</v>
      </c>
      <c r="L2011" s="68"/>
      <c r="M2011" s="68"/>
      <c r="P2011" s="89" t="str">
        <f t="shared" si="106"/>
        <v xml:space="preserve">  1 1900 </v>
      </c>
    </row>
    <row r="2012" spans="1:16" ht="9" customHeight="1">
      <c r="A2012" s="86" t="s">
        <v>34</v>
      </c>
      <c r="B2012" s="86" t="s">
        <v>34</v>
      </c>
      <c r="C2012" s="86" t="s">
        <v>34</v>
      </c>
      <c r="D2012" s="86" t="s">
        <v>34</v>
      </c>
      <c r="E2012" s="86" t="s">
        <v>34</v>
      </c>
      <c r="F2012" s="86" t="s">
        <v>34</v>
      </c>
      <c r="G2012" s="86" t="s">
        <v>34</v>
      </c>
      <c r="H2012" s="86" t="s">
        <v>34</v>
      </c>
      <c r="I2012" s="86" t="s">
        <v>34</v>
      </c>
      <c r="J2012" s="86" t="s">
        <v>34</v>
      </c>
      <c r="K2012" s="86" t="s">
        <v>34</v>
      </c>
      <c r="L2012" s="68"/>
      <c r="M2012" s="68"/>
    </row>
  </sheetData>
  <sheetProtection password="CFCF" sheet="1" objects="1" scenarios="1" formatColumns="0"/>
  <mergeCells count="1">
    <mergeCell ref="B2:K2"/>
  </mergeCells>
  <phoneticPr fontId="21" type="noConversion"/>
  <dataValidations count="3">
    <dataValidation type="whole" allowBlank="1" showInputMessage="1" showErrorMessage="1" sqref="E6:E2011">
      <formula1>1</formula1>
      <formula2>20</formula2>
    </dataValidation>
    <dataValidation type="list" allowBlank="1" showInputMessage="1" showErrorMessage="1" sqref="D6:D2011">
      <formula1>$M$5:$M$6</formula1>
    </dataValidation>
    <dataValidation type="list" allowBlank="1" showInputMessage="1" showErrorMessage="1" sqref="F6:F2010">
      <formula1>$M$5:$M$6</formula1>
    </dataValidation>
  </dataValidations>
  <pageMargins left="0.2" right="0.2" top="0.75" bottom="0.75" header="0.3" footer="0.3"/>
  <pageSetup scale="61" orientation="landscape" verticalDpi="0" r:id="rId1"/>
</worksheet>
</file>

<file path=xl/worksheets/sheet3.xml><?xml version="1.0" encoding="utf-8"?>
<worksheet xmlns="http://schemas.openxmlformats.org/spreadsheetml/2006/main" xmlns:r="http://schemas.openxmlformats.org/officeDocument/2006/relationships">
  <sheetPr codeName="Sheet2">
    <tabColor rgb="FFFF0000"/>
    <pageSetUpPr fitToPage="1"/>
  </sheetPr>
  <dimension ref="A1:T117"/>
  <sheetViews>
    <sheetView showGridLines="0" zoomScale="85" zoomScaleNormal="85" workbookViewId="0">
      <pane xSplit="3" ySplit="5" topLeftCell="E6" activePane="bottomRight" state="frozen"/>
      <selection activeCell="A8" sqref="A8"/>
      <selection pane="topRight" activeCell="A8" sqref="A8"/>
      <selection pane="bottomLeft" activeCell="A8" sqref="A8"/>
      <selection pane="bottomRight" activeCell="E6" sqref="E6"/>
    </sheetView>
  </sheetViews>
  <sheetFormatPr defaultRowHeight="15"/>
  <cols>
    <col min="1" max="1" width="14.7109375" customWidth="1"/>
    <col min="2" max="2" width="4.28515625" style="1" customWidth="1"/>
    <col min="3" max="3" width="31.5703125" customWidth="1"/>
    <col min="4" max="4" width="10" hidden="1" customWidth="1"/>
    <col min="5" max="5" width="12.42578125" customWidth="1"/>
    <col min="6" max="16" width="11.5703125" bestFit="1" customWidth="1"/>
    <col min="17" max="17" width="11.5703125" hidden="1" customWidth="1"/>
    <col min="18" max="18" width="13.42578125" customWidth="1"/>
    <col min="19" max="19" width="2.140625" customWidth="1"/>
    <col min="20" max="20" width="15" customWidth="1"/>
  </cols>
  <sheetData>
    <row r="1" spans="1:20" ht="13.5" customHeight="1" thickBot="1">
      <c r="A1" s="11"/>
      <c r="B1" s="12"/>
      <c r="C1" s="11"/>
      <c r="D1" s="11"/>
      <c r="E1" s="11"/>
      <c r="F1" s="11"/>
      <c r="G1" s="11"/>
      <c r="H1" s="11"/>
      <c r="I1" s="11"/>
      <c r="J1" s="11"/>
      <c r="K1" s="11"/>
      <c r="L1" s="11"/>
      <c r="M1" s="11"/>
      <c r="N1" s="11"/>
      <c r="O1" s="11"/>
      <c r="P1" s="11"/>
      <c r="Q1" s="11"/>
      <c r="R1" s="11"/>
      <c r="S1" s="11"/>
      <c r="T1" s="11"/>
    </row>
    <row r="2" spans="1:20" ht="19.5" customHeight="1" thickBot="1">
      <c r="A2" s="11"/>
      <c r="B2" s="161" t="str">
        <f ca="1">CONCATENATE(Introduction!C4:C4,"'s"," Personal Budget ",Introduction!C5)</f>
        <v>'s Personal Budget 2012</v>
      </c>
      <c r="C2" s="162"/>
      <c r="D2" s="162"/>
      <c r="E2" s="162"/>
      <c r="F2" s="162"/>
      <c r="G2" s="162"/>
      <c r="H2" s="162"/>
      <c r="I2" s="162"/>
      <c r="J2" s="162"/>
      <c r="K2" s="162"/>
      <c r="L2" s="162"/>
      <c r="M2" s="162"/>
      <c r="N2" s="162"/>
      <c r="O2" s="162"/>
      <c r="P2" s="162"/>
      <c r="Q2" s="162"/>
      <c r="R2" s="163"/>
      <c r="S2" s="11"/>
      <c r="T2" s="11"/>
    </row>
    <row r="3" spans="1:20" ht="15.75" hidden="1" customHeight="1" thickBot="1">
      <c r="A3" s="11"/>
      <c r="B3" s="40" t="s">
        <v>41</v>
      </c>
      <c r="C3" s="39"/>
      <c r="D3" s="49"/>
      <c r="E3" s="43">
        <v>31</v>
      </c>
      <c r="F3" s="43">
        <f ca="1">IF(MOD(Introduction!C5,4)=0,29,28)</f>
        <v>29</v>
      </c>
      <c r="G3" s="43">
        <v>31</v>
      </c>
      <c r="H3" s="43">
        <v>30</v>
      </c>
      <c r="I3" s="43">
        <v>31</v>
      </c>
      <c r="J3" s="43">
        <v>30</v>
      </c>
      <c r="K3" s="43">
        <v>31</v>
      </c>
      <c r="L3" s="43">
        <v>31</v>
      </c>
      <c r="M3" s="43">
        <v>30</v>
      </c>
      <c r="N3" s="43">
        <v>31</v>
      </c>
      <c r="O3" s="43">
        <v>30</v>
      </c>
      <c r="P3" s="43">
        <v>31</v>
      </c>
      <c r="Q3" s="27"/>
      <c r="R3" s="27"/>
      <c r="S3" s="11"/>
      <c r="T3" s="11"/>
    </row>
    <row r="4" spans="1:20" ht="15.75" hidden="1" customHeight="1" thickBot="1">
      <c r="A4" s="11"/>
      <c r="B4" s="40" t="s">
        <v>42</v>
      </c>
      <c r="C4" s="39"/>
      <c r="D4" s="49"/>
      <c r="E4" s="26" t="str">
        <f ca="1">CONCATENATE(MONTH(E5)," ",YEAR(E5))</f>
        <v>1 2012</v>
      </c>
      <c r="F4" s="26" t="str">
        <f t="shared" ref="F4:P4" si="0">CONCATENATE(MONTH(F5)," ",YEAR(F5))</f>
        <v>2 2012</v>
      </c>
      <c r="G4" s="26" t="str">
        <f t="shared" si="0"/>
        <v>3 2012</v>
      </c>
      <c r="H4" s="26" t="str">
        <f t="shared" si="0"/>
        <v>4 2012</v>
      </c>
      <c r="I4" s="26" t="str">
        <f t="shared" si="0"/>
        <v>5 2012</v>
      </c>
      <c r="J4" s="26" t="str">
        <f t="shared" si="0"/>
        <v>6 2012</v>
      </c>
      <c r="K4" s="26" t="str">
        <f t="shared" si="0"/>
        <v>7 2012</v>
      </c>
      <c r="L4" s="26" t="str">
        <f t="shared" si="0"/>
        <v>8 2012</v>
      </c>
      <c r="M4" s="26" t="str">
        <f t="shared" si="0"/>
        <v>9 2012</v>
      </c>
      <c r="N4" s="26" t="str">
        <f t="shared" si="0"/>
        <v>10 2012</v>
      </c>
      <c r="O4" s="26" t="str">
        <f t="shared" si="0"/>
        <v>11 2012</v>
      </c>
      <c r="P4" s="26" t="str">
        <f t="shared" si="0"/>
        <v>12 2012</v>
      </c>
      <c r="Q4" s="26"/>
      <c r="R4" s="26"/>
      <c r="S4" s="11"/>
      <c r="T4" s="11"/>
    </row>
    <row r="5" spans="1:20" ht="15.75" customHeight="1" thickBot="1">
      <c r="A5" s="11"/>
      <c r="B5" s="164" t="s">
        <v>29</v>
      </c>
      <c r="C5" s="165"/>
      <c r="D5" s="50"/>
      <c r="E5" s="35">
        <f ca="1">+Introduction!C6+0</f>
        <v>40909</v>
      </c>
      <c r="F5" s="36">
        <f ca="1">+E5+E3</f>
        <v>40940</v>
      </c>
      <c r="G5" s="36">
        <f t="shared" ref="G5:P5" si="1">+F5+F3</f>
        <v>40969</v>
      </c>
      <c r="H5" s="36">
        <f t="shared" si="1"/>
        <v>41000</v>
      </c>
      <c r="I5" s="36">
        <f t="shared" si="1"/>
        <v>41030</v>
      </c>
      <c r="J5" s="36">
        <f t="shared" si="1"/>
        <v>41061</v>
      </c>
      <c r="K5" s="36">
        <f t="shared" si="1"/>
        <v>41091</v>
      </c>
      <c r="L5" s="36">
        <f t="shared" si="1"/>
        <v>41122</v>
      </c>
      <c r="M5" s="36">
        <f t="shared" si="1"/>
        <v>41153</v>
      </c>
      <c r="N5" s="36">
        <f t="shared" si="1"/>
        <v>41183</v>
      </c>
      <c r="O5" s="36">
        <f t="shared" si="1"/>
        <v>41214</v>
      </c>
      <c r="P5" s="36">
        <f t="shared" si="1"/>
        <v>41244</v>
      </c>
      <c r="Q5" s="37">
        <f>+P5+P3</f>
        <v>41275</v>
      </c>
      <c r="R5" s="96" t="s">
        <v>12</v>
      </c>
      <c r="S5" s="11"/>
      <c r="T5" s="11"/>
    </row>
    <row r="6" spans="1:20" ht="15.75" thickBot="1">
      <c r="A6" s="11"/>
      <c r="B6" s="7">
        <v>1</v>
      </c>
      <c r="C6" s="9" t="str">
        <f ca="1">+Introduction!C11</f>
        <v>Income  1</v>
      </c>
      <c r="D6" s="51"/>
      <c r="E6" s="67"/>
      <c r="F6" s="67"/>
      <c r="G6" s="67"/>
      <c r="H6" s="67"/>
      <c r="I6" s="67"/>
      <c r="J6" s="67"/>
      <c r="K6" s="67"/>
      <c r="L6" s="67"/>
      <c r="M6" s="67"/>
      <c r="N6" s="67"/>
      <c r="O6" s="67"/>
      <c r="P6" s="67"/>
      <c r="Q6" s="5" t="s">
        <v>40</v>
      </c>
      <c r="R6" s="122">
        <f>SUM(E6:P6)</f>
        <v>0</v>
      </c>
      <c r="S6" s="11"/>
      <c r="T6" s="11"/>
    </row>
    <row r="7" spans="1:20" ht="15.75" thickBot="1">
      <c r="A7" s="11"/>
      <c r="B7" s="7">
        <v>2</v>
      </c>
      <c r="C7" s="9" t="str">
        <f ca="1">+Introduction!C12</f>
        <v>Income 2</v>
      </c>
      <c r="D7" s="51"/>
      <c r="E7" s="67"/>
      <c r="F7" s="67"/>
      <c r="G7" s="67"/>
      <c r="H7" s="67"/>
      <c r="I7" s="67"/>
      <c r="J7" s="67"/>
      <c r="K7" s="67"/>
      <c r="L7" s="67"/>
      <c r="M7" s="67"/>
      <c r="N7" s="67"/>
      <c r="O7" s="67"/>
      <c r="P7" s="67"/>
      <c r="Q7" s="3"/>
      <c r="R7" s="122">
        <f t="shared" ref="R7:R13" si="2">SUM(E7:P7)</f>
        <v>0</v>
      </c>
      <c r="S7" s="11"/>
      <c r="T7" s="11"/>
    </row>
    <row r="8" spans="1:20" ht="15.75" thickBot="1">
      <c r="A8" s="11"/>
      <c r="B8" s="7">
        <v>3</v>
      </c>
      <c r="C8" s="9" t="str">
        <f ca="1">+Introduction!C13</f>
        <v>Income 3</v>
      </c>
      <c r="D8" s="51"/>
      <c r="E8" s="67"/>
      <c r="F8" s="67"/>
      <c r="G8" s="67"/>
      <c r="H8" s="67"/>
      <c r="I8" s="67"/>
      <c r="J8" s="67"/>
      <c r="K8" s="67"/>
      <c r="L8" s="67"/>
      <c r="M8" s="67"/>
      <c r="N8" s="67"/>
      <c r="O8" s="67"/>
      <c r="P8" s="67"/>
      <c r="Q8" s="3"/>
      <c r="R8" s="122">
        <f t="shared" si="2"/>
        <v>0</v>
      </c>
      <c r="S8" s="11"/>
      <c r="T8" s="11"/>
    </row>
    <row r="9" spans="1:20" ht="15.75" thickBot="1">
      <c r="A9" s="11"/>
      <c r="B9" s="7">
        <v>4</v>
      </c>
      <c r="C9" s="9" t="str">
        <f ca="1">+Introduction!C14</f>
        <v>Income 4</v>
      </c>
      <c r="D9" s="51"/>
      <c r="E9" s="67"/>
      <c r="F9" s="67"/>
      <c r="G9" s="67"/>
      <c r="H9" s="67"/>
      <c r="I9" s="67"/>
      <c r="J9" s="67"/>
      <c r="K9" s="67"/>
      <c r="L9" s="67"/>
      <c r="M9" s="67"/>
      <c r="N9" s="67"/>
      <c r="O9" s="67"/>
      <c r="P9" s="67"/>
      <c r="Q9" s="3"/>
      <c r="R9" s="122">
        <f t="shared" si="2"/>
        <v>0</v>
      </c>
      <c r="S9" s="11"/>
      <c r="T9" s="11"/>
    </row>
    <row r="10" spans="1:20" ht="15.75" thickBot="1">
      <c r="A10" s="11"/>
      <c r="B10" s="7">
        <v>5</v>
      </c>
      <c r="C10" s="9" t="str">
        <f ca="1">+Introduction!C15</f>
        <v>Income 5</v>
      </c>
      <c r="D10" s="51"/>
      <c r="E10" s="67"/>
      <c r="F10" s="67"/>
      <c r="G10" s="67"/>
      <c r="H10" s="67"/>
      <c r="I10" s="67"/>
      <c r="J10" s="67"/>
      <c r="K10" s="67"/>
      <c r="L10" s="67"/>
      <c r="M10" s="67"/>
      <c r="N10" s="67"/>
      <c r="O10" s="67"/>
      <c r="P10" s="67"/>
      <c r="Q10" s="3"/>
      <c r="R10" s="122">
        <f t="shared" si="2"/>
        <v>0</v>
      </c>
      <c r="S10" s="11"/>
      <c r="T10" s="11"/>
    </row>
    <row r="11" spans="1:20" ht="15.75" thickBot="1">
      <c r="A11" s="11"/>
      <c r="B11" s="7">
        <v>6</v>
      </c>
      <c r="C11" s="9" t="str">
        <f ca="1">+Introduction!C16</f>
        <v>Income 6</v>
      </c>
      <c r="D11" s="51"/>
      <c r="E11" s="67"/>
      <c r="F11" s="67"/>
      <c r="G11" s="67"/>
      <c r="H11" s="67"/>
      <c r="I11" s="67"/>
      <c r="J11" s="67"/>
      <c r="K11" s="67"/>
      <c r="L11" s="67"/>
      <c r="M11" s="67"/>
      <c r="N11" s="67"/>
      <c r="O11" s="67"/>
      <c r="P11" s="67"/>
      <c r="Q11" s="3"/>
      <c r="R11" s="122">
        <f t="shared" si="2"/>
        <v>0</v>
      </c>
      <c r="S11" s="11"/>
      <c r="T11" s="11"/>
    </row>
    <row r="12" spans="1:20" ht="15.75" thickBot="1">
      <c r="A12" s="11"/>
      <c r="B12" s="7">
        <v>7</v>
      </c>
      <c r="C12" s="9" t="str">
        <f ca="1">+Introduction!C17</f>
        <v>Income 7</v>
      </c>
      <c r="D12" s="51"/>
      <c r="E12" s="67"/>
      <c r="F12" s="67"/>
      <c r="G12" s="67"/>
      <c r="H12" s="67"/>
      <c r="I12" s="67"/>
      <c r="J12" s="67"/>
      <c r="K12" s="67"/>
      <c r="L12" s="67"/>
      <c r="M12" s="67"/>
      <c r="N12" s="67"/>
      <c r="O12" s="67"/>
      <c r="P12" s="67"/>
      <c r="Q12" s="3"/>
      <c r="R12" s="122">
        <f t="shared" si="2"/>
        <v>0</v>
      </c>
      <c r="S12" s="11"/>
      <c r="T12" s="11"/>
    </row>
    <row r="13" spans="1:20" ht="15.75" thickBot="1">
      <c r="A13" s="11"/>
      <c r="B13" s="7">
        <v>8</v>
      </c>
      <c r="C13" s="9" t="str">
        <f ca="1">+Introduction!C18</f>
        <v>Income 8</v>
      </c>
      <c r="D13" s="51"/>
      <c r="E13" s="67"/>
      <c r="F13" s="67"/>
      <c r="G13" s="67"/>
      <c r="H13" s="67"/>
      <c r="I13" s="67"/>
      <c r="J13" s="67"/>
      <c r="K13" s="67"/>
      <c r="L13" s="67"/>
      <c r="M13" s="67"/>
      <c r="N13" s="67"/>
      <c r="O13" s="67"/>
      <c r="P13" s="67"/>
      <c r="Q13" s="3"/>
      <c r="R13" s="122">
        <f t="shared" si="2"/>
        <v>0</v>
      </c>
      <c r="S13" s="11"/>
      <c r="T13" s="11"/>
    </row>
    <row r="14" spans="1:20" ht="15.75" thickBot="1">
      <c r="A14" s="11"/>
      <c r="B14" s="119"/>
      <c r="C14" s="133" t="s">
        <v>22</v>
      </c>
      <c r="D14" s="94"/>
      <c r="E14" s="122">
        <f>SUM(E6:E13)</f>
        <v>0</v>
      </c>
      <c r="F14" s="122">
        <f t="shared" ref="F14:R14" si="3">SUM(F6:F13)</f>
        <v>0</v>
      </c>
      <c r="G14" s="122">
        <f t="shared" si="3"/>
        <v>0</v>
      </c>
      <c r="H14" s="122">
        <f t="shared" si="3"/>
        <v>0</v>
      </c>
      <c r="I14" s="122">
        <f t="shared" si="3"/>
        <v>0</v>
      </c>
      <c r="J14" s="122">
        <f t="shared" si="3"/>
        <v>0</v>
      </c>
      <c r="K14" s="122">
        <f t="shared" si="3"/>
        <v>0</v>
      </c>
      <c r="L14" s="122">
        <f t="shared" si="3"/>
        <v>0</v>
      </c>
      <c r="M14" s="122">
        <f t="shared" si="3"/>
        <v>0</v>
      </c>
      <c r="N14" s="122">
        <f t="shared" si="3"/>
        <v>0</v>
      </c>
      <c r="O14" s="122">
        <f t="shared" si="3"/>
        <v>0</v>
      </c>
      <c r="P14" s="122">
        <f t="shared" si="3"/>
        <v>0</v>
      </c>
      <c r="Q14" s="10">
        <f t="shared" si="3"/>
        <v>0</v>
      </c>
      <c r="R14" s="122">
        <f t="shared" si="3"/>
        <v>0</v>
      </c>
      <c r="S14" s="11"/>
      <c r="T14" s="11"/>
    </row>
    <row r="15" spans="1:20" ht="13.5" customHeight="1" thickBot="1">
      <c r="A15" s="11"/>
      <c r="B15" s="12"/>
      <c r="C15" s="11"/>
      <c r="D15" s="11"/>
      <c r="E15" s="13"/>
      <c r="F15" s="13"/>
      <c r="G15" s="13"/>
      <c r="H15" s="13"/>
      <c r="I15" s="13"/>
      <c r="J15" s="13"/>
      <c r="K15" s="13"/>
      <c r="L15" s="13"/>
      <c r="M15" s="13"/>
      <c r="N15" s="13"/>
      <c r="O15" s="13"/>
      <c r="P15" s="13"/>
      <c r="Q15" s="13"/>
      <c r="R15" s="13" t="str">
        <f t="shared" ref="R15:R81" si="4">IF(SUM(E15:P15)&lt;&gt;0,SUM(E15:P15),"")</f>
        <v/>
      </c>
      <c r="S15" s="11"/>
      <c r="T15" s="11"/>
    </row>
    <row r="16" spans="1:20" ht="30.75" hidden="1" thickBot="1">
      <c r="A16" s="11"/>
      <c r="B16" s="8"/>
      <c r="C16" s="20" t="s">
        <v>45</v>
      </c>
      <c r="D16" s="20"/>
      <c r="E16" s="21" t="str">
        <f>CONCATENATE(MONTH(E17)," ",YEAR(E17), " Expense")</f>
        <v>1 2012 Expense</v>
      </c>
      <c r="F16" s="22" t="str">
        <f t="shared" ref="F16:P16" si="5">CONCATENATE(MONTH(F17)," ",YEAR(F17), " Expense")</f>
        <v>2 2012 Expense</v>
      </c>
      <c r="G16" s="22" t="str">
        <f t="shared" si="5"/>
        <v>3 2012 Expense</v>
      </c>
      <c r="H16" s="22" t="str">
        <f t="shared" si="5"/>
        <v>4 2012 Expense</v>
      </c>
      <c r="I16" s="22" t="str">
        <f t="shared" si="5"/>
        <v>5 2012 Expense</v>
      </c>
      <c r="J16" s="22" t="str">
        <f t="shared" si="5"/>
        <v>6 2012 Expense</v>
      </c>
      <c r="K16" s="22" t="str">
        <f t="shared" si="5"/>
        <v>7 2012 Expense</v>
      </c>
      <c r="L16" s="22" t="str">
        <f t="shared" si="5"/>
        <v>8 2012 Expense</v>
      </c>
      <c r="M16" s="22" t="str">
        <f t="shared" si="5"/>
        <v>9 2012 Expense</v>
      </c>
      <c r="N16" s="22" t="str">
        <f t="shared" si="5"/>
        <v>10 2012 Expense</v>
      </c>
      <c r="O16" s="22" t="str">
        <f t="shared" si="5"/>
        <v>11 2012 Expense</v>
      </c>
      <c r="P16" s="23" t="str">
        <f t="shared" si="5"/>
        <v>12 2012 Expense</v>
      </c>
      <c r="Q16" s="18"/>
      <c r="R16" s="18"/>
      <c r="S16" s="11"/>
      <c r="T16" s="11"/>
    </row>
    <row r="17" spans="1:20" ht="15.75" thickBot="1">
      <c r="A17" s="11"/>
      <c r="B17" s="7"/>
      <c r="C17" s="28" t="s">
        <v>23</v>
      </c>
      <c r="D17" s="51"/>
      <c r="E17" s="29">
        <f>+E5</f>
        <v>40909</v>
      </c>
      <c r="F17" s="29">
        <f t="shared" ref="F17:P17" si="6">+F5</f>
        <v>40940</v>
      </c>
      <c r="G17" s="29">
        <f t="shared" si="6"/>
        <v>40969</v>
      </c>
      <c r="H17" s="29">
        <f t="shared" si="6"/>
        <v>41000</v>
      </c>
      <c r="I17" s="29">
        <f t="shared" si="6"/>
        <v>41030</v>
      </c>
      <c r="J17" s="29">
        <f t="shared" si="6"/>
        <v>41061</v>
      </c>
      <c r="K17" s="29">
        <f t="shared" si="6"/>
        <v>41091</v>
      </c>
      <c r="L17" s="29">
        <f t="shared" si="6"/>
        <v>41122</v>
      </c>
      <c r="M17" s="29">
        <f t="shared" si="6"/>
        <v>41153</v>
      </c>
      <c r="N17" s="29">
        <f t="shared" si="6"/>
        <v>41183</v>
      </c>
      <c r="O17" s="29">
        <f t="shared" si="6"/>
        <v>41214</v>
      </c>
      <c r="P17" s="29">
        <f t="shared" si="6"/>
        <v>41244</v>
      </c>
      <c r="Q17" s="18"/>
      <c r="R17" s="97" t="s">
        <v>12</v>
      </c>
      <c r="S17" s="11"/>
      <c r="T17" s="11"/>
    </row>
    <row r="18" spans="1:20" ht="15.75" thickBot="1">
      <c r="A18" s="11"/>
      <c r="B18" s="7">
        <v>1</v>
      </c>
      <c r="C18" s="9" t="str">
        <f ca="1">+Introduction!F11</f>
        <v>Expense 1</v>
      </c>
      <c r="D18" s="51"/>
      <c r="E18" s="67"/>
      <c r="F18" s="67"/>
      <c r="G18" s="67"/>
      <c r="H18" s="67"/>
      <c r="I18" s="67"/>
      <c r="J18" s="67"/>
      <c r="K18" s="67"/>
      <c r="L18" s="67"/>
      <c r="M18" s="67"/>
      <c r="N18" s="67"/>
      <c r="O18" s="67"/>
      <c r="P18" s="67"/>
      <c r="Q18" s="33"/>
      <c r="R18" s="123">
        <f>SUM(E18:P18)</f>
        <v>0</v>
      </c>
      <c r="S18" s="11"/>
      <c r="T18" s="11"/>
    </row>
    <row r="19" spans="1:20" ht="15.75" thickBot="1">
      <c r="A19" s="11"/>
      <c r="B19" s="7">
        <v>2</v>
      </c>
      <c r="C19" s="9" t="str">
        <f ca="1">+Introduction!F12</f>
        <v>Expense 2</v>
      </c>
      <c r="D19" s="51"/>
      <c r="E19" s="67"/>
      <c r="F19" s="67"/>
      <c r="G19" s="67"/>
      <c r="H19" s="67"/>
      <c r="I19" s="67"/>
      <c r="J19" s="67"/>
      <c r="K19" s="67"/>
      <c r="L19" s="67"/>
      <c r="M19" s="67"/>
      <c r="N19" s="67"/>
      <c r="O19" s="67"/>
      <c r="P19" s="67"/>
      <c r="Q19" s="33"/>
      <c r="R19" s="123">
        <f t="shared" ref="R19:R38" si="7">SUM(E19:P19)</f>
        <v>0</v>
      </c>
      <c r="S19" s="11"/>
      <c r="T19" s="11"/>
    </row>
    <row r="20" spans="1:20" ht="15.75" thickBot="1">
      <c r="A20" s="11"/>
      <c r="B20" s="7">
        <v>3</v>
      </c>
      <c r="C20" s="9" t="str">
        <f ca="1">+Introduction!F13</f>
        <v>Expense 3</v>
      </c>
      <c r="D20" s="51"/>
      <c r="E20" s="67"/>
      <c r="F20" s="67"/>
      <c r="G20" s="67"/>
      <c r="H20" s="67"/>
      <c r="I20" s="67"/>
      <c r="J20" s="67"/>
      <c r="K20" s="67"/>
      <c r="L20" s="67"/>
      <c r="M20" s="67"/>
      <c r="N20" s="67"/>
      <c r="O20" s="67"/>
      <c r="P20" s="67"/>
      <c r="Q20" s="33"/>
      <c r="R20" s="123">
        <f t="shared" si="7"/>
        <v>0</v>
      </c>
      <c r="S20" s="11"/>
      <c r="T20" s="11"/>
    </row>
    <row r="21" spans="1:20" ht="15.75" thickBot="1">
      <c r="A21" s="11"/>
      <c r="B21" s="7">
        <v>4</v>
      </c>
      <c r="C21" s="9" t="str">
        <f ca="1">+Introduction!F14</f>
        <v>Expense 4</v>
      </c>
      <c r="D21" s="51"/>
      <c r="E21" s="67"/>
      <c r="F21" s="67"/>
      <c r="G21" s="67"/>
      <c r="H21" s="67"/>
      <c r="I21" s="67"/>
      <c r="J21" s="67"/>
      <c r="K21" s="67"/>
      <c r="L21" s="67"/>
      <c r="M21" s="67"/>
      <c r="N21" s="67"/>
      <c r="O21" s="67"/>
      <c r="P21" s="67"/>
      <c r="Q21" s="33"/>
      <c r="R21" s="123">
        <f t="shared" si="7"/>
        <v>0</v>
      </c>
      <c r="S21" s="11"/>
      <c r="T21" s="11"/>
    </row>
    <row r="22" spans="1:20" ht="15.75" thickBot="1">
      <c r="A22" s="11"/>
      <c r="B22" s="7">
        <v>5</v>
      </c>
      <c r="C22" s="9" t="str">
        <f ca="1">+Introduction!F15</f>
        <v>Expense 5</v>
      </c>
      <c r="D22" s="51"/>
      <c r="E22" s="67"/>
      <c r="F22" s="67"/>
      <c r="G22" s="67"/>
      <c r="H22" s="67"/>
      <c r="I22" s="67"/>
      <c r="J22" s="67"/>
      <c r="K22" s="67"/>
      <c r="L22" s="67"/>
      <c r="M22" s="67"/>
      <c r="N22" s="67"/>
      <c r="O22" s="67"/>
      <c r="P22" s="67"/>
      <c r="Q22" s="33"/>
      <c r="R22" s="123">
        <f t="shared" si="7"/>
        <v>0</v>
      </c>
      <c r="S22" s="11"/>
      <c r="T22" s="11"/>
    </row>
    <row r="23" spans="1:20" ht="15.75" thickBot="1">
      <c r="A23" s="11"/>
      <c r="B23" s="7">
        <v>6</v>
      </c>
      <c r="C23" s="9" t="str">
        <f ca="1">+Introduction!F16</f>
        <v>Expense 6</v>
      </c>
      <c r="D23" s="51"/>
      <c r="E23" s="67"/>
      <c r="F23" s="67"/>
      <c r="G23" s="67"/>
      <c r="H23" s="67"/>
      <c r="I23" s="67"/>
      <c r="J23" s="67"/>
      <c r="K23" s="67"/>
      <c r="L23" s="67"/>
      <c r="M23" s="67"/>
      <c r="N23" s="67"/>
      <c r="O23" s="67"/>
      <c r="P23" s="67"/>
      <c r="Q23" s="33"/>
      <c r="R23" s="123">
        <f t="shared" si="7"/>
        <v>0</v>
      </c>
      <c r="S23" s="11"/>
      <c r="T23" s="11"/>
    </row>
    <row r="24" spans="1:20" ht="15.75" thickBot="1">
      <c r="A24" s="11"/>
      <c r="B24" s="7">
        <v>7</v>
      </c>
      <c r="C24" s="9" t="str">
        <f ca="1">+Introduction!F17</f>
        <v>Expense 7</v>
      </c>
      <c r="D24" s="51"/>
      <c r="E24" s="67"/>
      <c r="F24" s="67"/>
      <c r="G24" s="67"/>
      <c r="H24" s="67"/>
      <c r="I24" s="67"/>
      <c r="J24" s="67"/>
      <c r="K24" s="67"/>
      <c r="L24" s="67"/>
      <c r="M24" s="67"/>
      <c r="N24" s="67"/>
      <c r="O24" s="67"/>
      <c r="P24" s="67"/>
      <c r="Q24" s="33"/>
      <c r="R24" s="123">
        <f t="shared" si="7"/>
        <v>0</v>
      </c>
      <c r="S24" s="11"/>
      <c r="T24" s="11"/>
    </row>
    <row r="25" spans="1:20" ht="15.75" thickBot="1">
      <c r="A25" s="11"/>
      <c r="B25" s="7">
        <v>8</v>
      </c>
      <c r="C25" s="9" t="str">
        <f ca="1">+Introduction!F18</f>
        <v>Expense 8</v>
      </c>
      <c r="D25" s="51"/>
      <c r="E25" s="67"/>
      <c r="F25" s="67"/>
      <c r="G25" s="67"/>
      <c r="H25" s="67"/>
      <c r="I25" s="67"/>
      <c r="J25" s="67"/>
      <c r="K25" s="67"/>
      <c r="L25" s="67"/>
      <c r="M25" s="67"/>
      <c r="N25" s="67"/>
      <c r="O25" s="67"/>
      <c r="P25" s="67"/>
      <c r="Q25" s="33"/>
      <c r="R25" s="123">
        <f t="shared" si="7"/>
        <v>0</v>
      </c>
      <c r="S25" s="11"/>
      <c r="T25" s="11"/>
    </row>
    <row r="26" spans="1:20" ht="15.75" thickBot="1">
      <c r="A26" s="11"/>
      <c r="B26" s="7">
        <v>9</v>
      </c>
      <c r="C26" s="9" t="str">
        <f ca="1">+Introduction!F19</f>
        <v>Expense 9</v>
      </c>
      <c r="D26" s="51"/>
      <c r="E26" s="67"/>
      <c r="F26" s="67"/>
      <c r="G26" s="67"/>
      <c r="H26" s="67"/>
      <c r="I26" s="67"/>
      <c r="J26" s="67"/>
      <c r="K26" s="67"/>
      <c r="L26" s="67"/>
      <c r="M26" s="67"/>
      <c r="N26" s="67"/>
      <c r="O26" s="67"/>
      <c r="P26" s="67"/>
      <c r="Q26" s="33"/>
      <c r="R26" s="123">
        <f t="shared" si="7"/>
        <v>0</v>
      </c>
      <c r="S26" s="11"/>
      <c r="T26" s="11"/>
    </row>
    <row r="27" spans="1:20" ht="15.75" thickBot="1">
      <c r="A27" s="11"/>
      <c r="B27" s="7">
        <v>10</v>
      </c>
      <c r="C27" s="9" t="str">
        <f ca="1">+Introduction!F20</f>
        <v>Expense 10</v>
      </c>
      <c r="D27" s="51"/>
      <c r="E27" s="67"/>
      <c r="F27" s="67"/>
      <c r="G27" s="67"/>
      <c r="H27" s="67"/>
      <c r="I27" s="67"/>
      <c r="J27" s="67"/>
      <c r="K27" s="67"/>
      <c r="L27" s="67"/>
      <c r="M27" s="67"/>
      <c r="N27" s="67"/>
      <c r="O27" s="67"/>
      <c r="P27" s="67"/>
      <c r="Q27" s="33"/>
      <c r="R27" s="123">
        <f t="shared" si="7"/>
        <v>0</v>
      </c>
      <c r="S27" s="11"/>
      <c r="T27" s="11"/>
    </row>
    <row r="28" spans="1:20" ht="15.75" thickBot="1">
      <c r="A28" s="11"/>
      <c r="B28" s="7">
        <v>11</v>
      </c>
      <c r="C28" s="9" t="str">
        <f ca="1">+Introduction!F21</f>
        <v>Expense 11</v>
      </c>
      <c r="D28" s="51"/>
      <c r="E28" s="67"/>
      <c r="F28" s="67"/>
      <c r="G28" s="67"/>
      <c r="H28" s="67"/>
      <c r="I28" s="67"/>
      <c r="J28" s="67"/>
      <c r="K28" s="67"/>
      <c r="L28" s="67"/>
      <c r="M28" s="67"/>
      <c r="N28" s="67"/>
      <c r="O28" s="67"/>
      <c r="P28" s="67"/>
      <c r="Q28" s="33"/>
      <c r="R28" s="123">
        <f t="shared" si="7"/>
        <v>0</v>
      </c>
      <c r="S28" s="11"/>
      <c r="T28" s="11"/>
    </row>
    <row r="29" spans="1:20" ht="15.75" thickBot="1">
      <c r="A29" s="11"/>
      <c r="B29" s="7">
        <v>12</v>
      </c>
      <c r="C29" s="9" t="str">
        <f ca="1">+Introduction!F22</f>
        <v>Expense 12</v>
      </c>
      <c r="D29" s="51"/>
      <c r="E29" s="67"/>
      <c r="F29" s="67"/>
      <c r="G29" s="67"/>
      <c r="H29" s="67"/>
      <c r="I29" s="67"/>
      <c r="J29" s="67"/>
      <c r="K29" s="67"/>
      <c r="L29" s="67"/>
      <c r="M29" s="67"/>
      <c r="N29" s="67"/>
      <c r="O29" s="67"/>
      <c r="P29" s="67"/>
      <c r="Q29" s="33"/>
      <c r="R29" s="123">
        <f t="shared" si="7"/>
        <v>0</v>
      </c>
      <c r="S29" s="11"/>
      <c r="T29" s="11"/>
    </row>
    <row r="30" spans="1:20" ht="15.75" thickBot="1">
      <c r="A30" s="11"/>
      <c r="B30" s="7">
        <v>13</v>
      </c>
      <c r="C30" s="9" t="str">
        <f ca="1">+Introduction!F23</f>
        <v>Expense 13</v>
      </c>
      <c r="D30" s="51"/>
      <c r="E30" s="67"/>
      <c r="F30" s="67"/>
      <c r="G30" s="67"/>
      <c r="H30" s="67"/>
      <c r="I30" s="67"/>
      <c r="J30" s="67"/>
      <c r="K30" s="67"/>
      <c r="L30" s="67"/>
      <c r="M30" s="67"/>
      <c r="N30" s="67"/>
      <c r="O30" s="67"/>
      <c r="P30" s="67"/>
      <c r="Q30" s="33"/>
      <c r="R30" s="123">
        <f t="shared" si="7"/>
        <v>0</v>
      </c>
      <c r="S30" s="11"/>
      <c r="T30" s="11"/>
    </row>
    <row r="31" spans="1:20" ht="15.75" thickBot="1">
      <c r="A31" s="11"/>
      <c r="B31" s="7">
        <v>14</v>
      </c>
      <c r="C31" s="9" t="str">
        <f ca="1">+Introduction!F24</f>
        <v>Expense 14</v>
      </c>
      <c r="D31" s="51"/>
      <c r="E31" s="67"/>
      <c r="F31" s="67"/>
      <c r="G31" s="67"/>
      <c r="H31" s="67"/>
      <c r="I31" s="67"/>
      <c r="J31" s="67"/>
      <c r="K31" s="67"/>
      <c r="L31" s="67"/>
      <c r="M31" s="67"/>
      <c r="N31" s="67"/>
      <c r="O31" s="67"/>
      <c r="P31" s="67"/>
      <c r="Q31" s="33"/>
      <c r="R31" s="123">
        <f t="shared" si="7"/>
        <v>0</v>
      </c>
      <c r="S31" s="11"/>
      <c r="T31" s="11"/>
    </row>
    <row r="32" spans="1:20" ht="15.75" thickBot="1">
      <c r="A32" s="11"/>
      <c r="B32" s="7">
        <v>15</v>
      </c>
      <c r="C32" s="9" t="str">
        <f ca="1">+Introduction!F25</f>
        <v>Expense 15</v>
      </c>
      <c r="D32" s="51"/>
      <c r="E32" s="67"/>
      <c r="F32" s="67"/>
      <c r="G32" s="67"/>
      <c r="H32" s="67"/>
      <c r="I32" s="67"/>
      <c r="J32" s="67"/>
      <c r="K32" s="67"/>
      <c r="L32" s="67"/>
      <c r="M32" s="67"/>
      <c r="N32" s="67"/>
      <c r="O32" s="67"/>
      <c r="P32" s="67"/>
      <c r="Q32" s="33"/>
      <c r="R32" s="123">
        <f t="shared" si="7"/>
        <v>0</v>
      </c>
      <c r="S32" s="11"/>
      <c r="T32" s="11"/>
    </row>
    <row r="33" spans="1:20" ht="15.75" thickBot="1">
      <c r="A33" s="11"/>
      <c r="B33" s="7">
        <v>16</v>
      </c>
      <c r="C33" s="9" t="str">
        <f ca="1">+Introduction!F26</f>
        <v>Expense 16</v>
      </c>
      <c r="D33" s="51"/>
      <c r="E33" s="67"/>
      <c r="F33" s="67"/>
      <c r="G33" s="67"/>
      <c r="H33" s="67"/>
      <c r="I33" s="67"/>
      <c r="J33" s="67"/>
      <c r="K33" s="67"/>
      <c r="L33" s="67"/>
      <c r="M33" s="67"/>
      <c r="N33" s="67"/>
      <c r="O33" s="67"/>
      <c r="P33" s="67"/>
      <c r="Q33" s="33"/>
      <c r="R33" s="123">
        <f t="shared" si="7"/>
        <v>0</v>
      </c>
      <c r="S33" s="11"/>
      <c r="T33" s="11"/>
    </row>
    <row r="34" spans="1:20" ht="15.75" thickBot="1">
      <c r="A34" s="11"/>
      <c r="B34" s="7">
        <v>17</v>
      </c>
      <c r="C34" s="9" t="str">
        <f ca="1">+Introduction!F27</f>
        <v>Expense 17</v>
      </c>
      <c r="D34" s="51"/>
      <c r="E34" s="67"/>
      <c r="F34" s="67"/>
      <c r="G34" s="67"/>
      <c r="H34" s="67"/>
      <c r="I34" s="67"/>
      <c r="J34" s="67"/>
      <c r="K34" s="67"/>
      <c r="L34" s="67"/>
      <c r="M34" s="67"/>
      <c r="N34" s="67"/>
      <c r="O34" s="67"/>
      <c r="P34" s="67"/>
      <c r="Q34" s="33"/>
      <c r="R34" s="123">
        <f t="shared" si="7"/>
        <v>0</v>
      </c>
      <c r="S34" s="11"/>
      <c r="T34" s="11"/>
    </row>
    <row r="35" spans="1:20" ht="15.75" thickBot="1">
      <c r="A35" s="11"/>
      <c r="B35" s="7">
        <v>18</v>
      </c>
      <c r="C35" s="9" t="str">
        <f ca="1">+Introduction!F28</f>
        <v>Expense 18</v>
      </c>
      <c r="D35" s="51"/>
      <c r="E35" s="67"/>
      <c r="F35" s="67"/>
      <c r="G35" s="67"/>
      <c r="H35" s="67"/>
      <c r="I35" s="67"/>
      <c r="J35" s="67"/>
      <c r="K35" s="67"/>
      <c r="L35" s="67"/>
      <c r="M35" s="67"/>
      <c r="N35" s="67"/>
      <c r="O35" s="67"/>
      <c r="P35" s="67"/>
      <c r="Q35" s="33"/>
      <c r="R35" s="123">
        <f t="shared" si="7"/>
        <v>0</v>
      </c>
      <c r="S35" s="11"/>
      <c r="T35" s="11"/>
    </row>
    <row r="36" spans="1:20" ht="15.75" thickBot="1">
      <c r="A36" s="11"/>
      <c r="B36" s="7">
        <v>19</v>
      </c>
      <c r="C36" s="9" t="str">
        <f ca="1">+Introduction!F29</f>
        <v>Expense 19</v>
      </c>
      <c r="D36" s="51"/>
      <c r="E36" s="67"/>
      <c r="F36" s="67"/>
      <c r="G36" s="67"/>
      <c r="H36" s="67"/>
      <c r="I36" s="67"/>
      <c r="J36" s="67"/>
      <c r="K36" s="67"/>
      <c r="L36" s="67"/>
      <c r="M36" s="67"/>
      <c r="N36" s="67"/>
      <c r="O36" s="67"/>
      <c r="P36" s="67"/>
      <c r="Q36" s="33"/>
      <c r="R36" s="123">
        <f t="shared" si="7"/>
        <v>0</v>
      </c>
      <c r="S36" s="11"/>
      <c r="T36" s="11"/>
    </row>
    <row r="37" spans="1:20" ht="15.75" thickBot="1">
      <c r="A37" s="11"/>
      <c r="B37" s="7">
        <v>20</v>
      </c>
      <c r="C37" s="9" t="str">
        <f ca="1">+Introduction!F30</f>
        <v>IRA Contribution</v>
      </c>
      <c r="D37" s="51"/>
      <c r="E37" s="67"/>
      <c r="F37" s="67"/>
      <c r="G37" s="67"/>
      <c r="H37" s="67"/>
      <c r="I37" s="67"/>
      <c r="J37" s="67"/>
      <c r="K37" s="67"/>
      <c r="L37" s="67"/>
      <c r="M37" s="67"/>
      <c r="N37" s="67"/>
      <c r="O37" s="67"/>
      <c r="P37" s="67"/>
      <c r="Q37" s="33"/>
      <c r="R37" s="123">
        <f t="shared" si="7"/>
        <v>0</v>
      </c>
      <c r="S37" s="11"/>
      <c r="T37" s="11"/>
    </row>
    <row r="38" spans="1:20" ht="15.75" thickBot="1">
      <c r="A38" s="11"/>
      <c r="B38" s="134" t="s">
        <v>24</v>
      </c>
      <c r="C38" s="132"/>
      <c r="D38" s="125"/>
      <c r="E38" s="126">
        <f t="shared" ref="E38:O38" si="8">SUM(E18:E37)</f>
        <v>0</v>
      </c>
      <c r="F38" s="126">
        <f t="shared" si="8"/>
        <v>0</v>
      </c>
      <c r="G38" s="126">
        <f t="shared" si="8"/>
        <v>0</v>
      </c>
      <c r="H38" s="126">
        <f t="shared" si="8"/>
        <v>0</v>
      </c>
      <c r="I38" s="126">
        <f t="shared" si="8"/>
        <v>0</v>
      </c>
      <c r="J38" s="126">
        <f t="shared" si="8"/>
        <v>0</v>
      </c>
      <c r="K38" s="126">
        <f t="shared" si="8"/>
        <v>0</v>
      </c>
      <c r="L38" s="126">
        <f t="shared" si="8"/>
        <v>0</v>
      </c>
      <c r="M38" s="126">
        <f t="shared" si="8"/>
        <v>0</v>
      </c>
      <c r="N38" s="126">
        <f t="shared" si="8"/>
        <v>0</v>
      </c>
      <c r="O38" s="126">
        <f t="shared" si="8"/>
        <v>0</v>
      </c>
      <c r="P38" s="126">
        <f>SUM(P18:P37)</f>
        <v>0</v>
      </c>
      <c r="Q38" s="98"/>
      <c r="R38" s="123">
        <f t="shared" si="7"/>
        <v>0</v>
      </c>
      <c r="S38" s="11"/>
      <c r="T38" s="11"/>
    </row>
    <row r="39" spans="1:20" ht="15.75" thickBot="1">
      <c r="A39" s="11"/>
      <c r="B39" s="99"/>
      <c r="C39" s="100"/>
      <c r="D39" s="100"/>
      <c r="E39" s="101"/>
      <c r="F39" s="101"/>
      <c r="G39" s="101"/>
      <c r="H39" s="101"/>
      <c r="I39" s="101"/>
      <c r="J39" s="101"/>
      <c r="K39" s="101"/>
      <c r="L39" s="101"/>
      <c r="M39" s="101"/>
      <c r="N39" s="101"/>
      <c r="O39" s="101"/>
      <c r="P39" s="101"/>
      <c r="Q39" s="101"/>
      <c r="R39" s="102" t="str">
        <f t="shared" si="4"/>
        <v/>
      </c>
      <c r="S39" s="11"/>
      <c r="T39" s="11"/>
    </row>
    <row r="40" spans="1:20" ht="15.75" thickBot="1">
      <c r="A40" s="11"/>
      <c r="B40" s="135" t="s">
        <v>25</v>
      </c>
      <c r="C40" s="128"/>
      <c r="D40" s="129"/>
      <c r="E40" s="130">
        <f>+E14-E38</f>
        <v>0</v>
      </c>
      <c r="F40" s="130">
        <f t="shared" ref="F40:R40" si="9">+F14-F38</f>
        <v>0</v>
      </c>
      <c r="G40" s="130">
        <f t="shared" si="9"/>
        <v>0</v>
      </c>
      <c r="H40" s="130">
        <f t="shared" si="9"/>
        <v>0</v>
      </c>
      <c r="I40" s="130">
        <f t="shared" si="9"/>
        <v>0</v>
      </c>
      <c r="J40" s="130">
        <f t="shared" si="9"/>
        <v>0</v>
      </c>
      <c r="K40" s="130">
        <f t="shared" si="9"/>
        <v>0</v>
      </c>
      <c r="L40" s="130">
        <f t="shared" si="9"/>
        <v>0</v>
      </c>
      <c r="M40" s="130">
        <f t="shared" si="9"/>
        <v>0</v>
      </c>
      <c r="N40" s="130">
        <f t="shared" si="9"/>
        <v>0</v>
      </c>
      <c r="O40" s="130">
        <f t="shared" si="9"/>
        <v>0</v>
      </c>
      <c r="P40" s="130">
        <f t="shared" si="9"/>
        <v>0</v>
      </c>
      <c r="Q40" s="130">
        <f t="shared" si="9"/>
        <v>0</v>
      </c>
      <c r="R40" s="130">
        <f t="shared" si="9"/>
        <v>0</v>
      </c>
      <c r="S40" s="11"/>
      <c r="T40" s="11"/>
    </row>
    <row r="41" spans="1:20" ht="15.75" thickBot="1">
      <c r="A41" s="11"/>
      <c r="B41" s="12"/>
      <c r="C41" s="11"/>
      <c r="D41" s="11"/>
      <c r="E41" s="13"/>
      <c r="F41" s="13"/>
      <c r="G41" s="13"/>
      <c r="H41" s="13"/>
      <c r="I41" s="13"/>
      <c r="J41" s="13"/>
      <c r="K41" s="13"/>
      <c r="L41" s="13"/>
      <c r="M41" s="13"/>
      <c r="N41" s="13"/>
      <c r="O41" s="13"/>
      <c r="P41" s="13"/>
      <c r="Q41" s="13"/>
      <c r="R41" s="13" t="str">
        <f t="shared" si="4"/>
        <v/>
      </c>
      <c r="S41" s="11"/>
      <c r="T41" s="11"/>
    </row>
    <row r="42" spans="1:20" ht="15.75" thickBot="1">
      <c r="A42" s="11"/>
      <c r="B42" s="7">
        <v>1</v>
      </c>
      <c r="C42" s="31" t="s">
        <v>27</v>
      </c>
      <c r="D42" s="31"/>
      <c r="E42" s="10">
        <f ca="1">+Introduction!F32</f>
        <v>0</v>
      </c>
      <c r="F42" s="10">
        <f>+E44</f>
        <v>0</v>
      </c>
      <c r="G42" s="10">
        <f t="shared" ref="G42:P42" si="10">+F44</f>
        <v>0</v>
      </c>
      <c r="H42" s="10">
        <f t="shared" si="10"/>
        <v>0</v>
      </c>
      <c r="I42" s="10">
        <f t="shared" si="10"/>
        <v>0</v>
      </c>
      <c r="J42" s="10">
        <f t="shared" si="10"/>
        <v>0</v>
      </c>
      <c r="K42" s="10">
        <f t="shared" si="10"/>
        <v>0</v>
      </c>
      <c r="L42" s="10">
        <f t="shared" si="10"/>
        <v>0</v>
      </c>
      <c r="M42" s="10">
        <f t="shared" si="10"/>
        <v>0</v>
      </c>
      <c r="N42" s="10">
        <f t="shared" si="10"/>
        <v>0</v>
      </c>
      <c r="O42" s="10">
        <f t="shared" si="10"/>
        <v>0</v>
      </c>
      <c r="P42" s="10">
        <f t="shared" si="10"/>
        <v>0</v>
      </c>
      <c r="Q42" s="6"/>
      <c r="R42" s="10">
        <f>+E42</f>
        <v>0</v>
      </c>
      <c r="S42" s="11"/>
      <c r="T42" s="11"/>
    </row>
    <row r="43" spans="1:20" ht="15.75" thickBot="1">
      <c r="A43" s="11"/>
      <c r="B43" s="7">
        <v>2</v>
      </c>
      <c r="C43" s="31" t="s">
        <v>26</v>
      </c>
      <c r="D43" s="31"/>
      <c r="E43" s="10">
        <f>+E40</f>
        <v>0</v>
      </c>
      <c r="F43" s="10">
        <f t="shared" ref="F43:P43" si="11">+F40</f>
        <v>0</v>
      </c>
      <c r="G43" s="10">
        <f t="shared" si="11"/>
        <v>0</v>
      </c>
      <c r="H43" s="10">
        <f t="shared" si="11"/>
        <v>0</v>
      </c>
      <c r="I43" s="10">
        <f t="shared" si="11"/>
        <v>0</v>
      </c>
      <c r="J43" s="10">
        <f t="shared" si="11"/>
        <v>0</v>
      </c>
      <c r="K43" s="10">
        <f t="shared" si="11"/>
        <v>0</v>
      </c>
      <c r="L43" s="10">
        <f t="shared" si="11"/>
        <v>0</v>
      </c>
      <c r="M43" s="10">
        <f t="shared" si="11"/>
        <v>0</v>
      </c>
      <c r="N43" s="10">
        <f t="shared" si="11"/>
        <v>0</v>
      </c>
      <c r="O43" s="10">
        <f t="shared" si="11"/>
        <v>0</v>
      </c>
      <c r="P43" s="10">
        <f t="shared" si="11"/>
        <v>0</v>
      </c>
      <c r="Q43" s="19"/>
      <c r="R43" s="26">
        <f>SUM(E43:P43)</f>
        <v>0</v>
      </c>
      <c r="S43" s="11"/>
      <c r="T43" s="11"/>
    </row>
    <row r="44" spans="1:20" ht="15.75" thickBot="1">
      <c r="A44" s="11"/>
      <c r="B44" s="7">
        <v>3</v>
      </c>
      <c r="C44" s="31" t="s">
        <v>28</v>
      </c>
      <c r="D44" s="31"/>
      <c r="E44" s="10">
        <f>+E43+E42</f>
        <v>0</v>
      </c>
      <c r="F44" s="10">
        <f t="shared" ref="F44:P44" si="12">+F43+F42</f>
        <v>0</v>
      </c>
      <c r="G44" s="10">
        <f t="shared" si="12"/>
        <v>0</v>
      </c>
      <c r="H44" s="10">
        <f t="shared" si="12"/>
        <v>0</v>
      </c>
      <c r="I44" s="10">
        <f t="shared" si="12"/>
        <v>0</v>
      </c>
      <c r="J44" s="10">
        <f t="shared" si="12"/>
        <v>0</v>
      </c>
      <c r="K44" s="10">
        <f t="shared" si="12"/>
        <v>0</v>
      </c>
      <c r="L44" s="10">
        <f t="shared" si="12"/>
        <v>0</v>
      </c>
      <c r="M44" s="10">
        <f t="shared" si="12"/>
        <v>0</v>
      </c>
      <c r="N44" s="10">
        <f t="shared" si="12"/>
        <v>0</v>
      </c>
      <c r="O44" s="10">
        <f t="shared" si="12"/>
        <v>0</v>
      </c>
      <c r="P44" s="10">
        <f t="shared" si="12"/>
        <v>0</v>
      </c>
      <c r="Q44" s="10" t="str">
        <f>IFERROR(IF(OR(Q42&lt;&gt;0,Q43&lt;&gt;0),Q42+Q43,""),"")</f>
        <v/>
      </c>
      <c r="R44" s="10">
        <f>R42+R43</f>
        <v>0</v>
      </c>
      <c r="S44" s="11"/>
      <c r="T44" s="11"/>
    </row>
    <row r="45" spans="1:20" ht="15.75" thickBot="1">
      <c r="A45" s="11"/>
      <c r="B45" s="11"/>
      <c r="C45" s="11"/>
      <c r="D45" s="11"/>
      <c r="E45" s="11"/>
      <c r="F45" s="11"/>
      <c r="G45" s="11"/>
      <c r="H45" s="11"/>
      <c r="I45" s="11"/>
      <c r="J45" s="11"/>
      <c r="K45" s="11"/>
      <c r="L45" s="11"/>
      <c r="M45" s="11"/>
      <c r="N45" s="11"/>
      <c r="O45" s="11"/>
      <c r="P45" s="11"/>
      <c r="Q45" s="11"/>
      <c r="R45" s="11"/>
      <c r="S45" s="11"/>
      <c r="T45" s="11"/>
    </row>
    <row r="46" spans="1:20" ht="15.75" thickBot="1">
      <c r="A46" s="11"/>
      <c r="B46" s="7">
        <v>1</v>
      </c>
      <c r="C46" s="9" t="s">
        <v>30</v>
      </c>
      <c r="D46" s="9"/>
      <c r="E46" s="10">
        <f ca="1">+Introduction!F31+Budget!E37</f>
        <v>0</v>
      </c>
      <c r="F46" s="10">
        <f>+E46+F37</f>
        <v>0</v>
      </c>
      <c r="G46" s="10">
        <f t="shared" ref="G46:P46" si="13">+F46+G37</f>
        <v>0</v>
      </c>
      <c r="H46" s="10">
        <f t="shared" si="13"/>
        <v>0</v>
      </c>
      <c r="I46" s="10">
        <f t="shared" si="13"/>
        <v>0</v>
      </c>
      <c r="J46" s="10">
        <f t="shared" si="13"/>
        <v>0</v>
      </c>
      <c r="K46" s="10">
        <f t="shared" si="13"/>
        <v>0</v>
      </c>
      <c r="L46" s="10">
        <f t="shared" si="13"/>
        <v>0</v>
      </c>
      <c r="M46" s="10">
        <f t="shared" si="13"/>
        <v>0</v>
      </c>
      <c r="N46" s="10">
        <f t="shared" si="13"/>
        <v>0</v>
      </c>
      <c r="O46" s="10">
        <f t="shared" si="13"/>
        <v>0</v>
      </c>
      <c r="P46" s="10">
        <f t="shared" si="13"/>
        <v>0</v>
      </c>
      <c r="Q46" s="10"/>
      <c r="R46" s="10">
        <f>+P46</f>
        <v>0</v>
      </c>
      <c r="S46" s="11"/>
      <c r="T46" s="11"/>
    </row>
    <row r="47" spans="1:20">
      <c r="A47" s="11"/>
      <c r="B47" s="11"/>
      <c r="C47" s="11"/>
      <c r="D47" s="11"/>
      <c r="E47" s="11"/>
      <c r="F47" s="11"/>
      <c r="G47" s="11"/>
      <c r="H47" s="11"/>
      <c r="I47" s="11"/>
      <c r="J47" s="11"/>
      <c r="K47" s="11"/>
      <c r="L47" s="11"/>
      <c r="M47" s="11"/>
      <c r="N47" s="11"/>
      <c r="O47" s="11"/>
      <c r="P47" s="11"/>
      <c r="Q47" s="11"/>
      <c r="R47" s="11"/>
      <c r="S47" s="11"/>
      <c r="T47" s="11"/>
    </row>
    <row r="48" spans="1:20">
      <c r="E48" s="2"/>
      <c r="F48" s="2"/>
      <c r="G48" s="2"/>
      <c r="H48" s="2"/>
      <c r="I48" s="2"/>
      <c r="J48" s="2"/>
      <c r="K48" s="2"/>
      <c r="L48" s="2"/>
      <c r="M48" s="2"/>
      <c r="N48" s="2"/>
      <c r="O48" s="2"/>
      <c r="P48" s="2"/>
      <c r="Q48" s="2"/>
      <c r="R48" s="2" t="str">
        <f t="shared" si="4"/>
        <v/>
      </c>
    </row>
    <row r="49" spans="5:18">
      <c r="E49" s="2"/>
      <c r="F49" s="2"/>
      <c r="G49" s="2"/>
      <c r="H49" s="2"/>
      <c r="I49" s="2"/>
      <c r="J49" s="2"/>
      <c r="K49" s="2"/>
      <c r="L49" s="2"/>
      <c r="M49" s="2"/>
      <c r="N49" s="2"/>
      <c r="O49" s="2"/>
      <c r="P49" s="2"/>
      <c r="Q49" s="2"/>
      <c r="R49" s="2" t="str">
        <f t="shared" si="4"/>
        <v/>
      </c>
    </row>
    <row r="50" spans="5:18">
      <c r="E50" s="2"/>
      <c r="F50" s="2"/>
      <c r="G50" s="2"/>
      <c r="H50" s="2"/>
      <c r="I50" s="2"/>
      <c r="J50" s="2"/>
      <c r="K50" s="2"/>
      <c r="L50" s="2"/>
      <c r="M50" s="2"/>
      <c r="N50" s="2"/>
      <c r="O50" s="2"/>
      <c r="P50" s="2"/>
      <c r="Q50" s="2"/>
      <c r="R50" s="2" t="str">
        <f t="shared" si="4"/>
        <v/>
      </c>
    </row>
    <row r="51" spans="5:18">
      <c r="R51" s="2" t="str">
        <f t="shared" si="4"/>
        <v/>
      </c>
    </row>
    <row r="52" spans="5:18">
      <c r="R52" s="2" t="str">
        <f t="shared" si="4"/>
        <v/>
      </c>
    </row>
    <row r="53" spans="5:18">
      <c r="R53" s="2" t="str">
        <f t="shared" si="4"/>
        <v/>
      </c>
    </row>
    <row r="54" spans="5:18">
      <c r="R54" s="2" t="str">
        <f t="shared" si="4"/>
        <v/>
      </c>
    </row>
    <row r="55" spans="5:18">
      <c r="R55" s="2" t="str">
        <f t="shared" si="4"/>
        <v/>
      </c>
    </row>
    <row r="56" spans="5:18">
      <c r="R56" s="2" t="str">
        <f t="shared" si="4"/>
        <v/>
      </c>
    </row>
    <row r="57" spans="5:18">
      <c r="R57" s="2" t="str">
        <f t="shared" si="4"/>
        <v/>
      </c>
    </row>
    <row r="58" spans="5:18">
      <c r="R58" s="2" t="str">
        <f t="shared" si="4"/>
        <v/>
      </c>
    </row>
    <row r="59" spans="5:18">
      <c r="R59" s="2" t="str">
        <f t="shared" si="4"/>
        <v/>
      </c>
    </row>
    <row r="60" spans="5:18">
      <c r="R60" s="2" t="str">
        <f t="shared" si="4"/>
        <v/>
      </c>
    </row>
    <row r="61" spans="5:18">
      <c r="R61" s="2" t="str">
        <f t="shared" si="4"/>
        <v/>
      </c>
    </row>
    <row r="62" spans="5:18">
      <c r="R62" s="2" t="str">
        <f t="shared" si="4"/>
        <v/>
      </c>
    </row>
    <row r="63" spans="5:18">
      <c r="R63" s="2" t="str">
        <f t="shared" si="4"/>
        <v/>
      </c>
    </row>
    <row r="64" spans="5:18">
      <c r="R64" s="2" t="str">
        <f t="shared" si="4"/>
        <v/>
      </c>
    </row>
    <row r="65" spans="18:18">
      <c r="R65" s="2" t="str">
        <f t="shared" si="4"/>
        <v/>
      </c>
    </row>
    <row r="66" spans="18:18">
      <c r="R66" s="2" t="str">
        <f t="shared" si="4"/>
        <v/>
      </c>
    </row>
    <row r="67" spans="18:18">
      <c r="R67" s="2" t="str">
        <f t="shared" si="4"/>
        <v/>
      </c>
    </row>
    <row r="68" spans="18:18">
      <c r="R68" s="2" t="str">
        <f t="shared" si="4"/>
        <v/>
      </c>
    </row>
    <row r="69" spans="18:18">
      <c r="R69" s="2" t="str">
        <f t="shared" si="4"/>
        <v/>
      </c>
    </row>
    <row r="70" spans="18:18">
      <c r="R70" s="2" t="str">
        <f t="shared" si="4"/>
        <v/>
      </c>
    </row>
    <row r="71" spans="18:18">
      <c r="R71" s="2" t="str">
        <f t="shared" si="4"/>
        <v/>
      </c>
    </row>
    <row r="72" spans="18:18">
      <c r="R72" s="2" t="str">
        <f t="shared" si="4"/>
        <v/>
      </c>
    </row>
    <row r="73" spans="18:18">
      <c r="R73" s="2" t="str">
        <f t="shared" si="4"/>
        <v/>
      </c>
    </row>
    <row r="74" spans="18:18">
      <c r="R74" s="2" t="str">
        <f t="shared" si="4"/>
        <v/>
      </c>
    </row>
    <row r="75" spans="18:18">
      <c r="R75" s="2" t="str">
        <f t="shared" si="4"/>
        <v/>
      </c>
    </row>
    <row r="76" spans="18:18">
      <c r="R76" s="2" t="str">
        <f t="shared" si="4"/>
        <v/>
      </c>
    </row>
    <row r="77" spans="18:18">
      <c r="R77" s="2" t="str">
        <f t="shared" si="4"/>
        <v/>
      </c>
    </row>
    <row r="78" spans="18:18">
      <c r="R78" s="2" t="str">
        <f t="shared" si="4"/>
        <v/>
      </c>
    </row>
    <row r="79" spans="18:18">
      <c r="R79" s="2" t="str">
        <f t="shared" si="4"/>
        <v/>
      </c>
    </row>
    <row r="80" spans="18:18">
      <c r="R80" s="2" t="str">
        <f t="shared" si="4"/>
        <v/>
      </c>
    </row>
    <row r="81" spans="18:18">
      <c r="R81" s="2" t="str">
        <f t="shared" si="4"/>
        <v/>
      </c>
    </row>
    <row r="82" spans="18:18">
      <c r="R82" s="2" t="str">
        <f t="shared" ref="R82:R117" si="14">IF(SUM(E82:P82)&lt;&gt;0,SUM(E82:P82),"")</f>
        <v/>
      </c>
    </row>
    <row r="83" spans="18:18">
      <c r="R83" s="2" t="str">
        <f t="shared" si="14"/>
        <v/>
      </c>
    </row>
    <row r="84" spans="18:18">
      <c r="R84" s="2" t="str">
        <f t="shared" si="14"/>
        <v/>
      </c>
    </row>
    <row r="85" spans="18:18">
      <c r="R85" s="2" t="str">
        <f t="shared" si="14"/>
        <v/>
      </c>
    </row>
    <row r="86" spans="18:18">
      <c r="R86" s="2" t="str">
        <f t="shared" si="14"/>
        <v/>
      </c>
    </row>
    <row r="87" spans="18:18">
      <c r="R87" s="2" t="str">
        <f t="shared" si="14"/>
        <v/>
      </c>
    </row>
    <row r="88" spans="18:18">
      <c r="R88" s="2" t="str">
        <f t="shared" si="14"/>
        <v/>
      </c>
    </row>
    <row r="89" spans="18:18">
      <c r="R89" s="2" t="str">
        <f t="shared" si="14"/>
        <v/>
      </c>
    </row>
    <row r="90" spans="18:18">
      <c r="R90" s="2" t="str">
        <f t="shared" si="14"/>
        <v/>
      </c>
    </row>
    <row r="91" spans="18:18">
      <c r="R91" s="2" t="str">
        <f t="shared" si="14"/>
        <v/>
      </c>
    </row>
    <row r="92" spans="18:18">
      <c r="R92" s="2" t="str">
        <f t="shared" si="14"/>
        <v/>
      </c>
    </row>
    <row r="93" spans="18:18">
      <c r="R93" s="2" t="str">
        <f t="shared" si="14"/>
        <v/>
      </c>
    </row>
    <row r="94" spans="18:18">
      <c r="R94" s="2" t="str">
        <f t="shared" si="14"/>
        <v/>
      </c>
    </row>
    <row r="95" spans="18:18">
      <c r="R95" s="2" t="str">
        <f t="shared" si="14"/>
        <v/>
      </c>
    </row>
    <row r="96" spans="18:18">
      <c r="R96" s="2" t="str">
        <f t="shared" si="14"/>
        <v/>
      </c>
    </row>
    <row r="97" spans="18:18">
      <c r="R97" s="2" t="str">
        <f t="shared" si="14"/>
        <v/>
      </c>
    </row>
    <row r="98" spans="18:18">
      <c r="R98" s="2" t="str">
        <f t="shared" si="14"/>
        <v/>
      </c>
    </row>
    <row r="99" spans="18:18">
      <c r="R99" s="2" t="str">
        <f t="shared" si="14"/>
        <v/>
      </c>
    </row>
    <row r="100" spans="18:18">
      <c r="R100" s="2" t="str">
        <f t="shared" si="14"/>
        <v/>
      </c>
    </row>
    <row r="101" spans="18:18">
      <c r="R101" s="2" t="str">
        <f t="shared" si="14"/>
        <v/>
      </c>
    </row>
    <row r="102" spans="18:18">
      <c r="R102" s="2" t="str">
        <f t="shared" si="14"/>
        <v/>
      </c>
    </row>
    <row r="103" spans="18:18">
      <c r="R103" s="2" t="str">
        <f t="shared" si="14"/>
        <v/>
      </c>
    </row>
    <row r="104" spans="18:18">
      <c r="R104" s="2" t="str">
        <f t="shared" si="14"/>
        <v/>
      </c>
    </row>
    <row r="105" spans="18:18">
      <c r="R105" s="2" t="str">
        <f t="shared" si="14"/>
        <v/>
      </c>
    </row>
    <row r="106" spans="18:18">
      <c r="R106" s="2" t="str">
        <f t="shared" si="14"/>
        <v/>
      </c>
    </row>
    <row r="107" spans="18:18">
      <c r="R107" s="2" t="str">
        <f t="shared" si="14"/>
        <v/>
      </c>
    </row>
    <row r="108" spans="18:18">
      <c r="R108" s="2" t="str">
        <f t="shared" si="14"/>
        <v/>
      </c>
    </row>
    <row r="109" spans="18:18">
      <c r="R109" s="2" t="str">
        <f t="shared" si="14"/>
        <v/>
      </c>
    </row>
    <row r="110" spans="18:18">
      <c r="R110" s="2" t="str">
        <f t="shared" si="14"/>
        <v/>
      </c>
    </row>
    <row r="111" spans="18:18">
      <c r="R111" s="2" t="str">
        <f t="shared" si="14"/>
        <v/>
      </c>
    </row>
    <row r="112" spans="18:18">
      <c r="R112" s="2" t="str">
        <f t="shared" si="14"/>
        <v/>
      </c>
    </row>
    <row r="113" spans="18:18">
      <c r="R113" s="2" t="str">
        <f t="shared" si="14"/>
        <v/>
      </c>
    </row>
    <row r="114" spans="18:18">
      <c r="R114" s="2" t="str">
        <f t="shared" si="14"/>
        <v/>
      </c>
    </row>
    <row r="115" spans="18:18">
      <c r="R115" s="2" t="str">
        <f t="shared" si="14"/>
        <v/>
      </c>
    </row>
    <row r="116" spans="18:18">
      <c r="R116" s="2" t="str">
        <f t="shared" si="14"/>
        <v/>
      </c>
    </row>
    <row r="117" spans="18:18">
      <c r="R117" s="2" t="str">
        <f t="shared" si="14"/>
        <v/>
      </c>
    </row>
  </sheetData>
  <sheetProtection password="CFCF" sheet="1" objects="1" scenarios="1" formatColumns="0"/>
  <mergeCells count="2">
    <mergeCell ref="B2:R2"/>
    <mergeCell ref="B5:C5"/>
  </mergeCells>
  <phoneticPr fontId="21" type="noConversion"/>
  <conditionalFormatting sqref="Q43">
    <cfRule type="cellIs" dxfId="8" priority="2" operator="greaterThan">
      <formula>0</formula>
    </cfRule>
    <cfRule type="colorScale" priority="1">
      <colorScale>
        <cfvo type="formula" val="&quot;&lt;0&quot;"/>
        <cfvo type="formula" val="&quot;&gt;=0&quot;"/>
        <color rgb="FFFF0000"/>
        <color theme="6" tint="-0.499984740745262"/>
      </colorScale>
    </cfRule>
    <cfRule type="colorScale" priority="3">
      <colorScale>
        <cfvo type="min" val="0"/>
        <cfvo type="max" val="0"/>
        <color rgb="FFF8696B"/>
        <color rgb="FF63BE7B"/>
      </colorScale>
    </cfRule>
  </conditionalFormatting>
  <pageMargins left="0.2" right="0.2" top="0.75" bottom="0.75" header="0.3" footer="0.3"/>
  <pageSetup scale="68" orientation="landscape" r:id="rId1"/>
</worksheet>
</file>

<file path=xl/worksheets/sheet4.xml><?xml version="1.0" encoding="utf-8"?>
<worksheet xmlns="http://schemas.openxmlformats.org/spreadsheetml/2006/main" xmlns:r="http://schemas.openxmlformats.org/officeDocument/2006/relationships">
  <sheetPr codeName="Sheet3">
    <tabColor theme="6" tint="-0.499984740745262"/>
    <pageSetUpPr fitToPage="1"/>
  </sheetPr>
  <dimension ref="A1:T82"/>
  <sheetViews>
    <sheetView showGridLines="0" zoomScale="85" zoomScaleNormal="85" workbookViewId="0">
      <pane xSplit="3" ySplit="5" topLeftCell="E6" activePane="bottomRight" state="frozen"/>
      <selection activeCell="A8" sqref="A8"/>
      <selection pane="topRight" activeCell="A8" sqref="A8"/>
      <selection pane="bottomLeft" activeCell="A8" sqref="A8"/>
      <selection pane="bottomRight" activeCell="F9" sqref="F9"/>
    </sheetView>
  </sheetViews>
  <sheetFormatPr defaultRowHeight="15"/>
  <cols>
    <col min="2" max="2" width="4.28515625" style="1" customWidth="1"/>
    <col min="3" max="3" width="31.5703125" customWidth="1"/>
    <col min="4" max="4" width="17.28515625" hidden="1" customWidth="1"/>
    <col min="5" max="6" width="11.5703125" bestFit="1" customWidth="1"/>
    <col min="7" max="7" width="12.140625" customWidth="1"/>
    <col min="8" max="8" width="11.5703125" bestFit="1" customWidth="1"/>
    <col min="9" max="9" width="11.42578125" customWidth="1"/>
    <col min="10" max="16" width="11.5703125" bestFit="1" customWidth="1"/>
    <col min="17" max="17" width="11.5703125" hidden="1" customWidth="1"/>
    <col min="18" max="18" width="12.28515625" bestFit="1" customWidth="1"/>
    <col min="19" max="19" width="2.140625" customWidth="1"/>
    <col min="20" max="20" width="36.140625" customWidth="1"/>
  </cols>
  <sheetData>
    <row r="1" spans="1:20" ht="13.5" customHeight="1" thickBot="1">
      <c r="A1" s="11"/>
      <c r="B1" s="12"/>
      <c r="C1" s="11"/>
      <c r="D1" s="11"/>
      <c r="E1" s="11"/>
      <c r="F1" s="11"/>
      <c r="G1" s="11"/>
      <c r="H1" s="11"/>
      <c r="I1" s="11"/>
      <c r="J1" s="11"/>
      <c r="K1" s="11"/>
      <c r="L1" s="11"/>
      <c r="M1" s="11"/>
      <c r="N1" s="11"/>
      <c r="O1" s="11"/>
      <c r="P1" s="11"/>
      <c r="Q1" s="11"/>
      <c r="R1" s="11"/>
      <c r="S1" s="11"/>
      <c r="T1" s="11"/>
    </row>
    <row r="2" spans="1:20" ht="24" thickBot="1">
      <c r="A2" s="11"/>
      <c r="B2" s="161" t="str">
        <f ca="1">CONCATENATE(Introduction!C4:C4,"'s"," ACTUAL  SPENDING ",Introduction!C5)</f>
        <v>'s ACTUAL  SPENDING 2012</v>
      </c>
      <c r="C2" s="162"/>
      <c r="D2" s="162"/>
      <c r="E2" s="162"/>
      <c r="F2" s="162"/>
      <c r="G2" s="162"/>
      <c r="H2" s="162"/>
      <c r="I2" s="162"/>
      <c r="J2" s="162"/>
      <c r="K2" s="162"/>
      <c r="L2" s="162"/>
      <c r="M2" s="162"/>
      <c r="N2" s="162"/>
      <c r="O2" s="162"/>
      <c r="P2" s="162"/>
      <c r="Q2" s="162"/>
      <c r="R2" s="163"/>
      <c r="S2" s="11"/>
      <c r="T2" s="11"/>
    </row>
    <row r="3" spans="1:20" ht="15.75" hidden="1" thickBot="1">
      <c r="A3" s="11"/>
      <c r="B3" s="40"/>
      <c r="C3" s="39" t="s">
        <v>41</v>
      </c>
      <c r="D3" s="49"/>
      <c r="E3" s="43">
        <v>31</v>
      </c>
      <c r="F3" s="43">
        <f ca="1">IF(MOD(Introduction!C5,4)=0,29,28)</f>
        <v>29</v>
      </c>
      <c r="G3" s="43">
        <v>31</v>
      </c>
      <c r="H3" s="43">
        <v>30</v>
      </c>
      <c r="I3" s="43">
        <v>31</v>
      </c>
      <c r="J3" s="43">
        <v>30</v>
      </c>
      <c r="K3" s="43">
        <v>31</v>
      </c>
      <c r="L3" s="43">
        <v>31</v>
      </c>
      <c r="M3" s="43">
        <v>30</v>
      </c>
      <c r="N3" s="43">
        <v>31</v>
      </c>
      <c r="O3" s="43">
        <v>30</v>
      </c>
      <c r="P3" s="43">
        <v>31</v>
      </c>
      <c r="Q3" s="27"/>
      <c r="R3" s="27"/>
      <c r="S3" s="11"/>
      <c r="T3" s="11"/>
    </row>
    <row r="4" spans="1:20" ht="15.75" hidden="1" thickBot="1">
      <c r="A4" s="11"/>
      <c r="B4" s="40"/>
      <c r="C4" s="39" t="s">
        <v>45</v>
      </c>
      <c r="D4" s="49"/>
      <c r="E4" s="26" t="str">
        <f ca="1">CONCATENATE(MONTH(E5)," ",YEAR(E5), " Income")</f>
        <v>1 2012 Income</v>
      </c>
      <c r="F4" s="26" t="str">
        <f t="shared" ref="F4:P4" si="0">CONCATENATE(MONTH(F5)," ",YEAR(F5), " Income")</f>
        <v>2 2012 Income</v>
      </c>
      <c r="G4" s="26" t="str">
        <f t="shared" si="0"/>
        <v>3 2012 Income</v>
      </c>
      <c r="H4" s="26" t="str">
        <f t="shared" si="0"/>
        <v>4 2012 Income</v>
      </c>
      <c r="I4" s="26" t="str">
        <f t="shared" si="0"/>
        <v>5 2012 Income</v>
      </c>
      <c r="J4" s="26" t="str">
        <f t="shared" si="0"/>
        <v>6 2012 Income</v>
      </c>
      <c r="K4" s="26" t="str">
        <f t="shared" si="0"/>
        <v>7 2012 Income</v>
      </c>
      <c r="L4" s="26" t="str">
        <f t="shared" si="0"/>
        <v>8 2012 Income</v>
      </c>
      <c r="M4" s="26" t="str">
        <f t="shared" si="0"/>
        <v>9 2012 Income</v>
      </c>
      <c r="N4" s="26" t="str">
        <f t="shared" si="0"/>
        <v>10 2012 Income</v>
      </c>
      <c r="O4" s="26" t="str">
        <f t="shared" si="0"/>
        <v>11 2012 Income</v>
      </c>
      <c r="P4" s="26" t="str">
        <f t="shared" si="0"/>
        <v>12 2012 Income</v>
      </c>
      <c r="Q4" s="26"/>
      <c r="R4" s="26"/>
      <c r="S4" s="11"/>
      <c r="T4" s="11"/>
    </row>
    <row r="5" spans="1:20" ht="15.75" thickBot="1">
      <c r="A5" s="11"/>
      <c r="B5" s="164" t="str">
        <f>{"Items Revenue/Expense",0}</f>
        <v>Items Revenue/Expense</v>
      </c>
      <c r="C5" s="165" t="s">
        <v>29</v>
      </c>
      <c r="D5" s="50"/>
      <c r="E5" s="35">
        <f ca="1">+Introduction!C6+0</f>
        <v>40909</v>
      </c>
      <c r="F5" s="36">
        <f t="shared" ref="F5:Q5" si="1">+E5+E3</f>
        <v>40940</v>
      </c>
      <c r="G5" s="36">
        <f t="shared" si="1"/>
        <v>40969</v>
      </c>
      <c r="H5" s="36">
        <f t="shared" si="1"/>
        <v>41000</v>
      </c>
      <c r="I5" s="36">
        <f t="shared" si="1"/>
        <v>41030</v>
      </c>
      <c r="J5" s="36">
        <f t="shared" si="1"/>
        <v>41061</v>
      </c>
      <c r="K5" s="36">
        <f t="shared" si="1"/>
        <v>41091</v>
      </c>
      <c r="L5" s="36">
        <f t="shared" si="1"/>
        <v>41122</v>
      </c>
      <c r="M5" s="36">
        <f t="shared" si="1"/>
        <v>41153</v>
      </c>
      <c r="N5" s="36">
        <f t="shared" si="1"/>
        <v>41183</v>
      </c>
      <c r="O5" s="36">
        <f t="shared" si="1"/>
        <v>41214</v>
      </c>
      <c r="P5" s="36">
        <f t="shared" si="1"/>
        <v>41244</v>
      </c>
      <c r="Q5" s="37">
        <f t="shared" si="1"/>
        <v>41275</v>
      </c>
      <c r="R5" s="138" t="s">
        <v>12</v>
      </c>
      <c r="S5" s="11"/>
      <c r="T5" s="11"/>
    </row>
    <row r="6" spans="1:20" ht="15.75" thickBot="1">
      <c r="A6" s="11"/>
      <c r="B6" s="7">
        <v>1</v>
      </c>
      <c r="C6" s="9" t="str">
        <f ca="1">+Introduction!C11</f>
        <v>Income  1</v>
      </c>
      <c r="D6" s="51"/>
      <c r="E6" s="26">
        <f ca="1">SUMIF(Ledger!$P$6:$P$2011,CONCATENATE("Income ",Actual!$B6," ",MONTH(Actual!E$5)," ",YEAR(Actual!E$5)," "),Ledger!$H$6:$H$2011)</f>
        <v>0</v>
      </c>
      <c r="F6" s="26">
        <f ca="1">SUMIF(Ledger!$P$6:$P$2011,CONCATENATE("Income ",Actual!$B6," ",MONTH(Actual!F$5)," ",YEAR(Actual!F$5)," "),Ledger!$H$6:$H$2011)</f>
        <v>0</v>
      </c>
      <c r="G6" s="26">
        <f ca="1">SUMIF(Ledger!$P$6:$P$2011,CONCATENATE("Income ",Actual!$B6," ",MONTH(Actual!G$5)," ",YEAR(Actual!G$5)," "),Ledger!$H$6:$H$2011)</f>
        <v>0</v>
      </c>
      <c r="H6" s="26">
        <f ca="1">SUMIF(Ledger!$P$6:$P$2011,CONCATENATE("Income ",Actual!$B6," ",MONTH(Actual!H$5)," ",YEAR(Actual!H$5)," "),Ledger!$H$6:$H$2011)</f>
        <v>0</v>
      </c>
      <c r="I6" s="26">
        <f ca="1">SUMIF(Ledger!$P$6:$P$2011,CONCATENATE("Income ",Actual!$B6," ",MONTH(Actual!I$5)," ",YEAR(Actual!I$5)," "),Ledger!$H$6:$H$2011)</f>
        <v>0</v>
      </c>
      <c r="J6" s="26">
        <f ca="1">SUMIF(Ledger!$P$6:$P$2011,CONCATENATE("Income ",Actual!$B6," ",MONTH(Actual!J$5)," ",YEAR(Actual!J$5)," "),Ledger!$H$6:$H$2011)</f>
        <v>0</v>
      </c>
      <c r="K6" s="26">
        <f ca="1">SUMIF(Ledger!$P$6:$P$2011,CONCATENATE("Income ",Actual!$B6," ",MONTH(Actual!K$5)," ",YEAR(Actual!K$5)," "),Ledger!$H$6:$H$2011)</f>
        <v>0</v>
      </c>
      <c r="L6" s="26">
        <f ca="1">SUMIF(Ledger!$P$6:$P$2011,CONCATENATE("Income ",Actual!$B6," ",MONTH(Actual!L$5)," ",YEAR(Actual!L$5)," "),Ledger!$H$6:$H$2011)</f>
        <v>0</v>
      </c>
      <c r="M6" s="26">
        <f ca="1">SUMIF(Ledger!$P$6:$P$2011,CONCATENATE("Income ",Actual!$B6," ",MONTH(Actual!M$5)," ",YEAR(Actual!M$5)," "),Ledger!$H$6:$H$2011)</f>
        <v>0</v>
      </c>
      <c r="N6" s="26">
        <f ca="1">SUMIF(Ledger!$P$6:$P$2011,CONCATENATE("Income ",Actual!$B6," ",MONTH(Actual!N$5)," ",YEAR(Actual!N$5)," "),Ledger!$H$6:$H$2011)</f>
        <v>0</v>
      </c>
      <c r="O6" s="26">
        <f ca="1">SUMIF(Ledger!$P$6:$P$2011,CONCATENATE("Income ",Actual!$B6," ",MONTH(Actual!O$5)," ",YEAR(Actual!O$5)," "),Ledger!$H$6:$H$2011)</f>
        <v>0</v>
      </c>
      <c r="P6" s="26">
        <f ca="1">SUMIF(Ledger!$P$6:$P$2011,CONCATENATE("Income ",Actual!$B6," ",MONTH(Actual!P$5)," ",YEAR(Actual!P$5)," "),Ledger!$H$6:$H$2011)</f>
        <v>0</v>
      </c>
      <c r="Q6" s="5"/>
      <c r="R6" s="123">
        <f>SUM(E6:P6)</f>
        <v>0</v>
      </c>
      <c r="S6" s="11"/>
      <c r="T6" s="11"/>
    </row>
    <row r="7" spans="1:20" ht="15.75" thickBot="1">
      <c r="A7" s="11"/>
      <c r="B7" s="7">
        <v>2</v>
      </c>
      <c r="C7" s="9" t="str">
        <f ca="1">+Introduction!C12</f>
        <v>Income 2</v>
      </c>
      <c r="D7" s="51"/>
      <c r="E7" s="26">
        <f ca="1">SUMIF(Ledger!$P$6:$P$2011,CONCATENATE("Income ",Actual!$B7," ",MONTH(Actual!E$5)," ",YEAR(Actual!E$5)," "),Ledger!$H$6:$H$2011)</f>
        <v>0</v>
      </c>
      <c r="F7" s="26">
        <f ca="1">SUMIF(Ledger!$P$6:$P$2011,CONCATENATE("Income ",Actual!$B7," ",MONTH(Actual!F$5)," ",YEAR(Actual!F$5)," "),Ledger!$H$6:$H$2011)</f>
        <v>0</v>
      </c>
      <c r="G7" s="26">
        <f ca="1">SUMIF(Ledger!$P$6:$P$2011,CONCATENATE("Income ",Actual!$B7," ",MONTH(Actual!G$5)," ",YEAR(Actual!G$5)," "),Ledger!$H$6:$H$2011)</f>
        <v>0</v>
      </c>
      <c r="H7" s="26">
        <f ca="1">SUMIF(Ledger!$P$6:$P$2011,CONCATENATE("Income ",Actual!$B7," ",MONTH(Actual!H$5)," ",YEAR(Actual!H$5)," "),Ledger!$H$6:$H$2011)</f>
        <v>0</v>
      </c>
      <c r="I7" s="26">
        <f ca="1">SUMIF(Ledger!$P$6:$P$2011,CONCATENATE("Income ",Actual!$B7," ",MONTH(Actual!I$5)," ",YEAR(Actual!I$5)," "),Ledger!$H$6:$H$2011)</f>
        <v>0</v>
      </c>
      <c r="J7" s="26">
        <f ca="1">SUMIF(Ledger!$P$6:$P$2011,CONCATENATE("Income ",Actual!$B7," ",MONTH(Actual!J$5)," ",YEAR(Actual!J$5)," "),Ledger!$H$6:$H$2011)</f>
        <v>0</v>
      </c>
      <c r="K7" s="26">
        <f ca="1">SUMIF(Ledger!$P$6:$P$2011,CONCATENATE("Income ",Actual!$B7," ",MONTH(Actual!K$5)," ",YEAR(Actual!K$5)," "),Ledger!$H$6:$H$2011)</f>
        <v>0</v>
      </c>
      <c r="L7" s="26">
        <f ca="1">SUMIF(Ledger!$P$6:$P$2011,CONCATENATE("Income ",Actual!$B7," ",MONTH(Actual!L$5)," ",YEAR(Actual!L$5)," "),Ledger!$H$6:$H$2011)</f>
        <v>0</v>
      </c>
      <c r="M7" s="26">
        <f ca="1">SUMIF(Ledger!$P$6:$P$2011,CONCATENATE("Income ",Actual!$B7," ",MONTH(Actual!M$5)," ",YEAR(Actual!M$5)," "),Ledger!$H$6:$H$2011)</f>
        <v>0</v>
      </c>
      <c r="N7" s="26">
        <f ca="1">SUMIF(Ledger!$P$6:$P$2011,CONCATENATE("Income ",Actual!$B7," ",MONTH(Actual!N$5)," ",YEAR(Actual!N$5)," "),Ledger!$H$6:$H$2011)</f>
        <v>0</v>
      </c>
      <c r="O7" s="26">
        <f ca="1">SUMIF(Ledger!$P$6:$P$2011,CONCATENATE("Income ",Actual!$B7," ",MONTH(Actual!O$5)," ",YEAR(Actual!O$5)," "),Ledger!$H$6:$H$2011)</f>
        <v>0</v>
      </c>
      <c r="P7" s="26">
        <f ca="1">SUMIF(Ledger!$P$6:$P$2011,CONCATENATE("Income ",Actual!$B7," ",MONTH(Actual!P$5)," ",YEAR(Actual!P$5)," "),Ledger!$H$6:$H$2011)</f>
        <v>0</v>
      </c>
      <c r="Q7" s="3"/>
      <c r="R7" s="123">
        <f t="shared" ref="R7:R13" si="2">SUM(E7:P7)</f>
        <v>0</v>
      </c>
      <c r="S7" s="11"/>
      <c r="T7" s="11"/>
    </row>
    <row r="8" spans="1:20" ht="15.75" thickBot="1">
      <c r="A8" s="11"/>
      <c r="B8" s="7">
        <v>3</v>
      </c>
      <c r="C8" s="9" t="str">
        <f ca="1">+Introduction!C13</f>
        <v>Income 3</v>
      </c>
      <c r="D8" s="51"/>
      <c r="E8" s="26">
        <f ca="1">SUMIF(Ledger!$P$6:$P$2011,CONCATENATE("Income ",Actual!$B8," ",MONTH(Actual!E$5)," ",YEAR(Actual!E$5)," "),Ledger!$H$6:$H$2011)</f>
        <v>0</v>
      </c>
      <c r="F8" s="26">
        <f ca="1">SUMIF(Ledger!$P$6:$P$2011,CONCATENATE("Income ",Actual!$B8," ",MONTH(Actual!F$5)," ",YEAR(Actual!F$5)," "),Ledger!$H$6:$H$2011)</f>
        <v>0</v>
      </c>
      <c r="G8" s="26">
        <f ca="1">SUMIF(Ledger!$P$6:$P$2011,CONCATENATE("Income ",Actual!$B8," ",MONTH(Actual!G$5)," ",YEAR(Actual!G$5)," "),Ledger!$H$6:$H$2011)</f>
        <v>0</v>
      </c>
      <c r="H8" s="26">
        <f ca="1">SUMIF(Ledger!$P$6:$P$2011,CONCATENATE("Income ",Actual!$B8," ",MONTH(Actual!H$5)," ",YEAR(Actual!H$5)," "),Ledger!$H$6:$H$2011)</f>
        <v>0</v>
      </c>
      <c r="I8" s="26">
        <f ca="1">SUMIF(Ledger!$P$6:$P$2011,CONCATENATE("Income ",Actual!$B8," ",MONTH(Actual!I$5)," ",YEAR(Actual!I$5)," "),Ledger!$H$6:$H$2011)</f>
        <v>0</v>
      </c>
      <c r="J8" s="26">
        <f ca="1">SUMIF(Ledger!$P$6:$P$2011,CONCATENATE("Income ",Actual!$B8," ",MONTH(Actual!J$5)," ",YEAR(Actual!J$5)," "),Ledger!$H$6:$H$2011)</f>
        <v>0</v>
      </c>
      <c r="K8" s="26">
        <f ca="1">SUMIF(Ledger!$P$6:$P$2011,CONCATENATE("Income ",Actual!$B8," ",MONTH(Actual!K$5)," ",YEAR(Actual!K$5)," "),Ledger!$H$6:$H$2011)</f>
        <v>0</v>
      </c>
      <c r="L8" s="26">
        <f ca="1">SUMIF(Ledger!$P$6:$P$2011,CONCATENATE("Income ",Actual!$B8," ",MONTH(Actual!L$5)," ",YEAR(Actual!L$5)," "),Ledger!$H$6:$H$2011)</f>
        <v>0</v>
      </c>
      <c r="M8" s="26">
        <f ca="1">SUMIF(Ledger!$P$6:$P$2011,CONCATENATE("Income ",Actual!$B8," ",MONTH(Actual!M$5)," ",YEAR(Actual!M$5)," "),Ledger!$H$6:$H$2011)</f>
        <v>0</v>
      </c>
      <c r="N8" s="26">
        <f ca="1">SUMIF(Ledger!$P$6:$P$2011,CONCATENATE("Income ",Actual!$B8," ",MONTH(Actual!N$5)," ",YEAR(Actual!N$5)," "),Ledger!$H$6:$H$2011)</f>
        <v>0</v>
      </c>
      <c r="O8" s="26">
        <f ca="1">SUMIF(Ledger!$P$6:$P$2011,CONCATENATE("Income ",Actual!$B8," ",MONTH(Actual!O$5)," ",YEAR(Actual!O$5)," "),Ledger!$H$6:$H$2011)</f>
        <v>0</v>
      </c>
      <c r="P8" s="26">
        <f ca="1">SUMIF(Ledger!$P$6:$P$2011,CONCATENATE("Income ",Actual!$B8," ",MONTH(Actual!P$5)," ",YEAR(Actual!P$5)," "),Ledger!$H$6:$H$2011)</f>
        <v>0</v>
      </c>
      <c r="Q8" s="3"/>
      <c r="R8" s="123">
        <f t="shared" si="2"/>
        <v>0</v>
      </c>
      <c r="S8" s="11"/>
      <c r="T8" s="11"/>
    </row>
    <row r="9" spans="1:20" ht="15.75" thickBot="1">
      <c r="A9" s="11"/>
      <c r="B9" s="7">
        <v>4</v>
      </c>
      <c r="C9" s="9" t="str">
        <f ca="1">+Introduction!C14</f>
        <v>Income 4</v>
      </c>
      <c r="D9" s="51"/>
      <c r="E9" s="26">
        <f ca="1">SUMIF(Ledger!$P$6:$P$2011,CONCATENATE("Income ",Actual!$B9," ",MONTH(Actual!E$5)," ",YEAR(Actual!E$5)," "),Ledger!$H$6:$H$2011)</f>
        <v>0</v>
      </c>
      <c r="F9" s="26">
        <f ca="1">SUMIF(Ledger!$P$6:$P$2011,CONCATENATE("Income ",Actual!$B9," ",MONTH(Actual!F$5)," ",YEAR(Actual!F$5)," "),Ledger!$H$6:$H$2011)</f>
        <v>0</v>
      </c>
      <c r="G9" s="26">
        <f ca="1">SUMIF(Ledger!$P$6:$P$2011,CONCATENATE("Income ",Actual!$B9," ",MONTH(Actual!G$5)," ",YEAR(Actual!G$5)," "),Ledger!$H$6:$H$2011)</f>
        <v>0</v>
      </c>
      <c r="H9" s="26">
        <f ca="1">SUMIF(Ledger!$P$6:$P$2011,CONCATENATE("Income ",Actual!$B9," ",MONTH(Actual!H$5)," ",YEAR(Actual!H$5)," "),Ledger!$H$6:$H$2011)</f>
        <v>0</v>
      </c>
      <c r="I9" s="26">
        <f ca="1">SUMIF(Ledger!$P$6:$P$2011,CONCATENATE("Income ",Actual!$B9," ",MONTH(Actual!I$5)," ",YEAR(Actual!I$5)," "),Ledger!$H$6:$H$2011)</f>
        <v>0</v>
      </c>
      <c r="J9" s="26">
        <f ca="1">SUMIF(Ledger!$P$6:$P$2011,CONCATENATE("Income ",Actual!$B9," ",MONTH(Actual!J$5)," ",YEAR(Actual!J$5)," "),Ledger!$H$6:$H$2011)</f>
        <v>0</v>
      </c>
      <c r="K9" s="26">
        <f ca="1">SUMIF(Ledger!$P$6:$P$2011,CONCATENATE("Income ",Actual!$B9," ",MONTH(Actual!K$5)," ",YEAR(Actual!K$5)," "),Ledger!$H$6:$H$2011)</f>
        <v>0</v>
      </c>
      <c r="L9" s="26">
        <f ca="1">SUMIF(Ledger!$P$6:$P$2011,CONCATENATE("Income ",Actual!$B9," ",MONTH(Actual!L$5)," ",YEAR(Actual!L$5)," "),Ledger!$H$6:$H$2011)</f>
        <v>0</v>
      </c>
      <c r="M9" s="26">
        <f ca="1">SUMIF(Ledger!$P$6:$P$2011,CONCATENATE("Income ",Actual!$B9," ",MONTH(Actual!M$5)," ",YEAR(Actual!M$5)," "),Ledger!$H$6:$H$2011)</f>
        <v>0</v>
      </c>
      <c r="N9" s="26">
        <f ca="1">SUMIF(Ledger!$P$6:$P$2011,CONCATENATE("Income ",Actual!$B9," ",MONTH(Actual!N$5)," ",YEAR(Actual!N$5)," "),Ledger!$H$6:$H$2011)</f>
        <v>0</v>
      </c>
      <c r="O9" s="26">
        <f ca="1">SUMIF(Ledger!$P$6:$P$2011,CONCATENATE("Income ",Actual!$B9," ",MONTH(Actual!O$5)," ",YEAR(Actual!O$5)," "),Ledger!$H$6:$H$2011)</f>
        <v>0</v>
      </c>
      <c r="P9" s="26">
        <f ca="1">SUMIF(Ledger!$P$6:$P$2011,CONCATENATE("Income ",Actual!$B9," ",MONTH(Actual!P$5)," ",YEAR(Actual!P$5)," "),Ledger!$H$6:$H$2011)</f>
        <v>0</v>
      </c>
      <c r="Q9" s="3"/>
      <c r="R9" s="123">
        <f t="shared" si="2"/>
        <v>0</v>
      </c>
      <c r="S9" s="11"/>
      <c r="T9" s="11"/>
    </row>
    <row r="10" spans="1:20" ht="15.75" thickBot="1">
      <c r="A10" s="11"/>
      <c r="B10" s="7">
        <v>5</v>
      </c>
      <c r="C10" s="9" t="str">
        <f ca="1">+Introduction!C15</f>
        <v>Income 5</v>
      </c>
      <c r="D10" s="51"/>
      <c r="E10" s="26">
        <f ca="1">SUMIF(Ledger!$P$6:$P$2011,CONCATENATE("Income ",Actual!$B10," ",MONTH(Actual!E$5)," ",YEAR(Actual!E$5)," "),Ledger!$H$6:$H$2011)</f>
        <v>0</v>
      </c>
      <c r="F10" s="26">
        <f ca="1">SUMIF(Ledger!$P$6:$P$2011,CONCATENATE("Income ",Actual!$B10," ",MONTH(Actual!F$5)," ",YEAR(Actual!F$5)," "),Ledger!$H$6:$H$2011)</f>
        <v>0</v>
      </c>
      <c r="G10" s="26">
        <f ca="1">SUMIF(Ledger!$P$6:$P$2011,CONCATENATE("Income ",Actual!$B10," ",MONTH(Actual!G$5)," ",YEAR(Actual!G$5)," "),Ledger!$H$6:$H$2011)</f>
        <v>0</v>
      </c>
      <c r="H10" s="26">
        <f ca="1">SUMIF(Ledger!$P$6:$P$2011,CONCATENATE("Income ",Actual!$B10," ",MONTH(Actual!H$5)," ",YEAR(Actual!H$5)," "),Ledger!$H$6:$H$2011)</f>
        <v>0</v>
      </c>
      <c r="I10" s="26">
        <f ca="1">SUMIF(Ledger!$P$6:$P$2011,CONCATENATE("Income ",Actual!$B10," ",MONTH(Actual!I$5)," ",YEAR(Actual!I$5)," "),Ledger!$H$6:$H$2011)</f>
        <v>0</v>
      </c>
      <c r="J10" s="26">
        <f ca="1">SUMIF(Ledger!$P$6:$P$2011,CONCATENATE("Income ",Actual!$B10," ",MONTH(Actual!J$5)," ",YEAR(Actual!J$5)," "),Ledger!$H$6:$H$2011)</f>
        <v>0</v>
      </c>
      <c r="K10" s="26">
        <f ca="1">SUMIF(Ledger!$P$6:$P$2011,CONCATENATE("Income ",Actual!$B10," ",MONTH(Actual!K$5)," ",YEAR(Actual!K$5)," "),Ledger!$H$6:$H$2011)</f>
        <v>0</v>
      </c>
      <c r="L10" s="26">
        <f ca="1">SUMIF(Ledger!$P$6:$P$2011,CONCATENATE("Income ",Actual!$B10," ",MONTH(Actual!L$5)," ",YEAR(Actual!L$5)," "),Ledger!$H$6:$H$2011)</f>
        <v>0</v>
      </c>
      <c r="M10" s="26">
        <f ca="1">SUMIF(Ledger!$P$6:$P$2011,CONCATENATE("Income ",Actual!$B10," ",MONTH(Actual!M$5)," ",YEAR(Actual!M$5)," "),Ledger!$H$6:$H$2011)</f>
        <v>0</v>
      </c>
      <c r="N10" s="26">
        <f ca="1">SUMIF(Ledger!$P$6:$P$2011,CONCATENATE("Income ",Actual!$B10," ",MONTH(Actual!N$5)," ",YEAR(Actual!N$5)," "),Ledger!$H$6:$H$2011)</f>
        <v>0</v>
      </c>
      <c r="O10" s="26">
        <f ca="1">SUMIF(Ledger!$P$6:$P$2011,CONCATENATE("Income ",Actual!$B10," ",MONTH(Actual!O$5)," ",YEAR(Actual!O$5)," "),Ledger!$H$6:$H$2011)</f>
        <v>0</v>
      </c>
      <c r="P10" s="26">
        <f ca="1">SUMIF(Ledger!$P$6:$P$2011,CONCATENATE("Income ",Actual!$B10," ",MONTH(Actual!P$5)," ",YEAR(Actual!P$5)," "),Ledger!$H$6:$H$2011)</f>
        <v>0</v>
      </c>
      <c r="Q10" s="3"/>
      <c r="R10" s="123">
        <f t="shared" si="2"/>
        <v>0</v>
      </c>
      <c r="S10" s="11"/>
      <c r="T10" s="11"/>
    </row>
    <row r="11" spans="1:20" ht="15.75" thickBot="1">
      <c r="A11" s="11"/>
      <c r="B11" s="7">
        <v>6</v>
      </c>
      <c r="C11" s="9" t="str">
        <f ca="1">+Introduction!C16</f>
        <v>Income 6</v>
      </c>
      <c r="D11" s="51"/>
      <c r="E11" s="26">
        <f ca="1">SUMIF(Ledger!$P$6:$P$2011,CONCATENATE("Income ",Actual!$B11," ",MONTH(Actual!E$5)," ",YEAR(Actual!E$5)," "),Ledger!$H$6:$H$2011)</f>
        <v>0</v>
      </c>
      <c r="F11" s="26">
        <f ca="1">SUMIF(Ledger!$P$6:$P$2011,CONCATENATE("Income ",Actual!$B11," ",MONTH(Actual!F$5)," ",YEAR(Actual!F$5)," "),Ledger!$H$6:$H$2011)</f>
        <v>0</v>
      </c>
      <c r="G11" s="26">
        <f ca="1">SUMIF(Ledger!$P$6:$P$2011,CONCATENATE("Income ",Actual!$B11," ",MONTH(Actual!G$5)," ",YEAR(Actual!G$5)," "),Ledger!$H$6:$H$2011)</f>
        <v>0</v>
      </c>
      <c r="H11" s="26">
        <f ca="1">SUMIF(Ledger!$P$6:$P$2011,CONCATENATE("Income ",Actual!$B11," ",MONTH(Actual!H$5)," ",YEAR(Actual!H$5)," "),Ledger!$H$6:$H$2011)</f>
        <v>0</v>
      </c>
      <c r="I11" s="26">
        <f ca="1">SUMIF(Ledger!$P$6:$P$2011,CONCATENATE("Income ",Actual!$B11," ",MONTH(Actual!I$5)," ",YEAR(Actual!I$5)," "),Ledger!$H$6:$H$2011)</f>
        <v>0</v>
      </c>
      <c r="J11" s="26">
        <f ca="1">SUMIF(Ledger!$P$6:$P$2011,CONCATENATE("Income ",Actual!$B11," ",MONTH(Actual!J$5)," ",YEAR(Actual!J$5)," "),Ledger!$H$6:$H$2011)</f>
        <v>0</v>
      </c>
      <c r="K11" s="26">
        <f ca="1">SUMIF(Ledger!$P$6:$P$2011,CONCATENATE("Income ",Actual!$B11," ",MONTH(Actual!K$5)," ",YEAR(Actual!K$5)," "),Ledger!$H$6:$H$2011)</f>
        <v>0</v>
      </c>
      <c r="L11" s="26">
        <f ca="1">SUMIF(Ledger!$P$6:$P$2011,CONCATENATE("Income ",Actual!$B11," ",MONTH(Actual!L$5)," ",YEAR(Actual!L$5)," "),Ledger!$H$6:$H$2011)</f>
        <v>0</v>
      </c>
      <c r="M11" s="26">
        <f ca="1">SUMIF(Ledger!$P$6:$P$2011,CONCATENATE("Income ",Actual!$B11," ",MONTH(Actual!M$5)," ",YEAR(Actual!M$5)," "),Ledger!$H$6:$H$2011)</f>
        <v>0</v>
      </c>
      <c r="N11" s="26">
        <f ca="1">SUMIF(Ledger!$P$6:$P$2011,CONCATENATE("Income ",Actual!$B11," ",MONTH(Actual!N$5)," ",YEAR(Actual!N$5)," "),Ledger!$H$6:$H$2011)</f>
        <v>0</v>
      </c>
      <c r="O11" s="26">
        <f ca="1">SUMIF(Ledger!$P$6:$P$2011,CONCATENATE("Income ",Actual!$B11," ",MONTH(Actual!O$5)," ",YEAR(Actual!O$5)," "),Ledger!$H$6:$H$2011)</f>
        <v>0</v>
      </c>
      <c r="P11" s="26">
        <f ca="1">SUMIF(Ledger!$P$6:$P$2011,CONCATENATE("Income ",Actual!$B11," ",MONTH(Actual!P$5)," ",YEAR(Actual!P$5)," "),Ledger!$H$6:$H$2011)</f>
        <v>0</v>
      </c>
      <c r="Q11" s="3"/>
      <c r="R11" s="123">
        <f t="shared" si="2"/>
        <v>0</v>
      </c>
      <c r="S11" s="11"/>
      <c r="T11" s="11"/>
    </row>
    <row r="12" spans="1:20" ht="15.75" thickBot="1">
      <c r="A12" s="11"/>
      <c r="B12" s="7">
        <v>7</v>
      </c>
      <c r="C12" s="9" t="str">
        <f ca="1">+Introduction!C17</f>
        <v>Income 7</v>
      </c>
      <c r="D12" s="51"/>
      <c r="E12" s="26">
        <f ca="1">SUMIF(Ledger!$P$6:$P$2011,CONCATENATE("Income ",Actual!$B12," ",MONTH(Actual!E$5)," ",YEAR(Actual!E$5)," "),Ledger!$H$6:$H$2011)</f>
        <v>0</v>
      </c>
      <c r="F12" s="26">
        <f ca="1">SUMIF(Ledger!$P$6:$P$2011,CONCATENATE("Income ",Actual!$B12," ",MONTH(Actual!F$5)," ",YEAR(Actual!F$5)," "),Ledger!$H$6:$H$2011)</f>
        <v>0</v>
      </c>
      <c r="G12" s="26">
        <f ca="1">SUMIF(Ledger!$P$6:$P$2011,CONCATENATE("Income ",Actual!$B12," ",MONTH(Actual!G$5)," ",YEAR(Actual!G$5)," "),Ledger!$H$6:$H$2011)</f>
        <v>0</v>
      </c>
      <c r="H12" s="26">
        <f ca="1">SUMIF(Ledger!$P$6:$P$2011,CONCATENATE("Income ",Actual!$B12," ",MONTH(Actual!H$5)," ",YEAR(Actual!H$5)," "),Ledger!$H$6:$H$2011)</f>
        <v>0</v>
      </c>
      <c r="I12" s="26">
        <f ca="1">SUMIF(Ledger!$P$6:$P$2011,CONCATENATE("Income ",Actual!$B12," ",MONTH(Actual!I$5)," ",YEAR(Actual!I$5)," "),Ledger!$H$6:$H$2011)</f>
        <v>0</v>
      </c>
      <c r="J12" s="26">
        <f ca="1">SUMIF(Ledger!$P$6:$P$2011,CONCATENATE("Income ",Actual!$B12," ",MONTH(Actual!J$5)," ",YEAR(Actual!J$5)," "),Ledger!$H$6:$H$2011)</f>
        <v>0</v>
      </c>
      <c r="K12" s="26">
        <f ca="1">SUMIF(Ledger!$P$6:$P$2011,CONCATENATE("Income ",Actual!$B12," ",MONTH(Actual!K$5)," ",YEAR(Actual!K$5)," "),Ledger!$H$6:$H$2011)</f>
        <v>0</v>
      </c>
      <c r="L12" s="26">
        <f ca="1">SUMIF(Ledger!$P$6:$P$2011,CONCATENATE("Income ",Actual!$B12," ",MONTH(Actual!L$5)," ",YEAR(Actual!L$5)," "),Ledger!$H$6:$H$2011)</f>
        <v>0</v>
      </c>
      <c r="M12" s="26">
        <f ca="1">SUMIF(Ledger!$P$6:$P$2011,CONCATENATE("Income ",Actual!$B12," ",MONTH(Actual!M$5)," ",YEAR(Actual!M$5)," "),Ledger!$H$6:$H$2011)</f>
        <v>0</v>
      </c>
      <c r="N12" s="26">
        <f ca="1">SUMIF(Ledger!$P$6:$P$2011,CONCATENATE("Income ",Actual!$B12," ",MONTH(Actual!N$5)," ",YEAR(Actual!N$5)," "),Ledger!$H$6:$H$2011)</f>
        <v>0</v>
      </c>
      <c r="O12" s="26">
        <f ca="1">SUMIF(Ledger!$P$6:$P$2011,CONCATENATE("Income ",Actual!$B12," ",MONTH(Actual!O$5)," ",YEAR(Actual!O$5)," "),Ledger!$H$6:$H$2011)</f>
        <v>0</v>
      </c>
      <c r="P12" s="26">
        <f ca="1">SUMIF(Ledger!$P$6:$P$2011,CONCATENATE("Income ",Actual!$B12," ",MONTH(Actual!P$5)," ",YEAR(Actual!P$5)," "),Ledger!$H$6:$H$2011)</f>
        <v>0</v>
      </c>
      <c r="Q12" s="3"/>
      <c r="R12" s="123">
        <f t="shared" si="2"/>
        <v>0</v>
      </c>
      <c r="S12" s="11"/>
      <c r="T12" s="11"/>
    </row>
    <row r="13" spans="1:20" ht="15.75" thickBot="1">
      <c r="A13" s="11"/>
      <c r="B13" s="7">
        <v>8</v>
      </c>
      <c r="C13" s="9" t="str">
        <f ca="1">+Introduction!C18</f>
        <v>Income 8</v>
      </c>
      <c r="D13" s="51"/>
      <c r="E13" s="26">
        <f ca="1">SUMIF(Ledger!$P$6:$P$2011,CONCATENATE("Income ",Actual!$B13," ",MONTH(Actual!E$5)," ",YEAR(Actual!E$5)," "),Ledger!$H$6:$H$2011)</f>
        <v>0</v>
      </c>
      <c r="F13" s="26">
        <f ca="1">SUMIF(Ledger!$P$6:$P$2011,CONCATENATE("Income ",Actual!$B13," ",MONTH(Actual!F$5)," ",YEAR(Actual!F$5)," "),Ledger!$H$6:$H$2011)</f>
        <v>0</v>
      </c>
      <c r="G13" s="26">
        <f ca="1">SUMIF(Ledger!$P$6:$P$2011,CONCATENATE("Income ",Actual!$B13," ",MONTH(Actual!G$5)," ",YEAR(Actual!G$5)," "),Ledger!$H$6:$H$2011)</f>
        <v>0</v>
      </c>
      <c r="H13" s="26">
        <f ca="1">SUMIF(Ledger!$P$6:$P$2011,CONCATENATE("Income ",Actual!$B13," ",MONTH(Actual!H$5)," ",YEAR(Actual!H$5)," "),Ledger!$H$6:$H$2011)</f>
        <v>0</v>
      </c>
      <c r="I13" s="26">
        <f ca="1">SUMIF(Ledger!$P$6:$P$2011,CONCATENATE("Income ",Actual!$B13," ",MONTH(Actual!I$5)," ",YEAR(Actual!I$5)," "),Ledger!$H$6:$H$2011)</f>
        <v>0</v>
      </c>
      <c r="J13" s="26">
        <f ca="1">SUMIF(Ledger!$P$6:$P$2011,CONCATENATE("Income ",Actual!$B13," ",MONTH(Actual!J$5)," ",YEAR(Actual!J$5)," "),Ledger!$H$6:$H$2011)</f>
        <v>0</v>
      </c>
      <c r="K13" s="26">
        <f ca="1">SUMIF(Ledger!$P$6:$P$2011,CONCATENATE("Income ",Actual!$B13," ",MONTH(Actual!K$5)," ",YEAR(Actual!K$5)," "),Ledger!$H$6:$H$2011)</f>
        <v>0</v>
      </c>
      <c r="L13" s="26">
        <f ca="1">SUMIF(Ledger!$P$6:$P$2011,CONCATENATE("Income ",Actual!$B13," ",MONTH(Actual!L$5)," ",YEAR(Actual!L$5)," "),Ledger!$H$6:$H$2011)</f>
        <v>0</v>
      </c>
      <c r="M13" s="26">
        <f ca="1">SUMIF(Ledger!$P$6:$P$2011,CONCATENATE("Income ",Actual!$B13," ",MONTH(Actual!M$5)," ",YEAR(Actual!M$5)," "),Ledger!$H$6:$H$2011)</f>
        <v>0</v>
      </c>
      <c r="N13" s="26">
        <f ca="1">SUMIF(Ledger!$P$6:$P$2011,CONCATENATE("Income ",Actual!$B13," ",MONTH(Actual!N$5)," ",YEAR(Actual!N$5)," "),Ledger!$H$6:$H$2011)</f>
        <v>0</v>
      </c>
      <c r="O13" s="26">
        <f ca="1">SUMIF(Ledger!$P$6:$P$2011,CONCATENATE("Income ",Actual!$B13," ",MONTH(Actual!O$5)," ",YEAR(Actual!O$5)," "),Ledger!$H$6:$H$2011)</f>
        <v>0</v>
      </c>
      <c r="P13" s="26">
        <f ca="1">SUMIF(Ledger!$P$6:$P$2011,CONCATENATE("Income ",Actual!$B13," ",MONTH(Actual!P$5)," ",YEAR(Actual!P$5)," "),Ledger!$H$6:$H$2011)</f>
        <v>0</v>
      </c>
      <c r="Q13" s="3"/>
      <c r="R13" s="123">
        <f t="shared" si="2"/>
        <v>0</v>
      </c>
      <c r="S13" s="11"/>
      <c r="T13" s="11"/>
    </row>
    <row r="14" spans="1:20" ht="15.75" thickBot="1">
      <c r="A14" s="11"/>
      <c r="B14" s="137"/>
      <c r="C14" s="139" t="s">
        <v>22</v>
      </c>
      <c r="D14" s="136"/>
      <c r="E14" s="123">
        <f>SUM(E6:E13)</f>
        <v>0</v>
      </c>
      <c r="F14" s="123">
        <f t="shared" ref="F14:R14" si="3">SUM(F6:F13)</f>
        <v>0</v>
      </c>
      <c r="G14" s="123">
        <f t="shared" si="3"/>
        <v>0</v>
      </c>
      <c r="H14" s="123">
        <f t="shared" si="3"/>
        <v>0</v>
      </c>
      <c r="I14" s="123">
        <f t="shared" si="3"/>
        <v>0</v>
      </c>
      <c r="J14" s="123">
        <f t="shared" si="3"/>
        <v>0</v>
      </c>
      <c r="K14" s="123">
        <f t="shared" si="3"/>
        <v>0</v>
      </c>
      <c r="L14" s="123">
        <f t="shared" si="3"/>
        <v>0</v>
      </c>
      <c r="M14" s="123">
        <f t="shared" si="3"/>
        <v>0</v>
      </c>
      <c r="N14" s="123">
        <f t="shared" si="3"/>
        <v>0</v>
      </c>
      <c r="O14" s="123">
        <f t="shared" si="3"/>
        <v>0</v>
      </c>
      <c r="P14" s="123">
        <f t="shared" si="3"/>
        <v>0</v>
      </c>
      <c r="Q14" s="123">
        <f t="shared" si="3"/>
        <v>0</v>
      </c>
      <c r="R14" s="123">
        <f t="shared" si="3"/>
        <v>0</v>
      </c>
      <c r="S14" s="11"/>
      <c r="T14" s="11"/>
    </row>
    <row r="15" spans="1:20" ht="13.5" customHeight="1" thickBot="1">
      <c r="A15" s="11"/>
      <c r="B15" s="12"/>
      <c r="C15" s="11"/>
      <c r="D15" s="11"/>
      <c r="E15" s="13"/>
      <c r="F15" s="13"/>
      <c r="G15" s="13"/>
      <c r="H15" s="13"/>
      <c r="I15" s="13"/>
      <c r="J15" s="13"/>
      <c r="K15" s="13"/>
      <c r="L15" s="13"/>
      <c r="M15" s="13"/>
      <c r="N15" s="13"/>
      <c r="O15" s="13"/>
      <c r="P15" s="13"/>
      <c r="Q15" s="13"/>
      <c r="R15" s="13" t="str">
        <f>IF(SUM(E15:P15)&lt;&gt;0,SUM(E15:P15),"")</f>
        <v/>
      </c>
      <c r="S15" s="11"/>
      <c r="T15" s="11"/>
    </row>
    <row r="16" spans="1:20" ht="30.75" hidden="1" thickBot="1">
      <c r="A16" s="11"/>
      <c r="B16" s="8"/>
      <c r="C16" s="20" t="s">
        <v>45</v>
      </c>
      <c r="D16" s="20"/>
      <c r="E16" s="21" t="str">
        <f>CONCATENATE(MONTH(E17)," ",YEAR(E17), " Expense")</f>
        <v>1 2012 Expense</v>
      </c>
      <c r="F16" s="22" t="str">
        <f t="shared" ref="F16:P16" si="4">CONCATENATE(MONTH(F17)," ",YEAR(F17), " Expense")</f>
        <v>2 2012 Expense</v>
      </c>
      <c r="G16" s="22" t="str">
        <f t="shared" si="4"/>
        <v>3 2012 Expense</v>
      </c>
      <c r="H16" s="22" t="str">
        <f t="shared" si="4"/>
        <v>4 2012 Expense</v>
      </c>
      <c r="I16" s="22" t="str">
        <f t="shared" si="4"/>
        <v>5 2012 Expense</v>
      </c>
      <c r="J16" s="22" t="str">
        <f t="shared" si="4"/>
        <v>6 2012 Expense</v>
      </c>
      <c r="K16" s="22" t="str">
        <f t="shared" si="4"/>
        <v>7 2012 Expense</v>
      </c>
      <c r="L16" s="22" t="str">
        <f t="shared" si="4"/>
        <v>8 2012 Expense</v>
      </c>
      <c r="M16" s="22" t="str">
        <f t="shared" si="4"/>
        <v>9 2012 Expense</v>
      </c>
      <c r="N16" s="22" t="str">
        <f t="shared" si="4"/>
        <v>10 2012 Expense</v>
      </c>
      <c r="O16" s="22" t="str">
        <f t="shared" si="4"/>
        <v>11 2012 Expense</v>
      </c>
      <c r="P16" s="23" t="str">
        <f t="shared" si="4"/>
        <v>12 2012 Expense</v>
      </c>
      <c r="Q16" s="18"/>
      <c r="R16" s="18"/>
      <c r="S16" s="11"/>
      <c r="T16" s="11"/>
    </row>
    <row r="17" spans="1:20" ht="15.75" thickBot="1">
      <c r="A17" s="11"/>
      <c r="B17" s="7"/>
      <c r="C17" s="28" t="s">
        <v>23</v>
      </c>
      <c r="D17" s="51"/>
      <c r="E17" s="29">
        <f>+E5</f>
        <v>40909</v>
      </c>
      <c r="F17" s="29">
        <f t="shared" ref="F17:P17" si="5">+F5</f>
        <v>40940</v>
      </c>
      <c r="G17" s="29">
        <f t="shared" si="5"/>
        <v>40969</v>
      </c>
      <c r="H17" s="29">
        <f t="shared" si="5"/>
        <v>41000</v>
      </c>
      <c r="I17" s="29">
        <f t="shared" si="5"/>
        <v>41030</v>
      </c>
      <c r="J17" s="29">
        <f t="shared" si="5"/>
        <v>41061</v>
      </c>
      <c r="K17" s="29">
        <f t="shared" si="5"/>
        <v>41091</v>
      </c>
      <c r="L17" s="29">
        <f t="shared" si="5"/>
        <v>41122</v>
      </c>
      <c r="M17" s="29">
        <f t="shared" si="5"/>
        <v>41153</v>
      </c>
      <c r="N17" s="29">
        <f t="shared" si="5"/>
        <v>41183</v>
      </c>
      <c r="O17" s="29">
        <f t="shared" si="5"/>
        <v>41214</v>
      </c>
      <c r="P17" s="29">
        <f t="shared" si="5"/>
        <v>41244</v>
      </c>
      <c r="Q17" s="18"/>
      <c r="R17" s="140" t="s">
        <v>12</v>
      </c>
      <c r="S17" s="11"/>
      <c r="T17" s="11"/>
    </row>
    <row r="18" spans="1:20" ht="15.75" thickBot="1">
      <c r="A18" s="11"/>
      <c r="B18" s="7">
        <v>1</v>
      </c>
      <c r="C18" s="9" t="str">
        <f ca="1">+Introduction!F11</f>
        <v>Expense 1</v>
      </c>
      <c r="D18" s="51"/>
      <c r="E18" s="26">
        <f ca="1">-SUMIF(Ledger!$P$6:$P$2011,CONCATENATE("Expense ",Actual!$B18," ",MONTH(Actual!E$5)," ",YEAR(Actual!E$5)," "),Ledger!$H$6:$H$2011)</f>
        <v>0</v>
      </c>
      <c r="F18" s="26">
        <f ca="1">-SUMIF(Ledger!$P$6:$P$2011,CONCATENATE("Expense ",Actual!$B18," ",MONTH(Actual!F$5)," ",YEAR(Actual!F$5)," "),Ledger!$H$6:$H$2011)</f>
        <v>0</v>
      </c>
      <c r="G18" s="26">
        <f ca="1">-SUMIF(Ledger!$P$6:$P$2011,CONCATENATE("Expense ",Actual!$B18," ",MONTH(Actual!G$5)," ",YEAR(Actual!G$5)," "),Ledger!$H$6:$H$2011)</f>
        <v>0</v>
      </c>
      <c r="H18" s="26">
        <f ca="1">-SUMIF(Ledger!$P$6:$P$2011,CONCATENATE("Expense ",Actual!$B18," ",MONTH(Actual!H$5)," ",YEAR(Actual!H$5)," "),Ledger!$H$6:$H$2011)</f>
        <v>0</v>
      </c>
      <c r="I18" s="26">
        <f ca="1">-SUMIF(Ledger!$P$6:$P$2011,CONCATENATE("Expense ",Actual!$B18," ",MONTH(Actual!I$5)," ",YEAR(Actual!I$5)," "),Ledger!$H$6:$H$2011)</f>
        <v>0</v>
      </c>
      <c r="J18" s="26">
        <f ca="1">-SUMIF(Ledger!$P$6:$P$2011,CONCATENATE("Expense ",Actual!$B18," ",MONTH(Actual!J$5)," ",YEAR(Actual!J$5)," "),Ledger!$H$6:$H$2011)</f>
        <v>0</v>
      </c>
      <c r="K18" s="26">
        <f ca="1">-SUMIF(Ledger!$P$6:$P$2011,CONCATENATE("Expense ",Actual!$B18," ",MONTH(Actual!K$5)," ",YEAR(Actual!K$5)," "),Ledger!$H$6:$H$2011)</f>
        <v>0</v>
      </c>
      <c r="L18" s="26">
        <f ca="1">-SUMIF(Ledger!$P$6:$P$2011,CONCATENATE("Expense ",Actual!$B18," ",MONTH(Actual!L$5)," ",YEAR(Actual!L$5)," "),Ledger!$H$6:$H$2011)</f>
        <v>0</v>
      </c>
      <c r="M18" s="26">
        <f ca="1">-SUMIF(Ledger!$P$6:$P$2011,CONCATENATE("Expense ",Actual!$B18," ",MONTH(Actual!M$5)," ",YEAR(Actual!M$5)," "),Ledger!$H$6:$H$2011)</f>
        <v>0</v>
      </c>
      <c r="N18" s="26">
        <f ca="1">-SUMIF(Ledger!$P$6:$P$2011,CONCATENATE("Expense ",Actual!$B18," ",MONTH(Actual!N$5)," ",YEAR(Actual!N$5)," "),Ledger!$H$6:$H$2011)</f>
        <v>0</v>
      </c>
      <c r="O18" s="26">
        <f ca="1">-SUMIF(Ledger!$P$6:$P$2011,CONCATENATE("Expense ",Actual!$B18," ",MONTH(Actual!O$5)," ",YEAR(Actual!O$5)," "),Ledger!$H$6:$H$2011)</f>
        <v>0</v>
      </c>
      <c r="P18" s="26">
        <f ca="1">-SUMIF(Ledger!$P$6:$P$2011,CONCATENATE("Expense ",Actual!$B18," ",MONTH(Actual!P$5)," ",YEAR(Actual!P$5)," "),Ledger!$H$6:$H$2011)</f>
        <v>0</v>
      </c>
      <c r="Q18" s="33"/>
      <c r="R18" s="122">
        <f t="shared" ref="R18:R38" si="6">SUM(E18:P18)</f>
        <v>0</v>
      </c>
      <c r="S18" s="11"/>
      <c r="T18" s="11"/>
    </row>
    <row r="19" spans="1:20" ht="15.75" thickBot="1">
      <c r="A19" s="11"/>
      <c r="B19" s="7">
        <v>2</v>
      </c>
      <c r="C19" s="9" t="str">
        <f ca="1">+Introduction!F12</f>
        <v>Expense 2</v>
      </c>
      <c r="D19" s="51"/>
      <c r="E19" s="26">
        <f ca="1">-SUMIF(Ledger!$P$6:$P$2011,CONCATENATE("Expense ",Actual!$B19," ",MONTH(Actual!E$5)," ",YEAR(Actual!E$5)," "),Ledger!$H$6:$H$2011)</f>
        <v>0</v>
      </c>
      <c r="F19" s="26">
        <f ca="1">-SUMIF(Ledger!$P$6:$P$2011,CONCATENATE("Expense ",Actual!$B19," ",MONTH(Actual!F$5)," ",YEAR(Actual!F$5)," "),Ledger!$H$6:$H$2011)</f>
        <v>0</v>
      </c>
      <c r="G19" s="26">
        <f ca="1">-SUMIF(Ledger!$P$6:$P$2011,CONCATENATE("Expense ",Actual!$B19," ",MONTH(Actual!G$5)," ",YEAR(Actual!G$5)," "),Ledger!$H$6:$H$2011)</f>
        <v>0</v>
      </c>
      <c r="H19" s="26">
        <f ca="1">-SUMIF(Ledger!$P$6:$P$2011,CONCATENATE("Expense ",Actual!$B19," ",MONTH(Actual!H$5)," ",YEAR(Actual!H$5)," "),Ledger!$H$6:$H$2011)</f>
        <v>0</v>
      </c>
      <c r="I19" s="26">
        <f ca="1">-SUMIF(Ledger!$P$6:$P$2011,CONCATENATE("Expense ",Actual!$B19," ",MONTH(Actual!I$5)," ",YEAR(Actual!I$5)," "),Ledger!$H$6:$H$2011)</f>
        <v>0</v>
      </c>
      <c r="J19" s="26">
        <f ca="1">-SUMIF(Ledger!$P$6:$P$2011,CONCATENATE("Expense ",Actual!$B19," ",MONTH(Actual!J$5)," ",YEAR(Actual!J$5)," "),Ledger!$H$6:$H$2011)</f>
        <v>0</v>
      </c>
      <c r="K19" s="26">
        <f ca="1">-SUMIF(Ledger!$P$6:$P$2011,CONCATENATE("Expense ",Actual!$B19," ",MONTH(Actual!K$5)," ",YEAR(Actual!K$5)," "),Ledger!$H$6:$H$2011)</f>
        <v>0</v>
      </c>
      <c r="L19" s="26">
        <f ca="1">-SUMIF(Ledger!$P$6:$P$2011,CONCATENATE("Expense ",Actual!$B19," ",MONTH(Actual!L$5)," ",YEAR(Actual!L$5)," "),Ledger!$H$6:$H$2011)</f>
        <v>0</v>
      </c>
      <c r="M19" s="26">
        <f ca="1">-SUMIF(Ledger!$P$6:$P$2011,CONCATENATE("Expense ",Actual!$B19," ",MONTH(Actual!M$5)," ",YEAR(Actual!M$5)," "),Ledger!$H$6:$H$2011)</f>
        <v>0</v>
      </c>
      <c r="N19" s="26">
        <f ca="1">-SUMIF(Ledger!$P$6:$P$2011,CONCATENATE("Expense ",Actual!$B19," ",MONTH(Actual!N$5)," ",YEAR(Actual!N$5)," "),Ledger!$H$6:$H$2011)</f>
        <v>0</v>
      </c>
      <c r="O19" s="26">
        <f ca="1">-SUMIF(Ledger!$P$6:$P$2011,CONCATENATE("Expense ",Actual!$B19," ",MONTH(Actual!O$5)," ",YEAR(Actual!O$5)," "),Ledger!$H$6:$H$2011)</f>
        <v>0</v>
      </c>
      <c r="P19" s="26">
        <f ca="1">-SUMIF(Ledger!$P$6:$P$2011,CONCATENATE("Expense ",Actual!$B19," ",MONTH(Actual!P$5)," ",YEAR(Actual!P$5)," "),Ledger!$H$6:$H$2011)</f>
        <v>0</v>
      </c>
      <c r="Q19" s="33"/>
      <c r="R19" s="122">
        <f t="shared" si="6"/>
        <v>0</v>
      </c>
      <c r="S19" s="11"/>
      <c r="T19" s="11"/>
    </row>
    <row r="20" spans="1:20" ht="15.75" thickBot="1">
      <c r="A20" s="11"/>
      <c r="B20" s="7">
        <v>3</v>
      </c>
      <c r="C20" s="9" t="str">
        <f ca="1">+Introduction!F13</f>
        <v>Expense 3</v>
      </c>
      <c r="D20" s="51"/>
      <c r="E20" s="26">
        <f ca="1">-SUMIF(Ledger!$P$6:$P$2011,CONCATENATE("Expense ",Actual!$B20," ",MONTH(Actual!E$5)," ",YEAR(Actual!E$5)," "),Ledger!$H$6:$H$2011)</f>
        <v>0</v>
      </c>
      <c r="F20" s="26">
        <f ca="1">-SUMIF(Ledger!$P$6:$P$2011,CONCATENATE("Expense ",Actual!$B20," ",MONTH(Actual!F$5)," ",YEAR(Actual!F$5)," "),Ledger!$H$6:$H$2011)</f>
        <v>0</v>
      </c>
      <c r="G20" s="26">
        <f ca="1">-SUMIF(Ledger!$P$6:$P$2011,CONCATENATE("Expense ",Actual!$B20," ",MONTH(Actual!G$5)," ",YEAR(Actual!G$5)," "),Ledger!$H$6:$H$2011)</f>
        <v>0</v>
      </c>
      <c r="H20" s="26">
        <f ca="1">-SUMIF(Ledger!$P$6:$P$2011,CONCATENATE("Expense ",Actual!$B20," ",MONTH(Actual!H$5)," ",YEAR(Actual!H$5)," "),Ledger!$H$6:$H$2011)</f>
        <v>0</v>
      </c>
      <c r="I20" s="26">
        <f ca="1">-SUMIF(Ledger!$P$6:$P$2011,CONCATENATE("Expense ",Actual!$B20," ",MONTH(Actual!I$5)," ",YEAR(Actual!I$5)," "),Ledger!$H$6:$H$2011)</f>
        <v>0</v>
      </c>
      <c r="J20" s="26">
        <f ca="1">-SUMIF(Ledger!$P$6:$P$2011,CONCATENATE("Expense ",Actual!$B20," ",MONTH(Actual!J$5)," ",YEAR(Actual!J$5)," "),Ledger!$H$6:$H$2011)</f>
        <v>0</v>
      </c>
      <c r="K20" s="26">
        <f ca="1">-SUMIF(Ledger!$P$6:$P$2011,CONCATENATE("Expense ",Actual!$B20," ",MONTH(Actual!K$5)," ",YEAR(Actual!K$5)," "),Ledger!$H$6:$H$2011)</f>
        <v>0</v>
      </c>
      <c r="L20" s="26">
        <f ca="1">-SUMIF(Ledger!$P$6:$P$2011,CONCATENATE("Expense ",Actual!$B20," ",MONTH(Actual!L$5)," ",YEAR(Actual!L$5)," "),Ledger!$H$6:$H$2011)</f>
        <v>0</v>
      </c>
      <c r="M20" s="26">
        <f ca="1">-SUMIF(Ledger!$P$6:$P$2011,CONCATENATE("Expense ",Actual!$B20," ",MONTH(Actual!M$5)," ",YEAR(Actual!M$5)," "),Ledger!$H$6:$H$2011)</f>
        <v>0</v>
      </c>
      <c r="N20" s="26">
        <f ca="1">-SUMIF(Ledger!$P$6:$P$2011,CONCATENATE("Expense ",Actual!$B20," ",MONTH(Actual!N$5)," ",YEAR(Actual!N$5)," "),Ledger!$H$6:$H$2011)</f>
        <v>0</v>
      </c>
      <c r="O20" s="26">
        <f ca="1">-SUMIF(Ledger!$P$6:$P$2011,CONCATENATE("Expense ",Actual!$B20," ",MONTH(Actual!O$5)," ",YEAR(Actual!O$5)," "),Ledger!$H$6:$H$2011)</f>
        <v>0</v>
      </c>
      <c r="P20" s="26">
        <f ca="1">-SUMIF(Ledger!$P$6:$P$2011,CONCATENATE("Expense ",Actual!$B20," ",MONTH(Actual!P$5)," ",YEAR(Actual!P$5)," "),Ledger!$H$6:$H$2011)</f>
        <v>0</v>
      </c>
      <c r="Q20" s="33"/>
      <c r="R20" s="122">
        <f t="shared" si="6"/>
        <v>0</v>
      </c>
      <c r="S20" s="11"/>
      <c r="T20" s="11"/>
    </row>
    <row r="21" spans="1:20" ht="15.75" thickBot="1">
      <c r="A21" s="11"/>
      <c r="B21" s="7">
        <v>4</v>
      </c>
      <c r="C21" s="9" t="str">
        <f ca="1">+Introduction!F14</f>
        <v>Expense 4</v>
      </c>
      <c r="D21" s="51"/>
      <c r="E21" s="26">
        <f ca="1">-SUMIF(Ledger!$P$6:$P$2011,CONCATENATE("Expense ",Actual!$B21," ",MONTH(Actual!E$5)," ",YEAR(Actual!E$5)," "),Ledger!$H$6:$H$2011)</f>
        <v>0</v>
      </c>
      <c r="F21" s="26">
        <f ca="1">-SUMIF(Ledger!$P$6:$P$2011,CONCATENATE("Expense ",Actual!$B21," ",MONTH(Actual!F$5)," ",YEAR(Actual!F$5)," "),Ledger!$H$6:$H$2011)</f>
        <v>0</v>
      </c>
      <c r="G21" s="26">
        <f ca="1">-SUMIF(Ledger!$P$6:$P$2011,CONCATENATE("Expense ",Actual!$B21," ",MONTH(Actual!G$5)," ",YEAR(Actual!G$5)," "),Ledger!$H$6:$H$2011)</f>
        <v>0</v>
      </c>
      <c r="H21" s="26">
        <f ca="1">-SUMIF(Ledger!$P$6:$P$2011,CONCATENATE("Expense ",Actual!$B21," ",MONTH(Actual!H$5)," ",YEAR(Actual!H$5)," "),Ledger!$H$6:$H$2011)</f>
        <v>0</v>
      </c>
      <c r="I21" s="26">
        <f ca="1">-SUMIF(Ledger!$P$6:$P$2011,CONCATENATE("Expense ",Actual!$B21," ",MONTH(Actual!I$5)," ",YEAR(Actual!I$5)," "),Ledger!$H$6:$H$2011)</f>
        <v>0</v>
      </c>
      <c r="J21" s="26">
        <f ca="1">-SUMIF(Ledger!$P$6:$P$2011,CONCATENATE("Expense ",Actual!$B21," ",MONTH(Actual!J$5)," ",YEAR(Actual!J$5)," "),Ledger!$H$6:$H$2011)</f>
        <v>0</v>
      </c>
      <c r="K21" s="26">
        <f ca="1">-SUMIF(Ledger!$P$6:$P$2011,CONCATENATE("Expense ",Actual!$B21," ",MONTH(Actual!K$5)," ",YEAR(Actual!K$5)," "),Ledger!$H$6:$H$2011)</f>
        <v>0</v>
      </c>
      <c r="L21" s="26">
        <f ca="1">-SUMIF(Ledger!$P$6:$P$2011,CONCATENATE("Expense ",Actual!$B21," ",MONTH(Actual!L$5)," ",YEAR(Actual!L$5)," "),Ledger!$H$6:$H$2011)</f>
        <v>0</v>
      </c>
      <c r="M21" s="26">
        <f ca="1">-SUMIF(Ledger!$P$6:$P$2011,CONCATENATE("Expense ",Actual!$B21," ",MONTH(Actual!M$5)," ",YEAR(Actual!M$5)," "),Ledger!$H$6:$H$2011)</f>
        <v>0</v>
      </c>
      <c r="N21" s="26">
        <f ca="1">-SUMIF(Ledger!$P$6:$P$2011,CONCATENATE("Expense ",Actual!$B21," ",MONTH(Actual!N$5)," ",YEAR(Actual!N$5)," "),Ledger!$H$6:$H$2011)</f>
        <v>0</v>
      </c>
      <c r="O21" s="26">
        <f ca="1">-SUMIF(Ledger!$P$6:$P$2011,CONCATENATE("Expense ",Actual!$B21," ",MONTH(Actual!O$5)," ",YEAR(Actual!O$5)," "),Ledger!$H$6:$H$2011)</f>
        <v>0</v>
      </c>
      <c r="P21" s="26">
        <f ca="1">-SUMIF(Ledger!$P$6:$P$2011,CONCATENATE("Expense ",Actual!$B21," ",MONTH(Actual!P$5)," ",YEAR(Actual!P$5)," "),Ledger!$H$6:$H$2011)</f>
        <v>0</v>
      </c>
      <c r="Q21" s="33"/>
      <c r="R21" s="122">
        <f t="shared" si="6"/>
        <v>0</v>
      </c>
      <c r="S21" s="11"/>
      <c r="T21" s="11"/>
    </row>
    <row r="22" spans="1:20" ht="15.75" thickBot="1">
      <c r="A22" s="11"/>
      <c r="B22" s="7">
        <v>5</v>
      </c>
      <c r="C22" s="9" t="str">
        <f ca="1">+Introduction!F15</f>
        <v>Expense 5</v>
      </c>
      <c r="D22" s="51"/>
      <c r="E22" s="26">
        <f ca="1">-SUMIF(Ledger!$P$6:$P$2011,CONCATENATE("Expense ",Actual!$B22," ",MONTH(Actual!E$5)," ",YEAR(Actual!E$5)," "),Ledger!$H$6:$H$2011)</f>
        <v>0</v>
      </c>
      <c r="F22" s="26">
        <f ca="1">-SUMIF(Ledger!$P$6:$P$2011,CONCATENATE("Expense ",Actual!$B22," ",MONTH(Actual!F$5)," ",YEAR(Actual!F$5)," "),Ledger!$H$6:$H$2011)</f>
        <v>0</v>
      </c>
      <c r="G22" s="26">
        <f ca="1">-SUMIF(Ledger!$P$6:$P$2011,CONCATENATE("Expense ",Actual!$B22," ",MONTH(Actual!G$5)," ",YEAR(Actual!G$5)," "),Ledger!$H$6:$H$2011)</f>
        <v>0</v>
      </c>
      <c r="H22" s="26">
        <f ca="1">-SUMIF(Ledger!$P$6:$P$2011,CONCATENATE("Expense ",Actual!$B22," ",MONTH(Actual!H$5)," ",YEAR(Actual!H$5)," "),Ledger!$H$6:$H$2011)</f>
        <v>0</v>
      </c>
      <c r="I22" s="26">
        <f ca="1">-SUMIF(Ledger!$P$6:$P$2011,CONCATENATE("Expense ",Actual!$B22," ",MONTH(Actual!I$5)," ",YEAR(Actual!I$5)," "),Ledger!$H$6:$H$2011)</f>
        <v>0</v>
      </c>
      <c r="J22" s="26">
        <f ca="1">-SUMIF(Ledger!$P$6:$P$2011,CONCATENATE("Expense ",Actual!$B22," ",MONTH(Actual!J$5)," ",YEAR(Actual!J$5)," "),Ledger!$H$6:$H$2011)</f>
        <v>0</v>
      </c>
      <c r="K22" s="26">
        <f ca="1">-SUMIF(Ledger!$P$6:$P$2011,CONCATENATE("Expense ",Actual!$B22," ",MONTH(Actual!K$5)," ",YEAR(Actual!K$5)," "),Ledger!$H$6:$H$2011)</f>
        <v>0</v>
      </c>
      <c r="L22" s="26">
        <f ca="1">-SUMIF(Ledger!$P$6:$P$2011,CONCATENATE("Expense ",Actual!$B22," ",MONTH(Actual!L$5)," ",YEAR(Actual!L$5)," "),Ledger!$H$6:$H$2011)</f>
        <v>0</v>
      </c>
      <c r="M22" s="26">
        <f ca="1">-SUMIF(Ledger!$P$6:$P$2011,CONCATENATE("Expense ",Actual!$B22," ",MONTH(Actual!M$5)," ",YEAR(Actual!M$5)," "),Ledger!$H$6:$H$2011)</f>
        <v>0</v>
      </c>
      <c r="N22" s="26">
        <f ca="1">-SUMIF(Ledger!$P$6:$P$2011,CONCATENATE("Expense ",Actual!$B22," ",MONTH(Actual!N$5)," ",YEAR(Actual!N$5)," "),Ledger!$H$6:$H$2011)</f>
        <v>0</v>
      </c>
      <c r="O22" s="26">
        <f ca="1">-SUMIF(Ledger!$P$6:$P$2011,CONCATENATE("Expense ",Actual!$B22," ",MONTH(Actual!O$5)," ",YEAR(Actual!O$5)," "),Ledger!$H$6:$H$2011)</f>
        <v>0</v>
      </c>
      <c r="P22" s="26">
        <f ca="1">-SUMIF(Ledger!$P$6:$P$2011,CONCATENATE("Expense ",Actual!$B22," ",MONTH(Actual!P$5)," ",YEAR(Actual!P$5)," "),Ledger!$H$6:$H$2011)</f>
        <v>0</v>
      </c>
      <c r="Q22" s="33"/>
      <c r="R22" s="122">
        <f t="shared" si="6"/>
        <v>0</v>
      </c>
      <c r="S22" s="11"/>
      <c r="T22" s="11"/>
    </row>
    <row r="23" spans="1:20" ht="15.75" thickBot="1">
      <c r="A23" s="11"/>
      <c r="B23" s="7">
        <v>6</v>
      </c>
      <c r="C23" s="9" t="str">
        <f ca="1">+Introduction!F16</f>
        <v>Expense 6</v>
      </c>
      <c r="D23" s="51"/>
      <c r="E23" s="26">
        <f ca="1">-SUMIF(Ledger!$P$6:$P$2011,CONCATENATE("Expense ",Actual!$B23," ",MONTH(Actual!E$5)," ",YEAR(Actual!E$5)," "),Ledger!$H$6:$H$2011)</f>
        <v>0</v>
      </c>
      <c r="F23" s="26">
        <f ca="1">-SUMIF(Ledger!$P$6:$P$2011,CONCATENATE("Expense ",Actual!$B23," ",MONTH(Actual!F$5)," ",YEAR(Actual!F$5)," "),Ledger!$H$6:$H$2011)</f>
        <v>0</v>
      </c>
      <c r="G23" s="26">
        <f ca="1">-SUMIF(Ledger!$P$6:$P$2011,CONCATENATE("Expense ",Actual!$B23," ",MONTH(Actual!G$5)," ",YEAR(Actual!G$5)," "),Ledger!$H$6:$H$2011)</f>
        <v>0</v>
      </c>
      <c r="H23" s="26">
        <f ca="1">-SUMIF(Ledger!$P$6:$P$2011,CONCATENATE("Expense ",Actual!$B23," ",MONTH(Actual!H$5)," ",YEAR(Actual!H$5)," "),Ledger!$H$6:$H$2011)</f>
        <v>0</v>
      </c>
      <c r="I23" s="26">
        <f ca="1">-SUMIF(Ledger!$P$6:$P$2011,CONCATENATE("Expense ",Actual!$B23," ",MONTH(Actual!I$5)," ",YEAR(Actual!I$5)," "),Ledger!$H$6:$H$2011)</f>
        <v>0</v>
      </c>
      <c r="J23" s="26">
        <f ca="1">-SUMIF(Ledger!$P$6:$P$2011,CONCATENATE("Expense ",Actual!$B23," ",MONTH(Actual!J$5)," ",YEAR(Actual!J$5)," "),Ledger!$H$6:$H$2011)</f>
        <v>0</v>
      </c>
      <c r="K23" s="26">
        <f ca="1">-SUMIF(Ledger!$P$6:$P$2011,CONCATENATE("Expense ",Actual!$B23," ",MONTH(Actual!K$5)," ",YEAR(Actual!K$5)," "),Ledger!$H$6:$H$2011)</f>
        <v>0</v>
      </c>
      <c r="L23" s="26">
        <f ca="1">-SUMIF(Ledger!$P$6:$P$2011,CONCATENATE("Expense ",Actual!$B23," ",MONTH(Actual!L$5)," ",YEAR(Actual!L$5)," "),Ledger!$H$6:$H$2011)</f>
        <v>0</v>
      </c>
      <c r="M23" s="26">
        <f ca="1">-SUMIF(Ledger!$P$6:$P$2011,CONCATENATE("Expense ",Actual!$B23," ",MONTH(Actual!M$5)," ",YEAR(Actual!M$5)," "),Ledger!$H$6:$H$2011)</f>
        <v>0</v>
      </c>
      <c r="N23" s="26">
        <f ca="1">-SUMIF(Ledger!$P$6:$P$2011,CONCATENATE("Expense ",Actual!$B23," ",MONTH(Actual!N$5)," ",YEAR(Actual!N$5)," "),Ledger!$H$6:$H$2011)</f>
        <v>0</v>
      </c>
      <c r="O23" s="26">
        <f ca="1">-SUMIF(Ledger!$P$6:$P$2011,CONCATENATE("Expense ",Actual!$B23," ",MONTH(Actual!O$5)," ",YEAR(Actual!O$5)," "),Ledger!$H$6:$H$2011)</f>
        <v>0</v>
      </c>
      <c r="P23" s="26">
        <f ca="1">-SUMIF(Ledger!$P$6:$P$2011,CONCATENATE("Expense ",Actual!$B23," ",MONTH(Actual!P$5)," ",YEAR(Actual!P$5)," "),Ledger!$H$6:$H$2011)</f>
        <v>0</v>
      </c>
      <c r="Q23" s="33"/>
      <c r="R23" s="122">
        <f t="shared" si="6"/>
        <v>0</v>
      </c>
      <c r="S23" s="11"/>
      <c r="T23" s="11"/>
    </row>
    <row r="24" spans="1:20" ht="15.75" thickBot="1">
      <c r="A24" s="11"/>
      <c r="B24" s="7">
        <v>7</v>
      </c>
      <c r="C24" s="9" t="str">
        <f ca="1">+Introduction!F17</f>
        <v>Expense 7</v>
      </c>
      <c r="D24" s="51"/>
      <c r="E24" s="26">
        <f ca="1">-SUMIF(Ledger!$P$6:$P$2011,CONCATENATE("Expense ",Actual!$B24," ",MONTH(Actual!E$5)," ",YEAR(Actual!E$5)," "),Ledger!$H$6:$H$2011)</f>
        <v>0</v>
      </c>
      <c r="F24" s="26">
        <f ca="1">-SUMIF(Ledger!$P$6:$P$2011,CONCATENATE("Expense ",Actual!$B24," ",MONTH(Actual!F$5)," ",YEAR(Actual!F$5)," "),Ledger!$H$6:$H$2011)</f>
        <v>0</v>
      </c>
      <c r="G24" s="26">
        <f ca="1">-SUMIF(Ledger!$P$6:$P$2011,CONCATENATE("Expense ",Actual!$B24," ",MONTH(Actual!G$5)," ",YEAR(Actual!G$5)," "),Ledger!$H$6:$H$2011)</f>
        <v>0</v>
      </c>
      <c r="H24" s="26">
        <f ca="1">-SUMIF(Ledger!$P$6:$P$2011,CONCATENATE("Expense ",Actual!$B24," ",MONTH(Actual!H$5)," ",YEAR(Actual!H$5)," "),Ledger!$H$6:$H$2011)</f>
        <v>0</v>
      </c>
      <c r="I24" s="26">
        <f ca="1">-SUMIF(Ledger!$P$6:$P$2011,CONCATENATE("Expense ",Actual!$B24," ",MONTH(Actual!I$5)," ",YEAR(Actual!I$5)," "),Ledger!$H$6:$H$2011)</f>
        <v>0</v>
      </c>
      <c r="J24" s="26">
        <f ca="1">-SUMIF(Ledger!$P$6:$P$2011,CONCATENATE("Expense ",Actual!$B24," ",MONTH(Actual!J$5)," ",YEAR(Actual!J$5)," "),Ledger!$H$6:$H$2011)</f>
        <v>0</v>
      </c>
      <c r="K24" s="26">
        <f ca="1">-SUMIF(Ledger!$P$6:$P$2011,CONCATENATE("Expense ",Actual!$B24," ",MONTH(Actual!K$5)," ",YEAR(Actual!K$5)," "),Ledger!$H$6:$H$2011)</f>
        <v>0</v>
      </c>
      <c r="L24" s="26">
        <f ca="1">-SUMIF(Ledger!$P$6:$P$2011,CONCATENATE("Expense ",Actual!$B24," ",MONTH(Actual!L$5)," ",YEAR(Actual!L$5)," "),Ledger!$H$6:$H$2011)</f>
        <v>0</v>
      </c>
      <c r="M24" s="26">
        <f ca="1">-SUMIF(Ledger!$P$6:$P$2011,CONCATENATE("Expense ",Actual!$B24," ",MONTH(Actual!M$5)," ",YEAR(Actual!M$5)," "),Ledger!$H$6:$H$2011)</f>
        <v>0</v>
      </c>
      <c r="N24" s="26">
        <f ca="1">-SUMIF(Ledger!$P$6:$P$2011,CONCATENATE("Expense ",Actual!$B24," ",MONTH(Actual!N$5)," ",YEAR(Actual!N$5)," "),Ledger!$H$6:$H$2011)</f>
        <v>0</v>
      </c>
      <c r="O24" s="26">
        <f ca="1">-SUMIF(Ledger!$P$6:$P$2011,CONCATENATE("Expense ",Actual!$B24," ",MONTH(Actual!O$5)," ",YEAR(Actual!O$5)," "),Ledger!$H$6:$H$2011)</f>
        <v>0</v>
      </c>
      <c r="P24" s="26">
        <f ca="1">-SUMIF(Ledger!$P$6:$P$2011,CONCATENATE("Expense ",Actual!$B24," ",MONTH(Actual!P$5)," ",YEAR(Actual!P$5)," "),Ledger!$H$6:$H$2011)</f>
        <v>0</v>
      </c>
      <c r="Q24" s="33"/>
      <c r="R24" s="122">
        <f t="shared" si="6"/>
        <v>0</v>
      </c>
      <c r="S24" s="11"/>
      <c r="T24" s="11"/>
    </row>
    <row r="25" spans="1:20" ht="15.75" thickBot="1">
      <c r="A25" s="11"/>
      <c r="B25" s="7">
        <v>8</v>
      </c>
      <c r="C25" s="9" t="str">
        <f ca="1">+Introduction!F18</f>
        <v>Expense 8</v>
      </c>
      <c r="D25" s="51"/>
      <c r="E25" s="26">
        <f ca="1">-SUMIF(Ledger!$P$6:$P$2011,CONCATENATE("Expense ",Actual!$B25," ",MONTH(Actual!E$5)," ",YEAR(Actual!E$5)," "),Ledger!$H$6:$H$2011)</f>
        <v>0</v>
      </c>
      <c r="F25" s="26">
        <f ca="1">-SUMIF(Ledger!$P$6:$P$2011,CONCATENATE("Expense ",Actual!$B25," ",MONTH(Actual!F$5)," ",YEAR(Actual!F$5)," "),Ledger!$H$6:$H$2011)</f>
        <v>0</v>
      </c>
      <c r="G25" s="26">
        <f ca="1">-SUMIF(Ledger!$P$6:$P$2011,CONCATENATE("Expense ",Actual!$B25," ",MONTH(Actual!G$5)," ",YEAR(Actual!G$5)," "),Ledger!$H$6:$H$2011)</f>
        <v>0</v>
      </c>
      <c r="H25" s="26">
        <f ca="1">-SUMIF(Ledger!$P$6:$P$2011,CONCATENATE("Expense ",Actual!$B25," ",MONTH(Actual!H$5)," ",YEAR(Actual!H$5)," "),Ledger!$H$6:$H$2011)</f>
        <v>0</v>
      </c>
      <c r="I25" s="26">
        <f ca="1">-SUMIF(Ledger!$P$6:$P$2011,CONCATENATE("Expense ",Actual!$B25," ",MONTH(Actual!I$5)," ",YEAR(Actual!I$5)," "),Ledger!$H$6:$H$2011)</f>
        <v>0</v>
      </c>
      <c r="J25" s="26">
        <f ca="1">-SUMIF(Ledger!$P$6:$P$2011,CONCATENATE("Expense ",Actual!$B25," ",MONTH(Actual!J$5)," ",YEAR(Actual!J$5)," "),Ledger!$H$6:$H$2011)</f>
        <v>0</v>
      </c>
      <c r="K25" s="26">
        <f ca="1">-SUMIF(Ledger!$P$6:$P$2011,CONCATENATE("Expense ",Actual!$B25," ",MONTH(Actual!K$5)," ",YEAR(Actual!K$5)," "),Ledger!$H$6:$H$2011)</f>
        <v>0</v>
      </c>
      <c r="L25" s="26">
        <f ca="1">-SUMIF(Ledger!$P$6:$P$2011,CONCATENATE("Expense ",Actual!$B25," ",MONTH(Actual!L$5)," ",YEAR(Actual!L$5)," "),Ledger!$H$6:$H$2011)</f>
        <v>0</v>
      </c>
      <c r="M25" s="26">
        <f ca="1">-SUMIF(Ledger!$P$6:$P$2011,CONCATENATE("Expense ",Actual!$B25," ",MONTH(Actual!M$5)," ",YEAR(Actual!M$5)," "),Ledger!$H$6:$H$2011)</f>
        <v>0</v>
      </c>
      <c r="N25" s="26">
        <f ca="1">-SUMIF(Ledger!$P$6:$P$2011,CONCATENATE("Expense ",Actual!$B25," ",MONTH(Actual!N$5)," ",YEAR(Actual!N$5)," "),Ledger!$H$6:$H$2011)</f>
        <v>0</v>
      </c>
      <c r="O25" s="26">
        <f ca="1">-SUMIF(Ledger!$P$6:$P$2011,CONCATENATE("Expense ",Actual!$B25," ",MONTH(Actual!O$5)," ",YEAR(Actual!O$5)," "),Ledger!$H$6:$H$2011)</f>
        <v>0</v>
      </c>
      <c r="P25" s="26">
        <f ca="1">-SUMIF(Ledger!$P$6:$P$2011,CONCATENATE("Expense ",Actual!$B25," ",MONTH(Actual!P$5)," ",YEAR(Actual!P$5)," "),Ledger!$H$6:$H$2011)</f>
        <v>0</v>
      </c>
      <c r="Q25" s="33"/>
      <c r="R25" s="122">
        <f t="shared" si="6"/>
        <v>0</v>
      </c>
      <c r="S25" s="11"/>
      <c r="T25" s="11"/>
    </row>
    <row r="26" spans="1:20" ht="15.75" thickBot="1">
      <c r="A26" s="11"/>
      <c r="B26" s="7">
        <v>9</v>
      </c>
      <c r="C26" s="9" t="str">
        <f ca="1">+Introduction!F19</f>
        <v>Expense 9</v>
      </c>
      <c r="D26" s="51"/>
      <c r="E26" s="26">
        <f ca="1">-SUMIF(Ledger!$P$6:$P$2011,CONCATENATE("Expense ",Actual!$B26," ",MONTH(Actual!E$5)," ",YEAR(Actual!E$5)," "),Ledger!$H$6:$H$2011)</f>
        <v>0</v>
      </c>
      <c r="F26" s="26">
        <f ca="1">-SUMIF(Ledger!$P$6:$P$2011,CONCATENATE("Expense ",Actual!$B26," ",MONTH(Actual!F$5)," ",YEAR(Actual!F$5)," "),Ledger!$H$6:$H$2011)</f>
        <v>0</v>
      </c>
      <c r="G26" s="26">
        <f ca="1">-SUMIF(Ledger!$P$6:$P$2011,CONCATENATE("Expense ",Actual!$B26," ",MONTH(Actual!G$5)," ",YEAR(Actual!G$5)," "),Ledger!$H$6:$H$2011)</f>
        <v>0</v>
      </c>
      <c r="H26" s="26">
        <f ca="1">-SUMIF(Ledger!$P$6:$P$2011,CONCATENATE("Expense ",Actual!$B26," ",MONTH(Actual!H$5)," ",YEAR(Actual!H$5)," "),Ledger!$H$6:$H$2011)</f>
        <v>0</v>
      </c>
      <c r="I26" s="26">
        <f ca="1">-SUMIF(Ledger!$P$6:$P$2011,CONCATENATE("Expense ",Actual!$B26," ",MONTH(Actual!I$5)," ",YEAR(Actual!I$5)," "),Ledger!$H$6:$H$2011)</f>
        <v>0</v>
      </c>
      <c r="J26" s="26">
        <f ca="1">-SUMIF(Ledger!$P$6:$P$2011,CONCATENATE("Expense ",Actual!$B26," ",MONTH(Actual!J$5)," ",YEAR(Actual!J$5)," "),Ledger!$H$6:$H$2011)</f>
        <v>0</v>
      </c>
      <c r="K26" s="26">
        <f ca="1">-SUMIF(Ledger!$P$6:$P$2011,CONCATENATE("Expense ",Actual!$B26," ",MONTH(Actual!K$5)," ",YEAR(Actual!K$5)," "),Ledger!$H$6:$H$2011)</f>
        <v>0</v>
      </c>
      <c r="L26" s="26">
        <f ca="1">-SUMIF(Ledger!$P$6:$P$2011,CONCATENATE("Expense ",Actual!$B26," ",MONTH(Actual!L$5)," ",YEAR(Actual!L$5)," "),Ledger!$H$6:$H$2011)</f>
        <v>0</v>
      </c>
      <c r="M26" s="26">
        <f ca="1">-SUMIF(Ledger!$P$6:$P$2011,CONCATENATE("Expense ",Actual!$B26," ",MONTH(Actual!M$5)," ",YEAR(Actual!M$5)," "),Ledger!$H$6:$H$2011)</f>
        <v>0</v>
      </c>
      <c r="N26" s="26">
        <f ca="1">-SUMIF(Ledger!$P$6:$P$2011,CONCATENATE("Expense ",Actual!$B26," ",MONTH(Actual!N$5)," ",YEAR(Actual!N$5)," "),Ledger!$H$6:$H$2011)</f>
        <v>0</v>
      </c>
      <c r="O26" s="26">
        <f ca="1">-SUMIF(Ledger!$P$6:$P$2011,CONCATENATE("Expense ",Actual!$B26," ",MONTH(Actual!O$5)," ",YEAR(Actual!O$5)," "),Ledger!$H$6:$H$2011)</f>
        <v>0</v>
      </c>
      <c r="P26" s="26">
        <f ca="1">-SUMIF(Ledger!$P$6:$P$2011,CONCATENATE("Expense ",Actual!$B26," ",MONTH(Actual!P$5)," ",YEAR(Actual!P$5)," "),Ledger!$H$6:$H$2011)</f>
        <v>0</v>
      </c>
      <c r="Q26" s="33"/>
      <c r="R26" s="122">
        <f t="shared" si="6"/>
        <v>0</v>
      </c>
      <c r="S26" s="11"/>
      <c r="T26" s="11"/>
    </row>
    <row r="27" spans="1:20" ht="15.75" thickBot="1">
      <c r="A27" s="11"/>
      <c r="B27" s="7">
        <v>10</v>
      </c>
      <c r="C27" s="9" t="str">
        <f ca="1">+Introduction!F20</f>
        <v>Expense 10</v>
      </c>
      <c r="D27" s="51"/>
      <c r="E27" s="26">
        <f ca="1">-SUMIF(Ledger!$P$6:$P$2011,CONCATENATE("Expense ",Actual!$B27," ",MONTH(Actual!E$5)," ",YEAR(Actual!E$5)," "),Ledger!$H$6:$H$2011)</f>
        <v>0</v>
      </c>
      <c r="F27" s="26">
        <f ca="1">-SUMIF(Ledger!$P$6:$P$2011,CONCATENATE("Expense ",Actual!$B27," ",MONTH(Actual!F$5)," ",YEAR(Actual!F$5)," "),Ledger!$H$6:$H$2011)</f>
        <v>0</v>
      </c>
      <c r="G27" s="26">
        <f ca="1">-SUMIF(Ledger!$P$6:$P$2011,CONCATENATE("Expense ",Actual!$B27," ",MONTH(Actual!G$5)," ",YEAR(Actual!G$5)," "),Ledger!$H$6:$H$2011)</f>
        <v>0</v>
      </c>
      <c r="H27" s="26">
        <f ca="1">-SUMIF(Ledger!$P$6:$P$2011,CONCATENATE("Expense ",Actual!$B27," ",MONTH(Actual!H$5)," ",YEAR(Actual!H$5)," "),Ledger!$H$6:$H$2011)</f>
        <v>0</v>
      </c>
      <c r="I27" s="26">
        <f ca="1">-SUMIF(Ledger!$P$6:$P$2011,CONCATENATE("Expense ",Actual!$B27," ",MONTH(Actual!I$5)," ",YEAR(Actual!I$5)," "),Ledger!$H$6:$H$2011)</f>
        <v>0</v>
      </c>
      <c r="J27" s="26">
        <f ca="1">-SUMIF(Ledger!$P$6:$P$2011,CONCATENATE("Expense ",Actual!$B27," ",MONTH(Actual!J$5)," ",YEAR(Actual!J$5)," "),Ledger!$H$6:$H$2011)</f>
        <v>0</v>
      </c>
      <c r="K27" s="26">
        <f ca="1">-SUMIF(Ledger!$P$6:$P$2011,CONCATENATE("Expense ",Actual!$B27," ",MONTH(Actual!K$5)," ",YEAR(Actual!K$5)," "),Ledger!$H$6:$H$2011)</f>
        <v>0</v>
      </c>
      <c r="L27" s="26">
        <f ca="1">-SUMIF(Ledger!$P$6:$P$2011,CONCATENATE("Expense ",Actual!$B27," ",MONTH(Actual!L$5)," ",YEAR(Actual!L$5)," "),Ledger!$H$6:$H$2011)</f>
        <v>0</v>
      </c>
      <c r="M27" s="26">
        <f ca="1">-SUMIF(Ledger!$P$6:$P$2011,CONCATENATE("Expense ",Actual!$B27," ",MONTH(Actual!M$5)," ",YEAR(Actual!M$5)," "),Ledger!$H$6:$H$2011)</f>
        <v>0</v>
      </c>
      <c r="N27" s="26">
        <f ca="1">-SUMIF(Ledger!$P$6:$P$2011,CONCATENATE("Expense ",Actual!$B27," ",MONTH(Actual!N$5)," ",YEAR(Actual!N$5)," "),Ledger!$H$6:$H$2011)</f>
        <v>0</v>
      </c>
      <c r="O27" s="26">
        <f ca="1">-SUMIF(Ledger!$P$6:$P$2011,CONCATENATE("Expense ",Actual!$B27," ",MONTH(Actual!O$5)," ",YEAR(Actual!O$5)," "),Ledger!$H$6:$H$2011)</f>
        <v>0</v>
      </c>
      <c r="P27" s="26">
        <f ca="1">-SUMIF(Ledger!$P$6:$P$2011,CONCATENATE("Expense ",Actual!$B27," ",MONTH(Actual!P$5)," ",YEAR(Actual!P$5)," "),Ledger!$H$6:$H$2011)</f>
        <v>0</v>
      </c>
      <c r="Q27" s="33"/>
      <c r="R27" s="122">
        <f t="shared" si="6"/>
        <v>0</v>
      </c>
      <c r="S27" s="11"/>
      <c r="T27" s="11"/>
    </row>
    <row r="28" spans="1:20" ht="15.75" thickBot="1">
      <c r="A28" s="11"/>
      <c r="B28" s="7">
        <v>11</v>
      </c>
      <c r="C28" s="9" t="str">
        <f ca="1">+Introduction!F21</f>
        <v>Expense 11</v>
      </c>
      <c r="D28" s="51"/>
      <c r="E28" s="26">
        <f ca="1">-SUMIF(Ledger!$P$6:$P$2011,CONCATENATE("Expense ",Actual!$B28," ",MONTH(Actual!E$5)," ",YEAR(Actual!E$5)," "),Ledger!$H$6:$H$2011)</f>
        <v>0</v>
      </c>
      <c r="F28" s="26">
        <f ca="1">-SUMIF(Ledger!$P$6:$P$2011,CONCATENATE("Expense ",Actual!$B28," ",MONTH(Actual!F$5)," ",YEAR(Actual!F$5)," "),Ledger!$H$6:$H$2011)</f>
        <v>0</v>
      </c>
      <c r="G28" s="26">
        <f ca="1">-SUMIF(Ledger!$P$6:$P$2011,CONCATENATE("Expense ",Actual!$B28," ",MONTH(Actual!G$5)," ",YEAR(Actual!G$5)," "),Ledger!$H$6:$H$2011)</f>
        <v>0</v>
      </c>
      <c r="H28" s="26">
        <f ca="1">-SUMIF(Ledger!$P$6:$P$2011,CONCATENATE("Expense ",Actual!$B28," ",MONTH(Actual!H$5)," ",YEAR(Actual!H$5)," "),Ledger!$H$6:$H$2011)</f>
        <v>0</v>
      </c>
      <c r="I28" s="26">
        <f ca="1">-SUMIF(Ledger!$P$6:$P$2011,CONCATENATE("Expense ",Actual!$B28," ",MONTH(Actual!I$5)," ",YEAR(Actual!I$5)," "),Ledger!$H$6:$H$2011)</f>
        <v>0</v>
      </c>
      <c r="J28" s="26">
        <f ca="1">-SUMIF(Ledger!$P$6:$P$2011,CONCATENATE("Expense ",Actual!$B28," ",MONTH(Actual!J$5)," ",YEAR(Actual!J$5)," "),Ledger!$H$6:$H$2011)</f>
        <v>0</v>
      </c>
      <c r="K28" s="26">
        <f ca="1">-SUMIF(Ledger!$P$6:$P$2011,CONCATENATE("Expense ",Actual!$B28," ",MONTH(Actual!K$5)," ",YEAR(Actual!K$5)," "),Ledger!$H$6:$H$2011)</f>
        <v>0</v>
      </c>
      <c r="L28" s="26">
        <f ca="1">-SUMIF(Ledger!$P$6:$P$2011,CONCATENATE("Expense ",Actual!$B28," ",MONTH(Actual!L$5)," ",YEAR(Actual!L$5)," "),Ledger!$H$6:$H$2011)</f>
        <v>0</v>
      </c>
      <c r="M28" s="26">
        <f ca="1">-SUMIF(Ledger!$P$6:$P$2011,CONCATENATE("Expense ",Actual!$B28," ",MONTH(Actual!M$5)," ",YEAR(Actual!M$5)," "),Ledger!$H$6:$H$2011)</f>
        <v>0</v>
      </c>
      <c r="N28" s="26">
        <f ca="1">-SUMIF(Ledger!$P$6:$P$2011,CONCATENATE("Expense ",Actual!$B28," ",MONTH(Actual!N$5)," ",YEAR(Actual!N$5)," "),Ledger!$H$6:$H$2011)</f>
        <v>0</v>
      </c>
      <c r="O28" s="26">
        <f ca="1">-SUMIF(Ledger!$P$6:$P$2011,CONCATENATE("Expense ",Actual!$B28," ",MONTH(Actual!O$5)," ",YEAR(Actual!O$5)," "),Ledger!$H$6:$H$2011)</f>
        <v>0</v>
      </c>
      <c r="P28" s="26">
        <f ca="1">-SUMIF(Ledger!$P$6:$P$2011,CONCATENATE("Expense ",Actual!$B28," ",MONTH(Actual!P$5)," ",YEAR(Actual!P$5)," "),Ledger!$H$6:$H$2011)</f>
        <v>0</v>
      </c>
      <c r="Q28" s="33"/>
      <c r="R28" s="122">
        <f t="shared" si="6"/>
        <v>0</v>
      </c>
      <c r="S28" s="11"/>
      <c r="T28" s="11"/>
    </row>
    <row r="29" spans="1:20" ht="15.75" thickBot="1">
      <c r="A29" s="11"/>
      <c r="B29" s="7">
        <v>12</v>
      </c>
      <c r="C29" s="9" t="str">
        <f ca="1">+Introduction!F22</f>
        <v>Expense 12</v>
      </c>
      <c r="D29" s="51"/>
      <c r="E29" s="26">
        <f ca="1">-SUMIF(Ledger!$P$6:$P$2011,CONCATENATE("Expense ",Actual!$B29," ",MONTH(Actual!E$5)," ",YEAR(Actual!E$5)," "),Ledger!$H$6:$H$2011)</f>
        <v>0</v>
      </c>
      <c r="F29" s="26">
        <f ca="1">-SUMIF(Ledger!$P$6:$P$2011,CONCATENATE("Expense ",Actual!$B29," ",MONTH(Actual!F$5)," ",YEAR(Actual!F$5)," "),Ledger!$H$6:$H$2011)</f>
        <v>0</v>
      </c>
      <c r="G29" s="26">
        <f ca="1">-SUMIF(Ledger!$P$6:$P$2011,CONCATENATE("Expense ",Actual!$B29," ",MONTH(Actual!G$5)," ",YEAR(Actual!G$5)," "),Ledger!$H$6:$H$2011)</f>
        <v>0</v>
      </c>
      <c r="H29" s="26">
        <f ca="1">-SUMIF(Ledger!$P$6:$P$2011,CONCATENATE("Expense ",Actual!$B29," ",MONTH(Actual!H$5)," ",YEAR(Actual!H$5)," "),Ledger!$H$6:$H$2011)</f>
        <v>0</v>
      </c>
      <c r="I29" s="26">
        <f ca="1">-SUMIF(Ledger!$P$6:$P$2011,CONCATENATE("Expense ",Actual!$B29," ",MONTH(Actual!I$5)," ",YEAR(Actual!I$5)," "),Ledger!$H$6:$H$2011)</f>
        <v>0</v>
      </c>
      <c r="J29" s="26">
        <f ca="1">-SUMIF(Ledger!$P$6:$P$2011,CONCATENATE("Expense ",Actual!$B29," ",MONTH(Actual!J$5)," ",YEAR(Actual!J$5)," "),Ledger!$H$6:$H$2011)</f>
        <v>0</v>
      </c>
      <c r="K29" s="26">
        <f ca="1">-SUMIF(Ledger!$P$6:$P$2011,CONCATENATE("Expense ",Actual!$B29," ",MONTH(Actual!K$5)," ",YEAR(Actual!K$5)," "),Ledger!$H$6:$H$2011)</f>
        <v>0</v>
      </c>
      <c r="L29" s="26">
        <f ca="1">-SUMIF(Ledger!$P$6:$P$2011,CONCATENATE("Expense ",Actual!$B29," ",MONTH(Actual!L$5)," ",YEAR(Actual!L$5)," "),Ledger!$H$6:$H$2011)</f>
        <v>0</v>
      </c>
      <c r="M29" s="26">
        <f ca="1">-SUMIF(Ledger!$P$6:$P$2011,CONCATENATE("Expense ",Actual!$B29," ",MONTH(Actual!M$5)," ",YEAR(Actual!M$5)," "),Ledger!$H$6:$H$2011)</f>
        <v>0</v>
      </c>
      <c r="N29" s="26">
        <f ca="1">-SUMIF(Ledger!$P$6:$P$2011,CONCATENATE("Expense ",Actual!$B29," ",MONTH(Actual!N$5)," ",YEAR(Actual!N$5)," "),Ledger!$H$6:$H$2011)</f>
        <v>0</v>
      </c>
      <c r="O29" s="26">
        <f ca="1">-SUMIF(Ledger!$P$6:$P$2011,CONCATENATE("Expense ",Actual!$B29," ",MONTH(Actual!O$5)," ",YEAR(Actual!O$5)," "),Ledger!$H$6:$H$2011)</f>
        <v>0</v>
      </c>
      <c r="P29" s="26">
        <f ca="1">-SUMIF(Ledger!$P$6:$P$2011,CONCATENATE("Expense ",Actual!$B29," ",MONTH(Actual!P$5)," ",YEAR(Actual!P$5)," "),Ledger!$H$6:$H$2011)</f>
        <v>0</v>
      </c>
      <c r="Q29" s="33"/>
      <c r="R29" s="122">
        <f t="shared" si="6"/>
        <v>0</v>
      </c>
      <c r="S29" s="11"/>
      <c r="T29" s="11"/>
    </row>
    <row r="30" spans="1:20" ht="15.75" thickBot="1">
      <c r="A30" s="11"/>
      <c r="B30" s="7">
        <v>13</v>
      </c>
      <c r="C30" s="9" t="str">
        <f ca="1">+Introduction!F23</f>
        <v>Expense 13</v>
      </c>
      <c r="D30" s="51"/>
      <c r="E30" s="26">
        <f ca="1">-SUMIF(Ledger!$P$6:$P$2011,CONCATENATE("Expense ",Actual!$B30," ",MONTH(Actual!E$5)," ",YEAR(Actual!E$5)," "),Ledger!$H$6:$H$2011)</f>
        <v>0</v>
      </c>
      <c r="F30" s="26">
        <f ca="1">-SUMIF(Ledger!$P$6:$P$2011,CONCATENATE("Expense ",Actual!$B30," ",MONTH(Actual!F$5)," ",YEAR(Actual!F$5)," "),Ledger!$H$6:$H$2011)</f>
        <v>0</v>
      </c>
      <c r="G30" s="26">
        <f ca="1">-SUMIF(Ledger!$P$6:$P$2011,CONCATENATE("Expense ",Actual!$B30," ",MONTH(Actual!G$5)," ",YEAR(Actual!G$5)," "),Ledger!$H$6:$H$2011)</f>
        <v>0</v>
      </c>
      <c r="H30" s="26">
        <f ca="1">-SUMIF(Ledger!$P$6:$P$2011,CONCATENATE("Expense ",Actual!$B30," ",MONTH(Actual!H$5)," ",YEAR(Actual!H$5)," "),Ledger!$H$6:$H$2011)</f>
        <v>0</v>
      </c>
      <c r="I30" s="26">
        <f ca="1">-SUMIF(Ledger!$P$6:$P$2011,CONCATENATE("Expense ",Actual!$B30," ",MONTH(Actual!I$5)," ",YEAR(Actual!I$5)," "),Ledger!$H$6:$H$2011)</f>
        <v>0</v>
      </c>
      <c r="J30" s="26">
        <f ca="1">-SUMIF(Ledger!$P$6:$P$2011,CONCATENATE("Expense ",Actual!$B30," ",MONTH(Actual!J$5)," ",YEAR(Actual!J$5)," "),Ledger!$H$6:$H$2011)</f>
        <v>0</v>
      </c>
      <c r="K30" s="26">
        <f ca="1">-SUMIF(Ledger!$P$6:$P$2011,CONCATENATE("Expense ",Actual!$B30," ",MONTH(Actual!K$5)," ",YEAR(Actual!K$5)," "),Ledger!$H$6:$H$2011)</f>
        <v>0</v>
      </c>
      <c r="L30" s="26">
        <f ca="1">-SUMIF(Ledger!$P$6:$P$2011,CONCATENATE("Expense ",Actual!$B30," ",MONTH(Actual!L$5)," ",YEAR(Actual!L$5)," "),Ledger!$H$6:$H$2011)</f>
        <v>0</v>
      </c>
      <c r="M30" s="26">
        <f ca="1">-SUMIF(Ledger!$P$6:$P$2011,CONCATENATE("Expense ",Actual!$B30," ",MONTH(Actual!M$5)," ",YEAR(Actual!M$5)," "),Ledger!$H$6:$H$2011)</f>
        <v>0</v>
      </c>
      <c r="N30" s="26">
        <f ca="1">-SUMIF(Ledger!$P$6:$P$2011,CONCATENATE("Expense ",Actual!$B30," ",MONTH(Actual!N$5)," ",YEAR(Actual!N$5)," "),Ledger!$H$6:$H$2011)</f>
        <v>0</v>
      </c>
      <c r="O30" s="26">
        <f ca="1">-SUMIF(Ledger!$P$6:$P$2011,CONCATENATE("Expense ",Actual!$B30," ",MONTH(Actual!O$5)," ",YEAR(Actual!O$5)," "),Ledger!$H$6:$H$2011)</f>
        <v>0</v>
      </c>
      <c r="P30" s="26">
        <f ca="1">-SUMIF(Ledger!$P$6:$P$2011,CONCATENATE("Expense ",Actual!$B30," ",MONTH(Actual!P$5)," ",YEAR(Actual!P$5)," "),Ledger!$H$6:$H$2011)</f>
        <v>0</v>
      </c>
      <c r="Q30" s="33"/>
      <c r="R30" s="122">
        <f t="shared" si="6"/>
        <v>0</v>
      </c>
      <c r="S30" s="11"/>
      <c r="T30" s="11"/>
    </row>
    <row r="31" spans="1:20" ht="15.75" thickBot="1">
      <c r="A31" s="11"/>
      <c r="B31" s="7">
        <v>14</v>
      </c>
      <c r="C31" s="9" t="str">
        <f ca="1">+Introduction!F24</f>
        <v>Expense 14</v>
      </c>
      <c r="D31" s="51"/>
      <c r="E31" s="26">
        <f ca="1">-SUMIF(Ledger!$P$6:$P$2011,CONCATENATE("Expense ",Actual!$B31," ",MONTH(Actual!E$5)," ",YEAR(Actual!E$5)," "),Ledger!$H$6:$H$2011)</f>
        <v>0</v>
      </c>
      <c r="F31" s="26">
        <f ca="1">-SUMIF(Ledger!$P$6:$P$2011,CONCATENATE("Expense ",Actual!$B31," ",MONTH(Actual!F$5)," ",YEAR(Actual!F$5)," "),Ledger!$H$6:$H$2011)</f>
        <v>0</v>
      </c>
      <c r="G31" s="26">
        <f ca="1">-SUMIF(Ledger!$P$6:$P$2011,CONCATENATE("Expense ",Actual!$B31," ",MONTH(Actual!G$5)," ",YEAR(Actual!G$5)," "),Ledger!$H$6:$H$2011)</f>
        <v>0</v>
      </c>
      <c r="H31" s="26">
        <f ca="1">-SUMIF(Ledger!$P$6:$P$2011,CONCATENATE("Expense ",Actual!$B31," ",MONTH(Actual!H$5)," ",YEAR(Actual!H$5)," "),Ledger!$H$6:$H$2011)</f>
        <v>0</v>
      </c>
      <c r="I31" s="26">
        <f ca="1">-SUMIF(Ledger!$P$6:$P$2011,CONCATENATE("Expense ",Actual!$B31," ",MONTH(Actual!I$5)," ",YEAR(Actual!I$5)," "),Ledger!$H$6:$H$2011)</f>
        <v>0</v>
      </c>
      <c r="J31" s="26">
        <f ca="1">-SUMIF(Ledger!$P$6:$P$2011,CONCATENATE("Expense ",Actual!$B31," ",MONTH(Actual!J$5)," ",YEAR(Actual!J$5)," "),Ledger!$H$6:$H$2011)</f>
        <v>0</v>
      </c>
      <c r="K31" s="26">
        <f ca="1">-SUMIF(Ledger!$P$6:$P$2011,CONCATENATE("Expense ",Actual!$B31," ",MONTH(Actual!K$5)," ",YEAR(Actual!K$5)," "),Ledger!$H$6:$H$2011)</f>
        <v>0</v>
      </c>
      <c r="L31" s="26">
        <f ca="1">-SUMIF(Ledger!$P$6:$P$2011,CONCATENATE("Expense ",Actual!$B31," ",MONTH(Actual!L$5)," ",YEAR(Actual!L$5)," "),Ledger!$H$6:$H$2011)</f>
        <v>0</v>
      </c>
      <c r="M31" s="26">
        <f ca="1">-SUMIF(Ledger!$P$6:$P$2011,CONCATENATE("Expense ",Actual!$B31," ",MONTH(Actual!M$5)," ",YEAR(Actual!M$5)," "),Ledger!$H$6:$H$2011)</f>
        <v>0</v>
      </c>
      <c r="N31" s="26">
        <f ca="1">-SUMIF(Ledger!$P$6:$P$2011,CONCATENATE("Expense ",Actual!$B31," ",MONTH(Actual!N$5)," ",YEAR(Actual!N$5)," "),Ledger!$H$6:$H$2011)</f>
        <v>0</v>
      </c>
      <c r="O31" s="26">
        <f ca="1">-SUMIF(Ledger!$P$6:$P$2011,CONCATENATE("Expense ",Actual!$B31," ",MONTH(Actual!O$5)," ",YEAR(Actual!O$5)," "),Ledger!$H$6:$H$2011)</f>
        <v>0</v>
      </c>
      <c r="P31" s="26">
        <f ca="1">-SUMIF(Ledger!$P$6:$P$2011,CONCATENATE("Expense ",Actual!$B31," ",MONTH(Actual!P$5)," ",YEAR(Actual!P$5)," "),Ledger!$H$6:$H$2011)</f>
        <v>0</v>
      </c>
      <c r="Q31" s="33"/>
      <c r="R31" s="122">
        <f t="shared" si="6"/>
        <v>0</v>
      </c>
      <c r="S31" s="11"/>
      <c r="T31" s="11"/>
    </row>
    <row r="32" spans="1:20" ht="15.75" thickBot="1">
      <c r="A32" s="11"/>
      <c r="B32" s="7">
        <v>15</v>
      </c>
      <c r="C32" s="9" t="str">
        <f ca="1">+Introduction!F25</f>
        <v>Expense 15</v>
      </c>
      <c r="D32" s="51"/>
      <c r="E32" s="26">
        <f ca="1">-SUMIF(Ledger!$P$6:$P$2011,CONCATENATE("Expense ",Actual!$B32," ",MONTH(Actual!E$5)," ",YEAR(Actual!E$5)," "),Ledger!$H$6:$H$2011)</f>
        <v>0</v>
      </c>
      <c r="F32" s="26">
        <f ca="1">-SUMIF(Ledger!$P$6:$P$2011,CONCATENATE("Expense ",Actual!$B32," ",MONTH(Actual!F$5)," ",YEAR(Actual!F$5)," "),Ledger!$H$6:$H$2011)</f>
        <v>0</v>
      </c>
      <c r="G32" s="26">
        <f ca="1">-SUMIF(Ledger!$P$6:$P$2011,CONCATENATE("Expense ",Actual!$B32," ",MONTH(Actual!G$5)," ",YEAR(Actual!G$5)," "),Ledger!$H$6:$H$2011)</f>
        <v>0</v>
      </c>
      <c r="H32" s="26">
        <f ca="1">-SUMIF(Ledger!$P$6:$P$2011,CONCATENATE("Expense ",Actual!$B32," ",MONTH(Actual!H$5)," ",YEAR(Actual!H$5)," "),Ledger!$H$6:$H$2011)</f>
        <v>0</v>
      </c>
      <c r="I32" s="26">
        <f ca="1">-SUMIF(Ledger!$P$6:$P$2011,CONCATENATE("Expense ",Actual!$B32," ",MONTH(Actual!I$5)," ",YEAR(Actual!I$5)," "),Ledger!$H$6:$H$2011)</f>
        <v>0</v>
      </c>
      <c r="J32" s="26">
        <f ca="1">-SUMIF(Ledger!$P$6:$P$2011,CONCATENATE("Expense ",Actual!$B32," ",MONTH(Actual!J$5)," ",YEAR(Actual!J$5)," "),Ledger!$H$6:$H$2011)</f>
        <v>0</v>
      </c>
      <c r="K32" s="26">
        <f ca="1">-SUMIF(Ledger!$P$6:$P$2011,CONCATENATE("Expense ",Actual!$B32," ",MONTH(Actual!K$5)," ",YEAR(Actual!K$5)," "),Ledger!$H$6:$H$2011)</f>
        <v>0</v>
      </c>
      <c r="L32" s="26">
        <f ca="1">-SUMIF(Ledger!$P$6:$P$2011,CONCATENATE("Expense ",Actual!$B32," ",MONTH(Actual!L$5)," ",YEAR(Actual!L$5)," "),Ledger!$H$6:$H$2011)</f>
        <v>0</v>
      </c>
      <c r="M32" s="26">
        <f ca="1">-SUMIF(Ledger!$P$6:$P$2011,CONCATENATE("Expense ",Actual!$B32," ",MONTH(Actual!M$5)," ",YEAR(Actual!M$5)," "),Ledger!$H$6:$H$2011)</f>
        <v>0</v>
      </c>
      <c r="N32" s="26">
        <f ca="1">-SUMIF(Ledger!$P$6:$P$2011,CONCATENATE("Expense ",Actual!$B32," ",MONTH(Actual!N$5)," ",YEAR(Actual!N$5)," "),Ledger!$H$6:$H$2011)</f>
        <v>0</v>
      </c>
      <c r="O32" s="26">
        <f ca="1">-SUMIF(Ledger!$P$6:$P$2011,CONCATENATE("Expense ",Actual!$B32," ",MONTH(Actual!O$5)," ",YEAR(Actual!O$5)," "),Ledger!$H$6:$H$2011)</f>
        <v>0</v>
      </c>
      <c r="P32" s="26">
        <f ca="1">-SUMIF(Ledger!$P$6:$P$2011,CONCATENATE("Expense ",Actual!$B32," ",MONTH(Actual!P$5)," ",YEAR(Actual!P$5)," "),Ledger!$H$6:$H$2011)</f>
        <v>0</v>
      </c>
      <c r="Q32" s="33"/>
      <c r="R32" s="122">
        <f t="shared" si="6"/>
        <v>0</v>
      </c>
      <c r="S32" s="11"/>
      <c r="T32" s="11"/>
    </row>
    <row r="33" spans="1:20" ht="15.75" thickBot="1">
      <c r="A33" s="11"/>
      <c r="B33" s="7">
        <v>16</v>
      </c>
      <c r="C33" s="9" t="str">
        <f ca="1">+Introduction!F26</f>
        <v>Expense 16</v>
      </c>
      <c r="D33" s="51"/>
      <c r="E33" s="26">
        <f ca="1">-SUMIF(Ledger!$P$6:$P$2011,CONCATENATE("Expense ",Actual!$B33," ",MONTH(Actual!E$5)," ",YEAR(Actual!E$5)," "),Ledger!$H$6:$H$2011)</f>
        <v>0</v>
      </c>
      <c r="F33" s="26">
        <f ca="1">-SUMIF(Ledger!$P$6:$P$2011,CONCATENATE("Expense ",Actual!$B33," ",MONTH(Actual!F$5)," ",YEAR(Actual!F$5)," "),Ledger!$H$6:$H$2011)</f>
        <v>0</v>
      </c>
      <c r="G33" s="26">
        <f ca="1">-SUMIF(Ledger!$P$6:$P$2011,CONCATENATE("Expense ",Actual!$B33," ",MONTH(Actual!G$5)," ",YEAR(Actual!G$5)," "),Ledger!$H$6:$H$2011)</f>
        <v>0</v>
      </c>
      <c r="H33" s="26">
        <f ca="1">-SUMIF(Ledger!$P$6:$P$2011,CONCATENATE("Expense ",Actual!$B33," ",MONTH(Actual!H$5)," ",YEAR(Actual!H$5)," "),Ledger!$H$6:$H$2011)</f>
        <v>0</v>
      </c>
      <c r="I33" s="26">
        <f ca="1">-SUMIF(Ledger!$P$6:$P$2011,CONCATENATE("Expense ",Actual!$B33," ",MONTH(Actual!I$5)," ",YEAR(Actual!I$5)," "),Ledger!$H$6:$H$2011)</f>
        <v>0</v>
      </c>
      <c r="J33" s="26">
        <f ca="1">-SUMIF(Ledger!$P$6:$P$2011,CONCATENATE("Expense ",Actual!$B33," ",MONTH(Actual!J$5)," ",YEAR(Actual!J$5)," "),Ledger!$H$6:$H$2011)</f>
        <v>0</v>
      </c>
      <c r="K33" s="26">
        <f ca="1">-SUMIF(Ledger!$P$6:$P$2011,CONCATENATE("Expense ",Actual!$B33," ",MONTH(Actual!K$5)," ",YEAR(Actual!K$5)," "),Ledger!$H$6:$H$2011)</f>
        <v>0</v>
      </c>
      <c r="L33" s="26">
        <f ca="1">-SUMIF(Ledger!$P$6:$P$2011,CONCATENATE("Expense ",Actual!$B33," ",MONTH(Actual!L$5)," ",YEAR(Actual!L$5)," "),Ledger!$H$6:$H$2011)</f>
        <v>0</v>
      </c>
      <c r="M33" s="26">
        <f ca="1">-SUMIF(Ledger!$P$6:$P$2011,CONCATENATE("Expense ",Actual!$B33," ",MONTH(Actual!M$5)," ",YEAR(Actual!M$5)," "),Ledger!$H$6:$H$2011)</f>
        <v>0</v>
      </c>
      <c r="N33" s="26">
        <f ca="1">-SUMIF(Ledger!$P$6:$P$2011,CONCATENATE("Expense ",Actual!$B33," ",MONTH(Actual!N$5)," ",YEAR(Actual!N$5)," "),Ledger!$H$6:$H$2011)</f>
        <v>0</v>
      </c>
      <c r="O33" s="26">
        <f ca="1">-SUMIF(Ledger!$P$6:$P$2011,CONCATENATE("Expense ",Actual!$B33," ",MONTH(Actual!O$5)," ",YEAR(Actual!O$5)," "),Ledger!$H$6:$H$2011)</f>
        <v>0</v>
      </c>
      <c r="P33" s="26">
        <f ca="1">-SUMIF(Ledger!$P$6:$P$2011,CONCATENATE("Expense ",Actual!$B33," ",MONTH(Actual!P$5)," ",YEAR(Actual!P$5)," "),Ledger!$H$6:$H$2011)</f>
        <v>0</v>
      </c>
      <c r="Q33" s="33"/>
      <c r="R33" s="122">
        <f t="shared" si="6"/>
        <v>0</v>
      </c>
      <c r="S33" s="11"/>
      <c r="T33" s="11"/>
    </row>
    <row r="34" spans="1:20" ht="15.75" thickBot="1">
      <c r="A34" s="11"/>
      <c r="B34" s="7">
        <v>17</v>
      </c>
      <c r="C34" s="9" t="str">
        <f ca="1">+Introduction!F27</f>
        <v>Expense 17</v>
      </c>
      <c r="D34" s="51"/>
      <c r="E34" s="26">
        <f ca="1">-SUMIF(Ledger!$P$6:$P$2011,CONCATENATE("Expense ",Actual!$B34," ",MONTH(Actual!E$5)," ",YEAR(Actual!E$5)," "),Ledger!$H$6:$H$2011)</f>
        <v>0</v>
      </c>
      <c r="F34" s="26">
        <f ca="1">-SUMIF(Ledger!$P$6:$P$2011,CONCATENATE("Expense ",Actual!$B34," ",MONTH(Actual!F$5)," ",YEAR(Actual!F$5)," "),Ledger!$H$6:$H$2011)</f>
        <v>0</v>
      </c>
      <c r="G34" s="26">
        <f ca="1">-SUMIF(Ledger!$P$6:$P$2011,CONCATENATE("Expense ",Actual!$B34," ",MONTH(Actual!G$5)," ",YEAR(Actual!G$5)," "),Ledger!$H$6:$H$2011)</f>
        <v>0</v>
      </c>
      <c r="H34" s="26">
        <f ca="1">-SUMIF(Ledger!$P$6:$P$2011,CONCATENATE("Expense ",Actual!$B34," ",MONTH(Actual!H$5)," ",YEAR(Actual!H$5)," "),Ledger!$H$6:$H$2011)</f>
        <v>0</v>
      </c>
      <c r="I34" s="26">
        <f ca="1">-SUMIF(Ledger!$P$6:$P$2011,CONCATENATE("Expense ",Actual!$B34," ",MONTH(Actual!I$5)," ",YEAR(Actual!I$5)," "),Ledger!$H$6:$H$2011)</f>
        <v>0</v>
      </c>
      <c r="J34" s="26">
        <f ca="1">-SUMIF(Ledger!$P$6:$P$2011,CONCATENATE("Expense ",Actual!$B34," ",MONTH(Actual!J$5)," ",YEAR(Actual!J$5)," "),Ledger!$H$6:$H$2011)</f>
        <v>0</v>
      </c>
      <c r="K34" s="26">
        <f ca="1">-SUMIF(Ledger!$P$6:$P$2011,CONCATENATE("Expense ",Actual!$B34," ",MONTH(Actual!K$5)," ",YEAR(Actual!K$5)," "),Ledger!$H$6:$H$2011)</f>
        <v>0</v>
      </c>
      <c r="L34" s="26">
        <f ca="1">-SUMIF(Ledger!$P$6:$P$2011,CONCATENATE("Expense ",Actual!$B34," ",MONTH(Actual!L$5)," ",YEAR(Actual!L$5)," "),Ledger!$H$6:$H$2011)</f>
        <v>0</v>
      </c>
      <c r="M34" s="26">
        <f ca="1">-SUMIF(Ledger!$P$6:$P$2011,CONCATENATE("Expense ",Actual!$B34," ",MONTH(Actual!M$5)," ",YEAR(Actual!M$5)," "),Ledger!$H$6:$H$2011)</f>
        <v>0</v>
      </c>
      <c r="N34" s="26">
        <f ca="1">-SUMIF(Ledger!$P$6:$P$2011,CONCATENATE("Expense ",Actual!$B34," ",MONTH(Actual!N$5)," ",YEAR(Actual!N$5)," "),Ledger!$H$6:$H$2011)</f>
        <v>0</v>
      </c>
      <c r="O34" s="26">
        <f ca="1">-SUMIF(Ledger!$P$6:$P$2011,CONCATENATE("Expense ",Actual!$B34," ",MONTH(Actual!O$5)," ",YEAR(Actual!O$5)," "),Ledger!$H$6:$H$2011)</f>
        <v>0</v>
      </c>
      <c r="P34" s="26">
        <f ca="1">-SUMIF(Ledger!$P$6:$P$2011,CONCATENATE("Expense ",Actual!$B34," ",MONTH(Actual!P$5)," ",YEAR(Actual!P$5)," "),Ledger!$H$6:$H$2011)</f>
        <v>0</v>
      </c>
      <c r="Q34" s="33"/>
      <c r="R34" s="122">
        <f t="shared" si="6"/>
        <v>0</v>
      </c>
      <c r="S34" s="11"/>
      <c r="T34" s="11"/>
    </row>
    <row r="35" spans="1:20" ht="15.75" thickBot="1">
      <c r="A35" s="11"/>
      <c r="B35" s="7">
        <v>18</v>
      </c>
      <c r="C35" s="9" t="str">
        <f ca="1">+Introduction!F28</f>
        <v>Expense 18</v>
      </c>
      <c r="D35" s="51"/>
      <c r="E35" s="26">
        <f ca="1">-SUMIF(Ledger!$P$6:$P$2011,CONCATENATE("Expense ",Actual!$B35," ",MONTH(Actual!E$5)," ",YEAR(Actual!E$5)," "),Ledger!$H$6:$H$2011)</f>
        <v>0</v>
      </c>
      <c r="F35" s="26">
        <f ca="1">-SUMIF(Ledger!$P$6:$P$2011,CONCATENATE("Expense ",Actual!$B35," ",MONTH(Actual!F$5)," ",YEAR(Actual!F$5)," "),Ledger!$H$6:$H$2011)</f>
        <v>0</v>
      </c>
      <c r="G35" s="26">
        <f ca="1">-SUMIF(Ledger!$P$6:$P$2011,CONCATENATE("Expense ",Actual!$B35," ",MONTH(Actual!G$5)," ",YEAR(Actual!G$5)," "),Ledger!$H$6:$H$2011)</f>
        <v>0</v>
      </c>
      <c r="H35" s="26">
        <f ca="1">-SUMIF(Ledger!$P$6:$P$2011,CONCATENATE("Expense ",Actual!$B35," ",MONTH(Actual!H$5)," ",YEAR(Actual!H$5)," "),Ledger!$H$6:$H$2011)</f>
        <v>0</v>
      </c>
      <c r="I35" s="26">
        <f ca="1">-SUMIF(Ledger!$P$6:$P$2011,CONCATENATE("Expense ",Actual!$B35," ",MONTH(Actual!I$5)," ",YEAR(Actual!I$5)," "),Ledger!$H$6:$H$2011)</f>
        <v>0</v>
      </c>
      <c r="J35" s="26">
        <f ca="1">-SUMIF(Ledger!$P$6:$P$2011,CONCATENATE("Expense ",Actual!$B35," ",MONTH(Actual!J$5)," ",YEAR(Actual!J$5)," "),Ledger!$H$6:$H$2011)</f>
        <v>0</v>
      </c>
      <c r="K35" s="26">
        <f ca="1">-SUMIF(Ledger!$P$6:$P$2011,CONCATENATE("Expense ",Actual!$B35," ",MONTH(Actual!K$5)," ",YEAR(Actual!K$5)," "),Ledger!$H$6:$H$2011)</f>
        <v>0</v>
      </c>
      <c r="L35" s="26">
        <f ca="1">-SUMIF(Ledger!$P$6:$P$2011,CONCATENATE("Expense ",Actual!$B35," ",MONTH(Actual!L$5)," ",YEAR(Actual!L$5)," "),Ledger!$H$6:$H$2011)</f>
        <v>0</v>
      </c>
      <c r="M35" s="26">
        <f ca="1">-SUMIF(Ledger!$P$6:$P$2011,CONCATENATE("Expense ",Actual!$B35," ",MONTH(Actual!M$5)," ",YEAR(Actual!M$5)," "),Ledger!$H$6:$H$2011)</f>
        <v>0</v>
      </c>
      <c r="N35" s="26">
        <f ca="1">-SUMIF(Ledger!$P$6:$P$2011,CONCATENATE("Expense ",Actual!$B35," ",MONTH(Actual!N$5)," ",YEAR(Actual!N$5)," "),Ledger!$H$6:$H$2011)</f>
        <v>0</v>
      </c>
      <c r="O35" s="26">
        <f ca="1">-SUMIF(Ledger!$P$6:$P$2011,CONCATENATE("Expense ",Actual!$B35," ",MONTH(Actual!O$5)," ",YEAR(Actual!O$5)," "),Ledger!$H$6:$H$2011)</f>
        <v>0</v>
      </c>
      <c r="P35" s="26">
        <f ca="1">-SUMIF(Ledger!$P$6:$P$2011,CONCATENATE("Expense ",Actual!$B35," ",MONTH(Actual!P$5)," ",YEAR(Actual!P$5)," "),Ledger!$H$6:$H$2011)</f>
        <v>0</v>
      </c>
      <c r="Q35" s="33"/>
      <c r="R35" s="122">
        <f t="shared" si="6"/>
        <v>0</v>
      </c>
      <c r="S35" s="11"/>
      <c r="T35" s="11"/>
    </row>
    <row r="36" spans="1:20" ht="15.75" thickBot="1">
      <c r="A36" s="11"/>
      <c r="B36" s="7">
        <v>19</v>
      </c>
      <c r="C36" s="9" t="str">
        <f ca="1">+Introduction!F29</f>
        <v>Expense 19</v>
      </c>
      <c r="D36" s="51"/>
      <c r="E36" s="26">
        <f ca="1">-SUMIF(Ledger!$P$6:$P$2011,CONCATENATE("Expense ",Actual!$B36," ",MONTH(Actual!E$5)," ",YEAR(Actual!E$5)," "),Ledger!$H$6:$H$2011)</f>
        <v>0</v>
      </c>
      <c r="F36" s="26">
        <f ca="1">-SUMIF(Ledger!$P$6:$P$2011,CONCATENATE("Expense ",Actual!$B36," ",MONTH(Actual!F$5)," ",YEAR(Actual!F$5)," "),Ledger!$H$6:$H$2011)</f>
        <v>0</v>
      </c>
      <c r="G36" s="26">
        <f ca="1">-SUMIF(Ledger!$P$6:$P$2011,CONCATENATE("Expense ",Actual!$B36," ",MONTH(Actual!G$5)," ",YEAR(Actual!G$5)," "),Ledger!$H$6:$H$2011)</f>
        <v>0</v>
      </c>
      <c r="H36" s="26">
        <f ca="1">-SUMIF(Ledger!$P$6:$P$2011,CONCATENATE("Expense ",Actual!$B36," ",MONTH(Actual!H$5)," ",YEAR(Actual!H$5)," "),Ledger!$H$6:$H$2011)</f>
        <v>0</v>
      </c>
      <c r="I36" s="26">
        <f ca="1">-SUMIF(Ledger!$P$6:$P$2011,CONCATENATE("Expense ",Actual!$B36," ",MONTH(Actual!I$5)," ",YEAR(Actual!I$5)," "),Ledger!$H$6:$H$2011)</f>
        <v>0</v>
      </c>
      <c r="J36" s="26">
        <f ca="1">-SUMIF(Ledger!$P$6:$P$2011,CONCATENATE("Expense ",Actual!$B36," ",MONTH(Actual!J$5)," ",YEAR(Actual!J$5)," "),Ledger!$H$6:$H$2011)</f>
        <v>0</v>
      </c>
      <c r="K36" s="26">
        <f ca="1">-SUMIF(Ledger!$P$6:$P$2011,CONCATENATE("Expense ",Actual!$B36," ",MONTH(Actual!K$5)," ",YEAR(Actual!K$5)," "),Ledger!$H$6:$H$2011)</f>
        <v>0</v>
      </c>
      <c r="L36" s="26">
        <f ca="1">-SUMIF(Ledger!$P$6:$P$2011,CONCATENATE("Expense ",Actual!$B36," ",MONTH(Actual!L$5)," ",YEAR(Actual!L$5)," "),Ledger!$H$6:$H$2011)</f>
        <v>0</v>
      </c>
      <c r="M36" s="26">
        <f ca="1">-SUMIF(Ledger!$P$6:$P$2011,CONCATENATE("Expense ",Actual!$B36," ",MONTH(Actual!M$5)," ",YEAR(Actual!M$5)," "),Ledger!$H$6:$H$2011)</f>
        <v>0</v>
      </c>
      <c r="N36" s="26">
        <f ca="1">-SUMIF(Ledger!$P$6:$P$2011,CONCATENATE("Expense ",Actual!$B36," ",MONTH(Actual!N$5)," ",YEAR(Actual!N$5)," "),Ledger!$H$6:$H$2011)</f>
        <v>0</v>
      </c>
      <c r="O36" s="26">
        <f ca="1">-SUMIF(Ledger!$P$6:$P$2011,CONCATENATE("Expense ",Actual!$B36," ",MONTH(Actual!O$5)," ",YEAR(Actual!O$5)," "),Ledger!$H$6:$H$2011)</f>
        <v>0</v>
      </c>
      <c r="P36" s="26">
        <f ca="1">-SUMIF(Ledger!$P$6:$P$2011,CONCATENATE("Expense ",Actual!$B36," ",MONTH(Actual!P$5)," ",YEAR(Actual!P$5)," "),Ledger!$H$6:$H$2011)</f>
        <v>0</v>
      </c>
      <c r="Q36" s="33"/>
      <c r="R36" s="122">
        <f t="shared" si="6"/>
        <v>0</v>
      </c>
      <c r="S36" s="11"/>
      <c r="T36" s="11"/>
    </row>
    <row r="37" spans="1:20" ht="15.75" thickBot="1">
      <c r="A37" s="11"/>
      <c r="B37" s="7">
        <v>20</v>
      </c>
      <c r="C37" s="9" t="str">
        <f ca="1">+Introduction!F30</f>
        <v>IRA Contribution</v>
      </c>
      <c r="D37" s="51"/>
      <c r="E37" s="26">
        <f ca="1">-SUMIF(Ledger!$P$6:$P$2011,CONCATENATE("Expense ",Actual!$B37," ",MONTH(Actual!E$5)," ",YEAR(Actual!E$5)," "),Ledger!$H$6:$H$2011)</f>
        <v>0</v>
      </c>
      <c r="F37" s="26">
        <f ca="1">-SUMIF(Ledger!$P$6:$P$2011,CONCATENATE("Expense ",Actual!$B37," ",MONTH(Actual!F$5)," ",YEAR(Actual!F$5)," "),Ledger!$H$6:$H$2011)</f>
        <v>0</v>
      </c>
      <c r="G37" s="26">
        <f ca="1">-SUMIF(Ledger!$P$6:$P$2011,CONCATENATE("Expense ",Actual!$B37," ",MONTH(Actual!G$5)," ",YEAR(Actual!G$5)," "),Ledger!$H$6:$H$2011)</f>
        <v>0</v>
      </c>
      <c r="H37" s="26">
        <f ca="1">-SUMIF(Ledger!$P$6:$P$2011,CONCATENATE("Expense ",Actual!$B37," ",MONTH(Actual!H$5)," ",YEAR(Actual!H$5)," "),Ledger!$H$6:$H$2011)</f>
        <v>0</v>
      </c>
      <c r="I37" s="26">
        <f ca="1">-SUMIF(Ledger!$P$6:$P$2011,CONCATENATE("Expense ",Actual!$B37," ",MONTH(Actual!I$5)," ",YEAR(Actual!I$5)," "),Ledger!$H$6:$H$2011)</f>
        <v>0</v>
      </c>
      <c r="J37" s="26">
        <f ca="1">-SUMIF(Ledger!$P$6:$P$2011,CONCATENATE("Expense ",Actual!$B37," ",MONTH(Actual!J$5)," ",YEAR(Actual!J$5)," "),Ledger!$H$6:$H$2011)</f>
        <v>0</v>
      </c>
      <c r="K37" s="26">
        <f ca="1">-SUMIF(Ledger!$P$6:$P$2011,CONCATENATE("Expense ",Actual!$B37," ",MONTH(Actual!K$5)," ",YEAR(Actual!K$5)," "),Ledger!$H$6:$H$2011)</f>
        <v>0</v>
      </c>
      <c r="L37" s="26">
        <f ca="1">-SUMIF(Ledger!$P$6:$P$2011,CONCATENATE("Expense ",Actual!$B37," ",MONTH(Actual!L$5)," ",YEAR(Actual!L$5)," "),Ledger!$H$6:$H$2011)</f>
        <v>0</v>
      </c>
      <c r="M37" s="26">
        <f ca="1">-SUMIF(Ledger!$P$6:$P$2011,CONCATENATE("Expense ",Actual!$B37," ",MONTH(Actual!M$5)," ",YEAR(Actual!M$5)," "),Ledger!$H$6:$H$2011)</f>
        <v>0</v>
      </c>
      <c r="N37" s="26">
        <f ca="1">-SUMIF(Ledger!$P$6:$P$2011,CONCATENATE("Expense ",Actual!$B37," ",MONTH(Actual!N$5)," ",YEAR(Actual!N$5)," "),Ledger!$H$6:$H$2011)</f>
        <v>0</v>
      </c>
      <c r="O37" s="26">
        <f ca="1">-SUMIF(Ledger!$P$6:$P$2011,CONCATENATE("Expense ",Actual!$B37," ",MONTH(Actual!O$5)," ",YEAR(Actual!O$5)," "),Ledger!$H$6:$H$2011)</f>
        <v>0</v>
      </c>
      <c r="P37" s="26">
        <f ca="1">-SUMIF(Ledger!$P$6:$P$2011,CONCATENATE("Expense ",Actual!$B37," ",MONTH(Actual!P$5)," ",YEAR(Actual!P$5)," "),Ledger!$H$6:$H$2011)</f>
        <v>0</v>
      </c>
      <c r="Q37" s="33"/>
      <c r="R37" s="122">
        <f t="shared" si="6"/>
        <v>0</v>
      </c>
      <c r="S37" s="11"/>
      <c r="T37" s="11"/>
    </row>
    <row r="38" spans="1:20" ht="15.75" thickBot="1">
      <c r="A38" s="11"/>
      <c r="B38" s="143"/>
      <c r="C38" s="141" t="s">
        <v>24</v>
      </c>
      <c r="D38" s="142"/>
      <c r="E38" s="122">
        <f>SUM(E18:E37)</f>
        <v>0</v>
      </c>
      <c r="F38" s="122">
        <f t="shared" ref="F38:Q38" si="7">SUM(F18:F37)</f>
        <v>0</v>
      </c>
      <c r="G38" s="122">
        <f t="shared" si="7"/>
        <v>0</v>
      </c>
      <c r="H38" s="122">
        <f t="shared" si="7"/>
        <v>0</v>
      </c>
      <c r="I38" s="122">
        <f t="shared" si="7"/>
        <v>0</v>
      </c>
      <c r="J38" s="122">
        <f t="shared" si="7"/>
        <v>0</v>
      </c>
      <c r="K38" s="122">
        <f t="shared" si="7"/>
        <v>0</v>
      </c>
      <c r="L38" s="122">
        <f t="shared" si="7"/>
        <v>0</v>
      </c>
      <c r="M38" s="122">
        <f t="shared" si="7"/>
        <v>0</v>
      </c>
      <c r="N38" s="122">
        <f t="shared" si="7"/>
        <v>0</v>
      </c>
      <c r="O38" s="122">
        <f t="shared" si="7"/>
        <v>0</v>
      </c>
      <c r="P38" s="122">
        <f t="shared" si="7"/>
        <v>0</v>
      </c>
      <c r="Q38" s="95">
        <f t="shared" si="7"/>
        <v>0</v>
      </c>
      <c r="R38" s="122">
        <f t="shared" si="6"/>
        <v>0</v>
      </c>
      <c r="S38" s="11"/>
      <c r="T38" s="11"/>
    </row>
    <row r="39" spans="1:20" ht="15.75" thickBot="1">
      <c r="A39" s="11"/>
      <c r="B39" s="12"/>
      <c r="C39" s="11"/>
      <c r="D39" s="11"/>
      <c r="E39" s="13"/>
      <c r="F39" s="13"/>
      <c r="G39" s="13"/>
      <c r="H39" s="13"/>
      <c r="I39" s="13"/>
      <c r="J39" s="13"/>
      <c r="K39" s="13"/>
      <c r="L39" s="13"/>
      <c r="M39" s="13"/>
      <c r="N39" s="13"/>
      <c r="O39" s="13"/>
      <c r="P39" s="13"/>
      <c r="Q39" s="13"/>
      <c r="R39" s="102" t="str">
        <f>IF(SUM(E39:P39)&lt;&gt;0,SUM(E39:P39),"")</f>
        <v/>
      </c>
      <c r="S39" s="11"/>
      <c r="T39" s="11"/>
    </row>
    <row r="40" spans="1:20" ht="15.75" thickBot="1">
      <c r="A40" s="11"/>
      <c r="B40" s="147"/>
      <c r="C40" s="144" t="s">
        <v>25</v>
      </c>
      <c r="D40" s="145"/>
      <c r="E40" s="146">
        <f>+E14-E38</f>
        <v>0</v>
      </c>
      <c r="F40" s="146">
        <f t="shared" ref="F40:R40" si="8">+F14-F38</f>
        <v>0</v>
      </c>
      <c r="G40" s="146">
        <f t="shared" si="8"/>
        <v>0</v>
      </c>
      <c r="H40" s="146">
        <f t="shared" si="8"/>
        <v>0</v>
      </c>
      <c r="I40" s="146">
        <f t="shared" si="8"/>
        <v>0</v>
      </c>
      <c r="J40" s="146">
        <f t="shared" si="8"/>
        <v>0</v>
      </c>
      <c r="K40" s="146">
        <f t="shared" si="8"/>
        <v>0</v>
      </c>
      <c r="L40" s="146">
        <f t="shared" si="8"/>
        <v>0</v>
      </c>
      <c r="M40" s="146">
        <f t="shared" si="8"/>
        <v>0</v>
      </c>
      <c r="N40" s="146">
        <f t="shared" si="8"/>
        <v>0</v>
      </c>
      <c r="O40" s="146">
        <f t="shared" si="8"/>
        <v>0</v>
      </c>
      <c r="P40" s="146">
        <f t="shared" si="8"/>
        <v>0</v>
      </c>
      <c r="Q40" s="146"/>
      <c r="R40" s="146">
        <f t="shared" si="8"/>
        <v>0</v>
      </c>
      <c r="S40" s="11"/>
      <c r="T40" s="11"/>
    </row>
    <row r="41" spans="1:20" ht="15.75" thickBot="1">
      <c r="A41" s="11"/>
      <c r="B41" s="12"/>
      <c r="C41" s="11"/>
      <c r="D41" s="11"/>
      <c r="E41" s="13"/>
      <c r="F41" s="13"/>
      <c r="G41" s="13"/>
      <c r="H41" s="13"/>
      <c r="I41" s="13"/>
      <c r="J41" s="13"/>
      <c r="K41" s="13"/>
      <c r="L41" s="13"/>
      <c r="M41" s="13"/>
      <c r="N41" s="13"/>
      <c r="O41" s="13"/>
      <c r="P41" s="13"/>
      <c r="Q41" s="13"/>
      <c r="R41" s="13" t="str">
        <f>IF(SUM(E41:P41)&lt;&gt;0,SUM(E41:P41),"")</f>
        <v/>
      </c>
      <c r="S41" s="11"/>
      <c r="T41" s="11"/>
    </row>
    <row r="42" spans="1:20" ht="15.75" thickBot="1">
      <c r="A42" s="11"/>
      <c r="B42" s="7">
        <v>1</v>
      </c>
      <c r="C42" s="31" t="s">
        <v>27</v>
      </c>
      <c r="D42" s="31"/>
      <c r="E42" s="10">
        <f ca="1">+Ledger!K5</f>
        <v>0</v>
      </c>
      <c r="F42" s="10">
        <f>+E44</f>
        <v>0</v>
      </c>
      <c r="G42" s="10">
        <f t="shared" ref="G42:P42" si="9">+F44</f>
        <v>0</v>
      </c>
      <c r="H42" s="10">
        <f t="shared" si="9"/>
        <v>0</v>
      </c>
      <c r="I42" s="10">
        <f t="shared" si="9"/>
        <v>0</v>
      </c>
      <c r="J42" s="10">
        <f t="shared" si="9"/>
        <v>0</v>
      </c>
      <c r="K42" s="10">
        <f t="shared" si="9"/>
        <v>0</v>
      </c>
      <c r="L42" s="10">
        <f t="shared" si="9"/>
        <v>0</v>
      </c>
      <c r="M42" s="10">
        <f t="shared" si="9"/>
        <v>0</v>
      </c>
      <c r="N42" s="10">
        <f t="shared" si="9"/>
        <v>0</v>
      </c>
      <c r="O42" s="10">
        <f t="shared" si="9"/>
        <v>0</v>
      </c>
      <c r="P42" s="10">
        <f t="shared" si="9"/>
        <v>0</v>
      </c>
      <c r="Q42" s="6"/>
      <c r="R42" s="10">
        <f>+E42</f>
        <v>0</v>
      </c>
      <c r="S42" s="11"/>
      <c r="T42" s="11"/>
    </row>
    <row r="43" spans="1:20" ht="15.75" thickBot="1">
      <c r="A43" s="11"/>
      <c r="B43" s="7">
        <v>2</v>
      </c>
      <c r="C43" s="31" t="s">
        <v>26</v>
      </c>
      <c r="D43" s="31"/>
      <c r="E43" s="10">
        <f>+E40</f>
        <v>0</v>
      </c>
      <c r="F43" s="10">
        <f t="shared" ref="F43:P43" si="10">+F40</f>
        <v>0</v>
      </c>
      <c r="G43" s="10">
        <f t="shared" si="10"/>
        <v>0</v>
      </c>
      <c r="H43" s="10">
        <f t="shared" si="10"/>
        <v>0</v>
      </c>
      <c r="I43" s="10">
        <f t="shared" si="10"/>
        <v>0</v>
      </c>
      <c r="J43" s="10">
        <f t="shared" si="10"/>
        <v>0</v>
      </c>
      <c r="K43" s="10">
        <f t="shared" si="10"/>
        <v>0</v>
      </c>
      <c r="L43" s="10">
        <f t="shared" si="10"/>
        <v>0</v>
      </c>
      <c r="M43" s="10">
        <f t="shared" si="10"/>
        <v>0</v>
      </c>
      <c r="N43" s="10">
        <f t="shared" si="10"/>
        <v>0</v>
      </c>
      <c r="O43" s="10">
        <f t="shared" si="10"/>
        <v>0</v>
      </c>
      <c r="P43" s="10">
        <f t="shared" si="10"/>
        <v>0</v>
      </c>
      <c r="Q43" s="6"/>
      <c r="R43" s="10">
        <f>SUM(E43:P43)</f>
        <v>0</v>
      </c>
      <c r="S43" s="11"/>
      <c r="T43" s="11"/>
    </row>
    <row r="44" spans="1:20" ht="15.75" thickBot="1">
      <c r="A44" s="11"/>
      <c r="B44" s="7">
        <v>3</v>
      </c>
      <c r="C44" s="31" t="s">
        <v>28</v>
      </c>
      <c r="D44" s="31"/>
      <c r="E44" s="10">
        <f>+E42+E43</f>
        <v>0</v>
      </c>
      <c r="F44" s="10">
        <f t="shared" ref="F44:P44" si="11">+F42+F43</f>
        <v>0</v>
      </c>
      <c r="G44" s="10">
        <f t="shared" si="11"/>
        <v>0</v>
      </c>
      <c r="H44" s="10">
        <f t="shared" si="11"/>
        <v>0</v>
      </c>
      <c r="I44" s="10">
        <f t="shared" si="11"/>
        <v>0</v>
      </c>
      <c r="J44" s="10">
        <f t="shared" si="11"/>
        <v>0</v>
      </c>
      <c r="K44" s="10">
        <f t="shared" si="11"/>
        <v>0</v>
      </c>
      <c r="L44" s="10">
        <f t="shared" si="11"/>
        <v>0</v>
      </c>
      <c r="M44" s="10">
        <f t="shared" si="11"/>
        <v>0</v>
      </c>
      <c r="N44" s="10">
        <f t="shared" si="11"/>
        <v>0</v>
      </c>
      <c r="O44" s="10">
        <f t="shared" si="11"/>
        <v>0</v>
      </c>
      <c r="P44" s="10">
        <f t="shared" si="11"/>
        <v>0</v>
      </c>
      <c r="Q44" s="10"/>
      <c r="R44" s="10">
        <f>+R42+R43</f>
        <v>0</v>
      </c>
      <c r="S44" s="11"/>
      <c r="T44" s="11"/>
    </row>
    <row r="45" spans="1:20" ht="15.75" thickBot="1">
      <c r="A45" s="11"/>
      <c r="B45" s="11"/>
      <c r="C45" s="11"/>
      <c r="D45" s="11"/>
      <c r="E45" s="11"/>
      <c r="F45" s="11"/>
      <c r="G45" s="11"/>
      <c r="H45" s="11"/>
      <c r="I45" s="11"/>
      <c r="J45" s="11"/>
      <c r="K45" s="11"/>
      <c r="L45" s="11"/>
      <c r="M45" s="11"/>
      <c r="N45" s="11"/>
      <c r="O45" s="11"/>
      <c r="P45" s="11"/>
      <c r="Q45" s="11"/>
      <c r="R45" s="11"/>
      <c r="S45" s="11"/>
      <c r="T45" s="11"/>
    </row>
    <row r="46" spans="1:20" ht="15.75" thickBot="1">
      <c r="A46" s="11"/>
      <c r="B46" s="7">
        <v>1</v>
      </c>
      <c r="C46" s="9" t="s">
        <v>30</v>
      </c>
      <c r="D46" s="9"/>
      <c r="E46" s="10">
        <f ca="1">+Introduction!F31+Actual!E37</f>
        <v>0</v>
      </c>
      <c r="F46" s="10">
        <f>+E46+F37</f>
        <v>0</v>
      </c>
      <c r="G46" s="10">
        <f t="shared" ref="G46:P46" si="12">+F46+G37</f>
        <v>0</v>
      </c>
      <c r="H46" s="10">
        <f t="shared" si="12"/>
        <v>0</v>
      </c>
      <c r="I46" s="10">
        <f t="shared" si="12"/>
        <v>0</v>
      </c>
      <c r="J46" s="10">
        <f t="shared" si="12"/>
        <v>0</v>
      </c>
      <c r="K46" s="10">
        <f t="shared" si="12"/>
        <v>0</v>
      </c>
      <c r="L46" s="10">
        <f t="shared" si="12"/>
        <v>0</v>
      </c>
      <c r="M46" s="10">
        <f t="shared" si="12"/>
        <v>0</v>
      </c>
      <c r="N46" s="10">
        <f t="shared" si="12"/>
        <v>0</v>
      </c>
      <c r="O46" s="10">
        <f t="shared" si="12"/>
        <v>0</v>
      </c>
      <c r="P46" s="10">
        <f t="shared" si="12"/>
        <v>0</v>
      </c>
      <c r="Q46" s="10"/>
      <c r="R46" s="10">
        <f>+P46</f>
        <v>0</v>
      </c>
      <c r="S46" s="11"/>
      <c r="T46" s="11"/>
    </row>
    <row r="47" spans="1:20">
      <c r="A47" s="11"/>
      <c r="B47" s="11"/>
      <c r="C47" s="11"/>
      <c r="D47" s="11"/>
      <c r="E47" s="11"/>
      <c r="F47" s="11"/>
      <c r="G47" s="11"/>
      <c r="H47" s="11"/>
      <c r="I47" s="11"/>
      <c r="J47" s="11"/>
      <c r="K47" s="11"/>
      <c r="L47" s="11"/>
      <c r="M47" s="11"/>
      <c r="N47" s="11"/>
      <c r="O47" s="11"/>
      <c r="P47" s="11"/>
      <c r="Q47" s="11"/>
      <c r="R47" s="11"/>
      <c r="S47" s="11"/>
      <c r="T47" s="11"/>
    </row>
    <row r="48" spans="1:20">
      <c r="R48" s="2" t="str">
        <f t="shared" ref="R48:R82" si="13">IF(SUM(E48:P48)&lt;&gt;0,SUM(E48:P48),"")</f>
        <v/>
      </c>
    </row>
    <row r="49" spans="18:18">
      <c r="R49" s="2" t="str">
        <f t="shared" si="13"/>
        <v/>
      </c>
    </row>
    <row r="50" spans="18:18">
      <c r="R50" s="2" t="str">
        <f t="shared" si="13"/>
        <v/>
      </c>
    </row>
    <row r="51" spans="18:18">
      <c r="R51" s="2" t="str">
        <f t="shared" si="13"/>
        <v/>
      </c>
    </row>
    <row r="52" spans="18:18">
      <c r="R52" s="2" t="str">
        <f t="shared" si="13"/>
        <v/>
      </c>
    </row>
    <row r="53" spans="18:18">
      <c r="R53" s="2" t="str">
        <f t="shared" si="13"/>
        <v/>
      </c>
    </row>
    <row r="54" spans="18:18">
      <c r="R54" s="2" t="str">
        <f t="shared" si="13"/>
        <v/>
      </c>
    </row>
    <row r="55" spans="18:18">
      <c r="R55" s="2" t="str">
        <f t="shared" si="13"/>
        <v/>
      </c>
    </row>
    <row r="56" spans="18:18">
      <c r="R56" s="2" t="str">
        <f t="shared" si="13"/>
        <v/>
      </c>
    </row>
    <row r="57" spans="18:18">
      <c r="R57" s="2" t="str">
        <f t="shared" si="13"/>
        <v/>
      </c>
    </row>
    <row r="58" spans="18:18">
      <c r="R58" s="2" t="str">
        <f t="shared" si="13"/>
        <v/>
      </c>
    </row>
    <row r="59" spans="18:18">
      <c r="R59" s="2" t="str">
        <f t="shared" si="13"/>
        <v/>
      </c>
    </row>
    <row r="60" spans="18:18">
      <c r="R60" s="2" t="str">
        <f t="shared" si="13"/>
        <v/>
      </c>
    </row>
    <row r="61" spans="18:18">
      <c r="R61" s="2" t="str">
        <f t="shared" si="13"/>
        <v/>
      </c>
    </row>
    <row r="62" spans="18:18">
      <c r="R62" s="2" t="str">
        <f t="shared" si="13"/>
        <v/>
      </c>
    </row>
    <row r="63" spans="18:18">
      <c r="R63" s="2" t="str">
        <f t="shared" si="13"/>
        <v/>
      </c>
    </row>
    <row r="64" spans="18:18">
      <c r="R64" s="2" t="str">
        <f t="shared" si="13"/>
        <v/>
      </c>
    </row>
    <row r="65" spans="18:18">
      <c r="R65" s="2" t="str">
        <f t="shared" si="13"/>
        <v/>
      </c>
    </row>
    <row r="66" spans="18:18">
      <c r="R66" s="2" t="str">
        <f t="shared" si="13"/>
        <v/>
      </c>
    </row>
    <row r="67" spans="18:18">
      <c r="R67" s="2" t="str">
        <f t="shared" si="13"/>
        <v/>
      </c>
    </row>
    <row r="68" spans="18:18">
      <c r="R68" s="2" t="str">
        <f t="shared" si="13"/>
        <v/>
      </c>
    </row>
    <row r="69" spans="18:18">
      <c r="R69" s="2" t="str">
        <f t="shared" si="13"/>
        <v/>
      </c>
    </row>
    <row r="70" spans="18:18">
      <c r="R70" s="2" t="str">
        <f t="shared" si="13"/>
        <v/>
      </c>
    </row>
    <row r="71" spans="18:18">
      <c r="R71" s="2" t="str">
        <f t="shared" si="13"/>
        <v/>
      </c>
    </row>
    <row r="72" spans="18:18">
      <c r="R72" s="2" t="str">
        <f t="shared" si="13"/>
        <v/>
      </c>
    </row>
    <row r="73" spans="18:18">
      <c r="R73" s="2" t="str">
        <f t="shared" si="13"/>
        <v/>
      </c>
    </row>
    <row r="74" spans="18:18">
      <c r="R74" s="2" t="str">
        <f t="shared" si="13"/>
        <v/>
      </c>
    </row>
    <row r="75" spans="18:18">
      <c r="R75" s="2" t="str">
        <f t="shared" si="13"/>
        <v/>
      </c>
    </row>
    <row r="76" spans="18:18">
      <c r="R76" s="2" t="str">
        <f t="shared" si="13"/>
        <v/>
      </c>
    </row>
    <row r="77" spans="18:18">
      <c r="R77" s="2" t="str">
        <f t="shared" si="13"/>
        <v/>
      </c>
    </row>
    <row r="78" spans="18:18">
      <c r="R78" s="2" t="str">
        <f t="shared" si="13"/>
        <v/>
      </c>
    </row>
    <row r="79" spans="18:18">
      <c r="R79" s="2" t="str">
        <f t="shared" si="13"/>
        <v/>
      </c>
    </row>
    <row r="80" spans="18:18">
      <c r="R80" s="2" t="str">
        <f t="shared" si="13"/>
        <v/>
      </c>
    </row>
    <row r="81" spans="18:18">
      <c r="R81" s="2" t="str">
        <f t="shared" si="13"/>
        <v/>
      </c>
    </row>
    <row r="82" spans="18:18">
      <c r="R82" s="2" t="str">
        <f t="shared" si="13"/>
        <v/>
      </c>
    </row>
  </sheetData>
  <sheetProtection password="CF0F" sheet="1" objects="1" scenarios="1" formatColumns="0"/>
  <mergeCells count="2">
    <mergeCell ref="B2:R2"/>
    <mergeCell ref="B5:C5"/>
  </mergeCells>
  <phoneticPr fontId="21" type="noConversion"/>
  <pageMargins left="0.2" right="0.2" top="0.75" bottom="0.75" header="0.3" footer="0.3"/>
  <pageSetup scale="73" orientation="landscape" r:id="rId1"/>
  <legacyDrawing r:id="rId2"/>
</worksheet>
</file>

<file path=xl/worksheets/sheet5.xml><?xml version="1.0" encoding="utf-8"?>
<worksheet xmlns="http://schemas.openxmlformats.org/spreadsheetml/2006/main" xmlns:r="http://schemas.openxmlformats.org/officeDocument/2006/relationships">
  <sheetPr codeName="Sheet4">
    <tabColor rgb="FF7030A0"/>
    <pageSetUpPr fitToPage="1"/>
  </sheetPr>
  <dimension ref="A1:P47"/>
  <sheetViews>
    <sheetView showGridLines="0" zoomScale="80" zoomScaleNormal="80" workbookViewId="0">
      <pane xSplit="3" ySplit="5" topLeftCell="D6" activePane="bottomRight" state="frozen"/>
      <selection activeCell="F7" sqref="F7"/>
      <selection pane="topRight" activeCell="F7" sqref="F7"/>
      <selection pane="bottomLeft" activeCell="F7" sqref="F7"/>
      <selection pane="bottomRight" activeCell="A11" sqref="A11"/>
    </sheetView>
  </sheetViews>
  <sheetFormatPr defaultRowHeight="15"/>
  <cols>
    <col min="1" max="1" width="18.28515625" customWidth="1"/>
    <col min="2" max="2" width="5.28515625" style="1" customWidth="1"/>
    <col min="3" max="3" width="33.42578125" customWidth="1"/>
    <col min="4" max="6" width="15.140625" customWidth="1"/>
    <col min="7" max="7" width="3.85546875" customWidth="1"/>
    <col min="8" max="10" width="15" customWidth="1"/>
    <col min="11" max="11" width="3.85546875" customWidth="1"/>
    <col min="12" max="14" width="14.5703125" customWidth="1"/>
    <col min="15" max="15" width="2.140625" customWidth="1"/>
    <col min="16" max="16" width="27.42578125" customWidth="1"/>
  </cols>
  <sheetData>
    <row r="1" spans="1:16" ht="13.5" customHeight="1" thickBot="1">
      <c r="A1" s="11"/>
      <c r="B1" s="12"/>
      <c r="C1" s="11"/>
      <c r="D1" s="11"/>
      <c r="E1" s="11"/>
      <c r="F1" s="11"/>
      <c r="G1" s="11"/>
      <c r="H1" s="11"/>
      <c r="I1" s="11"/>
      <c r="J1" s="11"/>
      <c r="K1" s="11"/>
      <c r="L1" s="11"/>
      <c r="M1" s="11"/>
      <c r="N1" s="11"/>
      <c r="O1" s="11"/>
      <c r="P1" s="11"/>
    </row>
    <row r="2" spans="1:16" ht="24" thickBot="1">
      <c r="A2" s="11"/>
      <c r="B2" s="161" t="str">
        <f ca="1">CONCATENATE(Introduction!C4:C4,"'s"," Budget To Actual Performance for ", Introduction!C8," ",Introduction!C5)</f>
        <v>'s Budget To Actual Performance for Jan 2012</v>
      </c>
      <c r="C2" s="162"/>
      <c r="D2" s="162"/>
      <c r="E2" s="162"/>
      <c r="F2" s="162"/>
      <c r="G2" s="162"/>
      <c r="H2" s="162"/>
      <c r="I2" s="162"/>
      <c r="J2" s="162"/>
      <c r="K2" s="162"/>
      <c r="L2" s="162"/>
      <c r="M2" s="162"/>
      <c r="N2" s="162"/>
      <c r="O2" s="11"/>
      <c r="P2" s="11"/>
    </row>
    <row r="3" spans="1:16" ht="15.75" hidden="1" thickBot="1">
      <c r="A3" s="11"/>
      <c r="B3" s="40"/>
      <c r="C3" s="39" t="s">
        <v>41</v>
      </c>
      <c r="D3" s="43">
        <v>31</v>
      </c>
      <c r="E3" s="43">
        <f ca="1">IF(MOD(Introduction!C7,4)=0,29,28)</f>
        <v>28</v>
      </c>
      <c r="F3" s="43">
        <v>31</v>
      </c>
      <c r="G3" s="43">
        <v>30</v>
      </c>
      <c r="H3" s="43">
        <v>31</v>
      </c>
      <c r="I3" s="43">
        <v>30</v>
      </c>
      <c r="J3" s="43">
        <v>31</v>
      </c>
      <c r="K3" s="43">
        <v>30</v>
      </c>
      <c r="L3" s="43">
        <v>30</v>
      </c>
      <c r="M3" s="43">
        <v>31</v>
      </c>
      <c r="N3" s="43">
        <v>30</v>
      </c>
      <c r="O3" s="11"/>
      <c r="P3" s="11"/>
    </row>
    <row r="4" spans="1:16" ht="15.75" hidden="1" thickBot="1">
      <c r="A4" s="11"/>
      <c r="B4" s="40"/>
      <c r="C4" s="39" t="s">
        <v>45</v>
      </c>
      <c r="D4" s="26" t="e">
        <f>CONCATENATE(MONTH(D5)," ",YEAR(D5), " Income")</f>
        <v>#VALUE!</v>
      </c>
      <c r="E4" s="26" t="e">
        <f t="shared" ref="E4:N4" si="0">CONCATENATE(MONTH(E5)," ",YEAR(E5), " Income")</f>
        <v>#VALUE!</v>
      </c>
      <c r="F4" s="26" t="e">
        <f t="shared" si="0"/>
        <v>#VALUE!</v>
      </c>
      <c r="G4" s="26" t="str">
        <f t="shared" si="0"/>
        <v>1 1900 Income</v>
      </c>
      <c r="H4" s="26" t="e">
        <f t="shared" si="0"/>
        <v>#VALUE!</v>
      </c>
      <c r="I4" s="26" t="e">
        <f t="shared" si="0"/>
        <v>#VALUE!</v>
      </c>
      <c r="J4" s="26" t="e">
        <f t="shared" si="0"/>
        <v>#VALUE!</v>
      </c>
      <c r="K4" s="26" t="str">
        <f t="shared" si="0"/>
        <v>1 1900 Income</v>
      </c>
      <c r="L4" s="26" t="e">
        <f t="shared" si="0"/>
        <v>#VALUE!</v>
      </c>
      <c r="M4" s="26" t="e">
        <f t="shared" si="0"/>
        <v>#VALUE!</v>
      </c>
      <c r="N4" s="26" t="e">
        <f t="shared" si="0"/>
        <v>#VALUE!</v>
      </c>
      <c r="O4" s="11"/>
      <c r="P4" s="11"/>
    </row>
    <row r="5" spans="1:16" ht="15.75" thickBot="1">
      <c r="A5" s="11"/>
      <c r="B5" s="166" t="str">
        <f>{"Items Revenue/Expense",0}</f>
        <v>Items Revenue/Expense</v>
      </c>
      <c r="C5" s="167" t="s">
        <v>29</v>
      </c>
      <c r="D5" s="35" t="s">
        <v>50</v>
      </c>
      <c r="E5" s="36" t="s">
        <v>51</v>
      </c>
      <c r="F5" s="36" t="s">
        <v>57</v>
      </c>
      <c r="G5" s="44"/>
      <c r="H5" s="36" t="s">
        <v>52</v>
      </c>
      <c r="I5" s="36" t="s">
        <v>53</v>
      </c>
      <c r="J5" s="36" t="s">
        <v>54</v>
      </c>
      <c r="K5" s="44"/>
      <c r="L5" s="36" t="s">
        <v>49</v>
      </c>
      <c r="M5" s="36" t="s">
        <v>55</v>
      </c>
      <c r="N5" s="36" t="s">
        <v>56</v>
      </c>
      <c r="O5" s="11"/>
      <c r="P5" s="11"/>
    </row>
    <row r="6" spans="1:16" ht="15.75" thickBot="1">
      <c r="A6" s="11"/>
      <c r="B6" s="7">
        <v>1</v>
      </c>
      <c r="C6" s="9" t="str">
        <f ca="1">+Introduction!C11</f>
        <v>Income  1</v>
      </c>
      <c r="D6" s="26">
        <f ca="1">INDEX(Actual!$E6:$P6,Introduction!$G$4)</f>
        <v>0</v>
      </c>
      <c r="E6" s="26">
        <f ca="1">INDEX(Budget!$E6:$P6,Introduction!$G$4)</f>
        <v>0</v>
      </c>
      <c r="F6" s="26">
        <f ca="1">+D6-E6</f>
        <v>0</v>
      </c>
      <c r="G6" s="45"/>
      <c r="H6" s="26">
        <f ca="1">INDEX('Actual QTD'!$E6:$P6,Introduction!$G$4)</f>
        <v>0</v>
      </c>
      <c r="I6" s="26">
        <f ca="1">INDEX('Budget QTD'!$E6:$P6,Introduction!$G$4)</f>
        <v>0</v>
      </c>
      <c r="J6" s="26">
        <f ca="1">+H6-I6</f>
        <v>0</v>
      </c>
      <c r="K6" s="45"/>
      <c r="L6" s="26">
        <f ca="1">INDEX('Actual YTD'!$E6:$P6,Introduction!$G$4)</f>
        <v>0</v>
      </c>
      <c r="M6" s="26">
        <f ca="1">INDEX('Budget YTD'!$E6:$P6,Introduction!$G$4)</f>
        <v>0</v>
      </c>
      <c r="N6" s="26">
        <f>+L6-M6</f>
        <v>0</v>
      </c>
      <c r="O6" s="11"/>
      <c r="P6" s="11"/>
    </row>
    <row r="7" spans="1:16" ht="15.75" thickBot="1">
      <c r="A7" s="11"/>
      <c r="B7" s="7">
        <v>2</v>
      </c>
      <c r="C7" s="9" t="str">
        <f ca="1">+Introduction!C12</f>
        <v>Income 2</v>
      </c>
      <c r="D7" s="26">
        <f ca="1">INDEX(Actual!$E7:$P7,Introduction!$G$4)</f>
        <v>0</v>
      </c>
      <c r="E7" s="26">
        <f ca="1">INDEX(Budget!$E7:$P7,Introduction!$G$4)</f>
        <v>0</v>
      </c>
      <c r="F7" s="26">
        <f t="shared" ref="F7:F13" si="1">+D7-E7</f>
        <v>0</v>
      </c>
      <c r="G7" s="45"/>
      <c r="H7" s="26">
        <f ca="1">INDEX('Actual QTD'!$E7:$P7,Introduction!$G$4)</f>
        <v>0</v>
      </c>
      <c r="I7" s="26">
        <f ca="1">INDEX('Budget QTD'!$E7:$P7,Introduction!$G$4)</f>
        <v>0</v>
      </c>
      <c r="J7" s="26">
        <f t="shared" ref="J7:J13" si="2">+H7-I7</f>
        <v>0</v>
      </c>
      <c r="K7" s="45"/>
      <c r="L7" s="26">
        <f ca="1">INDEX('Actual YTD'!$E7:$P7,Introduction!$G$4)</f>
        <v>0</v>
      </c>
      <c r="M7" s="26">
        <f ca="1">INDEX('Budget YTD'!$E7:$P7,Introduction!$G$4)</f>
        <v>0</v>
      </c>
      <c r="N7" s="26">
        <f t="shared" ref="N7:N13" si="3">+L7-M7</f>
        <v>0</v>
      </c>
      <c r="O7" s="11"/>
      <c r="P7" s="11"/>
    </row>
    <row r="8" spans="1:16" ht="15.75" thickBot="1">
      <c r="A8" s="11"/>
      <c r="B8" s="7">
        <v>3</v>
      </c>
      <c r="C8" s="9" t="str">
        <f ca="1">+Introduction!C13</f>
        <v>Income 3</v>
      </c>
      <c r="D8" s="26">
        <f ca="1">INDEX(Actual!$E8:$P8,Introduction!$G$4)</f>
        <v>0</v>
      </c>
      <c r="E8" s="26">
        <f ca="1">INDEX(Budget!$E8:$P8,Introduction!$G$4)</f>
        <v>0</v>
      </c>
      <c r="F8" s="26">
        <f t="shared" si="1"/>
        <v>0</v>
      </c>
      <c r="G8" s="45"/>
      <c r="H8" s="26">
        <f ca="1">INDEX('Actual QTD'!$E8:$P8,Introduction!$G$4)</f>
        <v>0</v>
      </c>
      <c r="I8" s="26">
        <f ca="1">INDEX('Budget QTD'!$E8:$P8,Introduction!$G$4)</f>
        <v>0</v>
      </c>
      <c r="J8" s="26">
        <f t="shared" si="2"/>
        <v>0</v>
      </c>
      <c r="K8" s="45"/>
      <c r="L8" s="26">
        <f ca="1">INDEX('Actual YTD'!$E8:$P8,Introduction!$G$4)</f>
        <v>0</v>
      </c>
      <c r="M8" s="26">
        <f ca="1">INDEX('Budget YTD'!$E8:$P8,Introduction!$G$4)</f>
        <v>0</v>
      </c>
      <c r="N8" s="26">
        <f t="shared" si="3"/>
        <v>0</v>
      </c>
      <c r="O8" s="11"/>
      <c r="P8" s="11"/>
    </row>
    <row r="9" spans="1:16" ht="15.75" thickBot="1">
      <c r="A9" s="11"/>
      <c r="B9" s="7">
        <v>4</v>
      </c>
      <c r="C9" s="9" t="str">
        <f ca="1">+Introduction!C14</f>
        <v>Income 4</v>
      </c>
      <c r="D9" s="26">
        <f ca="1">INDEX(Actual!$E9:$P9,Introduction!$G$4)</f>
        <v>0</v>
      </c>
      <c r="E9" s="26">
        <f ca="1">INDEX(Budget!$E9:$P9,Introduction!$G$4)</f>
        <v>0</v>
      </c>
      <c r="F9" s="26">
        <f t="shared" si="1"/>
        <v>0</v>
      </c>
      <c r="G9" s="45"/>
      <c r="H9" s="26">
        <f ca="1">INDEX('Actual QTD'!$E9:$P9,Introduction!$G$4)</f>
        <v>0</v>
      </c>
      <c r="I9" s="26">
        <f ca="1">INDEX('Budget QTD'!$E9:$P9,Introduction!$G$4)</f>
        <v>0</v>
      </c>
      <c r="J9" s="26">
        <f t="shared" si="2"/>
        <v>0</v>
      </c>
      <c r="K9" s="45"/>
      <c r="L9" s="26">
        <f ca="1">INDEX('Actual YTD'!$E9:$P9,Introduction!$G$4)</f>
        <v>0</v>
      </c>
      <c r="M9" s="26">
        <f ca="1">INDEX('Budget YTD'!$E9:$P9,Introduction!$G$4)</f>
        <v>0</v>
      </c>
      <c r="N9" s="26">
        <f t="shared" si="3"/>
        <v>0</v>
      </c>
      <c r="O9" s="11"/>
      <c r="P9" s="11"/>
    </row>
    <row r="10" spans="1:16" ht="15.75" thickBot="1">
      <c r="A10" s="11"/>
      <c r="B10" s="7">
        <v>5</v>
      </c>
      <c r="C10" s="9" t="str">
        <f ca="1">+Introduction!C15</f>
        <v>Income 5</v>
      </c>
      <c r="D10" s="26">
        <f ca="1">INDEX(Actual!$E10:$P10,Introduction!$G$4)</f>
        <v>0</v>
      </c>
      <c r="E10" s="26">
        <f ca="1">INDEX(Budget!$E10:$P10,Introduction!$G$4)</f>
        <v>0</v>
      </c>
      <c r="F10" s="26">
        <f t="shared" si="1"/>
        <v>0</v>
      </c>
      <c r="G10" s="45"/>
      <c r="H10" s="26">
        <f ca="1">INDEX('Actual QTD'!$E10:$P10,Introduction!$G$4)</f>
        <v>0</v>
      </c>
      <c r="I10" s="26">
        <f ca="1">INDEX('Budget QTD'!$E10:$P10,Introduction!$G$4)</f>
        <v>0</v>
      </c>
      <c r="J10" s="26">
        <f t="shared" si="2"/>
        <v>0</v>
      </c>
      <c r="K10" s="45"/>
      <c r="L10" s="26">
        <f ca="1">INDEX('Actual YTD'!$E10:$P10,Introduction!$G$4)</f>
        <v>0</v>
      </c>
      <c r="M10" s="26">
        <f ca="1">INDEX('Budget YTD'!$E10:$P10,Introduction!$G$4)</f>
        <v>0</v>
      </c>
      <c r="N10" s="26">
        <f t="shared" si="3"/>
        <v>0</v>
      </c>
      <c r="O10" s="11"/>
      <c r="P10" s="11"/>
    </row>
    <row r="11" spans="1:16" ht="15.75" thickBot="1">
      <c r="A11" s="11"/>
      <c r="B11" s="7">
        <v>6</v>
      </c>
      <c r="C11" s="9" t="str">
        <f ca="1">+Introduction!C16</f>
        <v>Income 6</v>
      </c>
      <c r="D11" s="26">
        <f ca="1">INDEX(Actual!$E11:$P11,Introduction!$G$4)</f>
        <v>0</v>
      </c>
      <c r="E11" s="26">
        <f ca="1">INDEX(Budget!$E11:$P11,Introduction!$G$4)</f>
        <v>0</v>
      </c>
      <c r="F11" s="26">
        <f t="shared" si="1"/>
        <v>0</v>
      </c>
      <c r="G11" s="45"/>
      <c r="H11" s="26">
        <f ca="1">INDEX('Actual QTD'!$E11:$P11,Introduction!$G$4)</f>
        <v>0</v>
      </c>
      <c r="I11" s="26">
        <f ca="1">INDEX('Budget QTD'!$E11:$P11,Introduction!$G$4)</f>
        <v>0</v>
      </c>
      <c r="J11" s="26">
        <f t="shared" si="2"/>
        <v>0</v>
      </c>
      <c r="K11" s="45"/>
      <c r="L11" s="26">
        <f ca="1">INDEX('Actual YTD'!$E11:$P11,Introduction!$G$4)</f>
        <v>0</v>
      </c>
      <c r="M11" s="26">
        <f ca="1">INDEX('Budget YTD'!$E11:$P11,Introduction!$G$4)</f>
        <v>0</v>
      </c>
      <c r="N11" s="26">
        <f t="shared" si="3"/>
        <v>0</v>
      </c>
      <c r="O11" s="11"/>
      <c r="P11" s="11"/>
    </row>
    <row r="12" spans="1:16" ht="15.75" thickBot="1">
      <c r="A12" s="11"/>
      <c r="B12" s="7">
        <v>7</v>
      </c>
      <c r="C12" s="9" t="str">
        <f ca="1">+Introduction!C17</f>
        <v>Income 7</v>
      </c>
      <c r="D12" s="26">
        <f ca="1">INDEX(Actual!$E12:$P12,Introduction!$G$4)</f>
        <v>0</v>
      </c>
      <c r="E12" s="26">
        <f ca="1">INDEX(Budget!$E12:$P12,Introduction!$G$4)</f>
        <v>0</v>
      </c>
      <c r="F12" s="26">
        <f t="shared" si="1"/>
        <v>0</v>
      </c>
      <c r="G12" s="45"/>
      <c r="H12" s="26">
        <f ca="1">INDEX('Actual QTD'!$E12:$P12,Introduction!$G$4)</f>
        <v>0</v>
      </c>
      <c r="I12" s="26">
        <f ca="1">INDEX('Budget QTD'!$E12:$P12,Introduction!$G$4)</f>
        <v>0</v>
      </c>
      <c r="J12" s="26">
        <f t="shared" si="2"/>
        <v>0</v>
      </c>
      <c r="K12" s="45"/>
      <c r="L12" s="26">
        <f ca="1">INDEX('Actual YTD'!$E12:$P12,Introduction!$G$4)</f>
        <v>0</v>
      </c>
      <c r="M12" s="26">
        <f ca="1">INDEX('Budget YTD'!$E12:$P12,Introduction!$G$4)</f>
        <v>0</v>
      </c>
      <c r="N12" s="26" t="s">
        <v>130</v>
      </c>
      <c r="O12" s="11"/>
      <c r="P12" s="11"/>
    </row>
    <row r="13" spans="1:16" ht="15.75" thickBot="1">
      <c r="A13" s="11"/>
      <c r="B13" s="7">
        <v>8</v>
      </c>
      <c r="C13" s="9" t="str">
        <f ca="1">+Introduction!C18</f>
        <v>Income 8</v>
      </c>
      <c r="D13" s="26">
        <f ca="1">INDEX(Actual!$E13:$P13,Introduction!$G$4)</f>
        <v>0</v>
      </c>
      <c r="E13" s="26">
        <f ca="1">INDEX(Budget!$E13:$P13,Introduction!$G$4)</f>
        <v>0</v>
      </c>
      <c r="F13" s="26">
        <f t="shared" si="1"/>
        <v>0</v>
      </c>
      <c r="G13" s="45"/>
      <c r="H13" s="26">
        <f ca="1">INDEX('Actual QTD'!$E13:$P13,Introduction!$G$4)</f>
        <v>0</v>
      </c>
      <c r="I13" s="26">
        <f ca="1">INDEX('Budget QTD'!$E13:$P13,Introduction!$G$4)</f>
        <v>0</v>
      </c>
      <c r="J13" s="26">
        <f t="shared" si="2"/>
        <v>0</v>
      </c>
      <c r="K13" s="45"/>
      <c r="L13" s="26">
        <f ca="1">INDEX('Actual YTD'!$E13:$P13,Introduction!$G$4)</f>
        <v>0</v>
      </c>
      <c r="M13" s="26">
        <f ca="1">INDEX('Budget YTD'!$E13:$P13,Introduction!$G$4)</f>
        <v>0</v>
      </c>
      <c r="N13" s="26">
        <f t="shared" si="3"/>
        <v>0</v>
      </c>
      <c r="O13" s="11"/>
      <c r="P13" s="11"/>
    </row>
    <row r="14" spans="1:16" ht="15.75" thickBot="1">
      <c r="A14" s="11"/>
      <c r="B14" s="119"/>
      <c r="C14" s="127" t="s">
        <v>22</v>
      </c>
      <c r="D14" s="122">
        <f ca="1">SUM(D6:D13)</f>
        <v>0</v>
      </c>
      <c r="E14" s="122">
        <f ca="1">SUM(E6:E13)</f>
        <v>0</v>
      </c>
      <c r="F14" s="122">
        <f ca="1">SUM(F6:F13)</f>
        <v>0</v>
      </c>
      <c r="G14" s="46"/>
      <c r="H14" s="122">
        <f ca="1">SUM(H6:H13)</f>
        <v>0</v>
      </c>
      <c r="I14" s="148">
        <f ca="1">INDEX('Budget QTD'!$E14:$P14,Introduction!$G$4)</f>
        <v>0</v>
      </c>
      <c r="J14" s="122">
        <f ca="1">SUM(J6:J13)</f>
        <v>0</v>
      </c>
      <c r="K14" s="46"/>
      <c r="L14" s="122">
        <f ca="1">SUM(L6:L13)</f>
        <v>0</v>
      </c>
      <c r="M14" s="122">
        <f ca="1">SUM(M6:M13)</f>
        <v>0</v>
      </c>
      <c r="N14" s="122">
        <f>SUM(N6:N13)</f>
        <v>0</v>
      </c>
      <c r="O14" s="11"/>
      <c r="P14" s="11"/>
    </row>
    <row r="15" spans="1:16" ht="13.5" customHeight="1" thickBot="1">
      <c r="A15" s="11"/>
      <c r="B15" s="12"/>
      <c r="C15" s="11"/>
      <c r="D15" s="13"/>
      <c r="E15" s="13"/>
      <c r="F15" s="13"/>
      <c r="G15" s="13"/>
      <c r="H15" s="13"/>
      <c r="I15" s="13"/>
      <c r="J15" s="13"/>
      <c r="K15" s="13"/>
      <c r="L15" s="13"/>
      <c r="M15" s="13"/>
      <c r="N15" s="13"/>
      <c r="O15" s="11"/>
      <c r="P15" s="11"/>
    </row>
    <row r="16" spans="1:16" ht="30.75" hidden="1" thickBot="1">
      <c r="A16" s="11"/>
      <c r="B16" s="8"/>
      <c r="C16" s="20" t="s">
        <v>45</v>
      </c>
      <c r="D16" s="21" t="e">
        <f>CONCATENATE(MONTH(D17)," ",YEAR(D17), " Expense")</f>
        <v>#VALUE!</v>
      </c>
      <c r="E16" s="22" t="e">
        <f t="shared" ref="E16:N16" si="4">CONCATENATE(MONTH(E17)," ",YEAR(E17), " Expense")</f>
        <v>#VALUE!</v>
      </c>
      <c r="F16" s="22" t="e">
        <f t="shared" si="4"/>
        <v>#VALUE!</v>
      </c>
      <c r="G16" s="47"/>
      <c r="H16" s="22" t="e">
        <f t="shared" si="4"/>
        <v>#VALUE!</v>
      </c>
      <c r="I16" s="22" t="e">
        <f t="shared" si="4"/>
        <v>#VALUE!</v>
      </c>
      <c r="J16" s="22" t="e">
        <f t="shared" si="4"/>
        <v>#VALUE!</v>
      </c>
      <c r="K16" s="47"/>
      <c r="L16" s="22" t="e">
        <f t="shared" si="4"/>
        <v>#VALUE!</v>
      </c>
      <c r="M16" s="22" t="e">
        <f t="shared" si="4"/>
        <v>#VALUE!</v>
      </c>
      <c r="N16" s="22" t="e">
        <f t="shared" si="4"/>
        <v>#VALUE!</v>
      </c>
      <c r="O16" s="11"/>
      <c r="P16" s="11"/>
    </row>
    <row r="17" spans="1:16" ht="15.75" thickBot="1">
      <c r="A17" s="11"/>
      <c r="B17" s="7"/>
      <c r="C17" s="28" t="s">
        <v>23</v>
      </c>
      <c r="D17" s="29" t="str">
        <f>+D5</f>
        <v>Month Act</v>
      </c>
      <c r="E17" s="29" t="str">
        <f t="shared" ref="E17:N17" si="5">+E5</f>
        <v>Month Bud</v>
      </c>
      <c r="F17" s="29" t="str">
        <f t="shared" si="5"/>
        <v>Month Var</v>
      </c>
      <c r="G17" s="48"/>
      <c r="H17" s="29" t="str">
        <f t="shared" si="5"/>
        <v>QRT Act</v>
      </c>
      <c r="I17" s="29" t="str">
        <f t="shared" si="5"/>
        <v>QRT Bud</v>
      </c>
      <c r="J17" s="29" t="str">
        <f t="shared" si="5"/>
        <v>QRT Var</v>
      </c>
      <c r="K17" s="48"/>
      <c r="L17" s="29" t="str">
        <f t="shared" si="5"/>
        <v>YTD Act</v>
      </c>
      <c r="M17" s="29" t="str">
        <f t="shared" si="5"/>
        <v>YTD Budget</v>
      </c>
      <c r="N17" s="29" t="str">
        <f t="shared" si="5"/>
        <v>YTD Var</v>
      </c>
      <c r="O17" s="11"/>
      <c r="P17" s="11"/>
    </row>
    <row r="18" spans="1:16" ht="15.75" thickBot="1">
      <c r="A18" s="11"/>
      <c r="B18" s="7">
        <v>1</v>
      </c>
      <c r="C18" s="9" t="str">
        <f ca="1">+Introduction!F11</f>
        <v>Expense 1</v>
      </c>
      <c r="D18" s="26">
        <f ca="1">INDEX(Actual!$E$18:$P$37,Actual!B18,Introduction!$G$4)</f>
        <v>0</v>
      </c>
      <c r="E18" s="26">
        <f ca="1">INDEX(Budget!$E$18:$P$37,Actual!B18,Introduction!$G$4)</f>
        <v>0</v>
      </c>
      <c r="F18" s="26">
        <f ca="1">+E18-D18</f>
        <v>0</v>
      </c>
      <c r="G18" s="45"/>
      <c r="H18" s="26">
        <f ca="1">INDEX('Actual QTD'!$E$18:$P$37,Actual!B18,Introduction!$G$4)</f>
        <v>0</v>
      </c>
      <c r="I18" s="26">
        <f ca="1">INDEX('Budget QTD'!$E$18:$P$37,Actual!B18,Introduction!$G$4)</f>
        <v>0</v>
      </c>
      <c r="J18" s="26">
        <f ca="1">+I18-H18</f>
        <v>0</v>
      </c>
      <c r="K18" s="45"/>
      <c r="L18" s="26">
        <f ca="1">INDEX('Actual YTD'!$E$18:$P$37,Actual!B18,Introduction!$G$4)</f>
        <v>0</v>
      </c>
      <c r="M18" s="26">
        <f ca="1">INDEX('Budget YTD'!$E$18:$P$37,Actual!B18,Introduction!$G$4)</f>
        <v>0</v>
      </c>
      <c r="N18" s="26">
        <f>+M18-L18</f>
        <v>0</v>
      </c>
      <c r="O18" s="11"/>
      <c r="P18" s="11"/>
    </row>
    <row r="19" spans="1:16" ht="15.75" thickBot="1">
      <c r="A19" s="11"/>
      <c r="B19" s="7">
        <v>2</v>
      </c>
      <c r="C19" s="9" t="str">
        <f ca="1">+Introduction!F12</f>
        <v>Expense 2</v>
      </c>
      <c r="D19" s="26">
        <f ca="1">INDEX(Actual!$E$18:$P$37,Actual!B19,Introduction!$G$4)</f>
        <v>0</v>
      </c>
      <c r="E19" s="26">
        <f ca="1">INDEX(Budget!$E$18:$P$37,Actual!B19,Introduction!$G$4)</f>
        <v>0</v>
      </c>
      <c r="F19" s="26">
        <f t="shared" ref="F19:F37" si="6">+E19-D19</f>
        <v>0</v>
      </c>
      <c r="G19" s="45"/>
      <c r="H19" s="26">
        <f ca="1">INDEX('Actual QTD'!$E$18:$P$37,Actual!B19,Introduction!$G$4)</f>
        <v>0</v>
      </c>
      <c r="I19" s="26">
        <f ca="1">INDEX('Budget QTD'!$E$18:$P$37,Actual!B19,Introduction!$G$4)</f>
        <v>0</v>
      </c>
      <c r="J19" s="26">
        <f t="shared" ref="J19:J37" si="7">+I19-H19</f>
        <v>0</v>
      </c>
      <c r="K19" s="45"/>
      <c r="L19" s="26">
        <f ca="1">INDEX('Actual YTD'!$E$18:$P$37,Actual!B19,Introduction!$G$4)</f>
        <v>0</v>
      </c>
      <c r="M19" s="26">
        <f ca="1">INDEX('Budget YTD'!$E$18:$P$37,Actual!B19,Introduction!$G$4)</f>
        <v>0</v>
      </c>
      <c r="N19" s="26">
        <f t="shared" ref="N19:N37" si="8">+M19-L19</f>
        <v>0</v>
      </c>
      <c r="O19" s="11"/>
      <c r="P19" s="11"/>
    </row>
    <row r="20" spans="1:16" ht="15.75" thickBot="1">
      <c r="A20" s="11"/>
      <c r="B20" s="7">
        <v>3</v>
      </c>
      <c r="C20" s="9" t="str">
        <f ca="1">+Introduction!F13</f>
        <v>Expense 3</v>
      </c>
      <c r="D20" s="26">
        <f ca="1">INDEX(Actual!$E$18:$P$37,Actual!B20,Introduction!$G$4)</f>
        <v>0</v>
      </c>
      <c r="E20" s="26">
        <f ca="1">INDEX(Budget!$E$18:$P$37,Actual!B20,Introduction!$G$4)</f>
        <v>0</v>
      </c>
      <c r="F20" s="26">
        <f t="shared" si="6"/>
        <v>0</v>
      </c>
      <c r="G20" s="45"/>
      <c r="H20" s="26">
        <f ca="1">INDEX('Actual QTD'!$E$18:$P$37,Actual!B20,Introduction!$G$4)</f>
        <v>0</v>
      </c>
      <c r="I20" s="26">
        <f ca="1">INDEX('Budget QTD'!$E$18:$P$37,Actual!B20,Introduction!$G$4)</f>
        <v>0</v>
      </c>
      <c r="J20" s="26">
        <f t="shared" si="7"/>
        <v>0</v>
      </c>
      <c r="K20" s="45"/>
      <c r="L20" s="26">
        <f ca="1">INDEX('Actual YTD'!$E$18:$P$37,Actual!B20,Introduction!$G$4)</f>
        <v>0</v>
      </c>
      <c r="M20" s="26">
        <f ca="1">INDEX('Budget YTD'!$E$18:$P$37,Actual!B20,Introduction!$G$4)</f>
        <v>0</v>
      </c>
      <c r="N20" s="26">
        <f t="shared" si="8"/>
        <v>0</v>
      </c>
      <c r="O20" s="11"/>
      <c r="P20" s="11"/>
    </row>
    <row r="21" spans="1:16" ht="15.75" thickBot="1">
      <c r="A21" s="11"/>
      <c r="B21" s="7">
        <v>4</v>
      </c>
      <c r="C21" s="9" t="str">
        <f ca="1">+Introduction!F14</f>
        <v>Expense 4</v>
      </c>
      <c r="D21" s="26">
        <f ca="1">INDEX(Actual!$E$18:$P$37,Actual!B21,Introduction!$G$4)</f>
        <v>0</v>
      </c>
      <c r="E21" s="26">
        <f ca="1">INDEX(Budget!$E$18:$P$37,Actual!B21,Introduction!$G$4)</f>
        <v>0</v>
      </c>
      <c r="F21" s="26">
        <f t="shared" si="6"/>
        <v>0</v>
      </c>
      <c r="G21" s="45"/>
      <c r="H21" s="26">
        <f ca="1">INDEX('Actual QTD'!$E$18:$P$37,Actual!B21,Introduction!$G$4)</f>
        <v>0</v>
      </c>
      <c r="I21" s="26">
        <f ca="1">INDEX('Budget QTD'!$E$18:$P$37,Actual!B21,Introduction!$G$4)</f>
        <v>0</v>
      </c>
      <c r="J21" s="26">
        <f t="shared" si="7"/>
        <v>0</v>
      </c>
      <c r="K21" s="45"/>
      <c r="L21" s="26">
        <f ca="1">INDEX('Actual YTD'!$E$18:$P$37,Actual!B21,Introduction!$G$4)</f>
        <v>0</v>
      </c>
      <c r="M21" s="26">
        <f ca="1">INDEX('Budget YTD'!$E$18:$P$37,Actual!B21,Introduction!$G$4)</f>
        <v>0</v>
      </c>
      <c r="N21" s="26">
        <f t="shared" si="8"/>
        <v>0</v>
      </c>
      <c r="O21" s="11"/>
      <c r="P21" s="11"/>
    </row>
    <row r="22" spans="1:16" ht="15.75" thickBot="1">
      <c r="A22" s="11"/>
      <c r="B22" s="7">
        <v>5</v>
      </c>
      <c r="C22" s="9" t="str">
        <f ca="1">+Introduction!F15</f>
        <v>Expense 5</v>
      </c>
      <c r="D22" s="26">
        <f ca="1">INDEX(Actual!$E$18:$P$37,Actual!B22,Introduction!$G$4)</f>
        <v>0</v>
      </c>
      <c r="E22" s="26">
        <f ca="1">INDEX(Budget!$E$18:$P$37,Actual!B22,Introduction!$G$4)</f>
        <v>0</v>
      </c>
      <c r="F22" s="26">
        <f t="shared" si="6"/>
        <v>0</v>
      </c>
      <c r="G22" s="45"/>
      <c r="H22" s="26">
        <f ca="1">INDEX('Actual QTD'!$E$18:$P$37,Actual!B22,Introduction!$G$4)</f>
        <v>0</v>
      </c>
      <c r="I22" s="26">
        <f ca="1">INDEX('Budget QTD'!$E$18:$P$37,Actual!B22,Introduction!$G$4)</f>
        <v>0</v>
      </c>
      <c r="J22" s="26">
        <f t="shared" si="7"/>
        <v>0</v>
      </c>
      <c r="K22" s="45"/>
      <c r="L22" s="26">
        <f ca="1">INDEX('Actual YTD'!$E$18:$P$37,Actual!B22,Introduction!$G$4)</f>
        <v>0</v>
      </c>
      <c r="M22" s="26">
        <f ca="1">INDEX('Budget YTD'!$E$18:$P$37,Actual!B22,Introduction!$G$4)</f>
        <v>0</v>
      </c>
      <c r="N22" s="26">
        <f t="shared" si="8"/>
        <v>0</v>
      </c>
      <c r="O22" s="11"/>
      <c r="P22" s="11"/>
    </row>
    <row r="23" spans="1:16" ht="15.75" thickBot="1">
      <c r="A23" s="11"/>
      <c r="B23" s="7">
        <v>6</v>
      </c>
      <c r="C23" s="9" t="str">
        <f ca="1">+Introduction!F16</f>
        <v>Expense 6</v>
      </c>
      <c r="D23" s="26">
        <f ca="1">INDEX(Actual!$E$18:$P$37,Actual!B23,Introduction!$G$4)</f>
        <v>0</v>
      </c>
      <c r="E23" s="26">
        <f ca="1">INDEX(Budget!$E$18:$P$37,Actual!B23,Introduction!$G$4)</f>
        <v>0</v>
      </c>
      <c r="F23" s="26">
        <f t="shared" si="6"/>
        <v>0</v>
      </c>
      <c r="G23" s="45"/>
      <c r="H23" s="26">
        <f ca="1">INDEX('Actual QTD'!$E$18:$P$37,Actual!B23,Introduction!$G$4)</f>
        <v>0</v>
      </c>
      <c r="I23" s="26">
        <f ca="1">INDEX('Budget QTD'!$E$18:$P$37,Actual!B23,Introduction!$G$4)</f>
        <v>0</v>
      </c>
      <c r="J23" s="26">
        <f t="shared" si="7"/>
        <v>0</v>
      </c>
      <c r="K23" s="45"/>
      <c r="L23" s="26">
        <f ca="1">INDEX('Actual YTD'!$E$18:$P$37,Actual!B23,Introduction!$G$4)</f>
        <v>0</v>
      </c>
      <c r="M23" s="26">
        <f ca="1">INDEX('Budget YTD'!$E$18:$P$37,Actual!B23,Introduction!$G$4)</f>
        <v>0</v>
      </c>
      <c r="N23" s="26">
        <f t="shared" si="8"/>
        <v>0</v>
      </c>
      <c r="O23" s="11"/>
      <c r="P23" s="11"/>
    </row>
    <row r="24" spans="1:16" ht="15.75" thickBot="1">
      <c r="A24" s="11"/>
      <c r="B24" s="7">
        <v>7</v>
      </c>
      <c r="C24" s="9" t="str">
        <f ca="1">+Introduction!F17</f>
        <v>Expense 7</v>
      </c>
      <c r="D24" s="26">
        <f ca="1">INDEX(Actual!$E$18:$P$37,Actual!B24,Introduction!$G$4)</f>
        <v>0</v>
      </c>
      <c r="E24" s="26">
        <f ca="1">INDEX(Budget!$E$18:$P$37,Actual!B24,Introduction!$G$4)</f>
        <v>0</v>
      </c>
      <c r="F24" s="26">
        <f t="shared" si="6"/>
        <v>0</v>
      </c>
      <c r="G24" s="45"/>
      <c r="H24" s="26">
        <f ca="1">INDEX('Actual QTD'!$E$18:$P$37,Actual!B24,Introduction!$G$4)</f>
        <v>0</v>
      </c>
      <c r="I24" s="26">
        <f ca="1">INDEX('Budget QTD'!$E$18:$P$37,Actual!B24,Introduction!$G$4)</f>
        <v>0</v>
      </c>
      <c r="J24" s="26">
        <f t="shared" si="7"/>
        <v>0</v>
      </c>
      <c r="K24" s="45"/>
      <c r="L24" s="26">
        <f ca="1">INDEX('Actual YTD'!$E$18:$P$37,Actual!B24,Introduction!$G$4)</f>
        <v>0</v>
      </c>
      <c r="M24" s="26">
        <f ca="1">INDEX('Budget YTD'!$E$18:$P$37,Actual!B24,Introduction!$G$4)</f>
        <v>0</v>
      </c>
      <c r="N24" s="26">
        <f t="shared" si="8"/>
        <v>0</v>
      </c>
      <c r="O24" s="11"/>
      <c r="P24" s="11"/>
    </row>
    <row r="25" spans="1:16" ht="15.75" thickBot="1">
      <c r="A25" s="11"/>
      <c r="B25" s="7">
        <v>8</v>
      </c>
      <c r="C25" s="9" t="str">
        <f ca="1">+Introduction!F18</f>
        <v>Expense 8</v>
      </c>
      <c r="D25" s="26">
        <f ca="1">INDEX(Actual!$E$18:$P$37,Actual!B25,Introduction!$G$4)</f>
        <v>0</v>
      </c>
      <c r="E25" s="26">
        <f ca="1">INDEX(Budget!$E$18:$P$37,Actual!B25,Introduction!$G$4)</f>
        <v>0</v>
      </c>
      <c r="F25" s="26">
        <f t="shared" si="6"/>
        <v>0</v>
      </c>
      <c r="G25" s="45"/>
      <c r="H25" s="26">
        <f ca="1">INDEX('Actual QTD'!$E$18:$P$37,Actual!B25,Introduction!$G$4)</f>
        <v>0</v>
      </c>
      <c r="I25" s="26">
        <f ca="1">INDEX('Budget QTD'!$E$18:$P$37,Actual!B25,Introduction!$G$4)</f>
        <v>0</v>
      </c>
      <c r="J25" s="26">
        <f t="shared" si="7"/>
        <v>0</v>
      </c>
      <c r="K25" s="45"/>
      <c r="L25" s="26">
        <f ca="1">INDEX('Actual YTD'!$E$18:$P$37,Actual!B25,Introduction!$G$4)</f>
        <v>0</v>
      </c>
      <c r="M25" s="26">
        <f ca="1">INDEX('Budget YTD'!$E$18:$P$37,Actual!B25,Introduction!$G$4)</f>
        <v>0</v>
      </c>
      <c r="N25" s="26">
        <f t="shared" si="8"/>
        <v>0</v>
      </c>
      <c r="O25" s="11"/>
      <c r="P25" s="11"/>
    </row>
    <row r="26" spans="1:16" ht="15.75" thickBot="1">
      <c r="A26" s="11"/>
      <c r="B26" s="7">
        <v>9</v>
      </c>
      <c r="C26" s="9" t="str">
        <f ca="1">+Introduction!F19</f>
        <v>Expense 9</v>
      </c>
      <c r="D26" s="26">
        <f ca="1">INDEX(Actual!$E$18:$P$37,Actual!B26,Introduction!$G$4)</f>
        <v>0</v>
      </c>
      <c r="E26" s="26">
        <f ca="1">INDEX(Budget!$E$18:$P$37,Actual!B26,Introduction!$G$4)</f>
        <v>0</v>
      </c>
      <c r="F26" s="26">
        <f t="shared" si="6"/>
        <v>0</v>
      </c>
      <c r="G26" s="45"/>
      <c r="H26" s="26">
        <f ca="1">INDEX('Actual QTD'!$E$18:$P$37,Actual!B26,Introduction!$G$4)</f>
        <v>0</v>
      </c>
      <c r="I26" s="26">
        <f ca="1">INDEX('Budget QTD'!$E$18:$P$37,Actual!B26,Introduction!$G$4)</f>
        <v>0</v>
      </c>
      <c r="J26" s="26">
        <f t="shared" si="7"/>
        <v>0</v>
      </c>
      <c r="K26" s="45"/>
      <c r="L26" s="26">
        <f ca="1">INDEX('Actual YTD'!$E$18:$P$37,Actual!B26,Introduction!$G$4)</f>
        <v>0</v>
      </c>
      <c r="M26" s="26">
        <f ca="1">INDEX('Budget YTD'!$E$18:$P$37,Actual!B26,Introduction!$G$4)</f>
        <v>0</v>
      </c>
      <c r="N26" s="26">
        <f t="shared" si="8"/>
        <v>0</v>
      </c>
      <c r="O26" s="11"/>
      <c r="P26" s="11"/>
    </row>
    <row r="27" spans="1:16" ht="15.75" thickBot="1">
      <c r="A27" s="11"/>
      <c r="B27" s="7">
        <v>10</v>
      </c>
      <c r="C27" s="9" t="str">
        <f ca="1">+Introduction!F20</f>
        <v>Expense 10</v>
      </c>
      <c r="D27" s="26">
        <f ca="1">INDEX(Actual!$E$18:$P$37,Actual!B27,Introduction!$G$4)</f>
        <v>0</v>
      </c>
      <c r="E27" s="26">
        <f ca="1">INDEX(Budget!$E$18:$P$37,Actual!B27,Introduction!$G$4)</f>
        <v>0</v>
      </c>
      <c r="F27" s="26">
        <f t="shared" si="6"/>
        <v>0</v>
      </c>
      <c r="G27" s="45"/>
      <c r="H27" s="26">
        <f ca="1">INDEX('Actual QTD'!$E$18:$P$37,Actual!B27,Introduction!$G$4)</f>
        <v>0</v>
      </c>
      <c r="I27" s="26">
        <f ca="1">INDEX('Budget QTD'!$E$18:$P$37,Actual!B27,Introduction!$G$4)</f>
        <v>0</v>
      </c>
      <c r="J27" s="26">
        <f t="shared" si="7"/>
        <v>0</v>
      </c>
      <c r="K27" s="45"/>
      <c r="L27" s="26">
        <f ca="1">INDEX('Actual YTD'!$E$18:$P$37,Actual!B27,Introduction!$G$4)</f>
        <v>0</v>
      </c>
      <c r="M27" s="26">
        <f ca="1">INDEX('Budget YTD'!$E$18:$P$37,Actual!B27,Introduction!$G$4)</f>
        <v>0</v>
      </c>
      <c r="N27" s="26">
        <f t="shared" si="8"/>
        <v>0</v>
      </c>
      <c r="O27" s="11"/>
      <c r="P27" s="11"/>
    </row>
    <row r="28" spans="1:16" ht="15.75" thickBot="1">
      <c r="A28" s="11"/>
      <c r="B28" s="7">
        <v>11</v>
      </c>
      <c r="C28" s="9" t="str">
        <f ca="1">+Introduction!F21</f>
        <v>Expense 11</v>
      </c>
      <c r="D28" s="26">
        <f ca="1">INDEX(Actual!$E$18:$P$37,Actual!B28,Introduction!$G$4)</f>
        <v>0</v>
      </c>
      <c r="E28" s="26">
        <f ca="1">INDEX(Budget!$E$18:$P$37,Actual!B28,Introduction!$G$4)</f>
        <v>0</v>
      </c>
      <c r="F28" s="26">
        <f t="shared" si="6"/>
        <v>0</v>
      </c>
      <c r="G28" s="45"/>
      <c r="H28" s="26">
        <f ca="1">INDEX('Actual QTD'!$E$18:$P$37,Actual!B28,Introduction!$G$4)</f>
        <v>0</v>
      </c>
      <c r="I28" s="26">
        <f ca="1">INDEX('Budget QTD'!$E$18:$P$37,Actual!B28,Introduction!$G$4)</f>
        <v>0</v>
      </c>
      <c r="J28" s="26">
        <f t="shared" si="7"/>
        <v>0</v>
      </c>
      <c r="K28" s="45"/>
      <c r="L28" s="26">
        <f ca="1">INDEX('Actual YTD'!$E$18:$P$37,Actual!B28,Introduction!$G$4)</f>
        <v>0</v>
      </c>
      <c r="M28" s="26">
        <f ca="1">INDEX('Budget YTD'!$E$18:$P$37,Actual!B28,Introduction!$G$4)</f>
        <v>0</v>
      </c>
      <c r="N28" s="26">
        <f t="shared" si="8"/>
        <v>0</v>
      </c>
      <c r="O28" s="11"/>
      <c r="P28" s="11"/>
    </row>
    <row r="29" spans="1:16" ht="15.75" thickBot="1">
      <c r="A29" s="11"/>
      <c r="B29" s="7">
        <v>12</v>
      </c>
      <c r="C29" s="9" t="str">
        <f ca="1">+Introduction!F22</f>
        <v>Expense 12</v>
      </c>
      <c r="D29" s="26">
        <f ca="1">INDEX(Actual!$E$18:$P$37,Actual!B29,Introduction!$G$4)</f>
        <v>0</v>
      </c>
      <c r="E29" s="26">
        <f ca="1">INDEX(Budget!$E$18:$P$37,Actual!B29,Introduction!$G$4)</f>
        <v>0</v>
      </c>
      <c r="F29" s="26">
        <f t="shared" si="6"/>
        <v>0</v>
      </c>
      <c r="G29" s="45"/>
      <c r="H29" s="26">
        <f ca="1">INDEX('Actual QTD'!$E$18:$P$37,Actual!B29,Introduction!$G$4)</f>
        <v>0</v>
      </c>
      <c r="I29" s="26">
        <f ca="1">INDEX('Budget QTD'!$E$18:$P$37,Actual!B29,Introduction!$G$4)</f>
        <v>0</v>
      </c>
      <c r="J29" s="26">
        <f t="shared" si="7"/>
        <v>0</v>
      </c>
      <c r="K29" s="45"/>
      <c r="L29" s="26">
        <f ca="1">INDEX('Actual YTD'!$E$18:$P$37,Actual!B29,Introduction!$G$4)</f>
        <v>0</v>
      </c>
      <c r="M29" s="26">
        <f ca="1">INDEX('Budget YTD'!$E$18:$P$37,Actual!B29,Introduction!$G$4)</f>
        <v>0</v>
      </c>
      <c r="N29" s="26">
        <f t="shared" si="8"/>
        <v>0</v>
      </c>
      <c r="O29" s="11"/>
      <c r="P29" s="11"/>
    </row>
    <row r="30" spans="1:16" ht="15.75" thickBot="1">
      <c r="A30" s="11"/>
      <c r="B30" s="7">
        <v>13</v>
      </c>
      <c r="C30" s="9" t="str">
        <f ca="1">+Introduction!F23</f>
        <v>Expense 13</v>
      </c>
      <c r="D30" s="26">
        <f ca="1">INDEX(Actual!$E$18:$P$37,Actual!B30,Introduction!$G$4)</f>
        <v>0</v>
      </c>
      <c r="E30" s="26">
        <f ca="1">INDEX(Budget!$E$18:$P$37,Actual!B30,Introduction!$G$4)</f>
        <v>0</v>
      </c>
      <c r="F30" s="26">
        <f t="shared" si="6"/>
        <v>0</v>
      </c>
      <c r="G30" s="45"/>
      <c r="H30" s="26">
        <f ca="1">INDEX('Actual QTD'!$E$18:$P$37,Actual!B30,Introduction!$G$4)</f>
        <v>0</v>
      </c>
      <c r="I30" s="26">
        <f ca="1">INDEX('Budget QTD'!$E$18:$P$37,Actual!B30,Introduction!$G$4)</f>
        <v>0</v>
      </c>
      <c r="J30" s="26">
        <f t="shared" si="7"/>
        <v>0</v>
      </c>
      <c r="K30" s="45"/>
      <c r="L30" s="26">
        <f ca="1">INDEX('Actual YTD'!$E$18:$P$37,Actual!B30,Introduction!$G$4)</f>
        <v>0</v>
      </c>
      <c r="M30" s="26">
        <f ca="1">INDEX('Budget YTD'!$E$18:$P$37,Actual!B30,Introduction!$G$4)</f>
        <v>0</v>
      </c>
      <c r="N30" s="26">
        <f t="shared" si="8"/>
        <v>0</v>
      </c>
      <c r="O30" s="11"/>
      <c r="P30" s="11"/>
    </row>
    <row r="31" spans="1:16" ht="15.75" thickBot="1">
      <c r="A31" s="11"/>
      <c r="B31" s="7">
        <v>14</v>
      </c>
      <c r="C31" s="9" t="str">
        <f ca="1">+Introduction!F24</f>
        <v>Expense 14</v>
      </c>
      <c r="D31" s="26">
        <f ca="1">INDEX(Actual!$E$18:$P$37,Actual!B31,Introduction!$G$4)</f>
        <v>0</v>
      </c>
      <c r="E31" s="26">
        <f ca="1">INDEX(Budget!$E$18:$P$37,Actual!B31,Introduction!$G$4)</f>
        <v>0</v>
      </c>
      <c r="F31" s="26">
        <f t="shared" si="6"/>
        <v>0</v>
      </c>
      <c r="G31" s="45"/>
      <c r="H31" s="26">
        <f ca="1">INDEX('Actual QTD'!$E$18:$P$37,Actual!B31,Introduction!$G$4)</f>
        <v>0</v>
      </c>
      <c r="I31" s="26">
        <f ca="1">INDEX('Budget QTD'!$E$18:$P$37,Actual!B31,Introduction!$G$4)</f>
        <v>0</v>
      </c>
      <c r="J31" s="26">
        <f t="shared" si="7"/>
        <v>0</v>
      </c>
      <c r="K31" s="45"/>
      <c r="L31" s="26">
        <f ca="1">INDEX('Actual YTD'!$E$18:$P$37,Actual!B31,Introduction!$G$4)</f>
        <v>0</v>
      </c>
      <c r="M31" s="26">
        <f ca="1">INDEX('Budget YTD'!$E$18:$P$37,Actual!B31,Introduction!$G$4)</f>
        <v>0</v>
      </c>
      <c r="N31" s="26">
        <f t="shared" si="8"/>
        <v>0</v>
      </c>
      <c r="O31" s="11"/>
      <c r="P31" s="11"/>
    </row>
    <row r="32" spans="1:16" ht="15.75" thickBot="1">
      <c r="A32" s="11"/>
      <c r="B32" s="7">
        <v>15</v>
      </c>
      <c r="C32" s="9" t="str">
        <f ca="1">+Introduction!F25</f>
        <v>Expense 15</v>
      </c>
      <c r="D32" s="26">
        <f ca="1">INDEX(Actual!$E$18:$P$37,Actual!B32,Introduction!$G$4)</f>
        <v>0</v>
      </c>
      <c r="E32" s="26">
        <f ca="1">INDEX(Budget!$E$18:$P$37,Actual!B32,Introduction!$G$4)</f>
        <v>0</v>
      </c>
      <c r="F32" s="26">
        <f t="shared" si="6"/>
        <v>0</v>
      </c>
      <c r="G32" s="45"/>
      <c r="H32" s="26">
        <f ca="1">INDEX('Actual QTD'!$E$18:$P$37,Actual!B32,Introduction!$G$4)</f>
        <v>0</v>
      </c>
      <c r="I32" s="26">
        <f ca="1">INDEX('Budget QTD'!$E$18:$P$37,Actual!B32,Introduction!$G$4)</f>
        <v>0</v>
      </c>
      <c r="J32" s="26">
        <f t="shared" si="7"/>
        <v>0</v>
      </c>
      <c r="K32" s="45"/>
      <c r="L32" s="26">
        <f ca="1">INDEX('Actual YTD'!$E$18:$P$37,Actual!B32,Introduction!$G$4)</f>
        <v>0</v>
      </c>
      <c r="M32" s="26">
        <f ca="1">INDEX('Budget YTD'!$E$18:$P$37,Actual!B32,Introduction!$G$4)</f>
        <v>0</v>
      </c>
      <c r="N32" s="26">
        <f t="shared" si="8"/>
        <v>0</v>
      </c>
      <c r="O32" s="11"/>
      <c r="P32" s="11"/>
    </row>
    <row r="33" spans="1:16" ht="15.75" thickBot="1">
      <c r="A33" s="11"/>
      <c r="B33" s="7">
        <v>16</v>
      </c>
      <c r="C33" s="9" t="str">
        <f ca="1">+Introduction!F26</f>
        <v>Expense 16</v>
      </c>
      <c r="D33" s="26">
        <f ca="1">INDEX(Actual!$E$18:$P$37,Actual!B33,Introduction!$G$4)</f>
        <v>0</v>
      </c>
      <c r="E33" s="26">
        <f ca="1">INDEX(Budget!$E$18:$P$37,Actual!B33,Introduction!$G$4)</f>
        <v>0</v>
      </c>
      <c r="F33" s="26">
        <f t="shared" si="6"/>
        <v>0</v>
      </c>
      <c r="G33" s="45"/>
      <c r="H33" s="26">
        <f ca="1">INDEX('Actual QTD'!$E$18:$P$37,Actual!B33,Introduction!$G$4)</f>
        <v>0</v>
      </c>
      <c r="I33" s="26">
        <f ca="1">INDEX('Budget QTD'!$E$18:$P$37,Actual!B33,Introduction!$G$4)</f>
        <v>0</v>
      </c>
      <c r="J33" s="26">
        <f t="shared" si="7"/>
        <v>0</v>
      </c>
      <c r="K33" s="45"/>
      <c r="L33" s="26">
        <f ca="1">INDEX('Actual YTD'!$E$18:$P$37,Actual!B33,Introduction!$G$4)</f>
        <v>0</v>
      </c>
      <c r="M33" s="26">
        <f ca="1">INDEX('Budget YTD'!$E$18:$P$37,Actual!B33,Introduction!$G$4)</f>
        <v>0</v>
      </c>
      <c r="N33" s="26">
        <f t="shared" si="8"/>
        <v>0</v>
      </c>
      <c r="O33" s="11"/>
      <c r="P33" s="11"/>
    </row>
    <row r="34" spans="1:16" ht="15.75" thickBot="1">
      <c r="A34" s="11"/>
      <c r="B34" s="7">
        <v>17</v>
      </c>
      <c r="C34" s="9" t="str">
        <f ca="1">+Introduction!F27</f>
        <v>Expense 17</v>
      </c>
      <c r="D34" s="26">
        <f ca="1">INDEX(Actual!$E$18:$P$37,Actual!B34,Introduction!$G$4)</f>
        <v>0</v>
      </c>
      <c r="E34" s="26">
        <f ca="1">INDEX(Budget!$E$18:$P$37,Actual!B34,Introduction!$G$4)</f>
        <v>0</v>
      </c>
      <c r="F34" s="26">
        <f t="shared" si="6"/>
        <v>0</v>
      </c>
      <c r="G34" s="45"/>
      <c r="H34" s="26">
        <f ca="1">INDEX('Actual QTD'!$E$18:$P$37,Actual!B34,Introduction!$G$4)</f>
        <v>0</v>
      </c>
      <c r="I34" s="26">
        <f ca="1">INDEX('Budget QTD'!$E$18:$P$37,Actual!B34,Introduction!$G$4)</f>
        <v>0</v>
      </c>
      <c r="J34" s="26">
        <f t="shared" si="7"/>
        <v>0</v>
      </c>
      <c r="K34" s="45"/>
      <c r="L34" s="26">
        <f ca="1">INDEX('Actual YTD'!$E$18:$P$37,Actual!B34,Introduction!$G$4)</f>
        <v>0</v>
      </c>
      <c r="M34" s="26">
        <f ca="1">INDEX('Budget YTD'!$E$18:$P$37,Actual!B34,Introduction!$G$4)</f>
        <v>0</v>
      </c>
      <c r="N34" s="26">
        <f t="shared" si="8"/>
        <v>0</v>
      </c>
      <c r="O34" s="11"/>
      <c r="P34" s="11"/>
    </row>
    <row r="35" spans="1:16" ht="15.75" thickBot="1">
      <c r="A35" s="11"/>
      <c r="B35" s="7">
        <v>18</v>
      </c>
      <c r="C35" s="9" t="str">
        <f ca="1">+Introduction!F28</f>
        <v>Expense 18</v>
      </c>
      <c r="D35" s="26">
        <f ca="1">INDEX(Actual!$E$18:$P$37,Actual!B35,Introduction!$G$4)</f>
        <v>0</v>
      </c>
      <c r="E35" s="26">
        <f ca="1">INDEX(Budget!$E$18:$P$37,Actual!B35,Introduction!$G$4)</f>
        <v>0</v>
      </c>
      <c r="F35" s="26">
        <f t="shared" si="6"/>
        <v>0</v>
      </c>
      <c r="G35" s="45"/>
      <c r="H35" s="26">
        <f ca="1">INDEX('Actual QTD'!$E$18:$P$37,Actual!B35,Introduction!$G$4)</f>
        <v>0</v>
      </c>
      <c r="I35" s="26">
        <f ca="1">INDEX('Budget QTD'!$E$18:$P$37,Actual!B35,Introduction!$G$4)</f>
        <v>0</v>
      </c>
      <c r="J35" s="26">
        <f t="shared" si="7"/>
        <v>0</v>
      </c>
      <c r="K35" s="45"/>
      <c r="L35" s="26">
        <f ca="1">INDEX('Actual YTD'!$E$18:$P$37,Actual!B35,Introduction!$G$4)</f>
        <v>0</v>
      </c>
      <c r="M35" s="26">
        <f ca="1">INDEX('Budget YTD'!$E$18:$P$37,Actual!B35,Introduction!$G$4)</f>
        <v>0</v>
      </c>
      <c r="N35" s="26">
        <f t="shared" si="8"/>
        <v>0</v>
      </c>
      <c r="O35" s="11"/>
      <c r="P35" s="11"/>
    </row>
    <row r="36" spans="1:16" ht="15.75" thickBot="1">
      <c r="A36" s="11"/>
      <c r="B36" s="7">
        <v>19</v>
      </c>
      <c r="C36" s="9" t="str">
        <f ca="1">+Introduction!F29</f>
        <v>Expense 19</v>
      </c>
      <c r="D36" s="26">
        <f ca="1">INDEX(Actual!$E$18:$P$37,Actual!B36,Introduction!$G$4)</f>
        <v>0</v>
      </c>
      <c r="E36" s="26">
        <f ca="1">INDEX(Budget!$E$18:$P$37,Actual!B36,Introduction!$G$4)</f>
        <v>0</v>
      </c>
      <c r="F36" s="26">
        <f t="shared" si="6"/>
        <v>0</v>
      </c>
      <c r="G36" s="45"/>
      <c r="H36" s="26">
        <f ca="1">INDEX('Actual QTD'!$E$18:$P$37,Actual!B36,Introduction!$G$4)</f>
        <v>0</v>
      </c>
      <c r="I36" s="26">
        <f ca="1">INDEX('Budget QTD'!$E$18:$P$37,Actual!B36,Introduction!$G$4)</f>
        <v>0</v>
      </c>
      <c r="J36" s="26">
        <f t="shared" si="7"/>
        <v>0</v>
      </c>
      <c r="K36" s="45"/>
      <c r="L36" s="26">
        <f ca="1">INDEX('Actual YTD'!$E$18:$P$37,Actual!B36,Introduction!$G$4)</f>
        <v>0</v>
      </c>
      <c r="M36" s="26">
        <f ca="1">INDEX('Budget YTD'!$E$18:$P$37,Actual!B36,Introduction!$G$4)</f>
        <v>0</v>
      </c>
      <c r="N36" s="26">
        <f t="shared" si="8"/>
        <v>0</v>
      </c>
      <c r="O36" s="11"/>
      <c r="P36" s="11"/>
    </row>
    <row r="37" spans="1:16" ht="15.75" thickBot="1">
      <c r="A37" s="11"/>
      <c r="B37" s="7">
        <v>20</v>
      </c>
      <c r="C37" s="9" t="str">
        <f ca="1">+Introduction!F30</f>
        <v>IRA Contribution</v>
      </c>
      <c r="D37" s="26">
        <f ca="1">INDEX(Actual!$E$18:$P$37,Actual!B37,Introduction!$G$4)</f>
        <v>0</v>
      </c>
      <c r="E37" s="26">
        <f ca="1">INDEX(Budget!$E$18:$P$37,Actual!B37,Introduction!$G$4)</f>
        <v>0</v>
      </c>
      <c r="F37" s="26">
        <f t="shared" si="6"/>
        <v>0</v>
      </c>
      <c r="G37" s="45"/>
      <c r="H37" s="26">
        <f ca="1">INDEX('Actual QTD'!$E$18:$P$37,Actual!B37,Introduction!$G$4)</f>
        <v>0</v>
      </c>
      <c r="I37" s="26">
        <f ca="1">INDEX('Budget QTD'!$E$18:$P$37,Actual!B37,Introduction!$G$4)</f>
        <v>0</v>
      </c>
      <c r="J37" s="26">
        <f t="shared" si="7"/>
        <v>0</v>
      </c>
      <c r="K37" s="45"/>
      <c r="L37" s="26">
        <f ca="1">INDEX('Actual YTD'!$E$18:$P$37,Actual!B37,Introduction!$G$4)</f>
        <v>0</v>
      </c>
      <c r="M37" s="26">
        <f ca="1">INDEX('Budget YTD'!$E$18:$P$37,Actual!B37,Introduction!$G$4)</f>
        <v>0</v>
      </c>
      <c r="N37" s="26">
        <f t="shared" si="8"/>
        <v>0</v>
      </c>
      <c r="O37" s="11"/>
      <c r="P37" s="11"/>
    </row>
    <row r="38" spans="1:16" ht="15.75" thickBot="1">
      <c r="A38" s="11"/>
      <c r="B38" s="131"/>
      <c r="C38" s="124" t="s">
        <v>24</v>
      </c>
      <c r="D38" s="126">
        <f>SUM(D18:D37)</f>
        <v>0</v>
      </c>
      <c r="E38" s="126">
        <f>SUM(E18:E37)</f>
        <v>0</v>
      </c>
      <c r="F38" s="126">
        <f>SUM(F18:F37)</f>
        <v>0</v>
      </c>
      <c r="G38" s="45"/>
      <c r="H38" s="126">
        <f>SUM(H18:H37)</f>
        <v>0</v>
      </c>
      <c r="I38" s="126">
        <f>SUM(I18:I37)</f>
        <v>0</v>
      </c>
      <c r="J38" s="126">
        <f>SUM(J18:J37)</f>
        <v>0</v>
      </c>
      <c r="K38" s="45"/>
      <c r="L38" s="126">
        <f>SUM(L18:L37)</f>
        <v>0</v>
      </c>
      <c r="M38" s="126">
        <f>SUM(M18:M37)</f>
        <v>0</v>
      </c>
      <c r="N38" s="126">
        <f>SUM(N18:N37)</f>
        <v>0</v>
      </c>
      <c r="O38" s="11"/>
      <c r="P38" s="11"/>
    </row>
    <row r="39" spans="1:16" ht="9" customHeight="1" thickBot="1">
      <c r="A39" s="11"/>
      <c r="B39" s="12"/>
      <c r="C39" s="11"/>
      <c r="D39" s="13"/>
      <c r="E39" s="13"/>
      <c r="F39" s="13"/>
      <c r="G39" s="45"/>
      <c r="H39" s="13"/>
      <c r="I39" s="13"/>
      <c r="J39" s="13"/>
      <c r="K39" s="13"/>
      <c r="L39" s="13"/>
      <c r="M39" s="13"/>
      <c r="N39" s="13"/>
      <c r="O39" s="11"/>
      <c r="P39" s="11"/>
    </row>
    <row r="40" spans="1:16" ht="15.75" thickBot="1">
      <c r="A40" s="11"/>
      <c r="B40" s="147"/>
      <c r="C40" s="144" t="s">
        <v>25</v>
      </c>
      <c r="D40" s="146">
        <f>+D14-D38</f>
        <v>0</v>
      </c>
      <c r="E40" s="146">
        <f>+E14-E38</f>
        <v>0</v>
      </c>
      <c r="F40" s="146">
        <f>+D40-E40</f>
        <v>0</v>
      </c>
      <c r="G40" s="146"/>
      <c r="H40" s="146">
        <f>+H14-H38</f>
        <v>0</v>
      </c>
      <c r="I40" s="146">
        <f>+I14-I38</f>
        <v>0</v>
      </c>
      <c r="J40" s="146">
        <f>+H40-I40</f>
        <v>0</v>
      </c>
      <c r="K40" s="149"/>
      <c r="L40" s="146">
        <f>+L14-L38</f>
        <v>0</v>
      </c>
      <c r="M40" s="146">
        <f>+M14-M38</f>
        <v>0</v>
      </c>
      <c r="N40" s="146">
        <f>+L40-M40</f>
        <v>0</v>
      </c>
      <c r="O40" s="11"/>
      <c r="P40" s="11"/>
    </row>
    <row r="41" spans="1:16" ht="8.25" customHeight="1" thickBot="1">
      <c r="A41" s="11"/>
      <c r="B41" s="12"/>
      <c r="C41" s="11"/>
      <c r="D41" s="13"/>
      <c r="E41" s="13"/>
      <c r="F41" s="13"/>
      <c r="G41" s="45"/>
      <c r="H41" s="13"/>
      <c r="I41" s="13"/>
      <c r="J41" s="13"/>
      <c r="K41" s="13"/>
      <c r="L41" s="13"/>
      <c r="M41" s="13"/>
      <c r="N41" s="13"/>
      <c r="O41" s="11"/>
      <c r="P41" s="11"/>
    </row>
    <row r="42" spans="1:16" ht="15.75" thickBot="1">
      <c r="A42" s="11"/>
      <c r="B42" s="7">
        <v>1</v>
      </c>
      <c r="C42" s="31" t="s">
        <v>27</v>
      </c>
      <c r="D42" s="26">
        <f ca="1">INDEX(Actual!$E$42:$P$42,Actual!$B42,Introduction!$G$4)</f>
        <v>0</v>
      </c>
      <c r="E42" s="10">
        <f ca="1">INDEX(Budget!$E$42:$P$42,Actual!$B42,Introduction!$G$4)</f>
        <v>0</v>
      </c>
      <c r="F42" s="26">
        <f ca="1">+D42-E42</f>
        <v>0</v>
      </c>
      <c r="G42" s="46"/>
      <c r="H42" s="26">
        <f ca="1">INDEX('Actual QTD'!$E$42:$P$42,'Actual QTD'!$B42,Introduction!$G$4)</f>
        <v>0</v>
      </c>
      <c r="I42" s="26">
        <f ca="1">INDEX('Budget QTD'!$E$42:$P$42,'Actual QTD'!$B42,Introduction!$G$4)</f>
        <v>0</v>
      </c>
      <c r="J42" s="26">
        <f ca="1">+H42-I42</f>
        <v>0</v>
      </c>
      <c r="K42" s="13"/>
      <c r="L42" s="26">
        <f ca="1">INDEX('Actual YTD'!$E$42:$P$42,Actual!$B42,Introduction!$G$4)</f>
        <v>0</v>
      </c>
      <c r="M42" s="26">
        <f ca="1">INDEX('Budget YTD'!$E$42:$P$42,'Actual QTD'!$B42,Introduction!$G$4)</f>
        <v>0</v>
      </c>
      <c r="N42" s="26">
        <f>+L42-M42</f>
        <v>0</v>
      </c>
      <c r="O42" s="11"/>
      <c r="P42" s="11"/>
    </row>
    <row r="43" spans="1:16" ht="15.75" thickBot="1">
      <c r="A43" s="11"/>
      <c r="B43" s="7">
        <v>2</v>
      </c>
      <c r="C43" s="31" t="s">
        <v>26</v>
      </c>
      <c r="D43" s="26">
        <f>+D40</f>
        <v>0</v>
      </c>
      <c r="E43" s="10">
        <f>+E40</f>
        <v>0</v>
      </c>
      <c r="F43" s="26">
        <f>+F40</f>
        <v>0</v>
      </c>
      <c r="G43" s="46"/>
      <c r="H43" s="26">
        <f>+H40</f>
        <v>0</v>
      </c>
      <c r="I43" s="10">
        <f>+I40</f>
        <v>0</v>
      </c>
      <c r="J43" s="26">
        <f>+J40</f>
        <v>0</v>
      </c>
      <c r="K43" s="46"/>
      <c r="L43" s="26">
        <f>+L40</f>
        <v>0</v>
      </c>
      <c r="M43" s="10">
        <f>+M40</f>
        <v>0</v>
      </c>
      <c r="N43" s="26">
        <f>+N40</f>
        <v>0</v>
      </c>
      <c r="O43" s="11"/>
      <c r="P43" s="11"/>
    </row>
    <row r="44" spans="1:16" ht="15.75" thickBot="1">
      <c r="A44" s="11"/>
      <c r="B44" s="7">
        <v>3</v>
      </c>
      <c r="C44" s="31" t="s">
        <v>28</v>
      </c>
      <c r="D44" s="10">
        <f>+D42+D43</f>
        <v>0</v>
      </c>
      <c r="E44" s="10">
        <f>+E42+E43</f>
        <v>0</v>
      </c>
      <c r="F44" s="10">
        <f>+F42+F43</f>
        <v>0</v>
      </c>
      <c r="G44" s="46"/>
      <c r="H44" s="10">
        <f>+H42+H43</f>
        <v>0</v>
      </c>
      <c r="I44" s="10">
        <f>+I42+I43</f>
        <v>0</v>
      </c>
      <c r="J44" s="10">
        <f>+J42+J43</f>
        <v>0</v>
      </c>
      <c r="K44" s="46"/>
      <c r="L44" s="10">
        <f>+L42+L43</f>
        <v>0</v>
      </c>
      <c r="M44" s="10">
        <f>+M42+M43</f>
        <v>0</v>
      </c>
      <c r="N44" s="10">
        <f>+N42+N43</f>
        <v>0</v>
      </c>
      <c r="O44" s="11"/>
      <c r="P44" s="11"/>
    </row>
    <row r="45" spans="1:16" ht="15.75" thickBot="1">
      <c r="A45" s="11"/>
      <c r="B45" s="11"/>
      <c r="C45" s="11"/>
      <c r="D45" s="11"/>
      <c r="E45" s="11"/>
      <c r="F45" s="11"/>
      <c r="G45" s="11"/>
      <c r="H45" s="11"/>
      <c r="I45" s="11"/>
      <c r="J45" s="11"/>
      <c r="K45" s="11"/>
      <c r="L45" s="11"/>
      <c r="M45" s="11"/>
      <c r="N45" s="11"/>
      <c r="O45" s="11"/>
      <c r="P45" s="11"/>
    </row>
    <row r="46" spans="1:16" ht="15.75" thickBot="1">
      <c r="A46" s="11"/>
      <c r="B46" s="7">
        <v>1</v>
      </c>
      <c r="C46" s="9" t="s">
        <v>30</v>
      </c>
      <c r="D46" s="26">
        <f ca="1">INDEX(Actual!$E$46:$P$46,'Budget Actual Comparision'!$B46,Introduction!$G$4)</f>
        <v>0</v>
      </c>
      <c r="E46" s="26">
        <f ca="1">INDEX(Budget!$E$46:$P$46,'Budget Actual Comparision'!$B46,Introduction!$G$4)</f>
        <v>0</v>
      </c>
      <c r="F46" s="26">
        <f ca="1">+E46-D46</f>
        <v>0</v>
      </c>
      <c r="G46" s="46"/>
      <c r="H46" s="10">
        <f ca="1">INDEX('Actual QTD'!$E$46:$P$46,'Budget Actual Comparision'!$B46,Introduction!$G$4)</f>
        <v>0</v>
      </c>
      <c r="I46" s="10">
        <f ca="1">INDEX('Budget QTD'!$E$46:$P$46,'Budget Actual Comparision'!$B46,Introduction!$G$4)</f>
        <v>0</v>
      </c>
      <c r="J46" s="26">
        <f ca="1">+I46-H46</f>
        <v>0</v>
      </c>
      <c r="K46" s="46"/>
      <c r="L46" s="10">
        <f ca="1">INDEX('Actual YTD'!$E$46:$P$46,'Budget Actual Comparision'!$B46,Introduction!$G$4)</f>
        <v>0</v>
      </c>
      <c r="M46" s="10">
        <f ca="1">INDEX('Budget YTD'!$E$46:$P$46,'Budget Actual Comparision'!$B46,Introduction!$G$4)</f>
        <v>0</v>
      </c>
      <c r="N46" s="26">
        <f>+M46-L46</f>
        <v>0</v>
      </c>
      <c r="O46" s="11"/>
      <c r="P46" s="11"/>
    </row>
    <row r="47" spans="1:16">
      <c r="A47" s="11"/>
      <c r="B47" s="11"/>
      <c r="C47" s="11"/>
      <c r="D47" s="11"/>
      <c r="E47" s="11"/>
      <c r="F47" s="11"/>
      <c r="G47" s="11"/>
      <c r="H47" s="11"/>
      <c r="I47" s="11"/>
      <c r="J47" s="11"/>
      <c r="K47" s="11"/>
      <c r="L47" s="11"/>
      <c r="M47" s="11"/>
      <c r="N47" s="11"/>
      <c r="O47" s="11"/>
      <c r="P47" s="11"/>
    </row>
  </sheetData>
  <sheetProtection password="CF0F" sheet="1" objects="1" scenarios="1" formatColumns="0"/>
  <mergeCells count="2">
    <mergeCell ref="B2:N2"/>
    <mergeCell ref="B5:C5"/>
  </mergeCells>
  <phoneticPr fontId="21" type="noConversion"/>
  <conditionalFormatting sqref="K43">
    <cfRule type="cellIs" dxfId="7" priority="2" operator="greaterThan">
      <formula>0</formula>
    </cfRule>
    <cfRule type="colorScale" priority="1">
      <colorScale>
        <cfvo type="formula" val="&quot;&lt;0&quot;"/>
        <cfvo type="formula" val="&quot;&gt;=0&quot;"/>
        <color rgb="FFFF0000"/>
        <color theme="6" tint="-0.499984740745262"/>
      </colorScale>
    </cfRule>
    <cfRule type="colorScale" priority="3">
      <colorScale>
        <cfvo type="min" val="0"/>
        <cfvo type="max" val="0"/>
        <color rgb="FFF8696B"/>
        <color rgb="FF63BE7B"/>
      </colorScale>
    </cfRule>
  </conditionalFormatting>
  <conditionalFormatting sqref="G43">
    <cfRule type="cellIs" dxfId="6" priority="8" operator="greaterThan">
      <formula>0</formula>
    </cfRule>
    <cfRule type="colorScale" priority="7">
      <colorScale>
        <cfvo type="formula" val="&quot;&lt;0&quot;"/>
        <cfvo type="formula" val="&quot;&gt;=0&quot;"/>
        <color rgb="FFFF0000"/>
        <color theme="6" tint="-0.499984740745262"/>
      </colorScale>
    </cfRule>
    <cfRule type="colorScale" priority="9">
      <colorScale>
        <cfvo type="min" val="0"/>
        <cfvo type="max" val="0"/>
        <color rgb="FFF8696B"/>
        <color rgb="FF63BE7B"/>
      </colorScale>
    </cfRule>
  </conditionalFormatting>
  <pageMargins left="0.2" right="0.2" top="0.75" bottom="0.75" header="0.3" footer="0.3"/>
  <pageSetup scale="78" orientation="landscape" r:id="rId1"/>
</worksheet>
</file>

<file path=xl/worksheets/sheet6.xml><?xml version="1.0" encoding="utf-8"?>
<worksheet xmlns="http://schemas.openxmlformats.org/spreadsheetml/2006/main" xmlns:r="http://schemas.openxmlformats.org/officeDocument/2006/relationships">
  <sheetPr codeName="Sheet8">
    <pageSetUpPr fitToPage="1"/>
  </sheetPr>
  <dimension ref="A1:S117"/>
  <sheetViews>
    <sheetView showGridLines="0" zoomScaleNormal="100" workbookViewId="0">
      <pane xSplit="3" ySplit="5" topLeftCell="E6" activePane="bottomRight" state="frozen"/>
      <selection activeCell="G32" sqref="G32"/>
      <selection pane="topRight" activeCell="G32" sqref="G32"/>
      <selection pane="bottomLeft" activeCell="G32" sqref="G32"/>
      <selection pane="bottomRight" activeCell="F3" sqref="F3"/>
    </sheetView>
  </sheetViews>
  <sheetFormatPr defaultRowHeight="15"/>
  <cols>
    <col min="1" max="1" width="3.42578125" customWidth="1"/>
    <col min="2" max="2" width="4.28515625" style="1" customWidth="1"/>
    <col min="3" max="3" width="29.42578125" customWidth="1"/>
    <col min="4" max="4" width="10" hidden="1" customWidth="1"/>
    <col min="5" max="5" width="12.42578125" customWidth="1"/>
    <col min="6" max="8" width="11.5703125" bestFit="1" customWidth="1"/>
    <col min="9" max="15" width="12.28515625" bestFit="1" customWidth="1"/>
    <col min="16" max="16" width="13.140625" customWidth="1"/>
    <col min="17" max="17" width="11.5703125" hidden="1" customWidth="1"/>
    <col min="18" max="18" width="13.42578125" hidden="1" customWidth="1"/>
    <col min="19" max="19" width="2.140625" customWidth="1"/>
  </cols>
  <sheetData>
    <row r="1" spans="1:19" ht="13.5" customHeight="1" thickBot="1">
      <c r="A1" s="11"/>
      <c r="B1" s="12"/>
      <c r="C1" s="11"/>
      <c r="D1" s="11"/>
      <c r="E1" s="11"/>
      <c r="F1" s="11"/>
      <c r="G1" s="11"/>
      <c r="H1" s="11"/>
      <c r="I1" s="11"/>
      <c r="J1" s="11"/>
      <c r="K1" s="11"/>
      <c r="L1" s="11"/>
      <c r="M1" s="11"/>
      <c r="N1" s="11"/>
      <c r="O1" s="11"/>
      <c r="P1" s="11"/>
      <c r="Q1" s="11"/>
      <c r="R1" s="11"/>
      <c r="S1" s="11"/>
    </row>
    <row r="2" spans="1:19" ht="19.5" customHeight="1" thickBot="1">
      <c r="A2" s="11"/>
      <c r="B2" s="168" t="str">
        <f ca="1">CONCATENATE(Introduction!C4:C4,"'s"," Personal Budget ",Introduction!C5," Quarter to Date by Month")</f>
        <v>'s Personal Budget 2012 Quarter to Date by Month</v>
      </c>
      <c r="C2" s="169"/>
      <c r="D2" s="169"/>
      <c r="E2" s="169"/>
      <c r="F2" s="169"/>
      <c r="G2" s="169"/>
      <c r="H2" s="169"/>
      <c r="I2" s="169"/>
      <c r="J2" s="169"/>
      <c r="K2" s="169"/>
      <c r="L2" s="169"/>
      <c r="M2" s="169"/>
      <c r="N2" s="169"/>
      <c r="O2" s="169"/>
      <c r="P2" s="169"/>
      <c r="Q2" s="169"/>
      <c r="R2" s="170"/>
      <c r="S2" s="11"/>
    </row>
    <row r="3" spans="1:19" ht="15.75" customHeight="1" thickBot="1">
      <c r="A3" s="11"/>
      <c r="B3" s="40" t="s">
        <v>41</v>
      </c>
      <c r="C3" s="39"/>
      <c r="D3" s="49"/>
      <c r="E3" s="43">
        <v>31</v>
      </c>
      <c r="F3" s="43">
        <f ca="1">IF(MOD(Introduction!C5,4)=0,29,28)</f>
        <v>29</v>
      </c>
      <c r="G3" s="43">
        <v>31</v>
      </c>
      <c r="H3" s="43">
        <v>30</v>
      </c>
      <c r="I3" s="43">
        <v>31</v>
      </c>
      <c r="J3" s="43">
        <v>30</v>
      </c>
      <c r="K3" s="43">
        <v>31</v>
      </c>
      <c r="L3" s="43">
        <v>31</v>
      </c>
      <c r="M3" s="43">
        <v>30</v>
      </c>
      <c r="N3" s="43">
        <v>31</v>
      </c>
      <c r="O3" s="43">
        <v>30</v>
      </c>
      <c r="P3" s="43">
        <v>31</v>
      </c>
      <c r="Q3" s="27"/>
      <c r="R3" s="27"/>
      <c r="S3" s="11"/>
    </row>
    <row r="4" spans="1:19" ht="15.75" customHeight="1" thickBot="1">
      <c r="A4" s="11"/>
      <c r="B4" s="40" t="s">
        <v>42</v>
      </c>
      <c r="C4" s="39"/>
      <c r="D4" s="49"/>
      <c r="E4" s="26" t="str">
        <f ca="1">CONCATENATE(MONTH(E5)," ",YEAR(E5))</f>
        <v>1 2012</v>
      </c>
      <c r="F4" s="26" t="str">
        <f t="shared" ref="F4:P4" si="0">CONCATENATE(MONTH(F5)," ",YEAR(F5))</f>
        <v>2 2012</v>
      </c>
      <c r="G4" s="26" t="str">
        <f t="shared" si="0"/>
        <v>3 2012</v>
      </c>
      <c r="H4" s="26" t="str">
        <f t="shared" si="0"/>
        <v>4 2012</v>
      </c>
      <c r="I4" s="26" t="str">
        <f t="shared" si="0"/>
        <v>5 2012</v>
      </c>
      <c r="J4" s="26" t="str">
        <f t="shared" si="0"/>
        <v>6 2012</v>
      </c>
      <c r="K4" s="26" t="str">
        <f t="shared" si="0"/>
        <v>7 2012</v>
      </c>
      <c r="L4" s="26" t="str">
        <f t="shared" si="0"/>
        <v>8 2012</v>
      </c>
      <c r="M4" s="26" t="str">
        <f t="shared" si="0"/>
        <v>9 2012</v>
      </c>
      <c r="N4" s="26" t="str">
        <f t="shared" si="0"/>
        <v>10 2012</v>
      </c>
      <c r="O4" s="26" t="str">
        <f t="shared" si="0"/>
        <v>11 2012</v>
      </c>
      <c r="P4" s="26" t="str">
        <f t="shared" si="0"/>
        <v>12 2012</v>
      </c>
      <c r="Q4" s="26"/>
      <c r="R4" s="26"/>
      <c r="S4" s="11"/>
    </row>
    <row r="5" spans="1:19" ht="15.75" customHeight="1" thickBot="1">
      <c r="A5" s="11"/>
      <c r="B5" s="166" t="s">
        <v>29</v>
      </c>
      <c r="C5" s="167"/>
      <c r="D5" s="50"/>
      <c r="E5" s="35">
        <f ca="1">+Introduction!C6+0</f>
        <v>40909</v>
      </c>
      <c r="F5" s="36">
        <f ca="1">+E5+E3</f>
        <v>40940</v>
      </c>
      <c r="G5" s="36">
        <f t="shared" ref="G5:P5" si="1">+F5+F3</f>
        <v>40969</v>
      </c>
      <c r="H5" s="36">
        <f t="shared" si="1"/>
        <v>41000</v>
      </c>
      <c r="I5" s="36">
        <f t="shared" si="1"/>
        <v>41030</v>
      </c>
      <c r="J5" s="36">
        <f t="shared" si="1"/>
        <v>41061</v>
      </c>
      <c r="K5" s="36">
        <f t="shared" si="1"/>
        <v>41091</v>
      </c>
      <c r="L5" s="36">
        <f t="shared" si="1"/>
        <v>41122</v>
      </c>
      <c r="M5" s="36">
        <f t="shared" si="1"/>
        <v>41153</v>
      </c>
      <c r="N5" s="36">
        <f t="shared" si="1"/>
        <v>41183</v>
      </c>
      <c r="O5" s="36">
        <f t="shared" si="1"/>
        <v>41214</v>
      </c>
      <c r="P5" s="36">
        <f t="shared" si="1"/>
        <v>41244</v>
      </c>
      <c r="Q5" s="37">
        <f>+P5+P3</f>
        <v>41275</v>
      </c>
      <c r="R5" s="38" t="s">
        <v>12</v>
      </c>
      <c r="S5" s="11"/>
    </row>
    <row r="6" spans="1:19" ht="15.75" thickBot="1">
      <c r="A6" s="11"/>
      <c r="B6" s="7">
        <v>1</v>
      </c>
      <c r="C6" s="9" t="str">
        <f ca="1">+Introduction!C11</f>
        <v>Income  1</v>
      </c>
      <c r="D6" s="51"/>
      <c r="E6" s="54">
        <f ca="1">Budget!E6</f>
        <v>0</v>
      </c>
      <c r="F6" s="4">
        <f ca="1">+E6+Budget!F6</f>
        <v>0</v>
      </c>
      <c r="G6" s="4">
        <f ca="1">+F6+Budget!G6</f>
        <v>0</v>
      </c>
      <c r="H6" s="54">
        <f ca="1">Budget!H6</f>
        <v>0</v>
      </c>
      <c r="I6" s="4">
        <f ca="1">+H6+Budget!I6</f>
        <v>0</v>
      </c>
      <c r="J6" s="4">
        <f ca="1">+I6+Budget!J6</f>
        <v>0</v>
      </c>
      <c r="K6" s="54">
        <f ca="1">Budget!K6</f>
        <v>0</v>
      </c>
      <c r="L6" s="4">
        <f ca="1">+K6+Budget!L6</f>
        <v>0</v>
      </c>
      <c r="M6" s="4">
        <f ca="1">+L6+Budget!M6</f>
        <v>0</v>
      </c>
      <c r="N6" s="54">
        <f ca="1">Budget!N6</f>
        <v>0</v>
      </c>
      <c r="O6" s="4">
        <f ca="1">+N6+Budget!O6</f>
        <v>0</v>
      </c>
      <c r="P6" s="4">
        <f ca="1">+O6+Budget!P6</f>
        <v>0</v>
      </c>
      <c r="Q6" s="5"/>
      <c r="R6" s="10"/>
      <c r="S6" s="11"/>
    </row>
    <row r="7" spans="1:19" ht="15.75" thickBot="1">
      <c r="A7" s="11"/>
      <c r="B7" s="7">
        <v>2</v>
      </c>
      <c r="C7" s="9" t="str">
        <f ca="1">+Introduction!C12</f>
        <v>Income 2</v>
      </c>
      <c r="D7" s="51"/>
      <c r="E7" s="54">
        <f ca="1">Budget!E7</f>
        <v>0</v>
      </c>
      <c r="F7" s="4">
        <f ca="1">+E7+Budget!F7</f>
        <v>0</v>
      </c>
      <c r="G7" s="4">
        <f ca="1">+F7+Budget!G7</f>
        <v>0</v>
      </c>
      <c r="H7" s="54">
        <f ca="1">Budget!H7</f>
        <v>0</v>
      </c>
      <c r="I7" s="4">
        <f ca="1">+H7+Budget!I7</f>
        <v>0</v>
      </c>
      <c r="J7" s="4">
        <f ca="1">+I7+Budget!J7</f>
        <v>0</v>
      </c>
      <c r="K7" s="54">
        <f ca="1">Budget!K7</f>
        <v>0</v>
      </c>
      <c r="L7" s="4">
        <f ca="1">+K7+Budget!L7</f>
        <v>0</v>
      </c>
      <c r="M7" s="4">
        <f ca="1">+L7+Budget!M7</f>
        <v>0</v>
      </c>
      <c r="N7" s="54">
        <f ca="1">Budget!N7</f>
        <v>0</v>
      </c>
      <c r="O7" s="4">
        <f ca="1">+N7+Budget!O7</f>
        <v>0</v>
      </c>
      <c r="P7" s="4">
        <f ca="1">+O7+Budget!P7</f>
        <v>0</v>
      </c>
      <c r="Q7" s="3"/>
      <c r="R7" s="10"/>
      <c r="S7" s="11"/>
    </row>
    <row r="8" spans="1:19" ht="15.75" thickBot="1">
      <c r="A8" s="11"/>
      <c r="B8" s="7">
        <v>3</v>
      </c>
      <c r="C8" s="9" t="str">
        <f ca="1">+Introduction!C13</f>
        <v>Income 3</v>
      </c>
      <c r="D8" s="51"/>
      <c r="E8" s="54">
        <f ca="1">Budget!E8</f>
        <v>0</v>
      </c>
      <c r="F8" s="4">
        <f ca="1">+E8+Budget!F8</f>
        <v>0</v>
      </c>
      <c r="G8" s="4">
        <f ca="1">+F8+Budget!G8</f>
        <v>0</v>
      </c>
      <c r="H8" s="54">
        <f ca="1">Budget!H8</f>
        <v>0</v>
      </c>
      <c r="I8" s="4">
        <f ca="1">+H8+Budget!I8</f>
        <v>0</v>
      </c>
      <c r="J8" s="4">
        <f ca="1">+I8+Budget!J8</f>
        <v>0</v>
      </c>
      <c r="K8" s="54">
        <f ca="1">Budget!K8</f>
        <v>0</v>
      </c>
      <c r="L8" s="4">
        <f ca="1">+K8+Budget!L8</f>
        <v>0</v>
      </c>
      <c r="M8" s="4">
        <f ca="1">+L8+Budget!M8</f>
        <v>0</v>
      </c>
      <c r="N8" s="54">
        <f ca="1">Budget!N8</f>
        <v>0</v>
      </c>
      <c r="O8" s="4">
        <f ca="1">+N8+Budget!O8</f>
        <v>0</v>
      </c>
      <c r="P8" s="4">
        <f ca="1">+O8+Budget!P8</f>
        <v>0</v>
      </c>
      <c r="Q8" s="3"/>
      <c r="R8" s="10"/>
      <c r="S8" s="11"/>
    </row>
    <row r="9" spans="1:19" ht="15.75" thickBot="1">
      <c r="A9" s="11"/>
      <c r="B9" s="7">
        <v>4</v>
      </c>
      <c r="C9" s="9" t="str">
        <f ca="1">+Introduction!C14</f>
        <v>Income 4</v>
      </c>
      <c r="D9" s="51"/>
      <c r="E9" s="54">
        <f ca="1">Budget!E9</f>
        <v>0</v>
      </c>
      <c r="F9" s="4">
        <f ca="1">+E9+Budget!F9</f>
        <v>0</v>
      </c>
      <c r="G9" s="4">
        <f ca="1">+F9+Budget!G9</f>
        <v>0</v>
      </c>
      <c r="H9" s="54">
        <f ca="1">Budget!H9</f>
        <v>0</v>
      </c>
      <c r="I9" s="4">
        <f ca="1">+H9+Budget!I9</f>
        <v>0</v>
      </c>
      <c r="J9" s="4">
        <f ca="1">+I9+Budget!J9</f>
        <v>0</v>
      </c>
      <c r="K9" s="54">
        <f ca="1">Budget!K9</f>
        <v>0</v>
      </c>
      <c r="L9" s="4">
        <f ca="1">+K9+Budget!L9</f>
        <v>0</v>
      </c>
      <c r="M9" s="4">
        <f ca="1">+L9+Budget!M9</f>
        <v>0</v>
      </c>
      <c r="N9" s="54">
        <f ca="1">Budget!N9</f>
        <v>0</v>
      </c>
      <c r="O9" s="4">
        <f ca="1">+N9+Budget!O9</f>
        <v>0</v>
      </c>
      <c r="P9" s="4">
        <f ca="1">+O9+Budget!P9</f>
        <v>0</v>
      </c>
      <c r="Q9" s="3"/>
      <c r="R9" s="10"/>
      <c r="S9" s="11"/>
    </row>
    <row r="10" spans="1:19" ht="15.75" thickBot="1">
      <c r="A10" s="11"/>
      <c r="B10" s="7">
        <v>5</v>
      </c>
      <c r="C10" s="9" t="str">
        <f ca="1">+Introduction!C15</f>
        <v>Income 5</v>
      </c>
      <c r="D10" s="51"/>
      <c r="E10" s="54">
        <f ca="1">Budget!E10</f>
        <v>0</v>
      </c>
      <c r="F10" s="4">
        <f ca="1">+E10+Budget!F10</f>
        <v>0</v>
      </c>
      <c r="G10" s="4">
        <f ca="1">+F10+Budget!G10</f>
        <v>0</v>
      </c>
      <c r="H10" s="54">
        <f ca="1">Budget!H10</f>
        <v>0</v>
      </c>
      <c r="I10" s="4">
        <f ca="1">+H10+Budget!I10</f>
        <v>0</v>
      </c>
      <c r="J10" s="4">
        <f ca="1">+I10+Budget!J10</f>
        <v>0</v>
      </c>
      <c r="K10" s="54">
        <f ca="1">Budget!K10</f>
        <v>0</v>
      </c>
      <c r="L10" s="4">
        <f ca="1">+K10+Budget!L10</f>
        <v>0</v>
      </c>
      <c r="M10" s="4">
        <f ca="1">+L10+Budget!M10</f>
        <v>0</v>
      </c>
      <c r="N10" s="54">
        <f ca="1">Budget!N10</f>
        <v>0</v>
      </c>
      <c r="O10" s="4">
        <f ca="1">+N10+Budget!O10</f>
        <v>0</v>
      </c>
      <c r="P10" s="4">
        <f ca="1">+O10+Budget!P10</f>
        <v>0</v>
      </c>
      <c r="Q10" s="3"/>
      <c r="R10" s="10"/>
      <c r="S10" s="11"/>
    </row>
    <row r="11" spans="1:19" ht="15.75" thickBot="1">
      <c r="A11" s="11"/>
      <c r="B11" s="7">
        <v>6</v>
      </c>
      <c r="C11" s="9" t="str">
        <f ca="1">+Introduction!C16</f>
        <v>Income 6</v>
      </c>
      <c r="D11" s="51"/>
      <c r="E11" s="54">
        <f ca="1">Budget!E11</f>
        <v>0</v>
      </c>
      <c r="F11" s="4">
        <f ca="1">+E11+Budget!F11</f>
        <v>0</v>
      </c>
      <c r="G11" s="4">
        <f ca="1">+F11+Budget!G11</f>
        <v>0</v>
      </c>
      <c r="H11" s="54">
        <f ca="1">Budget!H11</f>
        <v>0</v>
      </c>
      <c r="I11" s="4">
        <f ca="1">+H11+Budget!I11</f>
        <v>0</v>
      </c>
      <c r="J11" s="4">
        <f ca="1">+I11+Budget!J11</f>
        <v>0</v>
      </c>
      <c r="K11" s="54">
        <f ca="1">Budget!K11</f>
        <v>0</v>
      </c>
      <c r="L11" s="4">
        <f ca="1">+K11+Budget!L11</f>
        <v>0</v>
      </c>
      <c r="M11" s="4">
        <f ca="1">+L11+Budget!M11</f>
        <v>0</v>
      </c>
      <c r="N11" s="54">
        <f ca="1">Budget!N11</f>
        <v>0</v>
      </c>
      <c r="O11" s="4">
        <f ca="1">+N11+Budget!O11</f>
        <v>0</v>
      </c>
      <c r="P11" s="4">
        <f ca="1">+O11+Budget!P11</f>
        <v>0</v>
      </c>
      <c r="Q11" s="3"/>
      <c r="R11" s="10"/>
      <c r="S11" s="11"/>
    </row>
    <row r="12" spans="1:19" ht="15.75" thickBot="1">
      <c r="A12" s="11"/>
      <c r="B12" s="7">
        <v>7</v>
      </c>
      <c r="C12" s="9" t="str">
        <f ca="1">+Introduction!C17</f>
        <v>Income 7</v>
      </c>
      <c r="D12" s="51"/>
      <c r="E12" s="54">
        <f ca="1">Budget!E12</f>
        <v>0</v>
      </c>
      <c r="F12" s="4">
        <f ca="1">+E12+Budget!F12</f>
        <v>0</v>
      </c>
      <c r="G12" s="4">
        <f ca="1">+F12+Budget!G12</f>
        <v>0</v>
      </c>
      <c r="H12" s="54">
        <f ca="1">Budget!H12</f>
        <v>0</v>
      </c>
      <c r="I12" s="4">
        <f ca="1">+H12+Budget!I12</f>
        <v>0</v>
      </c>
      <c r="J12" s="4">
        <f ca="1">+I12+Budget!J12</f>
        <v>0</v>
      </c>
      <c r="K12" s="54">
        <f ca="1">Budget!K12</f>
        <v>0</v>
      </c>
      <c r="L12" s="4">
        <f ca="1">+K12+Budget!L12</f>
        <v>0</v>
      </c>
      <c r="M12" s="4">
        <f ca="1">+L12+Budget!M12</f>
        <v>0</v>
      </c>
      <c r="N12" s="54">
        <f ca="1">Budget!N12</f>
        <v>0</v>
      </c>
      <c r="O12" s="4">
        <f ca="1">+N12+Budget!O12</f>
        <v>0</v>
      </c>
      <c r="P12" s="4">
        <f ca="1">+O12+Budget!P12</f>
        <v>0</v>
      </c>
      <c r="Q12" s="3"/>
      <c r="R12" s="10"/>
      <c r="S12" s="11"/>
    </row>
    <row r="13" spans="1:19" ht="15.75" thickBot="1">
      <c r="A13" s="11"/>
      <c r="B13" s="7">
        <v>8</v>
      </c>
      <c r="C13" s="9" t="str">
        <f ca="1">+Introduction!C18</f>
        <v>Income 8</v>
      </c>
      <c r="D13" s="51"/>
      <c r="E13" s="54">
        <f ca="1">Budget!E13</f>
        <v>0</v>
      </c>
      <c r="F13" s="4">
        <f ca="1">+E13+Budget!F13</f>
        <v>0</v>
      </c>
      <c r="G13" s="4">
        <f ca="1">+F13+Budget!G13</f>
        <v>0</v>
      </c>
      <c r="H13" s="54">
        <f ca="1">Budget!H13</f>
        <v>0</v>
      </c>
      <c r="I13" s="4">
        <f ca="1">+H13+Budget!I13</f>
        <v>0</v>
      </c>
      <c r="J13" s="4">
        <f ca="1">+I13+Budget!J13</f>
        <v>0</v>
      </c>
      <c r="K13" s="54">
        <f ca="1">Budget!K13</f>
        <v>0</v>
      </c>
      <c r="L13" s="4">
        <f ca="1">+K13+Budget!L13</f>
        <v>0</v>
      </c>
      <c r="M13" s="4">
        <f ca="1">+L13+Budget!M13</f>
        <v>0</v>
      </c>
      <c r="N13" s="54">
        <f ca="1">Budget!N13</f>
        <v>0</v>
      </c>
      <c r="O13" s="4">
        <f ca="1">+N13+Budget!O13</f>
        <v>0</v>
      </c>
      <c r="P13" s="4">
        <f ca="1">+O13+Budget!P13</f>
        <v>0</v>
      </c>
      <c r="Q13" s="3"/>
      <c r="R13" s="10"/>
      <c r="S13" s="11"/>
    </row>
    <row r="14" spans="1:19" ht="15.75" thickBot="1">
      <c r="A14" s="11"/>
      <c r="B14" s="7"/>
      <c r="C14" s="9" t="s">
        <v>22</v>
      </c>
      <c r="D14" s="9"/>
      <c r="E14" s="10">
        <f>SUM(E6:E13)</f>
        <v>0</v>
      </c>
      <c r="F14" s="10">
        <f t="shared" ref="F14:P14" si="2">SUM(F6:F13)</f>
        <v>0</v>
      </c>
      <c r="G14" s="10">
        <f t="shared" si="2"/>
        <v>0</v>
      </c>
      <c r="H14" s="10">
        <f t="shared" si="2"/>
        <v>0</v>
      </c>
      <c r="I14" s="10">
        <f t="shared" si="2"/>
        <v>0</v>
      </c>
      <c r="J14" s="10">
        <f t="shared" si="2"/>
        <v>0</v>
      </c>
      <c r="K14" s="10">
        <f t="shared" si="2"/>
        <v>0</v>
      </c>
      <c r="L14" s="10">
        <f t="shared" si="2"/>
        <v>0</v>
      </c>
      <c r="M14" s="10">
        <f t="shared" si="2"/>
        <v>0</v>
      </c>
      <c r="N14" s="10">
        <f t="shared" si="2"/>
        <v>0</v>
      </c>
      <c r="O14" s="10">
        <f t="shared" si="2"/>
        <v>0</v>
      </c>
      <c r="P14" s="10">
        <f t="shared" si="2"/>
        <v>0</v>
      </c>
      <c r="Q14" s="10"/>
      <c r="R14" s="10"/>
      <c r="S14" s="11"/>
    </row>
    <row r="15" spans="1:19" ht="13.5" customHeight="1" thickBot="1">
      <c r="A15" s="11"/>
      <c r="B15" s="12"/>
      <c r="C15" s="11"/>
      <c r="D15" s="11"/>
      <c r="E15" s="13"/>
      <c r="F15" s="13"/>
      <c r="G15" s="13"/>
      <c r="H15" s="13"/>
      <c r="I15" s="13"/>
      <c r="J15" s="13"/>
      <c r="K15" s="13"/>
      <c r="L15" s="13"/>
      <c r="M15" s="13"/>
      <c r="N15" s="13"/>
      <c r="O15" s="13"/>
      <c r="P15" s="13"/>
      <c r="Q15" s="13"/>
      <c r="R15" s="13"/>
      <c r="S15" s="11"/>
    </row>
    <row r="16" spans="1:19" ht="30.75" hidden="1" thickBot="1">
      <c r="A16" s="11"/>
      <c r="B16" s="8"/>
      <c r="C16" s="20" t="s">
        <v>45</v>
      </c>
      <c r="D16" s="20"/>
      <c r="E16" s="21" t="str">
        <f>CONCATENATE(MONTH(E17)," ",YEAR(E17), " Expense")</f>
        <v>1 2012 Expense</v>
      </c>
      <c r="F16" s="22" t="str">
        <f t="shared" ref="F16:P16" si="3">CONCATENATE(MONTH(F17)," ",YEAR(F17), " Expense")</f>
        <v>2 2012 Expense</v>
      </c>
      <c r="G16" s="22" t="str">
        <f t="shared" si="3"/>
        <v>3 2012 Expense</v>
      </c>
      <c r="H16" s="22" t="str">
        <f t="shared" si="3"/>
        <v>4 2012 Expense</v>
      </c>
      <c r="I16" s="22" t="str">
        <f t="shared" si="3"/>
        <v>5 2012 Expense</v>
      </c>
      <c r="J16" s="22" t="str">
        <f t="shared" si="3"/>
        <v>6 2012 Expense</v>
      </c>
      <c r="K16" s="22" t="str">
        <f t="shared" si="3"/>
        <v>7 2012 Expense</v>
      </c>
      <c r="L16" s="22" t="str">
        <f t="shared" si="3"/>
        <v>8 2012 Expense</v>
      </c>
      <c r="M16" s="22" t="str">
        <f t="shared" si="3"/>
        <v>9 2012 Expense</v>
      </c>
      <c r="N16" s="22" t="str">
        <f t="shared" si="3"/>
        <v>10 2012 Expense</v>
      </c>
      <c r="O16" s="22" t="str">
        <f t="shared" si="3"/>
        <v>11 2012 Expense</v>
      </c>
      <c r="P16" s="23" t="str">
        <f t="shared" si="3"/>
        <v>12 2012 Expense</v>
      </c>
      <c r="Q16" s="18"/>
      <c r="R16" s="18"/>
      <c r="S16" s="11"/>
    </row>
    <row r="17" spans="1:19" ht="15.75" thickBot="1">
      <c r="A17" s="11"/>
      <c r="B17" s="7"/>
      <c r="C17" s="28" t="s">
        <v>23</v>
      </c>
      <c r="D17" s="51"/>
      <c r="E17" s="29">
        <f>+E5</f>
        <v>40909</v>
      </c>
      <c r="F17" s="29">
        <f t="shared" ref="F17:P17" si="4">+F5</f>
        <v>40940</v>
      </c>
      <c r="G17" s="29">
        <f t="shared" si="4"/>
        <v>40969</v>
      </c>
      <c r="H17" s="29">
        <f t="shared" si="4"/>
        <v>41000</v>
      </c>
      <c r="I17" s="29">
        <f t="shared" si="4"/>
        <v>41030</v>
      </c>
      <c r="J17" s="29">
        <f t="shared" si="4"/>
        <v>41061</v>
      </c>
      <c r="K17" s="29">
        <f t="shared" si="4"/>
        <v>41091</v>
      </c>
      <c r="L17" s="29">
        <f t="shared" si="4"/>
        <v>41122</v>
      </c>
      <c r="M17" s="29">
        <f t="shared" si="4"/>
        <v>41153</v>
      </c>
      <c r="N17" s="29">
        <f t="shared" si="4"/>
        <v>41183</v>
      </c>
      <c r="O17" s="29">
        <f t="shared" si="4"/>
        <v>41214</v>
      </c>
      <c r="P17" s="29">
        <f t="shared" si="4"/>
        <v>41244</v>
      </c>
      <c r="Q17" s="18"/>
      <c r="R17" s="32" t="s">
        <v>12</v>
      </c>
      <c r="S17" s="11"/>
    </row>
    <row r="18" spans="1:19" ht="15.75" thickBot="1">
      <c r="A18" s="11"/>
      <c r="B18" s="7">
        <v>1</v>
      </c>
      <c r="C18" s="9" t="str">
        <f ca="1">+Introduction!F11</f>
        <v>Expense 1</v>
      </c>
      <c r="D18" s="51"/>
      <c r="E18" s="54">
        <f ca="1">Budget!E18</f>
        <v>0</v>
      </c>
      <c r="F18" s="4">
        <f ca="1">+E18+Budget!F18</f>
        <v>0</v>
      </c>
      <c r="G18" s="4">
        <f ca="1">+F18+Budget!G18</f>
        <v>0</v>
      </c>
      <c r="H18" s="54">
        <f ca="1">Budget!H18</f>
        <v>0</v>
      </c>
      <c r="I18" s="4">
        <f ca="1">+H18+Budget!I18</f>
        <v>0</v>
      </c>
      <c r="J18" s="4">
        <f ca="1">+I18+Budget!J18</f>
        <v>0</v>
      </c>
      <c r="K18" s="54">
        <f ca="1">Budget!K18</f>
        <v>0</v>
      </c>
      <c r="L18" s="4">
        <f ca="1">+K18+Budget!L18</f>
        <v>0</v>
      </c>
      <c r="M18" s="4">
        <f ca="1">+L18+Budget!M18</f>
        <v>0</v>
      </c>
      <c r="N18" s="54">
        <f ca="1">Budget!N18</f>
        <v>0</v>
      </c>
      <c r="O18" s="4">
        <f ca="1">+N18+Budget!O18</f>
        <v>0</v>
      </c>
      <c r="P18" s="4">
        <f ca="1">+O18+Budget!P18</f>
        <v>0</v>
      </c>
      <c r="Q18" s="33"/>
      <c r="R18" s="10"/>
      <c r="S18" s="11"/>
    </row>
    <row r="19" spans="1:19" ht="15.75" thickBot="1">
      <c r="A19" s="11"/>
      <c r="B19" s="7">
        <v>2</v>
      </c>
      <c r="C19" s="9" t="str">
        <f ca="1">+Introduction!F12</f>
        <v>Expense 2</v>
      </c>
      <c r="D19" s="51"/>
      <c r="E19" s="54">
        <f ca="1">Budget!E19</f>
        <v>0</v>
      </c>
      <c r="F19" s="4">
        <f ca="1">+E19+Budget!F19</f>
        <v>0</v>
      </c>
      <c r="G19" s="4">
        <f ca="1">+F19+Budget!G19</f>
        <v>0</v>
      </c>
      <c r="H19" s="54">
        <f ca="1">Budget!H19</f>
        <v>0</v>
      </c>
      <c r="I19" s="4">
        <f ca="1">+H19+Budget!I19</f>
        <v>0</v>
      </c>
      <c r="J19" s="4">
        <f ca="1">+I19+Budget!J19</f>
        <v>0</v>
      </c>
      <c r="K19" s="54">
        <f ca="1">Budget!K19</f>
        <v>0</v>
      </c>
      <c r="L19" s="4">
        <f ca="1">+K19+Budget!L19</f>
        <v>0</v>
      </c>
      <c r="M19" s="4">
        <f ca="1">+L19+Budget!M19</f>
        <v>0</v>
      </c>
      <c r="N19" s="54">
        <f ca="1">Budget!N19</f>
        <v>0</v>
      </c>
      <c r="O19" s="4">
        <f ca="1">+N19+Budget!O19</f>
        <v>0</v>
      </c>
      <c r="P19" s="4">
        <f ca="1">+O19+Budget!P19</f>
        <v>0</v>
      </c>
      <c r="Q19" s="33"/>
      <c r="R19" s="10"/>
      <c r="S19" s="11"/>
    </row>
    <row r="20" spans="1:19" ht="15.75" thickBot="1">
      <c r="A20" s="11"/>
      <c r="B20" s="7">
        <v>3</v>
      </c>
      <c r="C20" s="9" t="str">
        <f ca="1">+Introduction!F13</f>
        <v>Expense 3</v>
      </c>
      <c r="D20" s="51"/>
      <c r="E20" s="54">
        <f ca="1">Budget!E20</f>
        <v>0</v>
      </c>
      <c r="F20" s="4">
        <f ca="1">+E20+Budget!F20</f>
        <v>0</v>
      </c>
      <c r="G20" s="4">
        <f ca="1">+F20+Budget!G20</f>
        <v>0</v>
      </c>
      <c r="H20" s="54">
        <f ca="1">Budget!H20</f>
        <v>0</v>
      </c>
      <c r="I20" s="4">
        <f ca="1">+H20+Budget!I20</f>
        <v>0</v>
      </c>
      <c r="J20" s="4">
        <f ca="1">+I20+Budget!J20</f>
        <v>0</v>
      </c>
      <c r="K20" s="54">
        <f ca="1">Budget!K20</f>
        <v>0</v>
      </c>
      <c r="L20" s="4">
        <f ca="1">+K20+Budget!L20</f>
        <v>0</v>
      </c>
      <c r="M20" s="4">
        <f ca="1">+L20+Budget!M20</f>
        <v>0</v>
      </c>
      <c r="N20" s="54">
        <f ca="1">Budget!N20</f>
        <v>0</v>
      </c>
      <c r="O20" s="4">
        <f ca="1">+N20+Budget!O20</f>
        <v>0</v>
      </c>
      <c r="P20" s="4">
        <f ca="1">+O20+Budget!P20</f>
        <v>0</v>
      </c>
      <c r="Q20" s="33"/>
      <c r="R20" s="10"/>
      <c r="S20" s="11"/>
    </row>
    <row r="21" spans="1:19" ht="15.75" thickBot="1">
      <c r="A21" s="11"/>
      <c r="B21" s="7">
        <v>4</v>
      </c>
      <c r="C21" s="9" t="str">
        <f ca="1">+Introduction!F14</f>
        <v>Expense 4</v>
      </c>
      <c r="D21" s="51"/>
      <c r="E21" s="54">
        <f ca="1">Budget!E21</f>
        <v>0</v>
      </c>
      <c r="F21" s="4">
        <f ca="1">+E21+Budget!F21</f>
        <v>0</v>
      </c>
      <c r="G21" s="4">
        <f ca="1">+F21+Budget!G21</f>
        <v>0</v>
      </c>
      <c r="H21" s="54">
        <f ca="1">Budget!H21</f>
        <v>0</v>
      </c>
      <c r="I21" s="4">
        <f ca="1">+H21+Budget!I21</f>
        <v>0</v>
      </c>
      <c r="J21" s="4">
        <f ca="1">+I21+Budget!J21</f>
        <v>0</v>
      </c>
      <c r="K21" s="54">
        <f ca="1">Budget!K21</f>
        <v>0</v>
      </c>
      <c r="L21" s="4">
        <f ca="1">+K21+Budget!L21</f>
        <v>0</v>
      </c>
      <c r="M21" s="4">
        <f ca="1">+L21+Budget!M21</f>
        <v>0</v>
      </c>
      <c r="N21" s="54">
        <f ca="1">Budget!N21</f>
        <v>0</v>
      </c>
      <c r="O21" s="4">
        <f ca="1">+N21+Budget!O21</f>
        <v>0</v>
      </c>
      <c r="P21" s="4">
        <f ca="1">+O21+Budget!P21</f>
        <v>0</v>
      </c>
      <c r="Q21" s="33"/>
      <c r="R21" s="10"/>
      <c r="S21" s="11"/>
    </row>
    <row r="22" spans="1:19" ht="15.75" thickBot="1">
      <c r="A22" s="11"/>
      <c r="B22" s="7">
        <v>5</v>
      </c>
      <c r="C22" s="9" t="str">
        <f ca="1">+Introduction!F15</f>
        <v>Expense 5</v>
      </c>
      <c r="D22" s="51"/>
      <c r="E22" s="54">
        <f ca="1">Budget!E22</f>
        <v>0</v>
      </c>
      <c r="F22" s="4">
        <f ca="1">+E22+Budget!F22</f>
        <v>0</v>
      </c>
      <c r="G22" s="4">
        <f ca="1">+F22+Budget!G22</f>
        <v>0</v>
      </c>
      <c r="H22" s="54">
        <f ca="1">Budget!H22</f>
        <v>0</v>
      </c>
      <c r="I22" s="4">
        <f ca="1">+H22+Budget!I22</f>
        <v>0</v>
      </c>
      <c r="J22" s="4">
        <f ca="1">+I22+Budget!J22</f>
        <v>0</v>
      </c>
      <c r="K22" s="54">
        <f ca="1">Budget!K22</f>
        <v>0</v>
      </c>
      <c r="L22" s="4">
        <f ca="1">+K22+Budget!L22</f>
        <v>0</v>
      </c>
      <c r="M22" s="4">
        <f ca="1">+L22+Budget!M22</f>
        <v>0</v>
      </c>
      <c r="N22" s="54">
        <f ca="1">Budget!N22</f>
        <v>0</v>
      </c>
      <c r="O22" s="4">
        <f ca="1">+N22+Budget!O22</f>
        <v>0</v>
      </c>
      <c r="P22" s="4">
        <f ca="1">+O22+Budget!P22</f>
        <v>0</v>
      </c>
      <c r="Q22" s="33"/>
      <c r="R22" s="10"/>
      <c r="S22" s="11"/>
    </row>
    <row r="23" spans="1:19" ht="15.75" thickBot="1">
      <c r="A23" s="11"/>
      <c r="B23" s="7">
        <v>6</v>
      </c>
      <c r="C23" s="9" t="str">
        <f ca="1">+Introduction!F16</f>
        <v>Expense 6</v>
      </c>
      <c r="D23" s="51"/>
      <c r="E23" s="54">
        <f ca="1">Budget!E23</f>
        <v>0</v>
      </c>
      <c r="F23" s="4">
        <f ca="1">+E23+Budget!F23</f>
        <v>0</v>
      </c>
      <c r="G23" s="4">
        <f ca="1">+F23+Budget!G23</f>
        <v>0</v>
      </c>
      <c r="H23" s="54">
        <f ca="1">Budget!H23</f>
        <v>0</v>
      </c>
      <c r="I23" s="4">
        <f ca="1">+H23+Budget!I23</f>
        <v>0</v>
      </c>
      <c r="J23" s="4">
        <f ca="1">+I23+Budget!J23</f>
        <v>0</v>
      </c>
      <c r="K23" s="54">
        <f ca="1">Budget!K23</f>
        <v>0</v>
      </c>
      <c r="L23" s="4">
        <f ca="1">+K23+Budget!L23</f>
        <v>0</v>
      </c>
      <c r="M23" s="4">
        <f ca="1">+L23+Budget!M23</f>
        <v>0</v>
      </c>
      <c r="N23" s="54">
        <f ca="1">Budget!N23</f>
        <v>0</v>
      </c>
      <c r="O23" s="4">
        <f ca="1">+N23+Budget!O23</f>
        <v>0</v>
      </c>
      <c r="P23" s="4">
        <f ca="1">+O23+Budget!P23</f>
        <v>0</v>
      </c>
      <c r="Q23" s="33"/>
      <c r="R23" s="10"/>
      <c r="S23" s="11"/>
    </row>
    <row r="24" spans="1:19" ht="15.75" thickBot="1">
      <c r="A24" s="11"/>
      <c r="B24" s="7">
        <v>7</v>
      </c>
      <c r="C24" s="9" t="str">
        <f ca="1">+Introduction!F17</f>
        <v>Expense 7</v>
      </c>
      <c r="D24" s="51"/>
      <c r="E24" s="54">
        <f ca="1">Budget!E24</f>
        <v>0</v>
      </c>
      <c r="F24" s="4">
        <f ca="1">+E24+Budget!F24</f>
        <v>0</v>
      </c>
      <c r="G24" s="4">
        <f ca="1">+F24+Budget!G24</f>
        <v>0</v>
      </c>
      <c r="H24" s="54">
        <f ca="1">Budget!H24</f>
        <v>0</v>
      </c>
      <c r="I24" s="4">
        <f ca="1">+H24+Budget!I24</f>
        <v>0</v>
      </c>
      <c r="J24" s="4">
        <f ca="1">+I24+Budget!J24</f>
        <v>0</v>
      </c>
      <c r="K24" s="54">
        <f ca="1">Budget!K24</f>
        <v>0</v>
      </c>
      <c r="L24" s="4">
        <f ca="1">+K24+Budget!L24</f>
        <v>0</v>
      </c>
      <c r="M24" s="4">
        <f ca="1">+L24+Budget!M24</f>
        <v>0</v>
      </c>
      <c r="N24" s="54">
        <f ca="1">Budget!N24</f>
        <v>0</v>
      </c>
      <c r="O24" s="4">
        <f ca="1">+N24+Budget!O24</f>
        <v>0</v>
      </c>
      <c r="P24" s="4">
        <f ca="1">+O24+Budget!P24</f>
        <v>0</v>
      </c>
      <c r="Q24" s="33"/>
      <c r="R24" s="10"/>
      <c r="S24" s="11"/>
    </row>
    <row r="25" spans="1:19" ht="15.75" thickBot="1">
      <c r="A25" s="11"/>
      <c r="B25" s="7">
        <v>8</v>
      </c>
      <c r="C25" s="9" t="str">
        <f ca="1">+Introduction!F18</f>
        <v>Expense 8</v>
      </c>
      <c r="D25" s="51"/>
      <c r="E25" s="54">
        <f ca="1">Budget!E25</f>
        <v>0</v>
      </c>
      <c r="F25" s="4">
        <f ca="1">+E25+Budget!F25</f>
        <v>0</v>
      </c>
      <c r="G25" s="4">
        <f ca="1">+F25+Budget!G25</f>
        <v>0</v>
      </c>
      <c r="H25" s="54">
        <f ca="1">Budget!H25</f>
        <v>0</v>
      </c>
      <c r="I25" s="4">
        <f ca="1">+H25+Budget!I25</f>
        <v>0</v>
      </c>
      <c r="J25" s="4">
        <f ca="1">+I25+Budget!J25</f>
        <v>0</v>
      </c>
      <c r="K25" s="54">
        <f ca="1">Budget!K25</f>
        <v>0</v>
      </c>
      <c r="L25" s="4">
        <f ca="1">+K25+Budget!L25</f>
        <v>0</v>
      </c>
      <c r="M25" s="4">
        <f ca="1">+L25+Budget!M25</f>
        <v>0</v>
      </c>
      <c r="N25" s="54">
        <f ca="1">Budget!N25</f>
        <v>0</v>
      </c>
      <c r="O25" s="4">
        <f ca="1">+N25+Budget!O25</f>
        <v>0</v>
      </c>
      <c r="P25" s="4">
        <f ca="1">+O25+Budget!P25</f>
        <v>0</v>
      </c>
      <c r="Q25" s="33"/>
      <c r="R25" s="10"/>
      <c r="S25" s="11"/>
    </row>
    <row r="26" spans="1:19" ht="15.75" thickBot="1">
      <c r="A26" s="11"/>
      <c r="B26" s="7">
        <v>9</v>
      </c>
      <c r="C26" s="9" t="str">
        <f ca="1">+Introduction!F19</f>
        <v>Expense 9</v>
      </c>
      <c r="D26" s="51"/>
      <c r="E26" s="54">
        <f ca="1">Budget!E26</f>
        <v>0</v>
      </c>
      <c r="F26" s="4">
        <f ca="1">+E26+Budget!F26</f>
        <v>0</v>
      </c>
      <c r="G26" s="4">
        <f ca="1">+F26+Budget!G26</f>
        <v>0</v>
      </c>
      <c r="H26" s="54">
        <f ca="1">Budget!H26</f>
        <v>0</v>
      </c>
      <c r="I26" s="4">
        <f ca="1">+H26+Budget!I26</f>
        <v>0</v>
      </c>
      <c r="J26" s="4">
        <f ca="1">+I26+Budget!J26</f>
        <v>0</v>
      </c>
      <c r="K26" s="54">
        <f ca="1">Budget!K26</f>
        <v>0</v>
      </c>
      <c r="L26" s="4">
        <f ca="1">+K26+Budget!L26</f>
        <v>0</v>
      </c>
      <c r="M26" s="4">
        <f ca="1">+L26+Budget!M26</f>
        <v>0</v>
      </c>
      <c r="N26" s="54">
        <f ca="1">Budget!N26</f>
        <v>0</v>
      </c>
      <c r="O26" s="4">
        <f ca="1">+N26+Budget!O26</f>
        <v>0</v>
      </c>
      <c r="P26" s="4">
        <f ca="1">+O26+Budget!P26</f>
        <v>0</v>
      </c>
      <c r="Q26" s="33"/>
      <c r="R26" s="10"/>
      <c r="S26" s="11"/>
    </row>
    <row r="27" spans="1:19" ht="15.75" thickBot="1">
      <c r="A27" s="11"/>
      <c r="B27" s="7">
        <v>10</v>
      </c>
      <c r="C27" s="9" t="str">
        <f ca="1">+Introduction!F20</f>
        <v>Expense 10</v>
      </c>
      <c r="D27" s="51"/>
      <c r="E27" s="54">
        <f ca="1">Budget!E27</f>
        <v>0</v>
      </c>
      <c r="F27" s="4">
        <f ca="1">+E27+Budget!F27</f>
        <v>0</v>
      </c>
      <c r="G27" s="4">
        <f ca="1">+F27+Budget!G27</f>
        <v>0</v>
      </c>
      <c r="H27" s="54">
        <f ca="1">Budget!H27</f>
        <v>0</v>
      </c>
      <c r="I27" s="4">
        <f ca="1">+H27+Budget!I27</f>
        <v>0</v>
      </c>
      <c r="J27" s="4">
        <f ca="1">+I27+Budget!J27</f>
        <v>0</v>
      </c>
      <c r="K27" s="54">
        <f ca="1">Budget!K27</f>
        <v>0</v>
      </c>
      <c r="L27" s="4">
        <f ca="1">+K27+Budget!L27</f>
        <v>0</v>
      </c>
      <c r="M27" s="4">
        <f ca="1">+L27+Budget!M27</f>
        <v>0</v>
      </c>
      <c r="N27" s="54">
        <f ca="1">Budget!N27</f>
        <v>0</v>
      </c>
      <c r="O27" s="4">
        <f ca="1">+N27+Budget!O27</f>
        <v>0</v>
      </c>
      <c r="P27" s="4">
        <f ca="1">+O27+Budget!P27</f>
        <v>0</v>
      </c>
      <c r="Q27" s="33"/>
      <c r="R27" s="10"/>
      <c r="S27" s="11"/>
    </row>
    <row r="28" spans="1:19" ht="15.75" thickBot="1">
      <c r="A28" s="11"/>
      <c r="B28" s="7">
        <v>11</v>
      </c>
      <c r="C28" s="9" t="str">
        <f ca="1">+Introduction!F21</f>
        <v>Expense 11</v>
      </c>
      <c r="D28" s="51"/>
      <c r="E28" s="54">
        <f ca="1">Budget!E28</f>
        <v>0</v>
      </c>
      <c r="F28" s="4">
        <f ca="1">+E28+Budget!F28</f>
        <v>0</v>
      </c>
      <c r="G28" s="4">
        <f ca="1">+F28+Budget!G28</f>
        <v>0</v>
      </c>
      <c r="H28" s="54">
        <f ca="1">Budget!H28</f>
        <v>0</v>
      </c>
      <c r="I28" s="4">
        <f ca="1">+H28+Budget!I28</f>
        <v>0</v>
      </c>
      <c r="J28" s="4">
        <f ca="1">+I28+Budget!J28</f>
        <v>0</v>
      </c>
      <c r="K28" s="54">
        <f ca="1">Budget!K28</f>
        <v>0</v>
      </c>
      <c r="L28" s="4">
        <f ca="1">+K28+Budget!L28</f>
        <v>0</v>
      </c>
      <c r="M28" s="4">
        <f ca="1">+L28+Budget!M28</f>
        <v>0</v>
      </c>
      <c r="N28" s="54">
        <f ca="1">Budget!N28</f>
        <v>0</v>
      </c>
      <c r="O28" s="4">
        <f ca="1">+N28+Budget!O28</f>
        <v>0</v>
      </c>
      <c r="P28" s="4">
        <f ca="1">+O28+Budget!P28</f>
        <v>0</v>
      </c>
      <c r="Q28" s="33"/>
      <c r="R28" s="10"/>
      <c r="S28" s="11"/>
    </row>
    <row r="29" spans="1:19" ht="15.75" thickBot="1">
      <c r="A29" s="11"/>
      <c r="B29" s="7">
        <v>12</v>
      </c>
      <c r="C29" s="9" t="str">
        <f ca="1">+Introduction!F22</f>
        <v>Expense 12</v>
      </c>
      <c r="D29" s="51"/>
      <c r="E29" s="54">
        <f ca="1">Budget!E29</f>
        <v>0</v>
      </c>
      <c r="F29" s="4">
        <f ca="1">+E29+Budget!F29</f>
        <v>0</v>
      </c>
      <c r="G29" s="4">
        <f ca="1">+F29+Budget!G29</f>
        <v>0</v>
      </c>
      <c r="H29" s="54">
        <f ca="1">Budget!H29</f>
        <v>0</v>
      </c>
      <c r="I29" s="4">
        <f ca="1">+H29+Budget!I29</f>
        <v>0</v>
      </c>
      <c r="J29" s="4">
        <f ca="1">+I29+Budget!J29</f>
        <v>0</v>
      </c>
      <c r="K29" s="54">
        <f ca="1">Budget!K29</f>
        <v>0</v>
      </c>
      <c r="L29" s="4">
        <f ca="1">+K29+Budget!L29</f>
        <v>0</v>
      </c>
      <c r="M29" s="4">
        <f ca="1">+L29+Budget!M29</f>
        <v>0</v>
      </c>
      <c r="N29" s="54">
        <f ca="1">Budget!N29</f>
        <v>0</v>
      </c>
      <c r="O29" s="4">
        <f ca="1">+N29+Budget!O29</f>
        <v>0</v>
      </c>
      <c r="P29" s="4">
        <f ca="1">+O29+Budget!P29</f>
        <v>0</v>
      </c>
      <c r="Q29" s="33"/>
      <c r="R29" s="10"/>
      <c r="S29" s="11"/>
    </row>
    <row r="30" spans="1:19" ht="15.75" thickBot="1">
      <c r="A30" s="11"/>
      <c r="B30" s="7">
        <v>13</v>
      </c>
      <c r="C30" s="9" t="str">
        <f ca="1">+Introduction!F23</f>
        <v>Expense 13</v>
      </c>
      <c r="D30" s="51"/>
      <c r="E30" s="54">
        <f ca="1">Budget!E30</f>
        <v>0</v>
      </c>
      <c r="F30" s="4">
        <f ca="1">+E30+Budget!F30</f>
        <v>0</v>
      </c>
      <c r="G30" s="4">
        <f ca="1">+F30+Budget!G30</f>
        <v>0</v>
      </c>
      <c r="H30" s="54">
        <f ca="1">Budget!H30</f>
        <v>0</v>
      </c>
      <c r="I30" s="4">
        <f ca="1">+H30+Budget!I30</f>
        <v>0</v>
      </c>
      <c r="J30" s="4">
        <f ca="1">+I30+Budget!J30</f>
        <v>0</v>
      </c>
      <c r="K30" s="54">
        <f ca="1">Budget!K30</f>
        <v>0</v>
      </c>
      <c r="L30" s="4">
        <f ca="1">+K30+Budget!L30</f>
        <v>0</v>
      </c>
      <c r="M30" s="4">
        <f ca="1">+L30+Budget!M30</f>
        <v>0</v>
      </c>
      <c r="N30" s="54">
        <f ca="1">Budget!N30</f>
        <v>0</v>
      </c>
      <c r="O30" s="4">
        <f ca="1">+N30+Budget!O30</f>
        <v>0</v>
      </c>
      <c r="P30" s="4">
        <f ca="1">+O30+Budget!P30</f>
        <v>0</v>
      </c>
      <c r="Q30" s="33"/>
      <c r="R30" s="10"/>
      <c r="S30" s="11"/>
    </row>
    <row r="31" spans="1:19" ht="15.75" thickBot="1">
      <c r="A31" s="11"/>
      <c r="B31" s="7">
        <v>14</v>
      </c>
      <c r="C31" s="9" t="str">
        <f ca="1">+Introduction!F24</f>
        <v>Expense 14</v>
      </c>
      <c r="D31" s="51"/>
      <c r="E31" s="54">
        <f ca="1">Budget!E31</f>
        <v>0</v>
      </c>
      <c r="F31" s="4">
        <f ca="1">+E31+Budget!F31</f>
        <v>0</v>
      </c>
      <c r="G31" s="4">
        <f ca="1">+F31+Budget!G31</f>
        <v>0</v>
      </c>
      <c r="H31" s="54">
        <f ca="1">Budget!H31</f>
        <v>0</v>
      </c>
      <c r="I31" s="4">
        <f ca="1">+H31+Budget!I31</f>
        <v>0</v>
      </c>
      <c r="J31" s="4">
        <f ca="1">+I31+Budget!J31</f>
        <v>0</v>
      </c>
      <c r="K31" s="54">
        <f ca="1">Budget!K31</f>
        <v>0</v>
      </c>
      <c r="L31" s="4">
        <f ca="1">+K31+Budget!L31</f>
        <v>0</v>
      </c>
      <c r="M31" s="4">
        <f ca="1">+L31+Budget!M31</f>
        <v>0</v>
      </c>
      <c r="N31" s="54">
        <f ca="1">Budget!N31</f>
        <v>0</v>
      </c>
      <c r="O31" s="4">
        <f ca="1">+N31+Budget!O31</f>
        <v>0</v>
      </c>
      <c r="P31" s="4">
        <f ca="1">+O31+Budget!P31</f>
        <v>0</v>
      </c>
      <c r="Q31" s="33"/>
      <c r="R31" s="10"/>
      <c r="S31" s="11"/>
    </row>
    <row r="32" spans="1:19" ht="15.75" thickBot="1">
      <c r="A32" s="11"/>
      <c r="B32" s="7">
        <v>15</v>
      </c>
      <c r="C32" s="9" t="str">
        <f ca="1">+Introduction!F25</f>
        <v>Expense 15</v>
      </c>
      <c r="D32" s="51"/>
      <c r="E32" s="54">
        <f ca="1">Budget!E32</f>
        <v>0</v>
      </c>
      <c r="F32" s="4">
        <f ca="1">+E32+Budget!F32</f>
        <v>0</v>
      </c>
      <c r="G32" s="4">
        <f ca="1">+F32+Budget!G32</f>
        <v>0</v>
      </c>
      <c r="H32" s="54">
        <f ca="1">Budget!H32</f>
        <v>0</v>
      </c>
      <c r="I32" s="4">
        <f ca="1">+H32+Budget!I32</f>
        <v>0</v>
      </c>
      <c r="J32" s="4">
        <f ca="1">+I32+Budget!J32</f>
        <v>0</v>
      </c>
      <c r="K32" s="54">
        <f ca="1">Budget!K32</f>
        <v>0</v>
      </c>
      <c r="L32" s="4">
        <f ca="1">+K32+Budget!L32</f>
        <v>0</v>
      </c>
      <c r="M32" s="4">
        <f ca="1">+L32+Budget!M32</f>
        <v>0</v>
      </c>
      <c r="N32" s="54">
        <f ca="1">Budget!N32</f>
        <v>0</v>
      </c>
      <c r="O32" s="4">
        <f ca="1">+N32+Budget!O32</f>
        <v>0</v>
      </c>
      <c r="P32" s="4">
        <f ca="1">+O32+Budget!P32</f>
        <v>0</v>
      </c>
      <c r="Q32" s="33"/>
      <c r="R32" s="10"/>
      <c r="S32" s="11"/>
    </row>
    <row r="33" spans="1:19" ht="15.75" thickBot="1">
      <c r="A33" s="11"/>
      <c r="B33" s="7">
        <v>16</v>
      </c>
      <c r="C33" s="9" t="str">
        <f ca="1">+Introduction!F26</f>
        <v>Expense 16</v>
      </c>
      <c r="D33" s="51"/>
      <c r="E33" s="54">
        <f ca="1">Budget!E33</f>
        <v>0</v>
      </c>
      <c r="F33" s="4">
        <f ca="1">+E33+Budget!F33</f>
        <v>0</v>
      </c>
      <c r="G33" s="4">
        <f ca="1">+F33+Budget!G33</f>
        <v>0</v>
      </c>
      <c r="H33" s="54">
        <f ca="1">Budget!H33</f>
        <v>0</v>
      </c>
      <c r="I33" s="4">
        <f ca="1">+H33+Budget!I33</f>
        <v>0</v>
      </c>
      <c r="J33" s="4">
        <f ca="1">+I33+Budget!J33</f>
        <v>0</v>
      </c>
      <c r="K33" s="54">
        <f ca="1">Budget!K33</f>
        <v>0</v>
      </c>
      <c r="L33" s="4">
        <f ca="1">+K33+Budget!L33</f>
        <v>0</v>
      </c>
      <c r="M33" s="4">
        <f ca="1">+L33+Budget!M33</f>
        <v>0</v>
      </c>
      <c r="N33" s="54">
        <f ca="1">Budget!N33</f>
        <v>0</v>
      </c>
      <c r="O33" s="4">
        <f ca="1">+N33+Budget!O33</f>
        <v>0</v>
      </c>
      <c r="P33" s="4">
        <f ca="1">+O33+Budget!P33</f>
        <v>0</v>
      </c>
      <c r="Q33" s="33"/>
      <c r="R33" s="10"/>
      <c r="S33" s="11"/>
    </row>
    <row r="34" spans="1:19" ht="15.75" thickBot="1">
      <c r="A34" s="11"/>
      <c r="B34" s="7">
        <v>17</v>
      </c>
      <c r="C34" s="9" t="str">
        <f ca="1">+Introduction!F27</f>
        <v>Expense 17</v>
      </c>
      <c r="D34" s="51"/>
      <c r="E34" s="54">
        <f ca="1">Budget!E34</f>
        <v>0</v>
      </c>
      <c r="F34" s="4">
        <f ca="1">+E34+Budget!F34</f>
        <v>0</v>
      </c>
      <c r="G34" s="4">
        <f ca="1">+F34+Budget!G34</f>
        <v>0</v>
      </c>
      <c r="H34" s="54">
        <f ca="1">Budget!H34</f>
        <v>0</v>
      </c>
      <c r="I34" s="4">
        <f ca="1">+H34+Budget!I34</f>
        <v>0</v>
      </c>
      <c r="J34" s="4">
        <f ca="1">+I34+Budget!J34</f>
        <v>0</v>
      </c>
      <c r="K34" s="54">
        <f ca="1">Budget!K34</f>
        <v>0</v>
      </c>
      <c r="L34" s="4">
        <f ca="1">+K34+Budget!L34</f>
        <v>0</v>
      </c>
      <c r="M34" s="4">
        <f ca="1">+L34+Budget!M34</f>
        <v>0</v>
      </c>
      <c r="N34" s="54">
        <f ca="1">Budget!N34</f>
        <v>0</v>
      </c>
      <c r="O34" s="4">
        <f ca="1">+N34+Budget!O34</f>
        <v>0</v>
      </c>
      <c r="P34" s="4">
        <f ca="1">+O34+Budget!P34</f>
        <v>0</v>
      </c>
      <c r="Q34" s="33"/>
      <c r="R34" s="10"/>
      <c r="S34" s="11"/>
    </row>
    <row r="35" spans="1:19" ht="15.75" thickBot="1">
      <c r="A35" s="11"/>
      <c r="B35" s="7">
        <v>18</v>
      </c>
      <c r="C35" s="9" t="str">
        <f ca="1">+Introduction!F28</f>
        <v>Expense 18</v>
      </c>
      <c r="D35" s="51"/>
      <c r="E35" s="54">
        <f ca="1">Budget!E35</f>
        <v>0</v>
      </c>
      <c r="F35" s="4">
        <f ca="1">+E35+Budget!F35</f>
        <v>0</v>
      </c>
      <c r="G35" s="4">
        <f ca="1">+F35+Budget!G35</f>
        <v>0</v>
      </c>
      <c r="H35" s="54">
        <f ca="1">Budget!H35</f>
        <v>0</v>
      </c>
      <c r="I35" s="4">
        <f ca="1">+H35+Budget!I35</f>
        <v>0</v>
      </c>
      <c r="J35" s="4">
        <f ca="1">+I35+Budget!J35</f>
        <v>0</v>
      </c>
      <c r="K35" s="54">
        <f ca="1">Budget!K35</f>
        <v>0</v>
      </c>
      <c r="L35" s="4">
        <f ca="1">+K35+Budget!L35</f>
        <v>0</v>
      </c>
      <c r="M35" s="4">
        <f ca="1">+L35+Budget!M35</f>
        <v>0</v>
      </c>
      <c r="N35" s="54">
        <f ca="1">Budget!N35</f>
        <v>0</v>
      </c>
      <c r="O35" s="4">
        <f ca="1">+N35+Budget!O35</f>
        <v>0</v>
      </c>
      <c r="P35" s="4">
        <f ca="1">+O35+Budget!P35</f>
        <v>0</v>
      </c>
      <c r="Q35" s="33"/>
      <c r="R35" s="10"/>
      <c r="S35" s="11"/>
    </row>
    <row r="36" spans="1:19" ht="15.75" thickBot="1">
      <c r="A36" s="11"/>
      <c r="B36" s="7">
        <v>19</v>
      </c>
      <c r="C36" s="9" t="str">
        <f ca="1">+Introduction!F29</f>
        <v>Expense 19</v>
      </c>
      <c r="D36" s="51"/>
      <c r="E36" s="54">
        <f ca="1">Budget!E36</f>
        <v>0</v>
      </c>
      <c r="F36" s="4">
        <f ca="1">+E36+Budget!F36</f>
        <v>0</v>
      </c>
      <c r="G36" s="4">
        <f ca="1">+F36+Budget!G36</f>
        <v>0</v>
      </c>
      <c r="H36" s="54">
        <f ca="1">Budget!H36</f>
        <v>0</v>
      </c>
      <c r="I36" s="4">
        <f ca="1">+H36+Budget!I36</f>
        <v>0</v>
      </c>
      <c r="J36" s="4">
        <f ca="1">+I36+Budget!J36</f>
        <v>0</v>
      </c>
      <c r="K36" s="54">
        <f ca="1">Budget!K36</f>
        <v>0</v>
      </c>
      <c r="L36" s="4">
        <f ca="1">+K36+Budget!L36</f>
        <v>0</v>
      </c>
      <c r="M36" s="4">
        <f ca="1">+L36+Budget!M36</f>
        <v>0</v>
      </c>
      <c r="N36" s="54">
        <f ca="1">Budget!N36</f>
        <v>0</v>
      </c>
      <c r="O36" s="4">
        <f ca="1">+N36+Budget!O36</f>
        <v>0</v>
      </c>
      <c r="P36" s="4">
        <f ca="1">+O36+Budget!P36</f>
        <v>0</v>
      </c>
      <c r="Q36" s="33"/>
      <c r="R36" s="10"/>
      <c r="S36" s="11"/>
    </row>
    <row r="37" spans="1:19" ht="15.75" thickBot="1">
      <c r="A37" s="11"/>
      <c r="B37" s="7">
        <v>20</v>
      </c>
      <c r="C37" s="9" t="str">
        <f ca="1">+Introduction!F30</f>
        <v>IRA Contribution</v>
      </c>
      <c r="D37" s="51"/>
      <c r="E37" s="54">
        <f ca="1">Budget!E37</f>
        <v>0</v>
      </c>
      <c r="F37" s="4">
        <f ca="1">+E37+Budget!F37</f>
        <v>0</v>
      </c>
      <c r="G37" s="4">
        <f ca="1">+F37+Budget!G37</f>
        <v>0</v>
      </c>
      <c r="H37" s="54">
        <f ca="1">Budget!H37</f>
        <v>0</v>
      </c>
      <c r="I37" s="4">
        <f ca="1">+H37+Budget!I37</f>
        <v>0</v>
      </c>
      <c r="J37" s="4">
        <f ca="1">+I37+Budget!J37</f>
        <v>0</v>
      </c>
      <c r="K37" s="54">
        <f ca="1">Budget!K37</f>
        <v>0</v>
      </c>
      <c r="L37" s="4">
        <f ca="1">+K37+Budget!L37</f>
        <v>0</v>
      </c>
      <c r="M37" s="4">
        <f ca="1">+L37+Budget!M37</f>
        <v>0</v>
      </c>
      <c r="N37" s="54">
        <f ca="1">Budget!N37</f>
        <v>0</v>
      </c>
      <c r="O37" s="4">
        <f ca="1">+N37+Budget!O37</f>
        <v>0</v>
      </c>
      <c r="P37" s="4">
        <f ca="1">+O37+Budget!P37</f>
        <v>0</v>
      </c>
      <c r="Q37" s="33"/>
      <c r="R37" s="10"/>
      <c r="S37" s="11"/>
    </row>
    <row r="38" spans="1:19">
      <c r="A38" s="11"/>
      <c r="B38" s="41" t="s">
        <v>24</v>
      </c>
      <c r="C38" s="42"/>
      <c r="D38" s="52"/>
      <c r="E38" s="26">
        <f>SUM(E18:E37)</f>
        <v>0</v>
      </c>
      <c r="F38" s="26">
        <f t="shared" ref="F38:P38" si="5">SUM(F18:F37)</f>
        <v>0</v>
      </c>
      <c r="G38" s="26">
        <f t="shared" si="5"/>
        <v>0</v>
      </c>
      <c r="H38" s="26">
        <f t="shared" si="5"/>
        <v>0</v>
      </c>
      <c r="I38" s="26">
        <f t="shared" si="5"/>
        <v>0</v>
      </c>
      <c r="J38" s="26">
        <f t="shared" si="5"/>
        <v>0</v>
      </c>
      <c r="K38" s="26">
        <f t="shared" si="5"/>
        <v>0</v>
      </c>
      <c r="L38" s="26">
        <f t="shared" si="5"/>
        <v>0</v>
      </c>
      <c r="M38" s="26">
        <f t="shared" si="5"/>
        <v>0</v>
      </c>
      <c r="N38" s="26">
        <f t="shared" si="5"/>
        <v>0</v>
      </c>
      <c r="O38" s="26">
        <f t="shared" si="5"/>
        <v>0</v>
      </c>
      <c r="P38" s="26">
        <f t="shared" si="5"/>
        <v>0</v>
      </c>
      <c r="Q38" s="34"/>
      <c r="R38" s="26"/>
      <c r="S38" s="11"/>
    </row>
    <row r="39" spans="1:19" ht="15.75" thickBot="1">
      <c r="A39" s="11"/>
      <c r="B39" s="12"/>
      <c r="C39" s="11"/>
      <c r="D39" s="11"/>
      <c r="E39" s="13"/>
      <c r="F39" s="13"/>
      <c r="G39" s="13"/>
      <c r="H39" s="13"/>
      <c r="I39" s="13"/>
      <c r="J39" s="13"/>
      <c r="K39" s="13"/>
      <c r="L39" s="13"/>
      <c r="M39" s="13"/>
      <c r="N39" s="13"/>
      <c r="O39" s="13"/>
      <c r="P39" s="13"/>
      <c r="Q39" s="13"/>
      <c r="R39" s="13"/>
      <c r="S39" s="11"/>
    </row>
    <row r="40" spans="1:19" ht="15.75" thickBot="1">
      <c r="A40" s="11"/>
      <c r="B40" s="30" t="s">
        <v>25</v>
      </c>
      <c r="C40" s="31"/>
      <c r="D40" s="53"/>
      <c r="E40" s="26">
        <f>+E14-E38</f>
        <v>0</v>
      </c>
      <c r="F40" s="26">
        <f t="shared" ref="F40:P40" si="6">+F14-F38</f>
        <v>0</v>
      </c>
      <c r="G40" s="26">
        <f t="shared" si="6"/>
        <v>0</v>
      </c>
      <c r="H40" s="26">
        <f t="shared" si="6"/>
        <v>0</v>
      </c>
      <c r="I40" s="26">
        <f t="shared" si="6"/>
        <v>0</v>
      </c>
      <c r="J40" s="26">
        <f t="shared" si="6"/>
        <v>0</v>
      </c>
      <c r="K40" s="26">
        <f t="shared" si="6"/>
        <v>0</v>
      </c>
      <c r="L40" s="26">
        <f t="shared" si="6"/>
        <v>0</v>
      </c>
      <c r="M40" s="26">
        <f t="shared" si="6"/>
        <v>0</v>
      </c>
      <c r="N40" s="26">
        <f t="shared" si="6"/>
        <v>0</v>
      </c>
      <c r="O40" s="26">
        <f t="shared" si="6"/>
        <v>0</v>
      </c>
      <c r="P40" s="26">
        <f t="shared" si="6"/>
        <v>0</v>
      </c>
      <c r="Q40" s="26"/>
      <c r="R40" s="26"/>
      <c r="S40" s="11"/>
    </row>
    <row r="41" spans="1:19" ht="15.75" thickBot="1">
      <c r="A41" s="11"/>
      <c r="B41" s="12"/>
      <c r="C41" s="11"/>
      <c r="D41" s="11"/>
      <c r="E41" s="13"/>
      <c r="F41" s="13"/>
      <c r="G41" s="13"/>
      <c r="H41" s="13"/>
      <c r="I41" s="13"/>
      <c r="J41" s="13"/>
      <c r="K41" s="13"/>
      <c r="L41" s="13"/>
      <c r="M41" s="13"/>
      <c r="N41" s="13"/>
      <c r="O41" s="13"/>
      <c r="P41" s="13"/>
      <c r="Q41" s="13"/>
      <c r="R41" s="13"/>
      <c r="S41" s="11"/>
    </row>
    <row r="42" spans="1:19" ht="15.75" thickBot="1">
      <c r="A42" s="11"/>
      <c r="B42" s="7">
        <v>1</v>
      </c>
      <c r="C42" s="31" t="s">
        <v>27</v>
      </c>
      <c r="D42" s="31"/>
      <c r="E42" s="54">
        <f ca="1">+Budget!E42</f>
        <v>0</v>
      </c>
      <c r="F42" s="10">
        <f ca="1">+E42</f>
        <v>0</v>
      </c>
      <c r="G42" s="10">
        <f t="shared" ref="G42:P42" si="7">+F42</f>
        <v>0</v>
      </c>
      <c r="H42" s="54">
        <f ca="1">+Budget!H42</f>
        <v>0</v>
      </c>
      <c r="I42" s="10">
        <f t="shared" si="7"/>
        <v>0</v>
      </c>
      <c r="J42" s="10">
        <f t="shared" si="7"/>
        <v>0</v>
      </c>
      <c r="K42" s="54">
        <f ca="1">+Budget!K42</f>
        <v>0</v>
      </c>
      <c r="L42" s="10">
        <f t="shared" si="7"/>
        <v>0</v>
      </c>
      <c r="M42" s="10">
        <f t="shared" si="7"/>
        <v>0</v>
      </c>
      <c r="N42" s="54">
        <f ca="1">+Budget!N42</f>
        <v>0</v>
      </c>
      <c r="O42" s="10">
        <f t="shared" si="7"/>
        <v>0</v>
      </c>
      <c r="P42" s="10">
        <f t="shared" si="7"/>
        <v>0</v>
      </c>
      <c r="Q42" s="6"/>
      <c r="R42" s="10"/>
      <c r="S42" s="11"/>
    </row>
    <row r="43" spans="1:19" ht="15.75" thickBot="1">
      <c r="A43" s="11"/>
      <c r="B43" s="7">
        <v>2</v>
      </c>
      <c r="C43" s="31" t="s">
        <v>26</v>
      </c>
      <c r="D43" s="31"/>
      <c r="E43" s="14">
        <f>+E40</f>
        <v>0</v>
      </c>
      <c r="F43" s="14">
        <f t="shared" ref="F43:P43" si="8">+F40</f>
        <v>0</v>
      </c>
      <c r="G43" s="14">
        <f t="shared" si="8"/>
        <v>0</v>
      </c>
      <c r="H43" s="14">
        <f t="shared" si="8"/>
        <v>0</v>
      </c>
      <c r="I43" s="14">
        <f t="shared" si="8"/>
        <v>0</v>
      </c>
      <c r="J43" s="14">
        <f t="shared" si="8"/>
        <v>0</v>
      </c>
      <c r="K43" s="14">
        <f t="shared" si="8"/>
        <v>0</v>
      </c>
      <c r="L43" s="14">
        <f t="shared" si="8"/>
        <v>0</v>
      </c>
      <c r="M43" s="14">
        <f t="shared" si="8"/>
        <v>0</v>
      </c>
      <c r="N43" s="14">
        <f t="shared" si="8"/>
        <v>0</v>
      </c>
      <c r="O43" s="14">
        <f t="shared" si="8"/>
        <v>0</v>
      </c>
      <c r="P43" s="14">
        <f t="shared" si="8"/>
        <v>0</v>
      </c>
      <c r="Q43" s="14"/>
      <c r="R43" s="14"/>
      <c r="S43" s="11"/>
    </row>
    <row r="44" spans="1:19" ht="15.75" thickBot="1">
      <c r="A44" s="11"/>
      <c r="B44" s="7">
        <v>3</v>
      </c>
      <c r="C44" s="31" t="s">
        <v>28</v>
      </c>
      <c r="D44" s="31"/>
      <c r="E44" s="10">
        <f>+E42+E43</f>
        <v>0</v>
      </c>
      <c r="F44" s="10">
        <f t="shared" ref="F44:P44" si="9">+F42+F43</f>
        <v>0</v>
      </c>
      <c r="G44" s="10">
        <f t="shared" si="9"/>
        <v>0</v>
      </c>
      <c r="H44" s="10">
        <f t="shared" si="9"/>
        <v>0</v>
      </c>
      <c r="I44" s="10">
        <f t="shared" si="9"/>
        <v>0</v>
      </c>
      <c r="J44" s="10">
        <f t="shared" si="9"/>
        <v>0</v>
      </c>
      <c r="K44" s="10">
        <f t="shared" si="9"/>
        <v>0</v>
      </c>
      <c r="L44" s="10">
        <f t="shared" si="9"/>
        <v>0</v>
      </c>
      <c r="M44" s="10">
        <f t="shared" si="9"/>
        <v>0</v>
      </c>
      <c r="N44" s="10">
        <f t="shared" si="9"/>
        <v>0</v>
      </c>
      <c r="O44" s="10">
        <f t="shared" si="9"/>
        <v>0</v>
      </c>
      <c r="P44" s="10">
        <f t="shared" si="9"/>
        <v>0</v>
      </c>
      <c r="Q44" s="10"/>
      <c r="R44" s="10"/>
      <c r="S44" s="11"/>
    </row>
    <row r="45" spans="1:19" ht="15.75" thickBot="1">
      <c r="A45" s="11"/>
      <c r="B45" s="11"/>
      <c r="C45" s="11"/>
      <c r="D45" s="11"/>
      <c r="E45" s="11"/>
      <c r="F45" s="11"/>
      <c r="G45" s="11"/>
      <c r="H45" s="11"/>
      <c r="I45" s="11"/>
      <c r="J45" s="11"/>
      <c r="K45" s="11"/>
      <c r="L45" s="11"/>
      <c r="M45" s="11"/>
      <c r="N45" s="11"/>
      <c r="O45" s="11"/>
      <c r="P45" s="11"/>
      <c r="Q45" s="11"/>
      <c r="R45" s="11"/>
      <c r="S45" s="11"/>
    </row>
    <row r="46" spans="1:19" ht="15.75" thickBot="1">
      <c r="A46" s="11"/>
      <c r="B46" s="7">
        <v>1</v>
      </c>
      <c r="C46" s="9" t="s">
        <v>30</v>
      </c>
      <c r="D46" s="9"/>
      <c r="E46" s="10">
        <f ca="1">+Budget!E46</f>
        <v>0</v>
      </c>
      <c r="F46" s="10">
        <f ca="1">+Budget!F46</f>
        <v>0</v>
      </c>
      <c r="G46" s="10">
        <f ca="1">+Budget!G46</f>
        <v>0</v>
      </c>
      <c r="H46" s="10">
        <f ca="1">+Budget!H46</f>
        <v>0</v>
      </c>
      <c r="I46" s="10">
        <f ca="1">+Budget!I46</f>
        <v>0</v>
      </c>
      <c r="J46" s="10">
        <f ca="1">+Budget!J46</f>
        <v>0</v>
      </c>
      <c r="K46" s="10">
        <f ca="1">+Budget!K46</f>
        <v>0</v>
      </c>
      <c r="L46" s="10">
        <f ca="1">+Budget!L46</f>
        <v>0</v>
      </c>
      <c r="M46" s="10">
        <f ca="1">+Budget!M46</f>
        <v>0</v>
      </c>
      <c r="N46" s="10">
        <f ca="1">+Budget!N46</f>
        <v>0</v>
      </c>
      <c r="O46" s="10">
        <f ca="1">+Budget!O46</f>
        <v>0</v>
      </c>
      <c r="P46" s="10">
        <f ca="1">+Budget!P46</f>
        <v>0</v>
      </c>
      <c r="Q46" s="10"/>
      <c r="R46" s="10"/>
      <c r="S46" s="11"/>
    </row>
    <row r="47" spans="1:19">
      <c r="A47" s="11"/>
      <c r="B47" s="11"/>
      <c r="C47" s="11"/>
      <c r="D47" s="11"/>
      <c r="E47" s="11"/>
      <c r="F47" s="11"/>
      <c r="G47" s="11"/>
      <c r="H47" s="11"/>
      <c r="I47" s="11"/>
      <c r="J47" s="11"/>
      <c r="K47" s="11"/>
      <c r="L47" s="11"/>
      <c r="M47" s="11"/>
      <c r="N47" s="11"/>
      <c r="O47" s="11"/>
      <c r="P47" s="11"/>
      <c r="Q47" s="11"/>
      <c r="R47" s="11"/>
      <c r="S47" s="11"/>
    </row>
    <row r="48" spans="1:19">
      <c r="E48" s="2"/>
      <c r="F48" s="2"/>
      <c r="G48" s="2"/>
      <c r="H48" s="2"/>
      <c r="I48" s="2"/>
      <c r="J48" s="2"/>
      <c r="K48" s="2"/>
      <c r="L48" s="2"/>
      <c r="M48" s="2"/>
      <c r="N48" s="2"/>
      <c r="O48" s="2"/>
      <c r="P48" s="2"/>
      <c r="Q48" s="2"/>
      <c r="R48" s="2"/>
    </row>
    <row r="49" spans="5:18">
      <c r="E49" s="2"/>
      <c r="F49" s="2"/>
      <c r="G49" s="2"/>
      <c r="H49" s="2"/>
      <c r="I49" s="2"/>
      <c r="J49" s="2"/>
      <c r="K49" s="2"/>
      <c r="L49" s="2"/>
      <c r="M49" s="2"/>
      <c r="N49" s="2"/>
      <c r="O49" s="2"/>
      <c r="P49" s="2"/>
      <c r="Q49" s="2"/>
      <c r="R49" s="2"/>
    </row>
    <row r="50" spans="5:18">
      <c r="E50" s="2"/>
      <c r="F50" s="2"/>
      <c r="G50" s="2"/>
      <c r="H50" s="2"/>
      <c r="I50" s="2"/>
      <c r="J50" s="2"/>
      <c r="K50" s="2"/>
      <c r="L50" s="2"/>
      <c r="M50" s="2"/>
      <c r="N50" s="2"/>
      <c r="O50" s="2"/>
      <c r="P50" s="2"/>
      <c r="Q50" s="2"/>
      <c r="R50" s="2"/>
    </row>
    <row r="51" spans="5:18">
      <c r="R51" s="2"/>
    </row>
    <row r="52" spans="5:18">
      <c r="R52" s="2"/>
    </row>
    <row r="53" spans="5:18">
      <c r="R53" s="2"/>
    </row>
    <row r="54" spans="5:18">
      <c r="R54" s="2"/>
    </row>
    <row r="55" spans="5:18">
      <c r="R55" s="2"/>
    </row>
    <row r="56" spans="5:18">
      <c r="R56" s="2"/>
    </row>
    <row r="57" spans="5:18">
      <c r="R57" s="2"/>
    </row>
    <row r="58" spans="5:18">
      <c r="R58" s="2"/>
    </row>
    <row r="59" spans="5:18">
      <c r="R59" s="2"/>
    </row>
    <row r="60" spans="5:18">
      <c r="R60" s="2"/>
    </row>
    <row r="61" spans="5:18">
      <c r="R61" s="2"/>
    </row>
    <row r="62" spans="5:18">
      <c r="R62" s="2"/>
    </row>
    <row r="63" spans="5:18">
      <c r="R63" s="2"/>
    </row>
    <row r="64" spans="5:18">
      <c r="R64" s="2"/>
    </row>
    <row r="65" spans="18:18">
      <c r="R65" s="2"/>
    </row>
    <row r="66" spans="18:18">
      <c r="R66" s="2"/>
    </row>
    <row r="67" spans="18:18">
      <c r="R67" s="2"/>
    </row>
    <row r="68" spans="18:18">
      <c r="R68" s="2"/>
    </row>
    <row r="69" spans="18:18">
      <c r="R69" s="2"/>
    </row>
    <row r="70" spans="18:18">
      <c r="R70" s="2"/>
    </row>
    <row r="71" spans="18:18">
      <c r="R71" s="2"/>
    </row>
    <row r="72" spans="18:18">
      <c r="R72" s="2"/>
    </row>
    <row r="73" spans="18:18">
      <c r="R73" s="2"/>
    </row>
    <row r="74" spans="18:18">
      <c r="R74" s="2"/>
    </row>
    <row r="75" spans="18:18">
      <c r="R75" s="2"/>
    </row>
    <row r="76" spans="18:18">
      <c r="R76" s="2"/>
    </row>
    <row r="77" spans="18:18">
      <c r="R77" s="2"/>
    </row>
    <row r="78" spans="18:18">
      <c r="R78" s="2"/>
    </row>
    <row r="79" spans="18:18">
      <c r="R79" s="2"/>
    </row>
    <row r="80" spans="18:18">
      <c r="R80" s="2"/>
    </row>
    <row r="81" spans="18:18">
      <c r="R81" s="2"/>
    </row>
    <row r="82" spans="18:18">
      <c r="R82" s="2"/>
    </row>
    <row r="83" spans="18:18">
      <c r="R83" s="2"/>
    </row>
    <row r="84" spans="18:18">
      <c r="R84" s="2"/>
    </row>
    <row r="85" spans="18:18">
      <c r="R85" s="2"/>
    </row>
    <row r="86" spans="18:18">
      <c r="R86" s="2"/>
    </row>
    <row r="87" spans="18:18">
      <c r="R87" s="2"/>
    </row>
    <row r="88" spans="18:18">
      <c r="R88" s="2"/>
    </row>
    <row r="89" spans="18:18">
      <c r="R89" s="2"/>
    </row>
    <row r="90" spans="18:18">
      <c r="R90" s="2"/>
    </row>
    <row r="91" spans="18:18">
      <c r="R91" s="2"/>
    </row>
    <row r="92" spans="18:18">
      <c r="R92" s="2"/>
    </row>
    <row r="93" spans="18:18">
      <c r="R93" s="2"/>
    </row>
    <row r="94" spans="18:18">
      <c r="R94" s="2"/>
    </row>
    <row r="95" spans="18:18">
      <c r="R95" s="2"/>
    </row>
    <row r="96" spans="18:18">
      <c r="R96" s="2"/>
    </row>
    <row r="97" spans="18:18">
      <c r="R97" s="2"/>
    </row>
    <row r="98" spans="18:18">
      <c r="R98" s="2"/>
    </row>
    <row r="99" spans="18:18">
      <c r="R99" s="2"/>
    </row>
    <row r="100" spans="18:18">
      <c r="R100" s="2"/>
    </row>
    <row r="101" spans="18:18">
      <c r="R101" s="2"/>
    </row>
    <row r="102" spans="18:18">
      <c r="R102" s="2"/>
    </row>
    <row r="103" spans="18:18">
      <c r="R103" s="2"/>
    </row>
    <row r="104" spans="18:18">
      <c r="R104" s="2"/>
    </row>
    <row r="105" spans="18:18">
      <c r="R105" s="2"/>
    </row>
    <row r="106" spans="18:18">
      <c r="R106" s="2"/>
    </row>
    <row r="107" spans="18:18">
      <c r="R107" s="2"/>
    </row>
    <row r="108" spans="18:18">
      <c r="R108" s="2"/>
    </row>
    <row r="109" spans="18:18">
      <c r="R109" s="2"/>
    </row>
    <row r="110" spans="18:18">
      <c r="R110" s="2"/>
    </row>
    <row r="111" spans="18:18">
      <c r="R111" s="2"/>
    </row>
    <row r="112" spans="18:18">
      <c r="R112" s="2"/>
    </row>
    <row r="113" spans="18:18">
      <c r="R113" s="2"/>
    </row>
    <row r="114" spans="18:18">
      <c r="R114" s="2"/>
    </row>
    <row r="115" spans="18:18">
      <c r="R115" s="2"/>
    </row>
    <row r="116" spans="18:18">
      <c r="R116" s="2"/>
    </row>
    <row r="117" spans="18:18">
      <c r="R117" s="2"/>
    </row>
  </sheetData>
  <sheetProtection password="CF0F" sheet="1" objects="1" scenarios="1" selectLockedCells="1"/>
  <mergeCells count="2">
    <mergeCell ref="B2:R2"/>
    <mergeCell ref="B5:C5"/>
  </mergeCells>
  <phoneticPr fontId="21" type="noConversion"/>
  <conditionalFormatting sqref="Q43:R43">
    <cfRule type="cellIs" dxfId="5" priority="5" operator="greaterThan">
      <formula>0</formula>
    </cfRule>
    <cfRule type="colorScale" priority="4">
      <colorScale>
        <cfvo type="formula" val="&quot;&lt;0&quot;"/>
        <cfvo type="formula" val="&quot;&gt;=0&quot;"/>
        <color rgb="FFFF0000"/>
        <color theme="6" tint="-0.499984740745262"/>
      </colorScale>
    </cfRule>
    <cfRule type="colorScale" priority="6">
      <colorScale>
        <cfvo type="min" val="0"/>
        <cfvo type="max" val="0"/>
        <color rgb="FFF8696B"/>
        <color rgb="FF63BE7B"/>
      </colorScale>
    </cfRule>
  </conditionalFormatting>
  <conditionalFormatting sqref="E43:P43">
    <cfRule type="cellIs" dxfId="4" priority="2" operator="greaterThan">
      <formula>0</formula>
    </cfRule>
    <cfRule type="colorScale" priority="1">
      <colorScale>
        <cfvo type="formula" val="&quot;&lt;0&quot;"/>
        <cfvo type="formula" val="&quot;&gt;=0&quot;"/>
        <color rgb="FFFF0000"/>
        <color theme="6" tint="-0.499984740745262"/>
      </colorScale>
    </cfRule>
    <cfRule type="colorScale" priority="3">
      <colorScale>
        <cfvo type="min" val="0"/>
        <cfvo type="max" val="0"/>
        <color rgb="FFF8696B"/>
        <color rgb="FF63BE7B"/>
      </colorScale>
    </cfRule>
  </conditionalFormatting>
  <pageMargins left="0.2" right="0.2" top="0.75" bottom="0.75" header="0.3" footer="0.3"/>
  <pageSetup scale="73" orientation="landscape" r:id="rId1"/>
</worksheet>
</file>

<file path=xl/worksheets/sheet7.xml><?xml version="1.0" encoding="utf-8"?>
<worksheet xmlns="http://schemas.openxmlformats.org/spreadsheetml/2006/main" xmlns:r="http://schemas.openxmlformats.org/officeDocument/2006/relationships">
  <sheetPr codeName="Sheet9">
    <pageSetUpPr fitToPage="1"/>
  </sheetPr>
  <dimension ref="A1:S117"/>
  <sheetViews>
    <sheetView showGridLines="0" zoomScale="85" zoomScaleNormal="85" workbookViewId="0">
      <pane xSplit="3" ySplit="5" topLeftCell="D6" activePane="bottomRight" state="frozen"/>
      <selection activeCell="G32" sqref="G32"/>
      <selection pane="topRight" activeCell="G32" sqref="G32"/>
      <selection pane="bottomLeft" activeCell="G32" sqref="G32"/>
      <selection pane="bottomRight" activeCell="D6" sqref="D6"/>
    </sheetView>
  </sheetViews>
  <sheetFormatPr defaultRowHeight="15"/>
  <cols>
    <col min="1" max="1" width="3.42578125" customWidth="1"/>
    <col min="2" max="2" width="4.28515625" style="1" customWidth="1"/>
    <col min="3" max="3" width="29.42578125" customWidth="1"/>
    <col min="4" max="4" width="10" customWidth="1"/>
    <col min="5" max="5" width="12.42578125" customWidth="1"/>
    <col min="6" max="8" width="11.5703125" bestFit="1" customWidth="1"/>
    <col min="9" max="15" width="12.28515625" bestFit="1" customWidth="1"/>
    <col min="16" max="16" width="13.140625" customWidth="1"/>
    <col min="17" max="17" width="11.5703125" hidden="1" customWidth="1"/>
    <col min="18" max="18" width="13.42578125" hidden="1" customWidth="1"/>
    <col min="19" max="19" width="2.140625" customWidth="1"/>
  </cols>
  <sheetData>
    <row r="1" spans="1:19" ht="13.5" customHeight="1" thickBot="1">
      <c r="A1" s="11"/>
      <c r="B1" s="12"/>
      <c r="C1" s="11"/>
      <c r="D1" s="11"/>
      <c r="E1" s="11"/>
      <c r="F1" s="11"/>
      <c r="G1" s="11"/>
      <c r="H1" s="11"/>
      <c r="I1" s="11"/>
      <c r="J1" s="11"/>
      <c r="K1" s="11"/>
      <c r="L1" s="11"/>
      <c r="M1" s="11"/>
      <c r="N1" s="11"/>
      <c r="O1" s="11"/>
      <c r="P1" s="11"/>
      <c r="Q1" s="11"/>
      <c r="R1" s="11"/>
      <c r="S1" s="11"/>
    </row>
    <row r="2" spans="1:19" ht="19.5" customHeight="1" thickBot="1">
      <c r="A2" s="11"/>
      <c r="B2" s="168" t="str">
        <f ca="1">CONCATENATE(Introduction!C4:C4,"'s"," Personal Actual ",Introduction!C5," Quarter To Date by Month")</f>
        <v>'s Personal Actual 2012 Quarter To Date by Month</v>
      </c>
      <c r="C2" s="169"/>
      <c r="D2" s="169"/>
      <c r="E2" s="169"/>
      <c r="F2" s="169"/>
      <c r="G2" s="169"/>
      <c r="H2" s="169"/>
      <c r="I2" s="169"/>
      <c r="J2" s="169"/>
      <c r="K2" s="169"/>
      <c r="L2" s="169"/>
      <c r="M2" s="169"/>
      <c r="N2" s="169"/>
      <c r="O2" s="169"/>
      <c r="P2" s="169"/>
      <c r="Q2" s="169"/>
      <c r="R2" s="170"/>
      <c r="S2" s="11"/>
    </row>
    <row r="3" spans="1:19" ht="15.75" hidden="1" customHeight="1" thickBot="1">
      <c r="A3" s="11"/>
      <c r="B3" s="40"/>
      <c r="C3" s="39"/>
      <c r="D3" s="49"/>
      <c r="E3" s="43">
        <v>31</v>
      </c>
      <c r="F3" s="43">
        <f ca="1">IF(MOD(Introduction!C5,4)=0,29,28)</f>
        <v>29</v>
      </c>
      <c r="G3" s="43">
        <v>31</v>
      </c>
      <c r="H3" s="43">
        <v>30</v>
      </c>
      <c r="I3" s="43">
        <v>31</v>
      </c>
      <c r="J3" s="43">
        <v>30</v>
      </c>
      <c r="K3" s="43">
        <v>31</v>
      </c>
      <c r="L3" s="43">
        <v>31</v>
      </c>
      <c r="M3" s="43">
        <v>30</v>
      </c>
      <c r="N3" s="43">
        <v>31</v>
      </c>
      <c r="O3" s="43">
        <v>30</v>
      </c>
      <c r="P3" s="43">
        <v>31</v>
      </c>
      <c r="Q3" s="27"/>
      <c r="R3" s="27"/>
      <c r="S3" s="11"/>
    </row>
    <row r="4" spans="1:19" ht="15.75" hidden="1" customHeight="1" thickBot="1">
      <c r="A4" s="11"/>
      <c r="B4" s="40" t="s">
        <v>42</v>
      </c>
      <c r="C4" s="39"/>
      <c r="D4" s="49"/>
      <c r="E4" s="26" t="str">
        <f ca="1">CONCATENATE(MONTH(E5)," ",YEAR(E5))</f>
        <v>1 2012</v>
      </c>
      <c r="F4" s="26" t="str">
        <f t="shared" ref="F4:P4" si="0">CONCATENATE(MONTH(F5)," ",YEAR(F5))</f>
        <v>2 2012</v>
      </c>
      <c r="G4" s="26" t="str">
        <f t="shared" si="0"/>
        <v>3 2012</v>
      </c>
      <c r="H4" s="26" t="str">
        <f t="shared" si="0"/>
        <v>4 2012</v>
      </c>
      <c r="I4" s="26" t="str">
        <f t="shared" si="0"/>
        <v>5 2012</v>
      </c>
      <c r="J4" s="26" t="str">
        <f t="shared" si="0"/>
        <v>6 2012</v>
      </c>
      <c r="K4" s="26" t="str">
        <f t="shared" si="0"/>
        <v>7 2012</v>
      </c>
      <c r="L4" s="26" t="str">
        <f t="shared" si="0"/>
        <v>8 2012</v>
      </c>
      <c r="M4" s="26" t="str">
        <f t="shared" si="0"/>
        <v>9 2012</v>
      </c>
      <c r="N4" s="26" t="str">
        <f t="shared" si="0"/>
        <v>10 2012</v>
      </c>
      <c r="O4" s="26" t="str">
        <f t="shared" si="0"/>
        <v>11 2012</v>
      </c>
      <c r="P4" s="26" t="str">
        <f t="shared" si="0"/>
        <v>12 2012</v>
      </c>
      <c r="Q4" s="26"/>
      <c r="R4" s="26"/>
      <c r="S4" s="11"/>
    </row>
    <row r="5" spans="1:19" ht="15.75" customHeight="1" thickBot="1">
      <c r="A5" s="11"/>
      <c r="B5" s="166" t="s">
        <v>29</v>
      </c>
      <c r="C5" s="167"/>
      <c r="D5" s="50"/>
      <c r="E5" s="35">
        <f ca="1">+Introduction!$C$6+0</f>
        <v>40909</v>
      </c>
      <c r="F5" s="36">
        <f ca="1">+E5+E3</f>
        <v>40940</v>
      </c>
      <c r="G5" s="36">
        <f t="shared" ref="G5:P5" si="1">+F5+F3</f>
        <v>40969</v>
      </c>
      <c r="H5" s="36">
        <f t="shared" si="1"/>
        <v>41000</v>
      </c>
      <c r="I5" s="36">
        <f t="shared" si="1"/>
        <v>41030</v>
      </c>
      <c r="J5" s="36">
        <f t="shared" si="1"/>
        <v>41061</v>
      </c>
      <c r="K5" s="36">
        <f t="shared" si="1"/>
        <v>41091</v>
      </c>
      <c r="L5" s="36">
        <f t="shared" si="1"/>
        <v>41122</v>
      </c>
      <c r="M5" s="36">
        <f t="shared" si="1"/>
        <v>41153</v>
      </c>
      <c r="N5" s="36">
        <f t="shared" si="1"/>
        <v>41183</v>
      </c>
      <c r="O5" s="36">
        <f t="shared" si="1"/>
        <v>41214</v>
      </c>
      <c r="P5" s="36">
        <f t="shared" si="1"/>
        <v>41244</v>
      </c>
      <c r="Q5" s="37">
        <f>+P5+P3</f>
        <v>41275</v>
      </c>
      <c r="R5" s="38" t="s">
        <v>12</v>
      </c>
      <c r="S5" s="11"/>
    </row>
    <row r="6" spans="1:19" ht="15.75" thickBot="1">
      <c r="A6" s="11"/>
      <c r="B6" s="7">
        <v>1</v>
      </c>
      <c r="C6" s="9" t="str">
        <f ca="1">+Introduction!C11</f>
        <v>Income  1</v>
      </c>
      <c r="D6" s="51"/>
      <c r="E6" s="54">
        <f ca="1">Actual!E6</f>
        <v>0</v>
      </c>
      <c r="F6" s="4">
        <f ca="1">+E6+Actual!F6</f>
        <v>0</v>
      </c>
      <c r="G6" s="4">
        <f ca="1">+F6+Actual!G6</f>
        <v>0</v>
      </c>
      <c r="H6" s="54">
        <f ca="1">Actual!H6</f>
        <v>0</v>
      </c>
      <c r="I6" s="4">
        <f ca="1">+H6+Actual!I6</f>
        <v>0</v>
      </c>
      <c r="J6" s="4">
        <f ca="1">+I6+Actual!J6</f>
        <v>0</v>
      </c>
      <c r="K6" s="54">
        <f ca="1">Actual!K6</f>
        <v>0</v>
      </c>
      <c r="L6" s="4">
        <f ca="1">+K6+Actual!L6</f>
        <v>0</v>
      </c>
      <c r="M6" s="4">
        <f ca="1">+L6+Actual!M6</f>
        <v>0</v>
      </c>
      <c r="N6" s="54">
        <f ca="1">Actual!N6</f>
        <v>0</v>
      </c>
      <c r="O6" s="4">
        <f ca="1">+N6+Actual!O6</f>
        <v>0</v>
      </c>
      <c r="P6" s="4">
        <f ca="1">+O6+Actual!P6</f>
        <v>0</v>
      </c>
      <c r="Q6" s="5"/>
      <c r="R6" s="10"/>
      <c r="S6" s="11"/>
    </row>
    <row r="7" spans="1:19" ht="15.75" thickBot="1">
      <c r="A7" s="11"/>
      <c r="B7" s="7">
        <v>2</v>
      </c>
      <c r="C7" s="9" t="str">
        <f ca="1">+Introduction!C12</f>
        <v>Income 2</v>
      </c>
      <c r="D7" s="51"/>
      <c r="E7" s="54">
        <f ca="1">Actual!E7</f>
        <v>0</v>
      </c>
      <c r="F7" s="4">
        <f ca="1">+E7+Actual!F7</f>
        <v>0</v>
      </c>
      <c r="G7" s="4">
        <f ca="1">+F7+Actual!G7</f>
        <v>0</v>
      </c>
      <c r="H7" s="54">
        <f ca="1">Actual!H7</f>
        <v>0</v>
      </c>
      <c r="I7" s="4">
        <f ca="1">+H7+Actual!I7</f>
        <v>0</v>
      </c>
      <c r="J7" s="4">
        <f ca="1">+I7+Actual!J7</f>
        <v>0</v>
      </c>
      <c r="K7" s="54">
        <f ca="1">Actual!K7</f>
        <v>0</v>
      </c>
      <c r="L7" s="4">
        <f ca="1">+K7+Actual!L7</f>
        <v>0</v>
      </c>
      <c r="M7" s="4">
        <f ca="1">+L7+Actual!M7</f>
        <v>0</v>
      </c>
      <c r="N7" s="54">
        <f ca="1">Actual!N7</f>
        <v>0</v>
      </c>
      <c r="O7" s="4">
        <f ca="1">+N7+Actual!O7</f>
        <v>0</v>
      </c>
      <c r="P7" s="4">
        <f ca="1">+O7+Actual!P7</f>
        <v>0</v>
      </c>
      <c r="Q7" s="3"/>
      <c r="R7" s="10"/>
      <c r="S7" s="11"/>
    </row>
    <row r="8" spans="1:19" ht="15.75" thickBot="1">
      <c r="A8" s="11"/>
      <c r="B8" s="7">
        <v>3</v>
      </c>
      <c r="C8" s="9" t="str">
        <f ca="1">+Introduction!C13</f>
        <v>Income 3</v>
      </c>
      <c r="D8" s="51"/>
      <c r="E8" s="54">
        <f ca="1">Actual!E8</f>
        <v>0</v>
      </c>
      <c r="F8" s="4">
        <f ca="1">+E8+Actual!F8</f>
        <v>0</v>
      </c>
      <c r="G8" s="4">
        <f ca="1">+F8+Actual!G8</f>
        <v>0</v>
      </c>
      <c r="H8" s="54">
        <f ca="1">Actual!H8</f>
        <v>0</v>
      </c>
      <c r="I8" s="4">
        <f ca="1">+H8+Actual!I8</f>
        <v>0</v>
      </c>
      <c r="J8" s="4">
        <f ca="1">+I8+Actual!J8</f>
        <v>0</v>
      </c>
      <c r="K8" s="54">
        <f ca="1">Actual!K8</f>
        <v>0</v>
      </c>
      <c r="L8" s="4">
        <f ca="1">+K8+Actual!L8</f>
        <v>0</v>
      </c>
      <c r="M8" s="4">
        <f ca="1">+L8+Actual!M8</f>
        <v>0</v>
      </c>
      <c r="N8" s="54">
        <f ca="1">Actual!N8</f>
        <v>0</v>
      </c>
      <c r="O8" s="4">
        <f ca="1">+N8+Actual!O8</f>
        <v>0</v>
      </c>
      <c r="P8" s="4">
        <f ca="1">+O8+Actual!P8</f>
        <v>0</v>
      </c>
      <c r="Q8" s="3"/>
      <c r="R8" s="10"/>
      <c r="S8" s="11"/>
    </row>
    <row r="9" spans="1:19" ht="15.75" thickBot="1">
      <c r="A9" s="11"/>
      <c r="B9" s="7">
        <v>4</v>
      </c>
      <c r="C9" s="9" t="str">
        <f ca="1">+Introduction!C14</f>
        <v>Income 4</v>
      </c>
      <c r="D9" s="51"/>
      <c r="E9" s="54">
        <f ca="1">Actual!E9</f>
        <v>0</v>
      </c>
      <c r="F9" s="4">
        <f ca="1">+E9+Actual!F9</f>
        <v>0</v>
      </c>
      <c r="G9" s="4">
        <f ca="1">+F9+Actual!G9</f>
        <v>0</v>
      </c>
      <c r="H9" s="54">
        <f ca="1">Actual!H9</f>
        <v>0</v>
      </c>
      <c r="I9" s="4">
        <f ca="1">+H9+Actual!I9</f>
        <v>0</v>
      </c>
      <c r="J9" s="4">
        <f ca="1">+I9+Actual!J9</f>
        <v>0</v>
      </c>
      <c r="K9" s="54">
        <f ca="1">Actual!K9</f>
        <v>0</v>
      </c>
      <c r="L9" s="4">
        <f ca="1">+K9+Actual!L9</f>
        <v>0</v>
      </c>
      <c r="M9" s="4">
        <f ca="1">+L9+Actual!M9</f>
        <v>0</v>
      </c>
      <c r="N9" s="54">
        <f ca="1">Actual!N9</f>
        <v>0</v>
      </c>
      <c r="O9" s="4">
        <f ca="1">+N9+Actual!O9</f>
        <v>0</v>
      </c>
      <c r="P9" s="4">
        <f ca="1">+O9+Actual!P9</f>
        <v>0</v>
      </c>
      <c r="Q9" s="3"/>
      <c r="R9" s="10"/>
      <c r="S9" s="11"/>
    </row>
    <row r="10" spans="1:19" ht="15.75" thickBot="1">
      <c r="A10" s="11"/>
      <c r="B10" s="7">
        <v>5</v>
      </c>
      <c r="C10" s="9" t="str">
        <f ca="1">+Introduction!C15</f>
        <v>Income 5</v>
      </c>
      <c r="D10" s="51"/>
      <c r="E10" s="54">
        <f ca="1">Actual!E10</f>
        <v>0</v>
      </c>
      <c r="F10" s="4">
        <f ca="1">+E10+Actual!F10</f>
        <v>0</v>
      </c>
      <c r="G10" s="4">
        <f ca="1">+F10+Actual!G10</f>
        <v>0</v>
      </c>
      <c r="H10" s="54">
        <f ca="1">Actual!H10</f>
        <v>0</v>
      </c>
      <c r="I10" s="4">
        <f ca="1">+H10+Actual!I10</f>
        <v>0</v>
      </c>
      <c r="J10" s="4">
        <f ca="1">+I10+Actual!J10</f>
        <v>0</v>
      </c>
      <c r="K10" s="54">
        <f ca="1">Actual!K10</f>
        <v>0</v>
      </c>
      <c r="L10" s="4">
        <f ca="1">+K10+Actual!L10</f>
        <v>0</v>
      </c>
      <c r="M10" s="4">
        <f ca="1">+L10+Actual!M10</f>
        <v>0</v>
      </c>
      <c r="N10" s="54">
        <f ca="1">Actual!N10</f>
        <v>0</v>
      </c>
      <c r="O10" s="4">
        <f ca="1">+N10+Actual!O10</f>
        <v>0</v>
      </c>
      <c r="P10" s="4">
        <f ca="1">+O10+Actual!P10</f>
        <v>0</v>
      </c>
      <c r="Q10" s="3"/>
      <c r="R10" s="10"/>
      <c r="S10" s="11"/>
    </row>
    <row r="11" spans="1:19" ht="15.75" thickBot="1">
      <c r="A11" s="11"/>
      <c r="B11" s="7">
        <v>6</v>
      </c>
      <c r="C11" s="9" t="str">
        <f ca="1">+Introduction!C16</f>
        <v>Income 6</v>
      </c>
      <c r="D11" s="51"/>
      <c r="E11" s="54">
        <f ca="1">Actual!E11</f>
        <v>0</v>
      </c>
      <c r="F11" s="4">
        <f ca="1">+E11+Actual!F11</f>
        <v>0</v>
      </c>
      <c r="G11" s="4">
        <f ca="1">+F11+Actual!G11</f>
        <v>0</v>
      </c>
      <c r="H11" s="54">
        <f ca="1">Actual!H11</f>
        <v>0</v>
      </c>
      <c r="I11" s="4">
        <f ca="1">+H11+Actual!I11</f>
        <v>0</v>
      </c>
      <c r="J11" s="4">
        <f ca="1">+I11+Actual!J11</f>
        <v>0</v>
      </c>
      <c r="K11" s="54">
        <f ca="1">Actual!K11</f>
        <v>0</v>
      </c>
      <c r="L11" s="4">
        <f ca="1">+K11+Actual!L11</f>
        <v>0</v>
      </c>
      <c r="M11" s="4">
        <f ca="1">+L11+Actual!M11</f>
        <v>0</v>
      </c>
      <c r="N11" s="54">
        <f ca="1">Actual!N11</f>
        <v>0</v>
      </c>
      <c r="O11" s="4">
        <f ca="1">+N11+Actual!O11</f>
        <v>0</v>
      </c>
      <c r="P11" s="4">
        <f ca="1">+O11+Actual!P11</f>
        <v>0</v>
      </c>
      <c r="Q11" s="3"/>
      <c r="R11" s="10"/>
      <c r="S11" s="11"/>
    </row>
    <row r="12" spans="1:19" ht="15.75" thickBot="1">
      <c r="A12" s="11"/>
      <c r="B12" s="7">
        <v>7</v>
      </c>
      <c r="C12" s="9" t="str">
        <f ca="1">+Introduction!C17</f>
        <v>Income 7</v>
      </c>
      <c r="D12" s="51"/>
      <c r="E12" s="54">
        <f ca="1">Actual!E12</f>
        <v>0</v>
      </c>
      <c r="F12" s="4">
        <f ca="1">+E12+Actual!F12</f>
        <v>0</v>
      </c>
      <c r="G12" s="4">
        <f ca="1">+F12+Actual!G12</f>
        <v>0</v>
      </c>
      <c r="H12" s="54">
        <f ca="1">Actual!H12</f>
        <v>0</v>
      </c>
      <c r="I12" s="4">
        <f ca="1">+H12+Actual!I12</f>
        <v>0</v>
      </c>
      <c r="J12" s="4">
        <f ca="1">+I12+Actual!J12</f>
        <v>0</v>
      </c>
      <c r="K12" s="54">
        <f ca="1">Actual!K12</f>
        <v>0</v>
      </c>
      <c r="L12" s="4">
        <f ca="1">+K12+Actual!L12</f>
        <v>0</v>
      </c>
      <c r="M12" s="4">
        <f ca="1">+L12+Actual!M12</f>
        <v>0</v>
      </c>
      <c r="N12" s="54">
        <f ca="1">Actual!N12</f>
        <v>0</v>
      </c>
      <c r="O12" s="4">
        <f ca="1">+N12+Actual!O12</f>
        <v>0</v>
      </c>
      <c r="P12" s="4">
        <f ca="1">+O12+Actual!P12</f>
        <v>0</v>
      </c>
      <c r="Q12" s="3"/>
      <c r="R12" s="10"/>
      <c r="S12" s="11"/>
    </row>
    <row r="13" spans="1:19" ht="15.75" thickBot="1">
      <c r="A13" s="11"/>
      <c r="B13" s="7">
        <v>8</v>
      </c>
      <c r="C13" s="9" t="str">
        <f ca="1">+Introduction!C18</f>
        <v>Income 8</v>
      </c>
      <c r="D13" s="51"/>
      <c r="E13" s="54">
        <f ca="1">Actual!E13</f>
        <v>0</v>
      </c>
      <c r="F13" s="4">
        <f ca="1">+E13+Actual!F13</f>
        <v>0</v>
      </c>
      <c r="G13" s="4">
        <f ca="1">+F13+Actual!G13</f>
        <v>0</v>
      </c>
      <c r="H13" s="54">
        <f ca="1">Actual!H13</f>
        <v>0</v>
      </c>
      <c r="I13" s="4">
        <f ca="1">+H13+Actual!I13</f>
        <v>0</v>
      </c>
      <c r="J13" s="4">
        <f ca="1">+I13+Actual!J13</f>
        <v>0</v>
      </c>
      <c r="K13" s="54">
        <f ca="1">Actual!K13</f>
        <v>0</v>
      </c>
      <c r="L13" s="4">
        <f ca="1">+K13+Actual!L13</f>
        <v>0</v>
      </c>
      <c r="M13" s="4">
        <f ca="1">+L13+Actual!M13</f>
        <v>0</v>
      </c>
      <c r="N13" s="54">
        <f ca="1">Actual!N13</f>
        <v>0</v>
      </c>
      <c r="O13" s="4">
        <f ca="1">+N13+Actual!O13</f>
        <v>0</v>
      </c>
      <c r="P13" s="4">
        <f ca="1">+O13+Actual!P13</f>
        <v>0</v>
      </c>
      <c r="Q13" s="3"/>
      <c r="R13" s="10"/>
      <c r="S13" s="11"/>
    </row>
    <row r="14" spans="1:19" ht="15.75" thickBot="1">
      <c r="A14" s="11"/>
      <c r="B14" s="7"/>
      <c r="C14" s="9" t="s">
        <v>22</v>
      </c>
      <c r="D14" s="9"/>
      <c r="E14" s="10">
        <f>SUM(E6:E13)</f>
        <v>0</v>
      </c>
      <c r="F14" s="10">
        <f t="shared" ref="F14:P14" si="2">SUM(F6:F13)</f>
        <v>0</v>
      </c>
      <c r="G14" s="10">
        <f t="shared" si="2"/>
        <v>0</v>
      </c>
      <c r="H14" s="10">
        <f t="shared" si="2"/>
        <v>0</v>
      </c>
      <c r="I14" s="10">
        <f t="shared" si="2"/>
        <v>0</v>
      </c>
      <c r="J14" s="10">
        <f t="shared" si="2"/>
        <v>0</v>
      </c>
      <c r="K14" s="10">
        <f t="shared" si="2"/>
        <v>0</v>
      </c>
      <c r="L14" s="10">
        <f t="shared" si="2"/>
        <v>0</v>
      </c>
      <c r="M14" s="10">
        <f t="shared" si="2"/>
        <v>0</v>
      </c>
      <c r="N14" s="10">
        <f t="shared" si="2"/>
        <v>0</v>
      </c>
      <c r="O14" s="10">
        <f t="shared" si="2"/>
        <v>0</v>
      </c>
      <c r="P14" s="10">
        <f t="shared" si="2"/>
        <v>0</v>
      </c>
      <c r="Q14" s="10"/>
      <c r="R14" s="10"/>
      <c r="S14" s="11"/>
    </row>
    <row r="15" spans="1:19" ht="13.5" customHeight="1" thickBot="1">
      <c r="A15" s="11"/>
      <c r="B15" s="12"/>
      <c r="C15" s="11"/>
      <c r="D15" s="11"/>
      <c r="E15" s="13"/>
      <c r="F15" s="13"/>
      <c r="G15" s="13"/>
      <c r="H15" s="13"/>
      <c r="I15" s="13"/>
      <c r="J15" s="13"/>
      <c r="K15" s="13"/>
      <c r="L15" s="13"/>
      <c r="M15" s="13"/>
      <c r="N15" s="13"/>
      <c r="O15" s="13"/>
      <c r="P15" s="13"/>
      <c r="Q15" s="13"/>
      <c r="R15" s="13"/>
      <c r="S15" s="11"/>
    </row>
    <row r="16" spans="1:19" ht="30.75" hidden="1" thickBot="1">
      <c r="A16" s="11"/>
      <c r="B16" s="8"/>
      <c r="C16" s="20" t="s">
        <v>45</v>
      </c>
      <c r="D16" s="20"/>
      <c r="E16" s="21" t="str">
        <f>CONCATENATE(MONTH(E17)," ",YEAR(E17), " Expense")</f>
        <v>1 2012 Expense</v>
      </c>
      <c r="F16" s="22" t="str">
        <f t="shared" ref="F16:P16" si="3">CONCATENATE(MONTH(F17)," ",YEAR(F17), " Expense")</f>
        <v>2 2012 Expense</v>
      </c>
      <c r="G16" s="22" t="str">
        <f t="shared" si="3"/>
        <v>3 2012 Expense</v>
      </c>
      <c r="H16" s="22" t="str">
        <f t="shared" si="3"/>
        <v>4 2012 Expense</v>
      </c>
      <c r="I16" s="22" t="str">
        <f t="shared" si="3"/>
        <v>5 2012 Expense</v>
      </c>
      <c r="J16" s="22" t="str">
        <f t="shared" si="3"/>
        <v>6 2012 Expense</v>
      </c>
      <c r="K16" s="22" t="str">
        <f t="shared" si="3"/>
        <v>7 2012 Expense</v>
      </c>
      <c r="L16" s="22" t="str">
        <f t="shared" si="3"/>
        <v>8 2012 Expense</v>
      </c>
      <c r="M16" s="22" t="str">
        <f t="shared" si="3"/>
        <v>9 2012 Expense</v>
      </c>
      <c r="N16" s="22" t="str">
        <f t="shared" si="3"/>
        <v>10 2012 Expense</v>
      </c>
      <c r="O16" s="22" t="str">
        <f t="shared" si="3"/>
        <v>11 2012 Expense</v>
      </c>
      <c r="P16" s="23" t="str">
        <f t="shared" si="3"/>
        <v>12 2012 Expense</v>
      </c>
      <c r="Q16" s="18"/>
      <c r="R16" s="18"/>
      <c r="S16" s="11"/>
    </row>
    <row r="17" spans="1:19" ht="15.75" thickBot="1">
      <c r="A17" s="11"/>
      <c r="B17" s="7"/>
      <c r="C17" s="28" t="s">
        <v>23</v>
      </c>
      <c r="D17" s="51"/>
      <c r="E17" s="29">
        <f>+E5</f>
        <v>40909</v>
      </c>
      <c r="F17" s="29">
        <f t="shared" ref="F17:P17" si="4">+F5</f>
        <v>40940</v>
      </c>
      <c r="G17" s="29">
        <f t="shared" si="4"/>
        <v>40969</v>
      </c>
      <c r="H17" s="29">
        <f t="shared" si="4"/>
        <v>41000</v>
      </c>
      <c r="I17" s="29">
        <f t="shared" si="4"/>
        <v>41030</v>
      </c>
      <c r="J17" s="29">
        <f t="shared" si="4"/>
        <v>41061</v>
      </c>
      <c r="K17" s="29">
        <f t="shared" si="4"/>
        <v>41091</v>
      </c>
      <c r="L17" s="29">
        <f t="shared" si="4"/>
        <v>41122</v>
      </c>
      <c r="M17" s="29">
        <f t="shared" si="4"/>
        <v>41153</v>
      </c>
      <c r="N17" s="29">
        <f t="shared" si="4"/>
        <v>41183</v>
      </c>
      <c r="O17" s="29">
        <f t="shared" si="4"/>
        <v>41214</v>
      </c>
      <c r="P17" s="29">
        <f t="shared" si="4"/>
        <v>41244</v>
      </c>
      <c r="Q17" s="18"/>
      <c r="R17" s="32"/>
      <c r="S17" s="11"/>
    </row>
    <row r="18" spans="1:19" ht="15.75" thickBot="1">
      <c r="A18" s="11"/>
      <c r="B18" s="7">
        <v>1</v>
      </c>
      <c r="C18" s="9" t="str">
        <f ca="1">+Introduction!F11</f>
        <v>Expense 1</v>
      </c>
      <c r="D18" s="51"/>
      <c r="E18" s="54">
        <f ca="1">Actual!E18</f>
        <v>0</v>
      </c>
      <c r="F18" s="4">
        <f ca="1">+E18+Actual!F18</f>
        <v>0</v>
      </c>
      <c r="G18" s="4">
        <f ca="1">+F18+Actual!G18</f>
        <v>0</v>
      </c>
      <c r="H18" s="54">
        <f ca="1">Actual!H18</f>
        <v>0</v>
      </c>
      <c r="I18" s="4">
        <f ca="1">+H18+Actual!I18</f>
        <v>0</v>
      </c>
      <c r="J18" s="4">
        <f ca="1">+I18+Actual!J18</f>
        <v>0</v>
      </c>
      <c r="K18" s="54">
        <f ca="1">Actual!K18</f>
        <v>0</v>
      </c>
      <c r="L18" s="4">
        <f ca="1">+K18+Actual!L18</f>
        <v>0</v>
      </c>
      <c r="M18" s="4">
        <f ca="1">+L18+Actual!M18</f>
        <v>0</v>
      </c>
      <c r="N18" s="54">
        <f ca="1">Actual!N18</f>
        <v>0</v>
      </c>
      <c r="O18" s="4">
        <f ca="1">+N18+Actual!O18</f>
        <v>0</v>
      </c>
      <c r="P18" s="4">
        <f ca="1">+O18+Actual!P18</f>
        <v>0</v>
      </c>
      <c r="Q18" s="33"/>
      <c r="R18" s="10"/>
      <c r="S18" s="11"/>
    </row>
    <row r="19" spans="1:19" ht="15.75" thickBot="1">
      <c r="A19" s="11"/>
      <c r="B19" s="7">
        <v>2</v>
      </c>
      <c r="C19" s="9" t="str">
        <f ca="1">+Introduction!F12</f>
        <v>Expense 2</v>
      </c>
      <c r="D19" s="51"/>
      <c r="E19" s="54">
        <f ca="1">Actual!E19</f>
        <v>0</v>
      </c>
      <c r="F19" s="4">
        <f ca="1">+E19+Actual!F19</f>
        <v>0</v>
      </c>
      <c r="G19" s="4">
        <f ca="1">+F19+Actual!G19</f>
        <v>0</v>
      </c>
      <c r="H19" s="54">
        <f ca="1">Actual!H19</f>
        <v>0</v>
      </c>
      <c r="I19" s="4">
        <f ca="1">+H19+Actual!I19</f>
        <v>0</v>
      </c>
      <c r="J19" s="4">
        <f ca="1">+I19+Actual!J19</f>
        <v>0</v>
      </c>
      <c r="K19" s="54">
        <f ca="1">Actual!K19</f>
        <v>0</v>
      </c>
      <c r="L19" s="4">
        <f ca="1">+K19+Actual!L19</f>
        <v>0</v>
      </c>
      <c r="M19" s="4">
        <f ca="1">+L19+Actual!M19</f>
        <v>0</v>
      </c>
      <c r="N19" s="54">
        <f ca="1">Actual!N19</f>
        <v>0</v>
      </c>
      <c r="O19" s="4">
        <f ca="1">+N19+Actual!O19</f>
        <v>0</v>
      </c>
      <c r="P19" s="4">
        <f ca="1">+O19+Actual!P19</f>
        <v>0</v>
      </c>
      <c r="Q19" s="33"/>
      <c r="R19" s="10"/>
      <c r="S19" s="11"/>
    </row>
    <row r="20" spans="1:19" ht="15.75" thickBot="1">
      <c r="A20" s="11"/>
      <c r="B20" s="7">
        <v>3</v>
      </c>
      <c r="C20" s="9" t="str">
        <f ca="1">+Introduction!F13</f>
        <v>Expense 3</v>
      </c>
      <c r="D20" s="51"/>
      <c r="E20" s="54">
        <f ca="1">Actual!E20</f>
        <v>0</v>
      </c>
      <c r="F20" s="4">
        <f ca="1">+E20+Actual!F20</f>
        <v>0</v>
      </c>
      <c r="G20" s="4">
        <f ca="1">+F20+Actual!G20</f>
        <v>0</v>
      </c>
      <c r="H20" s="54">
        <f ca="1">Actual!H20</f>
        <v>0</v>
      </c>
      <c r="I20" s="4">
        <f ca="1">+H20+Actual!I20</f>
        <v>0</v>
      </c>
      <c r="J20" s="4">
        <f ca="1">+I20+Actual!J20</f>
        <v>0</v>
      </c>
      <c r="K20" s="54">
        <f ca="1">Actual!K20</f>
        <v>0</v>
      </c>
      <c r="L20" s="4">
        <f ca="1">+K20+Actual!L20</f>
        <v>0</v>
      </c>
      <c r="M20" s="4">
        <f ca="1">+L20+Actual!M20</f>
        <v>0</v>
      </c>
      <c r="N20" s="54">
        <f ca="1">Actual!N20</f>
        <v>0</v>
      </c>
      <c r="O20" s="4">
        <f ca="1">+N20+Actual!O20</f>
        <v>0</v>
      </c>
      <c r="P20" s="4">
        <f ca="1">+O20+Actual!P20</f>
        <v>0</v>
      </c>
      <c r="Q20" s="33"/>
      <c r="R20" s="10"/>
      <c r="S20" s="11"/>
    </row>
    <row r="21" spans="1:19" ht="15.75" thickBot="1">
      <c r="A21" s="11"/>
      <c r="B21" s="7">
        <v>4</v>
      </c>
      <c r="C21" s="9" t="str">
        <f ca="1">+Introduction!F14</f>
        <v>Expense 4</v>
      </c>
      <c r="D21" s="51"/>
      <c r="E21" s="54">
        <f ca="1">Actual!E21</f>
        <v>0</v>
      </c>
      <c r="F21" s="4">
        <f ca="1">+E21+Actual!F21</f>
        <v>0</v>
      </c>
      <c r="G21" s="4">
        <f ca="1">+F21+Actual!G21</f>
        <v>0</v>
      </c>
      <c r="H21" s="54">
        <f ca="1">Actual!H21</f>
        <v>0</v>
      </c>
      <c r="I21" s="4">
        <f ca="1">+H21+Actual!I21</f>
        <v>0</v>
      </c>
      <c r="J21" s="4">
        <f ca="1">+I21+Actual!J21</f>
        <v>0</v>
      </c>
      <c r="K21" s="54">
        <f ca="1">Actual!K21</f>
        <v>0</v>
      </c>
      <c r="L21" s="4">
        <f ca="1">+K21+Actual!L21</f>
        <v>0</v>
      </c>
      <c r="M21" s="4">
        <f ca="1">+L21+Actual!M21</f>
        <v>0</v>
      </c>
      <c r="N21" s="54">
        <f ca="1">Actual!N21</f>
        <v>0</v>
      </c>
      <c r="O21" s="4">
        <f ca="1">+N21+Actual!O21</f>
        <v>0</v>
      </c>
      <c r="P21" s="4">
        <f ca="1">+O21+Actual!P21</f>
        <v>0</v>
      </c>
      <c r="Q21" s="33"/>
      <c r="R21" s="10"/>
      <c r="S21" s="11"/>
    </row>
    <row r="22" spans="1:19" ht="15.75" thickBot="1">
      <c r="A22" s="11"/>
      <c r="B22" s="7">
        <v>5</v>
      </c>
      <c r="C22" s="9" t="str">
        <f ca="1">+Introduction!F15</f>
        <v>Expense 5</v>
      </c>
      <c r="D22" s="51"/>
      <c r="E22" s="54">
        <f ca="1">Actual!E22</f>
        <v>0</v>
      </c>
      <c r="F22" s="4">
        <f ca="1">+E22+Actual!F22</f>
        <v>0</v>
      </c>
      <c r="G22" s="4">
        <f ca="1">+F22+Actual!G22</f>
        <v>0</v>
      </c>
      <c r="H22" s="54">
        <f ca="1">Actual!H22</f>
        <v>0</v>
      </c>
      <c r="I22" s="4">
        <f ca="1">+H22+Actual!I22</f>
        <v>0</v>
      </c>
      <c r="J22" s="4">
        <f ca="1">+I22+Actual!J22</f>
        <v>0</v>
      </c>
      <c r="K22" s="54">
        <f ca="1">Actual!K22</f>
        <v>0</v>
      </c>
      <c r="L22" s="4">
        <f ca="1">+K22+Actual!L22</f>
        <v>0</v>
      </c>
      <c r="M22" s="4">
        <f ca="1">+L22+Actual!M22</f>
        <v>0</v>
      </c>
      <c r="N22" s="54">
        <f ca="1">Actual!N22</f>
        <v>0</v>
      </c>
      <c r="O22" s="4">
        <f ca="1">+N22+Actual!O22</f>
        <v>0</v>
      </c>
      <c r="P22" s="4">
        <f ca="1">+O22+Actual!P22</f>
        <v>0</v>
      </c>
      <c r="Q22" s="33"/>
      <c r="R22" s="10"/>
      <c r="S22" s="11"/>
    </row>
    <row r="23" spans="1:19" ht="15.75" thickBot="1">
      <c r="A23" s="11"/>
      <c r="B23" s="7">
        <v>6</v>
      </c>
      <c r="C23" s="9" t="str">
        <f ca="1">+Introduction!F16</f>
        <v>Expense 6</v>
      </c>
      <c r="D23" s="51"/>
      <c r="E23" s="54">
        <f ca="1">Actual!E23</f>
        <v>0</v>
      </c>
      <c r="F23" s="4">
        <f ca="1">+E23+Actual!F23</f>
        <v>0</v>
      </c>
      <c r="G23" s="4">
        <f ca="1">+F23+Actual!G23</f>
        <v>0</v>
      </c>
      <c r="H23" s="54">
        <f ca="1">Actual!H23</f>
        <v>0</v>
      </c>
      <c r="I23" s="4">
        <f ca="1">+H23+Actual!I23</f>
        <v>0</v>
      </c>
      <c r="J23" s="4">
        <f ca="1">+I23+Actual!J23</f>
        <v>0</v>
      </c>
      <c r="K23" s="54">
        <f ca="1">Actual!K23</f>
        <v>0</v>
      </c>
      <c r="L23" s="4">
        <f ca="1">+K23+Actual!L23</f>
        <v>0</v>
      </c>
      <c r="M23" s="4">
        <f ca="1">+L23+Actual!M23</f>
        <v>0</v>
      </c>
      <c r="N23" s="54">
        <f ca="1">Actual!N23</f>
        <v>0</v>
      </c>
      <c r="O23" s="4">
        <f ca="1">+N23+Actual!O23</f>
        <v>0</v>
      </c>
      <c r="P23" s="4">
        <f ca="1">+O23+Actual!P23</f>
        <v>0</v>
      </c>
      <c r="Q23" s="33"/>
      <c r="R23" s="10"/>
      <c r="S23" s="11"/>
    </row>
    <row r="24" spans="1:19" ht="15.75" thickBot="1">
      <c r="A24" s="11"/>
      <c r="B24" s="7">
        <v>7</v>
      </c>
      <c r="C24" s="9" t="str">
        <f ca="1">+Introduction!F17</f>
        <v>Expense 7</v>
      </c>
      <c r="D24" s="51"/>
      <c r="E24" s="54">
        <f ca="1">Actual!E24</f>
        <v>0</v>
      </c>
      <c r="F24" s="4">
        <f ca="1">+E24+Actual!F24</f>
        <v>0</v>
      </c>
      <c r="G24" s="4">
        <f ca="1">+F24+Actual!G24</f>
        <v>0</v>
      </c>
      <c r="H24" s="54">
        <f ca="1">Actual!H24</f>
        <v>0</v>
      </c>
      <c r="I24" s="4">
        <f ca="1">+H24+Actual!I24</f>
        <v>0</v>
      </c>
      <c r="J24" s="4">
        <f ca="1">+I24+Actual!J24</f>
        <v>0</v>
      </c>
      <c r="K24" s="54">
        <f ca="1">Actual!K24</f>
        <v>0</v>
      </c>
      <c r="L24" s="4">
        <f ca="1">+K24+Actual!L24</f>
        <v>0</v>
      </c>
      <c r="M24" s="4">
        <f ca="1">+L24+Actual!M24</f>
        <v>0</v>
      </c>
      <c r="N24" s="54">
        <f ca="1">Actual!N24</f>
        <v>0</v>
      </c>
      <c r="O24" s="4">
        <f ca="1">+N24+Actual!O24</f>
        <v>0</v>
      </c>
      <c r="P24" s="4">
        <f ca="1">+O24+Actual!P24</f>
        <v>0</v>
      </c>
      <c r="Q24" s="33"/>
      <c r="R24" s="10"/>
      <c r="S24" s="11"/>
    </row>
    <row r="25" spans="1:19" ht="15.75" thickBot="1">
      <c r="A25" s="11"/>
      <c r="B25" s="7">
        <v>8</v>
      </c>
      <c r="C25" s="9" t="str">
        <f ca="1">+Introduction!F18</f>
        <v>Expense 8</v>
      </c>
      <c r="D25" s="51"/>
      <c r="E25" s="54">
        <f ca="1">Actual!E25</f>
        <v>0</v>
      </c>
      <c r="F25" s="4">
        <f ca="1">+E25+Actual!F25</f>
        <v>0</v>
      </c>
      <c r="G25" s="4">
        <f ca="1">+F25+Actual!G25</f>
        <v>0</v>
      </c>
      <c r="H25" s="54">
        <f ca="1">Actual!H25</f>
        <v>0</v>
      </c>
      <c r="I25" s="4">
        <f ca="1">+H25+Actual!I25</f>
        <v>0</v>
      </c>
      <c r="J25" s="4">
        <f ca="1">+I25+Actual!J25</f>
        <v>0</v>
      </c>
      <c r="K25" s="54">
        <f ca="1">Actual!K25</f>
        <v>0</v>
      </c>
      <c r="L25" s="4">
        <f ca="1">+K25+Actual!L25</f>
        <v>0</v>
      </c>
      <c r="M25" s="4">
        <f ca="1">+L25+Actual!M25</f>
        <v>0</v>
      </c>
      <c r="N25" s="54">
        <f ca="1">Actual!N25</f>
        <v>0</v>
      </c>
      <c r="O25" s="4">
        <f ca="1">+N25+Actual!O25</f>
        <v>0</v>
      </c>
      <c r="P25" s="4">
        <f ca="1">+O25+Actual!P25</f>
        <v>0</v>
      </c>
      <c r="Q25" s="33"/>
      <c r="R25" s="10"/>
      <c r="S25" s="11"/>
    </row>
    <row r="26" spans="1:19" ht="15.75" thickBot="1">
      <c r="A26" s="11"/>
      <c r="B26" s="7">
        <v>9</v>
      </c>
      <c r="C26" s="9" t="str">
        <f ca="1">+Introduction!F19</f>
        <v>Expense 9</v>
      </c>
      <c r="D26" s="51"/>
      <c r="E26" s="54">
        <f ca="1">Actual!E26</f>
        <v>0</v>
      </c>
      <c r="F26" s="4">
        <f ca="1">+E26+Actual!F26</f>
        <v>0</v>
      </c>
      <c r="G26" s="4">
        <f ca="1">+F26+Actual!G26</f>
        <v>0</v>
      </c>
      <c r="H26" s="54">
        <f ca="1">Actual!H26</f>
        <v>0</v>
      </c>
      <c r="I26" s="4">
        <f ca="1">+H26+Actual!I26</f>
        <v>0</v>
      </c>
      <c r="J26" s="4">
        <f ca="1">+I26+Actual!J26</f>
        <v>0</v>
      </c>
      <c r="K26" s="54">
        <f ca="1">Actual!K26</f>
        <v>0</v>
      </c>
      <c r="L26" s="4">
        <f ca="1">+K26+Actual!L26</f>
        <v>0</v>
      </c>
      <c r="M26" s="4">
        <f ca="1">+L26+Actual!M26</f>
        <v>0</v>
      </c>
      <c r="N26" s="54">
        <f ca="1">Actual!N26</f>
        <v>0</v>
      </c>
      <c r="O26" s="4">
        <f ca="1">+N26+Actual!O26</f>
        <v>0</v>
      </c>
      <c r="P26" s="4">
        <f ca="1">+O26+Actual!P26</f>
        <v>0</v>
      </c>
      <c r="Q26" s="33"/>
      <c r="R26" s="10"/>
      <c r="S26" s="11"/>
    </row>
    <row r="27" spans="1:19" ht="15.75" thickBot="1">
      <c r="A27" s="11"/>
      <c r="B27" s="7">
        <v>10</v>
      </c>
      <c r="C27" s="9" t="str">
        <f ca="1">+Introduction!F20</f>
        <v>Expense 10</v>
      </c>
      <c r="D27" s="51"/>
      <c r="E27" s="54">
        <f ca="1">Actual!E27</f>
        <v>0</v>
      </c>
      <c r="F27" s="4">
        <f ca="1">+E27+Actual!F27</f>
        <v>0</v>
      </c>
      <c r="G27" s="4">
        <f ca="1">+F27+Actual!G27</f>
        <v>0</v>
      </c>
      <c r="H27" s="54">
        <f ca="1">Actual!H27</f>
        <v>0</v>
      </c>
      <c r="I27" s="4">
        <f ca="1">+H27+Actual!I27</f>
        <v>0</v>
      </c>
      <c r="J27" s="4">
        <f ca="1">+I27+Actual!J27</f>
        <v>0</v>
      </c>
      <c r="K27" s="54">
        <f ca="1">Actual!K27</f>
        <v>0</v>
      </c>
      <c r="L27" s="4">
        <f ca="1">+K27+Actual!L27</f>
        <v>0</v>
      </c>
      <c r="M27" s="4">
        <f ca="1">+L27+Actual!M27</f>
        <v>0</v>
      </c>
      <c r="N27" s="54">
        <f ca="1">Actual!N27</f>
        <v>0</v>
      </c>
      <c r="O27" s="4">
        <f ca="1">+N27+Actual!O27</f>
        <v>0</v>
      </c>
      <c r="P27" s="4">
        <f ca="1">+O27+Actual!P27</f>
        <v>0</v>
      </c>
      <c r="Q27" s="33"/>
      <c r="R27" s="10"/>
      <c r="S27" s="11"/>
    </row>
    <row r="28" spans="1:19" ht="15.75" thickBot="1">
      <c r="A28" s="11"/>
      <c r="B28" s="7">
        <v>11</v>
      </c>
      <c r="C28" s="9" t="str">
        <f ca="1">+Introduction!F21</f>
        <v>Expense 11</v>
      </c>
      <c r="D28" s="51"/>
      <c r="E28" s="54">
        <f ca="1">Actual!E28</f>
        <v>0</v>
      </c>
      <c r="F28" s="4">
        <f ca="1">+E28+Actual!F28</f>
        <v>0</v>
      </c>
      <c r="G28" s="4">
        <f ca="1">+F28+Actual!G28</f>
        <v>0</v>
      </c>
      <c r="H28" s="54">
        <f ca="1">Actual!H28</f>
        <v>0</v>
      </c>
      <c r="I28" s="4">
        <f ca="1">+H28+Actual!I28</f>
        <v>0</v>
      </c>
      <c r="J28" s="4">
        <f ca="1">+I28+Actual!J28</f>
        <v>0</v>
      </c>
      <c r="K28" s="54">
        <f ca="1">Actual!K28</f>
        <v>0</v>
      </c>
      <c r="L28" s="4">
        <f ca="1">+K28+Actual!L28</f>
        <v>0</v>
      </c>
      <c r="M28" s="4">
        <f ca="1">+L28+Actual!M28</f>
        <v>0</v>
      </c>
      <c r="N28" s="54">
        <f ca="1">Actual!N28</f>
        <v>0</v>
      </c>
      <c r="O28" s="4">
        <f ca="1">+N28+Actual!O28</f>
        <v>0</v>
      </c>
      <c r="P28" s="4">
        <f ca="1">+O28+Actual!P28</f>
        <v>0</v>
      </c>
      <c r="Q28" s="33"/>
      <c r="R28" s="10"/>
      <c r="S28" s="11"/>
    </row>
    <row r="29" spans="1:19" ht="15.75" thickBot="1">
      <c r="A29" s="11"/>
      <c r="B29" s="7">
        <v>12</v>
      </c>
      <c r="C29" s="9" t="str">
        <f ca="1">+Introduction!F22</f>
        <v>Expense 12</v>
      </c>
      <c r="D29" s="51"/>
      <c r="E29" s="54">
        <f ca="1">Actual!E29</f>
        <v>0</v>
      </c>
      <c r="F29" s="4">
        <f ca="1">+E29+Actual!F29</f>
        <v>0</v>
      </c>
      <c r="G29" s="4">
        <f ca="1">+F29+Actual!G29</f>
        <v>0</v>
      </c>
      <c r="H29" s="54">
        <f ca="1">Actual!H29</f>
        <v>0</v>
      </c>
      <c r="I29" s="4">
        <f ca="1">+H29+Actual!I29</f>
        <v>0</v>
      </c>
      <c r="J29" s="4">
        <f ca="1">+I29+Actual!J29</f>
        <v>0</v>
      </c>
      <c r="K29" s="54">
        <f ca="1">Actual!K29</f>
        <v>0</v>
      </c>
      <c r="L29" s="4">
        <f ca="1">+K29+Actual!L29</f>
        <v>0</v>
      </c>
      <c r="M29" s="4">
        <f ca="1">+L29+Actual!M29</f>
        <v>0</v>
      </c>
      <c r="N29" s="54">
        <f ca="1">Actual!N29</f>
        <v>0</v>
      </c>
      <c r="O29" s="4">
        <f ca="1">+N29+Actual!O29</f>
        <v>0</v>
      </c>
      <c r="P29" s="4">
        <f ca="1">+O29+Actual!P29</f>
        <v>0</v>
      </c>
      <c r="Q29" s="33"/>
      <c r="R29" s="10"/>
      <c r="S29" s="11"/>
    </row>
    <row r="30" spans="1:19" ht="15.75" thickBot="1">
      <c r="A30" s="11"/>
      <c r="B30" s="7">
        <v>13</v>
      </c>
      <c r="C30" s="9" t="str">
        <f ca="1">+Introduction!F23</f>
        <v>Expense 13</v>
      </c>
      <c r="D30" s="51"/>
      <c r="E30" s="54">
        <f ca="1">Actual!E30</f>
        <v>0</v>
      </c>
      <c r="F30" s="4">
        <f ca="1">+E30+Actual!F30</f>
        <v>0</v>
      </c>
      <c r="G30" s="4">
        <f ca="1">+F30+Actual!G30</f>
        <v>0</v>
      </c>
      <c r="H30" s="54">
        <f ca="1">Actual!H30</f>
        <v>0</v>
      </c>
      <c r="I30" s="4">
        <f ca="1">+H30+Actual!I30</f>
        <v>0</v>
      </c>
      <c r="J30" s="4">
        <f ca="1">+I30+Actual!J30</f>
        <v>0</v>
      </c>
      <c r="K30" s="54">
        <f ca="1">Actual!K30</f>
        <v>0</v>
      </c>
      <c r="L30" s="4">
        <f ca="1">+K30+Actual!L30</f>
        <v>0</v>
      </c>
      <c r="M30" s="4">
        <f ca="1">+L30+Actual!M30</f>
        <v>0</v>
      </c>
      <c r="N30" s="54">
        <f ca="1">Actual!N30</f>
        <v>0</v>
      </c>
      <c r="O30" s="4">
        <f ca="1">+N30+Actual!O30</f>
        <v>0</v>
      </c>
      <c r="P30" s="4">
        <f ca="1">+O30+Actual!P30</f>
        <v>0</v>
      </c>
      <c r="Q30" s="33"/>
      <c r="R30" s="10"/>
      <c r="S30" s="11"/>
    </row>
    <row r="31" spans="1:19" ht="15.75" thickBot="1">
      <c r="A31" s="11"/>
      <c r="B31" s="7">
        <v>14</v>
      </c>
      <c r="C31" s="9" t="str">
        <f ca="1">+Introduction!F24</f>
        <v>Expense 14</v>
      </c>
      <c r="D31" s="51"/>
      <c r="E31" s="54">
        <f ca="1">Actual!E31</f>
        <v>0</v>
      </c>
      <c r="F31" s="4">
        <f ca="1">+E31+Actual!F31</f>
        <v>0</v>
      </c>
      <c r="G31" s="4">
        <f ca="1">+F31+Actual!G31</f>
        <v>0</v>
      </c>
      <c r="H31" s="54">
        <f ca="1">Actual!H31</f>
        <v>0</v>
      </c>
      <c r="I31" s="4">
        <f ca="1">+H31+Actual!I31</f>
        <v>0</v>
      </c>
      <c r="J31" s="4">
        <f ca="1">+I31+Actual!J31</f>
        <v>0</v>
      </c>
      <c r="K31" s="54">
        <f ca="1">Actual!K31</f>
        <v>0</v>
      </c>
      <c r="L31" s="4">
        <f ca="1">+K31+Actual!L31</f>
        <v>0</v>
      </c>
      <c r="M31" s="4">
        <f ca="1">+L31+Actual!M31</f>
        <v>0</v>
      </c>
      <c r="N31" s="54">
        <f ca="1">Actual!N31</f>
        <v>0</v>
      </c>
      <c r="O31" s="4">
        <f ca="1">+N31+Actual!O31</f>
        <v>0</v>
      </c>
      <c r="P31" s="4">
        <f ca="1">+O31+Actual!P31</f>
        <v>0</v>
      </c>
      <c r="Q31" s="33"/>
      <c r="R31" s="10"/>
      <c r="S31" s="11"/>
    </row>
    <row r="32" spans="1:19" ht="15.75" thickBot="1">
      <c r="A32" s="11"/>
      <c r="B32" s="7">
        <v>15</v>
      </c>
      <c r="C32" s="9" t="str">
        <f ca="1">+Introduction!F25</f>
        <v>Expense 15</v>
      </c>
      <c r="D32" s="51"/>
      <c r="E32" s="54">
        <f ca="1">Actual!E32</f>
        <v>0</v>
      </c>
      <c r="F32" s="4">
        <f ca="1">+E32+Actual!F32</f>
        <v>0</v>
      </c>
      <c r="G32" s="4">
        <f ca="1">+F32+Actual!G32</f>
        <v>0</v>
      </c>
      <c r="H32" s="54">
        <f ca="1">Actual!H32</f>
        <v>0</v>
      </c>
      <c r="I32" s="4">
        <f ca="1">+H32+Actual!I32</f>
        <v>0</v>
      </c>
      <c r="J32" s="4">
        <f ca="1">+I32+Actual!J32</f>
        <v>0</v>
      </c>
      <c r="K32" s="54">
        <f ca="1">Actual!K32</f>
        <v>0</v>
      </c>
      <c r="L32" s="4">
        <f ca="1">+K32+Actual!L32</f>
        <v>0</v>
      </c>
      <c r="M32" s="4">
        <f ca="1">+L32+Actual!M32</f>
        <v>0</v>
      </c>
      <c r="N32" s="54">
        <f ca="1">Actual!N32</f>
        <v>0</v>
      </c>
      <c r="O32" s="4">
        <f ca="1">+N32+Actual!O32</f>
        <v>0</v>
      </c>
      <c r="P32" s="4">
        <f ca="1">+O32+Actual!P32</f>
        <v>0</v>
      </c>
      <c r="Q32" s="33"/>
      <c r="R32" s="10"/>
      <c r="S32" s="11"/>
    </row>
    <row r="33" spans="1:19" ht="15.75" thickBot="1">
      <c r="A33" s="11"/>
      <c r="B33" s="7">
        <v>16</v>
      </c>
      <c r="C33" s="9" t="str">
        <f ca="1">+Introduction!F26</f>
        <v>Expense 16</v>
      </c>
      <c r="D33" s="51"/>
      <c r="E33" s="54">
        <f ca="1">Actual!E33</f>
        <v>0</v>
      </c>
      <c r="F33" s="4">
        <f ca="1">+E33+Actual!F33</f>
        <v>0</v>
      </c>
      <c r="G33" s="4">
        <f ca="1">+F33+Actual!G33</f>
        <v>0</v>
      </c>
      <c r="H33" s="54">
        <f ca="1">Actual!H33</f>
        <v>0</v>
      </c>
      <c r="I33" s="4">
        <f ca="1">+H33+Actual!I33</f>
        <v>0</v>
      </c>
      <c r="J33" s="4">
        <f ca="1">+I33+Actual!J33</f>
        <v>0</v>
      </c>
      <c r="K33" s="54">
        <f ca="1">Actual!K33</f>
        <v>0</v>
      </c>
      <c r="L33" s="4">
        <f ca="1">+K33+Actual!L33</f>
        <v>0</v>
      </c>
      <c r="M33" s="4">
        <f ca="1">+L33+Actual!M33</f>
        <v>0</v>
      </c>
      <c r="N33" s="54">
        <f ca="1">Actual!N33</f>
        <v>0</v>
      </c>
      <c r="O33" s="4">
        <f ca="1">+N33+Actual!O33</f>
        <v>0</v>
      </c>
      <c r="P33" s="4">
        <f ca="1">+O33+Actual!P33</f>
        <v>0</v>
      </c>
      <c r="Q33" s="33"/>
      <c r="R33" s="10"/>
      <c r="S33" s="11"/>
    </row>
    <row r="34" spans="1:19" ht="15.75" thickBot="1">
      <c r="A34" s="11"/>
      <c r="B34" s="7">
        <v>17</v>
      </c>
      <c r="C34" s="9" t="str">
        <f ca="1">+Introduction!F27</f>
        <v>Expense 17</v>
      </c>
      <c r="D34" s="51"/>
      <c r="E34" s="54">
        <f ca="1">Actual!E34</f>
        <v>0</v>
      </c>
      <c r="F34" s="4">
        <f ca="1">+E34+Actual!F34</f>
        <v>0</v>
      </c>
      <c r="G34" s="4">
        <f ca="1">+F34+Actual!G34</f>
        <v>0</v>
      </c>
      <c r="H34" s="54">
        <f ca="1">Actual!H34</f>
        <v>0</v>
      </c>
      <c r="I34" s="4">
        <f ca="1">+H34+Actual!I34</f>
        <v>0</v>
      </c>
      <c r="J34" s="4">
        <f ca="1">+I34+Actual!J34</f>
        <v>0</v>
      </c>
      <c r="K34" s="54">
        <f ca="1">Actual!K34</f>
        <v>0</v>
      </c>
      <c r="L34" s="4">
        <f ca="1">+K34+Actual!L34</f>
        <v>0</v>
      </c>
      <c r="M34" s="4">
        <f ca="1">+L34+Actual!M34</f>
        <v>0</v>
      </c>
      <c r="N34" s="54">
        <f ca="1">Actual!N34</f>
        <v>0</v>
      </c>
      <c r="O34" s="4">
        <f ca="1">+N34+Actual!O34</f>
        <v>0</v>
      </c>
      <c r="P34" s="4">
        <f ca="1">+O34+Actual!P34</f>
        <v>0</v>
      </c>
      <c r="Q34" s="33"/>
      <c r="R34" s="10"/>
      <c r="S34" s="11"/>
    </row>
    <row r="35" spans="1:19" ht="15.75" thickBot="1">
      <c r="A35" s="11"/>
      <c r="B35" s="7">
        <v>18</v>
      </c>
      <c r="C35" s="9" t="str">
        <f ca="1">+Introduction!F28</f>
        <v>Expense 18</v>
      </c>
      <c r="D35" s="51"/>
      <c r="E35" s="54">
        <f ca="1">Actual!E35</f>
        <v>0</v>
      </c>
      <c r="F35" s="4">
        <f ca="1">+E35+Actual!F35</f>
        <v>0</v>
      </c>
      <c r="G35" s="4">
        <f ca="1">+F35+Actual!G35</f>
        <v>0</v>
      </c>
      <c r="H35" s="54">
        <f ca="1">Actual!H35</f>
        <v>0</v>
      </c>
      <c r="I35" s="4">
        <f ca="1">+H35+Actual!I35</f>
        <v>0</v>
      </c>
      <c r="J35" s="4">
        <f ca="1">+I35+Actual!J35</f>
        <v>0</v>
      </c>
      <c r="K35" s="54">
        <f ca="1">Actual!K35</f>
        <v>0</v>
      </c>
      <c r="L35" s="4">
        <f ca="1">+K35+Actual!L35</f>
        <v>0</v>
      </c>
      <c r="M35" s="4">
        <f ca="1">+L35+Actual!M35</f>
        <v>0</v>
      </c>
      <c r="N35" s="54">
        <f ca="1">Actual!N35</f>
        <v>0</v>
      </c>
      <c r="O35" s="4">
        <f ca="1">+N35+Actual!O35</f>
        <v>0</v>
      </c>
      <c r="P35" s="4">
        <f ca="1">+O35+Actual!P35</f>
        <v>0</v>
      </c>
      <c r="Q35" s="33"/>
      <c r="R35" s="10"/>
      <c r="S35" s="11"/>
    </row>
    <row r="36" spans="1:19" ht="15.75" thickBot="1">
      <c r="A36" s="11"/>
      <c r="B36" s="7">
        <v>19</v>
      </c>
      <c r="C36" s="9" t="str">
        <f ca="1">+Introduction!F29</f>
        <v>Expense 19</v>
      </c>
      <c r="D36" s="51"/>
      <c r="E36" s="54">
        <f ca="1">Actual!E36</f>
        <v>0</v>
      </c>
      <c r="F36" s="4">
        <f ca="1">+E36+Actual!F36</f>
        <v>0</v>
      </c>
      <c r="G36" s="4">
        <f ca="1">+F36+Actual!G36</f>
        <v>0</v>
      </c>
      <c r="H36" s="54">
        <f ca="1">Actual!H36</f>
        <v>0</v>
      </c>
      <c r="I36" s="4">
        <f ca="1">+H36+Actual!I36</f>
        <v>0</v>
      </c>
      <c r="J36" s="4">
        <f ca="1">+I36+Actual!J36</f>
        <v>0</v>
      </c>
      <c r="K36" s="54">
        <f ca="1">Actual!K36</f>
        <v>0</v>
      </c>
      <c r="L36" s="4">
        <f ca="1">+K36+Actual!L36</f>
        <v>0</v>
      </c>
      <c r="M36" s="4">
        <f ca="1">+L36+Actual!M36</f>
        <v>0</v>
      </c>
      <c r="N36" s="54">
        <f ca="1">Actual!N36</f>
        <v>0</v>
      </c>
      <c r="O36" s="4">
        <f ca="1">+N36+Actual!O36</f>
        <v>0</v>
      </c>
      <c r="P36" s="4">
        <f ca="1">+O36+Actual!P36</f>
        <v>0</v>
      </c>
      <c r="Q36" s="33"/>
      <c r="R36" s="10"/>
      <c r="S36" s="11"/>
    </row>
    <row r="37" spans="1:19" ht="15.75" thickBot="1">
      <c r="A37" s="11"/>
      <c r="B37" s="7">
        <v>20</v>
      </c>
      <c r="C37" s="9" t="str">
        <f ca="1">+Introduction!F30</f>
        <v>IRA Contribution</v>
      </c>
      <c r="D37" s="51"/>
      <c r="E37" s="54">
        <f ca="1">Actual!E37</f>
        <v>0</v>
      </c>
      <c r="F37" s="4">
        <f ca="1">+E37+Actual!F37</f>
        <v>0</v>
      </c>
      <c r="G37" s="4">
        <f ca="1">+F37+Actual!G37</f>
        <v>0</v>
      </c>
      <c r="H37" s="54">
        <f ca="1">Actual!H37</f>
        <v>0</v>
      </c>
      <c r="I37" s="4">
        <f ca="1">+H37+Actual!I37</f>
        <v>0</v>
      </c>
      <c r="J37" s="4">
        <f ca="1">+I37+Actual!J37</f>
        <v>0</v>
      </c>
      <c r="K37" s="54">
        <f ca="1">Actual!K37</f>
        <v>0</v>
      </c>
      <c r="L37" s="4">
        <f ca="1">+K37+Actual!L37</f>
        <v>0</v>
      </c>
      <c r="M37" s="4">
        <f ca="1">+L37+Actual!M37</f>
        <v>0</v>
      </c>
      <c r="N37" s="54">
        <f ca="1">Actual!N37</f>
        <v>0</v>
      </c>
      <c r="O37" s="4">
        <f ca="1">+N37+Actual!O37</f>
        <v>0</v>
      </c>
      <c r="P37" s="4">
        <f ca="1">+O37+Actual!P37</f>
        <v>0</v>
      </c>
      <c r="Q37" s="33"/>
      <c r="R37" s="10"/>
      <c r="S37" s="11"/>
    </row>
    <row r="38" spans="1:19" ht="15.75" thickBot="1">
      <c r="A38" s="11"/>
      <c r="B38" s="41" t="s">
        <v>24</v>
      </c>
      <c r="C38" s="42"/>
      <c r="D38" s="52"/>
      <c r="E38" s="10">
        <f t="shared" ref="E38:P38" si="5">SUM(E18:E37)</f>
        <v>0</v>
      </c>
      <c r="F38" s="10">
        <f t="shared" si="5"/>
        <v>0</v>
      </c>
      <c r="G38" s="10">
        <f t="shared" si="5"/>
        <v>0</v>
      </c>
      <c r="H38" s="10">
        <f t="shared" si="5"/>
        <v>0</v>
      </c>
      <c r="I38" s="10">
        <f t="shared" si="5"/>
        <v>0</v>
      </c>
      <c r="J38" s="10">
        <f t="shared" si="5"/>
        <v>0</v>
      </c>
      <c r="K38" s="10">
        <f t="shared" si="5"/>
        <v>0</v>
      </c>
      <c r="L38" s="10">
        <f t="shared" si="5"/>
        <v>0</v>
      </c>
      <c r="M38" s="10">
        <f t="shared" si="5"/>
        <v>0</v>
      </c>
      <c r="N38" s="10">
        <f t="shared" si="5"/>
        <v>0</v>
      </c>
      <c r="O38" s="10">
        <f t="shared" si="5"/>
        <v>0</v>
      </c>
      <c r="P38" s="10">
        <f t="shared" si="5"/>
        <v>0</v>
      </c>
      <c r="Q38" s="10"/>
      <c r="R38" s="10"/>
      <c r="S38" s="11"/>
    </row>
    <row r="39" spans="1:19" ht="15.75" thickBot="1">
      <c r="A39" s="11"/>
      <c r="B39" s="12"/>
      <c r="C39" s="11"/>
      <c r="D39" s="11"/>
      <c r="E39" s="13"/>
      <c r="F39" s="13"/>
      <c r="G39" s="13"/>
      <c r="H39" s="13"/>
      <c r="I39" s="13"/>
      <c r="J39" s="13"/>
      <c r="K39" s="13"/>
      <c r="L39" s="13"/>
      <c r="M39" s="13"/>
      <c r="N39" s="13"/>
      <c r="O39" s="13"/>
      <c r="P39" s="13"/>
      <c r="Q39" s="13"/>
      <c r="R39" s="13"/>
      <c r="S39" s="11"/>
    </row>
    <row r="40" spans="1:19" ht="15.75" thickBot="1">
      <c r="A40" s="11"/>
      <c r="B40" s="30" t="s">
        <v>25</v>
      </c>
      <c r="C40" s="31"/>
      <c r="D40" s="53"/>
      <c r="E40" s="26">
        <f>+E14-E38</f>
        <v>0</v>
      </c>
      <c r="F40" s="26">
        <f t="shared" ref="F40:P40" si="6">+F14-F38</f>
        <v>0</v>
      </c>
      <c r="G40" s="26">
        <f t="shared" si="6"/>
        <v>0</v>
      </c>
      <c r="H40" s="26">
        <f t="shared" si="6"/>
        <v>0</v>
      </c>
      <c r="I40" s="26">
        <f t="shared" si="6"/>
        <v>0</v>
      </c>
      <c r="J40" s="26">
        <f t="shared" si="6"/>
        <v>0</v>
      </c>
      <c r="K40" s="26">
        <f t="shared" si="6"/>
        <v>0</v>
      </c>
      <c r="L40" s="26">
        <f t="shared" si="6"/>
        <v>0</v>
      </c>
      <c r="M40" s="26">
        <f t="shared" si="6"/>
        <v>0</v>
      </c>
      <c r="N40" s="26">
        <f t="shared" si="6"/>
        <v>0</v>
      </c>
      <c r="O40" s="26">
        <f t="shared" si="6"/>
        <v>0</v>
      </c>
      <c r="P40" s="26">
        <f t="shared" si="6"/>
        <v>0</v>
      </c>
      <c r="Q40" s="26"/>
      <c r="R40" s="26"/>
      <c r="S40" s="11"/>
    </row>
    <row r="41" spans="1:19" ht="15.75" thickBot="1">
      <c r="A41" s="11"/>
      <c r="B41" s="12"/>
      <c r="C41" s="11"/>
      <c r="D41" s="11"/>
      <c r="E41" s="13"/>
      <c r="F41" s="13"/>
      <c r="G41" s="13"/>
      <c r="H41" s="13"/>
      <c r="I41" s="13"/>
      <c r="J41" s="13"/>
      <c r="K41" s="13"/>
      <c r="L41" s="13"/>
      <c r="M41" s="13"/>
      <c r="N41" s="13"/>
      <c r="O41" s="13"/>
      <c r="P41" s="13"/>
      <c r="Q41" s="13"/>
      <c r="R41" s="13"/>
      <c r="S41" s="11"/>
    </row>
    <row r="42" spans="1:19" ht="15.75" thickBot="1">
      <c r="A42" s="11"/>
      <c r="B42" s="7">
        <v>1</v>
      </c>
      <c r="C42" s="31" t="s">
        <v>27</v>
      </c>
      <c r="D42" s="31"/>
      <c r="E42" s="54">
        <f ca="1">+Actual!E42</f>
        <v>0</v>
      </c>
      <c r="F42" s="10">
        <f ca="1">+E42</f>
        <v>0</v>
      </c>
      <c r="G42" s="10">
        <f t="shared" ref="G42:P42" si="7">+F42</f>
        <v>0</v>
      </c>
      <c r="H42" s="54">
        <f ca="1">+Actual!H42</f>
        <v>0</v>
      </c>
      <c r="I42" s="10">
        <f t="shared" si="7"/>
        <v>0</v>
      </c>
      <c r="J42" s="10">
        <f t="shared" si="7"/>
        <v>0</v>
      </c>
      <c r="K42" s="54">
        <f ca="1">+Actual!K42</f>
        <v>0</v>
      </c>
      <c r="L42" s="10">
        <f t="shared" si="7"/>
        <v>0</v>
      </c>
      <c r="M42" s="10">
        <f t="shared" si="7"/>
        <v>0</v>
      </c>
      <c r="N42" s="54">
        <f ca="1">+Actual!N42</f>
        <v>0</v>
      </c>
      <c r="O42" s="10">
        <f t="shared" si="7"/>
        <v>0</v>
      </c>
      <c r="P42" s="10">
        <f t="shared" si="7"/>
        <v>0</v>
      </c>
      <c r="Q42" s="6"/>
      <c r="R42" s="10"/>
      <c r="S42" s="11"/>
    </row>
    <row r="43" spans="1:19" ht="15.75" thickBot="1">
      <c r="A43" s="11"/>
      <c r="B43" s="7">
        <v>2</v>
      </c>
      <c r="C43" s="31" t="s">
        <v>26</v>
      </c>
      <c r="D43" s="31"/>
      <c r="E43" s="14">
        <f>+E40</f>
        <v>0</v>
      </c>
      <c r="F43" s="14">
        <f t="shared" ref="F43:P43" si="8">+F40</f>
        <v>0</v>
      </c>
      <c r="G43" s="14">
        <f t="shared" si="8"/>
        <v>0</v>
      </c>
      <c r="H43" s="14">
        <f t="shared" si="8"/>
        <v>0</v>
      </c>
      <c r="I43" s="14">
        <f t="shared" si="8"/>
        <v>0</v>
      </c>
      <c r="J43" s="14">
        <f t="shared" si="8"/>
        <v>0</v>
      </c>
      <c r="K43" s="14">
        <f t="shared" si="8"/>
        <v>0</v>
      </c>
      <c r="L43" s="14">
        <f t="shared" si="8"/>
        <v>0</v>
      </c>
      <c r="M43" s="14">
        <f t="shared" si="8"/>
        <v>0</v>
      </c>
      <c r="N43" s="14">
        <f t="shared" si="8"/>
        <v>0</v>
      </c>
      <c r="O43" s="14">
        <f t="shared" si="8"/>
        <v>0</v>
      </c>
      <c r="P43" s="14">
        <f t="shared" si="8"/>
        <v>0</v>
      </c>
      <c r="Q43" s="14"/>
      <c r="R43" s="14"/>
      <c r="S43" s="11"/>
    </row>
    <row r="44" spans="1:19" ht="15.75" thickBot="1">
      <c r="A44" s="11"/>
      <c r="B44" s="7">
        <v>3</v>
      </c>
      <c r="C44" s="31" t="s">
        <v>28</v>
      </c>
      <c r="D44" s="31"/>
      <c r="E44" s="10">
        <f>+E43+E42</f>
        <v>0</v>
      </c>
      <c r="F44" s="10">
        <f t="shared" ref="F44:P44" si="9">+F43+F42</f>
        <v>0</v>
      </c>
      <c r="G44" s="10">
        <f t="shared" si="9"/>
        <v>0</v>
      </c>
      <c r="H44" s="10">
        <f t="shared" si="9"/>
        <v>0</v>
      </c>
      <c r="I44" s="10">
        <f t="shared" si="9"/>
        <v>0</v>
      </c>
      <c r="J44" s="10">
        <f t="shared" si="9"/>
        <v>0</v>
      </c>
      <c r="K44" s="10">
        <f t="shared" si="9"/>
        <v>0</v>
      </c>
      <c r="L44" s="10">
        <f t="shared" si="9"/>
        <v>0</v>
      </c>
      <c r="M44" s="10">
        <f t="shared" si="9"/>
        <v>0</v>
      </c>
      <c r="N44" s="10">
        <f t="shared" si="9"/>
        <v>0</v>
      </c>
      <c r="O44" s="10">
        <f t="shared" si="9"/>
        <v>0</v>
      </c>
      <c r="P44" s="10">
        <f t="shared" si="9"/>
        <v>0</v>
      </c>
      <c r="Q44" s="10"/>
      <c r="R44" s="10"/>
      <c r="S44" s="11"/>
    </row>
    <row r="45" spans="1:19" ht="15.75" thickBot="1">
      <c r="A45" s="11"/>
      <c r="B45" s="11"/>
      <c r="C45" s="11"/>
      <c r="D45" s="11"/>
      <c r="E45" s="11"/>
      <c r="F45" s="11"/>
      <c r="G45" s="11"/>
      <c r="H45" s="11"/>
      <c r="I45" s="11"/>
      <c r="J45" s="11"/>
      <c r="K45" s="11"/>
      <c r="L45" s="11"/>
      <c r="M45" s="11"/>
      <c r="N45" s="11"/>
      <c r="O45" s="11"/>
      <c r="P45" s="11"/>
      <c r="Q45" s="11"/>
      <c r="R45" s="11"/>
      <c r="S45" s="11"/>
    </row>
    <row r="46" spans="1:19" ht="15.75" thickBot="1">
      <c r="A46" s="11"/>
      <c r="B46" s="7">
        <v>1</v>
      </c>
      <c r="C46" s="9" t="s">
        <v>30</v>
      </c>
      <c r="D46" s="9"/>
      <c r="E46" s="10">
        <f ca="1">+Actual!E46</f>
        <v>0</v>
      </c>
      <c r="F46" s="10">
        <f ca="1">+Actual!F46</f>
        <v>0</v>
      </c>
      <c r="G46" s="10">
        <f ca="1">+Actual!G46</f>
        <v>0</v>
      </c>
      <c r="H46" s="10">
        <f ca="1">+Actual!H46</f>
        <v>0</v>
      </c>
      <c r="I46" s="10">
        <f ca="1">+Actual!I46</f>
        <v>0</v>
      </c>
      <c r="J46" s="10">
        <f ca="1">+Actual!J46</f>
        <v>0</v>
      </c>
      <c r="K46" s="10">
        <f ca="1">+Actual!K46</f>
        <v>0</v>
      </c>
      <c r="L46" s="10">
        <f ca="1">+Actual!L46</f>
        <v>0</v>
      </c>
      <c r="M46" s="10">
        <f ca="1">+Actual!M46</f>
        <v>0</v>
      </c>
      <c r="N46" s="10">
        <f ca="1">+Actual!N46</f>
        <v>0</v>
      </c>
      <c r="O46" s="10">
        <f ca="1">+Actual!O46</f>
        <v>0</v>
      </c>
      <c r="P46" s="10">
        <f ca="1">+Actual!P46</f>
        <v>0</v>
      </c>
      <c r="Q46" s="10"/>
      <c r="R46" s="10"/>
      <c r="S46" s="11"/>
    </row>
    <row r="47" spans="1:19">
      <c r="A47" s="11"/>
      <c r="B47" s="11"/>
      <c r="C47" s="11"/>
      <c r="D47" s="11"/>
      <c r="E47" s="11"/>
      <c r="F47" s="11"/>
      <c r="G47" s="11"/>
      <c r="H47" s="11"/>
      <c r="I47" s="11"/>
      <c r="J47" s="11"/>
      <c r="K47" s="11"/>
      <c r="L47" s="11"/>
      <c r="M47" s="11"/>
      <c r="N47" s="11"/>
      <c r="O47" s="11"/>
      <c r="P47" s="11"/>
      <c r="Q47" s="11"/>
      <c r="R47" s="11"/>
      <c r="S47" s="11"/>
    </row>
    <row r="48" spans="1:19">
      <c r="E48" s="2"/>
      <c r="F48" s="2"/>
      <c r="G48" s="2"/>
      <c r="H48" s="2"/>
      <c r="I48" s="2"/>
      <c r="J48" s="2"/>
      <c r="K48" s="2"/>
      <c r="L48" s="2"/>
      <c r="M48" s="2"/>
      <c r="N48" s="2"/>
      <c r="O48" s="2"/>
      <c r="P48" s="2"/>
      <c r="Q48" s="2"/>
      <c r="R48" s="2"/>
    </row>
    <row r="49" spans="5:18">
      <c r="E49" s="2"/>
      <c r="F49" s="2"/>
      <c r="G49" s="2"/>
      <c r="H49" s="2"/>
      <c r="I49" s="2"/>
      <c r="J49" s="2"/>
      <c r="K49" s="2"/>
      <c r="L49" s="2"/>
      <c r="M49" s="2"/>
      <c r="N49" s="2"/>
      <c r="O49" s="2"/>
      <c r="P49" s="2"/>
      <c r="Q49" s="2"/>
      <c r="R49" s="2"/>
    </row>
    <row r="50" spans="5:18">
      <c r="E50" s="2"/>
      <c r="F50" s="2"/>
      <c r="G50" s="2"/>
      <c r="H50" s="2"/>
      <c r="I50" s="2"/>
      <c r="J50" s="2"/>
      <c r="K50" s="2"/>
      <c r="L50" s="2"/>
      <c r="M50" s="2"/>
      <c r="N50" s="2"/>
      <c r="O50" s="2"/>
      <c r="P50" s="2"/>
      <c r="Q50" s="2"/>
      <c r="R50" s="2"/>
    </row>
    <row r="51" spans="5:18">
      <c r="R51" s="2"/>
    </row>
    <row r="52" spans="5:18">
      <c r="R52" s="2"/>
    </row>
    <row r="53" spans="5:18">
      <c r="R53" s="2"/>
    </row>
    <row r="54" spans="5:18">
      <c r="R54" s="2"/>
    </row>
    <row r="55" spans="5:18">
      <c r="R55" s="2"/>
    </row>
    <row r="56" spans="5:18">
      <c r="R56" s="2"/>
    </row>
    <row r="57" spans="5:18">
      <c r="R57" s="2"/>
    </row>
    <row r="58" spans="5:18">
      <c r="R58" s="2"/>
    </row>
    <row r="59" spans="5:18">
      <c r="R59" s="2"/>
    </row>
    <row r="60" spans="5:18">
      <c r="R60" s="2"/>
    </row>
    <row r="61" spans="5:18">
      <c r="R61" s="2"/>
    </row>
    <row r="62" spans="5:18">
      <c r="R62" s="2"/>
    </row>
    <row r="63" spans="5:18">
      <c r="R63" s="2"/>
    </row>
    <row r="64" spans="5:18">
      <c r="R64" s="2"/>
    </row>
    <row r="65" spans="18:18">
      <c r="R65" s="2"/>
    </row>
    <row r="66" spans="18:18">
      <c r="R66" s="2"/>
    </row>
    <row r="67" spans="18:18">
      <c r="R67" s="2"/>
    </row>
    <row r="68" spans="18:18">
      <c r="R68" s="2"/>
    </row>
    <row r="69" spans="18:18">
      <c r="R69" s="2"/>
    </row>
    <row r="70" spans="18:18">
      <c r="R70" s="2"/>
    </row>
    <row r="71" spans="18:18">
      <c r="R71" s="2"/>
    </row>
    <row r="72" spans="18:18">
      <c r="R72" s="2"/>
    </row>
    <row r="73" spans="18:18">
      <c r="R73" s="2"/>
    </row>
    <row r="74" spans="18:18">
      <c r="R74" s="2"/>
    </row>
    <row r="75" spans="18:18">
      <c r="R75" s="2"/>
    </row>
    <row r="76" spans="18:18">
      <c r="R76" s="2"/>
    </row>
    <row r="77" spans="18:18">
      <c r="R77" s="2"/>
    </row>
    <row r="78" spans="18:18">
      <c r="R78" s="2"/>
    </row>
    <row r="79" spans="18:18">
      <c r="R79" s="2"/>
    </row>
    <row r="80" spans="18:18">
      <c r="R80" s="2"/>
    </row>
    <row r="81" spans="18:18">
      <c r="R81" s="2"/>
    </row>
    <row r="82" spans="18:18">
      <c r="R82" s="2"/>
    </row>
    <row r="83" spans="18:18">
      <c r="R83" s="2"/>
    </row>
    <row r="84" spans="18:18">
      <c r="R84" s="2"/>
    </row>
    <row r="85" spans="18:18">
      <c r="R85" s="2"/>
    </row>
    <row r="86" spans="18:18">
      <c r="R86" s="2"/>
    </row>
    <row r="87" spans="18:18">
      <c r="R87" s="2"/>
    </row>
    <row r="88" spans="18:18">
      <c r="R88" s="2"/>
    </row>
    <row r="89" spans="18:18">
      <c r="R89" s="2"/>
    </row>
    <row r="90" spans="18:18">
      <c r="R90" s="2"/>
    </row>
    <row r="91" spans="18:18">
      <c r="R91" s="2"/>
    </row>
    <row r="92" spans="18:18">
      <c r="R92" s="2"/>
    </row>
    <row r="93" spans="18:18">
      <c r="R93" s="2"/>
    </row>
    <row r="94" spans="18:18">
      <c r="R94" s="2"/>
    </row>
    <row r="95" spans="18:18">
      <c r="R95" s="2"/>
    </row>
    <row r="96" spans="18:18">
      <c r="R96" s="2"/>
    </row>
    <row r="97" spans="18:18">
      <c r="R97" s="2"/>
    </row>
    <row r="98" spans="18:18">
      <c r="R98" s="2"/>
    </row>
    <row r="99" spans="18:18">
      <c r="R99" s="2"/>
    </row>
    <row r="100" spans="18:18">
      <c r="R100" s="2"/>
    </row>
    <row r="101" spans="18:18">
      <c r="R101" s="2"/>
    </row>
    <row r="102" spans="18:18">
      <c r="R102" s="2"/>
    </row>
    <row r="103" spans="18:18">
      <c r="R103" s="2"/>
    </row>
    <row r="104" spans="18:18">
      <c r="R104" s="2"/>
    </row>
    <row r="105" spans="18:18">
      <c r="R105" s="2"/>
    </row>
    <row r="106" spans="18:18">
      <c r="R106" s="2"/>
    </row>
    <row r="107" spans="18:18">
      <c r="R107" s="2"/>
    </row>
    <row r="108" spans="18:18">
      <c r="R108" s="2"/>
    </row>
    <row r="109" spans="18:18">
      <c r="R109" s="2"/>
    </row>
    <row r="110" spans="18:18">
      <c r="R110" s="2"/>
    </row>
    <row r="111" spans="18:18">
      <c r="R111" s="2"/>
    </row>
    <row r="112" spans="18:18">
      <c r="R112" s="2"/>
    </row>
    <row r="113" spans="18:18">
      <c r="R113" s="2"/>
    </row>
    <row r="114" spans="18:18">
      <c r="R114" s="2"/>
    </row>
    <row r="115" spans="18:18">
      <c r="R115" s="2"/>
    </row>
    <row r="116" spans="18:18">
      <c r="R116" s="2"/>
    </row>
    <row r="117" spans="18:18">
      <c r="R117" s="2"/>
    </row>
  </sheetData>
  <sheetProtection password="CF0F" sheet="1" objects="1" scenarios="1" selectLockedCells="1"/>
  <mergeCells count="2">
    <mergeCell ref="B2:R2"/>
    <mergeCell ref="B5:C5"/>
  </mergeCells>
  <phoneticPr fontId="21" type="noConversion"/>
  <conditionalFormatting sqref="Q43:R43">
    <cfRule type="cellIs" dxfId="3" priority="5" operator="greaterThan">
      <formula>0</formula>
    </cfRule>
    <cfRule type="colorScale" priority="4">
      <colorScale>
        <cfvo type="formula" val="&quot;&lt;0&quot;"/>
        <cfvo type="formula" val="&quot;&gt;=0&quot;"/>
        <color rgb="FFFF0000"/>
        <color theme="6" tint="-0.499984740745262"/>
      </colorScale>
    </cfRule>
    <cfRule type="colorScale" priority="6">
      <colorScale>
        <cfvo type="min" val="0"/>
        <cfvo type="max" val="0"/>
        <color rgb="FFF8696B"/>
        <color rgb="FF63BE7B"/>
      </colorScale>
    </cfRule>
  </conditionalFormatting>
  <conditionalFormatting sqref="E43:P43">
    <cfRule type="cellIs" dxfId="2" priority="2" operator="greaterThan">
      <formula>0</formula>
    </cfRule>
    <cfRule type="colorScale" priority="1">
      <colorScale>
        <cfvo type="formula" val="&quot;&lt;0&quot;"/>
        <cfvo type="formula" val="&quot;&gt;=0&quot;"/>
        <color rgb="FFFF0000"/>
        <color theme="6" tint="-0.499984740745262"/>
      </colorScale>
    </cfRule>
    <cfRule type="colorScale" priority="3">
      <colorScale>
        <cfvo type="min" val="0"/>
        <cfvo type="max" val="0"/>
        <color rgb="FFF8696B"/>
        <color rgb="FF63BE7B"/>
      </colorScale>
    </cfRule>
  </conditionalFormatting>
  <pageMargins left="0.2" right="0.2" top="0.75" bottom="0.75" header="0.3" footer="0.3"/>
  <pageSetup scale="73" orientation="landscape" r:id="rId1"/>
</worksheet>
</file>

<file path=xl/worksheets/sheet8.xml><?xml version="1.0" encoding="utf-8"?>
<worksheet xmlns="http://schemas.openxmlformats.org/spreadsheetml/2006/main" xmlns:r="http://schemas.openxmlformats.org/officeDocument/2006/relationships">
  <sheetPr codeName="Sheet6">
    <pageSetUpPr fitToPage="1"/>
  </sheetPr>
  <dimension ref="A1:S117"/>
  <sheetViews>
    <sheetView showGridLines="0" zoomScale="85" zoomScaleNormal="85" workbookViewId="0">
      <pane xSplit="3" ySplit="5" topLeftCell="D6" activePane="bottomRight" state="frozen"/>
      <selection activeCell="G32" sqref="G32"/>
      <selection pane="topRight" activeCell="G32" sqref="G32"/>
      <selection pane="bottomLeft" activeCell="G32" sqref="G32"/>
      <selection pane="bottomRight" activeCell="Q1" sqref="Q1:R65536"/>
    </sheetView>
  </sheetViews>
  <sheetFormatPr defaultRowHeight="15"/>
  <cols>
    <col min="1" max="1" width="3.42578125" customWidth="1"/>
    <col min="2" max="2" width="4.28515625" style="1" customWidth="1"/>
    <col min="3" max="3" width="29.42578125" customWidth="1"/>
    <col min="4" max="4" width="10" customWidth="1"/>
    <col min="5" max="5" width="12.42578125" customWidth="1"/>
    <col min="6" max="12" width="11.5703125" bestFit="1" customWidth="1"/>
    <col min="13" max="16" width="12.28515625" bestFit="1" customWidth="1"/>
    <col min="17" max="17" width="11.5703125" hidden="1" customWidth="1"/>
    <col min="18" max="18" width="13.42578125" hidden="1" customWidth="1"/>
    <col min="19" max="19" width="2.140625" customWidth="1"/>
  </cols>
  <sheetData>
    <row r="1" spans="1:19" ht="13.5" customHeight="1" thickBot="1">
      <c r="A1" s="11"/>
      <c r="B1" s="12"/>
      <c r="C1" s="11"/>
      <c r="D1" s="11"/>
      <c r="E1" s="11"/>
      <c r="F1" s="11"/>
      <c r="G1" s="11"/>
      <c r="H1" s="11"/>
      <c r="I1" s="11"/>
      <c r="J1" s="11"/>
      <c r="K1" s="11"/>
      <c r="L1" s="11"/>
      <c r="M1" s="11"/>
      <c r="N1" s="11"/>
      <c r="O1" s="11"/>
      <c r="P1" s="11"/>
      <c r="Q1" s="11"/>
      <c r="R1" s="11"/>
      <c r="S1" s="11"/>
    </row>
    <row r="2" spans="1:19" ht="19.5" customHeight="1" thickBot="1">
      <c r="A2" s="11"/>
      <c r="B2" s="168" t="str">
        <f ca="1">CONCATENATE(Introduction!C4:C4,"'s"," Personal Budget ",Introduction!C5," Year-To-Date by Month")</f>
        <v>'s Personal Budget 2012 Year-To-Date by Month</v>
      </c>
      <c r="C2" s="169"/>
      <c r="D2" s="169"/>
      <c r="E2" s="169"/>
      <c r="F2" s="169"/>
      <c r="G2" s="169"/>
      <c r="H2" s="169"/>
      <c r="I2" s="169"/>
      <c r="J2" s="169"/>
      <c r="K2" s="169"/>
      <c r="L2" s="169"/>
      <c r="M2" s="169"/>
      <c r="N2" s="169"/>
      <c r="O2" s="169"/>
      <c r="P2" s="169"/>
      <c r="Q2" s="169"/>
      <c r="R2" s="170"/>
      <c r="S2" s="11"/>
    </row>
    <row r="3" spans="1:19" ht="15.75" customHeight="1" thickBot="1">
      <c r="A3" s="11"/>
      <c r="B3" s="40" t="s">
        <v>41</v>
      </c>
      <c r="C3" s="39"/>
      <c r="D3" s="49"/>
      <c r="E3" s="43">
        <v>31</v>
      </c>
      <c r="F3" s="43">
        <f ca="1">IF(MOD(Introduction!C5,4)=0,29,28)</f>
        <v>29</v>
      </c>
      <c r="G3" s="43">
        <v>31</v>
      </c>
      <c r="H3" s="43">
        <v>30</v>
      </c>
      <c r="I3" s="43">
        <v>31</v>
      </c>
      <c r="J3" s="43">
        <v>30</v>
      </c>
      <c r="K3" s="43">
        <v>31</v>
      </c>
      <c r="L3" s="43">
        <v>31</v>
      </c>
      <c r="M3" s="43">
        <v>30</v>
      </c>
      <c r="N3" s="43">
        <v>31</v>
      </c>
      <c r="O3" s="43">
        <v>30</v>
      </c>
      <c r="P3" s="43">
        <v>31</v>
      </c>
      <c r="Q3" s="27"/>
      <c r="R3" s="27"/>
      <c r="S3" s="11"/>
    </row>
    <row r="4" spans="1:19" ht="15.75" customHeight="1" thickBot="1">
      <c r="A4" s="11"/>
      <c r="B4" s="40" t="s">
        <v>42</v>
      </c>
      <c r="C4" s="39"/>
      <c r="D4" s="49"/>
      <c r="E4" s="26" t="str">
        <f ca="1">CONCATENATE(MONTH(E5)," ",YEAR(E5))</f>
        <v>1 2012</v>
      </c>
      <c r="F4" s="26" t="str">
        <f t="shared" ref="F4:P4" si="0">CONCATENATE(MONTH(F5)," ",YEAR(F5))</f>
        <v>2 2012</v>
      </c>
      <c r="G4" s="26" t="str">
        <f t="shared" si="0"/>
        <v>3 2012</v>
      </c>
      <c r="H4" s="26" t="str">
        <f t="shared" si="0"/>
        <v>4 2012</v>
      </c>
      <c r="I4" s="26" t="str">
        <f t="shared" si="0"/>
        <v>5 2012</v>
      </c>
      <c r="J4" s="26" t="str">
        <f t="shared" si="0"/>
        <v>6 2012</v>
      </c>
      <c r="K4" s="26" t="str">
        <f t="shared" si="0"/>
        <v>7 2012</v>
      </c>
      <c r="L4" s="26" t="str">
        <f t="shared" si="0"/>
        <v>8 2012</v>
      </c>
      <c r="M4" s="26" t="str">
        <f t="shared" si="0"/>
        <v>9 2012</v>
      </c>
      <c r="N4" s="26" t="str">
        <f t="shared" si="0"/>
        <v>10 2012</v>
      </c>
      <c r="O4" s="26" t="str">
        <f t="shared" si="0"/>
        <v>11 2012</v>
      </c>
      <c r="P4" s="26" t="str">
        <f t="shared" si="0"/>
        <v>12 2012</v>
      </c>
      <c r="Q4" s="26"/>
      <c r="R4" s="26"/>
      <c r="S4" s="11"/>
    </row>
    <row r="5" spans="1:19" ht="15.75" customHeight="1" thickBot="1">
      <c r="A5" s="11"/>
      <c r="B5" s="166" t="s">
        <v>29</v>
      </c>
      <c r="C5" s="167"/>
      <c r="D5" s="50"/>
      <c r="E5" s="35">
        <f ca="1">+Introduction!C6+0</f>
        <v>40909</v>
      </c>
      <c r="F5" s="36">
        <f ca="1">+E5+E3</f>
        <v>40940</v>
      </c>
      <c r="G5" s="36">
        <f t="shared" ref="G5:P5" si="1">+F5+F3</f>
        <v>40969</v>
      </c>
      <c r="H5" s="36">
        <f t="shared" si="1"/>
        <v>41000</v>
      </c>
      <c r="I5" s="36">
        <f t="shared" si="1"/>
        <v>41030</v>
      </c>
      <c r="J5" s="36">
        <f t="shared" si="1"/>
        <v>41061</v>
      </c>
      <c r="K5" s="36">
        <f t="shared" si="1"/>
        <v>41091</v>
      </c>
      <c r="L5" s="36">
        <f t="shared" si="1"/>
        <v>41122</v>
      </c>
      <c r="M5" s="36">
        <f t="shared" si="1"/>
        <v>41153</v>
      </c>
      <c r="N5" s="36">
        <f t="shared" si="1"/>
        <v>41183</v>
      </c>
      <c r="O5" s="36">
        <f t="shared" si="1"/>
        <v>41214</v>
      </c>
      <c r="P5" s="36">
        <f t="shared" si="1"/>
        <v>41244</v>
      </c>
      <c r="Q5" s="37">
        <f>+P5+P3</f>
        <v>41275</v>
      </c>
      <c r="R5" s="38" t="s">
        <v>12</v>
      </c>
      <c r="S5" s="11"/>
    </row>
    <row r="6" spans="1:19" ht="15.75" thickBot="1">
      <c r="A6" s="11"/>
      <c r="B6" s="7">
        <v>1</v>
      </c>
      <c r="C6" s="9" t="str">
        <f ca="1">+Introduction!C11</f>
        <v>Income  1</v>
      </c>
      <c r="D6" s="51"/>
      <c r="E6" s="4">
        <f ca="1">+D6+Budget!E6</f>
        <v>0</v>
      </c>
      <c r="F6" s="4">
        <f ca="1">+E6+Budget!F6</f>
        <v>0</v>
      </c>
      <c r="G6" s="4">
        <f ca="1">+F6+Budget!G6</f>
        <v>0</v>
      </c>
      <c r="H6" s="4">
        <f ca="1">+G6+Budget!H6</f>
        <v>0</v>
      </c>
      <c r="I6" s="4">
        <f ca="1">+H6+Budget!I6</f>
        <v>0</v>
      </c>
      <c r="J6" s="4">
        <f ca="1">+I6+Budget!J6</f>
        <v>0</v>
      </c>
      <c r="K6" s="4">
        <f ca="1">+J6+Budget!K6</f>
        <v>0</v>
      </c>
      <c r="L6" s="4">
        <f ca="1">+K6+Budget!L6</f>
        <v>0</v>
      </c>
      <c r="M6" s="4">
        <f ca="1">+L6+Budget!M6</f>
        <v>0</v>
      </c>
      <c r="N6" s="4">
        <f ca="1">+M6+Budget!N6</f>
        <v>0</v>
      </c>
      <c r="O6" s="4">
        <f ca="1">+N6+Budget!O6</f>
        <v>0</v>
      </c>
      <c r="P6" s="4">
        <f ca="1">+O6+Budget!P6</f>
        <v>0</v>
      </c>
      <c r="Q6" s="5"/>
      <c r="R6" s="10"/>
      <c r="S6" s="11"/>
    </row>
    <row r="7" spans="1:19" ht="15.75" thickBot="1">
      <c r="A7" s="11"/>
      <c r="B7" s="7">
        <v>2</v>
      </c>
      <c r="C7" s="9" t="str">
        <f ca="1">+Introduction!C12</f>
        <v>Income 2</v>
      </c>
      <c r="D7" s="51"/>
      <c r="E7" s="4">
        <f ca="1">+D7+Budget!E7</f>
        <v>0</v>
      </c>
      <c r="F7" s="4">
        <f ca="1">+E7+Budget!F7</f>
        <v>0</v>
      </c>
      <c r="G7" s="4">
        <f ca="1">+F7+Budget!G7</f>
        <v>0</v>
      </c>
      <c r="H7" s="4">
        <f ca="1">+G7+Budget!H7</f>
        <v>0</v>
      </c>
      <c r="I7" s="4">
        <f ca="1">+H7+Budget!I7</f>
        <v>0</v>
      </c>
      <c r="J7" s="4">
        <f ca="1">+I7+Budget!J7</f>
        <v>0</v>
      </c>
      <c r="K7" s="4">
        <f ca="1">+J7+Budget!K7</f>
        <v>0</v>
      </c>
      <c r="L7" s="4">
        <f ca="1">+K7+Budget!L7</f>
        <v>0</v>
      </c>
      <c r="M7" s="4">
        <f ca="1">+L7+Budget!M7</f>
        <v>0</v>
      </c>
      <c r="N7" s="4">
        <f ca="1">+M7+Budget!N7</f>
        <v>0</v>
      </c>
      <c r="O7" s="4">
        <f ca="1">+N7+Budget!O7</f>
        <v>0</v>
      </c>
      <c r="P7" s="4">
        <f ca="1">+O7+Budget!P7</f>
        <v>0</v>
      </c>
      <c r="Q7" s="3"/>
      <c r="R7" s="10"/>
      <c r="S7" s="11"/>
    </row>
    <row r="8" spans="1:19" ht="15.75" thickBot="1">
      <c r="A8" s="11"/>
      <c r="B8" s="7">
        <v>3</v>
      </c>
      <c r="C8" s="9" t="str">
        <f ca="1">+Introduction!C13</f>
        <v>Income 3</v>
      </c>
      <c r="D8" s="51"/>
      <c r="E8" s="4">
        <f ca="1">+D8+Budget!E8</f>
        <v>0</v>
      </c>
      <c r="F8" s="4">
        <f ca="1">+E8+Budget!F8</f>
        <v>0</v>
      </c>
      <c r="G8" s="4">
        <f ca="1">+F8+Budget!G8</f>
        <v>0</v>
      </c>
      <c r="H8" s="4">
        <f ca="1">+G8+Budget!H8</f>
        <v>0</v>
      </c>
      <c r="I8" s="4">
        <f ca="1">+H8+Budget!I8</f>
        <v>0</v>
      </c>
      <c r="J8" s="4">
        <f ca="1">+I8+Budget!J8</f>
        <v>0</v>
      </c>
      <c r="K8" s="4">
        <f ca="1">+J8+Budget!K8</f>
        <v>0</v>
      </c>
      <c r="L8" s="4">
        <f ca="1">+K8+Budget!L8</f>
        <v>0</v>
      </c>
      <c r="M8" s="4">
        <f ca="1">+L8+Budget!M8</f>
        <v>0</v>
      </c>
      <c r="N8" s="4">
        <f ca="1">+M8+Budget!N8</f>
        <v>0</v>
      </c>
      <c r="O8" s="4">
        <f ca="1">+N8+Budget!O8</f>
        <v>0</v>
      </c>
      <c r="P8" s="4">
        <f ca="1">+O8+Budget!P8</f>
        <v>0</v>
      </c>
      <c r="Q8" s="3"/>
      <c r="R8" s="10"/>
      <c r="S8" s="11"/>
    </row>
    <row r="9" spans="1:19" ht="15.75" thickBot="1">
      <c r="A9" s="11"/>
      <c r="B9" s="7">
        <v>4</v>
      </c>
      <c r="C9" s="9" t="str">
        <f ca="1">+Introduction!C14</f>
        <v>Income 4</v>
      </c>
      <c r="D9" s="51"/>
      <c r="E9" s="4">
        <f ca="1">+D9+Budget!E9</f>
        <v>0</v>
      </c>
      <c r="F9" s="4">
        <f ca="1">+E9+Budget!F9</f>
        <v>0</v>
      </c>
      <c r="G9" s="4">
        <f ca="1">+F9+Budget!G9</f>
        <v>0</v>
      </c>
      <c r="H9" s="4">
        <f ca="1">+G9+Budget!H9</f>
        <v>0</v>
      </c>
      <c r="I9" s="4">
        <f ca="1">+H9+Budget!I9</f>
        <v>0</v>
      </c>
      <c r="J9" s="4">
        <f ca="1">+I9+Budget!J9</f>
        <v>0</v>
      </c>
      <c r="K9" s="4">
        <f ca="1">+J9+Budget!K9</f>
        <v>0</v>
      </c>
      <c r="L9" s="4">
        <f ca="1">+K9+Budget!L9</f>
        <v>0</v>
      </c>
      <c r="M9" s="4">
        <f ca="1">+L9+Budget!M9</f>
        <v>0</v>
      </c>
      <c r="N9" s="4">
        <f ca="1">+M9+Budget!N9</f>
        <v>0</v>
      </c>
      <c r="O9" s="4">
        <f ca="1">+N9+Budget!O9</f>
        <v>0</v>
      </c>
      <c r="P9" s="4">
        <f ca="1">+O9+Budget!P9</f>
        <v>0</v>
      </c>
      <c r="Q9" s="3"/>
      <c r="R9" s="10"/>
      <c r="S9" s="11"/>
    </row>
    <row r="10" spans="1:19" ht="15.75" thickBot="1">
      <c r="A10" s="11"/>
      <c r="B10" s="7">
        <v>5</v>
      </c>
      <c r="C10" s="9" t="str">
        <f ca="1">+Introduction!C15</f>
        <v>Income 5</v>
      </c>
      <c r="D10" s="51"/>
      <c r="E10" s="4">
        <f ca="1">+D10+Budget!E10</f>
        <v>0</v>
      </c>
      <c r="F10" s="4">
        <f ca="1">+E10+Budget!F10</f>
        <v>0</v>
      </c>
      <c r="G10" s="4">
        <f ca="1">+F10+Budget!G10</f>
        <v>0</v>
      </c>
      <c r="H10" s="4">
        <f ca="1">+G10+Budget!H10</f>
        <v>0</v>
      </c>
      <c r="I10" s="4">
        <f ca="1">+H10+Budget!I10</f>
        <v>0</v>
      </c>
      <c r="J10" s="4">
        <f ca="1">+I10+Budget!J10</f>
        <v>0</v>
      </c>
      <c r="K10" s="4">
        <f ca="1">+J10+Budget!K10</f>
        <v>0</v>
      </c>
      <c r="L10" s="4">
        <f ca="1">+K10+Budget!L10</f>
        <v>0</v>
      </c>
      <c r="M10" s="4">
        <f ca="1">+L10+Budget!M10</f>
        <v>0</v>
      </c>
      <c r="N10" s="4">
        <f ca="1">+M10+Budget!N10</f>
        <v>0</v>
      </c>
      <c r="O10" s="4">
        <f ca="1">+N10+Budget!O10</f>
        <v>0</v>
      </c>
      <c r="P10" s="4">
        <f ca="1">+O10+Budget!P10</f>
        <v>0</v>
      </c>
      <c r="Q10" s="3"/>
      <c r="R10" s="10"/>
      <c r="S10" s="11"/>
    </row>
    <row r="11" spans="1:19" ht="15.75" thickBot="1">
      <c r="A11" s="11"/>
      <c r="B11" s="7">
        <v>6</v>
      </c>
      <c r="C11" s="9" t="str">
        <f ca="1">+Introduction!C16</f>
        <v>Income 6</v>
      </c>
      <c r="D11" s="51"/>
      <c r="E11" s="4">
        <f ca="1">+D11+Budget!E11</f>
        <v>0</v>
      </c>
      <c r="F11" s="4">
        <f ca="1">+E11+Budget!F11</f>
        <v>0</v>
      </c>
      <c r="G11" s="4">
        <f ca="1">+F11+Budget!G11</f>
        <v>0</v>
      </c>
      <c r="H11" s="4">
        <f ca="1">+G11+Budget!H11</f>
        <v>0</v>
      </c>
      <c r="I11" s="4">
        <f ca="1">+H11+Budget!I11</f>
        <v>0</v>
      </c>
      <c r="J11" s="4">
        <f ca="1">+I11+Budget!J11</f>
        <v>0</v>
      </c>
      <c r="K11" s="4">
        <f ca="1">+J11+Budget!K11</f>
        <v>0</v>
      </c>
      <c r="L11" s="4">
        <f ca="1">+K11+Budget!L11</f>
        <v>0</v>
      </c>
      <c r="M11" s="4">
        <f ca="1">+L11+Budget!M11</f>
        <v>0</v>
      </c>
      <c r="N11" s="4">
        <f ca="1">+M11+Budget!N11</f>
        <v>0</v>
      </c>
      <c r="O11" s="4">
        <f ca="1">+N11+Budget!O11</f>
        <v>0</v>
      </c>
      <c r="P11" s="4">
        <f ca="1">+O11+Budget!P11</f>
        <v>0</v>
      </c>
      <c r="Q11" s="3"/>
      <c r="R11" s="10"/>
      <c r="S11" s="11"/>
    </row>
    <row r="12" spans="1:19" ht="15.75" thickBot="1">
      <c r="A12" s="11"/>
      <c r="B12" s="7">
        <v>7</v>
      </c>
      <c r="C12" s="9" t="str">
        <f ca="1">+Introduction!C17</f>
        <v>Income 7</v>
      </c>
      <c r="D12" s="51"/>
      <c r="E12" s="4">
        <f ca="1">+D12+Budget!E12</f>
        <v>0</v>
      </c>
      <c r="F12" s="4">
        <f ca="1">+E12+Budget!F12</f>
        <v>0</v>
      </c>
      <c r="G12" s="4">
        <f ca="1">+F12+Budget!G12</f>
        <v>0</v>
      </c>
      <c r="H12" s="4">
        <f ca="1">+G12+Budget!H12</f>
        <v>0</v>
      </c>
      <c r="I12" s="4">
        <f ca="1">+H12+Budget!I12</f>
        <v>0</v>
      </c>
      <c r="J12" s="4">
        <f ca="1">+I12+Budget!J12</f>
        <v>0</v>
      </c>
      <c r="K12" s="4">
        <f ca="1">+J12+Budget!K12</f>
        <v>0</v>
      </c>
      <c r="L12" s="4">
        <f ca="1">+K12+Budget!L12</f>
        <v>0</v>
      </c>
      <c r="M12" s="4">
        <f ca="1">+L12+Budget!M12</f>
        <v>0</v>
      </c>
      <c r="N12" s="4">
        <f ca="1">+M12+Budget!N12</f>
        <v>0</v>
      </c>
      <c r="O12" s="4">
        <f ca="1">+N12+Budget!O12</f>
        <v>0</v>
      </c>
      <c r="P12" s="4">
        <f ca="1">+O12+Budget!P12</f>
        <v>0</v>
      </c>
      <c r="Q12" s="3"/>
      <c r="R12" s="10"/>
      <c r="S12" s="11"/>
    </row>
    <row r="13" spans="1:19" ht="15.75" thickBot="1">
      <c r="A13" s="11"/>
      <c r="B13" s="7">
        <v>8</v>
      </c>
      <c r="C13" s="9" t="str">
        <f ca="1">+Introduction!C18</f>
        <v>Income 8</v>
      </c>
      <c r="D13" s="51"/>
      <c r="E13" s="4">
        <f ca="1">+D13+Budget!E13</f>
        <v>0</v>
      </c>
      <c r="F13" s="4">
        <f ca="1">+E13+Budget!F13</f>
        <v>0</v>
      </c>
      <c r="G13" s="4">
        <f ca="1">+F13+Budget!G13</f>
        <v>0</v>
      </c>
      <c r="H13" s="4">
        <f ca="1">+G13+Budget!H13</f>
        <v>0</v>
      </c>
      <c r="I13" s="4">
        <f ca="1">+H13+Budget!I13</f>
        <v>0</v>
      </c>
      <c r="J13" s="4">
        <f ca="1">+I13+Budget!J13</f>
        <v>0</v>
      </c>
      <c r="K13" s="4">
        <f ca="1">+J13+Budget!K13</f>
        <v>0</v>
      </c>
      <c r="L13" s="4">
        <f ca="1">+K13+Budget!L13</f>
        <v>0</v>
      </c>
      <c r="M13" s="4">
        <f ca="1">+L13+Budget!M13</f>
        <v>0</v>
      </c>
      <c r="N13" s="4">
        <f ca="1">+M13+Budget!N13</f>
        <v>0</v>
      </c>
      <c r="O13" s="4">
        <f ca="1">+N13+Budget!O13</f>
        <v>0</v>
      </c>
      <c r="P13" s="4">
        <f ca="1">+O13+Budget!P13</f>
        <v>0</v>
      </c>
      <c r="Q13" s="3"/>
      <c r="R13" s="10"/>
      <c r="S13" s="11"/>
    </row>
    <row r="14" spans="1:19" ht="15.75" thickBot="1">
      <c r="A14" s="11"/>
      <c r="B14" s="7"/>
      <c r="C14" s="9" t="s">
        <v>22</v>
      </c>
      <c r="D14" s="9"/>
      <c r="E14" s="10">
        <f>SUM(E6:E13)</f>
        <v>0</v>
      </c>
      <c r="F14" s="10">
        <f t="shared" ref="F14:P14" si="2">SUM(F6:F13)</f>
        <v>0</v>
      </c>
      <c r="G14" s="10">
        <f t="shared" si="2"/>
        <v>0</v>
      </c>
      <c r="H14" s="10">
        <f t="shared" si="2"/>
        <v>0</v>
      </c>
      <c r="I14" s="10">
        <f t="shared" si="2"/>
        <v>0</v>
      </c>
      <c r="J14" s="10">
        <f t="shared" si="2"/>
        <v>0</v>
      </c>
      <c r="K14" s="10">
        <f t="shared" si="2"/>
        <v>0</v>
      </c>
      <c r="L14" s="10">
        <f t="shared" si="2"/>
        <v>0</v>
      </c>
      <c r="M14" s="10">
        <f t="shared" si="2"/>
        <v>0</v>
      </c>
      <c r="N14" s="10">
        <f t="shared" si="2"/>
        <v>0</v>
      </c>
      <c r="O14" s="10">
        <f t="shared" si="2"/>
        <v>0</v>
      </c>
      <c r="P14" s="10">
        <f t="shared" si="2"/>
        <v>0</v>
      </c>
      <c r="Q14" s="10"/>
      <c r="R14" s="10"/>
      <c r="S14" s="11"/>
    </row>
    <row r="15" spans="1:19" ht="13.5" customHeight="1" thickBot="1">
      <c r="A15" s="11"/>
      <c r="B15" s="12"/>
      <c r="C15" s="11"/>
      <c r="D15" s="11"/>
      <c r="E15" s="13"/>
      <c r="F15" s="13"/>
      <c r="G15" s="13"/>
      <c r="H15" s="13"/>
      <c r="I15" s="13"/>
      <c r="J15" s="13"/>
      <c r="K15" s="13"/>
      <c r="L15" s="13"/>
      <c r="M15" s="13"/>
      <c r="N15" s="13"/>
      <c r="O15" s="13"/>
      <c r="P15" s="13"/>
      <c r="Q15" s="13"/>
      <c r="R15" s="13"/>
      <c r="S15" s="11"/>
    </row>
    <row r="16" spans="1:19" ht="30.75" hidden="1" thickBot="1">
      <c r="A16" s="11"/>
      <c r="B16" s="8"/>
      <c r="C16" s="20" t="s">
        <v>45</v>
      </c>
      <c r="D16" s="20"/>
      <c r="E16" s="21" t="str">
        <f>CONCATENATE(MONTH(E17)," ",YEAR(E17), " Expense")</f>
        <v>1 2012 Expense</v>
      </c>
      <c r="F16" s="22" t="str">
        <f t="shared" ref="F16:P16" si="3">CONCATENATE(MONTH(F17)," ",YEAR(F17), " Expense")</f>
        <v>2 2012 Expense</v>
      </c>
      <c r="G16" s="22" t="str">
        <f t="shared" si="3"/>
        <v>3 2012 Expense</v>
      </c>
      <c r="H16" s="22" t="str">
        <f t="shared" si="3"/>
        <v>4 2012 Expense</v>
      </c>
      <c r="I16" s="22" t="str">
        <f t="shared" si="3"/>
        <v>5 2012 Expense</v>
      </c>
      <c r="J16" s="22" t="str">
        <f t="shared" si="3"/>
        <v>6 2012 Expense</v>
      </c>
      <c r="K16" s="22" t="str">
        <f t="shared" si="3"/>
        <v>7 2012 Expense</v>
      </c>
      <c r="L16" s="22" t="str">
        <f t="shared" si="3"/>
        <v>8 2012 Expense</v>
      </c>
      <c r="M16" s="22" t="str">
        <f t="shared" si="3"/>
        <v>9 2012 Expense</v>
      </c>
      <c r="N16" s="22" t="str">
        <f t="shared" si="3"/>
        <v>10 2012 Expense</v>
      </c>
      <c r="O16" s="22" t="str">
        <f t="shared" si="3"/>
        <v>11 2012 Expense</v>
      </c>
      <c r="P16" s="23" t="str">
        <f t="shared" si="3"/>
        <v>12 2012 Expense</v>
      </c>
      <c r="Q16" s="18"/>
      <c r="R16" s="18"/>
      <c r="S16" s="11"/>
    </row>
    <row r="17" spans="1:19" ht="15.75" thickBot="1">
      <c r="A17" s="11"/>
      <c r="B17" s="7"/>
      <c r="C17" s="28" t="s">
        <v>23</v>
      </c>
      <c r="D17" s="51"/>
      <c r="E17" s="29">
        <f>+E5</f>
        <v>40909</v>
      </c>
      <c r="F17" s="29">
        <f t="shared" ref="F17:P17" si="4">+F5</f>
        <v>40940</v>
      </c>
      <c r="G17" s="29">
        <f t="shared" si="4"/>
        <v>40969</v>
      </c>
      <c r="H17" s="29">
        <f t="shared" si="4"/>
        <v>41000</v>
      </c>
      <c r="I17" s="29">
        <f t="shared" si="4"/>
        <v>41030</v>
      </c>
      <c r="J17" s="29">
        <f t="shared" si="4"/>
        <v>41061</v>
      </c>
      <c r="K17" s="29">
        <f t="shared" si="4"/>
        <v>41091</v>
      </c>
      <c r="L17" s="29">
        <f t="shared" si="4"/>
        <v>41122</v>
      </c>
      <c r="M17" s="29">
        <f t="shared" si="4"/>
        <v>41153</v>
      </c>
      <c r="N17" s="29">
        <f t="shared" si="4"/>
        <v>41183</v>
      </c>
      <c r="O17" s="29">
        <f t="shared" si="4"/>
        <v>41214</v>
      </c>
      <c r="P17" s="29">
        <f t="shared" si="4"/>
        <v>41244</v>
      </c>
      <c r="Q17" s="18"/>
      <c r="R17" s="32" t="s">
        <v>12</v>
      </c>
      <c r="S17" s="11"/>
    </row>
    <row r="18" spans="1:19" ht="15.75" thickBot="1">
      <c r="A18" s="11"/>
      <c r="B18" s="7">
        <v>1</v>
      </c>
      <c r="C18" s="9" t="str">
        <f ca="1">+Introduction!F11</f>
        <v>Expense 1</v>
      </c>
      <c r="D18" s="51"/>
      <c r="E18" s="4">
        <f ca="1">+D18+Budget!E18</f>
        <v>0</v>
      </c>
      <c r="F18" s="4">
        <f ca="1">+E18+Budget!F18</f>
        <v>0</v>
      </c>
      <c r="G18" s="4">
        <f ca="1">+F18+Budget!G18</f>
        <v>0</v>
      </c>
      <c r="H18" s="4">
        <f ca="1">+G18+Budget!H18</f>
        <v>0</v>
      </c>
      <c r="I18" s="4">
        <f ca="1">+H18+Budget!I18</f>
        <v>0</v>
      </c>
      <c r="J18" s="4">
        <f ca="1">+I18+Budget!J18</f>
        <v>0</v>
      </c>
      <c r="K18" s="4">
        <f ca="1">+J18+Budget!K18</f>
        <v>0</v>
      </c>
      <c r="L18" s="4">
        <f ca="1">+K18+Budget!L18</f>
        <v>0</v>
      </c>
      <c r="M18" s="4">
        <f ca="1">+L18+Budget!M18</f>
        <v>0</v>
      </c>
      <c r="N18" s="4">
        <f ca="1">+M18+Budget!N18</f>
        <v>0</v>
      </c>
      <c r="O18" s="4">
        <f ca="1">+N18+Budget!O18</f>
        <v>0</v>
      </c>
      <c r="P18" s="4">
        <f ca="1">+O18+Budget!P18</f>
        <v>0</v>
      </c>
      <c r="Q18" s="33"/>
      <c r="R18" s="26"/>
      <c r="S18" s="11"/>
    </row>
    <row r="19" spans="1:19" ht="15.75" thickBot="1">
      <c r="A19" s="11"/>
      <c r="B19" s="7">
        <v>2</v>
      </c>
      <c r="C19" s="9" t="str">
        <f ca="1">+Introduction!F12</f>
        <v>Expense 2</v>
      </c>
      <c r="D19" s="51"/>
      <c r="E19" s="4">
        <f ca="1">+D19+Budget!E19</f>
        <v>0</v>
      </c>
      <c r="F19" s="4">
        <f ca="1">+E19+Budget!F19</f>
        <v>0</v>
      </c>
      <c r="G19" s="4">
        <f ca="1">+F19+Budget!G19</f>
        <v>0</v>
      </c>
      <c r="H19" s="4">
        <f ca="1">+G19+Budget!H19</f>
        <v>0</v>
      </c>
      <c r="I19" s="4">
        <f ca="1">+H19+Budget!I19</f>
        <v>0</v>
      </c>
      <c r="J19" s="4">
        <f ca="1">+I19+Budget!J19</f>
        <v>0</v>
      </c>
      <c r="K19" s="4">
        <f ca="1">+J19+Budget!K19</f>
        <v>0</v>
      </c>
      <c r="L19" s="4">
        <f ca="1">+K19+Budget!L19</f>
        <v>0</v>
      </c>
      <c r="M19" s="4">
        <f ca="1">+L19+Budget!M19</f>
        <v>0</v>
      </c>
      <c r="N19" s="4">
        <f ca="1">+M19+Budget!N19</f>
        <v>0</v>
      </c>
      <c r="O19" s="4">
        <f ca="1">+N19+Budget!O19</f>
        <v>0</v>
      </c>
      <c r="P19" s="4">
        <f ca="1">+O19+Budget!P19</f>
        <v>0</v>
      </c>
      <c r="Q19" s="33"/>
      <c r="R19" s="26"/>
      <c r="S19" s="11"/>
    </row>
    <row r="20" spans="1:19" ht="15.75" thickBot="1">
      <c r="A20" s="11"/>
      <c r="B20" s="7">
        <v>3</v>
      </c>
      <c r="C20" s="9" t="str">
        <f ca="1">+Introduction!F13</f>
        <v>Expense 3</v>
      </c>
      <c r="D20" s="51"/>
      <c r="E20" s="4">
        <f ca="1">+D20+Budget!E20</f>
        <v>0</v>
      </c>
      <c r="F20" s="4">
        <f ca="1">+E20+Budget!F20</f>
        <v>0</v>
      </c>
      <c r="G20" s="4">
        <f ca="1">+F20+Budget!G20</f>
        <v>0</v>
      </c>
      <c r="H20" s="4">
        <f ca="1">+G20+Budget!H20</f>
        <v>0</v>
      </c>
      <c r="I20" s="4">
        <f ca="1">+H20+Budget!I20</f>
        <v>0</v>
      </c>
      <c r="J20" s="4">
        <f ca="1">+I20+Budget!J20</f>
        <v>0</v>
      </c>
      <c r="K20" s="4">
        <f ca="1">+J20+Budget!K20</f>
        <v>0</v>
      </c>
      <c r="L20" s="4">
        <f ca="1">+K20+Budget!L20</f>
        <v>0</v>
      </c>
      <c r="M20" s="4">
        <f ca="1">+L20+Budget!M20</f>
        <v>0</v>
      </c>
      <c r="N20" s="4">
        <f ca="1">+M20+Budget!N20</f>
        <v>0</v>
      </c>
      <c r="O20" s="4">
        <f ca="1">+N20+Budget!O20</f>
        <v>0</v>
      </c>
      <c r="P20" s="4">
        <f ca="1">+O20+Budget!P20</f>
        <v>0</v>
      </c>
      <c r="Q20" s="33"/>
      <c r="R20" s="26"/>
      <c r="S20" s="11"/>
    </row>
    <row r="21" spans="1:19" ht="15.75" thickBot="1">
      <c r="A21" s="11"/>
      <c r="B21" s="7">
        <v>4</v>
      </c>
      <c r="C21" s="9" t="str">
        <f ca="1">+Introduction!F14</f>
        <v>Expense 4</v>
      </c>
      <c r="D21" s="51"/>
      <c r="E21" s="4">
        <f ca="1">+D21+Budget!E21</f>
        <v>0</v>
      </c>
      <c r="F21" s="4">
        <f ca="1">+E21+Budget!F21</f>
        <v>0</v>
      </c>
      <c r="G21" s="4">
        <f ca="1">+F21+Budget!G21</f>
        <v>0</v>
      </c>
      <c r="H21" s="4">
        <f ca="1">+G21+Budget!H21</f>
        <v>0</v>
      </c>
      <c r="I21" s="4">
        <f ca="1">+H21+Budget!I21</f>
        <v>0</v>
      </c>
      <c r="J21" s="4">
        <f ca="1">+I21+Budget!J21</f>
        <v>0</v>
      </c>
      <c r="K21" s="4">
        <f ca="1">+J21+Budget!K21</f>
        <v>0</v>
      </c>
      <c r="L21" s="4">
        <f ca="1">+K21+Budget!L21</f>
        <v>0</v>
      </c>
      <c r="M21" s="4">
        <f ca="1">+L21+Budget!M21</f>
        <v>0</v>
      </c>
      <c r="N21" s="4">
        <f ca="1">+M21+Budget!N21</f>
        <v>0</v>
      </c>
      <c r="O21" s="4">
        <f ca="1">+N21+Budget!O21</f>
        <v>0</v>
      </c>
      <c r="P21" s="4">
        <f ca="1">+O21+Budget!P21</f>
        <v>0</v>
      </c>
      <c r="Q21" s="33"/>
      <c r="R21" s="26"/>
      <c r="S21" s="11"/>
    </row>
    <row r="22" spans="1:19" ht="15.75" thickBot="1">
      <c r="A22" s="11"/>
      <c r="B22" s="7">
        <v>5</v>
      </c>
      <c r="C22" s="9" t="str">
        <f ca="1">+Introduction!F15</f>
        <v>Expense 5</v>
      </c>
      <c r="D22" s="51"/>
      <c r="E22" s="4">
        <f ca="1">+D22+Budget!E22</f>
        <v>0</v>
      </c>
      <c r="F22" s="4">
        <f ca="1">+E22+Budget!F22</f>
        <v>0</v>
      </c>
      <c r="G22" s="4">
        <f ca="1">+F22+Budget!G22</f>
        <v>0</v>
      </c>
      <c r="H22" s="4">
        <f ca="1">+G22+Budget!H22</f>
        <v>0</v>
      </c>
      <c r="I22" s="4">
        <f ca="1">+H22+Budget!I22</f>
        <v>0</v>
      </c>
      <c r="J22" s="4">
        <f ca="1">+I22+Budget!J22</f>
        <v>0</v>
      </c>
      <c r="K22" s="4">
        <f ca="1">+J22+Budget!K22</f>
        <v>0</v>
      </c>
      <c r="L22" s="4">
        <f ca="1">+K22+Budget!L22</f>
        <v>0</v>
      </c>
      <c r="M22" s="4">
        <f ca="1">+L22+Budget!M22</f>
        <v>0</v>
      </c>
      <c r="N22" s="4">
        <f ca="1">+M22+Budget!N22</f>
        <v>0</v>
      </c>
      <c r="O22" s="4">
        <f ca="1">+N22+Budget!O22</f>
        <v>0</v>
      </c>
      <c r="P22" s="4">
        <f ca="1">+O22+Budget!P22</f>
        <v>0</v>
      </c>
      <c r="Q22" s="33"/>
      <c r="R22" s="26"/>
      <c r="S22" s="11"/>
    </row>
    <row r="23" spans="1:19" ht="15.75" thickBot="1">
      <c r="A23" s="11"/>
      <c r="B23" s="7">
        <v>6</v>
      </c>
      <c r="C23" s="9" t="str">
        <f ca="1">+Introduction!F16</f>
        <v>Expense 6</v>
      </c>
      <c r="D23" s="51"/>
      <c r="E23" s="4">
        <f ca="1">+D23+Budget!E23</f>
        <v>0</v>
      </c>
      <c r="F23" s="4">
        <f ca="1">+E23+Budget!F23</f>
        <v>0</v>
      </c>
      <c r="G23" s="4">
        <f ca="1">+F23+Budget!G23</f>
        <v>0</v>
      </c>
      <c r="H23" s="4">
        <f ca="1">+G23+Budget!H23</f>
        <v>0</v>
      </c>
      <c r="I23" s="4">
        <f ca="1">+H23+Budget!I23</f>
        <v>0</v>
      </c>
      <c r="J23" s="4">
        <f ca="1">+I23+Budget!J23</f>
        <v>0</v>
      </c>
      <c r="K23" s="4">
        <f ca="1">+J23+Budget!K23</f>
        <v>0</v>
      </c>
      <c r="L23" s="4">
        <f ca="1">+K23+Budget!L23</f>
        <v>0</v>
      </c>
      <c r="M23" s="4">
        <f ca="1">+L23+Budget!M23</f>
        <v>0</v>
      </c>
      <c r="N23" s="4">
        <f ca="1">+M23+Budget!N23</f>
        <v>0</v>
      </c>
      <c r="O23" s="4">
        <f ca="1">+N23+Budget!O23</f>
        <v>0</v>
      </c>
      <c r="P23" s="4">
        <f ca="1">+O23+Budget!P23</f>
        <v>0</v>
      </c>
      <c r="Q23" s="33"/>
      <c r="R23" s="26"/>
      <c r="S23" s="11"/>
    </row>
    <row r="24" spans="1:19" ht="15.75" thickBot="1">
      <c r="A24" s="11"/>
      <c r="B24" s="7">
        <v>7</v>
      </c>
      <c r="C24" s="9" t="str">
        <f ca="1">+Introduction!F17</f>
        <v>Expense 7</v>
      </c>
      <c r="D24" s="51"/>
      <c r="E24" s="4">
        <f ca="1">+D24+Budget!E24</f>
        <v>0</v>
      </c>
      <c r="F24" s="4">
        <f ca="1">+E24+Budget!F24</f>
        <v>0</v>
      </c>
      <c r="G24" s="4">
        <f ca="1">+F24+Budget!G24</f>
        <v>0</v>
      </c>
      <c r="H24" s="4">
        <f ca="1">+G24+Budget!H24</f>
        <v>0</v>
      </c>
      <c r="I24" s="4">
        <f ca="1">+H24+Budget!I24</f>
        <v>0</v>
      </c>
      <c r="J24" s="4">
        <f ca="1">+I24+Budget!J24</f>
        <v>0</v>
      </c>
      <c r="K24" s="4">
        <f ca="1">+J24+Budget!K24</f>
        <v>0</v>
      </c>
      <c r="L24" s="4">
        <f ca="1">+K24+Budget!L24</f>
        <v>0</v>
      </c>
      <c r="M24" s="4">
        <f ca="1">+L24+Budget!M24</f>
        <v>0</v>
      </c>
      <c r="N24" s="4">
        <f ca="1">+M24+Budget!N24</f>
        <v>0</v>
      </c>
      <c r="O24" s="4">
        <f ca="1">+N24+Budget!O24</f>
        <v>0</v>
      </c>
      <c r="P24" s="4">
        <f ca="1">+O24+Budget!P24</f>
        <v>0</v>
      </c>
      <c r="Q24" s="33"/>
      <c r="R24" s="26"/>
      <c r="S24" s="11"/>
    </row>
    <row r="25" spans="1:19" ht="15.75" thickBot="1">
      <c r="A25" s="11"/>
      <c r="B25" s="7">
        <v>8</v>
      </c>
      <c r="C25" s="9" t="str">
        <f ca="1">+Introduction!F18</f>
        <v>Expense 8</v>
      </c>
      <c r="D25" s="51"/>
      <c r="E25" s="4">
        <f ca="1">+D25+Budget!E25</f>
        <v>0</v>
      </c>
      <c r="F25" s="4">
        <f ca="1">+E25+Budget!F25</f>
        <v>0</v>
      </c>
      <c r="G25" s="4">
        <f ca="1">+F25+Budget!G25</f>
        <v>0</v>
      </c>
      <c r="H25" s="4">
        <f ca="1">+G25+Budget!H25</f>
        <v>0</v>
      </c>
      <c r="I25" s="4">
        <f ca="1">+H25+Budget!I25</f>
        <v>0</v>
      </c>
      <c r="J25" s="4">
        <f ca="1">+I25+Budget!J25</f>
        <v>0</v>
      </c>
      <c r="K25" s="4">
        <f ca="1">+J25+Budget!K25</f>
        <v>0</v>
      </c>
      <c r="L25" s="4">
        <f ca="1">+K25+Budget!L25</f>
        <v>0</v>
      </c>
      <c r="M25" s="4">
        <f ca="1">+L25+Budget!M25</f>
        <v>0</v>
      </c>
      <c r="N25" s="4">
        <f ca="1">+M25+Budget!N25</f>
        <v>0</v>
      </c>
      <c r="O25" s="4">
        <f ca="1">+N25+Budget!O25</f>
        <v>0</v>
      </c>
      <c r="P25" s="4">
        <f ca="1">+O25+Budget!P25</f>
        <v>0</v>
      </c>
      <c r="Q25" s="33"/>
      <c r="R25" s="26"/>
      <c r="S25" s="11"/>
    </row>
    <row r="26" spans="1:19" ht="15.75" thickBot="1">
      <c r="A26" s="11"/>
      <c r="B26" s="7">
        <v>9</v>
      </c>
      <c r="C26" s="9" t="str">
        <f ca="1">+Introduction!F19</f>
        <v>Expense 9</v>
      </c>
      <c r="D26" s="51"/>
      <c r="E26" s="4">
        <f ca="1">+D26+Budget!E26</f>
        <v>0</v>
      </c>
      <c r="F26" s="4">
        <f ca="1">+E26+Budget!F26</f>
        <v>0</v>
      </c>
      <c r="G26" s="4">
        <f ca="1">+F26+Budget!G26</f>
        <v>0</v>
      </c>
      <c r="H26" s="4">
        <f ca="1">+G26+Budget!H26</f>
        <v>0</v>
      </c>
      <c r="I26" s="4">
        <f ca="1">+H26+Budget!I26</f>
        <v>0</v>
      </c>
      <c r="J26" s="4">
        <f ca="1">+I26+Budget!J26</f>
        <v>0</v>
      </c>
      <c r="K26" s="4">
        <f ca="1">+J26+Budget!K26</f>
        <v>0</v>
      </c>
      <c r="L26" s="4">
        <f ca="1">+K26+Budget!L26</f>
        <v>0</v>
      </c>
      <c r="M26" s="4">
        <f ca="1">+L26+Budget!M26</f>
        <v>0</v>
      </c>
      <c r="N26" s="4">
        <f ca="1">+M26+Budget!N26</f>
        <v>0</v>
      </c>
      <c r="O26" s="4">
        <f ca="1">+N26+Budget!O26</f>
        <v>0</v>
      </c>
      <c r="P26" s="4">
        <f ca="1">+O26+Budget!P26</f>
        <v>0</v>
      </c>
      <c r="Q26" s="33"/>
      <c r="R26" s="26"/>
      <c r="S26" s="11"/>
    </row>
    <row r="27" spans="1:19" ht="15.75" thickBot="1">
      <c r="A27" s="11"/>
      <c r="B27" s="7">
        <v>10</v>
      </c>
      <c r="C27" s="9" t="str">
        <f ca="1">+Introduction!F20</f>
        <v>Expense 10</v>
      </c>
      <c r="D27" s="51"/>
      <c r="E27" s="4">
        <f ca="1">+D27+Budget!E27</f>
        <v>0</v>
      </c>
      <c r="F27" s="4">
        <f ca="1">+E27+Budget!F27</f>
        <v>0</v>
      </c>
      <c r="G27" s="4">
        <f ca="1">+F27+Budget!G27</f>
        <v>0</v>
      </c>
      <c r="H27" s="4">
        <f ca="1">+G27+Budget!H27</f>
        <v>0</v>
      </c>
      <c r="I27" s="4">
        <f ca="1">+H27+Budget!I27</f>
        <v>0</v>
      </c>
      <c r="J27" s="4">
        <f ca="1">+I27+Budget!J27</f>
        <v>0</v>
      </c>
      <c r="K27" s="4">
        <f ca="1">+J27+Budget!K27</f>
        <v>0</v>
      </c>
      <c r="L27" s="4">
        <f ca="1">+K27+Budget!L27</f>
        <v>0</v>
      </c>
      <c r="M27" s="4">
        <f ca="1">+L27+Budget!M27</f>
        <v>0</v>
      </c>
      <c r="N27" s="4">
        <f ca="1">+M27+Budget!N27</f>
        <v>0</v>
      </c>
      <c r="O27" s="4">
        <f ca="1">+N27+Budget!O27</f>
        <v>0</v>
      </c>
      <c r="P27" s="4">
        <f ca="1">+O27+Budget!P27</f>
        <v>0</v>
      </c>
      <c r="Q27" s="33"/>
      <c r="R27" s="26"/>
      <c r="S27" s="11"/>
    </row>
    <row r="28" spans="1:19" ht="15.75" thickBot="1">
      <c r="A28" s="11"/>
      <c r="B28" s="7">
        <v>11</v>
      </c>
      <c r="C28" s="9" t="str">
        <f ca="1">+Introduction!F21</f>
        <v>Expense 11</v>
      </c>
      <c r="D28" s="51"/>
      <c r="E28" s="4">
        <f ca="1">+D28+Budget!E28</f>
        <v>0</v>
      </c>
      <c r="F28" s="4">
        <f ca="1">+E28+Budget!F28</f>
        <v>0</v>
      </c>
      <c r="G28" s="4">
        <f ca="1">+F28+Budget!G28</f>
        <v>0</v>
      </c>
      <c r="H28" s="4">
        <f ca="1">+G28+Budget!H28</f>
        <v>0</v>
      </c>
      <c r="I28" s="4">
        <f ca="1">+H28+Budget!I28</f>
        <v>0</v>
      </c>
      <c r="J28" s="4">
        <f ca="1">+I28+Budget!J28</f>
        <v>0</v>
      </c>
      <c r="K28" s="4">
        <f ca="1">+J28+Budget!K28</f>
        <v>0</v>
      </c>
      <c r="L28" s="4">
        <f ca="1">+K28+Budget!L28</f>
        <v>0</v>
      </c>
      <c r="M28" s="4">
        <f ca="1">+L28+Budget!M28</f>
        <v>0</v>
      </c>
      <c r="N28" s="4">
        <f ca="1">+M28+Budget!N28</f>
        <v>0</v>
      </c>
      <c r="O28" s="4">
        <f ca="1">+N28+Budget!O28</f>
        <v>0</v>
      </c>
      <c r="P28" s="4">
        <f ca="1">+O28+Budget!P28</f>
        <v>0</v>
      </c>
      <c r="Q28" s="33"/>
      <c r="R28" s="26"/>
      <c r="S28" s="11"/>
    </row>
    <row r="29" spans="1:19" ht="15.75" thickBot="1">
      <c r="A29" s="11"/>
      <c r="B29" s="7">
        <v>12</v>
      </c>
      <c r="C29" s="9" t="str">
        <f ca="1">+Introduction!F22</f>
        <v>Expense 12</v>
      </c>
      <c r="D29" s="51"/>
      <c r="E29" s="4">
        <f ca="1">+D29+Budget!E29</f>
        <v>0</v>
      </c>
      <c r="F29" s="4">
        <f ca="1">+E29+Budget!F29</f>
        <v>0</v>
      </c>
      <c r="G29" s="4">
        <f ca="1">+F29+Budget!G29</f>
        <v>0</v>
      </c>
      <c r="H29" s="4">
        <f ca="1">+G29+Budget!H29</f>
        <v>0</v>
      </c>
      <c r="I29" s="4">
        <f ca="1">+H29+Budget!I29</f>
        <v>0</v>
      </c>
      <c r="J29" s="4">
        <f ca="1">+I29+Budget!J29</f>
        <v>0</v>
      </c>
      <c r="K29" s="4">
        <f ca="1">+J29+Budget!K29</f>
        <v>0</v>
      </c>
      <c r="L29" s="4">
        <f ca="1">+K29+Budget!L29</f>
        <v>0</v>
      </c>
      <c r="M29" s="4">
        <f ca="1">+L29+Budget!M29</f>
        <v>0</v>
      </c>
      <c r="N29" s="4">
        <f ca="1">+M29+Budget!N29</f>
        <v>0</v>
      </c>
      <c r="O29" s="4">
        <f ca="1">+N29+Budget!O29</f>
        <v>0</v>
      </c>
      <c r="P29" s="4">
        <f ca="1">+O29+Budget!P29</f>
        <v>0</v>
      </c>
      <c r="Q29" s="33"/>
      <c r="R29" s="26"/>
      <c r="S29" s="11"/>
    </row>
    <row r="30" spans="1:19" ht="15.75" thickBot="1">
      <c r="A30" s="11"/>
      <c r="B30" s="7">
        <v>13</v>
      </c>
      <c r="C30" s="9" t="str">
        <f ca="1">+Introduction!F23</f>
        <v>Expense 13</v>
      </c>
      <c r="D30" s="51"/>
      <c r="E30" s="4">
        <f ca="1">+D30+Budget!E30</f>
        <v>0</v>
      </c>
      <c r="F30" s="4">
        <f ca="1">+E30+Budget!F30</f>
        <v>0</v>
      </c>
      <c r="G30" s="4">
        <f ca="1">+F30+Budget!G30</f>
        <v>0</v>
      </c>
      <c r="H30" s="4">
        <f ca="1">+G30+Budget!H30</f>
        <v>0</v>
      </c>
      <c r="I30" s="4">
        <f ca="1">+H30+Budget!I30</f>
        <v>0</v>
      </c>
      <c r="J30" s="4">
        <f ca="1">+I30+Budget!J30</f>
        <v>0</v>
      </c>
      <c r="K30" s="4">
        <f ca="1">+J30+Budget!K30</f>
        <v>0</v>
      </c>
      <c r="L30" s="4">
        <f ca="1">+K30+Budget!L30</f>
        <v>0</v>
      </c>
      <c r="M30" s="4">
        <f ca="1">+L30+Budget!M30</f>
        <v>0</v>
      </c>
      <c r="N30" s="4">
        <f ca="1">+M30+Budget!N30</f>
        <v>0</v>
      </c>
      <c r="O30" s="4">
        <f ca="1">+N30+Budget!O30</f>
        <v>0</v>
      </c>
      <c r="P30" s="4">
        <f ca="1">+O30+Budget!P30</f>
        <v>0</v>
      </c>
      <c r="Q30" s="33"/>
      <c r="R30" s="26"/>
      <c r="S30" s="11"/>
    </row>
    <row r="31" spans="1:19" ht="15.75" thickBot="1">
      <c r="A31" s="11"/>
      <c r="B31" s="7">
        <v>14</v>
      </c>
      <c r="C31" s="9" t="str">
        <f ca="1">+Introduction!F24</f>
        <v>Expense 14</v>
      </c>
      <c r="D31" s="51"/>
      <c r="E31" s="4">
        <f ca="1">+D31+Budget!E31</f>
        <v>0</v>
      </c>
      <c r="F31" s="4">
        <f ca="1">+E31+Budget!F31</f>
        <v>0</v>
      </c>
      <c r="G31" s="4">
        <f ca="1">+F31+Budget!G31</f>
        <v>0</v>
      </c>
      <c r="H31" s="4">
        <f ca="1">+G31+Budget!H31</f>
        <v>0</v>
      </c>
      <c r="I31" s="4">
        <f ca="1">+H31+Budget!I31</f>
        <v>0</v>
      </c>
      <c r="J31" s="4">
        <f ca="1">+I31+Budget!J31</f>
        <v>0</v>
      </c>
      <c r="K31" s="4">
        <f ca="1">+J31+Budget!K31</f>
        <v>0</v>
      </c>
      <c r="L31" s="4">
        <f ca="1">+K31+Budget!L31</f>
        <v>0</v>
      </c>
      <c r="M31" s="4">
        <f ca="1">+L31+Budget!M31</f>
        <v>0</v>
      </c>
      <c r="N31" s="4">
        <f ca="1">+M31+Budget!N31</f>
        <v>0</v>
      </c>
      <c r="O31" s="4">
        <f ca="1">+N31+Budget!O31</f>
        <v>0</v>
      </c>
      <c r="P31" s="4">
        <f ca="1">+O31+Budget!P31</f>
        <v>0</v>
      </c>
      <c r="Q31" s="33"/>
      <c r="R31" s="26"/>
      <c r="S31" s="11"/>
    </row>
    <row r="32" spans="1:19" ht="15.75" thickBot="1">
      <c r="A32" s="11"/>
      <c r="B32" s="7">
        <v>15</v>
      </c>
      <c r="C32" s="9" t="str">
        <f ca="1">+Introduction!F25</f>
        <v>Expense 15</v>
      </c>
      <c r="D32" s="51"/>
      <c r="E32" s="4">
        <f ca="1">+D32+Budget!E32</f>
        <v>0</v>
      </c>
      <c r="F32" s="4">
        <f ca="1">+E32+Budget!F32</f>
        <v>0</v>
      </c>
      <c r="G32" s="4">
        <f ca="1">+F32+Budget!G32</f>
        <v>0</v>
      </c>
      <c r="H32" s="4">
        <f ca="1">+G32+Budget!H32</f>
        <v>0</v>
      </c>
      <c r="I32" s="4">
        <f ca="1">+H32+Budget!I32</f>
        <v>0</v>
      </c>
      <c r="J32" s="4">
        <f ca="1">+I32+Budget!J32</f>
        <v>0</v>
      </c>
      <c r="K32" s="4">
        <f ca="1">+J32+Budget!K32</f>
        <v>0</v>
      </c>
      <c r="L32" s="4">
        <f ca="1">+K32+Budget!L32</f>
        <v>0</v>
      </c>
      <c r="M32" s="4">
        <f ca="1">+L32+Budget!M32</f>
        <v>0</v>
      </c>
      <c r="N32" s="4">
        <f ca="1">+M32+Budget!N32</f>
        <v>0</v>
      </c>
      <c r="O32" s="4">
        <f ca="1">+N32+Budget!O32</f>
        <v>0</v>
      </c>
      <c r="P32" s="4">
        <f ca="1">+O32+Budget!P32</f>
        <v>0</v>
      </c>
      <c r="Q32" s="33"/>
      <c r="R32" s="26"/>
      <c r="S32" s="11"/>
    </row>
    <row r="33" spans="1:19" ht="15.75" thickBot="1">
      <c r="A33" s="11"/>
      <c r="B33" s="7">
        <v>16</v>
      </c>
      <c r="C33" s="9" t="str">
        <f ca="1">+Introduction!F26</f>
        <v>Expense 16</v>
      </c>
      <c r="D33" s="51"/>
      <c r="E33" s="4">
        <f ca="1">+D33+Budget!E33</f>
        <v>0</v>
      </c>
      <c r="F33" s="4">
        <f ca="1">+E33+Budget!F33</f>
        <v>0</v>
      </c>
      <c r="G33" s="4">
        <f ca="1">+F33+Budget!G33</f>
        <v>0</v>
      </c>
      <c r="H33" s="4">
        <f ca="1">+G33+Budget!H33</f>
        <v>0</v>
      </c>
      <c r="I33" s="4">
        <f ca="1">+H33+Budget!I33</f>
        <v>0</v>
      </c>
      <c r="J33" s="4">
        <f ca="1">+I33+Budget!J33</f>
        <v>0</v>
      </c>
      <c r="K33" s="4">
        <f ca="1">+J33+Budget!K33</f>
        <v>0</v>
      </c>
      <c r="L33" s="4">
        <f ca="1">+K33+Budget!L33</f>
        <v>0</v>
      </c>
      <c r="M33" s="4">
        <f ca="1">+L33+Budget!M33</f>
        <v>0</v>
      </c>
      <c r="N33" s="4">
        <f ca="1">+M33+Budget!N33</f>
        <v>0</v>
      </c>
      <c r="O33" s="4">
        <f ca="1">+N33+Budget!O33</f>
        <v>0</v>
      </c>
      <c r="P33" s="4">
        <f ca="1">+O33+Budget!P33</f>
        <v>0</v>
      </c>
      <c r="Q33" s="33"/>
      <c r="R33" s="26"/>
      <c r="S33" s="11"/>
    </row>
    <row r="34" spans="1:19" ht="15.75" thickBot="1">
      <c r="A34" s="11"/>
      <c r="B34" s="7">
        <v>17</v>
      </c>
      <c r="C34" s="9" t="str">
        <f ca="1">+Introduction!F27</f>
        <v>Expense 17</v>
      </c>
      <c r="D34" s="51"/>
      <c r="E34" s="4">
        <f ca="1">+D34+Budget!E34</f>
        <v>0</v>
      </c>
      <c r="F34" s="4">
        <f ca="1">+E34+Budget!F34</f>
        <v>0</v>
      </c>
      <c r="G34" s="4">
        <f ca="1">+F34+Budget!G34</f>
        <v>0</v>
      </c>
      <c r="H34" s="4">
        <f ca="1">+G34+Budget!H34</f>
        <v>0</v>
      </c>
      <c r="I34" s="4">
        <f ca="1">+H34+Budget!I34</f>
        <v>0</v>
      </c>
      <c r="J34" s="4">
        <f ca="1">+I34+Budget!J34</f>
        <v>0</v>
      </c>
      <c r="K34" s="4">
        <f ca="1">+J34+Budget!K34</f>
        <v>0</v>
      </c>
      <c r="L34" s="4">
        <f ca="1">+K34+Budget!L34</f>
        <v>0</v>
      </c>
      <c r="M34" s="4">
        <f ca="1">+L34+Budget!M34</f>
        <v>0</v>
      </c>
      <c r="N34" s="4">
        <f ca="1">+M34+Budget!N34</f>
        <v>0</v>
      </c>
      <c r="O34" s="4">
        <f ca="1">+N34+Budget!O34</f>
        <v>0</v>
      </c>
      <c r="P34" s="4">
        <f ca="1">+O34+Budget!P34</f>
        <v>0</v>
      </c>
      <c r="Q34" s="33"/>
      <c r="R34" s="26"/>
      <c r="S34" s="11"/>
    </row>
    <row r="35" spans="1:19" ht="15.75" thickBot="1">
      <c r="A35" s="11"/>
      <c r="B35" s="7">
        <v>18</v>
      </c>
      <c r="C35" s="9" t="str">
        <f ca="1">+Introduction!F28</f>
        <v>Expense 18</v>
      </c>
      <c r="D35" s="51"/>
      <c r="E35" s="4">
        <f ca="1">+D35+Budget!E35</f>
        <v>0</v>
      </c>
      <c r="F35" s="4">
        <f ca="1">+E35+Budget!F35</f>
        <v>0</v>
      </c>
      <c r="G35" s="4">
        <f ca="1">+F35+Budget!G35</f>
        <v>0</v>
      </c>
      <c r="H35" s="4">
        <f ca="1">+G35+Budget!H35</f>
        <v>0</v>
      </c>
      <c r="I35" s="4">
        <f ca="1">+H35+Budget!I35</f>
        <v>0</v>
      </c>
      <c r="J35" s="4">
        <f ca="1">+I35+Budget!J35</f>
        <v>0</v>
      </c>
      <c r="K35" s="4">
        <f ca="1">+J35+Budget!K35</f>
        <v>0</v>
      </c>
      <c r="L35" s="4">
        <f ca="1">+K35+Budget!L35</f>
        <v>0</v>
      </c>
      <c r="M35" s="4">
        <f ca="1">+L35+Budget!M35</f>
        <v>0</v>
      </c>
      <c r="N35" s="4">
        <f ca="1">+M35+Budget!N35</f>
        <v>0</v>
      </c>
      <c r="O35" s="4">
        <f ca="1">+N35+Budget!O35</f>
        <v>0</v>
      </c>
      <c r="P35" s="4">
        <f ca="1">+O35+Budget!P35</f>
        <v>0</v>
      </c>
      <c r="Q35" s="33"/>
      <c r="R35" s="26"/>
      <c r="S35" s="11"/>
    </row>
    <row r="36" spans="1:19" ht="15.75" thickBot="1">
      <c r="A36" s="11"/>
      <c r="B36" s="7">
        <v>19</v>
      </c>
      <c r="C36" s="9" t="str">
        <f ca="1">+Introduction!F29</f>
        <v>Expense 19</v>
      </c>
      <c r="D36" s="51"/>
      <c r="E36" s="4">
        <f ca="1">+D36+Budget!E36</f>
        <v>0</v>
      </c>
      <c r="F36" s="4">
        <f ca="1">+E36+Budget!F36</f>
        <v>0</v>
      </c>
      <c r="G36" s="4">
        <f ca="1">+F36+Budget!G36</f>
        <v>0</v>
      </c>
      <c r="H36" s="4">
        <f ca="1">+G36+Budget!H36</f>
        <v>0</v>
      </c>
      <c r="I36" s="4">
        <f ca="1">+H36+Budget!I36</f>
        <v>0</v>
      </c>
      <c r="J36" s="4">
        <f ca="1">+I36+Budget!J36</f>
        <v>0</v>
      </c>
      <c r="K36" s="4">
        <f ca="1">+J36+Budget!K36</f>
        <v>0</v>
      </c>
      <c r="L36" s="4">
        <f ca="1">+K36+Budget!L36</f>
        <v>0</v>
      </c>
      <c r="M36" s="4">
        <f ca="1">+L36+Budget!M36</f>
        <v>0</v>
      </c>
      <c r="N36" s="4">
        <f ca="1">+M36+Budget!N36</f>
        <v>0</v>
      </c>
      <c r="O36" s="4">
        <f ca="1">+N36+Budget!O36</f>
        <v>0</v>
      </c>
      <c r="P36" s="4">
        <f ca="1">+O36+Budget!P36</f>
        <v>0</v>
      </c>
      <c r="Q36" s="33"/>
      <c r="R36" s="26"/>
      <c r="S36" s="11"/>
    </row>
    <row r="37" spans="1:19" ht="15.75" thickBot="1">
      <c r="A37" s="11"/>
      <c r="B37" s="7">
        <v>20</v>
      </c>
      <c r="C37" s="9" t="str">
        <f ca="1">+Introduction!F30</f>
        <v>IRA Contribution</v>
      </c>
      <c r="D37" s="51"/>
      <c r="E37" s="4">
        <f ca="1">+D37+Budget!E37</f>
        <v>0</v>
      </c>
      <c r="F37" s="4">
        <f ca="1">+E37+Budget!F37</f>
        <v>0</v>
      </c>
      <c r="G37" s="4">
        <f ca="1">+F37+Budget!G37</f>
        <v>0</v>
      </c>
      <c r="H37" s="4">
        <f ca="1">+G37+Budget!H37</f>
        <v>0</v>
      </c>
      <c r="I37" s="4">
        <f ca="1">+H37+Budget!I37</f>
        <v>0</v>
      </c>
      <c r="J37" s="4">
        <f ca="1">+I37+Budget!J37</f>
        <v>0</v>
      </c>
      <c r="K37" s="4">
        <f ca="1">+J37+Budget!K37</f>
        <v>0</v>
      </c>
      <c r="L37" s="4">
        <f ca="1">+K37+Budget!L37</f>
        <v>0</v>
      </c>
      <c r="M37" s="4">
        <f ca="1">+L37+Budget!M37</f>
        <v>0</v>
      </c>
      <c r="N37" s="4">
        <f ca="1">+M37+Budget!N37</f>
        <v>0</v>
      </c>
      <c r="O37" s="4">
        <f ca="1">+N37+Budget!O37</f>
        <v>0</v>
      </c>
      <c r="P37" s="4">
        <f ca="1">+O37+Budget!P37</f>
        <v>0</v>
      </c>
      <c r="Q37" s="33"/>
      <c r="R37" s="26"/>
      <c r="S37" s="11"/>
    </row>
    <row r="38" spans="1:19">
      <c r="A38" s="11"/>
      <c r="B38" s="41" t="s">
        <v>24</v>
      </c>
      <c r="C38" s="42"/>
      <c r="D38" s="52"/>
      <c r="E38" s="26">
        <f>SUM(E18:E37)</f>
        <v>0</v>
      </c>
      <c r="F38" s="26">
        <f t="shared" ref="F38:P38" si="5">SUM(F18:F37)</f>
        <v>0</v>
      </c>
      <c r="G38" s="26">
        <f t="shared" si="5"/>
        <v>0</v>
      </c>
      <c r="H38" s="26">
        <f t="shared" si="5"/>
        <v>0</v>
      </c>
      <c r="I38" s="26">
        <f t="shared" si="5"/>
        <v>0</v>
      </c>
      <c r="J38" s="26">
        <f t="shared" si="5"/>
        <v>0</v>
      </c>
      <c r="K38" s="26">
        <f t="shared" si="5"/>
        <v>0</v>
      </c>
      <c r="L38" s="26">
        <f t="shared" si="5"/>
        <v>0</v>
      </c>
      <c r="M38" s="26">
        <f t="shared" si="5"/>
        <v>0</v>
      </c>
      <c r="N38" s="26">
        <f t="shared" si="5"/>
        <v>0</v>
      </c>
      <c r="O38" s="26">
        <f t="shared" si="5"/>
        <v>0</v>
      </c>
      <c r="P38" s="26">
        <f t="shared" si="5"/>
        <v>0</v>
      </c>
      <c r="Q38" s="34"/>
      <c r="R38" s="26"/>
      <c r="S38" s="11"/>
    </row>
    <row r="39" spans="1:19" ht="15.75" thickBot="1">
      <c r="A39" s="11"/>
      <c r="B39" s="12"/>
      <c r="C39" s="11"/>
      <c r="D39" s="11"/>
      <c r="E39" s="13"/>
      <c r="F39" s="13"/>
      <c r="G39" s="13"/>
      <c r="H39" s="13"/>
      <c r="I39" s="13"/>
      <c r="J39" s="13"/>
      <c r="K39" s="13"/>
      <c r="L39" s="13"/>
      <c r="M39" s="13"/>
      <c r="N39" s="13"/>
      <c r="O39" s="13"/>
      <c r="P39" s="13"/>
      <c r="Q39" s="13"/>
      <c r="R39" s="13"/>
      <c r="S39" s="11"/>
    </row>
    <row r="40" spans="1:19" ht="15.75" thickBot="1">
      <c r="A40" s="11"/>
      <c r="B40" s="30" t="s">
        <v>25</v>
      </c>
      <c r="C40" s="31"/>
      <c r="D40" s="53"/>
      <c r="E40" s="26">
        <f>+E14-E38</f>
        <v>0</v>
      </c>
      <c r="F40" s="26">
        <f t="shared" ref="F40:P40" si="6">+F14-F38</f>
        <v>0</v>
      </c>
      <c r="G40" s="26">
        <f t="shared" si="6"/>
        <v>0</v>
      </c>
      <c r="H40" s="26">
        <f t="shared" si="6"/>
        <v>0</v>
      </c>
      <c r="I40" s="26">
        <f t="shared" si="6"/>
        <v>0</v>
      </c>
      <c r="J40" s="26">
        <f t="shared" si="6"/>
        <v>0</v>
      </c>
      <c r="K40" s="26">
        <f t="shared" si="6"/>
        <v>0</v>
      </c>
      <c r="L40" s="26">
        <f t="shared" si="6"/>
        <v>0</v>
      </c>
      <c r="M40" s="26">
        <f t="shared" si="6"/>
        <v>0</v>
      </c>
      <c r="N40" s="26">
        <f t="shared" si="6"/>
        <v>0</v>
      </c>
      <c r="O40" s="26">
        <f t="shared" si="6"/>
        <v>0</v>
      </c>
      <c r="P40" s="26">
        <f t="shared" si="6"/>
        <v>0</v>
      </c>
      <c r="Q40" s="26"/>
      <c r="R40" s="26"/>
      <c r="S40" s="11"/>
    </row>
    <row r="41" spans="1:19" ht="15.75" thickBot="1">
      <c r="A41" s="11"/>
      <c r="B41" s="12"/>
      <c r="C41" s="11"/>
      <c r="D41" s="11"/>
      <c r="E41" s="13"/>
      <c r="F41" s="13"/>
      <c r="G41" s="13"/>
      <c r="H41" s="13"/>
      <c r="I41" s="13"/>
      <c r="J41" s="13"/>
      <c r="K41" s="13"/>
      <c r="L41" s="13"/>
      <c r="M41" s="13"/>
      <c r="N41" s="13"/>
      <c r="O41" s="13"/>
      <c r="P41" s="13"/>
      <c r="Q41" s="13"/>
      <c r="R41" s="13"/>
      <c r="S41" s="11"/>
    </row>
    <row r="42" spans="1:19" ht="15.75" thickBot="1">
      <c r="A42" s="11"/>
      <c r="B42" s="7">
        <v>1</v>
      </c>
      <c r="C42" s="31" t="s">
        <v>27</v>
      </c>
      <c r="D42" s="31"/>
      <c r="E42" s="10">
        <f ca="1">+Budget!E42</f>
        <v>0</v>
      </c>
      <c r="F42" s="10">
        <f>+E42</f>
        <v>0</v>
      </c>
      <c r="G42" s="10">
        <f t="shared" ref="G42:P42" si="7">+F42</f>
        <v>0</v>
      </c>
      <c r="H42" s="10">
        <f t="shared" si="7"/>
        <v>0</v>
      </c>
      <c r="I42" s="10">
        <f t="shared" si="7"/>
        <v>0</v>
      </c>
      <c r="J42" s="10">
        <f t="shared" si="7"/>
        <v>0</v>
      </c>
      <c r="K42" s="10">
        <f t="shared" si="7"/>
        <v>0</v>
      </c>
      <c r="L42" s="10">
        <f t="shared" si="7"/>
        <v>0</v>
      </c>
      <c r="M42" s="10">
        <f t="shared" si="7"/>
        <v>0</v>
      </c>
      <c r="N42" s="10">
        <f t="shared" si="7"/>
        <v>0</v>
      </c>
      <c r="O42" s="10">
        <f t="shared" si="7"/>
        <v>0</v>
      </c>
      <c r="P42" s="10">
        <f t="shared" si="7"/>
        <v>0</v>
      </c>
      <c r="Q42" s="6"/>
      <c r="R42" s="10"/>
      <c r="S42" s="11"/>
    </row>
    <row r="43" spans="1:19" ht="15.75" thickBot="1">
      <c r="A43" s="11"/>
      <c r="B43" s="7">
        <v>2</v>
      </c>
      <c r="C43" s="31" t="s">
        <v>26</v>
      </c>
      <c r="D43" s="31"/>
      <c r="E43" s="14">
        <f>+E40</f>
        <v>0</v>
      </c>
      <c r="F43" s="14">
        <f t="shared" ref="F43:P43" si="8">+F40</f>
        <v>0</v>
      </c>
      <c r="G43" s="14">
        <f t="shared" si="8"/>
        <v>0</v>
      </c>
      <c r="H43" s="14">
        <f t="shared" si="8"/>
        <v>0</v>
      </c>
      <c r="I43" s="14">
        <f t="shared" si="8"/>
        <v>0</v>
      </c>
      <c r="J43" s="14">
        <f t="shared" si="8"/>
        <v>0</v>
      </c>
      <c r="K43" s="14">
        <f t="shared" si="8"/>
        <v>0</v>
      </c>
      <c r="L43" s="14">
        <f t="shared" si="8"/>
        <v>0</v>
      </c>
      <c r="M43" s="14">
        <f t="shared" si="8"/>
        <v>0</v>
      </c>
      <c r="N43" s="14">
        <f t="shared" si="8"/>
        <v>0</v>
      </c>
      <c r="O43" s="14">
        <f t="shared" si="8"/>
        <v>0</v>
      </c>
      <c r="P43" s="14">
        <f t="shared" si="8"/>
        <v>0</v>
      </c>
      <c r="Q43" s="19"/>
      <c r="R43" s="26"/>
      <c r="S43" s="11"/>
    </row>
    <row r="44" spans="1:19" ht="15.75" thickBot="1">
      <c r="A44" s="11"/>
      <c r="B44" s="7">
        <v>3</v>
      </c>
      <c r="C44" s="31" t="s">
        <v>28</v>
      </c>
      <c r="D44" s="31"/>
      <c r="E44" s="10">
        <f>+E42+E43</f>
        <v>0</v>
      </c>
      <c r="F44" s="10">
        <f t="shared" ref="F44:P44" si="9">+F42+F43</f>
        <v>0</v>
      </c>
      <c r="G44" s="10">
        <f t="shared" si="9"/>
        <v>0</v>
      </c>
      <c r="H44" s="10">
        <f t="shared" si="9"/>
        <v>0</v>
      </c>
      <c r="I44" s="10">
        <f t="shared" si="9"/>
        <v>0</v>
      </c>
      <c r="J44" s="10">
        <f t="shared" si="9"/>
        <v>0</v>
      </c>
      <c r="K44" s="10">
        <f t="shared" si="9"/>
        <v>0</v>
      </c>
      <c r="L44" s="10">
        <f t="shared" si="9"/>
        <v>0</v>
      </c>
      <c r="M44" s="10">
        <f t="shared" si="9"/>
        <v>0</v>
      </c>
      <c r="N44" s="10">
        <f t="shared" si="9"/>
        <v>0</v>
      </c>
      <c r="O44" s="10">
        <f t="shared" si="9"/>
        <v>0</v>
      </c>
      <c r="P44" s="10">
        <f t="shared" si="9"/>
        <v>0</v>
      </c>
      <c r="Q44" s="10"/>
      <c r="R44" s="10"/>
      <c r="S44" s="11"/>
    </row>
    <row r="45" spans="1:19" ht="15.75" thickBot="1">
      <c r="A45" s="11"/>
      <c r="B45" s="11"/>
      <c r="C45" s="11"/>
      <c r="D45" s="11"/>
      <c r="E45" s="11"/>
      <c r="F45" s="11"/>
      <c r="G45" s="11"/>
      <c r="H45" s="11"/>
      <c r="I45" s="11"/>
      <c r="J45" s="11"/>
      <c r="K45" s="11"/>
      <c r="L45" s="11"/>
      <c r="M45" s="11"/>
      <c r="N45" s="11"/>
      <c r="O45" s="11"/>
      <c r="P45" s="11"/>
      <c r="Q45" s="11"/>
      <c r="R45" s="11"/>
      <c r="S45" s="11"/>
    </row>
    <row r="46" spans="1:19" ht="15.75" thickBot="1">
      <c r="A46" s="11"/>
      <c r="B46" s="7">
        <v>1</v>
      </c>
      <c r="C46" s="9" t="s">
        <v>30</v>
      </c>
      <c r="D46" s="9"/>
      <c r="E46" s="10">
        <f ca="1">+Budget!E46</f>
        <v>0</v>
      </c>
      <c r="F46" s="10">
        <f ca="1">+Budget!F46</f>
        <v>0</v>
      </c>
      <c r="G46" s="10">
        <f ca="1">+Budget!G46</f>
        <v>0</v>
      </c>
      <c r="H46" s="10">
        <f ca="1">+Budget!H46</f>
        <v>0</v>
      </c>
      <c r="I46" s="10">
        <f ca="1">+Budget!I46</f>
        <v>0</v>
      </c>
      <c r="J46" s="10">
        <f ca="1">+Budget!J46</f>
        <v>0</v>
      </c>
      <c r="K46" s="10">
        <f ca="1">+Budget!K46</f>
        <v>0</v>
      </c>
      <c r="L46" s="10">
        <f ca="1">+Budget!L46</f>
        <v>0</v>
      </c>
      <c r="M46" s="10">
        <f ca="1">+Budget!M46</f>
        <v>0</v>
      </c>
      <c r="N46" s="10">
        <f ca="1">+Budget!N46</f>
        <v>0</v>
      </c>
      <c r="O46" s="10">
        <f ca="1">+Budget!O46</f>
        <v>0</v>
      </c>
      <c r="P46" s="10">
        <f ca="1">+Budget!P46</f>
        <v>0</v>
      </c>
      <c r="Q46" s="10"/>
      <c r="R46" s="10"/>
      <c r="S46" s="11"/>
    </row>
    <row r="47" spans="1:19">
      <c r="A47" s="11"/>
      <c r="B47" s="11"/>
      <c r="C47" s="11"/>
      <c r="D47" s="11"/>
      <c r="E47" s="11"/>
      <c r="F47" s="11"/>
      <c r="G47" s="11"/>
      <c r="H47" s="11"/>
      <c r="I47" s="11"/>
      <c r="J47" s="11"/>
      <c r="K47" s="11"/>
      <c r="L47" s="11"/>
      <c r="M47" s="11"/>
      <c r="N47" s="11"/>
      <c r="O47" s="11"/>
      <c r="P47" s="11"/>
      <c r="Q47" s="11"/>
      <c r="R47" s="11"/>
      <c r="S47" s="11"/>
    </row>
    <row r="48" spans="1:19">
      <c r="E48" s="2"/>
      <c r="F48" s="2"/>
      <c r="G48" s="2"/>
      <c r="H48" s="2"/>
      <c r="I48" s="2"/>
      <c r="J48" s="2"/>
      <c r="K48" s="2"/>
      <c r="L48" s="2"/>
      <c r="M48" s="2"/>
      <c r="N48" s="2"/>
      <c r="O48" s="2"/>
      <c r="P48" s="2"/>
      <c r="Q48" s="2"/>
      <c r="R48" s="2"/>
    </row>
    <row r="49" spans="5:18">
      <c r="E49" s="2"/>
      <c r="F49" s="2"/>
      <c r="G49" s="2"/>
      <c r="H49" s="2"/>
      <c r="I49" s="2"/>
      <c r="J49" s="2"/>
      <c r="K49" s="2"/>
      <c r="L49" s="2"/>
      <c r="M49" s="2"/>
      <c r="N49" s="2"/>
      <c r="O49" s="2"/>
      <c r="P49" s="2"/>
      <c r="Q49" s="2"/>
      <c r="R49" s="2"/>
    </row>
    <row r="50" spans="5:18">
      <c r="E50" s="2"/>
      <c r="F50" s="2"/>
      <c r="G50" s="2"/>
      <c r="H50" s="2"/>
      <c r="I50" s="2"/>
      <c r="J50" s="2"/>
      <c r="K50" s="2"/>
      <c r="L50" s="2"/>
      <c r="M50" s="2"/>
      <c r="N50" s="2"/>
      <c r="O50" s="2"/>
      <c r="P50" s="2"/>
      <c r="Q50" s="2"/>
      <c r="R50" s="2"/>
    </row>
    <row r="51" spans="5:18">
      <c r="R51" s="2"/>
    </row>
    <row r="52" spans="5:18">
      <c r="R52" s="2"/>
    </row>
    <row r="53" spans="5:18">
      <c r="R53" s="2"/>
    </row>
    <row r="54" spans="5:18">
      <c r="R54" s="2"/>
    </row>
    <row r="55" spans="5:18">
      <c r="R55" s="2"/>
    </row>
    <row r="56" spans="5:18">
      <c r="R56" s="2"/>
    </row>
    <row r="57" spans="5:18">
      <c r="R57" s="2"/>
    </row>
    <row r="58" spans="5:18">
      <c r="R58" s="2"/>
    </row>
    <row r="59" spans="5:18">
      <c r="R59" s="2"/>
    </row>
    <row r="60" spans="5:18">
      <c r="R60" s="2"/>
    </row>
    <row r="61" spans="5:18">
      <c r="R61" s="2"/>
    </row>
    <row r="62" spans="5:18">
      <c r="R62" s="2"/>
    </row>
    <row r="63" spans="5:18">
      <c r="R63" s="2"/>
    </row>
    <row r="64" spans="5:18">
      <c r="R64" s="2"/>
    </row>
    <row r="65" spans="18:18">
      <c r="R65" s="2"/>
    </row>
    <row r="66" spans="18:18">
      <c r="R66" s="2"/>
    </row>
    <row r="67" spans="18:18">
      <c r="R67" s="2"/>
    </row>
    <row r="68" spans="18:18">
      <c r="R68" s="2"/>
    </row>
    <row r="69" spans="18:18">
      <c r="R69" s="2"/>
    </row>
    <row r="70" spans="18:18">
      <c r="R70" s="2"/>
    </row>
    <row r="71" spans="18:18">
      <c r="R71" s="2"/>
    </row>
    <row r="72" spans="18:18">
      <c r="R72" s="2"/>
    </row>
    <row r="73" spans="18:18">
      <c r="R73" s="2"/>
    </row>
    <row r="74" spans="18:18">
      <c r="R74" s="2"/>
    </row>
    <row r="75" spans="18:18">
      <c r="R75" s="2"/>
    </row>
    <row r="76" spans="18:18">
      <c r="R76" s="2"/>
    </row>
    <row r="77" spans="18:18">
      <c r="R77" s="2"/>
    </row>
    <row r="78" spans="18:18">
      <c r="R78" s="2"/>
    </row>
    <row r="79" spans="18:18">
      <c r="R79" s="2"/>
    </row>
    <row r="80" spans="18:18">
      <c r="R80" s="2"/>
    </row>
    <row r="81" spans="18:18">
      <c r="R81" s="2"/>
    </row>
    <row r="82" spans="18:18">
      <c r="R82" s="2"/>
    </row>
    <row r="83" spans="18:18">
      <c r="R83" s="2"/>
    </row>
    <row r="84" spans="18:18">
      <c r="R84" s="2"/>
    </row>
    <row r="85" spans="18:18">
      <c r="R85" s="2"/>
    </row>
    <row r="86" spans="18:18">
      <c r="R86" s="2"/>
    </row>
    <row r="87" spans="18:18">
      <c r="R87" s="2"/>
    </row>
    <row r="88" spans="18:18">
      <c r="R88" s="2"/>
    </row>
    <row r="89" spans="18:18">
      <c r="R89" s="2"/>
    </row>
    <row r="90" spans="18:18">
      <c r="R90" s="2"/>
    </row>
    <row r="91" spans="18:18">
      <c r="R91" s="2"/>
    </row>
    <row r="92" spans="18:18">
      <c r="R92" s="2"/>
    </row>
    <row r="93" spans="18:18">
      <c r="R93" s="2"/>
    </row>
    <row r="94" spans="18:18">
      <c r="R94" s="2"/>
    </row>
    <row r="95" spans="18:18">
      <c r="R95" s="2"/>
    </row>
    <row r="96" spans="18:18">
      <c r="R96" s="2"/>
    </row>
    <row r="97" spans="18:18">
      <c r="R97" s="2"/>
    </row>
    <row r="98" spans="18:18">
      <c r="R98" s="2"/>
    </row>
    <row r="99" spans="18:18">
      <c r="R99" s="2"/>
    </row>
    <row r="100" spans="18:18">
      <c r="R100" s="2"/>
    </row>
    <row r="101" spans="18:18">
      <c r="R101" s="2"/>
    </row>
    <row r="102" spans="18:18">
      <c r="R102" s="2"/>
    </row>
    <row r="103" spans="18:18">
      <c r="R103" s="2"/>
    </row>
    <row r="104" spans="18:18">
      <c r="R104" s="2"/>
    </row>
    <row r="105" spans="18:18">
      <c r="R105" s="2"/>
    </row>
    <row r="106" spans="18:18">
      <c r="R106" s="2"/>
    </row>
    <row r="107" spans="18:18">
      <c r="R107" s="2"/>
    </row>
    <row r="108" spans="18:18">
      <c r="R108" s="2"/>
    </row>
    <row r="109" spans="18:18">
      <c r="R109" s="2"/>
    </row>
    <row r="110" spans="18:18">
      <c r="R110" s="2"/>
    </row>
    <row r="111" spans="18:18">
      <c r="R111" s="2"/>
    </row>
    <row r="112" spans="18:18">
      <c r="R112" s="2"/>
    </row>
    <row r="113" spans="18:18">
      <c r="R113" s="2"/>
    </row>
    <row r="114" spans="18:18">
      <c r="R114" s="2"/>
    </row>
    <row r="115" spans="18:18">
      <c r="R115" s="2"/>
    </row>
    <row r="116" spans="18:18">
      <c r="R116" s="2"/>
    </row>
    <row r="117" spans="18:18">
      <c r="R117" s="2"/>
    </row>
  </sheetData>
  <sheetProtection password="CF0F" sheet="1" objects="1" scenarios="1" selectLockedCells="1"/>
  <mergeCells count="2">
    <mergeCell ref="B2:R2"/>
    <mergeCell ref="B5:C5"/>
  </mergeCells>
  <phoneticPr fontId="21" type="noConversion"/>
  <conditionalFormatting sqref="E43:Q43">
    <cfRule type="cellIs" dxfId="1" priority="2" operator="greaterThan">
      <formula>0</formula>
    </cfRule>
    <cfRule type="colorScale" priority="1">
      <colorScale>
        <cfvo type="formula" val="&quot;&lt;0&quot;"/>
        <cfvo type="formula" val="&quot;&gt;=0&quot;"/>
        <color rgb="FFFF0000"/>
        <color theme="6" tint="-0.499984740745262"/>
      </colorScale>
    </cfRule>
    <cfRule type="colorScale" priority="3">
      <colorScale>
        <cfvo type="min" val="0"/>
        <cfvo type="max" val="0"/>
        <color rgb="FFF8696B"/>
        <color rgb="FF63BE7B"/>
      </colorScale>
    </cfRule>
  </conditionalFormatting>
  <pageMargins left="0.2" right="0.2" top="0.75" bottom="0.75" header="0.3" footer="0.3"/>
  <pageSetup scale="73" orientation="landscape" r:id="rId1"/>
</worksheet>
</file>

<file path=xl/worksheets/sheet9.xml><?xml version="1.0" encoding="utf-8"?>
<worksheet xmlns="http://schemas.openxmlformats.org/spreadsheetml/2006/main" xmlns:r="http://schemas.openxmlformats.org/officeDocument/2006/relationships">
  <sheetPr codeName="Sheet7">
    <pageSetUpPr fitToPage="1"/>
  </sheetPr>
  <dimension ref="A1:S117"/>
  <sheetViews>
    <sheetView showGridLines="0" zoomScale="85" zoomScaleNormal="85" workbookViewId="0">
      <pane xSplit="3" ySplit="5" topLeftCell="D6" activePane="bottomRight" state="frozen"/>
      <selection activeCell="G32" sqref="G32"/>
      <selection pane="topRight" activeCell="G32" sqref="G32"/>
      <selection pane="bottomLeft" activeCell="G32" sqref="G32"/>
      <selection pane="bottomRight" activeCell="P19" sqref="P19"/>
    </sheetView>
  </sheetViews>
  <sheetFormatPr defaultRowHeight="15"/>
  <cols>
    <col min="1" max="1" width="3.42578125" customWidth="1"/>
    <col min="2" max="2" width="4.28515625" style="1" customWidth="1"/>
    <col min="3" max="3" width="29.42578125" customWidth="1"/>
    <col min="4" max="4" width="10" customWidth="1"/>
    <col min="5" max="5" width="12.42578125" customWidth="1"/>
    <col min="6" max="12" width="11.5703125" bestFit="1" customWidth="1"/>
    <col min="13" max="15" width="12.28515625" bestFit="1" customWidth="1"/>
    <col min="16" max="16" width="12.28515625" customWidth="1"/>
    <col min="17" max="17" width="11.5703125" hidden="1" customWidth="1"/>
    <col min="18" max="18" width="13.42578125" hidden="1" customWidth="1"/>
    <col min="19" max="19" width="2.140625" customWidth="1"/>
  </cols>
  <sheetData>
    <row r="1" spans="1:19" ht="13.5" customHeight="1" thickBot="1">
      <c r="A1" s="11"/>
      <c r="B1" s="12"/>
      <c r="C1" s="11"/>
      <c r="D1" s="11"/>
      <c r="E1" s="11"/>
      <c r="F1" s="11"/>
      <c r="G1" s="11"/>
      <c r="H1" s="11"/>
      <c r="I1" s="11"/>
      <c r="J1" s="11"/>
      <c r="K1" s="11"/>
      <c r="L1" s="11"/>
      <c r="M1" s="11"/>
      <c r="N1" s="11"/>
      <c r="O1" s="11"/>
      <c r="P1" s="11"/>
      <c r="Q1" s="11"/>
      <c r="R1" s="11"/>
      <c r="S1" s="11"/>
    </row>
    <row r="2" spans="1:19" ht="19.5" customHeight="1" thickBot="1">
      <c r="A2" s="11"/>
      <c r="B2" s="168" t="str">
        <f ca="1">CONCATENATE(Introduction!C4:C4,"'s"," Personal Actual ",Introduction!C5," Year-To-Date by Month")</f>
        <v>'s Personal Actual 2012 Year-To-Date by Month</v>
      </c>
      <c r="C2" s="169"/>
      <c r="D2" s="169"/>
      <c r="E2" s="169"/>
      <c r="F2" s="169"/>
      <c r="G2" s="169"/>
      <c r="H2" s="169"/>
      <c r="I2" s="169"/>
      <c r="J2" s="169"/>
      <c r="K2" s="169"/>
      <c r="L2" s="169"/>
      <c r="M2" s="169"/>
      <c r="N2" s="169"/>
      <c r="O2" s="169"/>
      <c r="P2" s="169"/>
      <c r="Q2" s="169"/>
      <c r="R2" s="170"/>
      <c r="S2" s="11"/>
    </row>
    <row r="3" spans="1:19" ht="15.75" customHeight="1" thickBot="1">
      <c r="A3" s="11"/>
      <c r="B3" s="40" t="s">
        <v>41</v>
      </c>
      <c r="C3" s="39"/>
      <c r="D3" s="49"/>
      <c r="E3" s="43">
        <v>31</v>
      </c>
      <c r="F3" s="43">
        <f ca="1">IF(MOD(Introduction!C5,4)=0,29,28)</f>
        <v>29</v>
      </c>
      <c r="G3" s="43">
        <v>31</v>
      </c>
      <c r="H3" s="43">
        <v>30</v>
      </c>
      <c r="I3" s="43">
        <v>31</v>
      </c>
      <c r="J3" s="43">
        <v>30</v>
      </c>
      <c r="K3" s="43">
        <v>31</v>
      </c>
      <c r="L3" s="43">
        <v>31</v>
      </c>
      <c r="M3" s="43">
        <v>30</v>
      </c>
      <c r="N3" s="43">
        <v>31</v>
      </c>
      <c r="O3" s="43">
        <v>30</v>
      </c>
      <c r="P3" s="43">
        <v>31</v>
      </c>
      <c r="Q3" s="27"/>
      <c r="R3" s="27"/>
      <c r="S3" s="11"/>
    </row>
    <row r="4" spans="1:19" ht="15.75" customHeight="1" thickBot="1">
      <c r="A4" s="11"/>
      <c r="B4" s="40" t="s">
        <v>42</v>
      </c>
      <c r="C4" s="39"/>
      <c r="D4" s="49"/>
      <c r="E4" s="26" t="str">
        <f ca="1">CONCATENATE(MONTH(E5)," ",YEAR(E5))</f>
        <v>1 2012</v>
      </c>
      <c r="F4" s="26" t="str">
        <f t="shared" ref="F4:P4" si="0">CONCATENATE(MONTH(F5)," ",YEAR(F5))</f>
        <v>2 2012</v>
      </c>
      <c r="G4" s="26" t="str">
        <f t="shared" si="0"/>
        <v>3 2012</v>
      </c>
      <c r="H4" s="26" t="str">
        <f t="shared" si="0"/>
        <v>4 2012</v>
      </c>
      <c r="I4" s="26" t="str">
        <f t="shared" si="0"/>
        <v>5 2012</v>
      </c>
      <c r="J4" s="26" t="str">
        <f t="shared" si="0"/>
        <v>6 2012</v>
      </c>
      <c r="K4" s="26" t="str">
        <f t="shared" si="0"/>
        <v>7 2012</v>
      </c>
      <c r="L4" s="26" t="str">
        <f t="shared" si="0"/>
        <v>8 2012</v>
      </c>
      <c r="M4" s="26" t="str">
        <f t="shared" si="0"/>
        <v>9 2012</v>
      </c>
      <c r="N4" s="26" t="str">
        <f t="shared" si="0"/>
        <v>10 2012</v>
      </c>
      <c r="O4" s="26" t="str">
        <f t="shared" si="0"/>
        <v>11 2012</v>
      </c>
      <c r="P4" s="26" t="str">
        <f t="shared" si="0"/>
        <v>12 2012</v>
      </c>
      <c r="Q4" s="26"/>
      <c r="R4" s="26"/>
      <c r="S4" s="11"/>
    </row>
    <row r="5" spans="1:19" ht="15.75" customHeight="1" thickBot="1">
      <c r="A5" s="11"/>
      <c r="B5" s="166" t="s">
        <v>29</v>
      </c>
      <c r="C5" s="167"/>
      <c r="D5" s="50"/>
      <c r="E5" s="35">
        <f ca="1">+Introduction!C6+0</f>
        <v>40909</v>
      </c>
      <c r="F5" s="36">
        <f ca="1">+E5+E3</f>
        <v>40940</v>
      </c>
      <c r="G5" s="36">
        <f t="shared" ref="G5:P5" si="1">+F5+F3</f>
        <v>40969</v>
      </c>
      <c r="H5" s="36">
        <f t="shared" si="1"/>
        <v>41000</v>
      </c>
      <c r="I5" s="36">
        <f t="shared" si="1"/>
        <v>41030</v>
      </c>
      <c r="J5" s="36">
        <f t="shared" si="1"/>
        <v>41061</v>
      </c>
      <c r="K5" s="36">
        <f t="shared" si="1"/>
        <v>41091</v>
      </c>
      <c r="L5" s="36">
        <f t="shared" si="1"/>
        <v>41122</v>
      </c>
      <c r="M5" s="36">
        <f t="shared" si="1"/>
        <v>41153</v>
      </c>
      <c r="N5" s="36">
        <f t="shared" si="1"/>
        <v>41183</v>
      </c>
      <c r="O5" s="36">
        <f t="shared" si="1"/>
        <v>41214</v>
      </c>
      <c r="P5" s="36">
        <f t="shared" si="1"/>
        <v>41244</v>
      </c>
      <c r="Q5" s="37">
        <f>+P5+P3</f>
        <v>41275</v>
      </c>
      <c r="R5" s="38" t="s">
        <v>12</v>
      </c>
      <c r="S5" s="11"/>
    </row>
    <row r="6" spans="1:19" ht="15.75" thickBot="1">
      <c r="A6" s="11"/>
      <c r="B6" s="7">
        <v>1</v>
      </c>
      <c r="C6" s="9" t="str">
        <f ca="1">+Introduction!C11</f>
        <v>Income  1</v>
      </c>
      <c r="D6" s="51"/>
      <c r="E6" s="4">
        <f ca="1">+D6+Actual!E6</f>
        <v>0</v>
      </c>
      <c r="F6" s="4">
        <f ca="1">+E6+Actual!F6</f>
        <v>0</v>
      </c>
      <c r="G6" s="4">
        <f ca="1">+F6+Actual!G6</f>
        <v>0</v>
      </c>
      <c r="H6" s="4">
        <f ca="1">+G6+Actual!H6</f>
        <v>0</v>
      </c>
      <c r="I6" s="4">
        <f ca="1">+H6+Actual!I6</f>
        <v>0</v>
      </c>
      <c r="J6" s="4">
        <f ca="1">+I6+Actual!J6</f>
        <v>0</v>
      </c>
      <c r="K6" s="4">
        <f ca="1">+J6+Actual!K6</f>
        <v>0</v>
      </c>
      <c r="L6" s="4">
        <f ca="1">+K6+Actual!L6</f>
        <v>0</v>
      </c>
      <c r="M6" s="4">
        <f ca="1">+L6+Actual!M6</f>
        <v>0</v>
      </c>
      <c r="N6" s="4">
        <f ca="1">+M6+Actual!N6</f>
        <v>0</v>
      </c>
      <c r="O6" s="4">
        <f ca="1">+N6+Actual!O6</f>
        <v>0</v>
      </c>
      <c r="P6" s="4">
        <f ca="1">+O6+Actual!P6</f>
        <v>0</v>
      </c>
      <c r="Q6" s="5"/>
      <c r="R6" s="10"/>
      <c r="S6" s="11"/>
    </row>
    <row r="7" spans="1:19" ht="15.75" thickBot="1">
      <c r="A7" s="11"/>
      <c r="B7" s="7">
        <v>2</v>
      </c>
      <c r="C7" s="9" t="str">
        <f ca="1">+Introduction!C12</f>
        <v>Income 2</v>
      </c>
      <c r="D7" s="51"/>
      <c r="E7" s="4">
        <f ca="1">+D7+Actual!E7</f>
        <v>0</v>
      </c>
      <c r="F7" s="4">
        <f ca="1">+E7+Actual!F7</f>
        <v>0</v>
      </c>
      <c r="G7" s="4">
        <f ca="1">+F7+Actual!G7</f>
        <v>0</v>
      </c>
      <c r="H7" s="4">
        <f ca="1">+G7+Actual!H7</f>
        <v>0</v>
      </c>
      <c r="I7" s="4">
        <f ca="1">+H7+Actual!I7</f>
        <v>0</v>
      </c>
      <c r="J7" s="4">
        <f ca="1">+I7+Actual!J7</f>
        <v>0</v>
      </c>
      <c r="K7" s="4">
        <f ca="1">+J7+Actual!K7</f>
        <v>0</v>
      </c>
      <c r="L7" s="4">
        <f ca="1">+K7+Actual!L7</f>
        <v>0</v>
      </c>
      <c r="M7" s="4">
        <f ca="1">+L7+Actual!M7</f>
        <v>0</v>
      </c>
      <c r="N7" s="4">
        <f ca="1">+M7+Actual!N7</f>
        <v>0</v>
      </c>
      <c r="O7" s="4">
        <f ca="1">+N7+Actual!O7</f>
        <v>0</v>
      </c>
      <c r="P7" s="4">
        <f ca="1">+O7+Actual!P7</f>
        <v>0</v>
      </c>
      <c r="Q7" s="3"/>
      <c r="R7" s="10"/>
      <c r="S7" s="11"/>
    </row>
    <row r="8" spans="1:19" ht="15.75" thickBot="1">
      <c r="A8" s="11"/>
      <c r="B8" s="7">
        <v>3</v>
      </c>
      <c r="C8" s="9" t="str">
        <f ca="1">+Introduction!C13</f>
        <v>Income 3</v>
      </c>
      <c r="D8" s="51"/>
      <c r="E8" s="4">
        <f ca="1">+D8+Actual!E8</f>
        <v>0</v>
      </c>
      <c r="F8" s="4">
        <f ca="1">+E8+Actual!F8</f>
        <v>0</v>
      </c>
      <c r="G8" s="4">
        <f ca="1">+F8+Actual!G8</f>
        <v>0</v>
      </c>
      <c r="H8" s="4">
        <f ca="1">+G8+Actual!H8</f>
        <v>0</v>
      </c>
      <c r="I8" s="4">
        <f ca="1">+H8+Actual!I8</f>
        <v>0</v>
      </c>
      <c r="J8" s="4">
        <f ca="1">+I8+Actual!J8</f>
        <v>0</v>
      </c>
      <c r="K8" s="4">
        <f ca="1">+J8+Actual!K8</f>
        <v>0</v>
      </c>
      <c r="L8" s="4">
        <f ca="1">+K8+Actual!L8</f>
        <v>0</v>
      </c>
      <c r="M8" s="4">
        <f ca="1">+L8+Actual!M8</f>
        <v>0</v>
      </c>
      <c r="N8" s="4">
        <f ca="1">+M8+Actual!N8</f>
        <v>0</v>
      </c>
      <c r="O8" s="4">
        <f ca="1">+N8+Actual!O8</f>
        <v>0</v>
      </c>
      <c r="P8" s="4">
        <f ca="1">+O8+Actual!P8</f>
        <v>0</v>
      </c>
      <c r="Q8" s="3"/>
      <c r="R8" s="10"/>
      <c r="S8" s="11"/>
    </row>
    <row r="9" spans="1:19" ht="15.75" thickBot="1">
      <c r="A9" s="11"/>
      <c r="B9" s="7">
        <v>4</v>
      </c>
      <c r="C9" s="9" t="str">
        <f ca="1">+Introduction!C14</f>
        <v>Income 4</v>
      </c>
      <c r="D9" s="51"/>
      <c r="E9" s="4">
        <f ca="1">+D9+Actual!E9</f>
        <v>0</v>
      </c>
      <c r="F9" s="4">
        <f ca="1">+E9+Actual!F9</f>
        <v>0</v>
      </c>
      <c r="G9" s="4">
        <f ca="1">+F9+Actual!G9</f>
        <v>0</v>
      </c>
      <c r="H9" s="4">
        <f ca="1">+G9+Actual!H9</f>
        <v>0</v>
      </c>
      <c r="I9" s="4">
        <f ca="1">+H9+Actual!I9</f>
        <v>0</v>
      </c>
      <c r="J9" s="4">
        <f ca="1">+I9+Actual!J9</f>
        <v>0</v>
      </c>
      <c r="K9" s="4">
        <f ca="1">+J9+Actual!K9</f>
        <v>0</v>
      </c>
      <c r="L9" s="4">
        <f ca="1">+K9+Actual!L9</f>
        <v>0</v>
      </c>
      <c r="M9" s="4">
        <f ca="1">+L9+Actual!M9</f>
        <v>0</v>
      </c>
      <c r="N9" s="4">
        <f ca="1">+M9+Actual!N9</f>
        <v>0</v>
      </c>
      <c r="O9" s="4">
        <f ca="1">+N9+Actual!O9</f>
        <v>0</v>
      </c>
      <c r="P9" s="4">
        <f ca="1">+O9+Actual!P9</f>
        <v>0</v>
      </c>
      <c r="Q9" s="3"/>
      <c r="R9" s="10"/>
      <c r="S9" s="11"/>
    </row>
    <row r="10" spans="1:19" ht="15.75" thickBot="1">
      <c r="A10" s="11"/>
      <c r="B10" s="7">
        <v>5</v>
      </c>
      <c r="C10" s="9" t="str">
        <f ca="1">+Introduction!C15</f>
        <v>Income 5</v>
      </c>
      <c r="D10" s="51"/>
      <c r="E10" s="4">
        <f ca="1">+D10+Actual!E10</f>
        <v>0</v>
      </c>
      <c r="F10" s="4">
        <f ca="1">+E10+Actual!F10</f>
        <v>0</v>
      </c>
      <c r="G10" s="4">
        <f ca="1">+F10+Actual!G10</f>
        <v>0</v>
      </c>
      <c r="H10" s="4">
        <f ca="1">+G10+Actual!H10</f>
        <v>0</v>
      </c>
      <c r="I10" s="4">
        <f ca="1">+H10+Actual!I10</f>
        <v>0</v>
      </c>
      <c r="J10" s="4">
        <f ca="1">+I10+Actual!J10</f>
        <v>0</v>
      </c>
      <c r="K10" s="4">
        <f ca="1">+J10+Actual!K10</f>
        <v>0</v>
      </c>
      <c r="L10" s="4">
        <f ca="1">+K10+Actual!L10</f>
        <v>0</v>
      </c>
      <c r="M10" s="4">
        <f ca="1">+L10+Actual!M10</f>
        <v>0</v>
      </c>
      <c r="N10" s="4">
        <f ca="1">+M10+Actual!N10</f>
        <v>0</v>
      </c>
      <c r="O10" s="4">
        <f ca="1">+N10+Actual!O10</f>
        <v>0</v>
      </c>
      <c r="P10" s="4">
        <f ca="1">+O10+Actual!P10</f>
        <v>0</v>
      </c>
      <c r="Q10" s="3"/>
      <c r="R10" s="10"/>
      <c r="S10" s="11"/>
    </row>
    <row r="11" spans="1:19" ht="15.75" thickBot="1">
      <c r="A11" s="11"/>
      <c r="B11" s="7">
        <v>6</v>
      </c>
      <c r="C11" s="9" t="str">
        <f ca="1">+Introduction!C16</f>
        <v>Income 6</v>
      </c>
      <c r="D11" s="51"/>
      <c r="E11" s="4">
        <f ca="1">+D11+Actual!E11</f>
        <v>0</v>
      </c>
      <c r="F11" s="4">
        <f ca="1">+E11+Actual!F11</f>
        <v>0</v>
      </c>
      <c r="G11" s="4">
        <f ca="1">+F11+Actual!G11</f>
        <v>0</v>
      </c>
      <c r="H11" s="4">
        <f ca="1">+G11+Actual!H11</f>
        <v>0</v>
      </c>
      <c r="I11" s="4">
        <f ca="1">+H11+Actual!I11</f>
        <v>0</v>
      </c>
      <c r="J11" s="4">
        <f ca="1">+I11+Actual!J11</f>
        <v>0</v>
      </c>
      <c r="K11" s="4">
        <f ca="1">+J11+Actual!K11</f>
        <v>0</v>
      </c>
      <c r="L11" s="4">
        <f ca="1">+K11+Actual!L11</f>
        <v>0</v>
      </c>
      <c r="M11" s="4">
        <f ca="1">+L11+Actual!M11</f>
        <v>0</v>
      </c>
      <c r="N11" s="4">
        <f ca="1">+M11+Actual!N11</f>
        <v>0</v>
      </c>
      <c r="O11" s="4">
        <f ca="1">+N11+Actual!O11</f>
        <v>0</v>
      </c>
      <c r="P11" s="4">
        <f ca="1">+O11+Actual!P11</f>
        <v>0</v>
      </c>
      <c r="Q11" s="3"/>
      <c r="R11" s="10"/>
      <c r="S11" s="11"/>
    </row>
    <row r="12" spans="1:19" ht="15.75" thickBot="1">
      <c r="A12" s="11"/>
      <c r="B12" s="7">
        <v>7</v>
      </c>
      <c r="C12" s="9" t="str">
        <f ca="1">+Introduction!C17</f>
        <v>Income 7</v>
      </c>
      <c r="D12" s="51"/>
      <c r="E12" s="4">
        <f ca="1">+D12+Actual!E12</f>
        <v>0</v>
      </c>
      <c r="F12" s="4">
        <f ca="1">+E12+Actual!F12</f>
        <v>0</v>
      </c>
      <c r="G12" s="4">
        <f ca="1">+F12+Actual!G12</f>
        <v>0</v>
      </c>
      <c r="H12" s="4">
        <f ca="1">+G12+Actual!H12</f>
        <v>0</v>
      </c>
      <c r="I12" s="4">
        <f ca="1">+H12+Actual!I12</f>
        <v>0</v>
      </c>
      <c r="J12" s="4">
        <f ca="1">+I12+Actual!J12</f>
        <v>0</v>
      </c>
      <c r="K12" s="4">
        <f ca="1">+J12+Actual!K12</f>
        <v>0</v>
      </c>
      <c r="L12" s="4">
        <f ca="1">+K12+Actual!L12</f>
        <v>0</v>
      </c>
      <c r="M12" s="4">
        <f ca="1">+L12+Actual!M12</f>
        <v>0</v>
      </c>
      <c r="N12" s="4">
        <f ca="1">+M12+Actual!N12</f>
        <v>0</v>
      </c>
      <c r="O12" s="4">
        <f ca="1">+N12+Actual!O12</f>
        <v>0</v>
      </c>
      <c r="P12" s="4">
        <f ca="1">+O12+Actual!P12</f>
        <v>0</v>
      </c>
      <c r="Q12" s="3"/>
      <c r="R12" s="10"/>
      <c r="S12" s="11"/>
    </row>
    <row r="13" spans="1:19" ht="15.75" thickBot="1">
      <c r="A13" s="11"/>
      <c r="B13" s="7">
        <v>8</v>
      </c>
      <c r="C13" s="9" t="str">
        <f ca="1">+Introduction!C18</f>
        <v>Income 8</v>
      </c>
      <c r="D13" s="51"/>
      <c r="E13" s="4">
        <f ca="1">+D13+Actual!E13</f>
        <v>0</v>
      </c>
      <c r="F13" s="4">
        <f ca="1">+E13+Actual!F13</f>
        <v>0</v>
      </c>
      <c r="G13" s="4">
        <f ca="1">+F13+Actual!G13</f>
        <v>0</v>
      </c>
      <c r="H13" s="4">
        <f ca="1">+G13+Actual!H13</f>
        <v>0</v>
      </c>
      <c r="I13" s="4">
        <f ca="1">+H13+Actual!I13</f>
        <v>0</v>
      </c>
      <c r="J13" s="4">
        <f ca="1">+I13+Actual!J13</f>
        <v>0</v>
      </c>
      <c r="K13" s="4">
        <f ca="1">+J13+Actual!K13</f>
        <v>0</v>
      </c>
      <c r="L13" s="4">
        <f ca="1">+K13+Actual!L13</f>
        <v>0</v>
      </c>
      <c r="M13" s="4">
        <f ca="1">+L13+Actual!M13</f>
        <v>0</v>
      </c>
      <c r="N13" s="4">
        <f ca="1">+M13+Actual!N13</f>
        <v>0</v>
      </c>
      <c r="O13" s="4">
        <f ca="1">+N13+Actual!O13</f>
        <v>0</v>
      </c>
      <c r="P13" s="4">
        <f ca="1">+O13+Actual!P13</f>
        <v>0</v>
      </c>
      <c r="Q13" s="3"/>
      <c r="R13" s="10"/>
      <c r="S13" s="11"/>
    </row>
    <row r="14" spans="1:19" ht="15.75" thickBot="1">
      <c r="A14" s="11"/>
      <c r="B14" s="7"/>
      <c r="C14" s="9" t="s">
        <v>22</v>
      </c>
      <c r="D14" s="9"/>
      <c r="E14" s="10">
        <f>SUM(E6:E13)</f>
        <v>0</v>
      </c>
      <c r="F14" s="10">
        <f>SUM(F6:F13)</f>
        <v>0</v>
      </c>
      <c r="G14" s="10">
        <f>SUM(G6:G13)</f>
        <v>0</v>
      </c>
      <c r="H14" s="10">
        <f t="shared" ref="H14:P14" si="2">SUM(H6:H13)</f>
        <v>0</v>
      </c>
      <c r="I14" s="10">
        <f t="shared" si="2"/>
        <v>0</v>
      </c>
      <c r="J14" s="10">
        <f t="shared" si="2"/>
        <v>0</v>
      </c>
      <c r="K14" s="10">
        <f t="shared" si="2"/>
        <v>0</v>
      </c>
      <c r="L14" s="10">
        <f t="shared" si="2"/>
        <v>0</v>
      </c>
      <c r="M14" s="10">
        <f t="shared" si="2"/>
        <v>0</v>
      </c>
      <c r="N14" s="10">
        <f t="shared" si="2"/>
        <v>0</v>
      </c>
      <c r="O14" s="10">
        <f t="shared" si="2"/>
        <v>0</v>
      </c>
      <c r="P14" s="10">
        <f t="shared" si="2"/>
        <v>0</v>
      </c>
      <c r="Q14" s="10"/>
      <c r="R14" s="10"/>
      <c r="S14" s="11"/>
    </row>
    <row r="15" spans="1:19" ht="13.5" customHeight="1" thickBot="1">
      <c r="A15" s="11"/>
      <c r="B15" s="12"/>
      <c r="C15" s="11"/>
      <c r="D15" s="11"/>
      <c r="E15" s="13"/>
      <c r="F15" s="13"/>
      <c r="G15" s="13"/>
      <c r="H15" s="13"/>
      <c r="I15" s="13"/>
      <c r="J15" s="13"/>
      <c r="K15" s="13"/>
      <c r="L15" s="13"/>
      <c r="M15" s="13"/>
      <c r="N15" s="13"/>
      <c r="O15" s="13"/>
      <c r="P15" s="13"/>
      <c r="Q15" s="13"/>
      <c r="R15" s="13"/>
      <c r="S15" s="11"/>
    </row>
    <row r="16" spans="1:19" ht="30.75" hidden="1" thickBot="1">
      <c r="A16" s="11"/>
      <c r="B16" s="8"/>
      <c r="C16" s="20" t="s">
        <v>45</v>
      </c>
      <c r="D16" s="20"/>
      <c r="E16" s="21" t="str">
        <f>CONCATENATE(MONTH(E17)," ",YEAR(E17), " Expense")</f>
        <v>1 2012 Expense</v>
      </c>
      <c r="F16" s="22" t="str">
        <f t="shared" ref="F16:P16" si="3">CONCATENATE(MONTH(F17)," ",YEAR(F17), " Expense")</f>
        <v>2 2012 Expense</v>
      </c>
      <c r="G16" s="22" t="str">
        <f t="shared" si="3"/>
        <v>3 2012 Expense</v>
      </c>
      <c r="H16" s="22" t="str">
        <f t="shared" si="3"/>
        <v>4 2012 Expense</v>
      </c>
      <c r="I16" s="22" t="str">
        <f t="shared" si="3"/>
        <v>5 2012 Expense</v>
      </c>
      <c r="J16" s="22" t="str">
        <f t="shared" si="3"/>
        <v>6 2012 Expense</v>
      </c>
      <c r="K16" s="22" t="str">
        <f t="shared" si="3"/>
        <v>7 2012 Expense</v>
      </c>
      <c r="L16" s="22" t="str">
        <f t="shared" si="3"/>
        <v>8 2012 Expense</v>
      </c>
      <c r="M16" s="22" t="str">
        <f t="shared" si="3"/>
        <v>9 2012 Expense</v>
      </c>
      <c r="N16" s="22" t="str">
        <f t="shared" si="3"/>
        <v>10 2012 Expense</v>
      </c>
      <c r="O16" s="22" t="str">
        <f t="shared" si="3"/>
        <v>11 2012 Expense</v>
      </c>
      <c r="P16" s="23" t="str">
        <f t="shared" si="3"/>
        <v>12 2012 Expense</v>
      </c>
      <c r="Q16" s="18"/>
      <c r="R16" s="18"/>
      <c r="S16" s="11"/>
    </row>
    <row r="17" spans="1:19" ht="15.75" thickBot="1">
      <c r="A17" s="11"/>
      <c r="B17" s="7"/>
      <c r="C17" s="28" t="s">
        <v>23</v>
      </c>
      <c r="D17" s="51"/>
      <c r="E17" s="29">
        <f>+E5</f>
        <v>40909</v>
      </c>
      <c r="F17" s="29">
        <f t="shared" ref="F17:P17" si="4">+F5</f>
        <v>40940</v>
      </c>
      <c r="G17" s="29">
        <f t="shared" si="4"/>
        <v>40969</v>
      </c>
      <c r="H17" s="29">
        <f t="shared" si="4"/>
        <v>41000</v>
      </c>
      <c r="I17" s="29">
        <f t="shared" si="4"/>
        <v>41030</v>
      </c>
      <c r="J17" s="29">
        <f t="shared" si="4"/>
        <v>41061</v>
      </c>
      <c r="K17" s="29">
        <f t="shared" si="4"/>
        <v>41091</v>
      </c>
      <c r="L17" s="29">
        <f t="shared" si="4"/>
        <v>41122</v>
      </c>
      <c r="M17" s="29">
        <f t="shared" si="4"/>
        <v>41153</v>
      </c>
      <c r="N17" s="29">
        <f t="shared" si="4"/>
        <v>41183</v>
      </c>
      <c r="O17" s="29">
        <f t="shared" si="4"/>
        <v>41214</v>
      </c>
      <c r="P17" s="29">
        <f t="shared" si="4"/>
        <v>41244</v>
      </c>
      <c r="Q17" s="18"/>
      <c r="R17" s="32" t="s">
        <v>12</v>
      </c>
      <c r="S17" s="11"/>
    </row>
    <row r="18" spans="1:19" ht="15.75" thickBot="1">
      <c r="A18" s="11"/>
      <c r="B18" s="7">
        <v>1</v>
      </c>
      <c r="C18" s="9" t="str">
        <f ca="1">+Introduction!F11</f>
        <v>Expense 1</v>
      </c>
      <c r="D18" s="51"/>
      <c r="E18" s="4">
        <f ca="1">+D18+Actual!E18</f>
        <v>0</v>
      </c>
      <c r="F18" s="4">
        <f ca="1">+E18+Actual!F18</f>
        <v>0</v>
      </c>
      <c r="G18" s="4">
        <f ca="1">+F18+Actual!G18</f>
        <v>0</v>
      </c>
      <c r="H18" s="4">
        <f ca="1">+G18+Actual!H18</f>
        <v>0</v>
      </c>
      <c r="I18" s="4">
        <f ca="1">+H18+Actual!I18</f>
        <v>0</v>
      </c>
      <c r="J18" s="4">
        <f ca="1">+I18+Actual!J18</f>
        <v>0</v>
      </c>
      <c r="K18" s="4">
        <f ca="1">+J18+Actual!K18</f>
        <v>0</v>
      </c>
      <c r="L18" s="4">
        <f ca="1">+K18+Actual!L18</f>
        <v>0</v>
      </c>
      <c r="M18" s="4">
        <f ca="1">+L18+Actual!M18</f>
        <v>0</v>
      </c>
      <c r="N18" s="4">
        <f ca="1">+M18+Actual!N18</f>
        <v>0</v>
      </c>
      <c r="O18" s="4">
        <f ca="1">+N18+Actual!O18</f>
        <v>0</v>
      </c>
      <c r="P18" s="4">
        <f ca="1">+O18+Actual!P18</f>
        <v>0</v>
      </c>
      <c r="Q18" s="33"/>
      <c r="R18" s="26"/>
      <c r="S18" s="11"/>
    </row>
    <row r="19" spans="1:19" ht="15.75" thickBot="1">
      <c r="A19" s="11"/>
      <c r="B19" s="7">
        <v>2</v>
      </c>
      <c r="C19" s="9" t="str">
        <f ca="1">+Introduction!F12</f>
        <v>Expense 2</v>
      </c>
      <c r="D19" s="51"/>
      <c r="E19" s="4">
        <f ca="1">+D19+Actual!E19</f>
        <v>0</v>
      </c>
      <c r="F19" s="4">
        <f ca="1">+E19+Actual!F19</f>
        <v>0</v>
      </c>
      <c r="G19" s="4">
        <f ca="1">+F19+Actual!G19</f>
        <v>0</v>
      </c>
      <c r="H19" s="4">
        <f ca="1">+G19+Actual!H19</f>
        <v>0</v>
      </c>
      <c r="I19" s="4">
        <f ca="1">+H19+Actual!I19</f>
        <v>0</v>
      </c>
      <c r="J19" s="4">
        <f ca="1">+I19+Actual!J19</f>
        <v>0</v>
      </c>
      <c r="K19" s="4">
        <f ca="1">+J19+Actual!K19</f>
        <v>0</v>
      </c>
      <c r="L19" s="4">
        <f ca="1">+K19+Actual!L19</f>
        <v>0</v>
      </c>
      <c r="M19" s="4">
        <f ca="1">+L19+Actual!M19</f>
        <v>0</v>
      </c>
      <c r="N19" s="4">
        <f ca="1">+M19+Actual!N19</f>
        <v>0</v>
      </c>
      <c r="O19" s="4">
        <f ca="1">+N19+Actual!O19</f>
        <v>0</v>
      </c>
      <c r="P19" s="4">
        <f ca="1">+O19+Actual!P19</f>
        <v>0</v>
      </c>
      <c r="Q19" s="33"/>
      <c r="R19" s="26"/>
      <c r="S19" s="11"/>
    </row>
    <row r="20" spans="1:19" ht="15.75" thickBot="1">
      <c r="A20" s="11"/>
      <c r="B20" s="7">
        <v>3</v>
      </c>
      <c r="C20" s="9" t="str">
        <f ca="1">+Introduction!F13</f>
        <v>Expense 3</v>
      </c>
      <c r="D20" s="51"/>
      <c r="E20" s="4">
        <f ca="1">+D20+Actual!E20</f>
        <v>0</v>
      </c>
      <c r="F20" s="4">
        <f ca="1">+E20+Actual!F20</f>
        <v>0</v>
      </c>
      <c r="G20" s="4">
        <f ca="1">+F20+Actual!G20</f>
        <v>0</v>
      </c>
      <c r="H20" s="4">
        <f ca="1">+G20+Actual!H20</f>
        <v>0</v>
      </c>
      <c r="I20" s="4">
        <f ca="1">+H20+Actual!I20</f>
        <v>0</v>
      </c>
      <c r="J20" s="4">
        <f ca="1">+I20+Actual!J20</f>
        <v>0</v>
      </c>
      <c r="K20" s="4">
        <f ca="1">+J20+Actual!K20</f>
        <v>0</v>
      </c>
      <c r="L20" s="4">
        <f ca="1">+K20+Actual!L20</f>
        <v>0</v>
      </c>
      <c r="M20" s="4">
        <f ca="1">+L20+Actual!M20</f>
        <v>0</v>
      </c>
      <c r="N20" s="4">
        <f ca="1">+M20+Actual!N20</f>
        <v>0</v>
      </c>
      <c r="O20" s="4">
        <f ca="1">+N20+Actual!O20</f>
        <v>0</v>
      </c>
      <c r="P20" s="4">
        <f ca="1">+O20+Actual!P20</f>
        <v>0</v>
      </c>
      <c r="Q20" s="33"/>
      <c r="R20" s="26"/>
      <c r="S20" s="11"/>
    </row>
    <row r="21" spans="1:19" ht="15.75" thickBot="1">
      <c r="A21" s="11"/>
      <c r="B21" s="7">
        <v>4</v>
      </c>
      <c r="C21" s="9" t="str">
        <f ca="1">+Introduction!F14</f>
        <v>Expense 4</v>
      </c>
      <c r="D21" s="51"/>
      <c r="E21" s="4">
        <f ca="1">+D21+Actual!E21</f>
        <v>0</v>
      </c>
      <c r="F21" s="4">
        <f ca="1">+E21+Actual!F21</f>
        <v>0</v>
      </c>
      <c r="G21" s="4">
        <f ca="1">+F21+Actual!G21</f>
        <v>0</v>
      </c>
      <c r="H21" s="4">
        <f ca="1">+G21+Actual!H21</f>
        <v>0</v>
      </c>
      <c r="I21" s="4">
        <f ca="1">+H21+Actual!I21</f>
        <v>0</v>
      </c>
      <c r="J21" s="4">
        <f ca="1">+I21+Actual!J21</f>
        <v>0</v>
      </c>
      <c r="K21" s="4">
        <f ca="1">+J21+Actual!K21</f>
        <v>0</v>
      </c>
      <c r="L21" s="4">
        <f ca="1">+K21+Actual!L21</f>
        <v>0</v>
      </c>
      <c r="M21" s="4">
        <f ca="1">+L21+Actual!M21</f>
        <v>0</v>
      </c>
      <c r="N21" s="4">
        <f ca="1">+M21+Actual!N21</f>
        <v>0</v>
      </c>
      <c r="O21" s="4">
        <f ca="1">+N21+Actual!O21</f>
        <v>0</v>
      </c>
      <c r="P21" s="4">
        <f ca="1">+O21+Actual!P21</f>
        <v>0</v>
      </c>
      <c r="Q21" s="33"/>
      <c r="R21" s="26"/>
      <c r="S21" s="11"/>
    </row>
    <row r="22" spans="1:19" ht="15.75" thickBot="1">
      <c r="A22" s="11"/>
      <c r="B22" s="7">
        <v>5</v>
      </c>
      <c r="C22" s="9" t="str">
        <f ca="1">+Introduction!F15</f>
        <v>Expense 5</v>
      </c>
      <c r="D22" s="51"/>
      <c r="E22" s="4">
        <f ca="1">+D22+Actual!E22</f>
        <v>0</v>
      </c>
      <c r="F22" s="4">
        <f ca="1">+E22+Actual!F22</f>
        <v>0</v>
      </c>
      <c r="G22" s="4">
        <f ca="1">+F22+Actual!G22</f>
        <v>0</v>
      </c>
      <c r="H22" s="4">
        <f ca="1">+G22+Actual!H22</f>
        <v>0</v>
      </c>
      <c r="I22" s="4">
        <f ca="1">+H22+Actual!I22</f>
        <v>0</v>
      </c>
      <c r="J22" s="4">
        <f ca="1">+I22+Actual!J22</f>
        <v>0</v>
      </c>
      <c r="K22" s="4">
        <f ca="1">+J22+Actual!K22</f>
        <v>0</v>
      </c>
      <c r="L22" s="4">
        <f ca="1">+K22+Actual!L22</f>
        <v>0</v>
      </c>
      <c r="M22" s="4">
        <f ca="1">+L22+Actual!M22</f>
        <v>0</v>
      </c>
      <c r="N22" s="4">
        <f ca="1">+M22+Actual!N22</f>
        <v>0</v>
      </c>
      <c r="O22" s="4">
        <f ca="1">+N22+Actual!O22</f>
        <v>0</v>
      </c>
      <c r="P22" s="4">
        <f ca="1">+O22+Actual!P22</f>
        <v>0</v>
      </c>
      <c r="Q22" s="33"/>
      <c r="R22" s="26"/>
      <c r="S22" s="11"/>
    </row>
    <row r="23" spans="1:19" ht="15.75" thickBot="1">
      <c r="A23" s="11"/>
      <c r="B23" s="7">
        <v>6</v>
      </c>
      <c r="C23" s="9" t="str">
        <f ca="1">+Introduction!F16</f>
        <v>Expense 6</v>
      </c>
      <c r="D23" s="51"/>
      <c r="E23" s="4">
        <f ca="1">+D23+Actual!E23</f>
        <v>0</v>
      </c>
      <c r="F23" s="4">
        <f ca="1">+E23+Actual!F23</f>
        <v>0</v>
      </c>
      <c r="G23" s="4">
        <f ca="1">+F23+Actual!G23</f>
        <v>0</v>
      </c>
      <c r="H23" s="4">
        <f ca="1">+G23+Actual!H23</f>
        <v>0</v>
      </c>
      <c r="I23" s="4">
        <f ca="1">+H23+Actual!I23</f>
        <v>0</v>
      </c>
      <c r="J23" s="4">
        <f ca="1">+I23+Actual!J23</f>
        <v>0</v>
      </c>
      <c r="K23" s="4">
        <f ca="1">+J23+Actual!K23</f>
        <v>0</v>
      </c>
      <c r="L23" s="4">
        <f ca="1">+K23+Actual!L23</f>
        <v>0</v>
      </c>
      <c r="M23" s="4">
        <f ca="1">+L23+Actual!M23</f>
        <v>0</v>
      </c>
      <c r="N23" s="4">
        <f ca="1">+M23+Actual!N23</f>
        <v>0</v>
      </c>
      <c r="O23" s="4">
        <f ca="1">+N23+Actual!O23</f>
        <v>0</v>
      </c>
      <c r="P23" s="4">
        <f ca="1">+O23+Actual!P23</f>
        <v>0</v>
      </c>
      <c r="Q23" s="33"/>
      <c r="R23" s="26"/>
      <c r="S23" s="11"/>
    </row>
    <row r="24" spans="1:19" ht="15.75" thickBot="1">
      <c r="A24" s="11"/>
      <c r="B24" s="7">
        <v>7</v>
      </c>
      <c r="C24" s="9" t="str">
        <f ca="1">+Introduction!F17</f>
        <v>Expense 7</v>
      </c>
      <c r="D24" s="51"/>
      <c r="E24" s="4">
        <f ca="1">+D24+Actual!E24</f>
        <v>0</v>
      </c>
      <c r="F24" s="4">
        <f ca="1">+E24+Actual!F24</f>
        <v>0</v>
      </c>
      <c r="G24" s="4">
        <f ca="1">+F24+Actual!G24</f>
        <v>0</v>
      </c>
      <c r="H24" s="4">
        <f ca="1">+G24+Actual!H24</f>
        <v>0</v>
      </c>
      <c r="I24" s="4">
        <f ca="1">+H24+Actual!I24</f>
        <v>0</v>
      </c>
      <c r="J24" s="4">
        <f ca="1">+I24+Actual!J24</f>
        <v>0</v>
      </c>
      <c r="K24" s="4">
        <f ca="1">+J24+Actual!K24</f>
        <v>0</v>
      </c>
      <c r="L24" s="4">
        <f ca="1">+K24+Actual!L24</f>
        <v>0</v>
      </c>
      <c r="M24" s="4">
        <f ca="1">+L24+Actual!M24</f>
        <v>0</v>
      </c>
      <c r="N24" s="4">
        <f ca="1">+M24+Actual!N24</f>
        <v>0</v>
      </c>
      <c r="O24" s="4">
        <f ca="1">+N24+Actual!O24</f>
        <v>0</v>
      </c>
      <c r="P24" s="4">
        <f ca="1">+O24+Actual!P24</f>
        <v>0</v>
      </c>
      <c r="Q24" s="33"/>
      <c r="R24" s="26"/>
      <c r="S24" s="11"/>
    </row>
    <row r="25" spans="1:19" ht="15.75" thickBot="1">
      <c r="A25" s="11"/>
      <c r="B25" s="7">
        <v>8</v>
      </c>
      <c r="C25" s="9" t="str">
        <f ca="1">+Introduction!F18</f>
        <v>Expense 8</v>
      </c>
      <c r="D25" s="51"/>
      <c r="E25" s="4">
        <f ca="1">+D25+Actual!E25</f>
        <v>0</v>
      </c>
      <c r="F25" s="4">
        <f ca="1">+E25+Actual!F25</f>
        <v>0</v>
      </c>
      <c r="G25" s="4">
        <f ca="1">+F25+Actual!G25</f>
        <v>0</v>
      </c>
      <c r="H25" s="4">
        <f ca="1">+G25+Actual!H25</f>
        <v>0</v>
      </c>
      <c r="I25" s="4">
        <f ca="1">+H25+Actual!I25</f>
        <v>0</v>
      </c>
      <c r="J25" s="4">
        <f ca="1">+I25+Actual!J25</f>
        <v>0</v>
      </c>
      <c r="K25" s="4">
        <f ca="1">+J25+Actual!K25</f>
        <v>0</v>
      </c>
      <c r="L25" s="4">
        <f ca="1">+K25+Actual!L25</f>
        <v>0</v>
      </c>
      <c r="M25" s="4">
        <f ca="1">+L25+Actual!M25</f>
        <v>0</v>
      </c>
      <c r="N25" s="4">
        <f ca="1">+M25+Actual!N25</f>
        <v>0</v>
      </c>
      <c r="O25" s="4">
        <f ca="1">+N25+Actual!O25</f>
        <v>0</v>
      </c>
      <c r="P25" s="4">
        <f ca="1">+O25+Actual!P25</f>
        <v>0</v>
      </c>
      <c r="Q25" s="33"/>
      <c r="R25" s="26"/>
      <c r="S25" s="11"/>
    </row>
    <row r="26" spans="1:19" ht="15.75" thickBot="1">
      <c r="A26" s="11"/>
      <c r="B26" s="7">
        <v>9</v>
      </c>
      <c r="C26" s="9" t="str">
        <f ca="1">+Introduction!F19</f>
        <v>Expense 9</v>
      </c>
      <c r="D26" s="51"/>
      <c r="E26" s="4">
        <f ca="1">+D26+Actual!E26</f>
        <v>0</v>
      </c>
      <c r="F26" s="4">
        <f ca="1">+E26+Actual!F26</f>
        <v>0</v>
      </c>
      <c r="G26" s="4">
        <f ca="1">+F26+Actual!G26</f>
        <v>0</v>
      </c>
      <c r="H26" s="4">
        <f ca="1">+G26+Actual!H26</f>
        <v>0</v>
      </c>
      <c r="I26" s="4">
        <f ca="1">+H26+Actual!I26</f>
        <v>0</v>
      </c>
      <c r="J26" s="4">
        <f ca="1">+I26+Actual!J26</f>
        <v>0</v>
      </c>
      <c r="K26" s="4">
        <f ca="1">+J26+Actual!K26</f>
        <v>0</v>
      </c>
      <c r="L26" s="4">
        <f ca="1">+K26+Actual!L26</f>
        <v>0</v>
      </c>
      <c r="M26" s="4">
        <f ca="1">+L26+Actual!M26</f>
        <v>0</v>
      </c>
      <c r="N26" s="4">
        <f ca="1">+M26+Actual!N26</f>
        <v>0</v>
      </c>
      <c r="O26" s="4">
        <f ca="1">+N26+Actual!O26</f>
        <v>0</v>
      </c>
      <c r="P26" s="4">
        <f ca="1">+O26+Actual!P26</f>
        <v>0</v>
      </c>
      <c r="Q26" s="33"/>
      <c r="R26" s="26"/>
      <c r="S26" s="11"/>
    </row>
    <row r="27" spans="1:19" ht="15.75" thickBot="1">
      <c r="A27" s="11"/>
      <c r="B27" s="7">
        <v>10</v>
      </c>
      <c r="C27" s="9" t="str">
        <f ca="1">+Introduction!F20</f>
        <v>Expense 10</v>
      </c>
      <c r="D27" s="51"/>
      <c r="E27" s="4">
        <f ca="1">+D27+Actual!E27</f>
        <v>0</v>
      </c>
      <c r="F27" s="4">
        <f ca="1">+E27+Actual!F27</f>
        <v>0</v>
      </c>
      <c r="G27" s="4">
        <f ca="1">+F27+Actual!G27</f>
        <v>0</v>
      </c>
      <c r="H27" s="4">
        <f ca="1">+G27+Actual!H27</f>
        <v>0</v>
      </c>
      <c r="I27" s="4">
        <f ca="1">+H27+Actual!I27</f>
        <v>0</v>
      </c>
      <c r="J27" s="4">
        <f ca="1">+I27+Actual!J27</f>
        <v>0</v>
      </c>
      <c r="K27" s="4">
        <f ca="1">+J27+Actual!K27</f>
        <v>0</v>
      </c>
      <c r="L27" s="4">
        <f ca="1">+K27+Actual!L27</f>
        <v>0</v>
      </c>
      <c r="M27" s="4">
        <f ca="1">+L27+Actual!M27</f>
        <v>0</v>
      </c>
      <c r="N27" s="4">
        <f ca="1">+M27+Actual!N27</f>
        <v>0</v>
      </c>
      <c r="O27" s="4">
        <f ca="1">+N27+Actual!O27</f>
        <v>0</v>
      </c>
      <c r="P27" s="4">
        <f ca="1">+O27+Actual!P27</f>
        <v>0</v>
      </c>
      <c r="Q27" s="33"/>
      <c r="R27" s="26"/>
      <c r="S27" s="11"/>
    </row>
    <row r="28" spans="1:19" ht="15.75" thickBot="1">
      <c r="A28" s="11"/>
      <c r="B28" s="7">
        <v>11</v>
      </c>
      <c r="C28" s="9" t="str">
        <f ca="1">+Introduction!F21</f>
        <v>Expense 11</v>
      </c>
      <c r="D28" s="51"/>
      <c r="E28" s="4">
        <f ca="1">+D28+Actual!E28</f>
        <v>0</v>
      </c>
      <c r="F28" s="4">
        <f ca="1">+E28+Actual!F28</f>
        <v>0</v>
      </c>
      <c r="G28" s="4">
        <f ca="1">+F28+Actual!G28</f>
        <v>0</v>
      </c>
      <c r="H28" s="4">
        <f ca="1">+G28+Actual!H28</f>
        <v>0</v>
      </c>
      <c r="I28" s="4">
        <f ca="1">+H28+Actual!I28</f>
        <v>0</v>
      </c>
      <c r="J28" s="4">
        <f ca="1">+I28+Actual!J28</f>
        <v>0</v>
      </c>
      <c r="K28" s="4">
        <f ca="1">+J28+Actual!K28</f>
        <v>0</v>
      </c>
      <c r="L28" s="4">
        <f ca="1">+K28+Actual!L28</f>
        <v>0</v>
      </c>
      <c r="M28" s="4">
        <f ca="1">+L28+Actual!M28</f>
        <v>0</v>
      </c>
      <c r="N28" s="4">
        <f ca="1">+M28+Actual!N28</f>
        <v>0</v>
      </c>
      <c r="O28" s="4">
        <f ca="1">+N28+Actual!O28</f>
        <v>0</v>
      </c>
      <c r="P28" s="4">
        <f ca="1">+O28+Actual!P28</f>
        <v>0</v>
      </c>
      <c r="Q28" s="33"/>
      <c r="R28" s="26"/>
      <c r="S28" s="11"/>
    </row>
    <row r="29" spans="1:19" ht="15.75" thickBot="1">
      <c r="A29" s="11"/>
      <c r="B29" s="7">
        <v>12</v>
      </c>
      <c r="C29" s="9" t="str">
        <f ca="1">+Introduction!F22</f>
        <v>Expense 12</v>
      </c>
      <c r="D29" s="51"/>
      <c r="E29" s="4">
        <f ca="1">+D29+Actual!E29</f>
        <v>0</v>
      </c>
      <c r="F29" s="4">
        <f ca="1">+E29+Actual!F29</f>
        <v>0</v>
      </c>
      <c r="G29" s="4">
        <f ca="1">+F29+Actual!G29</f>
        <v>0</v>
      </c>
      <c r="H29" s="4">
        <f ca="1">+G29+Actual!H29</f>
        <v>0</v>
      </c>
      <c r="I29" s="4">
        <f ca="1">+H29+Actual!I29</f>
        <v>0</v>
      </c>
      <c r="J29" s="4">
        <f ca="1">+I29+Actual!J29</f>
        <v>0</v>
      </c>
      <c r="K29" s="4">
        <f ca="1">+J29+Actual!K29</f>
        <v>0</v>
      </c>
      <c r="L29" s="4">
        <f ca="1">+K29+Actual!L29</f>
        <v>0</v>
      </c>
      <c r="M29" s="4">
        <f ca="1">+L29+Actual!M29</f>
        <v>0</v>
      </c>
      <c r="N29" s="4">
        <f ca="1">+M29+Actual!N29</f>
        <v>0</v>
      </c>
      <c r="O29" s="4">
        <f ca="1">+N29+Actual!O29</f>
        <v>0</v>
      </c>
      <c r="P29" s="4">
        <f ca="1">+O29+Actual!P29</f>
        <v>0</v>
      </c>
      <c r="Q29" s="33"/>
      <c r="R29" s="26"/>
      <c r="S29" s="11"/>
    </row>
    <row r="30" spans="1:19" ht="15.75" thickBot="1">
      <c r="A30" s="11"/>
      <c r="B30" s="7">
        <v>13</v>
      </c>
      <c r="C30" s="9" t="str">
        <f ca="1">+Introduction!F23</f>
        <v>Expense 13</v>
      </c>
      <c r="D30" s="51"/>
      <c r="E30" s="4">
        <f ca="1">+D30+Actual!E30</f>
        <v>0</v>
      </c>
      <c r="F30" s="4">
        <f ca="1">+E30+Actual!F30</f>
        <v>0</v>
      </c>
      <c r="G30" s="4">
        <f ca="1">+F30+Actual!G30</f>
        <v>0</v>
      </c>
      <c r="H30" s="4">
        <f ca="1">+G30+Actual!H30</f>
        <v>0</v>
      </c>
      <c r="I30" s="4">
        <f ca="1">+H30+Actual!I30</f>
        <v>0</v>
      </c>
      <c r="J30" s="4">
        <f ca="1">+I30+Actual!J30</f>
        <v>0</v>
      </c>
      <c r="K30" s="4">
        <f ca="1">+J30+Actual!K30</f>
        <v>0</v>
      </c>
      <c r="L30" s="4">
        <f ca="1">+K30+Actual!L30</f>
        <v>0</v>
      </c>
      <c r="M30" s="4">
        <f ca="1">+L30+Actual!M30</f>
        <v>0</v>
      </c>
      <c r="N30" s="4">
        <f ca="1">+M30+Actual!N30</f>
        <v>0</v>
      </c>
      <c r="O30" s="4">
        <f ca="1">+N30+Actual!O30</f>
        <v>0</v>
      </c>
      <c r="P30" s="4">
        <f ca="1">+O30+Actual!P30</f>
        <v>0</v>
      </c>
      <c r="Q30" s="33"/>
      <c r="R30" s="26"/>
      <c r="S30" s="11"/>
    </row>
    <row r="31" spans="1:19" ht="15.75" thickBot="1">
      <c r="A31" s="11"/>
      <c r="B31" s="7">
        <v>14</v>
      </c>
      <c r="C31" s="9" t="str">
        <f ca="1">+Introduction!F24</f>
        <v>Expense 14</v>
      </c>
      <c r="D31" s="51"/>
      <c r="E31" s="4">
        <f ca="1">+D31+Actual!E31</f>
        <v>0</v>
      </c>
      <c r="F31" s="4">
        <f ca="1">+E31+Actual!F31</f>
        <v>0</v>
      </c>
      <c r="G31" s="4">
        <f ca="1">+F31+Actual!G31</f>
        <v>0</v>
      </c>
      <c r="H31" s="4">
        <f ca="1">+G31+Actual!H31</f>
        <v>0</v>
      </c>
      <c r="I31" s="4">
        <f ca="1">+H31+Actual!I31</f>
        <v>0</v>
      </c>
      <c r="J31" s="4">
        <f ca="1">+I31+Actual!J31</f>
        <v>0</v>
      </c>
      <c r="K31" s="4">
        <f ca="1">+J31+Actual!K31</f>
        <v>0</v>
      </c>
      <c r="L31" s="4">
        <f ca="1">+K31+Actual!L31</f>
        <v>0</v>
      </c>
      <c r="M31" s="4">
        <f ca="1">+L31+Actual!M31</f>
        <v>0</v>
      </c>
      <c r="N31" s="4">
        <f ca="1">+M31+Actual!N31</f>
        <v>0</v>
      </c>
      <c r="O31" s="4">
        <f ca="1">+N31+Actual!O31</f>
        <v>0</v>
      </c>
      <c r="P31" s="4">
        <f ca="1">+O31+Actual!P31</f>
        <v>0</v>
      </c>
      <c r="Q31" s="33"/>
      <c r="R31" s="26"/>
      <c r="S31" s="11"/>
    </row>
    <row r="32" spans="1:19" ht="15.75" thickBot="1">
      <c r="A32" s="11"/>
      <c r="B32" s="7">
        <v>15</v>
      </c>
      <c r="C32" s="9" t="str">
        <f ca="1">+Introduction!F25</f>
        <v>Expense 15</v>
      </c>
      <c r="D32" s="51"/>
      <c r="E32" s="4">
        <f ca="1">+D32+Actual!E32</f>
        <v>0</v>
      </c>
      <c r="F32" s="4">
        <f ca="1">+E32+Actual!F32</f>
        <v>0</v>
      </c>
      <c r="G32" s="4">
        <f ca="1">+F32+Actual!G32</f>
        <v>0</v>
      </c>
      <c r="H32" s="4">
        <f ca="1">+G32+Actual!H32</f>
        <v>0</v>
      </c>
      <c r="I32" s="4">
        <f ca="1">+H32+Actual!I32</f>
        <v>0</v>
      </c>
      <c r="J32" s="4">
        <f ca="1">+I32+Actual!J32</f>
        <v>0</v>
      </c>
      <c r="K32" s="4">
        <f ca="1">+J32+Actual!K32</f>
        <v>0</v>
      </c>
      <c r="L32" s="4">
        <f ca="1">+K32+Actual!L32</f>
        <v>0</v>
      </c>
      <c r="M32" s="4">
        <f ca="1">+L32+Actual!M32</f>
        <v>0</v>
      </c>
      <c r="N32" s="4">
        <f ca="1">+M32+Actual!N32</f>
        <v>0</v>
      </c>
      <c r="O32" s="4">
        <f ca="1">+N32+Actual!O32</f>
        <v>0</v>
      </c>
      <c r="P32" s="4">
        <f ca="1">+O32+Actual!P32</f>
        <v>0</v>
      </c>
      <c r="Q32" s="33"/>
      <c r="R32" s="26"/>
      <c r="S32" s="11"/>
    </row>
    <row r="33" spans="1:19" ht="15.75" thickBot="1">
      <c r="A33" s="11"/>
      <c r="B33" s="7">
        <v>16</v>
      </c>
      <c r="C33" s="9" t="str">
        <f ca="1">+Introduction!F26</f>
        <v>Expense 16</v>
      </c>
      <c r="D33" s="51"/>
      <c r="E33" s="4">
        <f ca="1">+D33+Actual!E33</f>
        <v>0</v>
      </c>
      <c r="F33" s="4">
        <f ca="1">+E33+Actual!F33</f>
        <v>0</v>
      </c>
      <c r="G33" s="4">
        <f ca="1">+F33+Actual!G33</f>
        <v>0</v>
      </c>
      <c r="H33" s="4">
        <f ca="1">+G33+Actual!H33</f>
        <v>0</v>
      </c>
      <c r="I33" s="4">
        <f ca="1">+H33+Actual!I33</f>
        <v>0</v>
      </c>
      <c r="J33" s="4">
        <f ca="1">+I33+Actual!J33</f>
        <v>0</v>
      </c>
      <c r="K33" s="4">
        <f ca="1">+J33+Actual!K33</f>
        <v>0</v>
      </c>
      <c r="L33" s="4">
        <f ca="1">+K33+Actual!L33</f>
        <v>0</v>
      </c>
      <c r="M33" s="4">
        <f ca="1">+L33+Actual!M33</f>
        <v>0</v>
      </c>
      <c r="N33" s="4">
        <f ca="1">+M33+Actual!N33</f>
        <v>0</v>
      </c>
      <c r="O33" s="4">
        <f ca="1">+N33+Actual!O33</f>
        <v>0</v>
      </c>
      <c r="P33" s="4">
        <f ca="1">+O33+Actual!P33</f>
        <v>0</v>
      </c>
      <c r="Q33" s="33"/>
      <c r="R33" s="26"/>
      <c r="S33" s="11"/>
    </row>
    <row r="34" spans="1:19" ht="15.75" thickBot="1">
      <c r="A34" s="11"/>
      <c r="B34" s="7">
        <v>17</v>
      </c>
      <c r="C34" s="9" t="str">
        <f ca="1">+Introduction!F27</f>
        <v>Expense 17</v>
      </c>
      <c r="D34" s="51"/>
      <c r="E34" s="4">
        <f ca="1">+D34+Actual!E34</f>
        <v>0</v>
      </c>
      <c r="F34" s="4">
        <f ca="1">+E34+Actual!F34</f>
        <v>0</v>
      </c>
      <c r="G34" s="4">
        <f ca="1">+F34+Actual!G34</f>
        <v>0</v>
      </c>
      <c r="H34" s="4">
        <f ca="1">+G34+Actual!H34</f>
        <v>0</v>
      </c>
      <c r="I34" s="4">
        <f ca="1">+H34+Actual!I34</f>
        <v>0</v>
      </c>
      <c r="J34" s="4">
        <f ca="1">+I34+Actual!J34</f>
        <v>0</v>
      </c>
      <c r="K34" s="4">
        <f ca="1">+J34+Actual!K34</f>
        <v>0</v>
      </c>
      <c r="L34" s="4">
        <f ca="1">+K34+Actual!L34</f>
        <v>0</v>
      </c>
      <c r="M34" s="4">
        <f ca="1">+L34+Actual!M34</f>
        <v>0</v>
      </c>
      <c r="N34" s="4">
        <f ca="1">+M34+Actual!N34</f>
        <v>0</v>
      </c>
      <c r="O34" s="4">
        <f ca="1">+N34+Actual!O34</f>
        <v>0</v>
      </c>
      <c r="P34" s="4">
        <f ca="1">+O34+Actual!P34</f>
        <v>0</v>
      </c>
      <c r="Q34" s="33"/>
      <c r="R34" s="26"/>
      <c r="S34" s="11"/>
    </row>
    <row r="35" spans="1:19" ht="15.75" thickBot="1">
      <c r="A35" s="11"/>
      <c r="B35" s="7">
        <v>18</v>
      </c>
      <c r="C35" s="9" t="str">
        <f ca="1">+Introduction!F28</f>
        <v>Expense 18</v>
      </c>
      <c r="D35" s="51"/>
      <c r="E35" s="4">
        <f ca="1">+D35+Actual!E35</f>
        <v>0</v>
      </c>
      <c r="F35" s="4">
        <f ca="1">+E35+Actual!F35</f>
        <v>0</v>
      </c>
      <c r="G35" s="4">
        <f ca="1">+F35+Actual!G35</f>
        <v>0</v>
      </c>
      <c r="H35" s="4">
        <f ca="1">+G35+Actual!H35</f>
        <v>0</v>
      </c>
      <c r="I35" s="4">
        <f ca="1">+H35+Actual!I35</f>
        <v>0</v>
      </c>
      <c r="J35" s="4">
        <f ca="1">+I35+Actual!J35</f>
        <v>0</v>
      </c>
      <c r="K35" s="4">
        <f ca="1">+J35+Actual!K35</f>
        <v>0</v>
      </c>
      <c r="L35" s="4">
        <f ca="1">+K35+Actual!L35</f>
        <v>0</v>
      </c>
      <c r="M35" s="4">
        <f ca="1">+L35+Actual!M35</f>
        <v>0</v>
      </c>
      <c r="N35" s="4">
        <f ca="1">+M35+Actual!N35</f>
        <v>0</v>
      </c>
      <c r="O35" s="4">
        <f ca="1">+N35+Actual!O35</f>
        <v>0</v>
      </c>
      <c r="P35" s="4">
        <f ca="1">+O35+Actual!P35</f>
        <v>0</v>
      </c>
      <c r="Q35" s="33"/>
      <c r="R35" s="26"/>
      <c r="S35" s="11"/>
    </row>
    <row r="36" spans="1:19" ht="15.75" thickBot="1">
      <c r="A36" s="11"/>
      <c r="B36" s="7">
        <v>19</v>
      </c>
      <c r="C36" s="9" t="str">
        <f ca="1">+Introduction!F29</f>
        <v>Expense 19</v>
      </c>
      <c r="D36" s="51"/>
      <c r="E36" s="4">
        <f ca="1">+D36+Actual!E36</f>
        <v>0</v>
      </c>
      <c r="F36" s="4">
        <f ca="1">+E36+Actual!F36</f>
        <v>0</v>
      </c>
      <c r="G36" s="4">
        <f ca="1">+F36+Actual!G36</f>
        <v>0</v>
      </c>
      <c r="H36" s="4">
        <f ca="1">+G36+Actual!H36</f>
        <v>0</v>
      </c>
      <c r="I36" s="4">
        <f ca="1">+H36+Actual!I36</f>
        <v>0</v>
      </c>
      <c r="J36" s="4">
        <f ca="1">+I36+Actual!J36</f>
        <v>0</v>
      </c>
      <c r="K36" s="4">
        <f ca="1">+J36+Actual!K36</f>
        <v>0</v>
      </c>
      <c r="L36" s="4">
        <f ca="1">+K36+Actual!L36</f>
        <v>0</v>
      </c>
      <c r="M36" s="4">
        <f ca="1">+L36+Actual!M36</f>
        <v>0</v>
      </c>
      <c r="N36" s="4">
        <f ca="1">+M36+Actual!N36</f>
        <v>0</v>
      </c>
      <c r="O36" s="4">
        <f ca="1">+N36+Actual!O36</f>
        <v>0</v>
      </c>
      <c r="P36" s="4">
        <f ca="1">+O36+Actual!P36</f>
        <v>0</v>
      </c>
      <c r="Q36" s="33"/>
      <c r="R36" s="26"/>
      <c r="S36" s="11"/>
    </row>
    <row r="37" spans="1:19" ht="15.75" thickBot="1">
      <c r="A37" s="11"/>
      <c r="B37" s="7">
        <v>20</v>
      </c>
      <c r="C37" s="9" t="str">
        <f ca="1">+Introduction!F30</f>
        <v>IRA Contribution</v>
      </c>
      <c r="D37" s="51"/>
      <c r="E37" s="4">
        <f ca="1">+D37+Actual!E37</f>
        <v>0</v>
      </c>
      <c r="F37" s="4">
        <f ca="1">+E37+Actual!F37</f>
        <v>0</v>
      </c>
      <c r="G37" s="4">
        <f ca="1">+F37+Actual!G37</f>
        <v>0</v>
      </c>
      <c r="H37" s="4">
        <f ca="1">+G37+Actual!H37</f>
        <v>0</v>
      </c>
      <c r="I37" s="4">
        <f ca="1">+H37+Actual!I37</f>
        <v>0</v>
      </c>
      <c r="J37" s="4">
        <f ca="1">+I37+Actual!J37</f>
        <v>0</v>
      </c>
      <c r="K37" s="4">
        <f ca="1">+J37+Actual!K37</f>
        <v>0</v>
      </c>
      <c r="L37" s="4">
        <f ca="1">+K37+Actual!L37</f>
        <v>0</v>
      </c>
      <c r="M37" s="4">
        <f ca="1">+L37+Actual!M37</f>
        <v>0</v>
      </c>
      <c r="N37" s="4">
        <f ca="1">+M37+Actual!N37</f>
        <v>0</v>
      </c>
      <c r="O37" s="4">
        <f ca="1">+N37+Actual!O37</f>
        <v>0</v>
      </c>
      <c r="P37" s="4">
        <f ca="1">+O37+Actual!P37</f>
        <v>0</v>
      </c>
      <c r="Q37" s="33"/>
      <c r="R37" s="26"/>
      <c r="S37" s="11"/>
    </row>
    <row r="38" spans="1:19">
      <c r="A38" s="11"/>
      <c r="B38" s="41" t="s">
        <v>24</v>
      </c>
      <c r="C38" s="42"/>
      <c r="D38" s="52"/>
      <c r="E38" s="26">
        <f>SUM(E18:E37)</f>
        <v>0</v>
      </c>
      <c r="F38" s="26">
        <f t="shared" ref="F38:P38" si="5">SUM(F18:F37)</f>
        <v>0</v>
      </c>
      <c r="G38" s="26">
        <f t="shared" si="5"/>
        <v>0</v>
      </c>
      <c r="H38" s="26">
        <f t="shared" si="5"/>
        <v>0</v>
      </c>
      <c r="I38" s="26">
        <f t="shared" si="5"/>
        <v>0</v>
      </c>
      <c r="J38" s="26">
        <f t="shared" si="5"/>
        <v>0</v>
      </c>
      <c r="K38" s="26">
        <f t="shared" si="5"/>
        <v>0</v>
      </c>
      <c r="L38" s="26">
        <f t="shared" si="5"/>
        <v>0</v>
      </c>
      <c r="M38" s="26">
        <f t="shared" si="5"/>
        <v>0</v>
      </c>
      <c r="N38" s="26">
        <f t="shared" si="5"/>
        <v>0</v>
      </c>
      <c r="O38" s="26">
        <f t="shared" si="5"/>
        <v>0</v>
      </c>
      <c r="P38" s="26">
        <f t="shared" si="5"/>
        <v>0</v>
      </c>
      <c r="Q38" s="34"/>
      <c r="R38" s="26"/>
      <c r="S38" s="11"/>
    </row>
    <row r="39" spans="1:19" ht="15.75" thickBot="1">
      <c r="A39" s="11"/>
      <c r="B39" s="12"/>
      <c r="C39" s="11"/>
      <c r="D39" s="11"/>
      <c r="E39" s="13"/>
      <c r="F39" s="13"/>
      <c r="G39" s="13"/>
      <c r="H39" s="13"/>
      <c r="I39" s="13"/>
      <c r="J39" s="13"/>
      <c r="K39" s="13"/>
      <c r="L39" s="13"/>
      <c r="M39" s="13"/>
      <c r="N39" s="13"/>
      <c r="O39" s="13"/>
      <c r="P39" s="13"/>
      <c r="Q39" s="13"/>
      <c r="R39" s="13"/>
      <c r="S39" s="11"/>
    </row>
    <row r="40" spans="1:19" ht="15.75" thickBot="1">
      <c r="A40" s="11"/>
      <c r="B40" s="30" t="s">
        <v>25</v>
      </c>
      <c r="C40" s="31"/>
      <c r="D40" s="53"/>
      <c r="E40" s="26">
        <f>+E14-E38</f>
        <v>0</v>
      </c>
      <c r="F40" s="26">
        <f t="shared" ref="F40:P40" si="6">+F14-F38</f>
        <v>0</v>
      </c>
      <c r="G40" s="26">
        <f t="shared" si="6"/>
        <v>0</v>
      </c>
      <c r="H40" s="26">
        <f t="shared" si="6"/>
        <v>0</v>
      </c>
      <c r="I40" s="26">
        <f t="shared" si="6"/>
        <v>0</v>
      </c>
      <c r="J40" s="26">
        <f t="shared" si="6"/>
        <v>0</v>
      </c>
      <c r="K40" s="26">
        <f t="shared" si="6"/>
        <v>0</v>
      </c>
      <c r="L40" s="26">
        <f t="shared" si="6"/>
        <v>0</v>
      </c>
      <c r="M40" s="26">
        <f t="shared" si="6"/>
        <v>0</v>
      </c>
      <c r="N40" s="26">
        <f t="shared" si="6"/>
        <v>0</v>
      </c>
      <c r="O40" s="26">
        <f t="shared" si="6"/>
        <v>0</v>
      </c>
      <c r="P40" s="26">
        <f t="shared" si="6"/>
        <v>0</v>
      </c>
      <c r="Q40" s="26"/>
      <c r="R40" s="26"/>
      <c r="S40" s="11"/>
    </row>
    <row r="41" spans="1:19" ht="15.75" thickBot="1">
      <c r="A41" s="11"/>
      <c r="B41" s="12"/>
      <c r="C41" s="11"/>
      <c r="D41" s="11"/>
      <c r="E41" s="13"/>
      <c r="F41" s="13"/>
      <c r="G41" s="13"/>
      <c r="H41" s="13"/>
      <c r="I41" s="13"/>
      <c r="J41" s="13"/>
      <c r="K41" s="13"/>
      <c r="L41" s="13"/>
      <c r="M41" s="13"/>
      <c r="N41" s="13"/>
      <c r="O41" s="13"/>
      <c r="P41" s="13"/>
      <c r="Q41" s="13"/>
      <c r="R41" s="13"/>
      <c r="S41" s="11"/>
    </row>
    <row r="42" spans="1:19" ht="15.75" thickBot="1">
      <c r="A42" s="11"/>
      <c r="B42" s="7">
        <v>1</v>
      </c>
      <c r="C42" s="31" t="s">
        <v>27</v>
      </c>
      <c r="D42" s="31"/>
      <c r="E42" s="10">
        <f ca="1">+Actual!E42</f>
        <v>0</v>
      </c>
      <c r="F42" s="10">
        <f>+E42</f>
        <v>0</v>
      </c>
      <c r="G42" s="10">
        <f t="shared" ref="G42:P42" si="7">+F42</f>
        <v>0</v>
      </c>
      <c r="H42" s="10">
        <f t="shared" si="7"/>
        <v>0</v>
      </c>
      <c r="I42" s="10">
        <f t="shared" si="7"/>
        <v>0</v>
      </c>
      <c r="J42" s="10">
        <f t="shared" si="7"/>
        <v>0</v>
      </c>
      <c r="K42" s="10">
        <f t="shared" si="7"/>
        <v>0</v>
      </c>
      <c r="L42" s="10">
        <f t="shared" si="7"/>
        <v>0</v>
      </c>
      <c r="M42" s="10">
        <f t="shared" si="7"/>
        <v>0</v>
      </c>
      <c r="N42" s="10">
        <f t="shared" si="7"/>
        <v>0</v>
      </c>
      <c r="O42" s="10">
        <f t="shared" si="7"/>
        <v>0</v>
      </c>
      <c r="P42" s="10">
        <f t="shared" si="7"/>
        <v>0</v>
      </c>
      <c r="Q42" s="6"/>
      <c r="R42" s="10"/>
      <c r="S42" s="11"/>
    </row>
    <row r="43" spans="1:19" ht="15.75" thickBot="1">
      <c r="A43" s="11"/>
      <c r="B43" s="7">
        <v>2</v>
      </c>
      <c r="C43" s="31" t="s">
        <v>26</v>
      </c>
      <c r="D43" s="31"/>
      <c r="E43" s="14">
        <f>+E40</f>
        <v>0</v>
      </c>
      <c r="F43" s="14">
        <f t="shared" ref="F43:P43" si="8">+F40</f>
        <v>0</v>
      </c>
      <c r="G43" s="14">
        <f t="shared" si="8"/>
        <v>0</v>
      </c>
      <c r="H43" s="14">
        <f t="shared" si="8"/>
        <v>0</v>
      </c>
      <c r="I43" s="14">
        <f t="shared" si="8"/>
        <v>0</v>
      </c>
      <c r="J43" s="14">
        <f t="shared" si="8"/>
        <v>0</v>
      </c>
      <c r="K43" s="14">
        <f t="shared" si="8"/>
        <v>0</v>
      </c>
      <c r="L43" s="14">
        <f t="shared" si="8"/>
        <v>0</v>
      </c>
      <c r="M43" s="14">
        <f t="shared" si="8"/>
        <v>0</v>
      </c>
      <c r="N43" s="14">
        <f t="shared" si="8"/>
        <v>0</v>
      </c>
      <c r="O43" s="14">
        <f t="shared" si="8"/>
        <v>0</v>
      </c>
      <c r="P43" s="14">
        <f t="shared" si="8"/>
        <v>0</v>
      </c>
      <c r="Q43" s="19"/>
      <c r="R43" s="26"/>
      <c r="S43" s="11"/>
    </row>
    <row r="44" spans="1:19" ht="15.75" thickBot="1">
      <c r="A44" s="11"/>
      <c r="B44" s="7">
        <v>3</v>
      </c>
      <c r="C44" s="31" t="s">
        <v>28</v>
      </c>
      <c r="D44" s="31"/>
      <c r="E44" s="10">
        <f t="shared" ref="E44:O44" si="9">+E42+E43</f>
        <v>0</v>
      </c>
      <c r="F44" s="10">
        <f t="shared" si="9"/>
        <v>0</v>
      </c>
      <c r="G44" s="10">
        <f t="shared" si="9"/>
        <v>0</v>
      </c>
      <c r="H44" s="10">
        <f t="shared" si="9"/>
        <v>0</v>
      </c>
      <c r="I44" s="10">
        <f t="shared" si="9"/>
        <v>0</v>
      </c>
      <c r="J44" s="10">
        <f t="shared" si="9"/>
        <v>0</v>
      </c>
      <c r="K44" s="10">
        <f t="shared" si="9"/>
        <v>0</v>
      </c>
      <c r="L44" s="10">
        <f t="shared" si="9"/>
        <v>0</v>
      </c>
      <c r="M44" s="10">
        <f t="shared" si="9"/>
        <v>0</v>
      </c>
      <c r="N44" s="10">
        <f t="shared" si="9"/>
        <v>0</v>
      </c>
      <c r="O44" s="10">
        <f t="shared" si="9"/>
        <v>0</v>
      </c>
      <c r="P44" s="10">
        <f>+P42+P43</f>
        <v>0</v>
      </c>
      <c r="Q44" s="10"/>
      <c r="R44" s="10"/>
      <c r="S44" s="11"/>
    </row>
    <row r="45" spans="1:19" ht="15.75" thickBot="1">
      <c r="A45" s="11"/>
      <c r="B45" s="11"/>
      <c r="C45" s="11"/>
      <c r="D45" s="11"/>
      <c r="E45" s="11"/>
      <c r="F45" s="11"/>
      <c r="G45" s="11"/>
      <c r="H45" s="11"/>
      <c r="I45" s="11"/>
      <c r="J45" s="11"/>
      <c r="K45" s="11"/>
      <c r="L45" s="11"/>
      <c r="M45" s="11"/>
      <c r="N45" s="11"/>
      <c r="O45" s="11"/>
      <c r="P45" s="11"/>
      <c r="Q45" s="11"/>
      <c r="R45" s="11"/>
      <c r="S45" s="11"/>
    </row>
    <row r="46" spans="1:19" ht="15.75" thickBot="1">
      <c r="A46" s="11"/>
      <c r="B46" s="7">
        <v>1</v>
      </c>
      <c r="C46" s="9" t="s">
        <v>30</v>
      </c>
      <c r="D46" s="9"/>
      <c r="E46" s="10">
        <f ca="1">+Actual!E46</f>
        <v>0</v>
      </c>
      <c r="F46" s="10">
        <f ca="1">+Actual!F46</f>
        <v>0</v>
      </c>
      <c r="G46" s="10">
        <f ca="1">+Actual!G46</f>
        <v>0</v>
      </c>
      <c r="H46" s="10">
        <f ca="1">+Actual!H46</f>
        <v>0</v>
      </c>
      <c r="I46" s="10">
        <f ca="1">+Actual!I46</f>
        <v>0</v>
      </c>
      <c r="J46" s="10">
        <f ca="1">+Actual!J46</f>
        <v>0</v>
      </c>
      <c r="K46" s="10">
        <f ca="1">+Actual!K46</f>
        <v>0</v>
      </c>
      <c r="L46" s="10">
        <f ca="1">+Actual!L46</f>
        <v>0</v>
      </c>
      <c r="M46" s="10">
        <f ca="1">+Actual!M46</f>
        <v>0</v>
      </c>
      <c r="N46" s="10">
        <f ca="1">+Actual!N46</f>
        <v>0</v>
      </c>
      <c r="O46" s="10">
        <f ca="1">+Actual!O46</f>
        <v>0</v>
      </c>
      <c r="P46" s="10">
        <f ca="1">+Actual!P46</f>
        <v>0</v>
      </c>
      <c r="Q46" s="10"/>
      <c r="R46" s="10"/>
      <c r="S46" s="11"/>
    </row>
    <row r="47" spans="1:19">
      <c r="A47" s="11"/>
      <c r="B47" s="11"/>
      <c r="C47" s="11"/>
      <c r="D47" s="11"/>
      <c r="E47" s="11"/>
      <c r="F47" s="11"/>
      <c r="G47" s="11"/>
      <c r="H47" s="11"/>
      <c r="I47" s="11"/>
      <c r="J47" s="11"/>
      <c r="K47" s="11"/>
      <c r="L47" s="11"/>
      <c r="M47" s="11"/>
      <c r="N47" s="11"/>
      <c r="O47" s="11"/>
      <c r="P47" s="11"/>
      <c r="Q47" s="11"/>
      <c r="R47" s="11"/>
      <c r="S47" s="11"/>
    </row>
    <row r="48" spans="1:19">
      <c r="E48" s="2"/>
      <c r="F48" s="2"/>
      <c r="G48" s="2"/>
      <c r="H48" s="2"/>
      <c r="I48" s="2"/>
      <c r="J48" s="2"/>
      <c r="K48" s="2"/>
      <c r="L48" s="2"/>
      <c r="M48" s="2"/>
      <c r="N48" s="2"/>
      <c r="O48" s="2"/>
      <c r="P48" s="2"/>
      <c r="Q48" s="2"/>
      <c r="R48" s="2"/>
    </row>
    <row r="49" spans="5:18">
      <c r="E49" s="2"/>
      <c r="F49" s="2"/>
      <c r="G49" s="2"/>
      <c r="H49" s="2"/>
      <c r="I49" s="2"/>
      <c r="J49" s="2"/>
      <c r="K49" s="2"/>
      <c r="L49" s="2"/>
      <c r="M49" s="2"/>
      <c r="N49" s="2"/>
      <c r="O49" s="2"/>
      <c r="P49" s="2"/>
      <c r="Q49" s="2"/>
      <c r="R49" s="2"/>
    </row>
    <row r="50" spans="5:18">
      <c r="E50" s="2"/>
      <c r="F50" s="2"/>
      <c r="G50" s="2"/>
      <c r="H50" s="2"/>
      <c r="I50" s="2"/>
      <c r="J50" s="2"/>
      <c r="K50" s="2"/>
      <c r="L50" s="2"/>
      <c r="M50" s="2"/>
      <c r="N50" s="2"/>
      <c r="O50" s="2"/>
      <c r="P50" s="2"/>
      <c r="Q50" s="2"/>
      <c r="R50" s="2"/>
    </row>
    <row r="51" spans="5:18">
      <c r="R51" s="2"/>
    </row>
    <row r="52" spans="5:18">
      <c r="R52" s="2"/>
    </row>
    <row r="53" spans="5:18">
      <c r="R53" s="2"/>
    </row>
    <row r="54" spans="5:18">
      <c r="R54" s="2"/>
    </row>
    <row r="55" spans="5:18">
      <c r="R55" s="2"/>
    </row>
    <row r="56" spans="5:18">
      <c r="R56" s="2"/>
    </row>
    <row r="57" spans="5:18">
      <c r="R57" s="2"/>
    </row>
    <row r="58" spans="5:18">
      <c r="R58" s="2"/>
    </row>
    <row r="59" spans="5:18">
      <c r="R59" s="2"/>
    </row>
    <row r="60" spans="5:18">
      <c r="R60" s="2"/>
    </row>
    <row r="61" spans="5:18">
      <c r="R61" s="2"/>
    </row>
    <row r="62" spans="5:18">
      <c r="R62" s="2"/>
    </row>
    <row r="63" spans="5:18">
      <c r="R63" s="2"/>
    </row>
    <row r="64" spans="5:18">
      <c r="R64" s="2"/>
    </row>
    <row r="65" spans="18:18">
      <c r="R65" s="2"/>
    </row>
    <row r="66" spans="18:18">
      <c r="R66" s="2"/>
    </row>
    <row r="67" spans="18:18">
      <c r="R67" s="2"/>
    </row>
    <row r="68" spans="18:18">
      <c r="R68" s="2"/>
    </row>
    <row r="69" spans="18:18">
      <c r="R69" s="2"/>
    </row>
    <row r="70" spans="18:18">
      <c r="R70" s="2"/>
    </row>
    <row r="71" spans="18:18">
      <c r="R71" s="2"/>
    </row>
    <row r="72" spans="18:18">
      <c r="R72" s="2"/>
    </row>
    <row r="73" spans="18:18">
      <c r="R73" s="2"/>
    </row>
    <row r="74" spans="18:18">
      <c r="R74" s="2"/>
    </row>
    <row r="75" spans="18:18">
      <c r="R75" s="2"/>
    </row>
    <row r="76" spans="18:18">
      <c r="R76" s="2"/>
    </row>
    <row r="77" spans="18:18">
      <c r="R77" s="2"/>
    </row>
    <row r="78" spans="18:18">
      <c r="R78" s="2"/>
    </row>
    <row r="79" spans="18:18">
      <c r="R79" s="2"/>
    </row>
    <row r="80" spans="18:18">
      <c r="R80" s="2"/>
    </row>
    <row r="81" spans="18:18">
      <c r="R81" s="2"/>
    </row>
    <row r="82" spans="18:18">
      <c r="R82" s="2"/>
    </row>
    <row r="83" spans="18:18">
      <c r="R83" s="2"/>
    </row>
    <row r="84" spans="18:18">
      <c r="R84" s="2"/>
    </row>
    <row r="85" spans="18:18">
      <c r="R85" s="2"/>
    </row>
    <row r="86" spans="18:18">
      <c r="R86" s="2"/>
    </row>
    <row r="87" spans="18:18">
      <c r="R87" s="2"/>
    </row>
    <row r="88" spans="18:18">
      <c r="R88" s="2"/>
    </row>
    <row r="89" spans="18:18">
      <c r="R89" s="2"/>
    </row>
    <row r="90" spans="18:18">
      <c r="R90" s="2"/>
    </row>
    <row r="91" spans="18:18">
      <c r="R91" s="2"/>
    </row>
    <row r="92" spans="18:18">
      <c r="R92" s="2"/>
    </row>
    <row r="93" spans="18:18">
      <c r="R93" s="2"/>
    </row>
    <row r="94" spans="18:18">
      <c r="R94" s="2"/>
    </row>
    <row r="95" spans="18:18">
      <c r="R95" s="2"/>
    </row>
    <row r="96" spans="18:18">
      <c r="R96" s="2"/>
    </row>
    <row r="97" spans="18:18">
      <c r="R97" s="2"/>
    </row>
    <row r="98" spans="18:18">
      <c r="R98" s="2"/>
    </row>
    <row r="99" spans="18:18">
      <c r="R99" s="2"/>
    </row>
    <row r="100" spans="18:18">
      <c r="R100" s="2"/>
    </row>
    <row r="101" spans="18:18">
      <c r="R101" s="2"/>
    </row>
    <row r="102" spans="18:18">
      <c r="R102" s="2"/>
    </row>
    <row r="103" spans="18:18">
      <c r="R103" s="2"/>
    </row>
    <row r="104" spans="18:18">
      <c r="R104" s="2"/>
    </row>
    <row r="105" spans="18:18">
      <c r="R105" s="2"/>
    </row>
    <row r="106" spans="18:18">
      <c r="R106" s="2"/>
    </row>
    <row r="107" spans="18:18">
      <c r="R107" s="2"/>
    </row>
    <row r="108" spans="18:18">
      <c r="R108" s="2"/>
    </row>
    <row r="109" spans="18:18">
      <c r="R109" s="2"/>
    </row>
    <row r="110" spans="18:18">
      <c r="R110" s="2"/>
    </row>
    <row r="111" spans="18:18">
      <c r="R111" s="2"/>
    </row>
    <row r="112" spans="18:18">
      <c r="R112" s="2"/>
    </row>
    <row r="113" spans="18:18">
      <c r="R113" s="2"/>
    </row>
    <row r="114" spans="18:18">
      <c r="R114" s="2"/>
    </row>
    <row r="115" spans="18:18">
      <c r="R115" s="2"/>
    </row>
    <row r="116" spans="18:18">
      <c r="R116" s="2"/>
    </row>
    <row r="117" spans="18:18">
      <c r="R117" s="2"/>
    </row>
  </sheetData>
  <sheetProtection password="CF0F" sheet="1" objects="1" scenarios="1" selectLockedCells="1"/>
  <mergeCells count="2">
    <mergeCell ref="B2:R2"/>
    <mergeCell ref="B5:C5"/>
  </mergeCells>
  <phoneticPr fontId="21" type="noConversion"/>
  <conditionalFormatting sqref="E43:Q43">
    <cfRule type="cellIs" dxfId="0" priority="2" operator="greaterThan">
      <formula>0</formula>
    </cfRule>
    <cfRule type="colorScale" priority="1">
      <colorScale>
        <cfvo type="formula" val="&quot;&lt;0&quot;"/>
        <cfvo type="formula" val="&quot;&gt;=0&quot;"/>
        <color rgb="FFFF0000"/>
        <color theme="6" tint="-0.499984740745262"/>
      </colorScale>
    </cfRule>
    <cfRule type="colorScale" priority="3">
      <colorScale>
        <cfvo type="min" val="0"/>
        <cfvo type="max" val="0"/>
        <color rgb="FFF8696B"/>
        <color rgb="FF63BE7B"/>
      </colorScale>
    </cfRule>
  </conditionalFormatting>
  <pageMargins left="0.2" right="0.2" top="0.75" bottom="0.75" header="0.3" footer="0.3"/>
  <pageSetup scale="73" orientation="landscape" r:id="rId1"/>
</worksheet>
</file>

<file path=xl/worksheets/sheet10.xml><?xml version="1.0" encoding="utf-8"?>
<worksheet xmlns="http://schemas.openxmlformats.org/spreadsheetml/2006/main" xmlns:r="http://schemas.openxmlformats.org/officeDocument/2006/relationships">
  <dimension ref="A1:BH226"/>
  <sheetViews>
    <sheetView showGridLines="0" workbookViewId="0">
      <selection activeCell="D7" sqref="D7"/>
    </sheetView>
  </sheetViews>
  <sheetFormatPr defaultRowHeight="15"/>
  <cols>
    <col min="1" max="1" width="13.85546875" customWidth="1"/>
    <col min="2" max="2" width="53.7109375" customWidth="1"/>
    <col min="3" max="3" width="5.28515625" customWidth="1"/>
    <col min="4" max="4" width="48.140625" customWidth="1"/>
    <col min="5" max="5" width="3.5703125" customWidth="1"/>
    <col min="6" max="6" width="48.42578125" customWidth="1"/>
    <col min="7" max="7" width="14.140625" customWidth="1"/>
  </cols>
  <sheetData>
    <row r="1" spans="1:60">
      <c r="A1" s="105"/>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row>
    <row r="2" spans="1:60">
      <c r="A2" s="105"/>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row>
    <row r="3" spans="1:60">
      <c r="A3" s="105"/>
      <c r="B3" s="105"/>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row>
    <row r="4" spans="1:60">
      <c r="A4" s="105"/>
      <c r="B4" s="105"/>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row>
    <row r="5" spans="1:60">
      <c r="A5" s="105"/>
      <c r="B5" s="105"/>
      <c r="C5" s="105"/>
      <c r="D5" s="105"/>
      <c r="E5" s="105"/>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c r="BE5" s="104"/>
      <c r="BF5" s="104"/>
      <c r="BG5" s="104"/>
      <c r="BH5" s="104"/>
    </row>
    <row r="6" spans="1:60">
      <c r="A6" s="105"/>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row>
    <row r="7" spans="1:60">
      <c r="A7" s="105"/>
      <c r="B7" s="105"/>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4"/>
      <c r="AF7" s="104"/>
      <c r="AG7" s="104"/>
      <c r="AH7" s="104"/>
      <c r="AI7" s="104"/>
      <c r="AJ7" s="104"/>
      <c r="AK7" s="104"/>
      <c r="AL7" s="104"/>
      <c r="AM7" s="104"/>
      <c r="AN7" s="104"/>
      <c r="AO7" s="104"/>
      <c r="AP7" s="104"/>
      <c r="AQ7" s="104"/>
      <c r="AR7" s="104"/>
      <c r="AS7" s="104"/>
      <c r="AT7" s="104"/>
      <c r="AU7" s="104"/>
      <c r="AV7" s="104"/>
      <c r="AW7" s="104"/>
      <c r="AX7" s="104"/>
      <c r="AY7" s="104"/>
      <c r="AZ7" s="104"/>
      <c r="BA7" s="104"/>
      <c r="BB7" s="104"/>
      <c r="BC7" s="104"/>
      <c r="BD7" s="104"/>
      <c r="BE7" s="104"/>
      <c r="BF7" s="104"/>
      <c r="BG7" s="104"/>
      <c r="BH7" s="104"/>
    </row>
    <row r="8" spans="1:60">
      <c r="A8" s="105"/>
      <c r="B8" s="105"/>
      <c r="C8" s="105"/>
      <c r="D8" s="105"/>
      <c r="E8" s="105"/>
      <c r="F8" s="10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4"/>
      <c r="AF8" s="104"/>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c r="BG8" s="104"/>
      <c r="BH8" s="104"/>
    </row>
    <row r="9" spans="1:60">
      <c r="A9" s="105"/>
      <c r="B9" s="105"/>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row>
    <row r="10" spans="1:60">
      <c r="A10" s="105"/>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row>
    <row r="11" spans="1:60">
      <c r="A11" s="105"/>
      <c r="B11" s="105"/>
      <c r="C11" s="105"/>
      <c r="D11" s="105"/>
      <c r="E11" s="105"/>
      <c r="F11" s="105"/>
      <c r="G11" s="105"/>
      <c r="H11" s="105"/>
      <c r="I11" s="105"/>
      <c r="J11" s="105"/>
      <c r="K11" s="105"/>
      <c r="L11" s="105"/>
      <c r="M11" s="105"/>
      <c r="N11" s="105"/>
      <c r="O11" s="105"/>
      <c r="P11" s="105"/>
      <c r="Q11" s="105"/>
      <c r="R11" s="105"/>
      <c r="S11" s="105"/>
      <c r="T11" s="105"/>
      <c r="U11" s="105"/>
      <c r="V11" s="105"/>
      <c r="W11" s="105"/>
      <c r="X11" s="105"/>
      <c r="Y11" s="105"/>
      <c r="Z11" s="105"/>
      <c r="AA11" s="105"/>
      <c r="AB11" s="105"/>
      <c r="AC11" s="105"/>
      <c r="AD11" s="105"/>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row>
    <row r="12" spans="1:60">
      <c r="A12" s="105"/>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c r="AA12" s="105"/>
      <c r="AB12" s="105"/>
      <c r="AC12" s="105"/>
      <c r="AD12" s="105"/>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row>
    <row r="13" spans="1:60">
      <c r="A13" s="105"/>
      <c r="B13" s="105"/>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row>
    <row r="14" spans="1:60">
      <c r="A14" s="105"/>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c r="AC14" s="105"/>
      <c r="AD14" s="105"/>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row>
    <row r="15" spans="1:60">
      <c r="A15" s="105"/>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row>
    <row r="16" spans="1:60">
      <c r="A16" s="105"/>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c r="AA16" s="105"/>
      <c r="AB16" s="105"/>
      <c r="AC16" s="105"/>
      <c r="AD16" s="105"/>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row>
    <row r="17" spans="1:60">
      <c r="A17" s="105"/>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row>
    <row r="18" spans="1:60">
      <c r="A18" s="105"/>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row>
    <row r="19" spans="1:60">
      <c r="A19" s="105"/>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row>
    <row r="20" spans="1:60">
      <c r="A20" s="105"/>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c r="BE20" s="104"/>
      <c r="BF20" s="104"/>
      <c r="BG20" s="104"/>
      <c r="BH20" s="104"/>
    </row>
    <row r="21" spans="1:60">
      <c r="A21" s="105"/>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c r="AD21" s="105"/>
      <c r="AE21" s="104"/>
      <c r="AF21" s="104"/>
      <c r="AG21" s="104"/>
      <c r="AH21" s="104"/>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row>
    <row r="22" spans="1:60">
      <c r="A22" s="105"/>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row>
    <row r="23" spans="1:60">
      <c r="A23" s="105"/>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row>
    <row r="24" spans="1:60">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row>
    <row r="25" spans="1:60">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row>
    <row r="26" spans="1:60">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row>
    <row r="27" spans="1:60">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row>
    <row r="28" spans="1:60">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row>
    <row r="29" spans="1:60">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row>
    <row r="30" spans="1:60">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c r="BD30" s="104"/>
      <c r="BE30" s="104"/>
      <c r="BF30" s="104"/>
      <c r="BG30" s="104"/>
      <c r="BH30" s="104"/>
    </row>
    <row r="31" spans="1:60">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row>
    <row r="32" spans="1:60">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row>
    <row r="33" spans="1:60">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105"/>
      <c r="AC33" s="105"/>
      <c r="AD33" s="105"/>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row>
    <row r="34" spans="1:60">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row>
    <row r="35" spans="1:60">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row>
    <row r="36" spans="1:60">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c r="BG36" s="104"/>
      <c r="BH36" s="104"/>
    </row>
    <row r="37" spans="1:60">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row>
    <row r="38" spans="1:60">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row>
    <row r="39" spans="1:60">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row>
    <row r="40" spans="1:60">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row>
    <row r="41" spans="1:60">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row>
    <row r="42" spans="1:60">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row>
    <row r="43" spans="1:60">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row>
    <row r="44" spans="1:60">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row>
    <row r="45" spans="1:60">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4"/>
      <c r="AF45" s="104"/>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row>
    <row r="46" spans="1:60">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4"/>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row>
    <row r="47" spans="1:60">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row>
    <row r="48" spans="1:60">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row>
    <row r="49" spans="1:60">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row>
    <row r="50" spans="1:60">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4"/>
      <c r="AF50" s="104"/>
      <c r="AG50" s="104"/>
      <c r="AH50" s="104"/>
      <c r="AI50" s="104"/>
      <c r="AJ50" s="104"/>
      <c r="AK50" s="104"/>
      <c r="AL50" s="104"/>
      <c r="AM50" s="104"/>
      <c r="AN50" s="104"/>
      <c r="AO50" s="104"/>
      <c r="AP50" s="104"/>
      <c r="AQ50" s="104"/>
      <c r="AR50" s="104"/>
      <c r="AS50" s="104"/>
      <c r="AT50" s="104"/>
      <c r="AU50" s="104"/>
      <c r="AV50" s="104"/>
      <c r="AW50" s="104"/>
      <c r="AX50" s="104"/>
      <c r="AY50" s="104"/>
      <c r="AZ50" s="104"/>
      <c r="BA50" s="104"/>
      <c r="BB50" s="104"/>
      <c r="BC50" s="104"/>
      <c r="BD50" s="104"/>
      <c r="BE50" s="104"/>
      <c r="BF50" s="104"/>
      <c r="BG50" s="104"/>
      <c r="BH50" s="104"/>
    </row>
    <row r="51" spans="1:60">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4"/>
      <c r="AF51" s="104"/>
      <c r="AG51" s="104"/>
      <c r="AH51" s="104"/>
      <c r="AI51" s="104"/>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4"/>
    </row>
    <row r="52" spans="1:60">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4"/>
      <c r="AF52" s="104"/>
      <c r="AG52" s="104"/>
      <c r="AH52" s="104"/>
      <c r="AI52" s="104"/>
      <c r="AJ52" s="104"/>
      <c r="AK52" s="104"/>
      <c r="AL52" s="104"/>
      <c r="AM52" s="104"/>
      <c r="AN52" s="104"/>
      <c r="AO52" s="104"/>
      <c r="AP52" s="104"/>
      <c r="AQ52" s="104"/>
      <c r="AR52" s="104"/>
      <c r="AS52" s="104"/>
      <c r="AT52" s="104"/>
      <c r="AU52" s="104"/>
      <c r="AV52" s="104"/>
      <c r="AW52" s="104"/>
      <c r="AX52" s="104"/>
      <c r="AY52" s="104"/>
      <c r="AZ52" s="104"/>
      <c r="BA52" s="104"/>
      <c r="BB52" s="104"/>
      <c r="BC52" s="104"/>
      <c r="BD52" s="104"/>
      <c r="BE52" s="104"/>
      <c r="BF52" s="104"/>
      <c r="BG52" s="104"/>
      <c r="BH52" s="104"/>
    </row>
    <row r="53" spans="1:60">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4"/>
      <c r="AF53" s="104"/>
      <c r="AG53" s="104"/>
      <c r="AH53" s="104"/>
      <c r="AI53" s="104"/>
      <c r="AJ53" s="104"/>
      <c r="AK53" s="104"/>
      <c r="AL53" s="104"/>
      <c r="AM53" s="104"/>
      <c r="AN53" s="104"/>
      <c r="AO53" s="104"/>
      <c r="AP53" s="104"/>
      <c r="AQ53" s="104"/>
      <c r="AR53" s="104"/>
      <c r="AS53" s="104"/>
      <c r="AT53" s="104"/>
      <c r="AU53" s="104"/>
      <c r="AV53" s="104"/>
      <c r="AW53" s="104"/>
      <c r="AX53" s="104"/>
      <c r="AY53" s="104"/>
      <c r="AZ53" s="104"/>
      <c r="BA53" s="104"/>
      <c r="BB53" s="104"/>
      <c r="BC53" s="104"/>
      <c r="BD53" s="104"/>
      <c r="BE53" s="104"/>
      <c r="BF53" s="104"/>
      <c r="BG53" s="104"/>
      <c r="BH53" s="104"/>
    </row>
    <row r="54" spans="1:60">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4"/>
      <c r="AF54" s="104"/>
      <c r="AG54" s="104"/>
      <c r="AH54" s="104"/>
      <c r="AI54" s="104"/>
      <c r="AJ54" s="104"/>
      <c r="AK54" s="104"/>
      <c r="AL54" s="104"/>
      <c r="AM54" s="104"/>
      <c r="AN54" s="104"/>
      <c r="AO54" s="104"/>
      <c r="AP54" s="104"/>
      <c r="AQ54" s="104"/>
      <c r="AR54" s="104"/>
      <c r="AS54" s="104"/>
      <c r="AT54" s="104"/>
      <c r="AU54" s="104"/>
      <c r="AV54" s="104"/>
      <c r="AW54" s="104"/>
      <c r="AX54" s="104"/>
      <c r="AY54" s="104"/>
      <c r="AZ54" s="104"/>
      <c r="BA54" s="104"/>
      <c r="BB54" s="104"/>
      <c r="BC54" s="104"/>
      <c r="BD54" s="104"/>
      <c r="BE54" s="104"/>
      <c r="BF54" s="104"/>
      <c r="BG54" s="104"/>
      <c r="BH54" s="104"/>
    </row>
    <row r="55" spans="1:60">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4"/>
      <c r="AF55" s="104"/>
      <c r="AG55" s="104"/>
      <c r="AH55" s="104"/>
      <c r="AI55" s="104"/>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4"/>
    </row>
    <row r="56" spans="1:60">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4"/>
      <c r="AF56" s="104"/>
      <c r="AG56" s="104"/>
      <c r="AH56" s="104"/>
      <c r="AI56" s="104"/>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104"/>
      <c r="BH56" s="104"/>
    </row>
    <row r="57" spans="1:60">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4"/>
      <c r="AF57" s="104"/>
      <c r="AG57" s="104"/>
      <c r="AH57" s="104"/>
      <c r="AI57" s="104"/>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4"/>
    </row>
    <row r="58" spans="1:60">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4"/>
      <c r="AF58" s="104"/>
      <c r="AG58" s="104"/>
      <c r="AH58" s="104"/>
      <c r="AI58" s="104"/>
      <c r="AJ58" s="104"/>
      <c r="AK58" s="104"/>
      <c r="AL58" s="104"/>
      <c r="AM58" s="104"/>
      <c r="AN58" s="104"/>
      <c r="AO58" s="104"/>
      <c r="AP58" s="104"/>
      <c r="AQ58" s="104"/>
      <c r="AR58" s="104"/>
      <c r="AS58" s="104"/>
      <c r="AT58" s="104"/>
      <c r="AU58" s="104"/>
      <c r="AV58" s="104"/>
      <c r="AW58" s="104"/>
      <c r="AX58" s="104"/>
      <c r="AY58" s="104"/>
      <c r="AZ58" s="104"/>
      <c r="BA58" s="104"/>
      <c r="BB58" s="104"/>
      <c r="BC58" s="104"/>
      <c r="BD58" s="104"/>
      <c r="BE58" s="104"/>
      <c r="BF58" s="104"/>
      <c r="BG58" s="104"/>
      <c r="BH58" s="104"/>
    </row>
    <row r="59" spans="1:60">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4"/>
      <c r="AF59" s="104"/>
      <c r="AG59" s="104"/>
      <c r="AH59" s="104"/>
      <c r="AI59" s="104"/>
      <c r="AJ59" s="104"/>
      <c r="AK59" s="104"/>
      <c r="AL59" s="104"/>
      <c r="AM59" s="104"/>
      <c r="AN59" s="104"/>
      <c r="AO59" s="104"/>
      <c r="AP59" s="104"/>
      <c r="AQ59" s="104"/>
      <c r="AR59" s="104"/>
      <c r="AS59" s="104"/>
      <c r="AT59" s="104"/>
      <c r="AU59" s="104"/>
      <c r="AV59" s="104"/>
      <c r="AW59" s="104"/>
      <c r="AX59" s="104"/>
      <c r="AY59" s="104"/>
      <c r="AZ59" s="104"/>
      <c r="BA59" s="104"/>
      <c r="BB59" s="104"/>
      <c r="BC59" s="104"/>
      <c r="BD59" s="104"/>
      <c r="BE59" s="104"/>
      <c r="BF59" s="104"/>
      <c r="BG59" s="104"/>
      <c r="BH59" s="104"/>
    </row>
    <row r="60" spans="1:60">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4"/>
      <c r="AF60" s="104"/>
      <c r="AG60" s="104"/>
      <c r="AH60" s="104"/>
      <c r="AI60" s="104"/>
      <c r="AJ60" s="104"/>
      <c r="AK60" s="104"/>
      <c r="AL60" s="104"/>
      <c r="AM60" s="104"/>
      <c r="AN60" s="104"/>
      <c r="AO60" s="104"/>
      <c r="AP60" s="104"/>
      <c r="AQ60" s="104"/>
      <c r="AR60" s="104"/>
      <c r="AS60" s="104"/>
      <c r="AT60" s="104"/>
      <c r="AU60" s="104"/>
      <c r="AV60" s="104"/>
      <c r="AW60" s="104"/>
      <c r="AX60" s="104"/>
      <c r="AY60" s="104"/>
      <c r="AZ60" s="104"/>
      <c r="BA60" s="104"/>
      <c r="BB60" s="104"/>
      <c r="BC60" s="104"/>
      <c r="BD60" s="104"/>
      <c r="BE60" s="104"/>
      <c r="BF60" s="104"/>
      <c r="BG60" s="104"/>
      <c r="BH60" s="104"/>
    </row>
    <row r="61" spans="1:60">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4"/>
      <c r="AF61" s="104"/>
      <c r="AG61" s="104"/>
      <c r="AH61" s="104"/>
      <c r="AI61" s="104"/>
      <c r="AJ61" s="104"/>
      <c r="AK61" s="104"/>
      <c r="AL61" s="104"/>
      <c r="AM61" s="104"/>
      <c r="AN61" s="104"/>
      <c r="AO61" s="104"/>
      <c r="AP61" s="104"/>
      <c r="AQ61" s="104"/>
      <c r="AR61" s="104"/>
      <c r="AS61" s="104"/>
      <c r="AT61" s="104"/>
      <c r="AU61" s="104"/>
      <c r="AV61" s="104"/>
      <c r="AW61" s="104"/>
      <c r="AX61" s="104"/>
      <c r="AY61" s="104"/>
      <c r="AZ61" s="104"/>
      <c r="BA61" s="104"/>
      <c r="BB61" s="104"/>
      <c r="BC61" s="104"/>
      <c r="BD61" s="104"/>
      <c r="BE61" s="104"/>
      <c r="BF61" s="104"/>
      <c r="BG61" s="104"/>
      <c r="BH61" s="104"/>
    </row>
    <row r="62" spans="1:60">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4"/>
      <c r="AF62" s="104"/>
      <c r="AG62" s="104"/>
      <c r="AH62" s="104"/>
      <c r="AI62" s="104"/>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4"/>
    </row>
    <row r="63" spans="1:60">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4"/>
      <c r="AF63" s="104"/>
      <c r="AG63" s="104"/>
      <c r="AH63" s="104"/>
      <c r="AI63" s="104"/>
      <c r="AJ63" s="104"/>
      <c r="AK63" s="104"/>
      <c r="AL63" s="104"/>
      <c r="AM63" s="104"/>
      <c r="AN63" s="104"/>
      <c r="AO63" s="104"/>
      <c r="AP63" s="104"/>
      <c r="AQ63" s="104"/>
      <c r="AR63" s="104"/>
      <c r="AS63" s="104"/>
      <c r="AT63" s="104"/>
      <c r="AU63" s="104"/>
      <c r="AV63" s="104"/>
      <c r="AW63" s="104"/>
      <c r="AX63" s="104"/>
      <c r="AY63" s="104"/>
      <c r="AZ63" s="104"/>
      <c r="BA63" s="104"/>
      <c r="BB63" s="104"/>
      <c r="BC63" s="104"/>
      <c r="BD63" s="104"/>
      <c r="BE63" s="104"/>
      <c r="BF63" s="104"/>
      <c r="BG63" s="104"/>
      <c r="BH63" s="104"/>
    </row>
    <row r="64" spans="1:60">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4"/>
      <c r="AF64" s="104"/>
      <c r="AG64" s="104"/>
      <c r="AH64" s="104"/>
      <c r="AI64" s="104"/>
      <c r="AJ64" s="104"/>
      <c r="AK64" s="104"/>
      <c r="AL64" s="104"/>
      <c r="AM64" s="104"/>
      <c r="AN64" s="104"/>
      <c r="AO64" s="104"/>
      <c r="AP64" s="104"/>
      <c r="AQ64" s="104"/>
      <c r="AR64" s="104"/>
      <c r="AS64" s="104"/>
      <c r="AT64" s="104"/>
      <c r="AU64" s="104"/>
      <c r="AV64" s="104"/>
      <c r="AW64" s="104"/>
      <c r="AX64" s="104"/>
      <c r="AY64" s="104"/>
      <c r="AZ64" s="104"/>
      <c r="BA64" s="104"/>
      <c r="BB64" s="104"/>
      <c r="BC64" s="104"/>
      <c r="BD64" s="104"/>
      <c r="BE64" s="104"/>
      <c r="BF64" s="104"/>
      <c r="BG64" s="104"/>
      <c r="BH64" s="104"/>
    </row>
    <row r="65" spans="1:60">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4"/>
      <c r="AF65" s="104"/>
      <c r="AG65" s="104"/>
      <c r="AH65" s="104"/>
      <c r="AI65" s="104"/>
      <c r="AJ65" s="104"/>
      <c r="AK65" s="104"/>
      <c r="AL65" s="104"/>
      <c r="AM65" s="104"/>
      <c r="AN65" s="104"/>
      <c r="AO65" s="104"/>
      <c r="AP65" s="104"/>
      <c r="AQ65" s="104"/>
      <c r="AR65" s="104"/>
      <c r="AS65" s="104"/>
      <c r="AT65" s="104"/>
      <c r="AU65" s="104"/>
      <c r="AV65" s="104"/>
      <c r="AW65" s="104"/>
      <c r="AX65" s="104"/>
      <c r="AY65" s="104"/>
      <c r="AZ65" s="104"/>
      <c r="BA65" s="104"/>
      <c r="BB65" s="104"/>
      <c r="BC65" s="104"/>
      <c r="BD65" s="104"/>
      <c r="BE65" s="104"/>
      <c r="BF65" s="104"/>
      <c r="BG65" s="104"/>
      <c r="BH65" s="104"/>
    </row>
    <row r="66" spans="1:60">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4"/>
      <c r="AF66" s="104"/>
      <c r="AG66" s="104"/>
      <c r="AH66" s="104"/>
      <c r="AI66" s="104"/>
      <c r="AJ66" s="104"/>
      <c r="AK66" s="104"/>
      <c r="AL66" s="104"/>
      <c r="AM66" s="104"/>
      <c r="AN66" s="104"/>
      <c r="AO66" s="104"/>
      <c r="AP66" s="104"/>
      <c r="AQ66" s="104"/>
      <c r="AR66" s="104"/>
      <c r="AS66" s="104"/>
      <c r="AT66" s="104"/>
      <c r="AU66" s="104"/>
      <c r="AV66" s="104"/>
      <c r="AW66" s="104"/>
      <c r="AX66" s="104"/>
      <c r="AY66" s="104"/>
      <c r="AZ66" s="104"/>
      <c r="BA66" s="104"/>
      <c r="BB66" s="104"/>
      <c r="BC66" s="104"/>
      <c r="BD66" s="104"/>
      <c r="BE66" s="104"/>
      <c r="BF66" s="104"/>
      <c r="BG66" s="104"/>
      <c r="BH66" s="104"/>
    </row>
    <row r="67" spans="1:60">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4"/>
      <c r="AF67" s="104"/>
      <c r="AG67" s="104"/>
      <c r="AH67" s="104"/>
      <c r="AI67" s="104"/>
      <c r="AJ67" s="104"/>
      <c r="AK67" s="104"/>
      <c r="AL67" s="104"/>
      <c r="AM67" s="104"/>
      <c r="AN67" s="104"/>
      <c r="AO67" s="104"/>
      <c r="AP67" s="104"/>
      <c r="AQ67" s="104"/>
      <c r="AR67" s="104"/>
      <c r="AS67" s="104"/>
      <c r="AT67" s="104"/>
      <c r="AU67" s="104"/>
      <c r="AV67" s="104"/>
      <c r="AW67" s="104"/>
      <c r="AX67" s="104"/>
      <c r="AY67" s="104"/>
      <c r="AZ67" s="104"/>
      <c r="BA67" s="104"/>
      <c r="BB67" s="104"/>
      <c r="BC67" s="104"/>
      <c r="BD67" s="104"/>
      <c r="BE67" s="104"/>
      <c r="BF67" s="104"/>
      <c r="BG67" s="104"/>
      <c r="BH67" s="104"/>
    </row>
    <row r="68" spans="1:60">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4"/>
      <c r="AF68" s="104"/>
      <c r="AG68" s="104"/>
      <c r="AH68" s="104"/>
      <c r="AI68" s="104"/>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row>
    <row r="69" spans="1:60">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4"/>
      <c r="AF69" s="104"/>
      <c r="AG69" s="104"/>
      <c r="AH69" s="104"/>
      <c r="AI69" s="104"/>
      <c r="AJ69" s="104"/>
      <c r="AK69" s="104"/>
      <c r="AL69" s="104"/>
      <c r="AM69" s="104"/>
      <c r="AN69" s="104"/>
      <c r="AO69" s="104"/>
      <c r="AP69" s="104"/>
      <c r="AQ69" s="104"/>
      <c r="AR69" s="104"/>
      <c r="AS69" s="104"/>
      <c r="AT69" s="104"/>
      <c r="AU69" s="104"/>
      <c r="AV69" s="104"/>
      <c r="AW69" s="104"/>
      <c r="AX69" s="104"/>
      <c r="AY69" s="104"/>
      <c r="AZ69" s="104"/>
      <c r="BA69" s="104"/>
      <c r="BB69" s="104"/>
      <c r="BC69" s="104"/>
      <c r="BD69" s="104"/>
      <c r="BE69" s="104"/>
      <c r="BF69" s="104"/>
      <c r="BG69" s="104"/>
      <c r="BH69" s="104"/>
    </row>
    <row r="70" spans="1:60">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row>
    <row r="71" spans="1:60">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4"/>
      <c r="AF71" s="104"/>
      <c r="AG71" s="104"/>
      <c r="AH71" s="104"/>
      <c r="AI71" s="104"/>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4"/>
    </row>
    <row r="72" spans="1:60">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row>
    <row r="73" spans="1:60">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4"/>
      <c r="AF73" s="104"/>
      <c r="AG73" s="104"/>
      <c r="AH73" s="104"/>
      <c r="AI73" s="104"/>
      <c r="AJ73" s="104"/>
      <c r="AK73" s="104"/>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4"/>
    </row>
    <row r="74" spans="1:60">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4"/>
      <c r="AF74" s="104"/>
      <c r="AG74" s="104"/>
      <c r="AH74" s="104"/>
      <c r="AI74" s="104"/>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4"/>
    </row>
    <row r="75" spans="1:60">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4"/>
      <c r="AF75" s="104"/>
      <c r="AG75" s="104"/>
      <c r="AH75" s="104"/>
      <c r="AI75" s="104"/>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row>
    <row r="76" spans="1:60">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4"/>
      <c r="AF76" s="104"/>
      <c r="AG76" s="104"/>
      <c r="AH76" s="104"/>
      <c r="AI76" s="104"/>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row>
    <row r="77" spans="1:60">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4"/>
      <c r="AF77" s="104"/>
      <c r="AG77" s="104"/>
      <c r="AH77" s="104"/>
      <c r="AI77" s="104"/>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row>
    <row r="78" spans="1:60">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4"/>
      <c r="AF78" s="104"/>
      <c r="AG78" s="104"/>
      <c r="AH78" s="104"/>
      <c r="AI78" s="104"/>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c r="BG78" s="104"/>
      <c r="BH78" s="104"/>
    </row>
    <row r="79" spans="1:60">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4"/>
      <c r="AF79" s="104"/>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row>
    <row r="80" spans="1:60">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4"/>
      <c r="AF80" s="104"/>
      <c r="AG80" s="104"/>
      <c r="AH80" s="104"/>
      <c r="AI80" s="104"/>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row>
    <row r="81" spans="1:60">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4"/>
      <c r="AF81" s="104"/>
      <c r="AG81" s="104"/>
      <c r="AH81" s="104"/>
      <c r="AI81" s="104"/>
      <c r="AJ81" s="104"/>
      <c r="AK81" s="104"/>
      <c r="AL81" s="104"/>
      <c r="AM81" s="104"/>
      <c r="AN81" s="104"/>
      <c r="AO81" s="104"/>
      <c r="AP81" s="104"/>
      <c r="AQ81" s="104"/>
      <c r="AR81" s="104"/>
      <c r="AS81" s="104"/>
      <c r="AT81" s="104"/>
      <c r="AU81" s="104"/>
      <c r="AV81" s="104"/>
      <c r="AW81" s="104"/>
      <c r="AX81" s="104"/>
      <c r="AY81" s="104"/>
      <c r="AZ81" s="104"/>
      <c r="BA81" s="104"/>
      <c r="BB81" s="104"/>
      <c r="BC81" s="104"/>
      <c r="BD81" s="104"/>
      <c r="BE81" s="104"/>
      <c r="BF81" s="104"/>
      <c r="BG81" s="104"/>
      <c r="BH81" s="104"/>
    </row>
    <row r="82" spans="1:60">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row>
    <row r="83" spans="1:60">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4"/>
      <c r="AF83" s="104"/>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row>
    <row r="84" spans="1:60">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4"/>
      <c r="AF84" s="104"/>
      <c r="AG84" s="104"/>
      <c r="AH84" s="104"/>
      <c r="AI84" s="104"/>
      <c r="AJ84" s="104"/>
      <c r="AK84" s="104"/>
      <c r="AL84" s="104"/>
      <c r="AM84" s="104"/>
      <c r="AN84" s="104"/>
      <c r="AO84" s="104"/>
      <c r="AP84" s="104"/>
      <c r="AQ84" s="104"/>
      <c r="AR84" s="104"/>
      <c r="AS84" s="104"/>
      <c r="AT84" s="104"/>
      <c r="AU84" s="104"/>
      <c r="AV84" s="104"/>
      <c r="AW84" s="104"/>
      <c r="AX84" s="104"/>
      <c r="AY84" s="104"/>
      <c r="AZ84" s="104"/>
      <c r="BA84" s="104"/>
      <c r="BB84" s="104"/>
      <c r="BC84" s="104"/>
      <c r="BD84" s="104"/>
      <c r="BE84" s="104"/>
      <c r="BF84" s="104"/>
      <c r="BG84" s="104"/>
      <c r="BH84" s="104"/>
    </row>
    <row r="85" spans="1:60">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4"/>
      <c r="AF85" s="104"/>
      <c r="AG85" s="104"/>
      <c r="AH85" s="104"/>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4"/>
    </row>
    <row r="86" spans="1:60">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4"/>
      <c r="AF86" s="104"/>
      <c r="AG86" s="104"/>
      <c r="AH86" s="104"/>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row>
    <row r="87" spans="1:60">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4"/>
      <c r="AF87" s="104"/>
      <c r="AG87" s="104"/>
      <c r="AH87" s="104"/>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row>
    <row r="88" spans="1:60">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4"/>
      <c r="AF88" s="104"/>
      <c r="AG88" s="104"/>
      <c r="AH88" s="104"/>
      <c r="AI88" s="104"/>
      <c r="AJ88" s="104"/>
      <c r="AK88" s="104"/>
      <c r="AL88" s="104"/>
      <c r="AM88" s="104"/>
      <c r="AN88" s="104"/>
      <c r="AO88" s="104"/>
      <c r="AP88" s="104"/>
      <c r="AQ88" s="104"/>
      <c r="AR88" s="104"/>
      <c r="AS88" s="104"/>
      <c r="AT88" s="104"/>
      <c r="AU88" s="104"/>
      <c r="AV88" s="104"/>
      <c r="AW88" s="104"/>
      <c r="AX88" s="104"/>
      <c r="AY88" s="104"/>
      <c r="AZ88" s="104"/>
      <c r="BA88" s="104"/>
      <c r="BB88" s="104"/>
      <c r="BC88" s="104"/>
      <c r="BD88" s="104"/>
      <c r="BE88" s="104"/>
      <c r="BF88" s="104"/>
      <c r="BG88" s="104"/>
      <c r="BH88" s="104"/>
    </row>
    <row r="89" spans="1:60">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c r="AE89" s="104"/>
      <c r="AF89" s="104"/>
      <c r="AG89" s="104"/>
      <c r="AH89" s="104"/>
      <c r="AI89" s="104"/>
      <c r="AJ89" s="104"/>
      <c r="AK89" s="104"/>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4"/>
    </row>
    <row r="90" spans="1:60">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4"/>
      <c r="AF90" s="104"/>
      <c r="AG90" s="104"/>
      <c r="AH90" s="104"/>
      <c r="AI90" s="104"/>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4"/>
    </row>
    <row r="91" spans="1:60">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4"/>
      <c r="AF91" s="104"/>
      <c r="AG91" s="104"/>
      <c r="AH91" s="104"/>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4"/>
    </row>
    <row r="92" spans="1:60">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4"/>
      <c r="AF92" s="104"/>
      <c r="AG92" s="104"/>
      <c r="AH92" s="104"/>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c r="BG92" s="104"/>
      <c r="BH92" s="104"/>
    </row>
    <row r="93" spans="1:60">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4"/>
      <c r="AF93" s="104"/>
      <c r="AG93" s="104"/>
      <c r="AH93" s="104"/>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row>
    <row r="94" spans="1:60">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4"/>
      <c r="AF94" s="104"/>
      <c r="AG94" s="104"/>
      <c r="AH94" s="104"/>
      <c r="AI94" s="104"/>
      <c r="AJ94" s="104"/>
      <c r="AK94" s="104"/>
      <c r="AL94" s="104"/>
      <c r="AM94" s="104"/>
      <c r="AN94" s="104"/>
      <c r="AO94" s="104"/>
      <c r="AP94" s="104"/>
      <c r="AQ94" s="104"/>
      <c r="AR94" s="104"/>
      <c r="AS94" s="104"/>
      <c r="AT94" s="104"/>
      <c r="AU94" s="104"/>
      <c r="AV94" s="104"/>
      <c r="AW94" s="104"/>
      <c r="AX94" s="104"/>
      <c r="AY94" s="104"/>
      <c r="AZ94" s="104"/>
      <c r="BA94" s="104"/>
      <c r="BB94" s="104"/>
      <c r="BC94" s="104"/>
      <c r="BD94" s="104"/>
      <c r="BE94" s="104"/>
      <c r="BF94" s="104"/>
      <c r="BG94" s="104"/>
      <c r="BH94" s="104"/>
    </row>
    <row r="95" spans="1:60">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4"/>
      <c r="AF95" s="104"/>
      <c r="AG95" s="104"/>
      <c r="AH95" s="104"/>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04"/>
      <c r="BF95" s="104"/>
      <c r="BG95" s="104"/>
      <c r="BH95" s="104"/>
    </row>
    <row r="96" spans="1:60">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4"/>
      <c r="AF96" s="104"/>
      <c r="AG96" s="104"/>
      <c r="AH96" s="104"/>
      <c r="AI96" s="104"/>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4"/>
    </row>
    <row r="97" spans="1:60">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4"/>
      <c r="AF97" s="104"/>
      <c r="AG97" s="104"/>
      <c r="AH97" s="104"/>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row>
    <row r="98" spans="1:60">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4"/>
      <c r="AF98" s="104"/>
      <c r="AG98" s="104"/>
      <c r="AH98" s="104"/>
      <c r="AI98" s="104"/>
      <c r="AJ98" s="104"/>
      <c r="AK98" s="104"/>
      <c r="AL98" s="104"/>
      <c r="AM98" s="104"/>
      <c r="AN98" s="104"/>
      <c r="AO98" s="104"/>
      <c r="AP98" s="104"/>
      <c r="AQ98" s="104"/>
      <c r="AR98" s="104"/>
      <c r="AS98" s="104"/>
      <c r="AT98" s="104"/>
      <c r="AU98" s="104"/>
      <c r="AV98" s="104"/>
      <c r="AW98" s="104"/>
      <c r="AX98" s="104"/>
      <c r="AY98" s="104"/>
      <c r="AZ98" s="104"/>
      <c r="BA98" s="104"/>
      <c r="BB98" s="104"/>
      <c r="BC98" s="104"/>
      <c r="BD98" s="104"/>
      <c r="BE98" s="104"/>
      <c r="BF98" s="104"/>
      <c r="BG98" s="104"/>
      <c r="BH98" s="104"/>
    </row>
    <row r="99" spans="1:60">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4"/>
      <c r="AF99" s="104"/>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row>
    <row r="100" spans="1:60">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4"/>
      <c r="AF100" s="104"/>
      <c r="AG100" s="104"/>
      <c r="AH100" s="104"/>
      <c r="AI100" s="104"/>
      <c r="AJ100" s="104"/>
      <c r="AK100" s="104"/>
      <c r="AL100" s="104"/>
      <c r="AM100" s="104"/>
      <c r="AN100" s="104"/>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row>
    <row r="101" spans="1:60">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4"/>
      <c r="AF101" s="104"/>
      <c r="AG101" s="104"/>
      <c r="AH101" s="104"/>
      <c r="AI101" s="104"/>
      <c r="AJ101" s="104"/>
      <c r="AK101" s="104"/>
      <c r="AL101" s="104"/>
      <c r="AM101" s="104"/>
      <c r="AN101" s="104"/>
      <c r="AO101" s="104"/>
      <c r="AP101" s="104"/>
      <c r="AQ101" s="104"/>
      <c r="AR101" s="104"/>
      <c r="AS101" s="104"/>
      <c r="AT101" s="104"/>
      <c r="AU101" s="104"/>
      <c r="AV101" s="104"/>
      <c r="AW101" s="104"/>
      <c r="AX101" s="104"/>
      <c r="AY101" s="104"/>
      <c r="AZ101" s="104"/>
      <c r="BA101" s="104"/>
      <c r="BB101" s="104"/>
      <c r="BC101" s="104"/>
      <c r="BD101" s="104"/>
      <c r="BE101" s="104"/>
      <c r="BF101" s="104"/>
      <c r="BG101" s="104"/>
      <c r="BH101" s="104"/>
    </row>
    <row r="102" spans="1:60">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4"/>
      <c r="AF102" s="104"/>
      <c r="AG102" s="104"/>
      <c r="AH102" s="104"/>
      <c r="AI102" s="104"/>
      <c r="AJ102" s="104"/>
      <c r="AK102" s="104"/>
      <c r="AL102" s="104"/>
      <c r="AM102" s="104"/>
      <c r="AN102" s="104"/>
      <c r="AO102" s="104"/>
      <c r="AP102" s="104"/>
      <c r="AQ102" s="104"/>
      <c r="AR102" s="104"/>
      <c r="AS102" s="104"/>
      <c r="AT102" s="104"/>
      <c r="AU102" s="104"/>
      <c r="AV102" s="104"/>
      <c r="AW102" s="104"/>
      <c r="AX102" s="104"/>
      <c r="AY102" s="104"/>
      <c r="AZ102" s="104"/>
      <c r="BA102" s="104"/>
      <c r="BB102" s="104"/>
      <c r="BC102" s="104"/>
      <c r="BD102" s="104"/>
      <c r="BE102" s="104"/>
      <c r="BF102" s="104"/>
      <c r="BG102" s="104"/>
      <c r="BH102" s="104"/>
    </row>
    <row r="103" spans="1:60">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4"/>
      <c r="AF103" s="104"/>
      <c r="AG103" s="104"/>
      <c r="AH103" s="104"/>
      <c r="AI103" s="104"/>
      <c r="AJ103" s="104"/>
      <c r="AK103" s="104"/>
      <c r="AL103" s="104"/>
      <c r="AM103" s="104"/>
      <c r="AN103" s="104"/>
      <c r="AO103" s="104"/>
      <c r="AP103" s="104"/>
      <c r="AQ103" s="104"/>
      <c r="AR103" s="104"/>
      <c r="AS103" s="104"/>
      <c r="AT103" s="104"/>
      <c r="AU103" s="104"/>
      <c r="AV103" s="104"/>
      <c r="AW103" s="104"/>
      <c r="AX103" s="104"/>
      <c r="AY103" s="104"/>
      <c r="AZ103" s="104"/>
      <c r="BA103" s="104"/>
      <c r="BB103" s="104"/>
      <c r="BC103" s="104"/>
      <c r="BD103" s="104"/>
      <c r="BE103" s="104"/>
      <c r="BF103" s="104"/>
      <c r="BG103" s="104"/>
      <c r="BH103" s="104"/>
    </row>
    <row r="104" spans="1:60">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4"/>
      <c r="AF104" s="104"/>
      <c r="AG104" s="104"/>
      <c r="AH104" s="104"/>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row>
    <row r="105" spans="1:60">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4"/>
      <c r="AF105" s="104"/>
      <c r="AG105" s="104"/>
      <c r="AH105" s="104"/>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104"/>
      <c r="BH105" s="104"/>
    </row>
    <row r="106" spans="1:60">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4"/>
      <c r="AF106" s="104"/>
      <c r="AG106" s="104"/>
      <c r="AH106" s="104"/>
      <c r="AI106" s="104"/>
      <c r="AJ106" s="104"/>
      <c r="AK106" s="104"/>
      <c r="AL106" s="104"/>
      <c r="AM106" s="104"/>
      <c r="AN106" s="104"/>
      <c r="AO106" s="104"/>
      <c r="AP106" s="104"/>
      <c r="AQ106" s="104"/>
      <c r="AR106" s="104"/>
      <c r="AS106" s="104"/>
      <c r="AT106" s="104"/>
      <c r="AU106" s="104"/>
      <c r="AV106" s="104"/>
      <c r="AW106" s="104"/>
      <c r="AX106" s="104"/>
      <c r="AY106" s="104"/>
      <c r="AZ106" s="104"/>
      <c r="BA106" s="104"/>
      <c r="BB106" s="104"/>
      <c r="BC106" s="104"/>
      <c r="BD106" s="104"/>
      <c r="BE106" s="104"/>
      <c r="BF106" s="104"/>
      <c r="BG106" s="104"/>
      <c r="BH106" s="104"/>
    </row>
    <row r="107" spans="1:60">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4"/>
      <c r="AF107" s="104"/>
      <c r="AG107" s="104"/>
      <c r="AH107" s="104"/>
      <c r="AI107" s="104"/>
      <c r="AJ107" s="104"/>
      <c r="AK107" s="104"/>
      <c r="AL107" s="104"/>
      <c r="AM107" s="104"/>
      <c r="AN107" s="104"/>
      <c r="AO107" s="104"/>
      <c r="AP107" s="104"/>
      <c r="AQ107" s="104"/>
      <c r="AR107" s="104"/>
      <c r="AS107" s="104"/>
      <c r="AT107" s="104"/>
      <c r="AU107" s="104"/>
      <c r="AV107" s="104"/>
      <c r="AW107" s="104"/>
      <c r="AX107" s="104"/>
      <c r="AY107" s="104"/>
      <c r="AZ107" s="104"/>
      <c r="BA107" s="104"/>
      <c r="BB107" s="104"/>
      <c r="BC107" s="104"/>
      <c r="BD107" s="104"/>
      <c r="BE107" s="104"/>
      <c r="BF107" s="104"/>
      <c r="BG107" s="104"/>
      <c r="BH107" s="104"/>
    </row>
    <row r="108" spans="1:60">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4"/>
      <c r="AF108" s="104"/>
      <c r="AG108" s="104"/>
      <c r="AH108" s="104"/>
      <c r="AI108" s="104"/>
      <c r="AJ108" s="104"/>
      <c r="AK108" s="104"/>
      <c r="AL108" s="104"/>
      <c r="AM108" s="104"/>
      <c r="AN108" s="104"/>
      <c r="AO108" s="104"/>
      <c r="AP108" s="104"/>
      <c r="AQ108" s="104"/>
      <c r="AR108" s="104"/>
      <c r="AS108" s="104"/>
      <c r="AT108" s="104"/>
      <c r="AU108" s="104"/>
      <c r="AV108" s="104"/>
      <c r="AW108" s="104"/>
      <c r="AX108" s="104"/>
      <c r="AY108" s="104"/>
      <c r="AZ108" s="104"/>
      <c r="BA108" s="104"/>
      <c r="BB108" s="104"/>
      <c r="BC108" s="104"/>
      <c r="BD108" s="104"/>
      <c r="BE108" s="104"/>
      <c r="BF108" s="104"/>
      <c r="BG108" s="104"/>
      <c r="BH108" s="104"/>
    </row>
    <row r="109" spans="1:60">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4"/>
      <c r="AF109" s="104"/>
      <c r="AG109" s="104"/>
      <c r="AH109" s="104"/>
      <c r="AI109" s="104"/>
      <c r="AJ109" s="104"/>
      <c r="AK109" s="104"/>
      <c r="AL109" s="104"/>
      <c r="AM109" s="104"/>
      <c r="AN109" s="104"/>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row>
    <row r="110" spans="1:60">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4"/>
      <c r="AF110" s="104"/>
      <c r="AG110" s="104"/>
      <c r="AH110" s="104"/>
      <c r="AI110" s="104"/>
      <c r="AJ110" s="104"/>
      <c r="AK110" s="104"/>
      <c r="AL110" s="104"/>
      <c r="AM110" s="104"/>
      <c r="AN110" s="104"/>
      <c r="AO110" s="104"/>
      <c r="AP110" s="104"/>
      <c r="AQ110" s="104"/>
      <c r="AR110" s="104"/>
      <c r="AS110" s="104"/>
      <c r="AT110" s="104"/>
      <c r="AU110" s="104"/>
      <c r="AV110" s="104"/>
      <c r="AW110" s="104"/>
      <c r="AX110" s="104"/>
      <c r="AY110" s="104"/>
      <c r="AZ110" s="104"/>
      <c r="BA110" s="104"/>
      <c r="BB110" s="104"/>
      <c r="BC110" s="104"/>
      <c r="BD110" s="104"/>
      <c r="BE110" s="104"/>
      <c r="BF110" s="104"/>
      <c r="BG110" s="104"/>
      <c r="BH110" s="104"/>
    </row>
    <row r="111" spans="1:60">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4"/>
      <c r="AF111" s="104"/>
      <c r="AG111" s="104"/>
      <c r="AH111" s="104"/>
      <c r="AI111" s="104"/>
      <c r="AJ111" s="104"/>
      <c r="AK111" s="104"/>
      <c r="AL111" s="104"/>
      <c r="AM111" s="104"/>
      <c r="AN111" s="104"/>
      <c r="AO111" s="104"/>
      <c r="AP111" s="104"/>
      <c r="AQ111" s="104"/>
      <c r="AR111" s="104"/>
      <c r="AS111" s="104"/>
      <c r="AT111" s="104"/>
      <c r="AU111" s="104"/>
      <c r="AV111" s="104"/>
      <c r="AW111" s="104"/>
      <c r="AX111" s="104"/>
      <c r="AY111" s="104"/>
      <c r="AZ111" s="104"/>
      <c r="BA111" s="104"/>
      <c r="BB111" s="104"/>
      <c r="BC111" s="104"/>
      <c r="BD111" s="104"/>
      <c r="BE111" s="104"/>
      <c r="BF111" s="104"/>
      <c r="BG111" s="104"/>
      <c r="BH111" s="104"/>
    </row>
    <row r="112" spans="1:60">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4"/>
      <c r="AF112" s="104"/>
      <c r="AG112" s="104"/>
      <c r="AH112" s="104"/>
      <c r="AI112" s="104"/>
      <c r="AJ112" s="104"/>
      <c r="AK112" s="104"/>
      <c r="AL112" s="104"/>
      <c r="AM112" s="104"/>
      <c r="AN112" s="104"/>
      <c r="AO112" s="104"/>
      <c r="AP112" s="104"/>
      <c r="AQ112" s="104"/>
      <c r="AR112" s="104"/>
      <c r="AS112" s="104"/>
      <c r="AT112" s="104"/>
      <c r="AU112" s="104"/>
      <c r="AV112" s="104"/>
      <c r="AW112" s="104"/>
      <c r="AX112" s="104"/>
      <c r="AY112" s="104"/>
      <c r="AZ112" s="104"/>
      <c r="BA112" s="104"/>
      <c r="BB112" s="104"/>
      <c r="BC112" s="104"/>
      <c r="BD112" s="104"/>
      <c r="BE112" s="104"/>
      <c r="BF112" s="104"/>
      <c r="BG112" s="104"/>
      <c r="BH112" s="104"/>
    </row>
    <row r="113" spans="1:60">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row>
    <row r="114" spans="1:60">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4"/>
      <c r="AF114" s="104"/>
      <c r="AG114" s="104"/>
      <c r="AH114" s="104"/>
      <c r="AI114" s="104"/>
      <c r="AJ114" s="104"/>
      <c r="AK114" s="104"/>
      <c r="AL114" s="104"/>
      <c r="AM114" s="104"/>
      <c r="AN114" s="104"/>
      <c r="AO114" s="104"/>
      <c r="AP114" s="104"/>
      <c r="AQ114" s="104"/>
      <c r="AR114" s="104"/>
      <c r="AS114" s="104"/>
      <c r="AT114" s="104"/>
      <c r="AU114" s="104"/>
      <c r="AV114" s="104"/>
      <c r="AW114" s="104"/>
      <c r="AX114" s="104"/>
      <c r="AY114" s="104"/>
      <c r="AZ114" s="104"/>
      <c r="BA114" s="104"/>
      <c r="BB114" s="104"/>
      <c r="BC114" s="104"/>
      <c r="BD114" s="104"/>
      <c r="BE114" s="104"/>
      <c r="BF114" s="104"/>
      <c r="BG114" s="104"/>
      <c r="BH114" s="104"/>
    </row>
    <row r="115" spans="1:60">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4"/>
      <c r="AF115" s="104"/>
      <c r="AG115" s="104"/>
      <c r="AH115" s="104"/>
      <c r="AI115" s="104"/>
      <c r="AJ115" s="104"/>
      <c r="AK115" s="104"/>
      <c r="AL115" s="104"/>
      <c r="AM115" s="104"/>
      <c r="AN115" s="104"/>
      <c r="AO115" s="104"/>
      <c r="AP115" s="104"/>
      <c r="AQ115" s="104"/>
      <c r="AR115" s="104"/>
      <c r="AS115" s="104"/>
      <c r="AT115" s="104"/>
      <c r="AU115" s="104"/>
      <c r="AV115" s="104"/>
      <c r="AW115" s="104"/>
      <c r="AX115" s="104"/>
      <c r="AY115" s="104"/>
      <c r="AZ115" s="104"/>
      <c r="BA115" s="104"/>
      <c r="BB115" s="104"/>
      <c r="BC115" s="104"/>
      <c r="BD115" s="104"/>
      <c r="BE115" s="104"/>
      <c r="BF115" s="104"/>
      <c r="BG115" s="104"/>
      <c r="BH115" s="104"/>
    </row>
    <row r="116" spans="1:60">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4"/>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row>
    <row r="117" spans="1:60">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row>
    <row r="118" spans="1:60">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row>
    <row r="119" spans="1:60">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row>
    <row r="120" spans="1:60">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row>
    <row r="121" spans="1:60">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row>
    <row r="122" spans="1:60">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row>
    <row r="123" spans="1:60">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row>
    <row r="124" spans="1:60">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row>
    <row r="125" spans="1:60">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row>
    <row r="126" spans="1:60">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row>
    <row r="127" spans="1:60">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row>
    <row r="128" spans="1:60">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row>
    <row r="129" spans="1:60">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row>
    <row r="130" spans="1:60">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row>
    <row r="131" spans="1:60">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row>
    <row r="132" spans="1:60">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row>
    <row r="133" spans="1:60">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row>
    <row r="134" spans="1:60">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row>
    <row r="135" spans="1:60">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row>
    <row r="136" spans="1:60">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row>
    <row r="137" spans="1:60">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row>
    <row r="138" spans="1:60">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row>
    <row r="139" spans="1:60">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row>
    <row r="140" spans="1:60">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row>
    <row r="141" spans="1:60">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row>
    <row r="142" spans="1:60">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row>
    <row r="143" spans="1:60">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row>
    <row r="144" spans="1:60">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row>
    <row r="145" spans="1:60">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row>
    <row r="146" spans="1:60">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row>
    <row r="147" spans="1:60">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row>
    <row r="148" spans="1:60">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row>
    <row r="149" spans="1:60">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row>
    <row r="150" spans="1:60">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row>
    <row r="151" spans="1:60">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row>
    <row r="152" spans="1:60">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row>
    <row r="153" spans="1:60">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row>
    <row r="154" spans="1:60">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row>
    <row r="155" spans="1:60">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row>
    <row r="156" spans="1:60">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row>
    <row r="157" spans="1:60">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row>
    <row r="158" spans="1:60">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row>
    <row r="159" spans="1:60">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row>
    <row r="160" spans="1:60">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row>
    <row r="161" spans="1:60">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row>
    <row r="162" spans="1:60">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row>
    <row r="163" spans="1:60">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row>
    <row r="164" spans="1:60">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row>
    <row r="165" spans="1:60">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row>
    <row r="166" spans="1:60">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row>
    <row r="167" spans="1:60">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row>
    <row r="168" spans="1:60">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row>
    <row r="169" spans="1:60">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row>
    <row r="170" spans="1:60">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row>
    <row r="171" spans="1:60">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row>
    <row r="172" spans="1:60">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row>
    <row r="173" spans="1:60">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row>
    <row r="174" spans="1:60">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row>
    <row r="175" spans="1:60">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row>
    <row r="176" spans="1:60">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row>
    <row r="177" spans="1:60">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row>
    <row r="178" spans="1:60">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row>
    <row r="179" spans="1:60">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row>
    <row r="180" spans="1:60">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row>
    <row r="181" spans="1:60">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row>
    <row r="182" spans="1:60">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row>
    <row r="183" spans="1:60">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row>
    <row r="184" spans="1:60">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row>
    <row r="185" spans="1:60">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row>
    <row r="186" spans="1:60">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row>
    <row r="187" spans="1:60">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row>
    <row r="188" spans="1:60">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row>
    <row r="189" spans="1:60">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row>
    <row r="190" spans="1:60">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row>
    <row r="191" spans="1:60">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spans="1:60">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spans="1:30">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spans="1:30">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spans="1:30">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spans="1:30">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spans="1:30">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spans="1:30">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spans="1:30">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spans="1:3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spans="1:30">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spans="1:30">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spans="1:30">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spans="1:30">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spans="1:30">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spans="1:30">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spans="1:30">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spans="1:30">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spans="1:30">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spans="1:3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spans="1:30">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spans="1:30">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spans="1:30">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spans="1:30">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spans="1:30">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spans="1:30">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spans="1:30">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spans="1:30">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spans="1:30">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spans="1:3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spans="1:30">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spans="1:30">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spans="1:30">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spans="1:30">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spans="1:30">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spans="1:30">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sheetData>
  <phoneticPr fontId="2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B1:Q57"/>
  <sheetViews>
    <sheetView showGridLines="0" zoomScale="55" zoomScaleNormal="55" workbookViewId="0">
      <pane xSplit="3" ySplit="4" topLeftCell="D20" activePane="bottomRight" state="frozen"/>
      <selection pane="topRight" activeCell="D1" sqref="D1"/>
      <selection pane="bottomLeft" activeCell="A5" sqref="A5"/>
      <selection pane="bottomRight" activeCell="I61" sqref="I61"/>
    </sheetView>
  </sheetViews>
  <sheetFormatPr defaultRowHeight="15"/>
  <cols>
    <col min="1" max="1" width="3.85546875" customWidth="1"/>
    <col min="2" max="2" width="34.140625" customWidth="1"/>
    <col min="3" max="3" width="7.85546875" customWidth="1"/>
    <col min="4" max="15" width="10.5703125" bestFit="1" customWidth="1"/>
    <col min="16" max="17" width="9.7109375" bestFit="1" customWidth="1"/>
  </cols>
  <sheetData>
    <row r="1" spans="2:17">
      <c r="C1">
        <f ca="1">+Introduction!G4</f>
        <v>1</v>
      </c>
    </row>
    <row r="2" spans="2:17">
      <c r="B2" t="s">
        <v>106</v>
      </c>
      <c r="C2" t="s">
        <v>11</v>
      </c>
    </row>
    <row r="3" spans="2:17" ht="15.75" thickBot="1"/>
    <row r="4" spans="2:17" ht="15.75" thickBot="1">
      <c r="D4" s="35">
        <f ca="1">+Budget!E5</f>
        <v>40909</v>
      </c>
      <c r="E4" s="35">
        <f ca="1">+Budget!F5</f>
        <v>40940</v>
      </c>
      <c r="F4" s="35">
        <f ca="1">+Budget!G5</f>
        <v>40969</v>
      </c>
      <c r="G4" s="35">
        <f ca="1">+Budget!H5</f>
        <v>41000</v>
      </c>
      <c r="H4" s="35">
        <f ca="1">+Budget!I5</f>
        <v>41030</v>
      </c>
      <c r="I4" s="35">
        <f ca="1">+Budget!J5</f>
        <v>41061</v>
      </c>
      <c r="J4" s="35">
        <f ca="1">+Budget!K5</f>
        <v>41091</v>
      </c>
      <c r="K4" s="35">
        <f ca="1">+Budget!L5</f>
        <v>41122</v>
      </c>
      <c r="L4" s="35">
        <f ca="1">+Budget!M5</f>
        <v>41153</v>
      </c>
      <c r="M4" s="35">
        <f ca="1">+Budget!N5</f>
        <v>41183</v>
      </c>
      <c r="N4" s="35">
        <f ca="1">+Budget!O5</f>
        <v>41214</v>
      </c>
      <c r="O4" s="35">
        <f ca="1">+Budget!P5</f>
        <v>41244</v>
      </c>
      <c r="P4" s="35"/>
      <c r="Q4" s="35" t="s">
        <v>12</v>
      </c>
    </row>
    <row r="5" spans="2:17">
      <c r="B5" t="s">
        <v>98</v>
      </c>
      <c r="D5" s="108">
        <f ca="1">SUM(Budget!E6:E13)</f>
        <v>0</v>
      </c>
      <c r="E5" s="108">
        <f ca="1">SUM(Budget!F6:F13)</f>
        <v>0</v>
      </c>
      <c r="F5" s="108">
        <f ca="1">SUM(Budget!G6:G13)</f>
        <v>0</v>
      </c>
      <c r="G5" s="108">
        <f ca="1">SUM(Budget!H6:H13)</f>
        <v>0</v>
      </c>
      <c r="H5" s="108">
        <f ca="1">SUM(Budget!I6:I13)</f>
        <v>0</v>
      </c>
      <c r="I5" s="108">
        <f ca="1">SUM(Budget!J6:J13)</f>
        <v>0</v>
      </c>
      <c r="J5" s="108">
        <f ca="1">SUM(Budget!K6:K13)</f>
        <v>0</v>
      </c>
      <c r="K5" s="108">
        <f ca="1">SUM(Budget!L6:L13)</f>
        <v>0</v>
      </c>
      <c r="L5" s="108">
        <f ca="1">SUM(Budget!M6:M13)</f>
        <v>0</v>
      </c>
      <c r="M5" s="108">
        <f ca="1">SUM(Budget!N6:N13)</f>
        <v>0</v>
      </c>
      <c r="N5" s="108">
        <f ca="1">SUM(Budget!O6:O13)</f>
        <v>0</v>
      </c>
      <c r="O5" s="108">
        <f ca="1">SUM(Budget!P6:P13)</f>
        <v>0</v>
      </c>
      <c r="P5" s="108"/>
      <c r="Q5" s="108">
        <f>SUM(D5:O5)</f>
        <v>0</v>
      </c>
    </row>
    <row r="6" spans="2:17">
      <c r="B6" t="s">
        <v>99</v>
      </c>
      <c r="D6" s="109">
        <f ca="1">SUM(Budget!E18:E37)</f>
        <v>0</v>
      </c>
      <c r="E6" s="109">
        <f ca="1">SUM(Budget!F18:F37)</f>
        <v>0</v>
      </c>
      <c r="F6" s="109">
        <f ca="1">SUM(Budget!G18:G37)</f>
        <v>0</v>
      </c>
      <c r="G6" s="109">
        <f ca="1">SUM(Budget!H18:H37)</f>
        <v>0</v>
      </c>
      <c r="H6" s="109">
        <f ca="1">SUM(Budget!I18:I37)</f>
        <v>0</v>
      </c>
      <c r="I6" s="109">
        <f ca="1">SUM(Budget!J18:J37)</f>
        <v>0</v>
      </c>
      <c r="J6" s="109">
        <f ca="1">SUM(Budget!K18:K37)</f>
        <v>0</v>
      </c>
      <c r="K6" s="109">
        <f ca="1">SUM(Budget!L18:L37)</f>
        <v>0</v>
      </c>
      <c r="L6" s="109">
        <f ca="1">SUM(Budget!M18:M37)</f>
        <v>0</v>
      </c>
      <c r="M6" s="109">
        <f ca="1">SUM(Budget!N18:N37)</f>
        <v>0</v>
      </c>
      <c r="N6" s="109">
        <f ca="1">SUM(Budget!O18:O37)</f>
        <v>0</v>
      </c>
      <c r="O6" s="109">
        <f ca="1">SUM(Budget!P18:P37)</f>
        <v>0</v>
      </c>
      <c r="P6" s="109"/>
      <c r="Q6" s="109">
        <f>SUM(D6:O6)</f>
        <v>0</v>
      </c>
    </row>
    <row r="7" spans="2:17">
      <c r="B7" t="s">
        <v>100</v>
      </c>
      <c r="D7" s="108">
        <f>+D5-D6</f>
        <v>0</v>
      </c>
      <c r="E7" s="108">
        <f t="shared" ref="E7:Q7" si="0">+E5-E6</f>
        <v>0</v>
      </c>
      <c r="F7" s="108">
        <f t="shared" si="0"/>
        <v>0</v>
      </c>
      <c r="G7" s="108">
        <f t="shared" si="0"/>
        <v>0</v>
      </c>
      <c r="H7" s="108">
        <f t="shared" si="0"/>
        <v>0</v>
      </c>
      <c r="I7" s="108">
        <f t="shared" si="0"/>
        <v>0</v>
      </c>
      <c r="J7" s="108">
        <f t="shared" si="0"/>
        <v>0</v>
      </c>
      <c r="K7" s="108">
        <f t="shared" si="0"/>
        <v>0</v>
      </c>
      <c r="L7" s="108">
        <f t="shared" si="0"/>
        <v>0</v>
      </c>
      <c r="M7" s="108">
        <f t="shared" si="0"/>
        <v>0</v>
      </c>
      <c r="N7" s="108">
        <f t="shared" si="0"/>
        <v>0</v>
      </c>
      <c r="O7" s="108">
        <f t="shared" si="0"/>
        <v>0</v>
      </c>
      <c r="P7" s="108"/>
      <c r="Q7" s="108">
        <f t="shared" si="0"/>
        <v>0</v>
      </c>
    </row>
    <row r="8" spans="2:17">
      <c r="D8" s="108"/>
      <c r="E8" s="108"/>
      <c r="F8" s="108"/>
      <c r="G8" s="108"/>
      <c r="H8" s="108"/>
      <c r="I8" s="108"/>
      <c r="J8" s="108"/>
      <c r="K8" s="108"/>
      <c r="L8" s="108"/>
      <c r="M8" s="108"/>
      <c r="N8" s="108"/>
      <c r="O8" s="108"/>
      <c r="P8" s="108"/>
      <c r="Q8" s="108"/>
    </row>
    <row r="9" spans="2:17">
      <c r="B9" t="s">
        <v>109</v>
      </c>
      <c r="D9" s="108">
        <f>+D7</f>
        <v>0</v>
      </c>
      <c r="E9" s="108">
        <f t="shared" ref="E9:O9" si="1">+E7</f>
        <v>0</v>
      </c>
      <c r="F9" s="108">
        <f t="shared" si="1"/>
        <v>0</v>
      </c>
      <c r="G9" s="108">
        <f t="shared" si="1"/>
        <v>0</v>
      </c>
      <c r="H9" s="108">
        <f t="shared" si="1"/>
        <v>0</v>
      </c>
      <c r="I9" s="108">
        <f t="shared" si="1"/>
        <v>0</v>
      </c>
      <c r="J9" s="108">
        <f t="shared" si="1"/>
        <v>0</v>
      </c>
      <c r="K9" s="108">
        <f t="shared" si="1"/>
        <v>0</v>
      </c>
      <c r="L9" s="108">
        <f t="shared" si="1"/>
        <v>0</v>
      </c>
      <c r="M9" s="108">
        <f t="shared" si="1"/>
        <v>0</v>
      </c>
      <c r="N9" s="108">
        <f t="shared" si="1"/>
        <v>0</v>
      </c>
      <c r="O9" s="108">
        <f t="shared" si="1"/>
        <v>0</v>
      </c>
    </row>
    <row r="10" spans="2:17">
      <c r="B10" t="s">
        <v>104</v>
      </c>
      <c r="D10" s="108">
        <f t="shared" ref="D10:Q10" si="2">+C10+D7</f>
        <v>0</v>
      </c>
      <c r="E10" s="108">
        <f t="shared" si="2"/>
        <v>0</v>
      </c>
      <c r="F10" s="108">
        <f t="shared" si="2"/>
        <v>0</v>
      </c>
      <c r="G10" s="108">
        <f t="shared" si="2"/>
        <v>0</v>
      </c>
      <c r="H10" s="108">
        <f t="shared" si="2"/>
        <v>0</v>
      </c>
      <c r="I10" s="108">
        <f t="shared" si="2"/>
        <v>0</v>
      </c>
      <c r="J10" s="108">
        <f t="shared" si="2"/>
        <v>0</v>
      </c>
      <c r="K10" s="108">
        <f t="shared" si="2"/>
        <v>0</v>
      </c>
      <c r="L10" s="108">
        <f t="shared" si="2"/>
        <v>0</v>
      </c>
      <c r="M10" s="108">
        <f t="shared" si="2"/>
        <v>0</v>
      </c>
      <c r="N10" s="108">
        <f t="shared" si="2"/>
        <v>0</v>
      </c>
      <c r="O10" s="108">
        <f t="shared" si="2"/>
        <v>0</v>
      </c>
      <c r="P10" s="108">
        <f t="shared" si="2"/>
        <v>0</v>
      </c>
      <c r="Q10" s="108">
        <f t="shared" si="2"/>
        <v>0</v>
      </c>
    </row>
    <row r="11" spans="2:17">
      <c r="B11" t="s">
        <v>105</v>
      </c>
      <c r="D11" s="108">
        <f>+C11+D7</f>
        <v>0</v>
      </c>
      <c r="E11" s="108">
        <f>+D11+E7</f>
        <v>0</v>
      </c>
      <c r="F11" s="108">
        <f>+E11+F7</f>
        <v>0</v>
      </c>
      <c r="G11" s="108">
        <f>+G7</f>
        <v>0</v>
      </c>
      <c r="H11" s="108">
        <f>+G11+H7</f>
        <v>0</v>
      </c>
      <c r="I11" s="108">
        <f>+H11+I7</f>
        <v>0</v>
      </c>
      <c r="J11" s="108">
        <f>+J7</f>
        <v>0</v>
      </c>
      <c r="K11" s="108">
        <f>+J11+K7</f>
        <v>0</v>
      </c>
      <c r="L11" s="108">
        <f>+K11+L7</f>
        <v>0</v>
      </c>
      <c r="M11" s="108">
        <f>+M7</f>
        <v>0</v>
      </c>
      <c r="N11" s="108">
        <f>+M11+N7</f>
        <v>0</v>
      </c>
      <c r="O11" s="108">
        <f>+N11+O7</f>
        <v>0</v>
      </c>
      <c r="P11" s="108"/>
      <c r="Q11" s="108"/>
    </row>
    <row r="12" spans="2:17">
      <c r="B12" t="s">
        <v>111</v>
      </c>
      <c r="D12" s="108">
        <f ca="1">+Budget!E44</f>
        <v>0</v>
      </c>
      <c r="E12" s="108">
        <f ca="1">+Budget!F44</f>
        <v>0</v>
      </c>
      <c r="F12" s="108">
        <f ca="1">+Budget!G44</f>
        <v>0</v>
      </c>
      <c r="G12" s="108">
        <f ca="1">+Budget!H44</f>
        <v>0</v>
      </c>
      <c r="H12" s="108">
        <f ca="1">+Budget!I44</f>
        <v>0</v>
      </c>
      <c r="I12" s="108">
        <f ca="1">+Budget!J44</f>
        <v>0</v>
      </c>
      <c r="J12" s="108">
        <f ca="1">+Budget!K44</f>
        <v>0</v>
      </c>
      <c r="K12" s="108">
        <f ca="1">+Budget!L44</f>
        <v>0</v>
      </c>
      <c r="L12" s="108">
        <f ca="1">+Budget!M44</f>
        <v>0</v>
      </c>
      <c r="M12" s="108">
        <f ca="1">+Budget!N44</f>
        <v>0</v>
      </c>
      <c r="N12" s="108">
        <f ca="1">+Budget!O44</f>
        <v>0</v>
      </c>
      <c r="O12" s="108">
        <f ca="1">+Budget!P44</f>
        <v>0</v>
      </c>
      <c r="P12" s="108"/>
      <c r="Q12" s="108"/>
    </row>
    <row r="13" spans="2:17">
      <c r="B13" t="s">
        <v>112</v>
      </c>
      <c r="D13" s="108">
        <f ca="1">+Budget!E46</f>
        <v>0</v>
      </c>
      <c r="E13" s="108">
        <f ca="1">+Budget!F46</f>
        <v>0</v>
      </c>
      <c r="F13" s="108">
        <f ca="1">+Budget!G46</f>
        <v>0</v>
      </c>
      <c r="G13" s="108">
        <f ca="1">+Budget!H46</f>
        <v>0</v>
      </c>
      <c r="H13" s="108">
        <f ca="1">+Budget!I46</f>
        <v>0</v>
      </c>
      <c r="I13" s="108">
        <f ca="1">+Budget!J46</f>
        <v>0</v>
      </c>
      <c r="J13" s="108">
        <f ca="1">+Budget!K46</f>
        <v>0</v>
      </c>
      <c r="K13" s="108">
        <f ca="1">+Budget!L46</f>
        <v>0</v>
      </c>
      <c r="L13" s="108">
        <f ca="1">+Budget!M46</f>
        <v>0</v>
      </c>
      <c r="M13" s="108">
        <f ca="1">+Budget!N46</f>
        <v>0</v>
      </c>
      <c r="N13" s="108">
        <f ca="1">+Budget!O46</f>
        <v>0</v>
      </c>
      <c r="O13" s="108">
        <f ca="1">+Budget!P46</f>
        <v>0</v>
      </c>
      <c r="P13" s="108"/>
      <c r="Q13" s="108"/>
    </row>
    <row r="15" spans="2:17">
      <c r="B15" t="s">
        <v>115</v>
      </c>
      <c r="D15" s="108">
        <f ca="1">+'Budget Actual Comparision'!$E$40</f>
        <v>0</v>
      </c>
      <c r="E15" s="108">
        <f ca="1">+'Budget Actual Comparision'!$E$40</f>
        <v>0</v>
      </c>
      <c r="F15" s="108">
        <f ca="1">+'Budget Actual Comparision'!$E$40</f>
        <v>0</v>
      </c>
      <c r="G15" s="108">
        <f ca="1">+'Budget Actual Comparision'!$E$40</f>
        <v>0</v>
      </c>
      <c r="H15" s="108">
        <f ca="1">+'Budget Actual Comparision'!$E$40</f>
        <v>0</v>
      </c>
      <c r="I15" s="108">
        <f ca="1">+'Budget Actual Comparision'!$E$40</f>
        <v>0</v>
      </c>
      <c r="J15" s="108">
        <f ca="1">+'Budget Actual Comparision'!$E$40</f>
        <v>0</v>
      </c>
      <c r="K15" s="108">
        <f ca="1">+'Budget Actual Comparision'!$E$40</f>
        <v>0</v>
      </c>
      <c r="L15" s="108">
        <f ca="1">+'Budget Actual Comparision'!$E$40</f>
        <v>0</v>
      </c>
      <c r="M15" s="108">
        <f ca="1">+'Budget Actual Comparision'!$E$40</f>
        <v>0</v>
      </c>
      <c r="N15" s="108">
        <f ca="1">+'Budget Actual Comparision'!$E$40</f>
        <v>0</v>
      </c>
      <c r="O15" s="108">
        <f ca="1">+'Budget Actual Comparision'!$E$40</f>
        <v>0</v>
      </c>
    </row>
    <row r="16" spans="2:17">
      <c r="B16" t="s">
        <v>116</v>
      </c>
      <c r="D16" s="108">
        <f ca="1">+'Budget Actual Comparision'!$M$40</f>
        <v>0</v>
      </c>
      <c r="E16" s="108">
        <f ca="1">+'Budget Actual Comparision'!$M$40</f>
        <v>0</v>
      </c>
      <c r="F16" s="108">
        <f ca="1">+'Budget Actual Comparision'!$M$40</f>
        <v>0</v>
      </c>
      <c r="G16" s="108">
        <f ca="1">+'Budget Actual Comparision'!$M$40</f>
        <v>0</v>
      </c>
      <c r="H16" s="108">
        <f ca="1">+'Budget Actual Comparision'!$M$40</f>
        <v>0</v>
      </c>
      <c r="I16" s="108">
        <f ca="1">+'Budget Actual Comparision'!$M$40</f>
        <v>0</v>
      </c>
      <c r="J16" s="108">
        <f ca="1">+'Budget Actual Comparision'!$M$40</f>
        <v>0</v>
      </c>
      <c r="K16" s="108">
        <f ca="1">+'Budget Actual Comparision'!$M$40</f>
        <v>0</v>
      </c>
      <c r="L16" s="108">
        <f ca="1">+'Budget Actual Comparision'!$M$40</f>
        <v>0</v>
      </c>
      <c r="M16" s="108">
        <f ca="1">+'Budget Actual Comparision'!$M$40</f>
        <v>0</v>
      </c>
      <c r="N16" s="108">
        <f ca="1">+'Budget Actual Comparision'!$M$40</f>
        <v>0</v>
      </c>
      <c r="O16" s="108">
        <f ca="1">+'Budget Actual Comparision'!$M$40</f>
        <v>0</v>
      </c>
    </row>
    <row r="17" spans="2:17">
      <c r="B17" t="s">
        <v>117</v>
      </c>
      <c r="D17" s="108">
        <f ca="1">'Budget Actual Comparision'!$I$40</f>
        <v>0</v>
      </c>
      <c r="E17" s="108">
        <f ca="1">'Budget Actual Comparision'!$I$40</f>
        <v>0</v>
      </c>
      <c r="F17" s="108">
        <f ca="1">'Budget Actual Comparision'!$I$40</f>
        <v>0</v>
      </c>
      <c r="G17" s="108">
        <f ca="1">'Budget Actual Comparision'!$I$40</f>
        <v>0</v>
      </c>
      <c r="H17" s="108">
        <f ca="1">'Budget Actual Comparision'!$I$40</f>
        <v>0</v>
      </c>
      <c r="I17" s="108">
        <f ca="1">'Budget Actual Comparision'!$I$40</f>
        <v>0</v>
      </c>
      <c r="J17" s="108">
        <f ca="1">'Budget Actual Comparision'!$I$40</f>
        <v>0</v>
      </c>
      <c r="K17" s="108">
        <f ca="1">'Budget Actual Comparision'!$I$40</f>
        <v>0</v>
      </c>
      <c r="L17" s="108">
        <f ca="1">'Budget Actual Comparision'!$I$40</f>
        <v>0</v>
      </c>
      <c r="M17" s="108">
        <f ca="1">'Budget Actual Comparision'!$I$40</f>
        <v>0</v>
      </c>
      <c r="N17" s="108">
        <f ca="1">'Budget Actual Comparision'!$I$40</f>
        <v>0</v>
      </c>
      <c r="O17" s="108">
        <f ca="1">'Budget Actual Comparision'!$I$40</f>
        <v>0</v>
      </c>
    </row>
    <row r="18" spans="2:17">
      <c r="B18" t="s">
        <v>118</v>
      </c>
      <c r="D18" s="108">
        <f ca="1">+'Budget Actual Comparision'!$E$44</f>
        <v>0</v>
      </c>
      <c r="E18" s="108">
        <f ca="1">+'Budget Actual Comparision'!$E$44</f>
        <v>0</v>
      </c>
      <c r="F18" s="108">
        <f ca="1">+'Budget Actual Comparision'!$E$44</f>
        <v>0</v>
      </c>
      <c r="G18" s="108">
        <f ca="1">+'Budget Actual Comparision'!$E$44</f>
        <v>0</v>
      </c>
      <c r="H18" s="108">
        <f ca="1">+'Budget Actual Comparision'!$E$44</f>
        <v>0</v>
      </c>
      <c r="I18" s="108">
        <f ca="1">+'Budget Actual Comparision'!$E$44</f>
        <v>0</v>
      </c>
      <c r="J18" s="108">
        <f ca="1">+'Budget Actual Comparision'!$E$44</f>
        <v>0</v>
      </c>
      <c r="K18" s="108">
        <f ca="1">+'Budget Actual Comparision'!$E$44</f>
        <v>0</v>
      </c>
      <c r="L18" s="108">
        <f ca="1">+'Budget Actual Comparision'!$E$44</f>
        <v>0</v>
      </c>
      <c r="M18" s="108">
        <f ca="1">+'Budget Actual Comparision'!$E$44</f>
        <v>0</v>
      </c>
      <c r="N18" s="108">
        <f ca="1">+'Budget Actual Comparision'!$E$44</f>
        <v>0</v>
      </c>
      <c r="O18" s="108">
        <f ca="1">+'Budget Actual Comparision'!$E$44</f>
        <v>0</v>
      </c>
    </row>
    <row r="19" spans="2:17">
      <c r="B19" t="s">
        <v>119</v>
      </c>
      <c r="D19" s="108">
        <f ca="1">+'Budget Actual Comparision'!$E$46</f>
        <v>0</v>
      </c>
      <c r="E19" s="108">
        <f ca="1">+'Budget Actual Comparision'!$E$46</f>
        <v>0</v>
      </c>
      <c r="F19" s="108">
        <f ca="1">+'Budget Actual Comparision'!$E$46</f>
        <v>0</v>
      </c>
      <c r="G19" s="108">
        <f ca="1">+'Budget Actual Comparision'!$E$46</f>
        <v>0</v>
      </c>
      <c r="H19" s="108">
        <f ca="1">+'Budget Actual Comparision'!$E$46</f>
        <v>0</v>
      </c>
      <c r="I19" s="108">
        <f ca="1">+'Budget Actual Comparision'!$E$46</f>
        <v>0</v>
      </c>
      <c r="J19" s="108">
        <f ca="1">+'Budget Actual Comparision'!$E$46</f>
        <v>0</v>
      </c>
      <c r="K19" s="108">
        <f ca="1">+'Budget Actual Comparision'!$E$46</f>
        <v>0</v>
      </c>
      <c r="L19" s="108">
        <f ca="1">+'Budget Actual Comparision'!$E$46</f>
        <v>0</v>
      </c>
      <c r="M19" s="108">
        <f ca="1">+'Budget Actual Comparision'!$E$46</f>
        <v>0</v>
      </c>
      <c r="N19" s="108">
        <f ca="1">+'Budget Actual Comparision'!$E$46</f>
        <v>0</v>
      </c>
      <c r="O19" s="108">
        <f ca="1">+'Budget Actual Comparision'!$E$46</f>
        <v>0</v>
      </c>
    </row>
    <row r="20" spans="2:17">
      <c r="D20" s="108"/>
      <c r="E20" s="108"/>
      <c r="F20" s="108"/>
      <c r="G20" s="108"/>
      <c r="H20" s="108"/>
      <c r="I20" s="108"/>
      <c r="J20" s="108"/>
      <c r="K20" s="108"/>
      <c r="L20" s="108"/>
      <c r="M20" s="108"/>
      <c r="N20" s="108"/>
      <c r="O20" s="108"/>
    </row>
    <row r="21" spans="2:17">
      <c r="D21" s="108"/>
      <c r="E21" s="108"/>
      <c r="F21" s="108"/>
      <c r="G21" s="108"/>
      <c r="H21" s="108"/>
      <c r="I21" s="108"/>
      <c r="J21" s="108"/>
      <c r="K21" s="108"/>
      <c r="L21" s="108"/>
      <c r="M21" s="108"/>
      <c r="N21" s="108"/>
      <c r="O21" s="108"/>
    </row>
    <row r="22" spans="2:17">
      <c r="B22" t="s">
        <v>110</v>
      </c>
      <c r="D22" s="108">
        <f t="shared" ref="D22:O22" si="3">IF(MONTH(D$4=$C$1),D15-D9,"")</f>
        <v>0</v>
      </c>
      <c r="E22" s="108">
        <f t="shared" si="3"/>
        <v>0</v>
      </c>
      <c r="F22" s="108">
        <f t="shared" si="3"/>
        <v>0</v>
      </c>
      <c r="G22" s="108">
        <f t="shared" si="3"/>
        <v>0</v>
      </c>
      <c r="H22" s="108">
        <f t="shared" si="3"/>
        <v>0</v>
      </c>
      <c r="I22" s="108">
        <f t="shared" si="3"/>
        <v>0</v>
      </c>
      <c r="J22" s="108">
        <f t="shared" si="3"/>
        <v>0</v>
      </c>
      <c r="K22" s="108">
        <f t="shared" si="3"/>
        <v>0</v>
      </c>
      <c r="L22" s="108">
        <f t="shared" si="3"/>
        <v>0</v>
      </c>
      <c r="M22" s="108">
        <f t="shared" si="3"/>
        <v>0</v>
      </c>
      <c r="N22" s="108">
        <f t="shared" si="3"/>
        <v>0</v>
      </c>
      <c r="O22" s="108">
        <f t="shared" si="3"/>
        <v>0</v>
      </c>
    </row>
    <row r="23" spans="2:17">
      <c r="B23" t="s">
        <v>107</v>
      </c>
      <c r="D23" s="108">
        <f t="shared" ref="D23:O23" si="4">IF(MONTH(D$4=$C$1),D16-D10,"")</f>
        <v>0</v>
      </c>
      <c r="E23" s="108">
        <f t="shared" si="4"/>
        <v>0</v>
      </c>
      <c r="F23" s="108">
        <f t="shared" si="4"/>
        <v>0</v>
      </c>
      <c r="G23" s="108">
        <f t="shared" si="4"/>
        <v>0</v>
      </c>
      <c r="H23" s="108">
        <f t="shared" si="4"/>
        <v>0</v>
      </c>
      <c r="I23" s="108">
        <f t="shared" si="4"/>
        <v>0</v>
      </c>
      <c r="J23" s="108">
        <f t="shared" si="4"/>
        <v>0</v>
      </c>
      <c r="K23" s="108">
        <f t="shared" si="4"/>
        <v>0</v>
      </c>
      <c r="L23" s="108">
        <f t="shared" si="4"/>
        <v>0</v>
      </c>
      <c r="M23" s="108">
        <f t="shared" si="4"/>
        <v>0</v>
      </c>
      <c r="N23" s="108">
        <f t="shared" si="4"/>
        <v>0</v>
      </c>
      <c r="O23" s="108">
        <f t="shared" si="4"/>
        <v>0</v>
      </c>
    </row>
    <row r="24" spans="2:17">
      <c r="B24" t="s">
        <v>108</v>
      </c>
      <c r="D24" s="108">
        <f t="shared" ref="D24:O24" si="5">IF(MONTH(D$4=$C$1),D17-D11,"")</f>
        <v>0</v>
      </c>
      <c r="E24" s="108">
        <f t="shared" si="5"/>
        <v>0</v>
      </c>
      <c r="F24" s="108">
        <f t="shared" si="5"/>
        <v>0</v>
      </c>
      <c r="G24" s="108">
        <f t="shared" si="5"/>
        <v>0</v>
      </c>
      <c r="H24" s="108">
        <f t="shared" si="5"/>
        <v>0</v>
      </c>
      <c r="I24" s="108">
        <f t="shared" si="5"/>
        <v>0</v>
      </c>
      <c r="J24" s="108">
        <f t="shared" si="5"/>
        <v>0</v>
      </c>
      <c r="K24" s="108">
        <f t="shared" si="5"/>
        <v>0</v>
      </c>
      <c r="L24" s="108">
        <f t="shared" si="5"/>
        <v>0</v>
      </c>
      <c r="M24" s="108">
        <f t="shared" si="5"/>
        <v>0</v>
      </c>
      <c r="N24" s="108">
        <f t="shared" si="5"/>
        <v>0</v>
      </c>
      <c r="O24" s="108">
        <f t="shared" si="5"/>
        <v>0</v>
      </c>
    </row>
    <row r="25" spans="2:17">
      <c r="B25" t="s">
        <v>113</v>
      </c>
      <c r="D25" s="108">
        <f t="shared" ref="D25:O25" si="6">IF(MONTH(D$4=$C$1),D18-D12,"")</f>
        <v>0</v>
      </c>
      <c r="E25" s="108">
        <f t="shared" si="6"/>
        <v>0</v>
      </c>
      <c r="F25" s="108">
        <f t="shared" si="6"/>
        <v>0</v>
      </c>
      <c r="G25" s="108">
        <f t="shared" si="6"/>
        <v>0</v>
      </c>
      <c r="H25" s="108">
        <f t="shared" si="6"/>
        <v>0</v>
      </c>
      <c r="I25" s="108">
        <f t="shared" si="6"/>
        <v>0</v>
      </c>
      <c r="J25" s="108">
        <f t="shared" si="6"/>
        <v>0</v>
      </c>
      <c r="K25" s="108">
        <f t="shared" si="6"/>
        <v>0</v>
      </c>
      <c r="L25" s="108">
        <f t="shared" si="6"/>
        <v>0</v>
      </c>
      <c r="M25" s="108">
        <f t="shared" si="6"/>
        <v>0</v>
      </c>
      <c r="N25" s="108">
        <f t="shared" si="6"/>
        <v>0</v>
      </c>
      <c r="O25" s="108">
        <f t="shared" si="6"/>
        <v>0</v>
      </c>
    </row>
    <row r="26" spans="2:17">
      <c r="B26" t="s">
        <v>114</v>
      </c>
      <c r="D26" s="108">
        <f t="shared" ref="D26:O26" si="7">IF(MONTH(D$4=$C$1),D19-D13,"")</f>
        <v>0</v>
      </c>
      <c r="E26" s="108">
        <f t="shared" si="7"/>
        <v>0</v>
      </c>
      <c r="F26" s="108">
        <f t="shared" si="7"/>
        <v>0</v>
      </c>
      <c r="G26" s="108">
        <f t="shared" si="7"/>
        <v>0</v>
      </c>
      <c r="H26" s="108">
        <f t="shared" si="7"/>
        <v>0</v>
      </c>
      <c r="I26" s="108">
        <f t="shared" si="7"/>
        <v>0</v>
      </c>
      <c r="J26" s="108">
        <f t="shared" si="7"/>
        <v>0</v>
      </c>
      <c r="K26" s="108">
        <f t="shared" si="7"/>
        <v>0</v>
      </c>
      <c r="L26" s="108">
        <f t="shared" si="7"/>
        <v>0</v>
      </c>
      <c r="M26" s="108">
        <f t="shared" si="7"/>
        <v>0</v>
      </c>
      <c r="N26" s="108">
        <f t="shared" si="7"/>
        <v>0</v>
      </c>
      <c r="O26" s="108">
        <f t="shared" si="7"/>
        <v>0</v>
      </c>
    </row>
    <row r="28" spans="2:17">
      <c r="B28" t="s">
        <v>101</v>
      </c>
      <c r="D28" s="1" t="str">
        <f ca="1">IF(D5=Budget!E14,"OK","Error")</f>
        <v>OK</v>
      </c>
      <c r="E28" s="1" t="str">
        <f ca="1">IF(E5=Budget!F14,"OK","Error")</f>
        <v>OK</v>
      </c>
      <c r="F28" s="1" t="str">
        <f ca="1">IF(F5=Budget!G14,"OK","Error")</f>
        <v>OK</v>
      </c>
      <c r="G28" s="1" t="str">
        <f ca="1">IF(G5=Budget!H14,"OK","Error")</f>
        <v>OK</v>
      </c>
      <c r="H28" s="1" t="str">
        <f ca="1">IF(H5=Budget!I14,"OK","Error")</f>
        <v>OK</v>
      </c>
      <c r="I28" s="1" t="str">
        <f ca="1">IF(I5=Budget!J14,"OK","Error")</f>
        <v>OK</v>
      </c>
      <c r="J28" s="1" t="str">
        <f ca="1">IF(J5=Budget!K14,"OK","Error")</f>
        <v>OK</v>
      </c>
      <c r="K28" s="1" t="str">
        <f ca="1">IF(K5=Budget!L14,"OK","Error")</f>
        <v>OK</v>
      </c>
      <c r="L28" s="1" t="str">
        <f ca="1">IF(L5=Budget!M14,"OK","Error")</f>
        <v>OK</v>
      </c>
      <c r="M28" s="1" t="str">
        <f ca="1">IF(M5=Budget!N14,"OK","Error")</f>
        <v>OK</v>
      </c>
      <c r="N28" s="1" t="str">
        <f ca="1">IF(N5=Budget!O14,"OK","Error")</f>
        <v>OK</v>
      </c>
      <c r="O28" s="1" t="str">
        <f ca="1">IF(O5=Budget!P14,"OK","Error")</f>
        <v>OK</v>
      </c>
      <c r="P28" s="1" t="str">
        <f ca="1">IF(P5=Budget!Q14,"OK","Error")</f>
        <v>OK</v>
      </c>
      <c r="Q28" s="1" t="str">
        <f ca="1">IF(Q5=Budget!R14,"OK","Error")</f>
        <v>OK</v>
      </c>
    </row>
    <row r="29" spans="2:17">
      <c r="B29" t="s">
        <v>102</v>
      </c>
      <c r="D29" s="1" t="str">
        <f ca="1">IF(D6=Budget!E38,"OK","Error")</f>
        <v>OK</v>
      </c>
      <c r="E29" s="1" t="str">
        <f ca="1">IF(E6=Budget!F38,"OK","Error")</f>
        <v>OK</v>
      </c>
      <c r="F29" s="1" t="str">
        <f ca="1">IF(F6=Budget!G38,"OK","Error")</f>
        <v>OK</v>
      </c>
      <c r="G29" s="1" t="str">
        <f ca="1">IF(G6=Budget!H38,"OK","Error")</f>
        <v>OK</v>
      </c>
      <c r="H29" s="1" t="str">
        <f ca="1">IF(H6=Budget!I38,"OK","Error")</f>
        <v>OK</v>
      </c>
      <c r="I29" s="1" t="str">
        <f ca="1">IF(I6=Budget!J38,"OK","Error")</f>
        <v>OK</v>
      </c>
      <c r="J29" s="1" t="str">
        <f ca="1">IF(J6=Budget!K38,"OK","Error")</f>
        <v>OK</v>
      </c>
      <c r="K29" s="1" t="str">
        <f ca="1">IF(K6=Budget!L38,"OK","Error")</f>
        <v>OK</v>
      </c>
      <c r="L29" s="1" t="str">
        <f ca="1">IF(L6=Budget!M38,"OK","Error")</f>
        <v>OK</v>
      </c>
      <c r="M29" s="1" t="str">
        <f ca="1">IF(M6=Budget!N38,"OK","Error")</f>
        <v>OK</v>
      </c>
      <c r="N29" s="1" t="str">
        <f ca="1">IF(N6=Budget!O38,"OK","Error")</f>
        <v>OK</v>
      </c>
      <c r="O29" s="1" t="str">
        <f ca="1">IF(O6=Budget!P38,"OK","Error")</f>
        <v>OK</v>
      </c>
      <c r="P29" s="1" t="str">
        <f ca="1">IF(P6=Budget!Q38,"OK","Error")</f>
        <v>OK</v>
      </c>
      <c r="Q29" s="1" t="str">
        <f ca="1">IF(Q6=Budget!R38,"OK","Error")</f>
        <v>OK</v>
      </c>
    </row>
    <row r="30" spans="2:17">
      <c r="B30" t="s">
        <v>103</v>
      </c>
      <c r="D30" s="1" t="str">
        <f ca="1">IF(Budget!E40='Audit Sheet'!D7,"OK","Error")</f>
        <v>OK</v>
      </c>
      <c r="E30" s="1" t="str">
        <f ca="1">IF(Budget!F40='Audit Sheet'!E7,"OK","Error")</f>
        <v>OK</v>
      </c>
      <c r="F30" s="1" t="str">
        <f ca="1">IF(Budget!G40='Audit Sheet'!F7,"OK","Error")</f>
        <v>OK</v>
      </c>
      <c r="G30" s="1" t="str">
        <f ca="1">IF(Budget!H40='Audit Sheet'!G7,"OK","Error")</f>
        <v>OK</v>
      </c>
      <c r="H30" s="1" t="str">
        <f ca="1">IF(Budget!I40='Audit Sheet'!H7,"OK","Error")</f>
        <v>OK</v>
      </c>
      <c r="I30" s="1" t="str">
        <f ca="1">IF(Budget!J40='Audit Sheet'!I7,"OK","Error")</f>
        <v>OK</v>
      </c>
      <c r="J30" s="1" t="str">
        <f ca="1">IF(Budget!K40='Audit Sheet'!J7,"OK","Error")</f>
        <v>OK</v>
      </c>
      <c r="K30" s="1" t="str">
        <f ca="1">IF(Budget!L40='Audit Sheet'!K7,"OK","Error")</f>
        <v>OK</v>
      </c>
      <c r="L30" s="1" t="str">
        <f ca="1">IF(Budget!M40='Audit Sheet'!L7,"OK","Error")</f>
        <v>OK</v>
      </c>
      <c r="M30" s="1" t="str">
        <f ca="1">IF(Budget!N40='Audit Sheet'!M7,"OK","Error")</f>
        <v>OK</v>
      </c>
      <c r="N30" s="1" t="str">
        <f ca="1">IF(Budget!O40='Audit Sheet'!N7,"OK","Error")</f>
        <v>OK</v>
      </c>
      <c r="O30" s="1" t="str">
        <f ca="1">IF(Budget!P40='Audit Sheet'!O7,"OK","Error")</f>
        <v>OK</v>
      </c>
      <c r="P30" s="1" t="str">
        <f ca="1">IF(Budget!Q40='Audit Sheet'!P7,"OK","Error")</f>
        <v>OK</v>
      </c>
      <c r="Q30" s="1" t="str">
        <f ca="1">IF(Budget!R40='Audit Sheet'!Q7,"OK","Error")</f>
        <v>OK</v>
      </c>
    </row>
    <row r="31" spans="2:17">
      <c r="B31" s="11"/>
      <c r="C31" s="11"/>
      <c r="D31" s="11"/>
      <c r="E31" s="11"/>
      <c r="F31" s="11"/>
      <c r="G31" s="11"/>
      <c r="H31" s="11"/>
      <c r="I31" s="11"/>
      <c r="J31" s="11"/>
      <c r="K31" s="11"/>
      <c r="L31" s="11"/>
      <c r="M31" s="11"/>
      <c r="N31" s="11"/>
      <c r="O31" s="11"/>
      <c r="P31" s="11"/>
      <c r="Q31" s="11"/>
    </row>
    <row r="33" spans="2:17">
      <c r="B33" t="s">
        <v>98</v>
      </c>
      <c r="D33" s="108">
        <f ca="1">SUM(Actual!E6:E13)</f>
        <v>0</v>
      </c>
      <c r="E33" s="108">
        <f ca="1">SUM(Actual!F6:F13)</f>
        <v>0</v>
      </c>
      <c r="F33" s="108">
        <f ca="1">SUM(Actual!G6:G13)</f>
        <v>0</v>
      </c>
      <c r="G33" s="108">
        <f ca="1">SUM(Actual!H6:H13)</f>
        <v>0</v>
      </c>
      <c r="H33" s="108">
        <f ca="1">SUM(Actual!I6:I13)</f>
        <v>0</v>
      </c>
      <c r="I33" s="108">
        <f ca="1">SUM(Actual!J6:J13)</f>
        <v>0</v>
      </c>
      <c r="J33" s="108">
        <f ca="1">SUM(Actual!K6:K13)</f>
        <v>0</v>
      </c>
      <c r="K33" s="108">
        <f ca="1">SUM(Actual!L6:L13)</f>
        <v>0</v>
      </c>
      <c r="L33" s="108">
        <f ca="1">SUM(Actual!M6:M13)</f>
        <v>0</v>
      </c>
      <c r="M33" s="108">
        <f ca="1">SUM(Actual!N6:N13)</f>
        <v>0</v>
      </c>
      <c r="N33" s="108">
        <f ca="1">SUM(Actual!O6:O13)</f>
        <v>0</v>
      </c>
      <c r="O33" s="108">
        <f ca="1">SUM(Actual!P6:P13)</f>
        <v>0</v>
      </c>
      <c r="P33" s="108"/>
      <c r="Q33" s="108">
        <f>SUM(D33:O33)</f>
        <v>0</v>
      </c>
    </row>
    <row r="34" spans="2:17">
      <c r="B34" t="s">
        <v>99</v>
      </c>
      <c r="D34" s="109">
        <f ca="1">SUM(Actual!E18:E37)</f>
        <v>0</v>
      </c>
      <c r="E34" s="109">
        <f ca="1">SUM(Actual!F18:F37)</f>
        <v>0</v>
      </c>
      <c r="F34" s="109">
        <f ca="1">SUM(Actual!G18:G37)</f>
        <v>0</v>
      </c>
      <c r="G34" s="109">
        <f ca="1">SUM(Actual!H18:H37)</f>
        <v>0</v>
      </c>
      <c r="H34" s="109">
        <f ca="1">SUM(Actual!I18:I37)</f>
        <v>0</v>
      </c>
      <c r="I34" s="109">
        <f ca="1">SUM(Actual!J18:J37)</f>
        <v>0</v>
      </c>
      <c r="J34" s="109">
        <f ca="1">SUM(Actual!K18:K37)</f>
        <v>0</v>
      </c>
      <c r="K34" s="109">
        <f ca="1">SUM(Actual!L18:L37)</f>
        <v>0</v>
      </c>
      <c r="L34" s="109">
        <f ca="1">SUM(Actual!M18:M37)</f>
        <v>0</v>
      </c>
      <c r="M34" s="109">
        <f ca="1">SUM(Actual!N18:N37)</f>
        <v>0</v>
      </c>
      <c r="N34" s="109">
        <f ca="1">SUM(Actual!O18:O37)</f>
        <v>0</v>
      </c>
      <c r="O34" s="109">
        <f ca="1">SUM(Actual!P18:P37)</f>
        <v>0</v>
      </c>
      <c r="P34" s="109"/>
      <c r="Q34" s="109">
        <f>SUM(D34:O34)</f>
        <v>0</v>
      </c>
    </row>
    <row r="35" spans="2:17">
      <c r="B35" t="s">
        <v>100</v>
      </c>
      <c r="D35" s="108">
        <f t="shared" ref="D35:O35" si="8">+D33-D34</f>
        <v>0</v>
      </c>
      <c r="E35" s="108">
        <f t="shared" si="8"/>
        <v>0</v>
      </c>
      <c r="F35" s="108">
        <f t="shared" si="8"/>
        <v>0</v>
      </c>
      <c r="G35" s="108">
        <f t="shared" si="8"/>
        <v>0</v>
      </c>
      <c r="H35" s="108">
        <f t="shared" si="8"/>
        <v>0</v>
      </c>
      <c r="I35" s="108">
        <f t="shared" si="8"/>
        <v>0</v>
      </c>
      <c r="J35" s="108">
        <f t="shared" si="8"/>
        <v>0</v>
      </c>
      <c r="K35" s="108">
        <f t="shared" si="8"/>
        <v>0</v>
      </c>
      <c r="L35" s="108">
        <f t="shared" si="8"/>
        <v>0</v>
      </c>
      <c r="M35" s="108">
        <f t="shared" si="8"/>
        <v>0</v>
      </c>
      <c r="N35" s="108">
        <f t="shared" si="8"/>
        <v>0</v>
      </c>
      <c r="O35" s="108">
        <f t="shared" si="8"/>
        <v>0</v>
      </c>
      <c r="P35" s="108"/>
      <c r="Q35" s="108">
        <f>SUM(D35:O35)</f>
        <v>0</v>
      </c>
    </row>
    <row r="37" spans="2:17">
      <c r="B37" t="s">
        <v>111</v>
      </c>
      <c r="D37" s="108">
        <f ca="1">+Actual!E44</f>
        <v>0</v>
      </c>
      <c r="E37" s="108">
        <f ca="1">+Actual!F44</f>
        <v>0</v>
      </c>
      <c r="F37" s="108">
        <f ca="1">+Actual!G44</f>
        <v>0</v>
      </c>
      <c r="G37" s="108">
        <f ca="1">+Actual!H44</f>
        <v>0</v>
      </c>
      <c r="H37" s="108">
        <f ca="1">+Actual!I44</f>
        <v>0</v>
      </c>
      <c r="I37" s="108">
        <f ca="1">+Actual!J44</f>
        <v>0</v>
      </c>
      <c r="J37" s="108">
        <f ca="1">+Actual!K44</f>
        <v>0</v>
      </c>
      <c r="K37" s="108">
        <f ca="1">+Actual!L44</f>
        <v>0</v>
      </c>
      <c r="L37" s="108">
        <f ca="1">+Actual!M44</f>
        <v>0</v>
      </c>
      <c r="M37" s="108">
        <f ca="1">+Actual!N44</f>
        <v>0</v>
      </c>
      <c r="N37" s="108">
        <f ca="1">+Actual!O44</f>
        <v>0</v>
      </c>
      <c r="O37" s="108">
        <f ca="1">+Actual!P44</f>
        <v>0</v>
      </c>
    </row>
    <row r="38" spans="2:17">
      <c r="B38" t="s">
        <v>112</v>
      </c>
      <c r="D38" s="108">
        <f ca="1">+Actual!E46</f>
        <v>0</v>
      </c>
      <c r="E38" s="108">
        <f ca="1">+Actual!F46</f>
        <v>0</v>
      </c>
      <c r="F38" s="108">
        <f ca="1">+Actual!G46</f>
        <v>0</v>
      </c>
      <c r="G38" s="108">
        <f ca="1">+Actual!H46</f>
        <v>0</v>
      </c>
      <c r="H38" s="108">
        <f ca="1">+Actual!I46</f>
        <v>0</v>
      </c>
      <c r="I38" s="108">
        <f ca="1">+Actual!J46</f>
        <v>0</v>
      </c>
      <c r="J38" s="108">
        <f ca="1">+Actual!K46</f>
        <v>0</v>
      </c>
      <c r="K38" s="108">
        <f ca="1">+Actual!L46</f>
        <v>0</v>
      </c>
      <c r="L38" s="108">
        <f ca="1">+Actual!M46</f>
        <v>0</v>
      </c>
      <c r="M38" s="108">
        <f ca="1">+Actual!N46</f>
        <v>0</v>
      </c>
      <c r="N38" s="108">
        <f ca="1">+Actual!O46</f>
        <v>0</v>
      </c>
      <c r="O38" s="108">
        <f ca="1">+Actual!P46</f>
        <v>0</v>
      </c>
    </row>
    <row r="39" spans="2:17">
      <c r="B39" t="s">
        <v>109</v>
      </c>
      <c r="D39" s="108">
        <f t="shared" ref="D39:O39" si="9">+D35</f>
        <v>0</v>
      </c>
      <c r="E39" s="108">
        <f t="shared" si="9"/>
        <v>0</v>
      </c>
      <c r="F39" s="108">
        <f t="shared" si="9"/>
        <v>0</v>
      </c>
      <c r="G39" s="108">
        <f t="shared" si="9"/>
        <v>0</v>
      </c>
      <c r="H39" s="108">
        <f t="shared" si="9"/>
        <v>0</v>
      </c>
      <c r="I39" s="108">
        <f t="shared" si="9"/>
        <v>0</v>
      </c>
      <c r="J39" s="108">
        <f t="shared" si="9"/>
        <v>0</v>
      </c>
      <c r="K39" s="108">
        <f t="shared" si="9"/>
        <v>0</v>
      </c>
      <c r="L39" s="108">
        <f t="shared" si="9"/>
        <v>0</v>
      </c>
      <c r="M39" s="108">
        <f t="shared" si="9"/>
        <v>0</v>
      </c>
      <c r="N39" s="108">
        <f t="shared" si="9"/>
        <v>0</v>
      </c>
      <c r="O39" s="108">
        <f t="shared" si="9"/>
        <v>0</v>
      </c>
    </row>
    <row r="40" spans="2:17">
      <c r="B40" t="s">
        <v>104</v>
      </c>
      <c r="D40" s="108">
        <f t="shared" ref="D40:Q40" si="10">+C40+D35</f>
        <v>0</v>
      </c>
      <c r="E40" s="108">
        <f t="shared" si="10"/>
        <v>0</v>
      </c>
      <c r="F40" s="108">
        <f t="shared" si="10"/>
        <v>0</v>
      </c>
      <c r="G40" s="108">
        <f t="shared" si="10"/>
        <v>0</v>
      </c>
      <c r="H40" s="108">
        <f t="shared" si="10"/>
        <v>0</v>
      </c>
      <c r="I40" s="108">
        <f t="shared" si="10"/>
        <v>0</v>
      </c>
      <c r="J40" s="108">
        <f t="shared" si="10"/>
        <v>0</v>
      </c>
      <c r="K40" s="108">
        <f t="shared" si="10"/>
        <v>0</v>
      </c>
      <c r="L40" s="108">
        <f t="shared" si="10"/>
        <v>0</v>
      </c>
      <c r="M40" s="108">
        <f t="shared" si="10"/>
        <v>0</v>
      </c>
      <c r="N40" s="108">
        <f t="shared" si="10"/>
        <v>0</v>
      </c>
      <c r="O40" s="108">
        <f t="shared" si="10"/>
        <v>0</v>
      </c>
      <c r="P40" s="108">
        <f t="shared" si="10"/>
        <v>0</v>
      </c>
      <c r="Q40" s="108">
        <f t="shared" si="10"/>
        <v>0</v>
      </c>
    </row>
    <row r="41" spans="2:17">
      <c r="B41" t="s">
        <v>105</v>
      </c>
      <c r="D41" s="110">
        <f>+C41+D35</f>
        <v>0</v>
      </c>
      <c r="E41" s="108">
        <f>+D41+E35</f>
        <v>0</v>
      </c>
      <c r="F41" s="108">
        <f>+E41+F35</f>
        <v>0</v>
      </c>
      <c r="G41" s="110">
        <f>+G35</f>
        <v>0</v>
      </c>
      <c r="H41" s="108">
        <f>+G41+H35</f>
        <v>0</v>
      </c>
      <c r="I41" s="108">
        <f>+H41+I35</f>
        <v>0</v>
      </c>
      <c r="J41" s="110">
        <f>+J35</f>
        <v>0</v>
      </c>
      <c r="K41" s="108">
        <f>+J41+K35</f>
        <v>0</v>
      </c>
      <c r="L41" s="108">
        <f>+K41+L35</f>
        <v>0</v>
      </c>
      <c r="M41" s="110">
        <f>+M35</f>
        <v>0</v>
      </c>
      <c r="N41" s="108">
        <f>+M41+N35</f>
        <v>0</v>
      </c>
      <c r="O41" s="108">
        <f>+N41+O35</f>
        <v>0</v>
      </c>
      <c r="P41" s="108"/>
      <c r="Q41" s="108"/>
    </row>
    <row r="43" spans="2:17">
      <c r="B43" t="s">
        <v>115</v>
      </c>
      <c r="D43" s="108">
        <f ca="1">+'Budget Actual Comparision'!$D$40</f>
        <v>0</v>
      </c>
      <c r="E43" s="108">
        <f ca="1">+'Budget Actual Comparision'!$D$40</f>
        <v>0</v>
      </c>
      <c r="F43" s="108">
        <f ca="1">+'Budget Actual Comparision'!$D$40</f>
        <v>0</v>
      </c>
      <c r="G43" s="108">
        <f ca="1">+'Budget Actual Comparision'!$D$40</f>
        <v>0</v>
      </c>
      <c r="H43" s="108">
        <f ca="1">+'Budget Actual Comparision'!$D$40</f>
        <v>0</v>
      </c>
      <c r="I43" s="108">
        <f ca="1">+'Budget Actual Comparision'!$D$40</f>
        <v>0</v>
      </c>
      <c r="J43" s="108">
        <f ca="1">+'Budget Actual Comparision'!$D$40</f>
        <v>0</v>
      </c>
      <c r="K43" s="108">
        <f ca="1">+'Budget Actual Comparision'!$D$40</f>
        <v>0</v>
      </c>
      <c r="L43" s="108">
        <f ca="1">+'Budget Actual Comparision'!$D$40</f>
        <v>0</v>
      </c>
      <c r="M43" s="108">
        <f ca="1">+'Budget Actual Comparision'!$D$40</f>
        <v>0</v>
      </c>
      <c r="N43" s="108">
        <f ca="1">+'Budget Actual Comparision'!$D$40</f>
        <v>0</v>
      </c>
      <c r="O43" s="108">
        <f ca="1">+'Budget Actual Comparision'!$D$40</f>
        <v>0</v>
      </c>
    </row>
    <row r="44" spans="2:17">
      <c r="B44" t="s">
        <v>116</v>
      </c>
      <c r="D44" s="108">
        <f ca="1">+'Budget Actual Comparision'!$L$40</f>
        <v>0</v>
      </c>
      <c r="E44" s="108">
        <f ca="1">+'Budget Actual Comparision'!$L$40</f>
        <v>0</v>
      </c>
      <c r="F44" s="108">
        <f ca="1">+'Budget Actual Comparision'!$L$40</f>
        <v>0</v>
      </c>
      <c r="G44" s="108">
        <f ca="1">+'Budget Actual Comparision'!$L$40</f>
        <v>0</v>
      </c>
      <c r="H44" s="108">
        <f ca="1">+'Budget Actual Comparision'!$L$40</f>
        <v>0</v>
      </c>
      <c r="I44" s="108">
        <f ca="1">+'Budget Actual Comparision'!$L$40</f>
        <v>0</v>
      </c>
      <c r="J44" s="108">
        <f ca="1">+'Budget Actual Comparision'!$L$40</f>
        <v>0</v>
      </c>
      <c r="K44" s="108">
        <f ca="1">+'Budget Actual Comparision'!$L$40</f>
        <v>0</v>
      </c>
      <c r="L44" s="108">
        <f ca="1">+'Budget Actual Comparision'!$L$40</f>
        <v>0</v>
      </c>
      <c r="M44" s="108">
        <f ca="1">+'Budget Actual Comparision'!$L$40</f>
        <v>0</v>
      </c>
      <c r="N44" s="108">
        <f ca="1">+'Budget Actual Comparision'!$L$40</f>
        <v>0</v>
      </c>
      <c r="O44" s="108">
        <f ca="1">+'Budget Actual Comparision'!$L$40</f>
        <v>0</v>
      </c>
    </row>
    <row r="45" spans="2:17">
      <c r="B45" t="s">
        <v>117</v>
      </c>
      <c r="D45" s="108">
        <f ca="1">'Budget Actual Comparision'!$H$40</f>
        <v>0</v>
      </c>
      <c r="E45" s="108">
        <f ca="1">'Budget Actual Comparision'!$H$40</f>
        <v>0</v>
      </c>
      <c r="F45" s="108">
        <f ca="1">'Budget Actual Comparision'!$H$40</f>
        <v>0</v>
      </c>
      <c r="G45" s="108">
        <f ca="1">'Budget Actual Comparision'!$H$40</f>
        <v>0</v>
      </c>
      <c r="H45" s="108">
        <f ca="1">'Budget Actual Comparision'!$H$40</f>
        <v>0</v>
      </c>
      <c r="I45" s="108">
        <f ca="1">'Budget Actual Comparision'!$H$40</f>
        <v>0</v>
      </c>
      <c r="J45" s="108">
        <f ca="1">'Budget Actual Comparision'!$H$40</f>
        <v>0</v>
      </c>
      <c r="K45" s="108">
        <f ca="1">'Budget Actual Comparision'!$H$40</f>
        <v>0</v>
      </c>
      <c r="L45" s="108">
        <f ca="1">'Budget Actual Comparision'!$H$40</f>
        <v>0</v>
      </c>
      <c r="M45" s="108">
        <f ca="1">'Budget Actual Comparision'!$H$40</f>
        <v>0</v>
      </c>
      <c r="N45" s="108">
        <f ca="1">'Budget Actual Comparision'!$H$40</f>
        <v>0</v>
      </c>
      <c r="O45" s="108">
        <f ca="1">'Budget Actual Comparision'!$H$40</f>
        <v>0</v>
      </c>
    </row>
    <row r="46" spans="2:17">
      <c r="B46" t="s">
        <v>118</v>
      </c>
      <c r="D46" s="108">
        <f ca="1">+'Budget Actual Comparision'!$D$44</f>
        <v>0</v>
      </c>
      <c r="E46" s="108">
        <f ca="1">+'Budget Actual Comparision'!$D$44</f>
        <v>0</v>
      </c>
      <c r="F46" s="108">
        <f ca="1">+'Budget Actual Comparision'!$D$44</f>
        <v>0</v>
      </c>
      <c r="G46" s="108">
        <f ca="1">+'Budget Actual Comparision'!$D$44</f>
        <v>0</v>
      </c>
      <c r="H46" s="108">
        <f ca="1">+'Budget Actual Comparision'!$D$44</f>
        <v>0</v>
      </c>
      <c r="I46" s="108">
        <f ca="1">+'Budget Actual Comparision'!$D$44</f>
        <v>0</v>
      </c>
      <c r="J46" s="108">
        <f ca="1">+'Budget Actual Comparision'!$D$44</f>
        <v>0</v>
      </c>
      <c r="K46" s="108">
        <f ca="1">+'Budget Actual Comparision'!$D$44</f>
        <v>0</v>
      </c>
      <c r="L46" s="108">
        <f ca="1">+'Budget Actual Comparision'!$D$44</f>
        <v>0</v>
      </c>
      <c r="M46" s="108">
        <f ca="1">+'Budget Actual Comparision'!$D$44</f>
        <v>0</v>
      </c>
      <c r="N46" s="108">
        <f ca="1">+'Budget Actual Comparision'!$D$44</f>
        <v>0</v>
      </c>
      <c r="O46" s="108">
        <f ca="1">+'Budget Actual Comparision'!$D$44</f>
        <v>0</v>
      </c>
    </row>
    <row r="47" spans="2:17">
      <c r="B47" t="s">
        <v>119</v>
      </c>
      <c r="D47" s="108">
        <f ca="1">+'Budget Actual Comparision'!$D$46</f>
        <v>0</v>
      </c>
      <c r="E47" s="108">
        <f ca="1">+'Budget Actual Comparision'!$D$46</f>
        <v>0</v>
      </c>
      <c r="F47" s="108">
        <f ca="1">+'Budget Actual Comparision'!$D$46</f>
        <v>0</v>
      </c>
      <c r="G47" s="108">
        <f ca="1">+'Budget Actual Comparision'!$D$46</f>
        <v>0</v>
      </c>
      <c r="H47" s="108">
        <f ca="1">+'Budget Actual Comparision'!$D$46</f>
        <v>0</v>
      </c>
      <c r="I47" s="108">
        <f ca="1">+'Budget Actual Comparision'!$D$46</f>
        <v>0</v>
      </c>
      <c r="J47" s="108">
        <f ca="1">+'Budget Actual Comparision'!$D$46</f>
        <v>0</v>
      </c>
      <c r="K47" s="108">
        <f ca="1">+'Budget Actual Comparision'!$D$46</f>
        <v>0</v>
      </c>
      <c r="L47" s="108">
        <f ca="1">+'Budget Actual Comparision'!$D$46</f>
        <v>0</v>
      </c>
      <c r="M47" s="108">
        <f ca="1">+'Budget Actual Comparision'!$D$46</f>
        <v>0</v>
      </c>
      <c r="N47" s="108">
        <f ca="1">+'Budget Actual Comparision'!$D$46</f>
        <v>0</v>
      </c>
      <c r="O47" s="108">
        <f ca="1">+'Budget Actual Comparision'!$D$46</f>
        <v>0</v>
      </c>
    </row>
    <row r="48" spans="2:17">
      <c r="D48" s="108"/>
      <c r="E48" s="108"/>
      <c r="F48" s="108"/>
      <c r="G48" s="108"/>
      <c r="H48" s="108"/>
      <c r="I48" s="108"/>
      <c r="J48" s="108"/>
      <c r="K48" s="108"/>
      <c r="L48" s="108"/>
      <c r="M48" s="108"/>
      <c r="N48" s="108"/>
      <c r="O48" s="108"/>
    </row>
    <row r="49" spans="2:17">
      <c r="B49" t="s">
        <v>115</v>
      </c>
      <c r="D49" s="108">
        <f t="shared" ref="D49:O49" si="11">IF(MONTH(D$4=$C$1),D43-D39,"")</f>
        <v>0</v>
      </c>
      <c r="E49" s="108">
        <f t="shared" si="11"/>
        <v>0</v>
      </c>
      <c r="F49" s="108">
        <f t="shared" si="11"/>
        <v>0</v>
      </c>
      <c r="G49" s="108">
        <f t="shared" si="11"/>
        <v>0</v>
      </c>
      <c r="H49" s="108">
        <f t="shared" si="11"/>
        <v>0</v>
      </c>
      <c r="I49" s="108">
        <f t="shared" si="11"/>
        <v>0</v>
      </c>
      <c r="J49" s="108">
        <f t="shared" si="11"/>
        <v>0</v>
      </c>
      <c r="K49" s="108">
        <f t="shared" si="11"/>
        <v>0</v>
      </c>
      <c r="L49" s="108">
        <f t="shared" si="11"/>
        <v>0</v>
      </c>
      <c r="M49" s="108">
        <f t="shared" si="11"/>
        <v>0</v>
      </c>
      <c r="N49" s="108">
        <f t="shared" si="11"/>
        <v>0</v>
      </c>
      <c r="O49" s="108">
        <f t="shared" si="11"/>
        <v>0</v>
      </c>
    </row>
    <row r="50" spans="2:17">
      <c r="B50" t="s">
        <v>107</v>
      </c>
      <c r="D50" s="108">
        <f t="shared" ref="D50:O50" si="12">IF(MONTH(D$4=$C$1),D44-D40,"")</f>
        <v>0</v>
      </c>
      <c r="E50" s="108">
        <f t="shared" si="12"/>
        <v>0</v>
      </c>
      <c r="F50" s="108">
        <f t="shared" si="12"/>
        <v>0</v>
      </c>
      <c r="G50" s="108">
        <f t="shared" si="12"/>
        <v>0</v>
      </c>
      <c r="H50" s="108">
        <f t="shared" si="12"/>
        <v>0</v>
      </c>
      <c r="I50" s="108">
        <f t="shared" si="12"/>
        <v>0</v>
      </c>
      <c r="J50" s="108">
        <f t="shared" si="12"/>
        <v>0</v>
      </c>
      <c r="K50" s="108">
        <f t="shared" si="12"/>
        <v>0</v>
      </c>
      <c r="L50" s="108">
        <f t="shared" si="12"/>
        <v>0</v>
      </c>
      <c r="M50" s="108">
        <f t="shared" si="12"/>
        <v>0</v>
      </c>
      <c r="N50" s="108">
        <f t="shared" si="12"/>
        <v>0</v>
      </c>
      <c r="O50" s="108">
        <f t="shared" si="12"/>
        <v>0</v>
      </c>
    </row>
    <row r="51" spans="2:17">
      <c r="B51" t="s">
        <v>108</v>
      </c>
      <c r="D51" s="108">
        <f t="shared" ref="D51:O51" si="13">IF(MONTH(D$4=$C$1),D45-D41,"")</f>
        <v>0</v>
      </c>
      <c r="E51" s="108">
        <f t="shared" si="13"/>
        <v>0</v>
      </c>
      <c r="F51" s="108">
        <f t="shared" si="13"/>
        <v>0</v>
      </c>
      <c r="G51" s="108">
        <f t="shared" si="13"/>
        <v>0</v>
      </c>
      <c r="H51" s="108">
        <f t="shared" si="13"/>
        <v>0</v>
      </c>
      <c r="I51" s="108">
        <f t="shared" si="13"/>
        <v>0</v>
      </c>
      <c r="J51" s="108">
        <f t="shared" si="13"/>
        <v>0</v>
      </c>
      <c r="K51" s="108">
        <f t="shared" si="13"/>
        <v>0</v>
      </c>
      <c r="L51" s="108">
        <f t="shared" si="13"/>
        <v>0</v>
      </c>
      <c r="M51" s="108">
        <f t="shared" si="13"/>
        <v>0</v>
      </c>
      <c r="N51" s="108">
        <f t="shared" si="13"/>
        <v>0</v>
      </c>
      <c r="O51" s="108">
        <f t="shared" si="13"/>
        <v>0</v>
      </c>
    </row>
    <row r="52" spans="2:17">
      <c r="B52" t="s">
        <v>113</v>
      </c>
      <c r="D52" s="108">
        <f>IF(MONTH(D$4=$C$1),D46-D37,"")</f>
        <v>0</v>
      </c>
      <c r="E52" s="108">
        <f t="shared" ref="E52:O52" si="14">IF(MONTH(E$4=$C$1),E46-E37,"")</f>
        <v>0</v>
      </c>
      <c r="F52" s="108">
        <f t="shared" si="14"/>
        <v>0</v>
      </c>
      <c r="G52" s="108">
        <f t="shared" si="14"/>
        <v>0</v>
      </c>
      <c r="H52" s="108">
        <f t="shared" si="14"/>
        <v>0</v>
      </c>
      <c r="I52" s="108">
        <f t="shared" si="14"/>
        <v>0</v>
      </c>
      <c r="J52" s="108">
        <f t="shared" si="14"/>
        <v>0</v>
      </c>
      <c r="K52" s="108">
        <f t="shared" si="14"/>
        <v>0</v>
      </c>
      <c r="L52" s="108">
        <f t="shared" si="14"/>
        <v>0</v>
      </c>
      <c r="M52" s="108">
        <f t="shared" si="14"/>
        <v>0</v>
      </c>
      <c r="N52" s="108">
        <f t="shared" si="14"/>
        <v>0</v>
      </c>
      <c r="O52" s="108">
        <f t="shared" si="14"/>
        <v>0</v>
      </c>
    </row>
    <row r="53" spans="2:17">
      <c r="B53" t="s">
        <v>114</v>
      </c>
      <c r="D53" s="108">
        <f>IF(MONTH(D$4=$C$1),D47-D38,"")</f>
        <v>0</v>
      </c>
      <c r="E53" s="108">
        <f t="shared" ref="E53:O53" si="15">IF(MONTH(E$4=$C$1),E47-E38,"")</f>
        <v>0</v>
      </c>
      <c r="F53" s="108">
        <f t="shared" si="15"/>
        <v>0</v>
      </c>
      <c r="G53" s="108">
        <f t="shared" si="15"/>
        <v>0</v>
      </c>
      <c r="H53" s="108">
        <f t="shared" si="15"/>
        <v>0</v>
      </c>
      <c r="I53" s="108">
        <f t="shared" si="15"/>
        <v>0</v>
      </c>
      <c r="J53" s="108">
        <f t="shared" si="15"/>
        <v>0</v>
      </c>
      <c r="K53" s="108">
        <f t="shared" si="15"/>
        <v>0</v>
      </c>
      <c r="L53" s="108">
        <f t="shared" si="15"/>
        <v>0</v>
      </c>
      <c r="M53" s="108">
        <f t="shared" si="15"/>
        <v>0</v>
      </c>
      <c r="N53" s="108">
        <f t="shared" si="15"/>
        <v>0</v>
      </c>
      <c r="O53" s="108">
        <f t="shared" si="15"/>
        <v>0</v>
      </c>
    </row>
    <row r="55" spans="2:17">
      <c r="B55" t="s">
        <v>101</v>
      </c>
      <c r="D55" s="1" t="str">
        <f ca="1">IF(D33=Actual!E14,"OK","Error")</f>
        <v>OK</v>
      </c>
      <c r="E55" s="1" t="str">
        <f ca="1">IF(E33=Actual!F14,"OK","Error")</f>
        <v>OK</v>
      </c>
      <c r="F55" s="1" t="str">
        <f ca="1">IF(F33=Actual!G14,"OK","Error")</f>
        <v>OK</v>
      </c>
      <c r="G55" s="1" t="str">
        <f ca="1">IF(G33=Actual!H14,"OK","Error")</f>
        <v>OK</v>
      </c>
      <c r="H55" s="1" t="str">
        <f ca="1">IF(H33=Actual!I14,"OK","Error")</f>
        <v>OK</v>
      </c>
      <c r="I55" s="1" t="str">
        <f ca="1">IF(I33=Actual!J14,"OK","Error")</f>
        <v>OK</v>
      </c>
      <c r="J55" s="1" t="str">
        <f ca="1">IF(J33=Actual!K14,"OK","Error")</f>
        <v>OK</v>
      </c>
      <c r="K55" s="1" t="str">
        <f ca="1">IF(K33=Actual!L14,"OK","Error")</f>
        <v>OK</v>
      </c>
      <c r="L55" s="1" t="str">
        <f ca="1">IF(L33=Actual!M14,"OK","Error")</f>
        <v>OK</v>
      </c>
      <c r="M55" s="1" t="str">
        <f ca="1">IF(M33=Actual!N14,"OK","Error")</f>
        <v>OK</v>
      </c>
      <c r="N55" s="1" t="str">
        <f ca="1">IF(N33=Actual!O14,"OK","Error")</f>
        <v>OK</v>
      </c>
      <c r="O55" s="1" t="str">
        <f ca="1">IF(O33=Actual!P14,"OK","Error")</f>
        <v>OK</v>
      </c>
      <c r="P55" s="1" t="str">
        <f ca="1">IF(P33=Actual!Q14,"OK","Error")</f>
        <v>OK</v>
      </c>
      <c r="Q55" s="1" t="str">
        <f ca="1">IF(Q33=Actual!R14,"OK","Error")</f>
        <v>OK</v>
      </c>
    </row>
    <row r="56" spans="2:17">
      <c r="B56" t="s">
        <v>102</v>
      </c>
      <c r="D56" s="1" t="str">
        <f ca="1">IF(D34=Actual!E38,"OK","Error")</f>
        <v>OK</v>
      </c>
      <c r="E56" s="1" t="str">
        <f ca="1">IF(E34=Actual!F38,"OK","Error")</f>
        <v>OK</v>
      </c>
      <c r="F56" s="1" t="str">
        <f ca="1">IF(F34=Actual!G38,"OK","Error")</f>
        <v>OK</v>
      </c>
      <c r="G56" s="1" t="str">
        <f ca="1">IF(G34=Actual!H38,"OK","Error")</f>
        <v>OK</v>
      </c>
      <c r="H56" s="1" t="str">
        <f ca="1">IF(H34=Actual!I38,"OK","Error")</f>
        <v>OK</v>
      </c>
      <c r="I56" s="1" t="str">
        <f ca="1">IF(I34=Actual!J38,"OK","Error")</f>
        <v>OK</v>
      </c>
      <c r="J56" s="1" t="str">
        <f ca="1">IF(J34=Actual!K38,"OK","Error")</f>
        <v>OK</v>
      </c>
      <c r="K56" s="1" t="str">
        <f ca="1">IF(K34=Actual!L38,"OK","Error")</f>
        <v>OK</v>
      </c>
      <c r="L56" s="1" t="str">
        <f ca="1">IF(L34=Actual!M38,"OK","Error")</f>
        <v>OK</v>
      </c>
      <c r="M56" s="1" t="str">
        <f ca="1">IF(M34=Actual!N38,"OK","Error")</f>
        <v>OK</v>
      </c>
      <c r="N56" s="1" t="str">
        <f ca="1">IF(N34=Actual!O38,"OK","Error")</f>
        <v>OK</v>
      </c>
      <c r="O56" s="1" t="str">
        <f ca="1">IF(O34=Actual!P38,"OK","Error")</f>
        <v>OK</v>
      </c>
      <c r="P56" s="1" t="str">
        <f ca="1">IF(P34=Actual!Q38,"OK","Error")</f>
        <v>OK</v>
      </c>
      <c r="Q56" s="1" t="str">
        <f ca="1">IF(Q34=Actual!R38,"OK","Error")</f>
        <v>OK</v>
      </c>
    </row>
    <row r="57" spans="2:17">
      <c r="B57" t="s">
        <v>103</v>
      </c>
      <c r="D57" s="1" t="str">
        <f ca="1">IF(D35=Actual!E40,"OK","Error")</f>
        <v>OK</v>
      </c>
      <c r="E57" s="1" t="str">
        <f ca="1">IF(E35=Actual!F40,"OK","Error")</f>
        <v>OK</v>
      </c>
      <c r="F57" s="1" t="str">
        <f ca="1">IF(F35=Actual!G40,"OK","Error")</f>
        <v>OK</v>
      </c>
      <c r="G57" s="1" t="str">
        <f ca="1">IF(G35=Actual!H40,"OK","Error")</f>
        <v>OK</v>
      </c>
      <c r="H57" s="1" t="str">
        <f ca="1">IF(H35=Actual!I40,"OK","Error")</f>
        <v>OK</v>
      </c>
      <c r="I57" s="1" t="str">
        <f ca="1">IF(I35=Actual!J40,"OK","Error")</f>
        <v>OK</v>
      </c>
      <c r="J57" s="1" t="str">
        <f ca="1">IF(J35=Actual!K40,"OK","Error")</f>
        <v>OK</v>
      </c>
      <c r="K57" s="1" t="str">
        <f ca="1">IF(K35=Actual!L40,"OK","Error")</f>
        <v>OK</v>
      </c>
      <c r="L57" s="1" t="str">
        <f ca="1">IF(L35=Actual!M40,"OK","Error")</f>
        <v>OK</v>
      </c>
      <c r="M57" s="1" t="str">
        <f ca="1">IF(M35=Actual!N40,"OK","Error")</f>
        <v>OK</v>
      </c>
      <c r="N57" s="1" t="str">
        <f ca="1">IF(N35=Actual!O40,"OK","Error")</f>
        <v>OK</v>
      </c>
      <c r="O57" s="1" t="str">
        <f ca="1">IF(O35=Actual!P40,"OK","Error")</f>
        <v>OK</v>
      </c>
      <c r="P57" s="1" t="str">
        <f ca="1">IF(P35=Actual!Q40,"OK","Error")</f>
        <v>OK</v>
      </c>
      <c r="Q57" s="1" t="str">
        <f ca="1">IF(Q35=Actual!R40,"OK","Error")</f>
        <v>OK</v>
      </c>
    </row>
  </sheetData>
  <sheetProtection password="CF0F" sheet="1" objects="1" scenarios="1"/>
  <phoneticPr fontId="2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Introduction</vt:lpstr>
      <vt:lpstr>Ledger</vt:lpstr>
      <vt:lpstr>Budget</vt:lpstr>
      <vt:lpstr>Actual</vt:lpstr>
      <vt:lpstr>Budget Actual Comparision</vt:lpstr>
      <vt:lpstr>Budget QTD</vt:lpstr>
      <vt:lpstr>Actual QTD</vt:lpstr>
      <vt:lpstr>Budget YTD</vt:lpstr>
      <vt:lpstr>Actual YTD</vt:lpstr>
      <vt:lpstr>Charts</vt:lpstr>
      <vt:lpstr>Audit Sheet</vt:lpstr>
      <vt:lpstr>Actual!Print_Area</vt:lpstr>
      <vt:lpstr>'Actual QTD'!Print_Area</vt:lpstr>
      <vt:lpstr>'Actual YTD'!Print_Area</vt:lpstr>
      <vt:lpstr>Budget!Print_Area</vt:lpstr>
      <vt:lpstr>'Budget Actual Comparision'!Print_Area</vt:lpstr>
      <vt:lpstr>'Budget QTD'!Print_Area</vt:lpstr>
      <vt:lpstr>'Budget YTD'!Print_Area</vt:lpstr>
      <vt:lpstr>Introduction!Print_Area</vt:lpstr>
      <vt:lpstr>Ledger!Print_Area</vt:lpstr>
      <vt:lpstr>Ledger!Print_Titles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Knight Rider</cp:lastModifiedBy>
  <cp:lastPrinted>2012-01-11T02:09:41Z</cp:lastPrinted>
  <dcterms:created xsi:type="dcterms:W3CDTF">2011-12-26T01:59:33Z</dcterms:created>
  <dcterms:modified xsi:type="dcterms:W3CDTF">2012-01-17T00:56:23Z</dcterms:modified>
</cp:coreProperties>
</file>