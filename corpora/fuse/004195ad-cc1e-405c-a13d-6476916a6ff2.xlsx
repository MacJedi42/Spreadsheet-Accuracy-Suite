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15" yWindow="285" windowWidth="18195" windowHeight="117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48" i="1" l="1"/>
  <c r="C48" i="1"/>
  <c r="E48" i="1" l="1"/>
  <c r="F17" i="1" l="1"/>
  <c r="G17" i="1" s="1"/>
  <c r="H17" i="1" s="1"/>
  <c r="F19" i="1"/>
  <c r="G19" i="1" s="1"/>
  <c r="H19" i="1" s="1"/>
  <c r="F18" i="1"/>
  <c r="G18" i="1" s="1"/>
  <c r="H18" i="1" s="1"/>
  <c r="F20" i="1"/>
  <c r="G20" i="1" s="1"/>
  <c r="H20" i="1" s="1"/>
  <c r="F16" i="1"/>
  <c r="G16" i="1" s="1"/>
  <c r="H16" i="1" s="1"/>
  <c r="F47" i="1"/>
  <c r="G47" i="1" s="1"/>
  <c r="H47" i="1" s="1"/>
  <c r="F43" i="1"/>
  <c r="G43" i="1" s="1"/>
  <c r="H43" i="1" s="1"/>
  <c r="F39" i="1"/>
  <c r="G39" i="1" s="1"/>
  <c r="H39" i="1" s="1"/>
  <c r="F35" i="1"/>
  <c r="G35" i="1" s="1"/>
  <c r="H35" i="1" s="1"/>
  <c r="F31" i="1"/>
  <c r="G31" i="1" s="1"/>
  <c r="H31" i="1" s="1"/>
  <c r="F27" i="1"/>
  <c r="G27" i="1" s="1"/>
  <c r="H27" i="1" s="1"/>
  <c r="F23" i="1"/>
  <c r="G23" i="1" s="1"/>
  <c r="H23" i="1" s="1"/>
  <c r="F14" i="1"/>
  <c r="G14" i="1" s="1"/>
  <c r="H14" i="1" s="1"/>
  <c r="F10" i="1"/>
  <c r="G10" i="1" s="1"/>
  <c r="H10" i="1" s="1"/>
  <c r="F42" i="1"/>
  <c r="G42" i="1" s="1"/>
  <c r="H42" i="1" s="1"/>
  <c r="F38" i="1"/>
  <c r="G38" i="1" s="1"/>
  <c r="H38" i="1" s="1"/>
  <c r="F34" i="1"/>
  <c r="G34" i="1" s="1"/>
  <c r="H34" i="1" s="1"/>
  <c r="F30" i="1"/>
  <c r="G30" i="1" s="1"/>
  <c r="H30" i="1" s="1"/>
  <c r="F26" i="1"/>
  <c r="G26" i="1" s="1"/>
  <c r="H26" i="1" s="1"/>
  <c r="F22" i="1"/>
  <c r="G22" i="1" s="1"/>
  <c r="H22" i="1" s="1"/>
  <c r="F13" i="1"/>
  <c r="G13" i="1" s="1"/>
  <c r="H13" i="1" s="1"/>
  <c r="F9" i="1"/>
  <c r="G9" i="1" s="1"/>
  <c r="H9" i="1" s="1"/>
  <c r="F45" i="1"/>
  <c r="G45" i="1" s="1"/>
  <c r="H45" i="1" s="1"/>
  <c r="F41" i="1"/>
  <c r="G41" i="1" s="1"/>
  <c r="H41" i="1" s="1"/>
  <c r="F37" i="1"/>
  <c r="G37" i="1" s="1"/>
  <c r="H37" i="1" s="1"/>
  <c r="F33" i="1"/>
  <c r="G33" i="1" s="1"/>
  <c r="H33" i="1" s="1"/>
  <c r="F29" i="1"/>
  <c r="G29" i="1" s="1"/>
  <c r="H29" i="1" s="1"/>
  <c r="F25" i="1"/>
  <c r="G25" i="1" s="1"/>
  <c r="H25" i="1" s="1"/>
  <c r="F21" i="1"/>
  <c r="G21" i="1" s="1"/>
  <c r="H21" i="1" s="1"/>
  <c r="F12" i="1"/>
  <c r="G12" i="1" s="1"/>
  <c r="H12" i="1" s="1"/>
  <c r="F8" i="1"/>
  <c r="G8" i="1" s="1"/>
  <c r="H8" i="1" s="1"/>
  <c r="F36" i="1"/>
  <c r="G36" i="1" s="1"/>
  <c r="H36" i="1" s="1"/>
  <c r="F15" i="1"/>
  <c r="G15" i="1" s="1"/>
  <c r="H15" i="1" s="1"/>
  <c r="F32" i="1"/>
  <c r="G32" i="1" s="1"/>
  <c r="H32" i="1" s="1"/>
  <c r="F11" i="1"/>
  <c r="G11" i="1" s="1"/>
  <c r="H11" i="1" s="1"/>
  <c r="F44" i="1"/>
  <c r="G44" i="1" s="1"/>
  <c r="H44" i="1" s="1"/>
  <c r="F28" i="1"/>
  <c r="G28" i="1" s="1"/>
  <c r="H28" i="1" s="1"/>
  <c r="F40" i="1"/>
  <c r="G40" i="1" s="1"/>
  <c r="H40" i="1" s="1"/>
  <c r="F24" i="1"/>
  <c r="G24" i="1" s="1"/>
  <c r="H24" i="1" s="1"/>
  <c r="F48" i="1"/>
  <c r="G48" i="1" s="1"/>
  <c r="F6" i="1"/>
  <c r="G6" i="1" s="1"/>
  <c r="H6" i="1" s="1"/>
  <c r="F7" i="1"/>
  <c r="G7" i="1" s="1"/>
  <c r="H7" i="1" s="1"/>
  <c r="F46" i="1"/>
  <c r="G46" i="1" s="1"/>
  <c r="H46" i="1" s="1"/>
  <c r="H48" i="1" l="1"/>
</calcChain>
</file>

<file path=xl/sharedStrings.xml><?xml version="1.0" encoding="utf-8"?>
<sst xmlns="http://schemas.openxmlformats.org/spreadsheetml/2006/main" count="54" uniqueCount="54">
  <si>
    <t>total</t>
  </si>
  <si>
    <t>Texas A&amp;M Health Science Center</t>
  </si>
  <si>
    <t>University of North Texas Health Science Center at Fort Worth</t>
  </si>
  <si>
    <t>Texas A&amp;M Engineering Experiment Station</t>
  </si>
  <si>
    <t>Texas A&amp;M University</t>
  </si>
  <si>
    <t>Texas A&amp;M AgriLife Research</t>
  </si>
  <si>
    <t>Baylor University</t>
  </si>
  <si>
    <t>Texas A&amp;M University-Commerce</t>
  </si>
  <si>
    <t>Lamar University</t>
  </si>
  <si>
    <t>University of North Texas</t>
  </si>
  <si>
    <t>The University of Texas - Pan American</t>
  </si>
  <si>
    <t>Rice University</t>
  </si>
  <si>
    <t>Southern Methodist University</t>
  </si>
  <si>
    <t>Texas State University</t>
  </si>
  <si>
    <t>Prairie View A&amp;M University</t>
  </si>
  <si>
    <t>Texas Christian University</t>
  </si>
  <si>
    <t>Texas A&amp;M University - Kingsville</t>
  </si>
  <si>
    <t>Texas Southern University</t>
  </si>
  <si>
    <t>Texas Tech University</t>
  </si>
  <si>
    <t>Texas Woman's University</t>
  </si>
  <si>
    <t>University of Houston</t>
  </si>
  <si>
    <t>The University of Texas at Arlington</t>
  </si>
  <si>
    <t>UT M.D. Anderson Cancer Center</t>
  </si>
  <si>
    <t>The University of Texas at Austin</t>
  </si>
  <si>
    <t>The University of Texas Health Science Center at San Antonio</t>
  </si>
  <si>
    <t>The University of Texas at El Paso</t>
  </si>
  <si>
    <t>West Texas A&amp;M University</t>
  </si>
  <si>
    <t>Baylor College of Medicine</t>
  </si>
  <si>
    <t>The University of Texas Medical Branch at Galveston</t>
  </si>
  <si>
    <t>The University of Texas at Dallas</t>
  </si>
  <si>
    <t>The University of Texas Southwestern Medical Center</t>
  </si>
  <si>
    <t>The University of Texas at San Antonio</t>
  </si>
  <si>
    <t>Texas Tech University Health Sciences Center</t>
  </si>
  <si>
    <t>Texas A&amp;M University - Corpus Christi</t>
  </si>
  <si>
    <t>The University of Texas at Tyler</t>
  </si>
  <si>
    <t>University of Houston - Clear Lake</t>
  </si>
  <si>
    <t>University of Houston - Downtown</t>
  </si>
  <si>
    <t>Southwestern University</t>
  </si>
  <si>
    <t>St. Edward's University</t>
  </si>
  <si>
    <t>Tarleton State University</t>
  </si>
  <si>
    <t>Texas College</t>
  </si>
  <si>
    <t>Texas A&amp;M International University</t>
  </si>
  <si>
    <t>The University of Texas Health Science Center at Houston</t>
  </si>
  <si>
    <t>Institution Selection - Maximum Number of Pre-proposals Going Forward</t>
  </si>
  <si>
    <t>Norman Hackerman Advanced Research Program - 2013</t>
  </si>
  <si>
    <t>Institution</t>
  </si>
  <si>
    <t>Submitted Pre-proposals: Basic Research in Biomedicine</t>
  </si>
  <si>
    <t>Total Submitted Pre-proposals</t>
  </si>
  <si>
    <t>Proportional Share</t>
  </si>
  <si>
    <t>Reallocation Based on Proportional Share</t>
  </si>
  <si>
    <t>Number of Calculated Limit for Institution</t>
  </si>
  <si>
    <r>
      <t xml:space="preserve">Submitted Pre-proposals: Basic Research in Energy </t>
    </r>
    <r>
      <rPr>
        <b/>
        <u/>
        <sz val="10"/>
        <color theme="1"/>
        <rFont val="Tahoma"/>
        <family val="2"/>
      </rPr>
      <t>and</t>
    </r>
    <r>
      <rPr>
        <b/>
        <sz val="10"/>
        <color theme="1"/>
        <rFont val="Tahoma"/>
        <family val="2"/>
      </rPr>
      <t xml:space="preserve"> the Environment</t>
    </r>
  </si>
  <si>
    <t xml:space="preserve">Directions:  Return a list of project numbers of pre-proposals that will go forward for review.  The number of pre-proposals in the list should match the number in the right-most column for your institution. Email the list to NHARP@THECB.state.tx.us.  Please return the list by close of business November 21, 2013. </t>
  </si>
  <si>
    <t>Prepared by: Texas Higher Education Coordinating Board, Workforce, Academic Affairs and Research, 11/4/2013 (Dale Cherry - 512.427.6200)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</si>
</sst>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u/>
      <sz val="10"/>
      <color theme="1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9" fontId="4" fillId="0" borderId="0" xfId="1" applyFont="1"/>
    <xf numFmtId="0" fontId="4" fillId="2" borderId="0" xfId="0" applyFont="1" applyFill="1"/>
    <xf numFmtId="0" fontId="6" fillId="0" borderId="1" xfId="0" applyFont="1" applyBorder="1"/>
    <xf numFmtId="0" fontId="5" fillId="0" borderId="1" xfId="0" applyFont="1" applyBorder="1"/>
    <xf numFmtId="9" fontId="5" fillId="0" borderId="1" xfId="1" applyFont="1" applyBorder="1"/>
    <xf numFmtId="0" fontId="5" fillId="2" borderId="1" xfId="0" applyFont="1" applyFill="1" applyBorder="1"/>
    <xf numFmtId="0" fontId="9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Normal="100" workbookViewId="0">
      <pane ySplit="5" topLeftCell="A6" activePane="bottomLeft" state="frozen"/>
      <selection pane="bottomLeft" activeCell="A4" sqref="A4"/>
    </sheetView>
  </sheetViews>
  <sheetFormatPr defaultRowHeight="15" x14ac:dyDescent="0.25"/>
  <cols>
    <col min="1" max="1" width="3.5703125" customWidth="1"/>
    <col min="2" max="2" width="58.42578125" style="3" customWidth="1"/>
    <col min="3" max="3" width="24.85546875" style="3" customWidth="1"/>
    <col min="4" max="4" width="20.140625" style="3" customWidth="1"/>
    <col min="5" max="5" width="15.28515625" style="3" customWidth="1"/>
    <col min="6" max="6" width="12.85546875" style="3" customWidth="1"/>
    <col min="7" max="7" width="17.28515625" style="3" customWidth="1"/>
    <col min="8" max="8" width="19.140625" style="3" customWidth="1"/>
    <col min="9" max="9" width="16" customWidth="1"/>
  </cols>
  <sheetData>
    <row r="1" spans="1:8" x14ac:dyDescent="0.25">
      <c r="A1" s="1" t="s">
        <v>44</v>
      </c>
    </row>
    <row r="2" spans="1:8" ht="18" x14ac:dyDescent="0.25">
      <c r="A2" s="2" t="s">
        <v>43</v>
      </c>
    </row>
    <row r="3" spans="1:8" ht="35.25" customHeight="1" x14ac:dyDescent="0.25">
      <c r="A3" s="16" t="s">
        <v>52</v>
      </c>
      <c r="B3" s="16"/>
      <c r="C3" s="16"/>
      <c r="D3" s="16"/>
      <c r="E3" s="16"/>
      <c r="F3" s="16"/>
      <c r="G3" s="16"/>
      <c r="H3" s="16"/>
    </row>
    <row r="5" spans="1:8" ht="54" customHeight="1" x14ac:dyDescent="0.25">
      <c r="B5" s="4" t="s">
        <v>45</v>
      </c>
      <c r="C5" s="5" t="s">
        <v>46</v>
      </c>
      <c r="D5" s="5" t="s">
        <v>51</v>
      </c>
      <c r="E5" s="5" t="s">
        <v>47</v>
      </c>
      <c r="F5" s="5" t="s">
        <v>48</v>
      </c>
      <c r="G5" s="5" t="s">
        <v>49</v>
      </c>
      <c r="H5" s="6" t="s">
        <v>50</v>
      </c>
    </row>
    <row r="6" spans="1:8" x14ac:dyDescent="0.25">
      <c r="A6" s="15">
        <v>1</v>
      </c>
      <c r="B6" s="7" t="s">
        <v>27</v>
      </c>
      <c r="C6" s="8">
        <v>9</v>
      </c>
      <c r="D6" s="8">
        <v>0</v>
      </c>
      <c r="E6" s="3">
        <v>9</v>
      </c>
      <c r="F6" s="9">
        <f t="shared" ref="F6:F48" si="0">E6/E$48</f>
        <v>3.515625E-2</v>
      </c>
      <c r="G6" s="3">
        <f t="shared" ref="G6:G48" si="1">F6*150</f>
        <v>5.2734375</v>
      </c>
      <c r="H6" s="10">
        <f>IF(ROUND(G6,0)=0,1,ROUND(G6,0))</f>
        <v>5</v>
      </c>
    </row>
    <row r="7" spans="1:8" x14ac:dyDescent="0.25">
      <c r="A7" s="15">
        <v>2</v>
      </c>
      <c r="B7" s="7" t="s">
        <v>6</v>
      </c>
      <c r="C7" s="8">
        <v>3</v>
      </c>
      <c r="D7" s="8">
        <v>5</v>
      </c>
      <c r="E7" s="3">
        <v>8</v>
      </c>
      <c r="F7" s="9">
        <f t="shared" si="0"/>
        <v>3.125E-2</v>
      </c>
      <c r="G7" s="3">
        <f t="shared" si="1"/>
        <v>4.6875</v>
      </c>
      <c r="H7" s="10">
        <f>IF(ROUND(G7,0)=0,1,ROUND(G7,0))</f>
        <v>5</v>
      </c>
    </row>
    <row r="8" spans="1:8" x14ac:dyDescent="0.25">
      <c r="A8" s="15">
        <v>3</v>
      </c>
      <c r="B8" s="7" t="s">
        <v>8</v>
      </c>
      <c r="C8" s="8">
        <v>1</v>
      </c>
      <c r="D8" s="8">
        <v>1</v>
      </c>
      <c r="E8" s="3">
        <v>2</v>
      </c>
      <c r="F8" s="9">
        <f t="shared" si="0"/>
        <v>7.8125E-3</v>
      </c>
      <c r="G8" s="3">
        <f t="shared" si="1"/>
        <v>1.171875</v>
      </c>
      <c r="H8" s="10">
        <f t="shared" ref="H8:H45" si="2">IF(ROUND(G8,0)=0,1,ROUND(G8,0))</f>
        <v>1</v>
      </c>
    </row>
    <row r="9" spans="1:8" x14ac:dyDescent="0.25">
      <c r="A9" s="15">
        <v>4</v>
      </c>
      <c r="B9" s="7" t="s">
        <v>14</v>
      </c>
      <c r="C9" s="8">
        <v>1</v>
      </c>
      <c r="D9" s="8">
        <v>0</v>
      </c>
      <c r="E9" s="3">
        <v>1</v>
      </c>
      <c r="F9" s="9">
        <f t="shared" si="0"/>
        <v>3.90625E-3</v>
      </c>
      <c r="G9" s="3">
        <f t="shared" si="1"/>
        <v>0.5859375</v>
      </c>
      <c r="H9" s="10">
        <f t="shared" si="2"/>
        <v>1</v>
      </c>
    </row>
    <row r="10" spans="1:8" x14ac:dyDescent="0.25">
      <c r="A10" s="15">
        <v>5</v>
      </c>
      <c r="B10" s="7" t="s">
        <v>11</v>
      </c>
      <c r="C10" s="8">
        <v>3</v>
      </c>
      <c r="D10" s="8">
        <v>2</v>
      </c>
      <c r="E10" s="3">
        <v>5</v>
      </c>
      <c r="F10" s="9">
        <f t="shared" si="0"/>
        <v>1.953125E-2</v>
      </c>
      <c r="G10" s="3">
        <f t="shared" si="1"/>
        <v>2.9296875</v>
      </c>
      <c r="H10" s="10">
        <f t="shared" si="2"/>
        <v>3</v>
      </c>
    </row>
    <row r="11" spans="1:8" x14ac:dyDescent="0.25">
      <c r="A11" s="15">
        <v>6</v>
      </c>
      <c r="B11" s="7" t="s">
        <v>12</v>
      </c>
      <c r="C11" s="8">
        <v>2</v>
      </c>
      <c r="D11" s="8">
        <v>1</v>
      </c>
      <c r="E11" s="3">
        <v>3</v>
      </c>
      <c r="F11" s="9">
        <f t="shared" si="0"/>
        <v>1.171875E-2</v>
      </c>
      <c r="G11" s="3">
        <f t="shared" si="1"/>
        <v>1.7578125</v>
      </c>
      <c r="H11" s="10">
        <f t="shared" si="2"/>
        <v>2</v>
      </c>
    </row>
    <row r="12" spans="1:8" x14ac:dyDescent="0.25">
      <c r="A12" s="15">
        <v>7</v>
      </c>
      <c r="B12" s="7" t="s">
        <v>37</v>
      </c>
      <c r="C12" s="8">
        <v>0</v>
      </c>
      <c r="D12" s="8">
        <v>1</v>
      </c>
      <c r="E12" s="3">
        <v>1</v>
      </c>
      <c r="F12" s="9">
        <f t="shared" si="0"/>
        <v>3.90625E-3</v>
      </c>
      <c r="G12" s="3">
        <f t="shared" si="1"/>
        <v>0.5859375</v>
      </c>
      <c r="H12" s="10">
        <f t="shared" si="2"/>
        <v>1</v>
      </c>
    </row>
    <row r="13" spans="1:8" x14ac:dyDescent="0.25">
      <c r="A13" s="15">
        <v>8</v>
      </c>
      <c r="B13" s="7" t="s">
        <v>38</v>
      </c>
      <c r="C13" s="8">
        <v>1</v>
      </c>
      <c r="D13" s="8">
        <v>0</v>
      </c>
      <c r="E13" s="3">
        <v>1</v>
      </c>
      <c r="F13" s="9">
        <f t="shared" si="0"/>
        <v>3.90625E-3</v>
      </c>
      <c r="G13" s="3">
        <f t="shared" si="1"/>
        <v>0.5859375</v>
      </c>
      <c r="H13" s="10">
        <f t="shared" si="2"/>
        <v>1</v>
      </c>
    </row>
    <row r="14" spans="1:8" x14ac:dyDescent="0.25">
      <c r="A14" s="15">
        <v>9</v>
      </c>
      <c r="B14" s="7" t="s">
        <v>39</v>
      </c>
      <c r="C14" s="8">
        <v>1</v>
      </c>
      <c r="D14" s="8">
        <v>1</v>
      </c>
      <c r="E14" s="3">
        <v>2</v>
      </c>
      <c r="F14" s="9">
        <f t="shared" si="0"/>
        <v>7.8125E-3</v>
      </c>
      <c r="G14" s="3">
        <f t="shared" si="1"/>
        <v>1.171875</v>
      </c>
      <c r="H14" s="10">
        <f t="shared" si="2"/>
        <v>1</v>
      </c>
    </row>
    <row r="15" spans="1:8" x14ac:dyDescent="0.25">
      <c r="A15" s="15">
        <v>10</v>
      </c>
      <c r="B15" s="7" t="s">
        <v>5</v>
      </c>
      <c r="C15" s="8">
        <v>8</v>
      </c>
      <c r="D15" s="8">
        <v>1</v>
      </c>
      <c r="E15" s="3">
        <v>9</v>
      </c>
      <c r="F15" s="9">
        <f t="shared" si="0"/>
        <v>3.515625E-2</v>
      </c>
      <c r="G15" s="3">
        <f t="shared" si="1"/>
        <v>5.2734375</v>
      </c>
      <c r="H15" s="10">
        <f t="shared" si="2"/>
        <v>5</v>
      </c>
    </row>
    <row r="16" spans="1:8" x14ac:dyDescent="0.25">
      <c r="A16" s="15">
        <v>11</v>
      </c>
      <c r="B16" s="7" t="s">
        <v>3</v>
      </c>
      <c r="C16" s="8">
        <v>1</v>
      </c>
      <c r="D16" s="8">
        <v>7</v>
      </c>
      <c r="E16" s="3">
        <v>8</v>
      </c>
      <c r="F16" s="9">
        <f t="shared" si="0"/>
        <v>3.125E-2</v>
      </c>
      <c r="G16" s="3">
        <f t="shared" si="1"/>
        <v>4.6875</v>
      </c>
      <c r="H16" s="10">
        <f t="shared" si="2"/>
        <v>5</v>
      </c>
    </row>
    <row r="17" spans="1:8" x14ac:dyDescent="0.25">
      <c r="A17" s="15">
        <v>12</v>
      </c>
      <c r="B17" s="7" t="s">
        <v>1</v>
      </c>
      <c r="C17" s="8">
        <v>2</v>
      </c>
      <c r="D17" s="8">
        <v>0</v>
      </c>
      <c r="E17" s="3">
        <v>2</v>
      </c>
      <c r="F17" s="9">
        <f t="shared" si="0"/>
        <v>7.8125E-3</v>
      </c>
      <c r="G17" s="3">
        <f t="shared" si="1"/>
        <v>1.171875</v>
      </c>
      <c r="H17" s="10">
        <f t="shared" si="2"/>
        <v>1</v>
      </c>
    </row>
    <row r="18" spans="1:8" x14ac:dyDescent="0.25">
      <c r="A18" s="15">
        <v>13</v>
      </c>
      <c r="B18" s="7" t="s">
        <v>41</v>
      </c>
      <c r="C18" s="8">
        <v>1</v>
      </c>
      <c r="D18" s="8">
        <v>1</v>
      </c>
      <c r="E18" s="3">
        <v>2</v>
      </c>
      <c r="F18" s="9">
        <f t="shared" si="0"/>
        <v>7.8125E-3</v>
      </c>
      <c r="G18" s="3">
        <f t="shared" si="1"/>
        <v>1.171875</v>
      </c>
      <c r="H18" s="10">
        <f t="shared" si="2"/>
        <v>1</v>
      </c>
    </row>
    <row r="19" spans="1:8" x14ac:dyDescent="0.25">
      <c r="A19" s="15">
        <v>14</v>
      </c>
      <c r="B19" s="7" t="s">
        <v>4</v>
      </c>
      <c r="C19" s="8">
        <v>3</v>
      </c>
      <c r="D19" s="8">
        <v>1</v>
      </c>
      <c r="E19" s="3">
        <v>4</v>
      </c>
      <c r="F19" s="9">
        <f t="shared" si="0"/>
        <v>1.5625E-2</v>
      </c>
      <c r="G19" s="3">
        <f t="shared" si="1"/>
        <v>2.34375</v>
      </c>
      <c r="H19" s="10">
        <f t="shared" si="2"/>
        <v>2</v>
      </c>
    </row>
    <row r="20" spans="1:8" x14ac:dyDescent="0.25">
      <c r="A20" s="15">
        <v>15</v>
      </c>
      <c r="B20" s="7" t="s">
        <v>33</v>
      </c>
      <c r="C20" s="8">
        <v>2</v>
      </c>
      <c r="D20" s="8">
        <v>2</v>
      </c>
      <c r="E20" s="3">
        <v>4</v>
      </c>
      <c r="F20" s="9">
        <f t="shared" si="0"/>
        <v>1.5625E-2</v>
      </c>
      <c r="G20" s="3">
        <f t="shared" si="1"/>
        <v>2.34375</v>
      </c>
      <c r="H20" s="10">
        <f t="shared" si="2"/>
        <v>2</v>
      </c>
    </row>
    <row r="21" spans="1:8" x14ac:dyDescent="0.25">
      <c r="A21" s="15">
        <v>16</v>
      </c>
      <c r="B21" s="7" t="s">
        <v>16</v>
      </c>
      <c r="C21" s="8">
        <v>1</v>
      </c>
      <c r="D21" s="8">
        <v>2</v>
      </c>
      <c r="E21" s="3">
        <v>3</v>
      </c>
      <c r="F21" s="9">
        <f t="shared" si="0"/>
        <v>1.171875E-2</v>
      </c>
      <c r="G21" s="3">
        <f t="shared" si="1"/>
        <v>1.7578125</v>
      </c>
      <c r="H21" s="10">
        <f t="shared" si="2"/>
        <v>2</v>
      </c>
    </row>
    <row r="22" spans="1:8" x14ac:dyDescent="0.25">
      <c r="A22" s="15">
        <v>17</v>
      </c>
      <c r="B22" s="7" t="s">
        <v>7</v>
      </c>
      <c r="C22" s="8">
        <v>2</v>
      </c>
      <c r="D22" s="8">
        <v>1</v>
      </c>
      <c r="E22" s="3">
        <v>3</v>
      </c>
      <c r="F22" s="9">
        <f t="shared" si="0"/>
        <v>1.171875E-2</v>
      </c>
      <c r="G22" s="3">
        <f t="shared" si="1"/>
        <v>1.7578125</v>
      </c>
      <c r="H22" s="10">
        <f t="shared" si="2"/>
        <v>2</v>
      </c>
    </row>
    <row r="23" spans="1:8" x14ac:dyDescent="0.25">
      <c r="A23" s="15">
        <v>18</v>
      </c>
      <c r="B23" s="7" t="s">
        <v>15</v>
      </c>
      <c r="C23" s="8">
        <v>1</v>
      </c>
      <c r="D23" s="8">
        <v>0</v>
      </c>
      <c r="E23" s="3">
        <v>1</v>
      </c>
      <c r="F23" s="9">
        <f t="shared" si="0"/>
        <v>3.90625E-3</v>
      </c>
      <c r="G23" s="3">
        <f t="shared" si="1"/>
        <v>0.5859375</v>
      </c>
      <c r="H23" s="10">
        <f t="shared" si="2"/>
        <v>1</v>
      </c>
    </row>
    <row r="24" spans="1:8" x14ac:dyDescent="0.25">
      <c r="A24" s="15">
        <v>19</v>
      </c>
      <c r="B24" s="7" t="s">
        <v>40</v>
      </c>
      <c r="C24" s="8">
        <v>1</v>
      </c>
      <c r="D24" s="8">
        <v>0</v>
      </c>
      <c r="E24" s="3">
        <v>1</v>
      </c>
      <c r="F24" s="9">
        <f t="shared" si="0"/>
        <v>3.90625E-3</v>
      </c>
      <c r="G24" s="3">
        <f t="shared" si="1"/>
        <v>0.5859375</v>
      </c>
      <c r="H24" s="10">
        <f t="shared" si="2"/>
        <v>1</v>
      </c>
    </row>
    <row r="25" spans="1:8" x14ac:dyDescent="0.25">
      <c r="A25" s="15">
        <v>20</v>
      </c>
      <c r="B25" s="7" t="s">
        <v>17</v>
      </c>
      <c r="C25" s="8">
        <v>2</v>
      </c>
      <c r="D25" s="8">
        <v>2</v>
      </c>
      <c r="E25" s="3">
        <v>4</v>
      </c>
      <c r="F25" s="9">
        <f t="shared" si="0"/>
        <v>1.5625E-2</v>
      </c>
      <c r="G25" s="3">
        <f t="shared" si="1"/>
        <v>2.34375</v>
      </c>
      <c r="H25" s="10">
        <f t="shared" si="2"/>
        <v>2</v>
      </c>
    </row>
    <row r="26" spans="1:8" x14ac:dyDescent="0.25">
      <c r="A26" s="15">
        <v>21</v>
      </c>
      <c r="B26" s="7" t="s">
        <v>13</v>
      </c>
      <c r="C26" s="8">
        <v>2</v>
      </c>
      <c r="D26" s="8">
        <v>4</v>
      </c>
      <c r="E26" s="3">
        <v>6</v>
      </c>
      <c r="F26" s="9">
        <f t="shared" si="0"/>
        <v>2.34375E-2</v>
      </c>
      <c r="G26" s="3">
        <f t="shared" si="1"/>
        <v>3.515625</v>
      </c>
      <c r="H26" s="10">
        <f t="shared" si="2"/>
        <v>4</v>
      </c>
    </row>
    <row r="27" spans="1:8" x14ac:dyDescent="0.25">
      <c r="A27" s="15">
        <v>22</v>
      </c>
      <c r="B27" s="7" t="s">
        <v>18</v>
      </c>
      <c r="C27" s="8">
        <v>3</v>
      </c>
      <c r="D27" s="8">
        <v>11</v>
      </c>
      <c r="E27" s="3">
        <v>14</v>
      </c>
      <c r="F27" s="9">
        <f t="shared" si="0"/>
        <v>5.46875E-2</v>
      </c>
      <c r="G27" s="3">
        <f t="shared" si="1"/>
        <v>8.203125</v>
      </c>
      <c r="H27" s="10">
        <f t="shared" si="2"/>
        <v>8</v>
      </c>
    </row>
    <row r="28" spans="1:8" x14ac:dyDescent="0.25">
      <c r="A28" s="15">
        <v>23</v>
      </c>
      <c r="B28" s="7" t="s">
        <v>32</v>
      </c>
      <c r="C28" s="8">
        <v>2</v>
      </c>
      <c r="D28" s="8">
        <v>0</v>
      </c>
      <c r="E28" s="3">
        <v>2</v>
      </c>
      <c r="F28" s="9">
        <f t="shared" si="0"/>
        <v>7.8125E-3</v>
      </c>
      <c r="G28" s="3">
        <f t="shared" si="1"/>
        <v>1.171875</v>
      </c>
      <c r="H28" s="10">
        <f t="shared" si="2"/>
        <v>1</v>
      </c>
    </row>
    <row r="29" spans="1:8" x14ac:dyDescent="0.25">
      <c r="A29" s="15">
        <v>24</v>
      </c>
      <c r="B29" s="7" t="s">
        <v>19</v>
      </c>
      <c r="C29" s="8">
        <v>1</v>
      </c>
      <c r="D29" s="8">
        <v>0</v>
      </c>
      <c r="E29" s="3">
        <v>1</v>
      </c>
      <c r="F29" s="9">
        <f t="shared" si="0"/>
        <v>3.90625E-3</v>
      </c>
      <c r="G29" s="3">
        <f t="shared" si="1"/>
        <v>0.5859375</v>
      </c>
      <c r="H29" s="10">
        <f t="shared" si="2"/>
        <v>1</v>
      </c>
    </row>
    <row r="30" spans="1:8" x14ac:dyDescent="0.25">
      <c r="A30" s="15">
        <v>25</v>
      </c>
      <c r="B30" s="7" t="s">
        <v>10</v>
      </c>
      <c r="C30" s="8">
        <v>0</v>
      </c>
      <c r="D30" s="8">
        <v>2</v>
      </c>
      <c r="E30" s="3">
        <v>2</v>
      </c>
      <c r="F30" s="9">
        <f t="shared" si="0"/>
        <v>7.8125E-3</v>
      </c>
      <c r="G30" s="3">
        <f t="shared" si="1"/>
        <v>1.171875</v>
      </c>
      <c r="H30" s="10">
        <f t="shared" si="2"/>
        <v>1</v>
      </c>
    </row>
    <row r="31" spans="1:8" x14ac:dyDescent="0.25">
      <c r="A31" s="15">
        <v>26</v>
      </c>
      <c r="B31" s="7" t="s">
        <v>21</v>
      </c>
      <c r="C31" s="8">
        <v>5</v>
      </c>
      <c r="D31" s="8">
        <v>13</v>
      </c>
      <c r="E31" s="3">
        <v>18</v>
      </c>
      <c r="F31" s="9">
        <f t="shared" si="0"/>
        <v>7.03125E-2</v>
      </c>
      <c r="G31" s="3">
        <f t="shared" si="1"/>
        <v>10.546875</v>
      </c>
      <c r="H31" s="10">
        <f t="shared" si="2"/>
        <v>11</v>
      </c>
    </row>
    <row r="32" spans="1:8" x14ac:dyDescent="0.25">
      <c r="A32" s="15">
        <v>27</v>
      </c>
      <c r="B32" s="7" t="s">
        <v>23</v>
      </c>
      <c r="C32" s="8">
        <v>9</v>
      </c>
      <c r="D32" s="8">
        <v>10</v>
      </c>
      <c r="E32" s="3">
        <v>19</v>
      </c>
      <c r="F32" s="9">
        <f t="shared" si="0"/>
        <v>7.421875E-2</v>
      </c>
      <c r="G32" s="3">
        <f t="shared" si="1"/>
        <v>11.1328125</v>
      </c>
      <c r="H32" s="10">
        <f t="shared" si="2"/>
        <v>11</v>
      </c>
    </row>
    <row r="33" spans="1:8" x14ac:dyDescent="0.25">
      <c r="A33" s="15">
        <v>28</v>
      </c>
      <c r="B33" s="7" t="s">
        <v>29</v>
      </c>
      <c r="C33" s="8">
        <v>3</v>
      </c>
      <c r="D33" s="8">
        <v>3</v>
      </c>
      <c r="E33" s="3">
        <v>6</v>
      </c>
      <c r="F33" s="9">
        <f t="shared" si="0"/>
        <v>2.34375E-2</v>
      </c>
      <c r="G33" s="3">
        <f t="shared" si="1"/>
        <v>3.515625</v>
      </c>
      <c r="H33" s="10">
        <f t="shared" si="2"/>
        <v>4</v>
      </c>
    </row>
    <row r="34" spans="1:8" x14ac:dyDescent="0.25">
      <c r="A34" s="15">
        <v>29</v>
      </c>
      <c r="B34" s="7" t="s">
        <v>25</v>
      </c>
      <c r="C34" s="8">
        <v>4</v>
      </c>
      <c r="D34" s="8">
        <v>12</v>
      </c>
      <c r="E34" s="3">
        <v>16</v>
      </c>
      <c r="F34" s="9">
        <f t="shared" si="0"/>
        <v>6.25E-2</v>
      </c>
      <c r="G34" s="3">
        <f t="shared" si="1"/>
        <v>9.375</v>
      </c>
      <c r="H34" s="10">
        <f t="shared" si="2"/>
        <v>9</v>
      </c>
    </row>
    <row r="35" spans="1:8" x14ac:dyDescent="0.25">
      <c r="A35" s="15">
        <v>30</v>
      </c>
      <c r="B35" s="7" t="s">
        <v>31</v>
      </c>
      <c r="C35" s="8">
        <v>5</v>
      </c>
      <c r="D35" s="8">
        <v>6</v>
      </c>
      <c r="E35" s="3">
        <v>11</v>
      </c>
      <c r="F35" s="9">
        <f t="shared" si="0"/>
        <v>4.296875E-2</v>
      </c>
      <c r="G35" s="3">
        <f t="shared" si="1"/>
        <v>6.4453125</v>
      </c>
      <c r="H35" s="10">
        <f t="shared" si="2"/>
        <v>6</v>
      </c>
    </row>
    <row r="36" spans="1:8" x14ac:dyDescent="0.25">
      <c r="A36" s="15">
        <v>31</v>
      </c>
      <c r="B36" s="7" t="s">
        <v>34</v>
      </c>
      <c r="C36" s="8">
        <v>0</v>
      </c>
      <c r="D36" s="8">
        <v>1</v>
      </c>
      <c r="E36" s="3">
        <v>1</v>
      </c>
      <c r="F36" s="9">
        <f t="shared" si="0"/>
        <v>3.90625E-3</v>
      </c>
      <c r="G36" s="3">
        <f t="shared" si="1"/>
        <v>0.5859375</v>
      </c>
      <c r="H36" s="10">
        <f t="shared" si="2"/>
        <v>1</v>
      </c>
    </row>
    <row r="37" spans="1:8" x14ac:dyDescent="0.25">
      <c r="A37" s="15">
        <v>32</v>
      </c>
      <c r="B37" s="7" t="s">
        <v>42</v>
      </c>
      <c r="C37" s="8">
        <v>1</v>
      </c>
      <c r="D37" s="8">
        <v>0</v>
      </c>
      <c r="E37" s="3">
        <v>1</v>
      </c>
      <c r="F37" s="9">
        <f t="shared" si="0"/>
        <v>3.90625E-3</v>
      </c>
      <c r="G37" s="3">
        <f t="shared" si="1"/>
        <v>0.5859375</v>
      </c>
      <c r="H37" s="10">
        <f t="shared" si="2"/>
        <v>1</v>
      </c>
    </row>
    <row r="38" spans="1:8" x14ac:dyDescent="0.25">
      <c r="A38" s="15">
        <v>33</v>
      </c>
      <c r="B38" s="7" t="s">
        <v>24</v>
      </c>
      <c r="C38" s="8">
        <v>11</v>
      </c>
      <c r="D38" s="8">
        <v>0</v>
      </c>
      <c r="E38" s="3">
        <v>11</v>
      </c>
      <c r="F38" s="9">
        <f t="shared" si="0"/>
        <v>4.296875E-2</v>
      </c>
      <c r="G38" s="3">
        <f t="shared" si="1"/>
        <v>6.4453125</v>
      </c>
      <c r="H38" s="10">
        <f t="shared" si="2"/>
        <v>6</v>
      </c>
    </row>
    <row r="39" spans="1:8" x14ac:dyDescent="0.25">
      <c r="A39" s="15">
        <v>34</v>
      </c>
      <c r="B39" s="7" t="s">
        <v>28</v>
      </c>
      <c r="C39" s="8">
        <v>3</v>
      </c>
      <c r="D39" s="8">
        <v>0</v>
      </c>
      <c r="E39" s="3">
        <v>3</v>
      </c>
      <c r="F39" s="9">
        <f t="shared" si="0"/>
        <v>1.171875E-2</v>
      </c>
      <c r="G39" s="3">
        <f t="shared" si="1"/>
        <v>1.7578125</v>
      </c>
      <c r="H39" s="10">
        <f t="shared" si="2"/>
        <v>2</v>
      </c>
    </row>
    <row r="40" spans="1:8" x14ac:dyDescent="0.25">
      <c r="A40" s="15">
        <v>35</v>
      </c>
      <c r="B40" s="7" t="s">
        <v>30</v>
      </c>
      <c r="C40" s="8">
        <v>11</v>
      </c>
      <c r="D40" s="8">
        <v>0</v>
      </c>
      <c r="E40" s="3">
        <v>11</v>
      </c>
      <c r="F40" s="9">
        <f t="shared" si="0"/>
        <v>4.296875E-2</v>
      </c>
      <c r="G40" s="3">
        <f t="shared" si="1"/>
        <v>6.4453125</v>
      </c>
      <c r="H40" s="10">
        <f t="shared" si="2"/>
        <v>6</v>
      </c>
    </row>
    <row r="41" spans="1:8" x14ac:dyDescent="0.25">
      <c r="A41" s="15">
        <v>36</v>
      </c>
      <c r="B41" s="7" t="s">
        <v>20</v>
      </c>
      <c r="C41" s="8">
        <v>11</v>
      </c>
      <c r="D41" s="8">
        <v>13</v>
      </c>
      <c r="E41" s="3">
        <v>24</v>
      </c>
      <c r="F41" s="9">
        <f t="shared" si="0"/>
        <v>9.375E-2</v>
      </c>
      <c r="G41" s="3">
        <f t="shared" si="1"/>
        <v>14.0625</v>
      </c>
      <c r="H41" s="10">
        <f t="shared" si="2"/>
        <v>14</v>
      </c>
    </row>
    <row r="42" spans="1:8" x14ac:dyDescent="0.25">
      <c r="A42" s="15">
        <v>37</v>
      </c>
      <c r="B42" s="7" t="s">
        <v>35</v>
      </c>
      <c r="C42" s="8">
        <v>0</v>
      </c>
      <c r="D42" s="8">
        <v>1</v>
      </c>
      <c r="E42" s="3">
        <v>1</v>
      </c>
      <c r="F42" s="9">
        <f t="shared" si="0"/>
        <v>3.90625E-3</v>
      </c>
      <c r="G42" s="3">
        <f t="shared" si="1"/>
        <v>0.5859375</v>
      </c>
      <c r="H42" s="10">
        <f t="shared" si="2"/>
        <v>1</v>
      </c>
    </row>
    <row r="43" spans="1:8" x14ac:dyDescent="0.25">
      <c r="A43" s="15">
        <v>38</v>
      </c>
      <c r="B43" s="7" t="s">
        <v>36</v>
      </c>
      <c r="C43" s="8">
        <v>1</v>
      </c>
      <c r="D43" s="8">
        <v>1</v>
      </c>
      <c r="E43" s="3">
        <v>2</v>
      </c>
      <c r="F43" s="9">
        <f t="shared" si="0"/>
        <v>7.8125E-3</v>
      </c>
      <c r="G43" s="3">
        <f t="shared" si="1"/>
        <v>1.171875</v>
      </c>
      <c r="H43" s="10">
        <f t="shared" si="2"/>
        <v>1</v>
      </c>
    </row>
    <row r="44" spans="1:8" x14ac:dyDescent="0.25">
      <c r="A44" s="15">
        <v>39</v>
      </c>
      <c r="B44" s="7" t="s">
        <v>9</v>
      </c>
      <c r="C44" s="8">
        <v>1</v>
      </c>
      <c r="D44" s="8">
        <v>5</v>
      </c>
      <c r="E44" s="3">
        <v>6</v>
      </c>
      <c r="F44" s="9">
        <f t="shared" si="0"/>
        <v>2.34375E-2</v>
      </c>
      <c r="G44" s="3">
        <f t="shared" si="1"/>
        <v>3.515625</v>
      </c>
      <c r="H44" s="10">
        <f t="shared" si="2"/>
        <v>4</v>
      </c>
    </row>
    <row r="45" spans="1:8" x14ac:dyDescent="0.25">
      <c r="A45" s="15">
        <v>40</v>
      </c>
      <c r="B45" s="7" t="s">
        <v>2</v>
      </c>
      <c r="C45" s="8">
        <v>6</v>
      </c>
      <c r="D45" s="8">
        <v>0</v>
      </c>
      <c r="E45" s="3">
        <v>6</v>
      </c>
      <c r="F45" s="9">
        <f t="shared" si="0"/>
        <v>2.34375E-2</v>
      </c>
      <c r="G45" s="3">
        <f t="shared" si="1"/>
        <v>3.515625</v>
      </c>
      <c r="H45" s="10">
        <f t="shared" si="2"/>
        <v>4</v>
      </c>
    </row>
    <row r="46" spans="1:8" x14ac:dyDescent="0.25">
      <c r="A46" s="15">
        <v>41</v>
      </c>
      <c r="B46" s="7" t="s">
        <v>22</v>
      </c>
      <c r="C46" s="8">
        <v>20</v>
      </c>
      <c r="D46" s="8">
        <v>0</v>
      </c>
      <c r="E46" s="3">
        <v>20</v>
      </c>
      <c r="F46" s="9">
        <f t="shared" si="0"/>
        <v>7.8125E-2</v>
      </c>
      <c r="G46" s="3">
        <f t="shared" si="1"/>
        <v>11.71875</v>
      </c>
      <c r="H46" s="10">
        <f>IF(ROUND(G46,0)=0,1,ROUND(G46,0))</f>
        <v>12</v>
      </c>
    </row>
    <row r="47" spans="1:8" x14ac:dyDescent="0.25">
      <c r="A47" s="15">
        <v>42</v>
      </c>
      <c r="B47" s="7" t="s">
        <v>26</v>
      </c>
      <c r="C47" s="8">
        <v>0</v>
      </c>
      <c r="D47" s="8">
        <v>2</v>
      </c>
      <c r="E47" s="3">
        <v>2</v>
      </c>
      <c r="F47" s="9">
        <f t="shared" si="0"/>
        <v>7.8125E-3</v>
      </c>
      <c r="G47" s="3">
        <f t="shared" si="1"/>
        <v>1.171875</v>
      </c>
      <c r="H47" s="10">
        <f>IF(ROUND(G47,0)=0,1,ROUND(G47,0))</f>
        <v>1</v>
      </c>
    </row>
    <row r="48" spans="1:8" x14ac:dyDescent="0.25">
      <c r="B48" s="11" t="s">
        <v>0</v>
      </c>
      <c r="C48" s="12">
        <f>SUM(C6:C47)</f>
        <v>144</v>
      </c>
      <c r="D48" s="12">
        <f>SUM(D6:D47)</f>
        <v>112</v>
      </c>
      <c r="E48" s="12">
        <f>SUM(E6:E47)</f>
        <v>256</v>
      </c>
      <c r="F48" s="13">
        <f t="shared" si="0"/>
        <v>1</v>
      </c>
      <c r="G48" s="12">
        <f t="shared" si="1"/>
        <v>150</v>
      </c>
      <c r="H48" s="14">
        <f>SUM(H6:H47)</f>
        <v>153</v>
      </c>
    </row>
    <row r="50" spans="2:2" x14ac:dyDescent="0.25">
      <c r="B50" s="3" t="s">
        <v>53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cherryde</dc:creator>
  <cp:lastModifiedBy>cherryde</cp:lastModifiedBy>
  <dcterms:created xsi:type="dcterms:W3CDTF">2013-10-09T15:30:50Z</dcterms:created>
  <dcterms:modified xsi:type="dcterms:W3CDTF">2013-11-04T22:53:46Z</dcterms:modified>
</cp:coreProperties>
</file>