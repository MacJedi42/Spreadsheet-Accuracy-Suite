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60" yWindow="5430" windowWidth="28860" windowHeight="7485"/>
  </bookViews>
  <sheets>
    <sheet name="2012 Aggregate Report" sheetId="1" r:id="rId1"/>
  </sheets>
  <calcPr calcId="125725"/>
</workbook>
</file>

<file path=xl/calcChain.xml><?xml version="1.0" encoding="utf-8"?>
<calcChain xmlns="http://schemas.openxmlformats.org/spreadsheetml/2006/main">
  <c r="C24" i="1"/>
  <c r="E28"/>
  <c r="E27"/>
  <c r="E26"/>
  <c r="E25"/>
  <c r="E24"/>
  <c r="E23"/>
  <c r="E22"/>
  <c r="E21"/>
  <c r="E20"/>
  <c r="E19"/>
  <c r="E18"/>
  <c r="C28"/>
  <c r="C27"/>
  <c r="C26"/>
  <c r="C25"/>
  <c r="C23"/>
  <c r="C22"/>
  <c r="C21"/>
  <c r="C20"/>
  <c r="C19"/>
  <c r="C18"/>
  <c r="E17"/>
  <c r="C17"/>
</calcChain>
</file>

<file path=xl/sharedStrings.xml><?xml version="1.0" encoding="utf-8"?>
<sst xmlns="http://schemas.openxmlformats.org/spreadsheetml/2006/main" count="47" uniqueCount="43">
  <si>
    <t>Contract Period</t>
  </si>
  <si>
    <t>Carrier</t>
  </si>
  <si>
    <t>Benefits Included</t>
  </si>
  <si>
    <t>Month</t>
  </si>
  <si>
    <t>Single Lives</t>
  </si>
  <si>
    <t>Family Lives</t>
  </si>
  <si>
    <t>Total</t>
  </si>
  <si>
    <t xml:space="preserve">Aggregate Report </t>
  </si>
  <si>
    <t>ATTACHMENT POINTS</t>
  </si>
  <si>
    <t>Year-To-Date</t>
  </si>
  <si>
    <t>Contract Terms</t>
  </si>
  <si>
    <t>Medical, Rx</t>
  </si>
  <si>
    <t>City of Carrollton</t>
  </si>
  <si>
    <t>15/12</t>
  </si>
  <si>
    <t>ULLICO</t>
  </si>
  <si>
    <t>Total Net Aggregate Claims</t>
  </si>
  <si>
    <t>ISL Deductible</t>
  </si>
  <si>
    <t>Lasers</t>
  </si>
  <si>
    <t>1/1/13 - 12/31/13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</si>
  <si>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</si>
  <si>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</si>
  <si>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</si>
  <si>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</si>
  <si>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</si>
  <si>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</si>
  <si>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</si>
  <si>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</si>
  <si>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</si>
  <si>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</si>
  <si>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</si>
  <si>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</si>
  <si>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290</t>
  </si>
  <si>
    <t>427</t>
  </si>
  <si>
    <t>292</t>
  </si>
  <si>
    <t>433</t>
  </si>
  <si>
    <t>295</t>
  </si>
  <si>
    <t>431</t>
  </si>
  <si>
    <t>430</t>
  </si>
  <si>
    <t>298</t>
  </si>
  <si>
    <t>429</t>
  </si>
  <si>
    <t>311</t>
  </si>
  <si>
    <r>
      <rPr>
        <b/>
        <sz val="11"/>
        <rFont val="Arial"/>
        <family val="2"/>
      </rPr>
      <t xml:space="preserve">Member 1 - </t>
    </r>
    <r>
      <rPr>
        <sz val="11"/>
        <rFont val="Arial"/>
        <family val="2"/>
      </rPr>
      <t>$1.25 million</t>
    </r>
  </si>
  <si>
    <r>
      <t xml:space="preserve">Member 2 - </t>
    </r>
    <r>
      <rPr>
        <sz val="11"/>
        <rFont val="Arial"/>
        <family val="2"/>
      </rPr>
      <t>$375,000</t>
    </r>
  </si>
</sst>
</file>

<file path=xl/styles.xml><?xml version="1.0" encoding="utf-8"?>
<styleSheet xmlns="http://schemas.openxmlformats.org/spreadsheetml/2006/main">
  <numFmts count="3">
    <numFmt numFmtId="6" formatCode="&quot;$&quot;#,##0_);[Red]\(&quot;$&quot;#,##0\)"/>
    <numFmt numFmtId="164" formatCode="&quot;$&quot;#,##0.00"/>
    <numFmt numFmtId="165" formatCode="m/d"/>
  </numFmts>
  <fonts count="10">
    <font>
      <sz val="10"/>
      <name val="Arial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color indexed="10"/>
      <name val="Arial"/>
      <family val="2"/>
    </font>
    <font>
      <b/>
      <sz val="14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indexed="64"/>
      </top>
      <bottom/>
      <diagonal/>
    </border>
    <border>
      <left/>
      <right/>
      <top/>
      <bottom style="dashDot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3" fillId="0" borderId="0" xfId="0" applyFont="1"/>
    <xf numFmtId="164" fontId="3" fillId="0" borderId="0" xfId="0" applyNumberFormat="1" applyFont="1"/>
    <xf numFmtId="0" fontId="3" fillId="0" borderId="1" xfId="0" applyFont="1" applyBorder="1"/>
    <xf numFmtId="164" fontId="3" fillId="0" borderId="1" xfId="0" applyNumberFormat="1" applyFont="1" applyBorder="1"/>
    <xf numFmtId="0" fontId="4" fillId="0" borderId="0" xfId="0" applyFont="1"/>
    <xf numFmtId="0" fontId="5" fillId="0" borderId="0" xfId="0" applyFont="1"/>
    <xf numFmtId="0" fontId="7" fillId="0" borderId="0" xfId="1" applyFont="1" applyFill="1" applyBorder="1" applyAlignment="1">
      <alignment horizontal="left" wrapText="1"/>
    </xf>
    <xf numFmtId="49" fontId="3" fillId="0" borderId="0" xfId="0" applyNumberFormat="1" applyFont="1" applyAlignment="1">
      <alignment horizontal="right"/>
    </xf>
    <xf numFmtId="37" fontId="3" fillId="0" borderId="0" xfId="0" applyNumberFormat="1" applyFont="1"/>
    <xf numFmtId="0" fontId="3" fillId="0" borderId="0" xfId="0" applyFont="1" applyAlignment="1">
      <alignment horizontal="right"/>
    </xf>
    <xf numFmtId="3" fontId="5" fillId="0" borderId="0" xfId="0" applyNumberFormat="1" applyFont="1"/>
    <xf numFmtId="37" fontId="5" fillId="0" borderId="0" xfId="0" applyNumberFormat="1" applyFont="1"/>
    <xf numFmtId="3" fontId="3" fillId="0" borderId="0" xfId="0" applyNumberFormat="1" applyFont="1" applyAlignment="1">
      <alignment horizontal="right"/>
    </xf>
    <xf numFmtId="0" fontId="3" fillId="0" borderId="2" xfId="0" applyFont="1" applyBorder="1"/>
    <xf numFmtId="0" fontId="5" fillId="0" borderId="2" xfId="0" applyFont="1" applyBorder="1"/>
    <xf numFmtId="164" fontId="3" fillId="0" borderId="2" xfId="0" applyNumberFormat="1" applyFont="1" applyBorder="1"/>
    <xf numFmtId="0" fontId="6" fillId="0" borderId="3" xfId="2" applyFont="1" applyFill="1" applyBorder="1" applyAlignment="1">
      <alignment horizontal="center" wrapText="1"/>
    </xf>
    <xf numFmtId="3" fontId="6" fillId="0" borderId="3" xfId="2" applyNumberFormat="1" applyFont="1" applyFill="1" applyBorder="1" applyAlignment="1">
      <alignment horizontal="center" wrapText="1"/>
    </xf>
    <xf numFmtId="164" fontId="6" fillId="0" borderId="3" xfId="2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37" fontId="3" fillId="0" borderId="1" xfId="0" applyNumberFormat="1" applyFont="1" applyBorder="1"/>
    <xf numFmtId="165" fontId="3" fillId="0" borderId="0" xfId="0" applyNumberFormat="1" applyFont="1" applyAlignment="1">
      <alignment horizontal="left"/>
    </xf>
    <xf numFmtId="0" fontId="7" fillId="0" borderId="1" xfId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horizontal="right"/>
    </xf>
    <xf numFmtId="0" fontId="8" fillId="0" borderId="0" xfId="0" applyFont="1"/>
    <xf numFmtId="0" fontId="9" fillId="0" borderId="0" xfId="0" applyFont="1"/>
    <xf numFmtId="6" fontId="3" fillId="0" borderId="0" xfId="0" applyNumberFormat="1" applyFont="1" applyAlignment="1">
      <alignment horizontal="left"/>
    </xf>
  </cellXfs>
  <cellStyles count="3">
    <cellStyle name="Normal" xfId="0" builtinId="0"/>
    <cellStyle name="Normal_POOL MINI History" xfId="1"/>
    <cellStyle name="Normal_Sheet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0"/>
  <sheetViews>
    <sheetView tabSelected="1" zoomScaleNormal="100" workbookViewId="0">
      <selection activeCell="E39" sqref="E39"/>
    </sheetView>
  </sheetViews>
  <sheetFormatPr defaultRowHeight="14.25"/>
  <cols>
    <col min="1" max="1" width="20.42578125" style="1" customWidth="1"/>
    <col min="2" max="3" width="14.5703125" style="1" customWidth="1"/>
    <col min="4" max="4" width="14.42578125" style="1" bestFit="1" customWidth="1"/>
    <col min="5" max="5" width="12.28515625" style="1" customWidth="1"/>
    <col min="6" max="6" width="14.28515625" style="2" customWidth="1"/>
    <col min="7" max="16384" width="9.140625" style="1"/>
  </cols>
  <sheetData>
    <row r="1" spans="1:6">
      <c r="A1"/>
    </row>
    <row r="5" spans="1:6">
      <c r="A5" s="3"/>
      <c r="B5" s="3"/>
      <c r="C5" s="3"/>
      <c r="D5" s="3"/>
      <c r="E5" s="3"/>
      <c r="F5" s="4"/>
    </row>
    <row r="7" spans="1:6" ht="15.75">
      <c r="A7" s="5" t="s">
        <v>7</v>
      </c>
      <c r="B7" s="5" t="s">
        <v>12</v>
      </c>
      <c r="C7" s="5"/>
    </row>
    <row r="8" spans="1:6" ht="15">
      <c r="A8" s="6" t="s">
        <v>0</v>
      </c>
      <c r="B8" s="1" t="s">
        <v>18</v>
      </c>
    </row>
    <row r="9" spans="1:6" ht="15">
      <c r="A9" s="6" t="s">
        <v>10</v>
      </c>
      <c r="B9" s="23" t="s">
        <v>13</v>
      </c>
    </row>
    <row r="10" spans="1:6" ht="18">
      <c r="A10" s="6" t="s">
        <v>1</v>
      </c>
      <c r="B10" s="1" t="s">
        <v>14</v>
      </c>
      <c r="D10" s="27"/>
      <c r="E10" s="26"/>
    </row>
    <row r="11" spans="1:6" ht="15">
      <c r="A11" s="6" t="s">
        <v>2</v>
      </c>
      <c r="B11" s="1" t="s">
        <v>11</v>
      </c>
      <c r="E11" s="26"/>
    </row>
    <row r="12" spans="1:6" ht="15">
      <c r="A12" s="6" t="s">
        <v>16</v>
      </c>
      <c r="B12" s="28">
        <v>225000</v>
      </c>
    </row>
    <row r="13" spans="1:6" ht="15">
      <c r="A13" s="6" t="s">
        <v>17</v>
      </c>
      <c r="B13" s="1" t="s">
        <v>41</v>
      </c>
    </row>
    <row r="14" spans="1:6" ht="15">
      <c r="B14" s="6" t="s">
        <v>42</v>
      </c>
    </row>
    <row r="15" spans="1:6" ht="15">
      <c r="A15" s="14"/>
      <c r="B15" s="14"/>
      <c r="C15" s="15" t="s">
        <v>8</v>
      </c>
      <c r="D15" s="14"/>
      <c r="E15" s="14"/>
      <c r="F15" s="16"/>
    </row>
    <row r="16" spans="1:6" ht="45">
      <c r="A16" s="17" t="s">
        <v>3</v>
      </c>
      <c r="B16" s="18" t="s">
        <v>4</v>
      </c>
      <c r="C16" s="18" t="s">
        <v>6</v>
      </c>
      <c r="D16" s="18" t="s">
        <v>5</v>
      </c>
      <c r="E16" s="18" t="s">
        <v>6</v>
      </c>
      <c r="F16" s="19" t="s">
        <v>15</v>
      </c>
    </row>
    <row r="17" spans="1:6" ht="20.100000000000001" customHeight="1">
      <c r="A17" s="7" t="s">
        <v>19</v>
      </c>
      <c r="B17" s="8" t="s">
        <v>31</v>
      </c>
      <c r="C17" s="13">
        <f>B17*567.75</f>
        <v>164647.5</v>
      </c>
      <c r="D17" s="8" t="s">
        <v>32</v>
      </c>
      <c r="E17" s="13">
        <f>D17*1493.54</f>
        <v>637741.57999999996</v>
      </c>
      <c r="F17" s="9">
        <v>492349.45000000007</v>
      </c>
    </row>
    <row r="18" spans="1:6" ht="20.100000000000001" customHeight="1">
      <c r="A18" s="7" t="s">
        <v>20</v>
      </c>
      <c r="B18" s="8" t="s">
        <v>33</v>
      </c>
      <c r="C18" s="13">
        <f t="shared" ref="C18:C28" si="0">B18*567.75</f>
        <v>165783</v>
      </c>
      <c r="D18" s="8" t="s">
        <v>34</v>
      </c>
      <c r="E18" s="13">
        <f t="shared" ref="E18:E28" si="1">D18*1493.54</f>
        <v>646702.81999999995</v>
      </c>
      <c r="F18" s="9">
        <v>418216.79</v>
      </c>
    </row>
    <row r="19" spans="1:6" ht="20.100000000000001" customHeight="1">
      <c r="A19" s="7" t="s">
        <v>21</v>
      </c>
      <c r="B19" s="8" t="s">
        <v>35</v>
      </c>
      <c r="C19" s="13">
        <f t="shared" si="0"/>
        <v>167486.25</v>
      </c>
      <c r="D19" s="8" t="s">
        <v>36</v>
      </c>
      <c r="E19" s="13">
        <f t="shared" si="1"/>
        <v>643715.74</v>
      </c>
      <c r="F19" s="9">
        <v>501443.72000000003</v>
      </c>
    </row>
    <row r="20" spans="1:6" ht="20.100000000000001" customHeight="1">
      <c r="A20" s="7" t="s">
        <v>22</v>
      </c>
      <c r="B20" s="10">
        <v>299</v>
      </c>
      <c r="C20" s="13">
        <f t="shared" si="0"/>
        <v>169757.25</v>
      </c>
      <c r="D20" s="8" t="s">
        <v>37</v>
      </c>
      <c r="E20" s="13">
        <f t="shared" si="1"/>
        <v>642222.19999999995</v>
      </c>
      <c r="F20" s="9">
        <v>609030.39</v>
      </c>
    </row>
    <row r="21" spans="1:6" ht="20.100000000000001" customHeight="1">
      <c r="A21" s="7" t="s">
        <v>23</v>
      </c>
      <c r="B21" s="8" t="s">
        <v>38</v>
      </c>
      <c r="C21" s="13">
        <f t="shared" si="0"/>
        <v>169189.5</v>
      </c>
      <c r="D21" s="8" t="s">
        <v>39</v>
      </c>
      <c r="E21" s="13">
        <f t="shared" si="1"/>
        <v>640728.66</v>
      </c>
      <c r="F21" s="9">
        <v>697545.39</v>
      </c>
    </row>
    <row r="22" spans="1:6" ht="20.100000000000001" customHeight="1">
      <c r="A22" s="7" t="s">
        <v>24</v>
      </c>
      <c r="B22" s="10">
        <v>300</v>
      </c>
      <c r="C22" s="13">
        <f t="shared" si="0"/>
        <v>170325</v>
      </c>
      <c r="D22" s="8" t="s">
        <v>32</v>
      </c>
      <c r="E22" s="13">
        <f t="shared" si="1"/>
        <v>637741.57999999996</v>
      </c>
      <c r="F22" s="9">
        <v>683270.3</v>
      </c>
    </row>
    <row r="23" spans="1:6" ht="20.100000000000001" customHeight="1">
      <c r="A23" s="7" t="s">
        <v>25</v>
      </c>
      <c r="B23" s="10">
        <v>304</v>
      </c>
      <c r="C23" s="13">
        <f t="shared" si="0"/>
        <v>172596</v>
      </c>
      <c r="D23" s="8" t="s">
        <v>32</v>
      </c>
      <c r="E23" s="13">
        <f t="shared" si="1"/>
        <v>637741.57999999996</v>
      </c>
      <c r="F23" s="9">
        <v>546008.67999999993</v>
      </c>
    </row>
    <row r="24" spans="1:6" ht="20.100000000000001" customHeight="1">
      <c r="A24" s="7" t="s">
        <v>26</v>
      </c>
      <c r="B24" s="8" t="s">
        <v>40</v>
      </c>
      <c r="C24" s="13">
        <f t="shared" si="0"/>
        <v>176570.25</v>
      </c>
      <c r="D24" s="8" t="s">
        <v>37</v>
      </c>
      <c r="E24" s="13">
        <f t="shared" si="1"/>
        <v>642222.19999999995</v>
      </c>
      <c r="F24" s="9">
        <v>529903.64999999991</v>
      </c>
    </row>
    <row r="25" spans="1:6" ht="20.100000000000001" customHeight="1">
      <c r="A25" s="7" t="s">
        <v>27</v>
      </c>
      <c r="B25" s="8"/>
      <c r="C25" s="13">
        <f t="shared" si="0"/>
        <v>0</v>
      </c>
      <c r="D25" s="8"/>
      <c r="E25" s="13">
        <f t="shared" si="1"/>
        <v>0</v>
      </c>
      <c r="F25" s="9">
        <v>0</v>
      </c>
    </row>
    <row r="26" spans="1:6" ht="20.100000000000001" customHeight="1">
      <c r="A26" s="7" t="s">
        <v>28</v>
      </c>
      <c r="B26" s="10"/>
      <c r="C26" s="13">
        <f t="shared" si="0"/>
        <v>0</v>
      </c>
      <c r="D26" s="8"/>
      <c r="E26" s="13">
        <f t="shared" si="1"/>
        <v>0</v>
      </c>
      <c r="F26" s="9">
        <v>0</v>
      </c>
    </row>
    <row r="27" spans="1:6" ht="20.100000000000001" customHeight="1">
      <c r="A27" s="7" t="s">
        <v>29</v>
      </c>
      <c r="B27" s="10"/>
      <c r="C27" s="13">
        <f t="shared" si="0"/>
        <v>0</v>
      </c>
      <c r="D27" s="8"/>
      <c r="E27" s="13">
        <f t="shared" si="1"/>
        <v>0</v>
      </c>
      <c r="F27" s="9">
        <v>0</v>
      </c>
    </row>
    <row r="28" spans="1:6" ht="20.100000000000001" customHeight="1">
      <c r="A28" s="24" t="s">
        <v>30</v>
      </c>
      <c r="B28" s="20"/>
      <c r="C28" s="21">
        <f t="shared" si="0"/>
        <v>0</v>
      </c>
      <c r="D28" s="25"/>
      <c r="E28" s="21">
        <f t="shared" si="1"/>
        <v>0</v>
      </c>
      <c r="F28" s="22">
        <v>0</v>
      </c>
    </row>
    <row r="29" spans="1:6" s="6" customFormat="1" ht="20.100000000000001" customHeight="1">
      <c r="A29" s="6" t="s">
        <v>9</v>
      </c>
      <c r="B29" s="11"/>
      <c r="C29" s="11"/>
      <c r="D29" s="11"/>
      <c r="E29" s="11"/>
      <c r="F29" s="12">
        <v>4477768.3699999992</v>
      </c>
    </row>
    <row r="30" spans="1:6" ht="13.5" customHeight="1"/>
  </sheetData>
  <phoneticPr fontId="0" type="noConversion"/>
  <pageMargins left="0.75" right="0.75" top="0.75" bottom="1" header="0.5" footer="0.5"/>
  <pageSetup scale="77" orientation="landscape" r:id="rId1"/>
  <headerFooter alignWithMargins="0">
    <oddFooter>&amp;L&amp;D&amp;T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2012 Aggregate Report</vt:lpstr>
    </vt:vector>
  </TitlesOfParts>
  <Company>TML IEBP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TML</dc:creator>
  <cp:lastModifiedBy>jrickman</cp:lastModifiedBy>
  <cp:lastPrinted>2005-09-16T19:03:57Z</cp:lastPrinted>
  <dcterms:created xsi:type="dcterms:W3CDTF">2005-09-16T14:46:12Z</dcterms:created>
  <dcterms:modified xsi:type="dcterms:W3CDTF">2013-10-04T14:11:08Z</dcterms:modified>
</cp:coreProperties>
</file>