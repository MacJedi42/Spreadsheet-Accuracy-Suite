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comments6.xml" ContentType="application/vnd.openxmlformats-officedocument.spreadsheetml.comment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0" yWindow="135" windowWidth="15195" windowHeight="8835" tabRatio="768"/>
  </bookViews>
  <sheets>
    <sheet name="OA Budget Planning-Report Sheet" sheetId="8" r:id="rId1"/>
    <sheet name="Estimated Budget" sheetId="1" r:id="rId2"/>
    <sheet name="Consignment" sheetId="6" r:id="rId3"/>
    <sheet name="Registrations" sheetId="9" r:id="rId4"/>
    <sheet name="Reimbursements-Refunds" sheetId="5" r:id="rId5"/>
    <sheet name="Final Closeout" sheetId="2" r:id="rId6"/>
  </sheets>
  <definedNames>
    <definedName name="_xlnm.Print_Area" localSheetId="2">Consignment!$A$1:$J$49</definedName>
    <definedName name="_xlnm.Print_Area" localSheetId="1">'Estimated Budget'!$A$1:$P$157</definedName>
    <definedName name="_xlnm.Print_Area" localSheetId="5">'Final Closeout'!$A$1:$P$106</definedName>
    <definedName name="_xlnm.Print_Area" localSheetId="0">'OA Budget Planning-Report Sheet'!$A$1:$F$50</definedName>
    <definedName name="_xlnm.Print_Area" localSheetId="3">Registrations!$A$1:$M$105</definedName>
    <definedName name="_xlnm.Print_Area" localSheetId="4">'Reimbursements-Refunds'!$A$1:$M$102</definedName>
    <definedName name="_xlnm.Print_Titles" localSheetId="1">'Estimated Budget'!$1:$2</definedName>
    <definedName name="_xlnm.Print_Titles" localSheetId="5">'Final Closeout'!$1:$2</definedName>
    <definedName name="_xlnm.Print_Titles" localSheetId="3">Registrations!$4:$6</definedName>
    <definedName name="_xlnm.Print_Titles" localSheetId="4">'Reimbursements-Refunds'!$1:$2</definedName>
  </definedNames>
  <calcPr calcId="125725"/>
</workbook>
</file>

<file path=xl/calcChain.xml><?xml version="1.0" encoding="utf-8"?>
<calcChain xmlns="http://schemas.openxmlformats.org/spreadsheetml/2006/main">
  <c r="D18" i="8"/>
  <c r="N77" i="2"/>
  <c r="C18" i="8"/>
  <c r="R40" i="9"/>
  <c r="Q38"/>
  <c r="Q36"/>
  <c r="Q34"/>
  <c r="Q32"/>
  <c r="Q30"/>
  <c r="Q28"/>
  <c r="Q26"/>
  <c r="Q51" l="1"/>
  <c r="Q66"/>
  <c r="Q65"/>
  <c r="Q64"/>
  <c r="Q63"/>
  <c r="Q62"/>
  <c r="Q61"/>
  <c r="J3" i="6"/>
  <c r="I3"/>
  <c r="Q60" i="9"/>
  <c r="O40" l="1"/>
  <c r="S40" s="1"/>
  <c r="Q59"/>
  <c r="Q58"/>
  <c r="Q57"/>
  <c r="Q56"/>
  <c r="Q55"/>
  <c r="Q48" l="1"/>
  <c r="Q67"/>
  <c r="Q46"/>
  <c r="Q50" l="1"/>
  <c r="Q49"/>
  <c r="Q47"/>
  <c r="Q52"/>
  <c r="K99"/>
  <c r="K102" s="1"/>
  <c r="H143" i="1"/>
  <c r="H142"/>
  <c r="H141"/>
  <c r="H140"/>
  <c r="H139"/>
  <c r="H138"/>
  <c r="H137"/>
  <c r="B99" l="1"/>
  <c r="B98"/>
  <c r="C142"/>
  <c r="C143"/>
  <c r="F99" i="2"/>
  <c r="F97"/>
  <c r="F96"/>
  <c r="F93"/>
  <c r="H89"/>
  <c r="H85"/>
  <c r="H91"/>
  <c r="F91"/>
  <c r="F88"/>
  <c r="F87"/>
  <c r="F84"/>
  <c r="F83"/>
  <c r="F82"/>
  <c r="F81"/>
  <c r="N70"/>
  <c r="N63"/>
  <c r="D17" i="8" s="1"/>
  <c r="N57" i="2"/>
  <c r="D16" i="8" s="1"/>
  <c r="N49" i="2"/>
  <c r="D15" i="8" s="1"/>
  <c r="N29" i="2"/>
  <c r="N41"/>
  <c r="D14" i="8" s="1"/>
  <c r="N35" i="2"/>
  <c r="N14"/>
  <c r="N13"/>
  <c r="N12"/>
  <c r="K9"/>
  <c r="O33" i="9" s="1"/>
  <c r="K8" i="2"/>
  <c r="K7"/>
  <c r="O29" i="9" s="1"/>
  <c r="K6" i="2"/>
  <c r="O27" i="9" s="1"/>
  <c r="K5" i="2"/>
  <c r="B46" i="8"/>
  <c r="B34"/>
  <c r="B21"/>
  <c r="M101" i="5"/>
  <c r="N78" i="2" s="1"/>
  <c r="D45" i="8" s="1"/>
  <c r="M51" i="5"/>
  <c r="D20" i="8" s="1"/>
  <c r="F39" s="1"/>
  <c r="E1" i="5"/>
  <c r="M99" i="9"/>
  <c r="K103" s="1"/>
  <c r="I99"/>
  <c r="K101" s="1"/>
  <c r="E1"/>
  <c r="C3" i="6"/>
  <c r="C1"/>
  <c r="I14"/>
  <c r="J14" s="1"/>
  <c r="I15"/>
  <c r="J15" s="1"/>
  <c r="I16"/>
  <c r="J16" s="1"/>
  <c r="I17"/>
  <c r="J17" s="1"/>
  <c r="I18"/>
  <c r="J18" s="1"/>
  <c r="I19"/>
  <c r="J19" s="1"/>
  <c r="I20"/>
  <c r="J20" s="1"/>
  <c r="I21"/>
  <c r="J21" s="1"/>
  <c r="I22"/>
  <c r="J22" s="1"/>
  <c r="I23"/>
  <c r="J23" s="1"/>
  <c r="I24"/>
  <c r="J24" s="1"/>
  <c r="I25"/>
  <c r="J25" s="1"/>
  <c r="I26"/>
  <c r="J26" s="1"/>
  <c r="I27"/>
  <c r="J27" s="1"/>
  <c r="I28"/>
  <c r="J28" s="1"/>
  <c r="I29"/>
  <c r="J29" s="1"/>
  <c r="I30"/>
  <c r="J30" s="1"/>
  <c r="I31"/>
  <c r="J31" s="1"/>
  <c r="I32"/>
  <c r="J32" s="1"/>
  <c r="I33"/>
  <c r="J33" s="1"/>
  <c r="I34"/>
  <c r="J34" s="1"/>
  <c r="I35"/>
  <c r="J35" s="1"/>
  <c r="I36"/>
  <c r="J36" s="1"/>
  <c r="I37"/>
  <c r="J37" s="1"/>
  <c r="I38"/>
  <c r="J38" s="1"/>
  <c r="I39"/>
  <c r="J39" s="1"/>
  <c r="I40"/>
  <c r="J40" s="1"/>
  <c r="I41"/>
  <c r="J41" s="1"/>
  <c r="I13"/>
  <c r="J13" s="1"/>
  <c r="I12"/>
  <c r="J12" s="1"/>
  <c r="P33" i="9" l="1"/>
  <c r="R33" s="1"/>
  <c r="S33" s="1"/>
  <c r="N5" i="2"/>
  <c r="O25" i="9"/>
  <c r="N7" i="2"/>
  <c r="N9"/>
  <c r="N6"/>
  <c r="N8"/>
  <c r="O31" i="9"/>
  <c r="B41" i="8"/>
  <c r="B47" s="1"/>
  <c r="J45" i="6"/>
  <c r="M104" i="9"/>
  <c r="F85" i="2"/>
  <c r="N72"/>
  <c r="K91"/>
  <c r="N91" s="1"/>
  <c r="N79"/>
  <c r="K85"/>
  <c r="N85" s="1"/>
  <c r="Q33" i="9" l="1"/>
  <c r="P31"/>
  <c r="P29"/>
  <c r="P27"/>
  <c r="P25"/>
  <c r="N142" i="1"/>
  <c r="N143"/>
  <c r="K134"/>
  <c r="K137"/>
  <c r="P132"/>
  <c r="C25" i="8" s="1"/>
  <c r="K106" i="1"/>
  <c r="C44" i="8" s="1"/>
  <c r="N1" i="1"/>
  <c r="D1"/>
  <c r="N49"/>
  <c r="N46"/>
  <c r="P123" s="1"/>
  <c r="C17" i="8" s="1"/>
  <c r="N40" i="1"/>
  <c r="P121" s="1"/>
  <c r="C16" i="8" s="1"/>
  <c r="N34" i="1"/>
  <c r="P119" s="1"/>
  <c r="C15" i="8" s="1"/>
  <c r="N18" i="1"/>
  <c r="N13"/>
  <c r="N12"/>
  <c r="N11"/>
  <c r="N10"/>
  <c r="N9"/>
  <c r="N8"/>
  <c r="N7"/>
  <c r="K65"/>
  <c r="H97"/>
  <c r="H96"/>
  <c r="H95"/>
  <c r="H94"/>
  <c r="H93"/>
  <c r="F99"/>
  <c r="K99" s="1"/>
  <c r="K11" i="2" s="1"/>
  <c r="F98" i="1"/>
  <c r="K98" s="1"/>
  <c r="K10" i="2" s="1"/>
  <c r="F97" i="1"/>
  <c r="F96"/>
  <c r="F95"/>
  <c r="F94"/>
  <c r="H134" s="1"/>
  <c r="F93"/>
  <c r="H127" s="1"/>
  <c r="P127" s="1"/>
  <c r="C23" i="8" s="1"/>
  <c r="H48" i="1"/>
  <c r="N48" s="1"/>
  <c r="N51" s="1"/>
  <c r="P125" s="1"/>
  <c r="K24"/>
  <c r="K19"/>
  <c r="N19" s="1"/>
  <c r="H24"/>
  <c r="H23"/>
  <c r="N23" s="1"/>
  <c r="H85"/>
  <c r="H84"/>
  <c r="P79"/>
  <c r="P78"/>
  <c r="K140" s="1"/>
  <c r="H79"/>
  <c r="H66"/>
  <c r="H73"/>
  <c r="H71"/>
  <c r="H78"/>
  <c r="K139" s="1"/>
  <c r="H72"/>
  <c r="K138" s="1"/>
  <c r="N10" i="2" l="1"/>
  <c r="O35" i="9"/>
  <c r="N11" i="2"/>
  <c r="O37" i="9"/>
  <c r="K87" i="1"/>
  <c r="R27" i="9"/>
  <c r="R29"/>
  <c r="S29" s="1"/>
  <c r="R31"/>
  <c r="S31" s="1"/>
  <c r="Q29"/>
  <c r="Q31"/>
  <c r="N15" i="2"/>
  <c r="N102" s="1"/>
  <c r="R25" i="9"/>
  <c r="S25" s="1"/>
  <c r="Q27"/>
  <c r="S27"/>
  <c r="Q25"/>
  <c r="N140" i="1"/>
  <c r="K96"/>
  <c r="H130"/>
  <c r="K97"/>
  <c r="N79"/>
  <c r="N14"/>
  <c r="P113" s="1"/>
  <c r="C12" i="8" s="1"/>
  <c r="N139" i="1"/>
  <c r="N24"/>
  <c r="K95"/>
  <c r="K141"/>
  <c r="N141" s="1"/>
  <c r="N21"/>
  <c r="N28"/>
  <c r="P117" s="1"/>
  <c r="C14" i="8" s="1"/>
  <c r="N138" i="1"/>
  <c r="K93"/>
  <c r="P134"/>
  <c r="C26" i="8" s="1"/>
  <c r="C34" s="1"/>
  <c r="N137" i="1"/>
  <c r="K94"/>
  <c r="P37" i="9" l="1"/>
  <c r="R37" s="1"/>
  <c r="S37" s="1"/>
  <c r="P35"/>
  <c r="Q35" s="1"/>
  <c r="P143" i="1"/>
  <c r="C37" i="8" s="1"/>
  <c r="P115" i="1"/>
  <c r="K100"/>
  <c r="N1" i="2"/>
  <c r="D1"/>
  <c r="H97"/>
  <c r="K97" s="1"/>
  <c r="D13" i="8"/>
  <c r="D12"/>
  <c r="H93" i="2"/>
  <c r="K93" s="1"/>
  <c r="H99"/>
  <c r="K99" s="1"/>
  <c r="N99" s="1"/>
  <c r="K130" i="1"/>
  <c r="P130" s="1"/>
  <c r="C39" i="8" s="1"/>
  <c r="Q37" i="9" l="1"/>
  <c r="Q41" s="1"/>
  <c r="R35"/>
  <c r="S35" s="1"/>
  <c r="S41" s="1"/>
  <c r="P41"/>
  <c r="C13" i="8"/>
  <c r="C21" s="1"/>
  <c r="C43"/>
  <c r="C46" s="1"/>
  <c r="K108" i="1"/>
  <c r="P149" s="1"/>
  <c r="D21" i="8"/>
  <c r="B11" i="2"/>
  <c r="B10"/>
  <c r="D39" i="8"/>
  <c r="F42" s="1"/>
  <c r="D26"/>
  <c r="D23"/>
  <c r="F89" i="2"/>
  <c r="H96"/>
  <c r="K96" s="1"/>
  <c r="N97" s="1"/>
  <c r="K89" l="1"/>
  <c r="N89" s="1"/>
  <c r="N101" s="1"/>
  <c r="N103" s="1"/>
  <c r="F36" i="8"/>
  <c r="H54" i="1"/>
  <c r="N54" s="1"/>
  <c r="D37" i="8"/>
  <c r="F40" l="1"/>
  <c r="P145" i="1"/>
  <c r="P147" s="1"/>
  <c r="P151" s="1"/>
  <c r="C40" i="8" s="1"/>
  <c r="C41" s="1"/>
  <c r="N55" i="1"/>
  <c r="N56" s="1"/>
  <c r="D25" i="8"/>
  <c r="D34" s="1"/>
  <c r="F37" s="1"/>
  <c r="D43"/>
  <c r="D46" s="1"/>
  <c r="D41" l="1"/>
  <c r="D47" s="1"/>
  <c r="F44"/>
  <c r="F34"/>
  <c r="H74" i="1"/>
  <c r="K76" s="1"/>
  <c r="H67"/>
  <c r="K69" s="1"/>
  <c r="H80"/>
  <c r="K82" s="1"/>
  <c r="F46" i="8" l="1"/>
</calcChain>
</file>

<file path=xl/comments1.xml><?xml version="1.0" encoding="utf-8"?>
<comments xmlns="http://schemas.openxmlformats.org/spreadsheetml/2006/main">
  <authors>
    <author>Perry N Ives</author>
  </authors>
  <commentList>
    <comment ref="F7" authorId="0">
      <text>
        <r>
          <rPr>
            <b/>
            <sz val="8"/>
            <color indexed="81"/>
            <rFont val="Tahoma"/>
            <family val="2"/>
          </rPr>
          <t>Amangamek-Wipit:</t>
        </r>
        <r>
          <rPr>
            <sz val="8"/>
            <color indexed="81"/>
            <rFont val="Tahoma"/>
            <family val="2"/>
          </rPr>
          <t xml:space="preserve">
Enter the date the actual budget closeout is turned in to the lodge</t>
        </r>
      </text>
    </comment>
    <comment ref="B9" authorId="0">
      <text>
        <r>
          <rPr>
            <b/>
            <sz val="8"/>
            <color indexed="81"/>
            <rFont val="Tahoma"/>
            <family val="2"/>
          </rPr>
          <t>Amangamek-Wipit:</t>
        </r>
        <r>
          <rPr>
            <sz val="8"/>
            <color indexed="81"/>
            <rFont val="Tahoma"/>
            <family val="2"/>
          </rPr>
          <t xml:space="preserve">
Enter the estimated number of participants for the event</t>
        </r>
      </text>
    </comment>
    <comment ref="F9" authorId="0">
      <text>
        <r>
          <rPr>
            <b/>
            <sz val="8"/>
            <color indexed="81"/>
            <rFont val="Tahoma"/>
            <family val="2"/>
          </rPr>
          <t>Amangamek-Wipit:</t>
        </r>
        <r>
          <rPr>
            <sz val="8"/>
            <color indexed="81"/>
            <rFont val="Tahoma"/>
            <family val="2"/>
          </rPr>
          <t xml:space="preserve">
Enter the actual number of participants at the event</t>
        </r>
      </text>
    </comment>
    <comment ref="B11" authorId="0">
      <text>
        <r>
          <rPr>
            <b/>
            <sz val="8"/>
            <color indexed="81"/>
            <rFont val="Tahoma"/>
            <family val="2"/>
          </rPr>
          <t>Amangamek-Wipit:</t>
        </r>
        <r>
          <rPr>
            <sz val="8"/>
            <color indexed="81"/>
            <rFont val="Tahoma"/>
            <family val="2"/>
          </rPr>
          <t xml:space="preserve">
The dollar amounts in this column come from the  prior year (by season) event. If one was not held then the column can be blank.</t>
        </r>
      </text>
    </comment>
    <comment ref="C11" authorId="0">
      <text>
        <r>
          <rPr>
            <b/>
            <sz val="8"/>
            <color indexed="81"/>
            <rFont val="Tahoma"/>
            <family val="2"/>
          </rPr>
          <t>Amangamek-Wipit:</t>
        </r>
        <r>
          <rPr>
            <sz val="8"/>
            <color indexed="81"/>
            <rFont val="Tahoma"/>
            <family val="2"/>
          </rPr>
          <t xml:space="preserve">
These figures will be mapped from the Estimated Budget Worksheet</t>
        </r>
      </text>
    </comment>
    <comment ref="D11" authorId="0">
      <text>
        <r>
          <rPr>
            <b/>
            <sz val="8"/>
            <color indexed="81"/>
            <rFont val="Tahoma"/>
            <family val="2"/>
          </rPr>
          <t>Amangamek-Wipit:</t>
        </r>
        <r>
          <rPr>
            <sz val="8"/>
            <color indexed="81"/>
            <rFont val="Tahoma"/>
            <family val="2"/>
          </rPr>
          <t xml:space="preserve">
These figures will be mapped from the Final Closeout Worksheet</t>
        </r>
      </text>
    </comment>
    <comment ref="D20" authorId="0">
      <text>
        <r>
          <rPr>
            <b/>
            <sz val="8"/>
            <color indexed="81"/>
            <rFont val="Tahoma"/>
            <family val="2"/>
          </rPr>
          <t>Amangamek-Wipit:</t>
        </r>
        <r>
          <rPr>
            <sz val="8"/>
            <color indexed="81"/>
            <rFont val="Tahoma"/>
            <family val="2"/>
          </rPr>
          <t xml:space="preserve">
This amount should equal the total dollar amount of reimbursements listed on the "Reimbursements (Reimbursements-Refunds) Worksheet" and the "Final Closeout Worksheet"</t>
        </r>
      </text>
    </comment>
    <comment ref="D21" authorId="0">
      <text>
        <r>
          <rPr>
            <b/>
            <sz val="8"/>
            <color indexed="81"/>
            <rFont val="Tahoma"/>
            <family val="2"/>
          </rPr>
          <t>Amangamek-Wipit:</t>
        </r>
        <r>
          <rPr>
            <sz val="8"/>
            <color indexed="81"/>
            <rFont val="Tahoma"/>
            <family val="2"/>
          </rPr>
          <t xml:space="preserve">
The dollar amount listed here should equal the total amount of invoices that will be paid at the council office</t>
        </r>
      </text>
    </comment>
    <comment ref="D45" authorId="0">
      <text>
        <r>
          <rPr>
            <b/>
            <sz val="8"/>
            <color indexed="81"/>
            <rFont val="Tahoma"/>
            <family val="2"/>
          </rPr>
          <t>Amangamek-Wipit:</t>
        </r>
        <r>
          <rPr>
            <sz val="8"/>
            <color indexed="81"/>
            <rFont val="Tahoma"/>
            <family val="2"/>
          </rPr>
          <t xml:space="preserve">
This amount should equal the total dollar amount of refunds listed on the "Reimbursements-Refunds Worksheet" and the "Final Closeout Worksheet"</t>
        </r>
      </text>
    </comment>
  </commentList>
</comments>
</file>

<file path=xl/comments2.xml><?xml version="1.0" encoding="utf-8"?>
<comments xmlns="http://schemas.openxmlformats.org/spreadsheetml/2006/main">
  <authors>
    <author>Perry N Ives</author>
  </authors>
  <commentList>
    <comment ref="D1" authorId="0">
      <text>
        <r>
          <rPr>
            <b/>
            <sz val="8"/>
            <color indexed="81"/>
            <rFont val="Tahoma"/>
            <family val="2"/>
          </rPr>
          <t>Amangamek-Wipit:</t>
        </r>
        <r>
          <rPr>
            <sz val="8"/>
            <color indexed="81"/>
            <rFont val="Tahoma"/>
            <family val="2"/>
          </rPr>
          <t xml:space="preserve">
Enter the name of the chapter</t>
        </r>
      </text>
    </comment>
    <comment ref="N1" authorId="0">
      <text>
        <r>
          <rPr>
            <b/>
            <sz val="8"/>
            <color indexed="81"/>
            <rFont val="Tahoma"/>
            <family val="2"/>
          </rPr>
          <t>Amangamek-Wipit:</t>
        </r>
        <r>
          <rPr>
            <sz val="8"/>
            <color indexed="81"/>
            <rFont val="Tahoma"/>
            <family val="2"/>
          </rPr>
          <t xml:space="preserve">
Complete the custodial account number for the chapter (see the list on the Cost Center Worksheet)
DO NOT USE ANY OTHER Account Numbers</t>
        </r>
      </text>
    </comment>
    <comment ref="H6" authorId="0">
      <text>
        <r>
          <rPr>
            <b/>
            <sz val="8"/>
            <color indexed="81"/>
            <rFont val="Tahoma"/>
            <family val="2"/>
          </rPr>
          <t>Amangamek-Wipit:</t>
        </r>
        <r>
          <rPr>
            <sz val="8"/>
            <color indexed="81"/>
            <rFont val="Tahoma"/>
            <family val="2"/>
          </rPr>
          <t xml:space="preserve">
Enter the estimated number of participants by category in the cells below</t>
        </r>
      </text>
    </comment>
    <comment ref="K6" authorId="0">
      <text>
        <r>
          <rPr>
            <b/>
            <sz val="8"/>
            <color indexed="81"/>
            <rFont val="Tahoma"/>
            <family val="2"/>
          </rPr>
          <t>Amangamek-Wipit:</t>
        </r>
        <r>
          <rPr>
            <sz val="8"/>
            <color indexed="81"/>
            <rFont val="Tahoma"/>
            <family val="2"/>
          </rPr>
          <t xml:space="preserve">
Enter the estimated meal cost for each category below</t>
        </r>
      </text>
    </comment>
    <comment ref="H17" authorId="0">
      <text>
        <r>
          <rPr>
            <b/>
            <sz val="8"/>
            <color indexed="81"/>
            <rFont val="Tahoma"/>
            <family val="2"/>
          </rPr>
          <t>Amangamek-Wipit:</t>
        </r>
        <r>
          <rPr>
            <sz val="8"/>
            <color indexed="81"/>
            <rFont val="Tahoma"/>
            <family val="2"/>
          </rPr>
          <t xml:space="preserve">
Enter the estimated number of participants by category in the cells below</t>
        </r>
      </text>
    </comment>
    <comment ref="K17" authorId="0">
      <text>
        <r>
          <rPr>
            <b/>
            <sz val="8"/>
            <color indexed="81"/>
            <rFont val="Tahoma"/>
            <family val="2"/>
          </rPr>
          <t>Amangamek-Wipit:</t>
        </r>
        <r>
          <rPr>
            <sz val="8"/>
            <color indexed="81"/>
            <rFont val="Tahoma"/>
            <family val="2"/>
          </rPr>
          <t xml:space="preserve">
Enter the postage rate in this cell</t>
        </r>
      </text>
    </comment>
    <comment ref="H22" authorId="0">
      <text>
        <r>
          <rPr>
            <b/>
            <sz val="8"/>
            <color indexed="81"/>
            <rFont val="Tahoma"/>
            <family val="2"/>
          </rPr>
          <t>Amangamek-Wipit:</t>
        </r>
        <r>
          <rPr>
            <sz val="8"/>
            <color indexed="81"/>
            <rFont val="Tahoma"/>
            <family val="2"/>
          </rPr>
          <t xml:space="preserve">
The estimated number of participants by category will map into the cells below</t>
        </r>
      </text>
    </comment>
    <comment ref="K22" authorId="0">
      <text>
        <r>
          <rPr>
            <b/>
            <sz val="8"/>
            <color indexed="81"/>
            <rFont val="Tahoma"/>
            <family val="2"/>
          </rPr>
          <t>Amangamek-Wipit:</t>
        </r>
        <r>
          <rPr>
            <sz val="8"/>
            <color indexed="81"/>
            <rFont val="Tahoma"/>
            <family val="2"/>
          </rPr>
          <t xml:space="preserve">
Enter the estimated printing cost per participant in this cell</t>
        </r>
      </text>
    </comment>
    <comment ref="H47" authorId="0">
      <text>
        <r>
          <rPr>
            <b/>
            <sz val="8"/>
            <color indexed="81"/>
            <rFont val="Tahoma"/>
            <family val="2"/>
          </rPr>
          <t>Amangamek-Wipit:</t>
        </r>
        <r>
          <rPr>
            <sz val="8"/>
            <color indexed="81"/>
            <rFont val="Tahoma"/>
            <family val="2"/>
          </rPr>
          <t xml:space="preserve">
Enter the estimated costs  by category in the cells below</t>
        </r>
      </text>
    </comment>
    <comment ref="K47" authorId="0">
      <text>
        <r>
          <rPr>
            <b/>
            <sz val="8"/>
            <color indexed="81"/>
            <rFont val="Tahoma"/>
            <family val="2"/>
          </rPr>
          <t>Amangamek-Wipit:</t>
        </r>
        <r>
          <rPr>
            <sz val="8"/>
            <color indexed="81"/>
            <rFont val="Tahoma"/>
            <family val="2"/>
          </rPr>
          <t xml:space="preserve">
Enter the estimated cost for each category</t>
        </r>
      </text>
    </comment>
    <comment ref="H62" authorId="0">
      <text>
        <r>
          <rPr>
            <b/>
            <sz val="8"/>
            <color indexed="81"/>
            <rFont val="Tahoma"/>
            <family val="2"/>
          </rPr>
          <t>Amangamek-Wipit:</t>
        </r>
        <r>
          <rPr>
            <sz val="8"/>
            <color indexed="81"/>
            <rFont val="Tahoma"/>
            <family val="2"/>
          </rPr>
          <t xml:space="preserve">
This cost for the Ordeal induction materials is established by the LEC</t>
        </r>
      </text>
    </comment>
    <comment ref="H64" authorId="0">
      <text>
        <r>
          <rPr>
            <b/>
            <sz val="8"/>
            <color indexed="81"/>
            <rFont val="Tahoma"/>
            <family val="2"/>
          </rPr>
          <t>Amangamek-Wipit:</t>
        </r>
        <r>
          <rPr>
            <sz val="8"/>
            <color indexed="81"/>
            <rFont val="Tahoma"/>
            <family val="2"/>
          </rPr>
          <t xml:space="preserve">
This is the current lodge dues amount</t>
        </r>
      </text>
    </comment>
    <comment ref="H65" authorId="0">
      <text>
        <r>
          <rPr>
            <b/>
            <sz val="8"/>
            <color indexed="81"/>
            <rFont val="Tahoma"/>
            <family val="2"/>
          </rPr>
          <t>Amangamek-Wipit:</t>
        </r>
        <r>
          <rPr>
            <sz val="8"/>
            <color indexed="81"/>
            <rFont val="Tahoma"/>
            <family val="2"/>
          </rPr>
          <t xml:space="preserve">
This is the amount of Liability Insurance Recovery charge for the event</t>
        </r>
      </text>
    </comment>
    <comment ref="N69" authorId="0">
      <text>
        <r>
          <rPr>
            <b/>
            <sz val="8"/>
            <color indexed="81"/>
            <rFont val="Tahoma"/>
            <family val="2"/>
          </rPr>
          <t>Amangamek-Wipit:</t>
        </r>
        <r>
          <rPr>
            <sz val="8"/>
            <color indexed="81"/>
            <rFont val="Tahoma"/>
            <family val="2"/>
          </rPr>
          <t xml:space="preserve">
Round the amount calculated in cell "K69" to the upward to the next 25</t>
        </r>
        <r>
          <rPr>
            <sz val="8"/>
            <color indexed="81"/>
            <rFont val="Arial"/>
            <family val="2"/>
          </rPr>
          <t>¢ and enter that amount here</t>
        </r>
      </text>
    </comment>
    <comment ref="N76" authorId="0">
      <text>
        <r>
          <rPr>
            <b/>
            <sz val="8"/>
            <color indexed="81"/>
            <rFont val="Tahoma"/>
            <family val="2"/>
          </rPr>
          <t>Amangamek-Wipit:</t>
        </r>
        <r>
          <rPr>
            <sz val="8"/>
            <color indexed="81"/>
            <rFont val="Tahoma"/>
            <family val="2"/>
          </rPr>
          <t xml:space="preserve">
Round the amount calculated in cell "K76" to the upward to the next 25¢ and enter that amount here</t>
        </r>
      </text>
    </comment>
    <comment ref="N82" authorId="0">
      <text>
        <r>
          <rPr>
            <b/>
            <sz val="8"/>
            <color indexed="81"/>
            <rFont val="Tahoma"/>
            <family val="2"/>
          </rPr>
          <t>Amangamek-Wipit:</t>
        </r>
        <r>
          <rPr>
            <sz val="8"/>
            <color indexed="81"/>
            <rFont val="Tahoma"/>
            <family val="2"/>
          </rPr>
          <t xml:space="preserve">
Round the amount calculated in cell "K82" to the upward to the next 25¢ and enter that amount here</t>
        </r>
      </text>
    </comment>
    <comment ref="P82" authorId="0">
      <text>
        <r>
          <rPr>
            <b/>
            <sz val="8"/>
            <color indexed="81"/>
            <rFont val="Tahoma"/>
            <family val="2"/>
          </rPr>
          <t>Amangamek-Wipit:</t>
        </r>
        <r>
          <rPr>
            <sz val="8"/>
            <color indexed="81"/>
            <rFont val="Tahoma"/>
            <family val="2"/>
          </rPr>
          <t xml:space="preserve">
Adjust the amount calculated in cell "N79" to reflect the meals provided, if any, and the single day change for Liability Insurance Recovery ($1.00). Round the resulting amount upward to the next 25¢ and enter that amount here</t>
        </r>
      </text>
    </comment>
    <comment ref="N87" authorId="0">
      <text>
        <r>
          <rPr>
            <b/>
            <sz val="8"/>
            <color indexed="81"/>
            <rFont val="Tahoma"/>
            <family val="2"/>
          </rPr>
          <t>Amangamek-Wipit:</t>
        </r>
        <r>
          <rPr>
            <sz val="8"/>
            <color indexed="81"/>
            <rFont val="Tahoma"/>
            <family val="2"/>
          </rPr>
          <t xml:space="preserve">
Round the amount calculated in cell "K87" to the upward to the next 25¢ and enter that amount here</t>
        </r>
      </text>
    </comment>
  </commentList>
</comments>
</file>

<file path=xl/comments3.xml><?xml version="1.0" encoding="utf-8"?>
<comments xmlns="http://schemas.openxmlformats.org/spreadsheetml/2006/main">
  <authors>
    <author>Perry N Ives</author>
  </authors>
  <commentList>
    <comment ref="I1" authorId="0">
      <text>
        <r>
          <rPr>
            <b/>
            <sz val="8"/>
            <color indexed="81"/>
            <rFont val="Tahoma"/>
            <family val="2"/>
          </rPr>
          <t>Amangamek-Wipit:</t>
        </r>
        <r>
          <rPr>
            <sz val="8"/>
            <color indexed="81"/>
            <rFont val="Tahoma"/>
            <family val="2"/>
          </rPr>
          <t xml:space="preserve">
Enter the date the consignment is being requested</t>
        </r>
      </text>
    </comment>
    <comment ref="C5" authorId="0">
      <text>
        <r>
          <rPr>
            <b/>
            <sz val="8"/>
            <color indexed="81"/>
            <rFont val="Tahoma"/>
            <family val="2"/>
          </rPr>
          <t>Amangamek-Wipit:</t>
        </r>
        <r>
          <rPr>
            <sz val="8"/>
            <color indexed="81"/>
            <rFont val="Tahoma"/>
            <family val="2"/>
          </rPr>
          <t xml:space="preserve">
Enter the name of the individual who received the consignment from the lodge</t>
        </r>
      </text>
    </comment>
    <comment ref="I5" authorId="0">
      <text>
        <r>
          <rPr>
            <b/>
            <sz val="8"/>
            <color indexed="81"/>
            <rFont val="Tahoma"/>
            <family val="2"/>
          </rPr>
          <t>Amangamek-Wipit:</t>
        </r>
        <r>
          <rPr>
            <sz val="8"/>
            <color indexed="81"/>
            <rFont val="Tahoma"/>
            <family val="2"/>
          </rPr>
          <t xml:space="preserve">
Enter the date the consignment was received from the lodge</t>
        </r>
      </text>
    </comment>
    <comment ref="C7" authorId="0">
      <text>
        <r>
          <rPr>
            <b/>
            <sz val="8"/>
            <color indexed="81"/>
            <rFont val="Tahoma"/>
            <family val="2"/>
          </rPr>
          <t>Amangamek-Wipit:</t>
        </r>
        <r>
          <rPr>
            <sz val="8"/>
            <color indexed="81"/>
            <rFont val="Tahoma"/>
            <family val="2"/>
          </rPr>
          <t xml:space="preserve">
Enter the name of the individual who returned the consignment to the lodge</t>
        </r>
      </text>
    </comment>
    <comment ref="I7" authorId="0">
      <text>
        <r>
          <rPr>
            <b/>
            <sz val="8"/>
            <color indexed="81"/>
            <rFont val="Tahoma"/>
            <family val="2"/>
          </rPr>
          <t>Amangamek-Wipit:</t>
        </r>
        <r>
          <rPr>
            <sz val="8"/>
            <color indexed="81"/>
            <rFont val="Tahoma"/>
            <family val="2"/>
          </rPr>
          <t xml:space="preserve">
Enter the date the consignment was returned to the lodge</t>
        </r>
      </text>
    </comment>
    <comment ref="E10" authorId="0">
      <text>
        <r>
          <rPr>
            <b/>
            <sz val="8"/>
            <color indexed="81"/>
            <rFont val="Tahoma"/>
            <family val="2"/>
          </rPr>
          <t>Amangamek-Wipit:</t>
        </r>
        <r>
          <rPr>
            <sz val="8"/>
            <color indexed="81"/>
            <rFont val="Tahoma"/>
            <family val="2"/>
          </rPr>
          <t xml:space="preserve">
Enter the quantities of the items listed to the left that are being requested for the event</t>
        </r>
      </text>
    </comment>
    <comment ref="F10" authorId="0">
      <text>
        <r>
          <rPr>
            <b/>
            <sz val="8"/>
            <color indexed="81"/>
            <rFont val="Tahoma"/>
            <family val="2"/>
          </rPr>
          <t>Amangamek-Wipit:</t>
        </r>
        <r>
          <rPr>
            <sz val="8"/>
            <color indexed="81"/>
            <rFont val="Tahoma"/>
            <family val="2"/>
          </rPr>
          <t xml:space="preserve">
Enter the quantities of the items requested that were received</t>
        </r>
      </text>
    </comment>
    <comment ref="G10" authorId="0">
      <text>
        <r>
          <rPr>
            <b/>
            <sz val="8"/>
            <color indexed="81"/>
            <rFont val="Tahoma"/>
            <family val="2"/>
          </rPr>
          <t>Amangamek-Wipit:</t>
        </r>
        <r>
          <rPr>
            <sz val="8"/>
            <color indexed="81"/>
            <rFont val="Tahoma"/>
            <family val="2"/>
          </rPr>
          <t xml:space="preserve">
Enter the quantities of the items received that were used for the Ordeal candidates that were inducted and Brotherhood conversions.</t>
        </r>
      </text>
    </comment>
    <comment ref="H10" authorId="0">
      <text>
        <r>
          <rPr>
            <b/>
            <sz val="8"/>
            <color indexed="81"/>
            <rFont val="Tahoma"/>
            <family val="2"/>
          </rPr>
          <t>Amangamek-Wipit:</t>
        </r>
        <r>
          <rPr>
            <sz val="8"/>
            <color indexed="81"/>
            <rFont val="Tahoma"/>
            <family val="2"/>
          </rPr>
          <t xml:space="preserve">
Enter the quantities of the items received that are being returned to the lodge</t>
        </r>
      </text>
    </comment>
    <comment ref="I10" authorId="0">
      <text>
        <r>
          <rPr>
            <b/>
            <sz val="8"/>
            <color indexed="81"/>
            <rFont val="Tahoma"/>
            <family val="2"/>
          </rPr>
          <t>Amangamek-Wipit:</t>
        </r>
        <r>
          <rPr>
            <sz val="8"/>
            <color indexed="81"/>
            <rFont val="Tahoma"/>
            <family val="2"/>
          </rPr>
          <t xml:space="preserve">
The quantities in this column should represent the amounts sold as Trading Post at the event</t>
        </r>
      </text>
    </comment>
    <comment ref="J10" authorId="0">
      <text>
        <r>
          <rPr>
            <b/>
            <sz val="8"/>
            <color indexed="81"/>
            <rFont val="Tahoma"/>
            <family val="2"/>
          </rPr>
          <t>Amangamek-Wipit:</t>
        </r>
        <r>
          <rPr>
            <sz val="8"/>
            <color indexed="81"/>
            <rFont val="Tahoma"/>
            <family val="2"/>
          </rPr>
          <t xml:space="preserve">
This column is automatically calculated based upon  the item price and the quantity calculated in the "Used" column</t>
        </r>
      </text>
    </comment>
    <comment ref="J45" authorId="0">
      <text>
        <r>
          <rPr>
            <b/>
            <sz val="8"/>
            <color indexed="81"/>
            <rFont val="Tahoma"/>
            <family val="2"/>
          </rPr>
          <t>Amangamek-Wipit:</t>
        </r>
        <r>
          <rPr>
            <sz val="8"/>
            <color indexed="81"/>
            <rFont val="Tahoma"/>
            <family val="2"/>
          </rPr>
          <t xml:space="preserve">
The amount listed here represents the dollar amount of Trading Post sales that is turned in separately from the event budget</t>
        </r>
      </text>
    </comment>
  </commentList>
</comments>
</file>

<file path=xl/comments4.xml><?xml version="1.0" encoding="utf-8"?>
<comments xmlns="http://schemas.openxmlformats.org/spreadsheetml/2006/main">
  <authors>
    <author>Perry N Ives</author>
  </authors>
  <commentList>
    <comment ref="A6" authorId="0">
      <text>
        <r>
          <rPr>
            <b/>
            <sz val="8"/>
            <color indexed="81"/>
            <rFont val="Tahoma"/>
            <family val="2"/>
          </rPr>
          <t xml:space="preserve">Amangamek-Wipit:
</t>
        </r>
        <r>
          <rPr>
            <sz val="8"/>
            <color indexed="81"/>
            <rFont val="Tahoma"/>
            <family val="2"/>
          </rPr>
          <t>List the name of the individual who has registered with the council office or on-site for the event in the "Name" column and the dollar amount in the "Council Amount" column or "On-Site Check or Cash" column as appropriate.</t>
        </r>
      </text>
    </comment>
    <comment ref="C6" authorId="0">
      <text>
        <r>
          <rPr>
            <b/>
            <sz val="8"/>
            <color indexed="81"/>
            <rFont val="Tahoma"/>
            <family val="2"/>
          </rPr>
          <t>Amangamek-Wipit:</t>
        </r>
        <r>
          <rPr>
            <sz val="8"/>
            <color indexed="81"/>
            <rFont val="Tahoma"/>
            <family val="2"/>
          </rPr>
          <t xml:space="preserve">
Select the role of the registrant from the drop down.
Adult advisers and youth are NOT distinguished from the role selected.</t>
        </r>
      </text>
    </comment>
    <comment ref="G6" authorId="0">
      <text>
        <r>
          <rPr>
            <b/>
            <sz val="8"/>
            <color indexed="81"/>
            <rFont val="Tahoma"/>
            <family val="2"/>
          </rPr>
          <t>Amangamek-Wipit:</t>
        </r>
        <r>
          <rPr>
            <sz val="8"/>
            <color indexed="81"/>
            <rFont val="Tahoma"/>
            <family val="2"/>
          </rPr>
          <t xml:space="preserve">
Enter the receipt number from the council registration receipt or the number from the Field Receipt Book.</t>
        </r>
      </text>
    </comment>
    <comment ref="M104" authorId="0">
      <text>
        <r>
          <rPr>
            <b/>
            <sz val="8"/>
            <color indexed="81"/>
            <rFont val="Tahoma"/>
            <family val="2"/>
          </rPr>
          <t>Amangamek-Wipit:</t>
        </r>
        <r>
          <rPr>
            <sz val="8"/>
            <color indexed="81"/>
            <rFont val="Tahoma"/>
            <family val="2"/>
          </rPr>
          <t xml:space="preserve">
This amount should equal the total amount of all credits to the chapter custodial account for the event</t>
        </r>
      </text>
    </comment>
  </commentList>
</comments>
</file>

<file path=xl/comments5.xml><?xml version="1.0" encoding="utf-8"?>
<comments xmlns="http://schemas.openxmlformats.org/spreadsheetml/2006/main">
  <authors>
    <author>Perry N Ives</author>
  </authors>
  <commentList>
    <comment ref="A4" authorId="0">
      <text>
        <r>
          <rPr>
            <b/>
            <sz val="8"/>
            <color indexed="81"/>
            <rFont val="Tahoma"/>
            <family val="2"/>
          </rPr>
          <t>Amangamek-Wipit:</t>
        </r>
        <r>
          <rPr>
            <sz val="8"/>
            <color indexed="81"/>
            <rFont val="Tahoma"/>
            <family val="2"/>
          </rPr>
          <t xml:space="preserve">
Enter the name of the person who is to receive a reimbursement from the event in this column (you need only list the name once, regardless of the number of receipts involved)</t>
        </r>
      </text>
    </comment>
    <comment ref="E4" authorId="0">
      <text>
        <r>
          <rPr>
            <b/>
            <sz val="8"/>
            <color indexed="81"/>
            <rFont val="Tahoma"/>
            <family val="2"/>
          </rPr>
          <t>Amangamek-Wipit:</t>
        </r>
        <r>
          <rPr>
            <sz val="8"/>
            <color indexed="81"/>
            <rFont val="Tahoma"/>
            <family val="2"/>
          </rPr>
          <t xml:space="preserve">
Enter the mailing address of the individual identified on the left, who is to receive a reimbursement</t>
        </r>
      </text>
    </comment>
    <comment ref="M4" authorId="0">
      <text>
        <r>
          <rPr>
            <b/>
            <sz val="8"/>
            <color indexed="81"/>
            <rFont val="Tahoma"/>
            <family val="2"/>
          </rPr>
          <t>Amangamek-Wipit:</t>
        </r>
        <r>
          <rPr>
            <sz val="8"/>
            <color indexed="81"/>
            <rFont val="Tahoma"/>
            <family val="2"/>
          </rPr>
          <t xml:space="preserve">
Enter the total dollar amount of the reimbursement due the individual identified on the left (this amount should equal the total of the receipts associated with this individual's reimbursement)</t>
        </r>
      </text>
    </comment>
    <comment ref="M51" authorId="0">
      <text>
        <r>
          <rPr>
            <b/>
            <sz val="8"/>
            <color indexed="81"/>
            <rFont val="Tahoma"/>
            <family val="2"/>
          </rPr>
          <t>Amangamek-Wipit:</t>
        </r>
        <r>
          <rPr>
            <sz val="8"/>
            <color indexed="81"/>
            <rFont val="Tahoma"/>
            <family val="2"/>
          </rPr>
          <t xml:space="preserve">
This amount should equal the total amount of all reimbursement due from the chapter custodial account for the event</t>
        </r>
      </text>
    </comment>
    <comment ref="A54" authorId="0">
      <text>
        <r>
          <rPr>
            <b/>
            <sz val="8"/>
            <color indexed="81"/>
            <rFont val="Tahoma"/>
            <family val="2"/>
          </rPr>
          <t>Amangamek-Wipit:</t>
        </r>
        <r>
          <rPr>
            <sz val="8"/>
            <color indexed="81"/>
            <rFont val="Tahoma"/>
            <family val="2"/>
          </rPr>
          <t xml:space="preserve">
Enter the name of the person who is to receive a refund from the event in this column (refunds must adhere to lodge refund policy as provided for in the Lodge Operating Procedures)</t>
        </r>
      </text>
    </comment>
    <comment ref="E54" authorId="0">
      <text>
        <r>
          <rPr>
            <b/>
            <sz val="8"/>
            <color indexed="81"/>
            <rFont val="Tahoma"/>
            <family val="2"/>
          </rPr>
          <t>Amangamek-Wipit:</t>
        </r>
        <r>
          <rPr>
            <sz val="8"/>
            <color indexed="81"/>
            <rFont val="Tahoma"/>
            <family val="2"/>
          </rPr>
          <t xml:space="preserve">
Enter the mailing address of the individual identified on the left, who is to receive a refund</t>
        </r>
      </text>
    </comment>
    <comment ref="M54" authorId="0">
      <text>
        <r>
          <rPr>
            <b/>
            <sz val="8"/>
            <color indexed="81"/>
            <rFont val="Tahoma"/>
            <family val="2"/>
          </rPr>
          <t>Amangamek-Wipit:</t>
        </r>
        <r>
          <rPr>
            <sz val="8"/>
            <color indexed="81"/>
            <rFont val="Tahoma"/>
            <family val="2"/>
          </rPr>
          <t xml:space="preserve">
Enter the total dollar amount of the refund due the individual identified on the left </t>
        </r>
      </text>
    </comment>
    <comment ref="M101" authorId="0">
      <text>
        <r>
          <rPr>
            <b/>
            <sz val="8"/>
            <color indexed="81"/>
            <rFont val="Tahoma"/>
            <family val="2"/>
          </rPr>
          <t>Amangamek-Wipit:</t>
        </r>
        <r>
          <rPr>
            <sz val="8"/>
            <color indexed="81"/>
            <rFont val="Tahoma"/>
            <family val="2"/>
          </rPr>
          <t xml:space="preserve">
This amount should equal the total amount of all refunds due from the chapter custodial account for the event</t>
        </r>
      </text>
    </comment>
  </commentList>
</comments>
</file>

<file path=xl/comments6.xml><?xml version="1.0" encoding="utf-8"?>
<comments xmlns="http://schemas.openxmlformats.org/spreadsheetml/2006/main">
  <authors>
    <author>Perry N Ives</author>
  </authors>
  <commentList>
    <comment ref="H4" authorId="0">
      <text>
        <r>
          <rPr>
            <b/>
            <sz val="8"/>
            <color indexed="81"/>
            <rFont val="Tahoma"/>
            <family val="2"/>
          </rPr>
          <t>Amangamek-Wipit:</t>
        </r>
        <r>
          <rPr>
            <sz val="8"/>
            <color indexed="81"/>
            <rFont val="Tahoma"/>
            <family val="2"/>
          </rPr>
          <t xml:space="preserve">
Enter the number of participants by category in this column (the total of the number of registrants is listed.</t>
        </r>
      </text>
    </comment>
    <comment ref="K4" authorId="0">
      <text>
        <r>
          <rPr>
            <b/>
            <sz val="8"/>
            <color indexed="81"/>
            <rFont val="Tahoma"/>
            <family val="2"/>
          </rPr>
          <t>Amangamek-Wipit:</t>
        </r>
        <r>
          <rPr>
            <sz val="8"/>
            <color indexed="81"/>
            <rFont val="Tahoma"/>
            <family val="2"/>
          </rPr>
          <t xml:space="preserve">
The fees listed below should reflect those previously entered on the Estimated Budget Worksheet</t>
        </r>
      </text>
    </comment>
    <comment ref="B17" authorId="0">
      <text>
        <r>
          <rPr>
            <b/>
            <sz val="8"/>
            <color indexed="81"/>
            <rFont val="Tahoma"/>
            <family val="2"/>
          </rPr>
          <t>Amangamek-Wipit:</t>
        </r>
        <r>
          <rPr>
            <sz val="8"/>
            <color indexed="81"/>
            <rFont val="Tahoma"/>
            <family val="2"/>
          </rPr>
          <t xml:space="preserve">
List the name of the store/vendor for each receipt turned in for reimbursement (place the name of the individual in parenthesis after the store/vendor)</t>
        </r>
      </text>
    </comment>
    <comment ref="K17" authorId="0">
      <text>
        <r>
          <rPr>
            <b/>
            <sz val="8"/>
            <color indexed="81"/>
            <rFont val="Tahoma"/>
            <family val="2"/>
          </rPr>
          <t>Amangamek-Wipit:</t>
        </r>
        <r>
          <rPr>
            <sz val="8"/>
            <color indexed="81"/>
            <rFont val="Tahoma"/>
            <family val="2"/>
          </rPr>
          <t xml:space="preserve">
Enter the dollar amount for each invoice listed to the left</t>
        </r>
      </text>
    </comment>
    <comment ref="B30" authorId="0">
      <text>
        <r>
          <rPr>
            <b/>
            <sz val="8"/>
            <color indexed="81"/>
            <rFont val="Tahoma"/>
            <family val="2"/>
          </rPr>
          <t xml:space="preserve">Amangamek-Wipit:
</t>
        </r>
        <r>
          <rPr>
            <sz val="8"/>
            <color indexed="81"/>
            <rFont val="Tahoma"/>
            <family val="2"/>
          </rPr>
          <t>List the name of the store/vendor for each receipt turned in for reimbursement (place the name of the individual in parenthesis after the store/vendor)</t>
        </r>
      </text>
    </comment>
    <comment ref="K30" authorId="0">
      <text>
        <r>
          <rPr>
            <b/>
            <sz val="8"/>
            <color indexed="81"/>
            <rFont val="Tahoma"/>
            <family val="2"/>
          </rPr>
          <t>Amangamek-Wipit:</t>
        </r>
        <r>
          <rPr>
            <sz val="8"/>
            <color indexed="81"/>
            <rFont val="Tahoma"/>
            <family val="2"/>
          </rPr>
          <t xml:space="preserve">
Enter the dollar amount for each invoice listed to the left</t>
        </r>
      </text>
    </comment>
    <comment ref="B36" authorId="0">
      <text>
        <r>
          <rPr>
            <b/>
            <sz val="8"/>
            <color indexed="81"/>
            <rFont val="Tahoma"/>
            <family val="2"/>
          </rPr>
          <t>Amangamek-Wipit:</t>
        </r>
        <r>
          <rPr>
            <sz val="8"/>
            <color indexed="81"/>
            <rFont val="Tahoma"/>
            <family val="2"/>
          </rPr>
          <t xml:space="preserve">
List the name of the store/vendor for each receipt turned in for reimbursement (place the name of the individual in parenthesis after the store/vendor)</t>
        </r>
      </text>
    </comment>
    <comment ref="K36" authorId="0">
      <text>
        <r>
          <rPr>
            <b/>
            <sz val="8"/>
            <color indexed="81"/>
            <rFont val="Tahoma"/>
            <family val="2"/>
          </rPr>
          <t>Amangamek-Wipit:</t>
        </r>
        <r>
          <rPr>
            <sz val="8"/>
            <color indexed="81"/>
            <rFont val="Tahoma"/>
            <family val="2"/>
          </rPr>
          <t xml:space="preserve">
Enter the dollar amount for each invoice listed to the left</t>
        </r>
      </text>
    </comment>
    <comment ref="B42" authorId="0">
      <text>
        <r>
          <rPr>
            <b/>
            <sz val="8"/>
            <color indexed="81"/>
            <rFont val="Tahoma"/>
            <family val="2"/>
          </rPr>
          <t>Amangamek-Wipit:</t>
        </r>
        <r>
          <rPr>
            <sz val="8"/>
            <color indexed="81"/>
            <rFont val="Tahoma"/>
            <family val="2"/>
          </rPr>
          <t xml:space="preserve">
List the name of the store/vendor for each receipt turned in for reimbursement (place the name of the individual in parenthesis after the store/vendor)</t>
        </r>
      </text>
    </comment>
    <comment ref="K42" authorId="0">
      <text>
        <r>
          <rPr>
            <b/>
            <sz val="8"/>
            <color indexed="81"/>
            <rFont val="Tahoma"/>
            <family val="2"/>
          </rPr>
          <t>Amangamek-Wipit:</t>
        </r>
        <r>
          <rPr>
            <sz val="8"/>
            <color indexed="81"/>
            <rFont val="Tahoma"/>
            <family val="2"/>
          </rPr>
          <t xml:space="preserve">
Enter the dollar amount for each invoice listed to the left</t>
        </r>
      </text>
    </comment>
    <comment ref="B50" authorId="0">
      <text>
        <r>
          <rPr>
            <b/>
            <sz val="8"/>
            <color indexed="81"/>
            <rFont val="Tahoma"/>
            <family val="2"/>
          </rPr>
          <t>Amangamek-Wipit:</t>
        </r>
        <r>
          <rPr>
            <sz val="8"/>
            <color indexed="81"/>
            <rFont val="Tahoma"/>
            <family val="2"/>
          </rPr>
          <t xml:space="preserve">
List the name of the store/vendor for each receipt turned in for reimbursement (place the name of the individual in parenthesis after the store/vendor)</t>
        </r>
      </text>
    </comment>
    <comment ref="K50" authorId="0">
      <text>
        <r>
          <rPr>
            <b/>
            <sz val="8"/>
            <color indexed="81"/>
            <rFont val="Tahoma"/>
            <family val="2"/>
          </rPr>
          <t>Perry N Ives:</t>
        </r>
        <r>
          <rPr>
            <sz val="8"/>
            <color indexed="81"/>
            <rFont val="Tahoma"/>
            <family val="2"/>
          </rPr>
          <t xml:space="preserve">
Enter the dollar amount for each invoice listed to the left</t>
        </r>
      </text>
    </comment>
    <comment ref="B58" authorId="0">
      <text>
        <r>
          <rPr>
            <b/>
            <sz val="8"/>
            <color indexed="81"/>
            <rFont val="Tahoma"/>
            <family val="2"/>
          </rPr>
          <t>Amangamek-Wipit:</t>
        </r>
        <r>
          <rPr>
            <sz val="8"/>
            <color indexed="81"/>
            <rFont val="Tahoma"/>
            <family val="2"/>
          </rPr>
          <t xml:space="preserve">
List the name of the store/vendor for each receipt turned in for reimbursement (place the name of the individual in parenthesis after the store/vendor)</t>
        </r>
      </text>
    </comment>
    <comment ref="K58" authorId="0">
      <text>
        <r>
          <rPr>
            <b/>
            <sz val="8"/>
            <color indexed="81"/>
            <rFont val="Tahoma"/>
            <family val="2"/>
          </rPr>
          <t>Amangamek-Wipit:</t>
        </r>
        <r>
          <rPr>
            <sz val="8"/>
            <color indexed="81"/>
            <rFont val="Tahoma"/>
            <family val="2"/>
          </rPr>
          <t xml:space="preserve">
Enter the dollar amount for each invoice listed to the left</t>
        </r>
      </text>
    </comment>
    <comment ref="B64" authorId="0">
      <text>
        <r>
          <rPr>
            <b/>
            <sz val="8"/>
            <color indexed="81"/>
            <rFont val="Tahoma"/>
            <family val="2"/>
          </rPr>
          <t>Amangamek-Wipit:</t>
        </r>
        <r>
          <rPr>
            <sz val="8"/>
            <color indexed="81"/>
            <rFont val="Tahoma"/>
            <family val="2"/>
          </rPr>
          <t xml:space="preserve">
List the name of the store/vendor for each receipt turned in for reimbursement (place the name of the individual in parenthesis after the store/vendor)</t>
        </r>
      </text>
    </comment>
    <comment ref="K64" authorId="0">
      <text>
        <r>
          <rPr>
            <b/>
            <sz val="8"/>
            <color indexed="81"/>
            <rFont val="Tahoma"/>
            <family val="2"/>
          </rPr>
          <t>Amangamek-Wipit:</t>
        </r>
        <r>
          <rPr>
            <sz val="8"/>
            <color indexed="81"/>
            <rFont val="Tahoma"/>
            <family val="2"/>
          </rPr>
          <t xml:space="preserve">
Enter the dollar amount for each invoice listed to the left</t>
        </r>
      </text>
    </comment>
    <comment ref="N72" authorId="0">
      <text>
        <r>
          <rPr>
            <b/>
            <sz val="8"/>
            <color indexed="81"/>
            <rFont val="Tahoma"/>
            <family val="2"/>
          </rPr>
          <t>Amangamek-Wipit:</t>
        </r>
        <r>
          <rPr>
            <sz val="8"/>
            <color indexed="81"/>
            <rFont val="Tahoma"/>
            <family val="2"/>
          </rPr>
          <t xml:space="preserve">
This amount should equal the total dollar amount of reimbursements listed on the "Disbursements (Reimbursements) Statement"</t>
        </r>
      </text>
    </comment>
    <comment ref="N78" authorId="0">
      <text>
        <r>
          <rPr>
            <b/>
            <sz val="8"/>
            <color indexed="81"/>
            <rFont val="Tahoma"/>
            <family val="2"/>
          </rPr>
          <t>Amangamek-Wipit:</t>
        </r>
        <r>
          <rPr>
            <sz val="8"/>
            <color indexed="81"/>
            <rFont val="Tahoma"/>
            <family val="2"/>
          </rPr>
          <t xml:space="preserve">
This amount should equal the total dollar amount of refunds listed on the "Disbursements (Refunds) Statement" the figure has been mapped from the that statement</t>
        </r>
      </text>
    </comment>
    <comment ref="F81" authorId="0">
      <text>
        <r>
          <rPr>
            <b/>
            <sz val="8"/>
            <color indexed="81"/>
            <rFont val="Tahoma"/>
            <family val="2"/>
          </rPr>
          <t>Amangamek-Wipit:</t>
        </r>
        <r>
          <rPr>
            <sz val="8"/>
            <color indexed="81"/>
            <rFont val="Tahoma"/>
            <family val="2"/>
          </rPr>
          <t xml:space="preserve">
The quantity listed here should equal the quantity listed on the Consignment Worksheet for the item identified at the left</t>
        </r>
      </text>
    </comment>
    <comment ref="F82" authorId="0">
      <text>
        <r>
          <rPr>
            <b/>
            <sz val="8"/>
            <color indexed="81"/>
            <rFont val="Tahoma"/>
            <family val="2"/>
          </rPr>
          <t>Amangamek-Wipit:</t>
        </r>
        <r>
          <rPr>
            <sz val="8"/>
            <color indexed="81"/>
            <rFont val="Tahoma"/>
            <family val="2"/>
          </rPr>
          <t xml:space="preserve">
The quantity listed here should equal the quantity listed on the Consignment Worksheet for the item identified at the left</t>
        </r>
      </text>
    </comment>
    <comment ref="F83" authorId="0">
      <text>
        <r>
          <rPr>
            <b/>
            <sz val="8"/>
            <color indexed="81"/>
            <rFont val="Tahoma"/>
            <family val="2"/>
          </rPr>
          <t>Amangamek-Wipit:</t>
        </r>
        <r>
          <rPr>
            <sz val="8"/>
            <color indexed="81"/>
            <rFont val="Tahoma"/>
            <family val="2"/>
          </rPr>
          <t xml:space="preserve">
The quantity listed here should equal the quantity listed on the Consignment Worksheet for the item identified at the left</t>
        </r>
      </text>
    </comment>
    <comment ref="F84" authorId="0">
      <text>
        <r>
          <rPr>
            <b/>
            <sz val="8"/>
            <color indexed="81"/>
            <rFont val="Tahoma"/>
            <family val="2"/>
          </rPr>
          <t>Amangamek-Wipit:</t>
        </r>
        <r>
          <rPr>
            <sz val="8"/>
            <color indexed="81"/>
            <rFont val="Tahoma"/>
            <family val="2"/>
          </rPr>
          <t xml:space="preserve">
The quantity listed here should equal the quantity listed on the Consignment Worksheet for the item identified at the left</t>
        </r>
      </text>
    </comment>
    <comment ref="F87" authorId="0">
      <text>
        <r>
          <rPr>
            <b/>
            <sz val="8"/>
            <color indexed="81"/>
            <rFont val="Tahoma"/>
            <family val="2"/>
          </rPr>
          <t>Amangamek-Wipit:</t>
        </r>
        <r>
          <rPr>
            <sz val="8"/>
            <color indexed="81"/>
            <rFont val="Tahoma"/>
            <family val="2"/>
          </rPr>
          <t xml:space="preserve">
The quantity listed here should equal the quantity listed on the Consignment Worksheet for the item identified at the left</t>
        </r>
      </text>
    </comment>
    <comment ref="F88" authorId="0">
      <text>
        <r>
          <rPr>
            <b/>
            <sz val="8"/>
            <color indexed="81"/>
            <rFont val="Tahoma"/>
            <family val="2"/>
          </rPr>
          <t>Amangamek-Wipit:</t>
        </r>
        <r>
          <rPr>
            <sz val="8"/>
            <color indexed="81"/>
            <rFont val="Tahoma"/>
            <family val="2"/>
          </rPr>
          <t xml:space="preserve">
The quantity listed here should equal the quantity listed on the Consignment Worksheet for the item identified at the left</t>
        </r>
      </text>
    </comment>
    <comment ref="F91" authorId="0">
      <text>
        <r>
          <rPr>
            <b/>
            <sz val="8"/>
            <color indexed="81"/>
            <rFont val="Tahoma"/>
            <family val="2"/>
          </rPr>
          <t>Amangamek-Wipit:</t>
        </r>
        <r>
          <rPr>
            <sz val="8"/>
            <color indexed="81"/>
            <rFont val="Tahoma"/>
            <family val="2"/>
          </rPr>
          <t xml:space="preserve">
The quantity listed here should equal the quantity listed on the Consignment Worksheet for the item identified at the left and the number of Elangomats registered and counted in cells "H8" and "H9" above</t>
        </r>
      </text>
    </comment>
    <comment ref="F92" authorId="0">
      <text>
        <r>
          <rPr>
            <b/>
            <sz val="8"/>
            <color indexed="81"/>
            <rFont val="Tahoma"/>
            <family val="2"/>
          </rPr>
          <t>Amangamek-Wipit:</t>
        </r>
        <r>
          <rPr>
            <sz val="8"/>
            <color indexed="81"/>
            <rFont val="Tahoma"/>
            <family val="2"/>
          </rPr>
          <t xml:space="preserve">
The numbers below will need to be adjusted if there are registrations added in cells "H12, 13, and 14" above</t>
        </r>
      </text>
    </comment>
    <comment ref="F93" authorId="0">
      <text>
        <r>
          <rPr>
            <b/>
            <sz val="8"/>
            <color indexed="81"/>
            <rFont val="Tahoma"/>
            <family val="2"/>
          </rPr>
          <t>Amangamek-Wipit:</t>
        </r>
        <r>
          <rPr>
            <sz val="8"/>
            <color indexed="81"/>
            <rFont val="Tahoma"/>
            <family val="2"/>
          </rPr>
          <t xml:space="preserve">
The number is determined by the numbers placed in cell "H5, H6, and H7" above</t>
        </r>
      </text>
    </comment>
    <comment ref="F94" authorId="0">
      <text>
        <r>
          <rPr>
            <b/>
            <sz val="8"/>
            <color indexed="81"/>
            <rFont val="Tahoma"/>
            <family val="2"/>
          </rPr>
          <t>Amangamek-Wipit:</t>
        </r>
        <r>
          <rPr>
            <sz val="8"/>
            <color indexed="81"/>
            <rFont val="Tahoma"/>
            <family val="2"/>
          </rPr>
          <t xml:space="preserve">
Enter the number of "No Shows" (i.e. the number of registrants that did not attend the event)</t>
        </r>
      </text>
    </comment>
    <comment ref="F96" authorId="0">
      <text>
        <r>
          <rPr>
            <b/>
            <sz val="8"/>
            <color indexed="81"/>
            <rFont val="Tahoma"/>
            <family val="2"/>
          </rPr>
          <t>Amangamek-Wipit:</t>
        </r>
        <r>
          <rPr>
            <sz val="8"/>
            <color indexed="81"/>
            <rFont val="Tahoma"/>
            <family val="2"/>
          </rPr>
          <t xml:space="preserve">
The number is determined by the number placed in cell "H8" above</t>
        </r>
      </text>
    </comment>
    <comment ref="F97" authorId="0">
      <text>
        <r>
          <rPr>
            <b/>
            <sz val="8"/>
            <color indexed="81"/>
            <rFont val="Tahoma"/>
            <family val="2"/>
          </rPr>
          <t>Amangamek-Wipit:</t>
        </r>
        <r>
          <rPr>
            <sz val="8"/>
            <color indexed="81"/>
            <rFont val="Tahoma"/>
            <family val="2"/>
          </rPr>
          <t xml:space="preserve">
The number is determined by the number placed in cell "H11" above</t>
        </r>
      </text>
    </comment>
    <comment ref="C99" authorId="0">
      <text>
        <r>
          <rPr>
            <b/>
            <sz val="8"/>
            <color indexed="81"/>
            <rFont val="Tahoma"/>
            <family val="2"/>
          </rPr>
          <t>Amangamek-Wipit:</t>
        </r>
        <r>
          <rPr>
            <sz val="8"/>
            <color indexed="81"/>
            <rFont val="Tahoma"/>
            <family val="2"/>
          </rPr>
          <t xml:space="preserve">
This is for Ordeal Candidate dues ONLY.
DO NOT include any dues paid by members at the event in this amount</t>
        </r>
      </text>
    </comment>
    <comment ref="F99" authorId="0">
      <text>
        <r>
          <rPr>
            <b/>
            <sz val="8"/>
            <color indexed="81"/>
            <rFont val="Tahoma"/>
            <family val="2"/>
          </rPr>
          <t>Amangamek-Wipit:</t>
        </r>
        <r>
          <rPr>
            <sz val="8"/>
            <color indexed="81"/>
            <rFont val="Tahoma"/>
            <family val="2"/>
          </rPr>
          <t xml:space="preserve">
The number is determined by the number placed in cell "H5" above.</t>
        </r>
      </text>
    </comment>
    <comment ref="F100" authorId="0">
      <text>
        <r>
          <rPr>
            <b/>
            <sz val="8"/>
            <color indexed="81"/>
            <rFont val="Tahoma"/>
            <family val="2"/>
          </rPr>
          <t>Amangamek-Wipit:</t>
        </r>
        <r>
          <rPr>
            <sz val="8"/>
            <color indexed="81"/>
            <rFont val="Tahoma"/>
            <family val="2"/>
          </rPr>
          <t xml:space="preserve">
Enter the number of Ordeal Candidates who registered and did not attend the event.</t>
        </r>
      </text>
    </comment>
  </commentList>
</comments>
</file>

<file path=xl/sharedStrings.xml><?xml version="1.0" encoding="utf-8"?>
<sst xmlns="http://schemas.openxmlformats.org/spreadsheetml/2006/main" count="1319" uniqueCount="509">
  <si>
    <t>O/A Dues</t>
  </si>
  <si>
    <t>Liability Insurance Recovery</t>
  </si>
  <si>
    <t>Food</t>
  </si>
  <si>
    <t>Ordeal Candidate Fee</t>
  </si>
  <si>
    <t>Operating Cost</t>
  </si>
  <si>
    <t>Elangomat Fee</t>
  </si>
  <si>
    <t>Elangomat Patch</t>
  </si>
  <si>
    <t>Ordeal Candidate</t>
  </si>
  <si>
    <t>O/A Handbook</t>
  </si>
  <si>
    <t>Elangomat</t>
  </si>
  <si>
    <t>Member Fee</t>
  </si>
  <si>
    <t>Liability Insurance recovery</t>
  </si>
  <si>
    <t>CALCULATING FEES:</t>
  </si>
  <si>
    <t>CALCULATING ESTIMATED BUDGET REVENUE:</t>
  </si>
  <si>
    <t>Ordeal Candidates</t>
  </si>
  <si>
    <t>Members</t>
  </si>
  <si>
    <t>Feast Only</t>
  </si>
  <si>
    <t>TOTAL ESTIMATED REVENUE</t>
  </si>
  <si>
    <t>$</t>
  </si>
  <si>
    <t>x</t>
  </si>
  <si>
    <t>=</t>
  </si>
  <si>
    <t>BALANCING THE ESTIMATED BUDGET:</t>
  </si>
  <si>
    <t>Estimated Food Cost</t>
  </si>
  <si>
    <t>Estimated Postage Cost</t>
  </si>
  <si>
    <t>Estimated Awards Cost</t>
  </si>
  <si>
    <t>Estimated Ceremonies Cost</t>
  </si>
  <si>
    <t>Brotherhood Sashes</t>
  </si>
  <si>
    <t>Elangomat Patches</t>
  </si>
  <si>
    <t>Elangomats</t>
  </si>
  <si>
    <t>Contingency Fee</t>
  </si>
  <si>
    <t>TOTAL ESTIMATED EXPENSES</t>
  </si>
  <si>
    <t>DIFFERENCE</t>
  </si>
  <si>
    <t>Brotherhood Candidates</t>
  </si>
  <si>
    <t>Estimate Printing cost</t>
  </si>
  <si>
    <t>+/-</t>
  </si>
  <si>
    <t>TOTAL EXPENSES BUDGETED ALWAYS EQUALS TOTAL REVENUE BUDGETED</t>
  </si>
  <si>
    <t>CALCULATING EXPENSES:</t>
  </si>
  <si>
    <t xml:space="preserve">Operating </t>
  </si>
  <si>
    <t>Postage</t>
  </si>
  <si>
    <t>TOTAL ESTIMATED POSTAGE COSTS</t>
  </si>
  <si>
    <t>Printing</t>
  </si>
  <si>
    <t>Awards</t>
  </si>
  <si>
    <t>TOTAL ESTIMATED AWARDS COSTS</t>
  </si>
  <si>
    <t>TOTAL ESTIMATED CEREMONIES COSTS</t>
  </si>
  <si>
    <t>Ceremonies</t>
  </si>
  <si>
    <t>TOTAL ESTIMATED FOOD COSTS</t>
  </si>
  <si>
    <t>TOTAL ESTIMATED PRINTING COSTS</t>
  </si>
  <si>
    <t>Estimated Foods Costs</t>
  </si>
  <si>
    <t>CHAPTER:</t>
  </si>
  <si>
    <t>Account #:</t>
  </si>
  <si>
    <t>TOTAL OPERATING ESTIMATED COSTS</t>
  </si>
  <si>
    <t>Operating Unit Costs</t>
  </si>
  <si>
    <t>CALCULATING ACTUAL REVENUE</t>
  </si>
  <si>
    <t>TOTAL ACTUAL POSTAGE COSTS</t>
  </si>
  <si>
    <t>TOTAL ACTUAL PRINTING COSTS</t>
  </si>
  <si>
    <t>[attach all original receipts]</t>
  </si>
  <si>
    <t>CALCULATING ACTUAL EXPENSES</t>
  </si>
  <si>
    <t>TOTAL ACTUAL FOOD COSTS</t>
  </si>
  <si>
    <t>Insurance Recovery</t>
  </si>
  <si>
    <t>Dues</t>
  </si>
  <si>
    <t>For Honor Chapter consideration (all Levels) difference cannot be negative</t>
  </si>
  <si>
    <t xml:space="preserve">Feast Only </t>
  </si>
  <si>
    <t>Name</t>
  </si>
  <si>
    <t>Amount</t>
  </si>
  <si>
    <t>Cash</t>
  </si>
  <si>
    <t>Item Description</t>
  </si>
  <si>
    <t>Price</t>
  </si>
  <si>
    <t>OA Handbook</t>
  </si>
  <si>
    <t>OA Lodge Flap</t>
  </si>
  <si>
    <t>OA Jacket Emblem</t>
  </si>
  <si>
    <t>OA 3" Sticker</t>
  </si>
  <si>
    <t>Ordeal Ceremony Book</t>
  </si>
  <si>
    <t>Brotherhood Ceremony Book</t>
  </si>
  <si>
    <t>n/c</t>
  </si>
  <si>
    <t>RETURNED BY:</t>
  </si>
  <si>
    <t>Ordeal Sash (Long)</t>
  </si>
  <si>
    <t>Ordeal Sash (Regular)</t>
  </si>
  <si>
    <t>Brotherhood Sash (Regular)</t>
  </si>
  <si>
    <t>Brotherhood Sash (Long)</t>
  </si>
  <si>
    <t>OA Pocket Device</t>
  </si>
  <si>
    <r>
      <t>Spirit of the Arrow Booklets</t>
    </r>
    <r>
      <rPr>
        <sz val="10"/>
        <rFont val="Arial"/>
        <family val="2"/>
      </rPr>
      <t xml:space="preserve"> (1-8)</t>
    </r>
  </si>
  <si>
    <t>REQUEST DATE:</t>
  </si>
  <si>
    <t>RECEIVED:</t>
  </si>
  <si>
    <t>RETURNED:</t>
  </si>
  <si>
    <t>RECEIVED BY:</t>
  </si>
  <si>
    <t>Received</t>
  </si>
  <si>
    <t>Quantities</t>
  </si>
  <si>
    <t>The Trading Post consignment must be closed and returned within 30 days of the Activity</t>
  </si>
  <si>
    <t>Ordeal</t>
  </si>
  <si>
    <t>Check</t>
  </si>
  <si>
    <t>Total Registrations through Council</t>
  </si>
  <si>
    <t>Total Registrations On-Site (Cash)</t>
  </si>
  <si>
    <t>Total Registrations On-Site (Checks)</t>
  </si>
  <si>
    <t>RECEIPTS</t>
  </si>
  <si>
    <t>Address</t>
  </si>
  <si>
    <t>OA Hat Pin Silver Arrow</t>
  </si>
  <si>
    <t>REVENUE</t>
  </si>
  <si>
    <r>
      <t>Candidates</t>
    </r>
    <r>
      <rPr>
        <sz val="10"/>
        <rFont val="Arial"/>
        <family val="2"/>
      </rPr>
      <t xml:space="preserve"> O/A Dues</t>
    </r>
  </si>
  <si>
    <t>Facility/Site Infrastructure</t>
  </si>
  <si>
    <t>Facility usage Fee (per attendee)</t>
  </si>
  <si>
    <t>Port-a-John(s)</t>
  </si>
  <si>
    <t>TOTAL ESTIMATED FACILITY/SITE INFRASTRUCTURE  COSTS</t>
  </si>
  <si>
    <t>Estimated Facility/Site Infrastructure Cost</t>
  </si>
  <si>
    <t>TOTAL Fee Based Revenue</t>
  </si>
  <si>
    <t>Registration Fees</t>
  </si>
  <si>
    <t>Other Revenue Sources</t>
  </si>
  <si>
    <r>
      <t>Chapter Contribution  (</t>
    </r>
    <r>
      <rPr>
        <sz val="8"/>
        <rFont val="Arial"/>
        <family val="2"/>
      </rPr>
      <t>Current Account Balance Reduction</t>
    </r>
    <r>
      <rPr>
        <sz val="10"/>
        <rFont val="Arial"/>
        <family val="2"/>
      </rPr>
      <t>)</t>
    </r>
  </si>
  <si>
    <t>Total Other Revenue Sources</t>
  </si>
  <si>
    <t>Members (Feast Only)</t>
  </si>
  <si>
    <t>Requested</t>
  </si>
  <si>
    <t>TOTAL ACTUAL EXPENSES</t>
  </si>
  <si>
    <t>TOTAL ACTUAL REVENUE</t>
  </si>
  <si>
    <t>Member Fee (Feast Only)</t>
  </si>
  <si>
    <t>Total Receipts</t>
  </si>
  <si>
    <t>TOTAL ACTUAL CEREMONIES COSTS</t>
  </si>
  <si>
    <t>TOTAL ACTUAL FACILITY/SITE INFRASTRUCTURE COSTS</t>
  </si>
  <si>
    <t>TOTAL ACTUAL AWARDS COSTS</t>
  </si>
  <si>
    <t>TOTAL ACTUAL DISBURSEMENTS (REIMBURSEMENTS)</t>
  </si>
  <si>
    <t>Total Disbursement (Reimbursements)</t>
  </si>
  <si>
    <t>Returned</t>
  </si>
  <si>
    <t>Used</t>
  </si>
  <si>
    <t>The estimated number of attendees by category is entered</t>
  </si>
  <si>
    <t>The estimated food cost per person by category is entered</t>
  </si>
  <si>
    <t>The total fee based revenue is automatically calculated</t>
  </si>
  <si>
    <t>The Total Other Revenue is automatically calculated</t>
  </si>
  <si>
    <t>The Total Estimated Revenue is automatically calculated</t>
  </si>
  <si>
    <t>The Difference between Estimated Expenses and Revenue is applied as an adjustment</t>
  </si>
  <si>
    <t>to the Contingency fee (increase for a positive difference and decrease for a negative difference</t>
  </si>
  <si>
    <t>The total fees by attendee is automatically calculated</t>
  </si>
  <si>
    <t>The Estimated fee for Ordeal Candidate is automatically calculated</t>
  </si>
  <si>
    <t>The Estimated fee for Elangomat is automatically calculated</t>
  </si>
  <si>
    <t>The Estimated fee for Member is automatically calculated</t>
  </si>
  <si>
    <t>The Estimated fee for Member (Feast Only) is automatically calculated</t>
  </si>
  <si>
    <t>The Estimated Food Cost per attendee category is automatically calculated</t>
  </si>
  <si>
    <t>The Total Facility/Site Infrastructure cost is automatically calculated</t>
  </si>
  <si>
    <t>The Total Estimated Food Cost is automatically calculated</t>
  </si>
  <si>
    <t>The Total Postage Cost is automatically calculated</t>
  </si>
  <si>
    <t>The Total Printing Cost is automatically calculated</t>
  </si>
  <si>
    <t>The Total Awards Cost is automatically calculated</t>
  </si>
  <si>
    <t>The Total Ceremonies Cost is automatically calculated</t>
  </si>
  <si>
    <t>EVENT NAME:</t>
  </si>
  <si>
    <t>The request date for the consignment is entered into cell "I1"</t>
  </si>
  <si>
    <t>Ordeal Sash (Regular) cell "G12"</t>
  </si>
  <si>
    <t>Ordeal Sash (Long) cell "G13"</t>
  </si>
  <si>
    <t>The quantity of the items being request for consignment is entered into cells "E12" to "E43"</t>
  </si>
  <si>
    <t>The actual quantities received are entered in to cells "F12" to "F43"</t>
  </si>
  <si>
    <t>The actual quantities used for the event are entered into the following</t>
  </si>
  <si>
    <t>Sales</t>
  </si>
  <si>
    <t>This is repeated as necessary by filling in the required information in the gray shaded cells as follows</t>
  </si>
  <si>
    <t>These can be either checks or cash</t>
  </si>
  <si>
    <t>The registration fee paid is entered as follows</t>
  </si>
  <si>
    <t>Quantity</t>
  </si>
  <si>
    <t>Total</t>
  </si>
  <si>
    <t>TRANSFER FIGURES TO THE ORDER of the ARROW "ACTIVITY BUDGET PLANNING/REPORT SHEET"</t>
  </si>
  <si>
    <t>The estimated attendees and registration fees are mapped from</t>
  </si>
  <si>
    <t>The quantity and cost of Liability Insurance Recovery is mapped from</t>
  </si>
  <si>
    <t>If there are any Disbursements  (Reimbursements) due for event expenses</t>
  </si>
  <si>
    <t>Ordeal (Spring)</t>
  </si>
  <si>
    <t>Ordeal (Fall)</t>
  </si>
  <si>
    <t xml:space="preserve">Any Miscellaneous Income is entered as follows </t>
  </si>
  <si>
    <t>The event specific supplies are mapped as follows</t>
  </si>
  <si>
    <t xml:space="preserve">Amangamek-Wipit Flap </t>
  </si>
  <si>
    <t>The event Liability Insurance Recovery is mapped as follows</t>
  </si>
  <si>
    <t>The event OA Dues is mapped as follows</t>
  </si>
  <si>
    <t>The difference automatically calculated as the  surplus Revenue over Expenses (Positive)</t>
  </si>
  <si>
    <t>Fee to be Charged</t>
  </si>
  <si>
    <t>Day Only</t>
  </si>
  <si>
    <r>
      <t xml:space="preserve">The fee/cost is mapped from the </t>
    </r>
    <r>
      <rPr>
        <i/>
        <sz val="10"/>
        <rFont val="Arial"/>
        <family val="2"/>
      </rPr>
      <t>Estimated Budget</t>
    </r>
    <r>
      <rPr>
        <sz val="10"/>
        <rFont val="Arial"/>
        <family val="2"/>
      </rPr>
      <t xml:space="preserve"> worksheet</t>
    </r>
  </si>
  <si>
    <t>TOTAL ACTUAL CHECKS FROM COUNCIL FINANCE OFFICE</t>
  </si>
  <si>
    <t>Checks issued by Council Finance Office</t>
  </si>
  <si>
    <t>Total Refund Checks paid by Council Finance Office</t>
  </si>
  <si>
    <t>The Actual Total of Invoices to be paid by Council Finance Office</t>
  </si>
  <si>
    <t>The Total Disbursements (Reimbursements) are automatically calculated</t>
  </si>
  <si>
    <t>If there are any Disbursements (Refunds) due for event expenses</t>
  </si>
  <si>
    <t>Total Sales to charged to Account # 1-2371-419-00 OA Trading Post Sales</t>
  </si>
  <si>
    <t>The inventory of returned items is entered into cells "H12" to "H42"</t>
  </si>
  <si>
    <t>The total Trading Post sales of consignment items is automatically calculated</t>
  </si>
  <si>
    <t>The number of registrants by attendee category is entered into cells "H5" to "H11"</t>
  </si>
  <si>
    <t>The Actual Total of Refunds to be paid by Council Finance Office</t>
  </si>
  <si>
    <t>OA Handbook cell "G14"</t>
  </si>
  <si>
    <t>OA Lodge Flap cell "G15"</t>
  </si>
  <si>
    <t>Brotherhood Sash (Regular) cell "G16"</t>
  </si>
  <si>
    <t>Elangomat Patch cell "G18"</t>
  </si>
  <si>
    <t>OA Baseball Cap</t>
  </si>
  <si>
    <t>Adjust the Contingency Fee [increase for "+" or decrease for "-"] to balance budget on the Budget Planning and Report Sheet</t>
  </si>
  <si>
    <t>Field Receipt Book</t>
  </si>
  <si>
    <t>Receipt #</t>
  </si>
  <si>
    <t>Order of the Arrow Event Budget Planning and Report Sheet</t>
  </si>
  <si>
    <t xml:space="preserve">Name of Event: </t>
  </si>
  <si>
    <t>Chapter:</t>
  </si>
  <si>
    <t>Date to be Closed:</t>
  </si>
  <si>
    <t>Expected Attendance:</t>
  </si>
  <si>
    <t>Actual Attendance:</t>
  </si>
  <si>
    <t>Expenses</t>
  </si>
  <si>
    <t>Last Year</t>
  </si>
  <si>
    <t>Budget</t>
  </si>
  <si>
    <t>Actual</t>
  </si>
  <si>
    <t>Pre-Approval</t>
  </si>
  <si>
    <t>The figures in Column C are from Estimated Budget Worksheet totals</t>
  </si>
  <si>
    <t>Awards (Recognitions)</t>
  </si>
  <si>
    <t>(Prepared by - Chapter Adviser)</t>
  </si>
  <si>
    <t>The figures in Column D are the totals by category from the Chapter Event Budget Closeout Worksheet</t>
  </si>
  <si>
    <t>Reimbursements/Disbursements</t>
  </si>
  <si>
    <t>Less: Reimbursements</t>
  </si>
  <si>
    <t>Sub-Total Event Expenses</t>
  </si>
  <si>
    <t>(Approved by - Lodge Staff Adviser)</t>
  </si>
  <si>
    <t>The figure in Column D is the Total of Reimbursements from the Reimbursement/Disbursement Statement</t>
  </si>
  <si>
    <t>Program Materials</t>
  </si>
  <si>
    <t>Close out approval</t>
  </si>
  <si>
    <t>(Reviewed by - Lodge Financial Adviser)</t>
  </si>
  <si>
    <t>Disposition of Funds</t>
  </si>
  <si>
    <t>Sub-Total Program Exp</t>
  </si>
  <si>
    <t>Total Revenue</t>
  </si>
  <si>
    <t>Sub-Total Event Exp</t>
  </si>
  <si>
    <t>Liability Recovery</t>
  </si>
  <si>
    <t>Sub-Total Prog Exp</t>
  </si>
  <si>
    <t>(1-2371-419-00)</t>
  </si>
  <si>
    <r>
      <t>Dues (</t>
    </r>
    <r>
      <rPr>
        <sz val="8"/>
        <rFont val="Arial"/>
        <family val="2"/>
      </rPr>
      <t>Ordeal Candidates Only</t>
    </r>
    <r>
      <rPr>
        <sz val="10"/>
        <rFont val="Arial"/>
        <family val="2"/>
      </rPr>
      <t>)</t>
    </r>
  </si>
  <si>
    <t>Disbursements</t>
  </si>
  <si>
    <t>Disbursements represent the combined Reimbursements and Refunds</t>
  </si>
  <si>
    <t>Contingency</t>
  </si>
  <si>
    <t>Total Expenses</t>
  </si>
  <si>
    <t>(1-9315-   -  )</t>
  </si>
  <si>
    <t>Revenues</t>
  </si>
  <si>
    <t>Revenue</t>
  </si>
  <si>
    <t>Dues (Ordeal  Only)</t>
  </si>
  <si>
    <t>(1-2371-425-00)</t>
  </si>
  <si>
    <t>Miscellaneous</t>
  </si>
  <si>
    <t xml:space="preserve">Subtotal        </t>
  </si>
  <si>
    <t>Less: Approved Refunds</t>
  </si>
  <si>
    <t>The figures in Column D are the totals by category from the Chapter Event Budget Closeout Worksheet and Reimbursement/Disbursement Statement (Refunds)</t>
  </si>
  <si>
    <t xml:space="preserve">Balance      </t>
  </si>
  <si>
    <t>Excess Revenue/Deficit</t>
  </si>
  <si>
    <t>OA Pewter Pin</t>
  </si>
  <si>
    <t>OA Hat Pin</t>
  </si>
  <si>
    <t>Vigil Pin</t>
  </si>
  <si>
    <t>Ordeal Sash, O/A Handbook, Amangamek-Wipit Flap Patch</t>
  </si>
  <si>
    <t>The cost for the Ordeal Induction materials is set by LEC policy</t>
  </si>
  <si>
    <t>These include ordeal Sash, O/A Handbook and Standard Lodge Flap</t>
  </si>
  <si>
    <t>The prices listed are the Retail cost for each item (NOTE: the charge for the chapters is preset for Ordeal Inductions and Brotherhood Conversions by the LEC)</t>
  </si>
  <si>
    <t>Ordeal Sashes, O/A Handbooks, Amangamek-Wipit Flap Patches</t>
  </si>
  <si>
    <t>Ordeal Sashes, OA Handbooks, &amp; Lodge Flaps</t>
  </si>
  <si>
    <t>Members (Day Only)</t>
  </si>
  <si>
    <t>Printing &amp; Printing Supplies</t>
  </si>
  <si>
    <t>Health &amp; Safety</t>
  </si>
  <si>
    <t>TOTAL ESTIMATED HEATLH &amp; SAFTEY COSTS</t>
  </si>
  <si>
    <t>Ordeal Candidates / Elangomats / Members</t>
  </si>
  <si>
    <t>TOTAL ACTUAL HEALTH &amp; SAFETEY COSTS</t>
  </si>
  <si>
    <t xml:space="preserve">No Shows Candidates </t>
  </si>
  <si>
    <r>
      <rPr>
        <b/>
        <sz val="8"/>
        <rFont val="Arial"/>
        <family val="2"/>
      </rPr>
      <t>No Shows</t>
    </r>
    <r>
      <rPr>
        <sz val="8"/>
        <rFont val="Arial"/>
        <family val="2"/>
      </rPr>
      <t xml:space="preserve"> Ordeal Candidates / Elangomats / Members </t>
    </r>
  </si>
  <si>
    <t>The name of the registrant is entered in cells "G6" to "G104"</t>
  </si>
  <si>
    <t>The quaintly of the consignment items actually sold as part of a Trading Post is automatically calculated in cells "I12" to "I42"</t>
  </si>
  <si>
    <t>Estimated Health &amp; Safety Cost</t>
  </si>
  <si>
    <t>The chapter name is mapped from the OA Budget Planning-Report worksheet cell "OA Budget Planning-Report Sheet'!B5"</t>
  </si>
  <si>
    <r>
      <t xml:space="preserve">The event name is mapped from the </t>
    </r>
    <r>
      <rPr>
        <i/>
        <sz val="10"/>
        <rFont val="Arial"/>
        <family val="2"/>
      </rPr>
      <t>OA Budget Planning-Report worksheet cell "OA Budget Planning-Report Sheet'!B3"</t>
    </r>
  </si>
  <si>
    <r>
      <t xml:space="preserve">The event date is mapped from the </t>
    </r>
    <r>
      <rPr>
        <i/>
        <sz val="10"/>
        <rFont val="Arial"/>
        <family val="2"/>
      </rPr>
      <t>OA Budget Planning-Report worksheet cell "OA Budget Planning-Report Sheet'!F35"</t>
    </r>
  </si>
  <si>
    <r>
      <t xml:space="preserve">The chapter account # is mapped from the </t>
    </r>
    <r>
      <rPr>
        <i/>
        <sz val="10"/>
        <rFont val="Arial"/>
        <family val="2"/>
      </rPr>
      <t>OA Budget Planning-Report worksheet cell "OA Budget Planning-Report Sheet'!B7"</t>
    </r>
  </si>
  <si>
    <t>The quantity is mapped from cell "H8"and the Cost is mapped from cell "Estimated Budget'!P87" and totaled automatically</t>
  </si>
  <si>
    <t>Surplus Revenue over Expenses (Positive) or the deficit of Expenses over Revenue (Negative)</t>
  </si>
  <si>
    <t>The description of any additional consignment items is entered in the cells "A31" to "A41"</t>
  </si>
  <si>
    <t>The price for the additional items is entered in the cells "D31" to" D41"</t>
  </si>
  <si>
    <t>The total sales for each item is automatically calculated in cells "J12" to "J41"</t>
  </si>
  <si>
    <t>At least one (1) receipt book should be requested to use for on-site registrations</t>
  </si>
  <si>
    <t>The quantities returned are entered into cells "H12 to H42"</t>
  </si>
  <si>
    <r>
      <t xml:space="preserve">The figures in Column B are from the prior </t>
    </r>
    <r>
      <rPr>
        <b/>
        <sz val="10"/>
        <rFont val="Arial"/>
        <family val="2"/>
      </rPr>
      <t>actual</t>
    </r>
    <r>
      <rPr>
        <sz val="10"/>
        <rFont val="Arial"/>
        <family val="2"/>
      </rPr>
      <t xml:space="preserve"> OA Event Budget Planning and Report Sheet</t>
    </r>
  </si>
  <si>
    <r>
      <t xml:space="preserve">The figure in column B is from the prior year </t>
    </r>
    <r>
      <rPr>
        <b/>
        <sz val="10"/>
        <rFont val="Arial"/>
        <family val="2"/>
      </rPr>
      <t>actual</t>
    </r>
    <r>
      <rPr>
        <sz val="10"/>
        <rFont val="Arial"/>
        <family val="2"/>
      </rPr>
      <t xml:space="preserve"> OA Event Budget Planning and Report sheet</t>
    </r>
  </si>
  <si>
    <t>Registrations</t>
  </si>
  <si>
    <t>Council</t>
  </si>
  <si>
    <t>On-Site</t>
  </si>
  <si>
    <t>Role</t>
  </si>
  <si>
    <t>Select Role</t>
  </si>
  <si>
    <t>Adviser</t>
  </si>
  <si>
    <t>Ceremony Team</t>
  </si>
  <si>
    <r>
      <t xml:space="preserve">The name of the </t>
    </r>
    <r>
      <rPr>
        <b/>
        <sz val="10"/>
        <rFont val="Arial"/>
        <family val="2"/>
      </rPr>
      <t>registrant</t>
    </r>
    <r>
      <rPr>
        <sz val="10"/>
        <rFont val="Arial"/>
        <family val="2"/>
      </rPr>
      <t xml:space="preserve"> is entered in the cells "A7" to "A104"</t>
    </r>
  </si>
  <si>
    <t>Cook Crew</t>
  </si>
  <si>
    <t>The role of the registrant is selected from the drop down menu in cells "E7" to "E104"</t>
  </si>
  <si>
    <t>Day Participant</t>
  </si>
  <si>
    <t>The "Receipt" column is where the receipt number from the council receipt is entered or the receipt number from the Filed Receipt Book  is entered</t>
  </si>
  <si>
    <t>The next columns are for recording the fee paid (i.e. pre-paid at Council or paid On-Site</t>
  </si>
  <si>
    <t>Ordeal Master</t>
  </si>
  <si>
    <t>Participant</t>
  </si>
  <si>
    <t>Non-Member</t>
  </si>
  <si>
    <t>pre-paid in cells "I7" to "I104"</t>
  </si>
  <si>
    <t>checks in cells "K7" to "K104"</t>
  </si>
  <si>
    <t>cash in cells "M7" too "M104"</t>
  </si>
  <si>
    <t>Additional rows are available in intervals of 10 rows by selecting the "+" symbol on the left side of the page</t>
  </si>
  <si>
    <t>The total receipts from the Council Office is automatically calculated in cell "E135"</t>
  </si>
  <si>
    <t>Totals</t>
  </si>
  <si>
    <t>The checks received On Site are totaled in cell "K135"</t>
  </si>
  <si>
    <t>The total cash received On Site is totaled in cell "M135"</t>
  </si>
  <si>
    <t>The receipts from Council Office is mapped from cell "E137"</t>
  </si>
  <si>
    <t>The total checks received On Site is mapped from cell "K138"</t>
  </si>
  <si>
    <t>The total cash received On Site is mapped from cell "M139"</t>
  </si>
  <si>
    <t>The total receipts are automatically calculated in cell "M140"</t>
  </si>
  <si>
    <t>The name of the person is entered into cell "A5, A7, A9" etc</t>
  </si>
  <si>
    <t>The mailing address is entered in cells "E5-E6", "E7-E9", "E10-E11" etc</t>
  </si>
  <si>
    <t>The amount of the Disbursement (Reimbursement) is entered into cell "M5", "M7". "M9", etc</t>
  </si>
  <si>
    <t>The name of the person is entered into cell "A55, A57, A59" etc</t>
  </si>
  <si>
    <t>The amount of the Disbursement (Reimbursement) is entered into cell "M55", "M57". "M59", etc</t>
  </si>
  <si>
    <t>The mailing address is entered in cells "E55-E56", "E57-E59", "E60-E61" etc</t>
  </si>
  <si>
    <t>Total Reimbursements</t>
  </si>
  <si>
    <t>REIMBURSEMENTS</t>
  </si>
  <si>
    <t>REFUNDS</t>
  </si>
  <si>
    <t>Total Refunds</t>
  </si>
  <si>
    <t>"Retail"</t>
  </si>
  <si>
    <t>There are six columns for recording event receipts</t>
  </si>
  <si>
    <t>The first column is for Name of the Registrants, each registrant is listed separately and NOT combined under the name of the Payee if the payment is by check</t>
  </si>
  <si>
    <t>Cost</t>
  </si>
  <si>
    <t>Fee</t>
  </si>
  <si>
    <t>The Estimated Food Cost is mapped from cell "N14"</t>
  </si>
  <si>
    <t>The number of O/A Dues is mapped from cells "F102" and "H70</t>
  </si>
  <si>
    <t>The Estimated Postage Cost is mapped from cell "N21"</t>
  </si>
  <si>
    <t>If existing chapter funds are to be treated as "revenue" the amount is entered in cell "K112"</t>
  </si>
  <si>
    <t>The Total Disbursements (Refunds) are automatically calculated and mapped to Final Closeout K82</t>
  </si>
  <si>
    <t>Facility Usage Fee</t>
  </si>
  <si>
    <t>NOTE: if the facility Usage Fee and/or the Port-a-John(s) cost are not a "reimbursement"</t>
  </si>
  <si>
    <t>then the dollar amount is listed under "Checks issued by Council Finance Office</t>
  </si>
  <si>
    <t>Member</t>
  </si>
  <si>
    <t>Late Fees</t>
  </si>
  <si>
    <t>Total Registrations</t>
  </si>
  <si>
    <t>Ordeal Candidates w/ Late Fee</t>
  </si>
  <si>
    <t>Elangomats w/ Late Fees</t>
  </si>
  <si>
    <t>Day Participants w/ Late Fees</t>
  </si>
  <si>
    <t>Members w/ Late Fees</t>
  </si>
  <si>
    <t>Late Fee</t>
  </si>
  <si>
    <t>Non-members</t>
  </si>
  <si>
    <t>The event start date is entered into cell "E4" and the event end date is entered into cell "F4"</t>
  </si>
  <si>
    <t>Custodial Account</t>
  </si>
  <si>
    <t xml:space="preserve">Event Dates (start-end): </t>
  </si>
  <si>
    <r>
      <t>EVENT DATES</t>
    </r>
    <r>
      <rPr>
        <b/>
        <sz val="7"/>
        <rFont val="Arial"/>
        <family val="2"/>
      </rPr>
      <t xml:space="preserve"> (start-end)</t>
    </r>
    <r>
      <rPr>
        <b/>
        <sz val="10"/>
        <rFont val="Arial"/>
        <family val="2"/>
      </rPr>
      <t>:</t>
    </r>
  </si>
  <si>
    <t>Start</t>
  </si>
  <si>
    <t>End</t>
  </si>
  <si>
    <t>Staff Adviser</t>
  </si>
  <si>
    <t>Non-member</t>
  </si>
  <si>
    <t>Feast Only w/ Late Fees</t>
  </si>
  <si>
    <t>There is only One Adviser for the Event</t>
  </si>
  <si>
    <t>Member attending the event</t>
  </si>
  <si>
    <t>Member who attends the event for the Day Only</t>
  </si>
  <si>
    <t>This is a Youth Only Role; there may be one or more</t>
  </si>
  <si>
    <t>Participants who are NOT members or in the Lodge membership database</t>
  </si>
  <si>
    <t>Roles</t>
  </si>
  <si>
    <t>Description</t>
  </si>
  <si>
    <t>The event name is entered into cell "B3" by selecting the event type from the drop-down menu</t>
  </si>
  <si>
    <t>The chapter name is entered in the cell "B5 " by selecting the chapter name from the drop-down menu</t>
  </si>
  <si>
    <r>
      <t xml:space="preserve">The chapter cost center number is entered in cell B7" by selecting the Account # from the </t>
    </r>
    <r>
      <rPr>
        <i/>
        <sz val="10"/>
        <rFont val="Arial"/>
        <family val="2"/>
      </rPr>
      <t>drop-down menu</t>
    </r>
  </si>
  <si>
    <t>Members Youth &amp; Adult who participate or advise</t>
  </si>
  <si>
    <t>Members Youth &amp; Adult who participate in this Role</t>
  </si>
  <si>
    <t>Members who attends the event for the Fellowship Feast Only</t>
  </si>
  <si>
    <t>This is the District Executive(s) or Chapter Staff Adviser(s)</t>
  </si>
  <si>
    <t>in column "H" in the gray shaded cells "H7" to "H13"</t>
  </si>
  <si>
    <t>in column "K" in the gray shaded cells "K7" to "K13"</t>
  </si>
  <si>
    <t>The current first class postage rate is entered into cell "K18" and is mapped to cell "K19"</t>
  </si>
  <si>
    <t>The number of elected ordeal candidates elected during the current elections season is entered into cell "H18"</t>
  </si>
  <si>
    <t>The number of members in the chapter is entered into cell "H19"</t>
  </si>
  <si>
    <t>Additional printing cost description is entered in cell "C20and the cost in cell 'N20"</t>
  </si>
  <si>
    <t>The per person printing cost is entered into cell "K23 and is mapped to cell "K24"</t>
  </si>
  <si>
    <t>The quantities are mapped from cells "H18 and "H19"</t>
  </si>
  <si>
    <t>Additional printing cost description is entered in cell "C25" to "C27" and the cost in cell "N25" to "N27"</t>
  </si>
  <si>
    <t>Awards cost descriptions are entered in cells "C30" to "C33"</t>
  </si>
  <si>
    <t>and the costs are entered in cells "N30 to "N33"</t>
  </si>
  <si>
    <t>Health &amp; Saftey cost descriptions are entered in cells "C42" to "C45"</t>
  </si>
  <si>
    <t>Ceremonies cost descriptions are entered in cells "C36" to "C39"</t>
  </si>
  <si>
    <t>and the costs are entered in cells "N42" to "N45"</t>
  </si>
  <si>
    <t>and the costs are entered in cells "N36" to "N39"</t>
  </si>
  <si>
    <t>Facilities usage per person is entered in cell "K48" and the quantity is mapped as the sum of cells "H7 to H13"</t>
  </si>
  <si>
    <t>The number of Port-a-John(s) is entered in cell "H49" and the cost for each in cell "K49"</t>
  </si>
  <si>
    <t>Additional Facility/Site Infrastructure cost description is entered in cell "C50" and the cost in cell "N50"</t>
  </si>
  <si>
    <t>The Estimated Contingency Fee is automatically calculated as 10% of the Estimated Food Cost in cell "N54"</t>
  </si>
  <si>
    <t>The Total of the Estimated Operating Costs is automatically total in cell "N55</t>
  </si>
  <si>
    <t>The per person Operating Cost is automatically calculated by dividing cell "N55" by the total of cells "H7 to H13"</t>
  </si>
  <si>
    <t>The current amount of the O/A dues is entered in cell "H64"</t>
  </si>
  <si>
    <t>The Liability Insurance Recovery for the event is entered in cell "H65"</t>
  </si>
  <si>
    <t>The food cost is mapped from cell "K7"</t>
  </si>
  <si>
    <t>The per person operating cost is mapped from cell "N56"</t>
  </si>
  <si>
    <t>Additional Ordeal fee cost description is entered in cell "B68" and the cost in cell 'H68"</t>
  </si>
  <si>
    <t>Use Cell "N69 to establish actual fee to be charged</t>
  </si>
  <si>
    <r>
      <t xml:space="preserve">The cost for the Elangomat Patch is mapped from the </t>
    </r>
    <r>
      <rPr>
        <i/>
        <sz val="10"/>
        <rFont val="Arial"/>
        <family val="2"/>
      </rPr>
      <t>Consignment</t>
    </r>
    <r>
      <rPr>
        <sz val="10"/>
        <rFont val="Arial"/>
        <family val="2"/>
      </rPr>
      <t xml:space="preserve"> worksheet "Consignment!D18"</t>
    </r>
  </si>
  <si>
    <t>The Liability Insurance Recovery is mapped from cell "H65"</t>
  </si>
  <si>
    <t>The food cost is mapped from cell "K8"</t>
  </si>
  <si>
    <t>Additional Elangomat fee cost description is entered in cell "B75" and the cost in cell 'H75"</t>
  </si>
  <si>
    <t>Use Cell "N77" to establish actual fee to be charged</t>
  </si>
  <si>
    <t>The Liability Insurance Recovery is mapped from cell "H65" (Day Participant only is automatically reduced to one day in cell "P78")</t>
  </si>
  <si>
    <t>The food cost is mapped from cell "K9" ("K10" for Day Participant Only)</t>
  </si>
  <si>
    <t>Additional Member fee cost description is entered in cell "B81" and the cost in cell 'H81"</t>
  </si>
  <si>
    <t>Use Cell "N82"and "P82" to establish actual fee to be charged for Member and Day Participant</t>
  </si>
  <si>
    <t>The Liability Insurance Recovery is mapped from cell "H65" and is automatically reduced to one day</t>
  </si>
  <si>
    <t>The food cost is mapped from cell "K11"</t>
  </si>
  <si>
    <t>Additional Member (Feast Only) fee cost description is entered in cell "B86" and the cost in cell 'H86"</t>
  </si>
  <si>
    <t>Use Cell "N87" to establish actual fee to be charged</t>
  </si>
  <si>
    <t>cells "H7 and "N69"</t>
  </si>
  <si>
    <t>cells "H8" and "N76"</t>
  </si>
  <si>
    <t>cells "H9" and "N82"</t>
  </si>
  <si>
    <t>cells "H10" and "P82"</t>
  </si>
  <si>
    <t>cell's "H11" and "N87"</t>
  </si>
  <si>
    <t>cell's "H12" and the appropriate fee is entered in cell "H98"</t>
  </si>
  <si>
    <t>cells "H13" and  the appropriate fee is entered in cell "H99"</t>
  </si>
  <si>
    <t>Additional revenue description is entered in cell "B104 to B105" and the dollar amount in cell 'K104 to K105"</t>
  </si>
  <si>
    <t>The Estimated Printing Cost is mapped from cell "N28"</t>
  </si>
  <si>
    <t>The Estimated Awards Cost is mapped from cell "N34"</t>
  </si>
  <si>
    <t>The Estimated Ceremonies Cost is mapped from cell "N40"</t>
  </si>
  <si>
    <t>The Estimated Health &amp; Safety Cost is mapped from cell "N46"</t>
  </si>
  <si>
    <t>The Estimated Facilities/Site Infrastructure Cost is mapped from cell "N51"</t>
  </si>
  <si>
    <t>The number of Ordeal Sashes, Handbooks, and Lodge Flaps is mapped from cells "F193"</t>
  </si>
  <si>
    <t>The cost in cell "K127" is set by the LEC</t>
  </si>
  <si>
    <t>The number of Brotherhood Sashes is entered into cell "H132", the cost in cell K132" is set by the LEC</t>
  </si>
  <si>
    <t>The number and cost of Elangomat Patches is mapped from cells "F94" and "Consignment!D18"</t>
  </si>
  <si>
    <t>cell "H12"  and the cost is set based upon a 1-day or 2-day attendance</t>
  </si>
  <si>
    <t>cell "H13"  and the cost is set based upon a 1-day or 2-day attendance</t>
  </si>
  <si>
    <t>cell "H7" and "H65"</t>
  </si>
  <si>
    <t>cell "H8" and "H72"</t>
  </si>
  <si>
    <t>cell "H9" and "H78"</t>
  </si>
  <si>
    <t>cell "H10" and "P78"</t>
  </si>
  <si>
    <t>cell "H11" and "H84"</t>
  </si>
  <si>
    <t>The Contingency fee is mapped from cell "N54"</t>
  </si>
  <si>
    <t>The Estimated Expense is the sum of cells "P113 to P146"</t>
  </si>
  <si>
    <t>The Total Estimated Revenue is mapped  from "K108"</t>
  </si>
  <si>
    <t>Brotherhood Sash (Long) cell "G17"</t>
  </si>
  <si>
    <t>cells "H5" through "H11"</t>
  </si>
  <si>
    <t>The description of the Miscellaneous Income in cells "B12" to "B13"</t>
  </si>
  <si>
    <t>As a quantity of "1" in cells "H12" to "H13"</t>
  </si>
  <si>
    <t>The amount received in cells  "K12" to "K13"</t>
  </si>
  <si>
    <t>The categories of revenue are automatically totaled and the Total Revenue is calculated in cell "N15"</t>
  </si>
  <si>
    <t>Each receipt for Food is listed in cells "C18" to "C28"</t>
  </si>
  <si>
    <t>and the corresponding receipt total is listed in cells "K18" to "K28"</t>
  </si>
  <si>
    <t>The Total Actual Foods Cost is totaled in cell "N29"</t>
  </si>
  <si>
    <t>The Total Actual Postage Cost is totaled in cell "N35"</t>
  </si>
  <si>
    <t>The Total Actual Printing Cost is totaled in cell "N41"</t>
  </si>
  <si>
    <t>The Total Actual Awards Cost is totaled in cell "N49"</t>
  </si>
  <si>
    <t>The Total Actual Ceremonies Cost is totaled in cell "N57"</t>
  </si>
  <si>
    <t>The Total Actual Facility/Site Infrastructure Cost is totaled in cell "N63"</t>
  </si>
  <si>
    <t>The Total Actual Facility/Site Infrastructure Cost is totaled in cell "N70"</t>
  </si>
  <si>
    <t>The Actual Total of Disbursements (Reimbursements) equal balance in cell "Reimbursements-Refunds'!M101"</t>
  </si>
  <si>
    <t>Each receipt for Postage is listed in cells "C31" to "C34"</t>
  </si>
  <si>
    <t>and the corresponding receipt total is listed in cells "K31" to "K34"</t>
  </si>
  <si>
    <t>Each receipt for Printing is listed in cells "C37" to "C40"</t>
  </si>
  <si>
    <t>and the corresponding receipt total is listed in cells "K37" to "K40"</t>
  </si>
  <si>
    <t>Each receipt for Awards is listed in cells "C43" to "C48"</t>
  </si>
  <si>
    <t>and the corresponding receipt total is listed in cells "K43" to "K48"</t>
  </si>
  <si>
    <t>Each receipt for Ceremonies is listed in cells "C51" to "C56"</t>
  </si>
  <si>
    <t>and the corresponding receipt total is listed in cells "K51" to "K56"</t>
  </si>
  <si>
    <t>Each receipt for Health &amp; Safety is listed in cells "C59" to "C62"</t>
  </si>
  <si>
    <t>and the corresponding receipt total is listed in cells "K59" to "K62"</t>
  </si>
  <si>
    <t>679"</t>
  </si>
  <si>
    <t>and the corresponding receipt total is listed in cells "K65" to "K69"</t>
  </si>
  <si>
    <t>Ordeal Sash (Regular) quantity calculated as indicated in the comment attached to cell"F81" and Cost is mapped from "Consignment!D12"</t>
  </si>
  <si>
    <t>Ordeal Sash (Long) quantity calculated as indicated in the comment attached to cell "F82" and Cost is mapped from "Consignment!D13" and totaled automatically</t>
  </si>
  <si>
    <t>O/A Handbook quantity calculated as indicated in the comment attached to cell"F83" and Cost is mapped from "Consignment!D14" and totaled automatically</t>
  </si>
  <si>
    <t>Amangamek-Wipit Flap quantity calculated as indicated in the comment attached to cell"F84" and Cost is mapped from "Consignment!D15" and totaled automatically</t>
  </si>
  <si>
    <t>The Total Ordeal Candidates Cost is totaled in cell "N85"</t>
  </si>
  <si>
    <t>Brotherhood Sash (Regular) quantity calculated as indicated in the comment attached to cell "F87" and Cost is mapped from "Consignment!D16" and totaled automatically</t>
  </si>
  <si>
    <t>Brotherhood Sash (Long) quantity calculated as indicated in the comment attached to cell "F88" and Cost is mapped from "Consignment!D17" and totaled automatically</t>
  </si>
  <si>
    <t>The Total Brotherhood Candidates Cost is totaled in cell "N89"</t>
  </si>
  <si>
    <t>Elangomat Patch quantity is calculated as indicated in the comment attached to cell"F91" and Cost is mapped from "Consignment!D18" and totaled automatically</t>
  </si>
  <si>
    <t>The quantity is mapped from the sum of cells "H5", "H6", and "H7" and the Cost is mapped from cell "Estimated Budget'!H65" and totaled automatically</t>
  </si>
  <si>
    <t>The number of "no shows" are entered in cell "F94" (i.e. pre-registrations that do not attend the event)</t>
  </si>
  <si>
    <t>The quantity is mapped from cell "H5"and the Cost is mapped from cell "Estimated Budget'!H64" and totaled automatically</t>
  </si>
  <si>
    <t>The quantity is mapped from cell "H9"and the Cost is mapped from cell "Estimated Budget'!H8" and totaled automatically</t>
  </si>
  <si>
    <t>The number of ordeal candidate "no shows" are entered in cell "F100" (i.e. pre-registrations that do not attend the event)</t>
  </si>
  <si>
    <t>The Total Actual Revenue is mapped from cell "N15"</t>
  </si>
  <si>
    <t>The Total Actual Expenses is mapped as the "SUM(N72:N100)"</t>
  </si>
  <si>
    <t>Chapter Name (Number)</t>
  </si>
  <si>
    <t>Chapter Events (typical)</t>
  </si>
  <si>
    <t>O/A Appalachian Tail (40)</t>
  </si>
  <si>
    <t>1-2371-238-00 (AT)</t>
  </si>
  <si>
    <t>O/A Aquia (17)</t>
  </si>
  <si>
    <t>1-2371-127-00 (Aquia)</t>
  </si>
  <si>
    <t>O/A Bull Run (29)</t>
  </si>
  <si>
    <t>1-2371-726-00 (BR)</t>
  </si>
  <si>
    <t>Banquet</t>
  </si>
  <si>
    <t>O/A Catoctin Mountain (41)</t>
  </si>
  <si>
    <t>1-2371-259-00 (CM)</t>
  </si>
  <si>
    <t>Brotherhood</t>
  </si>
  <si>
    <t>O/A Chain Bridge (21)</t>
  </si>
  <si>
    <t>1-2371-175-00 (CB)</t>
  </si>
  <si>
    <t>Fellowship</t>
  </si>
  <si>
    <t>O/A Colonial (22)</t>
  </si>
  <si>
    <t>1-2371-324-00 (Col)</t>
  </si>
  <si>
    <t>O/A George Mason (23)</t>
  </si>
  <si>
    <t>1-2371-337-00 (GM)</t>
  </si>
  <si>
    <t>O/A Goose Creek (28)</t>
  </si>
  <si>
    <t>1-2371-649-00 (GC)</t>
  </si>
  <si>
    <t>O/A Mattaponi (32)</t>
  </si>
  <si>
    <t>1-2371-840-00 (Matt)</t>
  </si>
  <si>
    <t>O/A Occoquan (30)</t>
  </si>
  <si>
    <t>1-2371-805-00 (Occ)</t>
  </si>
  <si>
    <t>O/A Old Dominion (24)</t>
  </si>
  <si>
    <t>1-2371-365-00 (OD)</t>
  </si>
  <si>
    <t>O/A Patriot (25)</t>
  </si>
  <si>
    <t>1-2371-965-00 (Patr)</t>
  </si>
  <si>
    <t>O/A Piedmont (33)</t>
  </si>
  <si>
    <t>1-2371-885-00 (Pied)</t>
  </si>
  <si>
    <t>O/A Potomac (36)</t>
  </si>
  <si>
    <t>1-2371-687-00 (Pot)</t>
  </si>
  <si>
    <t>O/A Powhatan (26)</t>
  </si>
  <si>
    <t>1-2371-480-00 (Pow)</t>
  </si>
  <si>
    <t>O/A Prince George's (31)</t>
  </si>
  <si>
    <t>1-2371-290-00 (PG)</t>
  </si>
  <si>
    <t>O/A Seneca (38)</t>
  </si>
  <si>
    <t>1-2371-938-00 (Sen)</t>
  </si>
  <si>
    <t>O/A Sully (27)</t>
  </si>
  <si>
    <t>1-2371-534-00 (Sully)</t>
  </si>
  <si>
    <t>O/A Washington DC (11)</t>
  </si>
  <si>
    <t>1-2371-199-00 (W DC)</t>
  </si>
  <si>
    <t>O/A Western Shore (43)</t>
  </si>
  <si>
    <t>1-2371-792-00 (WS)</t>
  </si>
  <si>
    <t>O/A White Oak (37)</t>
  </si>
  <si>
    <t>1-2371-277-00 (WO)</t>
  </si>
  <si>
    <t>O/A Zekiah (42)</t>
  </si>
  <si>
    <t>1-2371-448-00 (Zek)</t>
  </si>
</sst>
</file>

<file path=xl/styles.xml><?xml version="1.0" encoding="utf-8"?>
<styleSheet xmlns="http://schemas.openxmlformats.org/spreadsheetml/2006/main">
  <numFmts count="8">
    <numFmt numFmtId="41" formatCode="_(* #,##0_);_(* \(#,##0\);_(* &quot;-&quot;_);_(@_)"/>
    <numFmt numFmtId="44" formatCode="_(&quot;$&quot;* #,##0.00_);_(&quot;$&quot;* \(#,##0.00\);_(&quot;$&quot;* &quot;-&quot;??_);_(@_)"/>
    <numFmt numFmtId="43" formatCode="_(* #,##0.00_);_(* \(#,##0.00\);_(* &quot;-&quot;??_);_(@_)"/>
    <numFmt numFmtId="164" formatCode="0.0%"/>
    <numFmt numFmtId="165" formatCode="[$-409]dd\-mmm\-yy;@"/>
    <numFmt numFmtId="166" formatCode="mmmm\ d\,\ yyyy"/>
    <numFmt numFmtId="167" formatCode="mm/dd/yy;@"/>
    <numFmt numFmtId="168" formatCode="[$-409]d\-mmm\-yy;@"/>
  </numFmts>
  <fonts count="27">
    <font>
      <sz val="10"/>
      <name val="Arial"/>
    </font>
    <font>
      <sz val="10"/>
      <name val="Arial"/>
      <family val="2"/>
    </font>
    <font>
      <sz val="8"/>
      <name val="Arial"/>
      <family val="2"/>
    </font>
    <font>
      <b/>
      <sz val="10"/>
      <name val="Arial"/>
      <family val="2"/>
    </font>
    <font>
      <sz val="10"/>
      <name val="Arial"/>
      <family val="2"/>
    </font>
    <font>
      <b/>
      <i/>
      <sz val="10"/>
      <name val="Arial"/>
      <family val="2"/>
    </font>
    <font>
      <b/>
      <sz val="10"/>
      <color indexed="9"/>
      <name val="Arial"/>
      <family val="2"/>
    </font>
    <font>
      <b/>
      <sz val="8"/>
      <name val="Arial"/>
      <family val="2"/>
    </font>
    <font>
      <i/>
      <sz val="10"/>
      <name val="Arial"/>
      <family val="2"/>
    </font>
    <font>
      <b/>
      <sz val="10"/>
      <color indexed="23"/>
      <name val="Arial"/>
      <family val="2"/>
    </font>
    <font>
      <b/>
      <u/>
      <sz val="8"/>
      <name val="Arial"/>
      <family val="2"/>
    </font>
    <font>
      <sz val="8"/>
      <color indexed="81"/>
      <name val="Tahoma"/>
      <family val="2"/>
    </font>
    <font>
      <b/>
      <sz val="8"/>
      <color indexed="81"/>
      <name val="Tahoma"/>
      <family val="2"/>
    </font>
    <font>
      <sz val="8"/>
      <color indexed="81"/>
      <name val="Arial"/>
      <family val="2"/>
    </font>
    <font>
      <b/>
      <i/>
      <sz val="8"/>
      <name val="Arial"/>
      <family val="2"/>
    </font>
    <font>
      <sz val="14"/>
      <name val="Arial"/>
      <family val="2"/>
    </font>
    <font>
      <u/>
      <sz val="10"/>
      <name val="Arial"/>
      <family val="2"/>
    </font>
    <font>
      <sz val="9"/>
      <color indexed="12"/>
      <name val="Lucida Calligraphy"/>
      <family val="4"/>
    </font>
    <font>
      <sz val="9"/>
      <name val="Arial"/>
      <family val="2"/>
    </font>
    <font>
      <b/>
      <sz val="10"/>
      <color indexed="10"/>
      <name val="Arial"/>
      <family val="2"/>
    </font>
    <font>
      <sz val="9"/>
      <name val="Arial"/>
      <family val="2"/>
    </font>
    <font>
      <b/>
      <sz val="9"/>
      <name val="Arial"/>
      <family val="2"/>
    </font>
    <font>
      <sz val="9"/>
      <color theme="1"/>
      <name val="Arial"/>
      <family val="2"/>
    </font>
    <font>
      <sz val="10"/>
      <name val="Calibri"/>
      <family val="2"/>
      <scheme val="minor"/>
    </font>
    <font>
      <sz val="8"/>
      <color theme="1"/>
      <name val="Arial"/>
      <family val="2"/>
    </font>
    <font>
      <b/>
      <sz val="7"/>
      <name val="Arial"/>
      <family val="2"/>
    </font>
    <font>
      <b/>
      <sz val="9"/>
      <color theme="1"/>
      <name val="Arial"/>
      <family val="2"/>
    </font>
  </fonts>
  <fills count="13">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indexed="45"/>
        <bgColor indexed="64"/>
      </patternFill>
    </fill>
    <fill>
      <patternFill patternType="solid">
        <fgColor indexed="47"/>
        <bgColor indexed="64"/>
      </patternFill>
    </fill>
    <fill>
      <patternFill patternType="solid">
        <fgColor indexed="13"/>
        <bgColor indexed="64"/>
      </patternFill>
    </fill>
    <fill>
      <patternFill patternType="solid">
        <fgColor indexed="41"/>
        <bgColor indexed="64"/>
      </patternFill>
    </fill>
    <fill>
      <patternFill patternType="solid">
        <fgColor indexed="61"/>
        <bgColor indexed="64"/>
      </patternFill>
    </fill>
    <fill>
      <patternFill patternType="solid">
        <fgColor theme="0" tint="-0.14999847407452621"/>
        <bgColor indexed="64"/>
      </patternFill>
    </fill>
    <fill>
      <patternFill patternType="solid">
        <fgColor rgb="FFFFFF00"/>
        <bgColor indexed="64"/>
      </patternFill>
    </fill>
    <fill>
      <patternFill patternType="solid">
        <fgColor indexed="65"/>
        <bgColor indexed="64"/>
      </patternFill>
    </fill>
    <fill>
      <patternFill patternType="solid">
        <fgColor theme="0" tint="-4.9989318521683403E-2"/>
        <bgColor indexed="64"/>
      </patternFill>
    </fill>
  </fills>
  <borders count="8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top/>
      <bottom style="medium">
        <color indexed="10"/>
      </bottom>
      <diagonal/>
    </border>
    <border>
      <left style="medium">
        <color indexed="64"/>
      </left>
      <right style="medium">
        <color indexed="64"/>
      </right>
      <top style="medium">
        <color indexed="64"/>
      </top>
      <bottom style="medium">
        <color indexed="64"/>
      </bottom>
      <diagonal/>
    </border>
    <border>
      <left style="double">
        <color indexed="64"/>
      </left>
      <right style="double">
        <color indexed="64"/>
      </right>
      <top style="double">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right/>
      <top style="mediumDashDot">
        <color indexed="64"/>
      </top>
      <bottom/>
      <diagonal/>
    </border>
    <border>
      <left/>
      <right style="mediumDashDot">
        <color indexed="64"/>
      </right>
      <top style="mediumDashDot">
        <color indexed="64"/>
      </top>
      <bottom/>
      <diagonal/>
    </border>
    <border>
      <left/>
      <right style="mediumDashDot">
        <color indexed="64"/>
      </right>
      <top/>
      <bottom/>
      <diagonal/>
    </border>
    <border>
      <left/>
      <right/>
      <top/>
      <bottom style="mediumDashDot">
        <color indexed="64"/>
      </bottom>
      <diagonal/>
    </border>
    <border>
      <left/>
      <right style="mediumDashDot">
        <color indexed="64"/>
      </right>
      <top/>
      <bottom style="mediumDashDot">
        <color indexed="64"/>
      </bottom>
      <diagonal/>
    </border>
    <border>
      <left/>
      <right/>
      <top style="mediumDashDot">
        <color indexed="64"/>
      </top>
      <bottom style="mediumDashDot">
        <color indexed="64"/>
      </bottom>
      <diagonal/>
    </border>
    <border>
      <left/>
      <right style="mediumDashDot">
        <color indexed="64"/>
      </right>
      <top style="mediumDashDot">
        <color indexed="64"/>
      </top>
      <bottom style="mediumDashDot">
        <color indexed="64"/>
      </bottom>
      <diagonal/>
    </border>
    <border>
      <left/>
      <right/>
      <top style="medium">
        <color indexed="10"/>
      </top>
      <bottom/>
      <diagonal/>
    </border>
    <border>
      <left style="thin">
        <color indexed="64"/>
      </left>
      <right style="thin">
        <color indexed="64"/>
      </right>
      <top style="thin">
        <color indexed="64"/>
      </top>
      <bottom style="double">
        <color indexed="64"/>
      </bottom>
      <diagonal/>
    </border>
    <border>
      <left style="medium">
        <color indexed="10"/>
      </left>
      <right/>
      <top style="medium">
        <color indexed="10"/>
      </top>
      <bottom/>
      <diagonal/>
    </border>
    <border>
      <left/>
      <right style="medium">
        <color indexed="10"/>
      </right>
      <top style="medium">
        <color indexed="10"/>
      </top>
      <bottom/>
      <diagonal/>
    </border>
    <border>
      <left/>
      <right style="medium">
        <color indexed="10"/>
      </right>
      <top/>
      <bottom/>
      <diagonal/>
    </border>
    <border>
      <left style="medium">
        <color indexed="10"/>
      </left>
      <right/>
      <top/>
      <bottom/>
      <diagonal/>
    </border>
    <border>
      <left style="medium">
        <color indexed="10"/>
      </left>
      <right/>
      <top/>
      <bottom style="medium">
        <color indexed="10"/>
      </bottom>
      <diagonal/>
    </border>
    <border>
      <left/>
      <right style="medium">
        <color indexed="10"/>
      </right>
      <top/>
      <bottom style="medium">
        <color indexed="10"/>
      </bottom>
      <diagonal/>
    </border>
    <border>
      <left style="thin">
        <color indexed="64"/>
      </left>
      <right style="medium">
        <color indexed="10"/>
      </right>
      <top style="thin">
        <color indexed="64"/>
      </top>
      <bottom style="thin">
        <color indexed="64"/>
      </bottom>
      <diagonal/>
    </border>
    <border>
      <left style="medium">
        <color indexed="64"/>
      </left>
      <right style="medium">
        <color indexed="10"/>
      </right>
      <top style="medium">
        <color indexed="64"/>
      </top>
      <bottom style="medium">
        <color indexed="64"/>
      </bottom>
      <diagonal/>
    </border>
    <border>
      <left style="double">
        <color indexed="64"/>
      </left>
      <right style="medium">
        <color indexed="10"/>
      </right>
      <top style="double">
        <color indexed="64"/>
      </top>
      <bottom style="double">
        <color indexed="64"/>
      </bottom>
      <diagonal/>
    </border>
    <border>
      <left style="dashDot">
        <color indexed="64"/>
      </left>
      <right style="medium">
        <color indexed="10"/>
      </right>
      <top style="dashDot">
        <color indexed="64"/>
      </top>
      <bottom style="dashDot">
        <color indexed="64"/>
      </bottom>
      <diagonal/>
    </border>
    <border>
      <left/>
      <right style="medium">
        <color indexed="10"/>
      </right>
      <top/>
      <bottom style="thin">
        <color indexed="64"/>
      </bottom>
      <diagonal/>
    </border>
    <border>
      <left style="thin">
        <color indexed="64"/>
      </left>
      <right style="medium">
        <color indexed="10"/>
      </right>
      <top style="thin">
        <color indexed="64"/>
      </top>
      <bottom style="double">
        <color indexed="64"/>
      </bottom>
      <diagonal/>
    </border>
    <border>
      <left style="medium">
        <color indexed="10"/>
      </left>
      <right/>
      <top style="thin">
        <color indexed="64"/>
      </top>
      <bottom/>
      <diagonal/>
    </border>
    <border>
      <left/>
      <right style="medium">
        <color indexed="10"/>
      </right>
      <top style="thin">
        <color indexed="64"/>
      </top>
      <bottom/>
      <diagonal/>
    </border>
    <border>
      <left style="thin">
        <color indexed="64"/>
      </left>
      <right style="thin">
        <color indexed="64"/>
      </right>
      <top style="medium">
        <color indexed="10"/>
      </top>
      <bottom style="thin">
        <color indexed="64"/>
      </bottom>
      <diagonal/>
    </border>
    <border>
      <left style="thin">
        <color indexed="64"/>
      </left>
      <right style="medium">
        <color indexed="10"/>
      </right>
      <top style="medium">
        <color indexed="10"/>
      </top>
      <bottom style="thin">
        <color indexed="64"/>
      </bottom>
      <diagonal/>
    </border>
    <border>
      <left style="dotted">
        <color indexed="64"/>
      </left>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style="medium">
        <color indexed="64"/>
      </right>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style="medium">
        <color indexed="64"/>
      </left>
      <right/>
      <top/>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DashDot">
        <color indexed="64"/>
      </left>
      <right/>
      <top/>
      <bottom style="mediumDashDot">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DashDot">
        <color indexed="64"/>
      </left>
      <right/>
      <top/>
      <bottom/>
      <diagonal/>
    </border>
    <border>
      <left style="mediumDashDot">
        <color indexed="64"/>
      </left>
      <right/>
      <top style="mediumDashDot">
        <color indexed="64"/>
      </top>
      <bottom/>
      <diagonal/>
    </border>
    <border>
      <left style="mediumDashDot">
        <color indexed="64"/>
      </left>
      <right/>
      <top style="mediumDashDot">
        <color indexed="64"/>
      </top>
      <bottom style="mediumDashDot">
        <color indexed="64"/>
      </bottom>
      <diagonal/>
    </border>
    <border>
      <left style="medium">
        <color indexed="10"/>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10"/>
      </left>
      <right/>
      <top/>
      <bottom style="thin">
        <color indexed="64"/>
      </bottom>
      <diagonal/>
    </border>
    <border>
      <left/>
      <right style="thin">
        <color indexed="64"/>
      </right>
      <top/>
      <bottom/>
      <diagonal/>
    </border>
    <border>
      <left/>
      <right style="dotted">
        <color indexed="64"/>
      </right>
      <top/>
      <bottom style="thin">
        <color indexed="64"/>
      </bottom>
      <diagonal/>
    </border>
    <border>
      <left/>
      <right style="medium">
        <color rgb="FFFF0000"/>
      </right>
      <top/>
      <bottom/>
      <diagonal/>
    </border>
    <border>
      <left/>
      <right style="medium">
        <color rgb="FFFF0000"/>
      </right>
      <top style="thin">
        <color indexed="64"/>
      </top>
      <bottom style="thin">
        <color indexed="64"/>
      </bottom>
      <diagonal/>
    </border>
    <border>
      <left style="mediumDashDot">
        <color indexed="64"/>
      </left>
      <right style="medium">
        <color rgb="FFFF0000"/>
      </right>
      <top style="mediumDashDot">
        <color indexed="64"/>
      </top>
      <bottom/>
      <diagonal/>
    </border>
    <border>
      <left style="mediumDashDot">
        <color indexed="64"/>
      </left>
      <right style="medium">
        <color rgb="FFFF0000"/>
      </right>
      <top/>
      <bottom style="mediumDashDot">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right style="medium">
        <color indexed="10"/>
      </right>
      <top style="thin">
        <color indexed="64"/>
      </top>
      <bottom style="thin">
        <color indexed="64"/>
      </bottom>
      <diagonal/>
    </border>
    <border>
      <left/>
      <right/>
      <top style="thin">
        <color indexed="64"/>
      </top>
      <bottom style="double">
        <color indexed="64"/>
      </bottom>
      <diagonal/>
    </border>
    <border>
      <left/>
      <right style="thin">
        <color indexed="64"/>
      </right>
      <top style="thin">
        <color indexed="64"/>
      </top>
      <bottom/>
      <diagonal/>
    </border>
    <border>
      <left/>
      <right style="thin">
        <color indexed="64"/>
      </right>
      <top/>
      <bottom style="thin">
        <color indexed="64"/>
      </bottom>
      <diagonal/>
    </border>
    <border>
      <left/>
      <right/>
      <top/>
      <bottom style="double">
        <color indexed="64"/>
      </bottom>
      <diagonal/>
    </border>
    <border>
      <left style="medium">
        <color rgb="FFFF0000"/>
      </left>
      <right/>
      <top/>
      <bottom style="thin">
        <color indexed="64"/>
      </bottom>
      <diagonal/>
    </border>
  </borders>
  <cellStyleXfs count="2">
    <xf numFmtId="0" fontId="0" fillId="0" borderId="0"/>
    <xf numFmtId="44" fontId="1" fillId="0" borderId="0" applyFont="0" applyFill="0" applyBorder="0" applyAlignment="0" applyProtection="0"/>
  </cellStyleXfs>
  <cellXfs count="414">
    <xf numFmtId="0" fontId="0" fillId="0" borderId="0" xfId="0"/>
    <xf numFmtId="0" fontId="0" fillId="0" borderId="0" xfId="0" applyAlignment="1">
      <alignment horizontal="center"/>
    </xf>
    <xf numFmtId="0" fontId="3" fillId="0" borderId="0" xfId="0" applyFont="1"/>
    <xf numFmtId="0" fontId="0" fillId="0" borderId="0" xfId="0" applyFill="1"/>
    <xf numFmtId="0" fontId="3" fillId="0" borderId="0" xfId="0" applyFont="1" applyAlignment="1">
      <alignment horizontal="center"/>
    </xf>
    <xf numFmtId="0" fontId="0" fillId="0" borderId="3" xfId="0" applyBorder="1"/>
    <xf numFmtId="0" fontId="0" fillId="0" borderId="0" xfId="0" applyBorder="1"/>
    <xf numFmtId="0" fontId="0" fillId="0" borderId="0" xfId="0" applyBorder="1" applyAlignment="1">
      <alignment horizontal="center"/>
    </xf>
    <xf numFmtId="0" fontId="3" fillId="0" borderId="0" xfId="0" applyFont="1" applyFill="1" applyAlignment="1"/>
    <xf numFmtId="0" fontId="4" fillId="0" borderId="0" xfId="0" applyFont="1" applyFill="1" applyAlignment="1"/>
    <xf numFmtId="0" fontId="0" fillId="0" borderId="4" xfId="0" applyBorder="1"/>
    <xf numFmtId="0" fontId="0" fillId="0" borderId="4" xfId="0" applyBorder="1" applyAlignment="1">
      <alignment horizontal="center"/>
    </xf>
    <xf numFmtId="4" fontId="0" fillId="3" borderId="6" xfId="0" applyNumberFormat="1" applyFill="1" applyBorder="1"/>
    <xf numFmtId="4" fontId="0" fillId="4" borderId="7" xfId="0" applyNumberFormat="1" applyFill="1" applyBorder="1"/>
    <xf numFmtId="4" fontId="0" fillId="2" borderId="8" xfId="0" applyNumberFormat="1" applyFill="1" applyBorder="1"/>
    <xf numFmtId="0" fontId="7" fillId="0" borderId="0" xfId="0" applyFont="1" applyAlignment="1">
      <alignment horizontal="center"/>
    </xf>
    <xf numFmtId="0" fontId="0" fillId="0" borderId="9" xfId="0" applyNumberFormat="1" applyBorder="1"/>
    <xf numFmtId="0" fontId="0" fillId="0" borderId="9" xfId="0" applyBorder="1" applyAlignment="1">
      <alignment horizontal="center"/>
    </xf>
    <xf numFmtId="4" fontId="0" fillId="0" borderId="10" xfId="0" applyNumberFormat="1" applyFill="1" applyBorder="1"/>
    <xf numFmtId="0" fontId="0" fillId="0" borderId="0" xfId="0" applyNumberFormat="1" applyBorder="1"/>
    <xf numFmtId="4" fontId="0" fillId="0" borderId="11" xfId="0" applyNumberFormat="1" applyFill="1" applyBorder="1"/>
    <xf numFmtId="0" fontId="0" fillId="0" borderId="12" xfId="0" applyNumberFormat="1" applyBorder="1"/>
    <xf numFmtId="0" fontId="0" fillId="0" borderId="12" xfId="0" applyBorder="1" applyAlignment="1">
      <alignment horizontal="center"/>
    </xf>
    <xf numFmtId="4" fontId="0" fillId="0" borderId="13" xfId="0" applyNumberFormat="1" applyFill="1" applyBorder="1"/>
    <xf numFmtId="0" fontId="0" fillId="0" borderId="14" xfId="0" applyNumberFormat="1" applyBorder="1"/>
    <xf numFmtId="0" fontId="0" fillId="0" borderId="14" xfId="0" applyBorder="1" applyAlignment="1">
      <alignment horizontal="center"/>
    </xf>
    <xf numFmtId="4" fontId="0" fillId="0" borderId="15" xfId="0" applyNumberFormat="1" applyFill="1" applyBorder="1"/>
    <xf numFmtId="0" fontId="0" fillId="0" borderId="16" xfId="0" applyBorder="1"/>
    <xf numFmtId="0" fontId="0" fillId="0" borderId="16" xfId="0" applyBorder="1" applyAlignment="1">
      <alignment horizontal="center"/>
    </xf>
    <xf numFmtId="4" fontId="0" fillId="0" borderId="1" xfId="0" applyNumberFormat="1" applyFill="1" applyBorder="1"/>
    <xf numFmtId="4" fontId="0" fillId="2" borderId="7" xfId="0" applyNumberFormat="1" applyFill="1" applyBorder="1"/>
    <xf numFmtId="4" fontId="0" fillId="4" borderId="5" xfId="0" applyNumberFormat="1" applyFill="1" applyBorder="1"/>
    <xf numFmtId="0" fontId="3" fillId="0" borderId="4" xfId="0" applyFont="1" applyBorder="1"/>
    <xf numFmtId="0" fontId="3" fillId="0" borderId="4" xfId="0" applyFont="1" applyFill="1" applyBorder="1" applyAlignment="1">
      <alignment horizontal="center"/>
    </xf>
    <xf numFmtId="2" fontId="0" fillId="0" borderId="3" xfId="0" applyNumberFormat="1" applyFill="1" applyBorder="1"/>
    <xf numFmtId="0" fontId="0" fillId="5" borderId="0" xfId="0" applyFill="1"/>
    <xf numFmtId="0" fontId="0" fillId="0" borderId="18" xfId="0" applyBorder="1"/>
    <xf numFmtId="0" fontId="0" fillId="0" borderId="19" xfId="0" applyBorder="1"/>
    <xf numFmtId="0" fontId="0" fillId="0" borderId="20" xfId="0" applyBorder="1"/>
    <xf numFmtId="0" fontId="0" fillId="0" borderId="21" xfId="0" applyBorder="1"/>
    <xf numFmtId="0" fontId="0" fillId="0" borderId="0" xfId="0" applyBorder="1" applyAlignment="1"/>
    <xf numFmtId="2" fontId="0" fillId="0" borderId="0" xfId="0" applyNumberFormat="1" applyBorder="1"/>
    <xf numFmtId="4" fontId="0" fillId="0" borderId="0" xfId="0" applyNumberFormat="1" applyBorder="1"/>
    <xf numFmtId="3" fontId="0" fillId="0" borderId="0" xfId="0" applyNumberFormat="1" applyBorder="1"/>
    <xf numFmtId="3" fontId="0" fillId="0" borderId="0" xfId="0" applyNumberFormat="1" applyFill="1" applyBorder="1"/>
    <xf numFmtId="0" fontId="0" fillId="0" borderId="21" xfId="0" applyFill="1" applyBorder="1"/>
    <xf numFmtId="0" fontId="0" fillId="0" borderId="0" xfId="0" applyFill="1" applyBorder="1"/>
    <xf numFmtId="0" fontId="0" fillId="0" borderId="0" xfId="0" applyFill="1" applyBorder="1" applyAlignment="1">
      <alignment horizontal="center"/>
    </xf>
    <xf numFmtId="4" fontId="0" fillId="0" borderId="0" xfId="0" applyNumberFormat="1" applyFill="1" applyBorder="1"/>
    <xf numFmtId="0" fontId="0" fillId="0" borderId="20" xfId="0" applyFill="1" applyBorder="1"/>
    <xf numFmtId="164" fontId="0" fillId="0" borderId="0" xfId="0" applyNumberFormat="1" applyBorder="1" applyAlignment="1">
      <alignment horizontal="center"/>
    </xf>
    <xf numFmtId="4" fontId="0" fillId="0" borderId="0" xfId="0" applyNumberFormat="1" applyBorder="1" applyAlignment="1">
      <alignment horizontal="center"/>
    </xf>
    <xf numFmtId="3" fontId="0" fillId="0" borderId="0" xfId="0" applyNumberFormat="1" applyBorder="1" applyAlignment="1">
      <alignment horizontal="center"/>
    </xf>
    <xf numFmtId="4" fontId="4" fillId="0" borderId="0" xfId="0" applyNumberFormat="1" applyFont="1" applyFill="1" applyBorder="1"/>
    <xf numFmtId="0" fontId="0" fillId="0" borderId="22" xfId="0" applyBorder="1"/>
    <xf numFmtId="0" fontId="0" fillId="0" borderId="23" xfId="0" applyBorder="1"/>
    <xf numFmtId="0" fontId="4" fillId="0" borderId="0" xfId="0" applyFont="1" applyBorder="1" applyAlignment="1"/>
    <xf numFmtId="40" fontId="0" fillId="0" borderId="20" xfId="0" applyNumberFormat="1" applyFill="1" applyBorder="1"/>
    <xf numFmtId="40" fontId="0" fillId="0" borderId="20" xfId="0" applyNumberFormat="1" applyBorder="1"/>
    <xf numFmtId="40" fontId="0" fillId="0" borderId="0" xfId="0" applyNumberFormat="1" applyBorder="1"/>
    <xf numFmtId="40" fontId="0" fillId="4" borderId="24" xfId="0" applyNumberFormat="1" applyFill="1" applyBorder="1"/>
    <xf numFmtId="40" fontId="0" fillId="2" borderId="25" xfId="0" applyNumberFormat="1" applyFill="1" applyBorder="1"/>
    <xf numFmtId="40" fontId="0" fillId="3" borderId="26" xfId="0" applyNumberFormat="1" applyFill="1" applyBorder="1"/>
    <xf numFmtId="0" fontId="3" fillId="0" borderId="0" xfId="0" quotePrefix="1" applyFont="1" applyBorder="1" applyAlignment="1">
      <alignment horizontal="center"/>
    </xf>
    <xf numFmtId="40" fontId="3" fillId="0" borderId="27" xfId="0" applyNumberFormat="1" applyFont="1" applyBorder="1"/>
    <xf numFmtId="0" fontId="3" fillId="0" borderId="4" xfId="0" applyFont="1" applyBorder="1" applyAlignment="1"/>
    <xf numFmtId="4" fontId="0" fillId="0" borderId="4" xfId="0" applyNumberFormat="1" applyBorder="1"/>
    <xf numFmtId="4" fontId="0" fillId="0" borderId="4" xfId="0" applyNumberFormat="1" applyBorder="1" applyAlignment="1">
      <alignment horizontal="center"/>
    </xf>
    <xf numFmtId="4" fontId="0" fillId="0" borderId="4" xfId="0" applyNumberFormat="1" applyBorder="1" applyAlignment="1"/>
    <xf numFmtId="44" fontId="0" fillId="3" borderId="26" xfId="0" applyNumberFormat="1" applyFill="1" applyBorder="1"/>
    <xf numFmtId="0" fontId="3" fillId="0" borderId="0" xfId="0" applyFont="1" applyBorder="1" applyAlignment="1">
      <alignment horizontal="center"/>
    </xf>
    <xf numFmtId="0" fontId="5" fillId="0" borderId="20" xfId="0" applyFont="1" applyBorder="1" applyAlignment="1">
      <alignment horizontal="center"/>
    </xf>
    <xf numFmtId="0" fontId="3" fillId="0" borderId="0" xfId="0" applyFont="1" applyBorder="1"/>
    <xf numFmtId="0" fontId="0" fillId="0" borderId="30" xfId="0" applyBorder="1"/>
    <xf numFmtId="0" fontId="0" fillId="0" borderId="31" xfId="0" applyBorder="1"/>
    <xf numFmtId="43" fontId="0" fillId="2" borderId="26" xfId="0" applyNumberFormat="1" applyFill="1" applyBorder="1"/>
    <xf numFmtId="4" fontId="0" fillId="2" borderId="0" xfId="0" applyNumberFormat="1" applyFill="1" applyBorder="1"/>
    <xf numFmtId="0" fontId="9" fillId="0" borderId="0" xfId="0" applyFont="1" applyBorder="1" applyAlignment="1">
      <alignment horizontal="center"/>
    </xf>
    <xf numFmtId="44" fontId="0" fillId="2" borderId="32" xfId="0" applyNumberFormat="1" applyFill="1" applyBorder="1"/>
    <xf numFmtId="41" fontId="0" fillId="0" borderId="32" xfId="0" applyNumberFormat="1" applyBorder="1" applyAlignment="1">
      <alignment horizontal="center"/>
    </xf>
    <xf numFmtId="44" fontId="0" fillId="0" borderId="33" xfId="0" applyNumberFormat="1" applyBorder="1"/>
    <xf numFmtId="44" fontId="0" fillId="2" borderId="7" xfId="0" applyNumberFormat="1" applyFill="1" applyBorder="1"/>
    <xf numFmtId="41" fontId="0" fillId="0" borderId="7" xfId="0" applyNumberFormat="1" applyBorder="1" applyAlignment="1">
      <alignment horizontal="center"/>
    </xf>
    <xf numFmtId="44" fontId="0" fillId="0" borderId="24" xfId="0" applyNumberFormat="1" applyBorder="1"/>
    <xf numFmtId="0" fontId="0" fillId="0" borderId="7" xfId="0" applyBorder="1" applyAlignment="1">
      <alignment horizontal="center"/>
    </xf>
    <xf numFmtId="0" fontId="0" fillId="6" borderId="0" xfId="0" applyFill="1"/>
    <xf numFmtId="2" fontId="0" fillId="0" borderId="1" xfId="0" applyNumberFormat="1" applyBorder="1"/>
    <xf numFmtId="4" fontId="0" fillId="0" borderId="3" xfId="0" applyNumberFormat="1" applyBorder="1"/>
    <xf numFmtId="0" fontId="10" fillId="0" borderId="20" xfId="0" applyFont="1" applyBorder="1" applyAlignment="1">
      <alignment horizontal="center"/>
    </xf>
    <xf numFmtId="4" fontId="0" fillId="2" borderId="11" xfId="0" applyNumberFormat="1" applyFill="1" applyBorder="1"/>
    <xf numFmtId="4" fontId="0" fillId="2" borderId="13" xfId="0" applyNumberFormat="1" applyFill="1" applyBorder="1"/>
    <xf numFmtId="0" fontId="4" fillId="0" borderId="0" xfId="0" applyFont="1" applyAlignment="1">
      <alignment horizontal="left"/>
    </xf>
    <xf numFmtId="0" fontId="4" fillId="0" borderId="0" xfId="0" applyFont="1"/>
    <xf numFmtId="0" fontId="4" fillId="0" borderId="0" xfId="0" applyFont="1" applyBorder="1"/>
    <xf numFmtId="0" fontId="16" fillId="0" borderId="0" xfId="0" applyFont="1" applyFill="1"/>
    <xf numFmtId="0" fontId="16" fillId="0" borderId="0" xfId="0" applyFont="1"/>
    <xf numFmtId="166" fontId="4" fillId="0" borderId="0" xfId="0" applyNumberFormat="1" applyFont="1" applyBorder="1"/>
    <xf numFmtId="0" fontId="4" fillId="0" borderId="0" xfId="0" applyFont="1" applyFill="1"/>
    <xf numFmtId="0" fontId="4" fillId="0" borderId="5" xfId="0" applyFont="1" applyBorder="1" applyAlignment="1">
      <alignment horizontal="center"/>
    </xf>
    <xf numFmtId="0" fontId="4" fillId="0" borderId="35" xfId="0" applyFont="1" applyBorder="1"/>
    <xf numFmtId="0" fontId="4" fillId="0" borderId="36" xfId="0" applyFont="1" applyBorder="1"/>
    <xf numFmtId="0" fontId="4" fillId="0" borderId="37" xfId="0" applyFont="1" applyBorder="1"/>
    <xf numFmtId="44" fontId="4" fillId="0" borderId="38" xfId="1" applyFont="1" applyBorder="1"/>
    <xf numFmtId="0" fontId="19" fillId="0" borderId="37" xfId="0" applyFont="1" applyBorder="1"/>
    <xf numFmtId="44" fontId="19" fillId="0" borderId="38" xfId="1" applyFont="1" applyBorder="1"/>
    <xf numFmtId="0" fontId="0" fillId="0" borderId="39" xfId="0" applyBorder="1"/>
    <xf numFmtId="0" fontId="3" fillId="0" borderId="41" xfId="0" applyFont="1" applyBorder="1" applyAlignment="1">
      <alignment horizontal="center"/>
    </xf>
    <xf numFmtId="0" fontId="3" fillId="0" borderId="42" xfId="0" applyFont="1" applyBorder="1"/>
    <xf numFmtId="44" fontId="4" fillId="0" borderId="43" xfId="1" applyFont="1" applyBorder="1"/>
    <xf numFmtId="0" fontId="4" fillId="0" borderId="42" xfId="0" applyFont="1" applyBorder="1"/>
    <xf numFmtId="44" fontId="4" fillId="0" borderId="39" xfId="1" applyFont="1" applyBorder="1"/>
    <xf numFmtId="0" fontId="18" fillId="0" borderId="42" xfId="0" applyFont="1" applyBorder="1"/>
    <xf numFmtId="0" fontId="20" fillId="0" borderId="0" xfId="0" applyFont="1" applyBorder="1"/>
    <xf numFmtId="0" fontId="4" fillId="0" borderId="38" xfId="0" applyFont="1" applyBorder="1"/>
    <xf numFmtId="0" fontId="3" fillId="0" borderId="42" xfId="0" applyFont="1" applyBorder="1" applyAlignment="1">
      <alignment horizontal="right"/>
    </xf>
    <xf numFmtId="0" fontId="4" fillId="0" borderId="44" xfId="0" applyFont="1" applyBorder="1"/>
    <xf numFmtId="0" fontId="4" fillId="0" borderId="39" xfId="0" applyFont="1" applyBorder="1"/>
    <xf numFmtId="0" fontId="4" fillId="0" borderId="45" xfId="0" applyFont="1" applyBorder="1" applyAlignment="1">
      <alignment horizontal="left"/>
    </xf>
    <xf numFmtId="44" fontId="4" fillId="0" borderId="46" xfId="1" applyFont="1" applyBorder="1"/>
    <xf numFmtId="0" fontId="8" fillId="0" borderId="45" xfId="0" applyFont="1" applyBorder="1"/>
    <xf numFmtId="0" fontId="4" fillId="0" borderId="43" xfId="0" applyFont="1" applyBorder="1"/>
    <xf numFmtId="0" fontId="4" fillId="0" borderId="47" xfId="0" applyFont="1" applyBorder="1"/>
    <xf numFmtId="44" fontId="0" fillId="0" borderId="0" xfId="1" applyFont="1"/>
    <xf numFmtId="44" fontId="0" fillId="0" borderId="0" xfId="1" applyNumberFormat="1" applyFont="1"/>
    <xf numFmtId="44" fontId="0" fillId="0" borderId="0" xfId="0" applyNumberFormat="1"/>
    <xf numFmtId="0" fontId="0" fillId="0" borderId="0" xfId="0" applyAlignment="1"/>
    <xf numFmtId="4" fontId="0" fillId="2" borderId="10" xfId="0" applyNumberFormat="1" applyFill="1" applyBorder="1"/>
    <xf numFmtId="0" fontId="3" fillId="5" borderId="0" xfId="0" applyFont="1" applyFill="1"/>
    <xf numFmtId="4" fontId="0" fillId="4" borderId="0" xfId="0" applyNumberFormat="1" applyFill="1" applyBorder="1"/>
    <xf numFmtId="0" fontId="0" fillId="0" borderId="0" xfId="0" applyFill="1" applyBorder="1" applyAlignment="1"/>
    <xf numFmtId="0" fontId="0" fillId="0" borderId="21" xfId="0" applyBorder="1" applyAlignment="1"/>
    <xf numFmtId="0" fontId="0" fillId="0" borderId="21" xfId="0" applyFill="1" applyBorder="1" applyAlignment="1"/>
    <xf numFmtId="0" fontId="0" fillId="0" borderId="65" xfId="0" applyBorder="1" applyAlignment="1"/>
    <xf numFmtId="3" fontId="0" fillId="0" borderId="0" xfId="0" applyNumberFormat="1" applyFill="1" applyBorder="1" applyAlignment="1">
      <alignment horizontal="center" vertical="center"/>
    </xf>
    <xf numFmtId="37" fontId="0" fillId="2" borderId="7" xfId="0" applyNumberFormat="1" applyFill="1" applyBorder="1" applyAlignment="1" applyProtection="1">
      <alignment horizontal="center" vertical="center"/>
      <protection locked="0"/>
    </xf>
    <xf numFmtId="37" fontId="0" fillId="2" borderId="32" xfId="0" applyNumberFormat="1" applyFill="1" applyBorder="1" applyAlignment="1" applyProtection="1">
      <alignment horizontal="center" vertical="center"/>
      <protection locked="0"/>
    </xf>
    <xf numFmtId="0" fontId="19" fillId="0" borderId="37" xfId="0" applyFont="1" applyFill="1" applyBorder="1"/>
    <xf numFmtId="0" fontId="9" fillId="0" borderId="67" xfId="0" applyFont="1" applyBorder="1" applyAlignment="1">
      <alignment horizontal="center"/>
    </xf>
    <xf numFmtId="4" fontId="0" fillId="0" borderId="69" xfId="0" applyNumberFormat="1" applyFill="1" applyBorder="1"/>
    <xf numFmtId="4" fontId="0" fillId="0" borderId="70" xfId="0" applyNumberFormat="1" applyFill="1" applyBorder="1"/>
    <xf numFmtId="3" fontId="0" fillId="0" borderId="0" xfId="0" applyNumberFormat="1" applyBorder="1" applyProtection="1"/>
    <xf numFmtId="0" fontId="4" fillId="5" borderId="0" xfId="0" applyFont="1" applyFill="1"/>
    <xf numFmtId="0" fontId="0" fillId="5" borderId="0" xfId="0" applyFont="1" applyFill="1"/>
    <xf numFmtId="0" fontId="3" fillId="10" borderId="0" xfId="0" applyFont="1" applyFill="1"/>
    <xf numFmtId="0" fontId="4" fillId="10" borderId="0" xfId="0" applyFont="1" applyFill="1"/>
    <xf numFmtId="0" fontId="0" fillId="11" borderId="62" xfId="0" applyNumberFormat="1" applyFill="1" applyBorder="1" applyAlignment="1">
      <alignment horizontal="center"/>
    </xf>
    <xf numFmtId="0" fontId="0" fillId="11" borderId="71" xfId="0" applyNumberFormat="1" applyFill="1" applyBorder="1" applyAlignment="1">
      <alignment horizontal="center"/>
    </xf>
    <xf numFmtId="44" fontId="4" fillId="0" borderId="41" xfId="1" applyFont="1" applyBorder="1"/>
    <xf numFmtId="44" fontId="4" fillId="0" borderId="35" xfId="1" applyFont="1" applyBorder="1"/>
    <xf numFmtId="44" fontId="4" fillId="0" borderId="36" xfId="1" applyFont="1" applyBorder="1"/>
    <xf numFmtId="0" fontId="0" fillId="11" borderId="7" xfId="0" applyNumberFormat="1" applyFill="1" applyBorder="1" applyAlignment="1">
      <alignment horizontal="center"/>
    </xf>
    <xf numFmtId="0" fontId="0" fillId="11" borderId="73" xfId="0" applyNumberFormat="1" applyFill="1" applyBorder="1" applyAlignment="1">
      <alignment horizontal="center"/>
    </xf>
    <xf numFmtId="0" fontId="0" fillId="11" borderId="77" xfId="0" applyNumberFormat="1" applyFill="1" applyBorder="1" applyAlignment="1">
      <alignment horizontal="center"/>
    </xf>
    <xf numFmtId="0" fontId="0" fillId="11" borderId="74" xfId="0" applyNumberFormat="1" applyFill="1" applyBorder="1" applyAlignment="1">
      <alignment horizontal="center"/>
    </xf>
    <xf numFmtId="0" fontId="0" fillId="11" borderId="75" xfId="0" applyNumberFormat="1" applyFill="1" applyBorder="1" applyAlignment="1">
      <alignment horizontal="center"/>
    </xf>
    <xf numFmtId="0" fontId="0" fillId="11" borderId="31" xfId="0" applyNumberFormat="1" applyFill="1" applyBorder="1" applyAlignment="1">
      <alignment horizontal="center"/>
    </xf>
    <xf numFmtId="0" fontId="0" fillId="11" borderId="1" xfId="0" applyNumberFormat="1" applyFill="1" applyBorder="1" applyAlignment="1">
      <alignment horizontal="center"/>
    </xf>
    <xf numFmtId="0" fontId="0" fillId="11" borderId="28" xfId="0" applyNumberFormat="1" applyFill="1" applyBorder="1" applyAlignment="1">
      <alignment horizontal="center"/>
    </xf>
    <xf numFmtId="0" fontId="0" fillId="11" borderId="71" xfId="0" applyNumberFormat="1" applyFill="1" applyBorder="1" applyAlignment="1">
      <alignment horizontal="center"/>
    </xf>
    <xf numFmtId="0" fontId="0" fillId="0" borderId="0" xfId="0" applyBorder="1" applyAlignment="1"/>
    <xf numFmtId="0" fontId="3" fillId="0" borderId="0" xfId="0" applyFont="1" applyAlignment="1"/>
    <xf numFmtId="0" fontId="3" fillId="0" borderId="4" xfId="0" applyFont="1" applyBorder="1" applyAlignment="1">
      <alignment horizontal="center" vertical="center"/>
    </xf>
    <xf numFmtId="0" fontId="4" fillId="0" borderId="0" xfId="0" applyFont="1" applyFill="1" applyAlignment="1" applyProtection="1"/>
    <xf numFmtId="0" fontId="0" fillId="0" borderId="0" xfId="0" applyProtection="1"/>
    <xf numFmtId="0" fontId="4" fillId="5" borderId="0" xfId="0" applyFont="1" applyFill="1" applyProtection="1"/>
    <xf numFmtId="0" fontId="0" fillId="5" borderId="0" xfId="0" applyFill="1" applyProtection="1"/>
    <xf numFmtId="0" fontId="3" fillId="0" borderId="4" xfId="0" applyFont="1" applyBorder="1" applyProtection="1"/>
    <xf numFmtId="0" fontId="0" fillId="0" borderId="4" xfId="0" applyBorder="1" applyProtection="1"/>
    <xf numFmtId="0" fontId="3" fillId="0" borderId="4" xfId="0" applyFont="1" applyFill="1" applyBorder="1" applyAlignment="1" applyProtection="1">
      <alignment horizontal="center"/>
    </xf>
    <xf numFmtId="0" fontId="3" fillId="0" borderId="21" xfId="0" applyFont="1" applyBorder="1" applyAlignment="1" applyProtection="1">
      <alignment horizontal="center"/>
    </xf>
    <xf numFmtId="0" fontId="3" fillId="0" borderId="0" xfId="0" applyFont="1" applyBorder="1" applyAlignment="1" applyProtection="1">
      <alignment horizontal="center"/>
    </xf>
    <xf numFmtId="0" fontId="0" fillId="0" borderId="0" xfId="0" applyBorder="1" applyProtection="1"/>
    <xf numFmtId="0" fontId="14" fillId="0" borderId="0" xfId="0" applyFont="1" applyBorder="1" applyAlignment="1" applyProtection="1"/>
    <xf numFmtId="0" fontId="5" fillId="0" borderId="0" xfId="0" applyFont="1" applyBorder="1" applyAlignment="1" applyProtection="1">
      <alignment horizontal="center"/>
    </xf>
    <xf numFmtId="0" fontId="0" fillId="0" borderId="0" xfId="0" applyBorder="1" applyAlignment="1" applyProtection="1">
      <alignment horizontal="center"/>
    </xf>
    <xf numFmtId="0" fontId="5" fillId="0" borderId="20" xfId="0" applyFont="1" applyBorder="1" applyAlignment="1" applyProtection="1">
      <alignment horizontal="center"/>
    </xf>
    <xf numFmtId="0" fontId="22" fillId="0" borderId="0" xfId="0" applyFont="1" applyProtection="1"/>
    <xf numFmtId="0" fontId="3" fillId="0" borderId="3" xfId="0" applyFont="1" applyBorder="1" applyAlignment="1" applyProtection="1">
      <alignment horizontal="right"/>
    </xf>
    <xf numFmtId="43" fontId="3" fillId="0" borderId="17" xfId="0" applyNumberFormat="1" applyFont="1" applyBorder="1" applyProtection="1"/>
    <xf numFmtId="0" fontId="3" fillId="0" borderId="0" xfId="0" applyFont="1" applyBorder="1" applyProtection="1"/>
    <xf numFmtId="43" fontId="3" fillId="0" borderId="29" xfId="0" applyNumberFormat="1" applyFont="1" applyBorder="1" applyProtection="1"/>
    <xf numFmtId="0" fontId="0" fillId="0" borderId="21" xfId="0" applyBorder="1" applyProtection="1"/>
    <xf numFmtId="0" fontId="0" fillId="0" borderId="20" xfId="0" applyBorder="1" applyProtection="1"/>
    <xf numFmtId="0" fontId="5" fillId="0" borderId="0" xfId="0" applyFont="1" applyBorder="1" applyProtection="1"/>
    <xf numFmtId="0" fontId="0" fillId="0" borderId="0" xfId="0" applyBorder="1" applyAlignment="1" applyProtection="1"/>
    <xf numFmtId="40" fontId="0" fillId="2" borderId="5" xfId="0" applyNumberFormat="1" applyFill="1" applyBorder="1" applyProtection="1"/>
    <xf numFmtId="43" fontId="0" fillId="0" borderId="0" xfId="0" applyNumberFormat="1" applyBorder="1" applyProtection="1"/>
    <xf numFmtId="40" fontId="0" fillId="3" borderId="26" xfId="0" applyNumberFormat="1" applyFill="1" applyBorder="1" applyProtection="1"/>
    <xf numFmtId="0" fontId="0" fillId="0" borderId="22" xfId="0" applyBorder="1" applyProtection="1"/>
    <xf numFmtId="0" fontId="0" fillId="0" borderId="23" xfId="0" applyBorder="1" applyProtection="1"/>
    <xf numFmtId="0" fontId="1" fillId="5" borderId="0" xfId="0" applyFont="1" applyFill="1" applyProtection="1"/>
    <xf numFmtId="0" fontId="1" fillId="5" borderId="0" xfId="0" applyFont="1" applyFill="1"/>
    <xf numFmtId="0" fontId="1" fillId="0" borderId="0" xfId="0" applyFont="1" applyFill="1"/>
    <xf numFmtId="0" fontId="1" fillId="6" borderId="0" xfId="0" applyFont="1" applyFill="1"/>
    <xf numFmtId="0" fontId="1" fillId="0" borderId="0" xfId="0" applyFont="1"/>
    <xf numFmtId="4" fontId="0" fillId="0" borderId="0" xfId="0" applyNumberFormat="1" applyProtection="1"/>
    <xf numFmtId="3" fontId="0" fillId="0" borderId="0" xfId="0" applyNumberFormat="1" applyProtection="1"/>
    <xf numFmtId="0" fontId="1" fillId="0" borderId="0" xfId="0" applyFont="1" applyProtection="1"/>
    <xf numFmtId="3" fontId="1" fillId="0" borderId="0" xfId="0" applyNumberFormat="1" applyFont="1" applyProtection="1"/>
    <xf numFmtId="3" fontId="1" fillId="0" borderId="79" xfId="0" applyNumberFormat="1" applyFont="1" applyBorder="1" applyProtection="1"/>
    <xf numFmtId="38" fontId="0" fillId="0" borderId="0" xfId="0" applyNumberFormat="1" applyProtection="1"/>
    <xf numFmtId="4" fontId="0" fillId="0" borderId="75" xfId="0" applyNumberFormat="1" applyBorder="1" applyProtection="1"/>
    <xf numFmtId="38" fontId="0" fillId="0" borderId="3" xfId="0" applyNumberFormat="1" applyBorder="1" applyProtection="1"/>
    <xf numFmtId="4" fontId="0" fillId="0" borderId="3" xfId="0" applyNumberFormat="1" applyBorder="1" applyProtection="1"/>
    <xf numFmtId="3" fontId="0" fillId="0" borderId="3" xfId="0" applyNumberFormat="1" applyBorder="1" applyProtection="1"/>
    <xf numFmtId="4" fontId="0" fillId="0" borderId="80" xfId="0" applyNumberFormat="1" applyBorder="1" applyProtection="1"/>
    <xf numFmtId="4" fontId="0" fillId="0" borderId="76" xfId="0" applyNumberFormat="1" applyBorder="1" applyProtection="1"/>
    <xf numFmtId="0" fontId="0" fillId="0" borderId="1" xfId="0" applyBorder="1" applyProtection="1"/>
    <xf numFmtId="0" fontId="0" fillId="0" borderId="81" xfId="0" applyBorder="1" applyProtection="1"/>
    <xf numFmtId="38" fontId="0" fillId="0" borderId="1" xfId="0" applyNumberFormat="1" applyBorder="1" applyProtection="1"/>
    <xf numFmtId="4" fontId="0" fillId="0" borderId="1" xfId="0" applyNumberFormat="1" applyBorder="1" applyProtection="1"/>
    <xf numFmtId="3" fontId="0" fillId="0" borderId="1" xfId="0" applyNumberFormat="1" applyBorder="1" applyProtection="1"/>
    <xf numFmtId="4" fontId="0" fillId="0" borderId="81" xfId="0" applyNumberFormat="1" applyBorder="1" applyProtection="1"/>
    <xf numFmtId="4" fontId="0" fillId="0" borderId="62" xfId="0" applyNumberFormat="1" applyBorder="1" applyProtection="1"/>
    <xf numFmtId="38" fontId="0" fillId="0" borderId="2" xfId="0" applyNumberFormat="1" applyBorder="1" applyProtection="1"/>
    <xf numFmtId="4" fontId="0" fillId="0" borderId="2" xfId="0" applyNumberFormat="1" applyBorder="1" applyProtection="1"/>
    <xf numFmtId="3" fontId="0" fillId="0" borderId="2" xfId="0" applyNumberFormat="1" applyBorder="1" applyProtection="1"/>
    <xf numFmtId="4" fontId="0" fillId="0" borderId="63" xfId="0" applyNumberFormat="1" applyBorder="1" applyProtection="1"/>
    <xf numFmtId="3" fontId="0" fillId="0" borderId="82" xfId="0" applyNumberFormat="1" applyBorder="1" applyProtection="1"/>
    <xf numFmtId="4" fontId="0" fillId="0" borderId="82" xfId="0" applyNumberFormat="1" applyBorder="1" applyProtection="1"/>
    <xf numFmtId="0" fontId="1" fillId="0" borderId="0" xfId="0" applyFont="1" applyAlignment="1">
      <alignment horizontal="center"/>
    </xf>
    <xf numFmtId="0" fontId="0" fillId="0" borderId="79" xfId="0" applyBorder="1" applyProtection="1"/>
    <xf numFmtId="168" fontId="7" fillId="0" borderId="1" xfId="0" applyNumberFormat="1" applyFont="1" applyFill="1" applyBorder="1" applyAlignment="1">
      <alignment horizontal="center" shrinkToFit="1"/>
    </xf>
    <xf numFmtId="166" fontId="1" fillId="0" borderId="0" xfId="0" applyNumberFormat="1" applyFont="1" applyBorder="1"/>
    <xf numFmtId="0" fontId="1" fillId="0" borderId="0" xfId="0" applyFont="1" applyBorder="1"/>
    <xf numFmtId="0" fontId="1" fillId="0" borderId="0" xfId="0" applyFont="1" applyProtection="1"/>
    <xf numFmtId="44" fontId="4" fillId="12" borderId="38" xfId="1" applyFont="1" applyFill="1" applyBorder="1" applyProtection="1">
      <protection locked="0"/>
    </xf>
    <xf numFmtId="0" fontId="1" fillId="12" borderId="37" xfId="0" applyFont="1" applyFill="1" applyBorder="1" applyProtection="1">
      <protection locked="0"/>
    </xf>
    <xf numFmtId="0" fontId="4" fillId="12" borderId="37" xfId="0" applyFont="1" applyFill="1" applyBorder="1" applyProtection="1">
      <protection locked="0"/>
    </xf>
    <xf numFmtId="0" fontId="0" fillId="12" borderId="40" xfId="0" applyFill="1" applyBorder="1" applyProtection="1">
      <protection locked="0"/>
    </xf>
    <xf numFmtId="44" fontId="4" fillId="12" borderId="37" xfId="1" applyFont="1" applyFill="1" applyBorder="1" applyProtection="1">
      <protection locked="0"/>
    </xf>
    <xf numFmtId="44" fontId="19" fillId="12" borderId="38" xfId="1" applyFont="1" applyFill="1" applyBorder="1" applyProtection="1">
      <protection locked="0"/>
    </xf>
    <xf numFmtId="3" fontId="0" fillId="12" borderId="1" xfId="0" applyNumberFormat="1" applyFill="1" applyBorder="1" applyAlignment="1" applyProtection="1">
      <alignment horizontal="center" vertical="center"/>
      <protection locked="0"/>
    </xf>
    <xf numFmtId="168" fontId="21" fillId="12" borderId="1" xfId="0" applyNumberFormat="1" applyFont="1" applyFill="1" applyBorder="1" applyAlignment="1" applyProtection="1">
      <alignment horizontal="center" vertical="center" shrinkToFit="1"/>
      <protection locked="0"/>
    </xf>
    <xf numFmtId="167" fontId="3" fillId="12" borderId="1" xfId="0" applyNumberFormat="1" applyFont="1" applyFill="1" applyBorder="1" applyAlignment="1" applyProtection="1">
      <alignment horizontal="center" vertical="center"/>
      <protection locked="0"/>
    </xf>
    <xf numFmtId="3" fontId="4" fillId="12" borderId="1" xfId="0" applyNumberFormat="1" applyFont="1" applyFill="1" applyBorder="1" applyAlignment="1" applyProtection="1">
      <alignment horizontal="center" vertical="center"/>
      <protection locked="0"/>
    </xf>
    <xf numFmtId="4" fontId="0" fillId="12" borderId="1" xfId="0" applyNumberFormat="1" applyFill="1" applyBorder="1" applyAlignment="1" applyProtection="1">
      <alignment vertical="center"/>
      <protection locked="0"/>
    </xf>
    <xf numFmtId="4" fontId="0" fillId="12" borderId="2" xfId="0" applyNumberFormat="1" applyFill="1" applyBorder="1" applyAlignment="1" applyProtection="1">
      <alignment vertical="center"/>
      <protection locked="0"/>
    </xf>
    <xf numFmtId="4" fontId="0" fillId="12" borderId="68" xfId="0" applyNumberFormat="1" applyFill="1" applyBorder="1" applyAlignment="1" applyProtection="1">
      <alignment vertical="center"/>
      <protection locked="0"/>
    </xf>
    <xf numFmtId="3" fontId="0" fillId="12" borderId="1" xfId="0" applyNumberFormat="1" applyFill="1" applyBorder="1" applyAlignment="1" applyProtection="1">
      <alignment vertical="center"/>
      <protection locked="0"/>
    </xf>
    <xf numFmtId="4" fontId="0" fillId="12" borderId="1" xfId="0" applyNumberFormat="1" applyFill="1" applyBorder="1"/>
    <xf numFmtId="37" fontId="0" fillId="12" borderId="32" xfId="0" applyNumberFormat="1" applyFill="1" applyBorder="1" applyAlignment="1" applyProtection="1">
      <alignment horizontal="center" vertical="center"/>
      <protection locked="0"/>
    </xf>
    <xf numFmtId="37" fontId="0" fillId="12" borderId="7" xfId="0" applyNumberFormat="1" applyFill="1" applyBorder="1" applyAlignment="1" applyProtection="1">
      <alignment horizontal="center" vertical="center"/>
      <protection locked="0"/>
    </xf>
    <xf numFmtId="44" fontId="0" fillId="12" borderId="7" xfId="0" applyNumberFormat="1" applyFill="1" applyBorder="1" applyAlignment="1" applyProtection="1">
      <alignment vertical="center"/>
      <protection locked="0"/>
    </xf>
    <xf numFmtId="0" fontId="0" fillId="12" borderId="7" xfId="0" applyNumberFormat="1" applyFill="1" applyBorder="1" applyAlignment="1" applyProtection="1">
      <alignment horizontal="center"/>
      <protection locked="0"/>
    </xf>
    <xf numFmtId="3" fontId="0" fillId="12" borderId="2" xfId="0" applyNumberFormat="1" applyFill="1" applyBorder="1" applyAlignment="1" applyProtection="1">
      <alignment horizontal="center" vertical="center"/>
      <protection locked="0"/>
    </xf>
    <xf numFmtId="4" fontId="0" fillId="12" borderId="1" xfId="0" applyNumberFormat="1" applyFill="1" applyBorder="1" applyProtection="1">
      <protection locked="0"/>
    </xf>
    <xf numFmtId="4" fontId="0" fillId="12" borderId="2" xfId="0" applyNumberFormat="1" applyFill="1" applyBorder="1" applyProtection="1">
      <protection locked="0"/>
    </xf>
    <xf numFmtId="3" fontId="0" fillId="12" borderId="1" xfId="0" applyNumberFormat="1" applyFill="1" applyBorder="1" applyProtection="1">
      <protection locked="0"/>
    </xf>
    <xf numFmtId="3" fontId="0" fillId="12" borderId="2" xfId="0" applyNumberFormat="1" applyFill="1" applyBorder="1" applyProtection="1">
      <protection locked="0"/>
    </xf>
    <xf numFmtId="43" fontId="0" fillId="12" borderId="28" xfId="0" applyNumberFormat="1" applyFill="1" applyBorder="1" applyAlignment="1" applyProtection="1">
      <alignment vertical="center"/>
      <protection locked="0"/>
    </xf>
    <xf numFmtId="43" fontId="0" fillId="12" borderId="28" xfId="0" applyNumberFormat="1" applyFill="1" applyBorder="1" applyProtection="1">
      <protection locked="0"/>
    </xf>
    <xf numFmtId="0" fontId="0" fillId="0" borderId="31" xfId="0" applyFill="1" applyBorder="1"/>
    <xf numFmtId="4" fontId="0" fillId="12" borderId="28" xfId="0" applyNumberFormat="1" applyFill="1" applyBorder="1" applyProtection="1">
      <protection locked="0"/>
    </xf>
    <xf numFmtId="4" fontId="0" fillId="12" borderId="78" xfId="0" applyNumberFormat="1" applyFill="1" applyBorder="1" applyProtection="1">
      <protection locked="0"/>
    </xf>
    <xf numFmtId="43" fontId="0" fillId="12" borderId="1" xfId="0" applyNumberFormat="1" applyFill="1" applyBorder="1" applyAlignment="1" applyProtection="1">
      <alignment vertical="center"/>
      <protection locked="0"/>
    </xf>
    <xf numFmtId="49" fontId="2" fillId="12" borderId="1" xfId="0" applyNumberFormat="1" applyFont="1" applyFill="1" applyBorder="1" applyAlignment="1" applyProtection="1">
      <alignment horizontal="center" vertical="center"/>
      <protection locked="0"/>
    </xf>
    <xf numFmtId="49" fontId="2" fillId="12" borderId="2" xfId="0" applyNumberFormat="1" applyFont="1" applyFill="1" applyBorder="1" applyAlignment="1" applyProtection="1">
      <alignment horizontal="center" vertical="center"/>
      <protection locked="0"/>
    </xf>
    <xf numFmtId="0" fontId="24" fillId="12" borderId="2" xfId="0" applyFont="1" applyFill="1" applyBorder="1" applyAlignment="1" applyProtection="1">
      <alignment horizontal="center" vertical="center"/>
      <protection locked="0"/>
    </xf>
    <xf numFmtId="0" fontId="2" fillId="12" borderId="34" xfId="0" applyFont="1" applyFill="1" applyBorder="1" applyAlignment="1" applyProtection="1">
      <alignment horizontal="center" vertical="center" shrinkToFit="1"/>
      <protection locked="0"/>
    </xf>
    <xf numFmtId="0" fontId="2" fillId="0" borderId="0" xfId="0" applyFont="1" applyProtection="1"/>
    <xf numFmtId="0" fontId="5" fillId="10" borderId="0" xfId="0" applyFont="1" applyFill="1" applyProtection="1"/>
    <xf numFmtId="0" fontId="1" fillId="0" borderId="37" xfId="0" applyFont="1" applyBorder="1"/>
    <xf numFmtId="44" fontId="4" fillId="0" borderId="37" xfId="0" applyNumberFormat="1" applyFont="1" applyFill="1" applyBorder="1" applyProtection="1">
      <protection locked="0"/>
    </xf>
    <xf numFmtId="0" fontId="3" fillId="0" borderId="0" xfId="0" applyFont="1" applyAlignment="1">
      <alignment horizontal="center"/>
    </xf>
    <xf numFmtId="0" fontId="0" fillId="5" borderId="0" xfId="0" applyFill="1" applyAlignment="1"/>
    <xf numFmtId="0" fontId="0" fillId="5" borderId="0" xfId="0" applyFill="1" applyAlignment="1">
      <alignment wrapText="1"/>
    </xf>
    <xf numFmtId="0" fontId="17" fillId="0" borderId="42" xfId="0" applyFont="1" applyBorder="1" applyAlignment="1" applyProtection="1">
      <alignment horizontal="center"/>
    </xf>
    <xf numFmtId="0" fontId="17" fillId="0" borderId="39" xfId="0" applyFont="1" applyBorder="1" applyAlignment="1" applyProtection="1">
      <alignment horizontal="center"/>
    </xf>
    <xf numFmtId="0" fontId="17" fillId="0" borderId="53" xfId="0" applyFont="1" applyBorder="1" applyAlignment="1" applyProtection="1">
      <alignment horizontal="center"/>
    </xf>
    <xf numFmtId="0" fontId="17" fillId="0" borderId="54" xfId="0" applyFont="1" applyBorder="1" applyAlignment="1" applyProtection="1">
      <alignment horizontal="center"/>
    </xf>
    <xf numFmtId="0" fontId="4" fillId="0" borderId="56" xfId="0" applyFont="1" applyBorder="1" applyAlignment="1">
      <alignment horizontal="center"/>
    </xf>
    <xf numFmtId="0" fontId="4" fillId="0" borderId="57" xfId="0" applyFont="1" applyBorder="1" applyAlignment="1">
      <alignment horizontal="center"/>
    </xf>
    <xf numFmtId="0" fontId="3" fillId="0" borderId="41" xfId="0" applyFont="1" applyBorder="1" applyAlignment="1">
      <alignment horizontal="center"/>
    </xf>
    <xf numFmtId="0" fontId="3" fillId="0" borderId="36" xfId="0" applyFont="1" applyBorder="1" applyAlignment="1">
      <alignment horizontal="center"/>
    </xf>
    <xf numFmtId="0" fontId="4" fillId="5" borderId="0" xfId="0" applyFont="1" applyFill="1" applyAlignment="1">
      <alignment wrapText="1"/>
    </xf>
    <xf numFmtId="0" fontId="18" fillId="0" borderId="49" xfId="0" applyFont="1" applyBorder="1" applyAlignment="1">
      <alignment horizontal="center"/>
    </xf>
    <xf numFmtId="0" fontId="18" fillId="0" borderId="50" xfId="0" applyFont="1" applyBorder="1" applyAlignment="1">
      <alignment horizontal="center"/>
    </xf>
    <xf numFmtId="0" fontId="3" fillId="0" borderId="42" xfId="0" applyFont="1" applyBorder="1" applyAlignment="1">
      <alignment horizontal="center"/>
    </xf>
    <xf numFmtId="0" fontId="3" fillId="0" borderId="39" xfId="0" applyFont="1" applyBorder="1" applyAlignment="1">
      <alignment horizontal="center"/>
    </xf>
    <xf numFmtId="0" fontId="17" fillId="12" borderId="42" xfId="0" applyFont="1" applyFill="1" applyBorder="1" applyAlignment="1" applyProtection="1">
      <alignment horizontal="center" wrapText="1"/>
      <protection locked="0"/>
    </xf>
    <xf numFmtId="0" fontId="17" fillId="12" borderId="39" xfId="0" applyFont="1" applyFill="1" applyBorder="1" applyAlignment="1" applyProtection="1">
      <alignment horizontal="center" wrapText="1"/>
      <protection locked="0"/>
    </xf>
    <xf numFmtId="0" fontId="17" fillId="12" borderId="53" xfId="0" applyFont="1" applyFill="1" applyBorder="1" applyAlignment="1" applyProtection="1">
      <alignment horizontal="center" wrapText="1"/>
      <protection locked="0"/>
    </xf>
    <xf numFmtId="0" fontId="17" fillId="12" borderId="54" xfId="0" applyFont="1" applyFill="1" applyBorder="1" applyAlignment="1" applyProtection="1">
      <alignment horizontal="center" wrapText="1"/>
      <protection locked="0"/>
    </xf>
    <xf numFmtId="0" fontId="4" fillId="0" borderId="49" xfId="0" applyFont="1" applyBorder="1" applyAlignment="1">
      <alignment horizontal="center"/>
    </xf>
    <xf numFmtId="0" fontId="4" fillId="0" borderId="50" xfId="0" applyFont="1" applyBorder="1" applyAlignment="1">
      <alignment horizontal="center"/>
    </xf>
    <xf numFmtId="0" fontId="15" fillId="0" borderId="0" xfId="0" applyFont="1" applyAlignment="1">
      <alignment horizontal="center"/>
    </xf>
    <xf numFmtId="0" fontId="21" fillId="12" borderId="1" xfId="0" applyFont="1" applyFill="1" applyBorder="1" applyAlignment="1" applyProtection="1">
      <alignment horizontal="center" vertical="center"/>
      <protection locked="0"/>
    </xf>
    <xf numFmtId="0" fontId="3" fillId="0" borderId="51" xfId="0" applyFont="1" applyBorder="1" applyAlignment="1">
      <alignment horizontal="center"/>
    </xf>
    <xf numFmtId="0" fontId="3" fillId="0" borderId="52" xfId="0" applyFont="1" applyBorder="1" applyAlignment="1">
      <alignment horizontal="center"/>
    </xf>
    <xf numFmtId="0" fontId="0" fillId="11" borderId="49" xfId="0" applyNumberFormat="1" applyFill="1" applyBorder="1" applyAlignment="1">
      <alignment horizontal="center"/>
    </xf>
    <xf numFmtId="0" fontId="0" fillId="11" borderId="53" xfId="0" applyNumberFormat="1" applyFill="1" applyBorder="1" applyAlignment="1">
      <alignment horizontal="center"/>
    </xf>
    <xf numFmtId="0" fontId="17" fillId="12" borderId="42" xfId="0" applyFont="1" applyFill="1" applyBorder="1" applyAlignment="1" applyProtection="1">
      <alignment horizontal="center"/>
      <protection locked="0"/>
    </xf>
    <xf numFmtId="0" fontId="17" fillId="12" borderId="39" xfId="0" applyFont="1" applyFill="1" applyBorder="1" applyAlignment="1" applyProtection="1">
      <alignment horizontal="center"/>
      <protection locked="0"/>
    </xf>
    <xf numFmtId="0" fontId="17" fillId="12" borderId="53" xfId="0" applyFont="1" applyFill="1" applyBorder="1" applyAlignment="1" applyProtection="1">
      <alignment horizontal="center"/>
      <protection locked="0"/>
    </xf>
    <xf numFmtId="0" fontId="17" fillId="12" borderId="54" xfId="0" applyFont="1" applyFill="1" applyBorder="1" applyAlignment="1" applyProtection="1">
      <alignment horizontal="center"/>
      <protection locked="0"/>
    </xf>
    <xf numFmtId="0" fontId="4" fillId="0" borderId="55" xfId="0" applyFont="1" applyBorder="1" applyAlignment="1">
      <alignment wrapText="1"/>
    </xf>
    <xf numFmtId="0" fontId="4" fillId="0" borderId="38" xfId="0" applyFont="1" applyBorder="1" applyAlignment="1">
      <alignment wrapText="1"/>
    </xf>
    <xf numFmtId="44" fontId="4" fillId="12" borderId="55" xfId="1" applyFont="1" applyFill="1" applyBorder="1" applyAlignment="1" applyProtection="1">
      <alignment horizontal="center"/>
      <protection locked="0"/>
    </xf>
    <xf numFmtId="44" fontId="4" fillId="12" borderId="38" xfId="1" applyFont="1" applyFill="1" applyBorder="1" applyAlignment="1" applyProtection="1">
      <alignment horizontal="center"/>
      <protection locked="0"/>
    </xf>
    <xf numFmtId="44" fontId="4" fillId="0" borderId="55" xfId="1" applyFont="1" applyBorder="1" applyAlignment="1">
      <alignment horizontal="center"/>
    </xf>
    <xf numFmtId="44" fontId="4" fillId="0" borderId="38" xfId="1" applyFont="1" applyBorder="1" applyAlignment="1">
      <alignment horizontal="center"/>
    </xf>
    <xf numFmtId="0" fontId="0" fillId="11" borderId="2" xfId="0" applyNumberFormat="1" applyFill="1" applyBorder="1" applyAlignment="1">
      <alignment horizontal="center"/>
    </xf>
    <xf numFmtId="0" fontId="0" fillId="11" borderId="72" xfId="0" applyNumberFormat="1" applyFill="1" applyBorder="1" applyAlignment="1">
      <alignment horizontal="center"/>
    </xf>
    <xf numFmtId="0" fontId="0" fillId="11" borderId="71" xfId="0" applyNumberFormat="1" applyFill="1" applyBorder="1" applyAlignment="1">
      <alignment horizontal="center"/>
    </xf>
    <xf numFmtId="0" fontId="0" fillId="11" borderId="3" xfId="0" applyNumberFormat="1" applyFill="1" applyBorder="1" applyAlignment="1">
      <alignment horizontal="center"/>
    </xf>
    <xf numFmtId="0" fontId="0" fillId="11" borderId="50" xfId="0" applyNumberFormat="1" applyFill="1" applyBorder="1" applyAlignment="1">
      <alignment horizontal="center"/>
    </xf>
    <xf numFmtId="0" fontId="0" fillId="11" borderId="1" xfId="0" applyNumberFormat="1" applyFill="1" applyBorder="1" applyAlignment="1">
      <alignment horizontal="center"/>
    </xf>
    <xf numFmtId="0" fontId="0" fillId="11" borderId="54" xfId="0" applyNumberFormat="1" applyFill="1" applyBorder="1" applyAlignment="1">
      <alignment horizontal="center"/>
    </xf>
    <xf numFmtId="0" fontId="6" fillId="8" borderId="21" xfId="0" applyFont="1" applyFill="1" applyBorder="1" applyAlignment="1">
      <alignment horizontal="center"/>
    </xf>
    <xf numFmtId="0" fontId="6" fillId="8" borderId="0" xfId="0" applyFont="1" applyFill="1" applyBorder="1" applyAlignment="1">
      <alignment horizontal="center"/>
    </xf>
    <xf numFmtId="0" fontId="6" fillId="8" borderId="20" xfId="0" applyFont="1" applyFill="1" applyBorder="1" applyAlignment="1">
      <alignment horizontal="center"/>
    </xf>
    <xf numFmtId="0" fontId="0" fillId="0" borderId="0" xfId="0" applyBorder="1" applyAlignment="1"/>
    <xf numFmtId="0" fontId="3" fillId="3" borderId="0" xfId="0" applyFont="1" applyFill="1" applyBorder="1" applyAlignment="1"/>
    <xf numFmtId="0" fontId="3" fillId="0" borderId="0" xfId="0" applyFont="1" applyBorder="1" applyAlignment="1"/>
    <xf numFmtId="0" fontId="3" fillId="2" borderId="0" xfId="0" applyFont="1" applyFill="1" applyBorder="1" applyAlignment="1"/>
    <xf numFmtId="0" fontId="0" fillId="12" borderId="1" xfId="0" applyFill="1" applyBorder="1" applyAlignment="1" applyProtection="1">
      <alignment horizontal="left" vertical="center"/>
      <protection locked="0"/>
    </xf>
    <xf numFmtId="0" fontId="3" fillId="0" borderId="21" xfId="0" applyFont="1" applyBorder="1" applyAlignment="1"/>
    <xf numFmtId="0" fontId="3" fillId="0" borderId="21" xfId="0" applyFont="1" applyBorder="1" applyAlignment="1">
      <alignment horizontal="left"/>
    </xf>
    <xf numFmtId="0" fontId="3" fillId="0" borderId="0" xfId="0" applyFont="1" applyBorder="1" applyAlignment="1">
      <alignment horizontal="left"/>
    </xf>
    <xf numFmtId="0" fontId="4" fillId="0" borderId="1" xfId="0" applyFont="1" applyBorder="1" applyAlignment="1">
      <alignment horizontal="left" vertical="center"/>
    </xf>
    <xf numFmtId="0" fontId="0" fillId="0" borderId="21" xfId="0" applyBorder="1" applyAlignment="1">
      <alignment horizontal="center" shrinkToFit="1"/>
    </xf>
    <xf numFmtId="0" fontId="0" fillId="0" borderId="0" xfId="0" applyBorder="1" applyAlignment="1">
      <alignment horizontal="center" shrinkToFit="1"/>
    </xf>
    <xf numFmtId="0" fontId="0" fillId="0" borderId="20" xfId="0" applyBorder="1" applyAlignment="1">
      <alignment horizontal="center" shrinkToFit="1"/>
    </xf>
    <xf numFmtId="0" fontId="4" fillId="0" borderId="0" xfId="0" applyFont="1" applyBorder="1" applyAlignment="1"/>
    <xf numFmtId="0" fontId="3" fillId="7" borderId="21" xfId="0" applyFont="1" applyFill="1" applyBorder="1" applyAlignment="1"/>
    <xf numFmtId="0" fontId="3" fillId="7" borderId="0" xfId="0" applyFont="1" applyFill="1" applyBorder="1" applyAlignment="1"/>
    <xf numFmtId="0" fontId="4" fillId="0" borderId="0" xfId="0" applyFont="1" applyBorder="1" applyAlignment="1">
      <alignment horizontal="left" wrapText="1"/>
    </xf>
    <xf numFmtId="0" fontId="3" fillId="0" borderId="1" xfId="0" applyFont="1" applyFill="1" applyBorder="1" applyAlignment="1">
      <alignment horizontal="center"/>
    </xf>
    <xf numFmtId="0" fontId="21" fillId="0" borderId="1" xfId="0" applyFont="1" applyFill="1" applyBorder="1" applyAlignment="1" applyProtection="1">
      <alignment horizontal="center"/>
    </xf>
    <xf numFmtId="0" fontId="3" fillId="5" borderId="21" xfId="0" applyFont="1" applyFill="1" applyBorder="1" applyAlignment="1"/>
    <xf numFmtId="0" fontId="3" fillId="5" borderId="0" xfId="0" applyFont="1" applyFill="1" applyBorder="1" applyAlignment="1"/>
    <xf numFmtId="0" fontId="0" fillId="2" borderId="0" xfId="0" applyFill="1" applyBorder="1" applyAlignment="1"/>
    <xf numFmtId="0" fontId="1" fillId="12" borderId="1" xfId="0" applyFont="1" applyFill="1" applyBorder="1" applyAlignment="1" applyProtection="1">
      <alignment horizontal="left" vertical="center"/>
      <protection locked="0"/>
    </xf>
    <xf numFmtId="0" fontId="3" fillId="2" borderId="21" xfId="0" applyFont="1" applyFill="1" applyBorder="1" applyAlignment="1"/>
    <xf numFmtId="0" fontId="0" fillId="0" borderId="48" xfId="0" applyFill="1" applyBorder="1" applyAlignment="1"/>
    <xf numFmtId="0" fontId="0" fillId="0" borderId="12" xfId="0" applyFill="1" applyBorder="1" applyAlignment="1"/>
    <xf numFmtId="4" fontId="5" fillId="0" borderId="0" xfId="0" applyNumberFormat="1" applyFont="1" applyBorder="1" applyAlignment="1"/>
    <xf numFmtId="0" fontId="0" fillId="0" borderId="58" xfId="0" applyFill="1" applyBorder="1" applyAlignment="1"/>
    <xf numFmtId="0" fontId="0" fillId="0" borderId="0" xfId="0" applyFill="1" applyBorder="1" applyAlignment="1"/>
    <xf numFmtId="0" fontId="0" fillId="0" borderId="59" xfId="0" applyFill="1" applyBorder="1" applyAlignment="1">
      <alignment horizontal="left" vertical="top" wrapText="1"/>
    </xf>
    <xf numFmtId="0" fontId="0" fillId="0" borderId="9" xfId="0" applyFill="1" applyBorder="1" applyAlignment="1">
      <alignment horizontal="left" vertical="top" wrapText="1"/>
    </xf>
    <xf numFmtId="0" fontId="0" fillId="0" borderId="58" xfId="0" applyFill="1" applyBorder="1" applyAlignment="1">
      <alignment horizontal="left" vertical="top" wrapText="1"/>
    </xf>
    <xf numFmtId="0" fontId="0" fillId="0" borderId="0" xfId="0" applyFill="1" applyBorder="1" applyAlignment="1">
      <alignment horizontal="left" vertical="top" wrapText="1"/>
    </xf>
    <xf numFmtId="0" fontId="0" fillId="0" borderId="60" xfId="0" applyFill="1" applyBorder="1" applyAlignment="1"/>
    <xf numFmtId="0" fontId="0" fillId="0" borderId="14" xfId="0" applyFill="1" applyBorder="1" applyAlignment="1"/>
    <xf numFmtId="0" fontId="0" fillId="0" borderId="59" xfId="0" applyFill="1" applyBorder="1" applyAlignment="1"/>
    <xf numFmtId="0" fontId="0" fillId="0" borderId="9" xfId="0" applyFill="1" applyBorder="1" applyAlignment="1"/>
    <xf numFmtId="0" fontId="1" fillId="9" borderId="1" xfId="0" applyFont="1" applyFill="1" applyBorder="1" applyAlignment="1" applyProtection="1">
      <alignment horizontal="left" vertical="center"/>
      <protection locked="0"/>
    </xf>
    <xf numFmtId="0" fontId="0" fillId="9" borderId="1" xfId="0" applyFill="1" applyBorder="1" applyAlignment="1" applyProtection="1">
      <alignment horizontal="left" vertical="center"/>
      <protection locked="0"/>
    </xf>
    <xf numFmtId="0" fontId="3" fillId="12" borderId="0" xfId="0" applyFont="1" applyFill="1" applyBorder="1" applyAlignment="1"/>
    <xf numFmtId="0" fontId="3" fillId="0" borderId="0" xfId="0" applyFont="1" applyAlignment="1"/>
    <xf numFmtId="0" fontId="0" fillId="0" borderId="1" xfId="0" applyFill="1" applyBorder="1" applyAlignment="1">
      <alignment horizontal="left"/>
    </xf>
    <xf numFmtId="0" fontId="1" fillId="0" borderId="1" xfId="0" applyFont="1" applyFill="1" applyBorder="1" applyAlignment="1">
      <alignment horizontal="left"/>
    </xf>
    <xf numFmtId="0" fontId="3" fillId="3" borderId="21" xfId="0" applyFont="1" applyFill="1" applyBorder="1" applyAlignment="1"/>
    <xf numFmtId="0" fontId="0" fillId="0" borderId="21" xfId="0" applyBorder="1" applyAlignment="1"/>
    <xf numFmtId="0" fontId="0" fillId="0" borderId="18" xfId="0" applyBorder="1" applyAlignment="1"/>
    <xf numFmtId="0" fontId="0" fillId="0" borderId="16" xfId="0" applyBorder="1" applyAlignment="1"/>
    <xf numFmtId="0" fontId="0" fillId="12" borderId="1" xfId="0" applyFill="1" applyBorder="1" applyAlignment="1" applyProtection="1">
      <alignment vertical="center"/>
      <protection locked="0"/>
    </xf>
    <xf numFmtId="165" fontId="18" fillId="12" borderId="1" xfId="0" applyNumberFormat="1" applyFont="1" applyFill="1" applyBorder="1" applyAlignment="1" applyProtection="1">
      <alignment horizontal="center" vertical="center"/>
      <protection locked="0"/>
    </xf>
    <xf numFmtId="165" fontId="0" fillId="12" borderId="1" xfId="0" applyNumberFormat="1" applyFill="1" applyBorder="1" applyAlignment="1" applyProtection="1">
      <alignment horizontal="center" vertical="center"/>
      <protection locked="0"/>
    </xf>
    <xf numFmtId="0" fontId="3" fillId="0" borderId="0" xfId="0" applyFont="1" applyAlignment="1">
      <alignment horizontal="center"/>
    </xf>
    <xf numFmtId="0" fontId="21" fillId="0" borderId="1" xfId="0" applyFont="1" applyFill="1" applyBorder="1" applyAlignment="1">
      <alignment horizontal="center"/>
    </xf>
    <xf numFmtId="0" fontId="0" fillId="0" borderId="21" xfId="0" applyFill="1" applyBorder="1" applyAlignment="1"/>
    <xf numFmtId="0" fontId="0" fillId="0" borderId="65" xfId="0" applyFill="1" applyBorder="1" applyAlignment="1"/>
    <xf numFmtId="0" fontId="0" fillId="12" borderId="61" xfId="0" applyFill="1" applyBorder="1" applyAlignment="1" applyProtection="1">
      <alignment horizontal="left" vertical="center"/>
      <protection locked="0"/>
    </xf>
    <xf numFmtId="0" fontId="0" fillId="12" borderId="2" xfId="0" applyFill="1" applyBorder="1" applyAlignment="1" applyProtection="1">
      <alignment horizontal="left" vertical="center"/>
      <protection locked="0"/>
    </xf>
    <xf numFmtId="0" fontId="0" fillId="12" borderId="63" xfId="0" applyFill="1" applyBorder="1" applyAlignment="1" applyProtection="1">
      <alignment horizontal="left" vertical="center"/>
      <protection locked="0"/>
    </xf>
    <xf numFmtId="0" fontId="3" fillId="0" borderId="0" xfId="0" applyFont="1" applyBorder="1" applyAlignment="1">
      <alignment horizontal="center"/>
    </xf>
    <xf numFmtId="0" fontId="0" fillId="0" borderId="61" xfId="0" applyBorder="1" applyAlignment="1"/>
    <xf numFmtId="0" fontId="0" fillId="0" borderId="2" xfId="0" applyBorder="1" applyAlignment="1"/>
    <xf numFmtId="0" fontId="0" fillId="0" borderId="63" xfId="0" applyBorder="1" applyAlignment="1"/>
    <xf numFmtId="0" fontId="3" fillId="0" borderId="30" xfId="0" applyFont="1" applyBorder="1" applyAlignment="1" applyProtection="1">
      <alignment horizontal="right"/>
    </xf>
    <xf numFmtId="0" fontId="3" fillId="0" borderId="3" xfId="0" applyFont="1" applyBorder="1" applyAlignment="1" applyProtection="1">
      <alignment horizontal="right"/>
    </xf>
    <xf numFmtId="0" fontId="23" fillId="12" borderId="34" xfId="0" applyFont="1" applyFill="1" applyBorder="1" applyAlignment="1" applyProtection="1">
      <alignment horizontal="left" vertical="center" shrinkToFit="1"/>
      <protection locked="0"/>
    </xf>
    <xf numFmtId="0" fontId="23" fillId="12" borderId="1" xfId="0" applyFont="1" applyFill="1" applyBorder="1" applyAlignment="1" applyProtection="1">
      <alignment horizontal="left" vertical="center" shrinkToFit="1"/>
      <protection locked="0"/>
    </xf>
    <xf numFmtId="0" fontId="1" fillId="12" borderId="83" xfId="0" applyFont="1" applyFill="1" applyBorder="1" applyAlignment="1" applyProtection="1">
      <alignment horizontal="left" vertical="center" shrinkToFit="1"/>
      <protection locked="0"/>
    </xf>
    <xf numFmtId="0" fontId="1" fillId="12" borderId="66" xfId="0" applyFont="1" applyFill="1" applyBorder="1" applyAlignment="1" applyProtection="1">
      <alignment horizontal="left" vertical="center" shrinkToFit="1"/>
      <protection locked="0"/>
    </xf>
    <xf numFmtId="0" fontId="26" fillId="0" borderId="0" xfId="0" applyFont="1" applyProtection="1"/>
    <xf numFmtId="0" fontId="3" fillId="0" borderId="0" xfId="0" applyFont="1" applyAlignment="1" applyProtection="1"/>
    <xf numFmtId="0" fontId="3" fillId="0" borderId="18" xfId="0" applyFont="1" applyBorder="1" applyAlignment="1" applyProtection="1">
      <alignment horizontal="center"/>
    </xf>
    <xf numFmtId="0" fontId="3" fillId="0" borderId="16" xfId="0" applyFont="1" applyBorder="1" applyAlignment="1" applyProtection="1">
      <alignment horizontal="center"/>
    </xf>
    <xf numFmtId="0" fontId="3" fillId="0" borderId="19" xfId="0" applyFont="1" applyBorder="1" applyAlignment="1" applyProtection="1">
      <alignment horizontal="center"/>
    </xf>
    <xf numFmtId="0" fontId="3" fillId="0" borderId="0" xfId="0" applyFont="1" applyBorder="1" applyAlignment="1" applyProtection="1">
      <alignment horizontal="center"/>
    </xf>
    <xf numFmtId="0" fontId="3" fillId="0" borderId="20" xfId="0" applyFont="1" applyBorder="1" applyAlignment="1" applyProtection="1">
      <alignment horizontal="center"/>
    </xf>
    <xf numFmtId="0" fontId="3" fillId="0" borderId="21" xfId="0" applyFont="1" applyBorder="1" applyAlignment="1" applyProtection="1">
      <alignment horizontal="center"/>
    </xf>
    <xf numFmtId="0" fontId="5" fillId="0" borderId="21" xfId="0" applyFont="1" applyBorder="1" applyAlignment="1" applyProtection="1">
      <alignment horizontal="center"/>
    </xf>
    <xf numFmtId="0" fontId="5" fillId="0" borderId="0" xfId="0" applyFont="1" applyBorder="1" applyAlignment="1" applyProtection="1">
      <alignment horizontal="center"/>
    </xf>
    <xf numFmtId="0" fontId="1" fillId="0" borderId="0" xfId="0" applyFont="1" applyProtection="1"/>
    <xf numFmtId="0" fontId="0" fillId="12" borderId="64" xfId="0" applyFill="1" applyBorder="1" applyAlignment="1" applyProtection="1">
      <alignment horizontal="left" vertical="center"/>
      <protection locked="0"/>
    </xf>
    <xf numFmtId="0" fontId="1" fillId="12" borderId="64" xfId="0" applyFont="1" applyFill="1" applyBorder="1" applyAlignment="1" applyProtection="1">
      <protection locked="0"/>
    </xf>
    <xf numFmtId="0" fontId="0" fillId="12" borderId="1" xfId="0" applyFill="1" applyBorder="1" applyAlignment="1" applyProtection="1">
      <protection locked="0"/>
    </xf>
    <xf numFmtId="0" fontId="0" fillId="12" borderId="2" xfId="0" applyFill="1" applyBorder="1" applyAlignment="1" applyProtection="1">
      <protection locked="0"/>
    </xf>
    <xf numFmtId="0" fontId="3" fillId="0" borderId="18" xfId="0" applyFont="1" applyBorder="1" applyAlignment="1">
      <alignment horizontal="center"/>
    </xf>
    <xf numFmtId="0" fontId="3" fillId="0" borderId="16" xfId="0" applyFont="1" applyBorder="1" applyAlignment="1">
      <alignment horizontal="center"/>
    </xf>
    <xf numFmtId="0" fontId="3" fillId="0" borderId="19" xfId="0" applyFont="1" applyBorder="1" applyAlignment="1">
      <alignment horizontal="center"/>
    </xf>
    <xf numFmtId="0" fontId="5" fillId="0" borderId="21" xfId="0" applyFont="1" applyBorder="1" applyAlignment="1">
      <alignment horizontal="center"/>
    </xf>
    <xf numFmtId="0" fontId="5" fillId="0" borderId="0" xfId="0" applyFont="1" applyBorder="1" applyAlignment="1">
      <alignment horizontal="center"/>
    </xf>
    <xf numFmtId="0" fontId="0" fillId="12" borderId="64" xfId="0" applyFill="1" applyBorder="1" applyAlignment="1" applyProtection="1">
      <protection locked="0"/>
    </xf>
    <xf numFmtId="0" fontId="1" fillId="12" borderId="64" xfId="0" applyFont="1" applyFill="1" applyBorder="1" applyAlignment="1" applyProtection="1">
      <alignment horizontal="left" vertical="center"/>
      <protection locked="0"/>
    </xf>
    <xf numFmtId="0" fontId="18" fillId="0" borderId="0" xfId="0" applyFont="1" applyBorder="1" applyAlignment="1"/>
    <xf numFmtId="0" fontId="3" fillId="0" borderId="18" xfId="0" applyFont="1" applyBorder="1" applyAlignment="1"/>
    <xf numFmtId="0" fontId="3" fillId="0" borderId="16" xfId="0" applyFont="1" applyBorder="1" applyAlignment="1"/>
    <xf numFmtId="0" fontId="1" fillId="12" borderId="2" xfId="0" applyFont="1" applyFill="1" applyBorder="1" applyAlignment="1" applyProtection="1">
      <alignment horizontal="left" vertical="center"/>
      <protection locked="0"/>
    </xf>
    <xf numFmtId="0" fontId="1" fillId="0" borderId="0" xfId="0" applyFont="1" applyFill="1" applyBorder="1" applyAlignment="1" applyProtection="1">
      <alignment horizontal="left" vertical="center"/>
    </xf>
    <xf numFmtId="0" fontId="0" fillId="0" borderId="1" xfId="0" applyFill="1" applyBorder="1" applyAlignment="1" applyProtection="1">
      <alignment horizontal="left" vertical="center"/>
    </xf>
    <xf numFmtId="0" fontId="1" fillId="0" borderId="1" xfId="0" applyFont="1" applyFill="1" applyBorder="1" applyAlignment="1" applyProtection="1">
      <alignment horizontal="left" vertical="center"/>
    </xf>
    <xf numFmtId="0" fontId="4" fillId="0" borderId="0" xfId="0" applyFont="1" applyBorder="1" applyAlignment="1">
      <alignment horizontal="left" vertical="center" wrapText="1"/>
    </xf>
    <xf numFmtId="0" fontId="5" fillId="2" borderId="0" xfId="0" applyFont="1" applyFill="1" applyBorder="1" applyAlignment="1" applyProtection="1">
      <alignment horizontal="left"/>
    </xf>
    <xf numFmtId="0" fontId="0" fillId="2" borderId="0" xfId="0" applyFill="1" applyBorder="1" applyAlignment="1" applyProtection="1">
      <alignment horizontal="left"/>
    </xf>
    <xf numFmtId="0" fontId="2" fillId="0" borderId="0" xfId="0" applyFont="1" applyBorder="1" applyAlignment="1">
      <alignment horizontal="left" vertical="center" wrapText="1"/>
    </xf>
    <xf numFmtId="0" fontId="5" fillId="0" borderId="0" xfId="0" applyFont="1" applyFill="1" applyBorder="1" applyAlignment="1" applyProtection="1">
      <alignment horizontal="left" vertical="center"/>
    </xf>
    <xf numFmtId="0" fontId="1" fillId="12" borderId="1" xfId="0" applyFont="1" applyFill="1" applyBorder="1" applyAlignment="1" applyProtection="1">
      <protection locked="0"/>
    </xf>
    <xf numFmtId="0" fontId="1" fillId="12" borderId="2" xfId="0" applyFont="1" applyFill="1" applyBorder="1" applyAlignment="1" applyProtection="1">
      <protection locked="0"/>
    </xf>
  </cellXfs>
  <cellStyles count="2">
    <cellStyle name="Currency"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6</xdr:col>
      <xdr:colOff>209550</xdr:colOff>
      <xdr:row>18</xdr:row>
      <xdr:rowOff>28575</xdr:rowOff>
    </xdr:from>
    <xdr:to>
      <xdr:col>6</xdr:col>
      <xdr:colOff>428625</xdr:colOff>
      <xdr:row>21</xdr:row>
      <xdr:rowOff>104775</xdr:rowOff>
    </xdr:to>
    <xdr:sp macro="" textlink="">
      <xdr:nvSpPr>
        <xdr:cNvPr id="6178" name="AutoShape 1"/>
        <xdr:cNvSpPr>
          <a:spLocks/>
        </xdr:cNvSpPr>
      </xdr:nvSpPr>
      <xdr:spPr bwMode="auto">
        <a:xfrm>
          <a:off x="6877050" y="3028950"/>
          <a:ext cx="219075" cy="561975"/>
        </a:xfrm>
        <a:prstGeom prst="rightBrace">
          <a:avLst>
            <a:gd name="adj1" fmla="val 21377"/>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6</xdr:col>
      <xdr:colOff>209550</xdr:colOff>
      <xdr:row>11</xdr:row>
      <xdr:rowOff>38100</xdr:rowOff>
    </xdr:from>
    <xdr:to>
      <xdr:col>6</xdr:col>
      <xdr:colOff>428625</xdr:colOff>
      <xdr:row>17</xdr:row>
      <xdr:rowOff>123825</xdr:rowOff>
    </xdr:to>
    <xdr:sp macro="" textlink="">
      <xdr:nvSpPr>
        <xdr:cNvPr id="6179" name="AutoShape 2"/>
        <xdr:cNvSpPr>
          <a:spLocks/>
        </xdr:cNvSpPr>
      </xdr:nvSpPr>
      <xdr:spPr bwMode="auto">
        <a:xfrm>
          <a:off x="6877050" y="1905000"/>
          <a:ext cx="219075" cy="1057275"/>
        </a:xfrm>
        <a:prstGeom prst="rightBrace">
          <a:avLst>
            <a:gd name="adj1" fmla="val 40217"/>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6</xdr:col>
      <xdr:colOff>219075</xdr:colOff>
      <xdr:row>22</xdr:row>
      <xdr:rowOff>38100</xdr:rowOff>
    </xdr:from>
    <xdr:to>
      <xdr:col>6</xdr:col>
      <xdr:colOff>438150</xdr:colOff>
      <xdr:row>31</xdr:row>
      <xdr:rowOff>123825</xdr:rowOff>
    </xdr:to>
    <xdr:sp macro="" textlink="">
      <xdr:nvSpPr>
        <xdr:cNvPr id="6180" name="AutoShape 3"/>
        <xdr:cNvSpPr>
          <a:spLocks/>
        </xdr:cNvSpPr>
      </xdr:nvSpPr>
      <xdr:spPr bwMode="auto">
        <a:xfrm>
          <a:off x="6886575" y="3686175"/>
          <a:ext cx="219075" cy="1543050"/>
        </a:xfrm>
        <a:prstGeom prst="rightBrace">
          <a:avLst>
            <a:gd name="adj1" fmla="val 58696"/>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6</xdr:col>
      <xdr:colOff>209550</xdr:colOff>
      <xdr:row>41</xdr:row>
      <xdr:rowOff>57150</xdr:rowOff>
    </xdr:from>
    <xdr:to>
      <xdr:col>6</xdr:col>
      <xdr:colOff>428625</xdr:colOff>
      <xdr:row>45</xdr:row>
      <xdr:rowOff>95250</xdr:rowOff>
    </xdr:to>
    <xdr:sp macro="" textlink="">
      <xdr:nvSpPr>
        <xdr:cNvPr id="6181" name="AutoShape 4"/>
        <xdr:cNvSpPr>
          <a:spLocks/>
        </xdr:cNvSpPr>
      </xdr:nvSpPr>
      <xdr:spPr bwMode="auto">
        <a:xfrm>
          <a:off x="6877050" y="6819900"/>
          <a:ext cx="219075" cy="704850"/>
        </a:xfrm>
        <a:prstGeom prst="rightBrace">
          <a:avLst>
            <a:gd name="adj1" fmla="val 26812"/>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200025</xdr:colOff>
      <xdr:row>5</xdr:row>
      <xdr:rowOff>104775</xdr:rowOff>
    </xdr:from>
    <xdr:to>
      <xdr:col>16</xdr:col>
      <xdr:colOff>419100</xdr:colOff>
      <xdr:row>12</xdr:row>
      <xdr:rowOff>95250</xdr:rowOff>
    </xdr:to>
    <xdr:sp macro="" textlink="">
      <xdr:nvSpPr>
        <xdr:cNvPr id="1188" name="AutoShape 1"/>
        <xdr:cNvSpPr>
          <a:spLocks/>
        </xdr:cNvSpPr>
      </xdr:nvSpPr>
      <xdr:spPr bwMode="auto">
        <a:xfrm>
          <a:off x="6438900" y="1247775"/>
          <a:ext cx="219075" cy="1123950"/>
        </a:xfrm>
        <a:prstGeom prst="rightBrace">
          <a:avLst>
            <a:gd name="adj1" fmla="val 42754"/>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16</xdr:col>
      <xdr:colOff>209550</xdr:colOff>
      <xdr:row>16</xdr:row>
      <xdr:rowOff>57150</xdr:rowOff>
    </xdr:from>
    <xdr:to>
      <xdr:col>16</xdr:col>
      <xdr:colOff>428625</xdr:colOff>
      <xdr:row>20</xdr:row>
      <xdr:rowOff>133350</xdr:rowOff>
    </xdr:to>
    <xdr:sp macro="" textlink="">
      <xdr:nvSpPr>
        <xdr:cNvPr id="1189" name="AutoShape 2"/>
        <xdr:cNvSpPr>
          <a:spLocks/>
        </xdr:cNvSpPr>
      </xdr:nvSpPr>
      <xdr:spPr bwMode="auto">
        <a:xfrm>
          <a:off x="6448425" y="2981325"/>
          <a:ext cx="219075" cy="723900"/>
        </a:xfrm>
        <a:prstGeom prst="rightBrace">
          <a:avLst>
            <a:gd name="adj1" fmla="val 27536"/>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16</xdr:col>
      <xdr:colOff>219075</xdr:colOff>
      <xdr:row>21</xdr:row>
      <xdr:rowOff>66675</xdr:rowOff>
    </xdr:from>
    <xdr:to>
      <xdr:col>16</xdr:col>
      <xdr:colOff>438150</xdr:colOff>
      <xdr:row>27</xdr:row>
      <xdr:rowOff>142875</xdr:rowOff>
    </xdr:to>
    <xdr:sp macro="" textlink="">
      <xdr:nvSpPr>
        <xdr:cNvPr id="1190" name="AutoShape 3"/>
        <xdr:cNvSpPr>
          <a:spLocks/>
        </xdr:cNvSpPr>
      </xdr:nvSpPr>
      <xdr:spPr bwMode="auto">
        <a:xfrm>
          <a:off x="6457950" y="3962400"/>
          <a:ext cx="219075" cy="723900"/>
        </a:xfrm>
        <a:prstGeom prst="rightBrace">
          <a:avLst>
            <a:gd name="adj1" fmla="val 27536"/>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16</xdr:col>
      <xdr:colOff>209550</xdr:colOff>
      <xdr:row>28</xdr:row>
      <xdr:rowOff>95250</xdr:rowOff>
    </xdr:from>
    <xdr:to>
      <xdr:col>16</xdr:col>
      <xdr:colOff>428625</xdr:colOff>
      <xdr:row>33</xdr:row>
      <xdr:rowOff>95250</xdr:rowOff>
    </xdr:to>
    <xdr:sp macro="" textlink="">
      <xdr:nvSpPr>
        <xdr:cNvPr id="1191" name="AutoShape 4"/>
        <xdr:cNvSpPr>
          <a:spLocks/>
        </xdr:cNvSpPr>
      </xdr:nvSpPr>
      <xdr:spPr bwMode="auto">
        <a:xfrm>
          <a:off x="6448425" y="4962525"/>
          <a:ext cx="219075" cy="485775"/>
        </a:xfrm>
        <a:prstGeom prst="rightBrace">
          <a:avLst>
            <a:gd name="adj1" fmla="val 18478"/>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16</xdr:col>
      <xdr:colOff>200025</xdr:colOff>
      <xdr:row>34</xdr:row>
      <xdr:rowOff>95250</xdr:rowOff>
    </xdr:from>
    <xdr:to>
      <xdr:col>16</xdr:col>
      <xdr:colOff>419100</xdr:colOff>
      <xdr:row>39</xdr:row>
      <xdr:rowOff>95250</xdr:rowOff>
    </xdr:to>
    <xdr:sp macro="" textlink="">
      <xdr:nvSpPr>
        <xdr:cNvPr id="1192" name="AutoShape 5"/>
        <xdr:cNvSpPr>
          <a:spLocks/>
        </xdr:cNvSpPr>
      </xdr:nvSpPr>
      <xdr:spPr bwMode="auto">
        <a:xfrm>
          <a:off x="6438900" y="5772150"/>
          <a:ext cx="219075" cy="485775"/>
        </a:xfrm>
        <a:prstGeom prst="rightBrace">
          <a:avLst>
            <a:gd name="adj1" fmla="val 18478"/>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16</xdr:col>
      <xdr:colOff>200025</xdr:colOff>
      <xdr:row>46</xdr:row>
      <xdr:rowOff>133350</xdr:rowOff>
    </xdr:from>
    <xdr:to>
      <xdr:col>16</xdr:col>
      <xdr:colOff>419100</xdr:colOff>
      <xdr:row>51</xdr:row>
      <xdr:rowOff>0</xdr:rowOff>
    </xdr:to>
    <xdr:sp macro="" textlink="">
      <xdr:nvSpPr>
        <xdr:cNvPr id="1193" name="AutoShape 6"/>
        <xdr:cNvSpPr>
          <a:spLocks/>
        </xdr:cNvSpPr>
      </xdr:nvSpPr>
      <xdr:spPr bwMode="auto">
        <a:xfrm>
          <a:off x="6438900" y="6619875"/>
          <a:ext cx="219075" cy="685800"/>
        </a:xfrm>
        <a:prstGeom prst="rightBrace">
          <a:avLst>
            <a:gd name="adj1" fmla="val 26087"/>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16</xdr:col>
      <xdr:colOff>209550</xdr:colOff>
      <xdr:row>0</xdr:row>
      <xdr:rowOff>57150</xdr:rowOff>
    </xdr:from>
    <xdr:to>
      <xdr:col>16</xdr:col>
      <xdr:colOff>428625</xdr:colOff>
      <xdr:row>2</xdr:row>
      <xdr:rowOff>0</xdr:rowOff>
    </xdr:to>
    <xdr:sp macro="" textlink="">
      <xdr:nvSpPr>
        <xdr:cNvPr id="1194" name="AutoShape 7"/>
        <xdr:cNvSpPr>
          <a:spLocks/>
        </xdr:cNvSpPr>
      </xdr:nvSpPr>
      <xdr:spPr bwMode="auto">
        <a:xfrm>
          <a:off x="6448425" y="57150"/>
          <a:ext cx="219075" cy="485775"/>
        </a:xfrm>
        <a:prstGeom prst="rightBrace">
          <a:avLst>
            <a:gd name="adj1" fmla="val 18478"/>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16</xdr:col>
      <xdr:colOff>219075</xdr:colOff>
      <xdr:row>61</xdr:row>
      <xdr:rowOff>19050</xdr:rowOff>
    </xdr:from>
    <xdr:to>
      <xdr:col>16</xdr:col>
      <xdr:colOff>438150</xdr:colOff>
      <xdr:row>65</xdr:row>
      <xdr:rowOff>0</xdr:rowOff>
    </xdr:to>
    <xdr:sp macro="" textlink="">
      <xdr:nvSpPr>
        <xdr:cNvPr id="1195" name="AutoShape 8"/>
        <xdr:cNvSpPr>
          <a:spLocks/>
        </xdr:cNvSpPr>
      </xdr:nvSpPr>
      <xdr:spPr bwMode="auto">
        <a:xfrm>
          <a:off x="6457950" y="9134475"/>
          <a:ext cx="219075" cy="638175"/>
        </a:xfrm>
        <a:prstGeom prst="rightBrace">
          <a:avLst>
            <a:gd name="adj1" fmla="val 24275"/>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16</xdr:col>
      <xdr:colOff>209550</xdr:colOff>
      <xdr:row>65</xdr:row>
      <xdr:rowOff>28575</xdr:rowOff>
    </xdr:from>
    <xdr:to>
      <xdr:col>16</xdr:col>
      <xdr:colOff>428625</xdr:colOff>
      <xdr:row>68</xdr:row>
      <xdr:rowOff>28575</xdr:rowOff>
    </xdr:to>
    <xdr:sp macro="" textlink="">
      <xdr:nvSpPr>
        <xdr:cNvPr id="1196" name="AutoShape 9"/>
        <xdr:cNvSpPr>
          <a:spLocks/>
        </xdr:cNvSpPr>
      </xdr:nvSpPr>
      <xdr:spPr bwMode="auto">
        <a:xfrm>
          <a:off x="6448425" y="9801225"/>
          <a:ext cx="219075" cy="485775"/>
        </a:xfrm>
        <a:prstGeom prst="rightBrace">
          <a:avLst>
            <a:gd name="adj1" fmla="val 18478"/>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16</xdr:col>
      <xdr:colOff>209550</xdr:colOff>
      <xdr:row>70</xdr:row>
      <xdr:rowOff>28575</xdr:rowOff>
    </xdr:from>
    <xdr:to>
      <xdr:col>16</xdr:col>
      <xdr:colOff>428625</xdr:colOff>
      <xdr:row>71</xdr:row>
      <xdr:rowOff>133350</xdr:rowOff>
    </xdr:to>
    <xdr:sp macro="" textlink="">
      <xdr:nvSpPr>
        <xdr:cNvPr id="1197" name="AutoShape 12"/>
        <xdr:cNvSpPr>
          <a:spLocks/>
        </xdr:cNvSpPr>
      </xdr:nvSpPr>
      <xdr:spPr bwMode="auto">
        <a:xfrm>
          <a:off x="6448425" y="10782300"/>
          <a:ext cx="219075" cy="266700"/>
        </a:xfrm>
        <a:prstGeom prst="rightBrace">
          <a:avLst>
            <a:gd name="adj1" fmla="val 10145"/>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16</xdr:col>
      <xdr:colOff>219075</xdr:colOff>
      <xdr:row>72</xdr:row>
      <xdr:rowOff>9525</xdr:rowOff>
    </xdr:from>
    <xdr:to>
      <xdr:col>16</xdr:col>
      <xdr:colOff>438150</xdr:colOff>
      <xdr:row>75</xdr:row>
      <xdr:rowOff>9525</xdr:rowOff>
    </xdr:to>
    <xdr:sp macro="" textlink="">
      <xdr:nvSpPr>
        <xdr:cNvPr id="1198" name="AutoShape 13"/>
        <xdr:cNvSpPr>
          <a:spLocks/>
        </xdr:cNvSpPr>
      </xdr:nvSpPr>
      <xdr:spPr bwMode="auto">
        <a:xfrm>
          <a:off x="6457950" y="11096625"/>
          <a:ext cx="219075" cy="485775"/>
        </a:xfrm>
        <a:prstGeom prst="rightBrace">
          <a:avLst>
            <a:gd name="adj1" fmla="val 18478"/>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16</xdr:col>
      <xdr:colOff>200025</xdr:colOff>
      <xdr:row>77</xdr:row>
      <xdr:rowOff>28575</xdr:rowOff>
    </xdr:from>
    <xdr:to>
      <xdr:col>16</xdr:col>
      <xdr:colOff>419100</xdr:colOff>
      <xdr:row>77</xdr:row>
      <xdr:rowOff>152400</xdr:rowOff>
    </xdr:to>
    <xdr:sp macro="" textlink="">
      <xdr:nvSpPr>
        <xdr:cNvPr id="1199" name="AutoShape 16"/>
        <xdr:cNvSpPr>
          <a:spLocks/>
        </xdr:cNvSpPr>
      </xdr:nvSpPr>
      <xdr:spPr bwMode="auto">
        <a:xfrm>
          <a:off x="6438900" y="12096750"/>
          <a:ext cx="219075" cy="123825"/>
        </a:xfrm>
        <a:prstGeom prst="rightBrace">
          <a:avLst>
            <a:gd name="adj1" fmla="val 8333"/>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16</xdr:col>
      <xdr:colOff>219075</xdr:colOff>
      <xdr:row>78</xdr:row>
      <xdr:rowOff>19050</xdr:rowOff>
    </xdr:from>
    <xdr:to>
      <xdr:col>16</xdr:col>
      <xdr:colOff>438150</xdr:colOff>
      <xdr:row>81</xdr:row>
      <xdr:rowOff>19050</xdr:rowOff>
    </xdr:to>
    <xdr:sp macro="" textlink="">
      <xdr:nvSpPr>
        <xdr:cNvPr id="1200" name="AutoShape 17"/>
        <xdr:cNvSpPr>
          <a:spLocks/>
        </xdr:cNvSpPr>
      </xdr:nvSpPr>
      <xdr:spPr bwMode="auto">
        <a:xfrm>
          <a:off x="6457950" y="12258675"/>
          <a:ext cx="219075" cy="495300"/>
        </a:xfrm>
        <a:prstGeom prst="rightBrace">
          <a:avLst>
            <a:gd name="adj1" fmla="val 18841"/>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16</xdr:col>
      <xdr:colOff>219075</xdr:colOff>
      <xdr:row>83</xdr:row>
      <xdr:rowOff>28575</xdr:rowOff>
    </xdr:from>
    <xdr:to>
      <xdr:col>16</xdr:col>
      <xdr:colOff>438150</xdr:colOff>
      <xdr:row>83</xdr:row>
      <xdr:rowOff>152400</xdr:rowOff>
    </xdr:to>
    <xdr:sp macro="" textlink="">
      <xdr:nvSpPr>
        <xdr:cNvPr id="1201" name="AutoShape 18"/>
        <xdr:cNvSpPr>
          <a:spLocks/>
        </xdr:cNvSpPr>
      </xdr:nvSpPr>
      <xdr:spPr bwMode="auto">
        <a:xfrm>
          <a:off x="6457950" y="13258800"/>
          <a:ext cx="219075" cy="123825"/>
        </a:xfrm>
        <a:prstGeom prst="rightBrace">
          <a:avLst>
            <a:gd name="adj1" fmla="val 8333"/>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16</xdr:col>
      <xdr:colOff>219075</xdr:colOff>
      <xdr:row>84</xdr:row>
      <xdr:rowOff>28575</xdr:rowOff>
    </xdr:from>
    <xdr:to>
      <xdr:col>16</xdr:col>
      <xdr:colOff>438150</xdr:colOff>
      <xdr:row>86</xdr:row>
      <xdr:rowOff>19050</xdr:rowOff>
    </xdr:to>
    <xdr:sp macro="" textlink="">
      <xdr:nvSpPr>
        <xdr:cNvPr id="1202" name="AutoShape 19"/>
        <xdr:cNvSpPr>
          <a:spLocks/>
        </xdr:cNvSpPr>
      </xdr:nvSpPr>
      <xdr:spPr bwMode="auto">
        <a:xfrm>
          <a:off x="6457950" y="13430250"/>
          <a:ext cx="219075" cy="314325"/>
        </a:xfrm>
        <a:prstGeom prst="rightBrace">
          <a:avLst>
            <a:gd name="adj1" fmla="val 11957"/>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16</xdr:col>
      <xdr:colOff>219075</xdr:colOff>
      <xdr:row>102</xdr:row>
      <xdr:rowOff>28575</xdr:rowOff>
    </xdr:from>
    <xdr:to>
      <xdr:col>16</xdr:col>
      <xdr:colOff>438150</xdr:colOff>
      <xdr:row>104</xdr:row>
      <xdr:rowOff>19050</xdr:rowOff>
    </xdr:to>
    <xdr:sp macro="" textlink="">
      <xdr:nvSpPr>
        <xdr:cNvPr id="1203" name="AutoShape 20"/>
        <xdr:cNvSpPr>
          <a:spLocks/>
        </xdr:cNvSpPr>
      </xdr:nvSpPr>
      <xdr:spPr bwMode="auto">
        <a:xfrm>
          <a:off x="6457950" y="16192500"/>
          <a:ext cx="219075" cy="314325"/>
        </a:xfrm>
        <a:prstGeom prst="rightBrace">
          <a:avLst>
            <a:gd name="adj1" fmla="val 11957"/>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16</xdr:col>
      <xdr:colOff>209550</xdr:colOff>
      <xdr:row>92</xdr:row>
      <xdr:rowOff>9525</xdr:rowOff>
    </xdr:from>
    <xdr:to>
      <xdr:col>16</xdr:col>
      <xdr:colOff>428625</xdr:colOff>
      <xdr:row>100</xdr:row>
      <xdr:rowOff>38100</xdr:rowOff>
    </xdr:to>
    <xdr:sp macro="" textlink="">
      <xdr:nvSpPr>
        <xdr:cNvPr id="1204" name="AutoShape 21"/>
        <xdr:cNvSpPr>
          <a:spLocks/>
        </xdr:cNvSpPr>
      </xdr:nvSpPr>
      <xdr:spPr bwMode="auto">
        <a:xfrm>
          <a:off x="6448425" y="14716125"/>
          <a:ext cx="219075" cy="1162050"/>
        </a:xfrm>
        <a:prstGeom prst="rightBrace">
          <a:avLst>
            <a:gd name="adj1" fmla="val 44203"/>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16</xdr:col>
      <xdr:colOff>219075</xdr:colOff>
      <xdr:row>52</xdr:row>
      <xdr:rowOff>95250</xdr:rowOff>
    </xdr:from>
    <xdr:to>
      <xdr:col>16</xdr:col>
      <xdr:colOff>438150</xdr:colOff>
      <xdr:row>56</xdr:row>
      <xdr:rowOff>47625</xdr:rowOff>
    </xdr:to>
    <xdr:sp macro="" textlink="">
      <xdr:nvSpPr>
        <xdr:cNvPr id="1205" name="AutoShape 22"/>
        <xdr:cNvSpPr>
          <a:spLocks/>
        </xdr:cNvSpPr>
      </xdr:nvSpPr>
      <xdr:spPr bwMode="auto">
        <a:xfrm>
          <a:off x="6457950" y="7715250"/>
          <a:ext cx="219075" cy="619125"/>
        </a:xfrm>
        <a:prstGeom prst="rightBrace">
          <a:avLst>
            <a:gd name="adj1" fmla="val 23551"/>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16</xdr:col>
      <xdr:colOff>200025</xdr:colOff>
      <xdr:row>111</xdr:row>
      <xdr:rowOff>123825</xdr:rowOff>
    </xdr:from>
    <xdr:to>
      <xdr:col>16</xdr:col>
      <xdr:colOff>419100</xdr:colOff>
      <xdr:row>143</xdr:row>
      <xdr:rowOff>85725</xdr:rowOff>
    </xdr:to>
    <xdr:sp macro="" textlink="">
      <xdr:nvSpPr>
        <xdr:cNvPr id="1206" name="AutoShape 23"/>
        <xdr:cNvSpPr>
          <a:spLocks/>
        </xdr:cNvSpPr>
      </xdr:nvSpPr>
      <xdr:spPr bwMode="auto">
        <a:xfrm>
          <a:off x="6438900" y="17792700"/>
          <a:ext cx="219075" cy="4819650"/>
        </a:xfrm>
        <a:prstGeom prst="rightBrace">
          <a:avLst>
            <a:gd name="adj1" fmla="val 183333"/>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16</xdr:col>
      <xdr:colOff>209550</xdr:colOff>
      <xdr:row>143</xdr:row>
      <xdr:rowOff>152400</xdr:rowOff>
    </xdr:from>
    <xdr:to>
      <xdr:col>16</xdr:col>
      <xdr:colOff>428625</xdr:colOff>
      <xdr:row>148</xdr:row>
      <xdr:rowOff>171450</xdr:rowOff>
    </xdr:to>
    <xdr:sp macro="" textlink="">
      <xdr:nvSpPr>
        <xdr:cNvPr id="1207" name="AutoShape 24"/>
        <xdr:cNvSpPr>
          <a:spLocks/>
        </xdr:cNvSpPr>
      </xdr:nvSpPr>
      <xdr:spPr bwMode="auto">
        <a:xfrm>
          <a:off x="6448425" y="22679025"/>
          <a:ext cx="219075" cy="857250"/>
        </a:xfrm>
        <a:prstGeom prst="rightBrace">
          <a:avLst>
            <a:gd name="adj1" fmla="val 32609"/>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16</xdr:col>
      <xdr:colOff>209550</xdr:colOff>
      <xdr:row>150</xdr:row>
      <xdr:rowOff>28575</xdr:rowOff>
    </xdr:from>
    <xdr:to>
      <xdr:col>16</xdr:col>
      <xdr:colOff>428625</xdr:colOff>
      <xdr:row>151</xdr:row>
      <xdr:rowOff>95250</xdr:rowOff>
    </xdr:to>
    <xdr:sp macro="" textlink="">
      <xdr:nvSpPr>
        <xdr:cNvPr id="1208" name="AutoShape 25"/>
        <xdr:cNvSpPr>
          <a:spLocks/>
        </xdr:cNvSpPr>
      </xdr:nvSpPr>
      <xdr:spPr bwMode="auto">
        <a:xfrm>
          <a:off x="6448425" y="23745825"/>
          <a:ext cx="219075" cy="228600"/>
        </a:xfrm>
        <a:prstGeom prst="rightBrace">
          <a:avLst>
            <a:gd name="adj1" fmla="val 8696"/>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16</xdr:col>
      <xdr:colOff>171450</xdr:colOff>
      <xdr:row>40</xdr:row>
      <xdr:rowOff>57150</xdr:rowOff>
    </xdr:from>
    <xdr:to>
      <xdr:col>16</xdr:col>
      <xdr:colOff>390525</xdr:colOff>
      <xdr:row>45</xdr:row>
      <xdr:rowOff>57150</xdr:rowOff>
    </xdr:to>
    <xdr:sp macro="" textlink="">
      <xdr:nvSpPr>
        <xdr:cNvPr id="23" name="AutoShape 5"/>
        <xdr:cNvSpPr>
          <a:spLocks/>
        </xdr:cNvSpPr>
      </xdr:nvSpPr>
      <xdr:spPr bwMode="auto">
        <a:xfrm>
          <a:off x="6410325" y="7191375"/>
          <a:ext cx="219075" cy="809625"/>
        </a:xfrm>
        <a:prstGeom prst="rightBrace">
          <a:avLst>
            <a:gd name="adj1" fmla="val 18478"/>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200025</xdr:colOff>
      <xdr:row>0</xdr:row>
      <xdr:rowOff>9525</xdr:rowOff>
    </xdr:from>
    <xdr:to>
      <xdr:col>10</xdr:col>
      <xdr:colOff>419100</xdr:colOff>
      <xdr:row>3</xdr:row>
      <xdr:rowOff>104775</xdr:rowOff>
    </xdr:to>
    <xdr:sp macro="" textlink="">
      <xdr:nvSpPr>
        <xdr:cNvPr id="2085" name="AutoShape 1"/>
        <xdr:cNvSpPr>
          <a:spLocks/>
        </xdr:cNvSpPr>
      </xdr:nvSpPr>
      <xdr:spPr bwMode="auto">
        <a:xfrm>
          <a:off x="6762750" y="9525"/>
          <a:ext cx="219075" cy="581025"/>
        </a:xfrm>
        <a:prstGeom prst="rightBrace">
          <a:avLst>
            <a:gd name="adj1" fmla="val 22101"/>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10</xdr:col>
      <xdr:colOff>190500</xdr:colOff>
      <xdr:row>29</xdr:row>
      <xdr:rowOff>19050</xdr:rowOff>
    </xdr:from>
    <xdr:to>
      <xdr:col>10</xdr:col>
      <xdr:colOff>409575</xdr:colOff>
      <xdr:row>42</xdr:row>
      <xdr:rowOff>19050</xdr:rowOff>
    </xdr:to>
    <xdr:sp macro="" textlink="">
      <xdr:nvSpPr>
        <xdr:cNvPr id="2086" name="AutoShape 2"/>
        <xdr:cNvSpPr>
          <a:spLocks/>
        </xdr:cNvSpPr>
      </xdr:nvSpPr>
      <xdr:spPr bwMode="auto">
        <a:xfrm>
          <a:off x="6753225" y="4724400"/>
          <a:ext cx="219075" cy="2105025"/>
        </a:xfrm>
        <a:prstGeom prst="rightBrace">
          <a:avLst>
            <a:gd name="adj1" fmla="val 80072"/>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10</xdr:col>
      <xdr:colOff>190500</xdr:colOff>
      <xdr:row>11</xdr:row>
      <xdr:rowOff>28575</xdr:rowOff>
    </xdr:from>
    <xdr:to>
      <xdr:col>10</xdr:col>
      <xdr:colOff>409575</xdr:colOff>
      <xdr:row>28</xdr:row>
      <xdr:rowOff>142875</xdr:rowOff>
    </xdr:to>
    <xdr:sp macro="" textlink="">
      <xdr:nvSpPr>
        <xdr:cNvPr id="2087" name="AutoShape 3"/>
        <xdr:cNvSpPr>
          <a:spLocks/>
        </xdr:cNvSpPr>
      </xdr:nvSpPr>
      <xdr:spPr bwMode="auto">
        <a:xfrm>
          <a:off x="6753225" y="1819275"/>
          <a:ext cx="219075" cy="2867025"/>
        </a:xfrm>
        <a:prstGeom prst="rightBrace">
          <a:avLst>
            <a:gd name="adj1" fmla="val 109058"/>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10</xdr:col>
      <xdr:colOff>228600</xdr:colOff>
      <xdr:row>43</xdr:row>
      <xdr:rowOff>95250</xdr:rowOff>
    </xdr:from>
    <xdr:to>
      <xdr:col>10</xdr:col>
      <xdr:colOff>447675</xdr:colOff>
      <xdr:row>45</xdr:row>
      <xdr:rowOff>95250</xdr:rowOff>
    </xdr:to>
    <xdr:sp macro="" textlink="">
      <xdr:nvSpPr>
        <xdr:cNvPr id="2088" name="AutoShape 4"/>
        <xdr:cNvSpPr>
          <a:spLocks/>
        </xdr:cNvSpPr>
      </xdr:nvSpPr>
      <xdr:spPr bwMode="auto">
        <a:xfrm>
          <a:off x="6791325" y="7067550"/>
          <a:ext cx="219075" cy="352425"/>
        </a:xfrm>
        <a:prstGeom prst="rightBrace">
          <a:avLst>
            <a:gd name="adj1" fmla="val 13406"/>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200025</xdr:colOff>
      <xdr:row>6</xdr:row>
      <xdr:rowOff>66675</xdr:rowOff>
    </xdr:from>
    <xdr:to>
      <xdr:col>13</xdr:col>
      <xdr:colOff>419100</xdr:colOff>
      <xdr:row>21</xdr:row>
      <xdr:rowOff>133350</xdr:rowOff>
    </xdr:to>
    <xdr:sp macro="" textlink="">
      <xdr:nvSpPr>
        <xdr:cNvPr id="2" name="AutoShape 1"/>
        <xdr:cNvSpPr>
          <a:spLocks/>
        </xdr:cNvSpPr>
      </xdr:nvSpPr>
      <xdr:spPr bwMode="auto">
        <a:xfrm>
          <a:off x="6000750" y="1219200"/>
          <a:ext cx="219075" cy="2924175"/>
        </a:xfrm>
        <a:prstGeom prst="rightBrace">
          <a:avLst>
            <a:gd name="adj1" fmla="val 94928"/>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13</xdr:col>
      <xdr:colOff>200025</xdr:colOff>
      <xdr:row>0</xdr:row>
      <xdr:rowOff>66675</xdr:rowOff>
    </xdr:from>
    <xdr:to>
      <xdr:col>13</xdr:col>
      <xdr:colOff>419100</xdr:colOff>
      <xdr:row>1</xdr:row>
      <xdr:rowOff>114300</xdr:rowOff>
    </xdr:to>
    <xdr:sp macro="" textlink="">
      <xdr:nvSpPr>
        <xdr:cNvPr id="3" name="AutoShape 2"/>
        <xdr:cNvSpPr>
          <a:spLocks/>
        </xdr:cNvSpPr>
      </xdr:nvSpPr>
      <xdr:spPr bwMode="auto">
        <a:xfrm>
          <a:off x="6000750" y="66675"/>
          <a:ext cx="219075" cy="238125"/>
        </a:xfrm>
        <a:prstGeom prst="rightBrace">
          <a:avLst>
            <a:gd name="adj1" fmla="val 8333"/>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13</xdr:col>
      <xdr:colOff>209550</xdr:colOff>
      <xdr:row>97</xdr:row>
      <xdr:rowOff>85725</xdr:rowOff>
    </xdr:from>
    <xdr:to>
      <xdr:col>13</xdr:col>
      <xdr:colOff>428625</xdr:colOff>
      <xdr:row>99</xdr:row>
      <xdr:rowOff>104775</xdr:rowOff>
    </xdr:to>
    <xdr:sp macro="" textlink="">
      <xdr:nvSpPr>
        <xdr:cNvPr id="4" name="AutoShape 3"/>
        <xdr:cNvSpPr>
          <a:spLocks/>
        </xdr:cNvSpPr>
      </xdr:nvSpPr>
      <xdr:spPr bwMode="auto">
        <a:xfrm>
          <a:off x="6010275" y="16478250"/>
          <a:ext cx="219075" cy="409575"/>
        </a:xfrm>
        <a:prstGeom prst="rightBrace">
          <a:avLst>
            <a:gd name="adj1" fmla="val 13406"/>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13</xdr:col>
      <xdr:colOff>219075</xdr:colOff>
      <xdr:row>99</xdr:row>
      <xdr:rowOff>171450</xdr:rowOff>
    </xdr:from>
    <xdr:to>
      <xdr:col>13</xdr:col>
      <xdr:colOff>438150</xdr:colOff>
      <xdr:row>103</xdr:row>
      <xdr:rowOff>152400</xdr:rowOff>
    </xdr:to>
    <xdr:sp macro="" textlink="">
      <xdr:nvSpPr>
        <xdr:cNvPr id="5" name="AutoShape 4"/>
        <xdr:cNvSpPr>
          <a:spLocks/>
        </xdr:cNvSpPr>
      </xdr:nvSpPr>
      <xdr:spPr bwMode="auto">
        <a:xfrm>
          <a:off x="6019800" y="16954500"/>
          <a:ext cx="219075" cy="790575"/>
        </a:xfrm>
        <a:prstGeom prst="rightBrace">
          <a:avLst>
            <a:gd name="adj1" fmla="val 25725"/>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13</xdr:col>
      <xdr:colOff>200025</xdr:colOff>
      <xdr:row>0</xdr:row>
      <xdr:rowOff>66675</xdr:rowOff>
    </xdr:from>
    <xdr:to>
      <xdr:col>13</xdr:col>
      <xdr:colOff>419100</xdr:colOff>
      <xdr:row>1</xdr:row>
      <xdr:rowOff>114300</xdr:rowOff>
    </xdr:to>
    <xdr:sp macro="" textlink="">
      <xdr:nvSpPr>
        <xdr:cNvPr id="3133" name="AutoShape 2"/>
        <xdr:cNvSpPr>
          <a:spLocks/>
        </xdr:cNvSpPr>
      </xdr:nvSpPr>
      <xdr:spPr bwMode="auto">
        <a:xfrm>
          <a:off x="6343650" y="66675"/>
          <a:ext cx="219075" cy="209550"/>
        </a:xfrm>
        <a:prstGeom prst="rightBrace">
          <a:avLst>
            <a:gd name="adj1" fmla="val 8333"/>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13</xdr:col>
      <xdr:colOff>200025</xdr:colOff>
      <xdr:row>3</xdr:row>
      <xdr:rowOff>0</xdr:rowOff>
    </xdr:from>
    <xdr:to>
      <xdr:col>13</xdr:col>
      <xdr:colOff>419100</xdr:colOff>
      <xdr:row>49</xdr:row>
      <xdr:rowOff>28575</xdr:rowOff>
    </xdr:to>
    <xdr:sp macro="" textlink="">
      <xdr:nvSpPr>
        <xdr:cNvPr id="3136" name="AutoShape 5"/>
        <xdr:cNvSpPr>
          <a:spLocks/>
        </xdr:cNvSpPr>
      </xdr:nvSpPr>
      <xdr:spPr bwMode="auto">
        <a:xfrm>
          <a:off x="6343650" y="16830675"/>
          <a:ext cx="219075" cy="7591425"/>
        </a:xfrm>
        <a:prstGeom prst="rightBrace">
          <a:avLst>
            <a:gd name="adj1" fmla="val 288768"/>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13</xdr:col>
      <xdr:colOff>180975</xdr:colOff>
      <xdr:row>50</xdr:row>
      <xdr:rowOff>0</xdr:rowOff>
    </xdr:from>
    <xdr:to>
      <xdr:col>13</xdr:col>
      <xdr:colOff>400050</xdr:colOff>
      <xdr:row>51</xdr:row>
      <xdr:rowOff>85725</xdr:rowOff>
    </xdr:to>
    <xdr:sp macro="" textlink="">
      <xdr:nvSpPr>
        <xdr:cNvPr id="3137" name="AutoShape 6"/>
        <xdr:cNvSpPr>
          <a:spLocks/>
        </xdr:cNvSpPr>
      </xdr:nvSpPr>
      <xdr:spPr bwMode="auto">
        <a:xfrm>
          <a:off x="6324600" y="24564975"/>
          <a:ext cx="219075" cy="266700"/>
        </a:xfrm>
        <a:prstGeom prst="rightBrace">
          <a:avLst>
            <a:gd name="adj1" fmla="val 10145"/>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13</xdr:col>
      <xdr:colOff>200025</xdr:colOff>
      <xdr:row>53</xdr:row>
      <xdr:rowOff>0</xdr:rowOff>
    </xdr:from>
    <xdr:to>
      <xdr:col>13</xdr:col>
      <xdr:colOff>419100</xdr:colOff>
      <xdr:row>99</xdr:row>
      <xdr:rowOff>0</xdr:rowOff>
    </xdr:to>
    <xdr:sp macro="" textlink="">
      <xdr:nvSpPr>
        <xdr:cNvPr id="3138" name="AutoShape 7"/>
        <xdr:cNvSpPr>
          <a:spLocks/>
        </xdr:cNvSpPr>
      </xdr:nvSpPr>
      <xdr:spPr bwMode="auto">
        <a:xfrm>
          <a:off x="6343650" y="25136475"/>
          <a:ext cx="219075" cy="7562850"/>
        </a:xfrm>
        <a:prstGeom prst="rightBrace">
          <a:avLst>
            <a:gd name="adj1" fmla="val 287681"/>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13</xdr:col>
      <xdr:colOff>180975</xdr:colOff>
      <xdr:row>99</xdr:row>
      <xdr:rowOff>95250</xdr:rowOff>
    </xdr:from>
    <xdr:to>
      <xdr:col>13</xdr:col>
      <xdr:colOff>400050</xdr:colOff>
      <xdr:row>101</xdr:row>
      <xdr:rowOff>85725</xdr:rowOff>
    </xdr:to>
    <xdr:sp macro="" textlink="">
      <xdr:nvSpPr>
        <xdr:cNvPr id="3139" name="AutoShape 8"/>
        <xdr:cNvSpPr>
          <a:spLocks/>
        </xdr:cNvSpPr>
      </xdr:nvSpPr>
      <xdr:spPr bwMode="auto">
        <a:xfrm>
          <a:off x="6324600" y="32794575"/>
          <a:ext cx="219075" cy="342900"/>
        </a:xfrm>
        <a:prstGeom prst="rightBrace">
          <a:avLst>
            <a:gd name="adj1" fmla="val 13043"/>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wsDr>
</file>

<file path=xl/drawings/drawing6.xml><?xml version="1.0" encoding="utf-8"?>
<xdr:wsDr xmlns:xdr="http://schemas.openxmlformats.org/drawingml/2006/spreadsheetDrawing" xmlns:a="http://schemas.openxmlformats.org/drawingml/2006/main">
  <xdr:twoCellAnchor>
    <xdr:from>
      <xdr:col>16</xdr:col>
      <xdr:colOff>209550</xdr:colOff>
      <xdr:row>0</xdr:row>
      <xdr:rowOff>66675</xdr:rowOff>
    </xdr:from>
    <xdr:to>
      <xdr:col>16</xdr:col>
      <xdr:colOff>428625</xdr:colOff>
      <xdr:row>1</xdr:row>
      <xdr:rowOff>66675</xdr:rowOff>
    </xdr:to>
    <xdr:sp macro="" textlink="">
      <xdr:nvSpPr>
        <xdr:cNvPr id="4213" name="AutoShape 1"/>
        <xdr:cNvSpPr>
          <a:spLocks/>
        </xdr:cNvSpPr>
      </xdr:nvSpPr>
      <xdr:spPr bwMode="auto">
        <a:xfrm>
          <a:off x="6448425" y="66675"/>
          <a:ext cx="219075" cy="161925"/>
        </a:xfrm>
        <a:prstGeom prst="rightBrace">
          <a:avLst>
            <a:gd name="adj1" fmla="val 8333"/>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16</xdr:col>
      <xdr:colOff>200025</xdr:colOff>
      <xdr:row>3</xdr:row>
      <xdr:rowOff>133350</xdr:rowOff>
    </xdr:from>
    <xdr:to>
      <xdr:col>16</xdr:col>
      <xdr:colOff>419100</xdr:colOff>
      <xdr:row>15</xdr:row>
      <xdr:rowOff>0</xdr:rowOff>
    </xdr:to>
    <xdr:sp macro="" textlink="">
      <xdr:nvSpPr>
        <xdr:cNvPr id="4214" name="AutoShape 2"/>
        <xdr:cNvSpPr>
          <a:spLocks/>
        </xdr:cNvSpPr>
      </xdr:nvSpPr>
      <xdr:spPr bwMode="auto">
        <a:xfrm>
          <a:off x="6438900" y="628650"/>
          <a:ext cx="219075" cy="2028825"/>
        </a:xfrm>
        <a:prstGeom prst="rightBrace">
          <a:avLst>
            <a:gd name="adj1" fmla="val 77174"/>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16</xdr:col>
      <xdr:colOff>190500</xdr:colOff>
      <xdr:row>16</xdr:row>
      <xdr:rowOff>152400</xdr:rowOff>
    </xdr:from>
    <xdr:to>
      <xdr:col>16</xdr:col>
      <xdr:colOff>409575</xdr:colOff>
      <xdr:row>28</xdr:row>
      <xdr:rowOff>123825</xdr:rowOff>
    </xdr:to>
    <xdr:sp macro="" textlink="">
      <xdr:nvSpPr>
        <xdr:cNvPr id="4215" name="AutoShape 3"/>
        <xdr:cNvSpPr>
          <a:spLocks/>
        </xdr:cNvSpPr>
      </xdr:nvSpPr>
      <xdr:spPr bwMode="auto">
        <a:xfrm>
          <a:off x="6429375" y="3238500"/>
          <a:ext cx="219075" cy="2076450"/>
        </a:xfrm>
        <a:prstGeom prst="rightBrace">
          <a:avLst>
            <a:gd name="adj1" fmla="val 78986"/>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16</xdr:col>
      <xdr:colOff>219075</xdr:colOff>
      <xdr:row>29</xdr:row>
      <xdr:rowOff>142875</xdr:rowOff>
    </xdr:from>
    <xdr:to>
      <xdr:col>16</xdr:col>
      <xdr:colOff>438150</xdr:colOff>
      <xdr:row>35</xdr:row>
      <xdr:rowOff>0</xdr:rowOff>
    </xdr:to>
    <xdr:sp macro="" textlink="">
      <xdr:nvSpPr>
        <xdr:cNvPr id="4216" name="AutoShape 4"/>
        <xdr:cNvSpPr>
          <a:spLocks/>
        </xdr:cNvSpPr>
      </xdr:nvSpPr>
      <xdr:spPr bwMode="auto">
        <a:xfrm>
          <a:off x="6457950" y="5657850"/>
          <a:ext cx="219075" cy="695325"/>
        </a:xfrm>
        <a:prstGeom prst="rightBrace">
          <a:avLst>
            <a:gd name="adj1" fmla="val 26449"/>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16</xdr:col>
      <xdr:colOff>209550</xdr:colOff>
      <xdr:row>35</xdr:row>
      <xdr:rowOff>85725</xdr:rowOff>
    </xdr:from>
    <xdr:to>
      <xdr:col>16</xdr:col>
      <xdr:colOff>428625</xdr:colOff>
      <xdr:row>40</xdr:row>
      <xdr:rowOff>66675</xdr:rowOff>
    </xdr:to>
    <xdr:sp macro="" textlink="">
      <xdr:nvSpPr>
        <xdr:cNvPr id="4217" name="AutoShape 5"/>
        <xdr:cNvSpPr>
          <a:spLocks/>
        </xdr:cNvSpPr>
      </xdr:nvSpPr>
      <xdr:spPr bwMode="auto">
        <a:xfrm>
          <a:off x="6448425" y="6572250"/>
          <a:ext cx="219075" cy="628650"/>
        </a:xfrm>
        <a:prstGeom prst="rightBrace">
          <a:avLst>
            <a:gd name="adj1" fmla="val 23913"/>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16</xdr:col>
      <xdr:colOff>190500</xdr:colOff>
      <xdr:row>41</xdr:row>
      <xdr:rowOff>114300</xdr:rowOff>
    </xdr:from>
    <xdr:to>
      <xdr:col>16</xdr:col>
      <xdr:colOff>409575</xdr:colOff>
      <xdr:row>49</xdr:row>
      <xdr:rowOff>0</xdr:rowOff>
    </xdr:to>
    <xdr:sp macro="" textlink="">
      <xdr:nvSpPr>
        <xdr:cNvPr id="4218" name="AutoShape 6"/>
        <xdr:cNvSpPr>
          <a:spLocks/>
        </xdr:cNvSpPr>
      </xdr:nvSpPr>
      <xdr:spPr bwMode="auto">
        <a:xfrm>
          <a:off x="6429375" y="7572375"/>
          <a:ext cx="219075" cy="733425"/>
        </a:xfrm>
        <a:prstGeom prst="rightBrace">
          <a:avLst>
            <a:gd name="adj1" fmla="val 27899"/>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16</xdr:col>
      <xdr:colOff>190500</xdr:colOff>
      <xdr:row>49</xdr:row>
      <xdr:rowOff>114300</xdr:rowOff>
    </xdr:from>
    <xdr:to>
      <xdr:col>16</xdr:col>
      <xdr:colOff>409575</xdr:colOff>
      <xdr:row>56</xdr:row>
      <xdr:rowOff>123825</xdr:rowOff>
    </xdr:to>
    <xdr:sp macro="" textlink="">
      <xdr:nvSpPr>
        <xdr:cNvPr id="4219" name="AutoShape 7"/>
        <xdr:cNvSpPr>
          <a:spLocks/>
        </xdr:cNvSpPr>
      </xdr:nvSpPr>
      <xdr:spPr bwMode="auto">
        <a:xfrm>
          <a:off x="6429375" y="8543925"/>
          <a:ext cx="219075" cy="657225"/>
        </a:xfrm>
        <a:prstGeom prst="rightBrace">
          <a:avLst>
            <a:gd name="adj1" fmla="val 25000"/>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16</xdr:col>
      <xdr:colOff>190500</xdr:colOff>
      <xdr:row>57</xdr:row>
      <xdr:rowOff>85725</xdr:rowOff>
    </xdr:from>
    <xdr:to>
      <xdr:col>16</xdr:col>
      <xdr:colOff>409575</xdr:colOff>
      <xdr:row>62</xdr:row>
      <xdr:rowOff>66675</xdr:rowOff>
    </xdr:to>
    <xdr:sp macro="" textlink="">
      <xdr:nvSpPr>
        <xdr:cNvPr id="4220" name="AutoShape 8"/>
        <xdr:cNvSpPr>
          <a:spLocks/>
        </xdr:cNvSpPr>
      </xdr:nvSpPr>
      <xdr:spPr bwMode="auto">
        <a:xfrm>
          <a:off x="6429375" y="9486900"/>
          <a:ext cx="219075" cy="628650"/>
        </a:xfrm>
        <a:prstGeom prst="rightBrace">
          <a:avLst>
            <a:gd name="adj1" fmla="val 23913"/>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16</xdr:col>
      <xdr:colOff>200025</xdr:colOff>
      <xdr:row>79</xdr:row>
      <xdr:rowOff>76200</xdr:rowOff>
    </xdr:from>
    <xdr:to>
      <xdr:col>16</xdr:col>
      <xdr:colOff>419100</xdr:colOff>
      <xdr:row>91</xdr:row>
      <xdr:rowOff>0</xdr:rowOff>
    </xdr:to>
    <xdr:sp macro="" textlink="">
      <xdr:nvSpPr>
        <xdr:cNvPr id="4221" name="AutoShape 9"/>
        <xdr:cNvSpPr>
          <a:spLocks/>
        </xdr:cNvSpPr>
      </xdr:nvSpPr>
      <xdr:spPr bwMode="auto">
        <a:xfrm>
          <a:off x="6438900" y="11906250"/>
          <a:ext cx="219075" cy="2028825"/>
        </a:xfrm>
        <a:prstGeom prst="rightBrace">
          <a:avLst>
            <a:gd name="adj1" fmla="val 77174"/>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16</xdr:col>
      <xdr:colOff>200025</xdr:colOff>
      <xdr:row>91</xdr:row>
      <xdr:rowOff>95250</xdr:rowOff>
    </xdr:from>
    <xdr:to>
      <xdr:col>16</xdr:col>
      <xdr:colOff>419100</xdr:colOff>
      <xdr:row>100</xdr:row>
      <xdr:rowOff>0</xdr:rowOff>
    </xdr:to>
    <xdr:sp macro="" textlink="">
      <xdr:nvSpPr>
        <xdr:cNvPr id="4222" name="AutoShape 10"/>
        <xdr:cNvSpPr>
          <a:spLocks/>
        </xdr:cNvSpPr>
      </xdr:nvSpPr>
      <xdr:spPr bwMode="auto">
        <a:xfrm>
          <a:off x="6438900" y="14030325"/>
          <a:ext cx="219075" cy="1228725"/>
        </a:xfrm>
        <a:prstGeom prst="rightBrace">
          <a:avLst>
            <a:gd name="adj1" fmla="val 46739"/>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16</xdr:col>
      <xdr:colOff>200025</xdr:colOff>
      <xdr:row>100</xdr:row>
      <xdr:rowOff>0</xdr:rowOff>
    </xdr:from>
    <xdr:to>
      <xdr:col>16</xdr:col>
      <xdr:colOff>419100</xdr:colOff>
      <xdr:row>103</xdr:row>
      <xdr:rowOff>104775</xdr:rowOff>
    </xdr:to>
    <xdr:sp macro="" textlink="">
      <xdr:nvSpPr>
        <xdr:cNvPr id="4223" name="AutoShape 11"/>
        <xdr:cNvSpPr>
          <a:spLocks/>
        </xdr:cNvSpPr>
      </xdr:nvSpPr>
      <xdr:spPr bwMode="auto">
        <a:xfrm>
          <a:off x="6438900" y="15411450"/>
          <a:ext cx="219075" cy="742950"/>
        </a:xfrm>
        <a:prstGeom prst="rightBrace">
          <a:avLst>
            <a:gd name="adj1" fmla="val 28261"/>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16</xdr:col>
      <xdr:colOff>209550</xdr:colOff>
      <xdr:row>71</xdr:row>
      <xdr:rowOff>19050</xdr:rowOff>
    </xdr:from>
    <xdr:to>
      <xdr:col>16</xdr:col>
      <xdr:colOff>428625</xdr:colOff>
      <xdr:row>72</xdr:row>
      <xdr:rowOff>0</xdr:rowOff>
    </xdr:to>
    <xdr:sp macro="" textlink="">
      <xdr:nvSpPr>
        <xdr:cNvPr id="4224" name="AutoShape 12"/>
        <xdr:cNvSpPr>
          <a:spLocks/>
        </xdr:cNvSpPr>
      </xdr:nvSpPr>
      <xdr:spPr bwMode="auto">
        <a:xfrm>
          <a:off x="6448425" y="10553700"/>
          <a:ext cx="219075" cy="161925"/>
        </a:xfrm>
        <a:prstGeom prst="rightBrace">
          <a:avLst>
            <a:gd name="adj1" fmla="val 8333"/>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16</xdr:col>
      <xdr:colOff>209550</xdr:colOff>
      <xdr:row>73</xdr:row>
      <xdr:rowOff>9525</xdr:rowOff>
    </xdr:from>
    <xdr:to>
      <xdr:col>16</xdr:col>
      <xdr:colOff>428625</xdr:colOff>
      <xdr:row>76</xdr:row>
      <xdr:rowOff>114300</xdr:rowOff>
    </xdr:to>
    <xdr:sp macro="" textlink="">
      <xdr:nvSpPr>
        <xdr:cNvPr id="4225" name="AutoShape 13"/>
        <xdr:cNvSpPr>
          <a:spLocks/>
        </xdr:cNvSpPr>
      </xdr:nvSpPr>
      <xdr:spPr bwMode="auto">
        <a:xfrm>
          <a:off x="6448425" y="11029950"/>
          <a:ext cx="219075" cy="266700"/>
        </a:xfrm>
        <a:prstGeom prst="rightBrace">
          <a:avLst>
            <a:gd name="adj1" fmla="val 10145"/>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16</xdr:col>
      <xdr:colOff>209550</xdr:colOff>
      <xdr:row>77</xdr:row>
      <xdr:rowOff>19050</xdr:rowOff>
    </xdr:from>
    <xdr:to>
      <xdr:col>16</xdr:col>
      <xdr:colOff>428625</xdr:colOff>
      <xdr:row>78</xdr:row>
      <xdr:rowOff>0</xdr:rowOff>
    </xdr:to>
    <xdr:sp macro="" textlink="">
      <xdr:nvSpPr>
        <xdr:cNvPr id="4226" name="AutoShape 14"/>
        <xdr:cNvSpPr>
          <a:spLocks/>
        </xdr:cNvSpPr>
      </xdr:nvSpPr>
      <xdr:spPr bwMode="auto">
        <a:xfrm>
          <a:off x="6448425" y="11363325"/>
          <a:ext cx="219075" cy="142875"/>
        </a:xfrm>
        <a:prstGeom prst="rightBrace">
          <a:avLst>
            <a:gd name="adj1" fmla="val 8333"/>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twoCellAnchor>
    <xdr:from>
      <xdr:col>16</xdr:col>
      <xdr:colOff>209550</xdr:colOff>
      <xdr:row>63</xdr:row>
      <xdr:rowOff>38100</xdr:rowOff>
    </xdr:from>
    <xdr:to>
      <xdr:col>16</xdr:col>
      <xdr:colOff>428625</xdr:colOff>
      <xdr:row>70</xdr:row>
      <xdr:rowOff>0</xdr:rowOff>
    </xdr:to>
    <xdr:sp macro="" textlink="">
      <xdr:nvSpPr>
        <xdr:cNvPr id="16" name="AutoShape 8"/>
        <xdr:cNvSpPr>
          <a:spLocks/>
        </xdr:cNvSpPr>
      </xdr:nvSpPr>
      <xdr:spPr bwMode="auto">
        <a:xfrm>
          <a:off x="6448425" y="11220450"/>
          <a:ext cx="219075" cy="790575"/>
        </a:xfrm>
        <a:prstGeom prst="rightBrace">
          <a:avLst>
            <a:gd name="adj1" fmla="val 23913"/>
            <a:gd name="adj2" fmla="val 50000"/>
          </a:avLst>
        </a:pr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dimension ref="A1:S115"/>
  <sheetViews>
    <sheetView showGridLines="0" tabSelected="1" zoomScaleNormal="100" workbookViewId="0">
      <pane ySplit="11" topLeftCell="A12" activePane="bottomLeft" state="frozen"/>
      <selection activeCell="A3" sqref="A3:E3"/>
      <selection pane="bottomLeft" activeCell="B3" sqref="B3:C3"/>
    </sheetView>
  </sheetViews>
  <sheetFormatPr defaultRowHeight="12.75"/>
  <cols>
    <col min="1" max="1" width="24.140625" customWidth="1"/>
    <col min="2" max="4" width="14.7109375" customWidth="1"/>
    <col min="5" max="5" width="16.7109375" style="6" customWidth="1"/>
    <col min="6" max="6" width="15" customWidth="1"/>
    <col min="16" max="16" width="24" bestFit="1" customWidth="1"/>
    <col min="17" max="17" width="19.5703125" bestFit="1" customWidth="1"/>
    <col min="19" max="19" width="22.7109375" bestFit="1" customWidth="1"/>
  </cols>
  <sheetData>
    <row r="1" spans="1:19" ht="18">
      <c r="A1" s="286" t="s">
        <v>187</v>
      </c>
      <c r="B1" s="286"/>
      <c r="C1" s="286"/>
      <c r="D1" s="286"/>
      <c r="E1" s="286"/>
      <c r="F1" s="286"/>
    </row>
    <row r="2" spans="1:19" s="92" customFormat="1">
      <c r="A2" s="91"/>
      <c r="C2" s="91"/>
      <c r="D2" s="91"/>
      <c r="F2" s="93"/>
    </row>
    <row r="3" spans="1:19">
      <c r="A3" s="92" t="s">
        <v>188</v>
      </c>
      <c r="B3" s="287" t="s">
        <v>461</v>
      </c>
      <c r="C3" s="287"/>
      <c r="D3" s="92"/>
      <c r="E3" s="224" t="s">
        <v>328</v>
      </c>
      <c r="H3" s="191" t="s">
        <v>342</v>
      </c>
      <c r="I3" s="141"/>
      <c r="J3" s="141"/>
      <c r="K3" s="141"/>
      <c r="L3" s="141"/>
      <c r="M3" s="141"/>
      <c r="N3" s="141"/>
      <c r="O3" s="141"/>
      <c r="P3" s="141"/>
    </row>
    <row r="4" spans="1:19">
      <c r="A4" s="92"/>
      <c r="B4" s="94"/>
      <c r="C4" s="95"/>
      <c r="D4" s="92"/>
      <c r="E4" s="233" t="s">
        <v>330</v>
      </c>
      <c r="F4" s="233" t="s">
        <v>331</v>
      </c>
      <c r="H4" s="191" t="s">
        <v>326</v>
      </c>
      <c r="I4" s="141"/>
      <c r="J4" s="141"/>
      <c r="K4" s="141"/>
      <c r="L4" s="141"/>
      <c r="M4" s="141"/>
      <c r="N4" s="141"/>
      <c r="O4" s="141"/>
      <c r="P4" s="141"/>
    </row>
    <row r="5" spans="1:19">
      <c r="A5" s="92" t="s">
        <v>189</v>
      </c>
      <c r="B5" s="287" t="s">
        <v>460</v>
      </c>
      <c r="C5" s="287"/>
      <c r="D5" s="92"/>
      <c r="E5" s="93"/>
      <c r="F5" s="92"/>
      <c r="H5" s="191" t="s">
        <v>343</v>
      </c>
      <c r="I5" s="141"/>
      <c r="J5" s="141"/>
      <c r="K5" s="141"/>
      <c r="L5" s="141"/>
      <c r="M5" s="141"/>
      <c r="N5" s="141"/>
      <c r="O5" s="141"/>
      <c r="P5" s="141"/>
    </row>
    <row r="6" spans="1:19">
      <c r="A6" s="92"/>
      <c r="B6" s="94"/>
      <c r="C6" s="95"/>
      <c r="D6" s="92"/>
      <c r="E6" s="93"/>
      <c r="F6" s="92"/>
    </row>
    <row r="7" spans="1:19">
      <c r="A7" s="223" t="s">
        <v>49</v>
      </c>
      <c r="B7" s="287" t="s">
        <v>327</v>
      </c>
      <c r="C7" s="287"/>
      <c r="D7" s="92"/>
      <c r="E7" s="93" t="s">
        <v>190</v>
      </c>
      <c r="F7" s="234"/>
      <c r="H7" s="191" t="s">
        <v>344</v>
      </c>
      <c r="I7" s="141"/>
      <c r="J7" s="141"/>
      <c r="K7" s="141"/>
      <c r="L7" s="141"/>
      <c r="M7" s="141"/>
      <c r="N7" s="141"/>
      <c r="O7" s="141"/>
      <c r="P7" s="141"/>
    </row>
    <row r="8" spans="1:19">
      <c r="A8" s="96"/>
      <c r="B8" s="95"/>
      <c r="C8" s="95"/>
      <c r="D8" s="92"/>
      <c r="E8" s="93"/>
      <c r="F8" s="97"/>
    </row>
    <row r="9" spans="1:19">
      <c r="A9" t="s">
        <v>191</v>
      </c>
      <c r="B9" s="232"/>
      <c r="C9" s="95"/>
      <c r="D9" s="92"/>
      <c r="E9" s="6" t="s">
        <v>192</v>
      </c>
      <c r="F9" s="235"/>
    </row>
    <row r="10" spans="1:19" ht="13.5" thickBot="1">
      <c r="A10" s="92"/>
      <c r="B10" s="92"/>
      <c r="C10" s="92"/>
      <c r="D10" s="92"/>
      <c r="E10" s="93"/>
      <c r="F10" s="92"/>
    </row>
    <row r="11" spans="1:19" ht="13.5" thickBot="1">
      <c r="A11" s="98" t="s">
        <v>193</v>
      </c>
      <c r="B11" s="98" t="s">
        <v>194</v>
      </c>
      <c r="C11" s="98" t="s">
        <v>195</v>
      </c>
      <c r="D11" s="98" t="s">
        <v>196</v>
      </c>
      <c r="E11" s="99"/>
      <c r="F11" s="100"/>
      <c r="H11" s="2" t="s">
        <v>193</v>
      </c>
    </row>
    <row r="12" spans="1:19" ht="12.75" customHeight="1">
      <c r="A12" s="101" t="s">
        <v>2</v>
      </c>
      <c r="B12" s="226">
        <v>0</v>
      </c>
      <c r="C12" s="102">
        <f>'Estimated Budget'!$P$113</f>
        <v>0</v>
      </c>
      <c r="D12" s="102">
        <f>'Final Closeout'!N29</f>
        <v>0</v>
      </c>
      <c r="E12" s="288" t="s">
        <v>197</v>
      </c>
      <c r="F12" s="289"/>
      <c r="H12" s="275" t="s">
        <v>264</v>
      </c>
      <c r="I12" s="266"/>
      <c r="J12" s="266"/>
      <c r="K12" s="266"/>
      <c r="L12" s="266"/>
      <c r="M12" s="266"/>
      <c r="N12" s="266"/>
      <c r="P12" s="264" t="s">
        <v>460</v>
      </c>
      <c r="Q12" s="264" t="s">
        <v>327</v>
      </c>
      <c r="S12" s="264" t="s">
        <v>461</v>
      </c>
    </row>
    <row r="13" spans="1:19" ht="12.75" customHeight="1">
      <c r="A13" s="101" t="s">
        <v>38</v>
      </c>
      <c r="B13" s="226">
        <v>0</v>
      </c>
      <c r="C13" s="102">
        <f>'Estimated Budget'!$P$115</f>
        <v>0</v>
      </c>
      <c r="D13" s="102">
        <f>'Final Closeout'!N35</f>
        <v>0</v>
      </c>
      <c r="E13" s="292"/>
      <c r="F13" s="293"/>
      <c r="H13" s="266"/>
      <c r="I13" s="266"/>
      <c r="J13" s="266"/>
      <c r="K13" s="266"/>
      <c r="L13" s="266"/>
      <c r="M13" s="266"/>
      <c r="N13" s="266"/>
      <c r="P13" t="s">
        <v>462</v>
      </c>
      <c r="Q13" s="1" t="s">
        <v>463</v>
      </c>
      <c r="S13" t="s">
        <v>158</v>
      </c>
    </row>
    <row r="14" spans="1:19">
      <c r="A14" s="101" t="s">
        <v>40</v>
      </c>
      <c r="B14" s="226">
        <v>0</v>
      </c>
      <c r="C14" s="102">
        <f>'Estimated Budget'!$P$117</f>
        <v>0</v>
      </c>
      <c r="D14" s="102">
        <f>'Final Closeout'!$N$41</f>
        <v>0</v>
      </c>
      <c r="E14" s="294"/>
      <c r="F14" s="295"/>
      <c r="H14" s="265" t="s">
        <v>198</v>
      </c>
      <c r="I14" s="265"/>
      <c r="J14" s="265"/>
      <c r="K14" s="265"/>
      <c r="L14" s="265"/>
      <c r="M14" s="265"/>
      <c r="N14" s="265"/>
      <c r="P14" t="s">
        <v>464</v>
      </c>
      <c r="Q14" s="1" t="s">
        <v>465</v>
      </c>
      <c r="S14" t="s">
        <v>157</v>
      </c>
    </row>
    <row r="15" spans="1:19">
      <c r="A15" s="101" t="s">
        <v>199</v>
      </c>
      <c r="B15" s="226">
        <v>0</v>
      </c>
      <c r="C15" s="102">
        <f>'Estimated Budget'!$P$119</f>
        <v>0</v>
      </c>
      <c r="D15" s="102">
        <f>'Final Closeout'!$N$49</f>
        <v>0</v>
      </c>
      <c r="E15" s="284" t="s">
        <v>200</v>
      </c>
      <c r="F15" s="285"/>
      <c r="H15" s="266" t="s">
        <v>201</v>
      </c>
      <c r="I15" s="266"/>
      <c r="J15" s="266"/>
      <c r="K15" s="266"/>
      <c r="L15" s="266"/>
      <c r="M15" s="266"/>
      <c r="N15" s="266"/>
      <c r="P15" t="s">
        <v>466</v>
      </c>
      <c r="Q15" s="1" t="s">
        <v>467</v>
      </c>
      <c r="S15" t="s">
        <v>468</v>
      </c>
    </row>
    <row r="16" spans="1:19" ht="12.75" customHeight="1">
      <c r="A16" s="101" t="s">
        <v>44</v>
      </c>
      <c r="B16" s="226">
        <v>0</v>
      </c>
      <c r="C16" s="102">
        <f>'Estimated Budget'!$P$121</f>
        <v>0</v>
      </c>
      <c r="D16" s="102">
        <f>'Final Closeout'!$N$57</f>
        <v>0</v>
      </c>
      <c r="E16" s="280"/>
      <c r="F16" s="281"/>
      <c r="H16" s="266"/>
      <c r="I16" s="266"/>
      <c r="J16" s="266"/>
      <c r="K16" s="266"/>
      <c r="L16" s="266"/>
      <c r="M16" s="266"/>
      <c r="N16" s="266"/>
      <c r="P16" t="s">
        <v>469</v>
      </c>
      <c r="Q16" s="1" t="s">
        <v>470</v>
      </c>
      <c r="S16" t="s">
        <v>471</v>
      </c>
    </row>
    <row r="17" spans="1:19" ht="12.75" customHeight="1">
      <c r="A17" s="101" t="s">
        <v>244</v>
      </c>
      <c r="B17" s="226">
        <v>0</v>
      </c>
      <c r="C17" s="102">
        <f>'Estimated Budget'!$P$123</f>
        <v>0</v>
      </c>
      <c r="D17" s="102">
        <f>'Final Closeout'!$N$63</f>
        <v>0</v>
      </c>
      <c r="E17" s="282"/>
      <c r="F17" s="283"/>
      <c r="P17" t="s">
        <v>472</v>
      </c>
      <c r="Q17" s="1" t="s">
        <v>473</v>
      </c>
      <c r="S17" t="s">
        <v>474</v>
      </c>
    </row>
    <row r="18" spans="1:19">
      <c r="A18" s="262" t="s">
        <v>98</v>
      </c>
      <c r="B18" s="226">
        <v>0</v>
      </c>
      <c r="C18" s="102">
        <f>'Estimated Budget'!$N$51</f>
        <v>0</v>
      </c>
      <c r="D18" s="102">
        <f>IF('Final Closeout'!$K$77&gt;0,'Final Closeout'!$K$75-$K$70,'Final Closeout'!$K$70)</f>
        <v>0</v>
      </c>
      <c r="E18" s="276" t="s">
        <v>209</v>
      </c>
      <c r="F18" s="277"/>
      <c r="H18" s="2" t="s">
        <v>202</v>
      </c>
      <c r="P18" t="s">
        <v>475</v>
      </c>
      <c r="Q18" s="1" t="s">
        <v>476</v>
      </c>
    </row>
    <row r="19" spans="1:19" ht="12.75" customHeight="1">
      <c r="A19" s="101"/>
      <c r="B19" s="263"/>
      <c r="C19" s="102"/>
      <c r="D19" s="102"/>
      <c r="E19" s="267"/>
      <c r="F19" s="268"/>
      <c r="H19" s="275" t="s">
        <v>265</v>
      </c>
      <c r="I19" s="266"/>
      <c r="J19" s="266"/>
      <c r="K19" s="266"/>
      <c r="L19" s="266"/>
      <c r="M19" s="266"/>
      <c r="N19" s="266"/>
      <c r="P19" t="s">
        <v>477</v>
      </c>
      <c r="Q19" s="1" t="s">
        <v>478</v>
      </c>
    </row>
    <row r="20" spans="1:19" ht="12.75" customHeight="1">
      <c r="A20" s="136" t="s">
        <v>203</v>
      </c>
      <c r="B20" s="304"/>
      <c r="C20" s="303"/>
      <c r="D20" s="104">
        <f>'Reimbursements-Refunds'!$M$51</f>
        <v>0</v>
      </c>
      <c r="E20" s="269"/>
      <c r="F20" s="270"/>
      <c r="H20" s="266"/>
      <c r="I20" s="266"/>
      <c r="J20" s="266"/>
      <c r="K20" s="266"/>
      <c r="L20" s="266"/>
      <c r="M20" s="266"/>
      <c r="N20" s="266"/>
      <c r="P20" t="s">
        <v>479</v>
      </c>
      <c r="Q20" s="1" t="s">
        <v>480</v>
      </c>
    </row>
    <row r="21" spans="1:19">
      <c r="A21" s="101" t="s">
        <v>204</v>
      </c>
      <c r="B21" s="102">
        <f>SUM($B$12:$B$19)</f>
        <v>0</v>
      </c>
      <c r="C21" s="102">
        <f>SUM($C$12:$C$19)</f>
        <v>0</v>
      </c>
      <c r="D21" s="102">
        <f>SUM($D$12:$D$19)-$D$20</f>
        <v>0</v>
      </c>
      <c r="E21" s="284" t="s">
        <v>205</v>
      </c>
      <c r="F21" s="285"/>
      <c r="H21" s="266" t="s">
        <v>206</v>
      </c>
      <c r="I21" s="266"/>
      <c r="J21" s="266"/>
      <c r="K21" s="266"/>
      <c r="L21" s="266"/>
      <c r="M21" s="266"/>
      <c r="N21" s="266"/>
      <c r="P21" t="s">
        <v>481</v>
      </c>
      <c r="Q21" s="1" t="s">
        <v>482</v>
      </c>
    </row>
    <row r="22" spans="1:19">
      <c r="A22" s="101" t="s">
        <v>207</v>
      </c>
      <c r="B22" s="304"/>
      <c r="C22" s="302"/>
      <c r="D22" s="303"/>
      <c r="F22" s="105"/>
      <c r="H22" s="266"/>
      <c r="I22" s="266"/>
      <c r="J22" s="266"/>
      <c r="K22" s="266"/>
      <c r="L22" s="266"/>
      <c r="M22" s="266"/>
      <c r="N22" s="266"/>
      <c r="P22" t="s">
        <v>483</v>
      </c>
      <c r="Q22" s="1" t="s">
        <v>484</v>
      </c>
    </row>
    <row r="23" spans="1:19">
      <c r="A23" s="296" t="s">
        <v>241</v>
      </c>
      <c r="B23" s="298">
        <v>0</v>
      </c>
      <c r="C23" s="300">
        <f>'Estimated Budget'!$P$127</f>
        <v>0</v>
      </c>
      <c r="D23" s="300">
        <f>'Final Closeout'!$N$85</f>
        <v>0</v>
      </c>
      <c r="E23" s="278" t="s">
        <v>208</v>
      </c>
      <c r="F23" s="279"/>
      <c r="P23" t="s">
        <v>485</v>
      </c>
      <c r="Q23" s="1" t="s">
        <v>486</v>
      </c>
    </row>
    <row r="24" spans="1:19" ht="12.75" customHeight="1">
      <c r="A24" s="297"/>
      <c r="B24" s="299"/>
      <c r="C24" s="301"/>
      <c r="D24" s="301"/>
      <c r="E24" s="280"/>
      <c r="F24" s="281"/>
      <c r="H24" s="2" t="s">
        <v>207</v>
      </c>
      <c r="P24" t="s">
        <v>487</v>
      </c>
      <c r="Q24" s="1" t="s">
        <v>488</v>
      </c>
    </row>
    <row r="25" spans="1:19" ht="12.75" customHeight="1">
      <c r="A25" s="101" t="s">
        <v>26</v>
      </c>
      <c r="B25" s="226">
        <v>0</v>
      </c>
      <c r="C25" s="102">
        <f>'Estimated Budget'!$P$132</f>
        <v>0</v>
      </c>
      <c r="D25" s="102">
        <f>'Final Closeout'!$N$89</f>
        <v>0</v>
      </c>
      <c r="E25" s="282"/>
      <c r="F25" s="283"/>
      <c r="H25" s="275" t="s">
        <v>264</v>
      </c>
      <c r="I25" s="266"/>
      <c r="J25" s="266"/>
      <c r="K25" s="266"/>
      <c r="L25" s="266"/>
      <c r="M25" s="266"/>
      <c r="N25" s="266"/>
      <c r="P25" t="s">
        <v>489</v>
      </c>
      <c r="Q25" s="1" t="s">
        <v>490</v>
      </c>
    </row>
    <row r="26" spans="1:19">
      <c r="A26" s="101" t="s">
        <v>27</v>
      </c>
      <c r="B26" s="226">
        <v>0</v>
      </c>
      <c r="C26" s="102">
        <f>'Estimated Budget'!$P$134</f>
        <v>0</v>
      </c>
      <c r="D26" s="102">
        <f>'Final Closeout'!$N$91</f>
        <v>0</v>
      </c>
      <c r="E26" s="284" t="s">
        <v>200</v>
      </c>
      <c r="F26" s="285"/>
      <c r="H26" s="266"/>
      <c r="I26" s="266"/>
      <c r="J26" s="266"/>
      <c r="K26" s="266"/>
      <c r="L26" s="266"/>
      <c r="M26" s="266"/>
      <c r="N26" s="266"/>
      <c r="P26" s="194" t="s">
        <v>491</v>
      </c>
      <c r="Q26" s="220" t="s">
        <v>492</v>
      </c>
    </row>
    <row r="27" spans="1:19" ht="12.75" customHeight="1">
      <c r="A27" s="227"/>
      <c r="B27" s="226">
        <v>0</v>
      </c>
      <c r="C27" s="226">
        <v>0</v>
      </c>
      <c r="D27" s="226">
        <v>0</v>
      </c>
      <c r="E27" s="292"/>
      <c r="F27" s="293"/>
      <c r="H27" s="265" t="s">
        <v>198</v>
      </c>
      <c r="I27" s="265"/>
      <c r="J27" s="265"/>
      <c r="K27" s="265"/>
      <c r="L27" s="265"/>
      <c r="M27" s="265"/>
      <c r="N27" s="265"/>
      <c r="P27" t="s">
        <v>493</v>
      </c>
      <c r="Q27" s="1" t="s">
        <v>494</v>
      </c>
    </row>
    <row r="28" spans="1:19" ht="12.75" customHeight="1">
      <c r="A28" s="228"/>
      <c r="B28" s="226">
        <v>0</v>
      </c>
      <c r="C28" s="226">
        <v>0</v>
      </c>
      <c r="D28" s="226">
        <v>0</v>
      </c>
      <c r="E28" s="294"/>
      <c r="F28" s="295"/>
      <c r="H28" s="266" t="s">
        <v>201</v>
      </c>
      <c r="I28" s="266"/>
      <c r="J28" s="266"/>
      <c r="K28" s="266"/>
      <c r="L28" s="266"/>
      <c r="M28" s="266"/>
      <c r="N28" s="266"/>
      <c r="P28" t="s">
        <v>495</v>
      </c>
      <c r="Q28" s="1" t="s">
        <v>496</v>
      </c>
    </row>
    <row r="29" spans="1:19">
      <c r="A29" s="228"/>
      <c r="B29" s="226">
        <v>0</v>
      </c>
      <c r="C29" s="226">
        <v>0</v>
      </c>
      <c r="D29" s="226">
        <v>0</v>
      </c>
      <c r="E29" s="276" t="s">
        <v>209</v>
      </c>
      <c r="F29" s="277"/>
      <c r="H29" s="266"/>
      <c r="I29" s="266"/>
      <c r="J29" s="266"/>
      <c r="K29" s="266"/>
      <c r="L29" s="266"/>
      <c r="M29" s="266"/>
      <c r="N29" s="266"/>
      <c r="P29" s="194" t="s">
        <v>497</v>
      </c>
      <c r="Q29" s="220" t="s">
        <v>498</v>
      </c>
    </row>
    <row r="30" spans="1:19" ht="12.75" customHeight="1">
      <c r="A30" s="228"/>
      <c r="B30" s="226">
        <v>0</v>
      </c>
      <c r="C30" s="226">
        <v>0</v>
      </c>
      <c r="D30" s="226">
        <v>0</v>
      </c>
      <c r="E30" s="267"/>
      <c r="F30" s="268"/>
      <c r="P30" t="s">
        <v>499</v>
      </c>
      <c r="Q30" s="1" t="s">
        <v>500</v>
      </c>
    </row>
    <row r="31" spans="1:19" ht="12.75" customHeight="1">
      <c r="A31" s="229"/>
      <c r="B31" s="226">
        <v>0</v>
      </c>
      <c r="C31" s="226">
        <v>0</v>
      </c>
      <c r="D31" s="226">
        <v>0</v>
      </c>
      <c r="E31" s="269"/>
      <c r="F31" s="270"/>
      <c r="P31" t="s">
        <v>501</v>
      </c>
      <c r="Q31" s="1" t="s">
        <v>502</v>
      </c>
    </row>
    <row r="32" spans="1:19" ht="13.5" thickBot="1">
      <c r="A32" s="228"/>
      <c r="B32" s="226">
        <v>0</v>
      </c>
      <c r="C32" s="226">
        <v>0</v>
      </c>
      <c r="D32" s="226">
        <v>0</v>
      </c>
      <c r="E32" s="271" t="s">
        <v>205</v>
      </c>
      <c r="F32" s="272"/>
      <c r="P32" t="s">
        <v>503</v>
      </c>
      <c r="Q32" s="1" t="s">
        <v>504</v>
      </c>
    </row>
    <row r="33" spans="1:17" ht="13.5" thickBot="1">
      <c r="A33" s="228"/>
      <c r="B33" s="226">
        <v>0</v>
      </c>
      <c r="C33" s="226">
        <v>0</v>
      </c>
      <c r="D33" s="226">
        <v>0</v>
      </c>
      <c r="E33" s="273" t="s">
        <v>210</v>
      </c>
      <c r="F33" s="274"/>
      <c r="P33" s="194" t="s">
        <v>505</v>
      </c>
      <c r="Q33" s="220" t="s">
        <v>506</v>
      </c>
    </row>
    <row r="34" spans="1:17" ht="13.5" thickBot="1">
      <c r="A34" s="101" t="s">
        <v>211</v>
      </c>
      <c r="B34" s="102">
        <f>SUM($B$23:$B$33)</f>
        <v>0</v>
      </c>
      <c r="C34" s="102">
        <f>SUM($C$23:$C$33)</f>
        <v>0</v>
      </c>
      <c r="D34" s="102">
        <f>SUM($D$23:$D$33)</f>
        <v>0</v>
      </c>
      <c r="E34" s="107" t="s">
        <v>212</v>
      </c>
      <c r="F34" s="108">
        <f>$D$46</f>
        <v>0</v>
      </c>
      <c r="P34" t="s">
        <v>507</v>
      </c>
      <c r="Q34" s="1" t="s">
        <v>508</v>
      </c>
    </row>
    <row r="35" spans="1:17">
      <c r="A35" s="290"/>
      <c r="B35" s="305"/>
      <c r="C35" s="305"/>
      <c r="D35" s="306"/>
      <c r="E35" s="109"/>
      <c r="F35" s="110"/>
      <c r="P35" s="194"/>
      <c r="Q35" s="220"/>
    </row>
    <row r="36" spans="1:17">
      <c r="A36" s="291"/>
      <c r="B36" s="307"/>
      <c r="C36" s="307"/>
      <c r="D36" s="308"/>
      <c r="E36" s="111" t="s">
        <v>213</v>
      </c>
      <c r="F36" s="110">
        <f>$D$21</f>
        <v>0</v>
      </c>
      <c r="P36" s="194"/>
      <c r="Q36" s="220"/>
    </row>
    <row r="37" spans="1:17">
      <c r="A37" s="101" t="s">
        <v>214</v>
      </c>
      <c r="B37" s="230">
        <v>0</v>
      </c>
      <c r="C37" s="102">
        <f>'Estimated Budget'!$P$143</f>
        <v>0</v>
      </c>
      <c r="D37" s="102">
        <f>'Final Closeout'!$N$97</f>
        <v>0</v>
      </c>
      <c r="E37" s="112" t="s">
        <v>215</v>
      </c>
      <c r="F37" s="110">
        <f>$D$34</f>
        <v>0</v>
      </c>
      <c r="P37" s="194"/>
      <c r="Q37" s="220"/>
    </row>
    <row r="38" spans="1:17">
      <c r="A38" s="146"/>
      <c r="B38" s="302"/>
      <c r="C38" s="302"/>
      <c r="D38" s="303"/>
      <c r="E38" s="112" t="s">
        <v>216</v>
      </c>
      <c r="F38" s="110"/>
      <c r="P38" s="194"/>
      <c r="Q38" s="220"/>
    </row>
    <row r="39" spans="1:17">
      <c r="A39" s="101" t="s">
        <v>217</v>
      </c>
      <c r="B39" s="230">
        <v>0</v>
      </c>
      <c r="C39" s="102">
        <f>'Estimated Budget'!$P$130</f>
        <v>0</v>
      </c>
      <c r="D39" s="102">
        <f>'Final Closeout'!$N$99</f>
        <v>0</v>
      </c>
      <c r="E39" s="111" t="s">
        <v>218</v>
      </c>
      <c r="F39" s="110">
        <f>$D$20</f>
        <v>0</v>
      </c>
      <c r="H39" s="35" t="s">
        <v>219</v>
      </c>
      <c r="I39" s="35"/>
      <c r="J39" s="35"/>
      <c r="K39" s="35"/>
      <c r="L39" s="35"/>
      <c r="M39" s="35"/>
      <c r="N39" s="35"/>
      <c r="P39" s="194"/>
      <c r="Q39" s="220"/>
    </row>
    <row r="40" spans="1:17">
      <c r="A40" s="113" t="s">
        <v>220</v>
      </c>
      <c r="B40" s="150"/>
      <c r="C40" s="102">
        <f>'Estimated Budget'!$N$54+'Estimated Budget'!$P$151</f>
        <v>0</v>
      </c>
      <c r="D40" s="150"/>
      <c r="E40" s="109" t="s">
        <v>214</v>
      </c>
      <c r="F40" s="110">
        <f>$D$37</f>
        <v>0</v>
      </c>
    </row>
    <row r="41" spans="1:17" ht="13.5" thickBot="1">
      <c r="A41" s="114" t="s">
        <v>221</v>
      </c>
      <c r="B41" s="102">
        <f>$B$21+$B$34+$B$37+$B$39</f>
        <v>0</v>
      </c>
      <c r="C41" s="102">
        <f>$C$21+$C$34+$C$37+$C$39+$C$40</f>
        <v>0</v>
      </c>
      <c r="D41" s="102">
        <f>D20+$D$21+$D$34+$D$37+$D$39</f>
        <v>0</v>
      </c>
      <c r="E41" s="111" t="s">
        <v>222</v>
      </c>
      <c r="F41" s="110"/>
      <c r="H41" s="2" t="s">
        <v>223</v>
      </c>
    </row>
    <row r="42" spans="1:17" ht="13.5" thickBot="1">
      <c r="A42" s="106" t="s">
        <v>224</v>
      </c>
      <c r="B42" s="147"/>
      <c r="C42" s="148"/>
      <c r="D42" s="149"/>
      <c r="E42" s="111" t="s">
        <v>225</v>
      </c>
      <c r="F42" s="110">
        <f>$D$39</f>
        <v>0</v>
      </c>
      <c r="H42" s="275" t="s">
        <v>264</v>
      </c>
      <c r="I42" s="266"/>
      <c r="J42" s="266"/>
      <c r="K42" s="266"/>
      <c r="L42" s="266"/>
      <c r="M42" s="266"/>
      <c r="N42" s="266"/>
    </row>
    <row r="43" spans="1:17">
      <c r="A43" s="115" t="s">
        <v>104</v>
      </c>
      <c r="B43" s="226">
        <v>0</v>
      </c>
      <c r="C43" s="102">
        <f>'Estimated Budget'!$K$100</f>
        <v>0</v>
      </c>
      <c r="D43" s="102">
        <f>'Final Closeout'!$N$15</f>
        <v>0</v>
      </c>
      <c r="E43" s="111" t="s">
        <v>226</v>
      </c>
      <c r="F43" s="116"/>
      <c r="H43" s="266"/>
      <c r="I43" s="266"/>
      <c r="J43" s="266"/>
      <c r="K43" s="266"/>
      <c r="L43" s="266"/>
      <c r="M43" s="266"/>
      <c r="N43" s="266"/>
    </row>
    <row r="44" spans="1:17" ht="13.5" thickBot="1">
      <c r="A44" s="101" t="s">
        <v>227</v>
      </c>
      <c r="B44" s="226">
        <v>0</v>
      </c>
      <c r="C44" s="102">
        <f>'Estimated Budget'!$K$106</f>
        <v>0</v>
      </c>
      <c r="D44" s="102">
        <v>0</v>
      </c>
      <c r="E44" s="107" t="s">
        <v>228</v>
      </c>
      <c r="F44" s="108">
        <f>SUM($F$36:$F$43)</f>
        <v>0</v>
      </c>
      <c r="H44" s="265" t="s">
        <v>198</v>
      </c>
      <c r="I44" s="265"/>
      <c r="J44" s="265"/>
      <c r="K44" s="265"/>
      <c r="L44" s="265"/>
      <c r="M44" s="265"/>
      <c r="N44" s="265"/>
    </row>
    <row r="45" spans="1:17" ht="12.75" customHeight="1">
      <c r="A45" s="103" t="s">
        <v>229</v>
      </c>
      <c r="B45" s="231">
        <v>0</v>
      </c>
      <c r="C45" s="150"/>
      <c r="D45" s="104">
        <f>'Final Closeout'!$N$78</f>
        <v>0</v>
      </c>
      <c r="E45" s="109"/>
      <c r="F45" s="116"/>
      <c r="H45" s="266" t="s">
        <v>230</v>
      </c>
      <c r="I45" s="266"/>
      <c r="J45" s="266"/>
      <c r="K45" s="266"/>
      <c r="L45" s="266"/>
      <c r="M45" s="266"/>
      <c r="N45" s="266"/>
    </row>
    <row r="46" spans="1:17" ht="13.5" thickBot="1">
      <c r="A46" s="114" t="s">
        <v>212</v>
      </c>
      <c r="B46" s="102">
        <f>SUM($B$43:$B$44)-$B$45</f>
        <v>0</v>
      </c>
      <c r="C46" s="102">
        <f>SUM($C$43:$C$45)</f>
        <v>0</v>
      </c>
      <c r="D46" s="102">
        <f>SUM($D$43:$D$44)-$D$45</f>
        <v>0</v>
      </c>
      <c r="E46" s="107" t="s">
        <v>231</v>
      </c>
      <c r="F46" s="108">
        <f>$F$34-$F$44</f>
        <v>0</v>
      </c>
      <c r="H46" s="266"/>
      <c r="I46" s="266"/>
      <c r="J46" s="266"/>
      <c r="K46" s="266"/>
      <c r="L46" s="266"/>
      <c r="M46" s="266"/>
      <c r="N46" s="266"/>
    </row>
    <row r="47" spans="1:17" ht="13.5" thickBot="1">
      <c r="A47" s="117" t="s">
        <v>232</v>
      </c>
      <c r="B47" s="118">
        <f>SUM($B$46-$B$41)</f>
        <v>0</v>
      </c>
      <c r="C47" s="158"/>
      <c r="D47" s="118">
        <f>D46-D41</f>
        <v>0</v>
      </c>
      <c r="E47" s="119"/>
      <c r="F47" s="120"/>
      <c r="H47" s="266"/>
      <c r="I47" s="266"/>
      <c r="J47" s="266"/>
      <c r="K47" s="266"/>
      <c r="L47" s="266"/>
      <c r="M47" s="266"/>
      <c r="N47" s="266"/>
    </row>
    <row r="48" spans="1:17" ht="13.5" thickBot="1">
      <c r="A48" s="121"/>
      <c r="B48" s="121"/>
      <c r="C48" s="121"/>
      <c r="D48" s="121"/>
      <c r="E48" s="121"/>
      <c r="F48" s="121"/>
    </row>
    <row r="53" spans="1:6">
      <c r="A53" s="2"/>
    </row>
    <row r="59" spans="1:6">
      <c r="A59" s="2"/>
    </row>
    <row r="60" spans="1:6">
      <c r="B60" s="122"/>
      <c r="C60" s="122"/>
      <c r="D60" s="122"/>
      <c r="F60" s="122"/>
    </row>
    <row r="61" spans="1:6">
      <c r="B61" s="122"/>
      <c r="C61" s="122"/>
      <c r="D61" s="122"/>
      <c r="F61" s="122"/>
    </row>
    <row r="62" spans="1:6">
      <c r="B62" s="122"/>
      <c r="C62" s="122"/>
      <c r="D62" s="122"/>
      <c r="F62" s="122"/>
    </row>
    <row r="63" spans="1:6">
      <c r="B63" s="122"/>
      <c r="C63" s="122"/>
      <c r="D63" s="122"/>
      <c r="F63" s="122"/>
    </row>
    <row r="64" spans="1:6">
      <c r="B64" s="122"/>
      <c r="C64" s="122"/>
      <c r="D64" s="122"/>
      <c r="F64" s="123"/>
    </row>
    <row r="65" spans="2:6">
      <c r="D65" s="124"/>
      <c r="F65" s="124"/>
    </row>
    <row r="66" spans="2:6">
      <c r="B66" s="122"/>
      <c r="C66" s="122"/>
      <c r="D66" s="122"/>
      <c r="F66" s="122"/>
    </row>
    <row r="115" spans="1:1">
      <c r="A115" s="125"/>
    </row>
  </sheetData>
  <sheetProtection password="E4A7" sheet="1" objects="1" scenarios="1" selectLockedCells="1"/>
  <mergeCells count="39">
    <mergeCell ref="B38:D38"/>
    <mergeCell ref="B20:C20"/>
    <mergeCell ref="B22:D22"/>
    <mergeCell ref="B35:D36"/>
    <mergeCell ref="E27:F28"/>
    <mergeCell ref="A35:A36"/>
    <mergeCell ref="H12:N13"/>
    <mergeCell ref="E13:F14"/>
    <mergeCell ref="H14:N14"/>
    <mergeCell ref="E19:F20"/>
    <mergeCell ref="H19:N20"/>
    <mergeCell ref="E15:F15"/>
    <mergeCell ref="H15:N16"/>
    <mergeCell ref="A23:A24"/>
    <mergeCell ref="B23:B24"/>
    <mergeCell ref="C23:C24"/>
    <mergeCell ref="D23:D24"/>
    <mergeCell ref="E21:F21"/>
    <mergeCell ref="H21:N22"/>
    <mergeCell ref="E16:F17"/>
    <mergeCell ref="E18:F18"/>
    <mergeCell ref="A1:F1"/>
    <mergeCell ref="B3:C3"/>
    <mergeCell ref="B5:C5"/>
    <mergeCell ref="B7:C7"/>
    <mergeCell ref="E12:F12"/>
    <mergeCell ref="H27:N27"/>
    <mergeCell ref="H28:N29"/>
    <mergeCell ref="E29:F29"/>
    <mergeCell ref="E23:F23"/>
    <mergeCell ref="E24:F25"/>
    <mergeCell ref="H25:N26"/>
    <mergeCell ref="E26:F26"/>
    <mergeCell ref="H44:N44"/>
    <mergeCell ref="H45:N47"/>
    <mergeCell ref="E30:F31"/>
    <mergeCell ref="E32:F32"/>
    <mergeCell ref="E33:F33"/>
    <mergeCell ref="H42:N43"/>
  </mergeCells>
  <phoneticPr fontId="2" type="noConversion"/>
  <dataValidations count="3">
    <dataValidation type="list" allowBlank="1" showInputMessage="1" showErrorMessage="1" sqref="B3:C3">
      <formula1>$S$12:$S$17</formula1>
    </dataValidation>
    <dataValidation type="list" allowBlank="1" showInputMessage="1" showErrorMessage="1" sqref="B5:C5">
      <formula1>$P$12:$P$36</formula1>
    </dataValidation>
    <dataValidation type="list" allowBlank="1" showInputMessage="1" showErrorMessage="1" sqref="B7:C7">
      <formula1>$Q$12:$Q$36</formula1>
    </dataValidation>
  </dataValidations>
  <printOptions horizontalCentered="1"/>
  <pageMargins left="0.25" right="0.25" top="1" bottom="1" header="0.5" footer="0.5"/>
  <pageSetup orientation="portrait" r:id="rId1"/>
  <headerFooter alignWithMargins="0">
    <oddHeader>&amp;R&amp;8 Revised 01-2013</oddHeader>
    <oddFooter>&amp;L&amp;5&amp;F&amp;C&amp;"Arial,Bold"&amp;8&amp;A&amp;R&amp;8&amp;P</oddFooter>
  </headerFooter>
  <drawing r:id="rId2"/>
  <legacyDrawing r:id="rId3"/>
</worksheet>
</file>

<file path=xl/worksheets/sheet2.xml><?xml version="1.0" encoding="utf-8"?>
<worksheet xmlns="http://schemas.openxmlformats.org/spreadsheetml/2006/main" xmlns:r="http://schemas.openxmlformats.org/officeDocument/2006/relationships">
  <dimension ref="A1:AD157"/>
  <sheetViews>
    <sheetView showGridLines="0" zoomScaleNormal="100" workbookViewId="0">
      <pane ySplit="2" topLeftCell="A3" activePane="bottomLeft" state="frozen"/>
      <selection activeCell="B3" sqref="B3:C3"/>
      <selection pane="bottomLeft" activeCell="H7" sqref="H7"/>
    </sheetView>
  </sheetViews>
  <sheetFormatPr defaultRowHeight="12.75"/>
  <cols>
    <col min="1" max="3" width="5.7109375" customWidth="1"/>
    <col min="7" max="7" width="2" style="1" bestFit="1" customWidth="1"/>
    <col min="9" max="9" width="2.140625" style="1" bestFit="1" customWidth="1"/>
    <col min="10" max="10" width="2.140625" style="1" customWidth="1"/>
    <col min="12" max="12" width="2.140625" style="1" bestFit="1" customWidth="1"/>
    <col min="13" max="13" width="2" style="1" bestFit="1" customWidth="1"/>
    <col min="15" max="15" width="2" bestFit="1" customWidth="1"/>
  </cols>
  <sheetData>
    <row r="1" spans="1:30">
      <c r="A1" s="351" t="s">
        <v>48</v>
      </c>
      <c r="B1" s="351"/>
      <c r="C1" s="351"/>
      <c r="D1" s="329" t="str">
        <f>'OA Budget Planning-Report Sheet'!$B$5</f>
        <v>Chapter Name (Number)</v>
      </c>
      <c r="E1" s="329"/>
      <c r="F1" s="329"/>
      <c r="G1" s="8"/>
      <c r="H1" s="8"/>
      <c r="K1" s="351" t="s">
        <v>49</v>
      </c>
      <c r="L1" s="351"/>
      <c r="M1" s="160"/>
      <c r="N1" s="328" t="str">
        <f>'OA Budget Planning-Report Sheet'!$B$7</f>
        <v>Custodial Account</v>
      </c>
      <c r="O1" s="328"/>
      <c r="P1" s="328"/>
      <c r="R1" s="141" t="s">
        <v>253</v>
      </c>
      <c r="S1" s="35"/>
      <c r="T1" s="35"/>
      <c r="U1" s="35"/>
      <c r="V1" s="35"/>
      <c r="W1" s="35"/>
      <c r="X1" s="35"/>
      <c r="Y1" s="35"/>
      <c r="Z1" s="35"/>
      <c r="AA1" s="35"/>
      <c r="AB1" s="35"/>
      <c r="AD1" s="3"/>
    </row>
    <row r="2" spans="1:30" ht="13.5" thickBot="1">
      <c r="R2" s="141" t="s">
        <v>256</v>
      </c>
      <c r="S2" s="35"/>
      <c r="T2" s="35"/>
      <c r="U2" s="35"/>
      <c r="V2" s="35"/>
      <c r="W2" s="35"/>
      <c r="X2" s="35"/>
      <c r="Y2" s="35"/>
      <c r="Z2" s="35"/>
      <c r="AA2" s="35"/>
      <c r="AB2" s="35"/>
      <c r="AC2" s="35"/>
      <c r="AD2" s="3"/>
    </row>
    <row r="3" spans="1:30">
      <c r="A3" s="36"/>
      <c r="B3" s="27"/>
      <c r="C3" s="27"/>
      <c r="D3" s="27"/>
      <c r="E3" s="27"/>
      <c r="F3" s="27"/>
      <c r="G3" s="28"/>
      <c r="H3" s="27"/>
      <c r="I3" s="28"/>
      <c r="J3" s="28"/>
      <c r="K3" s="27"/>
      <c r="L3" s="28"/>
      <c r="M3" s="28"/>
      <c r="N3" s="27"/>
      <c r="O3" s="27"/>
      <c r="P3" s="37"/>
    </row>
    <row r="4" spans="1:30">
      <c r="A4" s="330" t="s">
        <v>36</v>
      </c>
      <c r="B4" s="331"/>
      <c r="C4" s="331"/>
      <c r="D4" s="331"/>
      <c r="E4" s="6"/>
      <c r="F4" s="6"/>
      <c r="G4" s="7"/>
      <c r="H4" s="6"/>
      <c r="I4" s="7"/>
      <c r="J4" s="7"/>
      <c r="K4" s="6"/>
      <c r="L4" s="7"/>
      <c r="M4" s="7"/>
      <c r="N4" s="6"/>
      <c r="O4" s="6"/>
      <c r="P4" s="38"/>
    </row>
    <row r="5" spans="1:30">
      <c r="A5" s="39"/>
      <c r="B5" s="6"/>
      <c r="C5" s="6"/>
      <c r="D5" s="6"/>
      <c r="E5" s="6"/>
      <c r="F5" s="6"/>
      <c r="G5" s="7"/>
      <c r="H5" s="6"/>
      <c r="I5" s="7"/>
      <c r="J5" s="7"/>
      <c r="K5" s="6"/>
      <c r="L5" s="7"/>
      <c r="M5" s="7"/>
      <c r="N5" s="6"/>
      <c r="O5" s="6"/>
      <c r="P5" s="38"/>
    </row>
    <row r="6" spans="1:30">
      <c r="A6" s="334" t="s">
        <v>2</v>
      </c>
      <c r="B6" s="315"/>
      <c r="C6" s="315"/>
      <c r="D6" s="315"/>
      <c r="E6" s="6"/>
      <c r="F6" s="6"/>
      <c r="G6" s="7"/>
      <c r="H6" s="77" t="s">
        <v>151</v>
      </c>
      <c r="I6" s="7"/>
      <c r="J6" s="7"/>
      <c r="K6" s="77" t="s">
        <v>307</v>
      </c>
      <c r="L6" s="7"/>
      <c r="M6" s="7"/>
      <c r="N6" s="77" t="s">
        <v>152</v>
      </c>
      <c r="O6" s="6"/>
      <c r="P6" s="38"/>
    </row>
    <row r="7" spans="1:30">
      <c r="A7" s="39"/>
      <c r="B7" s="312" t="s">
        <v>14</v>
      </c>
      <c r="C7" s="312"/>
      <c r="D7" s="312"/>
      <c r="E7" s="312"/>
      <c r="F7" s="6"/>
      <c r="G7" s="7"/>
      <c r="H7" s="232"/>
      <c r="I7" s="7" t="s">
        <v>19</v>
      </c>
      <c r="J7" s="7" t="s">
        <v>18</v>
      </c>
      <c r="K7" s="236"/>
      <c r="L7" s="7" t="s">
        <v>20</v>
      </c>
      <c r="M7" s="7" t="s">
        <v>18</v>
      </c>
      <c r="N7" s="41">
        <f>$H$7*$K$7</f>
        <v>0</v>
      </c>
      <c r="O7" s="6"/>
      <c r="P7" s="38"/>
    </row>
    <row r="8" spans="1:30">
      <c r="A8" s="39"/>
      <c r="B8" s="312" t="s">
        <v>28</v>
      </c>
      <c r="C8" s="312"/>
      <c r="D8" s="312"/>
      <c r="E8" s="312"/>
      <c r="F8" s="6"/>
      <c r="G8" s="7"/>
      <c r="H8" s="232"/>
      <c r="I8" s="7" t="s">
        <v>19</v>
      </c>
      <c r="J8" s="7" t="s">
        <v>18</v>
      </c>
      <c r="K8" s="236"/>
      <c r="L8" s="7" t="s">
        <v>20</v>
      </c>
      <c r="M8" s="7" t="s">
        <v>18</v>
      </c>
      <c r="N8" s="41">
        <f>$H$8*$K$8</f>
        <v>0</v>
      </c>
      <c r="O8" s="6"/>
      <c r="P8" s="38"/>
      <c r="R8" s="35" t="s">
        <v>121</v>
      </c>
      <c r="S8" s="35"/>
      <c r="T8" s="35"/>
      <c r="U8" s="35"/>
      <c r="V8" s="35"/>
      <c r="W8" s="35"/>
    </row>
    <row r="9" spans="1:30">
      <c r="A9" s="39"/>
      <c r="B9" s="40" t="s">
        <v>15</v>
      </c>
      <c r="C9" s="40"/>
      <c r="D9" s="40"/>
      <c r="E9" s="40"/>
      <c r="F9" s="6"/>
      <c r="G9" s="7"/>
      <c r="H9" s="232"/>
      <c r="I9" s="7" t="s">
        <v>19</v>
      </c>
      <c r="J9" s="7" t="s">
        <v>18</v>
      </c>
      <c r="K9" s="236"/>
      <c r="L9" s="7" t="s">
        <v>20</v>
      </c>
      <c r="M9" s="7" t="s">
        <v>18</v>
      </c>
      <c r="N9" s="41">
        <f>$H$9*$K$9</f>
        <v>0</v>
      </c>
      <c r="O9" s="6"/>
      <c r="P9" s="38"/>
      <c r="R9" s="35" t="s">
        <v>349</v>
      </c>
      <c r="S9" s="35"/>
      <c r="T9" s="35"/>
      <c r="U9" s="35"/>
      <c r="V9" s="35"/>
      <c r="W9" s="3"/>
    </row>
    <row r="10" spans="1:30">
      <c r="A10" s="39"/>
      <c r="B10" s="40" t="s">
        <v>242</v>
      </c>
      <c r="C10" s="40"/>
      <c r="D10" s="40"/>
      <c r="E10" s="40"/>
      <c r="F10" s="6"/>
      <c r="G10" s="7"/>
      <c r="H10" s="232"/>
      <c r="I10" s="7" t="s">
        <v>19</v>
      </c>
      <c r="J10" s="7" t="s">
        <v>18</v>
      </c>
      <c r="K10" s="236"/>
      <c r="L10" s="7" t="s">
        <v>20</v>
      </c>
      <c r="M10" s="7" t="s">
        <v>18</v>
      </c>
      <c r="N10" s="41">
        <f>$H$10*$K$10</f>
        <v>0</v>
      </c>
      <c r="O10" s="6"/>
      <c r="P10" s="38"/>
      <c r="R10" s="35" t="s">
        <v>122</v>
      </c>
      <c r="S10" s="35"/>
      <c r="T10" s="35"/>
      <c r="U10" s="35"/>
      <c r="V10" s="35"/>
      <c r="W10" s="35"/>
    </row>
    <row r="11" spans="1:30">
      <c r="A11" s="39"/>
      <c r="B11" s="312" t="s">
        <v>16</v>
      </c>
      <c r="C11" s="312"/>
      <c r="D11" s="312"/>
      <c r="E11" s="312"/>
      <c r="F11" s="6"/>
      <c r="G11" s="7"/>
      <c r="H11" s="232"/>
      <c r="I11" s="7" t="s">
        <v>19</v>
      </c>
      <c r="J11" s="7" t="s">
        <v>18</v>
      </c>
      <c r="K11" s="236"/>
      <c r="L11" s="7" t="s">
        <v>20</v>
      </c>
      <c r="M11" s="7" t="s">
        <v>18</v>
      </c>
      <c r="N11" s="41">
        <f>$H$11*$K$11</f>
        <v>0</v>
      </c>
      <c r="O11" s="6"/>
      <c r="P11" s="38"/>
      <c r="R11" s="35" t="s">
        <v>350</v>
      </c>
      <c r="S11" s="35"/>
      <c r="T11" s="35"/>
      <c r="U11" s="35"/>
      <c r="V11" s="35"/>
      <c r="W11" s="3"/>
    </row>
    <row r="12" spans="1:30">
      <c r="A12" s="39"/>
      <c r="B12" s="333"/>
      <c r="C12" s="316"/>
      <c r="D12" s="316"/>
      <c r="E12" s="316"/>
      <c r="F12" s="6"/>
      <c r="G12" s="7"/>
      <c r="H12" s="232"/>
      <c r="I12" s="7" t="s">
        <v>19</v>
      </c>
      <c r="J12" s="7" t="s">
        <v>18</v>
      </c>
      <c r="K12" s="236"/>
      <c r="L12" s="7" t="s">
        <v>20</v>
      </c>
      <c r="M12" s="7" t="s">
        <v>18</v>
      </c>
      <c r="N12" s="41">
        <f>$H$12*$K$12</f>
        <v>0</v>
      </c>
      <c r="O12" s="6"/>
      <c r="P12" s="38"/>
      <c r="R12" s="35" t="s">
        <v>133</v>
      </c>
      <c r="S12" s="35"/>
      <c r="T12" s="35"/>
      <c r="U12" s="35"/>
      <c r="V12" s="35"/>
      <c r="W12" s="35"/>
      <c r="X12" s="35"/>
    </row>
    <row r="13" spans="1:30">
      <c r="A13" s="39"/>
      <c r="B13" s="333"/>
      <c r="C13" s="316"/>
      <c r="D13" s="316"/>
      <c r="E13" s="316"/>
      <c r="F13" s="6"/>
      <c r="G13" s="7"/>
      <c r="H13" s="232"/>
      <c r="I13" s="7" t="s">
        <v>19</v>
      </c>
      <c r="J13" s="7" t="s">
        <v>18</v>
      </c>
      <c r="K13" s="236"/>
      <c r="L13" s="7" t="s">
        <v>20</v>
      </c>
      <c r="M13" s="7" t="s">
        <v>18</v>
      </c>
      <c r="N13" s="86">
        <f>$H$13*$K$13</f>
        <v>0</v>
      </c>
      <c r="O13" s="6"/>
      <c r="P13" s="38"/>
    </row>
    <row r="14" spans="1:30">
      <c r="A14" s="39"/>
      <c r="B14" s="332" t="s">
        <v>45</v>
      </c>
      <c r="C14" s="332"/>
      <c r="D14" s="332"/>
      <c r="E14" s="332"/>
      <c r="F14" s="332"/>
      <c r="G14" s="7"/>
      <c r="H14" s="6"/>
      <c r="I14" s="7"/>
      <c r="J14" s="7"/>
      <c r="K14" s="6"/>
      <c r="L14" s="7"/>
      <c r="M14" s="7" t="s">
        <v>18</v>
      </c>
      <c r="N14" s="87">
        <f>SUM($N$7:$N$13)</f>
        <v>0</v>
      </c>
      <c r="O14" s="6"/>
      <c r="P14" s="38"/>
      <c r="R14" s="35" t="s">
        <v>135</v>
      </c>
      <c r="S14" s="35"/>
      <c r="T14" s="35"/>
      <c r="U14" s="35"/>
      <c r="V14" s="35"/>
      <c r="W14" s="35"/>
    </row>
    <row r="15" spans="1:30">
      <c r="A15" s="39"/>
      <c r="B15" s="6"/>
      <c r="C15" s="6"/>
      <c r="D15" s="6"/>
      <c r="E15" s="6"/>
      <c r="F15" s="6"/>
      <c r="G15" s="7"/>
      <c r="H15" s="6"/>
      <c r="I15" s="7"/>
      <c r="J15" s="7"/>
      <c r="K15" s="6"/>
      <c r="L15" s="7"/>
      <c r="M15" s="7"/>
      <c r="N15" s="6"/>
      <c r="O15" s="6"/>
      <c r="P15" s="38"/>
    </row>
    <row r="16" spans="1:30">
      <c r="A16" s="334" t="s">
        <v>37</v>
      </c>
      <c r="B16" s="315"/>
      <c r="C16" s="315"/>
      <c r="D16" s="315"/>
      <c r="E16" s="6"/>
      <c r="F16" s="6"/>
      <c r="G16" s="7"/>
      <c r="H16" s="6"/>
      <c r="I16" s="7"/>
      <c r="J16" s="7"/>
      <c r="K16" s="6"/>
      <c r="L16" s="7"/>
      <c r="M16" s="7"/>
      <c r="N16" s="6"/>
      <c r="O16" s="6"/>
      <c r="P16" s="38"/>
    </row>
    <row r="17" spans="1:28">
      <c r="A17" s="39"/>
      <c r="B17" s="314" t="s">
        <v>38</v>
      </c>
      <c r="C17" s="314"/>
      <c r="D17" s="314"/>
      <c r="E17" s="6"/>
      <c r="F17" s="6"/>
      <c r="G17" s="7"/>
      <c r="H17" s="77" t="s">
        <v>151</v>
      </c>
      <c r="I17" s="7"/>
      <c r="J17" s="7"/>
      <c r="K17" s="77" t="s">
        <v>307</v>
      </c>
      <c r="L17" s="7"/>
      <c r="M17" s="7"/>
      <c r="N17" s="77" t="s">
        <v>152</v>
      </c>
      <c r="O17" s="6"/>
      <c r="P17" s="38"/>
      <c r="R17" s="35" t="s">
        <v>351</v>
      </c>
      <c r="S17" s="35"/>
      <c r="T17" s="35"/>
      <c r="U17" s="35"/>
      <c r="V17" s="35"/>
      <c r="W17" s="35"/>
      <c r="X17" s="35"/>
      <c r="Y17" s="35"/>
    </row>
    <row r="18" spans="1:28">
      <c r="A18" s="39"/>
      <c r="B18" s="6"/>
      <c r="C18" s="312" t="s">
        <v>14</v>
      </c>
      <c r="D18" s="312"/>
      <c r="E18" s="312"/>
      <c r="F18" s="6"/>
      <c r="G18" s="7"/>
      <c r="H18" s="232"/>
      <c r="I18" s="7" t="s">
        <v>19</v>
      </c>
      <c r="J18" s="7" t="s">
        <v>18</v>
      </c>
      <c r="K18" s="236"/>
      <c r="L18" s="7" t="s">
        <v>20</v>
      </c>
      <c r="M18" s="7" t="s">
        <v>18</v>
      </c>
      <c r="N18" s="41">
        <f>$H$18*$K$18</f>
        <v>0</v>
      </c>
      <c r="O18" s="6"/>
      <c r="P18" s="38"/>
      <c r="R18" s="35" t="s">
        <v>352</v>
      </c>
      <c r="S18" s="35"/>
      <c r="T18" s="35"/>
      <c r="U18" s="35"/>
      <c r="V18" s="35"/>
      <c r="W18" s="35"/>
      <c r="X18" s="35"/>
      <c r="Y18" s="35"/>
      <c r="Z18" s="35"/>
      <c r="AA18" s="35"/>
    </row>
    <row r="19" spans="1:28">
      <c r="A19" s="39"/>
      <c r="B19" s="6"/>
      <c r="C19" s="312" t="s">
        <v>15</v>
      </c>
      <c r="D19" s="312"/>
      <c r="E19" s="312"/>
      <c r="F19" s="6"/>
      <c r="G19" s="7"/>
      <c r="H19" s="232"/>
      <c r="I19" s="7" t="s">
        <v>19</v>
      </c>
      <c r="J19" s="7" t="s">
        <v>18</v>
      </c>
      <c r="K19" s="42">
        <f>$K$18</f>
        <v>0</v>
      </c>
      <c r="L19" s="7" t="s">
        <v>20</v>
      </c>
      <c r="M19" s="7" t="s">
        <v>18</v>
      </c>
      <c r="N19" s="41">
        <f>$H$19*$K$19</f>
        <v>0</v>
      </c>
      <c r="O19" s="6"/>
      <c r="P19" s="38"/>
      <c r="R19" s="35" t="s">
        <v>353</v>
      </c>
      <c r="S19" s="35"/>
      <c r="T19" s="35"/>
      <c r="U19" s="35"/>
      <c r="V19" s="35"/>
      <c r="W19" s="35"/>
    </row>
    <row r="20" spans="1:28">
      <c r="A20" s="39"/>
      <c r="B20" s="6"/>
      <c r="C20" s="316"/>
      <c r="D20" s="316"/>
      <c r="E20" s="316"/>
      <c r="F20" s="316"/>
      <c r="G20" s="7"/>
      <c r="H20" s="6"/>
      <c r="I20" s="7"/>
      <c r="J20" s="7"/>
      <c r="K20" s="6"/>
      <c r="L20" s="7"/>
      <c r="M20" s="7"/>
      <c r="N20" s="236"/>
      <c r="O20" s="6"/>
      <c r="P20" s="38"/>
      <c r="R20" s="35" t="s">
        <v>354</v>
      </c>
      <c r="S20" s="35"/>
      <c r="T20" s="35"/>
      <c r="U20" s="35"/>
      <c r="V20" s="35"/>
      <c r="W20" s="35"/>
      <c r="X20" s="35"/>
      <c r="Y20" s="35"/>
    </row>
    <row r="21" spans="1:28">
      <c r="A21" s="39"/>
      <c r="B21" s="6"/>
      <c r="C21" s="312" t="s">
        <v>39</v>
      </c>
      <c r="D21" s="312"/>
      <c r="E21" s="312"/>
      <c r="F21" s="312"/>
      <c r="G21" s="312"/>
      <c r="H21" s="312"/>
      <c r="I21" s="7"/>
      <c r="J21" s="7"/>
      <c r="K21" s="6"/>
      <c r="L21" s="7"/>
      <c r="M21" s="7" t="s">
        <v>18</v>
      </c>
      <c r="N21" s="42">
        <f>SUM($N$18:$N$20)</f>
        <v>0</v>
      </c>
      <c r="O21" s="6"/>
      <c r="P21" s="38"/>
      <c r="R21" s="35" t="s">
        <v>136</v>
      </c>
      <c r="S21" s="35"/>
      <c r="T21" s="35"/>
      <c r="U21" s="35"/>
      <c r="V21" s="35"/>
    </row>
    <row r="22" spans="1:28">
      <c r="A22" s="39"/>
      <c r="B22" s="314" t="s">
        <v>243</v>
      </c>
      <c r="C22" s="314"/>
      <c r="D22" s="314"/>
      <c r="E22" s="314"/>
      <c r="F22" s="6"/>
      <c r="G22" s="7"/>
      <c r="H22" s="77" t="s">
        <v>151</v>
      </c>
      <c r="I22" s="7"/>
      <c r="J22" s="7"/>
      <c r="K22" s="77" t="s">
        <v>307</v>
      </c>
      <c r="L22" s="7"/>
      <c r="M22" s="7"/>
      <c r="N22" s="77" t="s">
        <v>152</v>
      </c>
      <c r="O22" s="6"/>
      <c r="P22" s="38"/>
    </row>
    <row r="23" spans="1:28">
      <c r="A23" s="39"/>
      <c r="B23" s="6"/>
      <c r="C23" s="312" t="s">
        <v>14</v>
      </c>
      <c r="D23" s="312"/>
      <c r="E23" s="312"/>
      <c r="F23" s="6"/>
      <c r="G23" s="7"/>
      <c r="H23" s="43">
        <f>$H$18</f>
        <v>0</v>
      </c>
      <c r="I23" s="7" t="s">
        <v>19</v>
      </c>
      <c r="J23" s="7" t="s">
        <v>18</v>
      </c>
      <c r="K23" s="236"/>
      <c r="L23" s="7" t="s">
        <v>20</v>
      </c>
      <c r="M23" s="7" t="s">
        <v>18</v>
      </c>
      <c r="N23" s="41">
        <f>$H$23*$K$23</f>
        <v>0</v>
      </c>
      <c r="O23" s="6"/>
      <c r="P23" s="38"/>
    </row>
    <row r="24" spans="1:28">
      <c r="A24" s="39"/>
      <c r="B24" s="6"/>
      <c r="C24" s="312" t="s">
        <v>15</v>
      </c>
      <c r="D24" s="312"/>
      <c r="E24" s="312"/>
      <c r="F24" s="6"/>
      <c r="G24" s="7"/>
      <c r="H24" s="43">
        <f>$H$19</f>
        <v>0</v>
      </c>
      <c r="I24" s="7" t="s">
        <v>19</v>
      </c>
      <c r="J24" s="7" t="s">
        <v>18</v>
      </c>
      <c r="K24" s="42">
        <f>$K$23</f>
        <v>0</v>
      </c>
      <c r="L24" s="7" t="s">
        <v>20</v>
      </c>
      <c r="M24" s="7" t="s">
        <v>18</v>
      </c>
      <c r="N24" s="41">
        <f>$H$24*$K$24</f>
        <v>0</v>
      </c>
      <c r="O24" s="6"/>
      <c r="P24" s="38"/>
      <c r="R24" s="191" t="s">
        <v>355</v>
      </c>
      <c r="S24" s="35"/>
      <c r="T24" s="35"/>
      <c r="U24" s="35"/>
      <c r="V24" s="35"/>
      <c r="W24" s="35"/>
      <c r="X24" s="35"/>
      <c r="Y24" s="35"/>
      <c r="Z24" s="35"/>
      <c r="AA24" s="35"/>
      <c r="AB24" s="35"/>
    </row>
    <row r="25" spans="1:28">
      <c r="A25" s="39"/>
      <c r="B25" s="6"/>
      <c r="C25" s="316"/>
      <c r="D25" s="316"/>
      <c r="E25" s="316"/>
      <c r="F25" s="316"/>
      <c r="G25" s="7"/>
      <c r="H25" s="43"/>
      <c r="I25" s="7"/>
      <c r="J25" s="7"/>
      <c r="K25" s="42"/>
      <c r="L25" s="7"/>
      <c r="M25" s="7"/>
      <c r="N25" s="236"/>
      <c r="O25" s="6"/>
      <c r="P25" s="38"/>
      <c r="R25" s="35" t="s">
        <v>356</v>
      </c>
      <c r="S25" s="35"/>
      <c r="T25" s="35"/>
      <c r="U25" s="35"/>
      <c r="V25" s="35"/>
      <c r="W25" s="3"/>
    </row>
    <row r="26" spans="1:28">
      <c r="A26" s="39"/>
      <c r="B26" s="6"/>
      <c r="C26" s="316"/>
      <c r="D26" s="316"/>
      <c r="E26" s="316"/>
      <c r="F26" s="316"/>
      <c r="G26" s="7"/>
      <c r="H26" s="43"/>
      <c r="I26" s="7"/>
      <c r="J26" s="7"/>
      <c r="K26" s="42"/>
      <c r="L26" s="7"/>
      <c r="M26" s="7"/>
      <c r="N26" s="236"/>
      <c r="O26" s="6"/>
      <c r="P26" s="38"/>
      <c r="R26" s="35" t="s">
        <v>357</v>
      </c>
      <c r="S26" s="35"/>
      <c r="T26" s="35"/>
      <c r="U26" s="35"/>
      <c r="V26" s="35"/>
      <c r="W26" s="35"/>
      <c r="X26" s="35"/>
      <c r="Y26" s="35"/>
    </row>
    <row r="27" spans="1:28">
      <c r="A27" s="39"/>
      <c r="B27" s="6"/>
      <c r="C27" s="316"/>
      <c r="D27" s="316"/>
      <c r="E27" s="316"/>
      <c r="F27" s="316"/>
      <c r="G27" s="7"/>
      <c r="H27" s="6"/>
      <c r="I27" s="7"/>
      <c r="J27" s="7"/>
      <c r="K27" s="6"/>
      <c r="L27" s="7"/>
      <c r="M27" s="7"/>
      <c r="N27" s="236"/>
      <c r="O27" s="6"/>
      <c r="P27" s="38"/>
      <c r="R27" s="35" t="s">
        <v>137</v>
      </c>
      <c r="S27" s="35"/>
      <c r="T27" s="35"/>
      <c r="U27" s="35"/>
      <c r="V27" s="35"/>
    </row>
    <row r="28" spans="1:28">
      <c r="A28" s="39"/>
      <c r="B28" s="6"/>
      <c r="C28" s="312" t="s">
        <v>46</v>
      </c>
      <c r="D28" s="312"/>
      <c r="E28" s="312"/>
      <c r="F28" s="312"/>
      <c r="G28" s="312"/>
      <c r="H28" s="312"/>
      <c r="I28" s="7"/>
      <c r="J28" s="7"/>
      <c r="K28" s="6"/>
      <c r="L28" s="7"/>
      <c r="M28" s="7" t="s">
        <v>18</v>
      </c>
      <c r="N28" s="42">
        <f>SUM($N$23:$N$27)</f>
        <v>0</v>
      </c>
      <c r="O28" s="6"/>
      <c r="P28" s="38"/>
    </row>
    <row r="29" spans="1:28">
      <c r="A29" s="39"/>
      <c r="B29" s="314" t="s">
        <v>41</v>
      </c>
      <c r="C29" s="314"/>
      <c r="D29" s="314"/>
      <c r="E29" s="6"/>
      <c r="F29" s="6"/>
      <c r="G29" s="7"/>
      <c r="H29" s="6"/>
      <c r="I29" s="7"/>
      <c r="J29" s="7"/>
      <c r="K29" s="6"/>
      <c r="L29" s="7"/>
      <c r="M29" s="7"/>
      <c r="N29" s="77" t="s">
        <v>307</v>
      </c>
      <c r="O29" s="6"/>
      <c r="P29" s="38"/>
    </row>
    <row r="30" spans="1:28">
      <c r="A30" s="39"/>
      <c r="B30" s="6"/>
      <c r="C30" s="333"/>
      <c r="D30" s="316"/>
      <c r="E30" s="316"/>
      <c r="F30" s="316"/>
      <c r="G30" s="7"/>
      <c r="H30" s="6"/>
      <c r="I30" s="7"/>
      <c r="J30" s="7"/>
      <c r="K30" s="6"/>
      <c r="L30" s="7"/>
      <c r="M30" s="7"/>
      <c r="N30" s="236"/>
      <c r="O30" s="6"/>
      <c r="P30" s="38"/>
    </row>
    <row r="31" spans="1:28">
      <c r="A31" s="39"/>
      <c r="B31" s="6"/>
      <c r="C31" s="333"/>
      <c r="D31" s="316"/>
      <c r="E31" s="316"/>
      <c r="F31" s="316"/>
      <c r="G31" s="7"/>
      <c r="H31" s="6"/>
      <c r="I31" s="7"/>
      <c r="J31" s="7"/>
      <c r="K31" s="6"/>
      <c r="L31" s="7"/>
      <c r="M31" s="7"/>
      <c r="N31" s="236"/>
      <c r="O31" s="6"/>
      <c r="P31" s="38"/>
      <c r="R31" s="191" t="s">
        <v>358</v>
      </c>
      <c r="S31" s="35"/>
      <c r="T31" s="35"/>
      <c r="U31" s="35"/>
      <c r="V31" s="35"/>
      <c r="W31" s="35"/>
    </row>
    <row r="32" spans="1:28">
      <c r="A32" s="39"/>
      <c r="B32" s="6"/>
      <c r="C32" s="316"/>
      <c r="D32" s="316"/>
      <c r="E32" s="316"/>
      <c r="F32" s="316"/>
      <c r="G32" s="7"/>
      <c r="H32" s="6"/>
      <c r="I32" s="7"/>
      <c r="J32" s="7"/>
      <c r="K32" s="6"/>
      <c r="L32" s="7"/>
      <c r="M32" s="7"/>
      <c r="N32" s="236"/>
      <c r="O32" s="6"/>
      <c r="P32" s="38"/>
      <c r="R32" s="191" t="s">
        <v>359</v>
      </c>
      <c r="S32" s="35"/>
      <c r="T32" s="35"/>
      <c r="U32" s="35"/>
      <c r="V32" s="35"/>
      <c r="W32" s="3"/>
    </row>
    <row r="33" spans="1:27">
      <c r="A33" s="39"/>
      <c r="B33" s="6"/>
      <c r="C33" s="316"/>
      <c r="D33" s="316"/>
      <c r="E33" s="316"/>
      <c r="F33" s="316"/>
      <c r="G33" s="7"/>
      <c r="H33" s="6"/>
      <c r="I33" s="7"/>
      <c r="J33" s="7"/>
      <c r="K33" s="6"/>
      <c r="L33" s="7"/>
      <c r="M33" s="7"/>
      <c r="N33" s="236"/>
      <c r="O33" s="6"/>
      <c r="P33" s="38"/>
      <c r="R33" s="35" t="s">
        <v>138</v>
      </c>
      <c r="S33" s="35"/>
      <c r="T33" s="35"/>
      <c r="U33" s="35"/>
      <c r="V33" s="35"/>
    </row>
    <row r="34" spans="1:27">
      <c r="A34" s="39"/>
      <c r="B34" s="6"/>
      <c r="C34" s="324" t="s">
        <v>42</v>
      </c>
      <c r="D34" s="312"/>
      <c r="E34" s="312"/>
      <c r="F34" s="312"/>
      <c r="G34" s="312"/>
      <c r="H34" s="312"/>
      <c r="I34" s="7"/>
      <c r="J34" s="7"/>
      <c r="K34" s="6"/>
      <c r="L34" s="7"/>
      <c r="M34" s="7" t="s">
        <v>18</v>
      </c>
      <c r="N34" s="34">
        <f>SUM($N$30:$N$33)</f>
        <v>0</v>
      </c>
      <c r="O34" s="6"/>
      <c r="P34" s="38"/>
    </row>
    <row r="35" spans="1:27">
      <c r="A35" s="39"/>
      <c r="B35" s="314" t="s">
        <v>44</v>
      </c>
      <c r="C35" s="314"/>
      <c r="D35" s="314"/>
      <c r="E35" s="6"/>
      <c r="F35" s="6"/>
      <c r="G35" s="7"/>
      <c r="H35" s="6"/>
      <c r="I35" s="7"/>
      <c r="J35" s="7"/>
      <c r="K35" s="6"/>
      <c r="L35" s="7"/>
      <c r="M35" s="7"/>
      <c r="N35" s="77" t="s">
        <v>307</v>
      </c>
      <c r="O35" s="6"/>
      <c r="P35" s="38"/>
    </row>
    <row r="36" spans="1:27">
      <c r="A36" s="39"/>
      <c r="B36" s="6"/>
      <c r="C36" s="333"/>
      <c r="D36" s="316"/>
      <c r="E36" s="316"/>
      <c r="F36" s="316"/>
      <c r="G36" s="7"/>
      <c r="H36" s="6"/>
      <c r="I36" s="7"/>
      <c r="J36" s="7"/>
      <c r="K36" s="6"/>
      <c r="L36" s="7"/>
      <c r="M36" s="7"/>
      <c r="N36" s="236"/>
      <c r="O36" s="6"/>
      <c r="P36" s="38"/>
    </row>
    <row r="37" spans="1:27">
      <c r="A37" s="39"/>
      <c r="B37" s="6"/>
      <c r="C37" s="316"/>
      <c r="D37" s="316"/>
      <c r="E37" s="316"/>
      <c r="F37" s="316"/>
      <c r="G37" s="7"/>
      <c r="H37" s="6"/>
      <c r="I37" s="7"/>
      <c r="J37" s="7"/>
      <c r="K37" s="6"/>
      <c r="L37" s="7"/>
      <c r="M37" s="7"/>
      <c r="N37" s="236"/>
      <c r="O37" s="6"/>
      <c r="P37" s="38"/>
      <c r="R37" s="191" t="s">
        <v>361</v>
      </c>
      <c r="S37" s="35"/>
      <c r="T37" s="35"/>
      <c r="U37" s="35"/>
      <c r="V37" s="35"/>
      <c r="W37" s="35"/>
    </row>
    <row r="38" spans="1:27">
      <c r="A38" s="39"/>
      <c r="B38" s="6"/>
      <c r="C38" s="316"/>
      <c r="D38" s="316"/>
      <c r="E38" s="316"/>
      <c r="F38" s="316"/>
      <c r="G38" s="7"/>
      <c r="H38" s="6"/>
      <c r="I38" s="7"/>
      <c r="J38" s="7"/>
      <c r="K38" s="6"/>
      <c r="L38" s="7"/>
      <c r="M38" s="7"/>
      <c r="N38" s="236"/>
      <c r="O38" s="6"/>
      <c r="P38" s="38"/>
      <c r="R38" s="191" t="s">
        <v>363</v>
      </c>
      <c r="S38" s="35"/>
      <c r="T38" s="35"/>
      <c r="U38" s="35"/>
      <c r="V38" s="35"/>
      <c r="W38" s="3"/>
    </row>
    <row r="39" spans="1:27">
      <c r="A39" s="39"/>
      <c r="B39" s="6"/>
      <c r="C39" s="316"/>
      <c r="D39" s="316"/>
      <c r="E39" s="316"/>
      <c r="F39" s="316"/>
      <c r="G39" s="7"/>
      <c r="H39" s="6"/>
      <c r="I39" s="7"/>
      <c r="J39" s="7"/>
      <c r="K39" s="6"/>
      <c r="L39" s="7"/>
      <c r="M39" s="7"/>
      <c r="N39" s="236"/>
      <c r="O39" s="6"/>
      <c r="P39" s="38"/>
      <c r="R39" s="35" t="s">
        <v>139</v>
      </c>
      <c r="S39" s="35"/>
      <c r="T39" s="35"/>
      <c r="U39" s="35"/>
      <c r="V39" s="35"/>
    </row>
    <row r="40" spans="1:27">
      <c r="A40" s="39"/>
      <c r="B40" s="6"/>
      <c r="C40" s="312" t="s">
        <v>43</v>
      </c>
      <c r="D40" s="312"/>
      <c r="E40" s="312"/>
      <c r="F40" s="312"/>
      <c r="G40" s="312"/>
      <c r="H40" s="312"/>
      <c r="I40" s="7"/>
      <c r="J40" s="7"/>
      <c r="K40" s="6"/>
      <c r="L40" s="7"/>
      <c r="M40" s="7" t="s">
        <v>18</v>
      </c>
      <c r="N40" s="34">
        <f>SUM($N$36:$N$39)</f>
        <v>0</v>
      </c>
      <c r="O40" s="6"/>
      <c r="P40" s="38"/>
    </row>
    <row r="41" spans="1:27">
      <c r="A41" s="39"/>
      <c r="B41" s="314" t="s">
        <v>244</v>
      </c>
      <c r="C41" s="314"/>
      <c r="D41" s="314"/>
      <c r="E41" s="6"/>
      <c r="F41" s="6"/>
      <c r="G41" s="7"/>
      <c r="H41" s="6"/>
      <c r="I41" s="7"/>
      <c r="J41" s="7"/>
      <c r="K41" s="6"/>
      <c r="L41" s="7"/>
      <c r="M41" s="7"/>
      <c r="N41" s="77" t="s">
        <v>307</v>
      </c>
      <c r="O41" s="6"/>
      <c r="P41" s="38"/>
    </row>
    <row r="42" spans="1:27">
      <c r="A42" s="39"/>
      <c r="B42" s="6"/>
      <c r="C42" s="333"/>
      <c r="D42" s="316"/>
      <c r="E42" s="316"/>
      <c r="F42" s="316"/>
      <c r="G42" s="7"/>
      <c r="H42" s="6"/>
      <c r="I42" s="7"/>
      <c r="J42" s="7"/>
      <c r="K42" s="6"/>
      <c r="L42" s="7"/>
      <c r="M42" s="7"/>
      <c r="N42" s="236"/>
      <c r="O42" s="6"/>
      <c r="P42" s="38"/>
      <c r="R42" s="191" t="s">
        <v>360</v>
      </c>
      <c r="S42" s="35"/>
      <c r="T42" s="35"/>
      <c r="U42" s="35"/>
      <c r="V42" s="35"/>
      <c r="W42" s="35"/>
      <c r="X42" s="35"/>
    </row>
    <row r="43" spans="1:27">
      <c r="A43" s="39"/>
      <c r="B43" s="6"/>
      <c r="C43" s="316"/>
      <c r="D43" s="316"/>
      <c r="E43" s="316"/>
      <c r="F43" s="316"/>
      <c r="G43" s="7"/>
      <c r="H43" s="6"/>
      <c r="I43" s="7"/>
      <c r="J43" s="7"/>
      <c r="K43" s="6"/>
      <c r="L43" s="7"/>
      <c r="M43" s="7"/>
      <c r="N43" s="236"/>
      <c r="O43" s="6"/>
      <c r="P43" s="38"/>
      <c r="R43" s="191" t="s">
        <v>362</v>
      </c>
      <c r="S43" s="35"/>
      <c r="T43" s="35"/>
      <c r="U43" s="35"/>
      <c r="V43" s="35"/>
      <c r="W43" s="3"/>
    </row>
    <row r="44" spans="1:27">
      <c r="A44" s="39"/>
      <c r="B44" s="6"/>
      <c r="C44" s="316"/>
      <c r="D44" s="316"/>
      <c r="E44" s="316"/>
      <c r="F44" s="316"/>
      <c r="G44" s="7"/>
      <c r="H44" s="6"/>
      <c r="I44" s="7"/>
      <c r="J44" s="7"/>
      <c r="K44" s="6"/>
      <c r="L44" s="7"/>
      <c r="M44" s="7"/>
      <c r="N44" s="236"/>
      <c r="O44" s="6"/>
      <c r="P44" s="38"/>
      <c r="R44" s="35" t="s">
        <v>139</v>
      </c>
      <c r="S44" s="35"/>
      <c r="T44" s="35"/>
      <c r="U44" s="35"/>
      <c r="V44" s="35"/>
    </row>
    <row r="45" spans="1:27">
      <c r="A45" s="39"/>
      <c r="B45" s="6"/>
      <c r="C45" s="316"/>
      <c r="D45" s="316"/>
      <c r="E45" s="316"/>
      <c r="F45" s="316"/>
      <c r="G45" s="7"/>
      <c r="H45" s="6"/>
      <c r="I45" s="7"/>
      <c r="J45" s="7"/>
      <c r="K45" s="6"/>
      <c r="L45" s="7"/>
      <c r="M45" s="7"/>
      <c r="N45" s="236"/>
      <c r="O45" s="6"/>
      <c r="P45" s="38"/>
    </row>
    <row r="46" spans="1:27">
      <c r="A46" s="39"/>
      <c r="B46" s="6"/>
      <c r="C46" s="324" t="s">
        <v>245</v>
      </c>
      <c r="D46" s="312"/>
      <c r="E46" s="312"/>
      <c r="F46" s="312"/>
      <c r="G46" s="312"/>
      <c r="H46" s="312"/>
      <c r="I46" s="7"/>
      <c r="J46" s="7"/>
      <c r="K46" s="6"/>
      <c r="L46" s="7"/>
      <c r="M46" s="7" t="s">
        <v>18</v>
      </c>
      <c r="N46" s="34">
        <f>SUM($N$41:$N$45)</f>
        <v>0</v>
      </c>
      <c r="O46" s="6"/>
      <c r="P46" s="38"/>
    </row>
    <row r="47" spans="1:27">
      <c r="A47" s="39"/>
      <c r="B47" s="314" t="s">
        <v>98</v>
      </c>
      <c r="C47" s="314"/>
      <c r="D47" s="314"/>
      <c r="E47" s="314"/>
      <c r="F47" s="6"/>
      <c r="G47" s="7"/>
      <c r="H47" s="77" t="s">
        <v>151</v>
      </c>
      <c r="I47" s="7"/>
      <c r="J47" s="7"/>
      <c r="K47" s="77" t="s">
        <v>307</v>
      </c>
      <c r="L47" s="7"/>
      <c r="M47" s="7"/>
      <c r="N47" s="77" t="s">
        <v>152</v>
      </c>
      <c r="O47" s="6"/>
      <c r="P47" s="38"/>
    </row>
    <row r="48" spans="1:27">
      <c r="A48" s="39"/>
      <c r="B48" s="6"/>
      <c r="C48" s="312" t="s">
        <v>99</v>
      </c>
      <c r="D48" s="312"/>
      <c r="E48" s="312"/>
      <c r="F48" s="312"/>
      <c r="G48" s="7"/>
      <c r="H48" s="133">
        <f>SUM($H$7:$H$13)</f>
        <v>0</v>
      </c>
      <c r="I48" s="7" t="s">
        <v>19</v>
      </c>
      <c r="J48" s="7" t="s">
        <v>18</v>
      </c>
      <c r="K48" s="236"/>
      <c r="L48" s="7" t="s">
        <v>20</v>
      </c>
      <c r="M48" s="7" t="s">
        <v>18</v>
      </c>
      <c r="N48" s="41">
        <f>$H$48*$K$48</f>
        <v>0</v>
      </c>
      <c r="O48" s="6"/>
      <c r="P48" s="38"/>
      <c r="R48" s="191" t="s">
        <v>364</v>
      </c>
      <c r="S48" s="35"/>
      <c r="T48" s="35"/>
      <c r="U48" s="35"/>
      <c r="V48" s="35"/>
      <c r="W48" s="35"/>
      <c r="X48" s="35"/>
      <c r="Y48" s="35"/>
      <c r="Z48" s="35"/>
      <c r="AA48" s="35"/>
    </row>
    <row r="49" spans="1:28">
      <c r="A49" s="39"/>
      <c r="B49" s="6"/>
      <c r="C49" s="312" t="s">
        <v>100</v>
      </c>
      <c r="D49" s="312"/>
      <c r="E49" s="312"/>
      <c r="F49" s="312"/>
      <c r="G49" s="7"/>
      <c r="H49" s="232"/>
      <c r="I49" s="7" t="s">
        <v>19</v>
      </c>
      <c r="J49" s="7" t="s">
        <v>18</v>
      </c>
      <c r="K49" s="236"/>
      <c r="L49" s="7" t="s">
        <v>20</v>
      </c>
      <c r="M49" s="7" t="s">
        <v>18</v>
      </c>
      <c r="N49" s="41">
        <f>$H$49*$K$49</f>
        <v>0</v>
      </c>
      <c r="O49" s="6"/>
      <c r="P49" s="38"/>
      <c r="R49" s="191" t="s">
        <v>365</v>
      </c>
      <c r="S49" s="35"/>
      <c r="T49" s="35"/>
      <c r="U49" s="35"/>
      <c r="V49" s="35"/>
      <c r="W49" s="35"/>
      <c r="X49" s="35"/>
      <c r="Y49" s="35"/>
    </row>
    <row r="50" spans="1:28" s="3" customFormat="1">
      <c r="A50" s="45"/>
      <c r="B50" s="46"/>
      <c r="C50" s="316"/>
      <c r="D50" s="316"/>
      <c r="E50" s="316"/>
      <c r="F50" s="316"/>
      <c r="G50" s="47"/>
      <c r="H50" s="44"/>
      <c r="I50" s="47"/>
      <c r="J50" s="47"/>
      <c r="K50" s="48"/>
      <c r="L50" s="47"/>
      <c r="M50" s="47"/>
      <c r="N50" s="236"/>
      <c r="O50" s="46"/>
      <c r="P50" s="49"/>
      <c r="R50" s="191" t="s">
        <v>366</v>
      </c>
      <c r="S50" s="35"/>
      <c r="T50" s="35"/>
      <c r="U50" s="35"/>
      <c r="V50" s="35"/>
      <c r="W50" s="35"/>
      <c r="X50" s="35"/>
      <c r="Y50" s="35"/>
      <c r="Z50" s="35"/>
      <c r="AA50" s="35"/>
    </row>
    <row r="51" spans="1:28">
      <c r="A51" s="39"/>
      <c r="B51" s="6"/>
      <c r="C51" s="312" t="s">
        <v>101</v>
      </c>
      <c r="D51" s="312"/>
      <c r="E51" s="312"/>
      <c r="F51" s="312"/>
      <c r="G51" s="312"/>
      <c r="H51" s="312"/>
      <c r="I51" s="312"/>
      <c r="J51" s="312"/>
      <c r="K51" s="312"/>
      <c r="L51" s="7"/>
      <c r="M51" s="7"/>
      <c r="N51" s="41">
        <f>SUM($N$48:$N$50)</f>
        <v>0</v>
      </c>
      <c r="O51" s="6"/>
      <c r="P51" s="38"/>
      <c r="R51" s="35" t="s">
        <v>134</v>
      </c>
      <c r="S51" s="35"/>
      <c r="T51" s="35"/>
      <c r="U51" s="35"/>
      <c r="V51" s="35"/>
      <c r="W51" s="35"/>
      <c r="X51" s="35"/>
    </row>
    <row r="52" spans="1:28">
      <c r="A52" s="39"/>
      <c r="B52" s="314" t="s">
        <v>29</v>
      </c>
      <c r="C52" s="314"/>
      <c r="D52" s="314"/>
      <c r="E52" s="6"/>
      <c r="F52" s="6"/>
      <c r="G52" s="7"/>
      <c r="H52" s="6"/>
      <c r="I52" s="7"/>
      <c r="J52" s="7"/>
      <c r="K52" s="6"/>
      <c r="L52" s="7"/>
      <c r="M52" s="7"/>
      <c r="N52" s="6"/>
      <c r="O52" s="6"/>
      <c r="P52" s="38"/>
    </row>
    <row r="53" spans="1:28">
      <c r="A53" s="39"/>
      <c r="B53" s="6"/>
      <c r="C53" s="6"/>
      <c r="D53" s="6"/>
      <c r="E53" s="6"/>
      <c r="F53" s="6"/>
      <c r="G53" s="7"/>
      <c r="H53" s="6"/>
      <c r="I53" s="7"/>
      <c r="J53" s="7"/>
      <c r="K53" s="6"/>
      <c r="L53" s="7"/>
      <c r="M53" s="7"/>
      <c r="N53" s="6"/>
      <c r="O53" s="6"/>
      <c r="P53" s="38"/>
    </row>
    <row r="54" spans="1:28">
      <c r="A54" s="39"/>
      <c r="B54" s="6"/>
      <c r="C54" s="312" t="s">
        <v>47</v>
      </c>
      <c r="D54" s="312"/>
      <c r="E54" s="312"/>
      <c r="F54" s="6"/>
      <c r="G54" s="7" t="s">
        <v>18</v>
      </c>
      <c r="H54" s="42">
        <f>$N$14</f>
        <v>0</v>
      </c>
      <c r="I54" s="7" t="s">
        <v>19</v>
      </c>
      <c r="J54" s="7"/>
      <c r="K54" s="50">
        <v>0.1</v>
      </c>
      <c r="L54" s="7"/>
      <c r="M54" s="7" t="s">
        <v>18</v>
      </c>
      <c r="N54" s="13">
        <f>$H$54*$K$54</f>
        <v>0</v>
      </c>
      <c r="O54" s="6"/>
      <c r="P54" s="38"/>
      <c r="R54" s="191" t="s">
        <v>367</v>
      </c>
      <c r="S54" s="35"/>
      <c r="T54" s="35"/>
      <c r="U54" s="35"/>
      <c r="V54" s="35"/>
      <c r="W54" s="35"/>
      <c r="X54" s="35"/>
      <c r="Y54" s="35"/>
      <c r="Z54" s="35"/>
      <c r="AA54" s="35"/>
    </row>
    <row r="55" spans="1:28" ht="13.5" thickBot="1">
      <c r="A55" s="39"/>
      <c r="B55" s="332" t="s">
        <v>50</v>
      </c>
      <c r="C55" s="332"/>
      <c r="D55" s="332"/>
      <c r="E55" s="332"/>
      <c r="F55" s="332"/>
      <c r="G55" s="7"/>
      <c r="H55" s="42"/>
      <c r="I55" s="7"/>
      <c r="J55" s="7"/>
      <c r="K55" s="50"/>
      <c r="L55" s="7"/>
      <c r="M55" s="7" t="s">
        <v>18</v>
      </c>
      <c r="N55" s="14">
        <f>$N$21+$N$28+$N$34+$N$40+$N$46+$N$51+$N$54</f>
        <v>0</v>
      </c>
      <c r="O55" s="6"/>
      <c r="P55" s="38"/>
      <c r="R55" s="191" t="s">
        <v>368</v>
      </c>
      <c r="S55" s="35"/>
      <c r="T55" s="35"/>
      <c r="U55" s="35"/>
      <c r="V55" s="35"/>
      <c r="W55" s="35"/>
      <c r="X55" s="35"/>
      <c r="Y55" s="35"/>
    </row>
    <row r="56" spans="1:28" ht="13.5" thickTop="1">
      <c r="A56" s="39"/>
      <c r="B56" s="6"/>
      <c r="C56" s="6"/>
      <c r="D56" s="6"/>
      <c r="E56" s="6"/>
      <c r="F56" s="6"/>
      <c r="G56" s="7"/>
      <c r="H56" s="337" t="s">
        <v>51</v>
      </c>
      <c r="I56" s="337"/>
      <c r="J56" s="337"/>
      <c r="K56" s="337"/>
      <c r="L56" s="7"/>
      <c r="M56" s="7" t="s">
        <v>18</v>
      </c>
      <c r="N56" s="42" t="e">
        <f>$N$55/SUM($H$7:$H$13)</f>
        <v>#DIV/0!</v>
      </c>
      <c r="O56" s="6"/>
      <c r="P56" s="38"/>
      <c r="R56" s="191" t="s">
        <v>369</v>
      </c>
      <c r="S56" s="35"/>
      <c r="T56" s="35"/>
      <c r="U56" s="35"/>
      <c r="V56" s="35"/>
      <c r="W56" s="35"/>
      <c r="X56" s="35"/>
      <c r="Y56" s="35"/>
      <c r="Z56" s="35"/>
      <c r="AA56" s="35"/>
      <c r="AB56" s="35"/>
    </row>
    <row r="57" spans="1:28" ht="13.5" thickBot="1">
      <c r="A57" s="54"/>
      <c r="B57" s="10"/>
      <c r="C57" s="10"/>
      <c r="D57" s="10"/>
      <c r="E57" s="10"/>
      <c r="F57" s="10"/>
      <c r="G57" s="11"/>
      <c r="H57" s="68"/>
      <c r="I57" s="68"/>
      <c r="J57" s="68"/>
      <c r="K57" s="68"/>
      <c r="L57" s="11"/>
      <c r="M57" s="11"/>
      <c r="N57" s="66"/>
      <c r="O57" s="10"/>
      <c r="P57" s="55"/>
      <c r="R57" s="192"/>
      <c r="S57" s="3"/>
      <c r="T57" s="3"/>
      <c r="U57" s="3"/>
      <c r="V57" s="3"/>
      <c r="W57" s="3"/>
      <c r="X57" s="3"/>
      <c r="Y57" s="3"/>
      <c r="Z57" s="3"/>
    </row>
    <row r="58" spans="1:28">
      <c r="A58" s="36"/>
      <c r="B58" s="27"/>
      <c r="C58" s="27"/>
      <c r="D58" s="27"/>
      <c r="E58" s="27"/>
      <c r="F58" s="27"/>
      <c r="G58" s="28"/>
      <c r="H58" s="27"/>
      <c r="I58" s="28"/>
      <c r="J58" s="28"/>
      <c r="K58" s="27"/>
      <c r="L58" s="28"/>
      <c r="M58" s="28"/>
      <c r="N58" s="27"/>
      <c r="O58" s="27"/>
      <c r="P58" s="37"/>
    </row>
    <row r="59" spans="1:28">
      <c r="A59" s="330" t="s">
        <v>12</v>
      </c>
      <c r="B59" s="331"/>
      <c r="C59" s="331"/>
      <c r="D59" s="331"/>
      <c r="E59" s="331"/>
      <c r="F59" s="331"/>
      <c r="G59" s="7"/>
      <c r="H59" s="6"/>
      <c r="I59" s="7"/>
      <c r="J59" s="7"/>
      <c r="K59" s="6"/>
      <c r="L59" s="7"/>
      <c r="M59" s="7"/>
      <c r="N59" s="6"/>
      <c r="O59" s="6"/>
      <c r="P59" s="38"/>
    </row>
    <row r="60" spans="1:28">
      <c r="A60" s="39"/>
      <c r="B60" s="6"/>
      <c r="C60" s="6"/>
      <c r="D60" s="6"/>
      <c r="E60" s="6"/>
      <c r="F60" s="6"/>
      <c r="G60" s="7"/>
      <c r="H60" s="6"/>
      <c r="I60" s="7"/>
      <c r="J60" s="7"/>
      <c r="K60" s="6"/>
      <c r="L60" s="7"/>
      <c r="M60" s="7"/>
      <c r="N60" s="6"/>
      <c r="O60" s="6"/>
      <c r="P60" s="38"/>
    </row>
    <row r="61" spans="1:28" ht="13.5" thickBot="1">
      <c r="A61" s="317" t="s">
        <v>7</v>
      </c>
      <c r="B61" s="314"/>
      <c r="C61" s="314"/>
      <c r="D61" s="314"/>
      <c r="E61" s="6"/>
      <c r="F61" s="6"/>
      <c r="G61" s="7"/>
      <c r="H61" s="77" t="s">
        <v>307</v>
      </c>
      <c r="I61" s="7"/>
      <c r="J61" s="7"/>
      <c r="K61" s="77" t="s">
        <v>152</v>
      </c>
      <c r="L61" s="7"/>
      <c r="M61" s="7"/>
      <c r="N61" s="72" t="s">
        <v>165</v>
      </c>
      <c r="O61" s="6"/>
      <c r="P61" s="38"/>
      <c r="R61" s="35" t="s">
        <v>237</v>
      </c>
      <c r="S61" s="35"/>
      <c r="T61" s="35"/>
      <c r="U61" s="35"/>
      <c r="V61" s="35"/>
      <c r="W61" s="35"/>
      <c r="X61" s="3"/>
      <c r="Y61" s="3"/>
    </row>
    <row r="62" spans="1:28">
      <c r="A62" s="39"/>
      <c r="B62" s="340" t="s">
        <v>236</v>
      </c>
      <c r="C62" s="341"/>
      <c r="D62" s="341"/>
      <c r="E62" s="341"/>
      <c r="F62" s="341"/>
      <c r="G62" s="17" t="s">
        <v>18</v>
      </c>
      <c r="H62" s="126">
        <v>25</v>
      </c>
      <c r="I62" s="7"/>
      <c r="J62" s="7"/>
      <c r="K62" s="6"/>
      <c r="L62" s="7"/>
      <c r="M62" s="7"/>
      <c r="N62" s="6"/>
      <c r="O62" s="6"/>
      <c r="P62" s="38"/>
      <c r="R62" s="35" t="s">
        <v>238</v>
      </c>
      <c r="S62" s="35"/>
      <c r="T62" s="35"/>
      <c r="U62" s="35"/>
      <c r="V62" s="35"/>
      <c r="W62" s="35"/>
      <c r="X62" s="35"/>
      <c r="Y62" s="3"/>
      <c r="Z62" s="3"/>
    </row>
    <row r="63" spans="1:28">
      <c r="A63" s="39"/>
      <c r="B63" s="342"/>
      <c r="C63" s="343"/>
      <c r="D63" s="343"/>
      <c r="E63" s="343"/>
      <c r="F63" s="343"/>
      <c r="G63" s="7"/>
      <c r="H63" s="20"/>
      <c r="I63" s="7"/>
      <c r="J63" s="7"/>
      <c r="K63" s="6"/>
      <c r="L63" s="7"/>
      <c r="M63" s="7"/>
      <c r="N63" s="6"/>
      <c r="O63" s="6"/>
      <c r="P63" s="38"/>
      <c r="R63" s="191" t="s">
        <v>370</v>
      </c>
      <c r="S63" s="35"/>
      <c r="T63" s="35"/>
      <c r="U63" s="35"/>
      <c r="V63" s="35"/>
      <c r="W63" s="35"/>
      <c r="Z63" s="3"/>
    </row>
    <row r="64" spans="1:28">
      <c r="A64" s="39"/>
      <c r="B64" s="338" t="s">
        <v>0</v>
      </c>
      <c r="C64" s="339"/>
      <c r="D64" s="339"/>
      <c r="E64" s="339"/>
      <c r="F64" s="19"/>
      <c r="G64" s="7" t="s">
        <v>18</v>
      </c>
      <c r="H64" s="89">
        <v>12</v>
      </c>
      <c r="I64" s="7"/>
      <c r="J64" s="7"/>
      <c r="K64" s="6"/>
      <c r="L64" s="7"/>
      <c r="M64" s="7"/>
      <c r="N64" s="6"/>
      <c r="O64" s="6"/>
      <c r="P64" s="38"/>
      <c r="R64" s="191" t="s">
        <v>371</v>
      </c>
      <c r="S64" s="35"/>
      <c r="T64" s="35"/>
      <c r="U64" s="35"/>
      <c r="V64" s="35"/>
      <c r="W64" s="35"/>
      <c r="X64" s="35"/>
    </row>
    <row r="65" spans="1:29" ht="13.5" thickBot="1">
      <c r="A65" s="39"/>
      <c r="B65" s="335" t="s">
        <v>1</v>
      </c>
      <c r="C65" s="336"/>
      <c r="D65" s="336"/>
      <c r="E65" s="336"/>
      <c r="F65" s="21"/>
      <c r="G65" s="22" t="s">
        <v>18</v>
      </c>
      <c r="H65" s="90">
        <v>2</v>
      </c>
      <c r="I65" s="7"/>
      <c r="J65" s="7"/>
      <c r="K65" s="42">
        <f>SUM($H$62:$H$65)</f>
        <v>39</v>
      </c>
      <c r="L65" s="7"/>
      <c r="M65" s="7"/>
      <c r="N65" s="6"/>
      <c r="O65" s="6"/>
      <c r="P65" s="38"/>
      <c r="R65" s="35" t="s">
        <v>372</v>
      </c>
      <c r="S65" s="35"/>
      <c r="T65" s="35"/>
      <c r="U65" s="35"/>
    </row>
    <row r="66" spans="1:29">
      <c r="A66" s="39"/>
      <c r="B66" s="312" t="s">
        <v>2</v>
      </c>
      <c r="C66" s="312"/>
      <c r="D66" s="312"/>
      <c r="E66" s="312"/>
      <c r="F66" s="19"/>
      <c r="G66" s="7" t="s">
        <v>18</v>
      </c>
      <c r="H66" s="48">
        <f>$K$7</f>
        <v>0</v>
      </c>
      <c r="I66" s="7"/>
      <c r="J66" s="7"/>
      <c r="K66" s="6"/>
      <c r="L66" s="7"/>
      <c r="M66" s="7"/>
      <c r="N66" s="6"/>
      <c r="O66" s="6"/>
      <c r="P66" s="38"/>
      <c r="R66" s="191" t="s">
        <v>373</v>
      </c>
      <c r="S66" s="35"/>
      <c r="T66" s="35"/>
      <c r="U66" s="35"/>
      <c r="V66" s="35"/>
    </row>
    <row r="67" spans="1:29">
      <c r="A67" s="39"/>
      <c r="B67" s="312" t="s">
        <v>4</v>
      </c>
      <c r="C67" s="312"/>
      <c r="D67" s="312"/>
      <c r="E67" s="312"/>
      <c r="F67" s="6"/>
      <c r="G67" s="7" t="s">
        <v>18</v>
      </c>
      <c r="H67" s="48" t="e">
        <f>$N$56</f>
        <v>#DIV/0!</v>
      </c>
      <c r="I67" s="7"/>
      <c r="J67" s="7"/>
      <c r="K67" s="6"/>
      <c r="L67" s="7"/>
      <c r="M67" s="7"/>
      <c r="N67" s="6"/>
      <c r="O67" s="6"/>
      <c r="P67" s="38"/>
      <c r="R67" s="191" t="s">
        <v>374</v>
      </c>
      <c r="S67" s="35"/>
      <c r="T67" s="35"/>
      <c r="U67" s="35"/>
      <c r="V67" s="35"/>
      <c r="W67" s="35"/>
      <c r="X67" s="35"/>
      <c r="Y67" s="35"/>
    </row>
    <row r="68" spans="1:29">
      <c r="A68" s="39"/>
      <c r="B68" s="348"/>
      <c r="C68" s="349"/>
      <c r="D68" s="349"/>
      <c r="E68" s="349"/>
      <c r="F68" s="6"/>
      <c r="G68" s="7" t="s">
        <v>18</v>
      </c>
      <c r="H68" s="237"/>
      <c r="I68" s="7"/>
      <c r="J68" s="7"/>
      <c r="K68" s="6"/>
      <c r="L68" s="7"/>
      <c r="M68" s="7"/>
      <c r="N68" s="6"/>
      <c r="O68" s="6"/>
      <c r="P68" s="38"/>
      <c r="R68" s="35" t="s">
        <v>129</v>
      </c>
      <c r="S68" s="35"/>
      <c r="T68" s="35"/>
      <c r="U68" s="35"/>
      <c r="V68" s="35"/>
      <c r="W68" s="35"/>
      <c r="X68" s="35"/>
    </row>
    <row r="69" spans="1:29">
      <c r="A69" s="39"/>
      <c r="B69" s="350" t="s">
        <v>3</v>
      </c>
      <c r="C69" s="350"/>
      <c r="D69" s="350"/>
      <c r="E69" s="350"/>
      <c r="F69" s="6"/>
      <c r="G69" s="7"/>
      <c r="H69" s="6"/>
      <c r="I69" s="7"/>
      <c r="J69" s="7" t="s">
        <v>18</v>
      </c>
      <c r="K69" s="42" t="e">
        <f>SUM($H$62:$H$68)</f>
        <v>#DIV/0!</v>
      </c>
      <c r="L69" s="51"/>
      <c r="M69" s="7" t="s">
        <v>18</v>
      </c>
      <c r="N69" s="237"/>
      <c r="O69" s="6"/>
      <c r="P69" s="38"/>
      <c r="R69" s="193" t="s">
        <v>375</v>
      </c>
      <c r="S69" s="85"/>
      <c r="T69" s="85"/>
      <c r="U69" s="85"/>
      <c r="V69" s="85"/>
    </row>
    <row r="70" spans="1:29" ht="13.5" thickBot="1">
      <c r="A70" s="317" t="s">
        <v>9</v>
      </c>
      <c r="B70" s="314"/>
      <c r="C70" s="314"/>
      <c r="D70" s="314"/>
      <c r="E70" s="6"/>
      <c r="F70" s="6"/>
      <c r="G70" s="7"/>
      <c r="H70" s="77" t="s">
        <v>307</v>
      </c>
      <c r="I70" s="7"/>
      <c r="J70" s="7"/>
      <c r="K70" s="77" t="s">
        <v>152</v>
      </c>
      <c r="L70" s="7"/>
      <c r="M70" s="7"/>
      <c r="N70" s="6"/>
      <c r="O70" s="6"/>
      <c r="P70" s="38"/>
      <c r="R70" s="35" t="s">
        <v>376</v>
      </c>
      <c r="S70" s="35"/>
      <c r="T70" s="35"/>
      <c r="U70" s="35"/>
      <c r="V70" s="35"/>
      <c r="W70" s="35"/>
      <c r="X70" s="35"/>
      <c r="Y70" s="35"/>
      <c r="Z70" s="35"/>
    </row>
    <row r="71" spans="1:29">
      <c r="A71" s="39"/>
      <c r="B71" s="346" t="s">
        <v>6</v>
      </c>
      <c r="C71" s="347"/>
      <c r="D71" s="347"/>
      <c r="E71" s="347"/>
      <c r="F71" s="16"/>
      <c r="G71" s="17" t="s">
        <v>18</v>
      </c>
      <c r="H71" s="18">
        <f>Consignment!$D$18</f>
        <v>3</v>
      </c>
      <c r="I71" s="7"/>
      <c r="J71" s="7"/>
      <c r="K71" s="6"/>
      <c r="L71" s="7"/>
      <c r="M71" s="7"/>
      <c r="N71" s="6"/>
      <c r="O71" s="6"/>
      <c r="P71" s="38"/>
      <c r="R71" s="191" t="s">
        <v>377</v>
      </c>
      <c r="S71" s="35"/>
      <c r="T71" s="35"/>
      <c r="U71" s="35"/>
      <c r="V71" s="35"/>
      <c r="W71" s="35"/>
    </row>
    <row r="72" spans="1:29" ht="13.5" thickBot="1">
      <c r="A72" s="39"/>
      <c r="B72" s="335" t="s">
        <v>1</v>
      </c>
      <c r="C72" s="336"/>
      <c r="D72" s="336"/>
      <c r="E72" s="336"/>
      <c r="F72" s="21"/>
      <c r="G72" s="22" t="s">
        <v>18</v>
      </c>
      <c r="H72" s="23">
        <f>$H$65</f>
        <v>2</v>
      </c>
      <c r="I72" s="7"/>
      <c r="J72" s="7"/>
      <c r="K72" s="6"/>
      <c r="L72" s="7"/>
      <c r="M72" s="7"/>
      <c r="N72" s="6"/>
      <c r="O72" s="6"/>
      <c r="P72" s="38"/>
      <c r="R72" s="191" t="s">
        <v>378</v>
      </c>
      <c r="S72" s="35"/>
      <c r="T72" s="35"/>
      <c r="U72" s="35"/>
    </row>
    <row r="73" spans="1:29">
      <c r="A73" s="39"/>
      <c r="B73" s="312" t="s">
        <v>2</v>
      </c>
      <c r="C73" s="312"/>
      <c r="D73" s="312"/>
      <c r="E73" s="312"/>
      <c r="F73" s="19"/>
      <c r="G73" s="7" t="s">
        <v>18</v>
      </c>
      <c r="H73" s="48">
        <f>$K$8</f>
        <v>0</v>
      </c>
      <c r="I73" s="7"/>
      <c r="J73" s="7"/>
      <c r="K73" s="6"/>
      <c r="L73" s="7"/>
      <c r="M73" s="7"/>
      <c r="N73" s="6"/>
      <c r="O73" s="6"/>
      <c r="P73" s="38"/>
      <c r="R73" s="191" t="s">
        <v>373</v>
      </c>
      <c r="S73" s="35"/>
      <c r="T73" s="35"/>
      <c r="U73" s="35"/>
      <c r="V73" s="35"/>
      <c r="W73" s="35"/>
    </row>
    <row r="74" spans="1:29">
      <c r="A74" s="39"/>
      <c r="B74" s="312" t="s">
        <v>4</v>
      </c>
      <c r="C74" s="312"/>
      <c r="D74" s="312"/>
      <c r="E74" s="312"/>
      <c r="F74" s="6"/>
      <c r="G74" s="7" t="s">
        <v>18</v>
      </c>
      <c r="H74" s="42" t="e">
        <f>$N$56</f>
        <v>#DIV/0!</v>
      </c>
      <c r="I74" s="7"/>
      <c r="J74" s="7"/>
      <c r="K74" s="6"/>
      <c r="L74" s="7"/>
      <c r="M74" s="7"/>
      <c r="N74" s="6"/>
      <c r="O74" s="6"/>
      <c r="P74" s="38"/>
      <c r="R74" s="191" t="s">
        <v>379</v>
      </c>
      <c r="S74" s="35"/>
      <c r="T74" s="35"/>
      <c r="U74" s="35"/>
      <c r="V74" s="35"/>
      <c r="W74" s="35"/>
      <c r="X74" s="35"/>
      <c r="Y74" s="35"/>
      <c r="Z74" s="35"/>
    </row>
    <row r="75" spans="1:29">
      <c r="A75" s="39"/>
      <c r="B75" s="316"/>
      <c r="C75" s="316"/>
      <c r="D75" s="316"/>
      <c r="E75" s="316"/>
      <c r="F75" s="6"/>
      <c r="G75" s="7" t="s">
        <v>18</v>
      </c>
      <c r="H75" s="237"/>
      <c r="I75" s="7"/>
      <c r="J75" s="7"/>
      <c r="K75" s="6"/>
      <c r="L75" s="7"/>
      <c r="M75" s="7"/>
      <c r="N75" s="6"/>
      <c r="O75" s="6"/>
      <c r="P75" s="38"/>
      <c r="R75" s="35" t="s">
        <v>130</v>
      </c>
      <c r="S75" s="35"/>
      <c r="T75" s="35"/>
      <c r="U75" s="35"/>
      <c r="V75" s="35"/>
      <c r="W75" s="35"/>
    </row>
    <row r="76" spans="1:29">
      <c r="A76" s="39"/>
      <c r="B76" s="314" t="s">
        <v>5</v>
      </c>
      <c r="C76" s="314"/>
      <c r="D76" s="314"/>
      <c r="E76" s="314"/>
      <c r="F76" s="6"/>
      <c r="G76" s="7"/>
      <c r="H76" s="6"/>
      <c r="I76" s="7"/>
      <c r="J76" s="7" t="s">
        <v>18</v>
      </c>
      <c r="K76" s="42" t="e">
        <f>SUM($H$71:$H$75)</f>
        <v>#DIV/0!</v>
      </c>
      <c r="L76" s="51"/>
      <c r="M76" s="7" t="s">
        <v>18</v>
      </c>
      <c r="N76" s="237"/>
      <c r="O76" s="6"/>
      <c r="P76" s="38"/>
      <c r="R76" s="193" t="s">
        <v>380</v>
      </c>
      <c r="S76" s="85"/>
      <c r="T76" s="85"/>
      <c r="U76" s="85"/>
      <c r="V76" s="85"/>
    </row>
    <row r="77" spans="1:29" ht="13.5" thickBot="1">
      <c r="A77" s="317" t="s">
        <v>10</v>
      </c>
      <c r="B77" s="314"/>
      <c r="C77" s="314"/>
      <c r="D77" s="314"/>
      <c r="E77" s="6"/>
      <c r="F77" s="6"/>
      <c r="G77" s="7"/>
      <c r="H77" s="77" t="s">
        <v>307</v>
      </c>
      <c r="I77" s="7"/>
      <c r="J77" s="7"/>
      <c r="K77" s="77" t="s">
        <v>152</v>
      </c>
      <c r="L77" s="7"/>
      <c r="M77" s="7"/>
      <c r="N77" s="6"/>
      <c r="O77" s="6"/>
      <c r="P77" s="88" t="s">
        <v>166</v>
      </c>
      <c r="R77" s="191" t="s">
        <v>381</v>
      </c>
      <c r="S77" s="35"/>
      <c r="T77" s="35"/>
      <c r="U77" s="35"/>
      <c r="V77" s="35"/>
      <c r="W77" s="35"/>
      <c r="X77" s="35"/>
      <c r="Y77" s="35"/>
      <c r="Z77" s="35"/>
      <c r="AA77" s="35"/>
      <c r="AB77" s="35"/>
      <c r="AC77" s="35"/>
    </row>
    <row r="78" spans="1:29" ht="13.5" thickBot="1">
      <c r="A78" s="39"/>
      <c r="B78" s="344" t="s">
        <v>11</v>
      </c>
      <c r="C78" s="345"/>
      <c r="D78" s="345"/>
      <c r="E78" s="345"/>
      <c r="F78" s="24"/>
      <c r="G78" s="25" t="s">
        <v>18</v>
      </c>
      <c r="H78" s="26">
        <f>$H$65</f>
        <v>2</v>
      </c>
      <c r="I78" s="7"/>
      <c r="J78" s="7"/>
      <c r="K78" s="6"/>
      <c r="L78" s="7"/>
      <c r="M78" s="7"/>
      <c r="N78" s="6"/>
      <c r="O78" s="6"/>
      <c r="P78" s="138">
        <f>$H$65/2</f>
        <v>1</v>
      </c>
      <c r="R78" s="191" t="s">
        <v>382</v>
      </c>
      <c r="S78" s="35"/>
      <c r="T78" s="35"/>
      <c r="U78" s="35"/>
      <c r="V78" s="35"/>
      <c r="W78" s="35"/>
      <c r="X78" s="35"/>
    </row>
    <row r="79" spans="1:29" ht="13.5" thickBot="1">
      <c r="A79" s="39"/>
      <c r="B79" s="312" t="s">
        <v>2</v>
      </c>
      <c r="C79" s="312"/>
      <c r="D79" s="312"/>
      <c r="E79" s="312"/>
      <c r="F79" s="19"/>
      <c r="G79" s="7" t="s">
        <v>18</v>
      </c>
      <c r="H79" s="48">
        <f>$K$9</f>
        <v>0</v>
      </c>
      <c r="I79" s="7"/>
      <c r="J79" s="7"/>
      <c r="K79" s="6"/>
      <c r="L79" s="7"/>
      <c r="M79" s="7" t="s">
        <v>18</v>
      </c>
      <c r="N79" s="42">
        <f>SUM($P$78:$P$79)</f>
        <v>1</v>
      </c>
      <c r="O79" s="6"/>
      <c r="P79" s="139">
        <f>$K$10</f>
        <v>0</v>
      </c>
      <c r="R79" s="35" t="s">
        <v>373</v>
      </c>
      <c r="S79" s="35"/>
      <c r="T79" s="35"/>
      <c r="U79" s="35"/>
      <c r="V79" s="35"/>
      <c r="W79" s="35"/>
    </row>
    <row r="80" spans="1:29">
      <c r="A80" s="39"/>
      <c r="B80" s="312" t="s">
        <v>4</v>
      </c>
      <c r="C80" s="312"/>
      <c r="D80" s="312"/>
      <c r="E80" s="312"/>
      <c r="F80" s="6"/>
      <c r="G80" s="7" t="s">
        <v>18</v>
      </c>
      <c r="H80" s="42" t="e">
        <f>$N$56</f>
        <v>#DIV/0!</v>
      </c>
      <c r="I80" s="7"/>
      <c r="J80" s="7"/>
      <c r="K80" s="6"/>
      <c r="L80" s="7"/>
      <c r="M80" s="7"/>
      <c r="N80" s="6"/>
      <c r="O80" s="6"/>
      <c r="P80" s="38"/>
      <c r="R80" s="191" t="s">
        <v>383</v>
      </c>
      <c r="S80" s="35"/>
      <c r="T80" s="35"/>
      <c r="U80" s="35"/>
      <c r="V80" s="35"/>
      <c r="W80" s="35"/>
      <c r="X80" s="35"/>
      <c r="Y80" s="35"/>
    </row>
    <row r="81" spans="1:27">
      <c r="A81" s="39"/>
      <c r="B81" s="316"/>
      <c r="C81" s="316"/>
      <c r="D81" s="316"/>
      <c r="E81" s="316"/>
      <c r="F81" s="6"/>
      <c r="G81" s="7" t="s">
        <v>18</v>
      </c>
      <c r="H81" s="237"/>
      <c r="I81" s="7"/>
      <c r="J81" s="7"/>
      <c r="K81" s="6"/>
      <c r="L81" s="7"/>
      <c r="M81" s="7"/>
      <c r="N81" s="6"/>
      <c r="O81" s="6"/>
      <c r="P81" s="88" t="s">
        <v>166</v>
      </c>
      <c r="R81" s="35" t="s">
        <v>131</v>
      </c>
      <c r="S81" s="35"/>
      <c r="T81" s="35"/>
      <c r="U81" s="35"/>
      <c r="V81" s="35"/>
      <c r="W81" s="35"/>
    </row>
    <row r="82" spans="1:27">
      <c r="A82" s="39"/>
      <c r="B82" s="314" t="s">
        <v>10</v>
      </c>
      <c r="C82" s="314"/>
      <c r="D82" s="314"/>
      <c r="E82" s="314"/>
      <c r="F82" s="6"/>
      <c r="G82" s="7"/>
      <c r="H82" s="6"/>
      <c r="I82" s="7"/>
      <c r="J82" s="7" t="s">
        <v>18</v>
      </c>
      <c r="K82" s="42" t="e">
        <f>SUM($H$78:$H$81)</f>
        <v>#DIV/0!</v>
      </c>
      <c r="L82" s="51"/>
      <c r="M82" s="7" t="s">
        <v>18</v>
      </c>
      <c r="N82" s="237"/>
      <c r="O82" s="6"/>
      <c r="P82" s="238"/>
      <c r="R82" s="193" t="s">
        <v>384</v>
      </c>
      <c r="S82" s="85"/>
      <c r="T82" s="85"/>
      <c r="U82" s="85"/>
      <c r="V82" s="85"/>
      <c r="W82" s="85"/>
      <c r="X82" s="85"/>
      <c r="Y82" s="85"/>
      <c r="Z82" s="85"/>
    </row>
    <row r="83" spans="1:27" ht="13.5" thickBot="1">
      <c r="A83" s="317" t="s">
        <v>112</v>
      </c>
      <c r="B83" s="314"/>
      <c r="C83" s="314"/>
      <c r="D83" s="314"/>
      <c r="E83" s="6"/>
      <c r="F83" s="6"/>
      <c r="G83" s="7"/>
      <c r="H83" s="77" t="s">
        <v>307</v>
      </c>
      <c r="I83" s="7"/>
      <c r="J83" s="7"/>
      <c r="K83" s="77" t="s">
        <v>152</v>
      </c>
      <c r="L83" s="51"/>
      <c r="M83" s="7"/>
      <c r="N83" s="6"/>
      <c r="O83" s="6"/>
      <c r="P83" s="38"/>
      <c r="R83" s="191" t="s">
        <v>385</v>
      </c>
      <c r="S83" s="35"/>
      <c r="T83" s="35"/>
      <c r="U83" s="35"/>
      <c r="V83" s="35"/>
      <c r="W83" s="35"/>
      <c r="X83" s="35"/>
      <c r="Y83" s="35"/>
      <c r="Z83" s="35"/>
    </row>
    <row r="84" spans="1:27" ht="13.5" thickBot="1">
      <c r="A84" s="39"/>
      <c r="B84" s="344" t="s">
        <v>11</v>
      </c>
      <c r="C84" s="345"/>
      <c r="D84" s="345"/>
      <c r="E84" s="345"/>
      <c r="F84" s="24"/>
      <c r="G84" s="25" t="s">
        <v>18</v>
      </c>
      <c r="H84" s="26">
        <f>$H$65/2</f>
        <v>1</v>
      </c>
      <c r="I84" s="7"/>
      <c r="J84" s="7"/>
      <c r="K84" s="6"/>
      <c r="L84" s="51"/>
      <c r="M84" s="7"/>
      <c r="N84" s="6"/>
      <c r="O84" s="6"/>
      <c r="P84" s="38"/>
      <c r="R84" s="191" t="s">
        <v>386</v>
      </c>
      <c r="S84" s="35"/>
      <c r="T84" s="35"/>
      <c r="U84" s="35"/>
    </row>
    <row r="85" spans="1:27">
      <c r="A85" s="39"/>
      <c r="B85" s="312" t="s">
        <v>2</v>
      </c>
      <c r="C85" s="312"/>
      <c r="D85" s="312"/>
      <c r="E85" s="312"/>
      <c r="F85" s="19"/>
      <c r="G85" s="7" t="s">
        <v>18</v>
      </c>
      <c r="H85" s="48">
        <f>$K$11</f>
        <v>0</v>
      </c>
      <c r="I85" s="7"/>
      <c r="J85" s="7"/>
      <c r="K85" s="6"/>
      <c r="L85" s="51"/>
      <c r="M85" s="7"/>
      <c r="N85" s="6"/>
      <c r="O85" s="6"/>
      <c r="P85" s="38"/>
      <c r="R85" s="191" t="s">
        <v>387</v>
      </c>
      <c r="S85" s="35"/>
      <c r="T85" s="35"/>
      <c r="U85" s="35"/>
      <c r="V85" s="35"/>
      <c r="W85" s="35"/>
      <c r="X85" s="35"/>
      <c r="Y85" s="35"/>
      <c r="Z85" s="35"/>
      <c r="AA85" s="35"/>
    </row>
    <row r="86" spans="1:27">
      <c r="A86" s="39"/>
      <c r="B86" s="316"/>
      <c r="C86" s="316"/>
      <c r="D86" s="316"/>
      <c r="E86" s="316"/>
      <c r="F86" s="6"/>
      <c r="G86" s="7" t="s">
        <v>18</v>
      </c>
      <c r="H86" s="237"/>
      <c r="I86" s="7"/>
      <c r="J86" s="7"/>
      <c r="K86" s="6"/>
      <c r="L86" s="51"/>
      <c r="M86" s="7"/>
      <c r="N86" s="6"/>
      <c r="O86" s="6"/>
      <c r="P86" s="38"/>
      <c r="R86" s="35" t="s">
        <v>132</v>
      </c>
      <c r="S86" s="35"/>
      <c r="T86" s="35"/>
      <c r="U86" s="35"/>
      <c r="V86" s="35"/>
      <c r="W86" s="35"/>
      <c r="X86" s="35"/>
    </row>
    <row r="87" spans="1:27">
      <c r="A87" s="39"/>
      <c r="B87" s="314" t="s">
        <v>10</v>
      </c>
      <c r="C87" s="314"/>
      <c r="D87" s="314"/>
      <c r="E87" s="314"/>
      <c r="F87" s="6"/>
      <c r="G87" s="7"/>
      <c r="H87" s="6"/>
      <c r="I87" s="7"/>
      <c r="J87" s="7" t="s">
        <v>18</v>
      </c>
      <c r="K87" s="42">
        <f>SUM($H$84:$H$86)</f>
        <v>1</v>
      </c>
      <c r="L87" s="51"/>
      <c r="M87" s="7" t="s">
        <v>18</v>
      </c>
      <c r="N87" s="237"/>
      <c r="O87" s="6"/>
      <c r="P87" s="38"/>
      <c r="R87" s="193" t="s">
        <v>388</v>
      </c>
      <c r="S87" s="85"/>
      <c r="T87" s="85"/>
      <c r="U87" s="85"/>
      <c r="V87" s="85"/>
    </row>
    <row r="88" spans="1:27" ht="13.5" thickBot="1">
      <c r="A88" s="54"/>
      <c r="B88" s="65"/>
      <c r="C88" s="65"/>
      <c r="D88" s="65"/>
      <c r="E88" s="65"/>
      <c r="F88" s="10"/>
      <c r="G88" s="11"/>
      <c r="H88" s="10"/>
      <c r="I88" s="11"/>
      <c r="J88" s="11"/>
      <c r="K88" s="66"/>
      <c r="L88" s="67"/>
      <c r="M88" s="67"/>
      <c r="N88" s="10"/>
      <c r="O88" s="10"/>
      <c r="P88" s="55"/>
    </row>
    <row r="89" spans="1:27">
      <c r="A89" s="36"/>
      <c r="B89" s="27"/>
      <c r="C89" s="27"/>
      <c r="D89" s="27"/>
      <c r="E89" s="27"/>
      <c r="F89" s="27"/>
      <c r="G89" s="28"/>
      <c r="H89" s="27"/>
      <c r="I89" s="28"/>
      <c r="J89" s="28"/>
      <c r="K89" s="27"/>
      <c r="L89" s="28"/>
      <c r="M89" s="28"/>
      <c r="N89" s="27"/>
      <c r="O89" s="27"/>
      <c r="P89" s="37"/>
    </row>
    <row r="90" spans="1:27">
      <c r="A90" s="354" t="s">
        <v>13</v>
      </c>
      <c r="B90" s="313"/>
      <c r="C90" s="313"/>
      <c r="D90" s="313"/>
      <c r="E90" s="313"/>
      <c r="F90" s="313"/>
      <c r="G90" s="7"/>
      <c r="H90" s="6"/>
      <c r="I90" s="7"/>
      <c r="J90" s="7"/>
      <c r="K90" s="6"/>
      <c r="L90" s="7"/>
      <c r="M90" s="7"/>
      <c r="N90" s="6"/>
      <c r="O90" s="6"/>
      <c r="P90" s="38"/>
    </row>
    <row r="91" spans="1:27">
      <c r="A91" s="39"/>
      <c r="B91" s="6"/>
      <c r="C91" s="6"/>
      <c r="D91" s="6"/>
      <c r="E91" s="6"/>
      <c r="F91" s="6"/>
      <c r="G91" s="7"/>
      <c r="H91" s="6"/>
      <c r="I91" s="7"/>
      <c r="J91" s="7"/>
      <c r="K91" s="6"/>
      <c r="L91" s="7"/>
      <c r="M91" s="7"/>
      <c r="N91" s="6"/>
      <c r="O91" s="6"/>
      <c r="P91" s="38"/>
    </row>
    <row r="92" spans="1:27">
      <c r="A92" s="317" t="s">
        <v>104</v>
      </c>
      <c r="B92" s="314"/>
      <c r="C92" s="314"/>
      <c r="D92" s="6"/>
      <c r="E92" s="6"/>
      <c r="F92" s="77" t="s">
        <v>151</v>
      </c>
      <c r="G92" s="7"/>
      <c r="H92" s="77" t="s">
        <v>308</v>
      </c>
      <c r="I92" s="7"/>
      <c r="J92" s="7"/>
      <c r="K92" s="77" t="s">
        <v>152</v>
      </c>
      <c r="L92" s="7"/>
      <c r="M92" s="7"/>
      <c r="N92" s="6"/>
      <c r="O92" s="6"/>
      <c r="P92" s="38"/>
      <c r="R92" s="35" t="s">
        <v>154</v>
      </c>
      <c r="S92" s="35"/>
      <c r="T92" s="35"/>
      <c r="U92" s="35"/>
      <c r="V92" s="35"/>
      <c r="W92" s="35"/>
    </row>
    <row r="93" spans="1:27">
      <c r="A93" s="39"/>
      <c r="B93" s="312" t="s">
        <v>14</v>
      </c>
      <c r="C93" s="312"/>
      <c r="D93" s="312"/>
      <c r="E93" s="312"/>
      <c r="F93" s="43">
        <f>$H$7</f>
        <v>0</v>
      </c>
      <c r="G93" s="52" t="s">
        <v>19</v>
      </c>
      <c r="H93" s="42">
        <f>$N$69</f>
        <v>0</v>
      </c>
      <c r="I93" s="7" t="s">
        <v>20</v>
      </c>
      <c r="J93" s="7" t="s">
        <v>18</v>
      </c>
      <c r="K93" s="42">
        <f>$F$93*$H$93</f>
        <v>0</v>
      </c>
      <c r="L93" s="51"/>
      <c r="M93" s="51"/>
      <c r="N93" s="6"/>
      <c r="O93" s="6"/>
      <c r="P93" s="38"/>
      <c r="R93" s="191" t="s">
        <v>389</v>
      </c>
      <c r="S93" s="35"/>
      <c r="U93" s="3"/>
      <c r="V93" s="3"/>
      <c r="W93" s="3"/>
    </row>
    <row r="94" spans="1:27">
      <c r="A94" s="39"/>
      <c r="B94" s="312" t="s">
        <v>28</v>
      </c>
      <c r="C94" s="312"/>
      <c r="D94" s="312"/>
      <c r="E94" s="312"/>
      <c r="F94" s="43">
        <f>$H$8</f>
        <v>0</v>
      </c>
      <c r="G94" s="52" t="s">
        <v>19</v>
      </c>
      <c r="H94" s="42">
        <f>$N$76</f>
        <v>0</v>
      </c>
      <c r="I94" s="7" t="s">
        <v>20</v>
      </c>
      <c r="J94" s="7" t="s">
        <v>18</v>
      </c>
      <c r="K94" s="42">
        <f>$F$94*$H$94</f>
        <v>0</v>
      </c>
      <c r="L94" s="51"/>
      <c r="M94" s="51"/>
      <c r="N94" s="6"/>
      <c r="O94" s="6"/>
      <c r="P94" s="38"/>
      <c r="R94" s="191" t="s">
        <v>390</v>
      </c>
      <c r="S94" s="35"/>
    </row>
    <row r="95" spans="1:27">
      <c r="A95" s="39"/>
      <c r="B95" s="40" t="s">
        <v>15</v>
      </c>
      <c r="C95" s="40"/>
      <c r="D95" s="40"/>
      <c r="E95" s="40"/>
      <c r="F95" s="43">
        <f>$H$9</f>
        <v>0</v>
      </c>
      <c r="G95" s="52" t="s">
        <v>19</v>
      </c>
      <c r="H95" s="42">
        <f>$N$82</f>
        <v>0</v>
      </c>
      <c r="I95" s="7" t="s">
        <v>20</v>
      </c>
      <c r="J95" s="7" t="s">
        <v>18</v>
      </c>
      <c r="K95" s="42">
        <f>$F$95*$H$95</f>
        <v>0</v>
      </c>
      <c r="L95" s="51"/>
      <c r="M95" s="51"/>
      <c r="N95" s="6"/>
      <c r="O95" s="6"/>
      <c r="P95" s="38"/>
      <c r="R95" s="191" t="s">
        <v>391</v>
      </c>
      <c r="S95" s="35"/>
    </row>
    <row r="96" spans="1:27">
      <c r="A96" s="39"/>
      <c r="B96" s="40" t="s">
        <v>242</v>
      </c>
      <c r="C96" s="40"/>
      <c r="D96" s="40"/>
      <c r="E96" s="40"/>
      <c r="F96" s="43">
        <f>$H$10</f>
        <v>0</v>
      </c>
      <c r="G96" s="52" t="s">
        <v>19</v>
      </c>
      <c r="H96" s="53">
        <f>$P$82</f>
        <v>0</v>
      </c>
      <c r="I96" s="7" t="s">
        <v>20</v>
      </c>
      <c r="J96" s="7" t="s">
        <v>18</v>
      </c>
      <c r="K96" s="42">
        <f>$F$96*$H$96</f>
        <v>0</v>
      </c>
      <c r="L96" s="51"/>
      <c r="M96" s="51"/>
      <c r="N96" s="6"/>
      <c r="O96" s="6"/>
      <c r="P96" s="38"/>
      <c r="R96" s="191" t="s">
        <v>392</v>
      </c>
      <c r="S96" s="35"/>
      <c r="T96" s="35"/>
    </row>
    <row r="97" spans="1:26">
      <c r="A97" s="39"/>
      <c r="B97" s="40" t="s">
        <v>16</v>
      </c>
      <c r="C97" s="40"/>
      <c r="D97" s="40"/>
      <c r="E97" s="40"/>
      <c r="F97" s="43">
        <f>$H$11</f>
        <v>0</v>
      </c>
      <c r="G97" s="52" t="s">
        <v>19</v>
      </c>
      <c r="H97" s="53">
        <f>$N$87</f>
        <v>0</v>
      </c>
      <c r="I97" s="7" t="s">
        <v>20</v>
      </c>
      <c r="J97" s="7" t="s">
        <v>18</v>
      </c>
      <c r="K97" s="42">
        <f>$F$97*$H$97</f>
        <v>0</v>
      </c>
      <c r="L97" s="51"/>
      <c r="M97" s="51"/>
      <c r="N97" s="6"/>
      <c r="O97" s="6"/>
      <c r="P97" s="38"/>
      <c r="R97" s="191" t="s">
        <v>393</v>
      </c>
      <c r="S97" s="35"/>
      <c r="T97" s="35"/>
    </row>
    <row r="98" spans="1:26">
      <c r="A98" s="39"/>
      <c r="B98" s="353">
        <f>$B$12</f>
        <v>0</v>
      </c>
      <c r="C98" s="352"/>
      <c r="D98" s="352"/>
      <c r="E98" s="352"/>
      <c r="F98" s="43">
        <f>$H$12</f>
        <v>0</v>
      </c>
      <c r="G98" s="52" t="s">
        <v>19</v>
      </c>
      <c r="H98" s="236"/>
      <c r="I98" s="7" t="s">
        <v>20</v>
      </c>
      <c r="J98" s="7" t="s">
        <v>18</v>
      </c>
      <c r="K98" s="42">
        <f>$F$98*$H$98</f>
        <v>0</v>
      </c>
      <c r="L98" s="51"/>
      <c r="M98" s="51"/>
      <c r="N98" s="6"/>
      <c r="O98" s="6"/>
      <c r="P98" s="38"/>
      <c r="R98" s="191" t="s">
        <v>394</v>
      </c>
      <c r="S98" s="35"/>
      <c r="T98" s="35"/>
      <c r="U98" s="35"/>
      <c r="V98" s="35"/>
      <c r="W98" s="35"/>
    </row>
    <row r="99" spans="1:26">
      <c r="A99" s="39"/>
      <c r="B99" s="352">
        <f>$B$13</f>
        <v>0</v>
      </c>
      <c r="C99" s="352"/>
      <c r="D99" s="352"/>
      <c r="E99" s="352"/>
      <c r="F99" s="43">
        <f>$H$13</f>
        <v>0</v>
      </c>
      <c r="G99" s="52" t="s">
        <v>19</v>
      </c>
      <c r="H99" s="236"/>
      <c r="I99" s="7" t="s">
        <v>20</v>
      </c>
      <c r="J99" s="7" t="s">
        <v>18</v>
      </c>
      <c r="K99" s="42">
        <f>$F$99*$H$99</f>
        <v>0</v>
      </c>
      <c r="L99" s="51"/>
      <c r="M99" s="51"/>
      <c r="N99" s="6"/>
      <c r="O99" s="6"/>
      <c r="P99" s="38"/>
      <c r="R99" s="191" t="s">
        <v>395</v>
      </c>
      <c r="S99" s="35"/>
      <c r="T99" s="35"/>
      <c r="U99" s="35"/>
      <c r="V99" s="35"/>
      <c r="W99" s="35"/>
    </row>
    <row r="100" spans="1:26">
      <c r="A100" s="39"/>
      <c r="B100" s="40"/>
      <c r="C100" s="314" t="s">
        <v>103</v>
      </c>
      <c r="D100" s="314"/>
      <c r="E100" s="314"/>
      <c r="F100" s="314"/>
      <c r="G100" s="52"/>
      <c r="H100" s="48"/>
      <c r="I100" s="7"/>
      <c r="J100" s="7" t="s">
        <v>18</v>
      </c>
      <c r="K100" s="42">
        <f>SUM($K$93:$K$99)</f>
        <v>0</v>
      </c>
      <c r="L100" s="51"/>
      <c r="M100" s="51"/>
      <c r="N100" s="6"/>
      <c r="O100" s="6"/>
      <c r="P100" s="38"/>
      <c r="R100" s="35" t="s">
        <v>128</v>
      </c>
      <c r="S100" s="35"/>
      <c r="T100" s="35"/>
      <c r="U100" s="35"/>
      <c r="V100" s="35"/>
    </row>
    <row r="101" spans="1:26">
      <c r="A101" s="39"/>
      <c r="B101" s="40"/>
      <c r="C101" s="40"/>
      <c r="D101" s="40"/>
      <c r="E101" s="40"/>
      <c r="F101" s="43"/>
      <c r="G101" s="52"/>
      <c r="H101" s="48"/>
      <c r="I101" s="7"/>
      <c r="J101" s="7"/>
      <c r="K101" s="42"/>
      <c r="L101" s="51"/>
      <c r="M101" s="51"/>
      <c r="N101" s="6"/>
      <c r="O101" s="6"/>
      <c r="P101" s="38"/>
      <c r="R101" s="35" t="s">
        <v>123</v>
      </c>
      <c r="S101" s="35"/>
      <c r="T101" s="35"/>
      <c r="U101" s="35"/>
      <c r="V101" s="35"/>
    </row>
    <row r="102" spans="1:26">
      <c r="A102" s="318" t="s">
        <v>105</v>
      </c>
      <c r="B102" s="319"/>
      <c r="C102" s="319"/>
      <c r="D102" s="319"/>
      <c r="E102" s="40"/>
      <c r="F102" s="43"/>
      <c r="G102" s="52"/>
      <c r="H102" s="48"/>
      <c r="I102" s="7"/>
      <c r="J102" s="7"/>
      <c r="K102" s="77" t="s">
        <v>152</v>
      </c>
      <c r="L102" s="51"/>
      <c r="M102" s="51"/>
      <c r="N102" s="6"/>
      <c r="O102" s="6"/>
      <c r="P102" s="38"/>
    </row>
    <row r="103" spans="1:26">
      <c r="A103" s="39"/>
      <c r="B103" s="40" t="s">
        <v>106</v>
      </c>
      <c r="C103" s="40"/>
      <c r="D103" s="40"/>
      <c r="E103" s="40"/>
      <c r="F103" s="43"/>
      <c r="G103" s="52"/>
      <c r="H103" s="48"/>
      <c r="I103" s="7"/>
      <c r="J103" s="7" t="s">
        <v>18</v>
      </c>
      <c r="K103" s="236"/>
      <c r="L103" s="51"/>
      <c r="M103" s="51"/>
      <c r="N103" s="6"/>
      <c r="O103" s="6"/>
      <c r="P103" s="38"/>
      <c r="R103" s="191" t="s">
        <v>312</v>
      </c>
      <c r="S103" s="35"/>
      <c r="T103" s="35"/>
      <c r="U103" s="35"/>
      <c r="V103" s="35"/>
      <c r="W103" s="35"/>
      <c r="X103" s="35"/>
      <c r="Y103" s="35"/>
      <c r="Z103" s="35"/>
    </row>
    <row r="104" spans="1:26">
      <c r="A104" s="39"/>
      <c r="B104" s="316"/>
      <c r="C104" s="316"/>
      <c r="D104" s="316"/>
      <c r="E104" s="316"/>
      <c r="F104" s="316"/>
      <c r="G104" s="316"/>
      <c r="H104" s="316"/>
      <c r="I104" s="7"/>
      <c r="J104" s="7" t="s">
        <v>18</v>
      </c>
      <c r="K104" s="237"/>
      <c r="L104" s="51"/>
      <c r="M104" s="51"/>
      <c r="N104" s="6"/>
      <c r="O104" s="6"/>
      <c r="P104" s="38"/>
      <c r="R104" s="191" t="s">
        <v>396</v>
      </c>
      <c r="S104" s="35"/>
      <c r="T104" s="35"/>
      <c r="U104" s="35"/>
      <c r="V104" s="35"/>
      <c r="W104" s="35"/>
      <c r="X104" s="35"/>
      <c r="Y104" s="35"/>
      <c r="Z104" s="35"/>
    </row>
    <row r="105" spans="1:26">
      <c r="A105" s="39"/>
      <c r="B105" s="316"/>
      <c r="C105" s="316"/>
      <c r="D105" s="316"/>
      <c r="E105" s="316"/>
      <c r="F105" s="316"/>
      <c r="G105" s="316"/>
      <c r="H105" s="316"/>
      <c r="I105" s="7"/>
      <c r="J105" s="7" t="s">
        <v>18</v>
      </c>
      <c r="K105" s="237"/>
      <c r="L105" s="51"/>
      <c r="M105" s="51"/>
      <c r="N105" s="6"/>
      <c r="O105" s="6"/>
      <c r="P105" s="38"/>
    </row>
    <row r="106" spans="1:26">
      <c r="A106" s="39"/>
      <c r="B106" s="40"/>
      <c r="C106" s="314" t="s">
        <v>107</v>
      </c>
      <c r="D106" s="314"/>
      <c r="E106" s="314"/>
      <c r="F106" s="314"/>
      <c r="G106" s="52"/>
      <c r="H106" s="48"/>
      <c r="I106" s="7"/>
      <c r="J106" s="7" t="s">
        <v>18</v>
      </c>
      <c r="K106" s="42">
        <f>SUM($K$103:$K$105)</f>
        <v>0</v>
      </c>
      <c r="L106" s="51"/>
      <c r="M106" s="51"/>
      <c r="N106" s="6"/>
      <c r="O106" s="6"/>
      <c r="P106" s="38"/>
      <c r="R106" s="35" t="s">
        <v>124</v>
      </c>
      <c r="S106" s="35"/>
      <c r="T106" s="35"/>
      <c r="U106" s="35"/>
      <c r="V106" s="35"/>
    </row>
    <row r="107" spans="1:26" ht="13.5" thickBot="1">
      <c r="A107" s="39"/>
      <c r="B107" s="6"/>
      <c r="C107" s="6"/>
      <c r="D107" s="6"/>
      <c r="E107" s="6"/>
      <c r="F107" s="6"/>
      <c r="G107" s="7"/>
      <c r="H107" s="6"/>
      <c r="I107" s="7"/>
      <c r="J107" s="7"/>
      <c r="K107" s="6"/>
      <c r="L107" s="7"/>
      <c r="M107" s="7"/>
      <c r="N107" s="6"/>
      <c r="O107" s="6"/>
      <c r="P107" s="38"/>
    </row>
    <row r="108" spans="1:26" ht="14.25" thickTop="1" thickBot="1">
      <c r="A108" s="39"/>
      <c r="B108" s="313" t="s">
        <v>17</v>
      </c>
      <c r="C108" s="313"/>
      <c r="D108" s="313"/>
      <c r="E108" s="313"/>
      <c r="F108" s="6"/>
      <c r="G108" s="7"/>
      <c r="H108" s="6"/>
      <c r="I108" s="7"/>
      <c r="J108" s="7" t="s">
        <v>18</v>
      </c>
      <c r="K108" s="12">
        <f>$K$100+$K$106</f>
        <v>0</v>
      </c>
      <c r="L108" s="51"/>
      <c r="M108" s="51"/>
      <c r="N108" s="6"/>
      <c r="O108" s="6"/>
      <c r="P108" s="38"/>
      <c r="R108" s="35" t="s">
        <v>125</v>
      </c>
      <c r="S108" s="35"/>
      <c r="T108" s="35"/>
      <c r="U108" s="35"/>
      <c r="V108" s="35"/>
      <c r="W108" s="35"/>
    </row>
    <row r="109" spans="1:26" ht="14.25" thickTop="1" thickBot="1">
      <c r="A109" s="54"/>
      <c r="B109" s="10"/>
      <c r="C109" s="10"/>
      <c r="D109" s="10"/>
      <c r="E109" s="10"/>
      <c r="F109" s="10"/>
      <c r="G109" s="11"/>
      <c r="H109" s="10"/>
      <c r="I109" s="11"/>
      <c r="J109" s="11"/>
      <c r="K109" s="10"/>
      <c r="L109" s="11"/>
      <c r="M109" s="11"/>
      <c r="N109" s="10"/>
      <c r="O109" s="10"/>
      <c r="P109" s="55"/>
    </row>
    <row r="110" spans="1:26">
      <c r="A110" s="39"/>
      <c r="B110" s="6"/>
      <c r="C110" s="6"/>
      <c r="D110" s="6"/>
      <c r="E110" s="6"/>
      <c r="F110" s="6"/>
      <c r="G110" s="7"/>
      <c r="H110" s="6"/>
      <c r="I110" s="7"/>
      <c r="J110" s="7"/>
      <c r="K110" s="6"/>
      <c r="L110" s="7"/>
      <c r="M110" s="7"/>
      <c r="N110" s="6"/>
      <c r="O110" s="6"/>
      <c r="P110" s="38"/>
    </row>
    <row r="111" spans="1:26">
      <c r="A111" s="325" t="s">
        <v>21</v>
      </c>
      <c r="B111" s="326"/>
      <c r="C111" s="326"/>
      <c r="D111" s="326"/>
      <c r="E111" s="326"/>
      <c r="F111" s="326"/>
      <c r="G111" s="7"/>
      <c r="H111" s="7"/>
      <c r="I111" s="7"/>
      <c r="J111" s="7"/>
      <c r="K111" s="6"/>
      <c r="L111" s="7"/>
      <c r="M111" s="7"/>
      <c r="N111" s="6"/>
      <c r="O111" s="6"/>
      <c r="P111" s="137" t="s">
        <v>152</v>
      </c>
    </row>
    <row r="112" spans="1:26">
      <c r="A112" s="39"/>
      <c r="B112" s="6"/>
      <c r="C112" s="6"/>
      <c r="D112" s="6"/>
      <c r="E112" s="6"/>
      <c r="F112" s="6"/>
      <c r="G112" s="7"/>
      <c r="H112" s="6"/>
      <c r="I112" s="7"/>
      <c r="J112" s="7"/>
      <c r="K112" s="6"/>
      <c r="L112" s="7"/>
      <c r="M112" s="7"/>
      <c r="N112" s="6"/>
      <c r="O112" s="6"/>
      <c r="P112" s="38"/>
    </row>
    <row r="113" spans="1:27">
      <c r="A113" s="39"/>
      <c r="B113" s="324" t="s">
        <v>22</v>
      </c>
      <c r="C113" s="324"/>
      <c r="D113" s="324"/>
      <c r="E113" s="324"/>
      <c r="F113" s="6"/>
      <c r="G113" s="7"/>
      <c r="H113" s="6"/>
      <c r="I113" s="7"/>
      <c r="J113" s="7"/>
      <c r="K113" s="6"/>
      <c r="L113" s="7"/>
      <c r="M113" s="7"/>
      <c r="N113" s="6"/>
      <c r="O113" s="7" t="s">
        <v>18</v>
      </c>
      <c r="P113" s="57">
        <f>$N$14</f>
        <v>0</v>
      </c>
      <c r="R113" s="191" t="s">
        <v>309</v>
      </c>
      <c r="S113" s="35"/>
      <c r="T113" s="35"/>
      <c r="U113" s="35"/>
      <c r="V113" s="35"/>
    </row>
    <row r="114" spans="1:27">
      <c r="A114" s="39"/>
      <c r="B114" s="6"/>
      <c r="C114" s="6"/>
      <c r="D114" s="6"/>
      <c r="E114" s="6"/>
      <c r="F114" s="6"/>
      <c r="G114" s="7"/>
      <c r="H114" s="6"/>
      <c r="I114" s="7"/>
      <c r="J114" s="7"/>
      <c r="K114" s="6"/>
      <c r="L114" s="7"/>
      <c r="M114" s="7"/>
      <c r="N114" s="6"/>
      <c r="O114" s="7"/>
      <c r="P114" s="38"/>
    </row>
    <row r="115" spans="1:27">
      <c r="A115" s="39"/>
      <c r="B115" s="324" t="s">
        <v>23</v>
      </c>
      <c r="C115" s="324"/>
      <c r="D115" s="324"/>
      <c r="E115" s="324"/>
      <c r="F115" s="6"/>
      <c r="G115" s="7"/>
      <c r="H115" s="6"/>
      <c r="I115" s="7"/>
      <c r="J115" s="7"/>
      <c r="K115" s="6"/>
      <c r="L115" s="7"/>
      <c r="M115" s="7"/>
      <c r="N115" s="6"/>
      <c r="O115" s="7" t="s">
        <v>18</v>
      </c>
      <c r="P115" s="57">
        <f>$N$21</f>
        <v>0</v>
      </c>
      <c r="R115" s="191" t="s">
        <v>311</v>
      </c>
      <c r="S115" s="35"/>
      <c r="T115" s="35"/>
      <c r="U115" s="35"/>
      <c r="V115" s="35"/>
      <c r="W115" s="35"/>
    </row>
    <row r="116" spans="1:27">
      <c r="A116" s="39"/>
      <c r="B116" s="6"/>
      <c r="C116" s="6"/>
      <c r="D116" s="6"/>
      <c r="E116" s="6"/>
      <c r="F116" s="6"/>
      <c r="G116" s="7"/>
      <c r="H116" s="6"/>
      <c r="I116" s="7"/>
      <c r="J116" s="7"/>
      <c r="K116" s="6"/>
      <c r="L116" s="7"/>
      <c r="M116" s="7"/>
      <c r="N116" s="6"/>
      <c r="O116" s="7"/>
      <c r="P116" s="38"/>
    </row>
    <row r="117" spans="1:27">
      <c r="A117" s="39"/>
      <c r="B117" s="324" t="s">
        <v>33</v>
      </c>
      <c r="C117" s="324"/>
      <c r="D117" s="324"/>
      <c r="E117" s="324"/>
      <c r="F117" s="6"/>
      <c r="G117" s="7"/>
      <c r="H117" s="6"/>
      <c r="I117" s="7"/>
      <c r="J117" s="7"/>
      <c r="K117" s="6"/>
      <c r="L117" s="7"/>
      <c r="M117" s="7"/>
      <c r="N117" s="6"/>
      <c r="O117" s="7" t="s">
        <v>18</v>
      </c>
      <c r="P117" s="57">
        <f>$N$28</f>
        <v>0</v>
      </c>
      <c r="R117" s="35" t="s">
        <v>397</v>
      </c>
      <c r="S117" s="35"/>
      <c r="T117" s="35"/>
      <c r="U117" s="35"/>
      <c r="V117" s="35"/>
    </row>
    <row r="118" spans="1:27">
      <c r="A118" s="39"/>
      <c r="B118" s="6"/>
      <c r="C118" s="6"/>
      <c r="D118" s="6"/>
      <c r="E118" s="6"/>
      <c r="F118" s="6"/>
      <c r="G118" s="7"/>
      <c r="H118" s="6"/>
      <c r="I118" s="7"/>
      <c r="J118" s="7"/>
      <c r="K118" s="6"/>
      <c r="L118" s="7"/>
      <c r="M118" s="7"/>
      <c r="N118" s="6"/>
      <c r="O118" s="7"/>
      <c r="P118" s="38"/>
    </row>
    <row r="119" spans="1:27">
      <c r="A119" s="39"/>
      <c r="B119" s="324" t="s">
        <v>24</v>
      </c>
      <c r="C119" s="324"/>
      <c r="D119" s="324"/>
      <c r="E119" s="324"/>
      <c r="F119" s="6"/>
      <c r="G119" s="7"/>
      <c r="H119" s="6"/>
      <c r="I119" s="7"/>
      <c r="J119" s="7"/>
      <c r="K119" s="6"/>
      <c r="L119" s="7"/>
      <c r="M119" s="7"/>
      <c r="N119" s="6"/>
      <c r="O119" s="7" t="s">
        <v>18</v>
      </c>
      <c r="P119" s="57">
        <f>$N$34</f>
        <v>0</v>
      </c>
      <c r="R119" s="191" t="s">
        <v>398</v>
      </c>
      <c r="S119" s="35"/>
      <c r="T119" s="35"/>
      <c r="U119" s="35"/>
      <c r="V119" s="35"/>
    </row>
    <row r="120" spans="1:27">
      <c r="A120" s="39"/>
      <c r="B120" s="6"/>
      <c r="C120" s="6"/>
      <c r="D120" s="6"/>
      <c r="E120" s="6"/>
      <c r="F120" s="6"/>
      <c r="G120" s="7"/>
      <c r="H120" s="6"/>
      <c r="I120" s="7"/>
      <c r="J120" s="7"/>
      <c r="K120" s="6"/>
      <c r="L120" s="7"/>
      <c r="M120" s="7"/>
      <c r="N120" s="6"/>
      <c r="O120" s="7"/>
      <c r="P120" s="38"/>
    </row>
    <row r="121" spans="1:27">
      <c r="A121" s="39"/>
      <c r="B121" s="324" t="s">
        <v>25</v>
      </c>
      <c r="C121" s="324"/>
      <c r="D121" s="324"/>
      <c r="E121" s="324"/>
      <c r="F121" s="6"/>
      <c r="G121" s="7"/>
      <c r="H121" s="6"/>
      <c r="I121" s="7"/>
      <c r="J121" s="7"/>
      <c r="K121" s="6"/>
      <c r="L121" s="7"/>
      <c r="M121" s="7"/>
      <c r="N121" s="6"/>
      <c r="O121" s="7" t="s">
        <v>18</v>
      </c>
      <c r="P121" s="57">
        <f>$N$40</f>
        <v>0</v>
      </c>
      <c r="R121" s="191" t="s">
        <v>399</v>
      </c>
      <c r="S121" s="35"/>
      <c r="T121" s="35"/>
      <c r="U121" s="35"/>
      <c r="V121" s="35"/>
      <c r="W121" s="35"/>
    </row>
    <row r="122" spans="1:27">
      <c r="A122" s="39"/>
      <c r="B122" s="56"/>
      <c r="C122" s="56"/>
      <c r="D122" s="56"/>
      <c r="E122" s="56"/>
      <c r="F122" s="6"/>
      <c r="G122" s="7"/>
      <c r="H122" s="6"/>
      <c r="I122" s="7"/>
      <c r="J122" s="7"/>
      <c r="K122" s="6"/>
      <c r="L122" s="7"/>
      <c r="M122" s="7"/>
      <c r="N122" s="6"/>
      <c r="O122" s="7"/>
      <c r="P122" s="57"/>
    </row>
    <row r="123" spans="1:27">
      <c r="A123" s="39"/>
      <c r="B123" s="56" t="s">
        <v>252</v>
      </c>
      <c r="C123" s="56"/>
      <c r="D123" s="56"/>
      <c r="E123" s="56"/>
      <c r="F123" s="6"/>
      <c r="G123" s="7"/>
      <c r="H123" s="6"/>
      <c r="I123" s="7"/>
      <c r="J123" s="7"/>
      <c r="K123" s="6"/>
      <c r="L123" s="7"/>
      <c r="M123" s="7"/>
      <c r="N123" s="6"/>
      <c r="O123" s="7" t="s">
        <v>18</v>
      </c>
      <c r="P123" s="57">
        <f>$N$46</f>
        <v>0</v>
      </c>
      <c r="R123" s="191" t="s">
        <v>400</v>
      </c>
      <c r="S123" s="35"/>
      <c r="T123" s="35"/>
      <c r="U123" s="35"/>
      <c r="V123" s="35"/>
      <c r="W123" s="35"/>
    </row>
    <row r="124" spans="1:27">
      <c r="A124" s="39"/>
      <c r="B124" s="56"/>
      <c r="C124" s="56"/>
      <c r="D124" s="56"/>
      <c r="E124" s="56"/>
      <c r="F124" s="6"/>
      <c r="G124" s="7"/>
      <c r="H124" s="6"/>
      <c r="I124" s="7"/>
      <c r="J124" s="7"/>
      <c r="K124" s="6"/>
      <c r="L124" s="7"/>
      <c r="M124" s="7"/>
      <c r="N124" s="6"/>
      <c r="O124" s="7"/>
      <c r="P124" s="57"/>
    </row>
    <row r="125" spans="1:27">
      <c r="A125" s="39"/>
      <c r="B125" s="56" t="s">
        <v>102</v>
      </c>
      <c r="C125" s="56"/>
      <c r="D125" s="56"/>
      <c r="E125" s="56"/>
      <c r="F125" s="6"/>
      <c r="G125" s="7"/>
      <c r="H125" s="6"/>
      <c r="I125" s="7"/>
      <c r="J125" s="7"/>
      <c r="K125" s="6"/>
      <c r="L125" s="7"/>
      <c r="M125" s="7"/>
      <c r="N125" s="6"/>
      <c r="O125" s="7" t="s">
        <v>18</v>
      </c>
      <c r="P125" s="57">
        <f>$N$51</f>
        <v>0</v>
      </c>
      <c r="R125" s="191" t="s">
        <v>401</v>
      </c>
      <c r="S125" s="35"/>
      <c r="T125" s="35"/>
      <c r="U125" s="35"/>
      <c r="V125" s="35"/>
      <c r="W125" s="35"/>
      <c r="X125" s="35"/>
    </row>
    <row r="126" spans="1:27">
      <c r="A126" s="39"/>
      <c r="B126" s="6"/>
      <c r="C126" s="6"/>
      <c r="D126" s="6"/>
      <c r="E126" s="6"/>
      <c r="F126" s="6"/>
      <c r="G126" s="7"/>
      <c r="H126" s="77" t="s">
        <v>151</v>
      </c>
      <c r="I126" s="7"/>
      <c r="J126" s="7"/>
      <c r="K126" s="77" t="s">
        <v>307</v>
      </c>
      <c r="L126" s="7"/>
      <c r="M126" s="7"/>
      <c r="N126" s="6"/>
      <c r="O126" s="7"/>
      <c r="P126" s="38"/>
    </row>
    <row r="127" spans="1:27">
      <c r="A127" s="39"/>
      <c r="B127" s="327" t="s">
        <v>240</v>
      </c>
      <c r="C127" s="327"/>
      <c r="D127" s="327"/>
      <c r="E127" s="327"/>
      <c r="F127" s="327"/>
      <c r="G127" s="7"/>
      <c r="H127" s="43">
        <f>$F$93</f>
        <v>0</v>
      </c>
      <c r="I127" s="7" t="s">
        <v>19</v>
      </c>
      <c r="J127" s="7" t="s">
        <v>18</v>
      </c>
      <c r="K127" s="128">
        <v>18</v>
      </c>
      <c r="L127" s="51"/>
      <c r="M127" s="51"/>
      <c r="N127" s="6"/>
      <c r="O127" s="7" t="s">
        <v>18</v>
      </c>
      <c r="P127" s="58">
        <f>$H$127*$K$127</f>
        <v>0</v>
      </c>
      <c r="R127" s="191" t="s">
        <v>402</v>
      </c>
      <c r="S127" s="35"/>
      <c r="T127" s="35"/>
      <c r="U127" s="35"/>
      <c r="V127" s="35"/>
      <c r="W127" s="35"/>
      <c r="X127" s="35"/>
      <c r="Y127" s="35"/>
      <c r="Z127" s="35"/>
      <c r="AA127" s="35"/>
    </row>
    <row r="128" spans="1:27">
      <c r="A128" s="39"/>
      <c r="B128" s="327"/>
      <c r="C128" s="327"/>
      <c r="D128" s="327"/>
      <c r="E128" s="327"/>
      <c r="F128" s="327"/>
      <c r="G128" s="7"/>
      <c r="H128" s="6"/>
      <c r="I128" s="7"/>
      <c r="J128" s="7"/>
      <c r="K128" s="6"/>
      <c r="L128" s="7"/>
      <c r="M128" s="7"/>
      <c r="N128" s="6"/>
      <c r="O128" s="7"/>
      <c r="P128" s="38"/>
      <c r="R128" s="191" t="s">
        <v>403</v>
      </c>
      <c r="S128" s="191"/>
      <c r="T128" s="191"/>
      <c r="U128" s="191"/>
    </row>
    <row r="129" spans="1:27">
      <c r="A129" s="39"/>
      <c r="B129" s="324"/>
      <c r="C129" s="324"/>
      <c r="D129" s="324"/>
      <c r="E129" s="324"/>
      <c r="F129" s="6"/>
      <c r="G129" s="7"/>
      <c r="H129" s="77" t="s">
        <v>151</v>
      </c>
      <c r="I129" s="7"/>
      <c r="J129" s="7"/>
      <c r="K129" s="77" t="s">
        <v>307</v>
      </c>
      <c r="L129" s="51"/>
      <c r="M129" s="51"/>
      <c r="N129" s="6"/>
      <c r="O129" s="7"/>
      <c r="P129" s="38"/>
    </row>
    <row r="130" spans="1:27">
      <c r="A130" s="39"/>
      <c r="B130" s="324" t="s">
        <v>0</v>
      </c>
      <c r="C130" s="324"/>
      <c r="D130" s="324"/>
      <c r="E130" s="324"/>
      <c r="F130" s="6"/>
      <c r="G130" s="7"/>
      <c r="H130" s="43">
        <f>$F$93</f>
        <v>0</v>
      </c>
      <c r="I130" s="7" t="s">
        <v>19</v>
      </c>
      <c r="J130" s="7" t="s">
        <v>18</v>
      </c>
      <c r="K130" s="42">
        <f>H64</f>
        <v>12</v>
      </c>
      <c r="L130" s="51"/>
      <c r="M130" s="51"/>
      <c r="N130" s="6"/>
      <c r="O130" s="7" t="s">
        <v>18</v>
      </c>
      <c r="P130" s="58">
        <f>$H$130*$K$130</f>
        <v>0</v>
      </c>
      <c r="R130" s="191" t="s">
        <v>310</v>
      </c>
      <c r="S130" s="35"/>
      <c r="T130" s="35"/>
      <c r="U130" s="35"/>
      <c r="V130" s="35"/>
      <c r="W130" s="35"/>
    </row>
    <row r="131" spans="1:27">
      <c r="A131" s="39"/>
      <c r="B131" s="6"/>
      <c r="C131" s="6"/>
      <c r="D131" s="6"/>
      <c r="E131" s="6"/>
      <c r="F131" s="6"/>
      <c r="G131" s="7"/>
      <c r="H131" s="77" t="s">
        <v>151</v>
      </c>
      <c r="I131" s="7"/>
      <c r="J131" s="7"/>
      <c r="K131" s="77" t="s">
        <v>307</v>
      </c>
      <c r="L131" s="7"/>
      <c r="M131" s="7"/>
      <c r="N131" s="6"/>
      <c r="O131" s="7"/>
      <c r="P131" s="38"/>
    </row>
    <row r="132" spans="1:27">
      <c r="A132" s="39"/>
      <c r="B132" s="324" t="s">
        <v>26</v>
      </c>
      <c r="C132" s="324"/>
      <c r="D132" s="324"/>
      <c r="E132" s="324"/>
      <c r="F132" s="6"/>
      <c r="G132" s="7"/>
      <c r="H132" s="239"/>
      <c r="I132" s="7" t="s">
        <v>19</v>
      </c>
      <c r="J132" s="7" t="s">
        <v>18</v>
      </c>
      <c r="K132" s="128">
        <v>14</v>
      </c>
      <c r="L132" s="51"/>
      <c r="M132" s="51"/>
      <c r="N132" s="6"/>
      <c r="O132" s="7" t="s">
        <v>18</v>
      </c>
      <c r="P132" s="58">
        <f>$H$132*$K$132</f>
        <v>0</v>
      </c>
      <c r="R132" s="191" t="s">
        <v>404</v>
      </c>
      <c r="S132" s="35"/>
      <c r="T132" s="35"/>
      <c r="U132" s="35"/>
      <c r="V132" s="35"/>
      <c r="W132" s="35"/>
      <c r="X132" s="35"/>
      <c r="Y132" s="35"/>
      <c r="Z132" s="35"/>
      <c r="AA132" s="35"/>
    </row>
    <row r="133" spans="1:27">
      <c r="A133" s="39"/>
      <c r="B133" s="6"/>
      <c r="C133" s="6"/>
      <c r="D133" s="6"/>
      <c r="E133" s="6"/>
      <c r="F133" s="6"/>
      <c r="G133" s="7"/>
      <c r="H133" s="77" t="s">
        <v>151</v>
      </c>
      <c r="I133" s="7"/>
      <c r="J133" s="7"/>
      <c r="K133" s="77" t="s">
        <v>307</v>
      </c>
      <c r="L133" s="7"/>
      <c r="M133" s="7"/>
      <c r="N133" s="6"/>
      <c r="O133" s="7"/>
      <c r="P133" s="38"/>
    </row>
    <row r="134" spans="1:27">
      <c r="A134" s="39"/>
      <c r="B134" s="324" t="s">
        <v>27</v>
      </c>
      <c r="C134" s="324"/>
      <c r="D134" s="324"/>
      <c r="E134" s="324"/>
      <c r="F134" s="6"/>
      <c r="G134" s="7"/>
      <c r="H134" s="43">
        <f>$F$94</f>
        <v>0</v>
      </c>
      <c r="I134" s="7" t="s">
        <v>19</v>
      </c>
      <c r="J134" s="7" t="s">
        <v>18</v>
      </c>
      <c r="K134" s="42">
        <f>Consignment!$D$18</f>
        <v>3</v>
      </c>
      <c r="L134" s="51"/>
      <c r="M134" s="51"/>
      <c r="N134" s="6"/>
      <c r="O134" s="7" t="s">
        <v>18</v>
      </c>
      <c r="P134" s="58">
        <f>$H$134*$K$134</f>
        <v>0</v>
      </c>
      <c r="R134" s="191" t="s">
        <v>405</v>
      </c>
      <c r="S134" s="35"/>
      <c r="T134" s="35"/>
      <c r="U134" s="35"/>
      <c r="V134" s="35"/>
      <c r="W134" s="35"/>
      <c r="X134" s="35"/>
      <c r="Y134" s="35"/>
      <c r="Z134" s="35"/>
    </row>
    <row r="135" spans="1:27">
      <c r="A135" s="39"/>
      <c r="B135" s="6"/>
      <c r="C135" s="6"/>
      <c r="D135" s="6"/>
      <c r="E135" s="6"/>
      <c r="F135" s="6"/>
      <c r="G135" s="7"/>
      <c r="H135" s="6"/>
      <c r="I135" s="7"/>
      <c r="J135" s="7"/>
      <c r="K135" s="6"/>
      <c r="L135" s="7"/>
      <c r="M135" s="7"/>
      <c r="N135" s="6"/>
      <c r="O135" s="6"/>
      <c r="P135" s="38"/>
    </row>
    <row r="136" spans="1:27">
      <c r="A136" s="39"/>
      <c r="B136" s="324" t="s">
        <v>1</v>
      </c>
      <c r="C136" s="324"/>
      <c r="D136" s="324"/>
      <c r="E136" s="324"/>
      <c r="F136" s="6"/>
      <c r="G136" s="7"/>
      <c r="H136" s="77" t="s">
        <v>151</v>
      </c>
      <c r="I136" s="7"/>
      <c r="J136" s="7"/>
      <c r="K136" s="77" t="s">
        <v>307</v>
      </c>
      <c r="L136" s="7"/>
      <c r="M136" s="7"/>
      <c r="N136" s="77" t="s">
        <v>152</v>
      </c>
      <c r="O136" s="6"/>
      <c r="P136" s="38"/>
      <c r="R136" s="35" t="s">
        <v>155</v>
      </c>
      <c r="S136" s="35"/>
      <c r="T136" s="35"/>
      <c r="U136" s="35"/>
      <c r="V136" s="35"/>
      <c r="W136" s="35"/>
      <c r="X136" s="35"/>
    </row>
    <row r="137" spans="1:27">
      <c r="A137" s="39"/>
      <c r="B137" s="6"/>
      <c r="C137" s="324" t="s">
        <v>14</v>
      </c>
      <c r="D137" s="324"/>
      <c r="E137" s="324"/>
      <c r="F137" s="6"/>
      <c r="G137" s="7"/>
      <c r="H137" s="43">
        <f>$H$7</f>
        <v>0</v>
      </c>
      <c r="I137" s="7" t="s">
        <v>19</v>
      </c>
      <c r="J137" s="7" t="s">
        <v>18</v>
      </c>
      <c r="K137" s="42">
        <f>$H$65</f>
        <v>2</v>
      </c>
      <c r="L137" s="7" t="s">
        <v>20</v>
      </c>
      <c r="M137" s="7" t="s">
        <v>18</v>
      </c>
      <c r="N137" s="59">
        <f>$H$137*$K$137</f>
        <v>0</v>
      </c>
      <c r="O137" s="6"/>
      <c r="P137" s="38"/>
      <c r="R137" s="191" t="s">
        <v>408</v>
      </c>
      <c r="S137" s="35"/>
      <c r="T137" s="3"/>
    </row>
    <row r="138" spans="1:27">
      <c r="A138" s="39"/>
      <c r="B138" s="6"/>
      <c r="C138" s="324" t="s">
        <v>28</v>
      </c>
      <c r="D138" s="324"/>
      <c r="E138" s="324"/>
      <c r="F138" s="6"/>
      <c r="G138" s="7"/>
      <c r="H138" s="43">
        <f>$H$8</f>
        <v>0</v>
      </c>
      <c r="I138" s="7" t="s">
        <v>19</v>
      </c>
      <c r="J138" s="7" t="s">
        <v>18</v>
      </c>
      <c r="K138" s="42">
        <f>$H$72</f>
        <v>2</v>
      </c>
      <c r="L138" s="7" t="s">
        <v>20</v>
      </c>
      <c r="M138" s="7" t="s">
        <v>18</v>
      </c>
      <c r="N138" s="59">
        <f>$H$138*$K$138</f>
        <v>0</v>
      </c>
      <c r="O138" s="6"/>
      <c r="P138" s="38"/>
      <c r="R138" s="191" t="s">
        <v>409</v>
      </c>
      <c r="S138" s="35"/>
      <c r="T138" s="3"/>
    </row>
    <row r="139" spans="1:27">
      <c r="A139" s="39"/>
      <c r="B139" s="6"/>
      <c r="C139" s="324" t="s">
        <v>15</v>
      </c>
      <c r="D139" s="324"/>
      <c r="E139" s="324"/>
      <c r="F139" s="6"/>
      <c r="G139" s="7"/>
      <c r="H139" s="43">
        <f>$H$9</f>
        <v>0</v>
      </c>
      <c r="I139" s="7" t="s">
        <v>19</v>
      </c>
      <c r="J139" s="7" t="s">
        <v>18</v>
      </c>
      <c r="K139" s="42">
        <f>$H$78</f>
        <v>2</v>
      </c>
      <c r="L139" s="7" t="s">
        <v>20</v>
      </c>
      <c r="M139" s="7" t="s">
        <v>18</v>
      </c>
      <c r="N139" s="59">
        <f>$H$139*$K$139</f>
        <v>0</v>
      </c>
      <c r="O139" s="6"/>
      <c r="P139" s="38"/>
      <c r="R139" s="191" t="s">
        <v>410</v>
      </c>
      <c r="S139" s="35"/>
      <c r="T139" s="3"/>
    </row>
    <row r="140" spans="1:27">
      <c r="A140" s="39"/>
      <c r="B140" s="6"/>
      <c r="C140" s="324" t="s">
        <v>242</v>
      </c>
      <c r="D140" s="324"/>
      <c r="E140" s="324"/>
      <c r="F140" s="6"/>
      <c r="G140" s="7"/>
      <c r="H140" s="43">
        <f>$H$10</f>
        <v>0</v>
      </c>
      <c r="I140" s="7" t="s">
        <v>19</v>
      </c>
      <c r="J140" s="7" t="s">
        <v>18</v>
      </c>
      <c r="K140" s="42">
        <f>$P$78</f>
        <v>1</v>
      </c>
      <c r="L140" s="7" t="s">
        <v>20</v>
      </c>
      <c r="M140" s="7" t="s">
        <v>18</v>
      </c>
      <c r="N140" s="59">
        <f>$H$140*$K$140</f>
        <v>0</v>
      </c>
      <c r="O140" s="6"/>
      <c r="P140" s="38"/>
      <c r="R140" s="191" t="s">
        <v>411</v>
      </c>
      <c r="S140" s="35"/>
      <c r="T140" s="3"/>
    </row>
    <row r="141" spans="1:27">
      <c r="A141" s="39"/>
      <c r="B141" s="6"/>
      <c r="C141" s="324" t="s">
        <v>108</v>
      </c>
      <c r="D141" s="324"/>
      <c r="E141" s="324"/>
      <c r="F141" s="6"/>
      <c r="G141" s="7"/>
      <c r="H141" s="43">
        <f>$H$11</f>
        <v>0</v>
      </c>
      <c r="I141" s="7" t="s">
        <v>19</v>
      </c>
      <c r="J141" s="7" t="s">
        <v>18</v>
      </c>
      <c r="K141" s="42">
        <f>$H$84</f>
        <v>1</v>
      </c>
      <c r="L141" s="7" t="s">
        <v>20</v>
      </c>
      <c r="M141" s="7" t="s">
        <v>18</v>
      </c>
      <c r="N141" s="59">
        <f>$H$141*$K$141</f>
        <v>0</v>
      </c>
      <c r="O141" s="6"/>
      <c r="P141" s="38"/>
      <c r="R141" s="191" t="s">
        <v>412</v>
      </c>
      <c r="S141" s="35"/>
      <c r="T141" s="3"/>
    </row>
    <row r="142" spans="1:27">
      <c r="A142" s="39"/>
      <c r="B142" s="6"/>
      <c r="C142" s="320">
        <f>$B$12</f>
        <v>0</v>
      </c>
      <c r="D142" s="320"/>
      <c r="E142" s="320"/>
      <c r="F142" s="6"/>
      <c r="G142" s="7"/>
      <c r="H142" s="43">
        <f>$H$12</f>
        <v>0</v>
      </c>
      <c r="I142" s="7" t="s">
        <v>19</v>
      </c>
      <c r="J142" s="7" t="s">
        <v>18</v>
      </c>
      <c r="K142" s="240"/>
      <c r="L142" s="7" t="s">
        <v>20</v>
      </c>
      <c r="M142" s="7" t="s">
        <v>18</v>
      </c>
      <c r="N142" s="59">
        <f>$H$142*$K$142</f>
        <v>0</v>
      </c>
      <c r="O142" s="6"/>
      <c r="P142" s="38"/>
      <c r="R142" s="191" t="s">
        <v>406</v>
      </c>
      <c r="S142" s="35"/>
      <c r="T142" s="35"/>
      <c r="U142" s="35"/>
      <c r="V142" s="35"/>
      <c r="W142" s="35"/>
      <c r="X142" s="35"/>
    </row>
    <row r="143" spans="1:27">
      <c r="A143" s="39"/>
      <c r="B143" s="6"/>
      <c r="C143" s="320">
        <f>$B$13</f>
        <v>0</v>
      </c>
      <c r="D143" s="320"/>
      <c r="E143" s="320"/>
      <c r="F143" s="6"/>
      <c r="G143" s="7"/>
      <c r="H143" s="43">
        <f>$H$13</f>
        <v>0</v>
      </c>
      <c r="I143" s="7" t="s">
        <v>19</v>
      </c>
      <c r="J143" s="7" t="s">
        <v>18</v>
      </c>
      <c r="K143" s="240"/>
      <c r="L143" s="7" t="s">
        <v>20</v>
      </c>
      <c r="M143" s="7" t="s">
        <v>18</v>
      </c>
      <c r="N143" s="59">
        <f>$H$143*$K$143</f>
        <v>0</v>
      </c>
      <c r="O143" s="7" t="s">
        <v>18</v>
      </c>
      <c r="P143" s="58">
        <f>SUM($N$137:$N$143)</f>
        <v>0</v>
      </c>
      <c r="R143" s="191" t="s">
        <v>407</v>
      </c>
      <c r="S143" s="35"/>
      <c r="T143" s="35"/>
      <c r="U143" s="35"/>
      <c r="V143" s="35"/>
      <c r="W143" s="35"/>
      <c r="X143" s="35"/>
    </row>
    <row r="144" spans="1:27">
      <c r="A144" s="39"/>
      <c r="B144" s="6"/>
      <c r="C144" s="6"/>
      <c r="D144" s="6"/>
      <c r="E144" s="6"/>
      <c r="F144" s="6"/>
      <c r="G144" s="7"/>
      <c r="H144" s="6"/>
      <c r="I144" s="7"/>
      <c r="J144" s="7"/>
      <c r="K144" s="6"/>
      <c r="L144" s="7"/>
      <c r="M144" s="7"/>
      <c r="N144" s="6"/>
      <c r="O144" s="6"/>
      <c r="P144" s="38"/>
    </row>
    <row r="145" spans="1:26">
      <c r="A145" s="39"/>
      <c r="B145" s="324" t="s">
        <v>29</v>
      </c>
      <c r="C145" s="324"/>
      <c r="D145" s="324"/>
      <c r="E145" s="324"/>
      <c r="F145" s="6"/>
      <c r="G145" s="7"/>
      <c r="H145" s="6"/>
      <c r="I145" s="7"/>
      <c r="J145" s="7"/>
      <c r="K145" s="6"/>
      <c r="L145" s="7"/>
      <c r="M145" s="7"/>
      <c r="N145" s="6"/>
      <c r="O145" s="7" t="s">
        <v>18</v>
      </c>
      <c r="P145" s="60">
        <f>$N$54</f>
        <v>0</v>
      </c>
      <c r="R145" s="191" t="s">
        <v>413</v>
      </c>
      <c r="S145" s="35"/>
      <c r="T145" s="35"/>
      <c r="U145" s="35"/>
      <c r="V145" s="35"/>
    </row>
    <row r="146" spans="1:26" ht="13.5" thickBot="1">
      <c r="A146" s="39"/>
      <c r="B146" s="6"/>
      <c r="C146" s="6"/>
      <c r="D146" s="6"/>
      <c r="E146" s="6"/>
      <c r="F146" s="6"/>
      <c r="G146" s="7"/>
      <c r="H146" s="6"/>
      <c r="I146" s="7"/>
      <c r="J146" s="7"/>
      <c r="K146" s="6"/>
      <c r="L146" s="7"/>
      <c r="M146" s="7"/>
      <c r="N146" s="6"/>
      <c r="O146" s="6"/>
      <c r="P146" s="38"/>
    </row>
    <row r="147" spans="1:26" ht="13.5" thickBot="1">
      <c r="A147" s="39"/>
      <c r="B147" s="6"/>
      <c r="C147" s="315" t="s">
        <v>30</v>
      </c>
      <c r="D147" s="315"/>
      <c r="E147" s="315"/>
      <c r="F147" s="315"/>
      <c r="G147" s="7"/>
      <c r="H147" s="6"/>
      <c r="I147" s="7"/>
      <c r="J147" s="7"/>
      <c r="K147" s="6"/>
      <c r="L147" s="7"/>
      <c r="M147" s="7"/>
      <c r="N147" s="6"/>
      <c r="O147" s="7" t="s">
        <v>18</v>
      </c>
      <c r="P147" s="61">
        <f>SUM($P$113:$P$146)</f>
        <v>0</v>
      </c>
      <c r="R147" s="191" t="s">
        <v>414</v>
      </c>
      <c r="S147" s="35"/>
      <c r="T147" s="35"/>
      <c r="U147" s="35"/>
      <c r="V147" s="35"/>
      <c r="W147" s="35"/>
    </row>
    <row r="148" spans="1:26" ht="13.5" thickBot="1">
      <c r="A148" s="39"/>
      <c r="B148" s="6"/>
      <c r="C148" s="6"/>
      <c r="D148" s="6"/>
      <c r="E148" s="6"/>
      <c r="F148" s="6"/>
      <c r="G148" s="7"/>
      <c r="H148" s="6"/>
      <c r="I148" s="7"/>
      <c r="J148" s="7"/>
      <c r="K148" s="6"/>
      <c r="L148" s="7"/>
      <c r="M148" s="7"/>
      <c r="N148" s="6"/>
      <c r="O148" s="6"/>
      <c r="P148" s="38"/>
    </row>
    <row r="149" spans="1:26" ht="14.25" thickTop="1" thickBot="1">
      <c r="A149" s="39"/>
      <c r="B149" s="6"/>
      <c r="C149" s="313" t="s">
        <v>17</v>
      </c>
      <c r="D149" s="313"/>
      <c r="E149" s="313"/>
      <c r="F149" s="313"/>
      <c r="G149" s="7"/>
      <c r="H149" s="6"/>
      <c r="I149" s="7"/>
      <c r="J149" s="7"/>
      <c r="K149" s="6"/>
      <c r="L149" s="7"/>
      <c r="M149" s="7"/>
      <c r="N149" s="6"/>
      <c r="O149" s="7" t="s">
        <v>18</v>
      </c>
      <c r="P149" s="62">
        <f>$K$108</f>
        <v>0</v>
      </c>
      <c r="R149" s="191" t="s">
        <v>415</v>
      </c>
      <c r="S149" s="35"/>
      <c r="T149" s="35"/>
      <c r="U149" s="35"/>
      <c r="V149" s="35"/>
    </row>
    <row r="150" spans="1:26" ht="13.5" thickTop="1">
      <c r="A150" s="39"/>
      <c r="B150" s="6"/>
      <c r="C150" s="6"/>
      <c r="D150" s="6"/>
      <c r="E150" s="6"/>
      <c r="F150" s="6"/>
      <c r="G150" s="7"/>
      <c r="H150" s="6"/>
      <c r="I150" s="7"/>
      <c r="J150" s="7"/>
      <c r="K150" s="6"/>
      <c r="L150" s="7"/>
      <c r="M150" s="7"/>
      <c r="N150" s="6"/>
      <c r="O150" s="6"/>
      <c r="P150" s="38"/>
    </row>
    <row r="151" spans="1:26">
      <c r="A151" s="39"/>
      <c r="B151" s="6"/>
      <c r="C151" s="314" t="s">
        <v>31</v>
      </c>
      <c r="D151" s="314"/>
      <c r="E151" s="314"/>
      <c r="F151" s="314"/>
      <c r="G151" s="7"/>
      <c r="H151" s="6"/>
      <c r="I151" s="7"/>
      <c r="J151" s="7"/>
      <c r="K151" s="6"/>
      <c r="L151" s="7"/>
      <c r="M151" s="7"/>
      <c r="N151" s="63" t="s">
        <v>34</v>
      </c>
      <c r="O151" s="7" t="s">
        <v>18</v>
      </c>
      <c r="P151" s="64">
        <f>$P$149-$P$147</f>
        <v>0</v>
      </c>
      <c r="R151" s="35" t="s">
        <v>126</v>
      </c>
      <c r="S151" s="35"/>
      <c r="T151" s="35"/>
      <c r="U151" s="35"/>
      <c r="V151" s="35"/>
      <c r="W151" s="35"/>
      <c r="X151" s="35"/>
      <c r="Y151" s="35"/>
    </row>
    <row r="152" spans="1:26">
      <c r="A152" s="321" t="s">
        <v>184</v>
      </c>
      <c r="B152" s="322"/>
      <c r="C152" s="322"/>
      <c r="D152" s="322"/>
      <c r="E152" s="322"/>
      <c r="F152" s="322"/>
      <c r="G152" s="322"/>
      <c r="H152" s="322"/>
      <c r="I152" s="322"/>
      <c r="J152" s="322"/>
      <c r="K152" s="322"/>
      <c r="L152" s="322"/>
      <c r="M152" s="322"/>
      <c r="N152" s="322"/>
      <c r="O152" s="322"/>
      <c r="P152" s="323"/>
      <c r="R152" s="35" t="s">
        <v>127</v>
      </c>
      <c r="S152" s="35"/>
      <c r="T152" s="35"/>
      <c r="U152" s="35"/>
      <c r="V152" s="35"/>
      <c r="W152" s="35"/>
      <c r="X152" s="35"/>
      <c r="Y152" s="35"/>
      <c r="Z152" s="35"/>
    </row>
    <row r="153" spans="1:26">
      <c r="A153" s="39"/>
      <c r="B153" s="6"/>
      <c r="C153" s="6"/>
      <c r="D153" s="6"/>
      <c r="E153" s="6"/>
      <c r="F153" s="6"/>
      <c r="G153" s="7"/>
      <c r="H153" s="6"/>
      <c r="I153" s="7"/>
      <c r="J153" s="7"/>
      <c r="K153" s="6"/>
      <c r="L153" s="7"/>
      <c r="M153" s="7"/>
      <c r="N153" s="6"/>
      <c r="O153" s="6"/>
      <c r="P153" s="38"/>
    </row>
    <row r="154" spans="1:26">
      <c r="A154" s="309" t="s">
        <v>35</v>
      </c>
      <c r="B154" s="310"/>
      <c r="C154" s="310"/>
      <c r="D154" s="310"/>
      <c r="E154" s="310"/>
      <c r="F154" s="310"/>
      <c r="G154" s="310"/>
      <c r="H154" s="310"/>
      <c r="I154" s="310"/>
      <c r="J154" s="310"/>
      <c r="K154" s="310"/>
      <c r="L154" s="310"/>
      <c r="M154" s="310"/>
      <c r="N154" s="310"/>
      <c r="O154" s="310"/>
      <c r="P154" s="311"/>
    </row>
    <row r="155" spans="1:26">
      <c r="A155" s="39"/>
      <c r="B155" s="6"/>
      <c r="C155" s="6"/>
      <c r="D155" s="6"/>
      <c r="E155" s="6"/>
      <c r="F155" s="6"/>
      <c r="G155" s="7"/>
      <c r="H155" s="6"/>
      <c r="I155" s="7"/>
      <c r="J155" s="7"/>
      <c r="K155" s="6"/>
      <c r="L155" s="7"/>
      <c r="M155" s="7"/>
      <c r="N155" s="6"/>
      <c r="O155" s="6"/>
      <c r="P155" s="38"/>
    </row>
    <row r="156" spans="1:26">
      <c r="A156" s="309" t="s">
        <v>153</v>
      </c>
      <c r="B156" s="310"/>
      <c r="C156" s="310"/>
      <c r="D156" s="310"/>
      <c r="E156" s="310"/>
      <c r="F156" s="310"/>
      <c r="G156" s="310"/>
      <c r="H156" s="310"/>
      <c r="I156" s="310"/>
      <c r="J156" s="310"/>
      <c r="K156" s="310"/>
      <c r="L156" s="310"/>
      <c r="M156" s="310"/>
      <c r="N156" s="310"/>
      <c r="O156" s="310"/>
      <c r="P156" s="311"/>
    </row>
    <row r="157" spans="1:26" ht="13.5" thickBot="1">
      <c r="A157" s="54"/>
      <c r="B157" s="10"/>
      <c r="C157" s="10"/>
      <c r="D157" s="10"/>
      <c r="E157" s="10"/>
      <c r="F157" s="10"/>
      <c r="G157" s="11"/>
      <c r="H157" s="10"/>
      <c r="I157" s="11"/>
      <c r="J157" s="11"/>
      <c r="K157" s="10"/>
      <c r="L157" s="11"/>
      <c r="M157" s="11"/>
      <c r="N157" s="10"/>
      <c r="O157" s="10"/>
      <c r="P157" s="55"/>
    </row>
  </sheetData>
  <sheetProtection password="E4A7" sheet="1" objects="1" scenarios="1" selectLockedCells="1"/>
  <mergeCells count="117">
    <mergeCell ref="B69:E69"/>
    <mergeCell ref="K1:L1"/>
    <mergeCell ref="C43:F43"/>
    <mergeCell ref="C38:F38"/>
    <mergeCell ref="B105:H105"/>
    <mergeCell ref="B41:D41"/>
    <mergeCell ref="C42:F42"/>
    <mergeCell ref="C44:F44"/>
    <mergeCell ref="C45:F45"/>
    <mergeCell ref="C46:H46"/>
    <mergeCell ref="B99:E99"/>
    <mergeCell ref="B98:E98"/>
    <mergeCell ref="A90:F90"/>
    <mergeCell ref="B104:H104"/>
    <mergeCell ref="B94:E94"/>
    <mergeCell ref="A77:D77"/>
    <mergeCell ref="B81:E81"/>
    <mergeCell ref="B78:E78"/>
    <mergeCell ref="B79:E79"/>
    <mergeCell ref="A70:D70"/>
    <mergeCell ref="C26:F26"/>
    <mergeCell ref="B22:E22"/>
    <mergeCell ref="C31:F31"/>
    <mergeCell ref="A1:C1"/>
    <mergeCell ref="B86:E86"/>
    <mergeCell ref="B87:E87"/>
    <mergeCell ref="B65:E65"/>
    <mergeCell ref="B66:E66"/>
    <mergeCell ref="C28:H28"/>
    <mergeCell ref="B52:D52"/>
    <mergeCell ref="H56:K56"/>
    <mergeCell ref="C54:E54"/>
    <mergeCell ref="B64:E64"/>
    <mergeCell ref="A59:F59"/>
    <mergeCell ref="A61:D61"/>
    <mergeCell ref="B55:F55"/>
    <mergeCell ref="B62:F63"/>
    <mergeCell ref="B82:E82"/>
    <mergeCell ref="B84:E84"/>
    <mergeCell ref="A83:D83"/>
    <mergeCell ref="B85:E85"/>
    <mergeCell ref="B67:E67"/>
    <mergeCell ref="B75:E75"/>
    <mergeCell ref="B74:E74"/>
    <mergeCell ref="B71:E71"/>
    <mergeCell ref="B72:E72"/>
    <mergeCell ref="C37:F37"/>
    <mergeCell ref="B68:E68"/>
    <mergeCell ref="C33:F33"/>
    <mergeCell ref="C36:F36"/>
    <mergeCell ref="A6:D6"/>
    <mergeCell ref="A16:D16"/>
    <mergeCell ref="B17:D17"/>
    <mergeCell ref="C20:F20"/>
    <mergeCell ref="B13:E13"/>
    <mergeCell ref="C23:E23"/>
    <mergeCell ref="C24:E24"/>
    <mergeCell ref="C25:F25"/>
    <mergeCell ref="C32:F32"/>
    <mergeCell ref="B113:E113"/>
    <mergeCell ref="B115:E115"/>
    <mergeCell ref="C106:F106"/>
    <mergeCell ref="N1:P1"/>
    <mergeCell ref="D1:F1"/>
    <mergeCell ref="B29:D29"/>
    <mergeCell ref="C51:K51"/>
    <mergeCell ref="A4:D4"/>
    <mergeCell ref="C21:H21"/>
    <mergeCell ref="C19:E19"/>
    <mergeCell ref="B14:F14"/>
    <mergeCell ref="B7:E7"/>
    <mergeCell ref="B8:E8"/>
    <mergeCell ref="B11:E11"/>
    <mergeCell ref="B47:E47"/>
    <mergeCell ref="C40:H40"/>
    <mergeCell ref="C34:H34"/>
    <mergeCell ref="B35:D35"/>
    <mergeCell ref="C48:F48"/>
    <mergeCell ref="C49:F49"/>
    <mergeCell ref="B12:E12"/>
    <mergeCell ref="C18:E18"/>
    <mergeCell ref="C27:F27"/>
    <mergeCell ref="C30:F30"/>
    <mergeCell ref="C142:E142"/>
    <mergeCell ref="B134:E134"/>
    <mergeCell ref="B136:E136"/>
    <mergeCell ref="C137:E137"/>
    <mergeCell ref="B121:E121"/>
    <mergeCell ref="B127:F128"/>
    <mergeCell ref="C138:E138"/>
    <mergeCell ref="C139:E139"/>
    <mergeCell ref="B117:E117"/>
    <mergeCell ref="B119:E119"/>
    <mergeCell ref="A156:P156"/>
    <mergeCell ref="B80:E80"/>
    <mergeCell ref="C149:F149"/>
    <mergeCell ref="C151:F151"/>
    <mergeCell ref="A154:P154"/>
    <mergeCell ref="C147:F147"/>
    <mergeCell ref="C39:F39"/>
    <mergeCell ref="C50:F50"/>
    <mergeCell ref="A92:C92"/>
    <mergeCell ref="A102:D102"/>
    <mergeCell ref="C143:E143"/>
    <mergeCell ref="A152:P152"/>
    <mergeCell ref="B129:E129"/>
    <mergeCell ref="B130:E130"/>
    <mergeCell ref="A111:F111"/>
    <mergeCell ref="B93:E93"/>
    <mergeCell ref="C140:E140"/>
    <mergeCell ref="C141:E141"/>
    <mergeCell ref="B76:E76"/>
    <mergeCell ref="B73:E73"/>
    <mergeCell ref="B108:E108"/>
    <mergeCell ref="C100:F100"/>
    <mergeCell ref="B132:E132"/>
    <mergeCell ref="B145:E145"/>
  </mergeCells>
  <phoneticPr fontId="2" type="noConversion"/>
  <printOptions horizontalCentered="1"/>
  <pageMargins left="0.25" right="0.25" top="0.5" bottom="0.5" header="0.25" footer="0.25"/>
  <pageSetup orientation="portrait" r:id="rId1"/>
  <headerFooter alignWithMargins="0">
    <oddHeader>&amp;R&amp;8 Revised 01-2013</oddHeader>
    <oddFooter>&amp;L&amp;5&amp;F&amp;C&amp;"Arial,Bold"&amp;8&amp;A&amp;R&amp;8&amp;P</oddFooter>
  </headerFooter>
  <rowBreaks count="1" manualBreakCount="1">
    <brk id="109" max="16383" man="1"/>
  </rowBreaks>
  <drawing r:id="rId2"/>
  <legacyDrawing r:id="rId3"/>
</worksheet>
</file>

<file path=xl/worksheets/sheet3.xml><?xml version="1.0" encoding="utf-8"?>
<worksheet xmlns="http://schemas.openxmlformats.org/spreadsheetml/2006/main" xmlns:r="http://schemas.openxmlformats.org/officeDocument/2006/relationships">
  <dimension ref="A1:AA49"/>
  <sheetViews>
    <sheetView showGridLines="0" zoomScaleNormal="100" workbookViewId="0">
      <pane ySplit="11" topLeftCell="A12" activePane="bottomLeft" state="frozen"/>
      <selection activeCell="B3" sqref="B3:C3"/>
      <selection pane="bottomLeft" activeCell="I1" sqref="I1:J1"/>
    </sheetView>
  </sheetViews>
  <sheetFormatPr defaultRowHeight="12.75"/>
  <cols>
    <col min="1" max="2" width="10.7109375" customWidth="1"/>
    <col min="5" max="5" width="9.5703125" bestFit="1" customWidth="1"/>
    <col min="7" max="8" width="10.85546875" bestFit="1" customWidth="1"/>
  </cols>
  <sheetData>
    <row r="1" spans="1:27">
      <c r="A1" s="2" t="s">
        <v>48</v>
      </c>
      <c r="C1" s="362" t="str">
        <f>'OA Budget Planning-Report Sheet'!$B$5</f>
        <v>Chapter Name (Number)</v>
      </c>
      <c r="D1" s="362"/>
      <c r="E1" s="362"/>
      <c r="G1" s="351" t="s">
        <v>81</v>
      </c>
      <c r="H1" s="351"/>
      <c r="I1" s="359"/>
      <c r="J1" s="359"/>
      <c r="L1" s="35" t="s">
        <v>141</v>
      </c>
      <c r="M1" s="35"/>
      <c r="N1" s="35"/>
      <c r="O1" s="35"/>
      <c r="P1" s="35"/>
      <c r="Q1" s="35"/>
    </row>
    <row r="2" spans="1:27">
      <c r="L2" s="141" t="s">
        <v>253</v>
      </c>
      <c r="M2" s="35"/>
      <c r="N2" s="35"/>
      <c r="O2" s="35"/>
      <c r="P2" s="35"/>
      <c r="Q2" s="35"/>
      <c r="R2" s="35"/>
      <c r="S2" s="35"/>
      <c r="T2" s="35"/>
      <c r="U2" s="35"/>
      <c r="V2" s="35"/>
    </row>
    <row r="3" spans="1:27">
      <c r="A3" s="2" t="s">
        <v>140</v>
      </c>
      <c r="C3" s="362" t="str">
        <f>'OA Budget Planning-Report Sheet'!$B$3</f>
        <v>Chapter Events (typical)</v>
      </c>
      <c r="D3" s="362"/>
      <c r="E3" s="362"/>
      <c r="G3" s="351" t="s">
        <v>329</v>
      </c>
      <c r="H3" s="351"/>
      <c r="I3" s="222" t="str">
        <f>'OA Budget Planning-Report Sheet'!E4</f>
        <v>Start</v>
      </c>
      <c r="J3" s="222" t="str">
        <f>'OA Budget Planning-Report Sheet'!F4</f>
        <v>End</v>
      </c>
      <c r="L3" s="141" t="s">
        <v>254</v>
      </c>
      <c r="M3" s="35"/>
      <c r="N3" s="35"/>
      <c r="O3" s="35"/>
      <c r="P3" s="35"/>
      <c r="Q3" s="35"/>
      <c r="R3" s="35"/>
      <c r="S3" s="35"/>
      <c r="T3" s="35"/>
      <c r="U3" s="35"/>
      <c r="V3" s="35"/>
    </row>
    <row r="4" spans="1:27">
      <c r="L4" s="141" t="s">
        <v>255</v>
      </c>
      <c r="M4" s="35"/>
      <c r="N4" s="35"/>
      <c r="O4" s="35"/>
      <c r="P4" s="35"/>
      <c r="Q4" s="35"/>
      <c r="R4" s="35"/>
      <c r="S4" s="35"/>
      <c r="T4" s="35"/>
      <c r="U4" s="35"/>
      <c r="V4" s="35"/>
    </row>
    <row r="5" spans="1:27">
      <c r="A5" s="351" t="s">
        <v>84</v>
      </c>
      <c r="B5" s="351"/>
      <c r="C5" s="333"/>
      <c r="D5" s="316"/>
      <c r="E5" s="316"/>
      <c r="G5" s="351" t="s">
        <v>82</v>
      </c>
      <c r="H5" s="351"/>
      <c r="I5" s="360"/>
      <c r="J5" s="360"/>
    </row>
    <row r="7" spans="1:27">
      <c r="A7" s="351" t="s">
        <v>74</v>
      </c>
      <c r="B7" s="351"/>
      <c r="C7" s="358"/>
      <c r="D7" s="358"/>
      <c r="E7" s="358"/>
      <c r="G7" s="351" t="s">
        <v>83</v>
      </c>
      <c r="H7" s="351"/>
      <c r="I7" s="360"/>
      <c r="J7" s="360"/>
    </row>
    <row r="8" spans="1:27">
      <c r="L8" s="127" t="s">
        <v>239</v>
      </c>
      <c r="M8" s="127"/>
      <c r="N8" s="127"/>
      <c r="O8" s="127"/>
      <c r="P8" s="127"/>
      <c r="Q8" s="127"/>
      <c r="R8" s="127"/>
      <c r="S8" s="127"/>
      <c r="T8" s="127"/>
      <c r="U8" s="127"/>
      <c r="V8" s="127"/>
      <c r="W8" s="127"/>
      <c r="X8" s="127"/>
      <c r="Y8" s="127"/>
      <c r="Z8" s="127"/>
      <c r="AA8" s="35"/>
    </row>
    <row r="9" spans="1:27">
      <c r="E9" s="361" t="s">
        <v>86</v>
      </c>
      <c r="F9" s="361"/>
      <c r="G9" s="361"/>
      <c r="H9" s="361"/>
      <c r="I9" s="361"/>
      <c r="L9" s="35" t="s">
        <v>144</v>
      </c>
      <c r="M9" s="35"/>
      <c r="N9" s="35"/>
      <c r="O9" s="35"/>
      <c r="P9" s="35"/>
      <c r="Q9" s="35"/>
      <c r="R9" s="35"/>
      <c r="S9" s="35"/>
      <c r="T9" s="35"/>
    </row>
    <row r="10" spans="1:27">
      <c r="A10" s="351" t="s">
        <v>65</v>
      </c>
      <c r="B10" s="351"/>
      <c r="D10" s="4" t="s">
        <v>66</v>
      </c>
      <c r="E10" s="15" t="s">
        <v>109</v>
      </c>
      <c r="F10" s="15" t="s">
        <v>85</v>
      </c>
      <c r="G10" s="15" t="s">
        <v>88</v>
      </c>
      <c r="H10" s="15" t="s">
        <v>119</v>
      </c>
      <c r="I10" s="15" t="s">
        <v>120</v>
      </c>
      <c r="J10" s="4" t="s">
        <v>147</v>
      </c>
      <c r="L10" s="35" t="s">
        <v>145</v>
      </c>
      <c r="M10" s="35"/>
      <c r="N10" s="35"/>
      <c r="O10" s="35"/>
      <c r="P10" s="35"/>
      <c r="Q10" s="35"/>
      <c r="R10" s="35"/>
    </row>
    <row r="11" spans="1:27" ht="13.5" thickBot="1">
      <c r="A11" s="10"/>
      <c r="B11" s="10"/>
      <c r="C11" s="10"/>
      <c r="D11" s="161" t="s">
        <v>304</v>
      </c>
      <c r="E11" s="10"/>
      <c r="F11" s="10"/>
      <c r="G11" s="10"/>
      <c r="H11" s="10"/>
      <c r="I11" s="10"/>
      <c r="J11" s="10"/>
      <c r="L11" s="35" t="s">
        <v>146</v>
      </c>
      <c r="M11" s="35"/>
      <c r="N11" s="35"/>
      <c r="O11" s="35"/>
      <c r="P11" s="35"/>
      <c r="Q11" s="35"/>
      <c r="R11" s="35"/>
    </row>
    <row r="12" spans="1:27">
      <c r="A12" s="356" t="s">
        <v>76</v>
      </c>
      <c r="B12" s="357"/>
      <c r="C12" s="357"/>
      <c r="D12" s="78">
        <v>16</v>
      </c>
      <c r="E12" s="241"/>
      <c r="F12" s="241"/>
      <c r="G12" s="135"/>
      <c r="H12" s="241"/>
      <c r="I12" s="79">
        <f>$F12-$G12-$H12</f>
        <v>0</v>
      </c>
      <c r="J12" s="80">
        <f>$D12*$I12</f>
        <v>0</v>
      </c>
      <c r="L12" s="35" t="s">
        <v>142</v>
      </c>
      <c r="M12" s="35"/>
      <c r="N12" s="35"/>
    </row>
    <row r="13" spans="1:27">
      <c r="A13" s="355" t="s">
        <v>75</v>
      </c>
      <c r="B13" s="312"/>
      <c r="C13" s="312"/>
      <c r="D13" s="81">
        <v>16</v>
      </c>
      <c r="E13" s="242"/>
      <c r="F13" s="242"/>
      <c r="G13" s="134"/>
      <c r="H13" s="242"/>
      <c r="I13" s="82">
        <f>$F13-$G13-$H13</f>
        <v>0</v>
      </c>
      <c r="J13" s="83">
        <f>$D13*$I13</f>
        <v>0</v>
      </c>
      <c r="L13" s="35" t="s">
        <v>143</v>
      </c>
      <c r="M13" s="35"/>
      <c r="N13" s="35"/>
    </row>
    <row r="14" spans="1:27">
      <c r="A14" s="355" t="s">
        <v>67</v>
      </c>
      <c r="B14" s="312"/>
      <c r="C14" s="312"/>
      <c r="D14" s="81">
        <v>3.5</v>
      </c>
      <c r="E14" s="242"/>
      <c r="F14" s="242"/>
      <c r="G14" s="134"/>
      <c r="H14" s="242"/>
      <c r="I14" s="82">
        <f t="shared" ref="I14:I41" si="0">$F14-$G14-$H14</f>
        <v>0</v>
      </c>
      <c r="J14" s="83">
        <f t="shared" ref="J14:J41" si="1">$D14*$I14</f>
        <v>0</v>
      </c>
      <c r="L14" s="35" t="s">
        <v>179</v>
      </c>
      <c r="M14" s="35"/>
      <c r="N14" s="35"/>
    </row>
    <row r="15" spans="1:27">
      <c r="A15" s="355" t="s">
        <v>68</v>
      </c>
      <c r="B15" s="312"/>
      <c r="C15" s="312"/>
      <c r="D15" s="81">
        <v>3</v>
      </c>
      <c r="E15" s="242"/>
      <c r="F15" s="242"/>
      <c r="G15" s="134"/>
      <c r="H15" s="242"/>
      <c r="I15" s="82">
        <f t="shared" si="0"/>
        <v>0</v>
      </c>
      <c r="J15" s="83">
        <f t="shared" si="1"/>
        <v>0</v>
      </c>
      <c r="L15" s="35" t="s">
        <v>180</v>
      </c>
      <c r="M15" s="35"/>
      <c r="N15" s="35"/>
    </row>
    <row r="16" spans="1:27">
      <c r="A16" s="355" t="s">
        <v>77</v>
      </c>
      <c r="B16" s="312"/>
      <c r="C16" s="312"/>
      <c r="D16" s="81">
        <v>16</v>
      </c>
      <c r="E16" s="242"/>
      <c r="F16" s="242"/>
      <c r="G16" s="134"/>
      <c r="H16" s="242"/>
      <c r="I16" s="82">
        <f t="shared" si="0"/>
        <v>0</v>
      </c>
      <c r="J16" s="83">
        <f t="shared" si="1"/>
        <v>0</v>
      </c>
      <c r="L16" s="35" t="s">
        <v>181</v>
      </c>
      <c r="M16" s="35"/>
      <c r="N16" s="35"/>
      <c r="O16" s="35"/>
    </row>
    <row r="17" spans="1:23">
      <c r="A17" s="355" t="s">
        <v>78</v>
      </c>
      <c r="B17" s="312"/>
      <c r="C17" s="312"/>
      <c r="D17" s="81">
        <v>16</v>
      </c>
      <c r="E17" s="242"/>
      <c r="F17" s="242"/>
      <c r="G17" s="134"/>
      <c r="H17" s="242"/>
      <c r="I17" s="82">
        <f t="shared" si="0"/>
        <v>0</v>
      </c>
      <c r="J17" s="83">
        <f t="shared" si="1"/>
        <v>0</v>
      </c>
      <c r="L17" s="35" t="s">
        <v>416</v>
      </c>
      <c r="M17" s="35"/>
      <c r="N17" s="35"/>
      <c r="O17" s="35"/>
    </row>
    <row r="18" spans="1:23">
      <c r="A18" s="363" t="s">
        <v>6</v>
      </c>
      <c r="B18" s="339"/>
      <c r="C18" s="339"/>
      <c r="D18" s="81">
        <v>3</v>
      </c>
      <c r="E18" s="242"/>
      <c r="F18" s="242"/>
      <c r="G18" s="134"/>
      <c r="H18" s="242"/>
      <c r="I18" s="82">
        <f t="shared" si="0"/>
        <v>0</v>
      </c>
      <c r="J18" s="83">
        <f t="shared" si="1"/>
        <v>0</v>
      </c>
      <c r="L18" s="35" t="s">
        <v>182</v>
      </c>
      <c r="M18" s="35"/>
      <c r="N18" s="35"/>
    </row>
    <row r="19" spans="1:23">
      <c r="A19" s="355" t="s">
        <v>79</v>
      </c>
      <c r="B19" s="312"/>
      <c r="C19" s="312"/>
      <c r="D19" s="81">
        <v>3.8</v>
      </c>
      <c r="E19" s="242"/>
      <c r="F19" s="242"/>
      <c r="G19" s="244"/>
      <c r="H19" s="242"/>
      <c r="I19" s="82">
        <f t="shared" si="0"/>
        <v>0</v>
      </c>
      <c r="J19" s="83">
        <f t="shared" si="1"/>
        <v>0</v>
      </c>
      <c r="L19" s="141" t="s">
        <v>263</v>
      </c>
      <c r="M19" s="142"/>
      <c r="N19" s="142"/>
      <c r="O19" s="142"/>
      <c r="P19" s="142"/>
      <c r="Q19" s="142"/>
    </row>
    <row r="20" spans="1:23">
      <c r="A20" s="363" t="s">
        <v>183</v>
      </c>
      <c r="B20" s="339"/>
      <c r="C20" s="339"/>
      <c r="D20" s="81">
        <v>18</v>
      </c>
      <c r="E20" s="242"/>
      <c r="F20" s="242"/>
      <c r="G20" s="151"/>
      <c r="H20" s="242"/>
      <c r="I20" s="82">
        <f t="shared" si="0"/>
        <v>0</v>
      </c>
      <c r="J20" s="83">
        <f t="shared" si="1"/>
        <v>0</v>
      </c>
      <c r="N20" s="3"/>
      <c r="O20" s="3"/>
      <c r="P20" s="3"/>
      <c r="Q20" s="3"/>
      <c r="R20" s="3"/>
    </row>
    <row r="21" spans="1:23">
      <c r="A21" s="130" t="s">
        <v>95</v>
      </c>
      <c r="B21" s="40"/>
      <c r="C21" s="40"/>
      <c r="D21" s="81">
        <v>4.5</v>
      </c>
      <c r="E21" s="242"/>
      <c r="F21" s="242"/>
      <c r="G21" s="152"/>
      <c r="H21" s="242"/>
      <c r="I21" s="82">
        <f t="shared" si="0"/>
        <v>0</v>
      </c>
      <c r="J21" s="83">
        <f t="shared" si="1"/>
        <v>0</v>
      </c>
    </row>
    <row r="22" spans="1:23">
      <c r="A22" s="131" t="s">
        <v>233</v>
      </c>
      <c r="B22" s="129"/>
      <c r="C22" s="129"/>
      <c r="D22" s="81">
        <v>4</v>
      </c>
      <c r="E22" s="242"/>
      <c r="F22" s="242"/>
      <c r="G22" s="152"/>
      <c r="H22" s="242"/>
      <c r="I22" s="82">
        <f t="shared" si="0"/>
        <v>0</v>
      </c>
      <c r="J22" s="83">
        <f t="shared" si="1"/>
        <v>0</v>
      </c>
    </row>
    <row r="23" spans="1:23">
      <c r="A23" s="131" t="s">
        <v>69</v>
      </c>
      <c r="B23" s="129"/>
      <c r="C23" s="129"/>
      <c r="D23" s="81">
        <v>6</v>
      </c>
      <c r="E23" s="242"/>
      <c r="F23" s="242"/>
      <c r="G23" s="152"/>
      <c r="H23" s="242"/>
      <c r="I23" s="82">
        <f t="shared" si="0"/>
        <v>0</v>
      </c>
      <c r="J23" s="83">
        <f t="shared" si="1"/>
        <v>0</v>
      </c>
    </row>
    <row r="24" spans="1:23">
      <c r="A24" s="131" t="s">
        <v>70</v>
      </c>
      <c r="B24" s="129"/>
      <c r="C24" s="129"/>
      <c r="D24" s="81">
        <v>2</v>
      </c>
      <c r="E24" s="242"/>
      <c r="F24" s="242"/>
      <c r="G24" s="152"/>
      <c r="H24" s="242"/>
      <c r="I24" s="82">
        <f t="shared" si="0"/>
        <v>0</v>
      </c>
      <c r="J24" s="83">
        <f t="shared" si="1"/>
        <v>0</v>
      </c>
    </row>
    <row r="25" spans="1:23">
      <c r="A25" s="355" t="s">
        <v>234</v>
      </c>
      <c r="B25" s="312"/>
      <c r="C25" s="312"/>
      <c r="D25" s="81">
        <v>1.5</v>
      </c>
      <c r="E25" s="242"/>
      <c r="F25" s="242"/>
      <c r="G25" s="152"/>
      <c r="H25" s="242"/>
      <c r="I25" s="82">
        <f t="shared" si="0"/>
        <v>0</v>
      </c>
      <c r="J25" s="83">
        <f t="shared" si="1"/>
        <v>0</v>
      </c>
    </row>
    <row r="26" spans="1:23">
      <c r="A26" s="363" t="s">
        <v>235</v>
      </c>
      <c r="B26" s="339"/>
      <c r="C26" s="364"/>
      <c r="D26" s="81">
        <v>4.5</v>
      </c>
      <c r="E26" s="242"/>
      <c r="F26" s="242"/>
      <c r="G26" s="152"/>
      <c r="H26" s="242"/>
      <c r="I26" s="82">
        <f t="shared" si="0"/>
        <v>0</v>
      </c>
      <c r="J26" s="83">
        <f t="shared" si="1"/>
        <v>0</v>
      </c>
      <c r="L26" s="35" t="s">
        <v>175</v>
      </c>
      <c r="M26" s="35"/>
      <c r="N26" s="35"/>
      <c r="O26" s="35"/>
      <c r="P26" s="35"/>
      <c r="Q26" s="35"/>
    </row>
    <row r="27" spans="1:23">
      <c r="A27" s="130" t="s">
        <v>71</v>
      </c>
      <c r="B27" s="40"/>
      <c r="C27" s="132"/>
      <c r="D27" s="81">
        <v>5</v>
      </c>
      <c r="E27" s="242"/>
      <c r="F27" s="242"/>
      <c r="G27" s="152"/>
      <c r="H27" s="242"/>
      <c r="I27" s="82">
        <f t="shared" si="0"/>
        <v>0</v>
      </c>
      <c r="J27" s="83">
        <f t="shared" si="1"/>
        <v>0</v>
      </c>
      <c r="L27" s="141" t="s">
        <v>251</v>
      </c>
      <c r="M27" s="35"/>
      <c r="N27" s="35"/>
      <c r="O27" s="35"/>
      <c r="P27" s="35"/>
      <c r="Q27" s="35"/>
      <c r="R27" s="35"/>
      <c r="S27" s="35"/>
      <c r="T27" s="35"/>
      <c r="U27" s="35"/>
      <c r="V27" s="35"/>
      <c r="W27" s="35"/>
    </row>
    <row r="28" spans="1:23">
      <c r="A28" s="130" t="s">
        <v>72</v>
      </c>
      <c r="B28" s="40"/>
      <c r="C28" s="40"/>
      <c r="D28" s="81">
        <v>5</v>
      </c>
      <c r="E28" s="242"/>
      <c r="F28" s="242"/>
      <c r="G28" s="152"/>
      <c r="H28" s="242"/>
      <c r="I28" s="82">
        <f t="shared" si="0"/>
        <v>0</v>
      </c>
      <c r="J28" s="83">
        <f t="shared" si="1"/>
        <v>0</v>
      </c>
      <c r="L28" s="141" t="s">
        <v>261</v>
      </c>
      <c r="M28" s="35"/>
      <c r="N28" s="35"/>
      <c r="O28" s="35"/>
      <c r="P28" s="35"/>
      <c r="Q28" s="35"/>
      <c r="R28" s="35"/>
      <c r="S28" s="35"/>
    </row>
    <row r="29" spans="1:23">
      <c r="A29" s="365"/>
      <c r="B29" s="366"/>
      <c r="C29" s="367"/>
      <c r="D29" s="243">
        <v>0</v>
      </c>
      <c r="E29" s="242"/>
      <c r="F29" s="242"/>
      <c r="G29" s="152"/>
      <c r="H29" s="242"/>
      <c r="I29" s="82">
        <f t="shared" si="0"/>
        <v>0</v>
      </c>
      <c r="J29" s="83">
        <f t="shared" si="1"/>
        <v>0</v>
      </c>
    </row>
    <row r="30" spans="1:23">
      <c r="A30" s="365"/>
      <c r="B30" s="366"/>
      <c r="C30" s="367"/>
      <c r="D30" s="243">
        <v>0</v>
      </c>
      <c r="E30" s="242"/>
      <c r="F30" s="242"/>
      <c r="G30" s="152"/>
      <c r="H30" s="242"/>
      <c r="I30" s="82">
        <f t="shared" si="0"/>
        <v>0</v>
      </c>
      <c r="J30" s="83">
        <f t="shared" si="1"/>
        <v>0</v>
      </c>
    </row>
    <row r="31" spans="1:23">
      <c r="A31" s="365"/>
      <c r="B31" s="366"/>
      <c r="C31" s="367"/>
      <c r="D31" s="243">
        <v>0</v>
      </c>
      <c r="E31" s="242"/>
      <c r="F31" s="242"/>
      <c r="G31" s="152"/>
      <c r="H31" s="242"/>
      <c r="I31" s="82">
        <f t="shared" si="0"/>
        <v>0</v>
      </c>
      <c r="J31" s="83">
        <f t="shared" si="1"/>
        <v>0</v>
      </c>
    </row>
    <row r="32" spans="1:23">
      <c r="A32" s="365"/>
      <c r="B32" s="366"/>
      <c r="C32" s="367"/>
      <c r="D32" s="243">
        <v>0</v>
      </c>
      <c r="E32" s="242"/>
      <c r="F32" s="242"/>
      <c r="G32" s="152"/>
      <c r="H32" s="242"/>
      <c r="I32" s="82">
        <f t="shared" si="0"/>
        <v>0</v>
      </c>
      <c r="J32" s="83">
        <f t="shared" si="1"/>
        <v>0</v>
      </c>
    </row>
    <row r="33" spans="1:20">
      <c r="A33" s="365"/>
      <c r="B33" s="366"/>
      <c r="C33" s="367"/>
      <c r="D33" s="243">
        <v>0</v>
      </c>
      <c r="E33" s="242"/>
      <c r="F33" s="242"/>
      <c r="G33" s="152"/>
      <c r="H33" s="242"/>
      <c r="I33" s="82">
        <f t="shared" si="0"/>
        <v>0</v>
      </c>
      <c r="J33" s="83">
        <f t="shared" si="1"/>
        <v>0</v>
      </c>
    </row>
    <row r="34" spans="1:20">
      <c r="A34" s="365"/>
      <c r="B34" s="366"/>
      <c r="C34" s="367"/>
      <c r="D34" s="243">
        <v>0</v>
      </c>
      <c r="E34" s="242"/>
      <c r="F34" s="242"/>
      <c r="G34" s="152"/>
      <c r="H34" s="242"/>
      <c r="I34" s="82">
        <f t="shared" si="0"/>
        <v>0</v>
      </c>
      <c r="J34" s="83">
        <f t="shared" si="1"/>
        <v>0</v>
      </c>
    </row>
    <row r="35" spans="1:20">
      <c r="A35" s="365"/>
      <c r="B35" s="366"/>
      <c r="C35" s="367"/>
      <c r="D35" s="243">
        <v>0</v>
      </c>
      <c r="E35" s="242"/>
      <c r="F35" s="242"/>
      <c r="G35" s="152"/>
      <c r="H35" s="242"/>
      <c r="I35" s="82">
        <f t="shared" si="0"/>
        <v>0</v>
      </c>
      <c r="J35" s="83">
        <f t="shared" si="1"/>
        <v>0</v>
      </c>
    </row>
    <row r="36" spans="1:20">
      <c r="A36" s="365"/>
      <c r="B36" s="366"/>
      <c r="C36" s="367"/>
      <c r="D36" s="243">
        <v>0</v>
      </c>
      <c r="E36" s="242"/>
      <c r="F36" s="242"/>
      <c r="G36" s="152"/>
      <c r="H36" s="242"/>
      <c r="I36" s="82">
        <f t="shared" si="0"/>
        <v>0</v>
      </c>
      <c r="J36" s="83">
        <f t="shared" si="1"/>
        <v>0</v>
      </c>
      <c r="L36" s="141" t="s">
        <v>259</v>
      </c>
      <c r="M36" s="35"/>
      <c r="N36" s="35"/>
      <c r="O36" s="35"/>
      <c r="P36" s="35"/>
      <c r="Q36" s="35"/>
      <c r="R36" s="35"/>
      <c r="S36" s="35"/>
      <c r="T36" s="35"/>
    </row>
    <row r="37" spans="1:20">
      <c r="A37" s="365"/>
      <c r="B37" s="366"/>
      <c r="C37" s="367"/>
      <c r="D37" s="243">
        <v>0</v>
      </c>
      <c r="E37" s="242"/>
      <c r="F37" s="242"/>
      <c r="G37" s="152"/>
      <c r="H37" s="242"/>
      <c r="I37" s="82">
        <f t="shared" si="0"/>
        <v>0</v>
      </c>
      <c r="J37" s="83">
        <f t="shared" si="1"/>
        <v>0</v>
      </c>
      <c r="L37" s="141" t="s">
        <v>260</v>
      </c>
      <c r="M37" s="35"/>
      <c r="N37" s="35"/>
      <c r="O37" s="35"/>
      <c r="P37" s="35"/>
      <c r="Q37" s="35"/>
      <c r="R37" s="35"/>
    </row>
    <row r="38" spans="1:20">
      <c r="A38" s="365"/>
      <c r="B38" s="366"/>
      <c r="C38" s="367"/>
      <c r="D38" s="243">
        <v>0</v>
      </c>
      <c r="E38" s="242"/>
      <c r="F38" s="242"/>
      <c r="G38" s="152"/>
      <c r="H38" s="242"/>
      <c r="I38" s="82">
        <f t="shared" si="0"/>
        <v>0</v>
      </c>
      <c r="J38" s="83">
        <f t="shared" si="1"/>
        <v>0</v>
      </c>
    </row>
    <row r="39" spans="1:20">
      <c r="A39" s="365"/>
      <c r="B39" s="366"/>
      <c r="C39" s="367"/>
      <c r="D39" s="243">
        <v>0</v>
      </c>
      <c r="E39" s="242"/>
      <c r="F39" s="242"/>
      <c r="G39" s="152"/>
      <c r="H39" s="242"/>
      <c r="I39" s="82">
        <f t="shared" si="0"/>
        <v>0</v>
      </c>
      <c r="J39" s="83">
        <f t="shared" si="1"/>
        <v>0</v>
      </c>
    </row>
    <row r="40" spans="1:20">
      <c r="A40" s="365"/>
      <c r="B40" s="366"/>
      <c r="C40" s="367"/>
      <c r="D40" s="243">
        <v>0</v>
      </c>
      <c r="E40" s="242"/>
      <c r="F40" s="242"/>
      <c r="G40" s="152"/>
      <c r="H40" s="242"/>
      <c r="I40" s="82">
        <f t="shared" si="0"/>
        <v>0</v>
      </c>
      <c r="J40" s="83">
        <f t="shared" si="1"/>
        <v>0</v>
      </c>
    </row>
    <row r="41" spans="1:20">
      <c r="A41" s="365"/>
      <c r="B41" s="366"/>
      <c r="C41" s="367"/>
      <c r="D41" s="243">
        <v>0</v>
      </c>
      <c r="E41" s="242"/>
      <c r="F41" s="242"/>
      <c r="G41" s="152"/>
      <c r="H41" s="242"/>
      <c r="I41" s="82">
        <f t="shared" si="0"/>
        <v>0</v>
      </c>
      <c r="J41" s="83">
        <f t="shared" si="1"/>
        <v>0</v>
      </c>
    </row>
    <row r="42" spans="1:20">
      <c r="A42" s="369" t="s">
        <v>185</v>
      </c>
      <c r="B42" s="370"/>
      <c r="C42" s="371"/>
      <c r="D42" s="84" t="s">
        <v>73</v>
      </c>
      <c r="E42" s="242"/>
      <c r="F42" s="242"/>
      <c r="G42" s="152"/>
      <c r="H42" s="242"/>
      <c r="I42" s="154"/>
      <c r="J42" s="155"/>
      <c r="L42" s="143" t="s">
        <v>262</v>
      </c>
      <c r="M42" s="144"/>
      <c r="N42" s="144"/>
      <c r="O42" s="144"/>
      <c r="P42" s="144"/>
      <c r="Q42" s="144"/>
      <c r="R42" s="144"/>
      <c r="S42" s="144"/>
    </row>
    <row r="43" spans="1:20">
      <c r="A43" s="369" t="s">
        <v>80</v>
      </c>
      <c r="B43" s="370"/>
      <c r="C43" s="371"/>
      <c r="D43" s="84" t="s">
        <v>73</v>
      </c>
      <c r="E43" s="242"/>
      <c r="F43" s="242"/>
      <c r="G43" s="153"/>
      <c r="H43" s="145"/>
      <c r="I43" s="156"/>
      <c r="J43" s="157"/>
    </row>
    <row r="44" spans="1:20" ht="13.5" thickBot="1">
      <c r="A44" s="39"/>
      <c r="B44" s="6"/>
      <c r="C44" s="6"/>
      <c r="D44" s="6"/>
      <c r="E44" s="6"/>
      <c r="F44" s="6"/>
      <c r="G44" s="6"/>
      <c r="H44" s="6"/>
      <c r="I44" s="6"/>
      <c r="J44" s="38"/>
    </row>
    <row r="45" spans="1:20" ht="14.25" thickTop="1" thickBot="1">
      <c r="A45" s="39"/>
      <c r="B45" s="368" t="s">
        <v>174</v>
      </c>
      <c r="C45" s="368"/>
      <c r="D45" s="368"/>
      <c r="E45" s="368"/>
      <c r="F45" s="368"/>
      <c r="G45" s="368"/>
      <c r="H45" s="368"/>
      <c r="I45" s="6"/>
      <c r="J45" s="69">
        <f>SUM($J$12:$J$42)</f>
        <v>0</v>
      </c>
      <c r="L45" s="35" t="s">
        <v>176</v>
      </c>
      <c r="M45" s="35"/>
      <c r="N45" s="35"/>
      <c r="O45" s="35"/>
      <c r="P45" s="35"/>
      <c r="Q45" s="35"/>
      <c r="R45" s="35"/>
      <c r="S45" s="35"/>
    </row>
    <row r="46" spans="1:20" ht="13.5" thickTop="1">
      <c r="A46" s="39"/>
      <c r="B46" s="6"/>
      <c r="C46" s="6"/>
      <c r="D46" s="6"/>
      <c r="E46" s="6"/>
      <c r="F46" s="6"/>
      <c r="G46" s="6"/>
      <c r="H46" s="6"/>
      <c r="I46" s="6"/>
      <c r="J46" s="38"/>
    </row>
    <row r="47" spans="1:20">
      <c r="A47" s="39"/>
      <c r="B47" s="6"/>
      <c r="C47" s="6"/>
      <c r="D47" s="6"/>
      <c r="E47" s="6"/>
      <c r="F47" s="6"/>
      <c r="G47" s="6"/>
      <c r="H47" s="6"/>
      <c r="I47" s="6"/>
      <c r="J47" s="38"/>
    </row>
    <row r="48" spans="1:20">
      <c r="A48" s="309" t="s">
        <v>87</v>
      </c>
      <c r="B48" s="310"/>
      <c r="C48" s="310"/>
      <c r="D48" s="310"/>
      <c r="E48" s="310"/>
      <c r="F48" s="310"/>
      <c r="G48" s="310"/>
      <c r="H48" s="310"/>
      <c r="I48" s="310"/>
      <c r="J48" s="311"/>
    </row>
    <row r="49" spans="1:10" ht="13.5" thickBot="1">
      <c r="A49" s="54"/>
      <c r="B49" s="10"/>
      <c r="C49" s="10"/>
      <c r="D49" s="10"/>
      <c r="E49" s="10"/>
      <c r="F49" s="10"/>
      <c r="G49" s="10"/>
      <c r="H49" s="10"/>
      <c r="I49" s="10"/>
      <c r="J49" s="55"/>
    </row>
  </sheetData>
  <sheetProtection password="E4A7" sheet="1" objects="1" scenarios="1" selectLockedCells="1"/>
  <mergeCells count="43">
    <mergeCell ref="A33:C33"/>
    <mergeCell ref="A38:C38"/>
    <mergeCell ref="A40:C40"/>
    <mergeCell ref="A14:C14"/>
    <mergeCell ref="A39:C39"/>
    <mergeCell ref="A18:C18"/>
    <mergeCell ref="A15:C15"/>
    <mergeCell ref="A16:C16"/>
    <mergeCell ref="A17:C17"/>
    <mergeCell ref="A19:C19"/>
    <mergeCell ref="A48:J48"/>
    <mergeCell ref="A25:C25"/>
    <mergeCell ref="A26:C26"/>
    <mergeCell ref="A29:C29"/>
    <mergeCell ref="A20:C20"/>
    <mergeCell ref="B45:H45"/>
    <mergeCell ref="A41:C41"/>
    <mergeCell ref="A31:C31"/>
    <mergeCell ref="A37:C37"/>
    <mergeCell ref="A32:C32"/>
    <mergeCell ref="A42:C42"/>
    <mergeCell ref="A34:C34"/>
    <mergeCell ref="A43:C43"/>
    <mergeCell ref="A30:C30"/>
    <mergeCell ref="A35:C35"/>
    <mergeCell ref="A36:C36"/>
    <mergeCell ref="I1:J1"/>
    <mergeCell ref="I5:J5"/>
    <mergeCell ref="I7:J7"/>
    <mergeCell ref="E9:I9"/>
    <mergeCell ref="C3:E3"/>
    <mergeCell ref="G1:H1"/>
    <mergeCell ref="G3:H3"/>
    <mergeCell ref="G5:H5"/>
    <mergeCell ref="G7:H7"/>
    <mergeCell ref="C1:E1"/>
    <mergeCell ref="A13:C13"/>
    <mergeCell ref="A5:B5"/>
    <mergeCell ref="A7:B7"/>
    <mergeCell ref="A10:B10"/>
    <mergeCell ref="A12:C12"/>
    <mergeCell ref="C5:E5"/>
    <mergeCell ref="C7:E7"/>
  </mergeCells>
  <phoneticPr fontId="2" type="noConversion"/>
  <printOptions horizontalCentered="1"/>
  <pageMargins left="0.25" right="0.25" top="1" bottom="1" header="0.5" footer="0.5"/>
  <pageSetup orientation="portrait" r:id="rId1"/>
  <headerFooter alignWithMargins="0">
    <oddHeader>&amp;R&amp;8 Revised 01-2013</oddHeader>
    <oddFooter>&amp;L&amp;5&amp;F&amp;C&amp;"Arial,Bold"&amp;8&amp;A&amp;R&amp;8&amp;P</oddFooter>
  </headerFooter>
  <drawing r:id="rId2"/>
  <legacyDrawing r:id="rId3"/>
</worksheet>
</file>

<file path=xl/worksheets/sheet4.xml><?xml version="1.0" encoding="utf-8"?>
<worksheet xmlns="http://schemas.openxmlformats.org/spreadsheetml/2006/main" xmlns:r="http://schemas.openxmlformats.org/officeDocument/2006/relationships">
  <dimension ref="A1:AE105"/>
  <sheetViews>
    <sheetView zoomScaleNormal="100" workbookViewId="0">
      <pane ySplit="6" topLeftCell="A28" activePane="bottomLeft" state="frozen"/>
      <selection activeCell="B3" sqref="B3:C3"/>
      <selection pane="bottomLeft" activeCell="A28" sqref="A28:B28"/>
    </sheetView>
  </sheetViews>
  <sheetFormatPr defaultRowHeight="12.75"/>
  <cols>
    <col min="1" max="1" width="9.140625" style="163"/>
    <col min="2" max="2" width="18.140625" style="163" customWidth="1"/>
    <col min="3" max="3" width="4" style="163" customWidth="1"/>
    <col min="4" max="4" width="2" style="163" bestFit="1" customWidth="1"/>
    <col min="5" max="5" width="9.140625" style="163" customWidth="1"/>
    <col min="6" max="6" width="2" style="163" customWidth="1"/>
    <col min="7" max="7" width="9.140625" style="163"/>
    <col min="8" max="8" width="2" style="163" customWidth="1"/>
    <col min="9" max="9" width="9.140625" style="163"/>
    <col min="10" max="10" width="2" style="163" bestFit="1" customWidth="1"/>
    <col min="11" max="11" width="9.140625" style="163"/>
    <col min="12" max="12" width="2" style="163" bestFit="1" customWidth="1"/>
    <col min="13" max="16384" width="9.140625" style="163"/>
  </cols>
  <sheetData>
    <row r="1" spans="1:31">
      <c r="A1" s="379" t="s">
        <v>48</v>
      </c>
      <c r="B1" s="379"/>
      <c r="C1" s="162"/>
      <c r="D1" s="162"/>
      <c r="E1" s="329" t="str">
        <f>'OA Budget Planning-Report Sheet'!$B$5</f>
        <v>Chapter Name (Number)</v>
      </c>
      <c r="F1" s="329"/>
      <c r="G1" s="329"/>
      <c r="O1" s="164" t="s">
        <v>253</v>
      </c>
      <c r="P1" s="165"/>
      <c r="Q1" s="165"/>
      <c r="R1" s="165"/>
      <c r="S1" s="165"/>
      <c r="T1" s="165"/>
      <c r="U1" s="165"/>
      <c r="V1" s="165"/>
      <c r="W1" s="165"/>
      <c r="X1" s="165"/>
      <c r="Y1" s="165"/>
    </row>
    <row r="2" spans="1:31" ht="13.5" thickBot="1">
      <c r="A2" s="166"/>
      <c r="B2" s="167"/>
      <c r="C2" s="168"/>
      <c r="D2" s="168"/>
      <c r="E2" s="168"/>
      <c r="F2" s="168"/>
      <c r="G2" s="168"/>
      <c r="H2" s="167"/>
      <c r="I2" s="167"/>
      <c r="J2" s="167"/>
      <c r="K2" s="167"/>
      <c r="L2" s="167"/>
      <c r="M2" s="167"/>
    </row>
    <row r="3" spans="1:31">
      <c r="A3" s="380" t="s">
        <v>93</v>
      </c>
      <c r="B3" s="381"/>
      <c r="C3" s="381"/>
      <c r="D3" s="381"/>
      <c r="E3" s="381"/>
      <c r="F3" s="381"/>
      <c r="G3" s="381"/>
      <c r="H3" s="381"/>
      <c r="I3" s="381"/>
      <c r="J3" s="381"/>
      <c r="K3" s="381"/>
      <c r="L3" s="381"/>
      <c r="M3" s="382"/>
    </row>
    <row r="4" spans="1:31">
      <c r="A4" s="169"/>
      <c r="B4" s="170"/>
      <c r="C4" s="170"/>
      <c r="D4" s="170"/>
      <c r="E4" s="170"/>
      <c r="F4" s="170"/>
      <c r="G4" s="383" t="s">
        <v>266</v>
      </c>
      <c r="H4" s="383"/>
      <c r="I4" s="383"/>
      <c r="J4" s="383"/>
      <c r="K4" s="383"/>
      <c r="L4" s="383"/>
      <c r="M4" s="384"/>
    </row>
    <row r="5" spans="1:31">
      <c r="A5" s="385"/>
      <c r="B5" s="383"/>
      <c r="C5" s="383"/>
      <c r="D5" s="383"/>
      <c r="E5" s="383"/>
      <c r="F5" s="171"/>
      <c r="G5" s="170"/>
      <c r="H5" s="170"/>
      <c r="I5" s="170" t="s">
        <v>267</v>
      </c>
      <c r="J5" s="170"/>
      <c r="K5" s="383" t="s">
        <v>268</v>
      </c>
      <c r="L5" s="383"/>
      <c r="M5" s="384"/>
    </row>
    <row r="6" spans="1:31">
      <c r="A6" s="386" t="s">
        <v>62</v>
      </c>
      <c r="B6" s="387"/>
      <c r="C6" s="387" t="s">
        <v>269</v>
      </c>
      <c r="D6" s="387"/>
      <c r="E6" s="387"/>
      <c r="F6" s="171"/>
      <c r="G6" s="172" t="s">
        <v>186</v>
      </c>
      <c r="H6" s="171"/>
      <c r="I6" s="173" t="s">
        <v>63</v>
      </c>
      <c r="J6" s="171"/>
      <c r="K6" s="173" t="s">
        <v>89</v>
      </c>
      <c r="L6" s="174"/>
      <c r="M6" s="175" t="s">
        <v>64</v>
      </c>
      <c r="AE6" s="176" t="s">
        <v>270</v>
      </c>
    </row>
    <row r="7" spans="1:31">
      <c r="A7" s="376"/>
      <c r="B7" s="377"/>
      <c r="C7" s="374"/>
      <c r="D7" s="375"/>
      <c r="E7" s="375"/>
      <c r="F7" s="171"/>
      <c r="G7" s="256"/>
      <c r="H7" s="174" t="s">
        <v>18</v>
      </c>
      <c r="I7" s="246"/>
      <c r="J7" s="174" t="s">
        <v>18</v>
      </c>
      <c r="K7" s="255"/>
      <c r="L7" s="174" t="s">
        <v>18</v>
      </c>
      <c r="M7" s="250"/>
      <c r="O7" s="190" t="s">
        <v>305</v>
      </c>
      <c r="P7" s="165"/>
      <c r="Q7" s="165"/>
      <c r="R7" s="165"/>
      <c r="S7" s="165"/>
      <c r="AE7" s="176" t="s">
        <v>271</v>
      </c>
    </row>
    <row r="8" spans="1:31">
      <c r="A8" s="376"/>
      <c r="B8" s="377"/>
      <c r="C8" s="374"/>
      <c r="D8" s="375"/>
      <c r="E8" s="375"/>
      <c r="F8" s="171"/>
      <c r="G8" s="257"/>
      <c r="H8" s="174" t="s">
        <v>18</v>
      </c>
      <c r="I8" s="247"/>
      <c r="J8" s="174" t="s">
        <v>18</v>
      </c>
      <c r="K8" s="255"/>
      <c r="L8" s="174" t="s">
        <v>18</v>
      </c>
      <c r="M8" s="250"/>
      <c r="O8" s="190" t="s">
        <v>306</v>
      </c>
      <c r="P8" s="165"/>
      <c r="Q8" s="165"/>
      <c r="R8" s="165"/>
      <c r="S8" s="165"/>
      <c r="T8" s="165"/>
      <c r="U8" s="165"/>
      <c r="V8" s="165"/>
      <c r="W8" s="165"/>
      <c r="X8" s="165"/>
      <c r="Y8" s="165"/>
      <c r="Z8" s="165"/>
      <c r="AA8" s="165"/>
      <c r="AB8" s="165"/>
      <c r="AC8" s="165"/>
      <c r="AE8" s="176" t="s">
        <v>272</v>
      </c>
    </row>
    <row r="9" spans="1:31">
      <c r="A9" s="376"/>
      <c r="B9" s="377"/>
      <c r="C9" s="374"/>
      <c r="D9" s="375"/>
      <c r="E9" s="375"/>
      <c r="F9" s="171"/>
      <c r="G9" s="257"/>
      <c r="H9" s="174" t="s">
        <v>18</v>
      </c>
      <c r="I9" s="247"/>
      <c r="J9" s="174" t="s">
        <v>18</v>
      </c>
      <c r="K9" s="255"/>
      <c r="L9" s="174" t="s">
        <v>18</v>
      </c>
      <c r="M9" s="250"/>
      <c r="O9" s="164" t="s">
        <v>273</v>
      </c>
      <c r="P9" s="165"/>
      <c r="Q9" s="165"/>
      <c r="R9" s="165"/>
      <c r="S9" s="165"/>
      <c r="T9" s="165"/>
      <c r="AE9" s="176" t="s">
        <v>274</v>
      </c>
    </row>
    <row r="10" spans="1:31">
      <c r="A10" s="376"/>
      <c r="B10" s="377"/>
      <c r="C10" s="374"/>
      <c r="D10" s="375"/>
      <c r="E10" s="375"/>
      <c r="F10" s="171"/>
      <c r="G10" s="257"/>
      <c r="H10" s="174" t="s">
        <v>18</v>
      </c>
      <c r="I10" s="247"/>
      <c r="J10" s="174" t="s">
        <v>18</v>
      </c>
      <c r="K10" s="255"/>
      <c r="L10" s="174" t="s">
        <v>18</v>
      </c>
      <c r="M10" s="250"/>
      <c r="O10" s="165" t="s">
        <v>275</v>
      </c>
      <c r="P10" s="165"/>
      <c r="Q10" s="165"/>
      <c r="R10" s="165"/>
      <c r="S10" s="165"/>
      <c r="T10" s="165"/>
      <c r="U10" s="165"/>
      <c r="V10" s="165"/>
      <c r="AE10" s="176" t="s">
        <v>276</v>
      </c>
    </row>
    <row r="11" spans="1:31">
      <c r="A11" s="376"/>
      <c r="B11" s="377"/>
      <c r="C11" s="374"/>
      <c r="D11" s="375"/>
      <c r="E11" s="375"/>
      <c r="F11" s="171"/>
      <c r="G11" s="257"/>
      <c r="H11" s="174" t="s">
        <v>18</v>
      </c>
      <c r="I11" s="247"/>
      <c r="J11" s="174" t="s">
        <v>18</v>
      </c>
      <c r="K11" s="255"/>
      <c r="L11" s="174" t="s">
        <v>18</v>
      </c>
      <c r="M11" s="250"/>
      <c r="O11" s="165" t="s">
        <v>277</v>
      </c>
      <c r="P11" s="165"/>
      <c r="Q11" s="165"/>
      <c r="R11" s="165"/>
      <c r="S11" s="165"/>
      <c r="T11" s="165"/>
      <c r="U11" s="165"/>
      <c r="V11" s="165"/>
      <c r="W11" s="165"/>
      <c r="X11" s="165"/>
      <c r="Y11" s="165"/>
      <c r="Z11" s="165"/>
      <c r="AA11" s="165"/>
      <c r="AB11" s="165"/>
      <c r="AE11" s="176" t="s">
        <v>9</v>
      </c>
    </row>
    <row r="12" spans="1:31">
      <c r="A12" s="376"/>
      <c r="B12" s="377"/>
      <c r="C12" s="374"/>
      <c r="D12" s="375"/>
      <c r="E12" s="375"/>
      <c r="F12" s="171"/>
      <c r="G12" s="257"/>
      <c r="H12" s="174" t="s">
        <v>18</v>
      </c>
      <c r="I12" s="247"/>
      <c r="J12" s="174" t="s">
        <v>18</v>
      </c>
      <c r="K12" s="255"/>
      <c r="L12" s="174" t="s">
        <v>18</v>
      </c>
      <c r="M12" s="250"/>
      <c r="AE12" s="176" t="s">
        <v>16</v>
      </c>
    </row>
    <row r="13" spans="1:31">
      <c r="A13" s="376"/>
      <c r="B13" s="377"/>
      <c r="C13" s="374"/>
      <c r="D13" s="375"/>
      <c r="E13" s="375"/>
      <c r="F13" s="171"/>
      <c r="G13" s="257"/>
      <c r="H13" s="174" t="s">
        <v>18</v>
      </c>
      <c r="I13" s="247"/>
      <c r="J13" s="174" t="s">
        <v>18</v>
      </c>
      <c r="K13" s="255"/>
      <c r="L13" s="174" t="s">
        <v>18</v>
      </c>
      <c r="M13" s="250"/>
      <c r="AE13" s="176" t="s">
        <v>244</v>
      </c>
    </row>
    <row r="14" spans="1:31">
      <c r="A14" s="376"/>
      <c r="B14" s="377"/>
      <c r="C14" s="374"/>
      <c r="D14" s="375"/>
      <c r="E14" s="375"/>
      <c r="F14" s="171"/>
      <c r="G14" s="257"/>
      <c r="H14" s="174" t="s">
        <v>18</v>
      </c>
      <c r="I14" s="247"/>
      <c r="J14" s="174" t="s">
        <v>18</v>
      </c>
      <c r="K14" s="255"/>
      <c r="L14" s="174" t="s">
        <v>18</v>
      </c>
      <c r="M14" s="250"/>
      <c r="AE14" s="176" t="s">
        <v>7</v>
      </c>
    </row>
    <row r="15" spans="1:31">
      <c r="A15" s="376"/>
      <c r="B15" s="377"/>
      <c r="C15" s="374"/>
      <c r="D15" s="375"/>
      <c r="E15" s="375"/>
      <c r="F15" s="171"/>
      <c r="G15" s="257"/>
      <c r="H15" s="174" t="s">
        <v>18</v>
      </c>
      <c r="I15" s="247"/>
      <c r="J15" s="174" t="s">
        <v>18</v>
      </c>
      <c r="K15" s="255"/>
      <c r="L15" s="174" t="s">
        <v>18</v>
      </c>
      <c r="M15" s="250"/>
      <c r="O15" s="165" t="s">
        <v>278</v>
      </c>
      <c r="P15" s="165"/>
      <c r="Q15" s="165"/>
      <c r="R15" s="165"/>
      <c r="S15" s="165"/>
      <c r="T15" s="165"/>
      <c r="U15" s="165"/>
      <c r="V15" s="165"/>
      <c r="AE15" s="176" t="s">
        <v>279</v>
      </c>
    </row>
    <row r="16" spans="1:31">
      <c r="A16" s="376"/>
      <c r="B16" s="377"/>
      <c r="C16" s="374"/>
      <c r="D16" s="375"/>
      <c r="E16" s="375"/>
      <c r="F16" s="171"/>
      <c r="G16" s="257"/>
      <c r="H16" s="174" t="s">
        <v>18</v>
      </c>
      <c r="I16" s="247"/>
      <c r="J16" s="174" t="s">
        <v>18</v>
      </c>
      <c r="K16" s="255"/>
      <c r="L16" s="174" t="s">
        <v>18</v>
      </c>
      <c r="M16" s="250"/>
      <c r="O16" s="165" t="s">
        <v>149</v>
      </c>
      <c r="P16" s="165"/>
      <c r="Q16" s="165"/>
      <c r="R16" s="165"/>
      <c r="AE16" s="176" t="s">
        <v>280</v>
      </c>
    </row>
    <row r="17" spans="1:31">
      <c r="A17" s="376"/>
      <c r="B17" s="377"/>
      <c r="C17" s="374"/>
      <c r="D17" s="375"/>
      <c r="E17" s="375"/>
      <c r="F17" s="171"/>
      <c r="G17" s="257"/>
      <c r="H17" s="174" t="s">
        <v>18</v>
      </c>
      <c r="I17" s="247"/>
      <c r="J17" s="174" t="s">
        <v>18</v>
      </c>
      <c r="K17" s="255"/>
      <c r="L17" s="174" t="s">
        <v>18</v>
      </c>
      <c r="M17" s="250"/>
      <c r="O17" s="164" t="s">
        <v>250</v>
      </c>
      <c r="P17" s="165"/>
      <c r="Q17" s="165"/>
      <c r="R17" s="165"/>
      <c r="S17" s="165"/>
      <c r="T17" s="165"/>
      <c r="AE17" s="176" t="s">
        <v>332</v>
      </c>
    </row>
    <row r="18" spans="1:31">
      <c r="A18" s="376"/>
      <c r="B18" s="377"/>
      <c r="C18" s="374"/>
      <c r="D18" s="375"/>
      <c r="E18" s="375"/>
      <c r="F18" s="171"/>
      <c r="G18" s="257"/>
      <c r="H18" s="174" t="s">
        <v>18</v>
      </c>
      <c r="I18" s="247"/>
      <c r="J18" s="174" t="s">
        <v>18</v>
      </c>
      <c r="K18" s="255"/>
      <c r="L18" s="174" t="s">
        <v>18</v>
      </c>
      <c r="M18" s="250"/>
      <c r="O18" s="165" t="s">
        <v>150</v>
      </c>
      <c r="P18" s="165"/>
      <c r="Q18" s="165"/>
      <c r="R18" s="165"/>
      <c r="S18" s="165"/>
      <c r="AE18" s="176" t="s">
        <v>281</v>
      </c>
    </row>
    <row r="19" spans="1:31">
      <c r="A19" s="376"/>
      <c r="B19" s="377"/>
      <c r="C19" s="374"/>
      <c r="D19" s="375"/>
      <c r="E19" s="375"/>
      <c r="F19" s="171"/>
      <c r="G19" s="257"/>
      <c r="H19" s="174" t="s">
        <v>18</v>
      </c>
      <c r="I19" s="247"/>
      <c r="J19" s="174" t="s">
        <v>18</v>
      </c>
      <c r="K19" s="255"/>
      <c r="L19" s="174" t="s">
        <v>18</v>
      </c>
      <c r="M19" s="250"/>
      <c r="O19" s="165" t="s">
        <v>150</v>
      </c>
      <c r="P19" s="165"/>
      <c r="Q19" s="165"/>
      <c r="R19" s="165"/>
      <c r="S19" s="165"/>
    </row>
    <row r="20" spans="1:31">
      <c r="A20" s="376"/>
      <c r="B20" s="377"/>
      <c r="C20" s="374"/>
      <c r="D20" s="375"/>
      <c r="E20" s="375"/>
      <c r="F20" s="171"/>
      <c r="G20" s="257"/>
      <c r="H20" s="174" t="s">
        <v>18</v>
      </c>
      <c r="I20" s="247"/>
      <c r="J20" s="174" t="s">
        <v>18</v>
      </c>
      <c r="K20" s="255"/>
      <c r="L20" s="174" t="s">
        <v>18</v>
      </c>
      <c r="M20" s="250"/>
      <c r="O20" s="165" t="s">
        <v>282</v>
      </c>
      <c r="P20" s="165"/>
      <c r="Q20" s="165"/>
    </row>
    <row r="21" spans="1:31">
      <c r="A21" s="376"/>
      <c r="B21" s="377"/>
      <c r="C21" s="374"/>
      <c r="D21" s="375"/>
      <c r="E21" s="375"/>
      <c r="F21" s="171"/>
      <c r="G21" s="257"/>
      <c r="H21" s="174" t="s">
        <v>18</v>
      </c>
      <c r="I21" s="247"/>
      <c r="J21" s="174" t="s">
        <v>18</v>
      </c>
      <c r="K21" s="255"/>
      <c r="L21" s="174" t="s">
        <v>18</v>
      </c>
      <c r="M21" s="250"/>
      <c r="O21" s="165" t="s">
        <v>283</v>
      </c>
      <c r="P21" s="165"/>
      <c r="Q21" s="165"/>
    </row>
    <row r="22" spans="1:31">
      <c r="A22" s="376"/>
      <c r="B22" s="377"/>
      <c r="C22" s="374"/>
      <c r="D22" s="375"/>
      <c r="E22" s="375"/>
      <c r="F22" s="171"/>
      <c r="G22" s="257"/>
      <c r="H22" s="174" t="s">
        <v>18</v>
      </c>
      <c r="I22" s="247"/>
      <c r="J22" s="174" t="s">
        <v>18</v>
      </c>
      <c r="K22" s="255"/>
      <c r="L22" s="174" t="s">
        <v>18</v>
      </c>
      <c r="M22" s="250"/>
      <c r="O22" s="165" t="s">
        <v>284</v>
      </c>
      <c r="P22" s="165"/>
      <c r="Q22" s="165"/>
    </row>
    <row r="23" spans="1:31">
      <c r="A23" s="376"/>
      <c r="B23" s="377"/>
      <c r="C23" s="374"/>
      <c r="D23" s="375"/>
      <c r="E23" s="375"/>
      <c r="F23" s="171"/>
      <c r="G23" s="257"/>
      <c r="H23" s="174" t="s">
        <v>18</v>
      </c>
      <c r="I23" s="247"/>
      <c r="J23" s="174" t="s">
        <v>18</v>
      </c>
      <c r="K23" s="255"/>
      <c r="L23" s="174" t="s">
        <v>18</v>
      </c>
      <c r="M23" s="250"/>
    </row>
    <row r="24" spans="1:31">
      <c r="A24" s="376"/>
      <c r="B24" s="377"/>
      <c r="C24" s="374"/>
      <c r="D24" s="375"/>
      <c r="E24" s="375"/>
      <c r="F24" s="171"/>
      <c r="G24" s="257"/>
      <c r="H24" s="174" t="s">
        <v>18</v>
      </c>
      <c r="I24" s="247"/>
      <c r="J24" s="174" t="s">
        <v>18</v>
      </c>
      <c r="K24" s="255"/>
      <c r="L24" s="174" t="s">
        <v>18</v>
      </c>
      <c r="M24" s="250"/>
    </row>
    <row r="25" spans="1:31">
      <c r="A25" s="376"/>
      <c r="B25" s="377"/>
      <c r="C25" s="374"/>
      <c r="D25" s="375"/>
      <c r="E25" s="375"/>
      <c r="F25" s="171"/>
      <c r="G25" s="257"/>
      <c r="H25" s="174" t="s">
        <v>18</v>
      </c>
      <c r="I25" s="247"/>
      <c r="J25" s="174" t="s">
        <v>18</v>
      </c>
      <c r="K25" s="255"/>
      <c r="L25" s="174" t="s">
        <v>18</v>
      </c>
      <c r="M25" s="250"/>
      <c r="O25" s="201">
        <f>'Final Closeout'!$K$5</f>
        <v>0</v>
      </c>
      <c r="P25" s="202">
        <f>COUNTIF($I$7:$M$98,$O$25)</f>
        <v>0</v>
      </c>
      <c r="Q25" s="203">
        <f>$O$25*$P$25</f>
        <v>0</v>
      </c>
      <c r="R25" s="204">
        <f>$P$25+$P$26</f>
        <v>0</v>
      </c>
      <c r="S25" s="205">
        <f>$O$25*$R$25</f>
        <v>0</v>
      </c>
    </row>
    <row r="26" spans="1:31">
      <c r="A26" s="376"/>
      <c r="B26" s="377"/>
      <c r="C26" s="374"/>
      <c r="D26" s="375"/>
      <c r="E26" s="375"/>
      <c r="F26" s="171"/>
      <c r="G26" s="257"/>
      <c r="H26" s="174" t="s">
        <v>18</v>
      </c>
      <c r="I26" s="247"/>
      <c r="J26" s="174" t="s">
        <v>18</v>
      </c>
      <c r="K26" s="255"/>
      <c r="L26" s="174" t="s">
        <v>18</v>
      </c>
      <c r="M26" s="250"/>
      <c r="O26" s="206"/>
      <c r="P26" s="209"/>
      <c r="Q26" s="210">
        <f>$O$26*$P$26</f>
        <v>0</v>
      </c>
      <c r="R26" s="211"/>
      <c r="S26" s="212"/>
      <c r="T26" s="197" t="s">
        <v>320</v>
      </c>
    </row>
    <row r="27" spans="1:31">
      <c r="A27" s="376"/>
      <c r="B27" s="377"/>
      <c r="C27" s="374"/>
      <c r="D27" s="375"/>
      <c r="E27" s="375"/>
      <c r="F27" s="171"/>
      <c r="G27" s="257"/>
      <c r="H27" s="174" t="s">
        <v>18</v>
      </c>
      <c r="I27" s="247"/>
      <c r="J27" s="174" t="s">
        <v>18</v>
      </c>
      <c r="K27" s="255"/>
      <c r="L27" s="174" t="s">
        <v>18</v>
      </c>
      <c r="M27" s="250"/>
      <c r="O27" s="201">
        <f>'Final Closeout'!$K$6</f>
        <v>0</v>
      </c>
      <c r="P27" s="202">
        <f>COUNTIF($I$7:$M$98,$O$27)</f>
        <v>0</v>
      </c>
      <c r="Q27" s="203">
        <f>$O$27*$P$27</f>
        <v>0</v>
      </c>
      <c r="R27" s="204">
        <f>$P$27+$P$28</f>
        <v>0</v>
      </c>
      <c r="S27" s="205">
        <f>$O$27*$R$27</f>
        <v>0</v>
      </c>
    </row>
    <row r="28" spans="1:31">
      <c r="A28" s="376"/>
      <c r="B28" s="377"/>
      <c r="C28" s="374"/>
      <c r="D28" s="375"/>
      <c r="E28" s="375"/>
      <c r="F28" s="171"/>
      <c r="G28" s="257"/>
      <c r="H28" s="174" t="s">
        <v>18</v>
      </c>
      <c r="I28" s="247"/>
      <c r="J28" s="174" t="s">
        <v>18</v>
      </c>
      <c r="K28" s="255"/>
      <c r="L28" s="174" t="s">
        <v>18</v>
      </c>
      <c r="M28" s="250"/>
      <c r="O28" s="206"/>
      <c r="P28" s="209"/>
      <c r="Q28" s="210">
        <f>$O$28*$P$28</f>
        <v>0</v>
      </c>
      <c r="R28" s="211"/>
      <c r="S28" s="212"/>
      <c r="T28" s="197" t="s">
        <v>321</v>
      </c>
    </row>
    <row r="29" spans="1:31">
      <c r="A29" s="376"/>
      <c r="B29" s="377"/>
      <c r="C29" s="374"/>
      <c r="D29" s="375"/>
      <c r="E29" s="375"/>
      <c r="F29" s="171"/>
      <c r="G29" s="257"/>
      <c r="H29" s="174" t="s">
        <v>18</v>
      </c>
      <c r="I29" s="247"/>
      <c r="J29" s="174" t="s">
        <v>18</v>
      </c>
      <c r="K29" s="255"/>
      <c r="L29" s="174" t="s">
        <v>18</v>
      </c>
      <c r="M29" s="250"/>
      <c r="O29" s="201">
        <f>'Final Closeout'!$K$7</f>
        <v>0</v>
      </c>
      <c r="P29" s="202">
        <f>COUNTIF($I$7:$M$98,$O$29)</f>
        <v>0</v>
      </c>
      <c r="Q29" s="203">
        <f>$O$29*$P$29</f>
        <v>0</v>
      </c>
      <c r="R29" s="204">
        <f>$P$29+$P$30</f>
        <v>0</v>
      </c>
      <c r="S29" s="205">
        <f>$O$29*$R$29</f>
        <v>0</v>
      </c>
    </row>
    <row r="30" spans="1:31">
      <c r="A30" s="376"/>
      <c r="B30" s="377"/>
      <c r="C30" s="374"/>
      <c r="D30" s="375"/>
      <c r="E30" s="375"/>
      <c r="F30" s="171"/>
      <c r="G30" s="257"/>
      <c r="H30" s="174" t="s">
        <v>18</v>
      </c>
      <c r="I30" s="247"/>
      <c r="J30" s="174" t="s">
        <v>18</v>
      </c>
      <c r="K30" s="255"/>
      <c r="L30" s="174" t="s">
        <v>18</v>
      </c>
      <c r="M30" s="250"/>
      <c r="O30" s="206"/>
      <c r="P30" s="209"/>
      <c r="Q30" s="210">
        <f>$O$30*$P$30</f>
        <v>0</v>
      </c>
      <c r="R30" s="207"/>
      <c r="S30" s="208"/>
      <c r="T30" s="197" t="s">
        <v>323</v>
      </c>
    </row>
    <row r="31" spans="1:31">
      <c r="A31" s="376"/>
      <c r="B31" s="377"/>
      <c r="C31" s="374"/>
      <c r="D31" s="375"/>
      <c r="E31" s="375"/>
      <c r="F31" s="171"/>
      <c r="G31" s="257"/>
      <c r="H31" s="174" t="s">
        <v>18</v>
      </c>
      <c r="I31" s="247"/>
      <c r="J31" s="174" t="s">
        <v>18</v>
      </c>
      <c r="K31" s="255"/>
      <c r="L31" s="174" t="s">
        <v>18</v>
      </c>
      <c r="M31" s="250"/>
      <c r="O31" s="201">
        <f>'Final Closeout'!$K$8</f>
        <v>0</v>
      </c>
      <c r="P31" s="202">
        <f>COUNTIF($I$7:$M$98,$O$31)</f>
        <v>0</v>
      </c>
      <c r="Q31" s="203">
        <f>$O$31*$P$31</f>
        <v>0</v>
      </c>
      <c r="R31" s="204">
        <f>$P$31+$P$32</f>
        <v>0</v>
      </c>
      <c r="S31" s="205">
        <f>$O$31*$R$31</f>
        <v>0</v>
      </c>
    </row>
    <row r="32" spans="1:31">
      <c r="A32" s="376"/>
      <c r="B32" s="377"/>
      <c r="C32" s="374"/>
      <c r="D32" s="375"/>
      <c r="E32" s="375"/>
      <c r="F32" s="171"/>
      <c r="G32" s="257"/>
      <c r="H32" s="174" t="s">
        <v>18</v>
      </c>
      <c r="I32" s="247"/>
      <c r="J32" s="174" t="s">
        <v>18</v>
      </c>
      <c r="K32" s="255"/>
      <c r="L32" s="174" t="s">
        <v>18</v>
      </c>
      <c r="M32" s="250"/>
      <c r="O32" s="206"/>
      <c r="P32" s="209"/>
      <c r="Q32" s="210">
        <f>$O$32*$P$32</f>
        <v>0</v>
      </c>
      <c r="R32" s="207"/>
      <c r="S32" s="208"/>
      <c r="T32" s="197" t="s">
        <v>322</v>
      </c>
    </row>
    <row r="33" spans="1:20">
      <c r="A33" s="376"/>
      <c r="B33" s="377"/>
      <c r="C33" s="374"/>
      <c r="D33" s="375"/>
      <c r="E33" s="375"/>
      <c r="F33" s="171"/>
      <c r="G33" s="257"/>
      <c r="H33" s="174" t="s">
        <v>18</v>
      </c>
      <c r="I33" s="247"/>
      <c r="J33" s="174" t="s">
        <v>18</v>
      </c>
      <c r="K33" s="255"/>
      <c r="L33" s="174" t="s">
        <v>18</v>
      </c>
      <c r="M33" s="250"/>
      <c r="O33" s="201">
        <f>'Final Closeout'!$K$9</f>
        <v>0</v>
      </c>
      <c r="P33" s="202">
        <f>COUNTIF($I$7:$M$98,$O$33)</f>
        <v>0</v>
      </c>
      <c r="Q33" s="203">
        <f>$O$33*$P$33</f>
        <v>0</v>
      </c>
      <c r="R33" s="204">
        <f>$P$33+$P$34</f>
        <v>0</v>
      </c>
      <c r="S33" s="205">
        <f>$O$33*$R$33</f>
        <v>0</v>
      </c>
    </row>
    <row r="34" spans="1:20">
      <c r="A34" s="376"/>
      <c r="B34" s="377"/>
      <c r="C34" s="374"/>
      <c r="D34" s="375"/>
      <c r="E34" s="375"/>
      <c r="F34" s="171"/>
      <c r="G34" s="257"/>
      <c r="H34" s="174" t="s">
        <v>18</v>
      </c>
      <c r="I34" s="247"/>
      <c r="J34" s="174" t="s">
        <v>18</v>
      </c>
      <c r="K34" s="255"/>
      <c r="L34" s="174" t="s">
        <v>18</v>
      </c>
      <c r="M34" s="250"/>
      <c r="O34" s="206"/>
      <c r="P34" s="209"/>
      <c r="Q34" s="210">
        <f>$O$34*$P$34</f>
        <v>0</v>
      </c>
      <c r="R34" s="207"/>
      <c r="S34" s="208"/>
      <c r="T34" s="225" t="s">
        <v>334</v>
      </c>
    </row>
    <row r="35" spans="1:20">
      <c r="A35" s="376"/>
      <c r="B35" s="377"/>
      <c r="C35" s="374"/>
      <c r="D35" s="375"/>
      <c r="E35" s="375"/>
      <c r="F35" s="171"/>
      <c r="G35" s="257"/>
      <c r="H35" s="174" t="s">
        <v>18</v>
      </c>
      <c r="I35" s="247"/>
      <c r="J35" s="174" t="s">
        <v>18</v>
      </c>
      <c r="K35" s="255"/>
      <c r="L35" s="174" t="s">
        <v>18</v>
      </c>
      <c r="M35" s="250"/>
      <c r="O35" s="201">
        <f>'Final Closeout'!$K$10</f>
        <v>0</v>
      </c>
      <c r="P35" s="202">
        <f>COUNTIF($I$7:$M$98,$O$35)</f>
        <v>0</v>
      </c>
      <c r="Q35" s="203">
        <f>$O$35*$P$35</f>
        <v>0</v>
      </c>
      <c r="R35" s="204">
        <f>$P$35+$P$36</f>
        <v>0</v>
      </c>
      <c r="S35" s="205">
        <f>$O$35*$R$35</f>
        <v>0</v>
      </c>
    </row>
    <row r="36" spans="1:20">
      <c r="A36" s="376"/>
      <c r="B36" s="377"/>
      <c r="C36" s="374"/>
      <c r="D36" s="375"/>
      <c r="E36" s="375"/>
      <c r="F36" s="171"/>
      <c r="G36" s="257"/>
      <c r="H36" s="174" t="s">
        <v>18</v>
      </c>
      <c r="I36" s="247"/>
      <c r="J36" s="174" t="s">
        <v>18</v>
      </c>
      <c r="K36" s="255"/>
      <c r="L36" s="174" t="s">
        <v>18</v>
      </c>
      <c r="M36" s="250"/>
      <c r="O36" s="206"/>
      <c r="P36" s="209"/>
      <c r="Q36" s="210">
        <f>$O$36*$P$36</f>
        <v>0</v>
      </c>
      <c r="R36" s="207"/>
      <c r="S36" s="208"/>
    </row>
    <row r="37" spans="1:20">
      <c r="A37" s="376"/>
      <c r="B37" s="377"/>
      <c r="C37" s="374"/>
      <c r="D37" s="375"/>
      <c r="E37" s="375"/>
      <c r="F37" s="171"/>
      <c r="G37" s="257"/>
      <c r="H37" s="174" t="s">
        <v>18</v>
      </c>
      <c r="I37" s="247"/>
      <c r="J37" s="174" t="s">
        <v>18</v>
      </c>
      <c r="K37" s="255"/>
      <c r="L37" s="174" t="s">
        <v>18</v>
      </c>
      <c r="M37" s="250"/>
      <c r="O37" s="201">
        <f>'Final Closeout'!$K$11</f>
        <v>0</v>
      </c>
      <c r="P37" s="202">
        <f>COUNTIF($I$7:$M$98,$O$37)</f>
        <v>0</v>
      </c>
      <c r="Q37" s="203">
        <f>$O$37*$P$37</f>
        <v>0</v>
      </c>
      <c r="R37" s="204">
        <f>$P$37+$P$38</f>
        <v>0</v>
      </c>
      <c r="S37" s="205">
        <f>$O$37*$R$37</f>
        <v>0</v>
      </c>
    </row>
    <row r="38" spans="1:20">
      <c r="A38" s="376"/>
      <c r="B38" s="377"/>
      <c r="C38" s="374"/>
      <c r="D38" s="375"/>
      <c r="E38" s="375"/>
      <c r="F38" s="171"/>
      <c r="G38" s="257"/>
      <c r="H38" s="174" t="s">
        <v>18</v>
      </c>
      <c r="I38" s="247"/>
      <c r="J38" s="174" t="s">
        <v>18</v>
      </c>
      <c r="K38" s="255"/>
      <c r="L38" s="174" t="s">
        <v>18</v>
      </c>
      <c r="M38" s="250"/>
      <c r="O38" s="206"/>
      <c r="P38" s="209"/>
      <c r="Q38" s="210">
        <f>$O$38*$P$38</f>
        <v>0</v>
      </c>
      <c r="R38" s="207"/>
      <c r="S38" s="208"/>
    </row>
    <row r="39" spans="1:20">
      <c r="A39" s="376"/>
      <c r="B39" s="377"/>
      <c r="C39" s="374"/>
      <c r="D39" s="375"/>
      <c r="E39" s="375"/>
      <c r="F39" s="171"/>
      <c r="G39" s="257"/>
      <c r="H39" s="174" t="s">
        <v>18</v>
      </c>
      <c r="I39" s="247"/>
      <c r="J39" s="174" t="s">
        <v>18</v>
      </c>
      <c r="K39" s="255"/>
      <c r="L39" s="174" t="s">
        <v>18</v>
      </c>
      <c r="M39" s="250"/>
      <c r="P39" s="200"/>
      <c r="R39" s="196"/>
      <c r="S39" s="195"/>
    </row>
    <row r="40" spans="1:20">
      <c r="A40" s="376"/>
      <c r="B40" s="377"/>
      <c r="C40" s="374"/>
      <c r="D40" s="375"/>
      <c r="E40" s="375"/>
      <c r="F40" s="171"/>
      <c r="G40" s="257"/>
      <c r="H40" s="174" t="s">
        <v>18</v>
      </c>
      <c r="I40" s="247"/>
      <c r="J40" s="174" t="s">
        <v>18</v>
      </c>
      <c r="K40" s="255"/>
      <c r="L40" s="174" t="s">
        <v>18</v>
      </c>
      <c r="M40" s="250"/>
      <c r="O40" s="213">
        <f>'Final Closeout'!$K$14</f>
        <v>0</v>
      </c>
      <c r="P40" s="214"/>
      <c r="Q40" s="215"/>
      <c r="R40" s="216">
        <f>$P$26+$P$28+$P$30+$P$32+P34+P36+P38</f>
        <v>0</v>
      </c>
      <c r="S40" s="217">
        <f>$O$40*$R$40</f>
        <v>0</v>
      </c>
      <c r="T40" s="197" t="s">
        <v>318</v>
      </c>
    </row>
    <row r="41" spans="1:20" ht="13.5" thickBot="1">
      <c r="A41" s="376"/>
      <c r="B41" s="377"/>
      <c r="C41" s="374"/>
      <c r="D41" s="375"/>
      <c r="E41" s="375"/>
      <c r="F41" s="171"/>
      <c r="G41" s="257"/>
      <c r="H41" s="174" t="s">
        <v>18</v>
      </c>
      <c r="I41" s="247"/>
      <c r="J41" s="174" t="s">
        <v>18</v>
      </c>
      <c r="K41" s="255"/>
      <c r="L41" s="174" t="s">
        <v>18</v>
      </c>
      <c r="M41" s="250"/>
      <c r="O41" s="197" t="s">
        <v>287</v>
      </c>
      <c r="P41" s="218">
        <f>SUM($P$25:$P$40)</f>
        <v>0</v>
      </c>
      <c r="Q41" s="219">
        <f>SUM($Q$25:$Q$40)</f>
        <v>0</v>
      </c>
      <c r="S41" s="219">
        <f>SUM($S$25:$S$40)</f>
        <v>0</v>
      </c>
    </row>
    <row r="42" spans="1:20" ht="13.5" thickTop="1">
      <c r="A42" s="376"/>
      <c r="B42" s="377"/>
      <c r="C42" s="374"/>
      <c r="D42" s="375"/>
      <c r="E42" s="375"/>
      <c r="F42" s="171"/>
      <c r="G42" s="257"/>
      <c r="H42" s="174" t="s">
        <v>18</v>
      </c>
      <c r="I42" s="247"/>
      <c r="J42" s="174" t="s">
        <v>18</v>
      </c>
      <c r="K42" s="255"/>
      <c r="L42" s="174" t="s">
        <v>18</v>
      </c>
      <c r="M42" s="250"/>
    </row>
    <row r="43" spans="1:20">
      <c r="A43" s="376"/>
      <c r="B43" s="377"/>
      <c r="C43" s="374"/>
      <c r="D43" s="375"/>
      <c r="E43" s="375"/>
      <c r="F43" s="171"/>
      <c r="G43" s="257"/>
      <c r="H43" s="174" t="s">
        <v>18</v>
      </c>
      <c r="I43" s="247"/>
      <c r="J43" s="174" t="s">
        <v>18</v>
      </c>
      <c r="K43" s="255"/>
      <c r="L43" s="174" t="s">
        <v>18</v>
      </c>
      <c r="M43" s="250"/>
    </row>
    <row r="44" spans="1:20">
      <c r="A44" s="376"/>
      <c r="B44" s="377"/>
      <c r="C44" s="374"/>
      <c r="D44" s="375"/>
      <c r="E44" s="375"/>
      <c r="F44" s="171"/>
      <c r="G44" s="257"/>
      <c r="H44" s="174" t="s">
        <v>18</v>
      </c>
      <c r="I44" s="247"/>
      <c r="J44" s="174" t="s">
        <v>18</v>
      </c>
      <c r="K44" s="255"/>
      <c r="L44" s="174" t="s">
        <v>18</v>
      </c>
      <c r="M44" s="250"/>
    </row>
    <row r="45" spans="1:20">
      <c r="A45" s="376"/>
      <c r="B45" s="377"/>
      <c r="C45" s="374"/>
      <c r="D45" s="375"/>
      <c r="E45" s="375"/>
      <c r="F45" s="171"/>
      <c r="G45" s="257"/>
      <c r="H45" s="174" t="s">
        <v>18</v>
      </c>
      <c r="I45" s="247"/>
      <c r="J45" s="174" t="s">
        <v>18</v>
      </c>
      <c r="K45" s="255"/>
      <c r="L45" s="174" t="s">
        <v>18</v>
      </c>
      <c r="M45" s="250"/>
    </row>
    <row r="46" spans="1:20">
      <c r="A46" s="376"/>
      <c r="B46" s="377"/>
      <c r="C46" s="374"/>
      <c r="D46" s="375"/>
      <c r="E46" s="375"/>
      <c r="F46" s="171"/>
      <c r="G46" s="257"/>
      <c r="H46" s="174" t="s">
        <v>18</v>
      </c>
      <c r="I46" s="247"/>
      <c r="J46" s="174" t="s">
        <v>18</v>
      </c>
      <c r="K46" s="255"/>
      <c r="L46" s="174" t="s">
        <v>18</v>
      </c>
      <c r="M46" s="250"/>
      <c r="O46" s="388" t="s">
        <v>7</v>
      </c>
      <c r="P46" s="388"/>
      <c r="Q46" s="198">
        <f>COUNTIF($C$7:$E$98,$O$46)</f>
        <v>0</v>
      </c>
    </row>
    <row r="47" spans="1:20">
      <c r="A47" s="376"/>
      <c r="B47" s="377"/>
      <c r="C47" s="374"/>
      <c r="D47" s="375"/>
      <c r="E47" s="375"/>
      <c r="F47" s="171"/>
      <c r="G47" s="257"/>
      <c r="H47" s="174" t="s">
        <v>18</v>
      </c>
      <c r="I47" s="247"/>
      <c r="J47" s="174" t="s">
        <v>18</v>
      </c>
      <c r="K47" s="255"/>
      <c r="L47" s="174" t="s">
        <v>18</v>
      </c>
      <c r="M47" s="250"/>
      <c r="O47" s="388" t="s">
        <v>9</v>
      </c>
      <c r="P47" s="388"/>
      <c r="Q47" s="198">
        <f>COUNTIF($C$7:$E$98,$O$47)</f>
        <v>0</v>
      </c>
    </row>
    <row r="48" spans="1:20">
      <c r="A48" s="376"/>
      <c r="B48" s="377"/>
      <c r="C48" s="374"/>
      <c r="D48" s="375"/>
      <c r="E48" s="375"/>
      <c r="F48" s="171"/>
      <c r="G48" s="257"/>
      <c r="H48" s="174" t="s">
        <v>18</v>
      </c>
      <c r="I48" s="247"/>
      <c r="J48" s="174" t="s">
        <v>18</v>
      </c>
      <c r="K48" s="255"/>
      <c r="L48" s="174" t="s">
        <v>18</v>
      </c>
      <c r="M48" s="250"/>
      <c r="O48" s="388" t="s">
        <v>317</v>
      </c>
      <c r="P48" s="388"/>
      <c r="Q48" s="198">
        <f>Q55+Q56+Q57+Q61+Q63+Q64+Q65</f>
        <v>0</v>
      </c>
    </row>
    <row r="49" spans="1:23">
      <c r="A49" s="376"/>
      <c r="B49" s="377"/>
      <c r="C49" s="374"/>
      <c r="D49" s="375"/>
      <c r="E49" s="375"/>
      <c r="F49" s="171"/>
      <c r="G49" s="257"/>
      <c r="H49" s="174" t="s">
        <v>18</v>
      </c>
      <c r="I49" s="247"/>
      <c r="J49" s="174" t="s">
        <v>18</v>
      </c>
      <c r="K49" s="255"/>
      <c r="L49" s="174" t="s">
        <v>18</v>
      </c>
      <c r="M49" s="250"/>
      <c r="O49" s="388" t="s">
        <v>276</v>
      </c>
      <c r="P49" s="388"/>
      <c r="Q49" s="198">
        <f>COUNTIF($C$7:$E$98,$O$49)</f>
        <v>0</v>
      </c>
    </row>
    <row r="50" spans="1:23">
      <c r="A50" s="376"/>
      <c r="B50" s="377"/>
      <c r="C50" s="374"/>
      <c r="D50" s="375"/>
      <c r="E50" s="375"/>
      <c r="F50" s="171"/>
      <c r="G50" s="257"/>
      <c r="H50" s="174" t="s">
        <v>18</v>
      </c>
      <c r="I50" s="247"/>
      <c r="J50" s="174" t="s">
        <v>18</v>
      </c>
      <c r="K50" s="255"/>
      <c r="L50" s="174" t="s">
        <v>18</v>
      </c>
      <c r="M50" s="250"/>
      <c r="O50" s="388" t="s">
        <v>16</v>
      </c>
      <c r="P50" s="388"/>
      <c r="Q50" s="198">
        <f>COUNTIF($C$7:$E$98,$O$50)</f>
        <v>0</v>
      </c>
    </row>
    <row r="51" spans="1:23">
      <c r="A51" s="376"/>
      <c r="B51" s="377"/>
      <c r="C51" s="374"/>
      <c r="D51" s="375"/>
      <c r="E51" s="375"/>
      <c r="F51" s="171"/>
      <c r="G51" s="257"/>
      <c r="H51" s="174" t="s">
        <v>18</v>
      </c>
      <c r="I51" s="247"/>
      <c r="J51" s="174" t="s">
        <v>18</v>
      </c>
      <c r="K51" s="255"/>
      <c r="L51" s="174" t="s">
        <v>18</v>
      </c>
      <c r="M51" s="250"/>
      <c r="O51" s="388" t="s">
        <v>333</v>
      </c>
      <c r="P51" s="388"/>
      <c r="Q51" s="198">
        <f>COUNTIF($C$7:$E$98,$O$46)</f>
        <v>0</v>
      </c>
    </row>
    <row r="52" spans="1:23" ht="13.5" thickBot="1">
      <c r="A52" s="376"/>
      <c r="B52" s="377"/>
      <c r="C52" s="374"/>
      <c r="D52" s="375"/>
      <c r="E52" s="375"/>
      <c r="F52" s="171"/>
      <c r="G52" s="257"/>
      <c r="H52" s="174" t="s">
        <v>18</v>
      </c>
      <c r="I52" s="247"/>
      <c r="J52" s="174" t="s">
        <v>18</v>
      </c>
      <c r="K52" s="255"/>
      <c r="L52" s="174" t="s">
        <v>18</v>
      </c>
      <c r="M52" s="250"/>
      <c r="O52" s="388" t="s">
        <v>319</v>
      </c>
      <c r="P52" s="388"/>
      <c r="Q52" s="199">
        <f>COUNTA($A$7:$B$98)</f>
        <v>0</v>
      </c>
    </row>
    <row r="53" spans="1:23" ht="13.5" thickTop="1">
      <c r="A53" s="376"/>
      <c r="B53" s="377"/>
      <c r="C53" s="374"/>
      <c r="D53" s="375"/>
      <c r="E53" s="375"/>
      <c r="F53" s="171"/>
      <c r="G53" s="257"/>
      <c r="H53" s="174" t="s">
        <v>18</v>
      </c>
      <c r="I53" s="247"/>
      <c r="J53" s="174" t="s">
        <v>18</v>
      </c>
      <c r="K53" s="255"/>
      <c r="L53" s="174" t="s">
        <v>18</v>
      </c>
      <c r="M53" s="250"/>
    </row>
    <row r="54" spans="1:23">
      <c r="A54" s="376"/>
      <c r="B54" s="377"/>
      <c r="C54" s="374"/>
      <c r="D54" s="375"/>
      <c r="E54" s="375"/>
      <c r="F54" s="171"/>
      <c r="G54" s="257"/>
      <c r="H54" s="174" t="s">
        <v>18</v>
      </c>
      <c r="I54" s="247"/>
      <c r="J54" s="174" t="s">
        <v>18</v>
      </c>
      <c r="K54" s="255"/>
      <c r="L54" s="174" t="s">
        <v>18</v>
      </c>
      <c r="M54" s="250"/>
      <c r="O54" s="261" t="s">
        <v>340</v>
      </c>
      <c r="R54" s="261" t="s">
        <v>341</v>
      </c>
      <c r="S54" s="261"/>
      <c r="T54" s="261"/>
      <c r="U54" s="261"/>
      <c r="V54" s="261"/>
      <c r="W54" s="261"/>
    </row>
    <row r="55" spans="1:23">
      <c r="A55" s="376"/>
      <c r="B55" s="377"/>
      <c r="C55" s="374"/>
      <c r="D55" s="375"/>
      <c r="E55" s="375"/>
      <c r="F55" s="171"/>
      <c r="G55" s="257"/>
      <c r="H55" s="174" t="s">
        <v>18</v>
      </c>
      <c r="I55" s="247"/>
      <c r="J55" s="174" t="s">
        <v>18</v>
      </c>
      <c r="K55" s="255"/>
      <c r="L55" s="174" t="s">
        <v>18</v>
      </c>
      <c r="M55" s="250"/>
      <c r="O55" s="378" t="s">
        <v>271</v>
      </c>
      <c r="P55" s="378"/>
      <c r="Q55" s="163">
        <f>COUNTIF($C$7:$E$98,$O$55)</f>
        <v>0</v>
      </c>
      <c r="R55" s="260" t="s">
        <v>335</v>
      </c>
      <c r="T55" s="176"/>
    </row>
    <row r="56" spans="1:23">
      <c r="A56" s="376"/>
      <c r="B56" s="377"/>
      <c r="C56" s="374"/>
      <c r="D56" s="375"/>
      <c r="E56" s="375"/>
      <c r="F56" s="171"/>
      <c r="G56" s="257"/>
      <c r="H56" s="174" t="s">
        <v>18</v>
      </c>
      <c r="I56" s="247"/>
      <c r="J56" s="174" t="s">
        <v>18</v>
      </c>
      <c r="K56" s="255"/>
      <c r="L56" s="174" t="s">
        <v>18</v>
      </c>
      <c r="M56" s="250"/>
      <c r="O56" s="378" t="s">
        <v>272</v>
      </c>
      <c r="P56" s="378"/>
      <c r="Q56" s="163">
        <f>COUNTIF($C$7:$E$98,$O$56)</f>
        <v>0</v>
      </c>
      <c r="R56" s="260" t="s">
        <v>345</v>
      </c>
      <c r="T56" s="176"/>
    </row>
    <row r="57" spans="1:23">
      <c r="A57" s="376"/>
      <c r="B57" s="377"/>
      <c r="C57" s="374"/>
      <c r="D57" s="375"/>
      <c r="E57" s="375"/>
      <c r="F57" s="171"/>
      <c r="G57" s="257"/>
      <c r="H57" s="174" t="s">
        <v>18</v>
      </c>
      <c r="I57" s="247"/>
      <c r="J57" s="174" t="s">
        <v>18</v>
      </c>
      <c r="K57" s="255"/>
      <c r="L57" s="174" t="s">
        <v>18</v>
      </c>
      <c r="M57" s="250"/>
      <c r="O57" s="378" t="s">
        <v>274</v>
      </c>
      <c r="P57" s="378"/>
      <c r="Q57" s="163">
        <f>COUNTIF($C$7:$E$98,$O$57)</f>
        <v>0</v>
      </c>
      <c r="R57" s="260" t="s">
        <v>345</v>
      </c>
      <c r="T57" s="176"/>
    </row>
    <row r="58" spans="1:23">
      <c r="A58" s="376"/>
      <c r="B58" s="377"/>
      <c r="C58" s="374"/>
      <c r="D58" s="375"/>
      <c r="E58" s="375"/>
      <c r="F58" s="171"/>
      <c r="G58" s="257"/>
      <c r="H58" s="174" t="s">
        <v>18</v>
      </c>
      <c r="I58" s="247"/>
      <c r="J58" s="174" t="s">
        <v>18</v>
      </c>
      <c r="K58" s="255"/>
      <c r="L58" s="174" t="s">
        <v>18</v>
      </c>
      <c r="M58" s="250"/>
      <c r="O58" s="378" t="s">
        <v>276</v>
      </c>
      <c r="P58" s="378"/>
      <c r="Q58" s="163">
        <f>COUNTIF($C$7:$E$98,$O$58)</f>
        <v>0</v>
      </c>
      <c r="R58" s="260" t="s">
        <v>337</v>
      </c>
      <c r="T58" s="176"/>
    </row>
    <row r="59" spans="1:23">
      <c r="A59" s="376"/>
      <c r="B59" s="377"/>
      <c r="C59" s="374"/>
      <c r="D59" s="375"/>
      <c r="E59" s="375"/>
      <c r="F59" s="171"/>
      <c r="G59" s="257"/>
      <c r="H59" s="174" t="s">
        <v>18</v>
      </c>
      <c r="I59" s="247"/>
      <c r="J59" s="174" t="s">
        <v>18</v>
      </c>
      <c r="K59" s="255"/>
      <c r="L59" s="174" t="s">
        <v>18</v>
      </c>
      <c r="M59" s="250"/>
      <c r="O59" s="378" t="s">
        <v>9</v>
      </c>
      <c r="P59" s="378"/>
      <c r="Q59" s="163">
        <f>COUNTIF($C$7:$E$98,$O$59)</f>
        <v>0</v>
      </c>
      <c r="R59" s="260" t="s">
        <v>346</v>
      </c>
      <c r="T59" s="176"/>
    </row>
    <row r="60" spans="1:23">
      <c r="A60" s="376"/>
      <c r="B60" s="377"/>
      <c r="C60" s="374"/>
      <c r="D60" s="375"/>
      <c r="E60" s="375"/>
      <c r="F60" s="171"/>
      <c r="G60" s="257"/>
      <c r="H60" s="174" t="s">
        <v>18</v>
      </c>
      <c r="I60" s="247"/>
      <c r="J60" s="174" t="s">
        <v>18</v>
      </c>
      <c r="K60" s="255"/>
      <c r="L60" s="174" t="s">
        <v>18</v>
      </c>
      <c r="M60" s="250"/>
      <c r="O60" s="378" t="s">
        <v>16</v>
      </c>
      <c r="P60" s="378"/>
      <c r="Q60" s="163">
        <f>COUNTIF($C$7:$E$98,$O$60)</f>
        <v>0</v>
      </c>
      <c r="R60" s="260" t="s">
        <v>347</v>
      </c>
      <c r="T60" s="176"/>
    </row>
    <row r="61" spans="1:23">
      <c r="A61" s="376"/>
      <c r="B61" s="377"/>
      <c r="C61" s="374"/>
      <c r="D61" s="375"/>
      <c r="E61" s="375"/>
      <c r="F61" s="171"/>
      <c r="G61" s="257"/>
      <c r="H61" s="174" t="s">
        <v>18</v>
      </c>
      <c r="I61" s="247"/>
      <c r="J61" s="174" t="s">
        <v>18</v>
      </c>
      <c r="K61" s="255"/>
      <c r="L61" s="174" t="s">
        <v>18</v>
      </c>
      <c r="M61" s="250"/>
      <c r="O61" s="378" t="s">
        <v>244</v>
      </c>
      <c r="P61" s="378"/>
      <c r="Q61" s="163">
        <f>COUNTIF($C$7:$E$98,$O$61)</f>
        <v>0</v>
      </c>
      <c r="R61" s="260" t="s">
        <v>345</v>
      </c>
      <c r="T61" s="176"/>
    </row>
    <row r="62" spans="1:23">
      <c r="A62" s="376"/>
      <c r="B62" s="377"/>
      <c r="C62" s="374"/>
      <c r="D62" s="375"/>
      <c r="E62" s="375"/>
      <c r="F62" s="171"/>
      <c r="G62" s="257"/>
      <c r="H62" s="174" t="s">
        <v>18</v>
      </c>
      <c r="I62" s="247"/>
      <c r="J62" s="174" t="s">
        <v>18</v>
      </c>
      <c r="K62" s="255"/>
      <c r="L62" s="174" t="s">
        <v>18</v>
      </c>
      <c r="M62" s="250"/>
      <c r="O62" s="378" t="s">
        <v>7</v>
      </c>
      <c r="P62" s="378"/>
      <c r="Q62" s="163">
        <f>COUNTIF($C$7:$E$98,$O$62)</f>
        <v>0</v>
      </c>
      <c r="R62" s="260"/>
      <c r="T62" s="176"/>
    </row>
    <row r="63" spans="1:23">
      <c r="A63" s="376"/>
      <c r="B63" s="377"/>
      <c r="C63" s="374"/>
      <c r="D63" s="375"/>
      <c r="E63" s="375"/>
      <c r="F63" s="171"/>
      <c r="G63" s="257"/>
      <c r="H63" s="174" t="s">
        <v>18</v>
      </c>
      <c r="I63" s="247"/>
      <c r="J63" s="174" t="s">
        <v>18</v>
      </c>
      <c r="K63" s="255"/>
      <c r="L63" s="174" t="s">
        <v>18</v>
      </c>
      <c r="M63" s="250"/>
      <c r="O63" s="378" t="s">
        <v>279</v>
      </c>
      <c r="P63" s="378"/>
      <c r="Q63" s="163">
        <f>COUNTIF($C$7:$E$98,$O$63)</f>
        <v>0</v>
      </c>
      <c r="R63" s="260" t="s">
        <v>338</v>
      </c>
      <c r="T63" s="176"/>
    </row>
    <row r="64" spans="1:23">
      <c r="A64" s="376"/>
      <c r="B64" s="377"/>
      <c r="C64" s="374"/>
      <c r="D64" s="375"/>
      <c r="E64" s="375"/>
      <c r="F64" s="171"/>
      <c r="G64" s="257"/>
      <c r="H64" s="174" t="s">
        <v>18</v>
      </c>
      <c r="I64" s="247"/>
      <c r="J64" s="174" t="s">
        <v>18</v>
      </c>
      <c r="K64" s="255"/>
      <c r="L64" s="174" t="s">
        <v>18</v>
      </c>
      <c r="M64" s="250"/>
      <c r="O64" s="378" t="s">
        <v>280</v>
      </c>
      <c r="P64" s="378"/>
      <c r="Q64" s="163">
        <f>COUNTIF($C$7:$E$98,$O$64)</f>
        <v>0</v>
      </c>
      <c r="R64" s="260" t="s">
        <v>336</v>
      </c>
      <c r="T64" s="176"/>
    </row>
    <row r="65" spans="1:20">
      <c r="A65" s="376"/>
      <c r="B65" s="377"/>
      <c r="C65" s="374"/>
      <c r="D65" s="375"/>
      <c r="E65" s="375"/>
      <c r="F65" s="171"/>
      <c r="G65" s="257"/>
      <c r="H65" s="174" t="s">
        <v>18</v>
      </c>
      <c r="I65" s="247"/>
      <c r="J65" s="174" t="s">
        <v>18</v>
      </c>
      <c r="K65" s="255"/>
      <c r="L65" s="174" t="s">
        <v>18</v>
      </c>
      <c r="M65" s="250"/>
      <c r="O65" s="378" t="s">
        <v>332</v>
      </c>
      <c r="P65" s="378"/>
      <c r="Q65" s="163">
        <f>COUNTIF($C$7:$E$98,$O$65)</f>
        <v>0</v>
      </c>
      <c r="R65" s="260" t="s">
        <v>348</v>
      </c>
      <c r="T65" s="176"/>
    </row>
    <row r="66" spans="1:20">
      <c r="A66" s="376"/>
      <c r="B66" s="377"/>
      <c r="C66" s="374"/>
      <c r="D66" s="375"/>
      <c r="E66" s="375"/>
      <c r="F66" s="171"/>
      <c r="G66" s="257"/>
      <c r="H66" s="174" t="s">
        <v>18</v>
      </c>
      <c r="I66" s="247"/>
      <c r="J66" s="174" t="s">
        <v>18</v>
      </c>
      <c r="K66" s="255"/>
      <c r="L66" s="174" t="s">
        <v>18</v>
      </c>
      <c r="M66" s="250"/>
      <c r="O66" s="378" t="s">
        <v>281</v>
      </c>
      <c r="P66" s="378"/>
      <c r="Q66" s="163">
        <f>COUNTIF($C$7:$E$98,$O$66)</f>
        <v>0</v>
      </c>
      <c r="R66" s="260" t="s">
        <v>339</v>
      </c>
      <c r="T66" s="176"/>
    </row>
    <row r="67" spans="1:20" ht="13.5" thickBot="1">
      <c r="A67" s="376"/>
      <c r="B67" s="377"/>
      <c r="C67" s="374"/>
      <c r="D67" s="375"/>
      <c r="E67" s="375"/>
      <c r="F67" s="171"/>
      <c r="G67" s="257"/>
      <c r="H67" s="174" t="s">
        <v>18</v>
      </c>
      <c r="I67" s="247"/>
      <c r="J67" s="174" t="s">
        <v>18</v>
      </c>
      <c r="K67" s="255"/>
      <c r="L67" s="174" t="s">
        <v>18</v>
      </c>
      <c r="M67" s="250"/>
      <c r="Q67" s="221">
        <f>SUM($Q$55:$Q$66)</f>
        <v>0</v>
      </c>
    </row>
    <row r="68" spans="1:20" ht="13.5" thickTop="1">
      <c r="A68" s="376"/>
      <c r="B68" s="377"/>
      <c r="C68" s="374"/>
      <c r="D68" s="375"/>
      <c r="E68" s="375"/>
      <c r="F68" s="171"/>
      <c r="G68" s="257"/>
      <c r="H68" s="174" t="s">
        <v>18</v>
      </c>
      <c r="I68" s="247"/>
      <c r="J68" s="174" t="s">
        <v>18</v>
      </c>
      <c r="K68" s="255"/>
      <c r="L68" s="174" t="s">
        <v>18</v>
      </c>
      <c r="M68" s="250"/>
      <c r="O68" s="388"/>
      <c r="P68" s="388"/>
    </row>
    <row r="69" spans="1:20">
      <c r="A69" s="376"/>
      <c r="B69" s="377"/>
      <c r="C69" s="374"/>
      <c r="D69" s="375"/>
      <c r="E69" s="375"/>
      <c r="F69" s="171"/>
      <c r="G69" s="257"/>
      <c r="H69" s="174" t="s">
        <v>18</v>
      </c>
      <c r="I69" s="247"/>
      <c r="J69" s="174" t="s">
        <v>18</v>
      </c>
      <c r="K69" s="255"/>
      <c r="L69" s="174" t="s">
        <v>18</v>
      </c>
      <c r="M69" s="250"/>
    </row>
    <row r="70" spans="1:20">
      <c r="A70" s="376"/>
      <c r="B70" s="377"/>
      <c r="C70" s="374"/>
      <c r="D70" s="375"/>
      <c r="E70" s="375"/>
      <c r="F70" s="171"/>
      <c r="G70" s="257"/>
      <c r="H70" s="174" t="s">
        <v>18</v>
      </c>
      <c r="I70" s="247"/>
      <c r="J70" s="174" t="s">
        <v>18</v>
      </c>
      <c r="K70" s="255"/>
      <c r="L70" s="174" t="s">
        <v>18</v>
      </c>
      <c r="M70" s="250"/>
    </row>
    <row r="71" spans="1:20">
      <c r="A71" s="376"/>
      <c r="B71" s="377"/>
      <c r="C71" s="374"/>
      <c r="D71" s="375"/>
      <c r="E71" s="375"/>
      <c r="F71" s="171"/>
      <c r="G71" s="257"/>
      <c r="H71" s="174" t="s">
        <v>18</v>
      </c>
      <c r="I71" s="247"/>
      <c r="J71" s="174" t="s">
        <v>18</v>
      </c>
      <c r="K71" s="255"/>
      <c r="L71" s="174" t="s">
        <v>18</v>
      </c>
      <c r="M71" s="250"/>
    </row>
    <row r="72" spans="1:20">
      <c r="A72" s="376"/>
      <c r="B72" s="377"/>
      <c r="C72" s="374"/>
      <c r="D72" s="375"/>
      <c r="E72" s="375"/>
      <c r="F72" s="171"/>
      <c r="G72" s="257"/>
      <c r="H72" s="174" t="s">
        <v>18</v>
      </c>
      <c r="I72" s="247"/>
      <c r="J72" s="174" t="s">
        <v>18</v>
      </c>
      <c r="K72" s="255"/>
      <c r="L72" s="174" t="s">
        <v>18</v>
      </c>
      <c r="M72" s="250"/>
    </row>
    <row r="73" spans="1:20">
      <c r="A73" s="376"/>
      <c r="B73" s="377"/>
      <c r="C73" s="374"/>
      <c r="D73" s="375"/>
      <c r="E73" s="375"/>
      <c r="F73" s="171"/>
      <c r="G73" s="257"/>
      <c r="H73" s="174" t="s">
        <v>18</v>
      </c>
      <c r="I73" s="247"/>
      <c r="J73" s="174" t="s">
        <v>18</v>
      </c>
      <c r="K73" s="255"/>
      <c r="L73" s="174" t="s">
        <v>18</v>
      </c>
      <c r="M73" s="250"/>
    </row>
    <row r="74" spans="1:20">
      <c r="A74" s="376"/>
      <c r="B74" s="377"/>
      <c r="C74" s="374"/>
      <c r="D74" s="375"/>
      <c r="E74" s="375"/>
      <c r="F74" s="171"/>
      <c r="G74" s="257"/>
      <c r="H74" s="174" t="s">
        <v>18</v>
      </c>
      <c r="I74" s="247"/>
      <c r="J74" s="174" t="s">
        <v>18</v>
      </c>
      <c r="K74" s="255"/>
      <c r="L74" s="174" t="s">
        <v>18</v>
      </c>
      <c r="M74" s="250"/>
    </row>
    <row r="75" spans="1:20">
      <c r="A75" s="376"/>
      <c r="B75" s="377"/>
      <c r="C75" s="374"/>
      <c r="D75" s="375"/>
      <c r="E75" s="375"/>
      <c r="F75" s="171"/>
      <c r="G75" s="257"/>
      <c r="H75" s="174" t="s">
        <v>18</v>
      </c>
      <c r="I75" s="247"/>
      <c r="J75" s="174" t="s">
        <v>18</v>
      </c>
      <c r="K75" s="255"/>
      <c r="L75" s="174" t="s">
        <v>18</v>
      </c>
      <c r="M75" s="250"/>
    </row>
    <row r="76" spans="1:20">
      <c r="A76" s="376"/>
      <c r="B76" s="377"/>
      <c r="C76" s="374"/>
      <c r="D76" s="375"/>
      <c r="E76" s="375"/>
      <c r="F76" s="171"/>
      <c r="G76" s="257"/>
      <c r="H76" s="174" t="s">
        <v>18</v>
      </c>
      <c r="I76" s="247"/>
      <c r="J76" s="174" t="s">
        <v>18</v>
      </c>
      <c r="K76" s="255"/>
      <c r="L76" s="174" t="s">
        <v>18</v>
      </c>
      <c r="M76" s="250"/>
    </row>
    <row r="77" spans="1:20">
      <c r="A77" s="376"/>
      <c r="B77" s="377"/>
      <c r="C77" s="374"/>
      <c r="D77" s="375"/>
      <c r="E77" s="375"/>
      <c r="F77" s="171"/>
      <c r="G77" s="257"/>
      <c r="H77" s="174" t="s">
        <v>18</v>
      </c>
      <c r="I77" s="247"/>
      <c r="J77" s="174" t="s">
        <v>18</v>
      </c>
      <c r="K77" s="255"/>
      <c r="L77" s="174" t="s">
        <v>18</v>
      </c>
      <c r="M77" s="250"/>
    </row>
    <row r="78" spans="1:20">
      <c r="A78" s="376"/>
      <c r="B78" s="377"/>
      <c r="C78" s="374"/>
      <c r="D78" s="375"/>
      <c r="E78" s="375"/>
      <c r="F78" s="171"/>
      <c r="G78" s="257"/>
      <c r="H78" s="174" t="s">
        <v>18</v>
      </c>
      <c r="I78" s="247"/>
      <c r="J78" s="174" t="s">
        <v>18</v>
      </c>
      <c r="K78" s="255"/>
      <c r="L78" s="174" t="s">
        <v>18</v>
      </c>
      <c r="M78" s="250"/>
    </row>
    <row r="79" spans="1:20">
      <c r="A79" s="376"/>
      <c r="B79" s="377"/>
      <c r="C79" s="374"/>
      <c r="D79" s="375"/>
      <c r="E79" s="375"/>
      <c r="F79" s="171"/>
      <c r="G79" s="257"/>
      <c r="H79" s="174" t="s">
        <v>18</v>
      </c>
      <c r="I79" s="247"/>
      <c r="J79" s="174" t="s">
        <v>18</v>
      </c>
      <c r="K79" s="255"/>
      <c r="L79" s="174" t="s">
        <v>18</v>
      </c>
      <c r="M79" s="250"/>
    </row>
    <row r="80" spans="1:20">
      <c r="A80" s="376"/>
      <c r="B80" s="377"/>
      <c r="C80" s="374"/>
      <c r="D80" s="375"/>
      <c r="E80" s="375"/>
      <c r="F80" s="171"/>
      <c r="G80" s="257"/>
      <c r="H80" s="174" t="s">
        <v>18</v>
      </c>
      <c r="I80" s="247"/>
      <c r="J80" s="174" t="s">
        <v>18</v>
      </c>
      <c r="K80" s="255"/>
      <c r="L80" s="174" t="s">
        <v>18</v>
      </c>
      <c r="M80" s="250"/>
    </row>
    <row r="81" spans="1:13">
      <c r="A81" s="376"/>
      <c r="B81" s="377"/>
      <c r="C81" s="374"/>
      <c r="D81" s="375"/>
      <c r="E81" s="375"/>
      <c r="F81" s="171"/>
      <c r="G81" s="257"/>
      <c r="H81" s="174" t="s">
        <v>18</v>
      </c>
      <c r="I81" s="247"/>
      <c r="J81" s="174" t="s">
        <v>18</v>
      </c>
      <c r="K81" s="255"/>
      <c r="L81" s="174" t="s">
        <v>18</v>
      </c>
      <c r="M81" s="250"/>
    </row>
    <row r="82" spans="1:13">
      <c r="A82" s="376"/>
      <c r="B82" s="377"/>
      <c r="C82" s="374"/>
      <c r="D82" s="375"/>
      <c r="E82" s="375"/>
      <c r="F82" s="171"/>
      <c r="G82" s="258"/>
      <c r="H82" s="174" t="s">
        <v>18</v>
      </c>
      <c r="I82" s="255"/>
      <c r="J82" s="174" t="s">
        <v>18</v>
      </c>
      <c r="K82" s="246"/>
      <c r="L82" s="7" t="s">
        <v>18</v>
      </c>
      <c r="M82" s="253"/>
    </row>
    <row r="83" spans="1:13">
      <c r="A83" s="376"/>
      <c r="B83" s="377"/>
      <c r="C83" s="374"/>
      <c r="D83" s="375"/>
      <c r="E83" s="375"/>
      <c r="F83" s="171"/>
      <c r="G83" s="258"/>
      <c r="H83" s="174" t="s">
        <v>18</v>
      </c>
      <c r="I83" s="255"/>
      <c r="J83" s="174" t="s">
        <v>18</v>
      </c>
      <c r="K83" s="247"/>
      <c r="L83" s="7" t="s">
        <v>18</v>
      </c>
      <c r="M83" s="254"/>
    </row>
    <row r="84" spans="1:13">
      <c r="A84" s="376"/>
      <c r="B84" s="377"/>
      <c r="C84" s="374"/>
      <c r="D84" s="375"/>
      <c r="E84" s="375"/>
      <c r="F84" s="171"/>
      <c r="G84" s="258"/>
      <c r="H84" s="174" t="s">
        <v>18</v>
      </c>
      <c r="I84" s="255"/>
      <c r="J84" s="174" t="s">
        <v>18</v>
      </c>
      <c r="K84" s="247"/>
      <c r="L84" s="7" t="s">
        <v>18</v>
      </c>
      <c r="M84" s="254"/>
    </row>
    <row r="85" spans="1:13">
      <c r="A85" s="376"/>
      <c r="B85" s="377"/>
      <c r="C85" s="374"/>
      <c r="D85" s="375"/>
      <c r="E85" s="375"/>
      <c r="F85" s="171"/>
      <c r="G85" s="258"/>
      <c r="H85" s="174" t="s">
        <v>18</v>
      </c>
      <c r="I85" s="255"/>
      <c r="J85" s="174" t="s">
        <v>18</v>
      </c>
      <c r="K85" s="247"/>
      <c r="L85" s="7" t="s">
        <v>18</v>
      </c>
      <c r="M85" s="254"/>
    </row>
    <row r="86" spans="1:13">
      <c r="A86" s="376"/>
      <c r="B86" s="377"/>
      <c r="C86" s="374"/>
      <c r="D86" s="375"/>
      <c r="E86" s="375"/>
      <c r="F86" s="171"/>
      <c r="G86" s="258"/>
      <c r="H86" s="174" t="s">
        <v>18</v>
      </c>
      <c r="I86" s="255"/>
      <c r="J86" s="174" t="s">
        <v>18</v>
      </c>
      <c r="K86" s="247"/>
      <c r="L86" s="7" t="s">
        <v>18</v>
      </c>
      <c r="M86" s="254"/>
    </row>
    <row r="87" spans="1:13">
      <c r="A87" s="376"/>
      <c r="B87" s="377"/>
      <c r="C87" s="374"/>
      <c r="D87" s="375"/>
      <c r="E87" s="375"/>
      <c r="F87" s="171"/>
      <c r="G87" s="258"/>
      <c r="H87" s="174" t="s">
        <v>18</v>
      </c>
      <c r="I87" s="255"/>
      <c r="J87" s="174" t="s">
        <v>18</v>
      </c>
      <c r="K87" s="247"/>
      <c r="L87" s="7" t="s">
        <v>18</v>
      </c>
      <c r="M87" s="254"/>
    </row>
    <row r="88" spans="1:13">
      <c r="A88" s="376"/>
      <c r="B88" s="377"/>
      <c r="C88" s="374"/>
      <c r="D88" s="375"/>
      <c r="E88" s="375"/>
      <c r="F88" s="171"/>
      <c r="G88" s="258"/>
      <c r="H88" s="174" t="s">
        <v>18</v>
      </c>
      <c r="I88" s="255"/>
      <c r="J88" s="174" t="s">
        <v>18</v>
      </c>
      <c r="K88" s="247"/>
      <c r="L88" s="7" t="s">
        <v>18</v>
      </c>
      <c r="M88" s="254"/>
    </row>
    <row r="89" spans="1:13">
      <c r="A89" s="376"/>
      <c r="B89" s="377"/>
      <c r="C89" s="374"/>
      <c r="D89" s="375"/>
      <c r="E89" s="375"/>
      <c r="F89" s="171"/>
      <c r="G89" s="258"/>
      <c r="H89" s="174" t="s">
        <v>18</v>
      </c>
      <c r="I89" s="255"/>
      <c r="J89" s="174" t="s">
        <v>18</v>
      </c>
      <c r="K89" s="247"/>
      <c r="L89" s="7" t="s">
        <v>18</v>
      </c>
      <c r="M89" s="254"/>
    </row>
    <row r="90" spans="1:13">
      <c r="A90" s="376"/>
      <c r="B90" s="377"/>
      <c r="C90" s="374"/>
      <c r="D90" s="375"/>
      <c r="E90" s="375"/>
      <c r="F90" s="171"/>
      <c r="G90" s="258"/>
      <c r="H90" s="174" t="s">
        <v>18</v>
      </c>
      <c r="I90" s="255"/>
      <c r="J90" s="174" t="s">
        <v>18</v>
      </c>
      <c r="K90" s="247"/>
      <c r="L90" s="7" t="s">
        <v>18</v>
      </c>
      <c r="M90" s="254"/>
    </row>
    <row r="91" spans="1:13">
      <c r="A91" s="376"/>
      <c r="B91" s="377"/>
      <c r="C91" s="374"/>
      <c r="D91" s="375"/>
      <c r="E91" s="375"/>
      <c r="F91" s="171"/>
      <c r="G91" s="258"/>
      <c r="H91" s="174" t="s">
        <v>18</v>
      </c>
      <c r="I91" s="255"/>
      <c r="J91" s="174" t="s">
        <v>18</v>
      </c>
      <c r="K91" s="247"/>
      <c r="L91" s="7" t="s">
        <v>18</v>
      </c>
      <c r="M91" s="254"/>
    </row>
    <row r="92" spans="1:13">
      <c r="A92" s="376"/>
      <c r="B92" s="377"/>
      <c r="C92" s="374"/>
      <c r="D92" s="375"/>
      <c r="E92" s="375"/>
      <c r="F92" s="171"/>
      <c r="G92" s="258"/>
      <c r="H92" s="174" t="s">
        <v>18</v>
      </c>
      <c r="I92" s="255"/>
      <c r="J92" s="174" t="s">
        <v>18</v>
      </c>
      <c r="K92" s="247"/>
      <c r="L92" s="7" t="s">
        <v>18</v>
      </c>
      <c r="M92" s="254"/>
    </row>
    <row r="93" spans="1:13">
      <c r="A93" s="376"/>
      <c r="B93" s="377"/>
      <c r="C93" s="374"/>
      <c r="D93" s="375"/>
      <c r="E93" s="375"/>
      <c r="F93" s="171"/>
      <c r="G93" s="258"/>
      <c r="H93" s="174" t="s">
        <v>18</v>
      </c>
      <c r="I93" s="255"/>
      <c r="J93" s="174" t="s">
        <v>18</v>
      </c>
      <c r="K93" s="247"/>
      <c r="L93" s="7" t="s">
        <v>18</v>
      </c>
      <c r="M93" s="254"/>
    </row>
    <row r="94" spans="1:13">
      <c r="A94" s="376"/>
      <c r="B94" s="377"/>
      <c r="C94" s="374"/>
      <c r="D94" s="375"/>
      <c r="E94" s="375"/>
      <c r="F94" s="171"/>
      <c r="G94" s="258"/>
      <c r="H94" s="174" t="s">
        <v>18</v>
      </c>
      <c r="I94" s="255"/>
      <c r="J94" s="174" t="s">
        <v>18</v>
      </c>
      <c r="K94" s="247"/>
      <c r="L94" s="7" t="s">
        <v>18</v>
      </c>
      <c r="M94" s="254"/>
    </row>
    <row r="95" spans="1:13">
      <c r="A95" s="376"/>
      <c r="B95" s="377"/>
      <c r="C95" s="374"/>
      <c r="D95" s="375"/>
      <c r="E95" s="375"/>
      <c r="F95" s="171"/>
      <c r="G95" s="258"/>
      <c r="H95" s="174" t="s">
        <v>18</v>
      </c>
      <c r="I95" s="255"/>
      <c r="J95" s="174" t="s">
        <v>18</v>
      </c>
      <c r="K95" s="247"/>
      <c r="L95" s="7" t="s">
        <v>18</v>
      </c>
      <c r="M95" s="254"/>
    </row>
    <row r="96" spans="1:13">
      <c r="A96" s="376"/>
      <c r="B96" s="377"/>
      <c r="C96" s="374"/>
      <c r="D96" s="375"/>
      <c r="E96" s="375"/>
      <c r="F96" s="171"/>
      <c r="G96" s="258"/>
      <c r="H96" s="174" t="s">
        <v>18</v>
      </c>
      <c r="I96" s="255"/>
      <c r="J96" s="174" t="s">
        <v>18</v>
      </c>
      <c r="K96" s="247"/>
      <c r="L96" s="7" t="s">
        <v>18</v>
      </c>
      <c r="M96" s="254"/>
    </row>
    <row r="97" spans="1:22">
      <c r="A97" s="376"/>
      <c r="B97" s="377"/>
      <c r="C97" s="374"/>
      <c r="D97" s="375"/>
      <c r="E97" s="375"/>
      <c r="F97" s="171"/>
      <c r="G97" s="258"/>
      <c r="H97" s="174" t="s">
        <v>18</v>
      </c>
      <c r="I97" s="255"/>
      <c r="J97" s="174" t="s">
        <v>18</v>
      </c>
      <c r="K97" s="247"/>
      <c r="L97" s="7" t="s">
        <v>18</v>
      </c>
      <c r="M97" s="254"/>
    </row>
    <row r="98" spans="1:22">
      <c r="A98" s="376"/>
      <c r="B98" s="377"/>
      <c r="C98" s="374"/>
      <c r="D98" s="375"/>
      <c r="E98" s="375"/>
      <c r="F98" s="171"/>
      <c r="G98" s="259"/>
      <c r="H98" s="174" t="s">
        <v>18</v>
      </c>
      <c r="I98" s="255"/>
      <c r="J98" s="174" t="s">
        <v>18</v>
      </c>
      <c r="K98" s="255"/>
      <c r="L98" s="174" t="s">
        <v>18</v>
      </c>
      <c r="M98" s="250"/>
      <c r="O98" s="164" t="s">
        <v>286</v>
      </c>
      <c r="P98" s="165"/>
      <c r="Q98" s="165"/>
      <c r="R98" s="165"/>
      <c r="S98" s="165"/>
      <c r="T98" s="165"/>
      <c r="U98" s="165"/>
      <c r="V98" s="165"/>
    </row>
    <row r="99" spans="1:22" ht="13.5" thickBot="1">
      <c r="A99" s="372" t="s">
        <v>287</v>
      </c>
      <c r="B99" s="373"/>
      <c r="C99" s="373"/>
      <c r="D99" s="171"/>
      <c r="E99" s="177"/>
      <c r="F99" s="171"/>
      <c r="G99" s="177"/>
      <c r="H99" s="170" t="s">
        <v>18</v>
      </c>
      <c r="I99" s="178">
        <f>SUM($I$7:$I$98)</f>
        <v>0</v>
      </c>
      <c r="J99" s="179" t="s">
        <v>18</v>
      </c>
      <c r="K99" s="178">
        <f>SUM($K$7:$K$98)</f>
        <v>0</v>
      </c>
      <c r="L99" s="170" t="s">
        <v>18</v>
      </c>
      <c r="M99" s="180">
        <f>SUM($M$7:$M$98)</f>
        <v>0</v>
      </c>
      <c r="O99" s="164" t="s">
        <v>288</v>
      </c>
      <c r="P99" s="165"/>
      <c r="Q99" s="165"/>
      <c r="R99" s="165"/>
      <c r="S99" s="165"/>
    </row>
    <row r="100" spans="1:22" ht="14.25" thickTop="1" thickBot="1">
      <c r="A100" s="181"/>
      <c r="B100" s="171"/>
      <c r="C100" s="171"/>
      <c r="D100" s="171"/>
      <c r="E100" s="171"/>
      <c r="F100" s="171"/>
      <c r="G100" s="171"/>
      <c r="H100" s="171"/>
      <c r="I100" s="171"/>
      <c r="J100" s="171"/>
      <c r="K100" s="171"/>
      <c r="L100" s="171"/>
      <c r="M100" s="182"/>
      <c r="O100" s="164" t="s">
        <v>289</v>
      </c>
      <c r="P100" s="165"/>
      <c r="Q100" s="165"/>
      <c r="R100" s="165"/>
      <c r="S100" s="165"/>
    </row>
    <row r="101" spans="1:22" ht="13.5" thickBot="1">
      <c r="A101" s="181"/>
      <c r="B101" s="171"/>
      <c r="C101" s="171"/>
      <c r="D101" s="171"/>
      <c r="E101" s="183" t="s">
        <v>90</v>
      </c>
      <c r="G101" s="171"/>
      <c r="H101" s="171"/>
      <c r="I101" s="184"/>
      <c r="J101" s="171" t="s">
        <v>18</v>
      </c>
      <c r="K101" s="185">
        <f>$I$99</f>
        <v>0</v>
      </c>
      <c r="L101" s="186"/>
      <c r="M101" s="182"/>
      <c r="O101" s="164" t="s">
        <v>290</v>
      </c>
      <c r="P101" s="165"/>
      <c r="Q101" s="165"/>
      <c r="R101" s="165"/>
      <c r="S101" s="165"/>
      <c r="T101" s="165"/>
    </row>
    <row r="102" spans="1:22" ht="13.5" thickBot="1">
      <c r="A102" s="181"/>
      <c r="B102" s="171"/>
      <c r="C102" s="171"/>
      <c r="D102" s="171"/>
      <c r="E102" s="183" t="s">
        <v>92</v>
      </c>
      <c r="G102" s="171"/>
      <c r="H102" s="171"/>
      <c r="I102" s="171"/>
      <c r="J102" s="171" t="s">
        <v>18</v>
      </c>
      <c r="K102" s="185">
        <f>$K$99</f>
        <v>0</v>
      </c>
      <c r="L102" s="186"/>
      <c r="M102" s="182"/>
      <c r="O102" s="164" t="s">
        <v>291</v>
      </c>
      <c r="P102" s="165"/>
      <c r="Q102" s="165"/>
      <c r="R102" s="165"/>
      <c r="S102" s="165"/>
      <c r="T102" s="165"/>
    </row>
    <row r="103" spans="1:22" ht="13.5" thickBot="1">
      <c r="A103" s="181"/>
      <c r="B103" s="171"/>
      <c r="C103" s="171"/>
      <c r="D103" s="171"/>
      <c r="E103" s="183" t="s">
        <v>91</v>
      </c>
      <c r="G103" s="171"/>
      <c r="H103" s="171"/>
      <c r="I103" s="171"/>
      <c r="J103" s="171" t="s">
        <v>18</v>
      </c>
      <c r="K103" s="185">
        <f>$M$99</f>
        <v>0</v>
      </c>
      <c r="L103" s="186"/>
      <c r="M103" s="182"/>
      <c r="O103" s="164" t="s">
        <v>292</v>
      </c>
      <c r="P103" s="165"/>
      <c r="Q103" s="165"/>
      <c r="R103" s="165"/>
      <c r="S103" s="165"/>
      <c r="T103" s="165"/>
    </row>
    <row r="104" spans="1:22" ht="14.25" thickTop="1" thickBot="1">
      <c r="A104" s="181"/>
      <c r="B104" s="171"/>
      <c r="C104" s="171"/>
      <c r="D104" s="171"/>
      <c r="E104" s="179" t="s">
        <v>113</v>
      </c>
      <c r="G104" s="171"/>
      <c r="H104" s="171"/>
      <c r="I104" s="171"/>
      <c r="J104" s="171"/>
      <c r="K104" s="171"/>
      <c r="L104" s="170" t="s">
        <v>18</v>
      </c>
      <c r="M104" s="187">
        <f>SUM($K$101:$K$103)</f>
        <v>0</v>
      </c>
      <c r="O104" s="165" t="s">
        <v>293</v>
      </c>
      <c r="P104" s="165"/>
      <c r="Q104" s="165"/>
      <c r="R104" s="165"/>
      <c r="S104" s="165"/>
      <c r="T104" s="165"/>
    </row>
    <row r="105" spans="1:22" ht="14.25" thickTop="1" thickBot="1">
      <c r="A105" s="188"/>
      <c r="B105" s="167"/>
      <c r="C105" s="167"/>
      <c r="D105" s="167"/>
      <c r="E105" s="167"/>
      <c r="F105" s="167"/>
      <c r="G105" s="167"/>
      <c r="H105" s="167"/>
      <c r="I105" s="167"/>
      <c r="J105" s="167"/>
      <c r="K105" s="167"/>
      <c r="L105" s="167"/>
      <c r="M105" s="189"/>
    </row>
  </sheetData>
  <sheetProtection password="E4A7" sheet="1" objects="1" scenarios="1" selectLockedCells="1"/>
  <mergeCells count="213">
    <mergeCell ref="O62:P62"/>
    <mergeCell ref="O63:P63"/>
    <mergeCell ref="O64:P64"/>
    <mergeCell ref="O65:P65"/>
    <mergeCell ref="O66:P66"/>
    <mergeCell ref="O51:P51"/>
    <mergeCell ref="O68:P68"/>
    <mergeCell ref="O61:P61"/>
    <mergeCell ref="O46:P46"/>
    <mergeCell ref="O47:P47"/>
    <mergeCell ref="O48:P48"/>
    <mergeCell ref="O49:P49"/>
    <mergeCell ref="O50:P50"/>
    <mergeCell ref="O52:P52"/>
    <mergeCell ref="A6:B6"/>
    <mergeCell ref="C6:E6"/>
    <mergeCell ref="A7:B7"/>
    <mergeCell ref="C7:E7"/>
    <mergeCell ref="A8:B8"/>
    <mergeCell ref="C8:E8"/>
    <mergeCell ref="A14:B14"/>
    <mergeCell ref="C14:E14"/>
    <mergeCell ref="A18:B18"/>
    <mergeCell ref="C18:E18"/>
    <mergeCell ref="A17:B17"/>
    <mergeCell ref="C17:E17"/>
    <mergeCell ref="A19:B19"/>
    <mergeCell ref="C19:E19"/>
    <mergeCell ref="A20:B20"/>
    <mergeCell ref="C20:E20"/>
    <mergeCell ref="A15:B15"/>
    <mergeCell ref="C15:E15"/>
    <mergeCell ref="A16:B16"/>
    <mergeCell ref="C16:E16"/>
    <mergeCell ref="A1:B1"/>
    <mergeCell ref="E1:G1"/>
    <mergeCell ref="A3:M3"/>
    <mergeCell ref="G4:M4"/>
    <mergeCell ref="A5:E5"/>
    <mergeCell ref="K5:M5"/>
    <mergeCell ref="A12:B12"/>
    <mergeCell ref="C12:E12"/>
    <mergeCell ref="A13:B13"/>
    <mergeCell ref="C13:E13"/>
    <mergeCell ref="A9:B9"/>
    <mergeCell ref="C9:E9"/>
    <mergeCell ref="A10:B10"/>
    <mergeCell ref="C10:E10"/>
    <mergeCell ref="A11:B11"/>
    <mergeCell ref="C11:E11"/>
    <mergeCell ref="A24:B24"/>
    <mergeCell ref="C24:E24"/>
    <mergeCell ref="A25:B25"/>
    <mergeCell ref="C25:E25"/>
    <mergeCell ref="A26:B26"/>
    <mergeCell ref="C26:E26"/>
    <mergeCell ref="A21:B21"/>
    <mergeCell ref="C21:E21"/>
    <mergeCell ref="A22:B22"/>
    <mergeCell ref="C22:E22"/>
    <mergeCell ref="A23:B23"/>
    <mergeCell ref="C23:E23"/>
    <mergeCell ref="A30:B30"/>
    <mergeCell ref="C30:E30"/>
    <mergeCell ref="A31:B31"/>
    <mergeCell ref="C31:E31"/>
    <mergeCell ref="A32:B32"/>
    <mergeCell ref="C32:E32"/>
    <mergeCell ref="A27:B27"/>
    <mergeCell ref="C27:E27"/>
    <mergeCell ref="A28:B28"/>
    <mergeCell ref="C28:E28"/>
    <mergeCell ref="A29:B29"/>
    <mergeCell ref="C29:E29"/>
    <mergeCell ref="A36:B36"/>
    <mergeCell ref="C36:E36"/>
    <mergeCell ref="A37:B37"/>
    <mergeCell ref="C37:E37"/>
    <mergeCell ref="A38:B38"/>
    <mergeCell ref="C38:E38"/>
    <mergeCell ref="A33:B33"/>
    <mergeCell ref="C33:E33"/>
    <mergeCell ref="A34:B34"/>
    <mergeCell ref="C34:E34"/>
    <mergeCell ref="A35:B35"/>
    <mergeCell ref="C35:E35"/>
    <mergeCell ref="A42:B42"/>
    <mergeCell ref="C42:E42"/>
    <mergeCell ref="A43:B43"/>
    <mergeCell ref="C43:E43"/>
    <mergeCell ref="A44:B44"/>
    <mergeCell ref="C44:E44"/>
    <mergeCell ref="A39:B39"/>
    <mergeCell ref="C39:E39"/>
    <mergeCell ref="A40:B40"/>
    <mergeCell ref="C40:E40"/>
    <mergeCell ref="A41:B41"/>
    <mergeCell ref="C41:E41"/>
    <mergeCell ref="A48:B48"/>
    <mergeCell ref="C48:E48"/>
    <mergeCell ref="A49:B49"/>
    <mergeCell ref="C49:E49"/>
    <mergeCell ref="A50:B50"/>
    <mergeCell ref="C50:E50"/>
    <mergeCell ref="A45:B45"/>
    <mergeCell ref="C45:E45"/>
    <mergeCell ref="A46:B46"/>
    <mergeCell ref="C46:E46"/>
    <mergeCell ref="A47:B47"/>
    <mergeCell ref="C47:E47"/>
    <mergeCell ref="A54:B54"/>
    <mergeCell ref="C54:E54"/>
    <mergeCell ref="A55:B55"/>
    <mergeCell ref="C55:E55"/>
    <mergeCell ref="A56:B56"/>
    <mergeCell ref="C56:E56"/>
    <mergeCell ref="A51:B51"/>
    <mergeCell ref="C51:E51"/>
    <mergeCell ref="A52:B52"/>
    <mergeCell ref="C52:E52"/>
    <mergeCell ref="A53:B53"/>
    <mergeCell ref="C53:E53"/>
    <mergeCell ref="A60:B60"/>
    <mergeCell ref="C60:E60"/>
    <mergeCell ref="A61:B61"/>
    <mergeCell ref="C61:E61"/>
    <mergeCell ref="A62:B62"/>
    <mergeCell ref="C62:E62"/>
    <mergeCell ref="A57:B57"/>
    <mergeCell ref="C57:E57"/>
    <mergeCell ref="A58:B58"/>
    <mergeCell ref="C58:E58"/>
    <mergeCell ref="A59:B59"/>
    <mergeCell ref="C59:E59"/>
    <mergeCell ref="A66:B66"/>
    <mergeCell ref="C66:E66"/>
    <mergeCell ref="A67:B67"/>
    <mergeCell ref="C67:E67"/>
    <mergeCell ref="A68:B68"/>
    <mergeCell ref="C68:E68"/>
    <mergeCell ref="A63:B63"/>
    <mergeCell ref="C63:E63"/>
    <mergeCell ref="A64:B64"/>
    <mergeCell ref="C64:E64"/>
    <mergeCell ref="A65:B65"/>
    <mergeCell ref="C65:E65"/>
    <mergeCell ref="A72:B72"/>
    <mergeCell ref="C72:E72"/>
    <mergeCell ref="A73:B73"/>
    <mergeCell ref="C73:E73"/>
    <mergeCell ref="A74:B74"/>
    <mergeCell ref="C74:E74"/>
    <mergeCell ref="A69:B69"/>
    <mergeCell ref="C69:E69"/>
    <mergeCell ref="A70:B70"/>
    <mergeCell ref="C70:E70"/>
    <mergeCell ref="A71:B71"/>
    <mergeCell ref="C71:E71"/>
    <mergeCell ref="A78:B78"/>
    <mergeCell ref="C78:E78"/>
    <mergeCell ref="A79:B79"/>
    <mergeCell ref="C79:E79"/>
    <mergeCell ref="A80:B80"/>
    <mergeCell ref="C80:E80"/>
    <mergeCell ref="A75:B75"/>
    <mergeCell ref="C75:E75"/>
    <mergeCell ref="A76:B76"/>
    <mergeCell ref="C76:E76"/>
    <mergeCell ref="A77:B77"/>
    <mergeCell ref="C77:E77"/>
    <mergeCell ref="C96:E96"/>
    <mergeCell ref="A84:B84"/>
    <mergeCell ref="A85:B85"/>
    <mergeCell ref="A86:B86"/>
    <mergeCell ref="A81:B81"/>
    <mergeCell ref="C81:E81"/>
    <mergeCell ref="A82:B82"/>
    <mergeCell ref="A83:B83"/>
    <mergeCell ref="C82:E82"/>
    <mergeCell ref="C83:E83"/>
    <mergeCell ref="C84:E84"/>
    <mergeCell ref="C85:E85"/>
    <mergeCell ref="C86:E86"/>
    <mergeCell ref="C87:E87"/>
    <mergeCell ref="C88:E88"/>
    <mergeCell ref="C89:E89"/>
    <mergeCell ref="C90:E90"/>
    <mergeCell ref="C91:E91"/>
    <mergeCell ref="C92:E92"/>
    <mergeCell ref="A99:C99"/>
    <mergeCell ref="C98:E98"/>
    <mergeCell ref="A98:B98"/>
    <mergeCell ref="O55:P55"/>
    <mergeCell ref="O56:P56"/>
    <mergeCell ref="O57:P57"/>
    <mergeCell ref="O58:P58"/>
    <mergeCell ref="O59:P59"/>
    <mergeCell ref="O60:P60"/>
    <mergeCell ref="A96:B96"/>
    <mergeCell ref="A97:B97"/>
    <mergeCell ref="C97:E97"/>
    <mergeCell ref="A93:B93"/>
    <mergeCell ref="A94:B94"/>
    <mergeCell ref="A95:B95"/>
    <mergeCell ref="A90:B90"/>
    <mergeCell ref="A91:B91"/>
    <mergeCell ref="A92:B92"/>
    <mergeCell ref="A87:B87"/>
    <mergeCell ref="A88:B88"/>
    <mergeCell ref="A89:B89"/>
    <mergeCell ref="C93:E93"/>
    <mergeCell ref="C94:E94"/>
    <mergeCell ref="C95:E95"/>
  </mergeCells>
  <dataValidations count="1">
    <dataValidation type="list" allowBlank="1" showInputMessage="1" showErrorMessage="1" sqref="C98:E98 C7:C97 D7:E82">
      <formula1>$AE$6:$AE$18</formula1>
    </dataValidation>
  </dataValidations>
  <printOptions horizontalCentered="1"/>
  <pageMargins left="0.7" right="0.7" top="0.75" bottom="0.75" header="0.3" footer="0.3"/>
  <pageSetup orientation="portrait" r:id="rId1"/>
  <headerFooter>
    <oddHeader>&amp;R&amp;8Revised 01-2013</oddHeader>
    <oddFooter>&amp;L&amp;5&amp;F&amp;C&amp;"Arial,Bold"&amp;8&amp;A&amp;R&amp;8&amp;P</oddFooter>
  </headerFooter>
  <drawing r:id="rId2"/>
  <legacyDrawing r:id="rId3"/>
</worksheet>
</file>

<file path=xl/worksheets/sheet5.xml><?xml version="1.0" encoding="utf-8"?>
<worksheet xmlns="http://schemas.openxmlformats.org/spreadsheetml/2006/main" xmlns:r="http://schemas.openxmlformats.org/officeDocument/2006/relationships">
  <dimension ref="A1:Y102"/>
  <sheetViews>
    <sheetView zoomScaleNormal="100" workbookViewId="0">
      <pane ySplit="2" topLeftCell="A3" activePane="bottomLeft" state="frozen"/>
      <selection activeCell="B3" sqref="B3:C3"/>
      <selection pane="bottomLeft" activeCell="A5" sqref="A5:C5"/>
    </sheetView>
  </sheetViews>
  <sheetFormatPr defaultRowHeight="12.75"/>
  <cols>
    <col min="4" max="4" width="2" bestFit="1" customWidth="1"/>
    <col min="6" max="6" width="3.85546875" customWidth="1"/>
    <col min="10" max="10" width="2" bestFit="1" customWidth="1"/>
    <col min="12" max="12" width="2" bestFit="1" customWidth="1"/>
  </cols>
  <sheetData>
    <row r="1" spans="1:25">
      <c r="A1" s="351" t="s">
        <v>48</v>
      </c>
      <c r="B1" s="351"/>
      <c r="C1" s="9"/>
      <c r="D1" s="9"/>
      <c r="E1" s="362" t="str">
        <f>'OA Budget Planning-Report Sheet'!$B$5</f>
        <v>Chapter Name (Number)</v>
      </c>
      <c r="F1" s="362"/>
      <c r="G1" s="362"/>
      <c r="O1" s="141" t="s">
        <v>253</v>
      </c>
      <c r="P1" s="35"/>
      <c r="Q1" s="35"/>
      <c r="R1" s="35"/>
      <c r="S1" s="35"/>
      <c r="T1" s="35"/>
      <c r="U1" s="35"/>
      <c r="V1" s="35"/>
      <c r="W1" s="35"/>
      <c r="X1" s="35"/>
      <c r="Y1" s="35"/>
    </row>
    <row r="2" spans="1:25" ht="13.5" thickBot="1">
      <c r="A2" s="32"/>
      <c r="B2" s="10"/>
      <c r="C2" s="33"/>
      <c r="D2" s="33"/>
      <c r="E2" s="33"/>
      <c r="F2" s="33"/>
      <c r="G2" s="33"/>
      <c r="H2" s="10"/>
      <c r="I2" s="10"/>
      <c r="J2" s="10"/>
      <c r="K2" s="10"/>
      <c r="L2" s="10"/>
      <c r="M2" s="10"/>
    </row>
    <row r="3" spans="1:25">
      <c r="A3" s="393" t="s">
        <v>301</v>
      </c>
      <c r="B3" s="394"/>
      <c r="C3" s="394"/>
      <c r="D3" s="394"/>
      <c r="E3" s="394"/>
      <c r="F3" s="394"/>
      <c r="G3" s="394"/>
      <c r="H3" s="394"/>
      <c r="I3" s="394"/>
      <c r="J3" s="394"/>
      <c r="K3" s="394"/>
      <c r="L3" s="394"/>
      <c r="M3" s="395"/>
    </row>
    <row r="4" spans="1:25">
      <c r="A4" s="396" t="s">
        <v>62</v>
      </c>
      <c r="B4" s="397"/>
      <c r="C4" s="397"/>
      <c r="D4" s="6"/>
      <c r="E4" s="397" t="s">
        <v>94</v>
      </c>
      <c r="F4" s="397"/>
      <c r="G4" s="397"/>
      <c r="H4" s="397"/>
      <c r="I4" s="397"/>
      <c r="J4" s="6"/>
      <c r="K4" s="6"/>
      <c r="L4" s="6"/>
      <c r="M4" s="71" t="s">
        <v>63</v>
      </c>
      <c r="O4" s="35" t="s">
        <v>156</v>
      </c>
      <c r="P4" s="35"/>
      <c r="Q4" s="35"/>
      <c r="R4" s="35"/>
      <c r="S4" s="35"/>
      <c r="T4" s="35"/>
      <c r="U4" s="35"/>
    </row>
    <row r="5" spans="1:25">
      <c r="A5" s="398"/>
      <c r="B5" s="391"/>
      <c r="C5" s="391"/>
      <c r="D5" s="6"/>
      <c r="E5" s="391"/>
      <c r="F5" s="391"/>
      <c r="G5" s="391"/>
      <c r="H5" s="391"/>
      <c r="I5" s="391"/>
      <c r="J5" s="6"/>
      <c r="K5" s="6"/>
      <c r="L5" s="7" t="s">
        <v>18</v>
      </c>
      <c r="M5" s="251"/>
      <c r="O5" s="141" t="s">
        <v>294</v>
      </c>
      <c r="P5" s="35"/>
      <c r="Q5" s="35"/>
      <c r="R5" s="35"/>
      <c r="S5" s="35"/>
      <c r="T5" s="35"/>
    </row>
    <row r="6" spans="1:25">
      <c r="A6" s="73"/>
      <c r="B6" s="5"/>
      <c r="C6" s="5"/>
      <c r="D6" s="6"/>
      <c r="E6" s="392"/>
      <c r="F6" s="392"/>
      <c r="G6" s="392"/>
      <c r="H6" s="392"/>
      <c r="I6" s="392"/>
      <c r="J6" s="6"/>
      <c r="K6" s="6"/>
      <c r="L6" s="6"/>
      <c r="M6" s="74"/>
      <c r="O6" s="141" t="s">
        <v>295</v>
      </c>
      <c r="P6" s="35"/>
      <c r="Q6" s="35"/>
      <c r="R6" s="35"/>
      <c r="S6" s="35"/>
      <c r="T6" s="35"/>
      <c r="U6" s="35"/>
    </row>
    <row r="7" spans="1:25">
      <c r="A7" s="398"/>
      <c r="B7" s="391"/>
      <c r="C7" s="391"/>
      <c r="D7" s="6"/>
      <c r="E7" s="392"/>
      <c r="F7" s="392"/>
      <c r="G7" s="392"/>
      <c r="H7" s="392"/>
      <c r="I7" s="392"/>
      <c r="J7" s="6"/>
      <c r="K7" s="6"/>
      <c r="L7" s="7" t="s">
        <v>18</v>
      </c>
      <c r="M7" s="251"/>
      <c r="O7" s="141" t="s">
        <v>296</v>
      </c>
      <c r="P7" s="35"/>
      <c r="Q7" s="35"/>
      <c r="R7" s="35"/>
      <c r="S7" s="35"/>
      <c r="T7" s="35"/>
      <c r="U7" s="35"/>
      <c r="V7" s="35"/>
      <c r="W7" s="35"/>
    </row>
    <row r="8" spans="1:25">
      <c r="A8" s="39"/>
      <c r="B8" s="6"/>
      <c r="C8" s="6"/>
      <c r="D8" s="6"/>
      <c r="E8" s="392"/>
      <c r="F8" s="392"/>
      <c r="G8" s="392"/>
      <c r="H8" s="392"/>
      <c r="I8" s="392"/>
      <c r="J8" s="6"/>
      <c r="K8" s="6"/>
      <c r="L8" s="6"/>
      <c r="M8" s="74"/>
      <c r="O8" s="35" t="s">
        <v>148</v>
      </c>
      <c r="P8" s="35"/>
      <c r="Q8" s="35"/>
      <c r="R8" s="35"/>
      <c r="S8" s="35"/>
      <c r="T8" s="35"/>
      <c r="U8" s="35"/>
      <c r="V8" s="35"/>
      <c r="W8" s="35"/>
      <c r="X8" s="35"/>
    </row>
    <row r="9" spans="1:25">
      <c r="A9" s="398"/>
      <c r="B9" s="391"/>
      <c r="C9" s="391"/>
      <c r="D9" s="6"/>
      <c r="E9" s="392"/>
      <c r="F9" s="392"/>
      <c r="G9" s="392"/>
      <c r="H9" s="392"/>
      <c r="I9" s="392"/>
      <c r="J9" s="6"/>
      <c r="K9" s="6"/>
      <c r="L9" s="7" t="s">
        <v>18</v>
      </c>
      <c r="M9" s="251"/>
    </row>
    <row r="10" spans="1:25">
      <c r="A10" s="39"/>
      <c r="B10" s="6"/>
      <c r="C10" s="6"/>
      <c r="D10" s="6"/>
      <c r="E10" s="392"/>
      <c r="F10" s="392"/>
      <c r="G10" s="392"/>
      <c r="H10" s="392"/>
      <c r="I10" s="392"/>
      <c r="J10" s="6"/>
      <c r="K10" s="6"/>
      <c r="L10" s="6"/>
      <c r="M10" s="74"/>
    </row>
    <row r="11" spans="1:25">
      <c r="A11" s="398"/>
      <c r="B11" s="391"/>
      <c r="C11" s="391"/>
      <c r="D11" s="6"/>
      <c r="E11" s="392"/>
      <c r="F11" s="392"/>
      <c r="G11" s="392"/>
      <c r="H11" s="392"/>
      <c r="I11" s="392"/>
      <c r="J11" s="6"/>
      <c r="K11" s="6"/>
      <c r="L11" s="7" t="s">
        <v>18</v>
      </c>
      <c r="M11" s="251"/>
    </row>
    <row r="12" spans="1:25">
      <c r="A12" s="39"/>
      <c r="B12" s="6"/>
      <c r="C12" s="6"/>
      <c r="D12" s="6"/>
      <c r="E12" s="392"/>
      <c r="F12" s="392"/>
      <c r="G12" s="392"/>
      <c r="H12" s="392"/>
      <c r="I12" s="392"/>
      <c r="J12" s="6"/>
      <c r="K12" s="6"/>
      <c r="L12" s="6"/>
      <c r="M12" s="74"/>
    </row>
    <row r="13" spans="1:25">
      <c r="A13" s="398"/>
      <c r="B13" s="391"/>
      <c r="C13" s="391"/>
      <c r="D13" s="6"/>
      <c r="E13" s="392"/>
      <c r="F13" s="392"/>
      <c r="G13" s="392"/>
      <c r="H13" s="392"/>
      <c r="I13" s="392"/>
      <c r="J13" s="6"/>
      <c r="K13" s="6"/>
      <c r="L13" s="7" t="s">
        <v>18</v>
      </c>
      <c r="M13" s="251"/>
    </row>
    <row r="14" spans="1:25">
      <c r="A14" s="39"/>
      <c r="B14" s="6"/>
      <c r="C14" s="6"/>
      <c r="D14" s="6"/>
      <c r="E14" s="392"/>
      <c r="F14" s="392"/>
      <c r="G14" s="392"/>
      <c r="H14" s="392"/>
      <c r="I14" s="392"/>
      <c r="J14" s="6"/>
      <c r="K14" s="6"/>
      <c r="L14" s="6"/>
      <c r="M14" s="74"/>
    </row>
    <row r="15" spans="1:25">
      <c r="A15" s="390"/>
      <c r="B15" s="391"/>
      <c r="C15" s="391"/>
      <c r="D15" s="6"/>
      <c r="E15" s="392"/>
      <c r="F15" s="392"/>
      <c r="G15" s="392"/>
      <c r="H15" s="392"/>
      <c r="I15" s="392"/>
      <c r="J15" s="6"/>
      <c r="K15" s="6"/>
      <c r="L15" s="7" t="s">
        <v>18</v>
      </c>
      <c r="M15" s="251"/>
    </row>
    <row r="16" spans="1:25">
      <c r="A16" s="39"/>
      <c r="B16" s="6"/>
      <c r="C16" s="6"/>
      <c r="D16" s="6"/>
      <c r="E16" s="392"/>
      <c r="F16" s="392"/>
      <c r="G16" s="392"/>
      <c r="H16" s="392"/>
      <c r="I16" s="392"/>
      <c r="J16" s="6"/>
      <c r="K16" s="6"/>
      <c r="L16" s="6"/>
      <c r="M16" s="74"/>
      <c r="O16" s="35" t="s">
        <v>285</v>
      </c>
      <c r="P16" s="35"/>
      <c r="Q16" s="35"/>
      <c r="R16" s="35"/>
      <c r="S16" s="35"/>
      <c r="T16" s="35"/>
      <c r="U16" s="35"/>
      <c r="V16" s="35"/>
      <c r="W16" s="35"/>
      <c r="X16" s="35"/>
    </row>
    <row r="17" spans="1:13">
      <c r="A17" s="390"/>
      <c r="B17" s="391"/>
      <c r="C17" s="391"/>
      <c r="D17" s="6"/>
      <c r="E17" s="392"/>
      <c r="F17" s="392"/>
      <c r="G17" s="392"/>
      <c r="H17" s="392"/>
      <c r="I17" s="392"/>
      <c r="J17" s="6"/>
      <c r="K17" s="6"/>
      <c r="L17" s="7" t="s">
        <v>18</v>
      </c>
      <c r="M17" s="251"/>
    </row>
    <row r="18" spans="1:13">
      <c r="A18" s="39"/>
      <c r="B18" s="6"/>
      <c r="C18" s="6"/>
      <c r="D18" s="6"/>
      <c r="E18" s="392"/>
      <c r="F18" s="392"/>
      <c r="G18" s="392"/>
      <c r="H18" s="392"/>
      <c r="I18" s="392"/>
      <c r="J18" s="6"/>
      <c r="K18" s="6"/>
      <c r="L18" s="6"/>
      <c r="M18" s="74"/>
    </row>
    <row r="19" spans="1:13">
      <c r="A19" s="399"/>
      <c r="B19" s="316"/>
      <c r="C19" s="316"/>
      <c r="D19" s="6"/>
      <c r="E19" s="366"/>
      <c r="F19" s="366"/>
      <c r="G19" s="366"/>
      <c r="H19" s="366"/>
      <c r="I19" s="366"/>
      <c r="J19" s="6"/>
      <c r="K19" s="6"/>
      <c r="L19" s="7" t="s">
        <v>18</v>
      </c>
      <c r="M19" s="250"/>
    </row>
    <row r="20" spans="1:13">
      <c r="A20" s="39"/>
      <c r="B20" s="6"/>
      <c r="C20" s="6"/>
      <c r="D20" s="6"/>
      <c r="E20" s="366"/>
      <c r="F20" s="366"/>
      <c r="G20" s="366"/>
      <c r="H20" s="366"/>
      <c r="I20" s="366"/>
      <c r="J20" s="6"/>
      <c r="K20" s="6"/>
      <c r="L20" s="6"/>
      <c r="M20" s="74"/>
    </row>
    <row r="21" spans="1:13">
      <c r="A21" s="389"/>
      <c r="B21" s="316"/>
      <c r="C21" s="316"/>
      <c r="D21" s="6"/>
      <c r="E21" s="366"/>
      <c r="F21" s="366"/>
      <c r="G21" s="366"/>
      <c r="H21" s="366"/>
      <c r="I21" s="366"/>
      <c r="J21" s="6"/>
      <c r="K21" s="6"/>
      <c r="L21" s="7" t="s">
        <v>18</v>
      </c>
      <c r="M21" s="250"/>
    </row>
    <row r="22" spans="1:13">
      <c r="A22" s="39"/>
      <c r="B22" s="6"/>
      <c r="C22" s="6"/>
      <c r="D22" s="6"/>
      <c r="E22" s="366"/>
      <c r="F22" s="366"/>
      <c r="G22" s="366"/>
      <c r="H22" s="366"/>
      <c r="I22" s="366"/>
      <c r="J22" s="6"/>
      <c r="K22" s="6"/>
      <c r="L22" s="6"/>
      <c r="M22" s="74"/>
    </row>
    <row r="23" spans="1:13">
      <c r="A23" s="389"/>
      <c r="B23" s="316"/>
      <c r="C23" s="316"/>
      <c r="D23" s="6"/>
      <c r="E23" s="366"/>
      <c r="F23" s="366"/>
      <c r="G23" s="366"/>
      <c r="H23" s="366"/>
      <c r="I23" s="366"/>
      <c r="J23" s="6"/>
      <c r="K23" s="6"/>
      <c r="L23" s="7" t="s">
        <v>18</v>
      </c>
      <c r="M23" s="250"/>
    </row>
    <row r="24" spans="1:13">
      <c r="A24" s="39"/>
      <c r="B24" s="6"/>
      <c r="C24" s="6"/>
      <c r="D24" s="6"/>
      <c r="E24" s="366"/>
      <c r="F24" s="366"/>
      <c r="G24" s="366"/>
      <c r="H24" s="366"/>
      <c r="I24" s="366"/>
      <c r="J24" s="6"/>
      <c r="K24" s="6"/>
      <c r="L24" s="6"/>
      <c r="M24" s="74"/>
    </row>
    <row r="25" spans="1:13">
      <c r="A25" s="389"/>
      <c r="B25" s="316"/>
      <c r="C25" s="316"/>
      <c r="D25" s="6"/>
      <c r="E25" s="366"/>
      <c r="F25" s="366"/>
      <c r="G25" s="366"/>
      <c r="H25" s="366"/>
      <c r="I25" s="366"/>
      <c r="J25" s="6"/>
      <c r="K25" s="6"/>
      <c r="L25" s="7" t="s">
        <v>18</v>
      </c>
      <c r="M25" s="250"/>
    </row>
    <row r="26" spans="1:13">
      <c r="A26" s="39"/>
      <c r="B26" s="6"/>
      <c r="C26" s="6"/>
      <c r="D26" s="6"/>
      <c r="E26" s="366"/>
      <c r="F26" s="366"/>
      <c r="G26" s="366"/>
      <c r="H26" s="366"/>
      <c r="I26" s="366"/>
      <c r="J26" s="6"/>
      <c r="K26" s="6"/>
      <c r="L26" s="6"/>
      <c r="M26" s="74"/>
    </row>
    <row r="27" spans="1:13">
      <c r="A27" s="389"/>
      <c r="B27" s="316"/>
      <c r="C27" s="316"/>
      <c r="D27" s="6"/>
      <c r="E27" s="366"/>
      <c r="F27" s="366"/>
      <c r="G27" s="366"/>
      <c r="H27" s="366"/>
      <c r="I27" s="366"/>
      <c r="J27" s="6"/>
      <c r="K27" s="6"/>
      <c r="L27" s="7" t="s">
        <v>18</v>
      </c>
      <c r="M27" s="250"/>
    </row>
    <row r="28" spans="1:13">
      <c r="A28" s="39"/>
      <c r="B28" s="6"/>
      <c r="C28" s="6"/>
      <c r="D28" s="6"/>
      <c r="E28" s="366"/>
      <c r="F28" s="366"/>
      <c r="G28" s="366"/>
      <c r="H28" s="366"/>
      <c r="I28" s="366"/>
      <c r="J28" s="6"/>
      <c r="K28" s="6"/>
      <c r="L28" s="6"/>
      <c r="M28" s="74"/>
    </row>
    <row r="29" spans="1:13">
      <c r="A29" s="389"/>
      <c r="B29" s="316"/>
      <c r="C29" s="316"/>
      <c r="D29" s="6"/>
      <c r="E29" s="366"/>
      <c r="F29" s="366"/>
      <c r="G29" s="366"/>
      <c r="H29" s="366"/>
      <c r="I29" s="366"/>
      <c r="J29" s="6"/>
      <c r="K29" s="6"/>
      <c r="L29" s="7" t="s">
        <v>18</v>
      </c>
      <c r="M29" s="250"/>
    </row>
    <row r="30" spans="1:13">
      <c r="A30" s="39"/>
      <c r="B30" s="6"/>
      <c r="C30" s="6"/>
      <c r="D30" s="6"/>
      <c r="E30" s="366"/>
      <c r="F30" s="366"/>
      <c r="G30" s="366"/>
      <c r="H30" s="366"/>
      <c r="I30" s="366"/>
      <c r="J30" s="6"/>
      <c r="K30" s="6"/>
      <c r="L30" s="6"/>
      <c r="M30" s="74"/>
    </row>
    <row r="31" spans="1:13">
      <c r="A31" s="389"/>
      <c r="B31" s="316"/>
      <c r="C31" s="316"/>
      <c r="D31" s="6"/>
      <c r="E31" s="366"/>
      <c r="F31" s="366"/>
      <c r="G31" s="366"/>
      <c r="H31" s="366"/>
      <c r="I31" s="366"/>
      <c r="J31" s="6"/>
      <c r="K31" s="6"/>
      <c r="L31" s="7" t="s">
        <v>18</v>
      </c>
      <c r="M31" s="250"/>
    </row>
    <row r="32" spans="1:13">
      <c r="A32" s="39"/>
      <c r="B32" s="6"/>
      <c r="C32" s="6"/>
      <c r="D32" s="6"/>
      <c r="E32" s="366"/>
      <c r="F32" s="366"/>
      <c r="G32" s="366"/>
      <c r="H32" s="366"/>
      <c r="I32" s="366"/>
      <c r="J32" s="6"/>
      <c r="K32" s="6"/>
      <c r="L32" s="6"/>
      <c r="M32" s="252"/>
    </row>
    <row r="33" spans="1:13">
      <c r="A33" s="389"/>
      <c r="B33" s="316"/>
      <c r="C33" s="316"/>
      <c r="D33" s="6"/>
      <c r="E33" s="366"/>
      <c r="F33" s="366"/>
      <c r="G33" s="366"/>
      <c r="H33" s="366"/>
      <c r="I33" s="366"/>
      <c r="J33" s="6"/>
      <c r="K33" s="6"/>
      <c r="L33" s="7" t="s">
        <v>18</v>
      </c>
      <c r="M33" s="250"/>
    </row>
    <row r="34" spans="1:13">
      <c r="A34" s="39"/>
      <c r="B34" s="6"/>
      <c r="C34" s="6"/>
      <c r="D34" s="6"/>
      <c r="E34" s="366"/>
      <c r="F34" s="366"/>
      <c r="G34" s="366"/>
      <c r="H34" s="366"/>
      <c r="I34" s="366"/>
      <c r="J34" s="6"/>
      <c r="K34" s="6"/>
      <c r="L34" s="6"/>
      <c r="M34" s="74"/>
    </row>
    <row r="35" spans="1:13">
      <c r="A35" s="389"/>
      <c r="B35" s="316"/>
      <c r="C35" s="316"/>
      <c r="D35" s="6"/>
      <c r="E35" s="366"/>
      <c r="F35" s="366"/>
      <c r="G35" s="366"/>
      <c r="H35" s="366"/>
      <c r="I35" s="366"/>
      <c r="J35" s="6"/>
      <c r="K35" s="6"/>
      <c r="L35" s="7" t="s">
        <v>18</v>
      </c>
      <c r="M35" s="250"/>
    </row>
    <row r="36" spans="1:13">
      <c r="A36" s="39"/>
      <c r="B36" s="6"/>
      <c r="C36" s="6"/>
      <c r="D36" s="6"/>
      <c r="E36" s="366"/>
      <c r="F36" s="366"/>
      <c r="G36" s="366"/>
      <c r="H36" s="366"/>
      <c r="I36" s="366"/>
      <c r="J36" s="6"/>
      <c r="K36" s="6"/>
      <c r="L36" s="6"/>
      <c r="M36" s="74"/>
    </row>
    <row r="37" spans="1:13">
      <c r="A37" s="389"/>
      <c r="B37" s="316"/>
      <c r="C37" s="316"/>
      <c r="D37" s="6"/>
      <c r="E37" s="366"/>
      <c r="F37" s="366"/>
      <c r="G37" s="366"/>
      <c r="H37" s="366"/>
      <c r="I37" s="366"/>
      <c r="J37" s="6"/>
      <c r="K37" s="6"/>
      <c r="L37" s="7" t="s">
        <v>18</v>
      </c>
      <c r="M37" s="250"/>
    </row>
    <row r="38" spans="1:13">
      <c r="A38" s="39"/>
      <c r="B38" s="6"/>
      <c r="C38" s="6"/>
      <c r="D38" s="6"/>
      <c r="E38" s="366"/>
      <c r="F38" s="366"/>
      <c r="G38" s="366"/>
      <c r="H38" s="366"/>
      <c r="I38" s="366"/>
      <c r="J38" s="6"/>
      <c r="K38" s="6"/>
      <c r="L38" s="6"/>
      <c r="M38" s="74"/>
    </row>
    <row r="39" spans="1:13">
      <c r="A39" s="389"/>
      <c r="B39" s="316"/>
      <c r="C39" s="316"/>
      <c r="D39" s="6"/>
      <c r="E39" s="366"/>
      <c r="F39" s="366"/>
      <c r="G39" s="366"/>
      <c r="H39" s="366"/>
      <c r="I39" s="366"/>
      <c r="J39" s="6"/>
      <c r="K39" s="6"/>
      <c r="L39" s="7" t="s">
        <v>18</v>
      </c>
      <c r="M39" s="250"/>
    </row>
    <row r="40" spans="1:13">
      <c r="A40" s="39"/>
      <c r="B40" s="6"/>
      <c r="C40" s="6"/>
      <c r="D40" s="6"/>
      <c r="E40" s="366"/>
      <c r="F40" s="366"/>
      <c r="G40" s="366"/>
      <c r="H40" s="366"/>
      <c r="I40" s="366"/>
      <c r="J40" s="6"/>
      <c r="K40" s="6"/>
      <c r="L40" s="6"/>
      <c r="M40" s="74"/>
    </row>
    <row r="41" spans="1:13">
      <c r="A41" s="389"/>
      <c r="B41" s="316"/>
      <c r="C41" s="316"/>
      <c r="D41" s="6"/>
      <c r="E41" s="366"/>
      <c r="F41" s="366"/>
      <c r="G41" s="366"/>
      <c r="H41" s="366"/>
      <c r="I41" s="366"/>
      <c r="J41" s="6"/>
      <c r="K41" s="6"/>
      <c r="L41" s="7" t="s">
        <v>18</v>
      </c>
      <c r="M41" s="250"/>
    </row>
    <row r="42" spans="1:13">
      <c r="A42" s="39"/>
      <c r="B42" s="6"/>
      <c r="C42" s="6"/>
      <c r="D42" s="6"/>
      <c r="E42" s="366"/>
      <c r="F42" s="366"/>
      <c r="G42" s="366"/>
      <c r="H42" s="366"/>
      <c r="I42" s="366"/>
      <c r="J42" s="6"/>
      <c r="K42" s="6"/>
      <c r="L42" s="6"/>
      <c r="M42" s="74"/>
    </row>
    <row r="43" spans="1:13">
      <c r="A43" s="389"/>
      <c r="B43" s="316"/>
      <c r="C43" s="316"/>
      <c r="D43" s="6"/>
      <c r="E43" s="366"/>
      <c r="F43" s="366"/>
      <c r="G43" s="366"/>
      <c r="H43" s="366"/>
      <c r="I43" s="366"/>
      <c r="J43" s="6"/>
      <c r="K43" s="6"/>
      <c r="L43" s="7" t="s">
        <v>18</v>
      </c>
      <c r="M43" s="250"/>
    </row>
    <row r="44" spans="1:13">
      <c r="A44" s="39"/>
      <c r="B44" s="6"/>
      <c r="C44" s="6"/>
      <c r="D44" s="6"/>
      <c r="E44" s="366"/>
      <c r="F44" s="366"/>
      <c r="G44" s="366"/>
      <c r="H44" s="366"/>
      <c r="I44" s="366"/>
      <c r="J44" s="6"/>
      <c r="K44" s="6"/>
      <c r="L44" s="6"/>
      <c r="M44" s="74"/>
    </row>
    <row r="45" spans="1:13">
      <c r="A45" s="389"/>
      <c r="B45" s="316"/>
      <c r="C45" s="316"/>
      <c r="D45" s="6"/>
      <c r="E45" s="366"/>
      <c r="F45" s="366"/>
      <c r="G45" s="366"/>
      <c r="H45" s="366"/>
      <c r="I45" s="366"/>
      <c r="J45" s="6"/>
      <c r="K45" s="6"/>
      <c r="L45" s="7" t="s">
        <v>18</v>
      </c>
      <c r="M45" s="250"/>
    </row>
    <row r="46" spans="1:13">
      <c r="A46" s="39"/>
      <c r="B46" s="6"/>
      <c r="C46" s="6"/>
      <c r="D46" s="6"/>
      <c r="E46" s="366"/>
      <c r="F46" s="366"/>
      <c r="G46" s="366"/>
      <c r="H46" s="366"/>
      <c r="I46" s="366"/>
      <c r="J46" s="6"/>
      <c r="K46" s="6"/>
      <c r="L46" s="6"/>
      <c r="M46" s="74"/>
    </row>
    <row r="47" spans="1:13">
      <c r="A47" s="389"/>
      <c r="B47" s="316"/>
      <c r="C47" s="316"/>
      <c r="D47" s="6"/>
      <c r="E47" s="366"/>
      <c r="F47" s="366"/>
      <c r="G47" s="366"/>
      <c r="H47" s="366"/>
      <c r="I47" s="366"/>
      <c r="J47" s="6"/>
      <c r="K47" s="6"/>
      <c r="L47" s="7" t="s">
        <v>18</v>
      </c>
      <c r="M47" s="250"/>
    </row>
    <row r="48" spans="1:13">
      <c r="A48" s="39"/>
      <c r="B48" s="6"/>
      <c r="C48" s="6"/>
      <c r="D48" s="6"/>
      <c r="E48" s="366"/>
      <c r="F48" s="366"/>
      <c r="G48" s="366"/>
      <c r="H48" s="366"/>
      <c r="I48" s="366"/>
      <c r="J48" s="6"/>
      <c r="K48" s="6"/>
      <c r="L48" s="6"/>
      <c r="M48" s="74"/>
    </row>
    <row r="49" spans="1:24">
      <c r="A49" s="389"/>
      <c r="B49" s="316"/>
      <c r="C49" s="316"/>
      <c r="D49" s="6"/>
      <c r="E49" s="366"/>
      <c r="F49" s="366"/>
      <c r="G49" s="366"/>
      <c r="H49" s="366"/>
      <c r="I49" s="366"/>
      <c r="J49" s="6"/>
      <c r="K49" s="6"/>
      <c r="L49" s="7" t="s">
        <v>18</v>
      </c>
      <c r="M49" s="250"/>
    </row>
    <row r="50" spans="1:24" ht="13.5" thickBot="1">
      <c r="A50" s="39"/>
      <c r="B50" s="6"/>
      <c r="C50" s="6"/>
      <c r="D50" s="6"/>
      <c r="E50" s="366"/>
      <c r="F50" s="366"/>
      <c r="G50" s="366"/>
      <c r="H50" s="366"/>
      <c r="I50" s="366"/>
      <c r="J50" s="6"/>
      <c r="K50" s="6"/>
      <c r="L50" s="6"/>
      <c r="M50" s="74"/>
    </row>
    <row r="51" spans="1:24" ht="14.25" thickTop="1" thickBot="1">
      <c r="A51" s="39"/>
      <c r="B51" s="6"/>
      <c r="C51" s="6"/>
      <c r="D51" s="6"/>
      <c r="E51" s="6"/>
      <c r="F51" s="72" t="s">
        <v>300</v>
      </c>
      <c r="G51" s="6"/>
      <c r="H51" s="6"/>
      <c r="I51" s="6"/>
      <c r="J51" s="6"/>
      <c r="K51" s="6"/>
      <c r="L51" s="70" t="s">
        <v>18</v>
      </c>
      <c r="M51" s="75">
        <f>SUM($M$5:$M$50)</f>
        <v>0</v>
      </c>
      <c r="O51" s="35" t="s">
        <v>172</v>
      </c>
      <c r="P51" s="35"/>
      <c r="Q51" s="35"/>
      <c r="R51" s="35"/>
      <c r="S51" s="35"/>
      <c r="T51" s="35"/>
      <c r="U51" s="35"/>
    </row>
    <row r="52" spans="1:24" ht="14.25" thickTop="1" thickBot="1">
      <c r="A52" s="54"/>
      <c r="B52" s="10"/>
      <c r="C52" s="10"/>
      <c r="D52" s="10"/>
      <c r="E52" s="10"/>
      <c r="F52" s="10"/>
      <c r="G52" s="10"/>
      <c r="H52" s="10"/>
      <c r="I52" s="10"/>
      <c r="J52" s="10"/>
      <c r="K52" s="10"/>
      <c r="L52" s="10"/>
      <c r="M52" s="55"/>
    </row>
    <row r="53" spans="1:24">
      <c r="A53" s="393" t="s">
        <v>302</v>
      </c>
      <c r="B53" s="394"/>
      <c r="C53" s="394"/>
      <c r="D53" s="394"/>
      <c r="E53" s="394"/>
      <c r="F53" s="394"/>
      <c r="G53" s="394"/>
      <c r="H53" s="394"/>
      <c r="I53" s="394"/>
      <c r="J53" s="394"/>
      <c r="K53" s="394"/>
      <c r="L53" s="394"/>
      <c r="M53" s="395"/>
    </row>
    <row r="54" spans="1:24">
      <c r="A54" s="396" t="s">
        <v>62</v>
      </c>
      <c r="B54" s="397"/>
      <c r="C54" s="397"/>
      <c r="D54" s="6"/>
      <c r="E54" s="397" t="s">
        <v>94</v>
      </c>
      <c r="F54" s="397"/>
      <c r="G54" s="397"/>
      <c r="H54" s="397"/>
      <c r="I54" s="397"/>
      <c r="J54" s="6"/>
      <c r="K54" s="6"/>
      <c r="L54" s="6"/>
      <c r="M54" s="71" t="s">
        <v>63</v>
      </c>
      <c r="O54" s="35" t="s">
        <v>173</v>
      </c>
      <c r="P54" s="35"/>
      <c r="Q54" s="35"/>
      <c r="R54" s="35"/>
      <c r="S54" s="35"/>
      <c r="T54" s="35"/>
    </row>
    <row r="55" spans="1:24">
      <c r="A55" s="390"/>
      <c r="B55" s="391"/>
      <c r="C55" s="391"/>
      <c r="D55" s="6"/>
      <c r="E55" s="391"/>
      <c r="F55" s="391"/>
      <c r="G55" s="391"/>
      <c r="H55" s="391"/>
      <c r="I55" s="391"/>
      <c r="J55" s="6"/>
      <c r="K55" s="6"/>
      <c r="L55" s="7" t="s">
        <v>18</v>
      </c>
      <c r="M55" s="251"/>
      <c r="O55" s="141" t="s">
        <v>297</v>
      </c>
      <c r="P55" s="35"/>
      <c r="Q55" s="35"/>
      <c r="R55" s="35"/>
      <c r="S55" s="35"/>
      <c r="T55" s="35"/>
    </row>
    <row r="56" spans="1:24">
      <c r="A56" s="73"/>
      <c r="B56" s="5"/>
      <c r="C56" s="5"/>
      <c r="D56" s="6"/>
      <c r="E56" s="392"/>
      <c r="F56" s="392"/>
      <c r="G56" s="392"/>
      <c r="H56" s="392"/>
      <c r="I56" s="392"/>
      <c r="J56" s="6"/>
      <c r="K56" s="6"/>
      <c r="L56" s="6"/>
      <c r="M56" s="74"/>
      <c r="O56" s="141" t="s">
        <v>299</v>
      </c>
      <c r="P56" s="35"/>
      <c r="Q56" s="35"/>
      <c r="R56" s="35"/>
      <c r="S56" s="35"/>
      <c r="T56" s="35"/>
      <c r="U56" s="35"/>
    </row>
    <row r="57" spans="1:24">
      <c r="A57" s="389"/>
      <c r="B57" s="316"/>
      <c r="C57" s="316"/>
      <c r="D57" s="6"/>
      <c r="E57" s="366"/>
      <c r="F57" s="366"/>
      <c r="G57" s="366"/>
      <c r="H57" s="366"/>
      <c r="I57" s="366"/>
      <c r="J57" s="6"/>
      <c r="K57" s="6"/>
      <c r="L57" s="7" t="s">
        <v>18</v>
      </c>
      <c r="M57" s="250"/>
      <c r="O57" s="141" t="s">
        <v>298</v>
      </c>
      <c r="P57" s="35"/>
      <c r="Q57" s="35"/>
      <c r="R57" s="35"/>
      <c r="S57" s="35"/>
      <c r="T57" s="35"/>
      <c r="U57" s="35"/>
      <c r="V57" s="35"/>
      <c r="W57" s="35"/>
    </row>
    <row r="58" spans="1:24">
      <c r="A58" s="39"/>
      <c r="B58" s="6"/>
      <c r="C58" s="6"/>
      <c r="D58" s="6"/>
      <c r="E58" s="366"/>
      <c r="F58" s="366"/>
      <c r="G58" s="366"/>
      <c r="H58" s="366"/>
      <c r="I58" s="366"/>
      <c r="J58" s="6"/>
      <c r="K58" s="6"/>
      <c r="L58" s="6"/>
      <c r="M58" s="74"/>
      <c r="O58" s="35" t="s">
        <v>148</v>
      </c>
      <c r="P58" s="35"/>
      <c r="Q58" s="35"/>
      <c r="R58" s="35"/>
      <c r="S58" s="35"/>
      <c r="T58" s="35"/>
      <c r="U58" s="35"/>
      <c r="V58" s="35"/>
      <c r="W58" s="35"/>
      <c r="X58" s="35"/>
    </row>
    <row r="59" spans="1:24">
      <c r="A59" s="389"/>
      <c r="B59" s="316"/>
      <c r="C59" s="316"/>
      <c r="D59" s="6"/>
      <c r="E59" s="366"/>
      <c r="F59" s="366"/>
      <c r="G59" s="366"/>
      <c r="H59" s="366"/>
      <c r="I59" s="366"/>
      <c r="J59" s="6"/>
      <c r="K59" s="6"/>
      <c r="L59" s="7" t="s">
        <v>18</v>
      </c>
      <c r="M59" s="250"/>
    </row>
    <row r="60" spans="1:24">
      <c r="A60" s="39"/>
      <c r="B60" s="6"/>
      <c r="C60" s="6"/>
      <c r="D60" s="6"/>
      <c r="E60" s="366"/>
      <c r="F60" s="366"/>
      <c r="G60" s="366"/>
      <c r="H60" s="366"/>
      <c r="I60" s="366"/>
      <c r="J60" s="6"/>
      <c r="K60" s="6"/>
      <c r="L60" s="6"/>
      <c r="M60" s="74"/>
    </row>
    <row r="61" spans="1:24">
      <c r="A61" s="389"/>
      <c r="B61" s="316"/>
      <c r="C61" s="316"/>
      <c r="D61" s="6"/>
      <c r="E61" s="366"/>
      <c r="F61" s="366"/>
      <c r="G61" s="366"/>
      <c r="H61" s="366"/>
      <c r="I61" s="366"/>
      <c r="J61" s="6"/>
      <c r="K61" s="6"/>
      <c r="L61" s="7" t="s">
        <v>18</v>
      </c>
      <c r="M61" s="250"/>
    </row>
    <row r="62" spans="1:24">
      <c r="A62" s="39"/>
      <c r="B62" s="6"/>
      <c r="C62" s="6"/>
      <c r="D62" s="6"/>
      <c r="E62" s="366"/>
      <c r="F62" s="366"/>
      <c r="G62" s="366"/>
      <c r="H62" s="366"/>
      <c r="I62" s="366"/>
      <c r="J62" s="6"/>
      <c r="K62" s="6"/>
      <c r="L62" s="6"/>
      <c r="M62" s="74"/>
    </row>
    <row r="63" spans="1:24">
      <c r="A63" s="389"/>
      <c r="B63" s="316"/>
      <c r="C63" s="316"/>
      <c r="D63" s="6"/>
      <c r="E63" s="366"/>
      <c r="F63" s="366"/>
      <c r="G63" s="366"/>
      <c r="H63" s="366"/>
      <c r="I63" s="366"/>
      <c r="J63" s="6"/>
      <c r="K63" s="6"/>
      <c r="L63" s="7" t="s">
        <v>18</v>
      </c>
      <c r="M63" s="250"/>
    </row>
    <row r="64" spans="1:24">
      <c r="A64" s="39"/>
      <c r="B64" s="6"/>
      <c r="C64" s="6"/>
      <c r="D64" s="6"/>
      <c r="E64" s="366"/>
      <c r="F64" s="366"/>
      <c r="G64" s="366"/>
      <c r="H64" s="366"/>
      <c r="I64" s="366"/>
      <c r="J64" s="6"/>
      <c r="K64" s="6"/>
      <c r="L64" s="6"/>
      <c r="M64" s="74"/>
    </row>
    <row r="65" spans="1:24">
      <c r="A65" s="389"/>
      <c r="B65" s="316"/>
      <c r="C65" s="316"/>
      <c r="D65" s="6"/>
      <c r="E65" s="366"/>
      <c r="F65" s="366"/>
      <c r="G65" s="366"/>
      <c r="H65" s="366"/>
      <c r="I65" s="366"/>
      <c r="J65" s="6"/>
      <c r="K65" s="6"/>
      <c r="L65" s="7" t="s">
        <v>18</v>
      </c>
      <c r="M65" s="250"/>
      <c r="O65" s="35" t="s">
        <v>285</v>
      </c>
      <c r="P65" s="35"/>
      <c r="Q65" s="35"/>
      <c r="R65" s="35"/>
      <c r="S65" s="35"/>
      <c r="T65" s="35"/>
      <c r="U65" s="35"/>
      <c r="V65" s="35"/>
      <c r="W65" s="35"/>
      <c r="X65" s="35"/>
    </row>
    <row r="66" spans="1:24">
      <c r="A66" s="39"/>
      <c r="B66" s="6"/>
      <c r="C66" s="6"/>
      <c r="D66" s="6"/>
      <c r="E66" s="366"/>
      <c r="F66" s="366"/>
      <c r="G66" s="366"/>
      <c r="H66" s="366"/>
      <c r="I66" s="366"/>
      <c r="J66" s="6"/>
      <c r="K66" s="6"/>
      <c r="L66" s="6"/>
      <c r="M66" s="74"/>
    </row>
    <row r="67" spans="1:24">
      <c r="A67" s="389"/>
      <c r="B67" s="316"/>
      <c r="C67" s="316"/>
      <c r="D67" s="6"/>
      <c r="E67" s="366"/>
      <c r="F67" s="366"/>
      <c r="G67" s="366"/>
      <c r="H67" s="366"/>
      <c r="I67" s="366"/>
      <c r="J67" s="6"/>
      <c r="K67" s="6"/>
      <c r="L67" s="7" t="s">
        <v>18</v>
      </c>
      <c r="M67" s="250"/>
    </row>
    <row r="68" spans="1:24">
      <c r="A68" s="39"/>
      <c r="B68" s="6"/>
      <c r="C68" s="6"/>
      <c r="D68" s="6"/>
      <c r="E68" s="366"/>
      <c r="F68" s="366"/>
      <c r="G68" s="366"/>
      <c r="H68" s="366"/>
      <c r="I68" s="366"/>
      <c r="J68" s="6"/>
      <c r="K68" s="6"/>
      <c r="L68" s="6"/>
      <c r="M68" s="74"/>
    </row>
    <row r="69" spans="1:24">
      <c r="A69" s="389"/>
      <c r="B69" s="316"/>
      <c r="C69" s="316"/>
      <c r="D69" s="6"/>
      <c r="E69" s="366"/>
      <c r="F69" s="366"/>
      <c r="G69" s="366"/>
      <c r="H69" s="366"/>
      <c r="I69" s="366"/>
      <c r="J69" s="6"/>
      <c r="K69" s="6"/>
      <c r="L69" s="7" t="s">
        <v>18</v>
      </c>
      <c r="M69" s="250"/>
    </row>
    <row r="70" spans="1:24">
      <c r="A70" s="39"/>
      <c r="B70" s="6"/>
      <c r="C70" s="6"/>
      <c r="D70" s="6"/>
      <c r="E70" s="366"/>
      <c r="F70" s="366"/>
      <c r="G70" s="366"/>
      <c r="H70" s="366"/>
      <c r="I70" s="366"/>
      <c r="J70" s="6"/>
      <c r="K70" s="6"/>
      <c r="L70" s="6"/>
      <c r="M70" s="74"/>
    </row>
    <row r="71" spans="1:24">
      <c r="A71" s="389"/>
      <c r="B71" s="316"/>
      <c r="C71" s="316"/>
      <c r="D71" s="6"/>
      <c r="E71" s="366"/>
      <c r="F71" s="366"/>
      <c r="G71" s="366"/>
      <c r="H71" s="366"/>
      <c r="I71" s="366"/>
      <c r="J71" s="6"/>
      <c r="K71" s="6"/>
      <c r="L71" s="7" t="s">
        <v>18</v>
      </c>
      <c r="M71" s="250"/>
    </row>
    <row r="72" spans="1:24">
      <c r="A72" s="39"/>
      <c r="B72" s="6"/>
      <c r="C72" s="6"/>
      <c r="D72" s="6"/>
      <c r="E72" s="366"/>
      <c r="F72" s="366"/>
      <c r="G72" s="366"/>
      <c r="H72" s="366"/>
      <c r="I72" s="366"/>
      <c r="J72" s="6"/>
      <c r="K72" s="6"/>
      <c r="L72" s="6"/>
      <c r="M72" s="74"/>
    </row>
    <row r="73" spans="1:24">
      <c r="A73" s="389"/>
      <c r="B73" s="316"/>
      <c r="C73" s="316"/>
      <c r="D73" s="6"/>
      <c r="E73" s="366"/>
      <c r="F73" s="366"/>
      <c r="G73" s="366"/>
      <c r="H73" s="366"/>
      <c r="I73" s="366"/>
      <c r="J73" s="6"/>
      <c r="K73" s="6"/>
      <c r="L73" s="7" t="s">
        <v>18</v>
      </c>
      <c r="M73" s="250"/>
    </row>
    <row r="74" spans="1:24">
      <c r="A74" s="39"/>
      <c r="B74" s="6"/>
      <c r="C74" s="6"/>
      <c r="D74" s="6"/>
      <c r="E74" s="366"/>
      <c r="F74" s="366"/>
      <c r="G74" s="366"/>
      <c r="H74" s="366"/>
      <c r="I74" s="366"/>
      <c r="J74" s="6"/>
      <c r="K74" s="6"/>
      <c r="L74" s="6"/>
      <c r="M74" s="74"/>
    </row>
    <row r="75" spans="1:24">
      <c r="A75" s="389"/>
      <c r="B75" s="316"/>
      <c r="C75" s="316"/>
      <c r="D75" s="6"/>
      <c r="E75" s="366"/>
      <c r="F75" s="366"/>
      <c r="G75" s="366"/>
      <c r="H75" s="366"/>
      <c r="I75" s="366"/>
      <c r="J75" s="6"/>
      <c r="K75" s="6"/>
      <c r="L75" s="7" t="s">
        <v>18</v>
      </c>
      <c r="M75" s="250"/>
    </row>
    <row r="76" spans="1:24">
      <c r="A76" s="39"/>
      <c r="B76" s="6"/>
      <c r="C76" s="6"/>
      <c r="D76" s="6"/>
      <c r="E76" s="366"/>
      <c r="F76" s="366"/>
      <c r="G76" s="366"/>
      <c r="H76" s="366"/>
      <c r="I76" s="366"/>
      <c r="J76" s="6"/>
      <c r="K76" s="6"/>
      <c r="L76" s="6"/>
      <c r="M76" s="74"/>
    </row>
    <row r="77" spans="1:24">
      <c r="A77" s="389"/>
      <c r="B77" s="316"/>
      <c r="C77" s="316"/>
      <c r="D77" s="6"/>
      <c r="E77" s="366"/>
      <c r="F77" s="366"/>
      <c r="G77" s="366"/>
      <c r="H77" s="366"/>
      <c r="I77" s="366"/>
      <c r="J77" s="6"/>
      <c r="K77" s="6"/>
      <c r="L77" s="7" t="s">
        <v>18</v>
      </c>
      <c r="M77" s="250"/>
    </row>
    <row r="78" spans="1:24">
      <c r="A78" s="39"/>
      <c r="B78" s="6"/>
      <c r="C78" s="6"/>
      <c r="D78" s="6"/>
      <c r="E78" s="366"/>
      <c r="F78" s="366"/>
      <c r="G78" s="366"/>
      <c r="H78" s="366"/>
      <c r="I78" s="366"/>
      <c r="J78" s="6"/>
      <c r="K78" s="6"/>
      <c r="L78" s="6"/>
      <c r="M78" s="74"/>
    </row>
    <row r="79" spans="1:24">
      <c r="A79" s="389"/>
      <c r="B79" s="316"/>
      <c r="C79" s="316"/>
      <c r="D79" s="6"/>
      <c r="E79" s="366"/>
      <c r="F79" s="366"/>
      <c r="G79" s="366"/>
      <c r="H79" s="366"/>
      <c r="I79" s="366"/>
      <c r="J79" s="6"/>
      <c r="K79" s="6"/>
      <c r="L79" s="7" t="s">
        <v>18</v>
      </c>
      <c r="M79" s="250"/>
    </row>
    <row r="80" spans="1:24">
      <c r="A80" s="39"/>
      <c r="B80" s="6"/>
      <c r="C80" s="6"/>
      <c r="D80" s="6"/>
      <c r="E80" s="366"/>
      <c r="F80" s="366"/>
      <c r="G80" s="366"/>
      <c r="H80" s="366"/>
      <c r="I80" s="366"/>
      <c r="J80" s="6"/>
      <c r="K80" s="6"/>
      <c r="L80" s="6"/>
      <c r="M80" s="74"/>
    </row>
    <row r="81" spans="1:13">
      <c r="A81" s="389"/>
      <c r="B81" s="316"/>
      <c r="C81" s="316"/>
      <c r="D81" s="6"/>
      <c r="E81" s="366"/>
      <c r="F81" s="366"/>
      <c r="G81" s="366"/>
      <c r="H81" s="366"/>
      <c r="I81" s="366"/>
      <c r="J81" s="6"/>
      <c r="K81" s="6"/>
      <c r="L81" s="7" t="s">
        <v>18</v>
      </c>
      <c r="M81" s="250"/>
    </row>
    <row r="82" spans="1:13">
      <c r="A82" s="39"/>
      <c r="B82" s="6"/>
      <c r="C82" s="6"/>
      <c r="D82" s="6"/>
      <c r="E82" s="366"/>
      <c r="F82" s="366"/>
      <c r="G82" s="366"/>
      <c r="H82" s="366"/>
      <c r="I82" s="366"/>
      <c r="J82" s="6"/>
      <c r="K82" s="6"/>
      <c r="L82" s="6"/>
      <c r="M82" s="74"/>
    </row>
    <row r="83" spans="1:13">
      <c r="A83" s="389"/>
      <c r="B83" s="316"/>
      <c r="C83" s="316"/>
      <c r="D83" s="6"/>
      <c r="E83" s="366"/>
      <c r="F83" s="366"/>
      <c r="G83" s="366"/>
      <c r="H83" s="366"/>
      <c r="I83" s="366"/>
      <c r="J83" s="6"/>
      <c r="K83" s="6"/>
      <c r="L83" s="7" t="s">
        <v>18</v>
      </c>
      <c r="M83" s="250"/>
    </row>
    <row r="84" spans="1:13">
      <c r="A84" s="39"/>
      <c r="B84" s="6"/>
      <c r="C84" s="6"/>
      <c r="D84" s="6"/>
      <c r="E84" s="366"/>
      <c r="F84" s="366"/>
      <c r="G84" s="366"/>
      <c r="H84" s="366"/>
      <c r="I84" s="366"/>
      <c r="J84" s="6"/>
      <c r="K84" s="6"/>
      <c r="L84" s="6"/>
      <c r="M84" s="74"/>
    </row>
    <row r="85" spans="1:13">
      <c r="A85" s="389"/>
      <c r="B85" s="316"/>
      <c r="C85" s="316"/>
      <c r="D85" s="6"/>
      <c r="E85" s="366"/>
      <c r="F85" s="366"/>
      <c r="G85" s="366"/>
      <c r="H85" s="366"/>
      <c r="I85" s="366"/>
      <c r="J85" s="6"/>
      <c r="K85" s="6"/>
      <c r="L85" s="7" t="s">
        <v>18</v>
      </c>
      <c r="M85" s="250"/>
    </row>
    <row r="86" spans="1:13">
      <c r="A86" s="39"/>
      <c r="B86" s="6"/>
      <c r="C86" s="6"/>
      <c r="D86" s="6"/>
      <c r="E86" s="366"/>
      <c r="F86" s="366"/>
      <c r="G86" s="366"/>
      <c r="H86" s="366"/>
      <c r="I86" s="366"/>
      <c r="J86" s="6"/>
      <c r="K86" s="6"/>
      <c r="L86" s="6"/>
      <c r="M86" s="74"/>
    </row>
    <row r="87" spans="1:13">
      <c r="A87" s="389"/>
      <c r="B87" s="316"/>
      <c r="C87" s="316"/>
      <c r="D87" s="6"/>
      <c r="E87" s="366"/>
      <c r="F87" s="366"/>
      <c r="G87" s="366"/>
      <c r="H87" s="366"/>
      <c r="I87" s="366"/>
      <c r="J87" s="6"/>
      <c r="K87" s="6"/>
      <c r="L87" s="7" t="s">
        <v>18</v>
      </c>
      <c r="M87" s="250"/>
    </row>
    <row r="88" spans="1:13">
      <c r="A88" s="39"/>
      <c r="B88" s="6"/>
      <c r="C88" s="6"/>
      <c r="D88" s="6"/>
      <c r="E88" s="366"/>
      <c r="F88" s="366"/>
      <c r="G88" s="366"/>
      <c r="H88" s="366"/>
      <c r="I88" s="366"/>
      <c r="J88" s="6"/>
      <c r="K88" s="6"/>
      <c r="L88" s="6"/>
      <c r="M88" s="74"/>
    </row>
    <row r="89" spans="1:13">
      <c r="A89" s="389"/>
      <c r="B89" s="316"/>
      <c r="C89" s="316"/>
      <c r="D89" s="6"/>
      <c r="E89" s="366"/>
      <c r="F89" s="366"/>
      <c r="G89" s="366"/>
      <c r="H89" s="366"/>
      <c r="I89" s="366"/>
      <c r="J89" s="6"/>
      <c r="K89" s="6"/>
      <c r="L89" s="7" t="s">
        <v>18</v>
      </c>
      <c r="M89" s="250"/>
    </row>
    <row r="90" spans="1:13">
      <c r="A90" s="39"/>
      <c r="B90" s="6"/>
      <c r="C90" s="6"/>
      <c r="D90" s="6"/>
      <c r="E90" s="366"/>
      <c r="F90" s="366"/>
      <c r="G90" s="366"/>
      <c r="H90" s="366"/>
      <c r="I90" s="366"/>
      <c r="J90" s="6"/>
      <c r="K90" s="6"/>
      <c r="L90" s="6"/>
      <c r="M90" s="74"/>
    </row>
    <row r="91" spans="1:13">
      <c r="A91" s="389"/>
      <c r="B91" s="316"/>
      <c r="C91" s="316"/>
      <c r="D91" s="6"/>
      <c r="E91" s="366"/>
      <c r="F91" s="366"/>
      <c r="G91" s="366"/>
      <c r="H91" s="366"/>
      <c r="I91" s="366"/>
      <c r="J91" s="6"/>
      <c r="K91" s="6"/>
      <c r="L91" s="7" t="s">
        <v>18</v>
      </c>
      <c r="M91" s="251"/>
    </row>
    <row r="92" spans="1:13">
      <c r="A92" s="39"/>
      <c r="B92" s="6"/>
      <c r="C92" s="6"/>
      <c r="D92" s="6"/>
      <c r="E92" s="366"/>
      <c r="F92" s="366"/>
      <c r="G92" s="366"/>
      <c r="H92" s="366"/>
      <c r="I92" s="366"/>
      <c r="J92" s="6"/>
      <c r="K92" s="6"/>
      <c r="L92" s="6"/>
      <c r="M92" s="74"/>
    </row>
    <row r="93" spans="1:13">
      <c r="A93" s="389"/>
      <c r="B93" s="316"/>
      <c r="C93" s="316"/>
      <c r="D93" s="6"/>
      <c r="E93" s="366"/>
      <c r="F93" s="366"/>
      <c r="G93" s="366"/>
      <c r="H93" s="366"/>
      <c r="I93" s="366"/>
      <c r="J93" s="6"/>
      <c r="K93" s="6"/>
      <c r="L93" s="7" t="s">
        <v>18</v>
      </c>
      <c r="M93" s="251"/>
    </row>
    <row r="94" spans="1:13">
      <c r="A94" s="39"/>
      <c r="B94" s="6"/>
      <c r="C94" s="6"/>
      <c r="D94" s="6"/>
      <c r="E94" s="366"/>
      <c r="F94" s="366"/>
      <c r="G94" s="366"/>
      <c r="H94" s="366"/>
      <c r="I94" s="366"/>
      <c r="J94" s="6"/>
      <c r="K94" s="6"/>
      <c r="L94" s="6"/>
      <c r="M94" s="74"/>
    </row>
    <row r="95" spans="1:13">
      <c r="A95" s="389"/>
      <c r="B95" s="316"/>
      <c r="C95" s="316"/>
      <c r="D95" s="6"/>
      <c r="E95" s="366"/>
      <c r="F95" s="366"/>
      <c r="G95" s="366"/>
      <c r="H95" s="366"/>
      <c r="I95" s="366"/>
      <c r="J95" s="6"/>
      <c r="K95" s="6"/>
      <c r="L95" s="7" t="s">
        <v>18</v>
      </c>
      <c r="M95" s="251"/>
    </row>
    <row r="96" spans="1:13">
      <c r="A96" s="39"/>
      <c r="B96" s="6"/>
      <c r="C96" s="6"/>
      <c r="D96" s="6"/>
      <c r="E96" s="366"/>
      <c r="F96" s="366"/>
      <c r="G96" s="366"/>
      <c r="H96" s="366"/>
      <c r="I96" s="366"/>
      <c r="J96" s="6"/>
      <c r="K96" s="6"/>
      <c r="L96" s="6"/>
      <c r="M96" s="74"/>
    </row>
    <row r="97" spans="1:23">
      <c r="A97" s="389"/>
      <c r="B97" s="316"/>
      <c r="C97" s="316"/>
      <c r="D97" s="6"/>
      <c r="E97" s="366"/>
      <c r="F97" s="366"/>
      <c r="G97" s="366"/>
      <c r="H97" s="366"/>
      <c r="I97" s="366"/>
      <c r="J97" s="6"/>
      <c r="K97" s="6"/>
      <c r="L97" s="7" t="s">
        <v>18</v>
      </c>
      <c r="M97" s="251"/>
    </row>
    <row r="98" spans="1:23">
      <c r="A98" s="39"/>
      <c r="B98" s="6"/>
      <c r="C98" s="6"/>
      <c r="D98" s="6"/>
      <c r="E98" s="366"/>
      <c r="F98" s="366"/>
      <c r="G98" s="366"/>
      <c r="H98" s="366"/>
      <c r="I98" s="366"/>
      <c r="J98" s="6"/>
      <c r="K98" s="6"/>
      <c r="L98" s="6"/>
      <c r="M98" s="74"/>
    </row>
    <row r="99" spans="1:23">
      <c r="A99" s="389"/>
      <c r="B99" s="316"/>
      <c r="C99" s="316"/>
      <c r="D99" s="6"/>
      <c r="E99" s="366"/>
      <c r="F99" s="366"/>
      <c r="G99" s="366"/>
      <c r="H99" s="366"/>
      <c r="I99" s="366"/>
      <c r="J99" s="6"/>
      <c r="K99" s="6"/>
      <c r="L99" s="7" t="s">
        <v>18</v>
      </c>
      <c r="M99" s="251"/>
    </row>
    <row r="100" spans="1:23" ht="13.5" thickBot="1">
      <c r="A100" s="39"/>
      <c r="B100" s="6"/>
      <c r="C100" s="6"/>
      <c r="D100" s="6"/>
      <c r="E100" s="366"/>
      <c r="F100" s="366"/>
      <c r="G100" s="366"/>
      <c r="H100" s="366"/>
      <c r="I100" s="366"/>
      <c r="J100" s="6"/>
      <c r="K100" s="6"/>
      <c r="L100" s="6"/>
      <c r="M100" s="38"/>
      <c r="P100" s="3"/>
      <c r="Q100" s="3"/>
      <c r="R100" s="3"/>
      <c r="S100" s="3"/>
      <c r="T100" s="3"/>
      <c r="U100" s="3"/>
    </row>
    <row r="101" spans="1:23" ht="14.25" thickTop="1" thickBot="1">
      <c r="A101" s="39"/>
      <c r="B101" s="6"/>
      <c r="C101" s="6"/>
      <c r="D101" s="6"/>
      <c r="E101" s="6"/>
      <c r="F101" s="72" t="s">
        <v>303</v>
      </c>
      <c r="G101" s="6"/>
      <c r="H101" s="6"/>
      <c r="I101" s="6"/>
      <c r="J101" s="6"/>
      <c r="K101" s="6"/>
      <c r="L101" s="70" t="s">
        <v>18</v>
      </c>
      <c r="M101" s="75">
        <f>SUM($M$55:$M$100)</f>
        <v>0</v>
      </c>
      <c r="O101" s="191" t="s">
        <v>313</v>
      </c>
      <c r="P101" s="35"/>
      <c r="Q101" s="35"/>
      <c r="R101" s="35"/>
      <c r="S101" s="35"/>
      <c r="T101" s="35"/>
      <c r="U101" s="35"/>
      <c r="V101" s="35"/>
      <c r="W101" s="35"/>
    </row>
    <row r="102" spans="1:23" ht="14.25" thickTop="1" thickBot="1">
      <c r="A102" s="54"/>
      <c r="B102" s="10"/>
      <c r="C102" s="10"/>
      <c r="D102" s="10"/>
      <c r="E102" s="10"/>
      <c r="F102" s="10"/>
      <c r="G102" s="10"/>
      <c r="H102" s="10"/>
      <c r="I102" s="10"/>
      <c r="J102" s="10"/>
      <c r="K102" s="10"/>
      <c r="L102" s="10"/>
      <c r="M102" s="55"/>
    </row>
  </sheetData>
  <sheetProtection password="E4A7" sheet="1" objects="1" scenarios="1" selectLockedCells="1"/>
  <mergeCells count="146">
    <mergeCell ref="E100:I100"/>
    <mergeCell ref="E50:I50"/>
    <mergeCell ref="A45:C45"/>
    <mergeCell ref="E45:I45"/>
    <mergeCell ref="E38:I38"/>
    <mergeCell ref="A39:C39"/>
    <mergeCell ref="E48:I48"/>
    <mergeCell ref="A49:C49"/>
    <mergeCell ref="E49:I49"/>
    <mergeCell ref="E46:I46"/>
    <mergeCell ref="E47:I47"/>
    <mergeCell ref="E40:I40"/>
    <mergeCell ref="A41:C41"/>
    <mergeCell ref="E41:I41"/>
    <mergeCell ref="E42:I42"/>
    <mergeCell ref="A43:C43"/>
    <mergeCell ref="E43:I43"/>
    <mergeCell ref="E44:I44"/>
    <mergeCell ref="A47:C47"/>
    <mergeCell ref="A53:M53"/>
    <mergeCell ref="A54:C54"/>
    <mergeCell ref="E54:I54"/>
    <mergeCell ref="A61:C61"/>
    <mergeCell ref="E61:I61"/>
    <mergeCell ref="E32:I32"/>
    <mergeCell ref="E39:I39"/>
    <mergeCell ref="E34:I34"/>
    <mergeCell ref="A35:C35"/>
    <mergeCell ref="E35:I35"/>
    <mergeCell ref="E36:I36"/>
    <mergeCell ref="A37:C37"/>
    <mergeCell ref="E37:I37"/>
    <mergeCell ref="A33:C33"/>
    <mergeCell ref="E33:I33"/>
    <mergeCell ref="E16:I16"/>
    <mergeCell ref="E17:I17"/>
    <mergeCell ref="A13:C13"/>
    <mergeCell ref="A7:C7"/>
    <mergeCell ref="A5:C5"/>
    <mergeCell ref="E30:I30"/>
    <mergeCell ref="A31:C31"/>
    <mergeCell ref="E31:I31"/>
    <mergeCell ref="E20:I20"/>
    <mergeCell ref="E21:I21"/>
    <mergeCell ref="E24:I24"/>
    <mergeCell ref="E25:I25"/>
    <mergeCell ref="E26:I26"/>
    <mergeCell ref="E27:I27"/>
    <mergeCell ref="E28:I28"/>
    <mergeCell ref="A29:C29"/>
    <mergeCell ref="E22:I22"/>
    <mergeCell ref="E23:I23"/>
    <mergeCell ref="E29:I29"/>
    <mergeCell ref="A23:C23"/>
    <mergeCell ref="A25:C25"/>
    <mergeCell ref="A27:C27"/>
    <mergeCell ref="A3:M3"/>
    <mergeCell ref="A4:C4"/>
    <mergeCell ref="E4:I4"/>
    <mergeCell ref="A1:B1"/>
    <mergeCell ref="E1:G1"/>
    <mergeCell ref="A11:C11"/>
    <mergeCell ref="A9:C9"/>
    <mergeCell ref="A19:C19"/>
    <mergeCell ref="A21:C21"/>
    <mergeCell ref="E18:I18"/>
    <mergeCell ref="E19:I19"/>
    <mergeCell ref="E10:I10"/>
    <mergeCell ref="E11:I11"/>
    <mergeCell ref="E12:I12"/>
    <mergeCell ref="E13:I13"/>
    <mergeCell ref="A15:C15"/>
    <mergeCell ref="A17:C17"/>
    <mergeCell ref="E5:I5"/>
    <mergeCell ref="E6:I6"/>
    <mergeCell ref="E8:I8"/>
    <mergeCell ref="E9:I9"/>
    <mergeCell ref="E7:I7"/>
    <mergeCell ref="E14:I14"/>
    <mergeCell ref="E15:I15"/>
    <mergeCell ref="A55:C55"/>
    <mergeCell ref="E55:I55"/>
    <mergeCell ref="E56:I56"/>
    <mergeCell ref="A57:C57"/>
    <mergeCell ref="E57:I57"/>
    <mergeCell ref="E62:I62"/>
    <mergeCell ref="A63:C63"/>
    <mergeCell ref="E63:I63"/>
    <mergeCell ref="E58:I58"/>
    <mergeCell ref="A59:C59"/>
    <mergeCell ref="E59:I59"/>
    <mergeCell ref="E60:I60"/>
    <mergeCell ref="A67:C67"/>
    <mergeCell ref="E67:I67"/>
    <mergeCell ref="E68:I68"/>
    <mergeCell ref="A69:C69"/>
    <mergeCell ref="E69:I69"/>
    <mergeCell ref="E64:I64"/>
    <mergeCell ref="A65:C65"/>
    <mergeCell ref="E65:I65"/>
    <mergeCell ref="E66:I66"/>
    <mergeCell ref="A73:C73"/>
    <mergeCell ref="E73:I73"/>
    <mergeCell ref="E74:I74"/>
    <mergeCell ref="A75:C75"/>
    <mergeCell ref="E75:I75"/>
    <mergeCell ref="E70:I70"/>
    <mergeCell ref="A71:C71"/>
    <mergeCell ref="E71:I71"/>
    <mergeCell ref="E72:I72"/>
    <mergeCell ref="E83:I83"/>
    <mergeCell ref="E84:I84"/>
    <mergeCell ref="A85:C85"/>
    <mergeCell ref="E85:I85"/>
    <mergeCell ref="E88:I88"/>
    <mergeCell ref="A87:C87"/>
    <mergeCell ref="E87:I87"/>
    <mergeCell ref="A79:C79"/>
    <mergeCell ref="E79:I79"/>
    <mergeCell ref="E80:I80"/>
    <mergeCell ref="A81:C81"/>
    <mergeCell ref="E81:I81"/>
    <mergeCell ref="E76:I76"/>
    <mergeCell ref="A99:C99"/>
    <mergeCell ref="E99:I99"/>
    <mergeCell ref="E89:I89"/>
    <mergeCell ref="E90:I90"/>
    <mergeCell ref="E95:I95"/>
    <mergeCell ref="E96:I96"/>
    <mergeCell ref="A97:C97"/>
    <mergeCell ref="E97:I97"/>
    <mergeCell ref="A95:C95"/>
    <mergeCell ref="E94:I94"/>
    <mergeCell ref="E92:I92"/>
    <mergeCell ref="A89:C89"/>
    <mergeCell ref="A91:C91"/>
    <mergeCell ref="E91:I91"/>
    <mergeCell ref="E98:I98"/>
    <mergeCell ref="E86:I86"/>
    <mergeCell ref="A93:C93"/>
    <mergeCell ref="E93:I93"/>
    <mergeCell ref="A77:C77"/>
    <mergeCell ref="E77:I77"/>
    <mergeCell ref="E78:I78"/>
    <mergeCell ref="E82:I82"/>
    <mergeCell ref="A83:C83"/>
  </mergeCells>
  <phoneticPr fontId="2" type="noConversion"/>
  <printOptions horizontalCentered="1"/>
  <pageMargins left="0.25" right="0.25" top="0.95" bottom="0.95" header="0.25" footer="0.5"/>
  <pageSetup orientation="portrait" r:id="rId1"/>
  <headerFooter alignWithMargins="0">
    <oddHeader>&amp;R&amp;8Revised 01-2013</oddHeader>
    <oddFooter>&amp;L&amp;5&amp;F&amp;C&amp;"Arial,Bold"&amp;8&amp;A&amp;R&amp;8&amp;P</oddFooter>
  </headerFooter>
  <drawing r:id="rId2"/>
  <legacyDrawing r:id="rId3"/>
</worksheet>
</file>

<file path=xl/worksheets/sheet6.xml><?xml version="1.0" encoding="utf-8"?>
<worksheet xmlns="http://schemas.openxmlformats.org/spreadsheetml/2006/main" xmlns:r="http://schemas.openxmlformats.org/officeDocument/2006/relationships">
  <dimension ref="A1:AG106"/>
  <sheetViews>
    <sheetView showGridLines="0" zoomScaleNormal="100" workbookViewId="0">
      <pane ySplit="2" topLeftCell="A3" activePane="bottomLeft" state="frozen"/>
      <selection activeCell="B3" sqref="B3:C3"/>
      <selection pane="bottomLeft" activeCell="H5" sqref="H5"/>
    </sheetView>
  </sheetViews>
  <sheetFormatPr defaultRowHeight="12.75"/>
  <cols>
    <col min="1" max="3" width="5.7109375" customWidth="1"/>
    <col min="7" max="7" width="2" style="1" bestFit="1" customWidth="1"/>
    <col min="9" max="9" width="2.140625" style="1" bestFit="1" customWidth="1"/>
    <col min="10" max="10" width="2.140625" style="1" customWidth="1"/>
    <col min="12" max="12" width="2.140625" style="1" bestFit="1" customWidth="1"/>
    <col min="13" max="13" width="2" style="1" bestFit="1" customWidth="1"/>
    <col min="15" max="15" width="2" bestFit="1" customWidth="1"/>
  </cols>
  <sheetData>
    <row r="1" spans="1:29">
      <c r="A1" s="351" t="s">
        <v>48</v>
      </c>
      <c r="B1" s="351"/>
      <c r="C1" s="351"/>
      <c r="D1" s="362" t="str">
        <f>'OA Budget Planning-Report Sheet'!B5</f>
        <v>Chapter Name (Number)</v>
      </c>
      <c r="E1" s="362"/>
      <c r="F1" s="362"/>
      <c r="G1" s="8"/>
      <c r="H1" s="8"/>
      <c r="K1" s="351" t="s">
        <v>49</v>
      </c>
      <c r="L1" s="351"/>
      <c r="N1" s="328" t="str">
        <f>'OA Budget Planning-Report Sheet'!B7</f>
        <v>Custodial Account</v>
      </c>
      <c r="O1" s="328"/>
      <c r="P1" s="328"/>
      <c r="R1" s="141" t="s">
        <v>253</v>
      </c>
      <c r="S1" s="35"/>
      <c r="T1" s="35"/>
      <c r="U1" s="35"/>
      <c r="V1" s="35"/>
      <c r="W1" s="35"/>
      <c r="X1" s="35"/>
      <c r="Y1" s="35"/>
      <c r="Z1" s="35"/>
      <c r="AA1" s="35"/>
      <c r="AB1" s="35"/>
    </row>
    <row r="2" spans="1:29" ht="13.5" thickBot="1">
      <c r="A2" s="10"/>
      <c r="B2" s="10"/>
      <c r="C2" s="10"/>
      <c r="D2" s="10"/>
      <c r="E2" s="10"/>
      <c r="F2" s="10"/>
      <c r="G2" s="11"/>
      <c r="H2" s="10"/>
      <c r="I2" s="11"/>
      <c r="J2" s="11"/>
      <c r="K2" s="10"/>
      <c r="L2" s="11"/>
      <c r="M2" s="11"/>
      <c r="N2" s="10"/>
      <c r="O2" s="10"/>
      <c r="P2" s="10"/>
      <c r="R2" s="141" t="s">
        <v>256</v>
      </c>
      <c r="S2" s="35"/>
      <c r="T2" s="35"/>
      <c r="U2" s="35"/>
      <c r="V2" s="35"/>
      <c r="W2" s="35"/>
      <c r="X2" s="35"/>
      <c r="Y2" s="35"/>
      <c r="Z2" s="35"/>
      <c r="AA2" s="35"/>
      <c r="AB2" s="35"/>
      <c r="AC2" s="35"/>
    </row>
    <row r="3" spans="1:29">
      <c r="A3" s="401" t="s">
        <v>52</v>
      </c>
      <c r="B3" s="402"/>
      <c r="C3" s="402"/>
      <c r="D3" s="402"/>
      <c r="E3" s="402"/>
      <c r="F3" s="27"/>
      <c r="G3" s="28"/>
      <c r="H3" s="27"/>
      <c r="I3" s="28"/>
      <c r="J3" s="28"/>
      <c r="K3" s="27"/>
      <c r="L3" s="28"/>
      <c r="M3" s="28"/>
      <c r="N3" s="27"/>
      <c r="O3" s="27"/>
      <c r="P3" s="37"/>
    </row>
    <row r="4" spans="1:29">
      <c r="A4" s="39"/>
      <c r="B4" s="6"/>
      <c r="C4" s="6"/>
      <c r="D4" s="6"/>
      <c r="E4" s="6"/>
      <c r="F4" s="6"/>
      <c r="G4" s="7"/>
      <c r="H4" s="77" t="s">
        <v>151</v>
      </c>
      <c r="I4" s="7"/>
      <c r="J4" s="7"/>
      <c r="K4" s="77" t="s">
        <v>307</v>
      </c>
      <c r="L4" s="7"/>
      <c r="M4" s="7"/>
      <c r="N4" s="77" t="s">
        <v>152</v>
      </c>
      <c r="O4" s="6"/>
      <c r="P4" s="38"/>
    </row>
    <row r="5" spans="1:29">
      <c r="A5" s="39"/>
      <c r="B5" s="312" t="s">
        <v>14</v>
      </c>
      <c r="C5" s="312"/>
      <c r="D5" s="312"/>
      <c r="E5" s="312"/>
      <c r="F5" s="6"/>
      <c r="G5" s="7"/>
      <c r="H5" s="232"/>
      <c r="I5" s="7" t="s">
        <v>19</v>
      </c>
      <c r="J5" s="7" t="s">
        <v>18</v>
      </c>
      <c r="K5" s="48">
        <f>'Estimated Budget'!$N$69</f>
        <v>0</v>
      </c>
      <c r="L5" s="7" t="s">
        <v>20</v>
      </c>
      <c r="M5" s="7" t="s">
        <v>18</v>
      </c>
      <c r="N5" s="42">
        <f>$H$5*$K$5</f>
        <v>0</v>
      </c>
      <c r="O5" s="6"/>
      <c r="P5" s="38"/>
      <c r="R5" s="35" t="s">
        <v>177</v>
      </c>
      <c r="S5" s="35"/>
      <c r="T5" s="35"/>
      <c r="U5" s="35"/>
      <c r="V5" s="35"/>
      <c r="W5" s="35"/>
      <c r="X5" s="35"/>
      <c r="Y5" s="35"/>
    </row>
    <row r="6" spans="1:29">
      <c r="A6" s="39"/>
      <c r="B6" s="312" t="s">
        <v>28</v>
      </c>
      <c r="C6" s="312"/>
      <c r="D6" s="312"/>
      <c r="E6" s="312"/>
      <c r="F6" s="6"/>
      <c r="G6" s="7"/>
      <c r="H6" s="245"/>
      <c r="I6" s="7" t="s">
        <v>19</v>
      </c>
      <c r="J6" s="7" t="s">
        <v>18</v>
      </c>
      <c r="K6" s="48">
        <f>'Estimated Budget'!$N$76</f>
        <v>0</v>
      </c>
      <c r="L6" s="7" t="s">
        <v>20</v>
      </c>
      <c r="M6" s="7" t="s">
        <v>18</v>
      </c>
      <c r="N6" s="42">
        <f>$H$6*$K$6</f>
        <v>0</v>
      </c>
      <c r="O6" s="6"/>
      <c r="P6" s="38"/>
      <c r="R6" s="35" t="s">
        <v>167</v>
      </c>
      <c r="S6" s="35"/>
      <c r="T6" s="35"/>
      <c r="U6" s="35"/>
      <c r="V6" s="35"/>
      <c r="W6" s="35"/>
    </row>
    <row r="7" spans="1:29">
      <c r="A7" s="39"/>
      <c r="B7" s="40" t="s">
        <v>15</v>
      </c>
      <c r="C7" s="40"/>
      <c r="D7" s="40"/>
      <c r="E7" s="40"/>
      <c r="F7" s="6"/>
      <c r="G7" s="7"/>
      <c r="H7" s="245"/>
      <c r="I7" s="7" t="s">
        <v>19</v>
      </c>
      <c r="J7" s="7" t="s">
        <v>18</v>
      </c>
      <c r="K7" s="48">
        <f>'Estimated Budget'!$N$82</f>
        <v>0</v>
      </c>
      <c r="L7" s="7" t="s">
        <v>20</v>
      </c>
      <c r="M7" s="7" t="s">
        <v>18</v>
      </c>
      <c r="N7" s="42">
        <f>$H$7*$K$7</f>
        <v>0</v>
      </c>
      <c r="O7" s="6"/>
      <c r="P7" s="38"/>
      <c r="R7" s="191" t="s">
        <v>417</v>
      </c>
      <c r="S7" s="35"/>
      <c r="T7" s="35"/>
      <c r="U7" s="3"/>
      <c r="V7" s="3"/>
      <c r="W7" s="3"/>
      <c r="X7" s="3"/>
      <c r="Y7" s="3"/>
      <c r="Z7" s="3"/>
    </row>
    <row r="8" spans="1:29">
      <c r="A8" s="39"/>
      <c r="B8" s="40" t="s">
        <v>242</v>
      </c>
      <c r="C8" s="40"/>
      <c r="D8" s="40"/>
      <c r="E8" s="40"/>
      <c r="F8" s="6"/>
      <c r="G8" s="7"/>
      <c r="H8" s="245"/>
      <c r="I8" s="7" t="s">
        <v>19</v>
      </c>
      <c r="J8" s="7" t="s">
        <v>18</v>
      </c>
      <c r="K8" s="48">
        <f>'Estimated Budget'!$P$82</f>
        <v>0</v>
      </c>
      <c r="L8" s="7" t="s">
        <v>20</v>
      </c>
      <c r="M8" s="7" t="s">
        <v>18</v>
      </c>
      <c r="N8" s="42">
        <f>$H$8*$K$8</f>
        <v>0</v>
      </c>
      <c r="O8" s="6"/>
      <c r="P8" s="38"/>
      <c r="R8" s="3"/>
      <c r="S8" s="3"/>
      <c r="T8" s="3"/>
      <c r="U8" s="3"/>
      <c r="V8" s="3"/>
      <c r="W8" s="3"/>
    </row>
    <row r="9" spans="1:29">
      <c r="A9" s="39"/>
      <c r="B9" s="40" t="s">
        <v>16</v>
      </c>
      <c r="C9" s="40"/>
      <c r="D9" s="40"/>
      <c r="E9" s="40"/>
      <c r="F9" s="6"/>
      <c r="G9" s="7"/>
      <c r="H9" s="245"/>
      <c r="I9" s="7" t="s">
        <v>19</v>
      </c>
      <c r="J9" s="7" t="s">
        <v>18</v>
      </c>
      <c r="K9" s="48">
        <f>'Estimated Budget'!$N$87</f>
        <v>0</v>
      </c>
      <c r="L9" s="7" t="s">
        <v>20</v>
      </c>
      <c r="M9" s="7" t="s">
        <v>18</v>
      </c>
      <c r="N9" s="42">
        <f>$H$9*$K$9</f>
        <v>0</v>
      </c>
      <c r="O9" s="6"/>
      <c r="P9" s="38"/>
    </row>
    <row r="10" spans="1:29">
      <c r="A10" s="39"/>
      <c r="B10" s="405">
        <f>'Estimated Budget'!B98:E98</f>
        <v>0</v>
      </c>
      <c r="C10" s="405"/>
      <c r="D10" s="405"/>
      <c r="E10" s="405"/>
      <c r="F10" s="6"/>
      <c r="G10" s="7"/>
      <c r="H10" s="245"/>
      <c r="I10" s="7" t="s">
        <v>19</v>
      </c>
      <c r="J10" s="7" t="s">
        <v>18</v>
      </c>
      <c r="K10" s="48">
        <f>'Estimated Budget'!$K$98</f>
        <v>0</v>
      </c>
      <c r="L10" s="7" t="s">
        <v>20</v>
      </c>
      <c r="M10" s="7" t="s">
        <v>18</v>
      </c>
      <c r="N10" s="42">
        <f>$H$10*$K$10</f>
        <v>0</v>
      </c>
      <c r="O10" s="6"/>
      <c r="P10" s="38"/>
    </row>
    <row r="11" spans="1:29">
      <c r="A11" s="39"/>
      <c r="B11" s="405">
        <f>'Estimated Budget'!B99:E99</f>
        <v>0</v>
      </c>
      <c r="C11" s="405"/>
      <c r="D11" s="405"/>
      <c r="E11" s="405"/>
      <c r="F11" s="6"/>
      <c r="G11" s="7"/>
      <c r="H11" s="245"/>
      <c r="I11" s="7" t="s">
        <v>19</v>
      </c>
      <c r="J11" s="7" t="s">
        <v>18</v>
      </c>
      <c r="K11" s="48">
        <f>'Estimated Budget'!$K$99</f>
        <v>0</v>
      </c>
      <c r="L11" s="7" t="s">
        <v>20</v>
      </c>
      <c r="M11" s="7" t="s">
        <v>18</v>
      </c>
      <c r="N11" s="42">
        <f>$H$11*$K$11</f>
        <v>0</v>
      </c>
      <c r="O11" s="6"/>
      <c r="P11" s="38"/>
      <c r="R11" s="35" t="s">
        <v>159</v>
      </c>
      <c r="S11" s="35"/>
      <c r="T11" s="35"/>
      <c r="U11" s="35"/>
      <c r="V11" s="35"/>
    </row>
    <row r="12" spans="1:29">
      <c r="A12" s="39"/>
      <c r="B12" s="403"/>
      <c r="C12" s="403"/>
      <c r="D12" s="403"/>
      <c r="E12" s="403"/>
      <c r="F12" s="6"/>
      <c r="G12" s="7"/>
      <c r="H12" s="245"/>
      <c r="I12" s="7" t="s">
        <v>19</v>
      </c>
      <c r="J12" s="7" t="s">
        <v>18</v>
      </c>
      <c r="K12" s="236"/>
      <c r="L12" s="7" t="s">
        <v>20</v>
      </c>
      <c r="M12" s="7" t="s">
        <v>18</v>
      </c>
      <c r="N12" s="42">
        <f>$H$12*$K$12</f>
        <v>0</v>
      </c>
      <c r="O12" s="6"/>
      <c r="P12" s="38"/>
      <c r="R12" s="191" t="s">
        <v>418</v>
      </c>
      <c r="S12" s="35"/>
      <c r="T12" s="35"/>
      <c r="U12" s="35"/>
      <c r="V12" s="35"/>
      <c r="W12" s="35"/>
      <c r="X12" s="35"/>
    </row>
    <row r="13" spans="1:29">
      <c r="A13" s="39"/>
      <c r="B13" s="403"/>
      <c r="C13" s="403"/>
      <c r="D13" s="403"/>
      <c r="E13" s="403"/>
      <c r="F13" s="6"/>
      <c r="G13" s="7"/>
      <c r="H13" s="245"/>
      <c r="I13" s="7" t="s">
        <v>19</v>
      </c>
      <c r="J13" s="7" t="s">
        <v>18</v>
      </c>
      <c r="K13" s="237"/>
      <c r="L13" s="7" t="s">
        <v>20</v>
      </c>
      <c r="M13" s="7" t="s">
        <v>18</v>
      </c>
      <c r="N13" s="42">
        <f>$H$13*$K$13</f>
        <v>0</v>
      </c>
      <c r="O13" s="6"/>
      <c r="P13" s="38"/>
      <c r="R13" s="191" t="s">
        <v>419</v>
      </c>
      <c r="S13" s="35"/>
      <c r="T13" s="35"/>
      <c r="U13" s="35"/>
    </row>
    <row r="14" spans="1:29">
      <c r="A14" s="39"/>
      <c r="B14" s="404" t="s">
        <v>324</v>
      </c>
      <c r="C14" s="404"/>
      <c r="D14" s="404"/>
      <c r="E14" s="404"/>
      <c r="F14" s="6"/>
      <c r="G14" s="7"/>
      <c r="H14" s="245"/>
      <c r="I14" s="7" t="s">
        <v>19</v>
      </c>
      <c r="J14" s="7" t="s">
        <v>18</v>
      </c>
      <c r="K14" s="237"/>
      <c r="L14" s="7" t="s">
        <v>20</v>
      </c>
      <c r="M14" s="7" t="s">
        <v>18</v>
      </c>
      <c r="N14" s="42">
        <f>$H$14*$K$14</f>
        <v>0</v>
      </c>
      <c r="O14" s="6"/>
      <c r="P14" s="38"/>
      <c r="R14" s="191" t="s">
        <v>420</v>
      </c>
      <c r="S14" s="35"/>
      <c r="T14" s="35"/>
      <c r="U14" s="35"/>
      <c r="V14" s="35"/>
    </row>
    <row r="15" spans="1:29">
      <c r="A15" s="39"/>
      <c r="B15" s="312" t="s">
        <v>96</v>
      </c>
      <c r="C15" s="312"/>
      <c r="D15" s="312"/>
      <c r="E15" s="312"/>
      <c r="F15" s="312"/>
      <c r="G15" s="7"/>
      <c r="H15" s="6"/>
      <c r="I15" s="7"/>
      <c r="J15" s="7"/>
      <c r="K15" s="6"/>
      <c r="L15" s="7"/>
      <c r="M15" s="7" t="s">
        <v>18</v>
      </c>
      <c r="N15" s="42">
        <f>SUM($N$5:$N$14)</f>
        <v>0</v>
      </c>
      <c r="O15" s="6"/>
      <c r="P15" s="38"/>
      <c r="R15" s="191" t="s">
        <v>421</v>
      </c>
      <c r="S15" s="35"/>
      <c r="T15" s="35"/>
      <c r="U15" s="35"/>
      <c r="V15" s="35"/>
      <c r="W15" s="35"/>
      <c r="X15" s="35"/>
      <c r="Y15" s="35"/>
      <c r="Z15" s="35"/>
      <c r="AA15" s="35"/>
    </row>
    <row r="16" spans="1:29">
      <c r="A16" s="317" t="s">
        <v>56</v>
      </c>
      <c r="B16" s="314"/>
      <c r="C16" s="314"/>
      <c r="D16" s="314"/>
      <c r="E16" s="314"/>
      <c r="F16" s="6"/>
      <c r="G16" s="7"/>
      <c r="H16" s="6"/>
      <c r="I16" s="7"/>
      <c r="J16" s="7"/>
      <c r="K16" s="6"/>
      <c r="L16" s="7"/>
      <c r="M16" s="7"/>
      <c r="N16" s="6"/>
      <c r="O16" s="6"/>
      <c r="P16" s="38"/>
    </row>
    <row r="17" spans="1:24">
      <c r="A17" s="39"/>
      <c r="B17" s="314" t="s">
        <v>2</v>
      </c>
      <c r="C17" s="314"/>
      <c r="D17" s="314"/>
      <c r="E17" s="400" t="s">
        <v>55</v>
      </c>
      <c r="F17" s="400"/>
      <c r="G17" s="400"/>
      <c r="H17" s="400"/>
      <c r="I17" s="7"/>
      <c r="J17" s="7"/>
      <c r="K17" s="77" t="s">
        <v>307</v>
      </c>
      <c r="L17" s="7"/>
      <c r="M17" s="7"/>
      <c r="N17" s="6"/>
      <c r="O17" s="6"/>
      <c r="P17" s="38"/>
    </row>
    <row r="18" spans="1:24">
      <c r="A18" s="39"/>
      <c r="B18" s="6"/>
      <c r="C18" s="391"/>
      <c r="D18" s="391"/>
      <c r="E18" s="391"/>
      <c r="F18" s="391"/>
      <c r="G18" s="391"/>
      <c r="H18" s="391"/>
      <c r="I18" s="7"/>
      <c r="J18" s="7" t="s">
        <v>18</v>
      </c>
      <c r="K18" s="246"/>
      <c r="L18" s="7"/>
      <c r="M18" s="7"/>
      <c r="N18" s="6"/>
      <c r="O18" s="6"/>
      <c r="P18" s="38"/>
    </row>
    <row r="19" spans="1:24">
      <c r="A19" s="39"/>
      <c r="B19" s="6"/>
      <c r="C19" s="392"/>
      <c r="D19" s="392"/>
      <c r="E19" s="392"/>
      <c r="F19" s="392"/>
      <c r="G19" s="392"/>
      <c r="H19" s="392"/>
      <c r="I19" s="7"/>
      <c r="J19" s="7" t="s">
        <v>18</v>
      </c>
      <c r="K19" s="247"/>
      <c r="L19" s="7"/>
      <c r="M19" s="7"/>
      <c r="N19" s="6"/>
      <c r="O19" s="6"/>
      <c r="P19" s="38"/>
    </row>
    <row r="20" spans="1:24">
      <c r="A20" s="39"/>
      <c r="B20" s="6"/>
      <c r="C20" s="392"/>
      <c r="D20" s="392"/>
      <c r="E20" s="392"/>
      <c r="F20" s="392"/>
      <c r="G20" s="392"/>
      <c r="H20" s="392"/>
      <c r="I20" s="7"/>
      <c r="J20" s="7" t="s">
        <v>18</v>
      </c>
      <c r="K20" s="247"/>
      <c r="L20" s="7"/>
      <c r="M20" s="7"/>
      <c r="N20" s="6"/>
      <c r="O20" s="6"/>
      <c r="P20" s="38"/>
    </row>
    <row r="21" spans="1:24">
      <c r="A21" s="39"/>
      <c r="B21" s="6"/>
      <c r="C21" s="392"/>
      <c r="D21" s="392"/>
      <c r="E21" s="392"/>
      <c r="F21" s="392"/>
      <c r="G21" s="392"/>
      <c r="H21" s="392"/>
      <c r="I21" s="7"/>
      <c r="J21" s="7" t="s">
        <v>18</v>
      </c>
      <c r="K21" s="247"/>
      <c r="L21" s="7"/>
      <c r="M21" s="7"/>
      <c r="N21" s="6"/>
      <c r="O21" s="6"/>
      <c r="P21" s="38"/>
    </row>
    <row r="22" spans="1:24">
      <c r="A22" s="39"/>
      <c r="B22" s="6"/>
      <c r="C22" s="392"/>
      <c r="D22" s="392"/>
      <c r="E22" s="392"/>
      <c r="F22" s="392"/>
      <c r="G22" s="392"/>
      <c r="H22" s="392"/>
      <c r="I22" s="7"/>
      <c r="J22" s="7" t="s">
        <v>18</v>
      </c>
      <c r="K22" s="247"/>
      <c r="L22" s="7"/>
      <c r="M22" s="7"/>
      <c r="N22" s="6"/>
      <c r="O22" s="6"/>
      <c r="P22" s="38"/>
    </row>
    <row r="23" spans="1:24">
      <c r="A23" s="39"/>
      <c r="B23" s="6"/>
      <c r="C23" s="316"/>
      <c r="D23" s="316"/>
      <c r="E23" s="316"/>
      <c r="F23" s="316"/>
      <c r="G23" s="316"/>
      <c r="H23" s="316"/>
      <c r="I23" s="7"/>
      <c r="J23" s="7" t="s">
        <v>18</v>
      </c>
      <c r="K23" s="236"/>
      <c r="L23" s="7"/>
      <c r="M23" s="7"/>
      <c r="N23" s="6"/>
      <c r="O23" s="6"/>
      <c r="P23" s="38"/>
      <c r="R23" s="191" t="s">
        <v>422</v>
      </c>
      <c r="S23" s="35"/>
      <c r="T23" s="35"/>
      <c r="U23" s="35"/>
      <c r="V23" s="35"/>
    </row>
    <row r="24" spans="1:24">
      <c r="A24" s="39"/>
      <c r="B24" s="6"/>
      <c r="C24" s="316"/>
      <c r="D24" s="316"/>
      <c r="E24" s="316"/>
      <c r="F24" s="316"/>
      <c r="G24" s="316"/>
      <c r="H24" s="316"/>
      <c r="I24" s="7"/>
      <c r="J24" s="7" t="s">
        <v>18</v>
      </c>
      <c r="K24" s="236"/>
      <c r="L24" s="7"/>
      <c r="M24" s="7"/>
      <c r="N24" s="6"/>
      <c r="O24" s="6"/>
      <c r="P24" s="38"/>
      <c r="R24" s="191" t="s">
        <v>423</v>
      </c>
      <c r="S24" s="35"/>
      <c r="T24" s="35"/>
      <c r="U24" s="35"/>
      <c r="V24" s="35"/>
      <c r="W24" s="35"/>
      <c r="X24" s="35"/>
    </row>
    <row r="25" spans="1:24">
      <c r="A25" s="39"/>
      <c r="B25" s="6"/>
      <c r="C25" s="316"/>
      <c r="D25" s="316"/>
      <c r="E25" s="316"/>
      <c r="F25" s="316"/>
      <c r="G25" s="316"/>
      <c r="H25" s="316"/>
      <c r="I25" s="7"/>
      <c r="J25" s="7" t="s">
        <v>18</v>
      </c>
      <c r="K25" s="236"/>
      <c r="L25" s="7"/>
      <c r="M25" s="7"/>
      <c r="N25" s="6"/>
      <c r="O25" s="6"/>
      <c r="P25" s="38"/>
      <c r="R25" s="3"/>
      <c r="S25" s="3"/>
      <c r="T25" s="3"/>
      <c r="U25" s="3"/>
      <c r="V25" s="3"/>
      <c r="W25" s="3"/>
      <c r="X25" s="3"/>
    </row>
    <row r="26" spans="1:24">
      <c r="A26" s="39"/>
      <c r="B26" s="6"/>
      <c r="C26" s="316"/>
      <c r="D26" s="316"/>
      <c r="E26" s="316"/>
      <c r="F26" s="316"/>
      <c r="G26" s="316"/>
      <c r="H26" s="316"/>
      <c r="I26" s="7"/>
      <c r="J26" s="7" t="s">
        <v>18</v>
      </c>
      <c r="K26" s="236"/>
      <c r="L26" s="7"/>
      <c r="M26" s="7"/>
      <c r="N26" s="6"/>
      <c r="O26" s="6"/>
      <c r="P26" s="38"/>
      <c r="R26" s="3"/>
      <c r="S26" s="3"/>
      <c r="T26" s="3"/>
      <c r="U26" s="3"/>
      <c r="V26" s="3"/>
      <c r="W26" s="3"/>
      <c r="X26" s="3"/>
    </row>
    <row r="27" spans="1:24">
      <c r="A27" s="39"/>
      <c r="B27" s="6"/>
      <c r="C27" s="316"/>
      <c r="D27" s="316"/>
      <c r="E27" s="316"/>
      <c r="F27" s="316"/>
      <c r="G27" s="316"/>
      <c r="H27" s="316"/>
      <c r="I27" s="7"/>
      <c r="J27" s="7" t="s">
        <v>18</v>
      </c>
      <c r="K27" s="236"/>
      <c r="L27" s="7"/>
      <c r="M27" s="7"/>
      <c r="N27" s="6"/>
      <c r="O27" s="6"/>
      <c r="P27" s="38"/>
      <c r="R27" s="3"/>
      <c r="S27" s="3"/>
      <c r="T27" s="3"/>
      <c r="U27" s="3"/>
      <c r="V27" s="3"/>
      <c r="W27" s="3"/>
      <c r="X27" s="3"/>
    </row>
    <row r="28" spans="1:24">
      <c r="A28" s="39"/>
      <c r="B28" s="6"/>
      <c r="C28" s="316"/>
      <c r="D28" s="316"/>
      <c r="E28" s="316"/>
      <c r="F28" s="316"/>
      <c r="G28" s="316"/>
      <c r="H28" s="316"/>
      <c r="I28" s="7"/>
      <c r="J28" s="7" t="s">
        <v>18</v>
      </c>
      <c r="K28" s="236"/>
      <c r="L28" s="7"/>
      <c r="M28" s="7"/>
      <c r="N28" s="6"/>
      <c r="O28" s="6"/>
      <c r="P28" s="38"/>
    </row>
    <row r="29" spans="1:24">
      <c r="A29" s="39"/>
      <c r="B29" s="6"/>
      <c r="C29" s="312" t="s">
        <v>57</v>
      </c>
      <c r="D29" s="312"/>
      <c r="E29" s="312"/>
      <c r="F29" s="312"/>
      <c r="G29" s="312"/>
      <c r="H29" s="312"/>
      <c r="I29" s="7"/>
      <c r="J29" s="7"/>
      <c r="K29" s="6"/>
      <c r="L29" s="7"/>
      <c r="M29" s="7" t="s">
        <v>18</v>
      </c>
      <c r="N29" s="42">
        <f>SUM($K$18:$K$28)</f>
        <v>0</v>
      </c>
      <c r="O29" s="6"/>
      <c r="P29" s="38"/>
      <c r="R29" s="191" t="s">
        <v>424</v>
      </c>
      <c r="S29" s="35"/>
      <c r="T29" s="35"/>
      <c r="U29" s="35"/>
      <c r="V29" s="35"/>
    </row>
    <row r="30" spans="1:24">
      <c r="A30" s="39"/>
      <c r="B30" s="314" t="s">
        <v>38</v>
      </c>
      <c r="C30" s="314"/>
      <c r="D30" s="314"/>
      <c r="E30" s="400" t="s">
        <v>55</v>
      </c>
      <c r="F30" s="400"/>
      <c r="G30" s="400"/>
      <c r="H30" s="400"/>
      <c r="I30" s="7"/>
      <c r="J30" s="7"/>
      <c r="K30" s="77" t="s">
        <v>307</v>
      </c>
      <c r="L30" s="7"/>
      <c r="M30" s="7"/>
      <c r="N30" s="6"/>
      <c r="O30" s="6"/>
      <c r="P30" s="38"/>
    </row>
    <row r="31" spans="1:24">
      <c r="A31" s="39"/>
      <c r="B31" s="6"/>
      <c r="C31" s="391"/>
      <c r="D31" s="391"/>
      <c r="E31" s="391"/>
      <c r="F31" s="391"/>
      <c r="G31" s="391"/>
      <c r="H31" s="391"/>
      <c r="I31" s="47"/>
      <c r="J31" s="7" t="s">
        <v>18</v>
      </c>
      <c r="K31" s="236"/>
      <c r="L31" s="7"/>
      <c r="M31" s="7"/>
      <c r="N31" s="6"/>
      <c r="O31" s="6"/>
      <c r="P31" s="38"/>
    </row>
    <row r="32" spans="1:24">
      <c r="A32" s="39"/>
      <c r="B32" s="6"/>
      <c r="C32" s="316"/>
      <c r="D32" s="316"/>
      <c r="E32" s="316"/>
      <c r="F32" s="316"/>
      <c r="G32" s="316"/>
      <c r="H32" s="316"/>
      <c r="I32" s="47"/>
      <c r="J32" s="7" t="s">
        <v>18</v>
      </c>
      <c r="K32" s="236"/>
      <c r="L32" s="7"/>
      <c r="M32" s="7"/>
      <c r="N32" s="6"/>
      <c r="O32" s="6"/>
      <c r="P32" s="38"/>
      <c r="R32" s="191" t="s">
        <v>432</v>
      </c>
      <c r="S32" s="35"/>
      <c r="T32" s="35"/>
      <c r="U32" s="35"/>
      <c r="V32" s="35"/>
      <c r="W32" s="35"/>
    </row>
    <row r="33" spans="1:23">
      <c r="A33" s="39"/>
      <c r="B33" s="6"/>
      <c r="C33" s="316"/>
      <c r="D33" s="316"/>
      <c r="E33" s="316"/>
      <c r="F33" s="316"/>
      <c r="G33" s="316"/>
      <c r="H33" s="316"/>
      <c r="I33" s="47"/>
      <c r="J33" s="7" t="s">
        <v>18</v>
      </c>
      <c r="K33" s="236"/>
      <c r="L33" s="7"/>
      <c r="M33" s="7"/>
      <c r="N33" s="6"/>
      <c r="O33" s="6"/>
      <c r="P33" s="38"/>
      <c r="R33" s="191" t="s">
        <v>433</v>
      </c>
      <c r="S33" s="35"/>
      <c r="T33" s="35"/>
      <c r="U33" s="35"/>
      <c r="V33" s="35"/>
      <c r="W33" s="35"/>
    </row>
    <row r="34" spans="1:23">
      <c r="A34" s="39"/>
      <c r="B34" s="6"/>
      <c r="C34" s="316"/>
      <c r="D34" s="316"/>
      <c r="E34" s="316"/>
      <c r="F34" s="316"/>
      <c r="G34" s="316"/>
      <c r="H34" s="316"/>
      <c r="I34" s="47"/>
      <c r="J34" s="7" t="s">
        <v>18</v>
      </c>
      <c r="K34" s="236"/>
      <c r="L34" s="7"/>
      <c r="M34" s="7"/>
      <c r="N34" s="6"/>
      <c r="O34" s="6"/>
      <c r="P34" s="38"/>
      <c r="R34" s="191" t="s">
        <v>425</v>
      </c>
      <c r="S34" s="35"/>
      <c r="T34" s="35"/>
      <c r="U34" s="35"/>
      <c r="V34" s="35"/>
    </row>
    <row r="35" spans="1:23">
      <c r="A35" s="39"/>
      <c r="B35" s="6"/>
      <c r="C35" s="312" t="s">
        <v>53</v>
      </c>
      <c r="D35" s="312"/>
      <c r="E35" s="312"/>
      <c r="F35" s="312"/>
      <c r="G35" s="312"/>
      <c r="H35" s="312"/>
      <c r="I35" s="47"/>
      <c r="J35" s="47"/>
      <c r="K35" s="46"/>
      <c r="L35" s="7"/>
      <c r="M35" s="7" t="s">
        <v>18</v>
      </c>
      <c r="N35" s="42">
        <f>SUM($K$31:$K$34)</f>
        <v>0</v>
      </c>
      <c r="O35" s="6"/>
      <c r="P35" s="38"/>
    </row>
    <row r="36" spans="1:23">
      <c r="A36" s="39"/>
      <c r="B36" s="314" t="s">
        <v>40</v>
      </c>
      <c r="C36" s="314"/>
      <c r="D36" s="314"/>
      <c r="E36" s="400" t="s">
        <v>55</v>
      </c>
      <c r="F36" s="400"/>
      <c r="G36" s="400"/>
      <c r="H36" s="400"/>
      <c r="I36" s="47"/>
      <c r="J36" s="47"/>
      <c r="K36" s="77" t="s">
        <v>307</v>
      </c>
      <c r="L36" s="7"/>
      <c r="M36" s="7"/>
      <c r="N36" s="6"/>
      <c r="O36" s="6"/>
      <c r="P36" s="38"/>
    </row>
    <row r="37" spans="1:23">
      <c r="A37" s="39"/>
      <c r="B37" s="6"/>
      <c r="C37" s="391"/>
      <c r="D37" s="391"/>
      <c r="E37" s="391"/>
      <c r="F37" s="391"/>
      <c r="G37" s="391"/>
      <c r="H37" s="391"/>
      <c r="I37" s="47"/>
      <c r="J37" s="7" t="s">
        <v>18</v>
      </c>
      <c r="K37" s="236"/>
      <c r="L37" s="7"/>
      <c r="M37" s="7"/>
      <c r="N37" s="6"/>
      <c r="O37" s="6"/>
      <c r="P37" s="38"/>
      <c r="R37" s="191" t="s">
        <v>434</v>
      </c>
      <c r="S37" s="35"/>
      <c r="T37" s="35"/>
      <c r="U37" s="35"/>
      <c r="V37" s="35"/>
      <c r="W37" s="35"/>
    </row>
    <row r="38" spans="1:23">
      <c r="A38" s="39"/>
      <c r="B38" s="6"/>
      <c r="C38" s="316"/>
      <c r="D38" s="316"/>
      <c r="E38" s="316"/>
      <c r="F38" s="316"/>
      <c r="G38" s="316"/>
      <c r="H38" s="316"/>
      <c r="I38" s="47"/>
      <c r="J38" s="7" t="s">
        <v>18</v>
      </c>
      <c r="K38" s="236"/>
      <c r="L38" s="7"/>
      <c r="M38" s="7"/>
      <c r="N38" s="6"/>
      <c r="O38" s="6"/>
      <c r="P38" s="38"/>
      <c r="R38" s="191" t="s">
        <v>435</v>
      </c>
      <c r="S38" s="35"/>
      <c r="T38" s="35"/>
      <c r="U38" s="35"/>
      <c r="V38" s="35"/>
      <c r="W38" s="35"/>
    </row>
    <row r="39" spans="1:23">
      <c r="A39" s="39"/>
      <c r="B39" s="6"/>
      <c r="C39" s="316"/>
      <c r="D39" s="316"/>
      <c r="E39" s="316"/>
      <c r="F39" s="316"/>
      <c r="G39" s="316"/>
      <c r="H39" s="316"/>
      <c r="I39" s="47"/>
      <c r="J39" s="7" t="s">
        <v>18</v>
      </c>
      <c r="K39" s="236"/>
      <c r="L39" s="7"/>
      <c r="M39" s="7"/>
      <c r="N39" s="6"/>
      <c r="O39" s="6"/>
      <c r="P39" s="38"/>
      <c r="R39" s="191" t="s">
        <v>426</v>
      </c>
      <c r="S39" s="35"/>
      <c r="T39" s="35"/>
      <c r="U39" s="35"/>
      <c r="V39" s="35"/>
    </row>
    <row r="40" spans="1:23">
      <c r="A40" s="39"/>
      <c r="B40" s="6"/>
      <c r="C40" s="316"/>
      <c r="D40" s="316"/>
      <c r="E40" s="316"/>
      <c r="F40" s="316"/>
      <c r="G40" s="316"/>
      <c r="H40" s="316"/>
      <c r="I40" s="47"/>
      <c r="J40" s="7" t="s">
        <v>18</v>
      </c>
      <c r="K40" s="236"/>
      <c r="L40" s="7"/>
      <c r="M40" s="7"/>
      <c r="N40" s="6"/>
      <c r="O40" s="6"/>
      <c r="P40" s="38"/>
    </row>
    <row r="41" spans="1:23">
      <c r="A41" s="39"/>
      <c r="B41" s="6"/>
      <c r="C41" s="312" t="s">
        <v>54</v>
      </c>
      <c r="D41" s="312"/>
      <c r="E41" s="312"/>
      <c r="F41" s="312"/>
      <c r="G41" s="312"/>
      <c r="H41" s="312"/>
      <c r="I41" s="7"/>
      <c r="J41" s="7"/>
      <c r="K41" s="6"/>
      <c r="L41" s="7"/>
      <c r="M41" s="7" t="s">
        <v>18</v>
      </c>
      <c r="N41" s="42">
        <f>SUM($K$37:$K$40)</f>
        <v>0</v>
      </c>
      <c r="O41" s="6"/>
      <c r="P41" s="38"/>
    </row>
    <row r="42" spans="1:23">
      <c r="A42" s="39"/>
      <c r="B42" s="314" t="s">
        <v>41</v>
      </c>
      <c r="C42" s="314"/>
      <c r="D42" s="314"/>
      <c r="E42" s="400" t="s">
        <v>55</v>
      </c>
      <c r="F42" s="400"/>
      <c r="G42" s="400"/>
      <c r="H42" s="400"/>
      <c r="I42" s="7"/>
      <c r="J42" s="7"/>
      <c r="K42" s="77" t="s">
        <v>307</v>
      </c>
      <c r="L42" s="7"/>
      <c r="M42" s="7"/>
      <c r="N42" s="6"/>
      <c r="O42" s="6"/>
      <c r="P42" s="38"/>
    </row>
    <row r="43" spans="1:23">
      <c r="A43" s="39"/>
      <c r="B43" s="72"/>
      <c r="C43" s="391"/>
      <c r="D43" s="391"/>
      <c r="E43" s="391"/>
      <c r="F43" s="391"/>
      <c r="G43" s="391"/>
      <c r="H43" s="391"/>
      <c r="I43" s="7"/>
      <c r="J43" s="7" t="s">
        <v>18</v>
      </c>
      <c r="K43" s="236"/>
      <c r="L43" s="7"/>
      <c r="M43" s="7"/>
      <c r="N43" s="6"/>
      <c r="O43" s="6"/>
      <c r="P43" s="38"/>
    </row>
    <row r="44" spans="1:23">
      <c r="A44" s="39"/>
      <c r="B44" s="72"/>
      <c r="C44" s="333"/>
      <c r="D44" s="316"/>
      <c r="E44" s="316"/>
      <c r="F44" s="316"/>
      <c r="G44" s="316"/>
      <c r="H44" s="316"/>
      <c r="I44" s="7"/>
      <c r="J44" s="7" t="s">
        <v>18</v>
      </c>
      <c r="K44" s="236"/>
      <c r="L44" s="7"/>
      <c r="M44" s="7"/>
      <c r="N44" s="6"/>
      <c r="O44" s="6"/>
      <c r="P44" s="38"/>
    </row>
    <row r="45" spans="1:23">
      <c r="A45" s="39"/>
      <c r="B45" s="72"/>
      <c r="C45" s="316"/>
      <c r="D45" s="316"/>
      <c r="E45" s="316"/>
      <c r="F45" s="316"/>
      <c r="G45" s="316"/>
      <c r="H45" s="316"/>
      <c r="I45" s="7"/>
      <c r="J45" s="7" t="s">
        <v>18</v>
      </c>
      <c r="K45" s="236"/>
      <c r="L45" s="7"/>
      <c r="M45" s="7"/>
      <c r="N45" s="6"/>
      <c r="O45" s="6"/>
      <c r="P45" s="38"/>
      <c r="R45" s="191" t="s">
        <v>436</v>
      </c>
      <c r="S45" s="35"/>
      <c r="T45" s="35"/>
      <c r="U45" s="35"/>
      <c r="V45" s="35"/>
      <c r="W45" s="35"/>
    </row>
    <row r="46" spans="1:23">
      <c r="A46" s="39"/>
      <c r="B46" s="72"/>
      <c r="C46" s="316"/>
      <c r="D46" s="316"/>
      <c r="E46" s="316"/>
      <c r="F46" s="316"/>
      <c r="G46" s="316"/>
      <c r="H46" s="316"/>
      <c r="I46" s="7"/>
      <c r="J46" s="7" t="s">
        <v>18</v>
      </c>
      <c r="K46" s="236"/>
      <c r="L46" s="7"/>
      <c r="M46" s="7"/>
      <c r="N46" s="6"/>
      <c r="O46" s="6"/>
      <c r="P46" s="38"/>
      <c r="R46" s="191" t="s">
        <v>437</v>
      </c>
      <c r="S46" s="35"/>
      <c r="T46" s="35"/>
      <c r="U46" s="35"/>
      <c r="V46" s="35"/>
      <c r="W46" s="35"/>
    </row>
    <row r="47" spans="1:23">
      <c r="A47" s="39"/>
      <c r="B47" s="72"/>
      <c r="C47" s="316"/>
      <c r="D47" s="316"/>
      <c r="E47" s="316"/>
      <c r="F47" s="316"/>
      <c r="G47" s="316"/>
      <c r="H47" s="316"/>
      <c r="I47" s="7"/>
      <c r="J47" s="7" t="s">
        <v>18</v>
      </c>
      <c r="K47" s="236"/>
      <c r="L47" s="7"/>
      <c r="M47" s="7"/>
      <c r="N47" s="6"/>
      <c r="O47" s="6"/>
      <c r="P47" s="38"/>
      <c r="R47" s="191" t="s">
        <v>427</v>
      </c>
      <c r="S47" s="35"/>
      <c r="T47" s="35"/>
      <c r="U47" s="35"/>
      <c r="V47" s="35"/>
    </row>
    <row r="48" spans="1:23">
      <c r="A48" s="39"/>
      <c r="B48" s="72"/>
      <c r="C48" s="316"/>
      <c r="D48" s="316"/>
      <c r="E48" s="316"/>
      <c r="F48" s="316"/>
      <c r="G48" s="316"/>
      <c r="H48" s="316"/>
      <c r="I48" s="7"/>
      <c r="J48" s="7" t="s">
        <v>18</v>
      </c>
      <c r="K48" s="236"/>
      <c r="L48" s="7"/>
      <c r="M48" s="7"/>
      <c r="N48" s="6"/>
      <c r="O48" s="6"/>
      <c r="P48" s="38"/>
    </row>
    <row r="49" spans="1:24">
      <c r="A49" s="39"/>
      <c r="B49" s="6"/>
      <c r="C49" s="312" t="s">
        <v>116</v>
      </c>
      <c r="D49" s="312"/>
      <c r="E49" s="312"/>
      <c r="F49" s="312"/>
      <c r="G49" s="312"/>
      <c r="H49" s="312"/>
      <c r="I49" s="7"/>
      <c r="J49" s="7"/>
      <c r="K49" s="6"/>
      <c r="L49" s="7"/>
      <c r="M49" s="7" t="s">
        <v>18</v>
      </c>
      <c r="N49" s="42">
        <f>SUM($K$43:$K$48)</f>
        <v>0</v>
      </c>
      <c r="O49" s="6"/>
      <c r="P49" s="38"/>
    </row>
    <row r="50" spans="1:24">
      <c r="A50" s="39"/>
      <c r="B50" s="314" t="s">
        <v>44</v>
      </c>
      <c r="C50" s="314"/>
      <c r="D50" s="314"/>
      <c r="E50" s="400" t="s">
        <v>55</v>
      </c>
      <c r="F50" s="400"/>
      <c r="G50" s="400"/>
      <c r="H50" s="400"/>
      <c r="I50" s="7"/>
      <c r="J50" s="7"/>
      <c r="K50" s="77" t="s">
        <v>307</v>
      </c>
      <c r="L50" s="7"/>
      <c r="M50" s="7"/>
      <c r="N50" s="6"/>
      <c r="O50" s="6"/>
      <c r="P50" s="38"/>
    </row>
    <row r="51" spans="1:24">
      <c r="A51" s="39"/>
      <c r="B51" s="72"/>
      <c r="C51" s="412"/>
      <c r="D51" s="391"/>
      <c r="E51" s="391"/>
      <c r="F51" s="391"/>
      <c r="G51" s="391"/>
      <c r="H51" s="391"/>
      <c r="I51" s="7"/>
      <c r="J51" s="7" t="s">
        <v>18</v>
      </c>
      <c r="K51" s="236"/>
      <c r="L51" s="7"/>
      <c r="M51" s="7"/>
      <c r="N51" s="6"/>
      <c r="O51" s="6"/>
      <c r="P51" s="38"/>
    </row>
    <row r="52" spans="1:24">
      <c r="A52" s="39"/>
      <c r="B52" s="72"/>
      <c r="C52" s="413"/>
      <c r="D52" s="392"/>
      <c r="E52" s="392"/>
      <c r="F52" s="392"/>
      <c r="G52" s="392"/>
      <c r="H52" s="392"/>
      <c r="I52" s="7"/>
      <c r="J52" s="7" t="s">
        <v>18</v>
      </c>
      <c r="K52" s="236"/>
      <c r="L52" s="7"/>
      <c r="M52" s="7"/>
      <c r="N52" s="6"/>
      <c r="O52" s="6"/>
      <c r="P52" s="38"/>
    </row>
    <row r="53" spans="1:24">
      <c r="A53" s="39"/>
      <c r="B53" s="72"/>
      <c r="C53" s="316"/>
      <c r="D53" s="316"/>
      <c r="E53" s="316"/>
      <c r="F53" s="316"/>
      <c r="G53" s="316"/>
      <c r="H53" s="316"/>
      <c r="I53" s="7"/>
      <c r="J53" s="7" t="s">
        <v>18</v>
      </c>
      <c r="K53" s="236"/>
      <c r="L53" s="7"/>
      <c r="M53" s="7"/>
      <c r="N53" s="6"/>
      <c r="O53" s="6"/>
      <c r="P53" s="38"/>
      <c r="R53" s="191" t="s">
        <v>438</v>
      </c>
      <c r="S53" s="35"/>
      <c r="T53" s="35"/>
      <c r="U53" s="35"/>
      <c r="V53" s="35"/>
      <c r="W53" s="35"/>
    </row>
    <row r="54" spans="1:24">
      <c r="A54" s="39"/>
      <c r="B54" s="72"/>
      <c r="C54" s="316"/>
      <c r="D54" s="316"/>
      <c r="E54" s="316"/>
      <c r="F54" s="316"/>
      <c r="G54" s="316"/>
      <c r="H54" s="316"/>
      <c r="I54" s="7"/>
      <c r="J54" s="7" t="s">
        <v>18</v>
      </c>
      <c r="K54" s="236"/>
      <c r="L54" s="7"/>
      <c r="M54" s="7"/>
      <c r="N54" s="6"/>
      <c r="O54" s="6"/>
      <c r="P54" s="38"/>
      <c r="R54" s="191" t="s">
        <v>439</v>
      </c>
      <c r="S54" s="35"/>
      <c r="T54" s="35"/>
      <c r="U54" s="35"/>
      <c r="V54" s="35"/>
      <c r="W54" s="35"/>
    </row>
    <row r="55" spans="1:24">
      <c r="A55" s="39"/>
      <c r="B55" s="72"/>
      <c r="C55" s="316"/>
      <c r="D55" s="316"/>
      <c r="E55" s="316"/>
      <c r="F55" s="316"/>
      <c r="G55" s="316"/>
      <c r="H55" s="316"/>
      <c r="I55" s="7"/>
      <c r="J55" s="7" t="s">
        <v>18</v>
      </c>
      <c r="K55" s="236"/>
      <c r="L55" s="7"/>
      <c r="M55" s="7"/>
      <c r="N55" s="6"/>
      <c r="O55" s="6"/>
      <c r="P55" s="38"/>
      <c r="R55" s="191" t="s">
        <v>428</v>
      </c>
      <c r="S55" s="35"/>
      <c r="T55" s="35"/>
      <c r="U55" s="35"/>
      <c r="V55" s="35"/>
      <c r="W55" s="35"/>
    </row>
    <row r="56" spans="1:24">
      <c r="A56" s="39"/>
      <c r="B56" s="72"/>
      <c r="C56" s="316"/>
      <c r="D56" s="316"/>
      <c r="E56" s="316"/>
      <c r="F56" s="316"/>
      <c r="G56" s="316"/>
      <c r="H56" s="316"/>
      <c r="I56" s="7"/>
      <c r="J56" s="7" t="s">
        <v>18</v>
      </c>
      <c r="K56" s="236"/>
      <c r="L56" s="7"/>
      <c r="M56" s="7"/>
      <c r="N56" s="6"/>
      <c r="O56" s="6"/>
      <c r="P56" s="38"/>
    </row>
    <row r="57" spans="1:24">
      <c r="A57" s="39"/>
      <c r="B57" s="6"/>
      <c r="C57" s="312" t="s">
        <v>114</v>
      </c>
      <c r="D57" s="312"/>
      <c r="E57" s="312"/>
      <c r="F57" s="312"/>
      <c r="G57" s="312"/>
      <c r="H57" s="312"/>
      <c r="I57" s="7"/>
      <c r="J57" s="7"/>
      <c r="K57" s="6"/>
      <c r="L57" s="7"/>
      <c r="M57" s="7" t="s">
        <v>18</v>
      </c>
      <c r="N57" s="48">
        <f>SUM($K$51:$K$56)</f>
        <v>0</v>
      </c>
      <c r="O57" s="6"/>
      <c r="P57" s="38"/>
    </row>
    <row r="58" spans="1:24">
      <c r="A58" s="39"/>
      <c r="B58" s="314" t="s">
        <v>244</v>
      </c>
      <c r="C58" s="314"/>
      <c r="D58" s="314"/>
      <c r="E58" s="314"/>
      <c r="F58" s="400" t="s">
        <v>55</v>
      </c>
      <c r="G58" s="400"/>
      <c r="H58" s="400"/>
      <c r="I58" s="400"/>
      <c r="J58" s="7"/>
      <c r="K58" s="77" t="s">
        <v>307</v>
      </c>
      <c r="L58" s="7"/>
      <c r="M58" s="7"/>
      <c r="N58" s="6"/>
      <c r="O58" s="6"/>
      <c r="P58" s="38"/>
    </row>
    <row r="59" spans="1:24">
      <c r="A59" s="39"/>
      <c r="B59" s="6"/>
      <c r="C59" s="333"/>
      <c r="D59" s="316"/>
      <c r="E59" s="316"/>
      <c r="F59" s="316"/>
      <c r="G59" s="316"/>
      <c r="H59" s="316"/>
      <c r="I59" s="7"/>
      <c r="J59" s="7" t="s">
        <v>18</v>
      </c>
      <c r="K59" s="236"/>
      <c r="L59" s="7"/>
      <c r="M59" s="7"/>
      <c r="N59" s="6"/>
      <c r="O59" s="6"/>
      <c r="P59" s="38"/>
      <c r="R59" s="191" t="s">
        <v>440</v>
      </c>
      <c r="S59" s="35"/>
      <c r="T59" s="35"/>
      <c r="U59" s="35"/>
      <c r="V59" s="35"/>
      <c r="W59" s="35"/>
      <c r="X59" s="35"/>
    </row>
    <row r="60" spans="1:24">
      <c r="A60" s="39"/>
      <c r="B60" s="6"/>
      <c r="C60" s="316"/>
      <c r="D60" s="316"/>
      <c r="E60" s="316"/>
      <c r="F60" s="316"/>
      <c r="G60" s="316"/>
      <c r="H60" s="316"/>
      <c r="I60" s="7"/>
      <c r="J60" s="7" t="s">
        <v>18</v>
      </c>
      <c r="K60" s="236"/>
      <c r="L60" s="7"/>
      <c r="M60" s="7"/>
      <c r="N60" s="6"/>
      <c r="O60" s="6"/>
      <c r="P60" s="38"/>
      <c r="R60" s="191" t="s">
        <v>441</v>
      </c>
      <c r="S60" s="35"/>
      <c r="T60" s="35"/>
      <c r="U60" s="35"/>
      <c r="V60" s="35"/>
      <c r="W60" s="35"/>
      <c r="X60" s="3"/>
    </row>
    <row r="61" spans="1:24">
      <c r="A61" s="39"/>
      <c r="B61" s="6"/>
      <c r="C61" s="316"/>
      <c r="D61" s="316"/>
      <c r="E61" s="316"/>
      <c r="F61" s="316"/>
      <c r="G61" s="316"/>
      <c r="H61" s="316"/>
      <c r="I61" s="7"/>
      <c r="J61" s="7" t="s">
        <v>18</v>
      </c>
      <c r="K61" s="236"/>
      <c r="L61" s="7"/>
      <c r="M61" s="7"/>
      <c r="N61" s="6"/>
      <c r="O61" s="6"/>
      <c r="P61" s="38"/>
      <c r="R61" s="191" t="s">
        <v>429</v>
      </c>
      <c r="S61" s="35"/>
      <c r="T61" s="35"/>
      <c r="U61" s="35"/>
      <c r="V61" s="35"/>
      <c r="W61" s="35"/>
      <c r="X61" s="35"/>
    </row>
    <row r="62" spans="1:24">
      <c r="A62" s="39"/>
      <c r="B62" s="6"/>
      <c r="C62" s="316"/>
      <c r="D62" s="316"/>
      <c r="E62" s="316"/>
      <c r="F62" s="316"/>
      <c r="G62" s="316"/>
      <c r="H62" s="316"/>
      <c r="I62" s="7"/>
      <c r="J62" s="7" t="s">
        <v>18</v>
      </c>
      <c r="K62" s="236"/>
      <c r="L62" s="7"/>
      <c r="M62" s="7"/>
      <c r="N62" s="6"/>
      <c r="O62" s="6"/>
      <c r="P62" s="38"/>
    </row>
    <row r="63" spans="1:24">
      <c r="A63" s="39"/>
      <c r="B63" s="6"/>
      <c r="C63" s="324" t="s">
        <v>247</v>
      </c>
      <c r="D63" s="312"/>
      <c r="E63" s="312"/>
      <c r="F63" s="312"/>
      <c r="G63" s="312"/>
      <c r="H63" s="312"/>
      <c r="I63" s="312"/>
      <c r="J63" s="312"/>
      <c r="K63" s="312"/>
      <c r="L63" s="7"/>
      <c r="M63" s="7" t="s">
        <v>18</v>
      </c>
      <c r="N63" s="42">
        <f>SUM($K$59:$K$62)</f>
        <v>0</v>
      </c>
      <c r="O63" s="6"/>
      <c r="P63" s="38"/>
    </row>
    <row r="64" spans="1:24">
      <c r="A64" s="39"/>
      <c r="B64" s="314" t="s">
        <v>98</v>
      </c>
      <c r="C64" s="314"/>
      <c r="D64" s="314"/>
      <c r="E64" s="314"/>
      <c r="F64" s="400" t="s">
        <v>55</v>
      </c>
      <c r="G64" s="400"/>
      <c r="H64" s="400"/>
      <c r="I64" s="400"/>
      <c r="J64" s="7"/>
      <c r="K64" s="77" t="s">
        <v>307</v>
      </c>
      <c r="L64" s="7"/>
      <c r="M64" s="7"/>
      <c r="N64" s="42"/>
      <c r="O64" s="6"/>
      <c r="P64" s="38"/>
    </row>
    <row r="65" spans="1:27">
      <c r="A65" s="39"/>
      <c r="B65" s="6"/>
      <c r="C65" s="333"/>
      <c r="D65" s="316"/>
      <c r="E65" s="316"/>
      <c r="F65" s="406" t="s">
        <v>314</v>
      </c>
      <c r="G65" s="406"/>
      <c r="H65" s="406"/>
      <c r="I65" s="7"/>
      <c r="J65" s="7" t="s">
        <v>18</v>
      </c>
      <c r="K65" s="236"/>
      <c r="L65" s="7"/>
      <c r="M65" s="7"/>
      <c r="N65" s="42"/>
      <c r="O65" s="6"/>
      <c r="P65" s="38"/>
      <c r="R65" s="191" t="s">
        <v>442</v>
      </c>
      <c r="S65" s="35"/>
      <c r="T65" s="35"/>
      <c r="U65" s="35"/>
      <c r="V65" s="35"/>
      <c r="W65" s="35"/>
      <c r="X65" s="35"/>
    </row>
    <row r="66" spans="1:27">
      <c r="A66" s="39"/>
      <c r="B66" s="6"/>
      <c r="C66" s="403"/>
      <c r="D66" s="366"/>
      <c r="E66" s="366"/>
      <c r="F66" s="406" t="s">
        <v>100</v>
      </c>
      <c r="G66" s="406"/>
      <c r="H66" s="406"/>
      <c r="I66" s="7"/>
      <c r="J66" s="7" t="s">
        <v>18</v>
      </c>
      <c r="K66" s="236"/>
      <c r="L66" s="7"/>
      <c r="M66" s="7"/>
      <c r="N66" s="42"/>
      <c r="O66" s="6"/>
      <c r="P66" s="38"/>
      <c r="R66" s="191" t="s">
        <v>443</v>
      </c>
      <c r="S66" s="35"/>
      <c r="T66" s="35"/>
      <c r="U66" s="35"/>
      <c r="V66" s="35"/>
      <c r="W66" s="35"/>
      <c r="X66" s="3"/>
    </row>
    <row r="67" spans="1:27">
      <c r="A67" s="39"/>
      <c r="B67" s="6"/>
      <c r="C67" s="316"/>
      <c r="D67" s="316"/>
      <c r="E67" s="316"/>
      <c r="F67" s="316"/>
      <c r="G67" s="316"/>
      <c r="H67" s="316"/>
      <c r="I67" s="7"/>
      <c r="J67" s="7" t="s">
        <v>18</v>
      </c>
      <c r="K67" s="236"/>
      <c r="L67" s="7"/>
      <c r="M67" s="7"/>
      <c r="N67" s="42"/>
      <c r="O67" s="6"/>
      <c r="P67" s="38"/>
      <c r="R67" s="191" t="s">
        <v>315</v>
      </c>
      <c r="S67" s="35"/>
      <c r="T67" s="35"/>
      <c r="U67" s="35"/>
      <c r="V67" s="35"/>
      <c r="W67" s="35"/>
      <c r="X67" s="35"/>
      <c r="Y67" s="35"/>
    </row>
    <row r="68" spans="1:27">
      <c r="A68" s="39"/>
      <c r="B68" s="6"/>
      <c r="C68" s="316"/>
      <c r="D68" s="316"/>
      <c r="E68" s="316"/>
      <c r="F68" s="316"/>
      <c r="G68" s="316"/>
      <c r="H68" s="316"/>
      <c r="I68" s="7"/>
      <c r="J68" s="7" t="s">
        <v>18</v>
      </c>
      <c r="K68" s="236"/>
      <c r="L68" s="7"/>
      <c r="M68" s="7"/>
      <c r="N68" s="42"/>
      <c r="O68" s="6"/>
      <c r="P68" s="38"/>
      <c r="R68" s="191" t="s">
        <v>316</v>
      </c>
      <c r="S68" s="35"/>
      <c r="T68" s="35"/>
      <c r="U68" s="35"/>
      <c r="V68" s="35"/>
      <c r="W68" s="35"/>
      <c r="X68" s="35"/>
      <c r="Y68" s="35"/>
    </row>
    <row r="69" spans="1:27">
      <c r="A69" s="39"/>
      <c r="B69" s="6"/>
      <c r="C69" s="316"/>
      <c r="D69" s="316"/>
      <c r="E69" s="316"/>
      <c r="F69" s="316"/>
      <c r="G69" s="316"/>
      <c r="H69" s="316"/>
      <c r="I69" s="7"/>
      <c r="J69" s="7" t="s">
        <v>18</v>
      </c>
      <c r="K69" s="236"/>
      <c r="L69" s="7"/>
      <c r="M69" s="7"/>
      <c r="N69" s="42"/>
      <c r="O69" s="6"/>
      <c r="P69" s="38"/>
    </row>
    <row r="70" spans="1:27">
      <c r="A70" s="39"/>
      <c r="B70" s="6"/>
      <c r="C70" s="312" t="s">
        <v>115</v>
      </c>
      <c r="D70" s="312"/>
      <c r="E70" s="312"/>
      <c r="F70" s="312"/>
      <c r="G70" s="312"/>
      <c r="H70" s="312"/>
      <c r="I70" s="312"/>
      <c r="J70" s="312"/>
      <c r="K70" s="312"/>
      <c r="L70" s="7"/>
      <c r="M70" s="7" t="s">
        <v>18</v>
      </c>
      <c r="N70" s="42">
        <f>SUM($K$65:$K$69)</f>
        <v>0</v>
      </c>
      <c r="O70" s="6"/>
      <c r="P70" s="38"/>
      <c r="R70" s="191" t="s">
        <v>430</v>
      </c>
      <c r="S70" s="35"/>
      <c r="T70" s="35"/>
      <c r="U70" s="35"/>
      <c r="V70" s="35"/>
      <c r="W70" s="35"/>
      <c r="X70" s="35"/>
    </row>
    <row r="71" spans="1:27">
      <c r="A71" s="39"/>
      <c r="B71" s="314" t="s">
        <v>118</v>
      </c>
      <c r="C71" s="314"/>
      <c r="D71" s="314"/>
      <c r="E71" s="314"/>
      <c r="F71" s="314"/>
      <c r="G71" s="40"/>
      <c r="H71" s="40"/>
      <c r="I71" s="40"/>
      <c r="J71" s="40"/>
      <c r="K71" s="40"/>
      <c r="L71" s="7"/>
      <c r="M71" s="7"/>
      <c r="N71" s="42"/>
      <c r="O71" s="6"/>
      <c r="P71" s="38"/>
    </row>
    <row r="72" spans="1:27">
      <c r="A72" s="39"/>
      <c r="B72" s="6"/>
      <c r="C72" s="312" t="s">
        <v>117</v>
      </c>
      <c r="D72" s="312"/>
      <c r="E72" s="312"/>
      <c r="F72" s="312"/>
      <c r="G72" s="312"/>
      <c r="H72" s="312"/>
      <c r="I72" s="312"/>
      <c r="J72" s="312"/>
      <c r="K72" s="312"/>
      <c r="L72" s="7"/>
      <c r="M72" s="7" t="s">
        <v>18</v>
      </c>
      <c r="N72" s="42">
        <f>SUM($N$29:$N$70)</f>
        <v>0</v>
      </c>
      <c r="O72" s="6"/>
      <c r="P72" s="38"/>
      <c r="R72" s="191" t="s">
        <v>431</v>
      </c>
      <c r="S72" s="35"/>
      <c r="T72" s="35"/>
      <c r="U72" s="35"/>
      <c r="V72" s="35"/>
      <c r="W72" s="35"/>
      <c r="X72" s="35"/>
      <c r="Y72" s="35"/>
      <c r="Z72" s="35"/>
      <c r="AA72" s="35"/>
    </row>
    <row r="73" spans="1:27">
      <c r="A73" s="39"/>
      <c r="B73" s="72" t="s">
        <v>169</v>
      </c>
      <c r="C73" s="40"/>
      <c r="D73" s="40"/>
      <c r="E73" s="40"/>
      <c r="F73" s="40"/>
      <c r="G73" s="40"/>
      <c r="H73" s="40"/>
      <c r="I73" s="40"/>
      <c r="J73" s="40"/>
      <c r="K73" s="40"/>
      <c r="L73" s="7"/>
      <c r="M73" s="7"/>
      <c r="N73" s="42"/>
      <c r="O73" s="6"/>
      <c r="P73" s="38"/>
    </row>
    <row r="74" spans="1:27">
      <c r="A74" s="39"/>
      <c r="B74" s="6"/>
      <c r="C74" s="333"/>
      <c r="D74" s="316"/>
      <c r="E74" s="316"/>
      <c r="F74" s="406" t="s">
        <v>314</v>
      </c>
      <c r="G74" s="406"/>
      <c r="H74" s="406"/>
      <c r="I74" s="40"/>
      <c r="J74" s="7" t="s">
        <v>18</v>
      </c>
      <c r="K74" s="236"/>
      <c r="L74" s="7"/>
      <c r="M74" s="7"/>
      <c r="N74" s="42"/>
      <c r="O74" s="6"/>
      <c r="P74" s="38"/>
    </row>
    <row r="75" spans="1:27">
      <c r="A75" s="39"/>
      <c r="B75" s="6"/>
      <c r="C75" s="403"/>
      <c r="D75" s="366"/>
      <c r="E75" s="366"/>
      <c r="F75" s="406" t="s">
        <v>100</v>
      </c>
      <c r="G75" s="406"/>
      <c r="H75" s="406"/>
      <c r="I75" s="159"/>
      <c r="J75" s="7" t="s">
        <v>18</v>
      </c>
      <c r="K75" s="236"/>
      <c r="L75" s="7"/>
      <c r="M75" s="7"/>
      <c r="N75" s="42"/>
      <c r="O75" s="6"/>
      <c r="P75" s="38"/>
      <c r="R75" s="35" t="s">
        <v>171</v>
      </c>
      <c r="S75" s="35"/>
      <c r="T75" s="35"/>
      <c r="U75" s="35"/>
      <c r="V75" s="35"/>
      <c r="W75" s="35"/>
    </row>
    <row r="76" spans="1:27">
      <c r="A76" s="39"/>
      <c r="B76" s="6"/>
      <c r="C76" s="333"/>
      <c r="D76" s="316"/>
      <c r="E76" s="316"/>
      <c r="F76" s="316"/>
      <c r="G76" s="316"/>
      <c r="H76" s="316"/>
      <c r="I76" s="159"/>
      <c r="J76" s="7" t="s">
        <v>18</v>
      </c>
      <c r="K76" s="236"/>
      <c r="L76" s="7"/>
      <c r="M76" s="7"/>
      <c r="N76" s="42"/>
      <c r="O76" s="6"/>
      <c r="P76" s="38"/>
      <c r="R76" s="3"/>
      <c r="S76" s="3"/>
      <c r="T76" s="3"/>
      <c r="U76" s="3"/>
      <c r="V76" s="3"/>
      <c r="W76" s="3"/>
    </row>
    <row r="77" spans="1:27">
      <c r="A77" s="39"/>
      <c r="B77" s="6"/>
      <c r="C77" s="316"/>
      <c r="D77" s="316"/>
      <c r="E77" s="316"/>
      <c r="F77" s="316"/>
      <c r="G77" s="316"/>
      <c r="H77" s="316"/>
      <c r="I77" s="40"/>
      <c r="J77" s="7" t="s">
        <v>18</v>
      </c>
      <c r="K77" s="236"/>
      <c r="L77" s="7"/>
      <c r="M77" s="7"/>
      <c r="N77" s="42">
        <f>SUM(K74:K77)</f>
        <v>0</v>
      </c>
      <c r="O77" s="6"/>
      <c r="P77" s="38"/>
    </row>
    <row r="78" spans="1:27">
      <c r="A78" s="39"/>
      <c r="B78" s="6"/>
      <c r="C78" s="339" t="s">
        <v>170</v>
      </c>
      <c r="D78" s="339"/>
      <c r="E78" s="339"/>
      <c r="F78" s="339"/>
      <c r="G78" s="339"/>
      <c r="H78" s="339"/>
      <c r="I78" s="40"/>
      <c r="J78" s="7"/>
      <c r="L78" s="7"/>
      <c r="M78" s="7" t="s">
        <v>18</v>
      </c>
      <c r="N78" s="29">
        <f>'Reimbursements-Refunds'!$M$101</f>
        <v>0</v>
      </c>
      <c r="O78" s="6"/>
      <c r="P78" s="38"/>
      <c r="R78" s="35" t="s">
        <v>178</v>
      </c>
      <c r="S78" s="35"/>
      <c r="T78" s="35"/>
      <c r="U78" s="35"/>
      <c r="V78" s="35"/>
      <c r="W78" s="35"/>
    </row>
    <row r="79" spans="1:27">
      <c r="A79" s="39"/>
      <c r="B79" s="6"/>
      <c r="C79" s="312" t="s">
        <v>168</v>
      </c>
      <c r="D79" s="312"/>
      <c r="E79" s="312"/>
      <c r="F79" s="312"/>
      <c r="G79" s="312"/>
      <c r="H79" s="312"/>
      <c r="I79" s="312"/>
      <c r="J79" s="312"/>
      <c r="K79" s="312"/>
      <c r="L79" s="7"/>
      <c r="M79" s="7" t="s">
        <v>18</v>
      </c>
      <c r="N79" s="42">
        <f>SUM($K$74:$K$78)</f>
        <v>0</v>
      </c>
      <c r="O79" s="6"/>
      <c r="P79" s="38"/>
    </row>
    <row r="80" spans="1:27">
      <c r="A80" s="39"/>
      <c r="B80" s="314" t="s">
        <v>14</v>
      </c>
      <c r="C80" s="314"/>
      <c r="D80" s="314"/>
      <c r="E80" s="6"/>
      <c r="F80" s="77" t="s">
        <v>151</v>
      </c>
      <c r="G80" s="7"/>
      <c r="H80" s="77" t="s">
        <v>307</v>
      </c>
      <c r="I80" s="7"/>
      <c r="J80" s="7"/>
      <c r="K80" s="77" t="s">
        <v>152</v>
      </c>
      <c r="L80" s="7"/>
      <c r="M80" s="7"/>
      <c r="N80" s="6"/>
      <c r="O80" s="6"/>
      <c r="P80" s="38"/>
      <c r="R80" s="35" t="s">
        <v>160</v>
      </c>
      <c r="S80" s="35"/>
      <c r="T80" s="35"/>
      <c r="U80" s="35"/>
      <c r="V80" s="35"/>
    </row>
    <row r="81" spans="1:33">
      <c r="A81" s="39"/>
      <c r="B81" s="6"/>
      <c r="C81" s="312" t="s">
        <v>76</v>
      </c>
      <c r="D81" s="312"/>
      <c r="E81" s="312"/>
      <c r="F81" s="44">
        <f>Consignment!$G$12</f>
        <v>0</v>
      </c>
      <c r="G81" s="7"/>
      <c r="H81" s="42"/>
      <c r="I81" s="7"/>
      <c r="J81" s="7"/>
      <c r="K81" s="42"/>
      <c r="L81" s="7"/>
      <c r="M81" s="7"/>
      <c r="N81" s="6"/>
      <c r="O81" s="6"/>
      <c r="P81" s="38"/>
      <c r="R81" s="191" t="s">
        <v>444</v>
      </c>
      <c r="S81" s="35"/>
      <c r="T81" s="35"/>
      <c r="U81" s="35"/>
      <c r="V81" s="35"/>
      <c r="W81" s="35"/>
      <c r="X81" s="35"/>
      <c r="Y81" s="35"/>
      <c r="Z81" s="35"/>
      <c r="AA81" s="35"/>
      <c r="AB81" s="35"/>
      <c r="AC81" s="35"/>
      <c r="AD81" s="35"/>
    </row>
    <row r="82" spans="1:33">
      <c r="A82" s="39"/>
      <c r="B82" s="6"/>
      <c r="C82" s="312" t="s">
        <v>75</v>
      </c>
      <c r="D82" s="312"/>
      <c r="E82" s="312"/>
      <c r="F82" s="44">
        <f>Consignment!$G$13</f>
        <v>0</v>
      </c>
      <c r="G82" s="7"/>
      <c r="H82" s="42"/>
      <c r="I82" s="7"/>
      <c r="J82" s="7"/>
      <c r="K82" s="42"/>
      <c r="L82" s="7"/>
      <c r="M82" s="7"/>
      <c r="N82" s="6"/>
      <c r="O82" s="6"/>
      <c r="P82" s="38"/>
      <c r="R82" s="191" t="s">
        <v>445</v>
      </c>
      <c r="S82" s="35"/>
      <c r="T82" s="35"/>
      <c r="U82" s="35"/>
      <c r="V82" s="35"/>
      <c r="W82" s="35"/>
      <c r="X82" s="35"/>
      <c r="Y82" s="35"/>
      <c r="Z82" s="35"/>
      <c r="AA82" s="35"/>
      <c r="AB82" s="35"/>
      <c r="AC82" s="35"/>
      <c r="AD82" s="35"/>
      <c r="AE82" s="35"/>
      <c r="AF82" s="35"/>
    </row>
    <row r="83" spans="1:33">
      <c r="A83" s="39"/>
      <c r="B83" s="6"/>
      <c r="C83" s="312" t="s">
        <v>8</v>
      </c>
      <c r="D83" s="312"/>
      <c r="E83" s="312"/>
      <c r="F83" s="44">
        <f>Consignment!$G$14</f>
        <v>0</v>
      </c>
      <c r="G83" s="7"/>
      <c r="H83" s="42"/>
      <c r="I83" s="7"/>
      <c r="J83" s="7"/>
      <c r="K83" s="42"/>
      <c r="L83" s="7"/>
      <c r="M83" s="7"/>
      <c r="N83" s="6"/>
      <c r="O83" s="6"/>
      <c r="P83" s="38"/>
      <c r="R83" s="191" t="s">
        <v>446</v>
      </c>
      <c r="S83" s="35"/>
      <c r="T83" s="35"/>
      <c r="U83" s="35"/>
      <c r="V83" s="35"/>
      <c r="W83" s="35"/>
      <c r="X83" s="35"/>
      <c r="Y83" s="35"/>
      <c r="Z83" s="35"/>
      <c r="AA83" s="35"/>
      <c r="AB83" s="35"/>
      <c r="AC83" s="35"/>
      <c r="AD83" s="35"/>
      <c r="AE83" s="35"/>
      <c r="AF83" s="35"/>
    </row>
    <row r="84" spans="1:33">
      <c r="A84" s="39"/>
      <c r="B84" s="6"/>
      <c r="C84" s="312" t="s">
        <v>161</v>
      </c>
      <c r="D84" s="312"/>
      <c r="E84" s="312"/>
      <c r="F84" s="44">
        <f>Consignment!$G$15</f>
        <v>0</v>
      </c>
      <c r="G84" s="7"/>
      <c r="H84" s="42"/>
      <c r="I84" s="7"/>
      <c r="J84" s="7"/>
      <c r="K84" s="42"/>
      <c r="L84" s="7"/>
      <c r="M84" s="7"/>
      <c r="N84" s="6"/>
      <c r="O84" s="6"/>
      <c r="P84" s="38"/>
      <c r="R84" s="191" t="s">
        <v>447</v>
      </c>
      <c r="S84" s="35"/>
      <c r="T84" s="35"/>
      <c r="U84" s="35"/>
      <c r="V84" s="35"/>
      <c r="W84" s="35"/>
      <c r="X84" s="35"/>
      <c r="Y84" s="35"/>
      <c r="Z84" s="35"/>
      <c r="AA84" s="35"/>
      <c r="AB84" s="35"/>
      <c r="AC84" s="35"/>
      <c r="AD84" s="35"/>
      <c r="AE84" s="35"/>
      <c r="AF84" s="35"/>
    </row>
    <row r="85" spans="1:33">
      <c r="A85" s="39"/>
      <c r="B85" s="6"/>
      <c r="C85" s="6"/>
      <c r="D85" s="6"/>
      <c r="E85" s="6"/>
      <c r="F85" s="6">
        <f>SUM($F$81:$F$84)/3</f>
        <v>0</v>
      </c>
      <c r="G85" s="7" t="s">
        <v>19</v>
      </c>
      <c r="H85" s="42">
        <f>'Estimated Budget'!$K$127</f>
        <v>18</v>
      </c>
      <c r="I85" s="7" t="s">
        <v>20</v>
      </c>
      <c r="J85" s="7" t="s">
        <v>18</v>
      </c>
      <c r="K85" s="42">
        <f>$F$85*$H$85</f>
        <v>0</v>
      </c>
      <c r="L85" s="7"/>
      <c r="M85" s="7" t="s">
        <v>18</v>
      </c>
      <c r="N85" s="42">
        <f>$K$85</f>
        <v>0</v>
      </c>
      <c r="O85" s="6"/>
      <c r="P85" s="38"/>
      <c r="R85" s="191" t="s">
        <v>448</v>
      </c>
      <c r="S85" s="35"/>
      <c r="T85" s="35"/>
      <c r="U85" s="35"/>
      <c r="V85" s="35"/>
      <c r="W85" s="35"/>
    </row>
    <row r="86" spans="1:33">
      <c r="A86" s="39"/>
      <c r="B86" s="314" t="s">
        <v>32</v>
      </c>
      <c r="C86" s="314"/>
      <c r="D86" s="314"/>
      <c r="E86" s="314"/>
      <c r="F86" s="77" t="s">
        <v>151</v>
      </c>
      <c r="G86" s="7"/>
      <c r="H86" s="77" t="s">
        <v>307</v>
      </c>
      <c r="I86" s="7"/>
      <c r="J86" s="7"/>
      <c r="K86" s="77" t="s">
        <v>152</v>
      </c>
      <c r="L86" s="7"/>
      <c r="M86" s="7"/>
      <c r="N86" s="6"/>
      <c r="O86" s="6"/>
      <c r="P86" s="38"/>
    </row>
    <row r="87" spans="1:33">
      <c r="A87" s="39"/>
      <c r="B87" s="6"/>
      <c r="C87" s="312" t="s">
        <v>77</v>
      </c>
      <c r="D87" s="312"/>
      <c r="E87" s="312"/>
      <c r="F87" s="44">
        <f>Consignment!$G$16</f>
        <v>0</v>
      </c>
      <c r="G87" s="7"/>
      <c r="H87" s="42"/>
      <c r="I87" s="7"/>
      <c r="J87" s="7"/>
      <c r="K87" s="42"/>
      <c r="L87" s="7"/>
      <c r="M87" s="7"/>
      <c r="N87" s="6"/>
      <c r="O87" s="6"/>
      <c r="P87" s="38"/>
      <c r="R87" s="191" t="s">
        <v>449</v>
      </c>
      <c r="S87" s="35"/>
      <c r="T87" s="35"/>
      <c r="U87" s="35"/>
      <c r="V87" s="35"/>
      <c r="W87" s="35"/>
      <c r="X87" s="35"/>
      <c r="Y87" s="35"/>
      <c r="Z87" s="35"/>
      <c r="AA87" s="35"/>
      <c r="AB87" s="35"/>
      <c r="AC87" s="35"/>
      <c r="AD87" s="35"/>
      <c r="AE87" s="35"/>
      <c r="AF87" s="35"/>
      <c r="AG87" s="35"/>
    </row>
    <row r="88" spans="1:33">
      <c r="A88" s="39"/>
      <c r="B88" s="6"/>
      <c r="C88" s="312" t="s">
        <v>78</v>
      </c>
      <c r="D88" s="312"/>
      <c r="E88" s="312"/>
      <c r="F88" s="44">
        <f>Consignment!$G$17</f>
        <v>0</v>
      </c>
      <c r="G88" s="7"/>
      <c r="H88" s="42"/>
      <c r="I88" s="7"/>
      <c r="J88" s="7"/>
      <c r="K88" s="42"/>
      <c r="L88" s="7"/>
      <c r="M88" s="7"/>
      <c r="N88" s="6"/>
      <c r="O88" s="6"/>
      <c r="P88" s="38"/>
      <c r="R88" s="191" t="s">
        <v>450</v>
      </c>
      <c r="S88" s="35"/>
      <c r="T88" s="35"/>
      <c r="U88" s="35"/>
      <c r="V88" s="35"/>
      <c r="W88" s="35"/>
      <c r="X88" s="35"/>
      <c r="Y88" s="35"/>
      <c r="Z88" s="35"/>
      <c r="AA88" s="35"/>
      <c r="AB88" s="35"/>
      <c r="AC88" s="35"/>
      <c r="AD88" s="35"/>
      <c r="AE88" s="35"/>
      <c r="AF88" s="35"/>
      <c r="AG88" s="35"/>
    </row>
    <row r="89" spans="1:33">
      <c r="A89" s="39"/>
      <c r="B89" s="6"/>
      <c r="C89" s="6"/>
      <c r="D89" s="6"/>
      <c r="E89" s="6"/>
      <c r="F89" s="43">
        <f>SUM(F87:F88)</f>
        <v>0</v>
      </c>
      <c r="G89" s="7" t="s">
        <v>19</v>
      </c>
      <c r="H89" s="42">
        <f>'Estimated Budget'!$K$132</f>
        <v>14</v>
      </c>
      <c r="I89" s="7" t="s">
        <v>20</v>
      </c>
      <c r="J89" s="7" t="s">
        <v>18</v>
      </c>
      <c r="K89" s="42">
        <f>$F$89*$H$89</f>
        <v>0</v>
      </c>
      <c r="L89" s="7"/>
      <c r="M89" s="7" t="s">
        <v>18</v>
      </c>
      <c r="N89" s="42">
        <f>$K$89</f>
        <v>0</v>
      </c>
      <c r="O89" s="6"/>
      <c r="P89" s="38"/>
      <c r="R89" s="191" t="s">
        <v>451</v>
      </c>
      <c r="S89" s="35"/>
      <c r="T89" s="35"/>
      <c r="U89" s="35"/>
      <c r="V89" s="35"/>
      <c r="W89" s="35"/>
    </row>
    <row r="90" spans="1:33">
      <c r="A90" s="39"/>
      <c r="B90" s="314" t="s">
        <v>28</v>
      </c>
      <c r="C90" s="314"/>
      <c r="D90" s="314"/>
      <c r="E90" s="6"/>
      <c r="F90" s="77" t="s">
        <v>151</v>
      </c>
      <c r="G90" s="7"/>
      <c r="H90" s="77" t="s">
        <v>307</v>
      </c>
      <c r="I90" s="7"/>
      <c r="J90" s="7"/>
      <c r="K90" s="77" t="s">
        <v>152</v>
      </c>
      <c r="L90" s="7"/>
      <c r="M90" s="7"/>
      <c r="N90" s="6"/>
      <c r="O90" s="6"/>
      <c r="P90" s="38"/>
    </row>
    <row r="91" spans="1:33">
      <c r="A91" s="39"/>
      <c r="B91" s="6"/>
      <c r="C91" s="312" t="s">
        <v>6</v>
      </c>
      <c r="D91" s="312"/>
      <c r="E91" s="312"/>
      <c r="F91" s="43">
        <f>Consignment!$G$18</f>
        <v>0</v>
      </c>
      <c r="G91" s="7" t="s">
        <v>19</v>
      </c>
      <c r="H91" s="42">
        <f>Consignment!$D$18</f>
        <v>3</v>
      </c>
      <c r="I91" s="7" t="s">
        <v>20</v>
      </c>
      <c r="J91" s="7" t="s">
        <v>18</v>
      </c>
      <c r="K91" s="42">
        <f>$F$91*$H$91</f>
        <v>0</v>
      </c>
      <c r="L91" s="7"/>
      <c r="M91" s="7" t="s">
        <v>18</v>
      </c>
      <c r="N91" s="42">
        <f>$K$91</f>
        <v>0</v>
      </c>
      <c r="O91" s="6"/>
      <c r="P91" s="38"/>
      <c r="R91" s="191" t="s">
        <v>452</v>
      </c>
      <c r="S91" s="35"/>
      <c r="T91" s="35"/>
      <c r="U91" s="35"/>
      <c r="V91" s="35"/>
      <c r="W91" s="35"/>
      <c r="X91" s="35"/>
      <c r="Y91" s="35"/>
      <c r="Z91" s="35"/>
      <c r="AA91" s="35"/>
      <c r="AB91" s="35"/>
      <c r="AC91" s="35"/>
      <c r="AD91" s="35"/>
      <c r="AE91" s="35"/>
      <c r="AF91" s="35"/>
    </row>
    <row r="92" spans="1:33">
      <c r="A92" s="39"/>
      <c r="B92" s="314" t="s">
        <v>58</v>
      </c>
      <c r="C92" s="314"/>
      <c r="D92" s="314"/>
      <c r="E92" s="6"/>
      <c r="F92" s="77" t="s">
        <v>151</v>
      </c>
      <c r="G92" s="7"/>
      <c r="H92" s="77" t="s">
        <v>307</v>
      </c>
      <c r="I92" s="7"/>
      <c r="J92" s="7"/>
      <c r="K92" s="77" t="s">
        <v>152</v>
      </c>
      <c r="L92" s="7"/>
      <c r="M92" s="7"/>
      <c r="N92" s="6"/>
      <c r="O92" s="6"/>
      <c r="P92" s="38"/>
      <c r="R92" s="35" t="s">
        <v>162</v>
      </c>
      <c r="S92" s="35"/>
      <c r="T92" s="35"/>
      <c r="U92" s="35"/>
      <c r="V92" s="35"/>
      <c r="W92" s="35"/>
    </row>
    <row r="93" spans="1:33" ht="27" customHeight="1">
      <c r="A93" s="39"/>
      <c r="B93" s="6"/>
      <c r="C93" s="407" t="s">
        <v>246</v>
      </c>
      <c r="D93" s="407"/>
      <c r="E93" s="407"/>
      <c r="F93" s="43">
        <f>$H$5+$H$6+$H$7+$H$10+$H$105</f>
        <v>0</v>
      </c>
      <c r="G93" s="7" t="s">
        <v>19</v>
      </c>
      <c r="H93" s="42">
        <f>'Estimated Budget'!H65</f>
        <v>2</v>
      </c>
      <c r="I93" s="7" t="s">
        <v>20</v>
      </c>
      <c r="J93" s="7" t="s">
        <v>18</v>
      </c>
      <c r="K93" s="42">
        <f>($F$93-$F$94+$F$95)*$H$93</f>
        <v>0</v>
      </c>
      <c r="L93" s="7"/>
      <c r="M93" s="7"/>
      <c r="N93" s="42"/>
      <c r="O93" s="6"/>
      <c r="P93" s="38"/>
      <c r="R93" s="191" t="s">
        <v>453</v>
      </c>
      <c r="S93" s="35"/>
      <c r="T93" s="35"/>
      <c r="U93" s="35"/>
      <c r="V93" s="35"/>
      <c r="W93" s="35"/>
      <c r="X93" s="35"/>
      <c r="Y93" s="35"/>
      <c r="Z93" s="35"/>
      <c r="AA93" s="35"/>
      <c r="AB93" s="35"/>
      <c r="AC93" s="35"/>
      <c r="AD93" s="35"/>
      <c r="AE93" s="35"/>
    </row>
    <row r="94" spans="1:33" ht="22.5" customHeight="1">
      <c r="A94" s="39"/>
      <c r="B94" s="6"/>
      <c r="C94" s="410" t="s">
        <v>249</v>
      </c>
      <c r="D94" s="410"/>
      <c r="E94" s="410"/>
      <c r="F94" s="248"/>
      <c r="G94" s="7"/>
      <c r="H94" s="42"/>
      <c r="I94" s="7"/>
      <c r="J94" s="7"/>
      <c r="K94" s="42"/>
      <c r="L94" s="7"/>
      <c r="M94" s="7"/>
      <c r="N94" s="42"/>
      <c r="O94" s="6"/>
      <c r="P94" s="38"/>
      <c r="R94" s="191" t="s">
        <v>454</v>
      </c>
      <c r="S94" s="35"/>
      <c r="T94" s="35"/>
      <c r="U94" s="35"/>
      <c r="V94" s="35"/>
      <c r="W94" s="35"/>
      <c r="X94" s="35"/>
      <c r="Y94" s="35"/>
      <c r="Z94" s="35"/>
      <c r="AA94" s="35"/>
    </row>
    <row r="95" spans="1:33">
      <c r="A95" s="39"/>
      <c r="B95" s="6"/>
      <c r="C95" s="324" t="s">
        <v>325</v>
      </c>
      <c r="D95" s="312"/>
      <c r="E95" s="312"/>
      <c r="F95" s="249"/>
      <c r="G95" s="7"/>
      <c r="H95" s="42"/>
      <c r="I95" s="7"/>
      <c r="J95" s="7"/>
      <c r="K95" s="42"/>
      <c r="L95" s="7"/>
      <c r="M95" s="7"/>
      <c r="N95" s="42"/>
      <c r="O95" s="6"/>
      <c r="P95" s="38"/>
      <c r="R95" s="141"/>
      <c r="S95" s="35"/>
      <c r="T95" s="35"/>
      <c r="U95" s="35"/>
      <c r="V95" s="35"/>
      <c r="W95" s="35"/>
      <c r="X95" s="35"/>
      <c r="Y95" s="35"/>
      <c r="Z95" s="35"/>
      <c r="AA95" s="35"/>
    </row>
    <row r="96" spans="1:33">
      <c r="A96" s="39"/>
      <c r="B96" s="6"/>
      <c r="C96" s="324" t="s">
        <v>242</v>
      </c>
      <c r="D96" s="312"/>
      <c r="E96" s="312"/>
      <c r="F96" s="43">
        <f>$H$8</f>
        <v>0</v>
      </c>
      <c r="G96" s="7" t="s">
        <v>19</v>
      </c>
      <c r="H96" s="42">
        <f>'Estimated Budget'!H78/2</f>
        <v>1</v>
      </c>
      <c r="I96" s="7" t="s">
        <v>20</v>
      </c>
      <c r="J96" s="7" t="s">
        <v>18</v>
      </c>
      <c r="K96" s="42">
        <f>$F$96*$H$96</f>
        <v>0</v>
      </c>
      <c r="L96" s="7"/>
      <c r="M96" s="7"/>
      <c r="N96" s="42"/>
      <c r="O96" s="6"/>
      <c r="P96" s="38"/>
      <c r="R96" s="141" t="s">
        <v>257</v>
      </c>
      <c r="S96" s="35"/>
      <c r="T96" s="35"/>
      <c r="U96" s="35"/>
      <c r="V96" s="35"/>
      <c r="W96" s="35"/>
      <c r="X96" s="35"/>
      <c r="Y96" s="35"/>
      <c r="Z96" s="35"/>
      <c r="AA96" s="35"/>
      <c r="AB96" s="35"/>
    </row>
    <row r="97" spans="1:29">
      <c r="A97" s="39"/>
      <c r="B97" s="6"/>
      <c r="C97" s="312" t="s">
        <v>61</v>
      </c>
      <c r="D97" s="312"/>
      <c r="E97" s="312"/>
      <c r="F97" s="43">
        <f>$H$9</f>
        <v>0</v>
      </c>
      <c r="G97" s="7" t="s">
        <v>19</v>
      </c>
      <c r="H97" s="48">
        <f>'Estimated Budget'!H84</f>
        <v>1</v>
      </c>
      <c r="I97" s="7" t="s">
        <v>20</v>
      </c>
      <c r="J97" s="7" t="s">
        <v>18</v>
      </c>
      <c r="K97" s="42">
        <f>$F$97*$H$97</f>
        <v>0</v>
      </c>
      <c r="L97" s="7"/>
      <c r="M97" s="7" t="s">
        <v>18</v>
      </c>
      <c r="N97" s="42">
        <f>SUM($K$93:$K$97)</f>
        <v>0</v>
      </c>
      <c r="O97" s="6"/>
      <c r="P97" s="38"/>
      <c r="R97" s="191" t="s">
        <v>456</v>
      </c>
      <c r="S97" s="35"/>
      <c r="T97" s="35"/>
      <c r="U97" s="35"/>
      <c r="V97" s="35"/>
      <c r="W97" s="35"/>
      <c r="X97" s="35"/>
      <c r="Y97" s="35"/>
      <c r="Z97" s="35"/>
      <c r="AA97" s="35"/>
      <c r="AB97" s="35"/>
      <c r="AC97" s="35"/>
    </row>
    <row r="98" spans="1:29">
      <c r="A98" s="39"/>
      <c r="B98" s="314" t="s">
        <v>59</v>
      </c>
      <c r="C98" s="314"/>
      <c r="D98" s="314"/>
      <c r="E98" s="6"/>
      <c r="F98" s="77" t="s">
        <v>151</v>
      </c>
      <c r="G98" s="7"/>
      <c r="H98" s="77" t="s">
        <v>307</v>
      </c>
      <c r="I98" s="7"/>
      <c r="J98" s="7"/>
      <c r="K98" s="77" t="s">
        <v>152</v>
      </c>
      <c r="L98" s="7"/>
      <c r="M98" s="7"/>
      <c r="N98" s="6"/>
      <c r="O98" s="6"/>
      <c r="P98" s="38"/>
      <c r="R98" s="35" t="s">
        <v>163</v>
      </c>
      <c r="S98" s="35"/>
      <c r="T98" s="35"/>
      <c r="U98" s="35"/>
    </row>
    <row r="99" spans="1:29">
      <c r="A99" s="39"/>
      <c r="B99" s="6"/>
      <c r="C99" s="408" t="s">
        <v>97</v>
      </c>
      <c r="D99" s="409"/>
      <c r="E99" s="409"/>
      <c r="F99" s="140">
        <f>$H$5</f>
        <v>0</v>
      </c>
      <c r="G99" s="7" t="s">
        <v>19</v>
      </c>
      <c r="H99" s="76">
        <f>'Estimated Budget'!H64</f>
        <v>12</v>
      </c>
      <c r="I99" s="7" t="s">
        <v>20</v>
      </c>
      <c r="J99" s="7" t="s">
        <v>18</v>
      </c>
      <c r="K99" s="42">
        <f>($F$99-$F$100)*$H$99</f>
        <v>0</v>
      </c>
      <c r="L99" s="7"/>
      <c r="M99" s="7" t="s">
        <v>18</v>
      </c>
      <c r="N99" s="42">
        <f>$K$99</f>
        <v>0</v>
      </c>
      <c r="O99" s="6"/>
      <c r="P99" s="38"/>
      <c r="R99" s="191" t="s">
        <v>455</v>
      </c>
      <c r="S99" s="35"/>
      <c r="T99" s="35"/>
      <c r="U99" s="35"/>
      <c r="V99" s="35"/>
      <c r="W99" s="35"/>
      <c r="X99" s="35"/>
      <c r="Y99" s="35"/>
      <c r="Z99" s="35"/>
      <c r="AA99" s="35"/>
      <c r="AB99" s="35"/>
    </row>
    <row r="100" spans="1:29">
      <c r="A100" s="39"/>
      <c r="B100" s="6"/>
      <c r="C100" s="411" t="s">
        <v>248</v>
      </c>
      <c r="D100" s="411"/>
      <c r="E100" s="411"/>
      <c r="F100" s="248"/>
      <c r="G100" s="47"/>
      <c r="H100" s="48"/>
      <c r="I100" s="7"/>
      <c r="J100" s="7"/>
      <c r="K100" s="42"/>
      <c r="L100" s="7"/>
      <c r="M100" s="7"/>
      <c r="N100" s="6"/>
      <c r="O100" s="6"/>
      <c r="P100" s="38"/>
      <c r="R100" s="191" t="s">
        <v>457</v>
      </c>
      <c r="S100" s="35"/>
      <c r="T100" s="35"/>
      <c r="U100" s="35"/>
      <c r="V100" s="35"/>
      <c r="W100" s="35"/>
      <c r="X100" s="35"/>
      <c r="Y100" s="35"/>
      <c r="Z100" s="35"/>
      <c r="AA100" s="35"/>
      <c r="AB100" s="35"/>
    </row>
    <row r="101" spans="1:29" ht="13.5" thickBot="1">
      <c r="A101" s="39"/>
      <c r="B101" s="6"/>
      <c r="C101" s="314" t="s">
        <v>110</v>
      </c>
      <c r="D101" s="314"/>
      <c r="E101" s="314"/>
      <c r="F101" s="314"/>
      <c r="G101" s="7"/>
      <c r="H101" s="6"/>
      <c r="I101" s="7"/>
      <c r="J101" s="7"/>
      <c r="K101" s="6"/>
      <c r="L101" s="7"/>
      <c r="M101" s="7" t="s">
        <v>18</v>
      </c>
      <c r="N101" s="30">
        <f>SUM($N$72:$N$100)</f>
        <v>0</v>
      </c>
      <c r="O101" s="6"/>
      <c r="P101" s="38"/>
      <c r="R101" s="191" t="s">
        <v>459</v>
      </c>
      <c r="S101" s="35"/>
      <c r="T101" s="35"/>
      <c r="U101" s="35"/>
      <c r="V101" s="35"/>
      <c r="W101" s="35"/>
    </row>
    <row r="102" spans="1:29" ht="14.25" thickTop="1" thickBot="1">
      <c r="A102" s="39"/>
      <c r="B102" s="6"/>
      <c r="C102" s="314" t="s">
        <v>111</v>
      </c>
      <c r="D102" s="314"/>
      <c r="E102" s="314"/>
      <c r="F102" s="314"/>
      <c r="G102" s="7"/>
      <c r="H102" s="6"/>
      <c r="I102" s="7"/>
      <c r="J102" s="7"/>
      <c r="K102" s="6"/>
      <c r="L102" s="7"/>
      <c r="M102" s="7" t="s">
        <v>18</v>
      </c>
      <c r="N102" s="12">
        <f>$N$15</f>
        <v>0</v>
      </c>
      <c r="O102" s="6"/>
      <c r="P102" s="38"/>
      <c r="R102" s="191" t="s">
        <v>458</v>
      </c>
      <c r="S102" s="35"/>
      <c r="T102" s="35"/>
      <c r="U102" s="35"/>
      <c r="V102" s="35"/>
    </row>
    <row r="103" spans="1:29" ht="14.25" thickTop="1" thickBot="1">
      <c r="A103" s="39"/>
      <c r="B103" s="6"/>
      <c r="C103" s="314" t="s">
        <v>31</v>
      </c>
      <c r="D103" s="314"/>
      <c r="E103" s="314"/>
      <c r="F103" s="314"/>
      <c r="G103" s="7"/>
      <c r="H103" s="6"/>
      <c r="I103" s="7"/>
      <c r="J103" s="7"/>
      <c r="K103" s="6"/>
      <c r="L103" s="7"/>
      <c r="M103" s="7" t="s">
        <v>18</v>
      </c>
      <c r="N103" s="31">
        <f>$N$102-$N$101</f>
        <v>0</v>
      </c>
      <c r="O103" s="6"/>
      <c r="P103" s="38"/>
      <c r="R103" s="35" t="s">
        <v>164</v>
      </c>
      <c r="S103" s="35"/>
      <c r="T103" s="35"/>
      <c r="U103" s="35"/>
      <c r="V103" s="35"/>
      <c r="W103" s="35"/>
      <c r="X103" s="35"/>
      <c r="Y103" s="35"/>
      <c r="Z103" s="35"/>
    </row>
    <row r="104" spans="1:29">
      <c r="A104" s="39"/>
      <c r="B104" s="6"/>
      <c r="C104" s="312" t="s">
        <v>60</v>
      </c>
      <c r="D104" s="312"/>
      <c r="E104" s="312"/>
      <c r="F104" s="312"/>
      <c r="G104" s="312"/>
      <c r="H104" s="312"/>
      <c r="I104" s="312"/>
      <c r="J104" s="312"/>
      <c r="K104" s="312"/>
      <c r="L104" s="312"/>
      <c r="M104" s="312"/>
      <c r="N104" s="6"/>
      <c r="O104" s="6"/>
      <c r="P104" s="38"/>
      <c r="R104" s="141" t="s">
        <v>258</v>
      </c>
      <c r="S104" s="35"/>
      <c r="T104" s="35"/>
      <c r="U104" s="35"/>
      <c r="V104" s="35"/>
      <c r="W104" s="35"/>
      <c r="X104" s="35"/>
      <c r="Y104" s="35"/>
      <c r="Z104" s="35"/>
    </row>
    <row r="105" spans="1:29">
      <c r="A105" s="309" t="s">
        <v>153</v>
      </c>
      <c r="B105" s="310"/>
      <c r="C105" s="310"/>
      <c r="D105" s="310"/>
      <c r="E105" s="310"/>
      <c r="F105" s="310"/>
      <c r="G105" s="310"/>
      <c r="H105" s="310"/>
      <c r="I105" s="310"/>
      <c r="J105" s="310"/>
      <c r="K105" s="310"/>
      <c r="L105" s="310"/>
      <c r="M105" s="310"/>
      <c r="N105" s="310"/>
      <c r="O105" s="310"/>
      <c r="P105" s="311"/>
    </row>
    <row r="106" spans="1:29" ht="13.5" thickBot="1">
      <c r="A106" s="54"/>
      <c r="B106" s="10"/>
      <c r="C106" s="10"/>
      <c r="D106" s="10"/>
      <c r="E106" s="10"/>
      <c r="F106" s="10"/>
      <c r="G106" s="11"/>
      <c r="H106" s="10"/>
      <c r="I106" s="11"/>
      <c r="J106" s="11"/>
      <c r="K106" s="10"/>
      <c r="L106" s="11"/>
      <c r="M106" s="11"/>
      <c r="N106" s="10"/>
      <c r="O106" s="10"/>
      <c r="P106" s="55"/>
    </row>
  </sheetData>
  <sheetProtection password="E4A7" sheet="1" objects="1" scenarios="1" selectLockedCells="1"/>
  <mergeCells count="111">
    <mergeCell ref="C18:H18"/>
    <mergeCell ref="C91:E91"/>
    <mergeCell ref="B90:D90"/>
    <mergeCell ref="C88:E88"/>
    <mergeCell ref="C87:E87"/>
    <mergeCell ref="C77:H77"/>
    <mergeCell ref="C82:E82"/>
    <mergeCell ref="B80:D80"/>
    <mergeCell ref="C79:K79"/>
    <mergeCell ref="C76:H76"/>
    <mergeCell ref="C81:E81"/>
    <mergeCell ref="C24:H24"/>
    <mergeCell ref="C59:H59"/>
    <mergeCell ref="B58:E58"/>
    <mergeCell ref="C56:H56"/>
    <mergeCell ref="E50:H50"/>
    <mergeCell ref="C27:H27"/>
    <mergeCell ref="C29:H29"/>
    <mergeCell ref="C43:H43"/>
    <mergeCell ref="C48:H48"/>
    <mergeCell ref="C55:H55"/>
    <mergeCell ref="C39:H39"/>
    <mergeCell ref="C33:H33"/>
    <mergeCell ref="C47:H47"/>
    <mergeCell ref="C49:H49"/>
    <mergeCell ref="C23:H23"/>
    <mergeCell ref="E42:H42"/>
    <mergeCell ref="B42:D42"/>
    <mergeCell ref="E36:H36"/>
    <mergeCell ref="E30:H30"/>
    <mergeCell ref="C45:H45"/>
    <mergeCell ref="C53:H53"/>
    <mergeCell ref="C52:H52"/>
    <mergeCell ref="C46:H46"/>
    <mergeCell ref="C44:H44"/>
    <mergeCell ref="C19:H19"/>
    <mergeCell ref="C20:H20"/>
    <mergeCell ref="C25:H25"/>
    <mergeCell ref="C26:H26"/>
    <mergeCell ref="C41:H41"/>
    <mergeCell ref="C38:H38"/>
    <mergeCell ref="C31:H31"/>
    <mergeCell ref="C37:H37"/>
    <mergeCell ref="B30:D30"/>
    <mergeCell ref="C35:H35"/>
    <mergeCell ref="C28:H28"/>
    <mergeCell ref="C32:H32"/>
    <mergeCell ref="C21:H21"/>
    <mergeCell ref="C22:H22"/>
    <mergeCell ref="C34:H34"/>
    <mergeCell ref="C40:H40"/>
    <mergeCell ref="B36:D36"/>
    <mergeCell ref="C57:H57"/>
    <mergeCell ref="B50:D50"/>
    <mergeCell ref="F58:I58"/>
    <mergeCell ref="F65:H65"/>
    <mergeCell ref="F66:H66"/>
    <mergeCell ref="C65:E65"/>
    <mergeCell ref="C66:E66"/>
    <mergeCell ref="C68:H68"/>
    <mergeCell ref="C62:H62"/>
    <mergeCell ref="C63:K63"/>
    <mergeCell ref="C60:H60"/>
    <mergeCell ref="C51:H51"/>
    <mergeCell ref="C54:H54"/>
    <mergeCell ref="C78:H78"/>
    <mergeCell ref="C67:H67"/>
    <mergeCell ref="B64:E64"/>
    <mergeCell ref="F64:I64"/>
    <mergeCell ref="C69:H69"/>
    <mergeCell ref="C70:K70"/>
    <mergeCell ref="C72:K72"/>
    <mergeCell ref="B71:F71"/>
    <mergeCell ref="C61:H61"/>
    <mergeCell ref="A105:P105"/>
    <mergeCell ref="C104:M104"/>
    <mergeCell ref="C97:E97"/>
    <mergeCell ref="C93:E93"/>
    <mergeCell ref="C103:F103"/>
    <mergeCell ref="C102:F102"/>
    <mergeCell ref="C96:E96"/>
    <mergeCell ref="C101:F101"/>
    <mergeCell ref="C99:E99"/>
    <mergeCell ref="B98:D98"/>
    <mergeCell ref="C94:E94"/>
    <mergeCell ref="C100:E100"/>
    <mergeCell ref="C95:E95"/>
    <mergeCell ref="B92:D92"/>
    <mergeCell ref="B86:E86"/>
    <mergeCell ref="C83:E83"/>
    <mergeCell ref="C84:E84"/>
    <mergeCell ref="N1:P1"/>
    <mergeCell ref="B17:D17"/>
    <mergeCell ref="E17:H17"/>
    <mergeCell ref="A3:E3"/>
    <mergeCell ref="B15:F15"/>
    <mergeCell ref="A16:E16"/>
    <mergeCell ref="B13:E13"/>
    <mergeCell ref="B14:E14"/>
    <mergeCell ref="B5:E5"/>
    <mergeCell ref="K1:L1"/>
    <mergeCell ref="D1:F1"/>
    <mergeCell ref="A1:C1"/>
    <mergeCell ref="B6:E6"/>
    <mergeCell ref="B11:E11"/>
    <mergeCell ref="B12:E12"/>
    <mergeCell ref="B10:E10"/>
    <mergeCell ref="C74:E74"/>
    <mergeCell ref="F74:H74"/>
    <mergeCell ref="C75:E75"/>
    <mergeCell ref="F75:H75"/>
  </mergeCells>
  <phoneticPr fontId="2" type="noConversion"/>
  <printOptions horizontalCentered="1"/>
  <pageMargins left="0.25" right="0.25" top="0.5" bottom="0.5" header="0.25" footer="0.25"/>
  <pageSetup orientation="portrait" r:id="rId1"/>
  <headerFooter alignWithMargins="0">
    <oddHeader>&amp;R&amp;8 Revised 01-2013</oddHeader>
    <oddFooter>&amp;L&amp;5&amp;F&amp;C&amp;"Arial,Bold"&amp;8&amp;A&amp;R&amp;8&amp;P</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10</vt:i4>
      </vt:variant>
    </vt:vector>
  </HeadingPairs>
  <TitlesOfParts>
    <vt:vector size="16" baseType="lpstr">
      <vt:lpstr>OA Budget Planning-Report Sheet</vt:lpstr>
      <vt:lpstr>Estimated Budget</vt:lpstr>
      <vt:lpstr>Consignment</vt:lpstr>
      <vt:lpstr>Registrations</vt:lpstr>
      <vt:lpstr>Reimbursements-Refunds</vt:lpstr>
      <vt:lpstr>Final Closeout</vt:lpstr>
      <vt:lpstr>Consignment!Print_Area</vt:lpstr>
      <vt:lpstr>'Estimated Budget'!Print_Area</vt:lpstr>
      <vt:lpstr>'Final Closeout'!Print_Area</vt:lpstr>
      <vt:lpstr>'OA Budget Planning-Report Sheet'!Print_Area</vt:lpstr>
      <vt:lpstr>Registrations!Print_Area</vt:lpstr>
      <vt:lpstr>'Reimbursements-Refunds'!Print_Area</vt:lpstr>
      <vt:lpstr>'Estimated Budget'!Print_Titles</vt:lpstr>
      <vt:lpstr>'Final Closeout'!Print_Titles</vt:lpstr>
      <vt:lpstr>Registrations!Print_Titles</vt:lpstr>
      <vt:lpstr>'Reimbursements-Refunds'!Print_Titles</vt:lpstr>
    </vt:vector>
  </TitlesOfParts>
  <Company>SunTrust Banks, Inc.</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Perry N. Ives</dc:creator>
  <cp:lastModifiedBy>Perry N Ives</cp:lastModifiedBy>
  <cp:lastPrinted>2013-01-24T15:48:17Z</cp:lastPrinted>
  <dcterms:created xsi:type="dcterms:W3CDTF">2007-04-10T18:39:49Z</dcterms:created>
  <dcterms:modified xsi:type="dcterms:W3CDTF">2013-01-24T18:33:44Z</dcterms:modified>
</cp:coreProperties>
</file>