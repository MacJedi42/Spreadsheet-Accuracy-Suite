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9435" windowHeight="5475" activeTab="1"/>
  </bookViews>
  <sheets>
    <sheet name="Inputs" sheetId="3" r:id="rId1"/>
    <sheet name="Freestall" sheetId="1" r:id="rId2"/>
    <sheet name="Tiestall" sheetId="2" r:id="rId3"/>
  </sheets>
  <definedNames>
    <definedName name="_xlnm.Print_Area" localSheetId="1">Freestall!$A$1:$K$64</definedName>
  </definedNames>
  <calcPr calcId="125725"/>
</workbook>
</file>

<file path=xl/calcChain.xml><?xml version="1.0" encoding="utf-8"?>
<calcChain xmlns="http://schemas.openxmlformats.org/spreadsheetml/2006/main">
  <c r="D14" i="2"/>
  <c r="I14" s="1"/>
  <c r="K14" s="1"/>
  <c r="D14" i="1"/>
  <c r="B24" i="2"/>
  <c r="K24"/>
  <c r="B24" i="1"/>
  <c r="F24" s="1"/>
  <c r="H1" i="2"/>
  <c r="H1" i="1"/>
  <c r="B28" i="2"/>
  <c r="K28"/>
  <c r="B28" i="1"/>
  <c r="F28"/>
  <c r="K58" i="2"/>
  <c r="F58"/>
  <c r="B22" i="1"/>
  <c r="K22"/>
  <c r="B23"/>
  <c r="K23"/>
  <c r="K58"/>
  <c r="F58"/>
  <c r="K45"/>
  <c r="F45"/>
  <c r="D17" i="2"/>
  <c r="I17"/>
  <c r="K17" s="1"/>
  <c r="D17" i="1"/>
  <c r="F17" s="1"/>
  <c r="D9"/>
  <c r="I9" s="1"/>
  <c r="K9" s="1"/>
  <c r="D8"/>
  <c r="I8"/>
  <c r="E1" i="2"/>
  <c r="B27"/>
  <c r="K27" s="1"/>
  <c r="B26"/>
  <c r="K26" s="1"/>
  <c r="B23"/>
  <c r="F23" s="1"/>
  <c r="B22"/>
  <c r="F22" s="1"/>
  <c r="B27" i="1"/>
  <c r="K27" s="1"/>
  <c r="K30" s="1"/>
  <c r="B26"/>
  <c r="F26" s="1"/>
  <c r="D9" i="2"/>
  <c r="I9" s="1"/>
  <c r="K9" s="1"/>
  <c r="K63" s="1"/>
  <c r="D10"/>
  <c r="I10"/>
  <c r="D8"/>
  <c r="I8"/>
  <c r="D7"/>
  <c r="I7"/>
  <c r="D6"/>
  <c r="I6"/>
  <c r="D10" i="1"/>
  <c r="I10"/>
  <c r="D7"/>
  <c r="I7"/>
  <c r="D6"/>
  <c r="I6"/>
  <c r="G10" i="2"/>
  <c r="G8"/>
  <c r="G7"/>
  <c r="G6"/>
  <c r="B10"/>
  <c r="B8"/>
  <c r="B7"/>
  <c r="F11"/>
  <c r="B6"/>
  <c r="I11"/>
  <c r="I12"/>
  <c r="K12"/>
  <c r="I13"/>
  <c r="K13"/>
  <c r="F12"/>
  <c r="F13"/>
  <c r="K25"/>
  <c r="K33"/>
  <c r="K39"/>
  <c r="K47"/>
  <c r="K56"/>
  <c r="I15"/>
  <c r="K15" s="1"/>
  <c r="I16"/>
  <c r="K16" s="1"/>
  <c r="F25"/>
  <c r="F27"/>
  <c r="F33"/>
  <c r="F39"/>
  <c r="F47"/>
  <c r="F56"/>
  <c r="F15"/>
  <c r="F16"/>
  <c r="K46" i="1"/>
  <c r="F46"/>
  <c r="F47"/>
  <c r="F56"/>
  <c r="G10"/>
  <c r="G8"/>
  <c r="G7"/>
  <c r="K7" s="1"/>
  <c r="G6"/>
  <c r="B10"/>
  <c r="F10"/>
  <c r="B8"/>
  <c r="B7"/>
  <c r="F7" s="1"/>
  <c r="B6"/>
  <c r="I14"/>
  <c r="K14"/>
  <c r="I15"/>
  <c r="K15"/>
  <c r="I16"/>
  <c r="K16"/>
  <c r="K26"/>
  <c r="K24"/>
  <c r="K25"/>
  <c r="I11"/>
  <c r="K11"/>
  <c r="I13"/>
  <c r="K13"/>
  <c r="I12"/>
  <c r="K12"/>
  <c r="F16"/>
  <c r="F15"/>
  <c r="F13"/>
  <c r="F14"/>
  <c r="F12"/>
  <c r="F25"/>
  <c r="F33"/>
  <c r="F39"/>
  <c r="K33"/>
  <c r="K39"/>
  <c r="K47"/>
  <c r="K56"/>
  <c r="K22" i="2"/>
  <c r="F22" i="1"/>
  <c r="I17"/>
  <c r="K17" s="1"/>
  <c r="K64" s="1"/>
  <c r="F7" i="2"/>
  <c r="F17"/>
  <c r="F26"/>
  <c r="F14"/>
  <c r="F10"/>
  <c r="F6" i="1"/>
  <c r="F9" i="2"/>
  <c r="F27" i="1"/>
  <c r="K23" i="2"/>
  <c r="F23" i="1"/>
  <c r="F8" i="2"/>
  <c r="K11"/>
  <c r="K7"/>
  <c r="K10"/>
  <c r="K6" i="1"/>
  <c r="K8" i="2"/>
  <c r="F24"/>
  <c r="F28"/>
  <c r="K28" i="1"/>
  <c r="K10"/>
  <c r="F9"/>
  <c r="K8"/>
  <c r="F8"/>
  <c r="F6" i="2"/>
  <c r="F63" s="1"/>
  <c r="K6"/>
  <c r="F64"/>
  <c r="F11" i="1"/>
  <c r="F18" i="2"/>
  <c r="C58"/>
  <c r="C56"/>
  <c r="F53"/>
  <c r="C53" s="1"/>
  <c r="K18" i="1" l="1"/>
  <c r="K63"/>
  <c r="K40"/>
  <c r="K41" s="1"/>
  <c r="K64" i="2"/>
  <c r="F30" i="1"/>
  <c r="F63"/>
  <c r="F18"/>
  <c r="K18" i="2"/>
  <c r="F30"/>
  <c r="K30"/>
  <c r="F64" i="1"/>
  <c r="K54" l="1"/>
  <c r="H54" s="1"/>
  <c r="K50"/>
  <c r="F40" i="2"/>
  <c r="F41" s="1"/>
  <c r="K40"/>
  <c r="K41" s="1"/>
  <c r="K53"/>
  <c r="H53" s="1"/>
  <c r="H56"/>
  <c r="H58"/>
  <c r="K55" i="1"/>
  <c r="H58"/>
  <c r="K53"/>
  <c r="H53" s="1"/>
  <c r="H56"/>
  <c r="C56"/>
  <c r="F53"/>
  <c r="C53" s="1"/>
  <c r="C58"/>
  <c r="F40"/>
  <c r="F41" s="1"/>
  <c r="K50" i="2" l="1"/>
  <c r="K54"/>
  <c r="H54" s="1"/>
  <c r="K55"/>
  <c r="F50" i="1"/>
  <c r="F54"/>
  <c r="C54" s="1"/>
  <c r="F55"/>
  <c r="F55" i="2"/>
  <c r="F54"/>
  <c r="C54" s="1"/>
  <c r="F50"/>
  <c r="K57" i="1"/>
  <c r="H55"/>
  <c r="K62"/>
  <c r="H50"/>
  <c r="K59" l="1"/>
  <c r="H59" s="1"/>
  <c r="H57"/>
  <c r="C55"/>
  <c r="F57"/>
  <c r="F62"/>
  <c r="C50"/>
  <c r="F62" i="2"/>
  <c r="C50"/>
  <c r="F57"/>
  <c r="C55"/>
  <c r="H55"/>
  <c r="K57"/>
  <c r="K62"/>
  <c r="H50"/>
  <c r="F59" l="1"/>
  <c r="C59" s="1"/>
  <c r="C57"/>
  <c r="H57"/>
  <c r="K59"/>
  <c r="H59" s="1"/>
  <c r="F59" i="1"/>
  <c r="C59" s="1"/>
  <c r="C57"/>
</calcChain>
</file>

<file path=xl/sharedStrings.xml><?xml version="1.0" encoding="utf-8"?>
<sst xmlns="http://schemas.openxmlformats.org/spreadsheetml/2006/main" count="313" uniqueCount="115">
  <si>
    <t>Large Breed Dairy Cow Including Replacements Producing</t>
  </si>
  <si>
    <t xml:space="preserve">20,000 lbs. &amp; 24,000 lbs. of Grade A Milk </t>
  </si>
  <si>
    <t>I. RECEIPTS</t>
  </si>
  <si>
    <t>$$ Value</t>
  </si>
  <si>
    <t xml:space="preserve"> $$ Value</t>
  </si>
  <si>
    <t xml:space="preserve">     1. Components:</t>
  </si>
  <si>
    <t>cwts.</t>
  </si>
  <si>
    <t xml:space="preserve">         a. Butterfat</t>
  </si>
  <si>
    <t>lbs.</t>
  </si>
  <si>
    <t>$/lb.</t>
  </si>
  <si>
    <t xml:space="preserve">         b. Protein</t>
  </si>
  <si>
    <t xml:space="preserve">         c. Other Solids</t>
  </si>
  <si>
    <t xml:space="preserve">         d. Producer Price Differential</t>
  </si>
  <si>
    <t>$/cwt.</t>
  </si>
  <si>
    <t xml:space="preserve">         e. Quality</t>
  </si>
  <si>
    <t>SCC</t>
  </si>
  <si>
    <t>$/thousand</t>
  </si>
  <si>
    <t xml:space="preserve">          f. Protein Premium</t>
  </si>
  <si>
    <t xml:space="preserve">         g. Volume</t>
  </si>
  <si>
    <t xml:space="preserve">     2. Capital Payout</t>
  </si>
  <si>
    <t xml:space="preserve">     3. Cull/cow (a)</t>
  </si>
  <si>
    <t>head</t>
  </si>
  <si>
    <t>per hd.</t>
  </si>
  <si>
    <t xml:space="preserve">     4. Dairy calf</t>
  </si>
  <si>
    <t xml:space="preserve">     5. Replacement heifer calf</t>
  </si>
  <si>
    <t xml:space="preserve">     6. MILC payment</t>
  </si>
  <si>
    <t xml:space="preserve">     GROSS RECEIPTS</t>
  </si>
  <si>
    <t>II. VARIABLE COSTS</t>
  </si>
  <si>
    <t xml:space="preserve">     A. FEED COSTS (b)</t>
  </si>
  <si>
    <t>Price/Unit</t>
  </si>
  <si>
    <t>Amount</t>
  </si>
  <si>
    <t xml:space="preserve">     1. Corn equivalents </t>
  </si>
  <si>
    <t>per bu.</t>
  </si>
  <si>
    <t>bu.</t>
  </si>
  <si>
    <t xml:space="preserve">     2. Corn Silage</t>
  </si>
  <si>
    <t>per ton</t>
  </si>
  <si>
    <t>tons</t>
  </si>
  <si>
    <t xml:space="preserve">     3. Hay equivalents</t>
  </si>
  <si>
    <t xml:space="preserve">     4. Salts and minerals</t>
  </si>
  <si>
    <t>per lb.</t>
  </si>
  <si>
    <t xml:space="preserve">     5. Protein supplement</t>
  </si>
  <si>
    <t xml:space="preserve">     6. Whole (linted) cottonseed</t>
  </si>
  <si>
    <t xml:space="preserve">     7. Fat</t>
  </si>
  <si>
    <t xml:space="preserve">     8. Milk replacer, calf starter</t>
  </si>
  <si>
    <t xml:space="preserve">     9. Total Feed Costs</t>
  </si>
  <si>
    <t xml:space="preserve">     B. LIVESTOCK COSTS</t>
  </si>
  <si>
    <t>$$Value</t>
  </si>
  <si>
    <t xml:space="preserve">     1. Milk marketing per cwt.</t>
  </si>
  <si>
    <t xml:space="preserve">     2. Veterinary and Health</t>
  </si>
  <si>
    <t xml:space="preserve">     3. Fuel, utilities and repairs</t>
  </si>
  <si>
    <t xml:space="preserve">     4. DHIA &amp; accounting</t>
  </si>
  <si>
    <t xml:space="preserve">     5. Breeding fees</t>
  </si>
  <si>
    <t xml:space="preserve">     6. Bedding, supplies and misc.</t>
  </si>
  <si>
    <t xml:space="preserve">     7. Total Livestock Cost</t>
  </si>
  <si>
    <t xml:space="preserve">     8. Operating Capital Interest</t>
  </si>
  <si>
    <t>months</t>
  </si>
  <si>
    <t xml:space="preserve">     9. Total Variable Costs</t>
  </si>
  <si>
    <t>III. FIXED COSTS (c)</t>
  </si>
  <si>
    <t xml:space="preserve">     1. Machinery, equipment, facilities </t>
  </si>
  <si>
    <t xml:space="preserve">     2. Interest &amp; Ins. on Herd</t>
  </si>
  <si>
    <t>annually</t>
  </si>
  <si>
    <t xml:space="preserve">     3. Death Loss </t>
  </si>
  <si>
    <t xml:space="preserve">     4. Total Fixed Cost</t>
  </si>
  <si>
    <t>IV. TOTAL COST</t>
  </si>
  <si>
    <t>per cwt. (d)</t>
  </si>
  <si>
    <t>per cow</t>
  </si>
  <si>
    <t xml:space="preserve">     (except for labor and management)</t>
  </si>
  <si>
    <t>V. RETURNS</t>
  </si>
  <si>
    <t xml:space="preserve">     1. Gross receipts</t>
  </si>
  <si>
    <t xml:space="preserve">     2. Less variable costs</t>
  </si>
  <si>
    <t xml:space="preserve">     3. Returns above variable costs</t>
  </si>
  <si>
    <t xml:space="preserve">     4. Less fixed costs</t>
  </si>
  <si>
    <t xml:space="preserve">     5. Returns to labor &amp; management</t>
  </si>
  <si>
    <t xml:space="preserve">     7. Returns to management</t>
  </si>
  <si>
    <t xml:space="preserve">VI. BREAK EVEN MILK PRICE (e) </t>
  </si>
  <si>
    <t xml:space="preserve">     1. Budget break even per cwt.</t>
  </si>
  <si>
    <r>
      <t xml:space="preserve">     </t>
    </r>
    <r>
      <rPr>
        <sz val="11"/>
        <rFont val="Arial"/>
        <family val="2"/>
      </rPr>
      <t>2. Actual milk price received this month</t>
    </r>
  </si>
  <si>
    <t xml:space="preserve">     3. Actual price received this month+MILC payment</t>
  </si>
  <si>
    <t>(b)  A detailed explanation of the feed rations utilized is available upon request from the authors.</t>
  </si>
  <si>
    <t>(d)  Milk equivalents are calculated by computing the adjusted gross receipts (gross receipts - death loss) then dividing by the total price per cwt. of milk.</t>
  </si>
  <si>
    <t xml:space="preserve">(e)  The break even milk price is the gross Grade A price per cwt. required in the receipts section, so the budget will cover total costs and labor. </t>
  </si>
  <si>
    <t xml:space="preserve">Prepared by: Paul W. Brown, Extension Farm Management Specialist, Dale Thoreson, Extension Dairy Specialist,  </t>
  </si>
  <si>
    <t xml:space="preserve">and Lee Kilmer, Extension Dairy Specialist, Iowa State University.                         </t>
  </si>
  <si>
    <t>scc</t>
  </si>
  <si>
    <t>x $1400.00</t>
  </si>
  <si>
    <t>x $1540.00</t>
  </si>
  <si>
    <t>BF price</t>
  </si>
  <si>
    <t>Protein price</t>
  </si>
  <si>
    <t>Other solids price</t>
  </si>
  <si>
    <t>PPD</t>
  </si>
  <si>
    <t>SCC adjustment</t>
  </si>
  <si>
    <t>Feed prices</t>
  </si>
  <si>
    <t>Corn</t>
  </si>
  <si>
    <t>Soybean meal</t>
  </si>
  <si>
    <t xml:space="preserve">(c)  Facilities budgeted here represent those needed for a 250 cow herd housed in a freestall and milked in a parlor. </t>
  </si>
  <si>
    <t>MILC</t>
  </si>
  <si>
    <t xml:space="preserve">     6. Less labor cost 45 hrs. @ $13/hr.</t>
  </si>
  <si>
    <t xml:space="preserve">     6. Less labor cost 70 hrs. @ $13/hr.</t>
  </si>
  <si>
    <t xml:space="preserve">Midwest Dairy Cow Annual Budget- Freestall </t>
  </si>
  <si>
    <t>Milk Components &amp; Prices</t>
  </si>
  <si>
    <t>BF%</t>
  </si>
  <si>
    <t>Protein%</t>
  </si>
  <si>
    <t>Other solids%</t>
  </si>
  <si>
    <t>Cottonseed</t>
  </si>
  <si>
    <t>Animal fat</t>
  </si>
  <si>
    <t>Hay</t>
  </si>
  <si>
    <t>Iowa and Nebraska Dairy Budgets</t>
  </si>
  <si>
    <t>Notes on budget assumptions and prices</t>
  </si>
  <si>
    <t>(g)  Other costs revised August 2009</t>
  </si>
  <si>
    <t>Revised by: Robert Tigner, Extension Educator, UN-L, June 2010</t>
  </si>
  <si>
    <t>Cull Cow Price</t>
  </si>
  <si>
    <t>(f)   Corn price obtained from Monthly Grain report Omaha/Council Bluffs http://www.ams.usda.gov/mnreports/wh_gr110.txt. Fat &amp; Soybean Meal prices are obtained fron the most recent Minneapolis Weekly Feedstuffs report, http://www.ams.usda.gov/mnreports/ms_gr852.txt</t>
  </si>
  <si>
    <t>(a)  Cull cow income represents sales of dairy stock, a capital asset.  This income is included to calculate production in terms of milk equivalents. Price fron most recent Iowa weekly slaughter report http://www.ams.usda.gov/mnreports/nw_ls785.txt</t>
  </si>
  <si>
    <t>August 2010</t>
  </si>
  <si>
    <t>Cottonseed price from most recent Feedstuffs magazine. Hay price obrained from NE/IA Weekly hay report, http://www.ams.usda.gov/mnreports/sc_gr310.txt, Premium quality alfalfa large squares.</t>
  </si>
</sst>
</file>

<file path=xl/styles.xml><?xml version="1.0" encoding="utf-8"?>
<styleSheet xmlns="http://schemas.openxmlformats.org/spreadsheetml/2006/main">
  <numFmts count="6">
    <numFmt numFmtId="5" formatCode="&quot;$&quot;#,##0_);\(&quot;$&quot;#,##0\)"/>
    <numFmt numFmtId="7" formatCode="&quot;$&quot;#,##0.00_);\(&quot;$&quot;#,##0.00\)"/>
    <numFmt numFmtId="164" formatCode="&quot;$&quot;#,##0.000000_);\(&quot;$&quot;#,##0.000000\)"/>
    <numFmt numFmtId="165" formatCode="&quot;$&quot;#,##0.0000"/>
    <numFmt numFmtId="166" formatCode="&quot;$&quot;#,##0.0000_);\(&quot;$&quot;#,##0.0000\)"/>
    <numFmt numFmtId="167" formatCode="&quot;$&quot;#,##0.00"/>
  </numFmts>
  <fonts count="12">
    <font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indexed="12"/>
      <name val="Arial"/>
      <family val="2"/>
    </font>
    <font>
      <sz val="11"/>
      <name val="Arial"/>
      <family val="2"/>
    </font>
    <font>
      <sz val="8"/>
      <name val="MS Sans Serif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/>
    <xf numFmtId="7" fontId="1" fillId="0" borderId="0" xfId="0" applyNumberFormat="1" applyFont="1" applyBorder="1"/>
    <xf numFmtId="7" fontId="1" fillId="0" borderId="6" xfId="0" applyNumberFormat="1" applyFont="1" applyBorder="1"/>
    <xf numFmtId="3" fontId="1" fillId="0" borderId="5" xfId="0" applyNumberFormat="1" applyFont="1" applyBorder="1"/>
    <xf numFmtId="7" fontId="1" fillId="0" borderId="8" xfId="0" applyNumberFormat="1" applyFont="1" applyBorder="1"/>
    <xf numFmtId="0" fontId="1" fillId="0" borderId="11" xfId="0" applyFont="1" applyBorder="1"/>
    <xf numFmtId="0" fontId="1" fillId="0" borderId="6" xfId="0" applyFont="1" applyBorder="1"/>
    <xf numFmtId="7" fontId="1" fillId="0" borderId="5" xfId="0" applyNumberFormat="1" applyFont="1" applyBorder="1"/>
    <xf numFmtId="5" fontId="1" fillId="0" borderId="0" xfId="0" applyNumberFormat="1" applyFont="1" applyBorder="1"/>
    <xf numFmtId="7" fontId="1" fillId="0" borderId="1" xfId="0" applyNumberFormat="1" applyFont="1" applyBorder="1"/>
    <xf numFmtId="0" fontId="1" fillId="0" borderId="0" xfId="0" applyFont="1"/>
    <xf numFmtId="0" fontId="2" fillId="0" borderId="10" xfId="0" applyFont="1" applyBorder="1"/>
    <xf numFmtId="0" fontId="2" fillId="0" borderId="5" xfId="0" applyFont="1" applyBorder="1"/>
    <xf numFmtId="0" fontId="2" fillId="0" borderId="0" xfId="0" applyFont="1" applyBorder="1"/>
    <xf numFmtId="7" fontId="2" fillId="0" borderId="6" xfId="0" applyNumberFormat="1" applyFont="1" applyBorder="1"/>
    <xf numFmtId="7" fontId="2" fillId="0" borderId="0" xfId="0" applyNumberFormat="1" applyFont="1" applyBorder="1"/>
    <xf numFmtId="0" fontId="2" fillId="0" borderId="1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NumberFormat="1" applyFont="1" applyBorder="1"/>
    <xf numFmtId="164" fontId="1" fillId="0" borderId="6" xfId="0" applyNumberFormat="1" applyFont="1" applyBorder="1"/>
    <xf numFmtId="165" fontId="1" fillId="0" borderId="8" xfId="0" applyNumberFormat="1" applyFont="1" applyBorder="1"/>
    <xf numFmtId="166" fontId="1" fillId="0" borderId="8" xfId="0" applyNumberFormat="1" applyFont="1" applyBorder="1"/>
    <xf numFmtId="0" fontId="4" fillId="0" borderId="5" xfId="0" applyFont="1" applyBorder="1"/>
    <xf numFmtId="0" fontId="4" fillId="0" borderId="0" xfId="0" applyNumberFormat="1" applyFont="1" applyBorder="1"/>
    <xf numFmtId="7" fontId="4" fillId="0" borderId="0" xfId="0" applyNumberFormat="1" applyFont="1" applyBorder="1"/>
    <xf numFmtId="0" fontId="4" fillId="0" borderId="0" xfId="0" applyFont="1" applyBorder="1"/>
    <xf numFmtId="7" fontId="4" fillId="0" borderId="5" xfId="0" applyNumberFormat="1" applyFont="1" applyBorder="1"/>
    <xf numFmtId="9" fontId="4" fillId="0" borderId="5" xfId="0" applyNumberFormat="1" applyFont="1" applyBorder="1"/>
    <xf numFmtId="10" fontId="4" fillId="0" borderId="5" xfId="0" applyNumberFormat="1" applyFont="1" applyBorder="1"/>
    <xf numFmtId="166" fontId="4" fillId="0" borderId="0" xfId="0" applyNumberFormat="1" applyFont="1" applyBorder="1"/>
    <xf numFmtId="166" fontId="1" fillId="0" borderId="0" xfId="0" applyNumberFormat="1" applyFont="1" applyBorder="1"/>
    <xf numFmtId="166" fontId="2" fillId="0" borderId="6" xfId="0" applyNumberFormat="1" applyFont="1" applyBorder="1"/>
    <xf numFmtId="166" fontId="5" fillId="0" borderId="6" xfId="0" applyNumberFormat="1" applyFont="1" applyBorder="1"/>
    <xf numFmtId="167" fontId="1" fillId="0" borderId="8" xfId="0" applyNumberFormat="1" applyFont="1" applyBorder="1"/>
    <xf numFmtId="9" fontId="4" fillId="0" borderId="0" xfId="0" applyNumberFormat="1" applyFont="1" applyBorder="1"/>
    <xf numFmtId="10" fontId="4" fillId="0" borderId="0" xfId="0" applyNumberFormat="1" applyFont="1" applyBorder="1"/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/>
    <xf numFmtId="49" fontId="10" fillId="0" borderId="0" xfId="0" applyNumberFormat="1" applyFont="1"/>
    <xf numFmtId="0" fontId="10" fillId="0" borderId="0" xfId="0" applyFont="1"/>
    <xf numFmtId="0" fontId="11" fillId="0" borderId="0" xfId="0" applyFont="1"/>
    <xf numFmtId="167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L45"/>
  <sheetViews>
    <sheetView topLeftCell="A28" workbookViewId="0">
      <selection activeCell="C9" sqref="C9"/>
    </sheetView>
  </sheetViews>
  <sheetFormatPr defaultRowHeight="12.75"/>
  <cols>
    <col min="4" max="4" width="17.42578125" customWidth="1"/>
  </cols>
  <sheetData>
    <row r="4" spans="2:5" ht="15.75">
      <c r="B4" s="59" t="s">
        <v>106</v>
      </c>
      <c r="C4" s="60"/>
      <c r="D4" s="60"/>
      <c r="E4" s="60"/>
    </row>
    <row r="5" spans="2:5">
      <c r="B5" s="60"/>
      <c r="C5" s="60"/>
      <c r="D5" s="60"/>
      <c r="E5" s="60"/>
    </row>
    <row r="6" spans="2:5">
      <c r="B6" s="60"/>
      <c r="C6" s="60"/>
      <c r="D6" s="60"/>
      <c r="E6" s="60"/>
    </row>
    <row r="7" spans="2:5">
      <c r="B7" s="60"/>
      <c r="C7" s="60"/>
      <c r="D7" s="61" t="s">
        <v>113</v>
      </c>
      <c r="E7" s="62"/>
    </row>
    <row r="8" spans="2:5">
      <c r="B8" s="60"/>
      <c r="C8" s="60"/>
      <c r="D8" s="62" t="s">
        <v>99</v>
      </c>
      <c r="E8" s="62"/>
    </row>
    <row r="9" spans="2:5">
      <c r="B9" s="60"/>
      <c r="C9" s="60"/>
      <c r="D9" s="60" t="s">
        <v>100</v>
      </c>
      <c r="E9" s="60">
        <v>3.55</v>
      </c>
    </row>
    <row r="10" spans="2:5">
      <c r="B10" s="60"/>
      <c r="C10" s="60"/>
      <c r="D10" s="60" t="s">
        <v>101</v>
      </c>
      <c r="E10" s="60">
        <v>3.05</v>
      </c>
    </row>
    <row r="11" spans="2:5">
      <c r="B11" s="60"/>
      <c r="C11" s="60"/>
      <c r="D11" s="60" t="s">
        <v>102</v>
      </c>
      <c r="E11" s="60">
        <v>5.73</v>
      </c>
    </row>
    <row r="12" spans="2:5">
      <c r="B12" s="60"/>
      <c r="C12" s="60"/>
      <c r="D12" s="60" t="s">
        <v>83</v>
      </c>
      <c r="E12" s="60">
        <v>265</v>
      </c>
    </row>
    <row r="13" spans="2:5">
      <c r="B13" s="60"/>
      <c r="C13" s="60"/>
      <c r="D13" s="60"/>
      <c r="E13" s="60"/>
    </row>
    <row r="14" spans="2:5">
      <c r="B14" s="60"/>
      <c r="C14" s="60"/>
      <c r="D14" s="60" t="s">
        <v>86</v>
      </c>
      <c r="E14" s="60">
        <v>2.4043999999999999</v>
      </c>
    </row>
    <row r="15" spans="2:5">
      <c r="B15" s="60"/>
      <c r="C15" s="60"/>
      <c r="D15" s="60" t="s">
        <v>87</v>
      </c>
      <c r="E15" s="60">
        <v>2.3056999999999999</v>
      </c>
    </row>
    <row r="16" spans="2:5">
      <c r="B16" s="60"/>
      <c r="C16" s="60"/>
      <c r="D16" s="60" t="s">
        <v>88</v>
      </c>
      <c r="E16" s="60">
        <v>0.1673</v>
      </c>
    </row>
    <row r="17" spans="2:5">
      <c r="B17" s="60"/>
      <c r="C17" s="60"/>
      <c r="D17" s="60" t="s">
        <v>89</v>
      </c>
      <c r="E17" s="60">
        <v>0.75</v>
      </c>
    </row>
    <row r="18" spans="2:5">
      <c r="B18" s="60"/>
      <c r="C18" s="60"/>
      <c r="D18" s="60" t="s">
        <v>90</v>
      </c>
      <c r="E18" s="60">
        <v>8.4999999999999995E-4</v>
      </c>
    </row>
    <row r="19" spans="2:5">
      <c r="B19" s="60"/>
      <c r="C19" s="60"/>
      <c r="D19" s="60"/>
      <c r="E19" s="60"/>
    </row>
    <row r="20" spans="2:5">
      <c r="B20" s="60"/>
      <c r="C20" s="60"/>
      <c r="D20" s="62" t="s">
        <v>95</v>
      </c>
      <c r="E20" s="60">
        <v>0</v>
      </c>
    </row>
    <row r="21" spans="2:5">
      <c r="B21" s="60"/>
      <c r="C21" s="60"/>
      <c r="D21" s="60"/>
      <c r="E21" s="60"/>
    </row>
    <row r="22" spans="2:5">
      <c r="B22" s="60"/>
      <c r="C22" s="60"/>
      <c r="D22" s="60"/>
      <c r="E22" s="60"/>
    </row>
    <row r="23" spans="2:5">
      <c r="B23" s="60"/>
      <c r="C23" s="60"/>
      <c r="D23" s="62" t="s">
        <v>91</v>
      </c>
      <c r="E23" s="60"/>
    </row>
    <row r="24" spans="2:5">
      <c r="B24" s="60"/>
      <c r="C24" s="60"/>
      <c r="D24" s="60"/>
      <c r="E24" s="60"/>
    </row>
    <row r="25" spans="2:5">
      <c r="B25" s="60"/>
      <c r="C25" s="60"/>
      <c r="D25" s="60" t="s">
        <v>92</v>
      </c>
      <c r="E25" s="64">
        <v>4.3499999999999996</v>
      </c>
    </row>
    <row r="26" spans="2:5">
      <c r="B26" s="60"/>
      <c r="C26" s="60"/>
      <c r="D26" s="60" t="s">
        <v>93</v>
      </c>
      <c r="E26" s="64">
        <v>333</v>
      </c>
    </row>
    <row r="27" spans="2:5">
      <c r="B27" s="60"/>
      <c r="C27" s="60"/>
      <c r="D27" s="60" t="s">
        <v>103</v>
      </c>
      <c r="E27" s="64">
        <v>290</v>
      </c>
    </row>
    <row r="28" spans="2:5">
      <c r="B28" s="60"/>
      <c r="C28" s="60"/>
      <c r="D28" s="60" t="s">
        <v>104</v>
      </c>
      <c r="E28" s="64">
        <v>0.3</v>
      </c>
    </row>
    <row r="29" spans="2:5">
      <c r="B29" s="60"/>
      <c r="C29" s="60"/>
      <c r="D29" s="60" t="s">
        <v>105</v>
      </c>
      <c r="E29" s="64">
        <v>132.5</v>
      </c>
    </row>
    <row r="31" spans="2:5">
      <c r="D31" s="62" t="s">
        <v>110</v>
      </c>
      <c r="E31" s="64">
        <v>57</v>
      </c>
    </row>
    <row r="34" spans="2:12" ht="15">
      <c r="B34" s="63" t="s">
        <v>107</v>
      </c>
    </row>
    <row r="35" spans="2:12" ht="14.25">
      <c r="B35" s="26" t="s">
        <v>112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spans="2:12" ht="14.25">
      <c r="B36" s="26" t="s">
        <v>78</v>
      </c>
      <c r="C36" s="26"/>
      <c r="D36" s="26"/>
      <c r="F36" s="26"/>
      <c r="G36" s="26"/>
      <c r="H36" s="26"/>
      <c r="I36" s="26"/>
      <c r="J36" s="26"/>
      <c r="K36" s="26"/>
      <c r="L36" s="26"/>
    </row>
    <row r="37" spans="2:12" ht="14.25">
      <c r="B37" s="26" t="s">
        <v>94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2:12" ht="14.25">
      <c r="B38" s="26" t="s">
        <v>79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2:12" ht="14.25">
      <c r="B39" s="26" t="s">
        <v>80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2:12" ht="14.25">
      <c r="B40" s="26" t="s">
        <v>111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2:12" ht="14.25">
      <c r="B41" s="26" t="s">
        <v>114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2:12" ht="14.25">
      <c r="B42" s="58" t="s">
        <v>108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2:12" ht="14.25">
      <c r="B43" s="26" t="s">
        <v>81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</row>
    <row r="44" spans="2:12" ht="14.25">
      <c r="B44" s="26" t="s">
        <v>82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spans="2:12" ht="14.25">
      <c r="B45" s="58" t="s">
        <v>109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1"/>
  <sheetViews>
    <sheetView showGridLines="0" tabSelected="1" zoomScaleNormal="100" workbookViewId="0">
      <selection activeCell="H34" sqref="H34"/>
    </sheetView>
  </sheetViews>
  <sheetFormatPr defaultRowHeight="12.75"/>
  <cols>
    <col min="1" max="1" width="33.28515625" customWidth="1"/>
    <col min="2" max="2" width="9.7109375" customWidth="1"/>
    <col min="3" max="3" width="8.7109375" customWidth="1"/>
    <col min="4" max="4" width="9.7109375" customWidth="1"/>
    <col min="5" max="5" width="11.85546875" customWidth="1"/>
    <col min="6" max="6" width="12.7109375" customWidth="1"/>
    <col min="7" max="7" width="9.42578125" customWidth="1"/>
    <col min="8" max="8" width="8.5703125" customWidth="1"/>
    <col min="9" max="9" width="9.7109375" customWidth="1"/>
    <col min="10" max="10" width="13" customWidth="1"/>
    <col min="11" max="11" width="13.85546875" customWidth="1"/>
    <col min="13" max="13" width="14.42578125" customWidth="1"/>
  </cols>
  <sheetData>
    <row r="1" spans="1:11" ht="15.75">
      <c r="A1" s="4"/>
      <c r="B1" s="5"/>
      <c r="C1" s="6"/>
      <c r="D1" s="2"/>
      <c r="E1" s="33" t="s">
        <v>98</v>
      </c>
      <c r="F1" s="2"/>
      <c r="G1" s="5"/>
      <c r="H1" s="56" t="str">
        <f>Inputs!D7</f>
        <v>August 2010</v>
      </c>
      <c r="I1" s="5"/>
      <c r="J1" s="5"/>
      <c r="K1" s="7"/>
    </row>
    <row r="2" spans="1:11" ht="15.75">
      <c r="A2" s="8"/>
      <c r="B2" s="9"/>
      <c r="C2" s="9"/>
      <c r="D2" s="9"/>
      <c r="E2" s="34" t="s">
        <v>0</v>
      </c>
      <c r="F2" s="3"/>
      <c r="G2" s="9"/>
      <c r="H2" s="9"/>
      <c r="I2" s="9"/>
      <c r="J2" s="9"/>
      <c r="K2" s="10"/>
    </row>
    <row r="3" spans="1:11" ht="15.75">
      <c r="A3" s="11"/>
      <c r="B3" s="35"/>
      <c r="C3" s="35"/>
      <c r="D3" s="35"/>
      <c r="E3" s="36" t="s">
        <v>1</v>
      </c>
      <c r="F3" s="1"/>
      <c r="G3" s="35"/>
      <c r="H3" s="35"/>
      <c r="I3" s="35"/>
      <c r="J3" s="35"/>
      <c r="K3" s="37"/>
    </row>
    <row r="4" spans="1:11" ht="15">
      <c r="A4" s="32" t="s">
        <v>2</v>
      </c>
      <c r="B4" s="4"/>
      <c r="C4" s="6"/>
      <c r="D4" s="6"/>
      <c r="E4" s="6"/>
      <c r="F4" s="14" t="s">
        <v>3</v>
      </c>
      <c r="G4" s="4"/>
      <c r="H4" s="6"/>
      <c r="I4" s="6"/>
      <c r="J4" s="6"/>
      <c r="K4" s="14" t="s">
        <v>4</v>
      </c>
    </row>
    <row r="5" spans="1:11" ht="14.25">
      <c r="A5" s="15" t="s">
        <v>5</v>
      </c>
      <c r="B5" s="42">
        <v>200</v>
      </c>
      <c r="C5" s="16" t="s">
        <v>6</v>
      </c>
      <c r="D5" s="16"/>
      <c r="E5" s="16"/>
      <c r="F5" s="22"/>
      <c r="G5" s="42">
        <v>240</v>
      </c>
      <c r="H5" s="16" t="s">
        <v>6</v>
      </c>
      <c r="I5" s="16"/>
      <c r="J5" s="16"/>
      <c r="K5" s="22"/>
    </row>
    <row r="6" spans="1:11" ht="14.25">
      <c r="A6" s="15" t="s">
        <v>7</v>
      </c>
      <c r="B6" s="42">
        <f>Inputs!E9*B5</f>
        <v>710</v>
      </c>
      <c r="C6" s="16" t="s">
        <v>8</v>
      </c>
      <c r="D6" s="43">
        <f>Inputs!E14</f>
        <v>2.4043999999999999</v>
      </c>
      <c r="E6" s="16" t="s">
        <v>9</v>
      </c>
      <c r="F6" s="18">
        <f>B6*D6</f>
        <v>1707.1239999999998</v>
      </c>
      <c r="G6" s="42">
        <f>Inputs!E9*G5</f>
        <v>852</v>
      </c>
      <c r="H6" s="16" t="s">
        <v>8</v>
      </c>
      <c r="I6" s="38">
        <f>D6</f>
        <v>2.4043999999999999</v>
      </c>
      <c r="J6" s="16" t="s">
        <v>9</v>
      </c>
      <c r="K6" s="18">
        <f>G6*I6</f>
        <v>2048.5488</v>
      </c>
    </row>
    <row r="7" spans="1:11" ht="14.25">
      <c r="A7" s="15" t="s">
        <v>10</v>
      </c>
      <c r="B7" s="42">
        <f>Inputs!E10*B5</f>
        <v>610</v>
      </c>
      <c r="C7" s="16" t="s">
        <v>8</v>
      </c>
      <c r="D7" s="43">
        <f>Inputs!E15</f>
        <v>2.3056999999999999</v>
      </c>
      <c r="E7" s="16" t="s">
        <v>9</v>
      </c>
      <c r="F7" s="18">
        <f>B7*D7</f>
        <v>1406.4769999999999</v>
      </c>
      <c r="G7" s="42">
        <f>Inputs!E10*G5</f>
        <v>732</v>
      </c>
      <c r="H7" s="16" t="s">
        <v>8</v>
      </c>
      <c r="I7" s="38">
        <f>D7</f>
        <v>2.3056999999999999</v>
      </c>
      <c r="J7" s="16" t="s">
        <v>9</v>
      </c>
      <c r="K7" s="18">
        <f>G7*I7</f>
        <v>1687.7723999999998</v>
      </c>
    </row>
    <row r="8" spans="1:11" ht="14.25">
      <c r="A8" s="15" t="s">
        <v>11</v>
      </c>
      <c r="B8" s="42">
        <f>Inputs!E11*B5</f>
        <v>1146</v>
      </c>
      <c r="C8" s="16" t="s">
        <v>8</v>
      </c>
      <c r="D8" s="43">
        <f>Inputs!E16</f>
        <v>0.1673</v>
      </c>
      <c r="E8" s="16" t="s">
        <v>9</v>
      </c>
      <c r="F8" s="18">
        <f>B8*D8</f>
        <v>191.72579999999999</v>
      </c>
      <c r="G8" s="42">
        <f>Inputs!E11*G5</f>
        <v>1375.2</v>
      </c>
      <c r="H8" s="16" t="s">
        <v>8</v>
      </c>
      <c r="I8" s="38">
        <f>D8</f>
        <v>0.1673</v>
      </c>
      <c r="J8" s="16" t="s">
        <v>9</v>
      </c>
      <c r="K8" s="18">
        <f>G8*I8</f>
        <v>230.07096000000001</v>
      </c>
    </row>
    <row r="9" spans="1:11" ht="14.25">
      <c r="A9" s="15" t="s">
        <v>12</v>
      </c>
      <c r="D9" s="43">
        <f>Inputs!E17</f>
        <v>0.75</v>
      </c>
      <c r="E9" s="16" t="s">
        <v>13</v>
      </c>
      <c r="F9" s="18">
        <f>B5*D9</f>
        <v>150</v>
      </c>
      <c r="I9" s="38">
        <f>D9</f>
        <v>0.75</v>
      </c>
      <c r="J9" s="16" t="s">
        <v>13</v>
      </c>
      <c r="K9" s="18">
        <f>G5*I9</f>
        <v>180</v>
      </c>
    </row>
    <row r="10" spans="1:11" ht="14.25">
      <c r="A10" s="15" t="s">
        <v>14</v>
      </c>
      <c r="B10" s="19">
        <f>Inputs!E12*1000</f>
        <v>265000</v>
      </c>
      <c r="C10" s="16" t="s">
        <v>15</v>
      </c>
      <c r="D10" s="43">
        <f>Inputs!E18</f>
        <v>8.4999999999999995E-4</v>
      </c>
      <c r="E10" s="16" t="s">
        <v>16</v>
      </c>
      <c r="F10" s="39">
        <f>(B10/1000)*D10</f>
        <v>0.22524999999999998</v>
      </c>
      <c r="G10" s="19">
        <f>Inputs!E12*1000</f>
        <v>265000</v>
      </c>
      <c r="H10" s="16" t="s">
        <v>15</v>
      </c>
      <c r="I10" s="38">
        <f>D10</f>
        <v>8.4999999999999995E-4</v>
      </c>
      <c r="J10" s="16" t="s">
        <v>16</v>
      </c>
      <c r="K10" s="39">
        <f>(G10/1000)*I10</f>
        <v>0.22524999999999998</v>
      </c>
    </row>
    <row r="11" spans="1:11" ht="14.25">
      <c r="A11" s="15" t="s">
        <v>17</v>
      </c>
      <c r="B11" s="19"/>
      <c r="C11" s="16"/>
      <c r="D11" s="43">
        <v>0</v>
      </c>
      <c r="E11" s="16" t="s">
        <v>9</v>
      </c>
      <c r="F11" s="18">
        <f>B7*D11</f>
        <v>0</v>
      </c>
      <c r="G11" s="19"/>
      <c r="H11" s="16"/>
      <c r="I11" s="38">
        <f t="shared" ref="I11:I17" si="0">D11</f>
        <v>0</v>
      </c>
      <c r="J11" s="16" t="s">
        <v>9</v>
      </c>
      <c r="K11" s="18">
        <f>G7*I11</f>
        <v>0</v>
      </c>
    </row>
    <row r="12" spans="1:11" ht="14.25">
      <c r="A12" s="15" t="s">
        <v>18</v>
      </c>
      <c r="B12" s="8"/>
      <c r="C12" s="16"/>
      <c r="D12" s="43">
        <v>0.185</v>
      </c>
      <c r="E12" s="16" t="s">
        <v>13</v>
      </c>
      <c r="F12" s="18">
        <f>B5*D12</f>
        <v>37</v>
      </c>
      <c r="G12" s="8"/>
      <c r="H12" s="16"/>
      <c r="I12" s="38">
        <f t="shared" si="0"/>
        <v>0.185</v>
      </c>
      <c r="J12" s="16" t="s">
        <v>13</v>
      </c>
      <c r="K12" s="18">
        <f>G5*I12</f>
        <v>44.4</v>
      </c>
    </row>
    <row r="13" spans="1:11" ht="14.25">
      <c r="A13" s="15" t="s">
        <v>19</v>
      </c>
      <c r="B13" s="8"/>
      <c r="C13" s="16"/>
      <c r="D13" s="43">
        <v>0</v>
      </c>
      <c r="E13" s="16" t="s">
        <v>13</v>
      </c>
      <c r="F13" s="18">
        <f>B5*D13</f>
        <v>0</v>
      </c>
      <c r="G13" s="8"/>
      <c r="H13" s="16"/>
      <c r="I13" s="38">
        <f t="shared" si="0"/>
        <v>0</v>
      </c>
      <c r="J13" s="16" t="s">
        <v>13</v>
      </c>
      <c r="K13" s="18">
        <f>G5*I13</f>
        <v>0</v>
      </c>
    </row>
    <row r="14" spans="1:11" ht="14.25">
      <c r="A14" s="15" t="s">
        <v>20</v>
      </c>
      <c r="B14" s="8">
        <v>0.36</v>
      </c>
      <c r="C14" s="16" t="s">
        <v>21</v>
      </c>
      <c r="D14" s="44">
        <f>B14*Inputs!E31*14</f>
        <v>287.27999999999997</v>
      </c>
      <c r="E14" s="16" t="s">
        <v>22</v>
      </c>
      <c r="F14" s="18">
        <f>B14*D14</f>
        <v>103.42079999999999</v>
      </c>
      <c r="G14" s="8">
        <v>0.39</v>
      </c>
      <c r="H14" s="16" t="s">
        <v>21</v>
      </c>
      <c r="I14" s="17">
        <f t="shared" si="0"/>
        <v>287.27999999999997</v>
      </c>
      <c r="J14" s="16" t="s">
        <v>22</v>
      </c>
      <c r="K14" s="18">
        <f>G14*I14</f>
        <v>112.03919999999999</v>
      </c>
    </row>
    <row r="15" spans="1:11" ht="14.25">
      <c r="A15" s="15" t="s">
        <v>23</v>
      </c>
      <c r="B15" s="8">
        <v>0.51</v>
      </c>
      <c r="C15" s="16" t="s">
        <v>21</v>
      </c>
      <c r="D15" s="44">
        <v>150</v>
      </c>
      <c r="E15" s="16" t="s">
        <v>22</v>
      </c>
      <c r="F15" s="18">
        <f>B15*D15</f>
        <v>76.5</v>
      </c>
      <c r="G15" s="8">
        <v>0.52</v>
      </c>
      <c r="H15" s="16" t="s">
        <v>21</v>
      </c>
      <c r="I15" s="17">
        <f t="shared" si="0"/>
        <v>150</v>
      </c>
      <c r="J15" s="16" t="s">
        <v>22</v>
      </c>
      <c r="K15" s="18">
        <f>G15*I15</f>
        <v>78</v>
      </c>
    </row>
    <row r="16" spans="1:11" ht="14.25">
      <c r="A16" s="15" t="s">
        <v>24</v>
      </c>
      <c r="B16" s="8">
        <v>0.18</v>
      </c>
      <c r="C16" s="16" t="s">
        <v>21</v>
      </c>
      <c r="D16" s="44">
        <v>450</v>
      </c>
      <c r="E16" s="16" t="s">
        <v>22</v>
      </c>
      <c r="F16" s="18">
        <f>B16*D16</f>
        <v>81</v>
      </c>
      <c r="G16" s="16">
        <v>0.21</v>
      </c>
      <c r="H16" s="16" t="s">
        <v>21</v>
      </c>
      <c r="I16" s="17">
        <f t="shared" si="0"/>
        <v>450</v>
      </c>
      <c r="J16" s="16" t="s">
        <v>22</v>
      </c>
      <c r="K16" s="18">
        <f>G16*I16</f>
        <v>94.5</v>
      </c>
    </row>
    <row r="17" spans="1:11" ht="14.25">
      <c r="A17" s="15" t="s">
        <v>25</v>
      </c>
      <c r="B17" s="8"/>
      <c r="C17" s="16"/>
      <c r="D17" s="49">
        <f>Inputs!E20</f>
        <v>0</v>
      </c>
      <c r="E17" s="16" t="s">
        <v>13</v>
      </c>
      <c r="F17" s="20">
        <f>B5*D17</f>
        <v>0</v>
      </c>
      <c r="G17" s="8"/>
      <c r="H17" s="16"/>
      <c r="I17" s="50">
        <f t="shared" si="0"/>
        <v>0</v>
      </c>
      <c r="J17" s="16"/>
      <c r="K17" s="20">
        <f>G5*I17</f>
        <v>0</v>
      </c>
    </row>
    <row r="18" spans="1:11" ht="15">
      <c r="A18" s="27" t="s">
        <v>26</v>
      </c>
      <c r="B18" s="28"/>
      <c r="C18" s="29"/>
      <c r="D18" s="29"/>
      <c r="E18" s="29"/>
      <c r="F18" s="30">
        <f>SUM(F6:F17)</f>
        <v>3753.4728499999997</v>
      </c>
      <c r="G18" s="28"/>
      <c r="H18" s="29"/>
      <c r="I18" s="29"/>
      <c r="J18" s="29"/>
      <c r="K18" s="30">
        <f>SUM(K6:K17)</f>
        <v>4475.5566099999996</v>
      </c>
    </row>
    <row r="19" spans="1:11" ht="14.25">
      <c r="A19" s="21"/>
      <c r="B19" s="11"/>
      <c r="C19" s="12"/>
      <c r="D19" s="12"/>
      <c r="E19" s="12"/>
      <c r="F19" s="13"/>
      <c r="G19" s="11"/>
      <c r="H19" s="12"/>
      <c r="I19" s="12"/>
      <c r="J19" s="12"/>
      <c r="K19" s="13"/>
    </row>
    <row r="20" spans="1:11" ht="15">
      <c r="A20" s="27" t="s">
        <v>27</v>
      </c>
      <c r="B20" s="8"/>
      <c r="C20" s="16"/>
      <c r="D20" s="16"/>
      <c r="E20" s="16"/>
      <c r="F20" s="22"/>
      <c r="G20" s="8"/>
      <c r="H20" s="16"/>
      <c r="I20" s="16"/>
      <c r="J20" s="16"/>
      <c r="K20" s="22"/>
    </row>
    <row r="21" spans="1:11" ht="15">
      <c r="A21" s="27" t="s">
        <v>28</v>
      </c>
      <c r="B21" s="11" t="s">
        <v>29</v>
      </c>
      <c r="C21" s="16"/>
      <c r="D21" s="12" t="s">
        <v>30</v>
      </c>
      <c r="E21" s="16"/>
      <c r="F21" s="13" t="s">
        <v>3</v>
      </c>
      <c r="G21" s="8"/>
      <c r="H21" s="12" t="s">
        <v>30</v>
      </c>
      <c r="I21" s="16"/>
      <c r="J21" s="16"/>
      <c r="K21" s="13" t="s">
        <v>3</v>
      </c>
    </row>
    <row r="22" spans="1:11" ht="14.25">
      <c r="A22" s="15" t="s">
        <v>31</v>
      </c>
      <c r="B22" s="46">
        <f>Inputs!E25</f>
        <v>4.3499999999999996</v>
      </c>
      <c r="C22" s="16" t="s">
        <v>32</v>
      </c>
      <c r="D22" s="45">
        <v>104.38</v>
      </c>
      <c r="E22" s="16" t="s">
        <v>33</v>
      </c>
      <c r="F22" s="18">
        <f t="shared" ref="F22:F28" si="1">B22*D22</f>
        <v>454.05299999999994</v>
      </c>
      <c r="G22" s="8"/>
      <c r="H22" s="45">
        <v>112.91</v>
      </c>
      <c r="I22" s="16" t="s">
        <v>33</v>
      </c>
      <c r="J22" s="16"/>
      <c r="K22" s="18">
        <f>B22*H22</f>
        <v>491.15849999999995</v>
      </c>
    </row>
    <row r="23" spans="1:11" ht="14.25">
      <c r="A23" s="15" t="s">
        <v>34</v>
      </c>
      <c r="B23" s="46">
        <f>Inputs!E25*10</f>
        <v>43.5</v>
      </c>
      <c r="C23" s="16" t="s">
        <v>35</v>
      </c>
      <c r="D23" s="45">
        <v>8.0399999999999991</v>
      </c>
      <c r="E23" s="16" t="s">
        <v>36</v>
      </c>
      <c r="F23" s="18">
        <f t="shared" si="1"/>
        <v>349.73999999999995</v>
      </c>
      <c r="G23" s="8"/>
      <c r="H23" s="45">
        <v>7.99</v>
      </c>
      <c r="I23" s="16" t="s">
        <v>36</v>
      </c>
      <c r="J23" s="16"/>
      <c r="K23" s="18">
        <f>B23*H23</f>
        <v>347.565</v>
      </c>
    </row>
    <row r="24" spans="1:11" ht="14.25">
      <c r="A24" s="15" t="s">
        <v>37</v>
      </c>
      <c r="B24" s="46">
        <f>Inputs!E29</f>
        <v>132.5</v>
      </c>
      <c r="C24" s="16" t="s">
        <v>35</v>
      </c>
      <c r="D24" s="45">
        <v>6.09</v>
      </c>
      <c r="E24" s="16" t="s">
        <v>36</v>
      </c>
      <c r="F24" s="18">
        <f t="shared" si="1"/>
        <v>806.92499999999995</v>
      </c>
      <c r="G24" s="8"/>
      <c r="H24" s="45">
        <v>6.03</v>
      </c>
      <c r="I24" s="16" t="s">
        <v>36</v>
      </c>
      <c r="J24" s="16"/>
      <c r="K24" s="18">
        <f>H24*B24</f>
        <v>798.97500000000002</v>
      </c>
    </row>
    <row r="25" spans="1:11" ht="14.25">
      <c r="A25" s="15" t="s">
        <v>38</v>
      </c>
      <c r="B25" s="46">
        <v>0.14000000000000001</v>
      </c>
      <c r="C25" s="16" t="s">
        <v>39</v>
      </c>
      <c r="D25" s="45">
        <v>241.97</v>
      </c>
      <c r="E25" s="16" t="s">
        <v>8</v>
      </c>
      <c r="F25" s="18">
        <f t="shared" si="1"/>
        <v>33.875800000000005</v>
      </c>
      <c r="G25" s="8"/>
      <c r="H25" s="45">
        <v>323.23</v>
      </c>
      <c r="I25" s="16" t="s">
        <v>8</v>
      </c>
      <c r="J25" s="16"/>
      <c r="K25" s="18">
        <f>H25*B25</f>
        <v>45.252200000000009</v>
      </c>
    </row>
    <row r="26" spans="1:11" ht="14.25">
      <c r="A26" s="15" t="s">
        <v>40</v>
      </c>
      <c r="B26" s="46">
        <f>Inputs!E26/2000</f>
        <v>0.16650000000000001</v>
      </c>
      <c r="C26" s="16" t="s">
        <v>39</v>
      </c>
      <c r="D26" s="45">
        <v>1284.83</v>
      </c>
      <c r="E26" s="16" t="s">
        <v>8</v>
      </c>
      <c r="F26" s="18">
        <f t="shared" si="1"/>
        <v>213.924195</v>
      </c>
      <c r="G26" s="8"/>
      <c r="H26" s="45">
        <v>1855.08</v>
      </c>
      <c r="I26" s="16" t="s">
        <v>8</v>
      </c>
      <c r="J26" s="16"/>
      <c r="K26" s="18">
        <f>B26*H26</f>
        <v>308.87081999999998</v>
      </c>
    </row>
    <row r="27" spans="1:11" ht="14.25">
      <c r="A27" s="15" t="s">
        <v>41</v>
      </c>
      <c r="B27" s="46">
        <f>Inputs!E27/2000</f>
        <v>0.14499999999999999</v>
      </c>
      <c r="C27" s="16" t="s">
        <v>39</v>
      </c>
      <c r="D27" s="45">
        <v>724.5</v>
      </c>
      <c r="E27" s="16" t="s">
        <v>8</v>
      </c>
      <c r="F27" s="18">
        <f t="shared" si="1"/>
        <v>105.05249999999999</v>
      </c>
      <c r="G27" s="8"/>
      <c r="H27" s="45">
        <v>1361.25</v>
      </c>
      <c r="I27" s="16" t="s">
        <v>8</v>
      </c>
      <c r="J27" s="16"/>
      <c r="K27" s="18">
        <f>B27*H27</f>
        <v>197.38124999999999</v>
      </c>
    </row>
    <row r="28" spans="1:11" ht="14.25">
      <c r="A28" s="15" t="s">
        <v>42</v>
      </c>
      <c r="B28" s="46">
        <f>Inputs!E28</f>
        <v>0.3</v>
      </c>
      <c r="C28" s="16" t="s">
        <v>39</v>
      </c>
      <c r="D28" s="45">
        <v>26</v>
      </c>
      <c r="E28" s="16" t="s">
        <v>8</v>
      </c>
      <c r="F28" s="18">
        <f t="shared" si="1"/>
        <v>7.8</v>
      </c>
      <c r="G28" s="8"/>
      <c r="H28" s="45">
        <v>111</v>
      </c>
      <c r="I28" s="16" t="s">
        <v>8</v>
      </c>
      <c r="J28" s="16"/>
      <c r="K28" s="18">
        <f>B28*H28</f>
        <v>33.299999999999997</v>
      </c>
    </row>
    <row r="29" spans="1:11" ht="14.25">
      <c r="A29" s="15" t="s">
        <v>43</v>
      </c>
      <c r="B29" s="23"/>
      <c r="C29" s="16"/>
      <c r="D29" s="16"/>
      <c r="E29" s="16"/>
      <c r="F29" s="20">
        <v>65</v>
      </c>
      <c r="G29" s="8"/>
      <c r="H29" s="16"/>
      <c r="I29" s="16"/>
      <c r="J29" s="16"/>
      <c r="K29" s="20">
        <v>44</v>
      </c>
    </row>
    <row r="30" spans="1:11" ht="15">
      <c r="A30" s="27" t="s">
        <v>44</v>
      </c>
      <c r="B30" s="28"/>
      <c r="C30" s="29"/>
      <c r="D30" s="29"/>
      <c r="E30" s="29"/>
      <c r="F30" s="30">
        <f>SUM(F22:F29)</f>
        <v>2036.3704949999999</v>
      </c>
      <c r="G30" s="28"/>
      <c r="H30" s="29"/>
      <c r="I30" s="29"/>
      <c r="J30" s="29"/>
      <c r="K30" s="30">
        <f>SUM(K22:K29)</f>
        <v>2266.5027700000001</v>
      </c>
    </row>
    <row r="31" spans="1:11" ht="14.25">
      <c r="A31" s="21"/>
      <c r="B31" s="11"/>
      <c r="C31" s="12"/>
      <c r="D31" s="12"/>
      <c r="E31" s="12"/>
      <c r="F31" s="20"/>
      <c r="G31" s="11"/>
      <c r="H31" s="12"/>
      <c r="I31" s="12"/>
      <c r="J31" s="12"/>
      <c r="K31" s="20"/>
    </row>
    <row r="32" spans="1:11" ht="15">
      <c r="A32" s="27" t="s">
        <v>45</v>
      </c>
      <c r="B32" s="8"/>
      <c r="C32" s="16"/>
      <c r="D32" s="16"/>
      <c r="E32" s="16"/>
      <c r="F32" s="13" t="s">
        <v>46</v>
      </c>
      <c r="G32" s="8"/>
      <c r="H32" s="16"/>
      <c r="I32" s="16"/>
      <c r="J32" s="16"/>
      <c r="K32" s="13" t="s">
        <v>46</v>
      </c>
    </row>
    <row r="33" spans="1:11" ht="14.25">
      <c r="A33" s="15" t="s">
        <v>47</v>
      </c>
      <c r="B33" s="46">
        <v>0.3</v>
      </c>
      <c r="C33" s="16"/>
      <c r="D33" s="16">
        <v>200</v>
      </c>
      <c r="E33" s="16" t="s">
        <v>6</v>
      </c>
      <c r="F33" s="18">
        <f>B33*D33</f>
        <v>60</v>
      </c>
      <c r="G33" s="46">
        <v>0.27500000000000002</v>
      </c>
      <c r="H33" s="16">
        <v>240</v>
      </c>
      <c r="I33" s="16" t="s">
        <v>6</v>
      </c>
      <c r="J33" s="16"/>
      <c r="K33" s="18">
        <f>G33*H33</f>
        <v>66</v>
      </c>
    </row>
    <row r="34" spans="1:11" ht="14.25">
      <c r="A34" s="15" t="s">
        <v>48</v>
      </c>
      <c r="B34" s="8"/>
      <c r="C34" s="16"/>
      <c r="D34" s="16"/>
      <c r="E34" s="16"/>
      <c r="F34" s="18">
        <v>130</v>
      </c>
      <c r="G34" s="8"/>
      <c r="H34" s="16"/>
      <c r="I34" s="16"/>
      <c r="J34" s="16"/>
      <c r="K34" s="18">
        <v>140</v>
      </c>
    </row>
    <row r="35" spans="1:11" ht="14.25">
      <c r="A35" s="15" t="s">
        <v>49</v>
      </c>
      <c r="B35" s="8"/>
      <c r="C35" s="16"/>
      <c r="D35" s="16"/>
      <c r="E35" s="16"/>
      <c r="F35" s="18">
        <v>152</v>
      </c>
      <c r="G35" s="8"/>
      <c r="H35" s="16"/>
      <c r="I35" s="16"/>
      <c r="J35" s="16"/>
      <c r="K35" s="18">
        <v>155</v>
      </c>
    </row>
    <row r="36" spans="1:11" ht="14.25">
      <c r="A36" s="15" t="s">
        <v>50</v>
      </c>
      <c r="B36" s="8"/>
      <c r="C36" s="16"/>
      <c r="D36" s="16"/>
      <c r="E36" s="16"/>
      <c r="F36" s="18">
        <v>28</v>
      </c>
      <c r="G36" s="8"/>
      <c r="H36" s="16"/>
      <c r="I36" s="16"/>
      <c r="J36" s="16"/>
      <c r="K36" s="18">
        <v>30</v>
      </c>
    </row>
    <row r="37" spans="1:11" ht="14.25">
      <c r="A37" s="15" t="s">
        <v>51</v>
      </c>
      <c r="B37" s="8"/>
      <c r="C37" s="16"/>
      <c r="D37" s="16"/>
      <c r="E37" s="16"/>
      <c r="F37" s="18">
        <v>42</v>
      </c>
      <c r="G37" s="8"/>
      <c r="H37" s="16"/>
      <c r="I37" s="16"/>
      <c r="J37" s="16"/>
      <c r="K37" s="18">
        <v>52</v>
      </c>
    </row>
    <row r="38" spans="1:11" ht="14.25">
      <c r="A38" s="15" t="s">
        <v>52</v>
      </c>
      <c r="B38" s="8"/>
      <c r="C38" s="16"/>
      <c r="D38" s="16"/>
      <c r="E38" s="16"/>
      <c r="F38" s="20">
        <v>160</v>
      </c>
      <c r="G38" s="8"/>
      <c r="H38" s="16"/>
      <c r="I38" s="16"/>
      <c r="J38" s="16"/>
      <c r="K38" s="20">
        <v>170</v>
      </c>
    </row>
    <row r="39" spans="1:11" ht="14.25">
      <c r="A39" s="15" t="s">
        <v>53</v>
      </c>
      <c r="B39" s="8"/>
      <c r="C39" s="16"/>
      <c r="D39" s="16"/>
      <c r="E39" s="16"/>
      <c r="F39" s="18">
        <f>SUM(F33:F38)</f>
        <v>572</v>
      </c>
      <c r="G39" s="8"/>
      <c r="H39" s="16"/>
      <c r="I39" s="16"/>
      <c r="J39" s="16"/>
      <c r="K39" s="18">
        <f>SUM(K33:K38)</f>
        <v>613</v>
      </c>
    </row>
    <row r="40" spans="1:11" ht="14.25">
      <c r="A40" s="15" t="s">
        <v>54</v>
      </c>
      <c r="B40" s="47">
        <v>0.09</v>
      </c>
      <c r="C40" s="16"/>
      <c r="D40" s="16">
        <v>3</v>
      </c>
      <c r="E40" s="16" t="s">
        <v>55</v>
      </c>
      <c r="F40" s="20">
        <f>(F30+F39)*B40*0.25</f>
        <v>58.688336137500002</v>
      </c>
      <c r="G40" s="8"/>
      <c r="H40" s="16">
        <v>3</v>
      </c>
      <c r="I40" s="16" t="s">
        <v>55</v>
      </c>
      <c r="J40" s="16"/>
      <c r="K40" s="20">
        <f>(K30+K39)*B40*0.25</f>
        <v>64.788812324999995</v>
      </c>
    </row>
    <row r="41" spans="1:11" ht="15">
      <c r="A41" s="27" t="s">
        <v>56</v>
      </c>
      <c r="B41" s="28"/>
      <c r="C41" s="29"/>
      <c r="D41" s="29"/>
      <c r="E41" s="29"/>
      <c r="F41" s="30">
        <f>F30+F39+F40</f>
        <v>2667.0588311375</v>
      </c>
      <c r="G41" s="28"/>
      <c r="H41" s="29"/>
      <c r="I41" s="29"/>
      <c r="J41" s="29"/>
      <c r="K41" s="30">
        <f>K30+K39+K40</f>
        <v>2944.291582325</v>
      </c>
    </row>
    <row r="42" spans="1:11" ht="14.25">
      <c r="A42" s="21"/>
      <c r="B42" s="11"/>
      <c r="C42" s="12"/>
      <c r="D42" s="12"/>
      <c r="E42" s="12"/>
      <c r="F42" s="13"/>
      <c r="G42" s="11"/>
      <c r="H42" s="12"/>
      <c r="I42" s="12"/>
      <c r="J42" s="12"/>
      <c r="K42" s="13"/>
    </row>
    <row r="43" spans="1:11" ht="15">
      <c r="A43" s="27" t="s">
        <v>57</v>
      </c>
      <c r="B43" s="8"/>
      <c r="C43" s="16"/>
      <c r="D43" s="16"/>
      <c r="E43" s="16"/>
      <c r="F43" s="22"/>
      <c r="G43" s="8"/>
      <c r="H43" s="16"/>
      <c r="I43" s="16"/>
      <c r="J43" s="16"/>
      <c r="K43" s="22"/>
    </row>
    <row r="44" spans="1:11" ht="14.25">
      <c r="A44" s="15" t="s">
        <v>58</v>
      </c>
      <c r="B44" s="8"/>
      <c r="C44" s="16"/>
      <c r="D44" s="16"/>
      <c r="E44" s="16"/>
      <c r="F44" s="18">
        <v>310</v>
      </c>
      <c r="G44" s="8"/>
      <c r="H44" s="16"/>
      <c r="I44" s="16"/>
      <c r="J44" s="16"/>
      <c r="K44" s="18">
        <v>340</v>
      </c>
    </row>
    <row r="45" spans="1:11" ht="14.25">
      <c r="A45" s="15" t="s">
        <v>59</v>
      </c>
      <c r="B45" s="48">
        <v>7.4999999999999997E-2</v>
      </c>
      <c r="C45" s="16" t="s">
        <v>60</v>
      </c>
      <c r="D45" s="16"/>
      <c r="E45" s="16"/>
      <c r="F45" s="18">
        <f>B45*C46</f>
        <v>105</v>
      </c>
      <c r="G45" s="8"/>
      <c r="H45" s="16"/>
      <c r="I45" s="16"/>
      <c r="J45" s="16"/>
      <c r="K45" s="18">
        <f>B45*I46</f>
        <v>115.5</v>
      </c>
    </row>
    <row r="46" spans="1:11" ht="14.25">
      <c r="A46" s="15" t="s">
        <v>61</v>
      </c>
      <c r="B46" s="47">
        <v>0.05</v>
      </c>
      <c r="C46" s="24">
        <v>1400</v>
      </c>
      <c r="D46" s="16"/>
      <c r="E46" s="16"/>
      <c r="F46" s="53">
        <f>C46*B46</f>
        <v>70</v>
      </c>
      <c r="G46" s="8"/>
      <c r="H46" s="54">
        <v>0.05</v>
      </c>
      <c r="I46" s="16">
        <v>1540</v>
      </c>
      <c r="J46" s="16"/>
      <c r="K46" s="53">
        <f>H46*I46</f>
        <v>77</v>
      </c>
    </row>
    <row r="47" spans="1:11" ht="15">
      <c r="A47" s="27" t="s">
        <v>62</v>
      </c>
      <c r="B47" s="28"/>
      <c r="C47" s="29"/>
      <c r="D47" s="29"/>
      <c r="E47" s="29"/>
      <c r="F47" s="30">
        <f>SUM(F44:F46)</f>
        <v>485</v>
      </c>
      <c r="G47" s="28"/>
      <c r="H47" s="29"/>
      <c r="I47" s="29"/>
      <c r="J47" s="29"/>
      <c r="K47" s="30">
        <f>SUM(K44:K46)</f>
        <v>532.5</v>
      </c>
    </row>
    <row r="48" spans="1:11" ht="14.25">
      <c r="A48" s="21"/>
      <c r="B48" s="11"/>
      <c r="C48" s="12"/>
      <c r="D48" s="12"/>
      <c r="E48" s="12"/>
      <c r="F48" s="13"/>
      <c r="G48" s="11"/>
      <c r="H48" s="12"/>
      <c r="I48" s="12"/>
      <c r="J48" s="12"/>
      <c r="K48" s="13"/>
    </row>
    <row r="49" spans="1:11" ht="15">
      <c r="A49" s="27" t="s">
        <v>63</v>
      </c>
      <c r="B49" s="8"/>
      <c r="C49" s="12" t="s">
        <v>64</v>
      </c>
      <c r="D49" s="16"/>
      <c r="E49" s="16"/>
      <c r="F49" s="13" t="s">
        <v>65</v>
      </c>
      <c r="G49" s="8"/>
      <c r="H49" s="12" t="s">
        <v>64</v>
      </c>
      <c r="I49" s="16"/>
      <c r="J49" s="16"/>
      <c r="K49" s="13" t="s">
        <v>65</v>
      </c>
    </row>
    <row r="50" spans="1:11" ht="15">
      <c r="A50" s="27" t="s">
        <v>66</v>
      </c>
      <c r="B50" s="28"/>
      <c r="C50" s="31">
        <f>F50/((F18-F46)/((F6+F7+F8+F9+F10+F11+F12+F13)/200))</f>
        <v>14.943410716886213</v>
      </c>
      <c r="D50" s="29"/>
      <c r="E50" s="29"/>
      <c r="F50" s="30">
        <f>F41+F47</f>
        <v>3152.0588311375</v>
      </c>
      <c r="G50" s="28"/>
      <c r="H50" s="31">
        <f>K50/((K18-K46)/((K6+K7+K8+K9+K10+K11+K12+K13)/240))</f>
        <v>13.80310192679465</v>
      </c>
      <c r="I50" s="29"/>
      <c r="J50" s="29"/>
      <c r="K50" s="30">
        <f>K41+K47</f>
        <v>3476.791582325</v>
      </c>
    </row>
    <row r="51" spans="1:11" ht="14.25">
      <c r="A51" s="21"/>
      <c r="B51" s="11"/>
      <c r="C51" s="12"/>
      <c r="D51" s="12"/>
      <c r="E51" s="12"/>
      <c r="F51" s="13"/>
      <c r="G51" s="11"/>
      <c r="H51" s="25"/>
      <c r="I51" s="12"/>
      <c r="J51" s="12"/>
      <c r="K51" s="13"/>
    </row>
    <row r="52" spans="1:11" ht="15">
      <c r="A52" s="27" t="s">
        <v>67</v>
      </c>
      <c r="B52" s="8"/>
      <c r="C52" s="12" t="s">
        <v>64</v>
      </c>
      <c r="D52" s="16"/>
      <c r="E52" s="16"/>
      <c r="F52" s="13" t="s">
        <v>65</v>
      </c>
      <c r="G52" s="8"/>
      <c r="H52" s="25" t="s">
        <v>64</v>
      </c>
      <c r="I52" s="16"/>
      <c r="J52" s="16"/>
      <c r="K52" s="13" t="s">
        <v>65</v>
      </c>
    </row>
    <row r="53" spans="1:11" ht="14.25">
      <c r="A53" s="15" t="s">
        <v>68</v>
      </c>
      <c r="B53" s="8"/>
      <c r="C53" s="17">
        <f>F53/((F18-F46)/((F6+F7+F8+F9+F10+F11+F12+F13+F17)/200))</f>
        <v>17.794619141670669</v>
      </c>
      <c r="D53" s="16"/>
      <c r="E53" s="16"/>
      <c r="F53" s="18">
        <f>F18</f>
        <v>3753.4728499999997</v>
      </c>
      <c r="G53" s="8"/>
      <c r="H53" s="17">
        <f>K53/((K18-K46)/((K6+K7+K8+K9+K10+K11+K12+K13+K17)/240))</f>
        <v>17.768267842404949</v>
      </c>
      <c r="I53" s="16"/>
      <c r="J53" s="16"/>
      <c r="K53" s="18">
        <f>K18</f>
        <v>4475.5566099999996</v>
      </c>
    </row>
    <row r="54" spans="1:11" ht="14.25">
      <c r="A54" s="15" t="s">
        <v>69</v>
      </c>
      <c r="B54" s="8"/>
      <c r="C54" s="17">
        <f>F54/((F18-F46)/((F6+F7+F8+F9+F10+F11+F12+F13)/200))</f>
        <v>12.644102681739435</v>
      </c>
      <c r="D54" s="16"/>
      <c r="E54" s="16"/>
      <c r="F54" s="18">
        <f>F41</f>
        <v>2667.0588311375</v>
      </c>
      <c r="G54" s="8"/>
      <c r="H54" s="17">
        <f>K54/((K18-K46)/((K6+K7+K8+K9+K10+K11+K12+K13)/240))</f>
        <v>11.689040269091555</v>
      </c>
      <c r="I54" s="16"/>
      <c r="J54" s="16"/>
      <c r="K54" s="18">
        <f>K41</f>
        <v>2944.291582325</v>
      </c>
    </row>
    <row r="55" spans="1:11" ht="14.25">
      <c r="A55" s="15" t="s">
        <v>70</v>
      </c>
      <c r="B55" s="8"/>
      <c r="C55" s="17">
        <f>F55/((F18-F46)/((F6+F7+F8+F9+F10+F11+F12+F13)/200))</f>
        <v>5.1505164599312332</v>
      </c>
      <c r="D55" s="16"/>
      <c r="E55" s="16"/>
      <c r="F55" s="18">
        <f>F18-F41</f>
        <v>1086.4140188624997</v>
      </c>
      <c r="G55" s="8"/>
      <c r="H55" s="17">
        <f>K55/((K18-K46)/((K6+K7+K8+K9+K10+K11+K12+K13)/240))</f>
        <v>6.0792275733133945</v>
      </c>
      <c r="I55" s="16"/>
      <c r="J55" s="16"/>
      <c r="K55" s="18">
        <f>K18-K41</f>
        <v>1531.2650276749996</v>
      </c>
    </row>
    <row r="56" spans="1:11" ht="14.25">
      <c r="A56" s="15" t="s">
        <v>71</v>
      </c>
      <c r="B56" s="8"/>
      <c r="C56" s="17">
        <f>F56/((F18-F46)/((F6+F7+F8+F9+F10+F11+F12+F13)/200))</f>
        <v>2.2993080351467774</v>
      </c>
      <c r="D56" s="16"/>
      <c r="E56" s="16"/>
      <c r="F56" s="18">
        <f>F47</f>
        <v>485</v>
      </c>
      <c r="G56" s="8"/>
      <c r="H56" s="17">
        <f>K56/((K18-K46)/((K6+K7+K8+K9+K10+K11+K12+K13)/240))</f>
        <v>2.1140616577030933</v>
      </c>
      <c r="I56" s="16"/>
      <c r="J56" s="16"/>
      <c r="K56" s="18">
        <f>K47</f>
        <v>532.5</v>
      </c>
    </row>
    <row r="57" spans="1:11" ht="14.25">
      <c r="A57" s="15" t="s">
        <v>72</v>
      </c>
      <c r="B57" s="8"/>
      <c r="C57" s="17">
        <f>F57/((F18-F46)/((F6+F7+F8+F9+F10+F11+F12+F13)/200))</f>
        <v>2.8512084247844558</v>
      </c>
      <c r="D57" s="16"/>
      <c r="E57" s="16"/>
      <c r="F57" s="18">
        <f>F55-F56</f>
        <v>601.41401886249969</v>
      </c>
      <c r="G57" s="8"/>
      <c r="H57" s="17">
        <f>K57/((K18-K46)/((K6+K7+K8+K9+K10+K11+K12+K13)/240))</f>
        <v>3.9651659156103016</v>
      </c>
      <c r="I57" s="16"/>
      <c r="J57" s="16"/>
      <c r="K57" s="18">
        <f>K55-K56</f>
        <v>998.7650276749996</v>
      </c>
    </row>
    <row r="58" spans="1:11" ht="14.25">
      <c r="A58" s="15" t="s">
        <v>96</v>
      </c>
      <c r="B58" s="8"/>
      <c r="C58" s="17">
        <f>F58/((F18-F46)/((F6+F7+F8+F9+F10+F11+F12+F13)/200))</f>
        <v>2.7733921661048759</v>
      </c>
      <c r="D58" s="16"/>
      <c r="E58" s="16"/>
      <c r="F58" s="18">
        <f>45*13</f>
        <v>585</v>
      </c>
      <c r="G58" s="8"/>
      <c r="H58" s="17">
        <f>K58/((K18-K46)/((K6+K7+K8+K9+K10+K11+K12+K13)/240))</f>
        <v>2.3224902718428351</v>
      </c>
      <c r="I58" s="16"/>
      <c r="J58" s="16"/>
      <c r="K58" s="18">
        <f>45*13</f>
        <v>585</v>
      </c>
    </row>
    <row r="59" spans="1:11" ht="15">
      <c r="A59" s="27" t="s">
        <v>73</v>
      </c>
      <c r="B59" s="28"/>
      <c r="C59" s="31">
        <f>F59/((F18-F46)/((F6+F7+F8+F9+F10+F11+F12+F13)/200))</f>
        <v>7.7816258679580003E-2</v>
      </c>
      <c r="D59" s="29"/>
      <c r="E59" s="29"/>
      <c r="F59" s="30">
        <f>F57-F58</f>
        <v>16.414018862499688</v>
      </c>
      <c r="G59" s="28"/>
      <c r="H59" s="31">
        <f>K59/((K18-K46)/((K6+K7+K8+K9+K10+K11+K12+K13)/240))</f>
        <v>1.6426756437674666</v>
      </c>
      <c r="I59" s="29"/>
      <c r="J59" s="29"/>
      <c r="K59" s="30">
        <f>K57-K58</f>
        <v>413.7650276749996</v>
      </c>
    </row>
    <row r="60" spans="1:11" ht="14.25">
      <c r="A60" s="21"/>
      <c r="B60" s="11"/>
      <c r="C60" s="25"/>
      <c r="D60" s="12"/>
      <c r="E60" s="12"/>
      <c r="F60" s="20"/>
      <c r="G60" s="11"/>
      <c r="H60" s="25"/>
      <c r="I60" s="12"/>
      <c r="J60" s="12"/>
      <c r="K60" s="20"/>
    </row>
    <row r="61" spans="1:11" ht="15">
      <c r="A61" s="27" t="s">
        <v>74</v>
      </c>
      <c r="B61" s="8"/>
      <c r="C61" s="16"/>
      <c r="D61" s="16"/>
      <c r="E61" s="16"/>
      <c r="F61" s="22"/>
      <c r="G61" s="8"/>
      <c r="H61" s="16"/>
      <c r="I61" s="16"/>
      <c r="J61" s="16"/>
      <c r="K61" s="22"/>
    </row>
    <row r="62" spans="1:11" ht="15">
      <c r="A62" s="27" t="s">
        <v>75</v>
      </c>
      <c r="B62" s="28"/>
      <c r="C62" s="29"/>
      <c r="D62" s="29"/>
      <c r="E62" s="29"/>
      <c r="F62" s="51">
        <f>((F50+F58)-(F14+F15+F16))/B5</f>
        <v>17.3806901556875</v>
      </c>
      <c r="G62" s="28"/>
      <c r="H62" s="29"/>
      <c r="I62" s="29"/>
      <c r="J62" s="29"/>
      <c r="K62" s="51">
        <f>((K50+K58)-(K14+K15+K16))/G5</f>
        <v>15.738551593020834</v>
      </c>
    </row>
    <row r="63" spans="1:11" ht="15">
      <c r="A63" s="27" t="s">
        <v>76</v>
      </c>
      <c r="B63" s="28"/>
      <c r="C63" s="29"/>
      <c r="D63" s="29"/>
      <c r="E63" s="29"/>
      <c r="F63" s="52">
        <f>(SUM(F6:F12))/B5</f>
        <v>17.462760249999999</v>
      </c>
      <c r="G63" s="28"/>
      <c r="H63" s="29"/>
      <c r="I63" s="29"/>
      <c r="J63" s="29"/>
      <c r="K63" s="52">
        <f>(SUM(K6:K12))/G5</f>
        <v>17.462572541666663</v>
      </c>
    </row>
    <row r="64" spans="1:11" ht="14.25">
      <c r="A64" s="21" t="s">
        <v>77</v>
      </c>
      <c r="B64" s="11"/>
      <c r="C64" s="12"/>
      <c r="D64" s="12"/>
      <c r="E64" s="12"/>
      <c r="F64" s="40">
        <f>(SUM(F6:F13)+F17)/200</f>
        <v>17.462760249999999</v>
      </c>
      <c r="G64" s="11"/>
      <c r="H64" s="12"/>
      <c r="I64" s="12"/>
      <c r="J64" s="12"/>
      <c r="K64" s="41">
        <f>(SUM(K6:K13)+K17)/240</f>
        <v>17.462572541666663</v>
      </c>
    </row>
    <row r="76" spans="1:11" ht="14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spans="1:11" ht="14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1:11" ht="14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ht="14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spans="1:11" ht="14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1:11" ht="14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 ht="14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spans="1:11" ht="14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1:11" ht="14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spans="1:11" ht="14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spans="1:11" ht="14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spans="1:11" ht="14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spans="1:11" ht="14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1:11" ht="14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spans="1:11" ht="14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spans="1:11" ht="14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1" ht="14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spans="1:11" ht="14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14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spans="1:11" ht="14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spans="1:11" ht="14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spans="1:11" ht="14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spans="1:11" ht="14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spans="1:11" ht="14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spans="1:11" ht="14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spans="1:11" ht="14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1:11" ht="14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spans="1:11" ht="14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1" ht="14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1" ht="14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spans="1:11" ht="14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ht="14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spans="1:11" ht="14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1:11" ht="14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spans="1:11" ht="14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1:11" ht="14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1:11" ht="14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1:11" ht="14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1:11" ht="14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spans="1:11" ht="14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spans="1:11" ht="14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1:11" ht="14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1:11" ht="14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1:11" ht="14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spans="1:11" ht="14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spans="1:11" ht="14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1:11" ht="14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spans="1:11" ht="14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1:11" ht="14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spans="1:11" ht="14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spans="1:11" ht="14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spans="1:11" ht="14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spans="1:11" ht="14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spans="1:11" ht="14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spans="1:11" ht="14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spans="1:11" ht="14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1:11" ht="14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spans="1:11" ht="14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spans="1:11" ht="14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spans="1:11" ht="14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spans="1:11" ht="14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spans="1:11" ht="14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spans="1:11" ht="14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spans="1:11" ht="14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spans="1:11" ht="14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spans="1:11" ht="14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</sheetData>
  <phoneticPr fontId="6" type="noConversion"/>
  <printOptions gridLinesSet="0"/>
  <pageMargins left="0.5" right="0.5" top="0.5" bottom="0.5" header="0.5" footer="0.5"/>
  <pageSetup scale="6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4"/>
  <sheetViews>
    <sheetView showGridLines="0" topLeftCell="A34" zoomScaleNormal="100" workbookViewId="0">
      <selection activeCell="D14" sqref="D14"/>
    </sheetView>
  </sheetViews>
  <sheetFormatPr defaultRowHeight="12.75"/>
  <cols>
    <col min="1" max="1" width="39.140625" customWidth="1"/>
    <col min="2" max="2" width="9.42578125" bestFit="1" customWidth="1"/>
    <col min="4" max="4" width="9.42578125" bestFit="1" customWidth="1"/>
    <col min="5" max="5" width="12.28515625" customWidth="1"/>
    <col min="6" max="6" width="12.5703125" customWidth="1"/>
    <col min="7" max="8" width="9.28515625" bestFit="1" customWidth="1"/>
    <col min="9" max="9" width="9.42578125" bestFit="1" customWidth="1"/>
    <col min="10" max="10" width="11.42578125" customWidth="1"/>
    <col min="11" max="11" width="13.28515625" customWidth="1"/>
  </cols>
  <sheetData>
    <row r="1" spans="1:11" ht="15.75">
      <c r="A1" s="4"/>
      <c r="B1" s="5"/>
      <c r="C1" s="6"/>
      <c r="D1" s="2"/>
      <c r="E1" s="33" t="str">
        <f>Freestall!E1</f>
        <v xml:space="preserve">Midwest Dairy Cow Annual Budget- Freestall </v>
      </c>
      <c r="F1" s="2"/>
      <c r="G1" s="5"/>
      <c r="H1" s="57" t="str">
        <f>Inputs!D7</f>
        <v>August 2010</v>
      </c>
      <c r="I1" s="5"/>
      <c r="J1" s="5"/>
      <c r="K1" s="7"/>
    </row>
    <row r="2" spans="1:11" ht="15.75">
      <c r="A2" s="8"/>
      <c r="B2" s="9"/>
      <c r="C2" s="9"/>
      <c r="D2" s="9"/>
      <c r="E2" s="34" t="s">
        <v>0</v>
      </c>
      <c r="F2" s="3"/>
      <c r="G2" s="9"/>
      <c r="H2" s="9"/>
      <c r="I2" s="9"/>
      <c r="J2" s="9"/>
      <c r="K2" s="10"/>
    </row>
    <row r="3" spans="1:11" ht="15.75">
      <c r="A3" s="11"/>
      <c r="B3" s="35"/>
      <c r="C3" s="35"/>
      <c r="D3" s="35"/>
      <c r="E3" s="36" t="s">
        <v>1</v>
      </c>
      <c r="F3" s="1"/>
      <c r="G3" s="35"/>
      <c r="H3" s="35"/>
      <c r="I3" s="35"/>
      <c r="J3" s="35"/>
      <c r="K3" s="37"/>
    </row>
    <row r="4" spans="1:11" ht="15">
      <c r="A4" s="32" t="s">
        <v>2</v>
      </c>
      <c r="B4" s="4"/>
      <c r="C4" s="6"/>
      <c r="D4" s="6"/>
      <c r="E4" s="6"/>
      <c r="F4" s="14" t="s">
        <v>3</v>
      </c>
      <c r="G4" s="4"/>
      <c r="H4" s="6"/>
      <c r="I4" s="6"/>
      <c r="J4" s="6"/>
      <c r="K4" s="14" t="s">
        <v>4</v>
      </c>
    </row>
    <row r="5" spans="1:11" ht="14.25">
      <c r="A5" s="15" t="s">
        <v>5</v>
      </c>
      <c r="B5" s="42">
        <v>200</v>
      </c>
      <c r="C5" s="16" t="s">
        <v>6</v>
      </c>
      <c r="D5" s="16"/>
      <c r="E5" s="16"/>
      <c r="F5" s="22"/>
      <c r="G5" s="42">
        <v>240</v>
      </c>
      <c r="H5" s="16" t="s">
        <v>6</v>
      </c>
      <c r="I5" s="16"/>
      <c r="J5" s="16"/>
      <c r="K5" s="22"/>
    </row>
    <row r="6" spans="1:11" ht="14.25">
      <c r="A6" s="15" t="s">
        <v>7</v>
      </c>
      <c r="B6" s="42">
        <f>Inputs!E9*B5</f>
        <v>710</v>
      </c>
      <c r="C6" s="16" t="s">
        <v>8</v>
      </c>
      <c r="D6" s="43">
        <f>Inputs!E14</f>
        <v>2.4043999999999999</v>
      </c>
      <c r="E6" s="16" t="s">
        <v>9</v>
      </c>
      <c r="F6" s="18">
        <f>B6*D6</f>
        <v>1707.1239999999998</v>
      </c>
      <c r="G6" s="42">
        <f>G5*Inputs!E9</f>
        <v>852</v>
      </c>
      <c r="H6" s="16" t="s">
        <v>8</v>
      </c>
      <c r="I6" s="38">
        <f t="shared" ref="I6:I17" si="0">D6</f>
        <v>2.4043999999999999</v>
      </c>
      <c r="J6" s="16" t="s">
        <v>9</v>
      </c>
      <c r="K6" s="18">
        <f>G6*I6</f>
        <v>2048.5488</v>
      </c>
    </row>
    <row r="7" spans="1:11" ht="14.25">
      <c r="A7" s="15" t="s">
        <v>10</v>
      </c>
      <c r="B7" s="42">
        <f>Inputs!E10*B5</f>
        <v>610</v>
      </c>
      <c r="C7" s="16" t="s">
        <v>8</v>
      </c>
      <c r="D7" s="43">
        <f>Inputs!E15</f>
        <v>2.3056999999999999</v>
      </c>
      <c r="E7" s="16" t="s">
        <v>9</v>
      </c>
      <c r="F7" s="18">
        <f>B7*D7</f>
        <v>1406.4769999999999</v>
      </c>
      <c r="G7" s="42">
        <f>G5*Inputs!E10</f>
        <v>732</v>
      </c>
      <c r="H7" s="16" t="s">
        <v>8</v>
      </c>
      <c r="I7" s="38">
        <f t="shared" si="0"/>
        <v>2.3056999999999999</v>
      </c>
      <c r="J7" s="16" t="s">
        <v>9</v>
      </c>
      <c r="K7" s="18">
        <f>G7*I7</f>
        <v>1687.7723999999998</v>
      </c>
    </row>
    <row r="8" spans="1:11" ht="14.25">
      <c r="A8" s="15" t="s">
        <v>11</v>
      </c>
      <c r="B8" s="42">
        <f>Inputs!E11*B5</f>
        <v>1146</v>
      </c>
      <c r="C8" s="16" t="s">
        <v>8</v>
      </c>
      <c r="D8" s="43">
        <f>Inputs!E16</f>
        <v>0.1673</v>
      </c>
      <c r="E8" s="16" t="s">
        <v>9</v>
      </c>
      <c r="F8" s="18">
        <f>B8*D8</f>
        <v>191.72579999999999</v>
      </c>
      <c r="G8" s="42">
        <f>G5*Inputs!E11</f>
        <v>1375.2</v>
      </c>
      <c r="H8" s="16" t="s">
        <v>8</v>
      </c>
      <c r="I8" s="38">
        <f t="shared" si="0"/>
        <v>0.1673</v>
      </c>
      <c r="J8" s="16" t="s">
        <v>9</v>
      </c>
      <c r="K8" s="18">
        <f>G8*I8</f>
        <v>230.07096000000001</v>
      </c>
    </row>
    <row r="9" spans="1:11" ht="14.25">
      <c r="A9" s="15" t="s">
        <v>12</v>
      </c>
      <c r="D9" s="43">
        <f>Inputs!E17</f>
        <v>0.75</v>
      </c>
      <c r="E9" s="16" t="s">
        <v>13</v>
      </c>
      <c r="F9" s="18">
        <f>B5*D9</f>
        <v>150</v>
      </c>
      <c r="I9" s="38">
        <f t="shared" si="0"/>
        <v>0.75</v>
      </c>
      <c r="J9" s="16" t="s">
        <v>13</v>
      </c>
      <c r="K9" s="18">
        <f>G5*I9</f>
        <v>180</v>
      </c>
    </row>
    <row r="10" spans="1:11" ht="14.25">
      <c r="A10" s="15" t="s">
        <v>14</v>
      </c>
      <c r="B10" s="19">
        <f>Inputs!E12*1000</f>
        <v>265000</v>
      </c>
      <c r="C10" s="16" t="s">
        <v>15</v>
      </c>
      <c r="D10" s="43">
        <f>Inputs!E18</f>
        <v>8.4999999999999995E-4</v>
      </c>
      <c r="E10" s="16" t="s">
        <v>16</v>
      </c>
      <c r="F10" s="39">
        <f>(B10/1000)*D10</f>
        <v>0.22524999999999998</v>
      </c>
      <c r="G10" s="19">
        <f>Inputs!E12*1000</f>
        <v>265000</v>
      </c>
      <c r="H10" s="16" t="s">
        <v>15</v>
      </c>
      <c r="I10" s="38">
        <f t="shared" si="0"/>
        <v>8.4999999999999995E-4</v>
      </c>
      <c r="J10" s="16" t="s">
        <v>16</v>
      </c>
      <c r="K10" s="39">
        <f>(G10/1000)*I10</f>
        <v>0.22524999999999998</v>
      </c>
    </row>
    <row r="11" spans="1:11" ht="14.25">
      <c r="A11" s="15" t="s">
        <v>17</v>
      </c>
      <c r="B11" s="19"/>
      <c r="C11" s="16"/>
      <c r="D11" s="43">
        <v>0</v>
      </c>
      <c r="E11" s="16" t="s">
        <v>9</v>
      </c>
      <c r="F11" s="18">
        <f>B7*D11</f>
        <v>0</v>
      </c>
      <c r="G11" s="19"/>
      <c r="H11" s="16"/>
      <c r="I11" s="38">
        <f t="shared" si="0"/>
        <v>0</v>
      </c>
      <c r="J11" s="16" t="s">
        <v>9</v>
      </c>
      <c r="K11" s="18">
        <f>G7*I11</f>
        <v>0</v>
      </c>
    </row>
    <row r="12" spans="1:11" ht="14.25">
      <c r="A12" s="15" t="s">
        <v>18</v>
      </c>
      <c r="B12" s="8"/>
      <c r="C12" s="16"/>
      <c r="D12" s="43">
        <v>0.185</v>
      </c>
      <c r="E12" s="16" t="s">
        <v>13</v>
      </c>
      <c r="F12" s="18">
        <f>B5*D12</f>
        <v>37</v>
      </c>
      <c r="G12" s="8"/>
      <c r="H12" s="16"/>
      <c r="I12" s="38">
        <f t="shared" si="0"/>
        <v>0.185</v>
      </c>
      <c r="J12" s="16" t="s">
        <v>13</v>
      </c>
      <c r="K12" s="18">
        <f>G5*I12</f>
        <v>44.4</v>
      </c>
    </row>
    <row r="13" spans="1:11" ht="14.25">
      <c r="A13" s="15" t="s">
        <v>19</v>
      </c>
      <c r="B13" s="8"/>
      <c r="C13" s="16"/>
      <c r="D13" s="43">
        <v>0</v>
      </c>
      <c r="E13" s="16" t="s">
        <v>13</v>
      </c>
      <c r="F13" s="18">
        <f>B5*D13</f>
        <v>0</v>
      </c>
      <c r="G13" s="8"/>
      <c r="H13" s="16"/>
      <c r="I13" s="38">
        <f t="shared" si="0"/>
        <v>0</v>
      </c>
      <c r="J13" s="16" t="s">
        <v>13</v>
      </c>
      <c r="K13" s="18">
        <f>G5*I13</f>
        <v>0</v>
      </c>
    </row>
    <row r="14" spans="1:11" ht="14.25">
      <c r="A14" s="15" t="s">
        <v>20</v>
      </c>
      <c r="B14" s="8">
        <v>0.36</v>
      </c>
      <c r="C14" s="16" t="s">
        <v>21</v>
      </c>
      <c r="D14" s="44">
        <f>B14*Inputs!E31*14</f>
        <v>287.27999999999997</v>
      </c>
      <c r="E14" s="16" t="s">
        <v>22</v>
      </c>
      <c r="F14" s="18">
        <f>B14*D14</f>
        <v>103.42079999999999</v>
      </c>
      <c r="G14" s="8">
        <v>0.39</v>
      </c>
      <c r="H14" s="16" t="s">
        <v>21</v>
      </c>
      <c r="I14" s="17">
        <f t="shared" si="0"/>
        <v>287.27999999999997</v>
      </c>
      <c r="J14" s="16" t="s">
        <v>22</v>
      </c>
      <c r="K14" s="18">
        <f>G14*I14</f>
        <v>112.03919999999999</v>
      </c>
    </row>
    <row r="15" spans="1:11" ht="14.25">
      <c r="A15" s="15" t="s">
        <v>23</v>
      </c>
      <c r="B15" s="8">
        <v>0.51</v>
      </c>
      <c r="C15" s="16" t="s">
        <v>21</v>
      </c>
      <c r="D15" s="44">
        <v>150</v>
      </c>
      <c r="E15" s="16" t="s">
        <v>22</v>
      </c>
      <c r="F15" s="18">
        <f>B15*D15</f>
        <v>76.5</v>
      </c>
      <c r="G15" s="8">
        <v>0.52</v>
      </c>
      <c r="H15" s="16" t="s">
        <v>21</v>
      </c>
      <c r="I15" s="17">
        <f t="shared" si="0"/>
        <v>150</v>
      </c>
      <c r="J15" s="16" t="s">
        <v>22</v>
      </c>
      <c r="K15" s="18">
        <f>G15*I15</f>
        <v>78</v>
      </c>
    </row>
    <row r="16" spans="1:11" ht="14.25">
      <c r="A16" s="15" t="s">
        <v>24</v>
      </c>
      <c r="B16" s="8">
        <v>0.18</v>
      </c>
      <c r="C16" s="16" t="s">
        <v>21</v>
      </c>
      <c r="D16" s="44">
        <v>450</v>
      </c>
      <c r="E16" s="16" t="s">
        <v>22</v>
      </c>
      <c r="F16" s="18">
        <f>B16*D16</f>
        <v>81</v>
      </c>
      <c r="G16" s="16">
        <v>0.21</v>
      </c>
      <c r="H16" s="16" t="s">
        <v>21</v>
      </c>
      <c r="I16" s="17">
        <f t="shared" si="0"/>
        <v>450</v>
      </c>
      <c r="J16" s="16" t="s">
        <v>22</v>
      </c>
      <c r="K16" s="18">
        <f>G16*I16</f>
        <v>94.5</v>
      </c>
    </row>
    <row r="17" spans="1:11" ht="14.25">
      <c r="A17" s="15" t="s">
        <v>25</v>
      </c>
      <c r="B17" s="8"/>
      <c r="C17" s="16"/>
      <c r="D17" s="49">
        <f>Inputs!E20</f>
        <v>0</v>
      </c>
      <c r="E17" s="16" t="s">
        <v>13</v>
      </c>
      <c r="F17" s="20">
        <f>B5*D17</f>
        <v>0</v>
      </c>
      <c r="G17" s="8"/>
      <c r="H17" s="16"/>
      <c r="I17" s="50">
        <f t="shared" si="0"/>
        <v>0</v>
      </c>
      <c r="J17" s="16"/>
      <c r="K17" s="20">
        <f>G5*I17</f>
        <v>0</v>
      </c>
    </row>
    <row r="18" spans="1:11" ht="15">
      <c r="A18" s="27" t="s">
        <v>26</v>
      </c>
      <c r="B18" s="28"/>
      <c r="C18" s="29"/>
      <c r="D18" s="29"/>
      <c r="E18" s="29"/>
      <c r="F18" s="30">
        <f>SUM(F6:F17)</f>
        <v>3753.4728499999997</v>
      </c>
      <c r="G18" s="28"/>
      <c r="H18" s="29"/>
      <c r="I18" s="29"/>
      <c r="J18" s="29"/>
      <c r="K18" s="30">
        <f>SUM(K6:K17)</f>
        <v>4475.5566099999996</v>
      </c>
    </row>
    <row r="19" spans="1:11" ht="14.25">
      <c r="A19" s="21"/>
      <c r="B19" s="11"/>
      <c r="C19" s="12"/>
      <c r="D19" s="12"/>
      <c r="E19" s="12"/>
      <c r="F19" s="13"/>
      <c r="G19" s="11"/>
      <c r="H19" s="12"/>
      <c r="I19" s="12"/>
      <c r="J19" s="12"/>
      <c r="K19" s="13"/>
    </row>
    <row r="20" spans="1:11" ht="15">
      <c r="A20" s="27" t="s">
        <v>27</v>
      </c>
      <c r="B20" s="8"/>
      <c r="C20" s="16"/>
      <c r="D20" s="16"/>
      <c r="E20" s="16"/>
      <c r="F20" s="22"/>
      <c r="G20" s="8"/>
      <c r="H20" s="16"/>
      <c r="I20" s="16"/>
      <c r="J20" s="16"/>
      <c r="K20" s="22"/>
    </row>
    <row r="21" spans="1:11" ht="15">
      <c r="A21" s="27" t="s">
        <v>28</v>
      </c>
      <c r="B21" s="11" t="s">
        <v>29</v>
      </c>
      <c r="C21" s="16"/>
      <c r="D21" s="12" t="s">
        <v>30</v>
      </c>
      <c r="E21" s="16"/>
      <c r="F21" s="13" t="s">
        <v>3</v>
      </c>
      <c r="G21" s="8"/>
      <c r="H21" s="12" t="s">
        <v>30</v>
      </c>
      <c r="I21" s="16"/>
      <c r="J21" s="16"/>
      <c r="K21" s="13" t="s">
        <v>3</v>
      </c>
    </row>
    <row r="22" spans="1:11" ht="14.25">
      <c r="A22" s="15" t="s">
        <v>31</v>
      </c>
      <c r="B22" s="46">
        <f>Inputs!E25</f>
        <v>4.3499999999999996</v>
      </c>
      <c r="C22" s="16" t="s">
        <v>32</v>
      </c>
      <c r="D22" s="45">
        <v>104.38</v>
      </c>
      <c r="E22" s="16" t="s">
        <v>33</v>
      </c>
      <c r="F22" s="18">
        <f t="shared" ref="F22:F28" si="1">B22*D22</f>
        <v>454.05299999999994</v>
      </c>
      <c r="G22" s="8"/>
      <c r="H22" s="45">
        <v>112.91</v>
      </c>
      <c r="I22" s="16" t="s">
        <v>33</v>
      </c>
      <c r="J22" s="16"/>
      <c r="K22" s="18">
        <f>B22*H22</f>
        <v>491.15849999999995</v>
      </c>
    </row>
    <row r="23" spans="1:11" ht="14.25">
      <c r="A23" s="15" t="s">
        <v>34</v>
      </c>
      <c r="B23" s="46">
        <f>Inputs!E25*10</f>
        <v>43.5</v>
      </c>
      <c r="C23" s="16" t="s">
        <v>35</v>
      </c>
      <c r="D23" s="45">
        <v>8.0399999999999991</v>
      </c>
      <c r="E23" s="16" t="s">
        <v>36</v>
      </c>
      <c r="F23" s="18">
        <f t="shared" si="1"/>
        <v>349.73999999999995</v>
      </c>
      <c r="G23" s="8"/>
      <c r="H23" s="45">
        <v>7.99</v>
      </c>
      <c r="I23" s="16" t="s">
        <v>36</v>
      </c>
      <c r="J23" s="16"/>
      <c r="K23" s="18">
        <f>B23*H23</f>
        <v>347.565</v>
      </c>
    </row>
    <row r="24" spans="1:11" ht="14.25">
      <c r="A24" s="15" t="s">
        <v>37</v>
      </c>
      <c r="B24" s="46">
        <f>Inputs!E29</f>
        <v>132.5</v>
      </c>
      <c r="C24" s="16" t="s">
        <v>35</v>
      </c>
      <c r="D24" s="45">
        <v>6.09</v>
      </c>
      <c r="E24" s="16" t="s">
        <v>36</v>
      </c>
      <c r="F24" s="18">
        <f t="shared" si="1"/>
        <v>806.92499999999995</v>
      </c>
      <c r="G24" s="8"/>
      <c r="H24" s="45">
        <v>6.03</v>
      </c>
      <c r="I24" s="16" t="s">
        <v>36</v>
      </c>
      <c r="J24" s="16"/>
      <c r="K24" s="18">
        <f>H24*B24</f>
        <v>798.97500000000002</v>
      </c>
    </row>
    <row r="25" spans="1:11" ht="14.25">
      <c r="A25" s="15" t="s">
        <v>38</v>
      </c>
      <c r="B25" s="46">
        <v>0.14000000000000001</v>
      </c>
      <c r="C25" s="16" t="s">
        <v>39</v>
      </c>
      <c r="D25" s="45">
        <v>241.97</v>
      </c>
      <c r="E25" s="16" t="s">
        <v>8</v>
      </c>
      <c r="F25" s="18">
        <f t="shared" si="1"/>
        <v>33.875800000000005</v>
      </c>
      <c r="G25" s="8"/>
      <c r="H25" s="45">
        <v>323.23</v>
      </c>
      <c r="I25" s="16" t="s">
        <v>8</v>
      </c>
      <c r="J25" s="16"/>
      <c r="K25" s="18">
        <f>H25*B25</f>
        <v>45.252200000000009</v>
      </c>
    </row>
    <row r="26" spans="1:11" ht="14.25">
      <c r="A26" s="15" t="s">
        <v>40</v>
      </c>
      <c r="B26" s="46">
        <f>Inputs!E26/2000</f>
        <v>0.16650000000000001</v>
      </c>
      <c r="C26" s="16" t="s">
        <v>39</v>
      </c>
      <c r="D26" s="45">
        <v>1284.83</v>
      </c>
      <c r="E26" s="16" t="s">
        <v>8</v>
      </c>
      <c r="F26" s="18">
        <f t="shared" si="1"/>
        <v>213.924195</v>
      </c>
      <c r="G26" s="8"/>
      <c r="H26" s="45">
        <v>1855.08</v>
      </c>
      <c r="I26" s="16" t="s">
        <v>8</v>
      </c>
      <c r="J26" s="16"/>
      <c r="K26" s="18">
        <f>B26*H26</f>
        <v>308.87081999999998</v>
      </c>
    </row>
    <row r="27" spans="1:11" ht="14.25">
      <c r="A27" s="15" t="s">
        <v>41</v>
      </c>
      <c r="B27" s="46">
        <f>Inputs!E27/2000</f>
        <v>0.14499999999999999</v>
      </c>
      <c r="C27" s="16" t="s">
        <v>39</v>
      </c>
      <c r="D27" s="45">
        <v>724.5</v>
      </c>
      <c r="E27" s="16" t="s">
        <v>8</v>
      </c>
      <c r="F27" s="18">
        <f t="shared" si="1"/>
        <v>105.05249999999999</v>
      </c>
      <c r="G27" s="8"/>
      <c r="H27" s="45">
        <v>1361.25</v>
      </c>
      <c r="I27" s="16" t="s">
        <v>8</v>
      </c>
      <c r="J27" s="16"/>
      <c r="K27" s="18">
        <f>B27*H27</f>
        <v>197.38124999999999</v>
      </c>
    </row>
    <row r="28" spans="1:11" ht="14.25">
      <c r="A28" s="15" t="s">
        <v>42</v>
      </c>
      <c r="B28" s="46">
        <f>Inputs!E28</f>
        <v>0.3</v>
      </c>
      <c r="C28" s="16" t="s">
        <v>39</v>
      </c>
      <c r="D28" s="45">
        <v>26</v>
      </c>
      <c r="E28" s="16" t="s">
        <v>8</v>
      </c>
      <c r="F28" s="18">
        <f t="shared" si="1"/>
        <v>7.8</v>
      </c>
      <c r="G28" s="8"/>
      <c r="H28" s="45">
        <v>111</v>
      </c>
      <c r="I28" s="16" t="s">
        <v>8</v>
      </c>
      <c r="J28" s="16"/>
      <c r="K28" s="18">
        <f>B28*H28</f>
        <v>33.299999999999997</v>
      </c>
    </row>
    <row r="29" spans="1:11" ht="14.25">
      <c r="A29" s="15" t="s">
        <v>43</v>
      </c>
      <c r="B29" s="23"/>
      <c r="C29" s="16"/>
      <c r="D29" s="16"/>
      <c r="E29" s="16"/>
      <c r="F29" s="20">
        <v>65</v>
      </c>
      <c r="G29" s="8"/>
      <c r="H29" s="16"/>
      <c r="I29" s="16"/>
      <c r="J29" s="16"/>
      <c r="K29" s="20">
        <v>44</v>
      </c>
    </row>
    <row r="30" spans="1:11" ht="15">
      <c r="A30" s="27" t="s">
        <v>44</v>
      </c>
      <c r="B30" s="28"/>
      <c r="C30" s="29"/>
      <c r="D30" s="29"/>
      <c r="E30" s="29"/>
      <c r="F30" s="30">
        <f>SUM(F22:F29)</f>
        <v>2036.3704949999999</v>
      </c>
      <c r="G30" s="28"/>
      <c r="H30" s="29"/>
      <c r="I30" s="29"/>
      <c r="J30" s="29"/>
      <c r="K30" s="30">
        <f>SUM(K22:K29)</f>
        <v>2266.5027700000001</v>
      </c>
    </row>
    <row r="31" spans="1:11" ht="14.25">
      <c r="A31" s="21"/>
      <c r="B31" s="11"/>
      <c r="C31" s="12"/>
      <c r="D31" s="12"/>
      <c r="E31" s="12"/>
      <c r="F31" s="20"/>
      <c r="G31" s="11"/>
      <c r="H31" s="12"/>
      <c r="I31" s="12"/>
      <c r="J31" s="12"/>
      <c r="K31" s="20"/>
    </row>
    <row r="32" spans="1:11" ht="15">
      <c r="A32" s="27" t="s">
        <v>45</v>
      </c>
      <c r="B32" s="8"/>
      <c r="C32" s="16"/>
      <c r="D32" s="16"/>
      <c r="E32" s="16"/>
      <c r="F32" s="13" t="s">
        <v>46</v>
      </c>
      <c r="G32" s="8"/>
      <c r="H32" s="16"/>
      <c r="I32" s="16"/>
      <c r="J32" s="16"/>
      <c r="K32" s="13" t="s">
        <v>46</v>
      </c>
    </row>
    <row r="33" spans="1:11" ht="14.25">
      <c r="A33" s="15" t="s">
        <v>47</v>
      </c>
      <c r="B33" s="46">
        <v>0.3</v>
      </c>
      <c r="C33" s="16"/>
      <c r="D33" s="16">
        <v>200</v>
      </c>
      <c r="E33" s="16" t="s">
        <v>6</v>
      </c>
      <c r="F33" s="18">
        <f>B33*D33</f>
        <v>60</v>
      </c>
      <c r="G33" s="46">
        <v>0.27500000000000002</v>
      </c>
      <c r="H33" s="16">
        <v>240</v>
      </c>
      <c r="I33" s="16" t="s">
        <v>6</v>
      </c>
      <c r="J33" s="16"/>
      <c r="K33" s="18">
        <f>G33*H33</f>
        <v>66</v>
      </c>
    </row>
    <row r="34" spans="1:11" ht="14.25">
      <c r="A34" s="15" t="s">
        <v>48</v>
      </c>
      <c r="B34" s="8"/>
      <c r="C34" s="16"/>
      <c r="D34" s="16"/>
      <c r="E34" s="16"/>
      <c r="F34" s="18">
        <v>130</v>
      </c>
      <c r="G34" s="8"/>
      <c r="H34" s="16"/>
      <c r="I34" s="16"/>
      <c r="J34" s="16"/>
      <c r="K34" s="18">
        <v>140</v>
      </c>
    </row>
    <row r="35" spans="1:11" ht="14.25">
      <c r="A35" s="15" t="s">
        <v>49</v>
      </c>
      <c r="B35" s="8"/>
      <c r="C35" s="16"/>
      <c r="D35" s="16"/>
      <c r="E35" s="16"/>
      <c r="F35" s="18">
        <v>152</v>
      </c>
      <c r="G35" s="8"/>
      <c r="H35" s="16"/>
      <c r="I35" s="16"/>
      <c r="J35" s="16"/>
      <c r="K35" s="18">
        <v>155</v>
      </c>
    </row>
    <row r="36" spans="1:11" ht="14.25">
      <c r="A36" s="15" t="s">
        <v>50</v>
      </c>
      <c r="B36" s="8"/>
      <c r="C36" s="16"/>
      <c r="D36" s="16"/>
      <c r="E36" s="16"/>
      <c r="F36" s="18">
        <v>28</v>
      </c>
      <c r="G36" s="8"/>
      <c r="H36" s="16"/>
      <c r="I36" s="16"/>
      <c r="J36" s="16"/>
      <c r="K36" s="18">
        <v>30</v>
      </c>
    </row>
    <row r="37" spans="1:11" ht="14.25">
      <c r="A37" s="15" t="s">
        <v>51</v>
      </c>
      <c r="B37" s="8"/>
      <c r="C37" s="16"/>
      <c r="D37" s="16"/>
      <c r="E37" s="16"/>
      <c r="F37" s="18">
        <v>42</v>
      </c>
      <c r="G37" s="8"/>
      <c r="H37" s="16"/>
      <c r="I37" s="16"/>
      <c r="J37" s="16"/>
      <c r="K37" s="18">
        <v>52</v>
      </c>
    </row>
    <row r="38" spans="1:11" ht="14.25">
      <c r="A38" s="15" t="s">
        <v>52</v>
      </c>
      <c r="B38" s="8"/>
      <c r="C38" s="16"/>
      <c r="D38" s="16"/>
      <c r="E38" s="16"/>
      <c r="F38" s="20">
        <v>160</v>
      </c>
      <c r="G38" s="8"/>
      <c r="H38" s="16"/>
      <c r="I38" s="16"/>
      <c r="J38" s="16"/>
      <c r="K38" s="20">
        <v>170</v>
      </c>
    </row>
    <row r="39" spans="1:11" ht="14.25">
      <c r="A39" s="15" t="s">
        <v>53</v>
      </c>
      <c r="B39" s="8"/>
      <c r="C39" s="16"/>
      <c r="D39" s="16"/>
      <c r="E39" s="16"/>
      <c r="F39" s="18">
        <f>SUM(F33:F38)</f>
        <v>572</v>
      </c>
      <c r="G39" s="8"/>
      <c r="H39" s="16"/>
      <c r="I39" s="16"/>
      <c r="J39" s="16"/>
      <c r="K39" s="18">
        <f>SUM(K33:K38)</f>
        <v>613</v>
      </c>
    </row>
    <row r="40" spans="1:11" ht="14.25">
      <c r="A40" s="15" t="s">
        <v>54</v>
      </c>
      <c r="B40" s="47">
        <v>0.09</v>
      </c>
      <c r="C40" s="16"/>
      <c r="D40" s="16">
        <v>3</v>
      </c>
      <c r="E40" s="16" t="s">
        <v>55</v>
      </c>
      <c r="F40" s="20">
        <f>(F30+F39)*B40*0.25</f>
        <v>58.688336137500002</v>
      </c>
      <c r="G40" s="8"/>
      <c r="H40" s="16">
        <v>3</v>
      </c>
      <c r="I40" s="16" t="s">
        <v>55</v>
      </c>
      <c r="J40" s="16"/>
      <c r="K40" s="20">
        <f>(K30+K39)*B40*0.25</f>
        <v>64.788812324999995</v>
      </c>
    </row>
    <row r="41" spans="1:11" ht="15">
      <c r="A41" s="27" t="s">
        <v>56</v>
      </c>
      <c r="B41" s="28"/>
      <c r="C41" s="29"/>
      <c r="D41" s="29"/>
      <c r="E41" s="29"/>
      <c r="F41" s="30">
        <f>F30+F39+F40</f>
        <v>2667.0588311375</v>
      </c>
      <c r="G41" s="28"/>
      <c r="H41" s="29"/>
      <c r="I41" s="29"/>
      <c r="J41" s="29"/>
      <c r="K41" s="30">
        <f>K30+K39+K40</f>
        <v>2944.291582325</v>
      </c>
    </row>
    <row r="42" spans="1:11" ht="14.25">
      <c r="A42" s="21"/>
      <c r="B42" s="11"/>
      <c r="C42" s="12"/>
      <c r="D42" s="12"/>
      <c r="E42" s="12"/>
      <c r="F42" s="13"/>
      <c r="G42" s="11"/>
      <c r="H42" s="12"/>
      <c r="I42" s="12"/>
      <c r="J42" s="12"/>
      <c r="K42" s="13"/>
    </row>
    <row r="43" spans="1:11" ht="15">
      <c r="A43" s="27" t="s">
        <v>57</v>
      </c>
      <c r="B43" s="8"/>
      <c r="C43" s="16"/>
      <c r="D43" s="16"/>
      <c r="E43" s="16"/>
      <c r="F43" s="22"/>
      <c r="G43" s="8"/>
      <c r="H43" s="16"/>
      <c r="I43" s="16"/>
      <c r="J43" s="16"/>
      <c r="K43" s="22"/>
    </row>
    <row r="44" spans="1:11" ht="14.25">
      <c r="A44" s="15" t="s">
        <v>58</v>
      </c>
      <c r="B44" s="8"/>
      <c r="C44" s="16"/>
      <c r="D44" s="16"/>
      <c r="E44" s="16"/>
      <c r="F44" s="18">
        <v>310</v>
      </c>
      <c r="G44" s="8"/>
      <c r="H44" s="16"/>
      <c r="I44" s="16"/>
      <c r="J44" s="16"/>
      <c r="K44" s="18">
        <v>340</v>
      </c>
    </row>
    <row r="45" spans="1:11" ht="14.25">
      <c r="A45" s="15" t="s">
        <v>59</v>
      </c>
      <c r="B45" s="48">
        <v>7.4999999999999997E-2</v>
      </c>
      <c r="C45" s="16" t="s">
        <v>60</v>
      </c>
      <c r="D45" s="16"/>
      <c r="E45" s="16"/>
      <c r="F45" s="18">
        <v>126.82</v>
      </c>
      <c r="G45" s="8"/>
      <c r="H45" s="16"/>
      <c r="I45" s="16"/>
      <c r="J45" s="16"/>
      <c r="K45" s="18">
        <v>152.25</v>
      </c>
    </row>
    <row r="46" spans="1:11" ht="14.25">
      <c r="A46" s="15" t="s">
        <v>61</v>
      </c>
      <c r="B46" s="48">
        <v>0.05</v>
      </c>
      <c r="C46" s="24" t="s">
        <v>84</v>
      </c>
      <c r="D46" s="16"/>
      <c r="E46" s="16"/>
      <c r="F46" s="20">
        <v>45.5</v>
      </c>
      <c r="G46" s="8"/>
      <c r="H46" s="55">
        <v>0.05</v>
      </c>
      <c r="I46" s="16" t="s">
        <v>85</v>
      </c>
      <c r="J46" s="16"/>
      <c r="K46" s="20">
        <v>53.44</v>
      </c>
    </row>
    <row r="47" spans="1:11" ht="15">
      <c r="A47" s="27" t="s">
        <v>62</v>
      </c>
      <c r="B47" s="28"/>
      <c r="C47" s="29"/>
      <c r="D47" s="29"/>
      <c r="E47" s="29"/>
      <c r="F47" s="30">
        <f>SUM(F44:F46)</f>
        <v>482.32</v>
      </c>
      <c r="G47" s="28"/>
      <c r="H47" s="29"/>
      <c r="I47" s="29"/>
      <c r="J47" s="29"/>
      <c r="K47" s="30">
        <f>SUM(K44:K46)</f>
        <v>545.69000000000005</v>
      </c>
    </row>
    <row r="48" spans="1:11" ht="14.25">
      <c r="A48" s="21"/>
      <c r="B48" s="11"/>
      <c r="C48" s="12"/>
      <c r="D48" s="12"/>
      <c r="E48" s="12"/>
      <c r="F48" s="13"/>
      <c r="G48" s="11"/>
      <c r="H48" s="12"/>
      <c r="I48" s="12"/>
      <c r="J48" s="12"/>
      <c r="K48" s="13"/>
    </row>
    <row r="49" spans="1:11" ht="15">
      <c r="A49" s="27" t="s">
        <v>63</v>
      </c>
      <c r="B49" s="8"/>
      <c r="C49" s="12" t="s">
        <v>64</v>
      </c>
      <c r="D49" s="16"/>
      <c r="E49" s="16"/>
      <c r="F49" s="13" t="s">
        <v>65</v>
      </c>
      <c r="G49" s="8"/>
      <c r="H49" s="12" t="s">
        <v>64</v>
      </c>
      <c r="I49" s="16"/>
      <c r="J49" s="16"/>
      <c r="K49" s="13" t="s">
        <v>65</v>
      </c>
    </row>
    <row r="50" spans="1:11" ht="15">
      <c r="A50" s="27" t="s">
        <v>66</v>
      </c>
      <c r="B50" s="28"/>
      <c r="C50" s="31">
        <f>F50/((F18-F46)/((F6+F7+F8+F9+F10+F11+F12+F13)/200))</f>
        <v>14.832052361057444</v>
      </c>
      <c r="D50" s="29"/>
      <c r="E50" s="29"/>
      <c r="F50" s="30">
        <f>F41+F47</f>
        <v>3149.3788311375001</v>
      </c>
      <c r="G50" s="28"/>
      <c r="H50" s="31">
        <f>K50/((K18-K46)/((K6+K7+K8+K9+K10+K11+K12+K13)/240))</f>
        <v>13.781648455993773</v>
      </c>
      <c r="I50" s="29"/>
      <c r="J50" s="29"/>
      <c r="K50" s="30">
        <f>K41+K47</f>
        <v>3489.9815823250001</v>
      </c>
    </row>
    <row r="51" spans="1:11" ht="14.25">
      <c r="A51" s="21"/>
      <c r="B51" s="11"/>
      <c r="C51" s="12"/>
      <c r="D51" s="12"/>
      <c r="E51" s="12"/>
      <c r="F51" s="13"/>
      <c r="G51" s="11"/>
      <c r="H51" s="25"/>
      <c r="I51" s="12"/>
      <c r="J51" s="12"/>
      <c r="K51" s="13"/>
    </row>
    <row r="52" spans="1:11" ht="15">
      <c r="A52" s="27" t="s">
        <v>67</v>
      </c>
      <c r="B52" s="8"/>
      <c r="C52" s="12" t="s">
        <v>64</v>
      </c>
      <c r="D52" s="16"/>
      <c r="E52" s="16"/>
      <c r="F52" s="13" t="s">
        <v>65</v>
      </c>
      <c r="G52" s="8"/>
      <c r="H52" s="25" t="s">
        <v>64</v>
      </c>
      <c r="I52" s="16"/>
      <c r="J52" s="16"/>
      <c r="K52" s="13" t="s">
        <v>65</v>
      </c>
    </row>
    <row r="53" spans="1:11" ht="14.25">
      <c r="A53" s="15" t="s">
        <v>68</v>
      </c>
      <c r="B53" s="8"/>
      <c r="C53" s="17">
        <f>F53/((F18-F46)/((F6+F7+F8+F9+F10+F11+F12+F13+F17)/200))</f>
        <v>17.677043262178742</v>
      </c>
      <c r="D53" s="16"/>
      <c r="E53" s="16"/>
      <c r="F53" s="18">
        <f>F18</f>
        <v>3753.4728499999997</v>
      </c>
      <c r="G53" s="8"/>
      <c r="H53" s="17">
        <f>K53/((K18-K46)/((K6+K7+K8+K9+K10+K11+K12+K13+K17)/240))</f>
        <v>17.673602679251989</v>
      </c>
      <c r="I53" s="16"/>
      <c r="J53" s="16"/>
      <c r="K53" s="18">
        <f>K18</f>
        <v>4475.5566099999996</v>
      </c>
    </row>
    <row r="54" spans="1:11" ht="14.25">
      <c r="A54" s="15" t="s">
        <v>69</v>
      </c>
      <c r="B54" s="8"/>
      <c r="C54" s="17">
        <f>F54/((F18-F46)/((F6+F7+F8+F9+F10+F11+F12+F13)/200))</f>
        <v>12.560558241627739</v>
      </c>
      <c r="D54" s="16"/>
      <c r="E54" s="16"/>
      <c r="F54" s="18">
        <f>F41</f>
        <v>2667.0588311375</v>
      </c>
      <c r="G54" s="8"/>
      <c r="H54" s="17">
        <f>K54/((K18-K46)/((K6+K7+K8+K9+K10+K11+K12+K13)/240))</f>
        <v>11.626763804441792</v>
      </c>
      <c r="I54" s="16"/>
      <c r="J54" s="16"/>
      <c r="K54" s="18">
        <f>K41</f>
        <v>2944.291582325</v>
      </c>
    </row>
    <row r="55" spans="1:11" ht="14.25">
      <c r="A55" s="15" t="s">
        <v>70</v>
      </c>
      <c r="B55" s="8"/>
      <c r="C55" s="17">
        <f>F55/((F18-F46)/((F6+F7+F8+F9+F10+F11+F12+F13)/200))</f>
        <v>5.1164850205510026</v>
      </c>
      <c r="D55" s="16"/>
      <c r="E55" s="16"/>
      <c r="F55" s="18">
        <f>F18-F41</f>
        <v>1086.4140188624997</v>
      </c>
      <c r="G55" s="8"/>
      <c r="H55" s="17">
        <f>K55/((K18-K46)/((K6+K7+K8+K9+K10+K11+K12+K13)/240))</f>
        <v>6.0468388748101987</v>
      </c>
      <c r="I55" s="16"/>
      <c r="J55" s="16"/>
      <c r="K55" s="18">
        <f>K18-K41</f>
        <v>1531.2650276749996</v>
      </c>
    </row>
    <row r="56" spans="1:11" ht="14.25">
      <c r="A56" s="15" t="s">
        <v>71</v>
      </c>
      <c r="B56" s="8"/>
      <c r="C56" s="17">
        <f>F56/((F18-F46)/((F6+F7+F8+F9+F10+F11+F12+F13)/200))</f>
        <v>2.271494119429704</v>
      </c>
      <c r="D56" s="16"/>
      <c r="E56" s="16"/>
      <c r="F56" s="18">
        <f>F47</f>
        <v>482.32</v>
      </c>
      <c r="G56" s="8"/>
      <c r="H56" s="17">
        <f>K56/((K18-K46)/((K6+K7+K8+K9+K10+K11+K12+K13)/240))</f>
        <v>2.1548846515519822</v>
      </c>
      <c r="I56" s="16"/>
      <c r="J56" s="16"/>
      <c r="K56" s="18">
        <f>K47</f>
        <v>545.69000000000005</v>
      </c>
    </row>
    <row r="57" spans="1:11" ht="14.25">
      <c r="A57" s="15" t="s">
        <v>72</v>
      </c>
      <c r="B57" s="8"/>
      <c r="C57" s="17">
        <f>F57/((F18-F46)/((F6+F7+F8+F9+F10+F11+F12+F13)/200))</f>
        <v>2.844990901121299</v>
      </c>
      <c r="D57" s="16"/>
      <c r="E57" s="16"/>
      <c r="F57" s="18">
        <f>F55-F56</f>
        <v>604.09401886249975</v>
      </c>
      <c r="G57" s="8"/>
      <c r="H57" s="17">
        <f>K57/((K18-K46)/((K6+K7+K8+K9+K10+K11+K12+K13)/240))</f>
        <v>3.8919542232582169</v>
      </c>
      <c r="I57" s="16"/>
      <c r="J57" s="16"/>
      <c r="K57" s="18">
        <f>K55-K56</f>
        <v>985.57502767499955</v>
      </c>
    </row>
    <row r="58" spans="1:11" ht="14.25">
      <c r="A58" s="15" t="s">
        <v>97</v>
      </c>
      <c r="B58" s="8"/>
      <c r="C58" s="17">
        <f>F58/((F18-F46)/((F6+F7+F8+F9+F10+F11+F12+F13)/200))</f>
        <v>4.2856602435748687</v>
      </c>
      <c r="D58" s="16"/>
      <c r="E58" s="16"/>
      <c r="F58" s="18">
        <f>70*13</f>
        <v>910</v>
      </c>
      <c r="G58" s="8"/>
      <c r="H58" s="17">
        <f>K58/((K18-K46)/((K6+K7+K8+K9+K10+K11+K12+K13)/240))</f>
        <v>3.5935146931633408</v>
      </c>
      <c r="I58" s="16"/>
      <c r="J58" s="16"/>
      <c r="K58" s="18">
        <f>70*13</f>
        <v>910</v>
      </c>
    </row>
    <row r="59" spans="1:11" ht="15">
      <c r="A59" s="27" t="s">
        <v>73</v>
      </c>
      <c r="B59" s="28"/>
      <c r="C59" s="31">
        <f>F59/((F18-F46)/((F6+F7+F8+F9+F10+F11+F12+F13)/200))</f>
        <v>-1.4406693424535697</v>
      </c>
      <c r="D59" s="29"/>
      <c r="E59" s="29"/>
      <c r="F59" s="30">
        <f>F57-F58</f>
        <v>-305.90598113750025</v>
      </c>
      <c r="G59" s="28"/>
      <c r="H59" s="31">
        <f>K59/((K18-K46)/((K6+K7+K8+K9+K10+K11+K12+K13)/240))</f>
        <v>0.29843953009487584</v>
      </c>
      <c r="I59" s="29"/>
      <c r="J59" s="29"/>
      <c r="K59" s="30">
        <f>K57-K58</f>
        <v>75.575027674999546</v>
      </c>
    </row>
    <row r="60" spans="1:11" ht="14.25">
      <c r="A60" s="21"/>
      <c r="B60" s="11"/>
      <c r="C60" s="25"/>
      <c r="D60" s="12"/>
      <c r="E60" s="12"/>
      <c r="F60" s="20"/>
      <c r="G60" s="11"/>
      <c r="H60" s="25"/>
      <c r="I60" s="12"/>
      <c r="J60" s="12"/>
      <c r="K60" s="20"/>
    </row>
    <row r="61" spans="1:11" ht="15">
      <c r="A61" s="27" t="s">
        <v>74</v>
      </c>
      <c r="B61" s="8"/>
      <c r="C61" s="16"/>
      <c r="D61" s="16"/>
      <c r="E61" s="16"/>
      <c r="F61" s="22"/>
      <c r="G61" s="8"/>
      <c r="H61" s="16"/>
      <c r="I61" s="16"/>
      <c r="J61" s="16"/>
      <c r="K61" s="22"/>
    </row>
    <row r="62" spans="1:11" ht="15">
      <c r="A62" s="27" t="s">
        <v>75</v>
      </c>
      <c r="B62" s="28"/>
      <c r="C62" s="29"/>
      <c r="D62" s="29"/>
      <c r="E62" s="29"/>
      <c r="F62" s="51">
        <f>((F50+F58)-(F14+F15+F16))/B5</f>
        <v>18.992290155687503</v>
      </c>
      <c r="G62" s="28"/>
      <c r="H62" s="29"/>
      <c r="I62" s="29"/>
      <c r="J62" s="29"/>
      <c r="K62" s="51">
        <f>((K50+K58)-(K14+K15+K16))/G5</f>
        <v>17.147676593020833</v>
      </c>
    </row>
    <row r="63" spans="1:11" ht="15">
      <c r="A63" s="27" t="s">
        <v>76</v>
      </c>
      <c r="B63" s="28"/>
      <c r="C63" s="29"/>
      <c r="D63" s="29"/>
      <c r="E63" s="29"/>
      <c r="F63" s="52">
        <f>(SUM(F6:F12))/B5</f>
        <v>17.462760249999999</v>
      </c>
      <c r="G63" s="28"/>
      <c r="H63" s="29"/>
      <c r="I63" s="29"/>
      <c r="J63" s="29"/>
      <c r="K63" s="52">
        <f>(SUM(K6:K12))/G5</f>
        <v>17.462572541666663</v>
      </c>
    </row>
    <row r="64" spans="1:11" ht="14.25">
      <c r="A64" s="21" t="s">
        <v>77</v>
      </c>
      <c r="B64" s="11"/>
      <c r="C64" s="12"/>
      <c r="D64" s="12"/>
      <c r="E64" s="12"/>
      <c r="F64" s="40">
        <f>(SUM(F6:F13)+F17)/200</f>
        <v>17.462760249999999</v>
      </c>
      <c r="G64" s="11"/>
      <c r="H64" s="12"/>
      <c r="I64" s="12"/>
      <c r="J64" s="12"/>
      <c r="K64" s="41">
        <f>(SUM(K6:K13)+K17)/240</f>
        <v>17.462572541666663</v>
      </c>
    </row>
    <row r="65" spans="1:11" ht="14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spans="1:11" ht="14.25">
      <c r="A66" s="26"/>
      <c r="B66" s="26"/>
      <c r="C66" s="26"/>
      <c r="E66" s="26"/>
      <c r="F66" s="26"/>
      <c r="G66" s="26"/>
      <c r="H66" s="26"/>
      <c r="I66" s="26"/>
      <c r="J66" s="26"/>
      <c r="K66" s="26"/>
    </row>
    <row r="67" spans="1:11" ht="14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14.25">
      <c r="A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 ht="14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1:11" ht="14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spans="1:11" ht="14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spans="1:11" ht="14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spans="1:11" ht="14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1:11" ht="14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</sheetData>
  <phoneticPr fontId="6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Inputs</vt:lpstr>
      <vt:lpstr>Freestall</vt:lpstr>
      <vt:lpstr>Tiestall</vt:lpstr>
      <vt:lpstr>Freestall!Print_Area</vt:lpstr>
    </vt:vector>
  </TitlesOfParts>
  <Company>ISU Extension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 Extension</dc:creator>
  <cp:lastModifiedBy>Kim Clark</cp:lastModifiedBy>
  <cp:lastPrinted>2007-10-24T18:59:03Z</cp:lastPrinted>
  <dcterms:created xsi:type="dcterms:W3CDTF">2003-03-13T16:41:38Z</dcterms:created>
  <dcterms:modified xsi:type="dcterms:W3CDTF">2010-10-22T18:18:17Z</dcterms:modified>
</cp:coreProperties>
</file>