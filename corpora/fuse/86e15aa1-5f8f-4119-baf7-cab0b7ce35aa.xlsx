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390" windowWidth="14640" windowHeight="8190"/>
  </bookViews>
  <sheets>
    <sheet name="Field Catalogue #'s and letters" sheetId="1" r:id="rId1"/>
    <sheet name="Archaeological Use-Wear data" sheetId="2" r:id="rId2"/>
    <sheet name="Arch damage and polish location" sheetId="4" r:id="rId3"/>
    <sheet name="Arch Graver Metrics" sheetId="5" r:id="rId4"/>
    <sheet name="Arch Spur Metrics" sheetId="6" r:id="rId5"/>
  </sheets>
  <calcPr calcId="125725"/>
</workbook>
</file>

<file path=xl/calcChain.xml><?xml version="1.0" encoding="utf-8"?>
<calcChain xmlns="http://schemas.openxmlformats.org/spreadsheetml/2006/main">
  <c r="M49" i="5"/>
  <c r="L49"/>
  <c r="N49" s="1"/>
  <c r="O49" s="1"/>
  <c r="M45"/>
  <c r="L45"/>
  <c r="N45" s="1"/>
  <c r="O45" s="1"/>
  <c r="M43"/>
  <c r="L43"/>
  <c r="N43" s="1"/>
  <c r="O43" s="1"/>
  <c r="M42"/>
  <c r="L42"/>
  <c r="N42" s="1"/>
  <c r="O42" s="1"/>
  <c r="M41"/>
  <c r="L41"/>
  <c r="N41" s="1"/>
  <c r="O41" s="1"/>
  <c r="M38"/>
  <c r="L38"/>
  <c r="N38" s="1"/>
  <c r="O38" s="1"/>
  <c r="M36"/>
  <c r="L36"/>
  <c r="N36" s="1"/>
  <c r="O36" s="1"/>
  <c r="M32"/>
  <c r="L32"/>
  <c r="N32" s="1"/>
  <c r="O32" s="1"/>
  <c r="M31"/>
  <c r="L31"/>
  <c r="N31" s="1"/>
  <c r="O31" s="1"/>
  <c r="M29"/>
  <c r="L29"/>
  <c r="N29" s="1"/>
  <c r="O29" s="1"/>
  <c r="M26"/>
  <c r="L26"/>
  <c r="N26" s="1"/>
  <c r="O26" s="1"/>
  <c r="M24"/>
  <c r="L24"/>
  <c r="N24" s="1"/>
  <c r="O24" s="1"/>
  <c r="M21"/>
  <c r="L21"/>
  <c r="N21" s="1"/>
  <c r="O21" s="1"/>
  <c r="M18"/>
  <c r="L18"/>
  <c r="N18" s="1"/>
  <c r="O18" s="1"/>
  <c r="M17"/>
  <c r="L17"/>
  <c r="N17" s="1"/>
  <c r="O17" s="1"/>
  <c r="M16"/>
  <c r="L16"/>
  <c r="N16" s="1"/>
  <c r="O16" s="1"/>
  <c r="M12"/>
  <c r="L12"/>
  <c r="N12" s="1"/>
  <c r="O12" s="1"/>
  <c r="M11"/>
  <c r="L11"/>
  <c r="N11" s="1"/>
  <c r="O11" s="1"/>
  <c r="M8"/>
  <c r="L8"/>
  <c r="N8" s="1"/>
  <c r="O8" s="1"/>
  <c r="M7"/>
  <c r="L7"/>
  <c r="N7" s="1"/>
  <c r="O7" s="1"/>
  <c r="M6"/>
  <c r="L6"/>
  <c r="N6" s="1"/>
  <c r="O6" s="1"/>
  <c r="M2"/>
  <c r="L2"/>
  <c r="N2" s="1"/>
  <c r="O2" s="1"/>
</calcChain>
</file>

<file path=xl/sharedStrings.xml><?xml version="1.0" encoding="utf-8"?>
<sst xmlns="http://schemas.openxmlformats.org/spreadsheetml/2006/main" count="3064" uniqueCount="298">
  <si>
    <t>Site</t>
  </si>
  <si>
    <t>Field Catalogue #</t>
  </si>
  <si>
    <t>Letter in Thesis</t>
  </si>
  <si>
    <t>Parkhill</t>
  </si>
  <si>
    <t>M1M1B1-1: 1122</t>
  </si>
  <si>
    <t>M1M1B1-1: 815/1336</t>
  </si>
  <si>
    <t>M1M1B1-1: 337</t>
  </si>
  <si>
    <t>M1M1B1-1: 406</t>
  </si>
  <si>
    <t>M1M1B1-1: 482</t>
  </si>
  <si>
    <t>M1M1B1-1: 87</t>
  </si>
  <si>
    <t>M1M1B1-1: 408</t>
  </si>
  <si>
    <t>M1M1B1-1: 473</t>
  </si>
  <si>
    <t>M1M1B1-1: 466</t>
  </si>
  <si>
    <t>M1M1B1-1: 1128</t>
  </si>
  <si>
    <t>M1M1B1-1: 213</t>
  </si>
  <si>
    <t>M1M1B1-1: 1107</t>
  </si>
  <si>
    <t>M1M1B1-1: 897</t>
  </si>
  <si>
    <t>M1M1B1-1: 1118</t>
  </si>
  <si>
    <t>M1M1B1-1: 1327</t>
  </si>
  <si>
    <t>Thedford II</t>
  </si>
  <si>
    <t>AgHk-6: 70</t>
  </si>
  <si>
    <t>AgHk-6: 55</t>
  </si>
  <si>
    <t>AgHk-6: 77</t>
  </si>
  <si>
    <t>AgHk-6: 192</t>
  </si>
  <si>
    <t>AgHk-6: 50/168</t>
  </si>
  <si>
    <t>AgHk-6: 179</t>
  </si>
  <si>
    <t>AgHk-6: 424/550</t>
  </si>
  <si>
    <t>AgHk-6: 194</t>
  </si>
  <si>
    <t>AgHk-6: 117</t>
  </si>
  <si>
    <t>AgHk-6: 283</t>
  </si>
  <si>
    <t>AgHk-6: 216</t>
  </si>
  <si>
    <t>AgHk-6: 556</t>
  </si>
  <si>
    <t>AgHk-6: 182/559</t>
  </si>
  <si>
    <t>AgHk-6: 139</t>
  </si>
  <si>
    <t>AgHk-6: 149</t>
  </si>
  <si>
    <t>AgHk-6: 150</t>
  </si>
  <si>
    <t>AgHk-6: 81</t>
  </si>
  <si>
    <t>AgHk-6: 285</t>
  </si>
  <si>
    <t>AgHk-6: 93/104</t>
  </si>
  <si>
    <t>McLeod</t>
  </si>
  <si>
    <t>M1W1B1-1: 8</t>
  </si>
  <si>
    <t>AhHk-52: 66</t>
  </si>
  <si>
    <t>AhHk-52: 30</t>
  </si>
  <si>
    <t>AhHk-52: 39</t>
  </si>
  <si>
    <t>Crowfield</t>
  </si>
  <si>
    <t>AfHj-31: 474/637</t>
  </si>
  <si>
    <t>Culloden Acres</t>
  </si>
  <si>
    <t>AfHj-90: 83</t>
  </si>
  <si>
    <t>AfHj-90: 8</t>
  </si>
  <si>
    <t>Sandy Ridge</t>
  </si>
  <si>
    <t>BaGn-6: 1410</t>
  </si>
  <si>
    <t>BaGn-6: 175</t>
  </si>
  <si>
    <t>Halstead</t>
  </si>
  <si>
    <t>BaGn-65: 112</t>
  </si>
  <si>
    <t>BaGn-65: 61/107/801</t>
  </si>
  <si>
    <t>BaGn-65: 185</t>
  </si>
  <si>
    <t>BaGn-65: 126/347/786</t>
  </si>
  <si>
    <t>BaGn-65: 132/257</t>
  </si>
  <si>
    <t>BaGn-65: 405/751</t>
  </si>
  <si>
    <t>BaGn-65: 238</t>
  </si>
  <si>
    <t>BaGn-65: 266</t>
  </si>
  <si>
    <t>oo</t>
  </si>
  <si>
    <t>b</t>
  </si>
  <si>
    <t>a</t>
  </si>
  <si>
    <t>mm</t>
  </si>
  <si>
    <t>nn</t>
  </si>
  <si>
    <t>kk</t>
  </si>
  <si>
    <t>ll</t>
  </si>
  <si>
    <t>e</t>
  </si>
  <si>
    <t>c</t>
  </si>
  <si>
    <t>i</t>
  </si>
  <si>
    <t>j</t>
  </si>
  <si>
    <t>m</t>
  </si>
  <si>
    <t>t</t>
  </si>
  <si>
    <t>y</t>
  </si>
  <si>
    <t>n</t>
  </si>
  <si>
    <t>k</t>
  </si>
  <si>
    <t>s</t>
  </si>
  <si>
    <t>B</t>
  </si>
  <si>
    <t>L</t>
  </si>
  <si>
    <t>C</t>
  </si>
  <si>
    <t>E</t>
  </si>
  <si>
    <t>O</t>
  </si>
  <si>
    <t>J</t>
  </si>
  <si>
    <t>H</t>
  </si>
  <si>
    <t>G</t>
  </si>
  <si>
    <t>N</t>
  </si>
  <si>
    <t>M</t>
  </si>
  <si>
    <t>K</t>
  </si>
  <si>
    <t>F</t>
  </si>
  <si>
    <t>z</t>
  </si>
  <si>
    <t>D</t>
  </si>
  <si>
    <t>S</t>
  </si>
  <si>
    <t>ee</t>
  </si>
  <si>
    <t>X</t>
  </si>
  <si>
    <t>ii</t>
  </si>
  <si>
    <t>aa</t>
  </si>
  <si>
    <t>Z</t>
  </si>
  <si>
    <t>jj</t>
  </si>
  <si>
    <t>cc</t>
  </si>
  <si>
    <t>gg</t>
  </si>
  <si>
    <t>P</t>
  </si>
  <si>
    <t>V</t>
  </si>
  <si>
    <t>Q</t>
  </si>
  <si>
    <t>hh</t>
  </si>
  <si>
    <t>dd</t>
  </si>
  <si>
    <t>Y</t>
  </si>
  <si>
    <t>bb</t>
  </si>
  <si>
    <t>ff</t>
  </si>
  <si>
    <t>W</t>
  </si>
  <si>
    <t>T</t>
  </si>
  <si>
    <t>Artifact Retouch</t>
  </si>
  <si>
    <t>Scarring</t>
  </si>
  <si>
    <t>Abrasion</t>
  </si>
  <si>
    <t>Phase</t>
  </si>
  <si>
    <t>Artifact Code</t>
  </si>
  <si>
    <t>Raw Material</t>
  </si>
  <si>
    <t>Flake type</t>
  </si>
  <si>
    <t>Graver Type</t>
  </si>
  <si>
    <t>E.U.</t>
  </si>
  <si>
    <t>P.C.</t>
  </si>
  <si>
    <t>Burn (y/n)</t>
  </si>
  <si>
    <t>A. Comp.</t>
  </si>
  <si>
    <t>Type</t>
  </si>
  <si>
    <t>Orientation</t>
  </si>
  <si>
    <t>Shape</t>
  </si>
  <si>
    <t>Pattern</t>
  </si>
  <si>
    <t>Location</t>
  </si>
  <si>
    <t>Distribution</t>
  </si>
  <si>
    <t>Termination</t>
  </si>
  <si>
    <t>Size</t>
  </si>
  <si>
    <t>Rounding</t>
  </si>
  <si>
    <t>Polish</t>
  </si>
  <si>
    <t>Striations</t>
  </si>
  <si>
    <t>Action</t>
  </si>
  <si>
    <t>Worked Material</t>
  </si>
  <si>
    <t>Notes</t>
  </si>
  <si>
    <t>Fossil Hill</t>
  </si>
  <si>
    <t>Recycled on endscraper</t>
  </si>
  <si>
    <t>Single</t>
  </si>
  <si>
    <t>NAB</t>
  </si>
  <si>
    <t>PP</t>
  </si>
  <si>
    <t>HR</t>
  </si>
  <si>
    <t>AS</t>
  </si>
  <si>
    <t>N/A</t>
  </si>
  <si>
    <t>IND</t>
  </si>
  <si>
    <t>Due to roughness of raw mat, impossible to det worked mat. EU1 wear likely due to hafting</t>
  </si>
  <si>
    <t>F, ST</t>
  </si>
  <si>
    <t>MR</t>
  </si>
  <si>
    <t>SCR</t>
  </si>
  <si>
    <t>Blocky core (early reduction phase)</t>
  </si>
  <si>
    <t>BR</t>
  </si>
  <si>
    <t>MI</t>
  </si>
  <si>
    <t>PT</t>
  </si>
  <si>
    <t>ST</t>
  </si>
  <si>
    <t>BD</t>
  </si>
  <si>
    <t>IP</t>
  </si>
  <si>
    <t>1M-2M</t>
  </si>
  <si>
    <t>Unknown</t>
  </si>
  <si>
    <t>Complex</t>
  </si>
  <si>
    <t>SP</t>
  </si>
  <si>
    <t>CR</t>
  </si>
  <si>
    <t>R</t>
  </si>
  <si>
    <t>LR</t>
  </si>
  <si>
    <t>GR</t>
  </si>
  <si>
    <t>2M-1H</t>
  </si>
  <si>
    <t>U</t>
  </si>
  <si>
    <t>B/DRI</t>
  </si>
  <si>
    <t>Recycled on sidescraper</t>
  </si>
  <si>
    <t>Multiple</t>
  </si>
  <si>
    <t>DT</t>
  </si>
  <si>
    <t>MA</t>
  </si>
  <si>
    <t>Onondaga</t>
  </si>
  <si>
    <t>Recycled on biface fluted preform</t>
  </si>
  <si>
    <t>1, 2</t>
  </si>
  <si>
    <t>UD</t>
  </si>
  <si>
    <t>CL</t>
  </si>
  <si>
    <t>1H-2H</t>
  </si>
  <si>
    <t>Potential spur on distal edge is too damaged to determine if it was ever used in graving motion</t>
  </si>
  <si>
    <t>Recycled</t>
  </si>
  <si>
    <t>ALT</t>
  </si>
  <si>
    <t>SH</t>
  </si>
  <si>
    <t>BP</t>
  </si>
  <si>
    <t>CU</t>
  </si>
  <si>
    <t>2M</t>
  </si>
  <si>
    <t>Although spur was intentional, not used for graving or boring, but was subsumed within motion of distal end</t>
  </si>
  <si>
    <t>SS</t>
  </si>
  <si>
    <t>Bifacial retouched flake</t>
  </si>
  <si>
    <t>MP</t>
  </si>
  <si>
    <t>unknown snapped, incomplete</t>
  </si>
  <si>
    <t>SC</t>
  </si>
  <si>
    <t>1M</t>
  </si>
  <si>
    <t>Texture of raw material makes it difficult to detetermine worked material</t>
  </si>
  <si>
    <t>Biface thinning flake</t>
  </si>
  <si>
    <t>could have been complex tips, but edge is broken</t>
  </si>
  <si>
    <t>Recycled bit endscraper</t>
  </si>
  <si>
    <t>CV</t>
  </si>
  <si>
    <t>UD, CR</t>
  </si>
  <si>
    <t>Wear pattern on spur indistinguishable from that on rest of distal surface</t>
  </si>
  <si>
    <t>Blocky core fragment</t>
  </si>
  <si>
    <t>Channel flake</t>
  </si>
  <si>
    <t>Double</t>
  </si>
  <si>
    <t>No evidence of use-wear</t>
  </si>
  <si>
    <t>Bayport</t>
  </si>
  <si>
    <t>unknown/blocky fragment</t>
  </si>
  <si>
    <t>Employed Unit</t>
  </si>
  <si>
    <t>Polar Coordinate</t>
  </si>
  <si>
    <t>Possible biface thinning flake</t>
  </si>
  <si>
    <t>Blocky fragment</t>
  </si>
  <si>
    <t>possible prehension wear</t>
  </si>
  <si>
    <t>Early stage biface reduction flake</t>
  </si>
  <si>
    <t>1H</t>
  </si>
  <si>
    <t>possible prehension/haft scarring</t>
  </si>
  <si>
    <t>Blocky</t>
  </si>
  <si>
    <t>DRI</t>
  </si>
  <si>
    <t>snapped blocky flake</t>
  </si>
  <si>
    <t>snapped flake, but retouched after snapped</t>
  </si>
  <si>
    <t>unknown, end biface thinning flake?</t>
  </si>
  <si>
    <t>DS</t>
  </si>
  <si>
    <t>biface thinning flake? Notched and retouched</t>
  </si>
  <si>
    <t>A</t>
  </si>
  <si>
    <t>HAFT</t>
  </si>
  <si>
    <t>blocky</t>
  </si>
  <si>
    <t>prehensile scars on l lat edge</t>
  </si>
  <si>
    <t>prehension wear on r lat edge</t>
  </si>
  <si>
    <t xml:space="preserve">complex </t>
  </si>
  <si>
    <t>unknown flake</t>
  </si>
  <si>
    <t xml:space="preserve">unknown </t>
  </si>
  <si>
    <t xml:space="preserve">biface thinning flake </t>
  </si>
  <si>
    <t>greater wear on L lat edge than R</t>
  </si>
  <si>
    <t>unknown, incomplete</t>
  </si>
  <si>
    <t>l lat has more scarring</t>
  </si>
  <si>
    <t>Blocky core form</t>
  </si>
  <si>
    <t>End biface thinning flake</t>
  </si>
  <si>
    <t>F, H</t>
  </si>
  <si>
    <t>may have been a double</t>
  </si>
  <si>
    <t>Broken triangular endscraper</t>
  </si>
  <si>
    <t>Blocky/ early stage biface reduction</t>
  </si>
  <si>
    <t xml:space="preserve">Early stage biface reduction flake </t>
  </si>
  <si>
    <t>Broken</t>
  </si>
  <si>
    <t>Biface thinning</t>
  </si>
  <si>
    <t>Gainey</t>
  </si>
  <si>
    <t>RS</t>
  </si>
  <si>
    <t>Graver created on break, then used</t>
  </si>
  <si>
    <t>biface thinning flake</t>
  </si>
  <si>
    <t>Spur created, but no wear</t>
  </si>
  <si>
    <t>No use-wear</t>
  </si>
  <si>
    <t>May have been a multiple at one point, broken</t>
  </si>
  <si>
    <t>One tip is rounded, but is too fragmentary to det motion or w.m.</t>
  </si>
  <si>
    <t>unknown</t>
  </si>
  <si>
    <t>RT</t>
  </si>
  <si>
    <t>3rd spur created from retouch, not used</t>
  </si>
  <si>
    <t>E1</t>
  </si>
  <si>
    <t>E2</t>
  </si>
  <si>
    <t>E3</t>
  </si>
  <si>
    <t>E4</t>
  </si>
  <si>
    <t>E6</t>
  </si>
  <si>
    <t>P1</t>
  </si>
  <si>
    <t>P2</t>
  </si>
  <si>
    <t>P3</t>
  </si>
  <si>
    <t>P4</t>
  </si>
  <si>
    <t>P5</t>
  </si>
  <si>
    <t>P6</t>
  </si>
  <si>
    <t>Edge Damage Location</t>
  </si>
  <si>
    <t>Polish Location</t>
  </si>
  <si>
    <t>1=edge damage or polish present</t>
  </si>
  <si>
    <t>P/H</t>
  </si>
  <si>
    <t>Weight (g)</t>
  </si>
  <si>
    <t>Max Length (mm)</t>
  </si>
  <si>
    <t>Max width (mm)</t>
  </si>
  <si>
    <t>Max thickness (mm)</t>
  </si>
  <si>
    <t>Max thickness at midpoint (mm)</t>
  </si>
  <si>
    <t>Angle Height (mm)</t>
  </si>
  <si>
    <t>Height of ventral curve (H)</t>
  </si>
  <si>
    <t>M (half of flake length)</t>
  </si>
  <si>
    <t>H/M</t>
  </si>
  <si>
    <t>Curvature</t>
  </si>
  <si>
    <t>prehension</t>
  </si>
  <si>
    <t>Block core flake</t>
  </si>
  <si>
    <t>haft</t>
  </si>
  <si>
    <t>snap n/a</t>
  </si>
  <si>
    <t>n/a</t>
  </si>
  <si>
    <t>none</t>
  </si>
  <si>
    <t>Indeterminate</t>
  </si>
  <si>
    <t>no platform n/a</t>
  </si>
  <si>
    <t>Graver Form</t>
  </si>
  <si>
    <t>P.C</t>
  </si>
  <si>
    <t>Spur Length (mm)</t>
  </si>
  <si>
    <t>Width at tip (mm)</t>
  </si>
  <si>
    <t>Width at base of point (mm)</t>
  </si>
  <si>
    <t>Thickness (mm)</t>
  </si>
  <si>
    <t>broken</t>
  </si>
  <si>
    <t>blocky fragment</t>
  </si>
  <si>
    <t>biface reduction flake</t>
  </si>
  <si>
    <t>recycled</t>
  </si>
  <si>
    <t>channel flake</t>
  </si>
  <si>
    <t>M1M1B1-1: 809</t>
  </si>
  <si>
    <t>Other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</si>
</sst>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8">
    <font>
      <sz val="11"/>
      <color theme="1"/>
      <name val="Arial"/>
      <family val="2"/>
    </font>
    <font>
      <sz val="10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0">
    <xf numFmtId="0" fontId="0" fillId="0" borderId="0" xfId="0"/>
    <xf numFmtId="0" fontId="1" fillId="0" borderId="0" xfId="0" applyFont="1" applyFill="1" applyAlignment="1" applyProtection="1"/>
    <xf numFmtId="0" fontId="1" fillId="0" borderId="2" xfId="0" applyFont="1" applyFill="1" applyBorder="1" applyAlignment="1" applyProtection="1"/>
    <xf numFmtId="0" fontId="1" fillId="0" borderId="0" xfId="0" applyFont="1" applyFill="1" applyBorder="1" applyAlignment="1" applyProtection="1"/>
    <xf numFmtId="0" fontId="1" fillId="0" borderId="0" xfId="0" applyFont="1" applyBorder="1" applyAlignment="1"/>
    <xf numFmtId="0" fontId="1" fillId="0" borderId="0" xfId="0" applyFont="1" applyBorder="1" applyAlignment="1">
      <alignment wrapText="1"/>
    </xf>
    <xf numFmtId="0" fontId="1" fillId="0" borderId="0" xfId="0" applyFont="1" applyBorder="1"/>
    <xf numFmtId="0" fontId="1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 wrapText="1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1" fillId="0" borderId="0" xfId="0" applyFont="1" applyAlignment="1">
      <alignment wrapText="1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/>
    <xf numFmtId="0" fontId="1" fillId="0" borderId="0" xfId="0" applyFont="1" applyFill="1" applyAlignment="1">
      <alignment wrapText="1"/>
    </xf>
    <xf numFmtId="0" fontId="1" fillId="0" borderId="0" xfId="0" applyFont="1" applyFill="1" applyAlignment="1"/>
    <xf numFmtId="0" fontId="1" fillId="0" borderId="1" xfId="0" applyFont="1" applyBorder="1" applyAlignment="1">
      <alignment horizontal="left" wrapText="1"/>
    </xf>
    <xf numFmtId="0" fontId="1" fillId="0" borderId="8" xfId="0" applyFont="1" applyBorder="1"/>
    <xf numFmtId="0" fontId="1" fillId="0" borderId="1" xfId="0" applyFont="1" applyBorder="1"/>
    <xf numFmtId="0" fontId="1" fillId="0" borderId="9" xfId="0" applyFont="1" applyBorder="1"/>
    <xf numFmtId="0" fontId="1" fillId="0" borderId="2" xfId="0" applyFont="1" applyBorder="1" applyAlignment="1"/>
    <xf numFmtId="0" fontId="1" fillId="0" borderId="0" xfId="0" applyFont="1" applyFill="1" applyAlignment="1">
      <alignment horizontal="left"/>
    </xf>
    <xf numFmtId="0" fontId="1" fillId="0" borderId="0" xfId="0" applyFont="1" applyFill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/>
    <xf numFmtId="0" fontId="1" fillId="0" borderId="7" xfId="0" applyFont="1" applyFill="1" applyBorder="1"/>
    <xf numFmtId="0" fontId="1" fillId="0" borderId="0" xfId="0" applyFont="1" applyBorder="1" applyAlignment="1"/>
    <xf numFmtId="0" fontId="1" fillId="0" borderId="6" xfId="0" applyFont="1" applyFill="1" applyBorder="1"/>
    <xf numFmtId="0" fontId="1" fillId="0" borderId="0" xfId="0" applyFont="1" applyFill="1" applyBorder="1" applyAlignment="1"/>
    <xf numFmtId="0" fontId="1" fillId="0" borderId="2" xfId="0" applyFont="1" applyFill="1" applyBorder="1" applyAlignment="1">
      <alignment horizontal="left"/>
    </xf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Fill="1" applyBorder="1"/>
    <xf numFmtId="0" fontId="1" fillId="0" borderId="4" xfId="0" applyFont="1" applyFill="1" applyBorder="1"/>
    <xf numFmtId="0" fontId="1" fillId="0" borderId="5" xfId="0" applyFont="1" applyFill="1" applyBorder="1"/>
    <xf numFmtId="0" fontId="1" fillId="0" borderId="1" xfId="0" applyFont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Border="1" applyAlignment="1"/>
    <xf numFmtId="0" fontId="1" fillId="0" borderId="2" xfId="0" applyFont="1" applyFill="1" applyBorder="1" applyAlignment="1"/>
    <xf numFmtId="0" fontId="1" fillId="0" borderId="2" xfId="0" applyFont="1" applyFill="1" applyBorder="1" applyAlignment="1">
      <alignment wrapText="1"/>
    </xf>
    <xf numFmtId="0" fontId="1" fillId="0" borderId="2" xfId="0" applyFont="1" applyBorder="1" applyAlignment="1">
      <alignment horizontal="left"/>
    </xf>
    <xf numFmtId="0" fontId="1" fillId="0" borderId="0" xfId="0" applyFont="1" applyFill="1" applyBorder="1" applyAlignment="1">
      <alignment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/>
    <xf numFmtId="0" fontId="1" fillId="0" borderId="0" xfId="0" applyFont="1" applyBorder="1" applyAlignment="1">
      <alignment horizontal="right"/>
    </xf>
    <xf numFmtId="0" fontId="1" fillId="0" borderId="2" xfId="0" applyFont="1" applyBorder="1" applyAlignment="1">
      <alignment wrapText="1"/>
    </xf>
    <xf numFmtId="0" fontId="1" fillId="0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9" xfId="0" applyFont="1" applyFill="1" applyBorder="1"/>
    <xf numFmtId="0" fontId="1" fillId="0" borderId="7" xfId="0" applyFont="1" applyFill="1" applyBorder="1" applyAlignment="1"/>
    <xf numFmtId="0" fontId="1" fillId="0" borderId="2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 applyProtection="1">
      <alignment horizontal="left" vertical="center"/>
    </xf>
    <xf numFmtId="0" fontId="1" fillId="0" borderId="1" xfId="0" applyFont="1" applyFill="1" applyBorder="1" applyAlignment="1" applyProtection="1">
      <alignment horizontal="left" vertical="center"/>
    </xf>
    <xf numFmtId="0" fontId="1" fillId="0" borderId="0" xfId="0" applyFont="1" applyFill="1" applyBorder="1" applyAlignment="1">
      <alignment wrapText="1"/>
    </xf>
    <xf numFmtId="0" fontId="1" fillId="0" borderId="0" xfId="0" applyFont="1" applyBorder="1" applyAlignment="1"/>
    <xf numFmtId="0" fontId="1" fillId="0" borderId="0" xfId="0" applyFont="1" applyBorder="1" applyAlignment="1">
      <alignment horizontal="left"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wrapText="1"/>
    </xf>
    <xf numFmtId="0" fontId="1" fillId="0" borderId="2" xfId="0" applyFont="1" applyFill="1" applyBorder="1" applyAlignment="1">
      <alignment wrapText="1"/>
    </xf>
    <xf numFmtId="0" fontId="1" fillId="0" borderId="2" xfId="0" applyFont="1" applyBorder="1" applyAlignment="1"/>
    <xf numFmtId="0" fontId="1" fillId="0" borderId="0" xfId="0" applyFont="1" applyFill="1" applyBorder="1" applyAlignment="1">
      <alignment horizontal="left" wrapText="1"/>
    </xf>
    <xf numFmtId="0" fontId="1" fillId="0" borderId="0" xfId="0" applyFont="1" applyAlignment="1"/>
    <xf numFmtId="0" fontId="1" fillId="0" borderId="0" xfId="0" applyFont="1" applyFill="1" applyBorder="1" applyAlignment="1" applyProtection="1"/>
    <xf numFmtId="0" fontId="1" fillId="0" borderId="1" xfId="0" applyFont="1" applyFill="1" applyBorder="1" applyAlignment="1" applyProtection="1"/>
    <xf numFmtId="0" fontId="1" fillId="0" borderId="0" xfId="0" applyFont="1" applyFill="1" applyBorder="1" applyAlignment="1"/>
    <xf numFmtId="0" fontId="1" fillId="0" borderId="1" xfId="0" applyFont="1" applyFill="1" applyBorder="1" applyAlignment="1"/>
    <xf numFmtId="0" fontId="1" fillId="0" borderId="4" xfId="0" applyFont="1" applyFill="1" applyBorder="1" applyAlignment="1" applyProtection="1">
      <alignment horizontal="left" vertical="center"/>
    </xf>
    <xf numFmtId="0" fontId="1" fillId="0" borderId="6" xfId="0" applyFont="1" applyFill="1" applyBorder="1" applyAlignment="1" applyProtection="1">
      <alignment horizontal="left" vertical="center"/>
    </xf>
    <xf numFmtId="0" fontId="1" fillId="0" borderId="8" xfId="0" applyFont="1" applyFill="1" applyBorder="1" applyAlignment="1" applyProtection="1">
      <alignment horizontal="left" vertical="center"/>
    </xf>
    <xf numFmtId="0" fontId="1" fillId="0" borderId="2" xfId="0" applyFont="1" applyFill="1" applyBorder="1" applyAlignment="1" applyProtection="1"/>
    <xf numFmtId="0" fontId="1" fillId="0" borderId="2" xfId="0" applyFont="1" applyFill="1" applyBorder="1" applyAlignment="1"/>
    <xf numFmtId="0" fontId="1" fillId="0" borderId="4" xfId="0" applyFont="1" applyFill="1" applyBorder="1" applyAlignment="1" applyProtection="1">
      <alignment horizontal="left" vertical="center" wrapText="1"/>
    </xf>
    <xf numFmtId="0" fontId="1" fillId="0" borderId="6" xfId="0" applyFont="1" applyFill="1" applyBorder="1" applyAlignment="1" applyProtection="1">
      <alignment horizontal="left" vertical="center" wrapText="1"/>
    </xf>
    <xf numFmtId="0" fontId="1" fillId="0" borderId="8" xfId="0" applyFont="1" applyFill="1" applyBorder="1" applyAlignment="1" applyProtection="1">
      <alignment horizontal="left" vertical="center" wrapText="1"/>
    </xf>
    <xf numFmtId="0" fontId="1" fillId="0" borderId="2" xfId="0" applyFont="1" applyFill="1" applyBorder="1" applyAlignment="1" applyProtection="1">
      <alignment horizontal="left" vertical="center" wrapText="1"/>
    </xf>
    <xf numFmtId="0" fontId="1" fillId="0" borderId="0" xfId="0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 applyProtection="1">
      <alignment horizontal="left" vertical="center" wrapText="1"/>
    </xf>
    <xf numFmtId="0" fontId="1" fillId="0" borderId="0" xfId="0" applyFont="1" applyFill="1" applyAlignment="1" applyProtection="1"/>
    <xf numFmtId="0" fontId="1" fillId="0" borderId="0" xfId="0" applyFont="1" applyFill="1" applyAlignment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Fill="1" applyAlignment="1" applyProtection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Fill="1" applyAlignment="1">
      <alignment horizontal="left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1" xfId="0" applyFont="1" applyFill="1" applyBorder="1" applyAlignment="1" applyProtection="1">
      <alignment horizontal="center" vertical="center"/>
    </xf>
    <xf numFmtId="0" fontId="2" fillId="0" borderId="11" xfId="0" applyFont="1" applyFill="1" applyBorder="1" applyAlignment="1" applyProtection="1"/>
    <xf numFmtId="0" fontId="2" fillId="0" borderId="12" xfId="0" applyFont="1" applyFill="1" applyBorder="1" applyAlignment="1" applyProtection="1">
      <alignment horizontal="center" vertical="center"/>
    </xf>
    <xf numFmtId="0" fontId="2" fillId="0" borderId="12" xfId="0" applyFont="1" applyFill="1" applyBorder="1" applyAlignment="1" applyProtection="1"/>
    <xf numFmtId="0" fontId="2" fillId="0" borderId="13" xfId="0" applyFont="1" applyFill="1" applyBorder="1" applyAlignment="1" applyProtection="1">
      <alignment horizontal="center" vertical="center"/>
    </xf>
    <xf numFmtId="0" fontId="2" fillId="0" borderId="13" xfId="0" applyFont="1" applyFill="1" applyBorder="1" applyAlignment="1" applyProtection="1"/>
    <xf numFmtId="0" fontId="2" fillId="0" borderId="11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horizontal="center" vertical="center" wrapText="1"/>
    </xf>
    <xf numFmtId="0" fontId="2" fillId="0" borderId="13" xfId="0" applyFont="1" applyFill="1" applyBorder="1" applyAlignment="1" applyProtection="1">
      <alignment vertical="center"/>
    </xf>
    <xf numFmtId="0" fontId="2" fillId="0" borderId="0" xfId="0" applyFont="1"/>
    <xf numFmtId="0" fontId="2" fillId="0" borderId="5" xfId="0" applyFont="1" applyBorder="1"/>
    <xf numFmtId="0" fontId="2" fillId="0" borderId="7" xfId="0" applyFont="1" applyBorder="1"/>
    <xf numFmtId="0" fontId="2" fillId="0" borderId="9" xfId="0" applyFont="1" applyBorder="1"/>
    <xf numFmtId="0" fontId="3" fillId="0" borderId="3" xfId="0" applyFont="1" applyBorder="1"/>
    <xf numFmtId="0" fontId="3" fillId="0" borderId="10" xfId="0" applyFont="1" applyBorder="1"/>
    <xf numFmtId="0" fontId="4" fillId="0" borderId="0" xfId="0" applyFont="1" applyBorder="1" applyAlignment="1" applyProtection="1">
      <alignment horizontal="left"/>
    </xf>
    <xf numFmtId="0" fontId="4" fillId="0" borderId="0" xfId="0" applyFont="1" applyBorder="1" applyAlignment="1" applyProtection="1"/>
    <xf numFmtId="0" fontId="4" fillId="0" borderId="0" xfId="0" applyFont="1" applyBorder="1" applyAlignment="1"/>
    <xf numFmtId="0" fontId="4" fillId="0" borderId="0" xfId="0" applyFont="1" applyBorder="1" applyAlignment="1">
      <alignment wrapText="1"/>
    </xf>
    <xf numFmtId="0" fontId="4" fillId="0" borderId="0" xfId="0" applyFont="1" applyBorder="1"/>
    <xf numFmtId="0" fontId="4" fillId="0" borderId="0" xfId="0" applyFont="1" applyBorder="1" applyAlignment="1">
      <alignment horizontal="left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left" wrapText="1"/>
    </xf>
    <xf numFmtId="0" fontId="4" fillId="0" borderId="1" xfId="0" applyFont="1" applyBorder="1" applyAlignment="1" applyProtection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" xfId="0" applyFont="1" applyFill="1" applyBorder="1" applyAlignment="1">
      <alignment horizontal="center" wrapText="1"/>
    </xf>
    <xf numFmtId="0" fontId="5" fillId="0" borderId="0" xfId="0" applyFont="1"/>
    <xf numFmtId="0" fontId="6" fillId="0" borderId="1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0" fontId="4" fillId="0" borderId="8" xfId="0" applyFont="1" applyBorder="1"/>
    <xf numFmtId="0" fontId="4" fillId="0" borderId="1" xfId="0" applyFont="1" applyBorder="1"/>
    <xf numFmtId="6" fontId="4" fillId="0" borderId="1" xfId="0" applyNumberFormat="1" applyFont="1" applyBorder="1"/>
    <xf numFmtId="0" fontId="4" fillId="0" borderId="9" xfId="0" applyFont="1" applyBorder="1"/>
    <xf numFmtId="0" fontId="5" fillId="0" borderId="0" xfId="0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wrapText="1"/>
    </xf>
    <xf numFmtId="2" fontId="5" fillId="0" borderId="0" xfId="0" applyNumberFormat="1" applyFont="1" applyAlignment="1"/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2" fontId="5" fillId="0" borderId="0" xfId="0" applyNumberFormat="1" applyFont="1" applyAlignment="1">
      <alignment horizontal="right"/>
    </xf>
    <xf numFmtId="2" fontId="5" fillId="0" borderId="0" xfId="0" applyNumberFormat="1" applyFont="1" applyAlignment="1">
      <alignment horizontal="right" wrapText="1"/>
    </xf>
    <xf numFmtId="2" fontId="5" fillId="0" borderId="0" xfId="0" applyNumberFormat="1" applyFont="1"/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2" fontId="6" fillId="0" borderId="0" xfId="0" applyNumberFormat="1" applyFont="1" applyAlignment="1">
      <alignment horizontal="center" wrapText="1"/>
    </xf>
    <xf numFmtId="2" fontId="5" fillId="0" borderId="0" xfId="0" applyNumberFormat="1" applyFont="1" applyFill="1" applyAlignment="1"/>
    <xf numFmtId="2" fontId="5" fillId="0" borderId="0" xfId="0" applyNumberFormat="1" applyFont="1" applyFill="1" applyAlignment="1">
      <alignment horizontal="right"/>
    </xf>
    <xf numFmtId="2" fontId="5" fillId="0" borderId="0" xfId="0" applyNumberFormat="1" applyFont="1" applyFill="1" applyAlignment="1">
      <alignment horizontal="right" wrapText="1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wrapText="1"/>
    </xf>
    <xf numFmtId="2" fontId="5" fillId="0" borderId="0" xfId="0" applyNumberFormat="1" applyFont="1" applyFill="1" applyAlignment="1">
      <alignment wrapText="1"/>
    </xf>
    <xf numFmtId="0" fontId="5" fillId="0" borderId="0" xfId="0" applyFont="1" applyFill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2"/>
  <sheetViews>
    <sheetView tabSelected="1" workbookViewId="0">
      <selection activeCell="F4" sqref="F4"/>
    </sheetView>
  </sheetViews>
  <sheetFormatPr defaultRowHeight="15.75"/>
  <cols>
    <col min="1" max="1" width="10.5" style="120" bestFit="1" customWidth="1"/>
    <col min="2" max="2" width="19.125" style="120" bestFit="1" customWidth="1"/>
    <col min="3" max="3" width="14.25" style="120" bestFit="1" customWidth="1"/>
    <col min="4" max="16384" width="9" style="120"/>
  </cols>
  <sheetData>
    <row r="1" spans="1:3">
      <c r="A1" s="124" t="s">
        <v>0</v>
      </c>
      <c r="B1" s="124" t="s">
        <v>1</v>
      </c>
      <c r="C1" s="125" t="s">
        <v>2</v>
      </c>
    </row>
    <row r="2" spans="1:3">
      <c r="A2" s="111" t="s">
        <v>3</v>
      </c>
      <c r="B2" s="112" t="s">
        <v>4</v>
      </c>
      <c r="C2" s="121" t="s">
        <v>79</v>
      </c>
    </row>
    <row r="3" spans="1:3">
      <c r="A3" s="113"/>
      <c r="B3" s="114" t="s">
        <v>5</v>
      </c>
      <c r="C3" s="122" t="s">
        <v>86</v>
      </c>
    </row>
    <row r="4" spans="1:3">
      <c r="A4" s="113"/>
      <c r="B4" s="114" t="s">
        <v>6</v>
      </c>
      <c r="C4" s="122" t="s">
        <v>80</v>
      </c>
    </row>
    <row r="5" spans="1:3">
      <c r="A5" s="113"/>
      <c r="B5" s="114" t="s">
        <v>7</v>
      </c>
      <c r="C5" s="122" t="s">
        <v>81</v>
      </c>
    </row>
    <row r="6" spans="1:3">
      <c r="A6" s="113"/>
      <c r="B6" s="114" t="s">
        <v>8</v>
      </c>
      <c r="C6" s="122" t="s">
        <v>85</v>
      </c>
    </row>
    <row r="7" spans="1:3">
      <c r="A7" s="113"/>
      <c r="B7" s="114" t="s">
        <v>9</v>
      </c>
      <c r="C7" s="122" t="s">
        <v>78</v>
      </c>
    </row>
    <row r="8" spans="1:3">
      <c r="A8" s="113"/>
      <c r="B8" s="114" t="s">
        <v>10</v>
      </c>
      <c r="C8" s="122" t="s">
        <v>82</v>
      </c>
    </row>
    <row r="9" spans="1:3">
      <c r="A9" s="113"/>
      <c r="B9" s="114" t="s">
        <v>11</v>
      </c>
      <c r="C9" s="122" t="s">
        <v>84</v>
      </c>
    </row>
    <row r="10" spans="1:3">
      <c r="A10" s="113"/>
      <c r="B10" s="114" t="s">
        <v>12</v>
      </c>
      <c r="C10" s="122" t="s">
        <v>83</v>
      </c>
    </row>
    <row r="11" spans="1:3">
      <c r="A11" s="113"/>
      <c r="B11" s="114" t="s">
        <v>13</v>
      </c>
      <c r="C11" s="122" t="s">
        <v>91</v>
      </c>
    </row>
    <row r="12" spans="1:3">
      <c r="A12" s="113"/>
      <c r="B12" s="114" t="s">
        <v>14</v>
      </c>
      <c r="C12" s="122" t="s">
        <v>79</v>
      </c>
    </row>
    <row r="13" spans="1:3">
      <c r="A13" s="113"/>
      <c r="B13" s="114" t="s">
        <v>15</v>
      </c>
      <c r="C13" s="122" t="s">
        <v>88</v>
      </c>
    </row>
    <row r="14" spans="1:3">
      <c r="A14" s="113"/>
      <c r="B14" s="114" t="s">
        <v>16</v>
      </c>
      <c r="C14" s="122" t="s">
        <v>89</v>
      </c>
    </row>
    <row r="15" spans="1:3">
      <c r="A15" s="113"/>
      <c r="B15" s="114" t="s">
        <v>17</v>
      </c>
      <c r="C15" s="122" t="s">
        <v>90</v>
      </c>
    </row>
    <row r="16" spans="1:3">
      <c r="A16" s="115"/>
      <c r="B16" s="116" t="s">
        <v>18</v>
      </c>
      <c r="C16" s="123" t="s">
        <v>87</v>
      </c>
    </row>
    <row r="17" spans="1:3">
      <c r="A17" s="111" t="s">
        <v>19</v>
      </c>
      <c r="B17" s="112" t="s">
        <v>20</v>
      </c>
      <c r="C17" s="121" t="s">
        <v>95</v>
      </c>
    </row>
    <row r="18" spans="1:3">
      <c r="A18" s="113"/>
      <c r="B18" s="114" t="s">
        <v>21</v>
      </c>
      <c r="C18" s="122" t="s">
        <v>94</v>
      </c>
    </row>
    <row r="19" spans="1:3">
      <c r="A19" s="113"/>
      <c r="B19" s="114" t="s">
        <v>22</v>
      </c>
      <c r="C19" s="122" t="s">
        <v>96</v>
      </c>
    </row>
    <row r="20" spans="1:3">
      <c r="A20" s="113"/>
      <c r="B20" s="114" t="s">
        <v>23</v>
      </c>
      <c r="C20" s="122" t="s">
        <v>104</v>
      </c>
    </row>
    <row r="21" spans="1:3">
      <c r="A21" s="113"/>
      <c r="B21" s="114" t="s">
        <v>24</v>
      </c>
      <c r="C21" s="122" t="s">
        <v>93</v>
      </c>
    </row>
    <row r="22" spans="1:3">
      <c r="A22" s="113"/>
      <c r="B22" s="114" t="s">
        <v>25</v>
      </c>
      <c r="C22" s="122" t="s">
        <v>99</v>
      </c>
    </row>
    <row r="23" spans="1:3">
      <c r="A23" s="113"/>
      <c r="B23" s="114" t="s">
        <v>26</v>
      </c>
      <c r="C23" s="122" t="s">
        <v>109</v>
      </c>
    </row>
    <row r="24" spans="1:3">
      <c r="A24" s="113"/>
      <c r="B24" s="114" t="s">
        <v>27</v>
      </c>
      <c r="C24" s="122" t="s">
        <v>92</v>
      </c>
    </row>
    <row r="25" spans="1:3">
      <c r="A25" s="113"/>
      <c r="B25" s="114" t="s">
        <v>28</v>
      </c>
      <c r="C25" s="122" t="s">
        <v>98</v>
      </c>
    </row>
    <row r="26" spans="1:3">
      <c r="A26" s="113"/>
      <c r="B26" s="114" t="s">
        <v>29</v>
      </c>
      <c r="C26" s="122" t="s">
        <v>107</v>
      </c>
    </row>
    <row r="27" spans="1:3">
      <c r="A27" s="113"/>
      <c r="B27" s="114" t="s">
        <v>30</v>
      </c>
      <c r="C27" s="122" t="s">
        <v>105</v>
      </c>
    </row>
    <row r="28" spans="1:3">
      <c r="A28" s="113"/>
      <c r="B28" s="114" t="s">
        <v>31</v>
      </c>
      <c r="C28" s="122" t="s">
        <v>108</v>
      </c>
    </row>
    <row r="29" spans="1:3">
      <c r="A29" s="113"/>
      <c r="B29" s="114" t="s">
        <v>32</v>
      </c>
      <c r="C29" s="122" t="s">
        <v>102</v>
      </c>
    </row>
    <row r="30" spans="1:3">
      <c r="A30" s="113"/>
      <c r="B30" s="114" t="s">
        <v>33</v>
      </c>
      <c r="C30" s="122" t="s">
        <v>100</v>
      </c>
    </row>
    <row r="31" spans="1:3">
      <c r="A31" s="113"/>
      <c r="B31" s="114" t="s">
        <v>34</v>
      </c>
      <c r="C31" s="122" t="s">
        <v>101</v>
      </c>
    </row>
    <row r="32" spans="1:3">
      <c r="A32" s="113"/>
      <c r="B32" s="114" t="s">
        <v>35</v>
      </c>
      <c r="C32" s="122" t="s">
        <v>110</v>
      </c>
    </row>
    <row r="33" spans="1:3">
      <c r="A33" s="113"/>
      <c r="B33" s="114" t="s">
        <v>36</v>
      </c>
      <c r="C33" s="122" t="s">
        <v>97</v>
      </c>
    </row>
    <row r="34" spans="1:3">
      <c r="A34" s="113"/>
      <c r="B34" s="114" t="s">
        <v>37</v>
      </c>
      <c r="C34" s="122" t="s">
        <v>106</v>
      </c>
    </row>
    <row r="35" spans="1:3">
      <c r="A35" s="115"/>
      <c r="B35" s="116" t="s">
        <v>38</v>
      </c>
      <c r="C35" s="123" t="s">
        <v>103</v>
      </c>
    </row>
    <row r="36" spans="1:3">
      <c r="A36" s="111" t="s">
        <v>39</v>
      </c>
      <c r="B36" s="112" t="s">
        <v>40</v>
      </c>
      <c r="C36" s="121" t="s">
        <v>67</v>
      </c>
    </row>
    <row r="37" spans="1:3">
      <c r="A37" s="113"/>
      <c r="B37" s="114" t="s">
        <v>41</v>
      </c>
      <c r="C37" s="122" t="s">
        <v>64</v>
      </c>
    </row>
    <row r="38" spans="1:3">
      <c r="A38" s="113"/>
      <c r="B38" s="114" t="s">
        <v>42</v>
      </c>
      <c r="C38" s="122" t="s">
        <v>66</v>
      </c>
    </row>
    <row r="39" spans="1:3">
      <c r="A39" s="115"/>
      <c r="B39" s="116" t="s">
        <v>43</v>
      </c>
      <c r="C39" s="123" t="s">
        <v>65</v>
      </c>
    </row>
    <row r="40" spans="1:3" ht="14.25" customHeight="1">
      <c r="A40" s="117" t="s">
        <v>46</v>
      </c>
      <c r="B40" s="112" t="s">
        <v>47</v>
      </c>
      <c r="C40" s="121" t="s">
        <v>62</v>
      </c>
    </row>
    <row r="41" spans="1:3">
      <c r="A41" s="118"/>
      <c r="B41" s="116" t="s">
        <v>48</v>
      </c>
      <c r="C41" s="123" t="s">
        <v>63</v>
      </c>
    </row>
    <row r="42" spans="1:3">
      <c r="A42" s="111" t="s">
        <v>49</v>
      </c>
      <c r="B42" s="112" t="s">
        <v>50</v>
      </c>
      <c r="C42" s="121" t="s">
        <v>69</v>
      </c>
    </row>
    <row r="43" spans="1:3">
      <c r="A43" s="115"/>
      <c r="B43" s="116" t="s">
        <v>51</v>
      </c>
      <c r="C43" s="123" t="s">
        <v>68</v>
      </c>
    </row>
    <row r="44" spans="1:3">
      <c r="A44" s="111" t="s">
        <v>52</v>
      </c>
      <c r="B44" s="112" t="s">
        <v>53</v>
      </c>
      <c r="C44" s="121" t="s">
        <v>77</v>
      </c>
    </row>
    <row r="45" spans="1:3">
      <c r="A45" s="113"/>
      <c r="B45" s="114" t="s">
        <v>54</v>
      </c>
      <c r="C45" s="122" t="s">
        <v>75</v>
      </c>
    </row>
    <row r="46" spans="1:3">
      <c r="A46" s="113"/>
      <c r="B46" s="114" t="s">
        <v>55</v>
      </c>
      <c r="C46" s="122" t="s">
        <v>76</v>
      </c>
    </row>
    <row r="47" spans="1:3">
      <c r="A47" s="113"/>
      <c r="B47" s="114" t="s">
        <v>56</v>
      </c>
      <c r="C47" s="122" t="s">
        <v>74</v>
      </c>
    </row>
    <row r="48" spans="1:3">
      <c r="A48" s="113"/>
      <c r="B48" s="114" t="s">
        <v>57</v>
      </c>
      <c r="C48" s="122" t="s">
        <v>70</v>
      </c>
    </row>
    <row r="49" spans="1:3">
      <c r="A49" s="113"/>
      <c r="B49" s="114" t="s">
        <v>58</v>
      </c>
      <c r="C49" s="122" t="s">
        <v>71</v>
      </c>
    </row>
    <row r="50" spans="1:3">
      <c r="A50" s="113"/>
      <c r="B50" s="114" t="s">
        <v>59</v>
      </c>
      <c r="C50" s="122" t="s">
        <v>73</v>
      </c>
    </row>
    <row r="51" spans="1:3">
      <c r="A51" s="115"/>
      <c r="B51" s="116" t="s">
        <v>60</v>
      </c>
      <c r="C51" s="123" t="s">
        <v>72</v>
      </c>
    </row>
    <row r="52" spans="1:3">
      <c r="A52" s="119" t="s">
        <v>44</v>
      </c>
      <c r="B52" s="116" t="s">
        <v>45</v>
      </c>
      <c r="C52" s="123" t="s">
        <v>61</v>
      </c>
    </row>
  </sheetData>
  <mergeCells count="6">
    <mergeCell ref="A2:A16"/>
    <mergeCell ref="A17:A35"/>
    <mergeCell ref="A36:A39"/>
    <mergeCell ref="A42:A43"/>
    <mergeCell ref="A44:A51"/>
    <mergeCell ref="A40:A4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3"/>
  <sheetViews>
    <sheetView topLeftCell="D1" workbookViewId="0">
      <selection sqref="A1:Z2"/>
    </sheetView>
  </sheetViews>
  <sheetFormatPr defaultRowHeight="14.25"/>
  <cols>
    <col min="1" max="1" width="5.75" bestFit="1" customWidth="1"/>
    <col min="2" max="2" width="9.375" bestFit="1" customWidth="1"/>
    <col min="3" max="3" width="15" bestFit="1" customWidth="1"/>
    <col min="4" max="4" width="7.875" bestFit="1" customWidth="1"/>
    <col min="5" max="5" width="12" customWidth="1"/>
    <col min="6" max="6" width="6.5" bestFit="1" customWidth="1"/>
    <col min="7" max="7" width="3.625" bestFit="1" customWidth="1"/>
    <col min="8" max="8" width="3.5" bestFit="1" customWidth="1"/>
    <col min="9" max="9" width="7.75" bestFit="1" customWidth="1"/>
    <col min="10" max="10" width="7.125" bestFit="1" customWidth="1"/>
    <col min="11" max="11" width="4.375" bestFit="1" customWidth="1"/>
    <col min="12" max="12" width="8.375" bestFit="1" customWidth="1"/>
    <col min="13" max="13" width="5" bestFit="1" customWidth="1"/>
    <col min="14" max="14" width="5.625" bestFit="1" customWidth="1"/>
    <col min="15" max="15" width="6.75" bestFit="1" customWidth="1"/>
    <col min="16" max="16" width="5.875" bestFit="1" customWidth="1"/>
    <col min="17" max="18" width="8.875" bestFit="1" customWidth="1"/>
    <col min="19" max="19" width="3.75" bestFit="1" customWidth="1"/>
    <col min="20" max="20" width="7.5" bestFit="1" customWidth="1"/>
    <col min="21" max="21" width="5" bestFit="1" customWidth="1"/>
    <col min="22" max="22" width="7.25" bestFit="1" customWidth="1"/>
    <col min="23" max="23" width="6.75" bestFit="1" customWidth="1"/>
    <col min="24" max="24" width="5.5" bestFit="1" customWidth="1"/>
    <col min="25" max="25" width="7" customWidth="1"/>
    <col min="26" max="26" width="75.5" bestFit="1" customWidth="1"/>
  </cols>
  <sheetData>
    <row r="1" spans="1:26">
      <c r="A1" s="126"/>
      <c r="B1" s="126"/>
      <c r="C1" s="127"/>
      <c r="D1" s="128"/>
      <c r="E1" s="129"/>
      <c r="F1" s="128"/>
      <c r="G1" s="130"/>
      <c r="H1" s="130"/>
      <c r="I1" s="130"/>
      <c r="J1" s="131"/>
      <c r="K1" s="132" t="s">
        <v>111</v>
      </c>
      <c r="L1" s="133"/>
      <c r="M1" s="133"/>
      <c r="N1" s="134"/>
      <c r="O1" s="132" t="s">
        <v>112</v>
      </c>
      <c r="P1" s="133"/>
      <c r="Q1" s="133"/>
      <c r="R1" s="133"/>
      <c r="S1" s="134"/>
      <c r="T1" s="132" t="s">
        <v>113</v>
      </c>
      <c r="U1" s="133"/>
      <c r="V1" s="133"/>
      <c r="W1" s="134"/>
      <c r="X1" s="130"/>
      <c r="Y1" s="129"/>
      <c r="Z1" s="135"/>
    </row>
    <row r="2" spans="1:26" ht="51">
      <c r="A2" s="136" t="s">
        <v>114</v>
      </c>
      <c r="B2" s="136" t="s">
        <v>0</v>
      </c>
      <c r="C2" s="136" t="s">
        <v>115</v>
      </c>
      <c r="D2" s="137" t="s">
        <v>116</v>
      </c>
      <c r="E2" s="137" t="s">
        <v>117</v>
      </c>
      <c r="F2" s="137" t="s">
        <v>118</v>
      </c>
      <c r="G2" s="137" t="s">
        <v>119</v>
      </c>
      <c r="H2" s="137" t="s">
        <v>120</v>
      </c>
      <c r="I2" s="137" t="s">
        <v>121</v>
      </c>
      <c r="J2" s="137" t="s">
        <v>122</v>
      </c>
      <c r="K2" s="138" t="s">
        <v>123</v>
      </c>
      <c r="L2" s="139" t="s">
        <v>124</v>
      </c>
      <c r="M2" s="139" t="s">
        <v>125</v>
      </c>
      <c r="N2" s="140" t="s">
        <v>126</v>
      </c>
      <c r="O2" s="138" t="s">
        <v>127</v>
      </c>
      <c r="P2" s="139" t="s">
        <v>126</v>
      </c>
      <c r="Q2" s="139" t="s">
        <v>128</v>
      </c>
      <c r="R2" s="139" t="s">
        <v>129</v>
      </c>
      <c r="S2" s="140" t="s">
        <v>130</v>
      </c>
      <c r="T2" s="138" t="s">
        <v>131</v>
      </c>
      <c r="U2" s="139" t="s">
        <v>132</v>
      </c>
      <c r="V2" s="139" t="s">
        <v>133</v>
      </c>
      <c r="W2" s="140" t="s">
        <v>127</v>
      </c>
      <c r="X2" s="139" t="s">
        <v>134</v>
      </c>
      <c r="Y2" s="137" t="s">
        <v>135</v>
      </c>
      <c r="Z2" s="141" t="s">
        <v>136</v>
      </c>
    </row>
    <row r="3" spans="1:26" ht="14.25" customHeight="1">
      <c r="A3" s="97" t="s">
        <v>3</v>
      </c>
      <c r="B3" s="97" t="s">
        <v>3</v>
      </c>
      <c r="C3" s="91" t="s">
        <v>4</v>
      </c>
      <c r="D3" s="92" t="s">
        <v>137</v>
      </c>
      <c r="E3" s="93" t="s">
        <v>138</v>
      </c>
      <c r="F3" s="75" t="s">
        <v>139</v>
      </c>
      <c r="G3" s="9">
        <v>1</v>
      </c>
      <c r="H3" s="9">
        <v>8</v>
      </c>
      <c r="I3" s="9" t="s">
        <v>86</v>
      </c>
      <c r="J3" s="10" t="s">
        <v>80</v>
      </c>
      <c r="K3" s="11" t="s">
        <v>140</v>
      </c>
      <c r="L3" s="6" t="s">
        <v>91</v>
      </c>
      <c r="M3" s="6" t="s">
        <v>80</v>
      </c>
      <c r="N3" s="12" t="s">
        <v>101</v>
      </c>
      <c r="O3" s="11" t="s">
        <v>81</v>
      </c>
      <c r="P3" s="6" t="s">
        <v>141</v>
      </c>
      <c r="Q3" s="6" t="s">
        <v>80</v>
      </c>
      <c r="R3" s="6" t="s">
        <v>89</v>
      </c>
      <c r="S3" s="12" t="s">
        <v>87</v>
      </c>
      <c r="T3" s="11" t="s">
        <v>142</v>
      </c>
      <c r="U3" s="6" t="s">
        <v>143</v>
      </c>
      <c r="V3" s="6" t="s">
        <v>143</v>
      </c>
      <c r="W3" s="12" t="s">
        <v>81</v>
      </c>
      <c r="X3" s="9" t="s">
        <v>144</v>
      </c>
      <c r="Y3" s="13" t="s">
        <v>145</v>
      </c>
      <c r="Z3" s="68" t="s">
        <v>146</v>
      </c>
    </row>
    <row r="4" spans="1:26">
      <c r="A4" s="97"/>
      <c r="B4" s="97"/>
      <c r="C4" s="91"/>
      <c r="D4" s="92"/>
      <c r="E4" s="93"/>
      <c r="F4" s="75"/>
      <c r="G4" s="9">
        <v>2</v>
      </c>
      <c r="H4" s="9">
        <v>5</v>
      </c>
      <c r="I4" s="9" t="s">
        <v>86</v>
      </c>
      <c r="J4" s="10" t="s">
        <v>80</v>
      </c>
      <c r="K4" s="11" t="s">
        <v>140</v>
      </c>
      <c r="L4" s="6" t="s">
        <v>91</v>
      </c>
      <c r="M4" s="6" t="s">
        <v>80</v>
      </c>
      <c r="N4" s="12" t="s">
        <v>101</v>
      </c>
      <c r="O4" s="11" t="s">
        <v>81</v>
      </c>
      <c r="P4" s="6" t="s">
        <v>141</v>
      </c>
      <c r="Q4" s="6" t="s">
        <v>80</v>
      </c>
      <c r="R4" s="6" t="s">
        <v>147</v>
      </c>
      <c r="S4" s="12" t="s">
        <v>79</v>
      </c>
      <c r="T4" s="11" t="s">
        <v>148</v>
      </c>
      <c r="U4" s="6" t="s">
        <v>143</v>
      </c>
      <c r="V4" s="6" t="s">
        <v>143</v>
      </c>
      <c r="W4" s="12" t="s">
        <v>81</v>
      </c>
      <c r="X4" s="9" t="s">
        <v>149</v>
      </c>
      <c r="Y4" s="13" t="s">
        <v>145</v>
      </c>
      <c r="Z4" s="68"/>
    </row>
    <row r="5" spans="1:26" ht="51" customHeight="1">
      <c r="A5" s="97"/>
      <c r="B5" s="97"/>
      <c r="C5" s="1" t="s">
        <v>5</v>
      </c>
      <c r="D5" s="14" t="s">
        <v>137</v>
      </c>
      <c r="E5" s="15" t="s">
        <v>150</v>
      </c>
      <c r="F5" s="16" t="s">
        <v>139</v>
      </c>
      <c r="G5" s="9">
        <v>1</v>
      </c>
      <c r="H5" s="9">
        <v>3</v>
      </c>
      <c r="I5" s="9" t="s">
        <v>86</v>
      </c>
      <c r="J5" s="10" t="s">
        <v>151</v>
      </c>
      <c r="K5" s="11" t="s">
        <v>152</v>
      </c>
      <c r="L5" s="6" t="s">
        <v>91</v>
      </c>
      <c r="M5" s="6" t="s">
        <v>153</v>
      </c>
      <c r="N5" s="12" t="s">
        <v>154</v>
      </c>
      <c r="O5" s="11" t="s">
        <v>81</v>
      </c>
      <c r="P5" s="6" t="s">
        <v>155</v>
      </c>
      <c r="Q5" s="6" t="s">
        <v>80</v>
      </c>
      <c r="R5" s="6" t="s">
        <v>89</v>
      </c>
      <c r="S5" s="12" t="s">
        <v>79</v>
      </c>
      <c r="T5" s="11" t="s">
        <v>148</v>
      </c>
      <c r="U5" s="6" t="s">
        <v>156</v>
      </c>
      <c r="V5" s="6" t="s">
        <v>143</v>
      </c>
      <c r="W5" s="12" t="s">
        <v>81</v>
      </c>
      <c r="X5" s="9" t="s">
        <v>78</v>
      </c>
      <c r="Y5" s="17" t="s">
        <v>157</v>
      </c>
      <c r="Z5" s="8"/>
    </row>
    <row r="6" spans="1:26">
      <c r="A6" s="97"/>
      <c r="B6" s="97"/>
      <c r="C6" s="91" t="s">
        <v>6</v>
      </c>
      <c r="D6" s="92" t="s">
        <v>137</v>
      </c>
      <c r="E6" s="94" t="s">
        <v>158</v>
      </c>
      <c r="F6" s="75" t="s">
        <v>159</v>
      </c>
      <c r="G6" s="9">
        <v>1</v>
      </c>
      <c r="H6" s="9">
        <v>8</v>
      </c>
      <c r="I6" s="95" t="s">
        <v>86</v>
      </c>
      <c r="J6" s="96" t="s">
        <v>151</v>
      </c>
      <c r="K6" s="11" t="s">
        <v>152</v>
      </c>
      <c r="L6" s="6" t="s">
        <v>91</v>
      </c>
      <c r="M6" s="6" t="s">
        <v>153</v>
      </c>
      <c r="N6" s="12" t="s">
        <v>160</v>
      </c>
      <c r="O6" s="11" t="s">
        <v>81</v>
      </c>
      <c r="P6" s="6" t="s">
        <v>161</v>
      </c>
      <c r="Q6" s="6" t="s">
        <v>162</v>
      </c>
      <c r="R6" s="6" t="s">
        <v>89</v>
      </c>
      <c r="S6" s="12" t="s">
        <v>92</v>
      </c>
      <c r="T6" s="11" t="s">
        <v>163</v>
      </c>
      <c r="U6" s="6" t="s">
        <v>143</v>
      </c>
      <c r="V6" s="6" t="s">
        <v>143</v>
      </c>
      <c r="W6" s="12" t="s">
        <v>81</v>
      </c>
      <c r="X6" s="9" t="s">
        <v>164</v>
      </c>
      <c r="Y6" s="13" t="s">
        <v>165</v>
      </c>
      <c r="Z6" s="8"/>
    </row>
    <row r="7" spans="1:26">
      <c r="A7" s="97"/>
      <c r="B7" s="97"/>
      <c r="C7" s="91"/>
      <c r="D7" s="92"/>
      <c r="E7" s="94"/>
      <c r="F7" s="75"/>
      <c r="G7" s="9">
        <v>2</v>
      </c>
      <c r="H7" s="9">
        <v>8</v>
      </c>
      <c r="I7" s="95"/>
      <c r="J7" s="96"/>
      <c r="K7" s="11" t="s">
        <v>152</v>
      </c>
      <c r="L7" s="6" t="s">
        <v>91</v>
      </c>
      <c r="M7" s="6" t="s">
        <v>153</v>
      </c>
      <c r="N7" s="12" t="s">
        <v>160</v>
      </c>
      <c r="O7" s="11" t="s">
        <v>91</v>
      </c>
      <c r="P7" s="6" t="s">
        <v>161</v>
      </c>
      <c r="Q7" s="6" t="s">
        <v>166</v>
      </c>
      <c r="R7" s="6" t="s">
        <v>89</v>
      </c>
      <c r="S7" s="12" t="s">
        <v>87</v>
      </c>
      <c r="T7" s="11" t="s">
        <v>163</v>
      </c>
      <c r="U7" s="6" t="s">
        <v>156</v>
      </c>
      <c r="V7" s="6" t="s">
        <v>143</v>
      </c>
      <c r="W7" s="12" t="s">
        <v>81</v>
      </c>
      <c r="X7" s="9" t="s">
        <v>167</v>
      </c>
      <c r="Y7" s="13" t="s">
        <v>165</v>
      </c>
      <c r="Z7" s="8"/>
    </row>
    <row r="8" spans="1:26">
      <c r="A8" s="97"/>
      <c r="B8" s="97"/>
      <c r="C8" s="91"/>
      <c r="D8" s="92"/>
      <c r="E8" s="94"/>
      <c r="F8" s="75"/>
      <c r="G8" s="9">
        <v>3</v>
      </c>
      <c r="H8" s="9">
        <v>1</v>
      </c>
      <c r="I8" s="95"/>
      <c r="J8" s="96"/>
      <c r="K8" s="11" t="s">
        <v>152</v>
      </c>
      <c r="L8" s="6" t="s">
        <v>91</v>
      </c>
      <c r="M8" s="6" t="s">
        <v>153</v>
      </c>
      <c r="N8" s="12" t="s">
        <v>160</v>
      </c>
      <c r="O8" s="11" t="s">
        <v>91</v>
      </c>
      <c r="P8" s="6" t="s">
        <v>161</v>
      </c>
      <c r="Q8" s="6" t="s">
        <v>80</v>
      </c>
      <c r="R8" s="6" t="s">
        <v>154</v>
      </c>
      <c r="S8" s="12" t="s">
        <v>87</v>
      </c>
      <c r="T8" s="11" t="s">
        <v>148</v>
      </c>
      <c r="U8" s="6" t="s">
        <v>143</v>
      </c>
      <c r="V8" s="6" t="s">
        <v>143</v>
      </c>
      <c r="W8" s="12" t="s">
        <v>81</v>
      </c>
      <c r="X8" s="9" t="s">
        <v>167</v>
      </c>
      <c r="Y8" s="13" t="s">
        <v>165</v>
      </c>
      <c r="Z8" s="8"/>
    </row>
    <row r="9" spans="1:26">
      <c r="A9" s="97"/>
      <c r="B9" s="97"/>
      <c r="C9" s="91"/>
      <c r="D9" s="92"/>
      <c r="E9" s="94"/>
      <c r="F9" s="75"/>
      <c r="G9" s="9">
        <v>4</v>
      </c>
      <c r="H9" s="9">
        <v>1</v>
      </c>
      <c r="I9" s="95"/>
      <c r="J9" s="96"/>
      <c r="K9" s="11" t="s">
        <v>152</v>
      </c>
      <c r="L9" s="6" t="s">
        <v>91</v>
      </c>
      <c r="M9" s="6" t="s">
        <v>153</v>
      </c>
      <c r="N9" s="12" t="s">
        <v>160</v>
      </c>
      <c r="O9" s="11" t="s">
        <v>91</v>
      </c>
      <c r="P9" s="6" t="s">
        <v>161</v>
      </c>
      <c r="Q9" s="6" t="s">
        <v>162</v>
      </c>
      <c r="R9" s="6" t="s">
        <v>89</v>
      </c>
      <c r="S9" s="12" t="s">
        <v>87</v>
      </c>
      <c r="T9" s="11" t="s">
        <v>163</v>
      </c>
      <c r="U9" s="6" t="s">
        <v>156</v>
      </c>
      <c r="V9" s="6" t="s">
        <v>143</v>
      </c>
      <c r="W9" s="12" t="s">
        <v>81</v>
      </c>
      <c r="X9" s="9" t="s">
        <v>164</v>
      </c>
      <c r="Y9" s="13" t="s">
        <v>165</v>
      </c>
      <c r="Z9" s="8"/>
    </row>
    <row r="10" spans="1:26" ht="14.25" customHeight="1">
      <c r="A10" s="97"/>
      <c r="B10" s="97"/>
      <c r="C10" s="91" t="s">
        <v>7</v>
      </c>
      <c r="D10" s="92" t="s">
        <v>137</v>
      </c>
      <c r="E10" s="93" t="s">
        <v>168</v>
      </c>
      <c r="F10" s="75" t="s">
        <v>169</v>
      </c>
      <c r="G10" s="9">
        <v>1</v>
      </c>
      <c r="H10" s="9">
        <v>1</v>
      </c>
      <c r="I10" s="9" t="s">
        <v>86</v>
      </c>
      <c r="J10" s="10" t="s">
        <v>80</v>
      </c>
      <c r="K10" s="11" t="s">
        <v>140</v>
      </c>
      <c r="L10" s="6" t="s">
        <v>91</v>
      </c>
      <c r="M10" s="6" t="s">
        <v>170</v>
      </c>
      <c r="N10" s="12" t="s">
        <v>160</v>
      </c>
      <c r="O10" s="11" t="s">
        <v>91</v>
      </c>
      <c r="P10" s="6" t="s">
        <v>161</v>
      </c>
      <c r="Q10" s="6" t="s">
        <v>162</v>
      </c>
      <c r="R10" s="6" t="s">
        <v>89</v>
      </c>
      <c r="S10" s="12" t="s">
        <v>87</v>
      </c>
      <c r="T10" s="11" t="s">
        <v>163</v>
      </c>
      <c r="U10" s="6" t="s">
        <v>143</v>
      </c>
      <c r="V10" s="6" t="s">
        <v>143</v>
      </c>
      <c r="W10" s="12" t="s">
        <v>81</v>
      </c>
      <c r="X10" s="9" t="s">
        <v>164</v>
      </c>
      <c r="Y10" s="17" t="s">
        <v>171</v>
      </c>
      <c r="Z10" s="8"/>
    </row>
    <row r="11" spans="1:26">
      <c r="A11" s="97"/>
      <c r="B11" s="97"/>
      <c r="C11" s="91"/>
      <c r="D11" s="92"/>
      <c r="E11" s="93"/>
      <c r="F11" s="75"/>
      <c r="G11" s="9">
        <v>2</v>
      </c>
      <c r="H11" s="9">
        <v>1</v>
      </c>
      <c r="I11" s="9" t="s">
        <v>86</v>
      </c>
      <c r="J11" s="10" t="s">
        <v>80</v>
      </c>
      <c r="K11" s="11" t="s">
        <v>140</v>
      </c>
      <c r="L11" s="6" t="s">
        <v>91</v>
      </c>
      <c r="M11" s="6" t="s">
        <v>170</v>
      </c>
      <c r="N11" s="12" t="s">
        <v>160</v>
      </c>
      <c r="O11" s="11" t="s">
        <v>91</v>
      </c>
      <c r="P11" s="6" t="s">
        <v>161</v>
      </c>
      <c r="Q11" s="6" t="s">
        <v>166</v>
      </c>
      <c r="R11" s="6" t="s">
        <v>89</v>
      </c>
      <c r="S11" s="12" t="s">
        <v>92</v>
      </c>
      <c r="T11" s="11" t="s">
        <v>163</v>
      </c>
      <c r="U11" s="6" t="s">
        <v>143</v>
      </c>
      <c r="V11" s="6" t="s">
        <v>143</v>
      </c>
      <c r="W11" s="12" t="s">
        <v>81</v>
      </c>
      <c r="X11" s="9" t="s">
        <v>164</v>
      </c>
      <c r="Y11" s="17" t="s">
        <v>171</v>
      </c>
      <c r="Z11" s="8"/>
    </row>
    <row r="12" spans="1:26">
      <c r="A12" s="97"/>
      <c r="B12" s="97"/>
      <c r="C12" s="91"/>
      <c r="D12" s="92"/>
      <c r="E12" s="93"/>
      <c r="F12" s="75"/>
      <c r="G12" s="9">
        <v>3</v>
      </c>
      <c r="H12" s="9">
        <v>1</v>
      </c>
      <c r="I12" s="9" t="s">
        <v>86</v>
      </c>
      <c r="J12" s="10" t="s">
        <v>80</v>
      </c>
      <c r="K12" s="11" t="s">
        <v>140</v>
      </c>
      <c r="L12" s="6" t="s">
        <v>91</v>
      </c>
      <c r="M12" s="6" t="s">
        <v>170</v>
      </c>
      <c r="N12" s="12" t="s">
        <v>160</v>
      </c>
      <c r="O12" s="11" t="s">
        <v>91</v>
      </c>
      <c r="P12" s="6" t="s">
        <v>161</v>
      </c>
      <c r="Q12" s="6" t="s">
        <v>166</v>
      </c>
      <c r="R12" s="6" t="s">
        <v>89</v>
      </c>
      <c r="S12" s="12" t="s">
        <v>92</v>
      </c>
      <c r="T12" s="11" t="s">
        <v>163</v>
      </c>
      <c r="U12" s="6" t="s">
        <v>143</v>
      </c>
      <c r="V12" s="6" t="s">
        <v>143</v>
      </c>
      <c r="W12" s="12" t="s">
        <v>81</v>
      </c>
      <c r="X12" s="9" t="s">
        <v>164</v>
      </c>
      <c r="Y12" s="17" t="s">
        <v>171</v>
      </c>
      <c r="Z12" s="8"/>
    </row>
    <row r="13" spans="1:26" ht="127.5" customHeight="1">
      <c r="A13" s="97"/>
      <c r="B13" s="97"/>
      <c r="C13" s="1" t="s">
        <v>8</v>
      </c>
      <c r="D13" s="18" t="s">
        <v>172</v>
      </c>
      <c r="E13" s="17" t="s">
        <v>173</v>
      </c>
      <c r="F13" s="16" t="s">
        <v>139</v>
      </c>
      <c r="G13" s="9">
        <v>1</v>
      </c>
      <c r="H13" s="9" t="s">
        <v>174</v>
      </c>
      <c r="I13" s="9" t="s">
        <v>86</v>
      </c>
      <c r="J13" s="10" t="s">
        <v>80</v>
      </c>
      <c r="K13" s="11" t="s">
        <v>140</v>
      </c>
      <c r="L13" s="6" t="s">
        <v>91</v>
      </c>
      <c r="M13" s="6" t="s">
        <v>162</v>
      </c>
      <c r="N13" s="12" t="s">
        <v>160</v>
      </c>
      <c r="O13" s="11" t="s">
        <v>91</v>
      </c>
      <c r="P13" s="6" t="s">
        <v>175</v>
      </c>
      <c r="Q13" s="6" t="s">
        <v>176</v>
      </c>
      <c r="R13" s="6" t="s">
        <v>154</v>
      </c>
      <c r="S13" s="12" t="s">
        <v>79</v>
      </c>
      <c r="T13" s="11" t="s">
        <v>148</v>
      </c>
      <c r="U13" s="6" t="s">
        <v>156</v>
      </c>
      <c r="V13" s="6" t="s">
        <v>143</v>
      </c>
      <c r="W13" s="12" t="s">
        <v>81</v>
      </c>
      <c r="X13" s="9" t="s">
        <v>149</v>
      </c>
      <c r="Y13" s="13" t="s">
        <v>177</v>
      </c>
      <c r="Z13" s="8" t="s">
        <v>178</v>
      </c>
    </row>
    <row r="14" spans="1:26" ht="14.25" customHeight="1">
      <c r="A14" s="97"/>
      <c r="B14" s="97"/>
      <c r="C14" s="91" t="s">
        <v>9</v>
      </c>
      <c r="D14" s="18" t="s">
        <v>172</v>
      </c>
      <c r="E14" s="94" t="s">
        <v>179</v>
      </c>
      <c r="F14" s="75" t="s">
        <v>139</v>
      </c>
      <c r="G14" s="9">
        <v>1</v>
      </c>
      <c r="H14" s="9">
        <v>8</v>
      </c>
      <c r="I14" s="9" t="s">
        <v>86</v>
      </c>
      <c r="J14" s="10" t="s">
        <v>80</v>
      </c>
      <c r="K14" s="11" t="s">
        <v>140</v>
      </c>
      <c r="L14" s="6" t="s">
        <v>180</v>
      </c>
      <c r="M14" s="6" t="s">
        <v>181</v>
      </c>
      <c r="N14" s="12" t="s">
        <v>160</v>
      </c>
      <c r="O14" s="11" t="s">
        <v>78</v>
      </c>
      <c r="P14" s="6" t="s">
        <v>175</v>
      </c>
      <c r="Q14" s="6" t="s">
        <v>80</v>
      </c>
      <c r="R14" s="6" t="s">
        <v>89</v>
      </c>
      <c r="S14" s="12" t="s">
        <v>79</v>
      </c>
      <c r="T14" s="11" t="s">
        <v>142</v>
      </c>
      <c r="U14" s="6" t="s">
        <v>182</v>
      </c>
      <c r="V14" s="6" t="s">
        <v>143</v>
      </c>
      <c r="W14" s="12" t="s">
        <v>81</v>
      </c>
      <c r="X14" s="9" t="s">
        <v>183</v>
      </c>
      <c r="Y14" s="13" t="s">
        <v>184</v>
      </c>
      <c r="Z14" s="68" t="s">
        <v>185</v>
      </c>
    </row>
    <row r="15" spans="1:26">
      <c r="A15" s="97"/>
      <c r="B15" s="97"/>
      <c r="C15" s="91"/>
      <c r="D15" s="18" t="s">
        <v>172</v>
      </c>
      <c r="E15" s="94"/>
      <c r="F15" s="75"/>
      <c r="G15" s="9">
        <v>2</v>
      </c>
      <c r="H15" s="9">
        <v>8</v>
      </c>
      <c r="I15" s="9" t="s">
        <v>86</v>
      </c>
      <c r="J15" s="10" t="s">
        <v>80</v>
      </c>
      <c r="K15" s="11" t="s">
        <v>140</v>
      </c>
      <c r="L15" s="6" t="s">
        <v>180</v>
      </c>
      <c r="M15" s="6" t="s">
        <v>181</v>
      </c>
      <c r="N15" s="12" t="s">
        <v>160</v>
      </c>
      <c r="O15" s="11" t="s">
        <v>78</v>
      </c>
      <c r="P15" s="6" t="s">
        <v>175</v>
      </c>
      <c r="Q15" s="6" t="s">
        <v>80</v>
      </c>
      <c r="R15" s="6" t="s">
        <v>147</v>
      </c>
      <c r="S15" s="12" t="s">
        <v>79</v>
      </c>
      <c r="T15" s="11" t="s">
        <v>142</v>
      </c>
      <c r="U15" s="6" t="s">
        <v>182</v>
      </c>
      <c r="V15" s="6" t="s">
        <v>143</v>
      </c>
      <c r="W15" s="12" t="s">
        <v>81</v>
      </c>
      <c r="X15" s="9" t="s">
        <v>183</v>
      </c>
      <c r="Y15" s="13" t="s">
        <v>184</v>
      </c>
      <c r="Z15" s="68"/>
    </row>
    <row r="16" spans="1:26">
      <c r="A16" s="97"/>
      <c r="B16" s="97"/>
      <c r="C16" s="1" t="s">
        <v>10</v>
      </c>
      <c r="D16" s="18" t="s">
        <v>172</v>
      </c>
      <c r="E16" s="17" t="s">
        <v>158</v>
      </c>
      <c r="F16" s="16" t="s">
        <v>139</v>
      </c>
      <c r="G16" s="9">
        <v>1</v>
      </c>
      <c r="H16" s="9">
        <v>7</v>
      </c>
      <c r="I16" s="9" t="s">
        <v>86</v>
      </c>
      <c r="J16" s="10" t="s">
        <v>151</v>
      </c>
      <c r="K16" s="11" t="s">
        <v>186</v>
      </c>
      <c r="L16" s="6" t="s">
        <v>91</v>
      </c>
      <c r="M16" s="6" t="s">
        <v>153</v>
      </c>
      <c r="N16" s="12" t="s">
        <v>101</v>
      </c>
      <c r="O16" s="11" t="s">
        <v>91</v>
      </c>
      <c r="P16" s="6" t="s">
        <v>141</v>
      </c>
      <c r="Q16" s="6" t="s">
        <v>176</v>
      </c>
      <c r="R16" s="6" t="s">
        <v>84</v>
      </c>
      <c r="S16" s="12" t="s">
        <v>87</v>
      </c>
      <c r="T16" s="11" t="s">
        <v>148</v>
      </c>
      <c r="U16" s="6" t="s">
        <v>182</v>
      </c>
      <c r="V16" s="6" t="s">
        <v>143</v>
      </c>
      <c r="W16" s="12" t="s">
        <v>81</v>
      </c>
      <c r="X16" s="9" t="s">
        <v>164</v>
      </c>
      <c r="Y16" s="13" t="s">
        <v>171</v>
      </c>
      <c r="Z16" s="8"/>
    </row>
    <row r="17" spans="1:26" ht="14.25" customHeight="1">
      <c r="A17" s="97"/>
      <c r="B17" s="97"/>
      <c r="C17" s="91" t="s">
        <v>11</v>
      </c>
      <c r="D17" s="92" t="s">
        <v>137</v>
      </c>
      <c r="E17" s="93" t="s">
        <v>187</v>
      </c>
      <c r="F17" s="75" t="s">
        <v>159</v>
      </c>
      <c r="G17" s="9">
        <v>1</v>
      </c>
      <c r="H17" s="9">
        <v>3</v>
      </c>
      <c r="I17" s="9" t="s">
        <v>86</v>
      </c>
      <c r="J17" s="10" t="s">
        <v>80</v>
      </c>
      <c r="K17" s="11" t="s">
        <v>152</v>
      </c>
      <c r="L17" s="6" t="s">
        <v>91</v>
      </c>
      <c r="M17" s="6" t="s">
        <v>153</v>
      </c>
      <c r="N17" s="12" t="s">
        <v>101</v>
      </c>
      <c r="O17" s="11" t="s">
        <v>91</v>
      </c>
      <c r="P17" s="6" t="s">
        <v>141</v>
      </c>
      <c r="Q17" s="6" t="s">
        <v>80</v>
      </c>
      <c r="R17" s="6" t="s">
        <v>89</v>
      </c>
      <c r="S17" s="12" t="s">
        <v>87</v>
      </c>
      <c r="T17" s="11" t="s">
        <v>148</v>
      </c>
      <c r="U17" s="6" t="s">
        <v>188</v>
      </c>
      <c r="V17" s="6" t="s">
        <v>143</v>
      </c>
      <c r="W17" s="12" t="s">
        <v>81</v>
      </c>
      <c r="X17" s="9" t="s">
        <v>164</v>
      </c>
      <c r="Y17" s="17" t="s">
        <v>171</v>
      </c>
      <c r="Z17" s="8"/>
    </row>
    <row r="18" spans="1:26">
      <c r="A18" s="97"/>
      <c r="B18" s="97"/>
      <c r="C18" s="91"/>
      <c r="D18" s="92"/>
      <c r="E18" s="93"/>
      <c r="F18" s="75"/>
      <c r="G18" s="9">
        <v>2</v>
      </c>
      <c r="H18" s="9">
        <v>8</v>
      </c>
      <c r="I18" s="9" t="s">
        <v>86</v>
      </c>
      <c r="J18" s="10" t="s">
        <v>80</v>
      </c>
      <c r="K18" s="11" t="s">
        <v>152</v>
      </c>
      <c r="L18" s="6" t="s">
        <v>91</v>
      </c>
      <c r="M18" s="6" t="s">
        <v>153</v>
      </c>
      <c r="N18" s="12" t="s">
        <v>101</v>
      </c>
      <c r="O18" s="11" t="s">
        <v>91</v>
      </c>
      <c r="P18" s="6" t="s">
        <v>141</v>
      </c>
      <c r="Q18" s="6" t="s">
        <v>80</v>
      </c>
      <c r="R18" s="6" t="s">
        <v>89</v>
      </c>
      <c r="S18" s="12" t="s">
        <v>87</v>
      </c>
      <c r="T18" s="11" t="s">
        <v>163</v>
      </c>
      <c r="U18" s="6" t="s">
        <v>156</v>
      </c>
      <c r="V18" s="6" t="s">
        <v>143</v>
      </c>
      <c r="W18" s="12" t="s">
        <v>81</v>
      </c>
      <c r="X18" s="9" t="s">
        <v>164</v>
      </c>
      <c r="Y18" s="17" t="s">
        <v>171</v>
      </c>
      <c r="Z18" s="8"/>
    </row>
    <row r="19" spans="1:26" ht="14.25" customHeight="1">
      <c r="A19" s="97"/>
      <c r="B19" s="97"/>
      <c r="C19" s="91" t="s">
        <v>12</v>
      </c>
      <c r="D19" s="92" t="s">
        <v>137</v>
      </c>
      <c r="E19" s="93" t="s">
        <v>189</v>
      </c>
      <c r="F19" s="75" t="s">
        <v>159</v>
      </c>
      <c r="G19" s="9">
        <v>1</v>
      </c>
      <c r="H19" s="9">
        <v>1</v>
      </c>
      <c r="I19" s="9" t="s">
        <v>86</v>
      </c>
      <c r="J19" s="10" t="s">
        <v>151</v>
      </c>
      <c r="K19" s="11" t="s">
        <v>140</v>
      </c>
      <c r="L19" s="6" t="s">
        <v>91</v>
      </c>
      <c r="M19" s="6" t="s">
        <v>153</v>
      </c>
      <c r="N19" s="12" t="s">
        <v>190</v>
      </c>
      <c r="O19" s="11" t="s">
        <v>91</v>
      </c>
      <c r="P19" s="6" t="s">
        <v>141</v>
      </c>
      <c r="Q19" s="6" t="s">
        <v>80</v>
      </c>
      <c r="R19" s="6" t="s">
        <v>89</v>
      </c>
      <c r="S19" s="12" t="s">
        <v>92</v>
      </c>
      <c r="T19" s="11" t="s">
        <v>142</v>
      </c>
      <c r="U19" s="6" t="s">
        <v>156</v>
      </c>
      <c r="V19" s="6" t="s">
        <v>143</v>
      </c>
      <c r="W19" s="12" t="s">
        <v>81</v>
      </c>
      <c r="X19" s="9" t="s">
        <v>78</v>
      </c>
      <c r="Y19" s="13" t="s">
        <v>191</v>
      </c>
      <c r="Z19" s="68" t="s">
        <v>192</v>
      </c>
    </row>
    <row r="20" spans="1:26">
      <c r="A20" s="97"/>
      <c r="B20" s="97"/>
      <c r="C20" s="91"/>
      <c r="D20" s="92"/>
      <c r="E20" s="93"/>
      <c r="F20" s="75"/>
      <c r="G20" s="9">
        <v>2</v>
      </c>
      <c r="H20" s="9">
        <v>8</v>
      </c>
      <c r="I20" s="9" t="s">
        <v>86</v>
      </c>
      <c r="J20" s="10" t="s">
        <v>151</v>
      </c>
      <c r="K20" s="11" t="s">
        <v>140</v>
      </c>
      <c r="L20" s="6" t="s">
        <v>91</v>
      </c>
      <c r="M20" s="6" t="s">
        <v>153</v>
      </c>
      <c r="N20" s="12" t="s">
        <v>190</v>
      </c>
      <c r="O20" s="11" t="s">
        <v>91</v>
      </c>
      <c r="P20" s="6" t="s">
        <v>141</v>
      </c>
      <c r="Q20" s="6" t="s">
        <v>80</v>
      </c>
      <c r="R20" s="6" t="s">
        <v>89</v>
      </c>
      <c r="S20" s="12" t="s">
        <v>92</v>
      </c>
      <c r="T20" s="11" t="s">
        <v>142</v>
      </c>
      <c r="U20" s="6" t="s">
        <v>143</v>
      </c>
      <c r="V20" s="6" t="s">
        <v>143</v>
      </c>
      <c r="W20" s="12" t="s">
        <v>81</v>
      </c>
      <c r="X20" s="9" t="s">
        <v>164</v>
      </c>
      <c r="Y20" s="13" t="s">
        <v>191</v>
      </c>
      <c r="Z20" s="68"/>
    </row>
    <row r="21" spans="1:26">
      <c r="A21" s="97"/>
      <c r="B21" s="97"/>
      <c r="C21" s="91"/>
      <c r="D21" s="92"/>
      <c r="E21" s="93"/>
      <c r="F21" s="75"/>
      <c r="G21" s="9">
        <v>3</v>
      </c>
      <c r="H21" s="9">
        <v>7</v>
      </c>
      <c r="I21" s="9" t="s">
        <v>86</v>
      </c>
      <c r="J21" s="10" t="s">
        <v>151</v>
      </c>
      <c r="K21" s="11" t="s">
        <v>140</v>
      </c>
      <c r="L21" s="6" t="s">
        <v>91</v>
      </c>
      <c r="M21" s="6" t="s">
        <v>153</v>
      </c>
      <c r="N21" s="12" t="s">
        <v>190</v>
      </c>
      <c r="O21" s="11" t="s">
        <v>91</v>
      </c>
      <c r="P21" s="6" t="s">
        <v>141</v>
      </c>
      <c r="Q21" s="6" t="s">
        <v>80</v>
      </c>
      <c r="R21" s="6" t="s">
        <v>89</v>
      </c>
      <c r="S21" s="12" t="s">
        <v>92</v>
      </c>
      <c r="T21" s="11" t="s">
        <v>148</v>
      </c>
      <c r="U21" s="6" t="s">
        <v>143</v>
      </c>
      <c r="V21" s="6" t="s">
        <v>143</v>
      </c>
      <c r="W21" s="12" t="s">
        <v>81</v>
      </c>
      <c r="X21" s="9" t="s">
        <v>164</v>
      </c>
      <c r="Y21" s="13" t="s">
        <v>191</v>
      </c>
      <c r="Z21" s="68"/>
    </row>
    <row r="22" spans="1:26" ht="76.5" customHeight="1">
      <c r="A22" s="97"/>
      <c r="B22" s="97"/>
      <c r="C22" s="1" t="s">
        <v>13</v>
      </c>
      <c r="D22" s="18" t="s">
        <v>137</v>
      </c>
      <c r="E22" s="17" t="s">
        <v>193</v>
      </c>
      <c r="F22" s="16" t="s">
        <v>169</v>
      </c>
      <c r="G22" s="9">
        <v>1</v>
      </c>
      <c r="H22" s="9">
        <v>3</v>
      </c>
      <c r="I22" s="9" t="s">
        <v>86</v>
      </c>
      <c r="J22" s="10" t="s">
        <v>151</v>
      </c>
      <c r="K22" s="11" t="s">
        <v>140</v>
      </c>
      <c r="L22" s="6" t="s">
        <v>91</v>
      </c>
      <c r="M22" s="6" t="s">
        <v>170</v>
      </c>
      <c r="N22" s="12" t="s">
        <v>101</v>
      </c>
      <c r="O22" s="11" t="s">
        <v>91</v>
      </c>
      <c r="P22" s="6" t="s">
        <v>161</v>
      </c>
      <c r="Q22" s="6" t="s">
        <v>176</v>
      </c>
      <c r="R22" s="6" t="s">
        <v>154</v>
      </c>
      <c r="S22" s="12" t="s">
        <v>87</v>
      </c>
      <c r="T22" s="11" t="s">
        <v>148</v>
      </c>
      <c r="U22" s="6" t="s">
        <v>156</v>
      </c>
      <c r="V22" s="6" t="s">
        <v>143</v>
      </c>
      <c r="W22" s="12" t="s">
        <v>81</v>
      </c>
      <c r="X22" s="9" t="s">
        <v>78</v>
      </c>
      <c r="Y22" s="13" t="s">
        <v>184</v>
      </c>
      <c r="Z22" s="8" t="s">
        <v>194</v>
      </c>
    </row>
    <row r="23" spans="1:26" ht="102" customHeight="1">
      <c r="A23" s="97"/>
      <c r="B23" s="97"/>
      <c r="C23" s="1" t="s">
        <v>14</v>
      </c>
      <c r="D23" s="18" t="s">
        <v>137</v>
      </c>
      <c r="E23" s="17" t="s">
        <v>195</v>
      </c>
      <c r="F23" s="16" t="s">
        <v>139</v>
      </c>
      <c r="G23" s="9">
        <v>1</v>
      </c>
      <c r="H23" s="9">
        <v>8</v>
      </c>
      <c r="I23" s="9" t="s">
        <v>86</v>
      </c>
      <c r="J23" s="10" t="s">
        <v>80</v>
      </c>
      <c r="K23" s="11" t="s">
        <v>140</v>
      </c>
      <c r="L23" s="6" t="s">
        <v>91</v>
      </c>
      <c r="M23" s="6" t="s">
        <v>196</v>
      </c>
      <c r="N23" s="12" t="s">
        <v>154</v>
      </c>
      <c r="O23" s="11" t="s">
        <v>91</v>
      </c>
      <c r="P23" s="6" t="s">
        <v>197</v>
      </c>
      <c r="Q23" s="6" t="s">
        <v>176</v>
      </c>
      <c r="R23" s="6" t="s">
        <v>154</v>
      </c>
      <c r="S23" s="12" t="s">
        <v>79</v>
      </c>
      <c r="T23" s="11" t="s">
        <v>142</v>
      </c>
      <c r="U23" s="6" t="s">
        <v>182</v>
      </c>
      <c r="V23" s="6" t="s">
        <v>143</v>
      </c>
      <c r="W23" s="12" t="s">
        <v>81</v>
      </c>
      <c r="X23" s="9" t="s">
        <v>149</v>
      </c>
      <c r="Y23" s="13" t="s">
        <v>171</v>
      </c>
      <c r="Z23" s="8" t="s">
        <v>198</v>
      </c>
    </row>
    <row r="24" spans="1:26" ht="25.5">
      <c r="A24" s="97"/>
      <c r="B24" s="97"/>
      <c r="C24" s="1" t="s">
        <v>15</v>
      </c>
      <c r="D24" s="18" t="s">
        <v>137</v>
      </c>
      <c r="E24" s="17" t="s">
        <v>199</v>
      </c>
      <c r="F24" s="16" t="s">
        <v>139</v>
      </c>
      <c r="G24" s="9">
        <v>1</v>
      </c>
      <c r="H24" s="9">
        <v>8</v>
      </c>
      <c r="I24" s="9" t="s">
        <v>86</v>
      </c>
      <c r="J24" s="10" t="s">
        <v>151</v>
      </c>
      <c r="K24" s="11" t="s">
        <v>140</v>
      </c>
      <c r="L24" s="6" t="s">
        <v>91</v>
      </c>
      <c r="M24" s="6" t="s">
        <v>196</v>
      </c>
      <c r="N24" s="12" t="s">
        <v>101</v>
      </c>
      <c r="O24" s="11" t="s">
        <v>91</v>
      </c>
      <c r="P24" s="6" t="s">
        <v>161</v>
      </c>
      <c r="Q24" s="6" t="s">
        <v>176</v>
      </c>
      <c r="R24" s="6" t="s">
        <v>89</v>
      </c>
      <c r="S24" s="12" t="s">
        <v>87</v>
      </c>
      <c r="T24" s="11" t="s">
        <v>148</v>
      </c>
      <c r="U24" s="6" t="s">
        <v>188</v>
      </c>
      <c r="V24" s="6" t="s">
        <v>143</v>
      </c>
      <c r="W24" s="12" t="s">
        <v>81</v>
      </c>
      <c r="X24" s="9" t="s">
        <v>164</v>
      </c>
      <c r="Y24" s="17" t="s">
        <v>184</v>
      </c>
      <c r="Z24" s="8"/>
    </row>
    <row r="25" spans="1:26" ht="25.5">
      <c r="A25" s="97"/>
      <c r="B25" s="97"/>
      <c r="C25" s="1" t="s">
        <v>16</v>
      </c>
      <c r="D25" s="18" t="s">
        <v>137</v>
      </c>
      <c r="E25" s="17" t="s">
        <v>199</v>
      </c>
      <c r="F25" s="16" t="s">
        <v>139</v>
      </c>
      <c r="G25" s="9">
        <v>1</v>
      </c>
      <c r="H25" s="9">
        <v>1</v>
      </c>
      <c r="I25" s="9" t="s">
        <v>86</v>
      </c>
      <c r="J25" s="10" t="s">
        <v>80</v>
      </c>
      <c r="K25" s="11" t="s">
        <v>140</v>
      </c>
      <c r="L25" s="6" t="s">
        <v>91</v>
      </c>
      <c r="M25" s="6" t="s">
        <v>153</v>
      </c>
      <c r="N25" s="12" t="s">
        <v>101</v>
      </c>
      <c r="O25" s="11" t="s">
        <v>91</v>
      </c>
      <c r="P25" s="6" t="s">
        <v>141</v>
      </c>
      <c r="Q25" s="6" t="s">
        <v>176</v>
      </c>
      <c r="R25" s="6" t="s">
        <v>147</v>
      </c>
      <c r="S25" s="12" t="s">
        <v>92</v>
      </c>
      <c r="T25" s="11" t="s">
        <v>163</v>
      </c>
      <c r="U25" s="6" t="s">
        <v>188</v>
      </c>
      <c r="V25" s="6" t="s">
        <v>143</v>
      </c>
      <c r="W25" s="12" t="s">
        <v>81</v>
      </c>
      <c r="X25" s="9" t="s">
        <v>78</v>
      </c>
      <c r="Y25" s="13" t="s">
        <v>184</v>
      </c>
      <c r="Z25" s="8"/>
    </row>
    <row r="26" spans="1:26" ht="14.25" customHeight="1">
      <c r="A26" s="97"/>
      <c r="B26" s="97"/>
      <c r="C26" s="91" t="s">
        <v>17</v>
      </c>
      <c r="D26" s="92" t="s">
        <v>137</v>
      </c>
      <c r="E26" s="93" t="s">
        <v>200</v>
      </c>
      <c r="F26" s="75" t="s">
        <v>201</v>
      </c>
      <c r="G26" s="9">
        <v>1</v>
      </c>
      <c r="H26" s="9">
        <v>8</v>
      </c>
      <c r="I26" s="9" t="s">
        <v>86</v>
      </c>
      <c r="J26" s="10" t="s">
        <v>151</v>
      </c>
      <c r="K26" s="11" t="s">
        <v>140</v>
      </c>
      <c r="L26" s="6" t="s">
        <v>91</v>
      </c>
      <c r="M26" s="6" t="s">
        <v>153</v>
      </c>
      <c r="N26" s="12" t="s">
        <v>101</v>
      </c>
      <c r="O26" s="11" t="s">
        <v>144</v>
      </c>
      <c r="P26" s="6" t="s">
        <v>144</v>
      </c>
      <c r="Q26" s="6" t="s">
        <v>144</v>
      </c>
      <c r="R26" s="6" t="s">
        <v>144</v>
      </c>
      <c r="S26" s="12" t="s">
        <v>144</v>
      </c>
      <c r="T26" s="11" t="s">
        <v>144</v>
      </c>
      <c r="U26" s="6" t="s">
        <v>144</v>
      </c>
      <c r="V26" s="6" t="s">
        <v>144</v>
      </c>
      <c r="W26" s="12" t="s">
        <v>144</v>
      </c>
      <c r="X26" s="9" t="s">
        <v>144</v>
      </c>
      <c r="Y26" s="9" t="s">
        <v>144</v>
      </c>
      <c r="Z26" s="68" t="s">
        <v>202</v>
      </c>
    </row>
    <row r="27" spans="1:26">
      <c r="A27" s="97"/>
      <c r="B27" s="97"/>
      <c r="C27" s="91"/>
      <c r="D27" s="92"/>
      <c r="E27" s="93"/>
      <c r="F27" s="75"/>
      <c r="G27" s="9">
        <v>2</v>
      </c>
      <c r="H27" s="9">
        <v>1</v>
      </c>
      <c r="I27" s="9" t="s">
        <v>86</v>
      </c>
      <c r="J27" s="10" t="s">
        <v>151</v>
      </c>
      <c r="K27" s="11" t="s">
        <v>140</v>
      </c>
      <c r="L27" s="6" t="s">
        <v>180</v>
      </c>
      <c r="M27" s="6" t="s">
        <v>153</v>
      </c>
      <c r="N27" s="12" t="s">
        <v>101</v>
      </c>
      <c r="O27" s="11" t="s">
        <v>144</v>
      </c>
      <c r="P27" s="6" t="s">
        <v>144</v>
      </c>
      <c r="Q27" s="6" t="s">
        <v>144</v>
      </c>
      <c r="R27" s="6" t="s">
        <v>144</v>
      </c>
      <c r="S27" s="12" t="s">
        <v>144</v>
      </c>
      <c r="T27" s="11" t="s">
        <v>144</v>
      </c>
      <c r="U27" s="6" t="s">
        <v>144</v>
      </c>
      <c r="V27" s="6" t="s">
        <v>144</v>
      </c>
      <c r="W27" s="12" t="s">
        <v>144</v>
      </c>
      <c r="X27" s="9" t="s">
        <v>144</v>
      </c>
      <c r="Y27" s="9" t="s">
        <v>144</v>
      </c>
      <c r="Z27" s="68"/>
    </row>
    <row r="28" spans="1:26" ht="14.25" customHeight="1">
      <c r="A28" s="97"/>
      <c r="B28" s="97"/>
      <c r="C28" s="91" t="s">
        <v>18</v>
      </c>
      <c r="D28" s="92" t="s">
        <v>203</v>
      </c>
      <c r="E28" s="93" t="s">
        <v>204</v>
      </c>
      <c r="F28" s="75" t="s">
        <v>169</v>
      </c>
      <c r="G28" s="9">
        <v>1</v>
      </c>
      <c r="H28" s="9">
        <v>8</v>
      </c>
      <c r="I28" s="9" t="s">
        <v>106</v>
      </c>
      <c r="J28" s="10" t="s">
        <v>151</v>
      </c>
      <c r="K28" s="11" t="s">
        <v>140</v>
      </c>
      <c r="L28" s="6" t="s">
        <v>91</v>
      </c>
      <c r="M28" s="6" t="s">
        <v>153</v>
      </c>
      <c r="N28" s="12" t="s">
        <v>101</v>
      </c>
      <c r="O28" s="11" t="s">
        <v>91</v>
      </c>
      <c r="P28" s="6" t="s">
        <v>155</v>
      </c>
      <c r="Q28" s="6" t="s">
        <v>176</v>
      </c>
      <c r="R28" s="6" t="s">
        <v>147</v>
      </c>
      <c r="S28" s="12" t="s">
        <v>87</v>
      </c>
      <c r="T28" s="11" t="s">
        <v>142</v>
      </c>
      <c r="U28" s="6" t="s">
        <v>182</v>
      </c>
      <c r="V28" s="6" t="s">
        <v>143</v>
      </c>
      <c r="W28" s="12" t="s">
        <v>81</v>
      </c>
      <c r="X28" s="9" t="s">
        <v>164</v>
      </c>
      <c r="Y28" s="13" t="s">
        <v>184</v>
      </c>
      <c r="Z28" s="8"/>
    </row>
    <row r="29" spans="1:26">
      <c r="A29" s="97"/>
      <c r="B29" s="97"/>
      <c r="C29" s="91"/>
      <c r="D29" s="92"/>
      <c r="E29" s="93"/>
      <c r="F29" s="75"/>
      <c r="G29" s="9">
        <v>2</v>
      </c>
      <c r="H29" s="9">
        <v>8</v>
      </c>
      <c r="I29" s="9" t="s">
        <v>106</v>
      </c>
      <c r="J29" s="10" t="s">
        <v>151</v>
      </c>
      <c r="K29" s="11" t="s">
        <v>140</v>
      </c>
      <c r="L29" s="6" t="s">
        <v>91</v>
      </c>
      <c r="M29" s="6" t="s">
        <v>153</v>
      </c>
      <c r="N29" s="12" t="s">
        <v>101</v>
      </c>
      <c r="O29" s="11" t="s">
        <v>91</v>
      </c>
      <c r="P29" s="6" t="s">
        <v>141</v>
      </c>
      <c r="Q29" s="6" t="s">
        <v>176</v>
      </c>
      <c r="R29" s="6" t="s">
        <v>89</v>
      </c>
      <c r="S29" s="12" t="s">
        <v>87</v>
      </c>
      <c r="T29" s="11" t="s">
        <v>142</v>
      </c>
      <c r="U29" s="6" t="s">
        <v>182</v>
      </c>
      <c r="V29" s="6" t="s">
        <v>143</v>
      </c>
      <c r="W29" s="12" t="s">
        <v>81</v>
      </c>
      <c r="X29" s="9" t="s">
        <v>78</v>
      </c>
      <c r="Y29" s="13" t="s">
        <v>184</v>
      </c>
      <c r="Z29" s="8"/>
    </row>
    <row r="30" spans="1:26">
      <c r="A30" s="65"/>
      <c r="B30" s="65"/>
      <c r="C30" s="91"/>
      <c r="D30" s="92"/>
      <c r="E30" s="93"/>
      <c r="F30" s="70"/>
      <c r="G30" s="9">
        <v>3</v>
      </c>
      <c r="H30" s="9">
        <v>8</v>
      </c>
      <c r="I30" s="9" t="s">
        <v>106</v>
      </c>
      <c r="J30" s="10" t="s">
        <v>151</v>
      </c>
      <c r="K30" s="11" t="s">
        <v>140</v>
      </c>
      <c r="L30" s="6" t="s">
        <v>91</v>
      </c>
      <c r="M30" s="6" t="s">
        <v>153</v>
      </c>
      <c r="N30" s="12" t="s">
        <v>101</v>
      </c>
      <c r="O30" s="11" t="s">
        <v>91</v>
      </c>
      <c r="P30" s="6" t="s">
        <v>141</v>
      </c>
      <c r="Q30" s="6" t="s">
        <v>176</v>
      </c>
      <c r="R30" s="6" t="s">
        <v>89</v>
      </c>
      <c r="S30" s="12" t="s">
        <v>87</v>
      </c>
      <c r="T30" s="11" t="s">
        <v>142</v>
      </c>
      <c r="U30" s="6" t="s">
        <v>182</v>
      </c>
      <c r="V30" s="6" t="s">
        <v>143</v>
      </c>
      <c r="W30" s="12" t="s">
        <v>81</v>
      </c>
      <c r="X30" s="9" t="s">
        <v>164</v>
      </c>
      <c r="Y30" s="13" t="s">
        <v>184</v>
      </c>
      <c r="Z30" s="19"/>
    </row>
    <row r="31" spans="1:26" ht="25.5">
      <c r="A31" s="80" t="s">
        <v>3</v>
      </c>
      <c r="B31" s="63" t="s">
        <v>19</v>
      </c>
      <c r="C31" s="2" t="s">
        <v>20</v>
      </c>
      <c r="D31" s="43" t="s">
        <v>137</v>
      </c>
      <c r="E31" s="44" t="s">
        <v>207</v>
      </c>
      <c r="F31" s="23" t="s">
        <v>139</v>
      </c>
      <c r="G31" s="34">
        <v>1</v>
      </c>
      <c r="H31" s="34">
        <v>6</v>
      </c>
      <c r="I31" s="34" t="s">
        <v>86</v>
      </c>
      <c r="J31" s="45" t="s">
        <v>151</v>
      </c>
      <c r="K31" s="35" t="s">
        <v>140</v>
      </c>
      <c r="L31" s="34" t="s">
        <v>102</v>
      </c>
      <c r="M31" s="34" t="s">
        <v>153</v>
      </c>
      <c r="N31" s="36" t="s">
        <v>101</v>
      </c>
      <c r="O31" s="35" t="s">
        <v>144</v>
      </c>
      <c r="P31" s="34" t="s">
        <v>144</v>
      </c>
      <c r="Q31" s="34" t="s">
        <v>144</v>
      </c>
      <c r="R31" s="34" t="s">
        <v>144</v>
      </c>
      <c r="S31" s="36" t="s">
        <v>144</v>
      </c>
      <c r="T31" s="35" t="s">
        <v>144</v>
      </c>
      <c r="U31" s="34" t="s">
        <v>144</v>
      </c>
      <c r="V31" s="34" t="s">
        <v>144</v>
      </c>
      <c r="W31" s="36" t="s">
        <v>144</v>
      </c>
      <c r="X31" s="34" t="s">
        <v>144</v>
      </c>
      <c r="Y31" s="34" t="s">
        <v>144</v>
      </c>
      <c r="Z31" s="8"/>
    </row>
    <row r="32" spans="1:26">
      <c r="A32" s="81"/>
      <c r="B32" s="64"/>
      <c r="C32" s="3" t="s">
        <v>21</v>
      </c>
      <c r="D32" s="32" t="s">
        <v>137</v>
      </c>
      <c r="E32" s="46" t="s">
        <v>208</v>
      </c>
      <c r="F32" s="4" t="s">
        <v>139</v>
      </c>
      <c r="G32" s="28">
        <v>1</v>
      </c>
      <c r="H32" s="28">
        <v>8</v>
      </c>
      <c r="I32" s="28" t="s">
        <v>86</v>
      </c>
      <c r="J32" s="26" t="s">
        <v>151</v>
      </c>
      <c r="K32" s="31" t="s">
        <v>144</v>
      </c>
      <c r="L32" s="28" t="s">
        <v>144</v>
      </c>
      <c r="M32" s="28" t="s">
        <v>144</v>
      </c>
      <c r="N32" s="29" t="s">
        <v>144</v>
      </c>
      <c r="O32" s="31" t="s">
        <v>81</v>
      </c>
      <c r="P32" s="28" t="s">
        <v>175</v>
      </c>
      <c r="Q32" s="28" t="s">
        <v>176</v>
      </c>
      <c r="R32" s="28" t="s">
        <v>89</v>
      </c>
      <c r="S32" s="29" t="s">
        <v>87</v>
      </c>
      <c r="T32" s="31" t="s">
        <v>163</v>
      </c>
      <c r="U32" s="28" t="s">
        <v>182</v>
      </c>
      <c r="V32" s="28" t="s">
        <v>143</v>
      </c>
      <c r="W32" s="29" t="s">
        <v>81</v>
      </c>
      <c r="X32" s="28" t="s">
        <v>164</v>
      </c>
      <c r="Y32" s="46" t="s">
        <v>191</v>
      </c>
      <c r="Z32" s="47" t="s">
        <v>209</v>
      </c>
    </row>
    <row r="33" spans="1:26" ht="14.25" customHeight="1">
      <c r="A33" s="81"/>
      <c r="B33" s="64"/>
      <c r="C33" s="76" t="s">
        <v>22</v>
      </c>
      <c r="D33" s="78" t="s">
        <v>137</v>
      </c>
      <c r="E33" s="66" t="s">
        <v>210</v>
      </c>
      <c r="F33" s="67" t="s">
        <v>201</v>
      </c>
      <c r="G33" s="28">
        <v>1</v>
      </c>
      <c r="H33" s="28">
        <v>6</v>
      </c>
      <c r="I33" s="28" t="s">
        <v>86</v>
      </c>
      <c r="J33" s="26" t="s">
        <v>80</v>
      </c>
      <c r="K33" s="31" t="s">
        <v>152</v>
      </c>
      <c r="L33" s="28" t="s">
        <v>91</v>
      </c>
      <c r="M33" s="28" t="s">
        <v>153</v>
      </c>
      <c r="N33" s="29" t="s">
        <v>154</v>
      </c>
      <c r="O33" s="31" t="s">
        <v>91</v>
      </c>
      <c r="P33" s="28" t="s">
        <v>155</v>
      </c>
      <c r="Q33" s="28" t="s">
        <v>176</v>
      </c>
      <c r="R33" s="28" t="s">
        <v>154</v>
      </c>
      <c r="S33" s="29" t="s">
        <v>79</v>
      </c>
      <c r="T33" s="31" t="s">
        <v>142</v>
      </c>
      <c r="U33" s="28" t="s">
        <v>156</v>
      </c>
      <c r="V33" s="28" t="s">
        <v>143</v>
      </c>
      <c r="W33" s="29" t="s">
        <v>81</v>
      </c>
      <c r="X33" s="28" t="s">
        <v>78</v>
      </c>
      <c r="Y33" s="46" t="s">
        <v>211</v>
      </c>
      <c r="Z33" s="74" t="s">
        <v>212</v>
      </c>
    </row>
    <row r="34" spans="1:26">
      <c r="A34" s="81"/>
      <c r="B34" s="64"/>
      <c r="C34" s="76"/>
      <c r="D34" s="78"/>
      <c r="E34" s="66"/>
      <c r="F34" s="67"/>
      <c r="G34" s="28">
        <v>2</v>
      </c>
      <c r="H34" s="28">
        <v>7</v>
      </c>
      <c r="I34" s="28" t="s">
        <v>86</v>
      </c>
      <c r="J34" s="26" t="s">
        <v>80</v>
      </c>
      <c r="K34" s="31" t="s">
        <v>152</v>
      </c>
      <c r="L34" s="28" t="s">
        <v>91</v>
      </c>
      <c r="M34" s="28" t="s">
        <v>153</v>
      </c>
      <c r="N34" s="29" t="s">
        <v>154</v>
      </c>
      <c r="O34" s="31" t="s">
        <v>91</v>
      </c>
      <c r="P34" s="28" t="s">
        <v>175</v>
      </c>
      <c r="Q34" s="28" t="s">
        <v>176</v>
      </c>
      <c r="R34" s="28" t="s">
        <v>89</v>
      </c>
      <c r="S34" s="29" t="s">
        <v>87</v>
      </c>
      <c r="T34" s="31" t="s">
        <v>148</v>
      </c>
      <c r="U34" s="28" t="s">
        <v>182</v>
      </c>
      <c r="V34" s="28" t="s">
        <v>143</v>
      </c>
      <c r="W34" s="29" t="s">
        <v>81</v>
      </c>
      <c r="X34" s="28" t="s">
        <v>164</v>
      </c>
      <c r="Y34" s="46" t="s">
        <v>211</v>
      </c>
      <c r="Z34" s="74"/>
    </row>
    <row r="35" spans="1:26">
      <c r="A35" s="81"/>
      <c r="B35" s="64"/>
      <c r="C35" s="3" t="s">
        <v>23</v>
      </c>
      <c r="D35" s="32" t="s">
        <v>137</v>
      </c>
      <c r="E35" s="46" t="s">
        <v>213</v>
      </c>
      <c r="F35" s="4" t="s">
        <v>139</v>
      </c>
      <c r="G35" s="28">
        <v>1</v>
      </c>
      <c r="H35" s="28">
        <v>1</v>
      </c>
      <c r="I35" s="28" t="s">
        <v>86</v>
      </c>
      <c r="J35" s="26" t="s">
        <v>80</v>
      </c>
      <c r="K35" s="31" t="s">
        <v>140</v>
      </c>
      <c r="L35" s="28" t="s">
        <v>102</v>
      </c>
      <c r="M35" s="28" t="s">
        <v>153</v>
      </c>
      <c r="N35" s="29" t="s">
        <v>101</v>
      </c>
      <c r="O35" s="31" t="s">
        <v>81</v>
      </c>
      <c r="P35" s="28" t="s">
        <v>155</v>
      </c>
      <c r="Q35" s="28" t="s">
        <v>176</v>
      </c>
      <c r="R35" s="28" t="s">
        <v>147</v>
      </c>
      <c r="S35" s="29" t="s">
        <v>79</v>
      </c>
      <c r="T35" s="31" t="s">
        <v>142</v>
      </c>
      <c r="U35" s="28" t="s">
        <v>182</v>
      </c>
      <c r="V35" s="28" t="s">
        <v>143</v>
      </c>
      <c r="W35" s="29" t="s">
        <v>81</v>
      </c>
      <c r="X35" s="28" t="s">
        <v>214</v>
      </c>
      <c r="Y35" s="46" t="s">
        <v>184</v>
      </c>
      <c r="Z35" s="47"/>
    </row>
    <row r="36" spans="1:26" ht="25.5">
      <c r="A36" s="81"/>
      <c r="B36" s="64"/>
      <c r="C36" s="3" t="s">
        <v>24</v>
      </c>
      <c r="D36" s="32" t="s">
        <v>137</v>
      </c>
      <c r="E36" s="46" t="s">
        <v>193</v>
      </c>
      <c r="F36" s="4" t="s">
        <v>139</v>
      </c>
      <c r="G36" s="6">
        <v>1</v>
      </c>
      <c r="H36" s="6">
        <v>1</v>
      </c>
      <c r="I36" s="6" t="s">
        <v>86</v>
      </c>
      <c r="J36" s="26" t="s">
        <v>80</v>
      </c>
      <c r="K36" s="31" t="s">
        <v>152</v>
      </c>
      <c r="L36" s="28" t="s">
        <v>91</v>
      </c>
      <c r="M36" s="28" t="s">
        <v>153</v>
      </c>
      <c r="N36" s="29" t="s">
        <v>101</v>
      </c>
      <c r="O36" s="31" t="s">
        <v>91</v>
      </c>
      <c r="P36" s="28" t="s">
        <v>175</v>
      </c>
      <c r="Q36" s="28" t="s">
        <v>176</v>
      </c>
      <c r="R36" s="28" t="s">
        <v>89</v>
      </c>
      <c r="S36" s="29" t="s">
        <v>79</v>
      </c>
      <c r="T36" s="31" t="s">
        <v>142</v>
      </c>
      <c r="U36" s="28" t="s">
        <v>156</v>
      </c>
      <c r="V36" s="28" t="s">
        <v>143</v>
      </c>
      <c r="W36" s="29" t="s">
        <v>81</v>
      </c>
      <c r="X36" s="28" t="s">
        <v>164</v>
      </c>
      <c r="Y36" s="46" t="s">
        <v>191</v>
      </c>
      <c r="Z36" s="47"/>
    </row>
    <row r="37" spans="1:26">
      <c r="A37" s="81"/>
      <c r="B37" s="64"/>
      <c r="C37" s="76" t="s">
        <v>25</v>
      </c>
      <c r="D37" s="78" t="s">
        <v>137</v>
      </c>
      <c r="E37" s="66" t="s">
        <v>215</v>
      </c>
      <c r="F37" s="67" t="s">
        <v>159</v>
      </c>
      <c r="G37" s="28">
        <v>1</v>
      </c>
      <c r="H37" s="28">
        <v>2</v>
      </c>
      <c r="I37" s="28" t="s">
        <v>86</v>
      </c>
      <c r="J37" s="26" t="s">
        <v>151</v>
      </c>
      <c r="K37" s="31" t="s">
        <v>140</v>
      </c>
      <c r="L37" s="28" t="s">
        <v>91</v>
      </c>
      <c r="M37" s="28" t="s">
        <v>153</v>
      </c>
      <c r="N37" s="29" t="s">
        <v>101</v>
      </c>
      <c r="O37" s="31" t="s">
        <v>91</v>
      </c>
      <c r="P37" s="28" t="s">
        <v>155</v>
      </c>
      <c r="Q37" s="28" t="s">
        <v>162</v>
      </c>
      <c r="R37" s="28" t="s">
        <v>89</v>
      </c>
      <c r="S37" s="29" t="s">
        <v>87</v>
      </c>
      <c r="T37" s="31" t="s">
        <v>148</v>
      </c>
      <c r="U37" s="28" t="s">
        <v>156</v>
      </c>
      <c r="V37" s="28" t="s">
        <v>143</v>
      </c>
      <c r="W37" s="29" t="s">
        <v>81</v>
      </c>
      <c r="X37" s="28" t="s">
        <v>214</v>
      </c>
      <c r="Y37" s="46" t="s">
        <v>184</v>
      </c>
      <c r="Z37" s="47" t="s">
        <v>216</v>
      </c>
    </row>
    <row r="38" spans="1:26">
      <c r="A38" s="81"/>
      <c r="B38" s="64"/>
      <c r="C38" s="76"/>
      <c r="D38" s="78"/>
      <c r="E38" s="66"/>
      <c r="F38" s="67"/>
      <c r="G38" s="28">
        <v>2</v>
      </c>
      <c r="H38" s="28">
        <v>1</v>
      </c>
      <c r="I38" s="28" t="s">
        <v>86</v>
      </c>
      <c r="J38" s="26" t="s">
        <v>151</v>
      </c>
      <c r="K38" s="31" t="s">
        <v>140</v>
      </c>
      <c r="L38" s="28" t="s">
        <v>91</v>
      </c>
      <c r="M38" s="28" t="s">
        <v>153</v>
      </c>
      <c r="N38" s="29" t="s">
        <v>101</v>
      </c>
      <c r="O38" s="31" t="s">
        <v>91</v>
      </c>
      <c r="P38" s="28" t="s">
        <v>175</v>
      </c>
      <c r="Q38" s="28" t="s">
        <v>176</v>
      </c>
      <c r="R38" s="28" t="s">
        <v>147</v>
      </c>
      <c r="S38" s="29" t="s">
        <v>79</v>
      </c>
      <c r="T38" s="31" t="s">
        <v>142</v>
      </c>
      <c r="U38" s="28" t="s">
        <v>143</v>
      </c>
      <c r="V38" s="28" t="s">
        <v>143</v>
      </c>
      <c r="W38" s="29" t="s">
        <v>81</v>
      </c>
      <c r="X38" s="28" t="s">
        <v>164</v>
      </c>
      <c r="Y38" s="46" t="s">
        <v>165</v>
      </c>
      <c r="Z38" s="47"/>
    </row>
    <row r="39" spans="1:26" ht="14.25" customHeight="1">
      <c r="A39" s="81"/>
      <c r="B39" s="64"/>
      <c r="C39" s="76" t="s">
        <v>26</v>
      </c>
      <c r="D39" s="78" t="s">
        <v>137</v>
      </c>
      <c r="E39" s="66" t="s">
        <v>217</v>
      </c>
      <c r="F39" s="75" t="s">
        <v>159</v>
      </c>
      <c r="G39" s="49">
        <v>1</v>
      </c>
      <c r="H39" s="6">
        <v>2</v>
      </c>
      <c r="I39" s="9" t="s">
        <v>86</v>
      </c>
      <c r="J39" s="7" t="s">
        <v>80</v>
      </c>
      <c r="K39" s="11" t="s">
        <v>140</v>
      </c>
      <c r="L39" s="28" t="s">
        <v>91</v>
      </c>
      <c r="M39" s="28" t="s">
        <v>153</v>
      </c>
      <c r="N39" s="29" t="s">
        <v>101</v>
      </c>
      <c r="O39" s="31" t="s">
        <v>91</v>
      </c>
      <c r="P39" s="28" t="s">
        <v>155</v>
      </c>
      <c r="Q39" s="28" t="s">
        <v>176</v>
      </c>
      <c r="R39" s="28" t="s">
        <v>89</v>
      </c>
      <c r="S39" s="29" t="s">
        <v>79</v>
      </c>
      <c r="T39" s="31" t="s">
        <v>148</v>
      </c>
      <c r="U39" s="28" t="s">
        <v>182</v>
      </c>
      <c r="V39" s="28" t="s">
        <v>141</v>
      </c>
      <c r="W39" s="29" t="s">
        <v>218</v>
      </c>
      <c r="X39" s="28" t="s">
        <v>78</v>
      </c>
      <c r="Y39" s="5" t="s">
        <v>211</v>
      </c>
      <c r="Z39" s="8"/>
    </row>
    <row r="40" spans="1:26">
      <c r="A40" s="81"/>
      <c r="B40" s="64"/>
      <c r="C40" s="76"/>
      <c r="D40" s="78"/>
      <c r="E40" s="66"/>
      <c r="F40" s="75"/>
      <c r="G40" s="49">
        <v>2</v>
      </c>
      <c r="H40" s="6">
        <v>7</v>
      </c>
      <c r="I40" s="9" t="s">
        <v>86</v>
      </c>
      <c r="J40" s="7" t="s">
        <v>80</v>
      </c>
      <c r="K40" s="11" t="s">
        <v>140</v>
      </c>
      <c r="L40" s="28" t="s">
        <v>91</v>
      </c>
      <c r="M40" s="28" t="s">
        <v>153</v>
      </c>
      <c r="N40" s="29" t="s">
        <v>101</v>
      </c>
      <c r="O40" s="31" t="s">
        <v>91</v>
      </c>
      <c r="P40" s="28" t="s">
        <v>161</v>
      </c>
      <c r="Q40" s="28" t="s">
        <v>176</v>
      </c>
      <c r="R40" s="28" t="s">
        <v>154</v>
      </c>
      <c r="S40" s="29" t="s">
        <v>79</v>
      </c>
      <c r="T40" s="31" t="s">
        <v>148</v>
      </c>
      <c r="U40" s="28" t="s">
        <v>143</v>
      </c>
      <c r="V40" s="28" t="s">
        <v>143</v>
      </c>
      <c r="W40" s="29" t="s">
        <v>81</v>
      </c>
      <c r="X40" s="28" t="s">
        <v>78</v>
      </c>
      <c r="Y40" s="5" t="s">
        <v>211</v>
      </c>
      <c r="Z40" s="8"/>
    </row>
    <row r="41" spans="1:26" ht="14.25" customHeight="1">
      <c r="A41" s="81"/>
      <c r="B41" s="64"/>
      <c r="C41" s="76" t="s">
        <v>27</v>
      </c>
      <c r="D41" s="78" t="s">
        <v>137</v>
      </c>
      <c r="E41" s="66" t="s">
        <v>219</v>
      </c>
      <c r="F41" s="67" t="s">
        <v>159</v>
      </c>
      <c r="G41" s="6">
        <v>1</v>
      </c>
      <c r="H41" s="6">
        <v>8</v>
      </c>
      <c r="I41" s="28" t="s">
        <v>106</v>
      </c>
      <c r="J41" s="7" t="s">
        <v>80</v>
      </c>
      <c r="K41" s="31" t="s">
        <v>186</v>
      </c>
      <c r="L41" s="28" t="s">
        <v>220</v>
      </c>
      <c r="M41" s="28" t="s">
        <v>153</v>
      </c>
      <c r="N41" s="29" t="s">
        <v>190</v>
      </c>
      <c r="O41" s="31" t="s">
        <v>91</v>
      </c>
      <c r="P41" s="28" t="s">
        <v>161</v>
      </c>
      <c r="Q41" s="28" t="s">
        <v>176</v>
      </c>
      <c r="R41" s="28" t="s">
        <v>154</v>
      </c>
      <c r="S41" s="29" t="s">
        <v>79</v>
      </c>
      <c r="T41" s="31" t="s">
        <v>142</v>
      </c>
      <c r="U41" s="28" t="s">
        <v>182</v>
      </c>
      <c r="V41" s="28" t="s">
        <v>143</v>
      </c>
      <c r="W41" s="29" t="s">
        <v>81</v>
      </c>
      <c r="X41" s="28" t="s">
        <v>214</v>
      </c>
      <c r="Y41" s="5" t="s">
        <v>165</v>
      </c>
      <c r="Z41" s="8"/>
    </row>
    <row r="42" spans="1:26">
      <c r="A42" s="81"/>
      <c r="B42" s="64"/>
      <c r="C42" s="76"/>
      <c r="D42" s="78"/>
      <c r="E42" s="66"/>
      <c r="F42" s="67"/>
      <c r="G42" s="6">
        <v>2</v>
      </c>
      <c r="H42" s="6">
        <v>2</v>
      </c>
      <c r="I42" s="28" t="s">
        <v>106</v>
      </c>
      <c r="J42" s="7" t="s">
        <v>80</v>
      </c>
      <c r="K42" s="31" t="s">
        <v>186</v>
      </c>
      <c r="L42" s="28" t="s">
        <v>91</v>
      </c>
      <c r="M42" s="28" t="s">
        <v>153</v>
      </c>
      <c r="N42" s="29" t="s">
        <v>190</v>
      </c>
      <c r="O42" s="31" t="s">
        <v>91</v>
      </c>
      <c r="P42" s="28" t="s">
        <v>161</v>
      </c>
      <c r="Q42" s="28" t="s">
        <v>176</v>
      </c>
      <c r="R42" s="28" t="s">
        <v>154</v>
      </c>
      <c r="S42" s="29" t="s">
        <v>79</v>
      </c>
      <c r="T42" s="31" t="s">
        <v>142</v>
      </c>
      <c r="U42" s="28" t="s">
        <v>143</v>
      </c>
      <c r="V42" s="28" t="s">
        <v>143</v>
      </c>
      <c r="W42" s="29" t="s">
        <v>81</v>
      </c>
      <c r="X42" s="28" t="s">
        <v>221</v>
      </c>
      <c r="Y42" s="5" t="s">
        <v>184</v>
      </c>
      <c r="Z42" s="8"/>
    </row>
    <row r="43" spans="1:26">
      <c r="A43" s="81"/>
      <c r="B43" s="64"/>
      <c r="C43" s="76"/>
      <c r="D43" s="78"/>
      <c r="E43" s="66"/>
      <c r="F43" s="67"/>
      <c r="G43" s="6">
        <v>3</v>
      </c>
      <c r="H43" s="6">
        <v>4</v>
      </c>
      <c r="I43" s="28" t="s">
        <v>106</v>
      </c>
      <c r="J43" s="7" t="s">
        <v>80</v>
      </c>
      <c r="K43" s="31" t="s">
        <v>186</v>
      </c>
      <c r="L43" s="28" t="s">
        <v>91</v>
      </c>
      <c r="M43" s="28" t="s">
        <v>153</v>
      </c>
      <c r="N43" s="29" t="s">
        <v>190</v>
      </c>
      <c r="O43" s="31" t="s">
        <v>91</v>
      </c>
      <c r="P43" s="28" t="s">
        <v>161</v>
      </c>
      <c r="Q43" s="28" t="s">
        <v>176</v>
      </c>
      <c r="R43" s="28" t="s">
        <v>147</v>
      </c>
      <c r="S43" s="29" t="s">
        <v>79</v>
      </c>
      <c r="T43" s="31" t="s">
        <v>148</v>
      </c>
      <c r="U43" s="28" t="s">
        <v>143</v>
      </c>
      <c r="V43" s="28" t="s">
        <v>143</v>
      </c>
      <c r="W43" s="29" t="s">
        <v>81</v>
      </c>
      <c r="X43" s="28" t="s">
        <v>164</v>
      </c>
      <c r="Y43" s="5" t="s">
        <v>165</v>
      </c>
      <c r="Z43" s="8"/>
    </row>
    <row r="44" spans="1:26">
      <c r="A44" s="81"/>
      <c r="B44" s="64"/>
      <c r="C44" s="76"/>
      <c r="D44" s="78"/>
      <c r="E44" s="66"/>
      <c r="F44" s="67"/>
      <c r="G44" s="28">
        <v>4</v>
      </c>
      <c r="H44" s="28">
        <v>5</v>
      </c>
      <c r="I44" s="28" t="s">
        <v>106</v>
      </c>
      <c r="J44" s="7" t="s">
        <v>80</v>
      </c>
      <c r="K44" s="31" t="s">
        <v>186</v>
      </c>
      <c r="L44" s="28" t="s">
        <v>91</v>
      </c>
      <c r="M44" s="28" t="s">
        <v>153</v>
      </c>
      <c r="N44" s="29" t="s">
        <v>190</v>
      </c>
      <c r="O44" s="31" t="s">
        <v>91</v>
      </c>
      <c r="P44" s="28" t="s">
        <v>161</v>
      </c>
      <c r="Q44" s="28" t="s">
        <v>176</v>
      </c>
      <c r="R44" s="28" t="s">
        <v>154</v>
      </c>
      <c r="S44" s="29" t="s">
        <v>79</v>
      </c>
      <c r="T44" s="31" t="s">
        <v>148</v>
      </c>
      <c r="U44" s="28" t="s">
        <v>156</v>
      </c>
      <c r="V44" s="28" t="s">
        <v>143</v>
      </c>
      <c r="W44" s="29" t="s">
        <v>81</v>
      </c>
      <c r="X44" s="28" t="s">
        <v>164</v>
      </c>
      <c r="Y44" s="5" t="s">
        <v>165</v>
      </c>
      <c r="Z44" s="8"/>
    </row>
    <row r="45" spans="1:26" ht="14.25" customHeight="1">
      <c r="A45" s="81"/>
      <c r="B45" s="64"/>
      <c r="C45" s="76" t="s">
        <v>28</v>
      </c>
      <c r="D45" s="78" t="s">
        <v>137</v>
      </c>
      <c r="E45" s="66" t="s">
        <v>222</v>
      </c>
      <c r="F45" s="67" t="s">
        <v>201</v>
      </c>
      <c r="G45" s="28">
        <v>1</v>
      </c>
      <c r="H45" s="28">
        <v>8</v>
      </c>
      <c r="I45" s="28" t="s">
        <v>106</v>
      </c>
      <c r="J45" s="26" t="s">
        <v>80</v>
      </c>
      <c r="K45" s="31" t="s">
        <v>140</v>
      </c>
      <c r="L45" s="28" t="s">
        <v>91</v>
      </c>
      <c r="M45" s="28" t="s">
        <v>153</v>
      </c>
      <c r="N45" s="29" t="s">
        <v>190</v>
      </c>
      <c r="O45" s="31" t="s">
        <v>91</v>
      </c>
      <c r="P45" s="28" t="s">
        <v>175</v>
      </c>
      <c r="Q45" s="28" t="s">
        <v>176</v>
      </c>
      <c r="R45" s="28" t="s">
        <v>147</v>
      </c>
      <c r="S45" s="29" t="s">
        <v>79</v>
      </c>
      <c r="T45" s="31" t="s">
        <v>142</v>
      </c>
      <c r="U45" s="28" t="s">
        <v>156</v>
      </c>
      <c r="V45" s="28" t="s">
        <v>143</v>
      </c>
      <c r="W45" s="29" t="s">
        <v>81</v>
      </c>
      <c r="X45" s="28" t="s">
        <v>164</v>
      </c>
      <c r="Y45" s="5" t="s">
        <v>211</v>
      </c>
      <c r="Z45" s="68" t="s">
        <v>223</v>
      </c>
    </row>
    <row r="46" spans="1:26">
      <c r="A46" s="81"/>
      <c r="B46" s="64"/>
      <c r="C46" s="76"/>
      <c r="D46" s="78"/>
      <c r="E46" s="66"/>
      <c r="F46" s="67"/>
      <c r="G46" s="28">
        <v>2</v>
      </c>
      <c r="H46" s="28">
        <v>1</v>
      </c>
      <c r="I46" s="28" t="s">
        <v>106</v>
      </c>
      <c r="J46" s="26" t="s">
        <v>80</v>
      </c>
      <c r="K46" s="31" t="s">
        <v>140</v>
      </c>
      <c r="L46" s="28" t="s">
        <v>91</v>
      </c>
      <c r="M46" s="28" t="s">
        <v>153</v>
      </c>
      <c r="N46" s="29" t="s">
        <v>190</v>
      </c>
      <c r="O46" s="31" t="s">
        <v>91</v>
      </c>
      <c r="P46" s="28" t="s">
        <v>155</v>
      </c>
      <c r="Q46" s="28" t="s">
        <v>176</v>
      </c>
      <c r="R46" s="28" t="s">
        <v>147</v>
      </c>
      <c r="S46" s="29" t="s">
        <v>79</v>
      </c>
      <c r="T46" s="31" t="s">
        <v>142</v>
      </c>
      <c r="U46" s="28" t="s">
        <v>156</v>
      </c>
      <c r="V46" s="28" t="s">
        <v>143</v>
      </c>
      <c r="W46" s="29" t="s">
        <v>81</v>
      </c>
      <c r="X46" s="28" t="s">
        <v>78</v>
      </c>
      <c r="Y46" s="5" t="s">
        <v>211</v>
      </c>
      <c r="Z46" s="68"/>
    </row>
    <row r="47" spans="1:26" ht="14.25" customHeight="1">
      <c r="A47" s="81"/>
      <c r="B47" s="64"/>
      <c r="C47" s="76" t="s">
        <v>29</v>
      </c>
      <c r="D47" s="78" t="s">
        <v>137</v>
      </c>
      <c r="E47" s="66" t="s">
        <v>193</v>
      </c>
      <c r="F47" s="67" t="s">
        <v>169</v>
      </c>
      <c r="G47" s="28">
        <v>1</v>
      </c>
      <c r="H47" s="28">
        <v>8</v>
      </c>
      <c r="I47" s="28" t="s">
        <v>86</v>
      </c>
      <c r="J47" s="26" t="s">
        <v>80</v>
      </c>
      <c r="K47" s="31" t="s">
        <v>140</v>
      </c>
      <c r="L47" s="28" t="s">
        <v>91</v>
      </c>
      <c r="M47" s="28" t="s">
        <v>153</v>
      </c>
      <c r="N47" s="29" t="s">
        <v>190</v>
      </c>
      <c r="O47" s="31" t="s">
        <v>91</v>
      </c>
      <c r="P47" s="28" t="s">
        <v>161</v>
      </c>
      <c r="Q47" s="28" t="s">
        <v>176</v>
      </c>
      <c r="R47" s="28" t="s">
        <v>154</v>
      </c>
      <c r="S47" s="29" t="s">
        <v>87</v>
      </c>
      <c r="T47" s="31" t="s">
        <v>148</v>
      </c>
      <c r="U47" s="28" t="s">
        <v>143</v>
      </c>
      <c r="V47" s="28" t="s">
        <v>143</v>
      </c>
      <c r="W47" s="29" t="s">
        <v>81</v>
      </c>
      <c r="X47" s="28" t="s">
        <v>164</v>
      </c>
      <c r="Y47" s="5" t="s">
        <v>211</v>
      </c>
      <c r="Z47" s="68" t="s">
        <v>224</v>
      </c>
    </row>
    <row r="48" spans="1:26">
      <c r="A48" s="81"/>
      <c r="B48" s="64"/>
      <c r="C48" s="76"/>
      <c r="D48" s="78"/>
      <c r="E48" s="66"/>
      <c r="F48" s="67"/>
      <c r="G48" s="28">
        <v>2</v>
      </c>
      <c r="H48" s="28">
        <v>1</v>
      </c>
      <c r="I48" s="28" t="s">
        <v>86</v>
      </c>
      <c r="J48" s="26" t="s">
        <v>80</v>
      </c>
      <c r="K48" s="31" t="s">
        <v>140</v>
      </c>
      <c r="L48" s="28" t="s">
        <v>91</v>
      </c>
      <c r="M48" s="28" t="s">
        <v>153</v>
      </c>
      <c r="N48" s="29" t="s">
        <v>190</v>
      </c>
      <c r="O48" s="31" t="s">
        <v>91</v>
      </c>
      <c r="P48" s="28" t="s">
        <v>155</v>
      </c>
      <c r="Q48" s="28" t="s">
        <v>176</v>
      </c>
      <c r="R48" s="28" t="s">
        <v>89</v>
      </c>
      <c r="S48" s="29" t="s">
        <v>87</v>
      </c>
      <c r="T48" s="31" t="s">
        <v>148</v>
      </c>
      <c r="U48" s="28" t="s">
        <v>182</v>
      </c>
      <c r="V48" s="28" t="s">
        <v>143</v>
      </c>
      <c r="W48" s="29" t="s">
        <v>81</v>
      </c>
      <c r="X48" s="28" t="s">
        <v>78</v>
      </c>
      <c r="Y48" s="5" t="s">
        <v>211</v>
      </c>
      <c r="Z48" s="68"/>
    </row>
    <row r="49" spans="1:26">
      <c r="A49" s="81"/>
      <c r="B49" s="64"/>
      <c r="C49" s="76"/>
      <c r="D49" s="78"/>
      <c r="E49" s="66"/>
      <c r="F49" s="67"/>
      <c r="G49" s="28">
        <v>3</v>
      </c>
      <c r="H49" s="28">
        <v>2</v>
      </c>
      <c r="I49" s="28" t="s">
        <v>86</v>
      </c>
      <c r="J49" s="26" t="s">
        <v>80</v>
      </c>
      <c r="K49" s="31" t="s">
        <v>140</v>
      </c>
      <c r="L49" s="28" t="s">
        <v>91</v>
      </c>
      <c r="M49" s="28" t="s">
        <v>153</v>
      </c>
      <c r="N49" s="29" t="s">
        <v>190</v>
      </c>
      <c r="O49" s="31" t="s">
        <v>91</v>
      </c>
      <c r="P49" s="28" t="s">
        <v>175</v>
      </c>
      <c r="Q49" s="28" t="s">
        <v>176</v>
      </c>
      <c r="R49" s="28" t="s">
        <v>147</v>
      </c>
      <c r="S49" s="29" t="s">
        <v>87</v>
      </c>
      <c r="T49" s="31" t="s">
        <v>142</v>
      </c>
      <c r="U49" s="28" t="s">
        <v>143</v>
      </c>
      <c r="V49" s="28" t="s">
        <v>143</v>
      </c>
      <c r="W49" s="29" t="s">
        <v>81</v>
      </c>
      <c r="X49" s="28" t="s">
        <v>164</v>
      </c>
      <c r="Y49" s="5" t="s">
        <v>211</v>
      </c>
      <c r="Z49" s="68"/>
    </row>
    <row r="50" spans="1:26">
      <c r="A50" s="81"/>
      <c r="B50" s="64"/>
      <c r="C50" s="76" t="s">
        <v>30</v>
      </c>
      <c r="D50" s="78" t="s">
        <v>225</v>
      </c>
      <c r="E50" s="66" t="s">
        <v>226</v>
      </c>
      <c r="F50" s="67" t="s">
        <v>201</v>
      </c>
      <c r="G50" s="6">
        <v>1</v>
      </c>
      <c r="H50" s="6">
        <v>6</v>
      </c>
      <c r="I50" s="6" t="s">
        <v>86</v>
      </c>
      <c r="J50" s="7" t="s">
        <v>80</v>
      </c>
      <c r="K50" s="11" t="s">
        <v>152</v>
      </c>
      <c r="L50" s="28" t="s">
        <v>91</v>
      </c>
      <c r="M50" s="28" t="s">
        <v>153</v>
      </c>
      <c r="N50" s="29" t="s">
        <v>190</v>
      </c>
      <c r="O50" s="31" t="s">
        <v>91</v>
      </c>
      <c r="P50" s="28" t="s">
        <v>175</v>
      </c>
      <c r="Q50" s="28" t="s">
        <v>176</v>
      </c>
      <c r="R50" s="28" t="s">
        <v>89</v>
      </c>
      <c r="S50" s="29" t="s">
        <v>87</v>
      </c>
      <c r="T50" s="31" t="s">
        <v>163</v>
      </c>
      <c r="U50" s="28" t="s">
        <v>188</v>
      </c>
      <c r="V50" s="28" t="s">
        <v>143</v>
      </c>
      <c r="W50" s="29" t="s">
        <v>81</v>
      </c>
      <c r="X50" s="28" t="s">
        <v>164</v>
      </c>
      <c r="Y50" s="46" t="s">
        <v>191</v>
      </c>
      <c r="Z50" s="8"/>
    </row>
    <row r="51" spans="1:26">
      <c r="A51" s="81"/>
      <c r="B51" s="64"/>
      <c r="C51" s="76"/>
      <c r="D51" s="78"/>
      <c r="E51" s="66"/>
      <c r="F51" s="67"/>
      <c r="G51" s="6">
        <v>2</v>
      </c>
      <c r="H51" s="6">
        <v>7</v>
      </c>
      <c r="I51" s="6" t="s">
        <v>86</v>
      </c>
      <c r="J51" s="7" t="s">
        <v>80</v>
      </c>
      <c r="K51" s="11" t="s">
        <v>152</v>
      </c>
      <c r="L51" s="28" t="s">
        <v>91</v>
      </c>
      <c r="M51" s="28" t="s">
        <v>153</v>
      </c>
      <c r="N51" s="29" t="s">
        <v>190</v>
      </c>
      <c r="O51" s="31" t="s">
        <v>91</v>
      </c>
      <c r="P51" s="28" t="s">
        <v>161</v>
      </c>
      <c r="Q51" s="28" t="s">
        <v>176</v>
      </c>
      <c r="R51" s="28" t="s">
        <v>89</v>
      </c>
      <c r="S51" s="29" t="s">
        <v>87</v>
      </c>
      <c r="T51" s="31" t="s">
        <v>148</v>
      </c>
      <c r="U51" s="28" t="s">
        <v>188</v>
      </c>
      <c r="V51" s="28" t="s">
        <v>143</v>
      </c>
      <c r="W51" s="29" t="s">
        <v>81</v>
      </c>
      <c r="X51" s="28" t="s">
        <v>164</v>
      </c>
      <c r="Y51" s="46" t="s">
        <v>191</v>
      </c>
      <c r="Z51" s="8"/>
    </row>
    <row r="52" spans="1:26">
      <c r="A52" s="81"/>
      <c r="B52" s="64"/>
      <c r="C52" s="3" t="s">
        <v>31</v>
      </c>
      <c r="D52" s="32" t="s">
        <v>137</v>
      </c>
      <c r="E52" s="46" t="s">
        <v>227</v>
      </c>
      <c r="F52" s="4" t="s">
        <v>139</v>
      </c>
      <c r="G52" s="6">
        <v>1</v>
      </c>
      <c r="H52" s="6">
        <v>7</v>
      </c>
      <c r="I52" s="6" t="s">
        <v>86</v>
      </c>
      <c r="J52" s="7" t="s">
        <v>151</v>
      </c>
      <c r="K52" s="11" t="s">
        <v>145</v>
      </c>
      <c r="L52" s="6" t="s">
        <v>145</v>
      </c>
      <c r="M52" s="6" t="s">
        <v>145</v>
      </c>
      <c r="N52" s="12" t="s">
        <v>145</v>
      </c>
      <c r="O52" s="6" t="s">
        <v>145</v>
      </c>
      <c r="P52" s="6" t="s">
        <v>145</v>
      </c>
      <c r="Q52" s="6" t="s">
        <v>145</v>
      </c>
      <c r="R52" s="6" t="s">
        <v>145</v>
      </c>
      <c r="S52" s="12" t="s">
        <v>145</v>
      </c>
      <c r="T52" s="6" t="s">
        <v>145</v>
      </c>
      <c r="U52" s="6" t="s">
        <v>145</v>
      </c>
      <c r="V52" s="6" t="s">
        <v>145</v>
      </c>
      <c r="W52" s="12" t="s">
        <v>145</v>
      </c>
      <c r="X52" s="6" t="s">
        <v>145</v>
      </c>
      <c r="Y52" s="6" t="s">
        <v>145</v>
      </c>
      <c r="Z52" s="8"/>
    </row>
    <row r="53" spans="1:26" ht="25.5">
      <c r="A53" s="81"/>
      <c r="B53" s="64"/>
      <c r="C53" s="3" t="s">
        <v>32</v>
      </c>
      <c r="D53" s="32" t="s">
        <v>137</v>
      </c>
      <c r="E53" s="46" t="s">
        <v>228</v>
      </c>
      <c r="F53" s="4" t="s">
        <v>139</v>
      </c>
      <c r="G53" s="6">
        <v>1</v>
      </c>
      <c r="H53" s="6">
        <v>1</v>
      </c>
      <c r="I53" s="6" t="s">
        <v>106</v>
      </c>
      <c r="J53" s="26" t="s">
        <v>151</v>
      </c>
      <c r="K53" s="31" t="s">
        <v>140</v>
      </c>
      <c r="L53" s="28" t="s">
        <v>91</v>
      </c>
      <c r="M53" s="28" t="s">
        <v>153</v>
      </c>
      <c r="N53" s="29" t="s">
        <v>190</v>
      </c>
      <c r="O53" s="31" t="s">
        <v>91</v>
      </c>
      <c r="P53" s="28" t="s">
        <v>175</v>
      </c>
      <c r="Q53" s="28" t="s">
        <v>176</v>
      </c>
      <c r="R53" s="28" t="s">
        <v>147</v>
      </c>
      <c r="S53" s="29" t="s">
        <v>79</v>
      </c>
      <c r="T53" s="31" t="s">
        <v>142</v>
      </c>
      <c r="U53" s="28" t="s">
        <v>182</v>
      </c>
      <c r="V53" s="28" t="s">
        <v>143</v>
      </c>
      <c r="W53" s="29" t="s">
        <v>81</v>
      </c>
      <c r="X53" s="28" t="s">
        <v>164</v>
      </c>
      <c r="Y53" s="5" t="s">
        <v>211</v>
      </c>
      <c r="Z53" s="8" t="s">
        <v>229</v>
      </c>
    </row>
    <row r="54" spans="1:26" ht="25.5">
      <c r="A54" s="81"/>
      <c r="B54" s="64"/>
      <c r="C54" s="3" t="s">
        <v>33</v>
      </c>
      <c r="D54" s="32" t="s">
        <v>137</v>
      </c>
      <c r="E54" s="46" t="s">
        <v>230</v>
      </c>
      <c r="F54" s="4" t="s">
        <v>139</v>
      </c>
      <c r="G54" s="28">
        <v>1</v>
      </c>
      <c r="H54" s="28">
        <v>8</v>
      </c>
      <c r="I54" s="28" t="s">
        <v>86</v>
      </c>
      <c r="J54" s="26" t="s">
        <v>151</v>
      </c>
      <c r="K54" s="31" t="s">
        <v>140</v>
      </c>
      <c r="L54" s="28" t="s">
        <v>91</v>
      </c>
      <c r="M54" s="28" t="s">
        <v>153</v>
      </c>
      <c r="N54" s="29" t="s">
        <v>190</v>
      </c>
      <c r="O54" s="31" t="s">
        <v>91</v>
      </c>
      <c r="P54" s="28" t="s">
        <v>161</v>
      </c>
      <c r="Q54" s="28" t="s">
        <v>176</v>
      </c>
      <c r="R54" s="28" t="s">
        <v>147</v>
      </c>
      <c r="S54" s="29" t="s">
        <v>87</v>
      </c>
      <c r="T54" s="31" t="s">
        <v>163</v>
      </c>
      <c r="U54" s="28" t="s">
        <v>182</v>
      </c>
      <c r="V54" s="28" t="s">
        <v>143</v>
      </c>
      <c r="W54" s="29" t="s">
        <v>81</v>
      </c>
      <c r="X54" s="28" t="s">
        <v>78</v>
      </c>
      <c r="Y54" s="5" t="s">
        <v>191</v>
      </c>
      <c r="Z54" s="8" t="s">
        <v>231</v>
      </c>
    </row>
    <row r="55" spans="1:26" ht="25.5">
      <c r="A55" s="81"/>
      <c r="B55" s="64"/>
      <c r="C55" s="3" t="s">
        <v>34</v>
      </c>
      <c r="D55" s="32" t="s">
        <v>137</v>
      </c>
      <c r="E55" s="46" t="s">
        <v>232</v>
      </c>
      <c r="F55" s="4" t="s">
        <v>139</v>
      </c>
      <c r="G55" s="6">
        <v>1</v>
      </c>
      <c r="H55" s="6">
        <v>1</v>
      </c>
      <c r="I55" s="6" t="s">
        <v>86</v>
      </c>
      <c r="J55" s="26" t="s">
        <v>151</v>
      </c>
      <c r="K55" s="31" t="s">
        <v>152</v>
      </c>
      <c r="L55" s="28" t="s">
        <v>92</v>
      </c>
      <c r="M55" s="28" t="s">
        <v>91</v>
      </c>
      <c r="N55" s="29" t="s">
        <v>101</v>
      </c>
      <c r="O55" s="31" t="s">
        <v>91</v>
      </c>
      <c r="P55" s="28" t="s">
        <v>175</v>
      </c>
      <c r="Q55" s="28" t="s">
        <v>176</v>
      </c>
      <c r="R55" s="28" t="s">
        <v>154</v>
      </c>
      <c r="S55" s="29" t="s">
        <v>79</v>
      </c>
      <c r="T55" s="31" t="s">
        <v>148</v>
      </c>
      <c r="U55" s="28" t="s">
        <v>156</v>
      </c>
      <c r="V55" s="28" t="s">
        <v>141</v>
      </c>
      <c r="W55" s="29" t="s">
        <v>102</v>
      </c>
      <c r="X55" s="28" t="s">
        <v>164</v>
      </c>
      <c r="Y55" s="5" t="s">
        <v>184</v>
      </c>
      <c r="Z55" s="8"/>
    </row>
    <row r="56" spans="1:26" ht="14.25" customHeight="1">
      <c r="A56" s="81"/>
      <c r="B56" s="64"/>
      <c r="C56" s="76" t="s">
        <v>35</v>
      </c>
      <c r="D56" s="78" t="s">
        <v>137</v>
      </c>
      <c r="E56" s="66" t="s">
        <v>233</v>
      </c>
      <c r="F56" s="67" t="s">
        <v>159</v>
      </c>
      <c r="G56" s="6">
        <v>1</v>
      </c>
      <c r="H56" s="6">
        <v>7</v>
      </c>
      <c r="I56" s="6" t="s">
        <v>86</v>
      </c>
      <c r="J56" s="7" t="s">
        <v>80</v>
      </c>
      <c r="K56" s="11" t="s">
        <v>140</v>
      </c>
      <c r="L56" s="28" t="s">
        <v>91</v>
      </c>
      <c r="M56" s="28" t="s">
        <v>153</v>
      </c>
      <c r="N56" s="29" t="s">
        <v>190</v>
      </c>
      <c r="O56" s="31" t="s">
        <v>91</v>
      </c>
      <c r="P56" s="28" t="s">
        <v>175</v>
      </c>
      <c r="Q56" s="28" t="s">
        <v>176</v>
      </c>
      <c r="R56" s="28" t="s">
        <v>147</v>
      </c>
      <c r="S56" s="29" t="s">
        <v>79</v>
      </c>
      <c r="T56" s="31" t="s">
        <v>142</v>
      </c>
      <c r="U56" s="28" t="s">
        <v>156</v>
      </c>
      <c r="V56" s="28" t="s">
        <v>141</v>
      </c>
      <c r="W56" s="29" t="s">
        <v>102</v>
      </c>
      <c r="X56" s="28" t="s">
        <v>164</v>
      </c>
      <c r="Y56" s="5" t="s">
        <v>184</v>
      </c>
      <c r="Z56" s="8"/>
    </row>
    <row r="57" spans="1:26">
      <c r="A57" s="81"/>
      <c r="B57" s="64"/>
      <c r="C57" s="76"/>
      <c r="D57" s="78"/>
      <c r="E57" s="66"/>
      <c r="F57" s="67"/>
      <c r="G57" s="6">
        <v>2</v>
      </c>
      <c r="H57" s="6">
        <v>1</v>
      </c>
      <c r="I57" s="6" t="s">
        <v>86</v>
      </c>
      <c r="J57" s="7" t="s">
        <v>80</v>
      </c>
      <c r="K57" s="11" t="s">
        <v>140</v>
      </c>
      <c r="L57" s="28" t="s">
        <v>180</v>
      </c>
      <c r="M57" s="28" t="s">
        <v>153</v>
      </c>
      <c r="N57" s="29" t="s">
        <v>190</v>
      </c>
      <c r="O57" s="31" t="s">
        <v>81</v>
      </c>
      <c r="P57" s="28" t="s">
        <v>155</v>
      </c>
      <c r="Q57" s="28" t="s">
        <v>176</v>
      </c>
      <c r="R57" s="28" t="s">
        <v>147</v>
      </c>
      <c r="S57" s="29" t="s">
        <v>79</v>
      </c>
      <c r="T57" s="31" t="s">
        <v>148</v>
      </c>
      <c r="U57" s="28" t="s">
        <v>182</v>
      </c>
      <c r="V57" s="28" t="s">
        <v>141</v>
      </c>
      <c r="W57" s="29" t="s">
        <v>102</v>
      </c>
      <c r="X57" s="28" t="s">
        <v>214</v>
      </c>
      <c r="Y57" s="5" t="s">
        <v>184</v>
      </c>
      <c r="Z57" s="8"/>
    </row>
    <row r="58" spans="1:26">
      <c r="A58" s="81"/>
      <c r="B58" s="64"/>
      <c r="C58" s="76" t="s">
        <v>36</v>
      </c>
      <c r="D58" s="78" t="s">
        <v>137</v>
      </c>
      <c r="E58" s="66" t="s">
        <v>222</v>
      </c>
      <c r="F58" s="67" t="s">
        <v>201</v>
      </c>
      <c r="G58" s="28">
        <v>1</v>
      </c>
      <c r="H58" s="28">
        <v>1</v>
      </c>
      <c r="I58" s="28" t="s">
        <v>106</v>
      </c>
      <c r="J58" s="26" t="s">
        <v>151</v>
      </c>
      <c r="K58" s="31" t="s">
        <v>140</v>
      </c>
      <c r="L58" s="28" t="s">
        <v>91</v>
      </c>
      <c r="M58" s="28" t="s">
        <v>153</v>
      </c>
      <c r="N58" s="29" t="s">
        <v>101</v>
      </c>
      <c r="O58" s="31" t="s">
        <v>91</v>
      </c>
      <c r="P58" s="28" t="s">
        <v>155</v>
      </c>
      <c r="Q58" s="28" t="s">
        <v>176</v>
      </c>
      <c r="R58" s="28" t="s">
        <v>89</v>
      </c>
      <c r="S58" s="29" t="s">
        <v>87</v>
      </c>
      <c r="T58" s="31" t="s">
        <v>148</v>
      </c>
      <c r="U58" s="28" t="s">
        <v>156</v>
      </c>
      <c r="V58" s="28" t="s">
        <v>143</v>
      </c>
      <c r="W58" s="29" t="s">
        <v>81</v>
      </c>
      <c r="X58" s="28" t="s">
        <v>78</v>
      </c>
      <c r="Y58" s="5" t="s">
        <v>191</v>
      </c>
      <c r="Z58" s="8"/>
    </row>
    <row r="59" spans="1:26">
      <c r="A59" s="81"/>
      <c r="B59" s="64"/>
      <c r="C59" s="76"/>
      <c r="D59" s="78"/>
      <c r="E59" s="66"/>
      <c r="F59" s="67"/>
      <c r="G59" s="28">
        <v>2</v>
      </c>
      <c r="H59" s="28">
        <v>2</v>
      </c>
      <c r="I59" s="28" t="s">
        <v>106</v>
      </c>
      <c r="J59" s="26" t="s">
        <v>151</v>
      </c>
      <c r="K59" s="31" t="s">
        <v>140</v>
      </c>
      <c r="L59" s="28" t="s">
        <v>91</v>
      </c>
      <c r="M59" s="28" t="s">
        <v>153</v>
      </c>
      <c r="N59" s="29" t="s">
        <v>101</v>
      </c>
      <c r="O59" s="31" t="s">
        <v>91</v>
      </c>
      <c r="P59" s="28" t="s">
        <v>175</v>
      </c>
      <c r="Q59" s="28" t="s">
        <v>176</v>
      </c>
      <c r="R59" s="28" t="s">
        <v>89</v>
      </c>
      <c r="S59" s="29" t="s">
        <v>87</v>
      </c>
      <c r="T59" s="31" t="s">
        <v>148</v>
      </c>
      <c r="U59" s="28" t="s">
        <v>156</v>
      </c>
      <c r="V59" s="28" t="s">
        <v>143</v>
      </c>
      <c r="W59" s="29" t="s">
        <v>81</v>
      </c>
      <c r="X59" s="28" t="s">
        <v>164</v>
      </c>
      <c r="Y59" s="5" t="s">
        <v>191</v>
      </c>
      <c r="Z59" s="8"/>
    </row>
    <row r="60" spans="1:26">
      <c r="A60" s="81"/>
      <c r="B60" s="64"/>
      <c r="C60" s="76" t="s">
        <v>37</v>
      </c>
      <c r="D60" s="78" t="s">
        <v>137</v>
      </c>
      <c r="E60" s="66" t="s">
        <v>193</v>
      </c>
      <c r="F60" s="67" t="s">
        <v>159</v>
      </c>
      <c r="G60" s="6">
        <v>1</v>
      </c>
      <c r="H60" s="6">
        <v>7</v>
      </c>
      <c r="I60" s="6" t="s">
        <v>86</v>
      </c>
      <c r="J60" s="7" t="s">
        <v>151</v>
      </c>
      <c r="K60" s="11" t="s">
        <v>140</v>
      </c>
      <c r="L60" s="28" t="s">
        <v>91</v>
      </c>
      <c r="M60" s="28" t="s">
        <v>153</v>
      </c>
      <c r="N60" s="29" t="s">
        <v>190</v>
      </c>
      <c r="O60" s="31" t="s">
        <v>91</v>
      </c>
      <c r="P60" s="28" t="s">
        <v>161</v>
      </c>
      <c r="Q60" s="28" t="s">
        <v>176</v>
      </c>
      <c r="R60" s="28" t="s">
        <v>154</v>
      </c>
      <c r="S60" s="29" t="s">
        <v>87</v>
      </c>
      <c r="T60" s="31" t="s">
        <v>148</v>
      </c>
      <c r="U60" s="28" t="s">
        <v>143</v>
      </c>
      <c r="V60" s="28" t="s">
        <v>143</v>
      </c>
      <c r="W60" s="29" t="s">
        <v>81</v>
      </c>
      <c r="X60" s="28" t="s">
        <v>78</v>
      </c>
      <c r="Y60" s="5" t="s">
        <v>211</v>
      </c>
      <c r="Z60" s="8"/>
    </row>
    <row r="61" spans="1:26">
      <c r="A61" s="81"/>
      <c r="B61" s="64"/>
      <c r="C61" s="76"/>
      <c r="D61" s="78"/>
      <c r="E61" s="66"/>
      <c r="F61" s="67"/>
      <c r="G61" s="6">
        <v>2</v>
      </c>
      <c r="H61" s="6">
        <v>1</v>
      </c>
      <c r="I61" s="6" t="s">
        <v>86</v>
      </c>
      <c r="J61" s="7" t="s">
        <v>151</v>
      </c>
      <c r="K61" s="11" t="s">
        <v>140</v>
      </c>
      <c r="L61" s="28" t="s">
        <v>91</v>
      </c>
      <c r="M61" s="28" t="s">
        <v>153</v>
      </c>
      <c r="N61" s="29" t="s">
        <v>190</v>
      </c>
      <c r="O61" s="31" t="s">
        <v>91</v>
      </c>
      <c r="P61" s="28" t="s">
        <v>175</v>
      </c>
      <c r="Q61" s="28" t="s">
        <v>176</v>
      </c>
      <c r="R61" s="28" t="s">
        <v>234</v>
      </c>
      <c r="S61" s="29" t="s">
        <v>87</v>
      </c>
      <c r="T61" s="31" t="s">
        <v>148</v>
      </c>
      <c r="U61" s="28" t="s">
        <v>143</v>
      </c>
      <c r="V61" s="28" t="s">
        <v>143</v>
      </c>
      <c r="W61" s="29" t="s">
        <v>81</v>
      </c>
      <c r="X61" s="6" t="s">
        <v>164</v>
      </c>
      <c r="Y61" s="5" t="s">
        <v>211</v>
      </c>
      <c r="Z61" s="8"/>
    </row>
    <row r="62" spans="1:26" ht="25.5">
      <c r="A62" s="82"/>
      <c r="B62" s="65"/>
      <c r="C62" s="3" t="s">
        <v>38</v>
      </c>
      <c r="D62" s="32" t="s">
        <v>137</v>
      </c>
      <c r="E62" s="46" t="s">
        <v>199</v>
      </c>
      <c r="F62" s="4" t="s">
        <v>139</v>
      </c>
      <c r="G62" s="6">
        <v>1</v>
      </c>
      <c r="H62" s="6">
        <v>7</v>
      </c>
      <c r="I62" s="28" t="s">
        <v>86</v>
      </c>
      <c r="J62" s="26" t="s">
        <v>80</v>
      </c>
      <c r="K62" s="11" t="s">
        <v>152</v>
      </c>
      <c r="L62" s="6" t="s">
        <v>91</v>
      </c>
      <c r="M62" s="6" t="s">
        <v>153</v>
      </c>
      <c r="N62" s="29" t="s">
        <v>190</v>
      </c>
      <c r="O62" s="31" t="s">
        <v>91</v>
      </c>
      <c r="P62" s="28" t="s">
        <v>161</v>
      </c>
      <c r="Q62" s="28" t="s">
        <v>176</v>
      </c>
      <c r="R62" s="28" t="s">
        <v>147</v>
      </c>
      <c r="S62" s="29" t="s">
        <v>79</v>
      </c>
      <c r="T62" s="31" t="s">
        <v>142</v>
      </c>
      <c r="U62" s="28" t="s">
        <v>156</v>
      </c>
      <c r="V62" s="28" t="s">
        <v>141</v>
      </c>
      <c r="W62" s="29" t="s">
        <v>218</v>
      </c>
      <c r="X62" s="28" t="s">
        <v>164</v>
      </c>
      <c r="Y62" s="5" t="s">
        <v>211</v>
      </c>
      <c r="Z62" s="19" t="s">
        <v>235</v>
      </c>
    </row>
    <row r="63" spans="1:26" ht="38.25">
      <c r="A63" s="80" t="s">
        <v>3</v>
      </c>
      <c r="B63" s="63" t="s">
        <v>39</v>
      </c>
      <c r="C63" s="2" t="s">
        <v>40</v>
      </c>
      <c r="D63" s="43" t="s">
        <v>137</v>
      </c>
      <c r="E63" s="44" t="s">
        <v>236</v>
      </c>
      <c r="F63" s="23" t="s">
        <v>139</v>
      </c>
      <c r="G63" s="34">
        <v>1</v>
      </c>
      <c r="H63" s="34">
        <v>8</v>
      </c>
      <c r="I63" s="34" t="s">
        <v>86</v>
      </c>
      <c r="J63" s="45" t="s">
        <v>80</v>
      </c>
      <c r="K63" s="35" t="s">
        <v>186</v>
      </c>
      <c r="L63" s="34" t="s">
        <v>91</v>
      </c>
      <c r="M63" s="34" t="s">
        <v>153</v>
      </c>
      <c r="N63" s="36" t="s">
        <v>154</v>
      </c>
      <c r="O63" s="35" t="s">
        <v>91</v>
      </c>
      <c r="P63" s="34" t="s">
        <v>161</v>
      </c>
      <c r="Q63" s="34" t="s">
        <v>162</v>
      </c>
      <c r="R63" s="34" t="s">
        <v>89</v>
      </c>
      <c r="S63" s="36" t="s">
        <v>92</v>
      </c>
      <c r="T63" s="35" t="s">
        <v>163</v>
      </c>
      <c r="U63" s="34" t="s">
        <v>182</v>
      </c>
      <c r="V63" s="34" t="s">
        <v>143</v>
      </c>
      <c r="W63" s="36" t="s">
        <v>143</v>
      </c>
      <c r="X63" s="34" t="s">
        <v>78</v>
      </c>
      <c r="Y63" s="50" t="s">
        <v>191</v>
      </c>
      <c r="Z63" s="8"/>
    </row>
    <row r="64" spans="1:26" ht="38.25">
      <c r="A64" s="81"/>
      <c r="B64" s="64"/>
      <c r="C64" s="3" t="s">
        <v>41</v>
      </c>
      <c r="D64" s="32" t="s">
        <v>203</v>
      </c>
      <c r="E64" s="46" t="s">
        <v>237</v>
      </c>
      <c r="F64" s="4" t="s">
        <v>139</v>
      </c>
      <c r="G64" s="6">
        <v>1</v>
      </c>
      <c r="H64" s="6">
        <v>1</v>
      </c>
      <c r="I64" s="6" t="s">
        <v>86</v>
      </c>
      <c r="J64" s="45" t="s">
        <v>80</v>
      </c>
      <c r="K64" s="11" t="s">
        <v>140</v>
      </c>
      <c r="L64" s="6" t="s">
        <v>91</v>
      </c>
      <c r="M64" s="6" t="s">
        <v>153</v>
      </c>
      <c r="N64" s="12" t="s">
        <v>190</v>
      </c>
      <c r="O64" s="11" t="s">
        <v>91</v>
      </c>
      <c r="P64" s="6" t="s">
        <v>161</v>
      </c>
      <c r="Q64" s="6" t="s">
        <v>162</v>
      </c>
      <c r="R64" s="6" t="s">
        <v>89</v>
      </c>
      <c r="S64" s="12" t="s">
        <v>87</v>
      </c>
      <c r="T64" s="11" t="s">
        <v>148</v>
      </c>
      <c r="U64" s="6" t="s">
        <v>143</v>
      </c>
      <c r="V64" s="6" t="s">
        <v>143</v>
      </c>
      <c r="W64" s="12" t="s">
        <v>81</v>
      </c>
      <c r="X64" s="6" t="s">
        <v>78</v>
      </c>
      <c r="Y64" s="5" t="s">
        <v>165</v>
      </c>
      <c r="Z64" s="8"/>
    </row>
    <row r="65" spans="1:26">
      <c r="A65" s="81"/>
      <c r="B65" s="64"/>
      <c r="C65" s="76" t="s">
        <v>42</v>
      </c>
      <c r="D65" s="78" t="s">
        <v>137</v>
      </c>
      <c r="E65" s="66" t="s">
        <v>227</v>
      </c>
      <c r="F65" s="67" t="s">
        <v>159</v>
      </c>
      <c r="G65" s="6">
        <v>1</v>
      </c>
      <c r="H65" s="6">
        <v>1</v>
      </c>
      <c r="I65" s="6" t="s">
        <v>86</v>
      </c>
      <c r="J65" s="7" t="s">
        <v>80</v>
      </c>
      <c r="K65" s="11" t="s">
        <v>140</v>
      </c>
      <c r="L65" s="6" t="s">
        <v>91</v>
      </c>
      <c r="M65" s="6" t="s">
        <v>153</v>
      </c>
      <c r="N65" s="12" t="s">
        <v>160</v>
      </c>
      <c r="O65" s="11" t="s">
        <v>91</v>
      </c>
      <c r="P65" s="6" t="s">
        <v>161</v>
      </c>
      <c r="Q65" s="6" t="s">
        <v>162</v>
      </c>
      <c r="R65" s="6" t="s">
        <v>154</v>
      </c>
      <c r="S65" s="12" t="s">
        <v>87</v>
      </c>
      <c r="T65" s="11" t="s">
        <v>148</v>
      </c>
      <c r="U65" s="6" t="s">
        <v>143</v>
      </c>
      <c r="V65" s="6" t="s">
        <v>143</v>
      </c>
      <c r="W65" s="12" t="s">
        <v>81</v>
      </c>
      <c r="X65" s="6" t="s">
        <v>78</v>
      </c>
      <c r="Y65" s="5" t="s">
        <v>211</v>
      </c>
      <c r="Z65" s="8"/>
    </row>
    <row r="66" spans="1:26">
      <c r="A66" s="81"/>
      <c r="B66" s="64"/>
      <c r="C66" s="76"/>
      <c r="D66" s="78"/>
      <c r="E66" s="66"/>
      <c r="F66" s="67"/>
      <c r="G66" s="6">
        <v>2</v>
      </c>
      <c r="H66" s="6">
        <v>5</v>
      </c>
      <c r="I66" s="6" t="s">
        <v>86</v>
      </c>
      <c r="J66" s="7" t="s">
        <v>80</v>
      </c>
      <c r="K66" s="11" t="s">
        <v>140</v>
      </c>
      <c r="L66" s="6" t="s">
        <v>91</v>
      </c>
      <c r="M66" s="6" t="s">
        <v>153</v>
      </c>
      <c r="N66" s="12" t="s">
        <v>160</v>
      </c>
      <c r="O66" s="11" t="s">
        <v>91</v>
      </c>
      <c r="P66" s="6" t="s">
        <v>161</v>
      </c>
      <c r="Q66" s="6" t="s">
        <v>176</v>
      </c>
      <c r="R66" s="6" t="s">
        <v>89</v>
      </c>
      <c r="S66" s="12" t="s">
        <v>87</v>
      </c>
      <c r="T66" s="11" t="s">
        <v>148</v>
      </c>
      <c r="U66" s="6" t="s">
        <v>143</v>
      </c>
      <c r="V66" s="6" t="s">
        <v>143</v>
      </c>
      <c r="W66" s="12" t="s">
        <v>81</v>
      </c>
      <c r="X66" s="6" t="s">
        <v>78</v>
      </c>
      <c r="Y66" s="5" t="s">
        <v>211</v>
      </c>
      <c r="Z66" s="8"/>
    </row>
    <row r="67" spans="1:26">
      <c r="A67" s="81"/>
      <c r="B67" s="64"/>
      <c r="C67" s="76"/>
      <c r="D67" s="78"/>
      <c r="E67" s="66"/>
      <c r="F67" s="67"/>
      <c r="G67" s="6">
        <v>3</v>
      </c>
      <c r="H67" s="6">
        <v>6</v>
      </c>
      <c r="I67" s="6" t="s">
        <v>86</v>
      </c>
      <c r="J67" s="7" t="s">
        <v>80</v>
      </c>
      <c r="K67" s="11" t="s">
        <v>140</v>
      </c>
      <c r="L67" s="6" t="s">
        <v>91</v>
      </c>
      <c r="M67" s="6" t="s">
        <v>153</v>
      </c>
      <c r="N67" s="12" t="s">
        <v>160</v>
      </c>
      <c r="O67" s="11" t="s">
        <v>91</v>
      </c>
      <c r="P67" s="6" t="s">
        <v>161</v>
      </c>
      <c r="Q67" s="6" t="s">
        <v>176</v>
      </c>
      <c r="R67" s="6" t="s">
        <v>89</v>
      </c>
      <c r="S67" s="12" t="s">
        <v>87</v>
      </c>
      <c r="T67" s="11" t="s">
        <v>148</v>
      </c>
      <c r="U67" s="6" t="s">
        <v>156</v>
      </c>
      <c r="V67" s="6" t="s">
        <v>143</v>
      </c>
      <c r="W67" s="12" t="s">
        <v>81</v>
      </c>
      <c r="X67" s="6" t="s">
        <v>164</v>
      </c>
      <c r="Y67" s="5" t="s">
        <v>211</v>
      </c>
      <c r="Z67" s="8"/>
    </row>
    <row r="68" spans="1:26">
      <c r="A68" s="81"/>
      <c r="B68" s="64"/>
      <c r="C68" s="76"/>
      <c r="D68" s="78"/>
      <c r="E68" s="66"/>
      <c r="F68" s="67"/>
      <c r="G68" s="6">
        <v>4</v>
      </c>
      <c r="H68" s="6">
        <v>7</v>
      </c>
      <c r="I68" s="6" t="s">
        <v>86</v>
      </c>
      <c r="J68" s="7" t="s">
        <v>80</v>
      </c>
      <c r="K68" s="11" t="s">
        <v>140</v>
      </c>
      <c r="L68" s="6" t="s">
        <v>91</v>
      </c>
      <c r="M68" s="6" t="s">
        <v>153</v>
      </c>
      <c r="N68" s="12" t="s">
        <v>160</v>
      </c>
      <c r="O68" s="11" t="s">
        <v>91</v>
      </c>
      <c r="P68" s="6" t="s">
        <v>161</v>
      </c>
      <c r="Q68" s="6" t="s">
        <v>162</v>
      </c>
      <c r="R68" s="6" t="s">
        <v>89</v>
      </c>
      <c r="S68" s="12" t="s">
        <v>87</v>
      </c>
      <c r="T68" s="11" t="s">
        <v>142</v>
      </c>
      <c r="U68" s="6" t="s">
        <v>143</v>
      </c>
      <c r="V68" s="6" t="s">
        <v>143</v>
      </c>
      <c r="W68" s="12" t="s">
        <v>81</v>
      </c>
      <c r="X68" s="6" t="s">
        <v>164</v>
      </c>
      <c r="Y68" s="5" t="s">
        <v>211</v>
      </c>
      <c r="Z68" s="8"/>
    </row>
    <row r="69" spans="1:26" ht="14.25" customHeight="1">
      <c r="A69" s="81"/>
      <c r="B69" s="64"/>
      <c r="C69" s="76" t="s">
        <v>43</v>
      </c>
      <c r="D69" s="78" t="s">
        <v>137</v>
      </c>
      <c r="E69" s="66" t="s">
        <v>238</v>
      </c>
      <c r="F69" s="67" t="s">
        <v>169</v>
      </c>
      <c r="G69" s="6">
        <v>1</v>
      </c>
      <c r="H69" s="6">
        <v>1</v>
      </c>
      <c r="I69" s="6" t="s">
        <v>86</v>
      </c>
      <c r="J69" s="7" t="s">
        <v>151</v>
      </c>
      <c r="K69" s="11" t="s">
        <v>140</v>
      </c>
      <c r="L69" s="6" t="s">
        <v>91</v>
      </c>
      <c r="M69" s="6" t="s">
        <v>91</v>
      </c>
      <c r="N69" s="12" t="s">
        <v>190</v>
      </c>
      <c r="O69" s="11" t="s">
        <v>91</v>
      </c>
      <c r="P69" s="6" t="s">
        <v>161</v>
      </c>
      <c r="Q69" s="6" t="s">
        <v>176</v>
      </c>
      <c r="R69" s="6" t="s">
        <v>154</v>
      </c>
      <c r="S69" s="12" t="s">
        <v>79</v>
      </c>
      <c r="T69" s="11" t="s">
        <v>142</v>
      </c>
      <c r="U69" s="6" t="s">
        <v>156</v>
      </c>
      <c r="V69" s="6" t="s">
        <v>143</v>
      </c>
      <c r="W69" s="12" t="s">
        <v>81</v>
      </c>
      <c r="X69" s="6" t="s">
        <v>164</v>
      </c>
      <c r="Y69" s="5" t="s">
        <v>191</v>
      </c>
      <c r="Z69" s="8"/>
    </row>
    <row r="70" spans="1:26">
      <c r="A70" s="81"/>
      <c r="B70" s="64"/>
      <c r="C70" s="76"/>
      <c r="D70" s="78"/>
      <c r="E70" s="66"/>
      <c r="F70" s="67"/>
      <c r="G70" s="6">
        <v>2</v>
      </c>
      <c r="H70" s="6">
        <v>1</v>
      </c>
      <c r="I70" s="6" t="s">
        <v>86</v>
      </c>
      <c r="J70" s="7" t="s">
        <v>151</v>
      </c>
      <c r="K70" s="11" t="s">
        <v>140</v>
      </c>
      <c r="L70" s="6" t="s">
        <v>91</v>
      </c>
      <c r="M70" s="6" t="s">
        <v>91</v>
      </c>
      <c r="N70" s="12" t="s">
        <v>190</v>
      </c>
      <c r="O70" s="11" t="s">
        <v>91</v>
      </c>
      <c r="P70" s="6" t="s">
        <v>161</v>
      </c>
      <c r="Q70" s="6" t="s">
        <v>176</v>
      </c>
      <c r="R70" s="6" t="s">
        <v>89</v>
      </c>
      <c r="S70" s="12" t="s">
        <v>87</v>
      </c>
      <c r="T70" s="11" t="s">
        <v>148</v>
      </c>
      <c r="U70" s="6" t="s">
        <v>143</v>
      </c>
      <c r="V70" s="6" t="s">
        <v>143</v>
      </c>
      <c r="W70" s="12" t="s">
        <v>81</v>
      </c>
      <c r="X70" s="6" t="s">
        <v>78</v>
      </c>
      <c r="Y70" s="5" t="s">
        <v>191</v>
      </c>
      <c r="Z70" s="8"/>
    </row>
    <row r="71" spans="1:26">
      <c r="A71" s="81"/>
      <c r="B71" s="64"/>
      <c r="C71" s="76"/>
      <c r="D71" s="78"/>
      <c r="E71" s="66"/>
      <c r="F71" s="67"/>
      <c r="G71" s="6">
        <v>3</v>
      </c>
      <c r="H71" s="6">
        <v>8</v>
      </c>
      <c r="I71" s="6" t="s">
        <v>86</v>
      </c>
      <c r="J71" s="7" t="s">
        <v>151</v>
      </c>
      <c r="K71" s="11" t="s">
        <v>140</v>
      </c>
      <c r="L71" s="6" t="s">
        <v>91</v>
      </c>
      <c r="M71" s="6" t="s">
        <v>91</v>
      </c>
      <c r="N71" s="12" t="s">
        <v>190</v>
      </c>
      <c r="O71" s="11" t="s">
        <v>91</v>
      </c>
      <c r="P71" s="6" t="s">
        <v>145</v>
      </c>
      <c r="Q71" s="6" t="s">
        <v>145</v>
      </c>
      <c r="R71" s="6" t="s">
        <v>145</v>
      </c>
      <c r="S71" s="12" t="s">
        <v>145</v>
      </c>
      <c r="T71" s="11" t="s">
        <v>142</v>
      </c>
      <c r="U71" s="6" t="s">
        <v>143</v>
      </c>
      <c r="V71" s="6" t="s">
        <v>143</v>
      </c>
      <c r="W71" s="12" t="s">
        <v>81</v>
      </c>
      <c r="X71" s="6" t="s">
        <v>145</v>
      </c>
      <c r="Y71" s="5" t="s">
        <v>145</v>
      </c>
      <c r="Z71" s="8" t="s">
        <v>239</v>
      </c>
    </row>
    <row r="72" spans="1:26">
      <c r="A72" s="81"/>
      <c r="B72" s="64"/>
      <c r="C72" s="76"/>
      <c r="D72" s="78"/>
      <c r="E72" s="66"/>
      <c r="F72" s="67"/>
      <c r="G72" s="6">
        <v>4</v>
      </c>
      <c r="H72" s="6">
        <v>7</v>
      </c>
      <c r="I72" s="6" t="s">
        <v>86</v>
      </c>
      <c r="J72" s="7" t="s">
        <v>151</v>
      </c>
      <c r="K72" s="11" t="s">
        <v>140</v>
      </c>
      <c r="L72" s="6" t="s">
        <v>91</v>
      </c>
      <c r="M72" s="6" t="s">
        <v>91</v>
      </c>
      <c r="N72" s="12" t="s">
        <v>190</v>
      </c>
      <c r="O72" s="11" t="s">
        <v>91</v>
      </c>
      <c r="P72" s="6" t="s">
        <v>161</v>
      </c>
      <c r="Q72" s="6" t="s">
        <v>176</v>
      </c>
      <c r="R72" s="6" t="s">
        <v>154</v>
      </c>
      <c r="S72" s="12" t="s">
        <v>87</v>
      </c>
      <c r="T72" s="11" t="s">
        <v>142</v>
      </c>
      <c r="U72" s="6" t="s">
        <v>182</v>
      </c>
      <c r="V72" s="6" t="s">
        <v>143</v>
      </c>
      <c r="W72" s="12" t="s">
        <v>81</v>
      </c>
      <c r="X72" s="28" t="s">
        <v>164</v>
      </c>
      <c r="Y72" s="5" t="s">
        <v>191</v>
      </c>
      <c r="Z72" s="8"/>
    </row>
    <row r="73" spans="1:26">
      <c r="A73" s="82"/>
      <c r="B73" s="65"/>
      <c r="C73" s="77"/>
      <c r="D73" s="79"/>
      <c r="E73" s="69"/>
      <c r="F73" s="70"/>
      <c r="G73" s="21">
        <v>5</v>
      </c>
      <c r="H73" s="21">
        <v>7</v>
      </c>
      <c r="I73" s="21" t="s">
        <v>86</v>
      </c>
      <c r="J73" s="40" t="s">
        <v>151</v>
      </c>
      <c r="K73" s="20" t="s">
        <v>140</v>
      </c>
      <c r="L73" s="21" t="s">
        <v>91</v>
      </c>
      <c r="M73" s="21" t="s">
        <v>91</v>
      </c>
      <c r="N73" s="22" t="s">
        <v>190</v>
      </c>
      <c r="O73" s="20" t="s">
        <v>91</v>
      </c>
      <c r="P73" s="21" t="s">
        <v>161</v>
      </c>
      <c r="Q73" s="21" t="s">
        <v>176</v>
      </c>
      <c r="R73" s="21" t="s">
        <v>154</v>
      </c>
      <c r="S73" s="22" t="s">
        <v>87</v>
      </c>
      <c r="T73" s="20" t="s">
        <v>142</v>
      </c>
      <c r="U73" s="21" t="s">
        <v>156</v>
      </c>
      <c r="V73" s="21" t="s">
        <v>143</v>
      </c>
      <c r="W73" s="22" t="s">
        <v>81</v>
      </c>
      <c r="X73" s="51" t="s">
        <v>167</v>
      </c>
      <c r="Y73" s="52" t="s">
        <v>191</v>
      </c>
      <c r="Z73" s="19"/>
    </row>
    <row r="74" spans="1:26">
      <c r="A74" s="80" t="s">
        <v>44</v>
      </c>
      <c r="B74" s="63" t="s">
        <v>44</v>
      </c>
      <c r="C74" s="83" t="s">
        <v>45</v>
      </c>
      <c r="D74" s="84" t="s">
        <v>172</v>
      </c>
      <c r="E74" s="72" t="s">
        <v>240</v>
      </c>
      <c r="F74" s="73" t="s">
        <v>169</v>
      </c>
      <c r="G74" s="34">
        <v>1</v>
      </c>
      <c r="H74" s="34">
        <v>1</v>
      </c>
      <c r="I74" s="34" t="s">
        <v>106</v>
      </c>
      <c r="J74" s="45" t="s">
        <v>151</v>
      </c>
      <c r="K74" s="35" t="s">
        <v>152</v>
      </c>
      <c r="L74" s="34" t="s">
        <v>91</v>
      </c>
      <c r="M74" s="34" t="s">
        <v>153</v>
      </c>
      <c r="N74" s="36" t="s">
        <v>101</v>
      </c>
      <c r="O74" s="35" t="s">
        <v>91</v>
      </c>
      <c r="P74" s="34" t="s">
        <v>161</v>
      </c>
      <c r="Q74" s="34" t="s">
        <v>176</v>
      </c>
      <c r="R74" s="34" t="s">
        <v>89</v>
      </c>
      <c r="S74" s="36" t="s">
        <v>79</v>
      </c>
      <c r="T74" s="35" t="s">
        <v>142</v>
      </c>
      <c r="U74" s="34" t="s">
        <v>156</v>
      </c>
      <c r="V74" s="34" t="s">
        <v>143</v>
      </c>
      <c r="W74" s="36" t="s">
        <v>81</v>
      </c>
      <c r="X74" s="34" t="s">
        <v>164</v>
      </c>
      <c r="Y74" s="50" t="s">
        <v>211</v>
      </c>
      <c r="Z74" s="8"/>
    </row>
    <row r="75" spans="1:26">
      <c r="A75" s="81"/>
      <c r="B75" s="64"/>
      <c r="C75" s="76"/>
      <c r="D75" s="78"/>
      <c r="E75" s="66"/>
      <c r="F75" s="67"/>
      <c r="G75" s="6">
        <v>2</v>
      </c>
      <c r="H75" s="6">
        <v>1</v>
      </c>
      <c r="I75" s="6" t="s">
        <v>106</v>
      </c>
      <c r="J75" s="7" t="s">
        <v>151</v>
      </c>
      <c r="K75" s="11" t="s">
        <v>152</v>
      </c>
      <c r="L75" s="6" t="s">
        <v>91</v>
      </c>
      <c r="M75" s="6" t="s">
        <v>153</v>
      </c>
      <c r="N75" s="12" t="s">
        <v>101</v>
      </c>
      <c r="O75" s="11" t="s">
        <v>91</v>
      </c>
      <c r="P75" s="6" t="s">
        <v>161</v>
      </c>
      <c r="Q75" s="6" t="s">
        <v>176</v>
      </c>
      <c r="R75" s="6" t="s">
        <v>89</v>
      </c>
      <c r="S75" s="12" t="s">
        <v>79</v>
      </c>
      <c r="T75" s="11" t="s">
        <v>142</v>
      </c>
      <c r="U75" s="6" t="s">
        <v>182</v>
      </c>
      <c r="V75" s="6" t="s">
        <v>143</v>
      </c>
      <c r="W75" s="12" t="s">
        <v>81</v>
      </c>
      <c r="X75" s="6" t="s">
        <v>78</v>
      </c>
      <c r="Y75" s="5" t="s">
        <v>211</v>
      </c>
      <c r="Z75" s="8"/>
    </row>
    <row r="76" spans="1:26">
      <c r="A76" s="82"/>
      <c r="B76" s="65"/>
      <c r="C76" s="77"/>
      <c r="D76" s="79"/>
      <c r="E76" s="69"/>
      <c r="F76" s="70"/>
      <c r="G76" s="21">
        <v>3</v>
      </c>
      <c r="H76" s="21">
        <v>2</v>
      </c>
      <c r="I76" s="21" t="s">
        <v>106</v>
      </c>
      <c r="J76" s="40" t="s">
        <v>151</v>
      </c>
      <c r="K76" s="20" t="s">
        <v>152</v>
      </c>
      <c r="L76" s="21" t="s">
        <v>91</v>
      </c>
      <c r="M76" s="21" t="s">
        <v>153</v>
      </c>
      <c r="N76" s="22" t="s">
        <v>101</v>
      </c>
      <c r="O76" s="20" t="s">
        <v>91</v>
      </c>
      <c r="P76" s="21" t="s">
        <v>161</v>
      </c>
      <c r="Q76" s="21" t="s">
        <v>80</v>
      </c>
      <c r="R76" s="21" t="s">
        <v>89</v>
      </c>
      <c r="S76" s="22" t="s">
        <v>79</v>
      </c>
      <c r="T76" s="20" t="s">
        <v>142</v>
      </c>
      <c r="U76" s="21" t="s">
        <v>156</v>
      </c>
      <c r="V76" s="21" t="s">
        <v>143</v>
      </c>
      <c r="W76" s="22" t="s">
        <v>81</v>
      </c>
      <c r="X76" s="21" t="s">
        <v>164</v>
      </c>
      <c r="Y76" s="52" t="s">
        <v>211</v>
      </c>
      <c r="Z76" s="19"/>
    </row>
    <row r="77" spans="1:26" ht="38.25">
      <c r="A77" s="85" t="s">
        <v>241</v>
      </c>
      <c r="B77" s="88" t="s">
        <v>46</v>
      </c>
      <c r="C77" s="2" t="s">
        <v>47</v>
      </c>
      <c r="D77" s="43" t="s">
        <v>137</v>
      </c>
      <c r="E77" s="44" t="s">
        <v>210</v>
      </c>
      <c r="F77" s="23" t="s">
        <v>139</v>
      </c>
      <c r="G77" s="34">
        <v>1</v>
      </c>
      <c r="H77" s="34">
        <v>8</v>
      </c>
      <c r="I77" s="34" t="s">
        <v>86</v>
      </c>
      <c r="J77" s="45" t="s">
        <v>80</v>
      </c>
      <c r="K77" s="35" t="s">
        <v>140</v>
      </c>
      <c r="L77" s="34" t="s">
        <v>91</v>
      </c>
      <c r="M77" s="34" t="s">
        <v>153</v>
      </c>
      <c r="N77" s="36" t="s">
        <v>190</v>
      </c>
      <c r="O77" s="35" t="s">
        <v>91</v>
      </c>
      <c r="P77" s="34" t="s">
        <v>161</v>
      </c>
      <c r="Q77" s="34" t="s">
        <v>176</v>
      </c>
      <c r="R77" s="34" t="s">
        <v>89</v>
      </c>
      <c r="S77" s="36" t="s">
        <v>87</v>
      </c>
      <c r="T77" s="35" t="s">
        <v>148</v>
      </c>
      <c r="U77" s="34" t="s">
        <v>156</v>
      </c>
      <c r="V77" s="34" t="s">
        <v>143</v>
      </c>
      <c r="W77" s="36" t="s">
        <v>81</v>
      </c>
      <c r="X77" s="34" t="s">
        <v>164</v>
      </c>
      <c r="Y77" s="50" t="s">
        <v>191</v>
      </c>
      <c r="Z77" s="8"/>
    </row>
    <row r="78" spans="1:26" ht="14.25" customHeight="1">
      <c r="A78" s="86"/>
      <c r="B78" s="89"/>
      <c r="C78" s="76" t="s">
        <v>48</v>
      </c>
      <c r="D78" s="78" t="s">
        <v>137</v>
      </c>
      <c r="E78" s="66" t="s">
        <v>222</v>
      </c>
      <c r="F78" s="67" t="s">
        <v>139</v>
      </c>
      <c r="G78" s="6">
        <v>1</v>
      </c>
      <c r="H78" s="6">
        <v>7</v>
      </c>
      <c r="I78" s="6" t="s">
        <v>86</v>
      </c>
      <c r="J78" s="7" t="s">
        <v>80</v>
      </c>
      <c r="K78" s="11" t="s">
        <v>140</v>
      </c>
      <c r="L78" s="6" t="s">
        <v>91</v>
      </c>
      <c r="M78" s="6" t="s">
        <v>153</v>
      </c>
      <c r="N78" s="12" t="s">
        <v>101</v>
      </c>
      <c r="O78" s="11" t="s">
        <v>91</v>
      </c>
      <c r="P78" s="6" t="s">
        <v>161</v>
      </c>
      <c r="Q78" s="6" t="s">
        <v>176</v>
      </c>
      <c r="R78" s="6" t="s">
        <v>89</v>
      </c>
      <c r="S78" s="12" t="s">
        <v>87</v>
      </c>
      <c r="T78" s="11" t="s">
        <v>148</v>
      </c>
      <c r="U78" s="6" t="s">
        <v>188</v>
      </c>
      <c r="V78" s="6" t="s">
        <v>242</v>
      </c>
      <c r="W78" s="12" t="s">
        <v>102</v>
      </c>
      <c r="X78" s="6" t="s">
        <v>164</v>
      </c>
      <c r="Y78" s="5" t="s">
        <v>184</v>
      </c>
      <c r="Z78" s="68" t="s">
        <v>243</v>
      </c>
    </row>
    <row r="79" spans="1:26">
      <c r="A79" s="87"/>
      <c r="B79" s="90"/>
      <c r="C79" s="77"/>
      <c r="D79" s="79"/>
      <c r="E79" s="69"/>
      <c r="F79" s="70"/>
      <c r="G79" s="51">
        <v>1</v>
      </c>
      <c r="H79" s="21">
        <v>7</v>
      </c>
      <c r="I79" s="21" t="s">
        <v>86</v>
      </c>
      <c r="J79" s="40" t="s">
        <v>80</v>
      </c>
      <c r="K79" s="20" t="s">
        <v>140</v>
      </c>
      <c r="L79" s="21" t="s">
        <v>91</v>
      </c>
      <c r="M79" s="21" t="s">
        <v>153</v>
      </c>
      <c r="N79" s="22" t="s">
        <v>101</v>
      </c>
      <c r="O79" s="20" t="s">
        <v>91</v>
      </c>
      <c r="P79" s="21" t="s">
        <v>161</v>
      </c>
      <c r="Q79" s="21" t="s">
        <v>176</v>
      </c>
      <c r="R79" s="21" t="s">
        <v>154</v>
      </c>
      <c r="S79" s="22" t="s">
        <v>87</v>
      </c>
      <c r="T79" s="20" t="s">
        <v>142</v>
      </c>
      <c r="U79" s="21" t="s">
        <v>143</v>
      </c>
      <c r="V79" s="21" t="s">
        <v>143</v>
      </c>
      <c r="W79" s="22" t="s">
        <v>81</v>
      </c>
      <c r="X79" s="51" t="s">
        <v>149</v>
      </c>
      <c r="Y79" s="52" t="s">
        <v>184</v>
      </c>
      <c r="Z79" s="71"/>
    </row>
    <row r="80" spans="1:26">
      <c r="A80" s="63" t="s">
        <v>241</v>
      </c>
      <c r="B80" s="63" t="s">
        <v>49</v>
      </c>
      <c r="C80" s="83" t="s">
        <v>50</v>
      </c>
      <c r="D80" s="84" t="s">
        <v>137</v>
      </c>
      <c r="E80" s="72" t="s">
        <v>213</v>
      </c>
      <c r="F80" s="73" t="s">
        <v>201</v>
      </c>
      <c r="G80" s="37">
        <v>1</v>
      </c>
      <c r="H80" s="37">
        <v>2</v>
      </c>
      <c r="I80" s="37" t="s">
        <v>86</v>
      </c>
      <c r="J80" s="33" t="s">
        <v>151</v>
      </c>
      <c r="K80" s="38" t="s">
        <v>140</v>
      </c>
      <c r="L80" s="37" t="s">
        <v>91</v>
      </c>
      <c r="M80" s="37" t="s">
        <v>92</v>
      </c>
      <c r="N80" s="39" t="s">
        <v>101</v>
      </c>
      <c r="O80" s="38" t="s">
        <v>91</v>
      </c>
      <c r="P80" s="37" t="s">
        <v>161</v>
      </c>
      <c r="Q80" s="37" t="s">
        <v>162</v>
      </c>
      <c r="R80" s="37" t="s">
        <v>89</v>
      </c>
      <c r="S80" s="39" t="s">
        <v>92</v>
      </c>
      <c r="T80" s="38" t="s">
        <v>163</v>
      </c>
      <c r="U80" s="37" t="s">
        <v>182</v>
      </c>
      <c r="V80" s="37" t="s">
        <v>143</v>
      </c>
      <c r="W80" s="39" t="s">
        <v>81</v>
      </c>
      <c r="X80" s="37" t="s">
        <v>164</v>
      </c>
      <c r="Y80" s="44" t="s">
        <v>171</v>
      </c>
      <c r="Z80" s="8"/>
    </row>
    <row r="81" spans="1:26">
      <c r="A81" s="64"/>
      <c r="B81" s="64"/>
      <c r="C81" s="76"/>
      <c r="D81" s="78"/>
      <c r="E81" s="66"/>
      <c r="F81" s="67"/>
      <c r="G81" s="28">
        <v>2</v>
      </c>
      <c r="H81" s="28">
        <v>2</v>
      </c>
      <c r="I81" s="28" t="s">
        <v>86</v>
      </c>
      <c r="J81" s="26" t="s">
        <v>151</v>
      </c>
      <c r="K81" s="31" t="s">
        <v>140</v>
      </c>
      <c r="L81" s="28" t="s">
        <v>91</v>
      </c>
      <c r="M81" s="28" t="s">
        <v>92</v>
      </c>
      <c r="N81" s="29" t="s">
        <v>101</v>
      </c>
      <c r="O81" s="31" t="s">
        <v>91</v>
      </c>
      <c r="P81" s="28" t="s">
        <v>161</v>
      </c>
      <c r="Q81" s="28" t="s">
        <v>162</v>
      </c>
      <c r="R81" s="28" t="s">
        <v>89</v>
      </c>
      <c r="S81" s="29" t="s">
        <v>92</v>
      </c>
      <c r="T81" s="31" t="s">
        <v>148</v>
      </c>
      <c r="U81" s="28" t="s">
        <v>182</v>
      </c>
      <c r="V81" s="28" t="s">
        <v>143</v>
      </c>
      <c r="W81" s="29" t="s">
        <v>81</v>
      </c>
      <c r="X81" s="28" t="s">
        <v>164</v>
      </c>
      <c r="Y81" s="46" t="s">
        <v>171</v>
      </c>
      <c r="Z81" s="8"/>
    </row>
    <row r="82" spans="1:26">
      <c r="A82" s="65"/>
      <c r="B82" s="65"/>
      <c r="C82" s="3" t="s">
        <v>51</v>
      </c>
      <c r="D82" s="32" t="s">
        <v>137</v>
      </c>
      <c r="E82" s="46" t="s">
        <v>158</v>
      </c>
      <c r="F82" s="4" t="s">
        <v>139</v>
      </c>
      <c r="G82" s="6">
        <v>1</v>
      </c>
      <c r="H82" s="6">
        <v>6</v>
      </c>
      <c r="I82" s="6" t="s">
        <v>86</v>
      </c>
      <c r="J82" s="7" t="s">
        <v>80</v>
      </c>
      <c r="K82" s="11" t="s">
        <v>140</v>
      </c>
      <c r="L82" s="6" t="s">
        <v>91</v>
      </c>
      <c r="M82" s="6" t="s">
        <v>153</v>
      </c>
      <c r="N82" s="12" t="s">
        <v>190</v>
      </c>
      <c r="O82" s="11" t="s">
        <v>91</v>
      </c>
      <c r="P82" s="6" t="s">
        <v>141</v>
      </c>
      <c r="Q82" s="6" t="s">
        <v>176</v>
      </c>
      <c r="R82" s="6" t="s">
        <v>89</v>
      </c>
      <c r="S82" s="12" t="s">
        <v>92</v>
      </c>
      <c r="T82" s="11" t="s">
        <v>163</v>
      </c>
      <c r="U82" s="6" t="s">
        <v>156</v>
      </c>
      <c r="V82" s="6" t="s">
        <v>218</v>
      </c>
      <c r="W82" s="12" t="s">
        <v>102</v>
      </c>
      <c r="X82" s="28" t="s">
        <v>78</v>
      </c>
      <c r="Y82" s="46" t="s">
        <v>171</v>
      </c>
      <c r="Z82" s="8"/>
    </row>
    <row r="83" spans="1:26" ht="25.5">
      <c r="A83" s="63" t="s">
        <v>241</v>
      </c>
      <c r="B83" s="63" t="s">
        <v>52</v>
      </c>
      <c r="C83" s="2" t="s">
        <v>53</v>
      </c>
      <c r="D83" s="43" t="s">
        <v>137</v>
      </c>
      <c r="E83" s="44" t="s">
        <v>244</v>
      </c>
      <c r="F83" s="23" t="s">
        <v>139</v>
      </c>
      <c r="G83" s="34">
        <v>1</v>
      </c>
      <c r="H83" s="34">
        <v>2</v>
      </c>
      <c r="I83" s="34" t="s">
        <v>86</v>
      </c>
      <c r="J83" s="45" t="s">
        <v>151</v>
      </c>
      <c r="K83" s="35" t="s">
        <v>140</v>
      </c>
      <c r="L83" s="34" t="s">
        <v>91</v>
      </c>
      <c r="M83" s="37" t="s">
        <v>153</v>
      </c>
      <c r="N83" s="36" t="s">
        <v>101</v>
      </c>
      <c r="O83" s="35" t="s">
        <v>144</v>
      </c>
      <c r="P83" s="34" t="s">
        <v>144</v>
      </c>
      <c r="Q83" s="34" t="s">
        <v>144</v>
      </c>
      <c r="R83" s="34" t="s">
        <v>144</v>
      </c>
      <c r="S83" s="36" t="s">
        <v>144</v>
      </c>
      <c r="T83" s="35" t="s">
        <v>144</v>
      </c>
      <c r="U83" s="34" t="s">
        <v>144</v>
      </c>
      <c r="V83" s="34" t="s">
        <v>144</v>
      </c>
      <c r="W83" s="36" t="s">
        <v>144</v>
      </c>
      <c r="X83" s="34" t="s">
        <v>144</v>
      </c>
      <c r="Y83" s="34" t="s">
        <v>144</v>
      </c>
      <c r="Z83" s="8" t="s">
        <v>245</v>
      </c>
    </row>
    <row r="84" spans="1:26" ht="25.5">
      <c r="A84" s="64"/>
      <c r="B84" s="64"/>
      <c r="C84" s="3" t="s">
        <v>54</v>
      </c>
      <c r="D84" s="32" t="s">
        <v>137</v>
      </c>
      <c r="E84" s="46" t="s">
        <v>244</v>
      </c>
      <c r="F84" s="4" t="s">
        <v>139</v>
      </c>
      <c r="G84" s="6">
        <v>1</v>
      </c>
      <c r="H84" s="6">
        <v>8</v>
      </c>
      <c r="I84" s="6" t="s">
        <v>86</v>
      </c>
      <c r="J84" s="7" t="s">
        <v>151</v>
      </c>
      <c r="K84" s="11" t="s">
        <v>140</v>
      </c>
      <c r="L84" s="6" t="s">
        <v>102</v>
      </c>
      <c r="M84" s="6" t="s">
        <v>153</v>
      </c>
      <c r="N84" s="12" t="s">
        <v>190</v>
      </c>
      <c r="O84" s="11" t="s">
        <v>102</v>
      </c>
      <c r="P84" s="6" t="s">
        <v>161</v>
      </c>
      <c r="Q84" s="6" t="s">
        <v>162</v>
      </c>
      <c r="R84" s="6" t="s">
        <v>89</v>
      </c>
      <c r="S84" s="12" t="s">
        <v>87</v>
      </c>
      <c r="T84" s="11" t="s">
        <v>163</v>
      </c>
      <c r="U84" s="6" t="s">
        <v>143</v>
      </c>
      <c r="V84" s="6" t="s">
        <v>143</v>
      </c>
      <c r="W84" s="12" t="s">
        <v>81</v>
      </c>
      <c r="X84" s="28" t="s">
        <v>164</v>
      </c>
      <c r="Y84" s="46" t="s">
        <v>191</v>
      </c>
      <c r="Z84" s="8"/>
    </row>
    <row r="85" spans="1:26" ht="25.5">
      <c r="A85" s="64"/>
      <c r="B85" s="64"/>
      <c r="C85" s="3" t="s">
        <v>55</v>
      </c>
      <c r="D85" s="32" t="s">
        <v>137</v>
      </c>
      <c r="E85" s="46" t="s">
        <v>193</v>
      </c>
      <c r="F85" s="4" t="s">
        <v>139</v>
      </c>
      <c r="G85" s="6">
        <v>1</v>
      </c>
      <c r="H85" s="6">
        <v>8</v>
      </c>
      <c r="I85" s="6" t="s">
        <v>86</v>
      </c>
      <c r="J85" s="7" t="s">
        <v>151</v>
      </c>
      <c r="K85" s="11" t="s">
        <v>144</v>
      </c>
      <c r="L85" s="6" t="s">
        <v>144</v>
      </c>
      <c r="M85" s="6" t="s">
        <v>144</v>
      </c>
      <c r="N85" s="12" t="s">
        <v>144</v>
      </c>
      <c r="O85" s="11" t="s">
        <v>91</v>
      </c>
      <c r="P85" s="6" t="s">
        <v>155</v>
      </c>
      <c r="Q85" s="6" t="s">
        <v>166</v>
      </c>
      <c r="R85" s="6" t="s">
        <v>234</v>
      </c>
      <c r="S85" s="12" t="s">
        <v>87</v>
      </c>
      <c r="T85" s="11" t="s">
        <v>142</v>
      </c>
      <c r="U85" s="6" t="s">
        <v>188</v>
      </c>
      <c r="V85" s="6" t="s">
        <v>143</v>
      </c>
      <c r="W85" s="12" t="s">
        <v>81</v>
      </c>
      <c r="X85" s="28" t="s">
        <v>164</v>
      </c>
      <c r="Y85" s="46" t="s">
        <v>171</v>
      </c>
      <c r="Z85" s="8"/>
    </row>
    <row r="86" spans="1:26" ht="25.5">
      <c r="A86" s="64"/>
      <c r="B86" s="64"/>
      <c r="C86" s="3" t="s">
        <v>56</v>
      </c>
      <c r="D86" s="32" t="s">
        <v>137</v>
      </c>
      <c r="E86" s="46" t="s">
        <v>244</v>
      </c>
      <c r="F86" s="4" t="s">
        <v>139</v>
      </c>
      <c r="G86" s="6">
        <v>1</v>
      </c>
      <c r="H86" s="6">
        <v>1</v>
      </c>
      <c r="I86" s="6" t="s">
        <v>86</v>
      </c>
      <c r="J86" s="7" t="s">
        <v>151</v>
      </c>
      <c r="K86" s="11" t="s">
        <v>152</v>
      </c>
      <c r="L86" s="6" t="s">
        <v>91</v>
      </c>
      <c r="M86" s="6" t="s">
        <v>153</v>
      </c>
      <c r="N86" s="12" t="s">
        <v>101</v>
      </c>
      <c r="O86" s="11" t="s">
        <v>144</v>
      </c>
      <c r="P86" s="6" t="s">
        <v>144</v>
      </c>
      <c r="Q86" s="6" t="s">
        <v>144</v>
      </c>
      <c r="R86" s="6" t="s">
        <v>144</v>
      </c>
      <c r="S86" s="12" t="s">
        <v>144</v>
      </c>
      <c r="T86" s="11" t="s">
        <v>144</v>
      </c>
      <c r="U86" s="6" t="s">
        <v>144</v>
      </c>
      <c r="V86" s="6" t="s">
        <v>144</v>
      </c>
      <c r="W86" s="12" t="s">
        <v>144</v>
      </c>
      <c r="X86" s="28" t="s">
        <v>144</v>
      </c>
      <c r="Y86" s="28" t="s">
        <v>144</v>
      </c>
      <c r="Z86" s="8" t="s">
        <v>246</v>
      </c>
    </row>
    <row r="87" spans="1:26" ht="25.5">
      <c r="A87" s="64"/>
      <c r="B87" s="64"/>
      <c r="C87" s="3" t="s">
        <v>57</v>
      </c>
      <c r="D87" s="32" t="s">
        <v>137</v>
      </c>
      <c r="E87" s="46" t="s">
        <v>138</v>
      </c>
      <c r="F87" s="4" t="s">
        <v>139</v>
      </c>
      <c r="G87" s="6">
        <v>1</v>
      </c>
      <c r="H87" s="6">
        <v>8</v>
      </c>
      <c r="I87" s="6" t="s">
        <v>86</v>
      </c>
      <c r="J87" s="7" t="s">
        <v>80</v>
      </c>
      <c r="K87" s="11" t="s">
        <v>186</v>
      </c>
      <c r="L87" s="6" t="s">
        <v>91</v>
      </c>
      <c r="M87" s="6" t="s">
        <v>86</v>
      </c>
      <c r="N87" s="12" t="s">
        <v>101</v>
      </c>
      <c r="O87" s="11" t="s">
        <v>91</v>
      </c>
      <c r="P87" s="6" t="s">
        <v>161</v>
      </c>
      <c r="Q87" s="6" t="s">
        <v>176</v>
      </c>
      <c r="R87" s="6" t="s">
        <v>147</v>
      </c>
      <c r="S87" s="12" t="s">
        <v>79</v>
      </c>
      <c r="T87" s="11" t="s">
        <v>142</v>
      </c>
      <c r="U87" s="6" t="s">
        <v>182</v>
      </c>
      <c r="V87" s="6" t="s">
        <v>143</v>
      </c>
      <c r="W87" s="12" t="s">
        <v>81</v>
      </c>
      <c r="X87" s="28" t="s">
        <v>78</v>
      </c>
      <c r="Y87" s="46" t="s">
        <v>165</v>
      </c>
      <c r="Z87" s="8"/>
    </row>
    <row r="88" spans="1:26" ht="14.25" customHeight="1">
      <c r="A88" s="64"/>
      <c r="B88" s="64"/>
      <c r="C88" s="76" t="s">
        <v>58</v>
      </c>
      <c r="D88" s="78" t="s">
        <v>137</v>
      </c>
      <c r="E88" s="66" t="s">
        <v>244</v>
      </c>
      <c r="F88" s="67" t="s">
        <v>201</v>
      </c>
      <c r="G88" s="6">
        <v>1</v>
      </c>
      <c r="H88" s="6">
        <v>8</v>
      </c>
      <c r="I88" s="6" t="s">
        <v>86</v>
      </c>
      <c r="J88" s="7" t="s">
        <v>151</v>
      </c>
      <c r="K88" s="11" t="s">
        <v>140</v>
      </c>
      <c r="L88" s="6" t="s">
        <v>91</v>
      </c>
      <c r="M88" s="6" t="s">
        <v>153</v>
      </c>
      <c r="N88" s="12" t="s">
        <v>101</v>
      </c>
      <c r="O88" s="11" t="s">
        <v>91</v>
      </c>
      <c r="P88" s="6" t="s">
        <v>161</v>
      </c>
      <c r="Q88" s="6" t="s">
        <v>176</v>
      </c>
      <c r="R88" s="6" t="s">
        <v>154</v>
      </c>
      <c r="S88" s="12" t="s">
        <v>79</v>
      </c>
      <c r="T88" s="11" t="s">
        <v>148</v>
      </c>
      <c r="U88" s="6" t="s">
        <v>156</v>
      </c>
      <c r="V88" s="6" t="s">
        <v>143</v>
      </c>
      <c r="W88" s="12" t="s">
        <v>81</v>
      </c>
      <c r="X88" s="28" t="s">
        <v>164</v>
      </c>
      <c r="Y88" s="46" t="s">
        <v>184</v>
      </c>
      <c r="Z88" s="68" t="s">
        <v>247</v>
      </c>
    </row>
    <row r="89" spans="1:26">
      <c r="A89" s="64"/>
      <c r="B89" s="64"/>
      <c r="C89" s="76"/>
      <c r="D89" s="78"/>
      <c r="E89" s="66"/>
      <c r="F89" s="67"/>
      <c r="G89" s="6">
        <v>2</v>
      </c>
      <c r="H89" s="6">
        <v>7</v>
      </c>
      <c r="I89" s="6" t="s">
        <v>86</v>
      </c>
      <c r="J89" s="7" t="s">
        <v>151</v>
      </c>
      <c r="K89" s="11" t="s">
        <v>140</v>
      </c>
      <c r="L89" s="6" t="s">
        <v>91</v>
      </c>
      <c r="M89" s="6" t="s">
        <v>153</v>
      </c>
      <c r="N89" s="12" t="s">
        <v>101</v>
      </c>
      <c r="O89" s="11" t="s">
        <v>91</v>
      </c>
      <c r="P89" s="6" t="s">
        <v>161</v>
      </c>
      <c r="Q89" s="6" t="s">
        <v>176</v>
      </c>
      <c r="R89" s="6" t="s">
        <v>147</v>
      </c>
      <c r="S89" s="12" t="s">
        <v>79</v>
      </c>
      <c r="T89" s="11" t="s">
        <v>148</v>
      </c>
      <c r="U89" s="6" t="s">
        <v>143</v>
      </c>
      <c r="V89" s="6" t="s">
        <v>143</v>
      </c>
      <c r="W89" s="12" t="s">
        <v>81</v>
      </c>
      <c r="X89" s="28" t="s">
        <v>167</v>
      </c>
      <c r="Y89" s="46" t="s">
        <v>184</v>
      </c>
      <c r="Z89" s="68"/>
    </row>
    <row r="90" spans="1:26">
      <c r="A90" s="64"/>
      <c r="B90" s="64"/>
      <c r="C90" s="3" t="s">
        <v>59</v>
      </c>
      <c r="D90" s="32" t="s">
        <v>137</v>
      </c>
      <c r="E90" s="46" t="s">
        <v>227</v>
      </c>
      <c r="F90" s="4" t="s">
        <v>145</v>
      </c>
      <c r="G90" s="7" t="s">
        <v>145</v>
      </c>
      <c r="H90" s="7" t="s">
        <v>145</v>
      </c>
      <c r="I90" s="6" t="s">
        <v>86</v>
      </c>
      <c r="J90" s="7" t="s">
        <v>151</v>
      </c>
      <c r="K90" s="53" t="s">
        <v>145</v>
      </c>
      <c r="L90" s="7" t="s">
        <v>145</v>
      </c>
      <c r="M90" s="7" t="s">
        <v>145</v>
      </c>
      <c r="N90" s="54" t="s">
        <v>145</v>
      </c>
      <c r="O90" s="53" t="s">
        <v>145</v>
      </c>
      <c r="P90" s="7" t="s">
        <v>145</v>
      </c>
      <c r="Q90" s="7" t="s">
        <v>145</v>
      </c>
      <c r="R90" s="6" t="s">
        <v>154</v>
      </c>
      <c r="S90" s="54" t="s">
        <v>87</v>
      </c>
      <c r="T90" s="53" t="s">
        <v>145</v>
      </c>
      <c r="U90" s="7" t="s">
        <v>145</v>
      </c>
      <c r="V90" s="7" t="s">
        <v>145</v>
      </c>
      <c r="W90" s="54" t="s">
        <v>145</v>
      </c>
      <c r="X90" s="26" t="s">
        <v>145</v>
      </c>
      <c r="Y90" s="26" t="s">
        <v>145</v>
      </c>
      <c r="Z90" s="8" t="s">
        <v>248</v>
      </c>
    </row>
    <row r="91" spans="1:26" ht="14.25" customHeight="1">
      <c r="A91" s="64"/>
      <c r="B91" s="64"/>
      <c r="C91" s="76" t="s">
        <v>60</v>
      </c>
      <c r="D91" s="78" t="s">
        <v>137</v>
      </c>
      <c r="E91" s="66" t="s">
        <v>249</v>
      </c>
      <c r="F91" s="67" t="s">
        <v>169</v>
      </c>
      <c r="G91" s="6">
        <v>1</v>
      </c>
      <c r="H91" s="6">
        <v>1</v>
      </c>
      <c r="I91" s="6" t="s">
        <v>86</v>
      </c>
      <c r="J91" s="7" t="s">
        <v>151</v>
      </c>
      <c r="K91" s="11" t="s">
        <v>152</v>
      </c>
      <c r="L91" s="6" t="s">
        <v>220</v>
      </c>
      <c r="M91" s="6" t="s">
        <v>153</v>
      </c>
      <c r="N91" s="12" t="s">
        <v>190</v>
      </c>
      <c r="O91" s="11" t="s">
        <v>91</v>
      </c>
      <c r="P91" s="6" t="s">
        <v>161</v>
      </c>
      <c r="Q91" s="6" t="s">
        <v>250</v>
      </c>
      <c r="R91" s="6" t="s">
        <v>89</v>
      </c>
      <c r="S91" s="12" t="s">
        <v>92</v>
      </c>
      <c r="T91" s="11" t="s">
        <v>148</v>
      </c>
      <c r="U91" s="6" t="s">
        <v>156</v>
      </c>
      <c r="V91" s="6" t="s">
        <v>143</v>
      </c>
      <c r="W91" s="12" t="s">
        <v>81</v>
      </c>
      <c r="X91" s="28" t="s">
        <v>164</v>
      </c>
      <c r="Y91" s="46" t="s">
        <v>184</v>
      </c>
      <c r="Z91" s="68" t="s">
        <v>251</v>
      </c>
    </row>
    <row r="92" spans="1:26">
      <c r="A92" s="64"/>
      <c r="B92" s="64"/>
      <c r="C92" s="76"/>
      <c r="D92" s="78"/>
      <c r="E92" s="66"/>
      <c r="F92" s="67"/>
      <c r="G92" s="6">
        <v>2</v>
      </c>
      <c r="H92" s="6">
        <v>8</v>
      </c>
      <c r="I92" s="6" t="s">
        <v>86</v>
      </c>
      <c r="J92" s="7" t="s">
        <v>151</v>
      </c>
      <c r="K92" s="11" t="s">
        <v>152</v>
      </c>
      <c r="L92" s="6" t="s">
        <v>220</v>
      </c>
      <c r="M92" s="6" t="s">
        <v>153</v>
      </c>
      <c r="N92" s="12" t="s">
        <v>190</v>
      </c>
      <c r="O92" s="11" t="s">
        <v>91</v>
      </c>
      <c r="P92" s="6" t="s">
        <v>161</v>
      </c>
      <c r="Q92" s="6" t="s">
        <v>176</v>
      </c>
      <c r="R92" s="6" t="s">
        <v>84</v>
      </c>
      <c r="S92" s="12" t="s">
        <v>79</v>
      </c>
      <c r="T92" s="11" t="s">
        <v>142</v>
      </c>
      <c r="U92" s="6" t="s">
        <v>143</v>
      </c>
      <c r="V92" s="6" t="s">
        <v>143</v>
      </c>
      <c r="W92" s="12" t="s">
        <v>81</v>
      </c>
      <c r="X92" s="28" t="s">
        <v>164</v>
      </c>
      <c r="Y92" s="46" t="s">
        <v>184</v>
      </c>
      <c r="Z92" s="68"/>
    </row>
    <row r="93" spans="1:26">
      <c r="A93" s="65"/>
      <c r="B93" s="65"/>
      <c r="C93" s="77"/>
      <c r="D93" s="79"/>
      <c r="E93" s="69"/>
      <c r="F93" s="70"/>
      <c r="G93" s="21">
        <v>3</v>
      </c>
      <c r="H93" s="21">
        <v>7</v>
      </c>
      <c r="I93" s="21" t="s">
        <v>86</v>
      </c>
      <c r="J93" s="40" t="s">
        <v>151</v>
      </c>
      <c r="K93" s="20" t="s">
        <v>152</v>
      </c>
      <c r="L93" s="21" t="s">
        <v>220</v>
      </c>
      <c r="M93" s="21" t="s">
        <v>153</v>
      </c>
      <c r="N93" s="22" t="s">
        <v>190</v>
      </c>
      <c r="O93" s="20" t="s">
        <v>144</v>
      </c>
      <c r="P93" s="21" t="s">
        <v>144</v>
      </c>
      <c r="Q93" s="21" t="s">
        <v>144</v>
      </c>
      <c r="R93" s="21" t="s">
        <v>144</v>
      </c>
      <c r="S93" s="22" t="s">
        <v>144</v>
      </c>
      <c r="T93" s="20" t="s">
        <v>144</v>
      </c>
      <c r="U93" s="21" t="s">
        <v>144</v>
      </c>
      <c r="V93" s="21" t="s">
        <v>144</v>
      </c>
      <c r="W93" s="22" t="s">
        <v>144</v>
      </c>
      <c r="X93" s="21" t="s">
        <v>144</v>
      </c>
      <c r="Y93" s="52" t="s">
        <v>144</v>
      </c>
      <c r="Z93" s="71"/>
    </row>
  </sheetData>
  <mergeCells count="128">
    <mergeCell ref="K1:N1"/>
    <mergeCell ref="O1:S1"/>
    <mergeCell ref="T1:W1"/>
    <mergeCell ref="A3:A30"/>
    <mergeCell ref="B3:B30"/>
    <mergeCell ref="C3:C4"/>
    <mergeCell ref="D3:D4"/>
    <mergeCell ref="E3:E4"/>
    <mergeCell ref="F3:F4"/>
    <mergeCell ref="C10:C12"/>
    <mergeCell ref="D10:D12"/>
    <mergeCell ref="E10:E12"/>
    <mergeCell ref="F10:F12"/>
    <mergeCell ref="C14:C15"/>
    <mergeCell ref="E14:E15"/>
    <mergeCell ref="F14:F15"/>
    <mergeCell ref="Z3:Z4"/>
    <mergeCell ref="C6:C9"/>
    <mergeCell ref="D6:D9"/>
    <mergeCell ref="E6:E9"/>
    <mergeCell ref="F6:F9"/>
    <mergeCell ref="I6:I9"/>
    <mergeCell ref="J6:J9"/>
    <mergeCell ref="Z14:Z15"/>
    <mergeCell ref="C17:C18"/>
    <mergeCell ref="D17:D18"/>
    <mergeCell ref="E17:E18"/>
    <mergeCell ref="F17:F18"/>
    <mergeCell ref="C19:C21"/>
    <mergeCell ref="D19:D21"/>
    <mergeCell ref="E19:E21"/>
    <mergeCell ref="F19:F21"/>
    <mergeCell ref="Z19:Z21"/>
    <mergeCell ref="C26:C27"/>
    <mergeCell ref="D26:D27"/>
    <mergeCell ref="E26:E27"/>
    <mergeCell ref="F26:F27"/>
    <mergeCell ref="Z26:Z27"/>
    <mergeCell ref="C28:C30"/>
    <mergeCell ref="D28:D30"/>
    <mergeCell ref="E28:E30"/>
    <mergeCell ref="F28:F30"/>
    <mergeCell ref="C41:C44"/>
    <mergeCell ref="D41:D44"/>
    <mergeCell ref="C45:C46"/>
    <mergeCell ref="D45:D46"/>
    <mergeCell ref="C37:C38"/>
    <mergeCell ref="D37:D38"/>
    <mergeCell ref="C39:C40"/>
    <mergeCell ref="D39:D40"/>
    <mergeCell ref="C33:C34"/>
    <mergeCell ref="D33:D34"/>
    <mergeCell ref="D58:D59"/>
    <mergeCell ref="C60:C61"/>
    <mergeCell ref="D60:D61"/>
    <mergeCell ref="C50:C51"/>
    <mergeCell ref="D50:D51"/>
    <mergeCell ref="C56:C57"/>
    <mergeCell ref="D56:D57"/>
    <mergeCell ref="C47:C49"/>
    <mergeCell ref="D47:D49"/>
    <mergeCell ref="A31:A62"/>
    <mergeCell ref="B31:B62"/>
    <mergeCell ref="E33:E34"/>
    <mergeCell ref="F33:F34"/>
    <mergeCell ref="E45:E46"/>
    <mergeCell ref="C80:C81"/>
    <mergeCell ref="D80:D81"/>
    <mergeCell ref="C88:C89"/>
    <mergeCell ref="D88:D89"/>
    <mergeCell ref="A74:A76"/>
    <mergeCell ref="B74:B76"/>
    <mergeCell ref="C74:C76"/>
    <mergeCell ref="D74:D76"/>
    <mergeCell ref="C78:C79"/>
    <mergeCell ref="D78:D79"/>
    <mergeCell ref="A77:A79"/>
    <mergeCell ref="B77:B79"/>
    <mergeCell ref="C65:C68"/>
    <mergeCell ref="D65:D68"/>
    <mergeCell ref="C69:C73"/>
    <mergeCell ref="D69:D73"/>
    <mergeCell ref="A63:A73"/>
    <mergeCell ref="B63:B73"/>
    <mergeCell ref="C58:C59"/>
    <mergeCell ref="Z45:Z46"/>
    <mergeCell ref="E47:E49"/>
    <mergeCell ref="F47:F49"/>
    <mergeCell ref="Z47:Z49"/>
    <mergeCell ref="E50:E51"/>
    <mergeCell ref="F50:F51"/>
    <mergeCell ref="Z33:Z34"/>
    <mergeCell ref="E37:E38"/>
    <mergeCell ref="F37:F38"/>
    <mergeCell ref="E39:E40"/>
    <mergeCell ref="F39:F40"/>
    <mergeCell ref="E41:E44"/>
    <mergeCell ref="F41:F44"/>
    <mergeCell ref="F45:F46"/>
    <mergeCell ref="E65:E68"/>
    <mergeCell ref="F65:F68"/>
    <mergeCell ref="E69:E73"/>
    <mergeCell ref="F69:F73"/>
    <mergeCell ref="E74:E76"/>
    <mergeCell ref="F74:F76"/>
    <mergeCell ref="E56:E57"/>
    <mergeCell ref="F56:F57"/>
    <mergeCell ref="E58:E59"/>
    <mergeCell ref="F58:F59"/>
    <mergeCell ref="E60:E61"/>
    <mergeCell ref="F60:F61"/>
    <mergeCell ref="A83:A93"/>
    <mergeCell ref="B83:B93"/>
    <mergeCell ref="E88:E89"/>
    <mergeCell ref="F88:F89"/>
    <mergeCell ref="Z88:Z89"/>
    <mergeCell ref="E91:E93"/>
    <mergeCell ref="F91:F93"/>
    <mergeCell ref="Z91:Z93"/>
    <mergeCell ref="E78:E79"/>
    <mergeCell ref="F78:F79"/>
    <mergeCell ref="Z78:Z79"/>
    <mergeCell ref="A80:A82"/>
    <mergeCell ref="B80:B82"/>
    <mergeCell ref="E80:E81"/>
    <mergeCell ref="F80:F81"/>
    <mergeCell ref="C91:C93"/>
    <mergeCell ref="D91:D9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8"/>
  <sheetViews>
    <sheetView workbookViewId="0">
      <selection sqref="A1:Q2"/>
    </sheetView>
  </sheetViews>
  <sheetFormatPr defaultRowHeight="15"/>
  <cols>
    <col min="1" max="1" width="9.375" style="142" bestFit="1" customWidth="1"/>
    <col min="2" max="2" width="15.125" style="142" bestFit="1" customWidth="1"/>
    <col min="3" max="3" width="6.5" style="142" bestFit="1" customWidth="1"/>
    <col min="4" max="4" width="7.5" style="142" bestFit="1" customWidth="1"/>
    <col min="5" max="5" width="8.25" style="142" bestFit="1" customWidth="1"/>
    <col min="6" max="6" width="2.875" style="142" customWidth="1"/>
    <col min="7" max="10" width="2.5" style="142" bestFit="1" customWidth="1"/>
    <col min="11" max="11" width="3.125" style="142" customWidth="1"/>
    <col min="12" max="17" width="2.5" style="142" bestFit="1" customWidth="1"/>
    <col min="18" max="16384" width="9" style="142"/>
  </cols>
  <sheetData>
    <row r="1" spans="1:21">
      <c r="A1" s="143"/>
      <c r="B1" s="143"/>
      <c r="C1" s="143"/>
      <c r="D1" s="143"/>
      <c r="E1" s="144"/>
      <c r="F1" s="145" t="s">
        <v>263</v>
      </c>
      <c r="G1" s="146"/>
      <c r="H1" s="146"/>
      <c r="I1" s="146"/>
      <c r="J1" s="146"/>
      <c r="K1" s="147"/>
      <c r="L1" s="148" t="s">
        <v>264</v>
      </c>
      <c r="M1" s="143"/>
      <c r="N1" s="143"/>
      <c r="O1" s="143"/>
      <c r="P1" s="143"/>
      <c r="Q1" s="144"/>
    </row>
    <row r="2" spans="1:21" ht="39">
      <c r="A2" s="139" t="s">
        <v>0</v>
      </c>
      <c r="B2" s="139" t="s">
        <v>115</v>
      </c>
      <c r="C2" s="137" t="s">
        <v>118</v>
      </c>
      <c r="D2" s="137" t="s">
        <v>205</v>
      </c>
      <c r="E2" s="149" t="s">
        <v>206</v>
      </c>
      <c r="F2" s="150" t="s">
        <v>252</v>
      </c>
      <c r="G2" s="151" t="s">
        <v>253</v>
      </c>
      <c r="H2" s="151" t="s">
        <v>254</v>
      </c>
      <c r="I2" s="151" t="s">
        <v>255</v>
      </c>
      <c r="J2" s="152" t="s">
        <v>255</v>
      </c>
      <c r="K2" s="153" t="s">
        <v>256</v>
      </c>
      <c r="L2" s="150" t="s">
        <v>257</v>
      </c>
      <c r="M2" s="151" t="s">
        <v>258</v>
      </c>
      <c r="N2" s="151" t="s">
        <v>259</v>
      </c>
      <c r="O2" s="151" t="s">
        <v>260</v>
      </c>
      <c r="P2" s="151" t="s">
        <v>261</v>
      </c>
      <c r="Q2" s="153" t="s">
        <v>262</v>
      </c>
      <c r="S2" s="107" t="s">
        <v>265</v>
      </c>
      <c r="T2" s="107"/>
      <c r="U2" s="107"/>
    </row>
    <row r="3" spans="1:21">
      <c r="A3" s="14" t="s">
        <v>44</v>
      </c>
      <c r="B3" s="108" t="s">
        <v>45</v>
      </c>
      <c r="C3" s="109" t="s">
        <v>169</v>
      </c>
      <c r="D3" s="6">
        <v>1</v>
      </c>
      <c r="E3" s="12">
        <v>1</v>
      </c>
      <c r="F3" s="11">
        <v>1</v>
      </c>
      <c r="G3" s="6">
        <v>1</v>
      </c>
      <c r="H3" s="6">
        <v>1</v>
      </c>
      <c r="I3" s="6">
        <v>1</v>
      </c>
      <c r="J3" s="6"/>
      <c r="K3" s="12"/>
      <c r="L3" s="11"/>
      <c r="M3" s="6"/>
      <c r="N3" s="6"/>
      <c r="O3" s="6"/>
      <c r="P3" s="6"/>
      <c r="Q3" s="12"/>
    </row>
    <row r="4" spans="1:21">
      <c r="A4" s="14" t="s">
        <v>44</v>
      </c>
      <c r="B4" s="98"/>
      <c r="C4" s="105"/>
      <c r="D4" s="6">
        <v>2</v>
      </c>
      <c r="E4" s="12">
        <v>1</v>
      </c>
      <c r="F4" s="11"/>
      <c r="G4" s="6">
        <v>1</v>
      </c>
      <c r="H4" s="6">
        <v>1</v>
      </c>
      <c r="I4" s="6">
        <v>1</v>
      </c>
      <c r="J4" s="6">
        <v>1</v>
      </c>
      <c r="K4" s="12">
        <v>1</v>
      </c>
      <c r="L4" s="11">
        <v>1</v>
      </c>
      <c r="M4" s="6">
        <v>1</v>
      </c>
      <c r="N4" s="6"/>
      <c r="O4" s="6"/>
      <c r="P4" s="6"/>
      <c r="Q4" s="12"/>
    </row>
    <row r="5" spans="1:21">
      <c r="A5" s="56" t="s">
        <v>44</v>
      </c>
      <c r="B5" s="102"/>
      <c r="C5" s="106"/>
      <c r="D5" s="21">
        <v>3</v>
      </c>
      <c r="E5" s="22">
        <v>2</v>
      </c>
      <c r="F5" s="20">
        <v>1</v>
      </c>
      <c r="G5" s="21">
        <v>1</v>
      </c>
      <c r="H5" s="21">
        <v>1</v>
      </c>
      <c r="I5" s="21"/>
      <c r="J5" s="21"/>
      <c r="K5" s="22"/>
      <c r="L5" s="20"/>
      <c r="M5" s="21">
        <v>1</v>
      </c>
      <c r="N5" s="21">
        <v>1</v>
      </c>
      <c r="O5" s="21"/>
      <c r="P5" s="21"/>
      <c r="Q5" s="22"/>
    </row>
    <row r="6" spans="1:21" ht="25.5">
      <c r="A6" s="15" t="s">
        <v>46</v>
      </c>
      <c r="B6" s="48" t="s">
        <v>48</v>
      </c>
      <c r="C6" s="48" t="s">
        <v>139</v>
      </c>
      <c r="D6" s="28">
        <v>1</v>
      </c>
      <c r="E6" s="12">
        <v>7</v>
      </c>
      <c r="F6" s="11">
        <v>1</v>
      </c>
      <c r="G6" s="6">
        <v>1</v>
      </c>
      <c r="H6" s="6">
        <v>1</v>
      </c>
      <c r="I6" s="6"/>
      <c r="J6" s="6">
        <v>1</v>
      </c>
      <c r="K6" s="12"/>
      <c r="L6" s="11"/>
      <c r="M6" s="6">
        <v>1</v>
      </c>
      <c r="N6" s="6"/>
      <c r="O6" s="6"/>
      <c r="P6" s="6"/>
      <c r="Q6" s="12"/>
    </row>
    <row r="7" spans="1:21" ht="25.5">
      <c r="A7" s="57" t="s">
        <v>46</v>
      </c>
      <c r="B7" s="41" t="s">
        <v>47</v>
      </c>
      <c r="C7" s="55" t="s">
        <v>139</v>
      </c>
      <c r="D7" s="51">
        <v>1</v>
      </c>
      <c r="E7" s="22">
        <v>8</v>
      </c>
      <c r="F7" s="20">
        <v>1</v>
      </c>
      <c r="G7" s="21">
        <v>1</v>
      </c>
      <c r="H7" s="21">
        <v>1</v>
      </c>
      <c r="I7" s="21"/>
      <c r="J7" s="21"/>
      <c r="K7" s="22"/>
      <c r="L7" s="20"/>
      <c r="M7" s="21">
        <v>1</v>
      </c>
      <c r="N7" s="21"/>
      <c r="O7" s="21"/>
      <c r="P7" s="21"/>
      <c r="Q7" s="22"/>
    </row>
    <row r="8" spans="1:21">
      <c r="A8" s="14" t="s">
        <v>52</v>
      </c>
      <c r="B8" s="27" t="s">
        <v>53</v>
      </c>
      <c r="C8" s="30" t="s">
        <v>139</v>
      </c>
      <c r="D8" s="28">
        <v>1</v>
      </c>
      <c r="E8" s="29">
        <v>2</v>
      </c>
      <c r="F8" s="31"/>
      <c r="G8" s="28"/>
      <c r="H8" s="28"/>
      <c r="I8" s="28"/>
      <c r="J8" s="28"/>
      <c r="K8" s="29"/>
      <c r="L8" s="31"/>
      <c r="M8" s="28"/>
      <c r="N8" s="28"/>
      <c r="O8" s="28"/>
      <c r="P8" s="28"/>
      <c r="Q8" s="29"/>
    </row>
    <row r="9" spans="1:21">
      <c r="A9" s="14" t="s">
        <v>52</v>
      </c>
      <c r="B9" s="48" t="s">
        <v>54</v>
      </c>
      <c r="C9" s="16" t="s">
        <v>139</v>
      </c>
      <c r="D9" s="6">
        <v>1</v>
      </c>
      <c r="E9" s="12">
        <v>8</v>
      </c>
      <c r="F9" s="11"/>
      <c r="G9" s="6"/>
      <c r="H9" s="6"/>
      <c r="I9" s="6">
        <v>1</v>
      </c>
      <c r="J9" s="6">
        <v>1</v>
      </c>
      <c r="K9" s="12">
        <v>1</v>
      </c>
      <c r="L9" s="11"/>
      <c r="M9" s="6"/>
      <c r="N9" s="6"/>
      <c r="O9" s="6"/>
      <c r="P9" s="6"/>
      <c r="Q9" s="12"/>
    </row>
    <row r="10" spans="1:21">
      <c r="A10" s="14" t="s">
        <v>52</v>
      </c>
      <c r="B10" s="27" t="s">
        <v>55</v>
      </c>
      <c r="C10" s="30" t="s">
        <v>139</v>
      </c>
      <c r="D10" s="6">
        <v>1</v>
      </c>
      <c r="E10" s="12">
        <v>8</v>
      </c>
      <c r="F10" s="11">
        <v>1</v>
      </c>
      <c r="G10" s="6">
        <v>1</v>
      </c>
      <c r="H10" s="6"/>
      <c r="I10" s="6"/>
      <c r="J10" s="6"/>
      <c r="K10" s="12"/>
      <c r="L10" s="11"/>
      <c r="M10" s="6">
        <v>1</v>
      </c>
      <c r="N10" s="6"/>
      <c r="O10" s="6"/>
      <c r="P10" s="6"/>
      <c r="Q10" s="12"/>
    </row>
    <row r="11" spans="1:21">
      <c r="A11" s="14" t="s">
        <v>52</v>
      </c>
      <c r="B11" s="27" t="s">
        <v>56</v>
      </c>
      <c r="C11" s="16" t="s">
        <v>139</v>
      </c>
      <c r="D11" s="28">
        <v>1</v>
      </c>
      <c r="E11" s="29">
        <v>1</v>
      </c>
      <c r="F11" s="31"/>
      <c r="G11" s="28"/>
      <c r="H11" s="28"/>
      <c r="I11" s="28"/>
      <c r="J11" s="28"/>
      <c r="K11" s="29"/>
      <c r="L11" s="31"/>
      <c r="M11" s="28"/>
      <c r="N11" s="28"/>
      <c r="O11" s="28"/>
      <c r="P11" s="28"/>
      <c r="Q11" s="29"/>
    </row>
    <row r="12" spans="1:21">
      <c r="A12" s="14" t="s">
        <v>52</v>
      </c>
      <c r="B12" s="48" t="s">
        <v>57</v>
      </c>
      <c r="C12" s="30" t="s">
        <v>139</v>
      </c>
      <c r="D12" s="9">
        <v>1</v>
      </c>
      <c r="E12" s="12">
        <v>8</v>
      </c>
      <c r="F12" s="11"/>
      <c r="G12" s="6">
        <v>1</v>
      </c>
      <c r="H12" s="6"/>
      <c r="I12" s="6"/>
      <c r="J12" s="6">
        <v>1</v>
      </c>
      <c r="K12" s="12"/>
      <c r="L12" s="11"/>
      <c r="M12" s="6">
        <v>1</v>
      </c>
      <c r="N12" s="6"/>
      <c r="O12" s="6"/>
      <c r="P12" s="6"/>
      <c r="Q12" s="12"/>
    </row>
    <row r="13" spans="1:21">
      <c r="A13" s="14" t="s">
        <v>52</v>
      </c>
      <c r="B13" s="98" t="s">
        <v>58</v>
      </c>
      <c r="C13" s="110" t="s">
        <v>201</v>
      </c>
      <c r="D13" s="6">
        <v>1</v>
      </c>
      <c r="E13" s="12">
        <v>8</v>
      </c>
      <c r="F13" s="11">
        <v>1</v>
      </c>
      <c r="G13" s="6">
        <v>1</v>
      </c>
      <c r="H13" s="6">
        <v>1</v>
      </c>
      <c r="I13" s="6"/>
      <c r="J13" s="6"/>
      <c r="K13" s="12"/>
      <c r="L13" s="11">
        <v>1</v>
      </c>
      <c r="M13" s="6"/>
      <c r="N13" s="6"/>
      <c r="O13" s="6"/>
      <c r="P13" s="6"/>
      <c r="Q13" s="12"/>
    </row>
    <row r="14" spans="1:21">
      <c r="A14" s="14" t="s">
        <v>52</v>
      </c>
      <c r="B14" s="98"/>
      <c r="C14" s="110"/>
      <c r="D14" s="6">
        <v>2</v>
      </c>
      <c r="E14" s="12">
        <v>7</v>
      </c>
      <c r="F14" s="11">
        <v>1</v>
      </c>
      <c r="G14" s="6">
        <v>1</v>
      </c>
      <c r="H14" s="6">
        <v>1</v>
      </c>
      <c r="I14" s="6"/>
      <c r="J14" s="6"/>
      <c r="K14" s="12"/>
      <c r="L14" s="11"/>
      <c r="M14" s="6"/>
      <c r="N14" s="6"/>
      <c r="O14" s="6"/>
      <c r="P14" s="6"/>
      <c r="Q14" s="12"/>
    </row>
    <row r="15" spans="1:21">
      <c r="A15" s="14" t="s">
        <v>52</v>
      </c>
      <c r="B15" s="27" t="s">
        <v>59</v>
      </c>
      <c r="C15" s="18" t="s">
        <v>145</v>
      </c>
      <c r="D15" s="18" t="s">
        <v>145</v>
      </c>
      <c r="E15" s="62" t="s">
        <v>145</v>
      </c>
      <c r="F15" s="31"/>
      <c r="G15" s="28"/>
      <c r="H15" s="28"/>
      <c r="I15" s="28"/>
      <c r="J15" s="28"/>
      <c r="K15" s="29"/>
      <c r="L15" s="31"/>
      <c r="M15" s="28"/>
      <c r="N15" s="28"/>
      <c r="O15" s="28"/>
      <c r="P15" s="28"/>
      <c r="Q15" s="29"/>
    </row>
    <row r="16" spans="1:21">
      <c r="A16" s="58" t="s">
        <v>52</v>
      </c>
      <c r="B16" s="98" t="s">
        <v>60</v>
      </c>
      <c r="C16" s="105" t="s">
        <v>169</v>
      </c>
      <c r="D16" s="6">
        <v>1</v>
      </c>
      <c r="E16" s="12">
        <v>1</v>
      </c>
      <c r="F16" s="11">
        <v>1</v>
      </c>
      <c r="G16" s="6"/>
      <c r="H16" s="6">
        <v>1</v>
      </c>
      <c r="I16" s="6"/>
      <c r="J16" s="6"/>
      <c r="K16" s="12"/>
      <c r="L16" s="11"/>
      <c r="M16" s="6"/>
      <c r="N16" s="6"/>
      <c r="O16" s="6"/>
      <c r="P16" s="6"/>
      <c r="Q16" s="12"/>
    </row>
    <row r="17" spans="1:17">
      <c r="A17" s="58" t="s">
        <v>52</v>
      </c>
      <c r="B17" s="98"/>
      <c r="C17" s="105"/>
      <c r="D17" s="6">
        <v>2</v>
      </c>
      <c r="E17" s="12">
        <v>8</v>
      </c>
      <c r="F17" s="11">
        <v>1</v>
      </c>
      <c r="G17" s="6">
        <v>1</v>
      </c>
      <c r="H17" s="6">
        <v>1</v>
      </c>
      <c r="I17" s="6"/>
      <c r="J17" s="6"/>
      <c r="K17" s="12"/>
      <c r="L17" s="11"/>
      <c r="M17" s="6">
        <v>1</v>
      </c>
      <c r="N17" s="6"/>
      <c r="O17" s="6"/>
      <c r="P17" s="6"/>
      <c r="Q17" s="12"/>
    </row>
    <row r="18" spans="1:17">
      <c r="A18" s="56" t="s">
        <v>52</v>
      </c>
      <c r="B18" s="102"/>
      <c r="C18" s="106"/>
      <c r="D18" s="51">
        <v>3</v>
      </c>
      <c r="E18" s="22">
        <v>7</v>
      </c>
      <c r="F18" s="20"/>
      <c r="G18" s="21"/>
      <c r="H18" s="21"/>
      <c r="I18" s="21"/>
      <c r="J18" s="21"/>
      <c r="K18" s="22"/>
      <c r="L18" s="20"/>
      <c r="M18" s="21"/>
      <c r="N18" s="21"/>
      <c r="O18" s="21"/>
      <c r="P18" s="21"/>
      <c r="Q18" s="22"/>
    </row>
    <row r="19" spans="1:17">
      <c r="A19" s="14" t="s">
        <v>39</v>
      </c>
      <c r="B19" s="27" t="s">
        <v>40</v>
      </c>
      <c r="C19" s="30" t="s">
        <v>139</v>
      </c>
      <c r="D19" s="6">
        <v>1</v>
      </c>
      <c r="E19" s="12">
        <v>8</v>
      </c>
      <c r="F19" s="11">
        <v>1</v>
      </c>
      <c r="G19" s="6">
        <v>1</v>
      </c>
      <c r="H19" s="6">
        <v>1</v>
      </c>
      <c r="I19" s="6"/>
      <c r="J19" s="6">
        <v>1</v>
      </c>
      <c r="K19" s="12"/>
      <c r="L19" s="11">
        <v>1</v>
      </c>
      <c r="M19" s="6">
        <v>1</v>
      </c>
      <c r="N19" s="6">
        <v>1</v>
      </c>
      <c r="O19" s="6"/>
      <c r="P19" s="6"/>
      <c r="Q19" s="12"/>
    </row>
    <row r="20" spans="1:17">
      <c r="A20" s="14" t="s">
        <v>39</v>
      </c>
      <c r="B20" s="27" t="s">
        <v>41</v>
      </c>
      <c r="C20" s="16" t="s">
        <v>139</v>
      </c>
      <c r="D20" s="6">
        <v>1</v>
      </c>
      <c r="E20" s="12">
        <v>1</v>
      </c>
      <c r="F20" s="11"/>
      <c r="G20" s="6">
        <v>1</v>
      </c>
      <c r="H20" s="6"/>
      <c r="I20" s="6"/>
      <c r="J20" s="6"/>
      <c r="K20" s="12"/>
      <c r="L20" s="11"/>
      <c r="M20" s="6"/>
      <c r="N20" s="6"/>
      <c r="O20" s="6"/>
      <c r="P20" s="6"/>
      <c r="Q20" s="12"/>
    </row>
    <row r="21" spans="1:17">
      <c r="A21" s="14" t="s">
        <v>39</v>
      </c>
      <c r="B21" s="98" t="s">
        <v>42</v>
      </c>
      <c r="C21" s="99" t="s">
        <v>159</v>
      </c>
      <c r="D21" s="6">
        <v>1</v>
      </c>
      <c r="E21" s="12">
        <v>1</v>
      </c>
      <c r="F21" s="11"/>
      <c r="G21" s="6"/>
      <c r="H21" s="6"/>
      <c r="I21" s="6"/>
      <c r="J21" s="6">
        <v>1</v>
      </c>
      <c r="K21" s="12"/>
      <c r="L21" s="11"/>
      <c r="M21" s="6"/>
      <c r="N21" s="6"/>
      <c r="O21" s="6"/>
      <c r="P21" s="6"/>
      <c r="Q21" s="12"/>
    </row>
    <row r="22" spans="1:17">
      <c r="A22" s="14" t="s">
        <v>39</v>
      </c>
      <c r="B22" s="98"/>
      <c r="C22" s="99"/>
      <c r="D22" s="6">
        <v>2</v>
      </c>
      <c r="E22" s="12">
        <v>5</v>
      </c>
      <c r="F22" s="11"/>
      <c r="G22" s="6">
        <v>1</v>
      </c>
      <c r="H22" s="6">
        <v>1</v>
      </c>
      <c r="I22" s="6"/>
      <c r="J22" s="6">
        <v>1</v>
      </c>
      <c r="K22" s="12"/>
      <c r="L22" s="11"/>
      <c r="M22" s="6"/>
      <c r="N22" s="6"/>
      <c r="O22" s="6"/>
      <c r="P22" s="6"/>
      <c r="Q22" s="12"/>
    </row>
    <row r="23" spans="1:17">
      <c r="A23" s="14" t="s">
        <v>39</v>
      </c>
      <c r="B23" s="98"/>
      <c r="C23" s="99"/>
      <c r="D23" s="6">
        <v>3</v>
      </c>
      <c r="E23" s="12">
        <v>6</v>
      </c>
      <c r="F23" s="11">
        <v>1</v>
      </c>
      <c r="G23" s="6">
        <v>1</v>
      </c>
      <c r="H23" s="6">
        <v>1</v>
      </c>
      <c r="I23" s="6"/>
      <c r="J23" s="6">
        <v>1</v>
      </c>
      <c r="K23" s="12"/>
      <c r="L23" s="11"/>
      <c r="M23" s="6">
        <v>1</v>
      </c>
      <c r="N23" s="6"/>
      <c r="O23" s="6"/>
      <c r="P23" s="6"/>
      <c r="Q23" s="12"/>
    </row>
    <row r="24" spans="1:17">
      <c r="A24" s="14" t="s">
        <v>39</v>
      </c>
      <c r="B24" s="98"/>
      <c r="C24" s="99"/>
      <c r="D24" s="6">
        <v>4</v>
      </c>
      <c r="E24" s="12">
        <v>7</v>
      </c>
      <c r="F24" s="11">
        <v>1</v>
      </c>
      <c r="G24" s="6">
        <v>1</v>
      </c>
      <c r="H24" s="6">
        <v>1</v>
      </c>
      <c r="I24" s="6"/>
      <c r="J24" s="6">
        <v>1</v>
      </c>
      <c r="K24" s="12"/>
      <c r="L24" s="11"/>
      <c r="M24" s="6"/>
      <c r="N24" s="6"/>
      <c r="O24" s="6"/>
      <c r="P24" s="6"/>
      <c r="Q24" s="12"/>
    </row>
    <row r="25" spans="1:17">
      <c r="A25" s="58" t="s">
        <v>39</v>
      </c>
      <c r="B25" s="98" t="s">
        <v>43</v>
      </c>
      <c r="C25" s="99" t="s">
        <v>169</v>
      </c>
      <c r="D25" s="6">
        <v>1</v>
      </c>
      <c r="E25" s="12">
        <v>1</v>
      </c>
      <c r="F25" s="11"/>
      <c r="G25" s="6">
        <v>1</v>
      </c>
      <c r="H25" s="6">
        <v>1</v>
      </c>
      <c r="I25" s="6"/>
      <c r="J25" s="6">
        <v>1</v>
      </c>
      <c r="K25" s="12">
        <v>1</v>
      </c>
      <c r="L25" s="11"/>
      <c r="M25" s="6">
        <v>1</v>
      </c>
      <c r="N25" s="6"/>
      <c r="O25" s="6"/>
      <c r="P25" s="6"/>
      <c r="Q25" s="12"/>
    </row>
    <row r="26" spans="1:17">
      <c r="A26" s="58" t="s">
        <v>39</v>
      </c>
      <c r="B26" s="98"/>
      <c r="C26" s="99"/>
      <c r="D26" s="6">
        <v>2</v>
      </c>
      <c r="E26" s="12">
        <v>1</v>
      </c>
      <c r="F26" s="11">
        <v>1</v>
      </c>
      <c r="G26" s="6">
        <v>1</v>
      </c>
      <c r="H26" s="6">
        <v>1</v>
      </c>
      <c r="I26" s="6"/>
      <c r="J26" s="6">
        <v>1</v>
      </c>
      <c r="K26" s="12"/>
      <c r="L26" s="11"/>
      <c r="M26" s="6"/>
      <c r="N26" s="6"/>
      <c r="O26" s="6"/>
      <c r="P26" s="6"/>
      <c r="Q26" s="12"/>
    </row>
    <row r="27" spans="1:17">
      <c r="A27" s="58" t="s">
        <v>39</v>
      </c>
      <c r="B27" s="98"/>
      <c r="C27" s="99"/>
      <c r="D27" s="6">
        <v>3</v>
      </c>
      <c r="E27" s="12">
        <v>8</v>
      </c>
      <c r="F27" s="11"/>
      <c r="G27" s="6"/>
      <c r="H27" s="6">
        <v>1</v>
      </c>
      <c r="I27" s="6"/>
      <c r="J27" s="6"/>
      <c r="K27" s="12"/>
      <c r="L27" s="11"/>
      <c r="M27" s="6"/>
      <c r="N27" s="6"/>
      <c r="O27" s="6"/>
      <c r="P27" s="6"/>
      <c r="Q27" s="12"/>
    </row>
    <row r="28" spans="1:17">
      <c r="A28" s="59" t="s">
        <v>39</v>
      </c>
      <c r="B28" s="98"/>
      <c r="C28" s="99"/>
      <c r="D28" s="6">
        <v>4</v>
      </c>
      <c r="E28" s="12">
        <v>7</v>
      </c>
      <c r="F28" s="11">
        <v>1</v>
      </c>
      <c r="G28" s="6">
        <v>1</v>
      </c>
      <c r="H28" s="6"/>
      <c r="I28" s="6"/>
      <c r="J28" s="6">
        <v>1</v>
      </c>
      <c r="K28" s="12"/>
      <c r="L28" s="11">
        <v>1</v>
      </c>
      <c r="M28" s="6">
        <v>1</v>
      </c>
      <c r="N28" s="6">
        <v>1</v>
      </c>
      <c r="O28" s="6"/>
      <c r="P28" s="6"/>
      <c r="Q28" s="12"/>
    </row>
    <row r="29" spans="1:17">
      <c r="A29" s="60" t="s">
        <v>39</v>
      </c>
      <c r="B29" s="102"/>
      <c r="C29" s="103"/>
      <c r="D29" s="21">
        <v>5</v>
      </c>
      <c r="E29" s="22">
        <v>7</v>
      </c>
      <c r="F29" s="20">
        <v>1</v>
      </c>
      <c r="G29" s="21">
        <v>1</v>
      </c>
      <c r="H29" s="21">
        <v>1</v>
      </c>
      <c r="I29" s="21"/>
      <c r="J29" s="21">
        <v>1</v>
      </c>
      <c r="K29" s="22"/>
      <c r="L29" s="20"/>
      <c r="M29" s="21">
        <v>1</v>
      </c>
      <c r="N29" s="21"/>
      <c r="O29" s="21"/>
      <c r="P29" s="21"/>
      <c r="Q29" s="22"/>
    </row>
    <row r="30" spans="1:17">
      <c r="A30" s="58" t="s">
        <v>3</v>
      </c>
      <c r="B30" s="24" t="s">
        <v>4</v>
      </c>
      <c r="C30" s="30" t="s">
        <v>139</v>
      </c>
      <c r="D30" s="9">
        <v>2</v>
      </c>
      <c r="E30" s="12">
        <v>5</v>
      </c>
      <c r="F30" s="11">
        <v>1</v>
      </c>
      <c r="G30" s="6">
        <v>1</v>
      </c>
      <c r="H30" s="6">
        <v>1</v>
      </c>
      <c r="I30" s="6"/>
      <c r="J30" s="6"/>
      <c r="K30" s="12"/>
      <c r="L30" s="11"/>
      <c r="M30" s="6"/>
      <c r="N30" s="6"/>
      <c r="O30" s="6"/>
      <c r="P30" s="6"/>
      <c r="Q30" s="12"/>
    </row>
    <row r="31" spans="1:17">
      <c r="A31" s="58" t="s">
        <v>3</v>
      </c>
      <c r="B31" s="14" t="s">
        <v>5</v>
      </c>
      <c r="C31" s="16" t="s">
        <v>139</v>
      </c>
      <c r="D31" s="9">
        <v>1</v>
      </c>
      <c r="E31" s="12">
        <v>3</v>
      </c>
      <c r="F31" s="11">
        <v>1</v>
      </c>
      <c r="G31" s="6">
        <v>1</v>
      </c>
      <c r="H31" s="6">
        <v>1</v>
      </c>
      <c r="I31" s="6"/>
      <c r="J31" s="6"/>
      <c r="K31" s="12"/>
      <c r="L31" s="11"/>
      <c r="M31" s="6">
        <v>1</v>
      </c>
      <c r="N31" s="6"/>
      <c r="O31" s="6"/>
      <c r="P31" s="6"/>
      <c r="Q31" s="12"/>
    </row>
    <row r="32" spans="1:17">
      <c r="A32" s="58" t="s">
        <v>3</v>
      </c>
      <c r="B32" s="100" t="s">
        <v>6</v>
      </c>
      <c r="C32" s="99" t="s">
        <v>159</v>
      </c>
      <c r="D32" s="9">
        <v>1</v>
      </c>
      <c r="E32" s="12">
        <v>8</v>
      </c>
      <c r="F32" s="11">
        <v>1</v>
      </c>
      <c r="G32" s="6">
        <v>1</v>
      </c>
      <c r="H32" s="6">
        <v>1</v>
      </c>
      <c r="I32" s="6"/>
      <c r="J32" s="6"/>
      <c r="K32" s="12"/>
      <c r="L32" s="11"/>
      <c r="M32" s="6"/>
      <c r="N32" s="6"/>
      <c r="O32" s="6"/>
      <c r="P32" s="6"/>
      <c r="Q32" s="12"/>
    </row>
    <row r="33" spans="1:17">
      <c r="A33" s="58" t="s">
        <v>3</v>
      </c>
      <c r="B33" s="100"/>
      <c r="C33" s="99"/>
      <c r="D33" s="9">
        <v>2</v>
      </c>
      <c r="E33" s="12">
        <v>8</v>
      </c>
      <c r="F33" s="11">
        <v>1</v>
      </c>
      <c r="G33" s="6">
        <v>1</v>
      </c>
      <c r="H33" s="6">
        <v>1</v>
      </c>
      <c r="I33" s="6"/>
      <c r="J33" s="6">
        <v>1</v>
      </c>
      <c r="K33" s="12"/>
      <c r="L33" s="11"/>
      <c r="M33" s="6"/>
      <c r="N33" s="6"/>
      <c r="O33" s="6"/>
      <c r="P33" s="6"/>
      <c r="Q33" s="12">
        <v>1</v>
      </c>
    </row>
    <row r="34" spans="1:17">
      <c r="A34" s="58" t="s">
        <v>3</v>
      </c>
      <c r="B34" s="100"/>
      <c r="C34" s="99"/>
      <c r="D34" s="9">
        <v>3</v>
      </c>
      <c r="E34" s="12">
        <v>1</v>
      </c>
      <c r="F34" s="11">
        <v>1</v>
      </c>
      <c r="G34" s="6">
        <v>1</v>
      </c>
      <c r="H34" s="6"/>
      <c r="I34" s="6"/>
      <c r="J34" s="6">
        <v>1</v>
      </c>
      <c r="K34" s="12"/>
      <c r="L34" s="11"/>
      <c r="M34" s="6"/>
      <c r="N34" s="6"/>
      <c r="O34" s="6"/>
      <c r="P34" s="6"/>
      <c r="Q34" s="12"/>
    </row>
    <row r="35" spans="1:17">
      <c r="A35" s="58" t="s">
        <v>3</v>
      </c>
      <c r="B35" s="100"/>
      <c r="C35" s="99"/>
      <c r="D35" s="9">
        <v>4</v>
      </c>
      <c r="E35" s="12">
        <v>1</v>
      </c>
      <c r="F35" s="11">
        <v>1</v>
      </c>
      <c r="G35" s="6">
        <v>1</v>
      </c>
      <c r="H35" s="6">
        <v>1</v>
      </c>
      <c r="I35" s="6"/>
      <c r="J35" s="6"/>
      <c r="K35" s="12"/>
      <c r="L35" s="11"/>
      <c r="M35" s="6">
        <v>1</v>
      </c>
      <c r="N35" s="6"/>
      <c r="O35" s="6"/>
      <c r="P35" s="6"/>
      <c r="Q35" s="12"/>
    </row>
    <row r="36" spans="1:17">
      <c r="A36" s="58" t="s">
        <v>3</v>
      </c>
      <c r="B36" s="104" t="s">
        <v>7</v>
      </c>
      <c r="C36" s="101" t="s">
        <v>169</v>
      </c>
      <c r="D36" s="9">
        <v>1</v>
      </c>
      <c r="E36" s="12">
        <v>1</v>
      </c>
      <c r="F36" s="11">
        <v>1</v>
      </c>
      <c r="G36" s="6">
        <v>1</v>
      </c>
      <c r="H36" s="6">
        <v>1</v>
      </c>
      <c r="I36" s="6"/>
      <c r="J36" s="6"/>
      <c r="K36" s="12"/>
      <c r="L36" s="11"/>
      <c r="M36" s="6"/>
      <c r="N36" s="6"/>
      <c r="O36" s="6"/>
      <c r="P36" s="6"/>
      <c r="Q36" s="12"/>
    </row>
    <row r="37" spans="1:17">
      <c r="A37" s="58" t="s">
        <v>3</v>
      </c>
      <c r="B37" s="104"/>
      <c r="C37" s="101"/>
      <c r="D37" s="9">
        <v>2</v>
      </c>
      <c r="E37" s="12">
        <v>1</v>
      </c>
      <c r="F37" s="11"/>
      <c r="G37" s="6">
        <v>1</v>
      </c>
      <c r="H37" s="6"/>
      <c r="I37" s="6"/>
      <c r="J37" s="6"/>
      <c r="K37" s="12"/>
      <c r="L37" s="11"/>
      <c r="M37" s="6"/>
      <c r="N37" s="6"/>
      <c r="O37" s="6"/>
      <c r="P37" s="6"/>
      <c r="Q37" s="12"/>
    </row>
    <row r="38" spans="1:17">
      <c r="A38" s="58" t="s">
        <v>3</v>
      </c>
      <c r="B38" s="104"/>
      <c r="C38" s="101"/>
      <c r="D38" s="9">
        <v>3</v>
      </c>
      <c r="E38" s="12">
        <v>1</v>
      </c>
      <c r="F38" s="11"/>
      <c r="G38" s="6">
        <v>1</v>
      </c>
      <c r="H38" s="6"/>
      <c r="I38" s="6"/>
      <c r="J38" s="6"/>
      <c r="K38" s="12"/>
      <c r="L38" s="11"/>
      <c r="M38" s="6"/>
      <c r="N38" s="6"/>
      <c r="O38" s="6"/>
      <c r="P38" s="6"/>
      <c r="Q38" s="12"/>
    </row>
    <row r="39" spans="1:17">
      <c r="A39" s="58" t="s">
        <v>3</v>
      </c>
      <c r="B39" s="24" t="s">
        <v>9</v>
      </c>
      <c r="C39" s="18" t="s">
        <v>139</v>
      </c>
      <c r="D39" s="25">
        <v>1</v>
      </c>
      <c r="E39" s="29">
        <v>8</v>
      </c>
      <c r="F39" s="31"/>
      <c r="G39" s="6"/>
      <c r="H39" s="6"/>
      <c r="I39" s="6">
        <v>1</v>
      </c>
      <c r="J39" s="6"/>
      <c r="K39" s="12"/>
      <c r="L39" s="11"/>
      <c r="M39" s="6">
        <v>1</v>
      </c>
      <c r="N39" s="6"/>
      <c r="O39" s="6"/>
      <c r="P39" s="6">
        <v>1</v>
      </c>
      <c r="Q39" s="12">
        <v>1</v>
      </c>
    </row>
    <row r="40" spans="1:17">
      <c r="A40" s="58" t="s">
        <v>3</v>
      </c>
      <c r="B40" s="24" t="s">
        <v>10</v>
      </c>
      <c r="C40" s="30" t="s">
        <v>139</v>
      </c>
      <c r="D40" s="9">
        <v>1</v>
      </c>
      <c r="E40" s="12">
        <v>7</v>
      </c>
      <c r="F40" s="11">
        <v>1</v>
      </c>
      <c r="G40" s="6">
        <v>1</v>
      </c>
      <c r="H40" s="6"/>
      <c r="I40" s="6">
        <v>1</v>
      </c>
      <c r="J40" s="6">
        <v>1</v>
      </c>
      <c r="K40" s="12"/>
      <c r="L40" s="11"/>
      <c r="M40" s="6">
        <v>1</v>
      </c>
      <c r="N40" s="6"/>
      <c r="O40" s="6"/>
      <c r="P40" s="6"/>
      <c r="Q40" s="12"/>
    </row>
    <row r="41" spans="1:17">
      <c r="A41" s="58" t="s">
        <v>3</v>
      </c>
      <c r="B41" s="100" t="s">
        <v>11</v>
      </c>
      <c r="C41" s="101" t="s">
        <v>159</v>
      </c>
      <c r="D41" s="9">
        <v>1</v>
      </c>
      <c r="E41" s="12">
        <v>3</v>
      </c>
      <c r="F41" s="11">
        <v>1</v>
      </c>
      <c r="G41" s="6">
        <v>1</v>
      </c>
      <c r="H41" s="6">
        <v>1</v>
      </c>
      <c r="I41" s="6"/>
      <c r="J41" s="6">
        <v>1</v>
      </c>
      <c r="K41" s="12"/>
      <c r="L41" s="11"/>
      <c r="M41" s="6">
        <v>1</v>
      </c>
      <c r="N41" s="6"/>
      <c r="O41" s="6"/>
      <c r="P41" s="6"/>
      <c r="Q41" s="12"/>
    </row>
    <row r="42" spans="1:17">
      <c r="A42" s="58" t="s">
        <v>3</v>
      </c>
      <c r="B42" s="100"/>
      <c r="C42" s="101"/>
      <c r="D42" s="9">
        <v>2</v>
      </c>
      <c r="E42" s="12">
        <v>8</v>
      </c>
      <c r="F42" s="11"/>
      <c r="G42" s="6">
        <v>1</v>
      </c>
      <c r="H42" s="6">
        <v>1</v>
      </c>
      <c r="I42" s="6"/>
      <c r="J42" s="6"/>
      <c r="K42" s="12"/>
      <c r="L42" s="11"/>
      <c r="M42" s="6"/>
      <c r="N42" s="6">
        <v>1</v>
      </c>
      <c r="O42" s="6"/>
      <c r="P42" s="6"/>
      <c r="Q42" s="12"/>
    </row>
    <row r="43" spans="1:17">
      <c r="A43" s="58" t="s">
        <v>3</v>
      </c>
      <c r="B43" s="100" t="s">
        <v>12</v>
      </c>
      <c r="C43" s="101" t="s">
        <v>159</v>
      </c>
      <c r="D43" s="9">
        <v>1</v>
      </c>
      <c r="E43" s="12">
        <v>1</v>
      </c>
      <c r="F43" s="11"/>
      <c r="G43" s="6">
        <v>1</v>
      </c>
      <c r="H43" s="6"/>
      <c r="I43" s="6"/>
      <c r="J43" s="6">
        <v>1</v>
      </c>
      <c r="K43" s="12"/>
      <c r="L43" s="11"/>
      <c r="M43" s="6">
        <v>1</v>
      </c>
      <c r="N43" s="6"/>
      <c r="O43" s="6"/>
      <c r="P43" s="6"/>
      <c r="Q43" s="12"/>
    </row>
    <row r="44" spans="1:17">
      <c r="A44" s="58" t="s">
        <v>3</v>
      </c>
      <c r="B44" s="100"/>
      <c r="C44" s="101"/>
      <c r="D44" s="9">
        <v>2</v>
      </c>
      <c r="E44" s="12">
        <v>8</v>
      </c>
      <c r="F44" s="11"/>
      <c r="G44" s="6">
        <v>1</v>
      </c>
      <c r="H44" s="6"/>
      <c r="I44" s="6"/>
      <c r="J44" s="6">
        <v>1</v>
      </c>
      <c r="K44" s="12"/>
      <c r="L44" s="11"/>
      <c r="M44" s="6"/>
      <c r="N44" s="6"/>
      <c r="O44" s="6"/>
      <c r="P44" s="6"/>
      <c r="Q44" s="12"/>
    </row>
    <row r="45" spans="1:17">
      <c r="A45" s="58" t="s">
        <v>3</v>
      </c>
      <c r="B45" s="100"/>
      <c r="C45" s="101"/>
      <c r="D45" s="9">
        <v>3</v>
      </c>
      <c r="E45" s="12">
        <v>7</v>
      </c>
      <c r="F45" s="11"/>
      <c r="G45" s="6">
        <v>1</v>
      </c>
      <c r="H45" s="6"/>
      <c r="I45" s="6"/>
      <c r="J45" s="6">
        <v>1</v>
      </c>
      <c r="K45" s="12"/>
      <c r="L45" s="11"/>
      <c r="M45" s="6"/>
      <c r="N45" s="6"/>
      <c r="O45" s="6"/>
      <c r="P45" s="6"/>
      <c r="Q45" s="12"/>
    </row>
    <row r="46" spans="1:17">
      <c r="A46" s="58" t="s">
        <v>3</v>
      </c>
      <c r="B46" s="18" t="s">
        <v>13</v>
      </c>
      <c r="C46" s="16" t="s">
        <v>169</v>
      </c>
      <c r="D46" s="9">
        <v>1</v>
      </c>
      <c r="E46" s="12">
        <v>3</v>
      </c>
      <c r="F46" s="11"/>
      <c r="G46" s="6">
        <v>1</v>
      </c>
      <c r="H46" s="6"/>
      <c r="I46" s="6"/>
      <c r="J46" s="6"/>
      <c r="K46" s="12"/>
      <c r="L46" s="11"/>
      <c r="M46" s="6"/>
      <c r="N46" s="6"/>
      <c r="O46" s="6"/>
      <c r="P46" s="6"/>
      <c r="Q46" s="12"/>
    </row>
    <row r="47" spans="1:17">
      <c r="A47" s="58" t="s">
        <v>3</v>
      </c>
      <c r="B47" s="24" t="s">
        <v>14</v>
      </c>
      <c r="C47" s="48" t="s">
        <v>139</v>
      </c>
      <c r="D47" s="25">
        <v>1</v>
      </c>
      <c r="E47" s="29">
        <v>8</v>
      </c>
      <c r="F47" s="11">
        <v>1</v>
      </c>
      <c r="G47" s="6">
        <v>1</v>
      </c>
      <c r="H47" s="6">
        <v>1</v>
      </c>
      <c r="I47" s="6"/>
      <c r="J47" s="6"/>
      <c r="K47" s="12"/>
      <c r="L47" s="11"/>
      <c r="M47" s="6">
        <v>1</v>
      </c>
      <c r="N47" s="6"/>
      <c r="O47" s="6"/>
      <c r="P47" s="6"/>
      <c r="Q47" s="12"/>
    </row>
    <row r="48" spans="1:17">
      <c r="A48" s="58" t="s">
        <v>3</v>
      </c>
      <c r="B48" s="24" t="s">
        <v>15</v>
      </c>
      <c r="C48" s="16" t="s">
        <v>139</v>
      </c>
      <c r="D48" s="9">
        <v>1</v>
      </c>
      <c r="E48" s="12">
        <v>8</v>
      </c>
      <c r="F48" s="11"/>
      <c r="G48" s="6">
        <v>1</v>
      </c>
      <c r="H48" s="6">
        <v>1</v>
      </c>
      <c r="I48" s="6"/>
      <c r="J48" s="6"/>
      <c r="K48" s="12"/>
      <c r="L48" s="11"/>
      <c r="M48" s="6">
        <v>1</v>
      </c>
      <c r="N48" s="6"/>
      <c r="O48" s="6"/>
      <c r="P48" s="6"/>
      <c r="Q48" s="12"/>
    </row>
    <row r="49" spans="1:17">
      <c r="A49" s="58" t="s">
        <v>3</v>
      </c>
      <c r="B49" s="24" t="s">
        <v>16</v>
      </c>
      <c r="C49" s="30" t="s">
        <v>139</v>
      </c>
      <c r="D49" s="9">
        <v>1</v>
      </c>
      <c r="E49" s="12">
        <v>1</v>
      </c>
      <c r="F49" s="11"/>
      <c r="G49" s="6">
        <v>1</v>
      </c>
      <c r="H49" s="6">
        <v>1</v>
      </c>
      <c r="I49" s="6"/>
      <c r="J49" s="6"/>
      <c r="K49" s="12"/>
      <c r="L49" s="11"/>
      <c r="M49" s="6">
        <v>1</v>
      </c>
      <c r="N49" s="6"/>
      <c r="O49" s="6"/>
      <c r="P49" s="6"/>
      <c r="Q49" s="12"/>
    </row>
    <row r="50" spans="1:17">
      <c r="A50" s="58" t="s">
        <v>3</v>
      </c>
      <c r="B50" s="100" t="s">
        <v>17</v>
      </c>
      <c r="C50" s="101" t="s">
        <v>201</v>
      </c>
      <c r="D50" s="9">
        <v>1</v>
      </c>
      <c r="E50" s="12">
        <v>8</v>
      </c>
      <c r="F50" s="11"/>
      <c r="G50" s="6"/>
      <c r="H50" s="6"/>
      <c r="I50" s="6"/>
      <c r="J50" s="6"/>
      <c r="K50" s="12"/>
      <c r="L50" s="11"/>
      <c r="M50" s="6"/>
      <c r="N50" s="6"/>
      <c r="O50" s="6"/>
      <c r="P50" s="6"/>
      <c r="Q50" s="12"/>
    </row>
    <row r="51" spans="1:17">
      <c r="A51" s="58" t="s">
        <v>3</v>
      </c>
      <c r="B51" s="100"/>
      <c r="C51" s="101"/>
      <c r="D51" s="9">
        <v>2</v>
      </c>
      <c r="E51" s="12">
        <v>1</v>
      </c>
      <c r="F51" s="11"/>
      <c r="G51" s="6"/>
      <c r="H51" s="6"/>
      <c r="I51" s="6"/>
      <c r="J51" s="6"/>
      <c r="K51" s="12"/>
      <c r="L51" s="11"/>
      <c r="M51" s="6"/>
      <c r="N51" s="6"/>
      <c r="O51" s="6"/>
      <c r="P51" s="6"/>
      <c r="Q51" s="12"/>
    </row>
    <row r="52" spans="1:17">
      <c r="A52" s="58" t="s">
        <v>3</v>
      </c>
      <c r="B52" s="98" t="s">
        <v>18</v>
      </c>
      <c r="C52" s="99" t="s">
        <v>169</v>
      </c>
      <c r="D52" s="6">
        <v>1</v>
      </c>
      <c r="E52" s="29">
        <v>8</v>
      </c>
      <c r="F52" s="11"/>
      <c r="G52" s="6">
        <v>1</v>
      </c>
      <c r="H52" s="6">
        <v>1</v>
      </c>
      <c r="I52" s="6"/>
      <c r="J52" s="6">
        <v>1</v>
      </c>
      <c r="K52" s="12"/>
      <c r="L52" s="11"/>
      <c r="M52" s="6">
        <v>1</v>
      </c>
      <c r="N52" s="6">
        <v>1</v>
      </c>
      <c r="O52" s="6"/>
      <c r="P52" s="6"/>
      <c r="Q52" s="12"/>
    </row>
    <row r="53" spans="1:17">
      <c r="A53" s="58" t="s">
        <v>3</v>
      </c>
      <c r="B53" s="98"/>
      <c r="C53" s="99"/>
      <c r="D53" s="6">
        <v>2</v>
      </c>
      <c r="E53" s="29">
        <v>8</v>
      </c>
      <c r="F53" s="11">
        <v>1</v>
      </c>
      <c r="G53" s="6">
        <v>1</v>
      </c>
      <c r="H53" s="6">
        <v>1</v>
      </c>
      <c r="I53" s="6"/>
      <c r="J53" s="6"/>
      <c r="K53" s="12"/>
      <c r="L53" s="11">
        <v>1</v>
      </c>
      <c r="M53" s="6">
        <v>1</v>
      </c>
      <c r="N53" s="6">
        <v>1</v>
      </c>
      <c r="O53" s="6"/>
      <c r="P53" s="6"/>
      <c r="Q53" s="12"/>
    </row>
    <row r="54" spans="1:17">
      <c r="A54" s="56" t="s">
        <v>3</v>
      </c>
      <c r="B54" s="102"/>
      <c r="C54" s="103"/>
      <c r="D54" s="21">
        <v>3</v>
      </c>
      <c r="E54" s="61">
        <v>8</v>
      </c>
      <c r="F54" s="20">
        <v>1</v>
      </c>
      <c r="G54" s="21">
        <v>1</v>
      </c>
      <c r="H54" s="21"/>
      <c r="I54" s="21"/>
      <c r="J54" s="21"/>
      <c r="K54" s="22"/>
      <c r="L54" s="20">
        <v>1</v>
      </c>
      <c r="M54" s="21">
        <v>1</v>
      </c>
      <c r="N54" s="21"/>
      <c r="O54" s="21"/>
      <c r="P54" s="21"/>
      <c r="Q54" s="22"/>
    </row>
    <row r="55" spans="1:17">
      <c r="A55" s="58" t="s">
        <v>49</v>
      </c>
      <c r="B55" s="98" t="s">
        <v>50</v>
      </c>
      <c r="C55" s="99" t="s">
        <v>201</v>
      </c>
      <c r="D55" s="28">
        <v>1</v>
      </c>
      <c r="E55" s="29">
        <v>2</v>
      </c>
      <c r="F55" s="31">
        <v>1</v>
      </c>
      <c r="G55" s="28">
        <v>1</v>
      </c>
      <c r="H55" s="28">
        <v>1</v>
      </c>
      <c r="I55" s="6"/>
      <c r="J55" s="6"/>
      <c r="K55" s="12"/>
      <c r="L55" s="11"/>
      <c r="M55" s="28">
        <v>1</v>
      </c>
      <c r="N55" s="6"/>
      <c r="O55" s="6"/>
      <c r="P55" s="6"/>
      <c r="Q55" s="12"/>
    </row>
    <row r="56" spans="1:17">
      <c r="A56" s="58" t="s">
        <v>49</v>
      </c>
      <c r="B56" s="98"/>
      <c r="C56" s="99"/>
      <c r="D56" s="28">
        <v>2</v>
      </c>
      <c r="E56" s="29">
        <v>3</v>
      </c>
      <c r="F56" s="11"/>
      <c r="G56" s="28">
        <v>1</v>
      </c>
      <c r="H56" s="6"/>
      <c r="I56" s="6"/>
      <c r="J56" s="6">
        <v>1</v>
      </c>
      <c r="K56" s="12"/>
      <c r="L56" s="11"/>
      <c r="M56" s="28">
        <v>1</v>
      </c>
      <c r="N56" s="6"/>
      <c r="O56" s="6"/>
      <c r="P56" s="6"/>
      <c r="Q56" s="12"/>
    </row>
    <row r="57" spans="1:17">
      <c r="A57" s="56" t="s">
        <v>49</v>
      </c>
      <c r="B57" s="55" t="s">
        <v>51</v>
      </c>
      <c r="C57" s="42" t="s">
        <v>139</v>
      </c>
      <c r="D57" s="21">
        <v>1</v>
      </c>
      <c r="E57" s="22">
        <v>6</v>
      </c>
      <c r="F57" s="20">
        <v>1</v>
      </c>
      <c r="G57" s="21">
        <v>1</v>
      </c>
      <c r="H57" s="21">
        <v>1</v>
      </c>
      <c r="I57" s="21"/>
      <c r="J57" s="21"/>
      <c r="K57" s="22">
        <v>1</v>
      </c>
      <c r="L57" s="20"/>
      <c r="M57" s="21">
        <v>1</v>
      </c>
      <c r="N57" s="21"/>
      <c r="O57" s="21"/>
      <c r="P57" s="21"/>
      <c r="Q57" s="22"/>
    </row>
    <row r="58" spans="1:17">
      <c r="A58" s="58" t="s">
        <v>19</v>
      </c>
      <c r="B58" s="27" t="s">
        <v>20</v>
      </c>
      <c r="C58" s="48" t="s">
        <v>139</v>
      </c>
      <c r="D58" s="28">
        <v>1</v>
      </c>
      <c r="E58" s="29">
        <v>6</v>
      </c>
      <c r="F58" s="31"/>
      <c r="G58" s="28"/>
      <c r="H58" s="28"/>
      <c r="I58" s="28"/>
      <c r="J58" s="28">
        <v>1</v>
      </c>
      <c r="K58" s="29"/>
      <c r="L58" s="31"/>
      <c r="M58" s="28"/>
      <c r="N58" s="28"/>
      <c r="O58" s="28"/>
      <c r="P58" s="28"/>
      <c r="Q58" s="29"/>
    </row>
    <row r="59" spans="1:17">
      <c r="A59" s="58" t="s">
        <v>19</v>
      </c>
      <c r="B59" s="27" t="s">
        <v>21</v>
      </c>
      <c r="C59" s="30" t="s">
        <v>139</v>
      </c>
      <c r="D59" s="6">
        <v>1</v>
      </c>
      <c r="E59" s="12">
        <v>8</v>
      </c>
      <c r="F59" s="11"/>
      <c r="G59" s="6">
        <v>1</v>
      </c>
      <c r="H59" s="6"/>
      <c r="I59" s="6"/>
      <c r="J59" s="6"/>
      <c r="K59" s="12"/>
      <c r="L59" s="11"/>
      <c r="M59" s="6">
        <v>1</v>
      </c>
      <c r="N59" s="6"/>
      <c r="O59" s="6"/>
      <c r="P59" s="6"/>
      <c r="Q59" s="12"/>
    </row>
    <row r="60" spans="1:17">
      <c r="A60" s="58" t="s">
        <v>19</v>
      </c>
      <c r="B60" s="98" t="s">
        <v>22</v>
      </c>
      <c r="C60" s="99" t="s">
        <v>201</v>
      </c>
      <c r="D60" s="6">
        <v>1</v>
      </c>
      <c r="E60" s="12">
        <v>6</v>
      </c>
      <c r="F60" s="11">
        <v>1</v>
      </c>
      <c r="G60" s="6">
        <v>1</v>
      </c>
      <c r="H60" s="6"/>
      <c r="I60" s="6"/>
      <c r="J60" s="6">
        <v>1</v>
      </c>
      <c r="K60" s="12"/>
      <c r="L60" s="11"/>
      <c r="M60" s="6">
        <v>1</v>
      </c>
      <c r="N60" s="6"/>
      <c r="O60" s="6"/>
      <c r="P60" s="6"/>
      <c r="Q60" s="12"/>
    </row>
    <row r="61" spans="1:17">
      <c r="A61" s="58" t="s">
        <v>19</v>
      </c>
      <c r="B61" s="98"/>
      <c r="C61" s="99"/>
      <c r="D61" s="6">
        <v>2</v>
      </c>
      <c r="E61" s="12">
        <v>7</v>
      </c>
      <c r="F61" s="11"/>
      <c r="G61" s="6">
        <v>1</v>
      </c>
      <c r="H61" s="6"/>
      <c r="I61" s="6"/>
      <c r="J61" s="6">
        <v>1</v>
      </c>
      <c r="K61" s="12"/>
      <c r="L61" s="11"/>
      <c r="M61" s="6">
        <v>1</v>
      </c>
      <c r="N61" s="6"/>
      <c r="O61" s="6"/>
      <c r="P61" s="6"/>
      <c r="Q61" s="12"/>
    </row>
    <row r="62" spans="1:17">
      <c r="A62" s="58" t="s">
        <v>19</v>
      </c>
      <c r="B62" s="27" t="s">
        <v>23</v>
      </c>
      <c r="C62" s="30" t="s">
        <v>139</v>
      </c>
      <c r="D62" s="28">
        <v>1</v>
      </c>
      <c r="E62" s="29">
        <v>1</v>
      </c>
      <c r="F62" s="11"/>
      <c r="G62" s="6">
        <v>1</v>
      </c>
      <c r="H62" s="6"/>
      <c r="I62" s="6">
        <v>1</v>
      </c>
      <c r="J62" s="28">
        <v>1</v>
      </c>
      <c r="K62" s="29">
        <v>1</v>
      </c>
      <c r="L62" s="11"/>
      <c r="M62" s="28">
        <v>1</v>
      </c>
      <c r="N62" s="6"/>
      <c r="O62" s="6"/>
      <c r="P62" s="6"/>
      <c r="Q62" s="12"/>
    </row>
    <row r="63" spans="1:17">
      <c r="A63" s="58" t="s">
        <v>19</v>
      </c>
      <c r="B63" s="27" t="s">
        <v>24</v>
      </c>
      <c r="C63" s="30" t="s">
        <v>139</v>
      </c>
      <c r="D63" s="6">
        <v>1</v>
      </c>
      <c r="E63" s="12">
        <v>1</v>
      </c>
      <c r="F63" s="11"/>
      <c r="G63" s="6">
        <v>1</v>
      </c>
      <c r="H63" s="6"/>
      <c r="I63" s="6"/>
      <c r="J63" s="6"/>
      <c r="K63" s="12"/>
      <c r="L63" s="11"/>
      <c r="M63" s="6">
        <v>1</v>
      </c>
      <c r="N63" s="6"/>
      <c r="O63" s="6"/>
      <c r="P63" s="6"/>
      <c r="Q63" s="12"/>
    </row>
    <row r="64" spans="1:17">
      <c r="A64" s="58" t="s">
        <v>19</v>
      </c>
      <c r="B64" s="98" t="s">
        <v>25</v>
      </c>
      <c r="C64" s="99" t="s">
        <v>159</v>
      </c>
      <c r="D64" s="28">
        <v>1</v>
      </c>
      <c r="E64" s="29">
        <v>2</v>
      </c>
      <c r="F64" s="11">
        <v>1</v>
      </c>
      <c r="G64" s="28">
        <v>1</v>
      </c>
      <c r="H64" s="6">
        <v>1</v>
      </c>
      <c r="I64" s="28">
        <v>1</v>
      </c>
      <c r="J64" s="6"/>
      <c r="K64" s="12"/>
      <c r="L64" s="11"/>
      <c r="M64" s="28">
        <v>1</v>
      </c>
      <c r="N64" s="6"/>
      <c r="O64" s="6"/>
      <c r="P64" s="6"/>
      <c r="Q64" s="12"/>
    </row>
    <row r="65" spans="1:17">
      <c r="A65" s="58" t="s">
        <v>19</v>
      </c>
      <c r="B65" s="98"/>
      <c r="C65" s="99"/>
      <c r="D65" s="28">
        <v>2</v>
      </c>
      <c r="E65" s="29">
        <v>1</v>
      </c>
      <c r="F65" s="11">
        <v>1</v>
      </c>
      <c r="G65" s="28">
        <v>1</v>
      </c>
      <c r="H65" s="6">
        <v>1</v>
      </c>
      <c r="I65" s="6"/>
      <c r="J65" s="6"/>
      <c r="K65" s="12"/>
      <c r="L65" s="11"/>
      <c r="M65" s="6"/>
      <c r="N65" s="6"/>
      <c r="O65" s="6"/>
      <c r="P65" s="6"/>
      <c r="Q65" s="12"/>
    </row>
    <row r="66" spans="1:17">
      <c r="A66" s="58" t="s">
        <v>19</v>
      </c>
      <c r="B66" s="98" t="s">
        <v>26</v>
      </c>
      <c r="C66" s="99" t="s">
        <v>159</v>
      </c>
      <c r="D66" s="6">
        <v>1</v>
      </c>
      <c r="E66" s="12">
        <v>2</v>
      </c>
      <c r="F66" s="11">
        <v>1</v>
      </c>
      <c r="G66" s="6">
        <v>1</v>
      </c>
      <c r="H66" s="6">
        <v>1</v>
      </c>
      <c r="I66" s="6"/>
      <c r="J66" s="28">
        <v>1</v>
      </c>
      <c r="K66" s="12"/>
      <c r="L66" s="11"/>
      <c r="M66" s="6">
        <v>1</v>
      </c>
      <c r="N66" s="6"/>
      <c r="O66" s="6"/>
      <c r="P66" s="6"/>
      <c r="Q66" s="12"/>
    </row>
    <row r="67" spans="1:17">
      <c r="A67" s="58" t="s">
        <v>19</v>
      </c>
      <c r="B67" s="98"/>
      <c r="C67" s="99"/>
      <c r="D67" s="6">
        <v>2</v>
      </c>
      <c r="E67" s="12">
        <v>7</v>
      </c>
      <c r="F67" s="11"/>
      <c r="G67" s="6">
        <v>1</v>
      </c>
      <c r="H67" s="6">
        <v>1</v>
      </c>
      <c r="I67" s="6"/>
      <c r="J67" s="6"/>
      <c r="K67" s="12"/>
      <c r="L67" s="11"/>
      <c r="M67" s="6"/>
      <c r="N67" s="6"/>
      <c r="O67" s="6"/>
      <c r="P67" s="6"/>
      <c r="Q67" s="12"/>
    </row>
    <row r="68" spans="1:17">
      <c r="A68" s="58" t="s">
        <v>19</v>
      </c>
      <c r="B68" s="98" t="s">
        <v>27</v>
      </c>
      <c r="C68" s="99" t="s">
        <v>159</v>
      </c>
      <c r="D68" s="6">
        <v>1</v>
      </c>
      <c r="E68" s="12">
        <v>8</v>
      </c>
      <c r="F68" s="11">
        <v>1</v>
      </c>
      <c r="G68" s="6">
        <v>1</v>
      </c>
      <c r="H68" s="6">
        <v>1</v>
      </c>
      <c r="I68" s="6"/>
      <c r="J68" s="28">
        <v>1</v>
      </c>
      <c r="K68" s="29">
        <v>1</v>
      </c>
      <c r="L68" s="11"/>
      <c r="M68" s="28">
        <v>1</v>
      </c>
      <c r="N68" s="28">
        <v>1</v>
      </c>
      <c r="O68" s="6"/>
      <c r="P68" s="6"/>
      <c r="Q68" s="12"/>
    </row>
    <row r="69" spans="1:17">
      <c r="A69" s="58" t="s">
        <v>19</v>
      </c>
      <c r="B69" s="98"/>
      <c r="C69" s="99"/>
      <c r="D69" s="6">
        <v>3</v>
      </c>
      <c r="E69" s="12">
        <v>4</v>
      </c>
      <c r="F69" s="11">
        <v>1</v>
      </c>
      <c r="G69" s="6">
        <v>1</v>
      </c>
      <c r="H69" s="6">
        <v>1</v>
      </c>
      <c r="I69" s="6"/>
      <c r="J69" s="28">
        <v>1</v>
      </c>
      <c r="K69" s="12"/>
      <c r="L69" s="11"/>
      <c r="M69" s="6"/>
      <c r="N69" s="6"/>
      <c r="O69" s="6"/>
      <c r="P69" s="6"/>
      <c r="Q69" s="12"/>
    </row>
    <row r="70" spans="1:17">
      <c r="A70" s="58" t="s">
        <v>19</v>
      </c>
      <c r="B70" s="98"/>
      <c r="C70" s="99"/>
      <c r="D70" s="28">
        <v>4</v>
      </c>
      <c r="E70" s="29">
        <v>5</v>
      </c>
      <c r="F70" s="11">
        <v>1</v>
      </c>
      <c r="G70" s="6">
        <v>1</v>
      </c>
      <c r="H70" s="6">
        <v>1</v>
      </c>
      <c r="I70" s="6"/>
      <c r="J70" s="6"/>
      <c r="K70" s="12"/>
      <c r="L70" s="11"/>
      <c r="M70" s="6">
        <v>1</v>
      </c>
      <c r="N70" s="6"/>
      <c r="O70" s="6"/>
      <c r="P70" s="6"/>
      <c r="Q70" s="12"/>
    </row>
    <row r="71" spans="1:17">
      <c r="A71" s="58" t="s">
        <v>19</v>
      </c>
      <c r="B71" s="98" t="s">
        <v>28</v>
      </c>
      <c r="C71" s="99" t="s">
        <v>201</v>
      </c>
      <c r="D71" s="6">
        <v>1</v>
      </c>
      <c r="E71" s="12">
        <v>8</v>
      </c>
      <c r="F71" s="11">
        <v>1</v>
      </c>
      <c r="G71" s="6">
        <v>1</v>
      </c>
      <c r="H71" s="6"/>
      <c r="I71" s="6"/>
      <c r="J71" s="6">
        <v>1</v>
      </c>
      <c r="K71" s="12"/>
      <c r="L71" s="11"/>
      <c r="M71" s="6"/>
      <c r="N71" s="6">
        <v>1</v>
      </c>
      <c r="O71" s="6"/>
      <c r="P71" s="6"/>
      <c r="Q71" s="12"/>
    </row>
    <row r="72" spans="1:17">
      <c r="A72" s="58" t="s">
        <v>19</v>
      </c>
      <c r="B72" s="98"/>
      <c r="C72" s="99"/>
      <c r="D72" s="6">
        <v>2</v>
      </c>
      <c r="E72" s="12">
        <v>1</v>
      </c>
      <c r="F72" s="11">
        <v>1</v>
      </c>
      <c r="G72" s="6">
        <v>1</v>
      </c>
      <c r="H72" s="6"/>
      <c r="I72" s="6"/>
      <c r="J72" s="6">
        <v>1</v>
      </c>
      <c r="K72" s="12"/>
      <c r="L72" s="11">
        <v>1</v>
      </c>
      <c r="M72" s="6"/>
      <c r="N72" s="6"/>
      <c r="O72" s="6"/>
      <c r="P72" s="6"/>
      <c r="Q72" s="12"/>
    </row>
    <row r="73" spans="1:17">
      <c r="A73" s="58" t="s">
        <v>19</v>
      </c>
      <c r="B73" s="98" t="s">
        <v>29</v>
      </c>
      <c r="C73" s="99" t="s">
        <v>169</v>
      </c>
      <c r="D73" s="6">
        <v>1</v>
      </c>
      <c r="E73" s="12">
        <v>8</v>
      </c>
      <c r="F73" s="11"/>
      <c r="G73" s="6">
        <v>1</v>
      </c>
      <c r="H73" s="6">
        <v>1</v>
      </c>
      <c r="I73" s="6"/>
      <c r="J73" s="6"/>
      <c r="K73" s="12"/>
      <c r="L73" s="11"/>
      <c r="M73" s="6"/>
      <c r="N73" s="6"/>
      <c r="O73" s="6"/>
      <c r="P73" s="6"/>
      <c r="Q73" s="12"/>
    </row>
    <row r="74" spans="1:17">
      <c r="A74" s="58" t="s">
        <v>19</v>
      </c>
      <c r="B74" s="98"/>
      <c r="C74" s="99"/>
      <c r="D74" s="28">
        <v>2</v>
      </c>
      <c r="E74" s="29">
        <v>1</v>
      </c>
      <c r="F74" s="11">
        <v>1</v>
      </c>
      <c r="G74" s="28">
        <v>1</v>
      </c>
      <c r="H74" s="6">
        <v>1</v>
      </c>
      <c r="I74" s="6"/>
      <c r="J74" s="28">
        <v>1</v>
      </c>
      <c r="K74" s="12"/>
      <c r="L74" s="11"/>
      <c r="M74" s="6">
        <v>1</v>
      </c>
      <c r="N74" s="6"/>
      <c r="O74" s="6"/>
      <c r="P74" s="6">
        <v>1</v>
      </c>
      <c r="Q74" s="12"/>
    </row>
    <row r="75" spans="1:17">
      <c r="A75" s="58" t="s">
        <v>19</v>
      </c>
      <c r="B75" s="98"/>
      <c r="C75" s="99"/>
      <c r="D75" s="28">
        <v>3</v>
      </c>
      <c r="E75" s="29">
        <v>2</v>
      </c>
      <c r="F75" s="31">
        <v>1</v>
      </c>
      <c r="G75" s="28">
        <v>1</v>
      </c>
      <c r="H75" s="6">
        <v>1</v>
      </c>
      <c r="I75" s="6"/>
      <c r="J75" s="6"/>
      <c r="K75" s="12"/>
      <c r="L75" s="11"/>
      <c r="M75" s="6"/>
      <c r="N75" s="6"/>
      <c r="O75" s="6"/>
      <c r="P75" s="6"/>
      <c r="Q75" s="12"/>
    </row>
    <row r="76" spans="1:17">
      <c r="A76" s="58" t="s">
        <v>19</v>
      </c>
      <c r="B76" s="98" t="s">
        <v>30</v>
      </c>
      <c r="C76" s="99" t="s">
        <v>201</v>
      </c>
      <c r="D76" s="6">
        <v>1</v>
      </c>
      <c r="E76" s="12">
        <v>6</v>
      </c>
      <c r="F76" s="11"/>
      <c r="G76" s="6">
        <v>1</v>
      </c>
      <c r="H76" s="6"/>
      <c r="I76" s="6"/>
      <c r="J76" s="6"/>
      <c r="K76" s="12"/>
      <c r="L76" s="11"/>
      <c r="M76" s="6">
        <v>1</v>
      </c>
      <c r="N76" s="6"/>
      <c r="O76" s="6"/>
      <c r="P76" s="6"/>
      <c r="Q76" s="12"/>
    </row>
    <row r="77" spans="1:17">
      <c r="A77" s="58" t="s">
        <v>19</v>
      </c>
      <c r="B77" s="98"/>
      <c r="C77" s="99"/>
      <c r="D77" s="6">
        <v>2</v>
      </c>
      <c r="E77" s="12">
        <v>7</v>
      </c>
      <c r="F77" s="11"/>
      <c r="G77" s="6">
        <v>1</v>
      </c>
      <c r="H77" s="6"/>
      <c r="I77" s="6"/>
      <c r="J77" s="6"/>
      <c r="K77" s="12"/>
      <c r="L77" s="11"/>
      <c r="M77" s="6">
        <v>1</v>
      </c>
      <c r="N77" s="6"/>
      <c r="O77" s="6"/>
      <c r="P77" s="6"/>
      <c r="Q77" s="12"/>
    </row>
    <row r="78" spans="1:17">
      <c r="A78" s="58" t="s">
        <v>19</v>
      </c>
      <c r="B78" s="27" t="s">
        <v>31</v>
      </c>
      <c r="C78" s="30" t="s">
        <v>139</v>
      </c>
      <c r="D78" s="6">
        <v>1</v>
      </c>
      <c r="E78" s="12">
        <v>7</v>
      </c>
      <c r="F78" s="11"/>
      <c r="G78" s="6"/>
      <c r="H78" s="6"/>
      <c r="I78" s="6"/>
      <c r="J78" s="6"/>
      <c r="K78" s="12"/>
      <c r="L78" s="11"/>
      <c r="M78" s="6"/>
      <c r="N78" s="6"/>
      <c r="O78" s="6"/>
      <c r="P78" s="6"/>
      <c r="Q78" s="12"/>
    </row>
    <row r="79" spans="1:17">
      <c r="A79" s="58" t="s">
        <v>19</v>
      </c>
      <c r="B79" s="48" t="s">
        <v>32</v>
      </c>
      <c r="C79" s="30" t="s">
        <v>139</v>
      </c>
      <c r="D79" s="6">
        <v>1</v>
      </c>
      <c r="E79" s="12">
        <v>1</v>
      </c>
      <c r="F79" s="11">
        <v>1</v>
      </c>
      <c r="G79" s="6">
        <v>1</v>
      </c>
      <c r="H79" s="6">
        <v>1</v>
      </c>
      <c r="I79" s="6"/>
      <c r="J79" s="28">
        <v>1</v>
      </c>
      <c r="K79" s="12"/>
      <c r="L79" s="11"/>
      <c r="M79" s="6">
        <v>1</v>
      </c>
      <c r="N79" s="6"/>
      <c r="O79" s="6"/>
      <c r="P79" s="6"/>
      <c r="Q79" s="12"/>
    </row>
    <row r="80" spans="1:17">
      <c r="A80" s="58" t="s">
        <v>19</v>
      </c>
      <c r="B80" s="27" t="s">
        <v>33</v>
      </c>
      <c r="C80" s="30" t="s">
        <v>139</v>
      </c>
      <c r="D80" s="6">
        <v>1</v>
      </c>
      <c r="E80" s="12">
        <v>8</v>
      </c>
      <c r="F80" s="11">
        <v>1</v>
      </c>
      <c r="G80" s="6">
        <v>1</v>
      </c>
      <c r="H80" s="28">
        <v>1</v>
      </c>
      <c r="I80" s="6"/>
      <c r="J80" s="6"/>
      <c r="K80" s="29">
        <v>1</v>
      </c>
      <c r="L80" s="11"/>
      <c r="M80" s="6">
        <v>1</v>
      </c>
      <c r="N80" s="6"/>
      <c r="O80" s="6"/>
      <c r="P80" s="6"/>
      <c r="Q80" s="12"/>
    </row>
    <row r="81" spans="1:17">
      <c r="A81" s="58" t="s">
        <v>19</v>
      </c>
      <c r="B81" s="48" t="s">
        <v>34</v>
      </c>
      <c r="C81" s="30" t="s">
        <v>139</v>
      </c>
      <c r="D81" s="6">
        <v>1</v>
      </c>
      <c r="E81" s="12">
        <v>1</v>
      </c>
      <c r="F81" s="11">
        <v>1</v>
      </c>
      <c r="G81" s="6">
        <v>1</v>
      </c>
      <c r="H81" s="6">
        <v>1</v>
      </c>
      <c r="I81" s="6"/>
      <c r="J81" s="28">
        <v>1</v>
      </c>
      <c r="K81" s="12"/>
      <c r="L81" s="11"/>
      <c r="M81" s="6">
        <v>1</v>
      </c>
      <c r="N81" s="6"/>
      <c r="O81" s="6"/>
      <c r="P81" s="6">
        <v>1</v>
      </c>
      <c r="Q81" s="12"/>
    </row>
    <row r="82" spans="1:17">
      <c r="A82" s="58" t="s">
        <v>19</v>
      </c>
      <c r="B82" s="98" t="s">
        <v>35</v>
      </c>
      <c r="C82" s="99" t="s">
        <v>159</v>
      </c>
      <c r="D82" s="6">
        <v>1</v>
      </c>
      <c r="E82" s="12">
        <v>7</v>
      </c>
      <c r="F82" s="11"/>
      <c r="G82" s="6">
        <v>1</v>
      </c>
      <c r="H82" s="6">
        <v>1</v>
      </c>
      <c r="I82" s="6"/>
      <c r="J82" s="6">
        <v>1</v>
      </c>
      <c r="K82" s="12"/>
      <c r="L82" s="11"/>
      <c r="M82" s="6"/>
      <c r="N82" s="6"/>
      <c r="O82" s="6"/>
      <c r="P82" s="6">
        <v>1</v>
      </c>
      <c r="Q82" s="12"/>
    </row>
    <row r="83" spans="1:17">
      <c r="A83" s="58" t="s">
        <v>19</v>
      </c>
      <c r="B83" s="98"/>
      <c r="C83" s="99"/>
      <c r="D83" s="6">
        <v>2</v>
      </c>
      <c r="E83" s="12">
        <v>1</v>
      </c>
      <c r="F83" s="11">
        <v>1</v>
      </c>
      <c r="G83" s="6">
        <v>1</v>
      </c>
      <c r="H83" s="6"/>
      <c r="I83" s="6">
        <v>1</v>
      </c>
      <c r="J83" s="28">
        <v>1</v>
      </c>
      <c r="K83" s="12"/>
      <c r="L83" s="11"/>
      <c r="M83" s="6"/>
      <c r="N83" s="6"/>
      <c r="O83" s="6">
        <v>1</v>
      </c>
      <c r="P83" s="6"/>
      <c r="Q83" s="12"/>
    </row>
    <row r="84" spans="1:17">
      <c r="A84" s="58" t="s">
        <v>19</v>
      </c>
      <c r="B84" s="98" t="s">
        <v>36</v>
      </c>
      <c r="C84" s="99" t="s">
        <v>201</v>
      </c>
      <c r="D84" s="28">
        <v>1</v>
      </c>
      <c r="E84" s="29">
        <v>1</v>
      </c>
      <c r="F84" s="11">
        <v>1</v>
      </c>
      <c r="G84" s="28">
        <v>1</v>
      </c>
      <c r="H84" s="6"/>
      <c r="I84" s="6">
        <v>1</v>
      </c>
      <c r="J84" s="6"/>
      <c r="K84" s="12"/>
      <c r="L84" s="11"/>
      <c r="M84" s="6"/>
      <c r="N84" s="6">
        <v>1</v>
      </c>
      <c r="O84" s="6"/>
      <c r="P84" s="6"/>
      <c r="Q84" s="12"/>
    </row>
    <row r="85" spans="1:17">
      <c r="A85" s="58" t="s">
        <v>19</v>
      </c>
      <c r="B85" s="98"/>
      <c r="C85" s="99"/>
      <c r="D85" s="28">
        <v>2</v>
      </c>
      <c r="E85" s="29">
        <v>2</v>
      </c>
      <c r="F85" s="11">
        <v>1</v>
      </c>
      <c r="G85" s="28">
        <v>1</v>
      </c>
      <c r="H85" s="6"/>
      <c r="I85" s="6"/>
      <c r="J85" s="6"/>
      <c r="K85" s="12"/>
      <c r="L85" s="11"/>
      <c r="M85" s="6">
        <v>1</v>
      </c>
      <c r="N85" s="6"/>
      <c r="O85" s="6"/>
      <c r="P85" s="6"/>
      <c r="Q85" s="12"/>
    </row>
    <row r="86" spans="1:17">
      <c r="A86" s="58" t="s">
        <v>19</v>
      </c>
      <c r="B86" s="98" t="s">
        <v>37</v>
      </c>
      <c r="C86" s="99" t="s">
        <v>159</v>
      </c>
      <c r="D86" s="6">
        <v>1</v>
      </c>
      <c r="E86" s="12">
        <v>7</v>
      </c>
      <c r="F86" s="11"/>
      <c r="G86" s="6"/>
      <c r="H86" s="6"/>
      <c r="I86" s="6"/>
      <c r="J86" s="6"/>
      <c r="K86" s="12"/>
      <c r="L86" s="11"/>
      <c r="M86" s="6"/>
      <c r="N86" s="6"/>
      <c r="O86" s="6"/>
      <c r="P86" s="6"/>
      <c r="Q86" s="12"/>
    </row>
    <row r="87" spans="1:17">
      <c r="A87" s="58" t="s">
        <v>19</v>
      </c>
      <c r="B87" s="98"/>
      <c r="C87" s="99"/>
      <c r="D87" s="6">
        <v>2</v>
      </c>
      <c r="E87" s="12">
        <v>1</v>
      </c>
      <c r="F87" s="11"/>
      <c r="G87" s="6">
        <v>1</v>
      </c>
      <c r="H87" s="6"/>
      <c r="I87" s="6"/>
      <c r="J87" s="6">
        <v>1</v>
      </c>
      <c r="K87" s="12"/>
      <c r="L87" s="11"/>
      <c r="M87" s="6"/>
      <c r="N87" s="6"/>
      <c r="O87" s="6"/>
      <c r="P87" s="6"/>
      <c r="Q87" s="12"/>
    </row>
    <row r="88" spans="1:17">
      <c r="A88" s="56" t="s">
        <v>19</v>
      </c>
      <c r="B88" s="55" t="s">
        <v>38</v>
      </c>
      <c r="C88" s="42" t="s">
        <v>139</v>
      </c>
      <c r="D88" s="51">
        <v>1</v>
      </c>
      <c r="E88" s="61">
        <v>7</v>
      </c>
      <c r="F88" s="20">
        <v>1</v>
      </c>
      <c r="G88" s="51">
        <v>1</v>
      </c>
      <c r="H88" s="21">
        <v>1</v>
      </c>
      <c r="I88" s="51">
        <v>1</v>
      </c>
      <c r="J88" s="21"/>
      <c r="K88" s="22"/>
      <c r="L88" s="20"/>
      <c r="M88" s="21"/>
      <c r="N88" s="21"/>
      <c r="O88" s="21"/>
      <c r="P88" s="21">
        <v>1</v>
      </c>
      <c r="Q88" s="22">
        <v>1</v>
      </c>
    </row>
  </sheetData>
  <mergeCells count="48">
    <mergeCell ref="B25:B29"/>
    <mergeCell ref="C25:C29"/>
    <mergeCell ref="F1:K1"/>
    <mergeCell ref="L1:Q1"/>
    <mergeCell ref="A1:E1"/>
    <mergeCell ref="B3:B5"/>
    <mergeCell ref="C3:C5"/>
    <mergeCell ref="B13:B14"/>
    <mergeCell ref="C13:C14"/>
    <mergeCell ref="B16:B18"/>
    <mergeCell ref="C16:C18"/>
    <mergeCell ref="S2:U2"/>
    <mergeCell ref="B21:B24"/>
    <mergeCell ref="C21:C24"/>
    <mergeCell ref="B32:B35"/>
    <mergeCell ref="C32:C35"/>
    <mergeCell ref="B36:B38"/>
    <mergeCell ref="C36:C38"/>
    <mergeCell ref="B41:B42"/>
    <mergeCell ref="C41:C42"/>
    <mergeCell ref="B43:B45"/>
    <mergeCell ref="C43:C45"/>
    <mergeCell ref="B50:B51"/>
    <mergeCell ref="C50:C51"/>
    <mergeCell ref="B52:B54"/>
    <mergeCell ref="C52:C54"/>
    <mergeCell ref="B55:B56"/>
    <mergeCell ref="C55:C56"/>
    <mergeCell ref="B60:B61"/>
    <mergeCell ref="C60:C61"/>
    <mergeCell ref="B64:B65"/>
    <mergeCell ref="C64:C65"/>
    <mergeCell ref="B66:B67"/>
    <mergeCell ref="C66:C67"/>
    <mergeCell ref="B68:B70"/>
    <mergeCell ref="C68:C70"/>
    <mergeCell ref="B71:B72"/>
    <mergeCell ref="C71:C72"/>
    <mergeCell ref="B84:B85"/>
    <mergeCell ref="C84:C85"/>
    <mergeCell ref="B86:B87"/>
    <mergeCell ref="C86:C87"/>
    <mergeCell ref="B73:B75"/>
    <mergeCell ref="C73:C75"/>
    <mergeCell ref="B76:B77"/>
    <mergeCell ref="C76:C77"/>
    <mergeCell ref="B82:B83"/>
    <mergeCell ref="C82:C8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1"/>
  <sheetViews>
    <sheetView workbookViewId="0">
      <selection sqref="A1:O1"/>
    </sheetView>
  </sheetViews>
  <sheetFormatPr defaultRowHeight="14.25"/>
  <cols>
    <col min="1" max="1" width="19.375" bestFit="1" customWidth="1"/>
    <col min="2" max="2" width="11.875" bestFit="1" customWidth="1"/>
    <col min="3" max="3" width="8.75" bestFit="1" customWidth="1"/>
    <col min="4" max="4" width="8.375" bestFit="1" customWidth="1"/>
    <col min="5" max="5" width="10" customWidth="1"/>
    <col min="6" max="6" width="6.625" bestFit="1" customWidth="1"/>
    <col min="7" max="7" width="7.875" bestFit="1" customWidth="1"/>
    <col min="8" max="8" width="8.875" bestFit="1" customWidth="1"/>
    <col min="10" max="10" width="8.625" bestFit="1" customWidth="1"/>
    <col min="11" max="11" width="6.375" customWidth="1"/>
    <col min="12" max="12" width="8.375" bestFit="1" customWidth="1"/>
    <col min="13" max="13" width="8.25" bestFit="1" customWidth="1"/>
    <col min="14" max="14" width="12.5" bestFit="1" customWidth="1"/>
    <col min="15" max="15" width="11.875" bestFit="1" customWidth="1"/>
  </cols>
  <sheetData>
    <row r="1" spans="1:15" ht="71.25">
      <c r="A1" s="169" t="s">
        <v>115</v>
      </c>
      <c r="B1" s="169" t="s">
        <v>116</v>
      </c>
      <c r="C1" s="170" t="s">
        <v>117</v>
      </c>
      <c r="D1" s="170" t="s">
        <v>118</v>
      </c>
      <c r="E1" s="170" t="s">
        <v>266</v>
      </c>
      <c r="F1" s="171" t="s">
        <v>267</v>
      </c>
      <c r="G1" s="171" t="s">
        <v>268</v>
      </c>
      <c r="H1" s="171" t="s">
        <v>269</v>
      </c>
      <c r="I1" s="171" t="s">
        <v>270</v>
      </c>
      <c r="J1" s="171" t="s">
        <v>271</v>
      </c>
      <c r="K1" s="171" t="s">
        <v>272</v>
      </c>
      <c r="L1" s="170" t="s">
        <v>273</v>
      </c>
      <c r="M1" s="171" t="s">
        <v>274</v>
      </c>
      <c r="N1" s="169" t="s">
        <v>275</v>
      </c>
      <c r="O1" s="169" t="s">
        <v>276</v>
      </c>
    </row>
    <row r="2" spans="1:15" ht="45">
      <c r="A2" s="155" t="s">
        <v>45</v>
      </c>
      <c r="B2" s="155" t="s">
        <v>172</v>
      </c>
      <c r="C2" s="156" t="s">
        <v>193</v>
      </c>
      <c r="D2" s="156" t="s">
        <v>169</v>
      </c>
      <c r="E2" s="156" t="s">
        <v>277</v>
      </c>
      <c r="F2" s="157">
        <v>6.88</v>
      </c>
      <c r="G2" s="157">
        <v>37.17</v>
      </c>
      <c r="H2" s="157">
        <v>35.21</v>
      </c>
      <c r="I2" s="157">
        <v>3.98</v>
      </c>
      <c r="J2" s="157">
        <v>3.77</v>
      </c>
      <c r="K2" s="157">
        <v>4.0999999999999996</v>
      </c>
      <c r="L2" s="157">
        <f>K2-J2</f>
        <v>0.32999999999999963</v>
      </c>
      <c r="M2" s="157">
        <f>G2/2</f>
        <v>18.585000000000001</v>
      </c>
      <c r="N2" s="155">
        <f>L2/M2</f>
        <v>1.7756255044390618E-2</v>
      </c>
      <c r="O2" s="155">
        <f>2*(90-ATAN(N2))</f>
        <v>179.96449122138779</v>
      </c>
    </row>
    <row r="3" spans="1:15" ht="30">
      <c r="A3" s="158" t="s">
        <v>48</v>
      </c>
      <c r="B3" s="158" t="s">
        <v>137</v>
      </c>
      <c r="C3" s="159" t="s">
        <v>278</v>
      </c>
      <c r="D3" s="159" t="s">
        <v>139</v>
      </c>
      <c r="E3" s="159" t="s">
        <v>279</v>
      </c>
      <c r="F3" s="160">
        <v>1.72</v>
      </c>
      <c r="G3" s="161" t="s">
        <v>280</v>
      </c>
      <c r="H3" s="160" t="s">
        <v>281</v>
      </c>
      <c r="I3" s="160">
        <v>6.47</v>
      </c>
      <c r="J3" s="160" t="s">
        <v>281</v>
      </c>
      <c r="K3" s="160" t="s">
        <v>281</v>
      </c>
      <c r="L3" s="142"/>
      <c r="M3" s="162"/>
      <c r="N3" s="142"/>
      <c r="O3" s="142"/>
    </row>
    <row r="4" spans="1:15" ht="45">
      <c r="A4" s="155" t="s">
        <v>47</v>
      </c>
      <c r="B4" s="155" t="s">
        <v>137</v>
      </c>
      <c r="C4" s="156" t="s">
        <v>193</v>
      </c>
      <c r="D4" s="156" t="s">
        <v>139</v>
      </c>
      <c r="E4" s="156" t="s">
        <v>282</v>
      </c>
      <c r="F4" s="157">
        <v>5.27</v>
      </c>
      <c r="G4" s="157" t="s">
        <v>280</v>
      </c>
      <c r="H4" s="157" t="s">
        <v>281</v>
      </c>
      <c r="I4" s="157">
        <v>4.28</v>
      </c>
      <c r="J4" s="157" t="s">
        <v>281</v>
      </c>
      <c r="K4" s="157" t="s">
        <v>281</v>
      </c>
      <c r="L4" s="155"/>
      <c r="M4" s="157"/>
      <c r="N4" s="155"/>
      <c r="O4" s="155"/>
    </row>
    <row r="5" spans="1:15" ht="45">
      <c r="A5" s="158" t="s">
        <v>53</v>
      </c>
      <c r="B5" s="158" t="s">
        <v>137</v>
      </c>
      <c r="C5" s="159" t="s">
        <v>193</v>
      </c>
      <c r="D5" s="159" t="s">
        <v>139</v>
      </c>
      <c r="E5" s="159" t="s">
        <v>277</v>
      </c>
      <c r="F5" s="160">
        <v>1.77</v>
      </c>
      <c r="G5" s="161" t="s">
        <v>280</v>
      </c>
      <c r="H5" s="160" t="s">
        <v>281</v>
      </c>
      <c r="I5" s="160">
        <v>2.98</v>
      </c>
      <c r="J5" s="160" t="s">
        <v>281</v>
      </c>
      <c r="K5" s="160" t="s">
        <v>281</v>
      </c>
      <c r="L5" s="142"/>
      <c r="M5" s="162"/>
      <c r="N5" s="142"/>
      <c r="O5" s="142"/>
    </row>
    <row r="6" spans="1:15" ht="45">
      <c r="A6" s="158" t="s">
        <v>56</v>
      </c>
      <c r="B6" s="158" t="s">
        <v>137</v>
      </c>
      <c r="C6" s="159" t="s">
        <v>193</v>
      </c>
      <c r="D6" s="159" t="s">
        <v>139</v>
      </c>
      <c r="E6" s="159" t="s">
        <v>282</v>
      </c>
      <c r="F6" s="160">
        <v>3.59</v>
      </c>
      <c r="G6" s="161">
        <v>32.380000000000003</v>
      </c>
      <c r="H6" s="160">
        <v>25.91</v>
      </c>
      <c r="I6" s="160">
        <v>3.93</v>
      </c>
      <c r="J6" s="160">
        <v>3.3</v>
      </c>
      <c r="K6" s="160">
        <v>3.83</v>
      </c>
      <c r="L6" s="162">
        <f>K6-J6</f>
        <v>0.53000000000000025</v>
      </c>
      <c r="M6" s="162">
        <f>G6/2</f>
        <v>16.190000000000001</v>
      </c>
      <c r="N6" s="142">
        <f>L6/M6</f>
        <v>3.2736256948733798E-2</v>
      </c>
      <c r="O6" s="142">
        <f>2*(90-ATAN(N6))</f>
        <v>179.9345508592219</v>
      </c>
    </row>
    <row r="7" spans="1:15" ht="15">
      <c r="A7" s="158" t="s">
        <v>57</v>
      </c>
      <c r="B7" s="158" t="s">
        <v>137</v>
      </c>
      <c r="C7" s="159" t="s">
        <v>179</v>
      </c>
      <c r="D7" s="159" t="s">
        <v>139</v>
      </c>
      <c r="E7" s="159" t="s">
        <v>282</v>
      </c>
      <c r="F7" s="160">
        <v>3.52</v>
      </c>
      <c r="G7" s="161">
        <v>30.13</v>
      </c>
      <c r="H7" s="160">
        <v>21.75</v>
      </c>
      <c r="I7" s="160">
        <v>4.91</v>
      </c>
      <c r="J7" s="160">
        <v>4.08</v>
      </c>
      <c r="K7" s="160">
        <v>4.5</v>
      </c>
      <c r="L7" s="162">
        <f>K7-J7</f>
        <v>0.41999999999999993</v>
      </c>
      <c r="M7" s="162">
        <f>G7/2</f>
        <v>15.065</v>
      </c>
      <c r="N7" s="142">
        <f>L7/M7</f>
        <v>2.7879190175904411E-2</v>
      </c>
      <c r="O7" s="142">
        <f>2*(90-ATAN(N7))</f>
        <v>179.94425605896802</v>
      </c>
    </row>
    <row r="8" spans="1:15" ht="45">
      <c r="A8" s="158" t="s">
        <v>55</v>
      </c>
      <c r="B8" s="158" t="s">
        <v>137</v>
      </c>
      <c r="C8" s="159" t="s">
        <v>193</v>
      </c>
      <c r="D8" s="159" t="s">
        <v>139</v>
      </c>
      <c r="E8" s="159" t="s">
        <v>277</v>
      </c>
      <c r="F8" s="160">
        <v>0.65</v>
      </c>
      <c r="G8" s="161">
        <v>18.18</v>
      </c>
      <c r="H8" s="160">
        <v>16.3</v>
      </c>
      <c r="I8" s="160">
        <v>3.78</v>
      </c>
      <c r="J8" s="160">
        <v>2.73</v>
      </c>
      <c r="K8" s="160">
        <v>3.24</v>
      </c>
      <c r="L8" s="162">
        <f>K8-J8</f>
        <v>0.51000000000000023</v>
      </c>
      <c r="M8" s="162">
        <f>G8/2</f>
        <v>9.09</v>
      </c>
      <c r="N8" s="142">
        <f>L8/M8</f>
        <v>5.6105610561056132E-2</v>
      </c>
      <c r="O8" s="142">
        <f>2*(90-ATAN(N8))</f>
        <v>179.88790629797163</v>
      </c>
    </row>
    <row r="9" spans="1:15" ht="45">
      <c r="A9" s="158" t="s">
        <v>59</v>
      </c>
      <c r="B9" s="158" t="s">
        <v>137</v>
      </c>
      <c r="C9" s="159" t="s">
        <v>158</v>
      </c>
      <c r="D9" s="159" t="s">
        <v>283</v>
      </c>
      <c r="E9" s="159" t="s">
        <v>282</v>
      </c>
      <c r="F9" s="160">
        <v>0.09</v>
      </c>
      <c r="G9" s="161" t="s">
        <v>284</v>
      </c>
      <c r="H9" s="160" t="s">
        <v>281</v>
      </c>
      <c r="I9" s="160">
        <v>2.52</v>
      </c>
      <c r="J9" s="160" t="s">
        <v>281</v>
      </c>
      <c r="K9" s="160" t="s">
        <v>281</v>
      </c>
      <c r="L9" s="142"/>
      <c r="M9" s="162"/>
      <c r="N9" s="142"/>
      <c r="O9" s="142"/>
    </row>
    <row r="10" spans="1:15" ht="45">
      <c r="A10" s="158" t="s">
        <v>60</v>
      </c>
      <c r="B10" s="158" t="s">
        <v>137</v>
      </c>
      <c r="C10" s="159" t="s">
        <v>158</v>
      </c>
      <c r="D10" s="159" t="s">
        <v>169</v>
      </c>
      <c r="E10" s="159" t="s">
        <v>282</v>
      </c>
      <c r="F10" s="160">
        <v>0.24</v>
      </c>
      <c r="G10" s="161" t="s">
        <v>284</v>
      </c>
      <c r="H10" s="160" t="s">
        <v>281</v>
      </c>
      <c r="I10" s="160">
        <v>3.01</v>
      </c>
      <c r="J10" s="160" t="s">
        <v>281</v>
      </c>
      <c r="K10" s="160" t="s">
        <v>281</v>
      </c>
      <c r="L10" s="154"/>
      <c r="M10" s="163"/>
      <c r="N10" s="154"/>
      <c r="O10" s="154"/>
    </row>
    <row r="11" spans="1:15" ht="45">
      <c r="A11" s="158" t="s">
        <v>58</v>
      </c>
      <c r="B11" s="158" t="s">
        <v>137</v>
      </c>
      <c r="C11" s="159" t="s">
        <v>193</v>
      </c>
      <c r="D11" s="159" t="s">
        <v>201</v>
      </c>
      <c r="E11" s="159" t="s">
        <v>277</v>
      </c>
      <c r="F11" s="160">
        <v>4.3899999999999997</v>
      </c>
      <c r="G11" s="160">
        <v>34.28</v>
      </c>
      <c r="H11" s="160">
        <v>28.43</v>
      </c>
      <c r="I11" s="160">
        <v>5.0199999999999996</v>
      </c>
      <c r="J11" s="160">
        <v>4.9800000000000004</v>
      </c>
      <c r="K11" s="160">
        <v>6</v>
      </c>
      <c r="L11" s="163">
        <f>K11-J11</f>
        <v>1.0199999999999996</v>
      </c>
      <c r="M11" s="163">
        <f>G11/2</f>
        <v>17.14</v>
      </c>
      <c r="N11" s="154">
        <f>L11/M11</f>
        <v>5.9509918319719926E-2</v>
      </c>
      <c r="O11" s="154">
        <f>2*(90-ATAN(N11))</f>
        <v>179.88112036572579</v>
      </c>
    </row>
    <row r="12" spans="1:15" ht="45">
      <c r="A12" s="155" t="s">
        <v>54</v>
      </c>
      <c r="B12" s="155" t="s">
        <v>137</v>
      </c>
      <c r="C12" s="156" t="s">
        <v>193</v>
      </c>
      <c r="D12" s="156" t="s">
        <v>139</v>
      </c>
      <c r="E12" s="156" t="s">
        <v>279</v>
      </c>
      <c r="F12" s="157">
        <v>2.57</v>
      </c>
      <c r="G12" s="164">
        <v>34.4</v>
      </c>
      <c r="H12" s="157">
        <v>23.75</v>
      </c>
      <c r="I12" s="157">
        <v>3.86</v>
      </c>
      <c r="J12" s="157">
        <v>3.34</v>
      </c>
      <c r="K12" s="157">
        <v>3.82</v>
      </c>
      <c r="L12" s="157">
        <f>K12-J12</f>
        <v>0.48</v>
      </c>
      <c r="M12" s="157">
        <f>G12/2</f>
        <v>17.2</v>
      </c>
      <c r="N12" s="155">
        <f>L12/M12</f>
        <v>2.7906976744186046E-2</v>
      </c>
      <c r="O12" s="155">
        <f>2*(90-ATAN(N12))</f>
        <v>179.9442005290351</v>
      </c>
    </row>
    <row r="13" spans="1:15" ht="30">
      <c r="A13" s="155" t="s">
        <v>50</v>
      </c>
      <c r="B13" s="155" t="s">
        <v>137</v>
      </c>
      <c r="C13" s="156" t="s">
        <v>278</v>
      </c>
      <c r="D13" s="156" t="s">
        <v>201</v>
      </c>
      <c r="E13" s="156" t="s">
        <v>282</v>
      </c>
      <c r="F13" s="157">
        <v>6.32</v>
      </c>
      <c r="G13" s="157" t="s">
        <v>280</v>
      </c>
      <c r="H13" s="157" t="s">
        <v>281</v>
      </c>
      <c r="I13" s="157">
        <v>7.72</v>
      </c>
      <c r="J13" s="157" t="s">
        <v>281</v>
      </c>
      <c r="K13" s="157" t="s">
        <v>281</v>
      </c>
      <c r="L13" s="155"/>
      <c r="M13" s="157"/>
      <c r="N13" s="155"/>
      <c r="O13" s="155"/>
    </row>
    <row r="14" spans="1:15" ht="45">
      <c r="A14" s="158" t="s">
        <v>51</v>
      </c>
      <c r="B14" s="158" t="s">
        <v>137</v>
      </c>
      <c r="C14" s="159" t="s">
        <v>158</v>
      </c>
      <c r="D14" s="159" t="s">
        <v>139</v>
      </c>
      <c r="E14" s="159" t="s">
        <v>277</v>
      </c>
      <c r="F14" s="160">
        <v>0.59</v>
      </c>
      <c r="G14" s="161" t="s">
        <v>284</v>
      </c>
      <c r="H14" s="160" t="s">
        <v>281</v>
      </c>
      <c r="I14" s="160">
        <v>3.02</v>
      </c>
      <c r="J14" s="160" t="s">
        <v>281</v>
      </c>
      <c r="K14" s="160" t="s">
        <v>281</v>
      </c>
      <c r="L14" s="154"/>
      <c r="M14" s="163"/>
      <c r="N14" s="154"/>
      <c r="O14" s="154"/>
    </row>
    <row r="15" spans="1:15" ht="45">
      <c r="A15" s="155" t="s">
        <v>42</v>
      </c>
      <c r="B15" s="155" t="s">
        <v>137</v>
      </c>
      <c r="C15" s="156" t="s">
        <v>158</v>
      </c>
      <c r="D15" s="156" t="s">
        <v>159</v>
      </c>
      <c r="E15" s="156" t="s">
        <v>282</v>
      </c>
      <c r="F15" s="157">
        <v>3.94</v>
      </c>
      <c r="G15" s="164" t="s">
        <v>284</v>
      </c>
      <c r="H15" s="157" t="s">
        <v>281</v>
      </c>
      <c r="I15" s="157">
        <v>4.8899999999999997</v>
      </c>
      <c r="J15" s="157" t="s">
        <v>281</v>
      </c>
      <c r="K15" s="157" t="s">
        <v>281</v>
      </c>
      <c r="L15" s="155"/>
      <c r="M15" s="157"/>
      <c r="N15" s="155"/>
      <c r="O15" s="155"/>
    </row>
    <row r="16" spans="1:15" ht="45">
      <c r="A16" s="158" t="s">
        <v>43</v>
      </c>
      <c r="B16" s="158" t="s">
        <v>137</v>
      </c>
      <c r="C16" s="159" t="s">
        <v>193</v>
      </c>
      <c r="D16" s="159" t="s">
        <v>169</v>
      </c>
      <c r="E16" s="159" t="s">
        <v>277</v>
      </c>
      <c r="F16" s="160">
        <v>5.73</v>
      </c>
      <c r="G16" s="161">
        <v>39.19</v>
      </c>
      <c r="H16" s="160">
        <v>34.83</v>
      </c>
      <c r="I16" s="160">
        <v>7.41</v>
      </c>
      <c r="J16" s="160">
        <v>6.6</v>
      </c>
      <c r="K16" s="160">
        <v>6.9</v>
      </c>
      <c r="L16" s="162">
        <f>K16-J16</f>
        <v>0.30000000000000071</v>
      </c>
      <c r="M16" s="162">
        <f>G16/2</f>
        <v>19.594999999999999</v>
      </c>
      <c r="N16" s="142">
        <f>L16/M16</f>
        <v>1.5310028068384829E-2</v>
      </c>
      <c r="O16" s="142">
        <f>2*(90-ATAN(N16))</f>
        <v>179.96938233594284</v>
      </c>
    </row>
    <row r="17" spans="1:15" ht="45">
      <c r="A17" s="158" t="s">
        <v>41</v>
      </c>
      <c r="B17" s="158" t="s">
        <v>203</v>
      </c>
      <c r="C17" s="159" t="s">
        <v>193</v>
      </c>
      <c r="D17" s="159" t="s">
        <v>139</v>
      </c>
      <c r="E17" s="159" t="s">
        <v>282</v>
      </c>
      <c r="F17" s="160">
        <v>2.41</v>
      </c>
      <c r="G17" s="161">
        <v>29.13</v>
      </c>
      <c r="H17" s="160">
        <v>22.71</v>
      </c>
      <c r="I17" s="160">
        <v>4.13</v>
      </c>
      <c r="J17" s="160">
        <v>4.0199999999999996</v>
      </c>
      <c r="K17" s="160">
        <v>5</v>
      </c>
      <c r="L17" s="162">
        <f>K17-J17</f>
        <v>0.98000000000000043</v>
      </c>
      <c r="M17" s="162">
        <f>G17/2</f>
        <v>14.565</v>
      </c>
      <c r="N17" s="142">
        <f>L17/M17</f>
        <v>6.7284586337109542E-2</v>
      </c>
      <c r="O17" s="142">
        <f>2*(90-ATAN(N17))</f>
        <v>179.8656333520367</v>
      </c>
    </row>
    <row r="18" spans="1:15" ht="15">
      <c r="A18" s="158" t="s">
        <v>40</v>
      </c>
      <c r="B18" s="155" t="s">
        <v>137</v>
      </c>
      <c r="C18" s="159" t="s">
        <v>179</v>
      </c>
      <c r="D18" s="159" t="s">
        <v>139</v>
      </c>
      <c r="E18" s="159" t="s">
        <v>282</v>
      </c>
      <c r="F18" s="160">
        <v>4.59</v>
      </c>
      <c r="G18" s="161">
        <v>33.44</v>
      </c>
      <c r="H18" s="160">
        <v>26.73</v>
      </c>
      <c r="I18" s="160">
        <v>5.27</v>
      </c>
      <c r="J18" s="160">
        <v>5.0599999999999996</v>
      </c>
      <c r="K18" s="160">
        <v>6.3</v>
      </c>
      <c r="L18" s="162">
        <f>K18-J18</f>
        <v>1.2400000000000002</v>
      </c>
      <c r="M18" s="162">
        <f>G18/2</f>
        <v>16.72</v>
      </c>
      <c r="N18" s="142">
        <f>L18/M18</f>
        <v>7.4162679425837333E-2</v>
      </c>
      <c r="O18" s="142">
        <f>2*(90-ATAN(N18))</f>
        <v>179.85194568217489</v>
      </c>
    </row>
    <row r="19" spans="1:15" ht="30">
      <c r="A19" s="158" t="s">
        <v>15</v>
      </c>
      <c r="B19" s="158" t="s">
        <v>137</v>
      </c>
      <c r="C19" s="159" t="s">
        <v>278</v>
      </c>
      <c r="D19" s="159" t="s">
        <v>139</v>
      </c>
      <c r="E19" s="159" t="s">
        <v>282</v>
      </c>
      <c r="F19" s="160">
        <v>4.5199999999999996</v>
      </c>
      <c r="G19" s="161" t="s">
        <v>280</v>
      </c>
      <c r="H19" s="160" t="s">
        <v>281</v>
      </c>
      <c r="I19" s="160">
        <v>4.29</v>
      </c>
      <c r="J19" s="160" t="s">
        <v>281</v>
      </c>
      <c r="K19" s="160" t="s">
        <v>281</v>
      </c>
      <c r="L19" s="142"/>
      <c r="M19" s="162"/>
      <c r="N19" s="142"/>
      <c r="O19" s="142"/>
    </row>
    <row r="20" spans="1:15" ht="30">
      <c r="A20" s="158" t="s">
        <v>17</v>
      </c>
      <c r="B20" s="158" t="s">
        <v>137</v>
      </c>
      <c r="C20" s="159" t="s">
        <v>200</v>
      </c>
      <c r="D20" s="159" t="s">
        <v>201</v>
      </c>
      <c r="E20" s="159" t="s">
        <v>277</v>
      </c>
      <c r="F20" s="160">
        <v>0.5</v>
      </c>
      <c r="G20" s="161" t="s">
        <v>280</v>
      </c>
      <c r="H20" s="160" t="s">
        <v>281</v>
      </c>
      <c r="I20" s="160">
        <v>1.84</v>
      </c>
      <c r="J20" s="160" t="s">
        <v>281</v>
      </c>
      <c r="K20" s="160" t="s">
        <v>281</v>
      </c>
      <c r="L20" s="154"/>
      <c r="M20" s="163"/>
      <c r="N20" s="154"/>
      <c r="O20" s="154"/>
    </row>
    <row r="21" spans="1:15" ht="15">
      <c r="A21" s="158" t="s">
        <v>4</v>
      </c>
      <c r="B21" s="158" t="s">
        <v>137</v>
      </c>
      <c r="C21" s="159" t="s">
        <v>179</v>
      </c>
      <c r="D21" s="159" t="s">
        <v>139</v>
      </c>
      <c r="E21" s="159" t="s">
        <v>282</v>
      </c>
      <c r="F21" s="160">
        <v>16.52</v>
      </c>
      <c r="G21" s="161">
        <v>44.72</v>
      </c>
      <c r="H21" s="160">
        <v>31.73</v>
      </c>
      <c r="I21" s="160">
        <v>8.57</v>
      </c>
      <c r="J21" s="160">
        <v>8.39</v>
      </c>
      <c r="K21" s="160">
        <v>9.6999999999999993</v>
      </c>
      <c r="L21" s="162">
        <f>K21-J21</f>
        <v>1.3099999999999987</v>
      </c>
      <c r="M21" s="162">
        <f>G21/2</f>
        <v>22.36</v>
      </c>
      <c r="N21" s="142">
        <f>L21/M21</f>
        <v>5.8586762075134115E-2</v>
      </c>
      <c r="O21" s="142">
        <f>2*(90-(ATAN(N21)))</f>
        <v>179.8829602629047</v>
      </c>
    </row>
    <row r="22" spans="1:15" ht="45">
      <c r="A22" s="158" t="s">
        <v>13</v>
      </c>
      <c r="B22" s="158" t="s">
        <v>137</v>
      </c>
      <c r="C22" s="159" t="s">
        <v>193</v>
      </c>
      <c r="D22" s="159" t="s">
        <v>169</v>
      </c>
      <c r="E22" s="159" t="s">
        <v>279</v>
      </c>
      <c r="F22" s="160">
        <v>2.86</v>
      </c>
      <c r="G22" s="161" t="s">
        <v>280</v>
      </c>
      <c r="H22" s="160" t="s">
        <v>281</v>
      </c>
      <c r="I22" s="160">
        <v>4.01</v>
      </c>
      <c r="J22" s="160" t="s">
        <v>281</v>
      </c>
      <c r="K22" s="160" t="s">
        <v>281</v>
      </c>
      <c r="L22" s="154"/>
      <c r="M22" s="163"/>
      <c r="N22" s="154"/>
      <c r="O22" s="154"/>
    </row>
    <row r="23" spans="1:15" ht="30">
      <c r="A23" s="158" t="s">
        <v>18</v>
      </c>
      <c r="B23" s="158" t="s">
        <v>203</v>
      </c>
      <c r="C23" s="159" t="s">
        <v>278</v>
      </c>
      <c r="D23" s="159" t="s">
        <v>169</v>
      </c>
      <c r="E23" s="159" t="s">
        <v>279</v>
      </c>
      <c r="F23" s="160">
        <v>2.31</v>
      </c>
      <c r="G23" s="161" t="s">
        <v>280</v>
      </c>
      <c r="H23" s="160" t="s">
        <v>281</v>
      </c>
      <c r="I23" s="160">
        <v>3.25</v>
      </c>
      <c r="J23" s="160" t="s">
        <v>281</v>
      </c>
      <c r="K23" s="160" t="s">
        <v>281</v>
      </c>
      <c r="L23" s="154"/>
      <c r="M23" s="163"/>
      <c r="N23" s="154"/>
      <c r="O23" s="154"/>
    </row>
    <row r="24" spans="1:15" ht="15">
      <c r="A24" s="158" t="s">
        <v>14</v>
      </c>
      <c r="B24" s="158" t="s">
        <v>137</v>
      </c>
      <c r="C24" s="159" t="s">
        <v>179</v>
      </c>
      <c r="D24" s="159" t="s">
        <v>139</v>
      </c>
      <c r="E24" s="159" t="s">
        <v>282</v>
      </c>
      <c r="F24" s="160">
        <v>10.220000000000001</v>
      </c>
      <c r="G24" s="161">
        <v>43.95</v>
      </c>
      <c r="H24" s="160">
        <v>24.09</v>
      </c>
      <c r="I24" s="160">
        <v>9.31</v>
      </c>
      <c r="J24" s="160">
        <v>12.64</v>
      </c>
      <c r="K24" s="160">
        <v>9</v>
      </c>
      <c r="L24" s="162">
        <f>K24-J24</f>
        <v>-3.6400000000000006</v>
      </c>
      <c r="M24" s="162">
        <f>G24/2</f>
        <v>21.975000000000001</v>
      </c>
      <c r="N24" s="142">
        <f>L24/M24</f>
        <v>-0.16564277588168375</v>
      </c>
      <c r="O24" s="142">
        <f>2*(90-ATAN(N24))</f>
        <v>180.32830458849483</v>
      </c>
    </row>
    <row r="25" spans="1:15" ht="15">
      <c r="A25" s="165" t="s">
        <v>6</v>
      </c>
      <c r="B25" s="158" t="s">
        <v>137</v>
      </c>
      <c r="C25" s="166" t="s">
        <v>158</v>
      </c>
      <c r="D25" s="166" t="s">
        <v>159</v>
      </c>
      <c r="E25" s="166" t="s">
        <v>282</v>
      </c>
      <c r="F25" s="160">
        <v>1.35</v>
      </c>
      <c r="G25" s="161" t="s">
        <v>280</v>
      </c>
      <c r="H25" s="160" t="s">
        <v>281</v>
      </c>
      <c r="I25" s="160">
        <v>3.62</v>
      </c>
      <c r="J25" s="160" t="s">
        <v>281</v>
      </c>
      <c r="K25" s="160" t="s">
        <v>281</v>
      </c>
      <c r="L25" s="154"/>
      <c r="M25" s="163"/>
      <c r="N25" s="154"/>
      <c r="O25" s="154"/>
    </row>
    <row r="26" spans="1:15" ht="15">
      <c r="A26" s="165" t="s">
        <v>7</v>
      </c>
      <c r="B26" s="158" t="s">
        <v>137</v>
      </c>
      <c r="C26" s="166" t="s">
        <v>179</v>
      </c>
      <c r="D26" s="166" t="s">
        <v>169</v>
      </c>
      <c r="E26" s="166" t="s">
        <v>282</v>
      </c>
      <c r="F26" s="160">
        <v>10.63</v>
      </c>
      <c r="G26" s="161">
        <v>38.51</v>
      </c>
      <c r="H26" s="160">
        <v>26.09</v>
      </c>
      <c r="I26" s="160">
        <v>8.57</v>
      </c>
      <c r="J26" s="160">
        <v>7.01</v>
      </c>
      <c r="K26" s="160">
        <v>8.1999999999999993</v>
      </c>
      <c r="L26" s="163">
        <f>K26-J26</f>
        <v>1.1899999999999995</v>
      </c>
      <c r="M26" s="163">
        <f>G26/2</f>
        <v>19.254999999999999</v>
      </c>
      <c r="N26" s="154">
        <f>L26/M26</f>
        <v>6.1802129317060479E-2</v>
      </c>
      <c r="O26" s="154">
        <f>2*(90-ATAN(N26))</f>
        <v>179.87655275065745</v>
      </c>
    </row>
    <row r="27" spans="1:15" ht="15">
      <c r="A27" s="158" t="s">
        <v>10</v>
      </c>
      <c r="B27" s="158" t="s">
        <v>172</v>
      </c>
      <c r="C27" s="159" t="s">
        <v>158</v>
      </c>
      <c r="D27" s="159" t="s">
        <v>139</v>
      </c>
      <c r="E27" s="159" t="s">
        <v>282</v>
      </c>
      <c r="F27" s="160">
        <v>1.82</v>
      </c>
      <c r="G27" s="161" t="s">
        <v>280</v>
      </c>
      <c r="H27" s="160" t="s">
        <v>281</v>
      </c>
      <c r="I27" s="160">
        <v>4.59</v>
      </c>
      <c r="J27" s="160" t="s">
        <v>281</v>
      </c>
      <c r="K27" s="160" t="s">
        <v>281</v>
      </c>
      <c r="L27" s="142"/>
      <c r="M27" s="162"/>
      <c r="N27" s="142"/>
      <c r="O27" s="142"/>
    </row>
    <row r="28" spans="1:15" ht="15">
      <c r="A28" s="158" t="s">
        <v>12</v>
      </c>
      <c r="B28" s="158" t="s">
        <v>137</v>
      </c>
      <c r="C28" s="159" t="s">
        <v>158</v>
      </c>
      <c r="D28" s="159" t="s">
        <v>159</v>
      </c>
      <c r="E28" s="159" t="s">
        <v>277</v>
      </c>
      <c r="F28" s="160">
        <v>1.49</v>
      </c>
      <c r="G28" s="161" t="s">
        <v>280</v>
      </c>
      <c r="H28" s="160" t="s">
        <v>281</v>
      </c>
      <c r="I28" s="160">
        <v>4</v>
      </c>
      <c r="J28" s="160" t="s">
        <v>281</v>
      </c>
      <c r="K28" s="160" t="s">
        <v>281</v>
      </c>
      <c r="L28" s="154"/>
      <c r="M28" s="163"/>
      <c r="N28" s="154"/>
      <c r="O28" s="154"/>
    </row>
    <row r="29" spans="1:15" ht="45">
      <c r="A29" s="158" t="s">
        <v>11</v>
      </c>
      <c r="B29" s="158" t="s">
        <v>137</v>
      </c>
      <c r="C29" s="159" t="s">
        <v>193</v>
      </c>
      <c r="D29" s="159" t="s">
        <v>159</v>
      </c>
      <c r="E29" s="159" t="s">
        <v>277</v>
      </c>
      <c r="F29" s="160">
        <v>0.42</v>
      </c>
      <c r="G29" s="161">
        <v>11.25</v>
      </c>
      <c r="H29" s="160">
        <v>14.73</v>
      </c>
      <c r="I29" s="160">
        <v>2.27</v>
      </c>
      <c r="J29" s="160">
        <v>2.21</v>
      </c>
      <c r="K29" s="160">
        <v>2.2799999999999998</v>
      </c>
      <c r="L29" s="163">
        <f>K29-J29</f>
        <v>6.999999999999984E-2</v>
      </c>
      <c r="M29" s="163">
        <f>G29/2</f>
        <v>5.625</v>
      </c>
      <c r="N29" s="154">
        <f>L29/M29</f>
        <v>1.2444444444444416E-2</v>
      </c>
      <c r="O29" s="154">
        <f>2*(90-ATAN(N29))</f>
        <v>179.975112395791</v>
      </c>
    </row>
    <row r="30" spans="1:15" ht="30">
      <c r="A30" s="167" t="s">
        <v>5</v>
      </c>
      <c r="B30" s="167" t="s">
        <v>137</v>
      </c>
      <c r="C30" s="168" t="s">
        <v>278</v>
      </c>
      <c r="D30" s="168" t="s">
        <v>139</v>
      </c>
      <c r="E30" s="168" t="s">
        <v>277</v>
      </c>
      <c r="F30" s="157">
        <v>2.89</v>
      </c>
      <c r="G30" s="164" t="s">
        <v>280</v>
      </c>
      <c r="H30" s="157" t="s">
        <v>281</v>
      </c>
      <c r="I30" s="157">
        <v>5.0999999999999996</v>
      </c>
      <c r="J30" s="157" t="s">
        <v>281</v>
      </c>
      <c r="K30" s="157" t="s">
        <v>281</v>
      </c>
      <c r="L30" s="157"/>
      <c r="M30" s="157"/>
      <c r="N30" s="155"/>
      <c r="O30" s="155"/>
    </row>
    <row r="31" spans="1:15" ht="15">
      <c r="A31" s="158" t="s">
        <v>9</v>
      </c>
      <c r="B31" s="158" t="s">
        <v>172</v>
      </c>
      <c r="C31" s="159" t="s">
        <v>179</v>
      </c>
      <c r="D31" s="159" t="s">
        <v>139</v>
      </c>
      <c r="E31" s="159" t="s">
        <v>277</v>
      </c>
      <c r="F31" s="160">
        <v>6.74</v>
      </c>
      <c r="G31" s="161">
        <v>38.619999999999997</v>
      </c>
      <c r="H31" s="160">
        <v>21.61</v>
      </c>
      <c r="I31" s="160">
        <v>6.72</v>
      </c>
      <c r="J31" s="160">
        <v>6.45</v>
      </c>
      <c r="K31" s="160">
        <v>6.3</v>
      </c>
      <c r="L31" s="162">
        <f>K31-J31</f>
        <v>-0.15000000000000036</v>
      </c>
      <c r="M31" s="162">
        <f>G31/2</f>
        <v>19.309999999999999</v>
      </c>
      <c r="N31" s="142">
        <f>L31/M31</f>
        <v>-7.7679958570688948E-3</v>
      </c>
      <c r="O31" s="142">
        <f>2*(90-ATAN(N31))</f>
        <v>180.01553567923577</v>
      </c>
    </row>
    <row r="32" spans="1:15" ht="15">
      <c r="A32" s="158" t="s">
        <v>16</v>
      </c>
      <c r="B32" s="158" t="s">
        <v>137</v>
      </c>
      <c r="C32" s="159" t="s">
        <v>158</v>
      </c>
      <c r="D32" s="159" t="s">
        <v>139</v>
      </c>
      <c r="E32" s="159" t="s">
        <v>282</v>
      </c>
      <c r="F32" s="160">
        <v>1.28</v>
      </c>
      <c r="G32" s="161">
        <v>22.59</v>
      </c>
      <c r="H32" s="160">
        <v>11.75</v>
      </c>
      <c r="I32" s="160">
        <v>5.84</v>
      </c>
      <c r="J32" s="160">
        <v>5.53</v>
      </c>
      <c r="K32" s="160">
        <v>5.4</v>
      </c>
      <c r="L32" s="162">
        <f>K32-J32</f>
        <v>-0.12999999999999989</v>
      </c>
      <c r="M32" s="162">
        <f>G32/2</f>
        <v>11.295</v>
      </c>
      <c r="N32" s="142">
        <f>L32/M32</f>
        <v>-1.1509517485613093E-2</v>
      </c>
      <c r="O32" s="142">
        <f>2*(90-ATAN(N32))</f>
        <v>180.02301801861589</v>
      </c>
    </row>
    <row r="33" spans="1:15" ht="30">
      <c r="A33" s="158" t="s">
        <v>28</v>
      </c>
      <c r="B33" s="158" t="s">
        <v>137</v>
      </c>
      <c r="C33" s="159" t="s">
        <v>278</v>
      </c>
      <c r="D33" s="159" t="s">
        <v>201</v>
      </c>
      <c r="E33" s="159" t="s">
        <v>277</v>
      </c>
      <c r="F33" s="160">
        <v>6.76</v>
      </c>
      <c r="G33" s="161" t="s">
        <v>281</v>
      </c>
      <c r="H33" s="160" t="s">
        <v>281</v>
      </c>
      <c r="I33" s="160">
        <v>7.39</v>
      </c>
      <c r="J33" s="160" t="s">
        <v>281</v>
      </c>
      <c r="K33" s="160" t="s">
        <v>281</v>
      </c>
      <c r="L33" s="154"/>
      <c r="M33" s="163"/>
      <c r="N33" s="154"/>
      <c r="O33" s="154"/>
    </row>
    <row r="34" spans="1:15" ht="15">
      <c r="A34" s="158" t="s">
        <v>33</v>
      </c>
      <c r="B34" s="158" t="s">
        <v>137</v>
      </c>
      <c r="C34" s="159" t="s">
        <v>158</v>
      </c>
      <c r="D34" s="159" t="s">
        <v>139</v>
      </c>
      <c r="E34" s="159" t="s">
        <v>282</v>
      </c>
      <c r="F34" s="160">
        <v>0.56999999999999995</v>
      </c>
      <c r="G34" s="161" t="s">
        <v>280</v>
      </c>
      <c r="H34" s="160" t="s">
        <v>281</v>
      </c>
      <c r="I34" s="160">
        <v>3.21</v>
      </c>
      <c r="J34" s="160" t="s">
        <v>281</v>
      </c>
      <c r="K34" s="160" t="s">
        <v>281</v>
      </c>
      <c r="L34" s="142"/>
      <c r="M34" s="162"/>
      <c r="N34" s="142"/>
      <c r="O34" s="142"/>
    </row>
    <row r="35" spans="1:15" ht="30">
      <c r="A35" s="158" t="s">
        <v>34</v>
      </c>
      <c r="B35" s="158" t="s">
        <v>137</v>
      </c>
      <c r="C35" s="159" t="s">
        <v>278</v>
      </c>
      <c r="D35" s="159" t="s">
        <v>139</v>
      </c>
      <c r="E35" s="159" t="s">
        <v>282</v>
      </c>
      <c r="F35" s="160">
        <v>9.2200000000000006</v>
      </c>
      <c r="G35" s="160" t="s">
        <v>280</v>
      </c>
      <c r="H35" s="160" t="s">
        <v>281</v>
      </c>
      <c r="I35" s="160">
        <v>5.63</v>
      </c>
      <c r="J35" s="160" t="s">
        <v>281</v>
      </c>
      <c r="K35" s="160" t="s">
        <v>281</v>
      </c>
      <c r="L35" s="154"/>
      <c r="M35" s="163"/>
      <c r="N35" s="154"/>
      <c r="O35" s="154"/>
    </row>
    <row r="36" spans="1:15" ht="45">
      <c r="A36" s="158" t="s">
        <v>35</v>
      </c>
      <c r="B36" s="158" t="s">
        <v>137</v>
      </c>
      <c r="C36" s="159" t="s">
        <v>193</v>
      </c>
      <c r="D36" s="159" t="s">
        <v>159</v>
      </c>
      <c r="E36" s="159" t="s">
        <v>279</v>
      </c>
      <c r="F36" s="160">
        <v>3.76</v>
      </c>
      <c r="G36" s="160">
        <v>43.48</v>
      </c>
      <c r="H36" s="160">
        <v>30.24</v>
      </c>
      <c r="I36" s="160">
        <v>3.96</v>
      </c>
      <c r="J36" s="160">
        <v>3.28</v>
      </c>
      <c r="K36" s="160">
        <v>4.0999999999999996</v>
      </c>
      <c r="L36" s="163">
        <f>K36-J36</f>
        <v>0.81999999999999984</v>
      </c>
      <c r="M36" s="163">
        <f>G36/2</f>
        <v>21.74</v>
      </c>
      <c r="N36" s="154">
        <f>L36/M36</f>
        <v>3.7718491260349582E-2</v>
      </c>
      <c r="O36" s="154">
        <f>2*(90-ATAN(N36))</f>
        <v>179.92459876131693</v>
      </c>
    </row>
    <row r="37" spans="1:15" ht="45">
      <c r="A37" s="158" t="s">
        <v>25</v>
      </c>
      <c r="B37" s="158" t="s">
        <v>137</v>
      </c>
      <c r="C37" s="159" t="s">
        <v>193</v>
      </c>
      <c r="D37" s="159" t="s">
        <v>159</v>
      </c>
      <c r="E37" s="159" t="s">
        <v>282</v>
      </c>
      <c r="F37" s="160">
        <v>0.94</v>
      </c>
      <c r="G37" s="161" t="s">
        <v>280</v>
      </c>
      <c r="H37" s="160" t="s">
        <v>281</v>
      </c>
      <c r="I37" s="160">
        <v>3.38</v>
      </c>
      <c r="J37" s="160" t="s">
        <v>281</v>
      </c>
      <c r="K37" s="160" t="s">
        <v>281</v>
      </c>
      <c r="L37" s="154"/>
      <c r="M37" s="163"/>
      <c r="N37" s="154"/>
      <c r="O37" s="154"/>
    </row>
    <row r="38" spans="1:15" ht="45">
      <c r="A38" s="158" t="s">
        <v>32</v>
      </c>
      <c r="B38" s="158" t="s">
        <v>137</v>
      </c>
      <c r="C38" s="159" t="s">
        <v>193</v>
      </c>
      <c r="D38" s="159" t="s">
        <v>139</v>
      </c>
      <c r="E38" s="159" t="s">
        <v>282</v>
      </c>
      <c r="F38" s="160">
        <v>2.69</v>
      </c>
      <c r="G38" s="160">
        <v>33.93</v>
      </c>
      <c r="H38" s="160">
        <v>20.61</v>
      </c>
      <c r="I38" s="160">
        <v>4.21</v>
      </c>
      <c r="J38" s="160">
        <v>3.05</v>
      </c>
      <c r="K38" s="160">
        <v>3.6</v>
      </c>
      <c r="L38" s="163">
        <f>K38-J38</f>
        <v>0.55000000000000027</v>
      </c>
      <c r="M38" s="163">
        <f>G38/2</f>
        <v>16.965</v>
      </c>
      <c r="N38" s="154">
        <f>L38/M38</f>
        <v>3.2419687592101398E-2</v>
      </c>
      <c r="O38" s="154">
        <f>2*(90-ATAN(N38))</f>
        <v>179.93518332667685</v>
      </c>
    </row>
    <row r="39" spans="1:15" ht="45">
      <c r="A39" s="158" t="s">
        <v>23</v>
      </c>
      <c r="B39" s="158" t="s">
        <v>137</v>
      </c>
      <c r="C39" s="159" t="s">
        <v>278</v>
      </c>
      <c r="D39" s="159" t="s">
        <v>139</v>
      </c>
      <c r="E39" s="159" t="s">
        <v>279</v>
      </c>
      <c r="F39" s="160">
        <v>5.39</v>
      </c>
      <c r="G39" s="161" t="s">
        <v>284</v>
      </c>
      <c r="H39" s="160" t="s">
        <v>281</v>
      </c>
      <c r="I39" s="160">
        <v>5.84</v>
      </c>
      <c r="J39" s="160" t="s">
        <v>281</v>
      </c>
      <c r="K39" s="160" t="s">
        <v>281</v>
      </c>
      <c r="L39" s="142"/>
      <c r="M39" s="162"/>
      <c r="N39" s="142"/>
      <c r="O39" s="142"/>
    </row>
    <row r="40" spans="1:15" ht="45">
      <c r="A40" s="158" t="s">
        <v>27</v>
      </c>
      <c r="B40" s="158" t="s">
        <v>137</v>
      </c>
      <c r="C40" s="159" t="s">
        <v>193</v>
      </c>
      <c r="D40" s="159" t="s">
        <v>159</v>
      </c>
      <c r="E40" s="159" t="s">
        <v>277</v>
      </c>
      <c r="F40" s="160">
        <v>3.84</v>
      </c>
      <c r="G40" s="161" t="s">
        <v>284</v>
      </c>
      <c r="H40" s="160" t="s">
        <v>281</v>
      </c>
      <c r="I40" s="160">
        <v>3.69</v>
      </c>
      <c r="J40" s="160" t="s">
        <v>281</v>
      </c>
      <c r="K40" s="160" t="s">
        <v>281</v>
      </c>
      <c r="L40" s="154"/>
      <c r="M40" s="163"/>
      <c r="N40" s="154"/>
      <c r="O40" s="154"/>
    </row>
    <row r="41" spans="1:15" ht="15">
      <c r="A41" s="158" t="s">
        <v>30</v>
      </c>
      <c r="B41" s="158" t="s">
        <v>158</v>
      </c>
      <c r="C41" s="159" t="s">
        <v>158</v>
      </c>
      <c r="D41" s="159" t="s">
        <v>201</v>
      </c>
      <c r="E41" s="159" t="s">
        <v>282</v>
      </c>
      <c r="F41" s="160">
        <v>5</v>
      </c>
      <c r="G41" s="160">
        <v>35.76</v>
      </c>
      <c r="H41" s="160">
        <v>22.65</v>
      </c>
      <c r="I41" s="160">
        <v>5.47</v>
      </c>
      <c r="J41" s="160">
        <v>4.7</v>
      </c>
      <c r="K41" s="160">
        <v>8</v>
      </c>
      <c r="L41" s="163">
        <f>K41-J41</f>
        <v>3.3</v>
      </c>
      <c r="M41" s="163">
        <f>G41/2</f>
        <v>17.88</v>
      </c>
      <c r="N41" s="154">
        <f>L41/M41</f>
        <v>0.18456375838926176</v>
      </c>
      <c r="O41" s="154">
        <f>2*(90-ATAN(N41))</f>
        <v>179.63498014396276</v>
      </c>
    </row>
    <row r="42" spans="1:15" ht="45">
      <c r="A42" s="158" t="s">
        <v>29</v>
      </c>
      <c r="B42" s="158" t="s">
        <v>137</v>
      </c>
      <c r="C42" s="159" t="s">
        <v>193</v>
      </c>
      <c r="D42" s="159" t="s">
        <v>169</v>
      </c>
      <c r="E42" s="159" t="s">
        <v>279</v>
      </c>
      <c r="F42" s="160">
        <v>4.1399999999999997</v>
      </c>
      <c r="G42" s="160">
        <v>30.14</v>
      </c>
      <c r="H42" s="160">
        <v>29.4</v>
      </c>
      <c r="I42" s="160">
        <v>4.46</v>
      </c>
      <c r="J42" s="160">
        <v>4.1100000000000003</v>
      </c>
      <c r="K42" s="160">
        <v>4.5</v>
      </c>
      <c r="L42" s="163">
        <f>K42-J42</f>
        <v>0.38999999999999968</v>
      </c>
      <c r="M42" s="163">
        <f>G42/2</f>
        <v>15.07</v>
      </c>
      <c r="N42" s="154">
        <f>L42/M42</f>
        <v>2.5879230258792282E-2</v>
      </c>
      <c r="O42" s="154">
        <f>2*(90-ATAN(N42))</f>
        <v>179.94825308965136</v>
      </c>
    </row>
    <row r="43" spans="1:15" ht="45">
      <c r="A43" s="158" t="s">
        <v>37</v>
      </c>
      <c r="B43" s="158" t="s">
        <v>137</v>
      </c>
      <c r="C43" s="159" t="s">
        <v>193</v>
      </c>
      <c r="D43" s="159" t="s">
        <v>159</v>
      </c>
      <c r="E43" s="159" t="s">
        <v>277</v>
      </c>
      <c r="F43" s="160">
        <v>1.04</v>
      </c>
      <c r="G43" s="160">
        <v>19.95</v>
      </c>
      <c r="H43" s="160">
        <v>17.7</v>
      </c>
      <c r="I43" s="160">
        <v>3.11</v>
      </c>
      <c r="J43" s="160">
        <v>2.38</v>
      </c>
      <c r="K43" s="160">
        <v>3.49</v>
      </c>
      <c r="L43" s="163">
        <f>K43-J43</f>
        <v>1.1100000000000003</v>
      </c>
      <c r="M43" s="163">
        <f>G43/2</f>
        <v>9.9749999999999996</v>
      </c>
      <c r="N43" s="154">
        <f>L43/M43</f>
        <v>0.11127819548872184</v>
      </c>
      <c r="O43" s="154">
        <f>2*(90-ATAN(N43))</f>
        <v>179.77835547018202</v>
      </c>
    </row>
    <row r="44" spans="1:15" ht="45">
      <c r="A44" s="158" t="s">
        <v>26</v>
      </c>
      <c r="B44" s="158" t="s">
        <v>137</v>
      </c>
      <c r="C44" s="159" t="s">
        <v>158</v>
      </c>
      <c r="D44" s="159" t="s">
        <v>159</v>
      </c>
      <c r="E44" s="159" t="s">
        <v>282</v>
      </c>
      <c r="F44" s="160">
        <v>2.41</v>
      </c>
      <c r="G44" s="161" t="s">
        <v>284</v>
      </c>
      <c r="H44" s="160" t="s">
        <v>281</v>
      </c>
      <c r="I44" s="160">
        <v>5.1100000000000003</v>
      </c>
      <c r="J44" s="160" t="s">
        <v>281</v>
      </c>
      <c r="K44" s="160" t="s">
        <v>281</v>
      </c>
      <c r="L44" s="154"/>
      <c r="M44" s="163"/>
      <c r="N44" s="154"/>
      <c r="O44" s="154"/>
    </row>
    <row r="45" spans="1:15" ht="45">
      <c r="A45" s="158" t="s">
        <v>24</v>
      </c>
      <c r="B45" s="158" t="s">
        <v>137</v>
      </c>
      <c r="C45" s="159" t="s">
        <v>193</v>
      </c>
      <c r="D45" s="159" t="s">
        <v>139</v>
      </c>
      <c r="E45" s="159" t="s">
        <v>282</v>
      </c>
      <c r="F45" s="160">
        <v>5.05</v>
      </c>
      <c r="G45" s="161">
        <v>35.619999999999997</v>
      </c>
      <c r="H45" s="160">
        <v>29.64</v>
      </c>
      <c r="I45" s="160">
        <v>5.57</v>
      </c>
      <c r="J45" s="160">
        <v>3.41</v>
      </c>
      <c r="K45" s="160">
        <v>5.3</v>
      </c>
      <c r="L45" s="162">
        <f>K45-J45</f>
        <v>1.8899999999999997</v>
      </c>
      <c r="M45" s="162">
        <f>G45/2</f>
        <v>17.809999999999999</v>
      </c>
      <c r="N45" s="142">
        <f>L45/M45</f>
        <v>0.10612015721504772</v>
      </c>
      <c r="O45" s="142">
        <f>2*(90-ATAN(N45))</f>
        <v>179.78855105908823</v>
      </c>
    </row>
    <row r="46" spans="1:15" ht="30">
      <c r="A46" s="158" t="s">
        <v>21</v>
      </c>
      <c r="B46" s="158" t="s">
        <v>137</v>
      </c>
      <c r="C46" s="159" t="s">
        <v>278</v>
      </c>
      <c r="D46" s="159" t="s">
        <v>139</v>
      </c>
      <c r="E46" s="159" t="s">
        <v>282</v>
      </c>
      <c r="F46" s="160">
        <v>1.74</v>
      </c>
      <c r="G46" s="161" t="s">
        <v>280</v>
      </c>
      <c r="H46" s="160" t="s">
        <v>281</v>
      </c>
      <c r="I46" s="160">
        <v>4.1100000000000003</v>
      </c>
      <c r="J46" s="160" t="s">
        <v>281</v>
      </c>
      <c r="K46" s="160" t="s">
        <v>281</v>
      </c>
      <c r="L46" s="142"/>
      <c r="M46" s="162"/>
      <c r="N46" s="142"/>
      <c r="O46" s="142"/>
    </row>
    <row r="47" spans="1:15" ht="15">
      <c r="A47" s="158" t="s">
        <v>31</v>
      </c>
      <c r="B47" s="158" t="s">
        <v>137</v>
      </c>
      <c r="C47" s="159" t="s">
        <v>158</v>
      </c>
      <c r="D47" s="159" t="s">
        <v>139</v>
      </c>
      <c r="E47" s="159" t="s">
        <v>279</v>
      </c>
      <c r="F47" s="160">
        <v>2.54</v>
      </c>
      <c r="G47" s="161" t="s">
        <v>280</v>
      </c>
      <c r="H47" s="160" t="s">
        <v>281</v>
      </c>
      <c r="I47" s="160">
        <v>4.7300000000000004</v>
      </c>
      <c r="J47" s="160" t="s">
        <v>281</v>
      </c>
      <c r="K47" s="160" t="s">
        <v>281</v>
      </c>
      <c r="L47" s="142"/>
      <c r="M47" s="162"/>
      <c r="N47" s="142"/>
      <c r="O47" s="142"/>
    </row>
    <row r="48" spans="1:15" ht="45">
      <c r="A48" s="158" t="s">
        <v>20</v>
      </c>
      <c r="B48" s="158" t="s">
        <v>137</v>
      </c>
      <c r="C48" s="159" t="s">
        <v>193</v>
      </c>
      <c r="D48" s="159" t="s">
        <v>139</v>
      </c>
      <c r="E48" s="159" t="s">
        <v>277</v>
      </c>
      <c r="F48" s="160">
        <v>3.65</v>
      </c>
      <c r="G48" s="161" t="s">
        <v>280</v>
      </c>
      <c r="H48" s="160" t="s">
        <v>281</v>
      </c>
      <c r="I48" s="160">
        <v>4.0199999999999996</v>
      </c>
      <c r="J48" s="160" t="s">
        <v>281</v>
      </c>
      <c r="K48" s="160" t="s">
        <v>281</v>
      </c>
      <c r="L48" s="142"/>
      <c r="M48" s="162"/>
      <c r="N48" s="142"/>
      <c r="O48" s="142"/>
    </row>
    <row r="49" spans="1:15" ht="45">
      <c r="A49" s="155" t="s">
        <v>22</v>
      </c>
      <c r="B49" s="155" t="s">
        <v>137</v>
      </c>
      <c r="C49" s="156" t="s">
        <v>193</v>
      </c>
      <c r="D49" s="156" t="s">
        <v>201</v>
      </c>
      <c r="E49" s="156" t="s">
        <v>277</v>
      </c>
      <c r="F49" s="157">
        <v>13.43</v>
      </c>
      <c r="G49" s="164">
        <v>38.799999999999997</v>
      </c>
      <c r="H49" s="157">
        <v>46.04</v>
      </c>
      <c r="I49" s="157">
        <v>8.51</v>
      </c>
      <c r="J49" s="157">
        <v>8.41</v>
      </c>
      <c r="K49" s="157">
        <v>10.199999999999999</v>
      </c>
      <c r="L49" s="157">
        <f>K49-J49</f>
        <v>1.7899999999999991</v>
      </c>
      <c r="M49" s="157">
        <f>G49/2</f>
        <v>19.399999999999999</v>
      </c>
      <c r="N49" s="155">
        <f>L49/M49</f>
        <v>9.2268041237113366E-2</v>
      </c>
      <c r="O49" s="155">
        <f>2*(90-ATAN(N49))</f>
        <v>179.81598493469801</v>
      </c>
    </row>
    <row r="50" spans="1:15" ht="30">
      <c r="A50" s="158" t="s">
        <v>36</v>
      </c>
      <c r="B50" s="158" t="s">
        <v>137</v>
      </c>
      <c r="C50" s="159" t="s">
        <v>278</v>
      </c>
      <c r="D50" s="159" t="s">
        <v>201</v>
      </c>
      <c r="E50" s="159" t="s">
        <v>277</v>
      </c>
      <c r="F50" s="160">
        <v>5.46</v>
      </c>
      <c r="G50" s="161" t="s">
        <v>280</v>
      </c>
      <c r="H50" s="160" t="s">
        <v>281</v>
      </c>
      <c r="I50" s="160">
        <v>4.6900000000000004</v>
      </c>
      <c r="J50" s="160" t="s">
        <v>281</v>
      </c>
      <c r="K50" s="160" t="s">
        <v>281</v>
      </c>
      <c r="L50" s="142"/>
      <c r="M50" s="162"/>
      <c r="N50" s="142"/>
      <c r="O50" s="142"/>
    </row>
    <row r="51" spans="1:15" ht="30">
      <c r="A51" s="158" t="s">
        <v>38</v>
      </c>
      <c r="B51" s="158" t="s">
        <v>137</v>
      </c>
      <c r="C51" s="159" t="s">
        <v>278</v>
      </c>
      <c r="D51" s="159" t="s">
        <v>139</v>
      </c>
      <c r="E51" s="159" t="s">
        <v>277</v>
      </c>
      <c r="F51" s="160">
        <v>1.35</v>
      </c>
      <c r="G51" s="160" t="s">
        <v>280</v>
      </c>
      <c r="H51" s="160" t="s">
        <v>281</v>
      </c>
      <c r="I51" s="160">
        <v>7.21</v>
      </c>
      <c r="J51" s="160" t="s">
        <v>281</v>
      </c>
      <c r="K51" s="160" t="s">
        <v>281</v>
      </c>
      <c r="L51" s="154"/>
      <c r="M51" s="163"/>
      <c r="N51" s="154"/>
      <c r="O51" s="15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87"/>
  <sheetViews>
    <sheetView workbookViewId="0">
      <selection activeCell="M3" sqref="M3"/>
    </sheetView>
  </sheetViews>
  <sheetFormatPr defaultRowHeight="15"/>
  <cols>
    <col min="1" max="1" width="8.5" style="142" bestFit="1" customWidth="1"/>
    <col min="2" max="2" width="11.25" style="142" bestFit="1" customWidth="1"/>
    <col min="3" max="3" width="19.375" style="142" bestFit="1" customWidth="1"/>
    <col min="4" max="4" width="11.375" style="142" bestFit="1" customWidth="1"/>
    <col min="5" max="5" width="8.375" style="142" bestFit="1" customWidth="1"/>
    <col min="6" max="6" width="10.625" style="142" bestFit="1" customWidth="1"/>
    <col min="7" max="7" width="4.375" style="142" bestFit="1" customWidth="1"/>
    <col min="8" max="8" width="4" style="142" bestFit="1" customWidth="1"/>
    <col min="9" max="9" width="6.375" style="142" bestFit="1" customWidth="1"/>
    <col min="10" max="10" width="7.75" style="142" bestFit="1" customWidth="1"/>
    <col min="11" max="11" width="7.625" style="142" bestFit="1" customWidth="1"/>
    <col min="12" max="12" width="8.25" style="142" bestFit="1" customWidth="1"/>
    <col min="13" max="16384" width="9" style="142"/>
  </cols>
  <sheetData>
    <row r="1" spans="1:12" ht="57.75">
      <c r="A1" s="179" t="s">
        <v>114</v>
      </c>
      <c r="B1" s="169" t="s">
        <v>0</v>
      </c>
      <c r="C1" s="169" t="s">
        <v>115</v>
      </c>
      <c r="D1" s="169" t="s">
        <v>116</v>
      </c>
      <c r="E1" s="170" t="s">
        <v>117</v>
      </c>
      <c r="F1" s="170" t="s">
        <v>285</v>
      </c>
      <c r="G1" s="169" t="s">
        <v>119</v>
      </c>
      <c r="H1" s="170" t="s">
        <v>286</v>
      </c>
      <c r="I1" s="171" t="s">
        <v>287</v>
      </c>
      <c r="J1" s="171" t="s">
        <v>288</v>
      </c>
      <c r="K1" s="171" t="s">
        <v>289</v>
      </c>
      <c r="L1" s="171" t="s">
        <v>290</v>
      </c>
    </row>
    <row r="2" spans="1:12" ht="45">
      <c r="A2" s="142" t="s">
        <v>44</v>
      </c>
      <c r="B2" s="167" t="s">
        <v>44</v>
      </c>
      <c r="C2" s="155" t="s">
        <v>45</v>
      </c>
      <c r="D2" s="155" t="s">
        <v>172</v>
      </c>
      <c r="E2" s="156" t="s">
        <v>244</v>
      </c>
      <c r="F2" s="30" t="s">
        <v>169</v>
      </c>
      <c r="G2" s="6">
        <v>1</v>
      </c>
      <c r="H2" s="6">
        <v>1</v>
      </c>
      <c r="I2" s="172">
        <v>1.97</v>
      </c>
      <c r="J2" s="172">
        <v>1.29</v>
      </c>
      <c r="K2" s="172">
        <v>4.3</v>
      </c>
      <c r="L2" s="172">
        <v>1.59</v>
      </c>
    </row>
    <row r="3" spans="1:12" ht="45">
      <c r="A3" s="142" t="s">
        <v>44</v>
      </c>
      <c r="B3" s="167" t="s">
        <v>44</v>
      </c>
      <c r="C3" s="155" t="s">
        <v>45</v>
      </c>
      <c r="D3" s="155" t="s">
        <v>172</v>
      </c>
      <c r="E3" s="156" t="s">
        <v>244</v>
      </c>
      <c r="F3" s="30" t="s">
        <v>169</v>
      </c>
      <c r="G3" s="6">
        <v>2</v>
      </c>
      <c r="H3" s="6">
        <v>1</v>
      </c>
      <c r="I3" s="172">
        <v>2.4300000000000002</v>
      </c>
      <c r="J3" s="172">
        <v>1.88</v>
      </c>
      <c r="K3" s="172">
        <v>4.5999999999999996</v>
      </c>
      <c r="L3" s="172">
        <v>1.41</v>
      </c>
    </row>
    <row r="4" spans="1:12" ht="45">
      <c r="A4" s="142" t="s">
        <v>44</v>
      </c>
      <c r="B4" s="167" t="s">
        <v>44</v>
      </c>
      <c r="C4" s="155" t="s">
        <v>45</v>
      </c>
      <c r="D4" s="155" t="s">
        <v>172</v>
      </c>
      <c r="E4" s="156" t="s">
        <v>244</v>
      </c>
      <c r="F4" s="30" t="s">
        <v>169</v>
      </c>
      <c r="G4" s="6">
        <v>3</v>
      </c>
      <c r="H4" s="6">
        <v>2</v>
      </c>
      <c r="I4" s="172" t="s">
        <v>291</v>
      </c>
      <c r="J4" s="172" t="s">
        <v>291</v>
      </c>
      <c r="K4" s="172" t="s">
        <v>291</v>
      </c>
      <c r="L4" s="172">
        <v>1.84</v>
      </c>
    </row>
    <row r="5" spans="1:12" ht="30">
      <c r="A5" s="142" t="s">
        <v>241</v>
      </c>
      <c r="B5" s="168" t="s">
        <v>46</v>
      </c>
      <c r="C5" s="155" t="s">
        <v>48</v>
      </c>
      <c r="D5" s="155" t="s">
        <v>137</v>
      </c>
      <c r="E5" s="159" t="s">
        <v>292</v>
      </c>
      <c r="F5" s="30" t="s">
        <v>139</v>
      </c>
      <c r="G5" s="28">
        <v>1</v>
      </c>
      <c r="H5" s="6">
        <v>7</v>
      </c>
      <c r="I5" s="172">
        <v>3.55</v>
      </c>
      <c r="J5" s="172">
        <v>1.82</v>
      </c>
      <c r="K5" s="172">
        <v>4.42</v>
      </c>
      <c r="L5" s="172">
        <v>1.3</v>
      </c>
    </row>
    <row r="6" spans="1:12" ht="45">
      <c r="A6" s="142" t="s">
        <v>241</v>
      </c>
      <c r="B6" s="168" t="s">
        <v>46</v>
      </c>
      <c r="C6" s="155" t="s">
        <v>47</v>
      </c>
      <c r="D6" s="155" t="s">
        <v>137</v>
      </c>
      <c r="E6" s="156" t="s">
        <v>293</v>
      </c>
      <c r="F6" s="30" t="s">
        <v>139</v>
      </c>
      <c r="G6" s="6">
        <v>1</v>
      </c>
      <c r="H6" s="6">
        <v>8</v>
      </c>
      <c r="I6" s="172">
        <v>2.84</v>
      </c>
      <c r="J6" s="172">
        <v>1.25</v>
      </c>
      <c r="K6" s="172">
        <v>4.3600000000000003</v>
      </c>
      <c r="L6" s="172">
        <v>1.47</v>
      </c>
    </row>
    <row r="7" spans="1:12" ht="45">
      <c r="A7" s="142" t="s">
        <v>241</v>
      </c>
      <c r="B7" s="167" t="s">
        <v>52</v>
      </c>
      <c r="C7" s="158" t="s">
        <v>53</v>
      </c>
      <c r="D7" s="158" t="s">
        <v>137</v>
      </c>
      <c r="E7" s="156" t="s">
        <v>244</v>
      </c>
      <c r="F7" s="30" t="s">
        <v>139</v>
      </c>
      <c r="G7" s="6">
        <v>1</v>
      </c>
      <c r="H7" s="6">
        <v>2</v>
      </c>
      <c r="I7" s="173">
        <v>2.6</v>
      </c>
      <c r="J7" s="174">
        <v>0.68</v>
      </c>
      <c r="K7" s="173">
        <v>3.28</v>
      </c>
      <c r="L7" s="173">
        <v>0.68</v>
      </c>
    </row>
    <row r="8" spans="1:12" ht="45">
      <c r="A8" s="142" t="s">
        <v>241</v>
      </c>
      <c r="B8" s="167" t="s">
        <v>52</v>
      </c>
      <c r="C8" s="158" t="s">
        <v>56</v>
      </c>
      <c r="D8" s="158" t="s">
        <v>137</v>
      </c>
      <c r="E8" s="156" t="s">
        <v>244</v>
      </c>
      <c r="F8" s="30" t="s">
        <v>139</v>
      </c>
      <c r="G8" s="6">
        <v>1</v>
      </c>
      <c r="H8" s="6">
        <v>1</v>
      </c>
      <c r="I8" s="173">
        <v>2.29</v>
      </c>
      <c r="J8" s="174">
        <v>1.1399999999999999</v>
      </c>
      <c r="K8" s="173">
        <v>3.39</v>
      </c>
      <c r="L8" s="173">
        <v>1.29</v>
      </c>
    </row>
    <row r="9" spans="1:12">
      <c r="A9" s="142" t="s">
        <v>241</v>
      </c>
      <c r="B9" s="167" t="s">
        <v>52</v>
      </c>
      <c r="C9" s="158" t="s">
        <v>57</v>
      </c>
      <c r="D9" s="158" t="s">
        <v>137</v>
      </c>
      <c r="E9" s="156" t="s">
        <v>294</v>
      </c>
      <c r="F9" s="30" t="s">
        <v>139</v>
      </c>
      <c r="G9" s="6">
        <v>1</v>
      </c>
      <c r="H9" s="6">
        <v>8</v>
      </c>
      <c r="I9" s="173">
        <v>4.42</v>
      </c>
      <c r="J9" s="174">
        <v>0.72</v>
      </c>
      <c r="K9" s="173">
        <v>6.19</v>
      </c>
      <c r="L9" s="173">
        <v>1.74</v>
      </c>
    </row>
    <row r="10" spans="1:12" ht="45">
      <c r="A10" s="142" t="s">
        <v>241</v>
      </c>
      <c r="B10" s="167" t="s">
        <v>52</v>
      </c>
      <c r="C10" s="158" t="s">
        <v>55</v>
      </c>
      <c r="D10" s="158" t="s">
        <v>137</v>
      </c>
      <c r="E10" s="156" t="s">
        <v>244</v>
      </c>
      <c r="F10" s="30" t="s">
        <v>139</v>
      </c>
      <c r="G10" s="6">
        <v>1</v>
      </c>
      <c r="H10" s="6">
        <v>8</v>
      </c>
      <c r="I10" s="173">
        <v>3.4</v>
      </c>
      <c r="J10" s="174">
        <v>1.26</v>
      </c>
      <c r="K10" s="173" t="s">
        <v>291</v>
      </c>
      <c r="L10" s="173">
        <v>1.38</v>
      </c>
    </row>
    <row r="11" spans="1:12">
      <c r="A11" s="142" t="s">
        <v>241</v>
      </c>
      <c r="B11" s="167" t="s">
        <v>52</v>
      </c>
      <c r="C11" s="175" t="s">
        <v>59</v>
      </c>
      <c r="D11" s="155" t="s">
        <v>137</v>
      </c>
      <c r="E11" s="176" t="s">
        <v>249</v>
      </c>
      <c r="F11" s="30" t="s">
        <v>283</v>
      </c>
      <c r="G11" s="7" t="s">
        <v>145</v>
      </c>
      <c r="H11" s="7" t="s">
        <v>145</v>
      </c>
      <c r="I11" s="173">
        <v>1</v>
      </c>
      <c r="J11" s="174">
        <v>0.56000000000000005</v>
      </c>
      <c r="K11" s="173" t="s">
        <v>291</v>
      </c>
      <c r="L11" s="173">
        <v>1.02</v>
      </c>
    </row>
    <row r="12" spans="1:12">
      <c r="A12" s="142" t="s">
        <v>241</v>
      </c>
      <c r="B12" s="167" t="s">
        <v>52</v>
      </c>
      <c r="C12" s="155" t="s">
        <v>60</v>
      </c>
      <c r="D12" s="155" t="s">
        <v>137</v>
      </c>
      <c r="E12" s="176" t="s">
        <v>249</v>
      </c>
      <c r="F12" s="30" t="s">
        <v>169</v>
      </c>
      <c r="G12" s="6">
        <v>1</v>
      </c>
      <c r="H12" s="6">
        <v>1</v>
      </c>
      <c r="I12" s="162">
        <v>1.03</v>
      </c>
      <c r="J12" s="162">
        <v>0.38</v>
      </c>
      <c r="K12" s="162">
        <v>1.76</v>
      </c>
      <c r="L12" s="162">
        <v>0.87</v>
      </c>
    </row>
    <row r="13" spans="1:12">
      <c r="A13" s="142" t="s">
        <v>241</v>
      </c>
      <c r="B13" s="167" t="s">
        <v>52</v>
      </c>
      <c r="C13" s="155" t="s">
        <v>60</v>
      </c>
      <c r="D13" s="155" t="s">
        <v>137</v>
      </c>
      <c r="E13" s="176" t="s">
        <v>249</v>
      </c>
      <c r="F13" s="30" t="s">
        <v>169</v>
      </c>
      <c r="G13" s="6">
        <v>3</v>
      </c>
      <c r="H13" s="6">
        <v>7</v>
      </c>
      <c r="I13" s="172">
        <v>1.24</v>
      </c>
      <c r="J13" s="177" t="s">
        <v>291</v>
      </c>
      <c r="K13" s="172" t="s">
        <v>291</v>
      </c>
      <c r="L13" s="172">
        <v>0.92</v>
      </c>
    </row>
    <row r="14" spans="1:12">
      <c r="A14" s="142" t="s">
        <v>241</v>
      </c>
      <c r="B14" s="167" t="s">
        <v>52</v>
      </c>
      <c r="C14" s="155" t="s">
        <v>60</v>
      </c>
      <c r="D14" s="155" t="s">
        <v>137</v>
      </c>
      <c r="E14" s="176" t="s">
        <v>249</v>
      </c>
      <c r="F14" s="30" t="s">
        <v>169</v>
      </c>
      <c r="G14" s="6">
        <v>2</v>
      </c>
      <c r="H14" s="6">
        <v>8</v>
      </c>
      <c r="I14" s="162">
        <v>1.73</v>
      </c>
      <c r="J14" s="162">
        <v>3.08</v>
      </c>
      <c r="K14" s="162">
        <v>4.3099999999999996</v>
      </c>
      <c r="L14" s="162">
        <v>1.23</v>
      </c>
    </row>
    <row r="15" spans="1:12" ht="45">
      <c r="A15" s="142" t="s">
        <v>241</v>
      </c>
      <c r="B15" s="167" t="s">
        <v>52</v>
      </c>
      <c r="C15" s="155" t="s">
        <v>58</v>
      </c>
      <c r="D15" s="155" t="s">
        <v>137</v>
      </c>
      <c r="E15" s="156" t="s">
        <v>244</v>
      </c>
      <c r="F15" s="30" t="s">
        <v>201</v>
      </c>
      <c r="G15" s="6">
        <v>1</v>
      </c>
      <c r="H15" s="6">
        <v>8</v>
      </c>
      <c r="I15" s="172">
        <v>2.63</v>
      </c>
      <c r="J15" s="172">
        <v>1.24</v>
      </c>
      <c r="K15" s="172">
        <v>4.63</v>
      </c>
      <c r="L15" s="172">
        <v>1.44</v>
      </c>
    </row>
    <row r="16" spans="1:12" ht="45">
      <c r="A16" s="142" t="s">
        <v>241</v>
      </c>
      <c r="B16" s="167" t="s">
        <v>52</v>
      </c>
      <c r="C16" s="155" t="s">
        <v>58</v>
      </c>
      <c r="D16" s="155" t="s">
        <v>137</v>
      </c>
      <c r="E16" s="156" t="s">
        <v>244</v>
      </c>
      <c r="F16" s="30" t="s">
        <v>201</v>
      </c>
      <c r="G16" s="6">
        <v>2</v>
      </c>
      <c r="H16" s="6">
        <v>7</v>
      </c>
      <c r="I16" s="172">
        <v>3.08</v>
      </c>
      <c r="J16" s="172">
        <v>1.31</v>
      </c>
      <c r="K16" s="172">
        <v>5.18</v>
      </c>
      <c r="L16" s="172">
        <v>1.4</v>
      </c>
    </row>
    <row r="17" spans="1:12" ht="45">
      <c r="A17" s="142" t="s">
        <v>241</v>
      </c>
      <c r="B17" s="167" t="s">
        <v>52</v>
      </c>
      <c r="C17" s="155" t="s">
        <v>54</v>
      </c>
      <c r="D17" s="155" t="s">
        <v>137</v>
      </c>
      <c r="E17" s="156" t="s">
        <v>244</v>
      </c>
      <c r="F17" s="30" t="s">
        <v>139</v>
      </c>
      <c r="G17" s="6">
        <v>1</v>
      </c>
      <c r="H17" s="6">
        <v>8</v>
      </c>
      <c r="I17" s="172">
        <v>2.29</v>
      </c>
      <c r="J17" s="177">
        <v>1.82</v>
      </c>
      <c r="K17" s="172">
        <v>4.18</v>
      </c>
      <c r="L17" s="172">
        <v>1.04</v>
      </c>
    </row>
    <row r="18" spans="1:12" ht="30">
      <c r="A18" s="142" t="s">
        <v>241</v>
      </c>
      <c r="B18" s="167" t="s">
        <v>49</v>
      </c>
      <c r="C18" s="155" t="s">
        <v>50</v>
      </c>
      <c r="D18" s="155" t="s">
        <v>137</v>
      </c>
      <c r="E18" s="156" t="s">
        <v>292</v>
      </c>
      <c r="F18" s="30" t="s">
        <v>201</v>
      </c>
      <c r="G18" s="28">
        <v>2</v>
      </c>
      <c r="H18" s="28">
        <v>2</v>
      </c>
      <c r="I18" s="172">
        <v>1.68</v>
      </c>
      <c r="J18" s="172">
        <v>1.1299999999999999</v>
      </c>
      <c r="K18" s="172">
        <v>3.1</v>
      </c>
      <c r="L18" s="172">
        <v>0.99</v>
      </c>
    </row>
    <row r="19" spans="1:12" ht="30">
      <c r="A19" s="142" t="s">
        <v>241</v>
      </c>
      <c r="B19" s="167" t="s">
        <v>49</v>
      </c>
      <c r="C19" s="155" t="s">
        <v>50</v>
      </c>
      <c r="D19" s="155" t="s">
        <v>137</v>
      </c>
      <c r="E19" s="156" t="s">
        <v>292</v>
      </c>
      <c r="F19" s="30" t="s">
        <v>201</v>
      </c>
      <c r="G19" s="28">
        <v>1</v>
      </c>
      <c r="H19" s="28">
        <v>2</v>
      </c>
      <c r="I19" s="172" t="s">
        <v>291</v>
      </c>
      <c r="J19" s="172" t="s">
        <v>291</v>
      </c>
      <c r="K19" s="172" t="s">
        <v>291</v>
      </c>
      <c r="L19" s="172">
        <v>1.37</v>
      </c>
    </row>
    <row r="20" spans="1:12">
      <c r="A20" s="142" t="s">
        <v>241</v>
      </c>
      <c r="B20" s="167" t="s">
        <v>49</v>
      </c>
      <c r="C20" s="178" t="s">
        <v>51</v>
      </c>
      <c r="D20" s="178" t="s">
        <v>137</v>
      </c>
      <c r="E20" s="176" t="s">
        <v>249</v>
      </c>
      <c r="F20" s="30" t="s">
        <v>139</v>
      </c>
      <c r="G20" s="6">
        <v>1</v>
      </c>
      <c r="H20" s="6">
        <v>6</v>
      </c>
      <c r="I20" s="172">
        <v>2.29</v>
      </c>
      <c r="J20" s="177">
        <v>1.01</v>
      </c>
      <c r="K20" s="172">
        <v>3.19</v>
      </c>
      <c r="L20" s="172">
        <v>0.54</v>
      </c>
    </row>
    <row r="21" spans="1:12">
      <c r="A21" s="142" t="s">
        <v>3</v>
      </c>
      <c r="B21" s="167" t="s">
        <v>39</v>
      </c>
      <c r="C21" s="155" t="s">
        <v>42</v>
      </c>
      <c r="D21" s="155" t="s">
        <v>137</v>
      </c>
      <c r="E21" s="156" t="s">
        <v>249</v>
      </c>
      <c r="F21" s="30" t="s">
        <v>159</v>
      </c>
      <c r="G21" s="6">
        <v>3</v>
      </c>
      <c r="H21" s="6">
        <v>6</v>
      </c>
      <c r="I21" s="172">
        <v>3.33</v>
      </c>
      <c r="J21" s="177">
        <v>0.85</v>
      </c>
      <c r="K21" s="172">
        <v>4.26</v>
      </c>
      <c r="L21" s="172">
        <v>1.18</v>
      </c>
    </row>
    <row r="22" spans="1:12">
      <c r="A22" s="142" t="s">
        <v>3</v>
      </c>
      <c r="B22" s="167" t="s">
        <v>39</v>
      </c>
      <c r="C22" s="155" t="s">
        <v>42</v>
      </c>
      <c r="D22" s="155" t="s">
        <v>137</v>
      </c>
      <c r="E22" s="156" t="s">
        <v>249</v>
      </c>
      <c r="F22" s="30" t="s">
        <v>159</v>
      </c>
      <c r="G22" s="6">
        <v>1</v>
      </c>
      <c r="H22" s="6">
        <v>1</v>
      </c>
      <c r="I22" s="172">
        <v>3.37</v>
      </c>
      <c r="J22" s="177">
        <v>1.31</v>
      </c>
      <c r="K22" s="172">
        <v>4.6900000000000004</v>
      </c>
      <c r="L22" s="172">
        <v>1.92</v>
      </c>
    </row>
    <row r="23" spans="1:12">
      <c r="A23" s="142" t="s">
        <v>3</v>
      </c>
      <c r="B23" s="167" t="s">
        <v>39</v>
      </c>
      <c r="C23" s="155" t="s">
        <v>42</v>
      </c>
      <c r="D23" s="155" t="s">
        <v>137</v>
      </c>
      <c r="E23" s="156" t="s">
        <v>249</v>
      </c>
      <c r="F23" s="30" t="s">
        <v>159</v>
      </c>
      <c r="G23" s="6">
        <v>2</v>
      </c>
      <c r="H23" s="6">
        <v>5</v>
      </c>
      <c r="I23" s="172">
        <v>4.05</v>
      </c>
      <c r="J23" s="177">
        <v>1.17</v>
      </c>
      <c r="K23" s="172">
        <v>5.92</v>
      </c>
      <c r="L23" s="172">
        <v>1.93</v>
      </c>
    </row>
    <row r="24" spans="1:12">
      <c r="A24" s="142" t="s">
        <v>3</v>
      </c>
      <c r="B24" s="167" t="s">
        <v>39</v>
      </c>
      <c r="C24" s="155" t="s">
        <v>42</v>
      </c>
      <c r="D24" s="155" t="s">
        <v>137</v>
      </c>
      <c r="E24" s="156" t="s">
        <v>249</v>
      </c>
      <c r="F24" s="30" t="s">
        <v>159</v>
      </c>
      <c r="G24" s="6">
        <v>4</v>
      </c>
      <c r="H24" s="6">
        <v>7</v>
      </c>
      <c r="I24" s="162" t="s">
        <v>291</v>
      </c>
      <c r="J24" s="162" t="s">
        <v>291</v>
      </c>
      <c r="K24" s="162" t="s">
        <v>291</v>
      </c>
      <c r="L24" s="162">
        <v>2.17</v>
      </c>
    </row>
    <row r="25" spans="1:12" ht="45">
      <c r="A25" s="142" t="s">
        <v>3</v>
      </c>
      <c r="B25" s="167" t="s">
        <v>39</v>
      </c>
      <c r="C25" s="155" t="s">
        <v>43</v>
      </c>
      <c r="D25" s="155" t="s">
        <v>137</v>
      </c>
      <c r="E25" s="156" t="s">
        <v>293</v>
      </c>
      <c r="F25" s="30" t="s">
        <v>169</v>
      </c>
      <c r="G25" s="6">
        <v>4</v>
      </c>
      <c r="H25" s="6">
        <v>7</v>
      </c>
      <c r="I25" s="173">
        <v>1.86</v>
      </c>
      <c r="J25" s="174">
        <v>1.1200000000000001</v>
      </c>
      <c r="K25" s="173">
        <v>3.96</v>
      </c>
      <c r="L25" s="173">
        <v>1.1000000000000001</v>
      </c>
    </row>
    <row r="26" spans="1:12" ht="45">
      <c r="A26" s="142" t="s">
        <v>3</v>
      </c>
      <c r="B26" s="167" t="s">
        <v>39</v>
      </c>
      <c r="C26" s="155" t="s">
        <v>43</v>
      </c>
      <c r="D26" s="155" t="s">
        <v>137</v>
      </c>
      <c r="E26" s="156" t="s">
        <v>293</v>
      </c>
      <c r="F26" s="30" t="s">
        <v>169</v>
      </c>
      <c r="G26" s="6">
        <v>1</v>
      </c>
      <c r="H26" s="6">
        <v>1</v>
      </c>
      <c r="I26" s="172">
        <v>1.94</v>
      </c>
      <c r="J26" s="177">
        <v>0.8</v>
      </c>
      <c r="K26" s="172">
        <v>2.89</v>
      </c>
      <c r="L26" s="172">
        <v>0.9</v>
      </c>
    </row>
    <row r="27" spans="1:12" ht="45">
      <c r="A27" s="142" t="s">
        <v>3</v>
      </c>
      <c r="B27" s="167" t="s">
        <v>39</v>
      </c>
      <c r="C27" s="155" t="s">
        <v>43</v>
      </c>
      <c r="D27" s="155" t="s">
        <v>137</v>
      </c>
      <c r="E27" s="156" t="s">
        <v>293</v>
      </c>
      <c r="F27" s="30" t="s">
        <v>169</v>
      </c>
      <c r="G27" s="6">
        <v>5</v>
      </c>
      <c r="H27" s="6">
        <v>7</v>
      </c>
      <c r="I27" s="162">
        <v>2.15</v>
      </c>
      <c r="J27" s="162">
        <v>1.8</v>
      </c>
      <c r="K27" s="162">
        <v>4.34</v>
      </c>
      <c r="L27" s="162">
        <v>1.39</v>
      </c>
    </row>
    <row r="28" spans="1:12" ht="45">
      <c r="A28" s="142" t="s">
        <v>3</v>
      </c>
      <c r="B28" s="167" t="s">
        <v>39</v>
      </c>
      <c r="C28" s="155" t="s">
        <v>43</v>
      </c>
      <c r="D28" s="155" t="s">
        <v>137</v>
      </c>
      <c r="E28" s="156" t="s">
        <v>293</v>
      </c>
      <c r="F28" s="30" t="s">
        <v>169</v>
      </c>
      <c r="G28" s="6">
        <v>2</v>
      </c>
      <c r="H28" s="6">
        <v>1</v>
      </c>
      <c r="I28" s="172">
        <v>2.2200000000000002</v>
      </c>
      <c r="J28" s="177">
        <v>1.01</v>
      </c>
      <c r="K28" s="172">
        <v>3.76</v>
      </c>
      <c r="L28" s="172">
        <v>1.1299999999999999</v>
      </c>
    </row>
    <row r="29" spans="1:12" ht="45">
      <c r="A29" s="142" t="s">
        <v>3</v>
      </c>
      <c r="B29" s="167" t="s">
        <v>39</v>
      </c>
      <c r="C29" s="155" t="s">
        <v>43</v>
      </c>
      <c r="D29" s="155" t="s">
        <v>137</v>
      </c>
      <c r="E29" s="156" t="s">
        <v>293</v>
      </c>
      <c r="F29" s="30" t="s">
        <v>169</v>
      </c>
      <c r="G29" s="6">
        <v>3</v>
      </c>
      <c r="H29" s="6">
        <v>8</v>
      </c>
      <c r="I29" s="172" t="s">
        <v>291</v>
      </c>
      <c r="J29" s="172" t="s">
        <v>291</v>
      </c>
      <c r="K29" s="172" t="s">
        <v>291</v>
      </c>
      <c r="L29" s="172">
        <v>1.3</v>
      </c>
    </row>
    <row r="30" spans="1:12" ht="45">
      <c r="A30" s="142" t="s">
        <v>3</v>
      </c>
      <c r="B30" s="167" t="s">
        <v>39</v>
      </c>
      <c r="C30" s="158" t="s">
        <v>41</v>
      </c>
      <c r="D30" s="158" t="s">
        <v>203</v>
      </c>
      <c r="E30" s="156" t="s">
        <v>293</v>
      </c>
      <c r="F30" s="30" t="s">
        <v>139</v>
      </c>
      <c r="G30" s="6">
        <v>1</v>
      </c>
      <c r="H30" s="6">
        <v>1</v>
      </c>
      <c r="I30" s="173">
        <v>3.1</v>
      </c>
      <c r="J30" s="174">
        <v>1.72</v>
      </c>
      <c r="K30" s="173">
        <v>5.51</v>
      </c>
      <c r="L30" s="173">
        <v>1.42</v>
      </c>
    </row>
    <row r="31" spans="1:12">
      <c r="A31" s="142" t="s">
        <v>3</v>
      </c>
      <c r="B31" s="167" t="s">
        <v>39</v>
      </c>
      <c r="C31" s="158" t="s">
        <v>40</v>
      </c>
      <c r="D31" s="158" t="s">
        <v>137</v>
      </c>
      <c r="E31" s="156" t="s">
        <v>294</v>
      </c>
      <c r="F31" s="30" t="s">
        <v>139</v>
      </c>
      <c r="G31" s="6">
        <v>1</v>
      </c>
      <c r="H31" s="6">
        <v>8</v>
      </c>
      <c r="I31" s="173">
        <v>2.74</v>
      </c>
      <c r="J31" s="174">
        <v>0.87</v>
      </c>
      <c r="K31" s="173">
        <v>3.96</v>
      </c>
      <c r="L31" s="173">
        <v>2.85</v>
      </c>
    </row>
    <row r="32" spans="1:12" ht="30">
      <c r="A32" s="142" t="s">
        <v>3</v>
      </c>
      <c r="B32" s="167" t="s">
        <v>3</v>
      </c>
      <c r="C32" s="158" t="s">
        <v>15</v>
      </c>
      <c r="D32" s="158" t="s">
        <v>137</v>
      </c>
      <c r="E32" s="156" t="s">
        <v>292</v>
      </c>
      <c r="F32" s="16" t="s">
        <v>139</v>
      </c>
      <c r="G32" s="9">
        <v>1</v>
      </c>
      <c r="H32" s="9">
        <v>8</v>
      </c>
      <c r="I32" s="173">
        <v>2.44</v>
      </c>
      <c r="J32" s="174">
        <v>1.07</v>
      </c>
      <c r="K32" s="173">
        <v>3.18</v>
      </c>
      <c r="L32" s="173">
        <v>1.74</v>
      </c>
    </row>
    <row r="33" spans="1:12" ht="30">
      <c r="A33" s="142" t="s">
        <v>3</v>
      </c>
      <c r="B33" s="167" t="s">
        <v>3</v>
      </c>
      <c r="C33" s="155" t="s">
        <v>17</v>
      </c>
      <c r="D33" s="155" t="s">
        <v>137</v>
      </c>
      <c r="E33" s="156" t="s">
        <v>295</v>
      </c>
      <c r="F33" s="16" t="s">
        <v>201</v>
      </c>
      <c r="G33" s="9">
        <v>1</v>
      </c>
      <c r="H33" s="9">
        <v>8</v>
      </c>
      <c r="I33" s="172">
        <v>3.22</v>
      </c>
      <c r="J33" s="177">
        <v>1.04</v>
      </c>
      <c r="K33" s="172">
        <v>3.01</v>
      </c>
      <c r="L33" s="172">
        <v>0.82</v>
      </c>
    </row>
    <row r="34" spans="1:12" ht="30">
      <c r="A34" s="142" t="s">
        <v>3</v>
      </c>
      <c r="B34" s="167" t="s">
        <v>3</v>
      </c>
      <c r="C34" s="155" t="s">
        <v>17</v>
      </c>
      <c r="D34" s="155" t="s">
        <v>137</v>
      </c>
      <c r="E34" s="156" t="s">
        <v>295</v>
      </c>
      <c r="F34" s="16" t="s">
        <v>201</v>
      </c>
      <c r="G34" s="9">
        <v>2</v>
      </c>
      <c r="H34" s="9">
        <v>1</v>
      </c>
      <c r="I34" s="172">
        <v>3.4</v>
      </c>
      <c r="J34" s="177">
        <v>0.59</v>
      </c>
      <c r="K34" s="172">
        <v>5.14</v>
      </c>
      <c r="L34" s="172">
        <v>1.1399999999999999</v>
      </c>
    </row>
    <row r="35" spans="1:12">
      <c r="A35" s="142" t="s">
        <v>3</v>
      </c>
      <c r="B35" s="167" t="s">
        <v>3</v>
      </c>
      <c r="C35" s="158" t="s">
        <v>4</v>
      </c>
      <c r="D35" s="158" t="s">
        <v>137</v>
      </c>
      <c r="E35" s="156" t="s">
        <v>294</v>
      </c>
      <c r="F35" s="16" t="s">
        <v>139</v>
      </c>
      <c r="G35" s="9">
        <v>1</v>
      </c>
      <c r="H35" s="9">
        <v>8</v>
      </c>
      <c r="I35" s="173">
        <v>4.08</v>
      </c>
      <c r="J35" s="174">
        <v>1.22</v>
      </c>
      <c r="K35" s="173">
        <v>6.43</v>
      </c>
      <c r="L35" s="173">
        <v>1.69</v>
      </c>
    </row>
    <row r="36" spans="1:12" ht="45">
      <c r="A36" s="142" t="s">
        <v>3</v>
      </c>
      <c r="B36" s="167" t="s">
        <v>3</v>
      </c>
      <c r="C36" s="155" t="s">
        <v>13</v>
      </c>
      <c r="D36" s="155" t="s">
        <v>137</v>
      </c>
      <c r="E36" s="156" t="s">
        <v>244</v>
      </c>
      <c r="F36" s="16" t="s">
        <v>169</v>
      </c>
      <c r="G36" s="9">
        <v>1</v>
      </c>
      <c r="H36" s="9">
        <v>3</v>
      </c>
      <c r="I36" s="172">
        <v>2.25</v>
      </c>
      <c r="J36" s="177">
        <v>0.86</v>
      </c>
      <c r="K36" s="172">
        <v>2.76</v>
      </c>
      <c r="L36" s="172">
        <v>1.1100000000000001</v>
      </c>
    </row>
    <row r="37" spans="1:12">
      <c r="A37" s="142" t="s">
        <v>3</v>
      </c>
      <c r="B37" s="167" t="s">
        <v>3</v>
      </c>
      <c r="C37" s="158" t="s">
        <v>14</v>
      </c>
      <c r="D37" s="158" t="s">
        <v>137</v>
      </c>
      <c r="E37" s="156" t="s">
        <v>294</v>
      </c>
      <c r="F37" s="16" t="s">
        <v>139</v>
      </c>
      <c r="G37" s="9">
        <v>1</v>
      </c>
      <c r="H37" s="9">
        <v>8</v>
      </c>
      <c r="I37" s="173">
        <v>1.1200000000000001</v>
      </c>
      <c r="J37" s="174">
        <v>0.43</v>
      </c>
      <c r="K37" s="173">
        <v>2.75</v>
      </c>
      <c r="L37" s="173">
        <v>0.87</v>
      </c>
    </row>
    <row r="38" spans="1:12">
      <c r="A38" s="142" t="s">
        <v>3</v>
      </c>
      <c r="B38" s="167" t="s">
        <v>3</v>
      </c>
      <c r="C38" s="167" t="s">
        <v>6</v>
      </c>
      <c r="D38" s="155" t="s">
        <v>137</v>
      </c>
      <c r="E38" s="168" t="s">
        <v>249</v>
      </c>
      <c r="F38" s="16" t="s">
        <v>159</v>
      </c>
      <c r="G38" s="9">
        <v>1</v>
      </c>
      <c r="H38" s="9">
        <v>8</v>
      </c>
      <c r="I38" s="162">
        <v>1.25</v>
      </c>
      <c r="J38" s="162">
        <v>1.98</v>
      </c>
      <c r="K38" s="172">
        <v>3.59</v>
      </c>
      <c r="L38" s="172">
        <v>1.1100000000000001</v>
      </c>
    </row>
    <row r="39" spans="1:12">
      <c r="A39" s="142" t="s">
        <v>3</v>
      </c>
      <c r="B39" s="167" t="s">
        <v>3</v>
      </c>
      <c r="C39" s="167" t="s">
        <v>6</v>
      </c>
      <c r="D39" s="155" t="s">
        <v>137</v>
      </c>
      <c r="E39" s="168" t="s">
        <v>249</v>
      </c>
      <c r="F39" s="16" t="s">
        <v>159</v>
      </c>
      <c r="G39" s="9">
        <v>4</v>
      </c>
      <c r="H39" s="9">
        <v>1</v>
      </c>
      <c r="I39" s="172">
        <v>1.98</v>
      </c>
      <c r="J39" s="177">
        <v>1.24</v>
      </c>
      <c r="K39" s="172">
        <v>3.7</v>
      </c>
      <c r="L39" s="172">
        <v>1.07</v>
      </c>
    </row>
    <row r="40" spans="1:12">
      <c r="A40" s="142" t="s">
        <v>3</v>
      </c>
      <c r="B40" s="167" t="s">
        <v>3</v>
      </c>
      <c r="C40" s="167" t="s">
        <v>6</v>
      </c>
      <c r="D40" s="155" t="s">
        <v>137</v>
      </c>
      <c r="E40" s="168" t="s">
        <v>249</v>
      </c>
      <c r="F40" s="16" t="s">
        <v>159</v>
      </c>
      <c r="G40" s="9">
        <v>2</v>
      </c>
      <c r="H40" s="9">
        <v>8</v>
      </c>
      <c r="I40" s="172">
        <v>2.1800000000000002</v>
      </c>
      <c r="J40" s="177">
        <v>2.06</v>
      </c>
      <c r="K40" s="172">
        <v>3.15</v>
      </c>
      <c r="L40" s="172">
        <v>1.38</v>
      </c>
    </row>
    <row r="41" spans="1:12">
      <c r="A41" s="142" t="s">
        <v>3</v>
      </c>
      <c r="B41" s="167" t="s">
        <v>3</v>
      </c>
      <c r="C41" s="167" t="s">
        <v>6</v>
      </c>
      <c r="D41" s="155" t="s">
        <v>137</v>
      </c>
      <c r="E41" s="168" t="s">
        <v>249</v>
      </c>
      <c r="F41" s="16" t="s">
        <v>159</v>
      </c>
      <c r="G41" s="9">
        <v>3</v>
      </c>
      <c r="H41" s="9">
        <v>1</v>
      </c>
      <c r="I41" s="172">
        <v>2.2200000000000002</v>
      </c>
      <c r="J41" s="177">
        <v>0.81</v>
      </c>
      <c r="K41" s="172">
        <v>2.92</v>
      </c>
      <c r="L41" s="172">
        <v>0.72</v>
      </c>
    </row>
    <row r="42" spans="1:12">
      <c r="A42" s="142" t="s">
        <v>3</v>
      </c>
      <c r="B42" s="167" t="s">
        <v>3</v>
      </c>
      <c r="C42" s="167" t="s">
        <v>7</v>
      </c>
      <c r="D42" s="155" t="s">
        <v>137</v>
      </c>
      <c r="E42" s="168" t="s">
        <v>294</v>
      </c>
      <c r="F42" s="16" t="s">
        <v>169</v>
      </c>
      <c r="G42" s="9">
        <v>3</v>
      </c>
      <c r="H42" s="9">
        <v>1</v>
      </c>
      <c r="I42" s="172">
        <v>1.31</v>
      </c>
      <c r="J42" s="177">
        <v>0.86</v>
      </c>
      <c r="K42" s="172">
        <v>3.33</v>
      </c>
      <c r="L42" s="172">
        <v>0.97</v>
      </c>
    </row>
    <row r="43" spans="1:12">
      <c r="A43" s="142" t="s">
        <v>3</v>
      </c>
      <c r="B43" s="167" t="s">
        <v>3</v>
      </c>
      <c r="C43" s="167" t="s">
        <v>7</v>
      </c>
      <c r="D43" s="155" t="s">
        <v>137</v>
      </c>
      <c r="E43" s="168" t="s">
        <v>294</v>
      </c>
      <c r="F43" s="16" t="s">
        <v>169</v>
      </c>
      <c r="G43" s="9">
        <v>2</v>
      </c>
      <c r="H43" s="9">
        <v>1</v>
      </c>
      <c r="I43" s="172">
        <v>1.66</v>
      </c>
      <c r="J43" s="177">
        <v>1.18</v>
      </c>
      <c r="K43" s="172">
        <v>3.18</v>
      </c>
      <c r="L43" s="172">
        <v>0.92</v>
      </c>
    </row>
    <row r="44" spans="1:12">
      <c r="A44" s="142" t="s">
        <v>3</v>
      </c>
      <c r="B44" s="167" t="s">
        <v>3</v>
      </c>
      <c r="C44" s="167" t="s">
        <v>7</v>
      </c>
      <c r="D44" s="155" t="s">
        <v>137</v>
      </c>
      <c r="E44" s="168" t="s">
        <v>294</v>
      </c>
      <c r="F44" s="16" t="s">
        <v>169</v>
      </c>
      <c r="G44" s="9">
        <v>1</v>
      </c>
      <c r="H44" s="9">
        <v>1</v>
      </c>
      <c r="I44" s="172">
        <v>2.63</v>
      </c>
      <c r="J44" s="177">
        <v>1.1399999999999999</v>
      </c>
      <c r="K44" s="172">
        <v>3.41</v>
      </c>
      <c r="L44" s="172">
        <v>0.83</v>
      </c>
    </row>
    <row r="45" spans="1:12">
      <c r="A45" s="142" t="s">
        <v>3</v>
      </c>
      <c r="B45" s="167" t="s">
        <v>3</v>
      </c>
      <c r="C45" s="158" t="s">
        <v>10</v>
      </c>
      <c r="D45" s="158" t="s">
        <v>172</v>
      </c>
      <c r="E45" s="156" t="s">
        <v>249</v>
      </c>
      <c r="F45" s="16" t="s">
        <v>139</v>
      </c>
      <c r="G45" s="9">
        <v>1</v>
      </c>
      <c r="H45" s="9">
        <v>7</v>
      </c>
      <c r="I45" s="173">
        <v>2.4700000000000002</v>
      </c>
      <c r="J45" s="174">
        <v>1.51</v>
      </c>
      <c r="K45" s="173">
        <v>4.4000000000000004</v>
      </c>
      <c r="L45" s="173">
        <v>0.57999999999999996</v>
      </c>
    </row>
    <row r="46" spans="1:12">
      <c r="A46" s="142" t="s">
        <v>3</v>
      </c>
      <c r="B46" s="167" t="s">
        <v>3</v>
      </c>
      <c r="C46" s="155" t="s">
        <v>12</v>
      </c>
      <c r="D46" s="155" t="s">
        <v>137</v>
      </c>
      <c r="E46" s="156" t="s">
        <v>249</v>
      </c>
      <c r="F46" s="16" t="s">
        <v>159</v>
      </c>
      <c r="G46" s="9">
        <v>2</v>
      </c>
      <c r="H46" s="9">
        <v>8</v>
      </c>
      <c r="I46" s="172">
        <v>1.8</v>
      </c>
      <c r="J46" s="177">
        <v>1.31</v>
      </c>
      <c r="K46" s="172">
        <v>4.2</v>
      </c>
      <c r="L46" s="172">
        <v>1.28</v>
      </c>
    </row>
    <row r="47" spans="1:12">
      <c r="A47" s="142" t="s">
        <v>3</v>
      </c>
      <c r="B47" s="167" t="s">
        <v>3</v>
      </c>
      <c r="C47" s="155" t="s">
        <v>12</v>
      </c>
      <c r="D47" s="155" t="s">
        <v>137</v>
      </c>
      <c r="E47" s="156" t="s">
        <v>249</v>
      </c>
      <c r="F47" s="16" t="s">
        <v>159</v>
      </c>
      <c r="G47" s="9">
        <v>3</v>
      </c>
      <c r="H47" s="9">
        <v>7</v>
      </c>
      <c r="I47" s="172">
        <v>1.81</v>
      </c>
      <c r="J47" s="177">
        <v>1.4</v>
      </c>
      <c r="K47" s="172">
        <v>4.7699999999999996</v>
      </c>
      <c r="L47" s="172">
        <v>1.54</v>
      </c>
    </row>
    <row r="48" spans="1:12">
      <c r="A48" s="142" t="s">
        <v>3</v>
      </c>
      <c r="B48" s="167" t="s">
        <v>3</v>
      </c>
      <c r="C48" s="155" t="s">
        <v>12</v>
      </c>
      <c r="D48" s="155" t="s">
        <v>137</v>
      </c>
      <c r="E48" s="156" t="s">
        <v>249</v>
      </c>
      <c r="F48" s="16" t="s">
        <v>159</v>
      </c>
      <c r="G48" s="9">
        <v>1</v>
      </c>
      <c r="H48" s="9">
        <v>1</v>
      </c>
      <c r="I48" s="172">
        <v>2.79</v>
      </c>
      <c r="J48" s="177">
        <v>1.1399999999999999</v>
      </c>
      <c r="K48" s="172">
        <v>4.3499999999999996</v>
      </c>
      <c r="L48" s="172">
        <v>1.37</v>
      </c>
    </row>
    <row r="49" spans="1:12" ht="45">
      <c r="A49" s="142" t="s">
        <v>3</v>
      </c>
      <c r="B49" s="167" t="s">
        <v>3</v>
      </c>
      <c r="C49" s="155" t="s">
        <v>11</v>
      </c>
      <c r="D49" s="155" t="s">
        <v>137</v>
      </c>
      <c r="E49" s="156" t="s">
        <v>293</v>
      </c>
      <c r="F49" s="16" t="s">
        <v>159</v>
      </c>
      <c r="G49" s="9">
        <v>2</v>
      </c>
      <c r="H49" s="9">
        <v>8</v>
      </c>
      <c r="I49" s="172">
        <v>2.2200000000000002</v>
      </c>
      <c r="J49" s="177">
        <v>1.23</v>
      </c>
      <c r="K49" s="172">
        <v>3.81</v>
      </c>
      <c r="L49" s="172">
        <v>0.63</v>
      </c>
    </row>
    <row r="50" spans="1:12" ht="45">
      <c r="A50" s="142" t="s">
        <v>3</v>
      </c>
      <c r="B50" s="167" t="s">
        <v>3</v>
      </c>
      <c r="C50" s="155" t="s">
        <v>11</v>
      </c>
      <c r="D50" s="155" t="s">
        <v>137</v>
      </c>
      <c r="E50" s="156" t="s">
        <v>293</v>
      </c>
      <c r="F50" s="16" t="s">
        <v>159</v>
      </c>
      <c r="G50" s="9">
        <v>1</v>
      </c>
      <c r="H50" s="9">
        <v>3</v>
      </c>
      <c r="I50" s="172">
        <v>2.35</v>
      </c>
      <c r="J50" s="177">
        <v>1.76</v>
      </c>
      <c r="K50" s="172">
        <v>4.37</v>
      </c>
      <c r="L50" s="172">
        <v>0.86</v>
      </c>
    </row>
    <row r="51" spans="1:12" ht="30">
      <c r="A51" s="142" t="s">
        <v>3</v>
      </c>
      <c r="B51" s="167" t="s">
        <v>3</v>
      </c>
      <c r="C51" s="155" t="s">
        <v>296</v>
      </c>
      <c r="D51" s="155" t="s">
        <v>203</v>
      </c>
      <c r="E51" s="156" t="s">
        <v>292</v>
      </c>
      <c r="F51" s="30" t="s">
        <v>169</v>
      </c>
      <c r="G51" s="6">
        <v>2</v>
      </c>
      <c r="H51" s="6">
        <v>8</v>
      </c>
      <c r="I51" s="172">
        <v>2.58</v>
      </c>
      <c r="J51" s="177">
        <v>1.46</v>
      </c>
      <c r="K51" s="172">
        <v>5.0999999999999996</v>
      </c>
      <c r="L51" s="172">
        <v>1.66</v>
      </c>
    </row>
    <row r="52" spans="1:12" ht="30">
      <c r="A52" s="142" t="s">
        <v>3</v>
      </c>
      <c r="B52" s="167" t="s">
        <v>3</v>
      </c>
      <c r="C52" s="155" t="s">
        <v>296</v>
      </c>
      <c r="D52" s="155" t="s">
        <v>203</v>
      </c>
      <c r="E52" s="156" t="s">
        <v>292</v>
      </c>
      <c r="F52" s="30" t="s">
        <v>169</v>
      </c>
      <c r="G52" s="6">
        <v>1</v>
      </c>
      <c r="H52" s="6">
        <v>8</v>
      </c>
      <c r="I52" s="172">
        <v>2.66</v>
      </c>
      <c r="J52" s="177">
        <v>1.35</v>
      </c>
      <c r="K52" s="172">
        <v>4.6500000000000004</v>
      </c>
      <c r="L52" s="172">
        <v>0.94</v>
      </c>
    </row>
    <row r="53" spans="1:12" ht="30">
      <c r="A53" s="142" t="s">
        <v>3</v>
      </c>
      <c r="B53" s="167" t="s">
        <v>3</v>
      </c>
      <c r="C53" s="155" t="s">
        <v>296</v>
      </c>
      <c r="D53" s="155" t="s">
        <v>203</v>
      </c>
      <c r="E53" s="156" t="s">
        <v>292</v>
      </c>
      <c r="F53" s="30" t="s">
        <v>169</v>
      </c>
      <c r="G53" s="6">
        <v>3</v>
      </c>
      <c r="H53" s="6">
        <v>8</v>
      </c>
      <c r="I53" s="172">
        <v>3.84</v>
      </c>
      <c r="J53" s="177" t="s">
        <v>291</v>
      </c>
      <c r="K53" s="172" t="s">
        <v>291</v>
      </c>
      <c r="L53" s="172">
        <v>0.88</v>
      </c>
    </row>
    <row r="54" spans="1:12" ht="30">
      <c r="A54" s="142" t="s">
        <v>3</v>
      </c>
      <c r="B54" s="167" t="s">
        <v>3</v>
      </c>
      <c r="C54" s="167" t="s">
        <v>5</v>
      </c>
      <c r="D54" s="167" t="s">
        <v>137</v>
      </c>
      <c r="E54" s="168" t="s">
        <v>292</v>
      </c>
      <c r="F54" s="16" t="s">
        <v>139</v>
      </c>
      <c r="G54" s="9">
        <v>1</v>
      </c>
      <c r="H54" s="9">
        <v>3</v>
      </c>
      <c r="I54" s="172">
        <v>2.36</v>
      </c>
      <c r="J54" s="177">
        <v>0.8</v>
      </c>
      <c r="K54" s="172">
        <v>4.03</v>
      </c>
      <c r="L54" s="172">
        <v>1.19</v>
      </c>
    </row>
    <row r="55" spans="1:12">
      <c r="A55" s="142" t="s">
        <v>3</v>
      </c>
      <c r="B55" s="167" t="s">
        <v>3</v>
      </c>
      <c r="C55" s="158" t="s">
        <v>9</v>
      </c>
      <c r="D55" s="158" t="s">
        <v>172</v>
      </c>
      <c r="E55" s="156" t="s">
        <v>294</v>
      </c>
      <c r="F55" s="16" t="s">
        <v>139</v>
      </c>
      <c r="G55" s="9">
        <v>1</v>
      </c>
      <c r="H55" s="9">
        <v>8</v>
      </c>
      <c r="I55" s="173">
        <v>1.61</v>
      </c>
      <c r="J55" s="174">
        <v>1.45</v>
      </c>
      <c r="K55" s="173">
        <v>3.23</v>
      </c>
      <c r="L55" s="173">
        <v>0.95</v>
      </c>
    </row>
    <row r="56" spans="1:12" ht="30">
      <c r="A56" s="142" t="s">
        <v>3</v>
      </c>
      <c r="B56" s="167" t="s">
        <v>3</v>
      </c>
      <c r="C56" s="158" t="s">
        <v>16</v>
      </c>
      <c r="D56" s="158" t="s">
        <v>137</v>
      </c>
      <c r="E56" s="156" t="s">
        <v>292</v>
      </c>
      <c r="F56" s="16" t="s">
        <v>139</v>
      </c>
      <c r="G56" s="9">
        <v>1</v>
      </c>
      <c r="H56" s="9">
        <v>1</v>
      </c>
      <c r="I56" s="173">
        <v>3.35</v>
      </c>
      <c r="J56" s="174">
        <v>0.8</v>
      </c>
      <c r="K56" s="173">
        <v>4.17</v>
      </c>
      <c r="L56" s="173">
        <v>0.77</v>
      </c>
    </row>
    <row r="57" spans="1:12" ht="30">
      <c r="A57" s="142" t="s">
        <v>3</v>
      </c>
      <c r="B57" s="167" t="s">
        <v>19</v>
      </c>
      <c r="C57" s="155" t="s">
        <v>28</v>
      </c>
      <c r="D57" s="155" t="s">
        <v>137</v>
      </c>
      <c r="E57" s="156" t="s">
        <v>292</v>
      </c>
      <c r="F57" s="30" t="s">
        <v>201</v>
      </c>
      <c r="G57" s="28">
        <v>1</v>
      </c>
      <c r="H57" s="28">
        <v>8</v>
      </c>
      <c r="I57" s="172">
        <v>3.45</v>
      </c>
      <c r="J57" s="177">
        <v>1.65</v>
      </c>
      <c r="K57" s="172">
        <v>4.9400000000000004</v>
      </c>
      <c r="L57" s="172">
        <v>1.57</v>
      </c>
    </row>
    <row r="58" spans="1:12" ht="30">
      <c r="A58" s="142" t="s">
        <v>3</v>
      </c>
      <c r="B58" s="167" t="s">
        <v>19</v>
      </c>
      <c r="C58" s="155" t="s">
        <v>28</v>
      </c>
      <c r="D58" s="155" t="s">
        <v>137</v>
      </c>
      <c r="E58" s="156" t="s">
        <v>292</v>
      </c>
      <c r="F58" s="30" t="s">
        <v>201</v>
      </c>
      <c r="G58" s="28">
        <v>2</v>
      </c>
      <c r="H58" s="28">
        <v>1</v>
      </c>
      <c r="I58" s="172">
        <v>3.62</v>
      </c>
      <c r="J58" s="177">
        <v>1.36</v>
      </c>
      <c r="K58" s="172">
        <v>5.45</v>
      </c>
      <c r="L58" s="172">
        <v>1.24</v>
      </c>
    </row>
    <row r="59" spans="1:12">
      <c r="A59" s="142" t="s">
        <v>3</v>
      </c>
      <c r="B59" s="167" t="s">
        <v>19</v>
      </c>
      <c r="C59" s="158" t="s">
        <v>33</v>
      </c>
      <c r="D59" s="158" t="s">
        <v>137</v>
      </c>
      <c r="E59" s="156" t="s">
        <v>249</v>
      </c>
      <c r="F59" s="30" t="s">
        <v>139</v>
      </c>
      <c r="G59" s="28">
        <v>1</v>
      </c>
      <c r="H59" s="28">
        <v>8</v>
      </c>
      <c r="I59" s="173">
        <v>3.43</v>
      </c>
      <c r="J59" s="174">
        <v>1.06</v>
      </c>
      <c r="K59" s="173">
        <v>2.86</v>
      </c>
      <c r="L59" s="173">
        <v>1.85</v>
      </c>
    </row>
    <row r="60" spans="1:12" ht="30">
      <c r="A60" s="142" t="s">
        <v>3</v>
      </c>
      <c r="B60" s="167" t="s">
        <v>19</v>
      </c>
      <c r="C60" s="155" t="s">
        <v>34</v>
      </c>
      <c r="D60" s="155" t="s">
        <v>137</v>
      </c>
      <c r="E60" s="156" t="s">
        <v>292</v>
      </c>
      <c r="F60" s="30" t="s">
        <v>139</v>
      </c>
      <c r="G60" s="6">
        <v>1</v>
      </c>
      <c r="H60" s="6">
        <v>1</v>
      </c>
      <c r="I60" s="172">
        <v>3.42</v>
      </c>
      <c r="J60" s="172">
        <v>1.41</v>
      </c>
      <c r="K60" s="172">
        <v>4.4800000000000004</v>
      </c>
      <c r="L60" s="172">
        <v>1.1399999999999999</v>
      </c>
    </row>
    <row r="61" spans="1:12" ht="45">
      <c r="A61" s="142" t="s">
        <v>3</v>
      </c>
      <c r="B61" s="167" t="s">
        <v>19</v>
      </c>
      <c r="C61" s="155" t="s">
        <v>35</v>
      </c>
      <c r="D61" s="155" t="s">
        <v>137</v>
      </c>
      <c r="E61" s="156" t="s">
        <v>244</v>
      </c>
      <c r="F61" s="30" t="s">
        <v>159</v>
      </c>
      <c r="G61" s="6">
        <v>1</v>
      </c>
      <c r="H61" s="6">
        <v>7</v>
      </c>
      <c r="I61" s="172">
        <v>2.27</v>
      </c>
      <c r="J61" s="172">
        <v>1.58</v>
      </c>
      <c r="K61" s="172">
        <v>3.81</v>
      </c>
      <c r="L61" s="172">
        <v>1.22</v>
      </c>
    </row>
    <row r="62" spans="1:12" ht="45">
      <c r="A62" s="142" t="s">
        <v>3</v>
      </c>
      <c r="B62" s="167" t="s">
        <v>19</v>
      </c>
      <c r="C62" s="155" t="s">
        <v>35</v>
      </c>
      <c r="D62" s="155" t="s">
        <v>137</v>
      </c>
      <c r="E62" s="156" t="s">
        <v>244</v>
      </c>
      <c r="F62" s="30" t="s">
        <v>159</v>
      </c>
      <c r="G62" s="6">
        <v>2</v>
      </c>
      <c r="H62" s="6">
        <v>1</v>
      </c>
      <c r="I62" s="172">
        <v>3.64</v>
      </c>
      <c r="J62" s="172">
        <v>1.06</v>
      </c>
      <c r="K62" s="172">
        <v>4.75</v>
      </c>
      <c r="L62" s="172">
        <v>1.65</v>
      </c>
    </row>
    <row r="63" spans="1:12" ht="30">
      <c r="A63" s="142" t="s">
        <v>3</v>
      </c>
      <c r="B63" s="167" t="s">
        <v>19</v>
      </c>
      <c r="C63" s="155" t="s">
        <v>25</v>
      </c>
      <c r="D63" s="155" t="s">
        <v>137</v>
      </c>
      <c r="E63" s="156" t="s">
        <v>292</v>
      </c>
      <c r="F63" s="30" t="s">
        <v>159</v>
      </c>
      <c r="G63" s="28">
        <v>2</v>
      </c>
      <c r="H63" s="28">
        <v>1</v>
      </c>
      <c r="I63" s="172">
        <v>2.52</v>
      </c>
      <c r="J63" s="177">
        <v>1.87</v>
      </c>
      <c r="K63" s="172">
        <v>4.6399999999999997</v>
      </c>
      <c r="L63" s="172">
        <v>1.79</v>
      </c>
    </row>
    <row r="64" spans="1:12" ht="30">
      <c r="A64" s="142" t="s">
        <v>3</v>
      </c>
      <c r="B64" s="167" t="s">
        <v>19</v>
      </c>
      <c r="C64" s="155" t="s">
        <v>25</v>
      </c>
      <c r="D64" s="155" t="s">
        <v>137</v>
      </c>
      <c r="E64" s="156" t="s">
        <v>292</v>
      </c>
      <c r="F64" s="30" t="s">
        <v>159</v>
      </c>
      <c r="G64" s="28">
        <v>1</v>
      </c>
      <c r="H64" s="28">
        <v>2</v>
      </c>
      <c r="I64" s="172">
        <v>3.08</v>
      </c>
      <c r="J64" s="177">
        <v>1.07</v>
      </c>
      <c r="K64" s="172">
        <v>3.6</v>
      </c>
      <c r="L64" s="172">
        <v>1.44</v>
      </c>
    </row>
    <row r="65" spans="1:12" ht="45">
      <c r="A65" s="142" t="s">
        <v>3</v>
      </c>
      <c r="B65" s="167" t="s">
        <v>19</v>
      </c>
      <c r="C65" s="155" t="s">
        <v>32</v>
      </c>
      <c r="D65" s="155" t="s">
        <v>137</v>
      </c>
      <c r="E65" s="156" t="s">
        <v>244</v>
      </c>
      <c r="F65" s="30" t="s">
        <v>139</v>
      </c>
      <c r="G65" s="6">
        <v>1</v>
      </c>
      <c r="H65" s="6">
        <v>1</v>
      </c>
      <c r="I65" s="172">
        <v>4.42</v>
      </c>
      <c r="J65" s="172">
        <v>2.4900000000000002</v>
      </c>
      <c r="K65" s="172">
        <v>6.41</v>
      </c>
      <c r="L65" s="172">
        <v>1.81</v>
      </c>
    </row>
    <row r="66" spans="1:12" ht="30">
      <c r="A66" s="142" t="s">
        <v>3</v>
      </c>
      <c r="B66" s="167" t="s">
        <v>19</v>
      </c>
      <c r="C66" s="158" t="s">
        <v>23</v>
      </c>
      <c r="D66" s="158" t="s">
        <v>137</v>
      </c>
      <c r="E66" s="156" t="s">
        <v>292</v>
      </c>
      <c r="F66" s="30" t="s">
        <v>201</v>
      </c>
      <c r="G66" s="28">
        <v>1</v>
      </c>
      <c r="H66" s="28">
        <v>1</v>
      </c>
      <c r="I66" s="173">
        <v>5.72</v>
      </c>
      <c r="J66" s="174">
        <v>1.78</v>
      </c>
      <c r="K66" s="173">
        <v>6.62</v>
      </c>
      <c r="L66" s="173">
        <v>1</v>
      </c>
    </row>
    <row r="67" spans="1:12" ht="45">
      <c r="A67" s="142" t="s">
        <v>3</v>
      </c>
      <c r="B67" s="167" t="s">
        <v>19</v>
      </c>
      <c r="C67" s="155" t="s">
        <v>27</v>
      </c>
      <c r="D67" s="155" t="s">
        <v>137</v>
      </c>
      <c r="E67" s="156" t="s">
        <v>244</v>
      </c>
      <c r="F67" s="30" t="s">
        <v>159</v>
      </c>
      <c r="G67" s="6">
        <v>1</v>
      </c>
      <c r="H67" s="6">
        <v>8</v>
      </c>
      <c r="I67" s="172">
        <v>8.1199999999999992</v>
      </c>
      <c r="J67" s="177">
        <v>1.75</v>
      </c>
      <c r="K67" s="172">
        <v>8.89</v>
      </c>
      <c r="L67" s="172">
        <v>1.51</v>
      </c>
    </row>
    <row r="68" spans="1:12" ht="45">
      <c r="A68" s="142" t="s">
        <v>3</v>
      </c>
      <c r="B68" s="167" t="s">
        <v>19</v>
      </c>
      <c r="C68" s="155" t="s">
        <v>27</v>
      </c>
      <c r="D68" s="155" t="s">
        <v>137</v>
      </c>
      <c r="E68" s="156" t="s">
        <v>244</v>
      </c>
      <c r="F68" s="30" t="s">
        <v>159</v>
      </c>
      <c r="G68" s="6">
        <v>3</v>
      </c>
      <c r="H68" s="6">
        <v>4</v>
      </c>
      <c r="I68" s="172">
        <v>3.93</v>
      </c>
      <c r="J68" s="177">
        <v>1.56</v>
      </c>
      <c r="K68" s="172">
        <v>7.14</v>
      </c>
      <c r="L68" s="172">
        <v>1.6</v>
      </c>
    </row>
    <row r="69" spans="1:12" ht="45">
      <c r="A69" s="142" t="s">
        <v>3</v>
      </c>
      <c r="B69" s="167" t="s">
        <v>19</v>
      </c>
      <c r="C69" s="155" t="s">
        <v>27</v>
      </c>
      <c r="D69" s="155" t="s">
        <v>137</v>
      </c>
      <c r="E69" s="156" t="s">
        <v>244</v>
      </c>
      <c r="F69" s="30" t="s">
        <v>159</v>
      </c>
      <c r="G69" s="28">
        <v>4</v>
      </c>
      <c r="H69" s="28">
        <v>5</v>
      </c>
      <c r="I69" s="172">
        <v>3.88</v>
      </c>
      <c r="J69" s="177">
        <v>1.17</v>
      </c>
      <c r="K69" s="172">
        <v>5.62</v>
      </c>
      <c r="L69" s="172">
        <v>1.94</v>
      </c>
    </row>
    <row r="70" spans="1:12">
      <c r="A70" s="142" t="s">
        <v>3</v>
      </c>
      <c r="B70" s="167" t="s">
        <v>19</v>
      </c>
      <c r="C70" s="155" t="s">
        <v>30</v>
      </c>
      <c r="D70" s="155" t="s">
        <v>297</v>
      </c>
      <c r="E70" s="156" t="s">
        <v>249</v>
      </c>
      <c r="F70" s="30" t="s">
        <v>201</v>
      </c>
      <c r="G70" s="6">
        <v>1</v>
      </c>
      <c r="H70" s="6">
        <v>6</v>
      </c>
      <c r="I70" s="172">
        <v>2.88</v>
      </c>
      <c r="J70" s="172">
        <v>1.81</v>
      </c>
      <c r="K70" s="172">
        <v>5.29</v>
      </c>
      <c r="L70" s="172">
        <v>1.07</v>
      </c>
    </row>
    <row r="71" spans="1:12">
      <c r="A71" s="142" t="s">
        <v>3</v>
      </c>
      <c r="B71" s="167" t="s">
        <v>19</v>
      </c>
      <c r="C71" s="155" t="s">
        <v>30</v>
      </c>
      <c r="D71" s="155" t="s">
        <v>297</v>
      </c>
      <c r="E71" s="156" t="s">
        <v>249</v>
      </c>
      <c r="F71" s="30" t="s">
        <v>201</v>
      </c>
      <c r="G71" s="6">
        <v>2</v>
      </c>
      <c r="H71" s="6">
        <v>7</v>
      </c>
      <c r="I71" s="172">
        <v>2.96</v>
      </c>
      <c r="J71" s="172">
        <v>1.69</v>
      </c>
      <c r="K71" s="172">
        <v>6.84</v>
      </c>
      <c r="L71" s="172">
        <v>1.1100000000000001</v>
      </c>
    </row>
    <row r="72" spans="1:12" ht="45">
      <c r="A72" s="142" t="s">
        <v>3</v>
      </c>
      <c r="B72" s="167" t="s">
        <v>19</v>
      </c>
      <c r="C72" s="155" t="s">
        <v>29</v>
      </c>
      <c r="D72" s="155" t="s">
        <v>137</v>
      </c>
      <c r="E72" s="156" t="s">
        <v>244</v>
      </c>
      <c r="F72" s="30" t="s">
        <v>169</v>
      </c>
      <c r="G72" s="28">
        <v>2</v>
      </c>
      <c r="H72" s="28">
        <v>1</v>
      </c>
      <c r="I72" s="172">
        <v>3.48</v>
      </c>
      <c r="J72" s="172">
        <v>0.84</v>
      </c>
      <c r="K72" s="172">
        <v>5.12</v>
      </c>
      <c r="L72" s="172">
        <v>1.64</v>
      </c>
    </row>
    <row r="73" spans="1:12" ht="45">
      <c r="A73" s="142" t="s">
        <v>3</v>
      </c>
      <c r="B73" s="167" t="s">
        <v>19</v>
      </c>
      <c r="C73" s="155" t="s">
        <v>29</v>
      </c>
      <c r="D73" s="155" t="s">
        <v>137</v>
      </c>
      <c r="E73" s="156" t="s">
        <v>244</v>
      </c>
      <c r="F73" s="30" t="s">
        <v>169</v>
      </c>
      <c r="G73" s="28">
        <v>1</v>
      </c>
      <c r="H73" s="28">
        <v>8</v>
      </c>
      <c r="I73" s="172">
        <v>3.76</v>
      </c>
      <c r="J73" s="172">
        <v>1.48</v>
      </c>
      <c r="K73" s="172">
        <v>6.48</v>
      </c>
      <c r="L73" s="172">
        <v>1.2</v>
      </c>
    </row>
    <row r="74" spans="1:12" ht="45">
      <c r="A74" s="142" t="s">
        <v>3</v>
      </c>
      <c r="B74" s="167" t="s">
        <v>19</v>
      </c>
      <c r="C74" s="155" t="s">
        <v>29</v>
      </c>
      <c r="D74" s="155" t="s">
        <v>137</v>
      </c>
      <c r="E74" s="156" t="s">
        <v>244</v>
      </c>
      <c r="F74" s="30" t="s">
        <v>169</v>
      </c>
      <c r="G74" s="28">
        <v>3</v>
      </c>
      <c r="H74" s="28">
        <v>2</v>
      </c>
      <c r="I74" s="172">
        <v>3.84</v>
      </c>
      <c r="J74" s="172">
        <v>2.97</v>
      </c>
      <c r="K74" s="172">
        <v>7.44</v>
      </c>
      <c r="L74" s="172">
        <v>1.93</v>
      </c>
    </row>
    <row r="75" spans="1:12" ht="45">
      <c r="A75" s="142" t="s">
        <v>3</v>
      </c>
      <c r="B75" s="167" t="s">
        <v>19</v>
      </c>
      <c r="C75" s="155" t="s">
        <v>37</v>
      </c>
      <c r="D75" s="155" t="s">
        <v>137</v>
      </c>
      <c r="E75" s="156" t="s">
        <v>244</v>
      </c>
      <c r="F75" s="30" t="s">
        <v>159</v>
      </c>
      <c r="G75" s="6">
        <v>1</v>
      </c>
      <c r="H75" s="6">
        <v>7</v>
      </c>
      <c r="I75" s="172">
        <v>2.15</v>
      </c>
      <c r="J75" s="172">
        <v>0.94</v>
      </c>
      <c r="K75" s="172">
        <v>3.85</v>
      </c>
      <c r="L75" s="172">
        <v>1.1399999999999999</v>
      </c>
    </row>
    <row r="76" spans="1:12" ht="45">
      <c r="A76" s="142" t="s">
        <v>3</v>
      </c>
      <c r="B76" s="167" t="s">
        <v>19</v>
      </c>
      <c r="C76" s="155" t="s">
        <v>37</v>
      </c>
      <c r="D76" s="155" t="s">
        <v>137</v>
      </c>
      <c r="E76" s="156" t="s">
        <v>244</v>
      </c>
      <c r="F76" s="30" t="s">
        <v>159</v>
      </c>
      <c r="G76" s="6">
        <v>2</v>
      </c>
      <c r="H76" s="6">
        <v>1</v>
      </c>
      <c r="I76" s="172">
        <v>2.76</v>
      </c>
      <c r="J76" s="172">
        <v>0.77</v>
      </c>
      <c r="K76" s="172">
        <v>4.5</v>
      </c>
      <c r="L76" s="172">
        <v>1.01</v>
      </c>
    </row>
    <row r="77" spans="1:12">
      <c r="A77" s="142" t="s">
        <v>3</v>
      </c>
      <c r="B77" s="167" t="s">
        <v>19</v>
      </c>
      <c r="C77" s="155" t="s">
        <v>26</v>
      </c>
      <c r="D77" s="155" t="s">
        <v>137</v>
      </c>
      <c r="E77" s="156" t="s">
        <v>249</v>
      </c>
      <c r="F77" s="30" t="s">
        <v>159</v>
      </c>
      <c r="G77" s="49">
        <v>2</v>
      </c>
      <c r="H77" s="6">
        <v>7</v>
      </c>
      <c r="I77" s="172">
        <v>2.13</v>
      </c>
      <c r="J77" s="177">
        <v>0.75</v>
      </c>
      <c r="K77" s="172">
        <v>3.83</v>
      </c>
      <c r="L77" s="172">
        <v>1.37</v>
      </c>
    </row>
    <row r="78" spans="1:12">
      <c r="A78" s="142" t="s">
        <v>3</v>
      </c>
      <c r="B78" s="167" t="s">
        <v>19</v>
      </c>
      <c r="C78" s="155" t="s">
        <v>26</v>
      </c>
      <c r="D78" s="155" t="s">
        <v>137</v>
      </c>
      <c r="E78" s="156" t="s">
        <v>249</v>
      </c>
      <c r="F78" s="30" t="s">
        <v>201</v>
      </c>
      <c r="G78" s="49">
        <v>1</v>
      </c>
      <c r="H78" s="6">
        <v>2</v>
      </c>
      <c r="I78" s="172">
        <v>4.09</v>
      </c>
      <c r="J78" s="177">
        <v>1.19</v>
      </c>
      <c r="K78" s="172">
        <v>5.65</v>
      </c>
      <c r="L78" s="172">
        <v>1.38</v>
      </c>
    </row>
    <row r="79" spans="1:12" ht="45">
      <c r="A79" s="142" t="s">
        <v>3</v>
      </c>
      <c r="B79" s="167" t="s">
        <v>19</v>
      </c>
      <c r="C79" s="158" t="s">
        <v>24</v>
      </c>
      <c r="D79" s="158" t="s">
        <v>137</v>
      </c>
      <c r="E79" s="156" t="s">
        <v>244</v>
      </c>
      <c r="F79" s="30" t="s">
        <v>139</v>
      </c>
      <c r="G79" s="6">
        <v>1</v>
      </c>
      <c r="H79" s="6">
        <v>1</v>
      </c>
      <c r="I79" s="173">
        <v>2.39</v>
      </c>
      <c r="J79" s="174">
        <v>1.29</v>
      </c>
      <c r="K79" s="173">
        <v>5.03</v>
      </c>
      <c r="L79" s="173">
        <v>1</v>
      </c>
    </row>
    <row r="80" spans="1:12" ht="30">
      <c r="A80" s="142" t="s">
        <v>3</v>
      </c>
      <c r="B80" s="167" t="s">
        <v>19</v>
      </c>
      <c r="C80" s="158" t="s">
        <v>21</v>
      </c>
      <c r="D80" s="158" t="s">
        <v>137</v>
      </c>
      <c r="E80" s="156" t="s">
        <v>292</v>
      </c>
      <c r="F80" s="30" t="s">
        <v>139</v>
      </c>
      <c r="G80" s="28">
        <v>1</v>
      </c>
      <c r="H80" s="28">
        <v>8</v>
      </c>
      <c r="I80" s="173">
        <v>2.63</v>
      </c>
      <c r="J80" s="174">
        <v>1.36</v>
      </c>
      <c r="K80" s="173">
        <v>5.17</v>
      </c>
      <c r="L80" s="173">
        <v>1.55</v>
      </c>
    </row>
    <row r="81" spans="1:12">
      <c r="A81" s="142" t="s">
        <v>3</v>
      </c>
      <c r="B81" s="167" t="s">
        <v>19</v>
      </c>
      <c r="C81" s="158" t="s">
        <v>31</v>
      </c>
      <c r="D81" s="158" t="s">
        <v>137</v>
      </c>
      <c r="E81" s="156" t="s">
        <v>249</v>
      </c>
      <c r="G81" s="6">
        <v>1</v>
      </c>
      <c r="H81" s="6">
        <v>7</v>
      </c>
      <c r="I81" s="173" t="s">
        <v>291</v>
      </c>
      <c r="J81" s="174" t="s">
        <v>291</v>
      </c>
      <c r="K81" s="173" t="s">
        <v>291</v>
      </c>
      <c r="L81" s="173">
        <v>1.22</v>
      </c>
    </row>
    <row r="82" spans="1:12" ht="45">
      <c r="A82" s="142" t="s">
        <v>3</v>
      </c>
      <c r="B82" s="167" t="s">
        <v>19</v>
      </c>
      <c r="C82" s="158" t="s">
        <v>20</v>
      </c>
      <c r="D82" s="158" t="s">
        <v>137</v>
      </c>
      <c r="E82" s="156" t="s">
        <v>244</v>
      </c>
      <c r="F82" s="30" t="s">
        <v>139</v>
      </c>
      <c r="G82" s="6">
        <v>1</v>
      </c>
      <c r="H82" s="6">
        <v>6</v>
      </c>
      <c r="I82" s="173">
        <v>2.04</v>
      </c>
      <c r="J82" s="174">
        <v>0.96</v>
      </c>
      <c r="K82" s="173">
        <v>3.22</v>
      </c>
      <c r="L82" s="173">
        <v>1.03</v>
      </c>
    </row>
    <row r="83" spans="1:12" ht="45">
      <c r="A83" s="142" t="s">
        <v>3</v>
      </c>
      <c r="B83" s="167" t="s">
        <v>19</v>
      </c>
      <c r="C83" s="155" t="s">
        <v>22</v>
      </c>
      <c r="D83" s="155" t="s">
        <v>137</v>
      </c>
      <c r="E83" s="156" t="s">
        <v>293</v>
      </c>
      <c r="F83" s="30" t="s">
        <v>201</v>
      </c>
      <c r="G83" s="28">
        <v>2</v>
      </c>
      <c r="H83" s="28">
        <v>7</v>
      </c>
      <c r="I83" s="172">
        <v>3.18</v>
      </c>
      <c r="J83" s="177">
        <v>1.34</v>
      </c>
      <c r="K83" s="172">
        <v>5.63</v>
      </c>
      <c r="L83" s="172">
        <v>1.61</v>
      </c>
    </row>
    <row r="84" spans="1:12" ht="45">
      <c r="A84" s="142" t="s">
        <v>3</v>
      </c>
      <c r="B84" s="167" t="s">
        <v>19</v>
      </c>
      <c r="C84" s="155" t="s">
        <v>22</v>
      </c>
      <c r="D84" s="155" t="s">
        <v>137</v>
      </c>
      <c r="E84" s="156" t="s">
        <v>293</v>
      </c>
      <c r="F84" s="30" t="s">
        <v>139</v>
      </c>
      <c r="G84" s="28">
        <v>1</v>
      </c>
      <c r="H84" s="28">
        <v>6</v>
      </c>
      <c r="I84" s="172">
        <v>4.2300000000000004</v>
      </c>
      <c r="J84" s="177">
        <v>2.2999999999999998</v>
      </c>
      <c r="K84" s="172">
        <v>5.79</v>
      </c>
      <c r="L84" s="172">
        <v>1.31</v>
      </c>
    </row>
    <row r="85" spans="1:12" ht="30">
      <c r="A85" s="142" t="s">
        <v>3</v>
      </c>
      <c r="B85" s="167" t="s">
        <v>19</v>
      </c>
      <c r="C85" s="155" t="s">
        <v>36</v>
      </c>
      <c r="D85" s="155" t="s">
        <v>137</v>
      </c>
      <c r="E85" s="156" t="s">
        <v>292</v>
      </c>
      <c r="F85" s="30" t="s">
        <v>201</v>
      </c>
      <c r="G85" s="28">
        <v>1</v>
      </c>
      <c r="H85" s="28">
        <v>1</v>
      </c>
      <c r="I85" s="172">
        <v>2.72</v>
      </c>
      <c r="J85" s="172">
        <v>1.28</v>
      </c>
      <c r="K85" s="172" t="s">
        <v>291</v>
      </c>
      <c r="L85" s="172">
        <v>1.02</v>
      </c>
    </row>
    <row r="86" spans="1:12" ht="30">
      <c r="A86" s="142" t="s">
        <v>3</v>
      </c>
      <c r="B86" s="167" t="s">
        <v>19</v>
      </c>
      <c r="C86" s="155" t="s">
        <v>36</v>
      </c>
      <c r="D86" s="155" t="s">
        <v>137</v>
      </c>
      <c r="E86" s="156" t="s">
        <v>292</v>
      </c>
      <c r="F86" s="30" t="s">
        <v>139</v>
      </c>
      <c r="G86" s="28">
        <v>2</v>
      </c>
      <c r="H86" s="28">
        <v>2</v>
      </c>
      <c r="I86" s="173" t="s">
        <v>291</v>
      </c>
      <c r="J86" s="173" t="s">
        <v>291</v>
      </c>
      <c r="K86" s="173">
        <v>4.33</v>
      </c>
      <c r="L86" s="173">
        <v>1.05</v>
      </c>
    </row>
    <row r="87" spans="1:12" ht="30">
      <c r="A87" s="142" t="s">
        <v>3</v>
      </c>
      <c r="B87" s="167" t="s">
        <v>19</v>
      </c>
      <c r="C87" s="155" t="s">
        <v>38</v>
      </c>
      <c r="D87" s="155" t="s">
        <v>137</v>
      </c>
      <c r="E87" s="156" t="s">
        <v>292</v>
      </c>
      <c r="F87" s="30" t="s">
        <v>139</v>
      </c>
      <c r="G87" s="6">
        <v>1</v>
      </c>
      <c r="H87" s="6">
        <v>7</v>
      </c>
      <c r="I87" s="172">
        <v>2.06</v>
      </c>
      <c r="J87" s="172">
        <v>1.34</v>
      </c>
      <c r="K87" s="172">
        <v>3.8</v>
      </c>
      <c r="L87" s="172">
        <v>1.0900000000000001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Field Catalogue #'s and letters</vt:lpstr>
      <vt:lpstr>Archaeological Use-Wear data</vt:lpstr>
      <vt:lpstr>Arch damage and polish location</vt:lpstr>
      <vt:lpstr>Arch Graver Metrics</vt:lpstr>
      <vt:lpstr>Arch Spur 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Maika</dc:creator>
  <cp:lastModifiedBy>Monica Maika</cp:lastModifiedBy>
  <dcterms:created xsi:type="dcterms:W3CDTF">2012-07-31T18:55:28Z</dcterms:created>
  <dcterms:modified xsi:type="dcterms:W3CDTF">2012-08-03T04:53:27Z</dcterms:modified>
</cp:coreProperties>
</file>