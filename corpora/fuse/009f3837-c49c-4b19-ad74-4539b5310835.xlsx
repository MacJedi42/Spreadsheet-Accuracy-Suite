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75" yWindow="533" windowWidth="12600" windowHeight="8582"/>
  </bookViews>
  <sheets>
    <sheet name="SPECIAL PLATES 94 - CURRENT" sheetId="1" r:id="rId1"/>
  </sheets>
  <externalReferences>
    <externalReference r:id="rId2"/>
  </externalReferences>
  <definedNames>
    <definedName name="_xlnm.Print_Area" localSheetId="0">'SPECIAL PLATES 94 - CURRENT'!$A$1:$AQ$242</definedName>
    <definedName name="_xlnm.Print_Titles" localSheetId="0">'SPECIAL PLATES 94 - CURRENT'!$3:$7</definedName>
  </definedNames>
  <calcPr calcId="145621" concurrentCalc="0"/>
</workbook>
</file>

<file path=xl/calcChain.xml><?xml version="1.0" encoding="utf-8"?>
<calcChain xmlns="http://schemas.openxmlformats.org/spreadsheetml/2006/main">
  <c r="AF51" i="1" l="1"/>
  <c r="AO51" i="1"/>
  <c r="AP51" i="1"/>
  <c r="R51" i="1"/>
  <c r="AQ189" i="1"/>
  <c r="AO148" i="1"/>
  <c r="AO205" i="1"/>
  <c r="AQ133" i="1"/>
  <c r="AO133" i="1"/>
  <c r="AO135" i="1"/>
  <c r="AQ135" i="1"/>
  <c r="AA138" i="1"/>
  <c r="AO218" i="1"/>
  <c r="AQ218" i="1"/>
  <c r="AP218" i="1"/>
  <c r="AQ226" i="1"/>
  <c r="AO226" i="1"/>
  <c r="AO225" i="1"/>
  <c r="AQ225" i="1"/>
  <c r="AO222" i="1"/>
  <c r="AQ222" i="1"/>
  <c r="AO221" i="1"/>
  <c r="AQ221" i="1"/>
  <c r="AO217" i="1"/>
  <c r="AQ217" i="1"/>
  <c r="AQ216" i="1"/>
  <c r="AO216" i="1"/>
  <c r="AQ215" i="1"/>
  <c r="AO215" i="1"/>
  <c r="AQ212" i="1"/>
  <c r="AO212" i="1"/>
  <c r="AQ211" i="1"/>
  <c r="AO211" i="1"/>
  <c r="AQ210" i="1"/>
  <c r="AO210" i="1"/>
  <c r="AO209" i="1"/>
  <c r="AQ209" i="1"/>
  <c r="AQ208" i="1"/>
  <c r="AO208" i="1"/>
  <c r="AQ207" i="1"/>
  <c r="AO207" i="1"/>
  <c r="AQ206" i="1"/>
  <c r="AO206" i="1"/>
  <c r="AQ200" i="1"/>
  <c r="AO200" i="1"/>
  <c r="AO199" i="1"/>
  <c r="AQ199" i="1"/>
  <c r="AO198" i="1"/>
  <c r="AQ198" i="1"/>
  <c r="AO125" i="1"/>
  <c r="AQ125" i="1"/>
  <c r="AQ81" i="1"/>
  <c r="AO81" i="1"/>
  <c r="AQ50" i="1"/>
  <c r="AO50" i="1"/>
  <c r="AQ197" i="1"/>
  <c r="AO197" i="1"/>
  <c r="AO196" i="1"/>
  <c r="AQ196" i="1"/>
  <c r="AO195" i="1"/>
  <c r="AQ195" i="1"/>
  <c r="AQ194" i="1"/>
  <c r="AO194" i="1"/>
  <c r="AQ193" i="1"/>
  <c r="AO193" i="1"/>
  <c r="AQ191" i="1"/>
  <c r="AO191" i="1"/>
  <c r="AO190" i="1"/>
  <c r="AQ190" i="1"/>
  <c r="AO189" i="1"/>
  <c r="AO188" i="1"/>
  <c r="AQ188" i="1"/>
  <c r="AQ187" i="1"/>
  <c r="AO187" i="1"/>
  <c r="AO185" i="1"/>
  <c r="AQ185" i="1"/>
  <c r="AQ180" i="1"/>
  <c r="AO180" i="1"/>
  <c r="AQ179" i="1"/>
  <c r="AO179" i="1"/>
  <c r="AQ178" i="1"/>
  <c r="AO178" i="1"/>
  <c r="AO177" i="1"/>
  <c r="AQ177" i="1"/>
  <c r="AO176" i="1"/>
  <c r="AQ176" i="1"/>
  <c r="AO174" i="1"/>
  <c r="AQ174" i="1"/>
  <c r="AO173" i="1"/>
  <c r="AQ173" i="1"/>
  <c r="AQ171" i="1"/>
  <c r="AO171" i="1"/>
  <c r="AO169" i="1"/>
  <c r="AQ168" i="1"/>
  <c r="AO168" i="1"/>
  <c r="AO167" i="1"/>
  <c r="AQ167" i="1"/>
  <c r="AQ166" i="1"/>
  <c r="AO166" i="1"/>
  <c r="AQ165" i="1"/>
  <c r="AP165" i="1"/>
  <c r="AO165" i="1"/>
  <c r="AO163" i="1"/>
  <c r="AQ163" i="1"/>
  <c r="AO162" i="1"/>
  <c r="AQ162" i="1"/>
  <c r="AQ161" i="1"/>
  <c r="AO161" i="1"/>
  <c r="AO159" i="1"/>
  <c r="AQ159" i="1"/>
  <c r="AO158" i="1"/>
  <c r="AQ158" i="1"/>
  <c r="AO157" i="1"/>
  <c r="AQ157" i="1"/>
  <c r="AQ156" i="1"/>
  <c r="AO156" i="1"/>
  <c r="AQ154" i="1"/>
  <c r="AO154" i="1"/>
  <c r="AQ153" i="1"/>
  <c r="AO153" i="1"/>
  <c r="AO152" i="1"/>
  <c r="AQ152" i="1"/>
  <c r="AQ150" i="1"/>
  <c r="AO150" i="1"/>
  <c r="AQ183" i="1"/>
  <c r="AO183" i="1"/>
  <c r="AP148" i="1"/>
  <c r="AQ142" i="1"/>
  <c r="AO142" i="1"/>
  <c r="AQ140" i="1"/>
  <c r="AO140" i="1"/>
  <c r="AQ137" i="1"/>
  <c r="AO137" i="1"/>
  <c r="AQ128" i="1"/>
  <c r="AO128" i="1"/>
  <c r="AQ132" i="1"/>
  <c r="AO132" i="1"/>
  <c r="AQ131" i="1"/>
  <c r="AO131" i="1"/>
  <c r="AQ129" i="1"/>
  <c r="AO129" i="1"/>
  <c r="AQ127" i="1"/>
  <c r="AO127" i="1"/>
  <c r="AQ121" i="1"/>
  <c r="AO121" i="1"/>
  <c r="AO118" i="1"/>
  <c r="AQ118" i="1"/>
  <c r="AQ116" i="1"/>
  <c r="AO116" i="1"/>
  <c r="AO113" i="1"/>
  <c r="AQ113" i="1"/>
  <c r="AQ112" i="1"/>
  <c r="AO112" i="1"/>
  <c r="AO111" i="1"/>
  <c r="AQ111" i="1"/>
  <c r="AO110" i="1"/>
  <c r="AQ110" i="1"/>
  <c r="AO108" i="1"/>
  <c r="AQ108" i="1"/>
  <c r="AO107" i="1"/>
  <c r="AQ107" i="1"/>
  <c r="AO96" i="1"/>
  <c r="AQ96" i="1"/>
  <c r="AQ95" i="1"/>
  <c r="AO95" i="1"/>
  <c r="AQ94" i="1"/>
  <c r="AO94" i="1"/>
  <c r="AO93" i="1"/>
  <c r="AQ93" i="1"/>
  <c r="AO92" i="1"/>
  <c r="AQ92" i="1"/>
  <c r="AQ91" i="1"/>
  <c r="AO91" i="1"/>
  <c r="AB98" i="1"/>
  <c r="AO98" i="1"/>
  <c r="AQ79" i="1"/>
  <c r="AO79" i="1"/>
  <c r="AQ49" i="1"/>
  <c r="AO49" i="1"/>
  <c r="AO48" i="1"/>
  <c r="AQ48" i="1"/>
  <c r="AQ47" i="1"/>
  <c r="AO47" i="1"/>
  <c r="AQ43" i="1"/>
  <c r="AO43" i="1"/>
  <c r="AO18" i="1"/>
  <c r="AO41" i="1"/>
  <c r="AQ41" i="1"/>
  <c r="AO39" i="1"/>
  <c r="AO37" i="1"/>
  <c r="AQ37" i="1"/>
  <c r="AQ31" i="1"/>
  <c r="AO31" i="1"/>
  <c r="AO30" i="1"/>
  <c r="AQ30" i="1"/>
  <c r="AQ29" i="1"/>
  <c r="AO29" i="1"/>
  <c r="AL63" i="1"/>
  <c r="AB63" i="1"/>
  <c r="AL62" i="1"/>
  <c r="AB62" i="1"/>
  <c r="AL61" i="1"/>
  <c r="AB61" i="1"/>
  <c r="AL60" i="1"/>
  <c r="AB60" i="1"/>
  <c r="AL59" i="1"/>
  <c r="AB59" i="1"/>
  <c r="AL58" i="1"/>
  <c r="AB58" i="1"/>
  <c r="AL57" i="1"/>
  <c r="AB57" i="1"/>
  <c r="AL56" i="1"/>
  <c r="AB56" i="1"/>
  <c r="AL55" i="1"/>
  <c r="AB55" i="1"/>
  <c r="AB77" i="1"/>
  <c r="AC77" i="1"/>
  <c r="AB76" i="1"/>
  <c r="AC76" i="1"/>
  <c r="AB75" i="1"/>
  <c r="AC75" i="1"/>
  <c r="AB74" i="1"/>
  <c r="AC74" i="1"/>
  <c r="AB70" i="1"/>
  <c r="AC70" i="1"/>
  <c r="AB69" i="1"/>
  <c r="AC69" i="1"/>
  <c r="AB68" i="1"/>
  <c r="AC68" i="1"/>
  <c r="AB67" i="1"/>
  <c r="AC67" i="1"/>
  <c r="AB66" i="1"/>
  <c r="AC66" i="1"/>
  <c r="AB65" i="1"/>
  <c r="AC65" i="1"/>
  <c r="AB64" i="1"/>
  <c r="AC64" i="1"/>
  <c r="AO14" i="1"/>
  <c r="AO19" i="1"/>
  <c r="AO20" i="1"/>
  <c r="AO22" i="1"/>
  <c r="AO26" i="1"/>
  <c r="AO27" i="1"/>
  <c r="AO34" i="1"/>
  <c r="AO38" i="1"/>
  <c r="AO40" i="1"/>
  <c r="AO44" i="1"/>
  <c r="AO45" i="1"/>
  <c r="AO52" i="1"/>
  <c r="AO71" i="1"/>
  <c r="AO73" i="1"/>
  <c r="AO78" i="1"/>
  <c r="AO80" i="1"/>
  <c r="AO83" i="1"/>
  <c r="AO84" i="1"/>
  <c r="AO88" i="1"/>
  <c r="AO90" i="1"/>
  <c r="AO109" i="1"/>
  <c r="AO114" i="1"/>
  <c r="AO115" i="1"/>
  <c r="AO120" i="1"/>
  <c r="AO122" i="1"/>
  <c r="AO123" i="1"/>
  <c r="AO130" i="1"/>
  <c r="AO136" i="1"/>
  <c r="AO139" i="1"/>
  <c r="AO141" i="1"/>
  <c r="AO145" i="1"/>
  <c r="AO155" i="1"/>
  <c r="AO170" i="1"/>
  <c r="AO172" i="1"/>
  <c r="AO181" i="1"/>
  <c r="AO182" i="1"/>
  <c r="AO184" i="1"/>
  <c r="AO186" i="1"/>
  <c r="AO201" i="1"/>
  <c r="AO202" i="1"/>
  <c r="AO203" i="1"/>
  <c r="AO204" i="1"/>
  <c r="AO213" i="1"/>
  <c r="AO214" i="1"/>
  <c r="AB124" i="1"/>
  <c r="AO124" i="1"/>
  <c r="AB134" i="1"/>
  <c r="AO134" i="1"/>
  <c r="AQ13" i="1"/>
  <c r="AQ14" i="1"/>
  <c r="AQ18" i="1"/>
  <c r="AQ19" i="1"/>
  <c r="AQ20" i="1"/>
  <c r="AQ22" i="1"/>
  <c r="AQ26" i="1"/>
  <c r="AQ27" i="1"/>
  <c r="AQ34" i="1"/>
  <c r="AQ38" i="1"/>
  <c r="AQ39" i="1"/>
  <c r="AQ44" i="1"/>
  <c r="AQ45" i="1"/>
  <c r="AQ51" i="1"/>
  <c r="AQ52" i="1"/>
  <c r="AQ53" i="1"/>
  <c r="AQ71" i="1"/>
  <c r="AQ72" i="1"/>
  <c r="AQ73" i="1"/>
  <c r="AQ78" i="1"/>
  <c r="AQ80" i="1"/>
  <c r="AQ82" i="1"/>
  <c r="AQ83" i="1"/>
  <c r="AQ84" i="1"/>
  <c r="AQ85" i="1"/>
  <c r="AQ86" i="1"/>
  <c r="AQ87" i="1"/>
  <c r="AQ88" i="1"/>
  <c r="AQ89" i="1"/>
  <c r="AQ90" i="1"/>
  <c r="AQ97" i="1"/>
  <c r="AQ99" i="1"/>
  <c r="AQ100" i="1"/>
  <c r="AQ106" i="1"/>
  <c r="AQ109" i="1"/>
  <c r="AQ114" i="1"/>
  <c r="AQ115" i="1"/>
  <c r="AQ119" i="1"/>
  <c r="AQ120" i="1"/>
  <c r="AQ122" i="1"/>
  <c r="AQ123" i="1"/>
  <c r="AQ124" i="1"/>
  <c r="AQ126" i="1"/>
  <c r="AQ130" i="1"/>
  <c r="AQ134" i="1"/>
  <c r="AQ136" i="1"/>
  <c r="AQ138" i="1"/>
  <c r="AQ139" i="1"/>
  <c r="AQ141" i="1"/>
  <c r="AQ143" i="1"/>
  <c r="AQ144" i="1"/>
  <c r="AQ145" i="1"/>
  <c r="AQ146" i="1"/>
  <c r="AQ147" i="1"/>
  <c r="AQ148" i="1"/>
  <c r="AQ149" i="1"/>
  <c r="AQ151" i="1"/>
  <c r="AQ155" i="1"/>
  <c r="AQ160" i="1"/>
  <c r="AQ170" i="1"/>
  <c r="AQ172" i="1"/>
  <c r="AQ181" i="1"/>
  <c r="AQ182" i="1"/>
  <c r="AQ184" i="1"/>
  <c r="AQ186" i="1"/>
  <c r="AQ192" i="1"/>
  <c r="AQ201" i="1"/>
  <c r="AQ202" i="1"/>
  <c r="AQ203" i="1"/>
  <c r="AQ204" i="1"/>
  <c r="AQ213" i="1"/>
  <c r="AQ214" i="1"/>
  <c r="AQ219" i="1"/>
  <c r="AQ220" i="1"/>
  <c r="AQ224" i="1"/>
  <c r="AQ28" i="1"/>
  <c r="AO28" i="1"/>
  <c r="AQ25" i="1"/>
  <c r="AO25" i="1"/>
  <c r="AQ24" i="1"/>
  <c r="AO24" i="1"/>
  <c r="AQ23" i="1"/>
  <c r="AO23" i="1"/>
  <c r="AQ21" i="1"/>
  <c r="AO21" i="1"/>
  <c r="AQ17" i="1"/>
  <c r="AO17" i="1"/>
  <c r="AQ16" i="1"/>
  <c r="AO16" i="1"/>
  <c r="AQ15" i="1"/>
  <c r="AO15" i="1"/>
  <c r="AQ12" i="1"/>
  <c r="AO12" i="1"/>
  <c r="AQ11" i="1"/>
  <c r="AO11" i="1"/>
  <c r="AQ10" i="1"/>
  <c r="AO10" i="1"/>
  <c r="AQ9" i="1"/>
  <c r="AO9" i="1"/>
  <c r="AQ8" i="1"/>
  <c r="AO8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8" i="1"/>
  <c r="AL17" i="1"/>
  <c r="AL16" i="1"/>
  <c r="AL15" i="1"/>
  <c r="AL14" i="1"/>
  <c r="AL13" i="1"/>
  <c r="AL12" i="1"/>
  <c r="AL11" i="1"/>
  <c r="AL10" i="1"/>
  <c r="AL9" i="1"/>
  <c r="AL8" i="1"/>
  <c r="AB213" i="1"/>
  <c r="AB202" i="1"/>
  <c r="AB184" i="1"/>
  <c r="AB182" i="1"/>
  <c r="AB181" i="1"/>
  <c r="AB155" i="1"/>
  <c r="AB145" i="1"/>
  <c r="AB141" i="1"/>
  <c r="AB135" i="1"/>
  <c r="AB114" i="1"/>
  <c r="AB90" i="1"/>
  <c r="AB89" i="1"/>
  <c r="AB88" i="1"/>
  <c r="AB80" i="1"/>
  <c r="AB78" i="1"/>
  <c r="AB72" i="1"/>
  <c r="AB71" i="1"/>
  <c r="AB44" i="1"/>
  <c r="AB34" i="1"/>
  <c r="AB27" i="1"/>
  <c r="AB26" i="1"/>
  <c r="AB22" i="1"/>
  <c r="AB225" i="1"/>
  <c r="AB224" i="1"/>
  <c r="AB223" i="1"/>
  <c r="AB219" i="1"/>
  <c r="AO219" i="1"/>
  <c r="AB218" i="1"/>
  <c r="AB217" i="1"/>
  <c r="AB216" i="1"/>
  <c r="AB215" i="1"/>
  <c r="AB214" i="1"/>
  <c r="AB212" i="1"/>
  <c r="AB211" i="1"/>
  <c r="AB210" i="1"/>
  <c r="AB209" i="1"/>
  <c r="AB208" i="1"/>
  <c r="AB207" i="1"/>
  <c r="AB205" i="1"/>
  <c r="AB204" i="1"/>
  <c r="AB203" i="1"/>
  <c r="AB201" i="1"/>
  <c r="AB200" i="1"/>
  <c r="AB199" i="1"/>
  <c r="AB197" i="1"/>
  <c r="AB196" i="1"/>
  <c r="AB195" i="1"/>
  <c r="AB192" i="1"/>
  <c r="AB190" i="1"/>
  <c r="AB189" i="1"/>
  <c r="AB186" i="1"/>
  <c r="AB183" i="1"/>
  <c r="AB180" i="1"/>
  <c r="AB178" i="1"/>
  <c r="AB177" i="1"/>
  <c r="AB175" i="1"/>
  <c r="AB173" i="1"/>
  <c r="AB172" i="1"/>
  <c r="AB170" i="1"/>
  <c r="AB168" i="1"/>
  <c r="AB167" i="1"/>
  <c r="AB166" i="1"/>
  <c r="AB165" i="1"/>
  <c r="AB164" i="1"/>
  <c r="AB163" i="1"/>
  <c r="AB161" i="1"/>
  <c r="AB160" i="1"/>
  <c r="AB158" i="1"/>
  <c r="AB157" i="1"/>
  <c r="AB156" i="1"/>
  <c r="AB151" i="1"/>
  <c r="AB150" i="1"/>
  <c r="AB149" i="1"/>
  <c r="AB148" i="1"/>
  <c r="AB147" i="1"/>
  <c r="AB146" i="1"/>
  <c r="AB144" i="1"/>
  <c r="AB143" i="1"/>
  <c r="AB142" i="1"/>
  <c r="AB140" i="1"/>
  <c r="AB139" i="1"/>
  <c r="AB138" i="1"/>
  <c r="AO138" i="1"/>
  <c r="AB137" i="1"/>
  <c r="AB136" i="1"/>
  <c r="AB133" i="1"/>
  <c r="AB132" i="1"/>
  <c r="AB131" i="1"/>
  <c r="AB130" i="1"/>
  <c r="AB129" i="1"/>
  <c r="AB128" i="1"/>
  <c r="AB127" i="1"/>
  <c r="AB125" i="1"/>
  <c r="AB123" i="1"/>
  <c r="AB122" i="1"/>
  <c r="AB120" i="1"/>
  <c r="AB119" i="1"/>
  <c r="AB117" i="1"/>
  <c r="AB116" i="1"/>
  <c r="AB115" i="1"/>
  <c r="AB113" i="1"/>
  <c r="AB111" i="1"/>
  <c r="AB110" i="1"/>
  <c r="AB109" i="1"/>
  <c r="AB108" i="1"/>
  <c r="AB106" i="1"/>
  <c r="AB105" i="1"/>
  <c r="AB104" i="1"/>
  <c r="AB103" i="1"/>
  <c r="AB102" i="1"/>
  <c r="AB101" i="1"/>
  <c r="AB100" i="1"/>
  <c r="AB99" i="1"/>
  <c r="AB94" i="1"/>
  <c r="AB92" i="1"/>
  <c r="AB87" i="1"/>
  <c r="AB86" i="1"/>
  <c r="AB84" i="1"/>
  <c r="AB83" i="1"/>
  <c r="AB79" i="1"/>
  <c r="AB73" i="1"/>
  <c r="AB54" i="1"/>
  <c r="AB53" i="1"/>
  <c r="AB52" i="1"/>
  <c r="AB51" i="1"/>
  <c r="AB50" i="1"/>
  <c r="AB49" i="1"/>
  <c r="AB46" i="1"/>
  <c r="AB45" i="1"/>
  <c r="AB42" i="1"/>
  <c r="AB41" i="1"/>
  <c r="AB40" i="1"/>
  <c r="AB39" i="1"/>
  <c r="AB38" i="1"/>
  <c r="AB37" i="1"/>
  <c r="AB36" i="1"/>
  <c r="AB35" i="1"/>
  <c r="AB29" i="1"/>
  <c r="AB28" i="1"/>
  <c r="AB25" i="1"/>
  <c r="AB24" i="1"/>
  <c r="AB23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A227" i="1"/>
  <c r="AB8" i="1"/>
  <c r="Z227" i="1"/>
  <c r="AJ147" i="1"/>
  <c r="AJ123" i="1"/>
  <c r="AL123" i="1"/>
  <c r="AO224" i="1"/>
  <c r="AO160" i="1"/>
  <c r="AO147" i="1"/>
  <c r="AO146" i="1"/>
  <c r="AO144" i="1"/>
  <c r="AO143" i="1"/>
  <c r="AO119" i="1"/>
  <c r="AO106" i="1"/>
  <c r="AO89" i="1"/>
  <c r="Y227" i="1"/>
  <c r="W227" i="1"/>
  <c r="V227" i="1"/>
  <c r="U227" i="1"/>
  <c r="T227" i="1"/>
  <c r="S227" i="1"/>
  <c r="Q227" i="1"/>
  <c r="P227" i="1"/>
  <c r="O227" i="1"/>
  <c r="N227" i="1"/>
  <c r="M227" i="1"/>
  <c r="L227" i="1"/>
  <c r="K227" i="1"/>
  <c r="J227" i="1"/>
  <c r="I227" i="1"/>
  <c r="H227" i="1"/>
  <c r="R9" i="1"/>
  <c r="AB9" i="1"/>
  <c r="X30" i="1"/>
  <c r="X31" i="1"/>
  <c r="AB31" i="1"/>
  <c r="X43" i="1"/>
  <c r="AB43" i="1"/>
  <c r="X47" i="1"/>
  <c r="AB47" i="1"/>
  <c r="X48" i="1"/>
  <c r="AB48" i="1"/>
  <c r="X81" i="1"/>
  <c r="AB81" i="1"/>
  <c r="X82" i="1"/>
  <c r="AB82" i="1"/>
  <c r="X85" i="1"/>
  <c r="AB85" i="1"/>
  <c r="X91" i="1"/>
  <c r="AB91" i="1"/>
  <c r="X93" i="1"/>
  <c r="AB93" i="1"/>
  <c r="X95" i="1"/>
  <c r="AB95" i="1"/>
  <c r="X96" i="1"/>
  <c r="AB96" i="1"/>
  <c r="X97" i="1"/>
  <c r="X107" i="1"/>
  <c r="AB107" i="1"/>
  <c r="X112" i="1"/>
  <c r="AB112" i="1"/>
  <c r="X118" i="1"/>
  <c r="AB118" i="1"/>
  <c r="X121" i="1"/>
  <c r="AB121" i="1"/>
  <c r="X126" i="1"/>
  <c r="AB126" i="1"/>
  <c r="X152" i="1"/>
  <c r="AB152" i="1"/>
  <c r="X153" i="1"/>
  <c r="AB153" i="1"/>
  <c r="X154" i="1"/>
  <c r="AB154" i="1"/>
  <c r="X159" i="1"/>
  <c r="AB159" i="1"/>
  <c r="X162" i="1"/>
  <c r="AB162" i="1"/>
  <c r="X169" i="1"/>
  <c r="AB169" i="1"/>
  <c r="X171" i="1"/>
  <c r="AB171" i="1"/>
  <c r="X174" i="1"/>
  <c r="AB174" i="1"/>
  <c r="X176" i="1"/>
  <c r="AB176" i="1"/>
  <c r="X179" i="1"/>
  <c r="AB179" i="1"/>
  <c r="X185" i="1"/>
  <c r="AB185" i="1"/>
  <c r="X187" i="1"/>
  <c r="AB187" i="1"/>
  <c r="X188" i="1"/>
  <c r="AB188" i="1"/>
  <c r="X191" i="1"/>
  <c r="AB191" i="1"/>
  <c r="X193" i="1"/>
  <c r="AB193" i="1"/>
  <c r="X194" i="1"/>
  <c r="AB194" i="1"/>
  <c r="X198" i="1"/>
  <c r="AB198" i="1"/>
  <c r="X206" i="1"/>
  <c r="AB206" i="1"/>
  <c r="X220" i="1"/>
  <c r="AB220" i="1"/>
  <c r="X221" i="1"/>
  <c r="AB221" i="1"/>
  <c r="X222" i="1"/>
  <c r="AB222" i="1"/>
  <c r="X226" i="1"/>
  <c r="AB226" i="1"/>
  <c r="AI19" i="1"/>
  <c r="AH147" i="1"/>
  <c r="AL147" i="1"/>
  <c r="AH148" i="1"/>
  <c r="AL148" i="1"/>
  <c r="R227" i="1"/>
  <c r="AB97" i="1"/>
  <c r="AC227" i="1"/>
  <c r="V228" i="1"/>
  <c r="S228" i="1"/>
  <c r="T228" i="1"/>
  <c r="M228" i="1"/>
  <c r="J228" i="1"/>
  <c r="N228" i="1"/>
  <c r="I228" i="1"/>
  <c r="W228" i="1"/>
  <c r="U228" i="1"/>
  <c r="Q228" i="1"/>
  <c r="AO192" i="1"/>
  <c r="AO126" i="1"/>
  <c r="AO97" i="1"/>
  <c r="AO85" i="1"/>
  <c r="AO87" i="1"/>
  <c r="AO100" i="1"/>
  <c r="AO117" i="1"/>
  <c r="AO149" i="1"/>
  <c r="AO151" i="1"/>
  <c r="AO72" i="1"/>
  <c r="AO99" i="1"/>
  <c r="AO86" i="1"/>
  <c r="AO220" i="1"/>
  <c r="AA228" i="1"/>
  <c r="AB30" i="1"/>
  <c r="X227" i="1"/>
  <c r="K228" i="1"/>
  <c r="L228" i="1"/>
  <c r="O228" i="1"/>
  <c r="P228" i="1"/>
  <c r="Z228" i="1"/>
  <c r="AL19" i="1"/>
  <c r="AB227" i="1"/>
  <c r="X228" i="1"/>
  <c r="Y228" i="1"/>
  <c r="AF227" i="1"/>
  <c r="AG227" i="1"/>
  <c r="AH227" i="1"/>
  <c r="AH228" i="1"/>
  <c r="AI227" i="1"/>
  <c r="AI228" i="1"/>
  <c r="AJ227" i="1"/>
  <c r="AJ228" i="1"/>
  <c r="AK227" i="1"/>
  <c r="AK228" i="1"/>
  <c r="AL64" i="1"/>
  <c r="AL227" i="1"/>
  <c r="AO227" i="1"/>
  <c r="AP227" i="1"/>
  <c r="AQ227" i="1"/>
</calcChain>
</file>

<file path=xl/sharedStrings.xml><?xml version="1.0" encoding="utf-8"?>
<sst xmlns="http://schemas.openxmlformats.org/spreadsheetml/2006/main" count="1536" uniqueCount="530">
  <si>
    <t>CODE</t>
  </si>
  <si>
    <t>DESCRIPTION</t>
  </si>
  <si>
    <t>PLATE</t>
  </si>
  <si>
    <t>AVAILABLE</t>
  </si>
  <si>
    <t>FEE</t>
  </si>
  <si>
    <t>Animal Friendly</t>
  </si>
  <si>
    <t>Houston Livestock Show &amp; Rodeo</t>
  </si>
  <si>
    <t>Keep Texas Beautiful</t>
  </si>
  <si>
    <t>State Capitol Plate</t>
  </si>
  <si>
    <t>FY 2000</t>
  </si>
  <si>
    <t>FY 2001</t>
  </si>
  <si>
    <t>FY 1998</t>
  </si>
  <si>
    <t xml:space="preserve"> FY 1999 </t>
  </si>
  <si>
    <t>TOTAL</t>
  </si>
  <si>
    <t>Abilene Christian University</t>
  </si>
  <si>
    <t>Armed Forces Reserve</t>
  </si>
  <si>
    <t>Austin College</t>
  </si>
  <si>
    <t>Austin High Football</t>
  </si>
  <si>
    <t>Baylor University</t>
  </si>
  <si>
    <t>Brookhaven College</t>
  </si>
  <si>
    <t>Cotton Vehicle</t>
  </si>
  <si>
    <t>Desert Storm</t>
  </si>
  <si>
    <t>Disabled Veteran</t>
  </si>
  <si>
    <t>Forestry Plates</t>
  </si>
  <si>
    <t>Girl Scouts</t>
  </si>
  <si>
    <t>Gold Star Mothers</t>
  </si>
  <si>
    <t>Houston Baptist University</t>
  </si>
  <si>
    <t>Howard Payne University</t>
  </si>
  <si>
    <t>Incarnate Word College</t>
  </si>
  <si>
    <t>Korea Veteran</t>
  </si>
  <si>
    <t>Log Loader</t>
  </si>
  <si>
    <t>Merchant Marine</t>
  </si>
  <si>
    <t>Miscellaneous College Plates</t>
  </si>
  <si>
    <t>Parker College of Chiropractic</t>
  </si>
  <si>
    <t>Pearl Harbor Survivor</t>
  </si>
  <si>
    <t>Prisoner of War</t>
  </si>
  <si>
    <t>Rice University</t>
  </si>
  <si>
    <t>Richland College</t>
  </si>
  <si>
    <t>Sam Houston State University</t>
  </si>
  <si>
    <t>Southern Methodist University</t>
  </si>
  <si>
    <t>Southwestern University</t>
  </si>
  <si>
    <t>St. Mary's University</t>
  </si>
  <si>
    <t>State Judge</t>
  </si>
  <si>
    <t>State Official</t>
  </si>
  <si>
    <t>Tarleton State University</t>
  </si>
  <si>
    <t>Texas A&amp;M University</t>
  </si>
  <si>
    <t>University of Houston</t>
  </si>
  <si>
    <t>University of Mary Hardin-Baylor</t>
  </si>
  <si>
    <t>University of North Texas</t>
  </si>
  <si>
    <t>U. S. Congress</t>
  </si>
  <si>
    <t>UT at Arlington</t>
  </si>
  <si>
    <t>UT at Austin</t>
  </si>
  <si>
    <t>UT at Brownsville</t>
  </si>
  <si>
    <t>UT at El Paso</t>
  </si>
  <si>
    <t>UT at San Antonio</t>
  </si>
  <si>
    <t>Vietnam Veteran</t>
  </si>
  <si>
    <t>FY 2002</t>
  </si>
  <si>
    <t>Marine Corps League</t>
  </si>
  <si>
    <t>Coast Guard Auxiliary</t>
  </si>
  <si>
    <t>County Judge</t>
  </si>
  <si>
    <t>Purple Heart Recipient</t>
  </si>
  <si>
    <t xml:space="preserve">Big Bend National Park </t>
  </si>
  <si>
    <t>Foreign Organization</t>
  </si>
  <si>
    <t>Former Military Vehicle</t>
  </si>
  <si>
    <t>Texas Chiropractic College</t>
  </si>
  <si>
    <t>Texas Christian University</t>
  </si>
  <si>
    <t>Texas Southern University</t>
  </si>
  <si>
    <t>Texas Tech University</t>
  </si>
  <si>
    <t>Texas Woman's University</t>
  </si>
  <si>
    <t xml:space="preserve">Aerospace Commission </t>
  </si>
  <si>
    <t>Big Bend National Park Renewal</t>
  </si>
  <si>
    <t>Big Bend National Park Replacement</t>
  </si>
  <si>
    <t>East Texas Baptist University</t>
  </si>
  <si>
    <t>Lamar University (Beaumont)</t>
  </si>
  <si>
    <t>$0-3</t>
  </si>
  <si>
    <t>$30/20</t>
  </si>
  <si>
    <t>**</t>
  </si>
  <si>
    <t>UT at Dallas</t>
  </si>
  <si>
    <t>N/A</t>
  </si>
  <si>
    <t>Read To Succeed</t>
  </si>
  <si>
    <t>502.295/.2732</t>
  </si>
  <si>
    <t>Amateur Radio Operator</t>
  </si>
  <si>
    <t>Disaster Relief</t>
  </si>
  <si>
    <t>1995</t>
  </si>
  <si>
    <t>1991</t>
  </si>
  <si>
    <t>1998</t>
  </si>
  <si>
    <t>1992</t>
  </si>
  <si>
    <t>1996</t>
  </si>
  <si>
    <t>2000</t>
  </si>
  <si>
    <t>$40/$50</t>
  </si>
  <si>
    <t>All</t>
  </si>
  <si>
    <t>Lone Star Proud for Kids (TX CASA) (Formerly Childrens/Volunteer Advocate)</t>
  </si>
  <si>
    <t>Boy Scouts (TX Commission On Alcohol &amp; Drug Abuse)</t>
  </si>
  <si>
    <t>Civil Air Patrol (TX Wing Civil Air Patrol)</t>
  </si>
  <si>
    <t>Dealer PLPs</t>
  </si>
  <si>
    <t>Go Texan II / Agriculture (Commercial Vehicles)</t>
  </si>
  <si>
    <t>Deaf &amp; Hard of Hearing (I Love TX - TX Commission)</t>
  </si>
  <si>
    <t xml:space="preserve">Special Olympics </t>
  </si>
  <si>
    <t>Ducks Unlimited* (Waterfowl/ Wetland Conservation)</t>
  </si>
  <si>
    <t>WW (World War) II Veterans</t>
  </si>
  <si>
    <t>Houston Texans (Professional Sports Team)</t>
  </si>
  <si>
    <t>State of the Arts (TX Commission on the Arts)</t>
  </si>
  <si>
    <t>Peace Officer (To Protect and Serve)</t>
  </si>
  <si>
    <t>Horned Lizard* (Conservation Plate - TX Parks &amp; Wildlife) (Keep TX Wild)</t>
  </si>
  <si>
    <t>McMurry University</t>
  </si>
  <si>
    <t>Midwestern State University</t>
  </si>
  <si>
    <t>Stephen F. Austin State University</t>
  </si>
  <si>
    <t>Sul Ross State University</t>
  </si>
  <si>
    <t>Texas Lutheran University</t>
  </si>
  <si>
    <t>West Texas A&amp;M University</t>
  </si>
  <si>
    <t>Huston Tillotson College</t>
  </si>
  <si>
    <t>U. S. Judge (Federal Judge)</t>
  </si>
  <si>
    <t>North Central Texas College</t>
  </si>
  <si>
    <t>Texas Wesleyan University</t>
  </si>
  <si>
    <t>Texas A&amp;M University - Kingsville</t>
  </si>
  <si>
    <t>Texas A&amp;M University - Commerce</t>
  </si>
  <si>
    <t>Texas A&amp;M University - Corpus Christi</t>
  </si>
  <si>
    <t>Lubbock Christian University</t>
  </si>
  <si>
    <t>Honorary Consuls</t>
  </si>
  <si>
    <t>Texas A&amp;M University - Prairie View</t>
  </si>
  <si>
    <t>Ducks Unlimited RENEWAL (Waterfowl/ Wetland Conservation)</t>
  </si>
  <si>
    <t>Citrus Industry (Grapefruit)</t>
  </si>
  <si>
    <t>Go Texan I / Agriculture (Passenger Vehicles)</t>
  </si>
  <si>
    <t>Texans Conquer Cancer</t>
  </si>
  <si>
    <t>Texas It's Like a Whole Other Country</t>
  </si>
  <si>
    <t>Dallas Cowboys (Professional Sports Team)</t>
  </si>
  <si>
    <t>Large Mouth Bass (Fish Texas) (Conservation Plate  - TX Parks &amp; Wildlife)</t>
  </si>
  <si>
    <t>White-tailed Deer (Hunt Texas) (Conservation Plate)</t>
  </si>
  <si>
    <t xml:space="preserve">Young Lawyers (And Justice for All) </t>
  </si>
  <si>
    <t>Texas National Guard</t>
  </si>
  <si>
    <t>UT M.D.  Anderson Cancer Center</t>
  </si>
  <si>
    <t>FY 1994</t>
  </si>
  <si>
    <t>FY 1995</t>
  </si>
  <si>
    <t>FY 1996</t>
  </si>
  <si>
    <t>Revenue Collected and Estimated Number of Special Plates Issued and/or Renewed Since FY 1994</t>
  </si>
  <si>
    <t>FY 1997***</t>
  </si>
  <si>
    <t>Dallas Stars (Professional Sports Team)</t>
  </si>
  <si>
    <t>Space Shuttle Columbia</t>
  </si>
  <si>
    <t>Master Gardener</t>
  </si>
  <si>
    <t>Marine Mammal Recovery</t>
  </si>
  <si>
    <t>Cotton Boll</t>
  </si>
  <si>
    <t>Native Texan (Daughters of Republic of TX)</t>
  </si>
  <si>
    <t>502.2585/504.306</t>
  </si>
  <si>
    <t>FY 2003</t>
  </si>
  <si>
    <t>God Bless America</t>
  </si>
  <si>
    <t>God Bless Texas</t>
  </si>
  <si>
    <t>Fight Terrorism</t>
  </si>
  <si>
    <t>Be A Blood Donor</t>
  </si>
  <si>
    <t>Knights of Columbus</t>
  </si>
  <si>
    <t>Four (4) H</t>
  </si>
  <si>
    <t>March of Dimes</t>
  </si>
  <si>
    <t>Airborne Parachutists</t>
  </si>
  <si>
    <t>Texas Lions Camp</t>
  </si>
  <si>
    <t>Texas Constables</t>
  </si>
  <si>
    <t>Federal Administrative Law Judge</t>
  </si>
  <si>
    <t>502.257/504.315</t>
  </si>
  <si>
    <t>502.260/504.315</t>
  </si>
  <si>
    <t>502.259/504.315</t>
  </si>
  <si>
    <t>$10/$15</t>
  </si>
  <si>
    <t>$3/$15</t>
  </si>
  <si>
    <t>FY 94-03</t>
  </si>
  <si>
    <t>FY 2004</t>
  </si>
  <si>
    <t>Texas Music ($5. Governor's Office)</t>
  </si>
  <si>
    <t>2004</t>
  </si>
  <si>
    <t>$5/.50/7.50/17</t>
  </si>
  <si>
    <t>$7.5/.50/22</t>
  </si>
  <si>
    <t>$2.5</t>
  </si>
  <si>
    <t>Emergency Medical Services Personnel</t>
  </si>
  <si>
    <t xml:space="preserve">Air Force Association  </t>
  </si>
  <si>
    <t>502.2555/504.315/504.308</t>
  </si>
  <si>
    <t xml:space="preserve">El Paso Mission Valley </t>
  </si>
  <si>
    <t xml:space="preserve">Share the Road </t>
  </si>
  <si>
    <t>502.2663/504.616</t>
  </si>
  <si>
    <t>$2/$1</t>
  </si>
  <si>
    <t>502.261/504.303</t>
  </si>
  <si>
    <t>Professional Fire Fighter (Non-Profit) (TX Firefighters)</t>
  </si>
  <si>
    <t>Bluebonnet (Conservation Plate  - TX Parks &amp; Wildlife)</t>
  </si>
  <si>
    <t>Redfish (Coastal Conservation Association Non-Profit)</t>
  </si>
  <si>
    <t>YMCA</t>
  </si>
  <si>
    <t>Disabled Veteran Replacement</t>
  </si>
  <si>
    <t>REVENUE</t>
  </si>
  <si>
    <t>COLLECTED</t>
  </si>
  <si>
    <t>FY 94 - FY 03</t>
  </si>
  <si>
    <t>Miscellaneous Special Plate Fees</t>
  </si>
  <si>
    <t xml:space="preserve">***In FY 97, Finance noted the following collections which have been added to the total: Annual Permit (NAFTA) $4,201.50 and Miscellaneous Registration Fees $32,504.15 </t>
  </si>
  <si>
    <t xml:space="preserve">*The estimated number of plates is determined by dividing the revenue collected by the fee.  In FY 98 and FY 99, $45.00 of the Keep Texas Beautiful fee was deposited into Fund 6 </t>
  </si>
  <si>
    <t>$5/$25</t>
  </si>
  <si>
    <t>$9.5-$.5</t>
  </si>
  <si>
    <t>$5/$20</t>
  </si>
  <si>
    <t>$9.5/$.5</t>
  </si>
  <si>
    <t>$5/$45</t>
  </si>
  <si>
    <t>$2.5/$37.50</t>
  </si>
  <si>
    <t>$2.50/$2.50/$30</t>
  </si>
  <si>
    <t>$2.5/$2.5/$20</t>
  </si>
  <si>
    <t>$10/$25</t>
  </si>
  <si>
    <t>$2.5/$47.50</t>
  </si>
  <si>
    <t>$2.5/$2.5/$35</t>
  </si>
  <si>
    <t>$10/$10</t>
  </si>
  <si>
    <t>$7.5/$.50/$22</t>
  </si>
  <si>
    <t>$2.5/$.50</t>
  </si>
  <si>
    <t xml:space="preserve"> $1.25/$38.75</t>
  </si>
  <si>
    <t>502.291/504.609</t>
  </si>
  <si>
    <t>ESTIMATED</t>
  </si>
  <si>
    <t>AGENCY</t>
  </si>
  <si>
    <t>SHARE</t>
  </si>
  <si>
    <t xml:space="preserve">Texas State Rifle Association </t>
  </si>
  <si>
    <t>FY 2005</t>
  </si>
  <si>
    <t>Smile Texas Style</t>
  </si>
  <si>
    <t>Texas Urban Forestry Council</t>
  </si>
  <si>
    <t>United We Stand</t>
  </si>
  <si>
    <t>Dallas Mavericks (Professional Sports Team)</t>
  </si>
  <si>
    <t>Souvenir License Plates</t>
  </si>
  <si>
    <t xml:space="preserve"> Legion of Valor plates includes: Air Force Cross or Army Distinguished Service Cross, the Navy Cross or the Medal of Honor.        </t>
  </si>
  <si>
    <t xml:space="preserve">as a result of reconciliation.   </t>
  </si>
  <si>
    <t>** Indicates that number of plates issued and/or renewed cannot be determined.</t>
  </si>
  <si>
    <t xml:space="preserve">for litter &amp; beautification programs and $5.00 to Fund 6 for administration.  </t>
  </si>
  <si>
    <t>FY 2006</t>
  </si>
  <si>
    <t>American Quarter Horse Association</t>
  </si>
  <si>
    <t>Big Brothers/Big Sisters</t>
  </si>
  <si>
    <t>502.273/504.801</t>
  </si>
  <si>
    <t>FY 2007</t>
  </si>
  <si>
    <t>2007</t>
  </si>
  <si>
    <t>"</t>
  </si>
  <si>
    <t>Millennium/Texas Reads (License to Read)</t>
  </si>
  <si>
    <t>Texas Realtors</t>
  </si>
  <si>
    <t>Adopt a Beach</t>
  </si>
  <si>
    <t>2008</t>
  </si>
  <si>
    <t>FY 2008</t>
  </si>
  <si>
    <t>American Legion</t>
  </si>
  <si>
    <t>Antique</t>
  </si>
  <si>
    <t>REGISTERED</t>
  </si>
  <si>
    <t>FY 08</t>
  </si>
  <si>
    <t>College for All Texans</t>
  </si>
  <si>
    <t>Enduring Freedom</t>
  </si>
  <si>
    <t>Gold Star Family</t>
  </si>
  <si>
    <t>Gold Star Spouse</t>
  </si>
  <si>
    <t>Legion of Merit</t>
  </si>
  <si>
    <t>Military Academy</t>
  </si>
  <si>
    <t>Operation Iraqi Freedom</t>
  </si>
  <si>
    <t>Silver Star</t>
  </si>
  <si>
    <t>Stop Child Abuse</t>
  </si>
  <si>
    <t>Vendor Plates</t>
  </si>
  <si>
    <t>Organ Donor (Life Gift)*</t>
  </si>
  <si>
    <t>502.2703/504.614</t>
  </si>
  <si>
    <t>TEXAS</t>
  </si>
  <si>
    <t>TRANS.</t>
  </si>
  <si>
    <t>502.274/504.501</t>
  </si>
  <si>
    <t>502.27/504.615</t>
  </si>
  <si>
    <t>502.270/504615</t>
  </si>
  <si>
    <t>502.270/504.615</t>
  </si>
  <si>
    <t>502.2733/504.617</t>
  </si>
  <si>
    <t>502.2735/504.619</t>
  </si>
  <si>
    <t>502.2735/504.620</t>
  </si>
  <si>
    <t>502.292/504.621</t>
  </si>
  <si>
    <t>502.2931/504.622</t>
  </si>
  <si>
    <t>502.299/504.623</t>
  </si>
  <si>
    <t>502.273/504.631</t>
  </si>
  <si>
    <t>502.296/504.402</t>
  </si>
  <si>
    <t>502.297/504.403</t>
  </si>
  <si>
    <t>502.295/504.401</t>
  </si>
  <si>
    <t>502.2951/504.405</t>
  </si>
  <si>
    <t>502.289/504.407</t>
  </si>
  <si>
    <t>502.292/504.408</t>
  </si>
  <si>
    <t>502.298/504.618</t>
  </si>
  <si>
    <t>502.2761/504.625</t>
  </si>
  <si>
    <t>502.299/504.626</t>
  </si>
  <si>
    <t>502.303/504.627</t>
  </si>
  <si>
    <t>502.258/504.304</t>
  </si>
  <si>
    <t>502.256/504.305</t>
  </si>
  <si>
    <t>502.262/504.310</t>
  </si>
  <si>
    <t>502.264/504.312</t>
  </si>
  <si>
    <t>502.279/504.506</t>
  </si>
  <si>
    <t>502.2921/504.611</t>
  </si>
  <si>
    <t>502.271/504.610</t>
  </si>
  <si>
    <t>502.272/504.604</t>
  </si>
  <si>
    <t>502.2731/504.602</t>
  </si>
  <si>
    <t>502.263/504.311</t>
  </si>
  <si>
    <t>502.293/504.613</t>
  </si>
  <si>
    <t>502.299/504.612</t>
  </si>
  <si>
    <t>502.291/504.605</t>
  </si>
  <si>
    <t>FY 94 - 07</t>
  </si>
  <si>
    <t xml:space="preserve">FIRST </t>
  </si>
  <si>
    <t>CURRENTLY</t>
  </si>
  <si>
    <t>To FUND 6</t>
  </si>
  <si>
    <t xml:space="preserve">DEPOSITS </t>
  </si>
  <si>
    <t>502.277/504.505</t>
  </si>
  <si>
    <t>502.251/503.0615</t>
  </si>
  <si>
    <t>502.265/504.313</t>
  </si>
  <si>
    <t>502.267/504.411</t>
  </si>
  <si>
    <t>502.282/504.509</t>
  </si>
  <si>
    <t>502.2721/504.6545</t>
  </si>
  <si>
    <t>502.254/504.202</t>
  </si>
  <si>
    <t>502.298/504.624</t>
  </si>
  <si>
    <t>502.251/504.101</t>
  </si>
  <si>
    <t>502.261/504.304</t>
  </si>
  <si>
    <t>502.269/504.603</t>
  </si>
  <si>
    <t>502.268/504.409</t>
  </si>
  <si>
    <t>502.28/504.507</t>
  </si>
  <si>
    <t>502.275/504.502</t>
  </si>
  <si>
    <t>502.290/504.412</t>
  </si>
  <si>
    <t>Overall revenue increase/decrease:</t>
  </si>
  <si>
    <t>$95 to $795</t>
  </si>
  <si>
    <t>FY 2009</t>
  </si>
  <si>
    <t>FY 2010</t>
  </si>
  <si>
    <t>FY 09</t>
  </si>
  <si>
    <t>FY 10</t>
  </si>
  <si>
    <t>Insure Texas Kids</t>
  </si>
  <si>
    <t>LSU Alumni</t>
  </si>
  <si>
    <t>MADD (Mothers Against Drunk Driving)</t>
  </si>
  <si>
    <t>Texas Rangers (Professional Sports Team)</t>
  </si>
  <si>
    <t>Blue Heron (Waterfowl/Wetlands Conservation)</t>
  </si>
  <si>
    <t>Armed Forces (US Army, Navy, Marines, Air Force, Coast Guard)</t>
  </si>
  <si>
    <t>Fire Protection Personnel</t>
  </si>
  <si>
    <t>Florida University Alumni</t>
  </si>
  <si>
    <t>Houston Astros (Professional Sports Team)</t>
  </si>
  <si>
    <t>Omega Psi Phi</t>
  </si>
  <si>
    <t>Rotary International</t>
  </si>
  <si>
    <t>Houston Rockets (Professional Sports Team)</t>
  </si>
  <si>
    <t>$20/$10/$10</t>
  </si>
  <si>
    <t>504.627.5</t>
  </si>
  <si>
    <t>To FUND 1</t>
  </si>
  <si>
    <t>DESIGNATION</t>
  </si>
  <si>
    <t>FUNDS</t>
  </si>
  <si>
    <t>RECIPIENT</t>
  </si>
  <si>
    <t>OF</t>
  </si>
  <si>
    <t>Higher Education Coordinating Board</t>
  </si>
  <si>
    <t>Scholarships</t>
  </si>
  <si>
    <t>General Land Office</t>
  </si>
  <si>
    <t>Beach clean-up</t>
  </si>
  <si>
    <t>Fund 001</t>
  </si>
  <si>
    <t>Not designated</t>
  </si>
  <si>
    <t>Fund 006</t>
  </si>
  <si>
    <t>Grants to the American Legion Endowment Fund for scholarships and programs.</t>
  </si>
  <si>
    <t>AISD; Austin High Athletics</t>
  </si>
  <si>
    <t>Conservation programs</t>
  </si>
  <si>
    <t>City of Arlington</t>
  </si>
  <si>
    <t>City of Dallas</t>
  </si>
  <si>
    <t>Maintenance and improvement of American Airlines Center</t>
  </si>
  <si>
    <t>Historical Commission</t>
  </si>
  <si>
    <t>Hwy. Maintenance</t>
  </si>
  <si>
    <t>TX Veterans Commission</t>
  </si>
  <si>
    <t>TX Education Agency</t>
  </si>
  <si>
    <t>TX A&amp;M University - Kingsville</t>
  </si>
  <si>
    <t>TX Commission for the Deaf and Hard of Hearing</t>
  </si>
  <si>
    <t>TX Depart. of Agriculture</t>
  </si>
  <si>
    <t>Depart. of State Health Services</t>
  </si>
  <si>
    <t>TX Depart. of Health</t>
  </si>
  <si>
    <t>"Go Texan" program</t>
  </si>
  <si>
    <t>Grants for Safe Routes to School and obesity prevention programs.</t>
  </si>
  <si>
    <t>Harris County-Houston Sports Authority</t>
  </si>
  <si>
    <t>Maintenance and improvement of Reliant Stadium</t>
  </si>
  <si>
    <t>Health and Human Services Commission</t>
  </si>
  <si>
    <t>Grants to carry out the purposes of the State Council Charities.</t>
  </si>
  <si>
    <t>Lamar University</t>
  </si>
  <si>
    <t>Office of the Attorney General</t>
  </si>
  <si>
    <t>Grants to expand CASA programs.</t>
  </si>
  <si>
    <t>Grants to the Birth Defects Registry</t>
  </si>
  <si>
    <t>Grants to the Marine Mammal Stranding Network for recovery, rehabilitation and release of stranded animals.</t>
  </si>
  <si>
    <t>Hwy. maintenance</t>
  </si>
  <si>
    <t>Office of the Governor</t>
  </si>
  <si>
    <t>Fund 006 &amp; Fund 001</t>
  </si>
  <si>
    <t>General revenue fund</t>
  </si>
  <si>
    <t>Grants for emergency relief and scholarship programs to firefighters and dependents.</t>
  </si>
  <si>
    <t>Monument maintenance</t>
  </si>
  <si>
    <t>For education, training and awareness programs; Up to 25% may be used by TBCEF to market share the road concept and license plate.</t>
  </si>
  <si>
    <t>Tourism promotion</t>
  </si>
  <si>
    <t>Housing and Community Affairs</t>
  </si>
  <si>
    <t>Dept. of Agriculture</t>
  </si>
  <si>
    <t>Dept. of State Health Services</t>
  </si>
  <si>
    <t>Dept. of Family and Protective Services</t>
  </si>
  <si>
    <t>Grants to benefit TX Cotton Producers, Inc. for students pursuing degrees in agricultural field related to the cotton industry.</t>
  </si>
  <si>
    <t>TX AgriLife Extension Service of TX A&amp;M University System</t>
  </si>
  <si>
    <t>TX Dept. of Transportation</t>
  </si>
  <si>
    <t>TX Dept. of Health</t>
  </si>
  <si>
    <t>Grants to DRT to preserve TX historic sites, or for educational programs that teach TX history.</t>
  </si>
  <si>
    <t>North Central TX College</t>
  </si>
  <si>
    <t>TX Commission on Fire Protection</t>
  </si>
  <si>
    <t>TX Bicycle Coalition Education Fund through TX Education Agency</t>
  </si>
  <si>
    <t>TX Aerospace Commission through Office of the Governor</t>
  </si>
  <si>
    <t>Grants to the Aviation and Space Foundation of TX to further aviation and space activities in TX, and for Columbia Crew memorial scholarships to students.</t>
  </si>
  <si>
    <t>Dept. of Mental Health and Mental Retardation Special Olympics TX account</t>
  </si>
  <si>
    <t>Special Olympics TX programs</t>
  </si>
  <si>
    <t>TX Commission on the Arts</t>
  </si>
  <si>
    <t>Cancer Prevention and Research Institute of TX</t>
  </si>
  <si>
    <t>TX A&amp;M University</t>
  </si>
  <si>
    <t>TX A&amp;M University - Commerce</t>
  </si>
  <si>
    <t>TX A&amp;M University - Corpus Christi</t>
  </si>
  <si>
    <t>TX A&amp;M University - Prairie View</t>
  </si>
  <si>
    <t>TX Music Foundation through Office of the Governor</t>
  </si>
  <si>
    <t>TX Southern University</t>
  </si>
  <si>
    <t>TX Tech University</t>
  </si>
  <si>
    <t>TX Forest Service</t>
  </si>
  <si>
    <t>TX Woman's University</t>
  </si>
  <si>
    <t>TX mobility fund</t>
  </si>
  <si>
    <t>University of North TX</t>
  </si>
  <si>
    <t>West TX A&amp;M University</t>
  </si>
  <si>
    <t>Supreme Court of TX</t>
  </si>
  <si>
    <t>TX Parks &amp; Wildlife Depart.</t>
  </si>
  <si>
    <t>TX Parks &amp; Wildlife Dept.</t>
  </si>
  <si>
    <t>Qualifying registration</t>
  </si>
  <si>
    <t xml:space="preserve">FISCAL YR </t>
  </si>
  <si>
    <t>*TOTAL PLATES</t>
  </si>
  <si>
    <t>TOTAL PLATES</t>
  </si>
  <si>
    <t>Distinguished Flying Cross</t>
  </si>
  <si>
    <t>San Jacinto TX Historic District</t>
  </si>
  <si>
    <t>University of St. Thomas</t>
  </si>
  <si>
    <t xml:space="preserve">Antique plates were included as specialty plates for the first time in FY 2008; in previous years, it was included in registration totals. </t>
  </si>
  <si>
    <t>Air Force Association grants.</t>
  </si>
  <si>
    <t>American Quarter Horse Foundation to benefit equine research, scholarships and educational programs.</t>
  </si>
  <si>
    <t>Grants for spay and neuter programs.</t>
  </si>
  <si>
    <t>Grants to non-profit blood centers for donor retention programs.</t>
  </si>
  <si>
    <t>Grants to improve and preserve Big Bend National Park.</t>
  </si>
  <si>
    <t>Grants for mentoring programs.</t>
  </si>
  <si>
    <t>Ducks Unlimited conservation programs.</t>
  </si>
  <si>
    <t>Grants that benefit educational projects sponsored by Boy Scout Councils of TX.</t>
  </si>
  <si>
    <t>Graduate student scholarships.</t>
  </si>
  <si>
    <t>Maintenance and improvement of Cowboys Stadium.</t>
  </si>
  <si>
    <t>Education and training programs.</t>
  </si>
  <si>
    <t>Grants to preserve and rehabilitate the Soccoro Mission.</t>
  </si>
  <si>
    <t>4-H and youth development programs.</t>
  </si>
  <si>
    <t>Educational projects sponsored by Girl Scouts of Central TX.</t>
  </si>
  <si>
    <t>Maintenance and improvement of Minute Maid Park.</t>
  </si>
  <si>
    <t>Maintenance and improvement of Toyota Center.</t>
  </si>
  <si>
    <t>Grants to benefit the Houston Livestock Show &amp; Rodeo.</t>
  </si>
  <si>
    <t>Fund outreach for childrens health plans.</t>
  </si>
  <si>
    <t>"Don't Mess with TX" litter prevention and clean-up program.</t>
  </si>
  <si>
    <t>Grants for drug abuse prevention and education programs.</t>
  </si>
  <si>
    <t>Reading promotion grants.</t>
  </si>
  <si>
    <t>Grants to the TX Reads program for educational library materials.</t>
  </si>
  <si>
    <t>Tuberculosis prevention and control programs.</t>
  </si>
  <si>
    <t>TX Dental Association for charitable dental care.</t>
  </si>
  <si>
    <t>50 % for Highway maintenance, 25% of fees go to sponsoring organization and 25% to Fund 001.</t>
  </si>
  <si>
    <t>Programs and services to support abused and neglected children.</t>
  </si>
  <si>
    <t>Programs to promote the arts.</t>
  </si>
  <si>
    <t>Grants for support services to cancer patients.</t>
  </si>
  <si>
    <t>Support of TX Lions Camp.</t>
  </si>
  <si>
    <t>Educational and community music programs.</t>
  </si>
  <si>
    <t>Maintenance and improvement of Rangers Ballpark.</t>
  </si>
  <si>
    <t>Affordable housing programs.</t>
  </si>
  <si>
    <t>50% to scholarship programs supported by TSRA; 50% to support the 4-H Shooting Sports Program for youth.</t>
  </si>
  <si>
    <t>Grants to promote and protect trees.</t>
  </si>
  <si>
    <t>U.S. Olympics Trust Fund - TX (unspent).</t>
  </si>
  <si>
    <t>TX Mobility Fund</t>
  </si>
  <si>
    <t>Grants to YMCA for youth and government programs.</t>
  </si>
  <si>
    <t>Basic civil legal services for needy Texans.</t>
  </si>
  <si>
    <t>The revenue collected for the vendor program includes fees from one, five and ten year plate orders.</t>
  </si>
  <si>
    <t>Souvenir PLP License Plates</t>
  </si>
  <si>
    <t>Personalized License Plates</t>
  </si>
  <si>
    <t>All - $7.5/$.50/$32</t>
  </si>
  <si>
    <t>U. S. Olympic Committee</t>
  </si>
  <si>
    <t>0</t>
  </si>
  <si>
    <t>FY 2011</t>
  </si>
  <si>
    <t>FY 11</t>
  </si>
  <si>
    <t>A Fine Cause</t>
  </si>
  <si>
    <t>2011</t>
  </si>
  <si>
    <t>Cancer Prevention and Research Institute of Texas</t>
  </si>
  <si>
    <t>To raise awareness of cancer of unknown primary origin.</t>
  </si>
  <si>
    <t>Texas Trails</t>
  </si>
  <si>
    <t xml:space="preserve">Texas Bicycle Coalition Fund </t>
  </si>
  <si>
    <t>To identify, develop, and promote multi-use trails and routes throughout Texas for runners, walkers, cyclists, and other non-motorized users.</t>
  </si>
  <si>
    <t>Texas Masons</t>
  </si>
  <si>
    <t xml:space="preserve">Texas Department of Agriculture </t>
  </si>
  <si>
    <t>To make grants that benefit the Grand Lodge of Texas and its educational, benevolent, and charitable purposes.</t>
  </si>
  <si>
    <t>$10/$15-$0</t>
  </si>
  <si>
    <t>$9.5/$.5-$0</t>
  </si>
  <si>
    <t>$10-$0</t>
  </si>
  <si>
    <t>FY 94 - 03</t>
  </si>
  <si>
    <t>ISSUED or RENEWED</t>
  </si>
  <si>
    <t>FEE SPLIT</t>
  </si>
  <si>
    <t>City of Arlington LP Venue Project Fund</t>
  </si>
  <si>
    <t>Classic Plates (Auto, Truck, Motorcycle, Classic Travel Trailer)</t>
  </si>
  <si>
    <t xml:space="preserve">Bronze Star </t>
  </si>
  <si>
    <t xml:space="preserve">Bronze Star with Valor </t>
  </si>
  <si>
    <t xml:space="preserve">Buffalo Soldiers </t>
  </si>
  <si>
    <t xml:space="preserve">Choose Life </t>
  </si>
  <si>
    <t xml:space="preserve">Conserve Water </t>
  </si>
  <si>
    <t>Custom Vehicle</t>
  </si>
  <si>
    <t>Disabled Veteran - Bronze Star</t>
  </si>
  <si>
    <t>Disabled Veteran - Bronze Star with Valor</t>
  </si>
  <si>
    <t>Disabled Veteran - Congressional Medal of Honor - Air Force</t>
  </si>
  <si>
    <t>Disabled Veteran - Congressional Medal of Honor - Army</t>
  </si>
  <si>
    <t>Disabled Veteran - Congressional Medal of Honor - Navy</t>
  </si>
  <si>
    <t>Disabled Veteran - Distinguished Flying Cross</t>
  </si>
  <si>
    <t>Disabled Veteran - Distinguished Service Medal - Air Force</t>
  </si>
  <si>
    <t>Disabled Veteran - Distinguished Service Medal - Army</t>
  </si>
  <si>
    <t>Disabled Veteran - Distinguished Service Medal - Coast Guard</t>
  </si>
  <si>
    <t>Disabled Veteran - Distinguished Service Medal - Navy</t>
  </si>
  <si>
    <t>Disabled Veteran - Legion of Merit</t>
  </si>
  <si>
    <t>Disabled Veteran - Legion of Valor - Air Force Cross</t>
  </si>
  <si>
    <t>Disabled Veteran - Legion of Valor - Army Distinguished Service Cross</t>
  </si>
  <si>
    <t>Disabled Veteran - Legion of Valor - Navy Cross</t>
  </si>
  <si>
    <t>Disabled Veteran - Purple Heart</t>
  </si>
  <si>
    <t>Disabled Veteran - Silver Star</t>
  </si>
  <si>
    <t>Distinguished Service Medal - Air Force</t>
  </si>
  <si>
    <t>Distinguished Service Medal - Army</t>
  </si>
  <si>
    <t>Distinguished Service Medal - Coast Guard</t>
  </si>
  <si>
    <t>Distinguished Service Medal - Navy</t>
  </si>
  <si>
    <t>Gold Star Father</t>
  </si>
  <si>
    <t>Honorably Discharged U.S. Air Force</t>
  </si>
  <si>
    <t>Honorably Discharged U.S. Army</t>
  </si>
  <si>
    <t>Honorably Discharged U.S. Coast Guard</t>
  </si>
  <si>
    <t>Honorably Discharged U.S. Marine Corps</t>
  </si>
  <si>
    <t>Honorably Discharged U.S. Navy</t>
  </si>
  <si>
    <t>Street Rod</t>
  </si>
  <si>
    <t xml:space="preserve">Woman Veteran </t>
  </si>
  <si>
    <t xml:space="preserve">Texas General Land Office </t>
  </si>
  <si>
    <t xml:space="preserve">Office of the Attorney General of Texas </t>
  </si>
  <si>
    <t xml:space="preserve">Texas Higher Education Coordinating Board </t>
  </si>
  <si>
    <t>Scholarship funds to the Texas Section of the American Water Works Association</t>
  </si>
  <si>
    <t>Buffalo Soldiers National Museum, Houston, TX</t>
  </si>
  <si>
    <t>Adoption services grants</t>
  </si>
  <si>
    <t xml:space="preserve">504.662
</t>
  </si>
  <si>
    <t>Big Brothers Big Sisters</t>
  </si>
  <si>
    <t>For graduate student assistantships within the Texas Master Gardener Program and to support activities related to the Texas Master Gardener Program</t>
  </si>
  <si>
    <t>Texas State University (previously Southwest Texas State University)</t>
  </si>
  <si>
    <t>FY 2012</t>
  </si>
  <si>
    <t>FY 12</t>
  </si>
  <si>
    <t>Legion of Valor includes: (Air Force Cross, Army Distinguished Service Cross, Navy Cross &amp; Congressional Medal of Honor)</t>
  </si>
  <si>
    <t>FY 94 - FY 12</t>
  </si>
  <si>
    <t>FY 94 - 12</t>
  </si>
  <si>
    <t>FY 04-12</t>
  </si>
  <si>
    <t>Volunteer Firefighter/Certified Firefighter</t>
  </si>
  <si>
    <t>Fund 006 - No fee as of 2012</t>
  </si>
  <si>
    <t>NOTES:</t>
  </si>
  <si>
    <t xml:space="preserve"> $7.5/$.50/$22</t>
  </si>
  <si>
    <t>In FY 2008, TxDOT/TxDMV began prorating the specialty license plate fees to have the renewal of the special plate coincide with the registration due/expiration date of the motor vehicle.  Because of these adjustments, you will note funds remitted in amounts that are different than the standard annual application fee.</t>
  </si>
  <si>
    <t xml:space="preserve">Disabled Veteran - Surviving Spouse </t>
  </si>
  <si>
    <t>The department does not apply the $212,063 in revenue generated to Fund 1 in FY 2008, from a prior private vendor contract to the current 2009 private vendor contract.”</t>
  </si>
  <si>
    <t>The number of PLPs repoted includes those sold by MY PLATES from FY 2010 forward.</t>
  </si>
  <si>
    <t>SOURCE: TxDMV-Finance for revenue collected and disbursed.  Prepared by VTR - Budget and Research Services 5/24/13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</si>
</sst>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&quot;$&quot;#,##0"/>
    <numFmt numFmtId="166" formatCode="&quot;$&quot;#,##0.00"/>
    <numFmt numFmtId="167" formatCode="0.0000"/>
    <numFmt numFmtId="168" formatCode="0.0%"/>
  </numFmts>
  <fonts count="16" x14ac:knownFonts="1">
    <font>
      <sz val="10"/>
      <name val="Arial"/>
    </font>
    <font>
      <sz val="10"/>
      <name val="Arial"/>
      <family val="2"/>
    </font>
    <font>
      <sz val="10"/>
      <color indexed="8"/>
      <name val="MS Sans Serif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indexed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sz val="9"/>
      <color indexed="10"/>
      <name val="Arial Narrow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9"/>
      <color indexed="8"/>
      <name val="Arial Narrow"/>
      <family val="2"/>
    </font>
    <font>
      <b/>
      <sz val="9"/>
      <color theme="1"/>
      <name val="Arial Narrow"/>
      <family val="2"/>
    </font>
    <font>
      <b/>
      <sz val="9"/>
      <color rgb="FF0000FF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07">
    <xf numFmtId="0" fontId="0" fillId="0" borderId="0" xfId="0"/>
    <xf numFmtId="0" fontId="3" fillId="0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0" borderId="0" xfId="0" applyFont="1" applyFill="1" applyAlignment="1">
      <alignment horizontal="center"/>
    </xf>
    <xf numFmtId="164" fontId="3" fillId="0" borderId="3" xfId="0" applyNumberFormat="1" applyFont="1" applyFill="1" applyBorder="1" applyAlignment="1">
      <alignment horizontal="center"/>
    </xf>
    <xf numFmtId="49" fontId="3" fillId="0" borderId="3" xfId="0" applyNumberFormat="1" applyFont="1" applyFill="1" applyBorder="1" applyAlignment="1">
      <alignment horizontal="center"/>
    </xf>
    <xf numFmtId="165" fontId="3" fillId="0" borderId="4" xfId="0" applyNumberFormat="1" applyFont="1" applyFill="1" applyBorder="1" applyAlignment="1"/>
    <xf numFmtId="165" fontId="3" fillId="0" borderId="3" xfId="0" applyNumberFormat="1" applyFont="1" applyFill="1" applyBorder="1" applyAlignment="1"/>
    <xf numFmtId="165" fontId="3" fillId="0" borderId="3" xfId="0" applyNumberFormat="1" applyFont="1" applyFill="1" applyBorder="1" applyAlignment="1">
      <alignment horizontal="right"/>
    </xf>
    <xf numFmtId="165" fontId="5" fillId="0" borderId="3" xfId="2" applyNumberFormat="1" applyFont="1" applyFill="1" applyBorder="1" applyAlignment="1">
      <alignment horizontal="right" wrapText="1"/>
    </xf>
    <xf numFmtId="165" fontId="3" fillId="0" borderId="3" xfId="0" applyNumberFormat="1" applyFont="1" applyFill="1" applyBorder="1" applyAlignment="1">
      <alignment horizontal="center"/>
    </xf>
    <xf numFmtId="3" fontId="3" fillId="0" borderId="3" xfId="0" applyNumberFormat="1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center"/>
    </xf>
    <xf numFmtId="165" fontId="3" fillId="0" borderId="4" xfId="0" applyNumberFormat="1" applyFont="1" applyFill="1" applyBorder="1" applyAlignment="1">
      <alignment horizontal="right"/>
    </xf>
    <xf numFmtId="165" fontId="5" fillId="0" borderId="4" xfId="2" applyNumberFormat="1" applyFont="1" applyFill="1" applyBorder="1" applyAlignment="1">
      <alignment horizontal="right" wrapText="1"/>
    </xf>
    <xf numFmtId="165" fontId="3" fillId="0" borderId="4" xfId="0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4" xfId="0" applyNumberFormat="1" applyFont="1" applyBorder="1" applyAlignment="1">
      <alignment horizontal="center"/>
    </xf>
    <xf numFmtId="164" fontId="3" fillId="0" borderId="5" xfId="0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7" fontId="3" fillId="0" borderId="4" xfId="0" applyNumberFormat="1" applyFont="1" applyFill="1" applyBorder="1" applyAlignment="1">
      <alignment horizontal="center"/>
    </xf>
    <xf numFmtId="165" fontId="3" fillId="0" borderId="4" xfId="2" applyNumberFormat="1" applyFont="1" applyFill="1" applyBorder="1" applyAlignment="1">
      <alignment horizontal="right" wrapText="1"/>
    </xf>
    <xf numFmtId="165" fontId="3" fillId="0" borderId="3" xfId="2" applyNumberFormat="1" applyFont="1" applyFill="1" applyBorder="1" applyAlignment="1">
      <alignment horizontal="right" wrapText="1"/>
    </xf>
    <xf numFmtId="1" fontId="3" fillId="0" borderId="7" xfId="0" applyNumberFormat="1" applyFont="1" applyFill="1" applyBorder="1" applyAlignment="1">
      <alignment horizontal="center"/>
    </xf>
    <xf numFmtId="165" fontId="3" fillId="0" borderId="7" xfId="0" applyNumberFormat="1" applyFont="1" applyFill="1" applyBorder="1" applyAlignment="1"/>
    <xf numFmtId="165" fontId="3" fillId="0" borderId="7" xfId="0" applyNumberFormat="1" applyFont="1" applyFill="1" applyBorder="1" applyAlignment="1">
      <alignment horizontal="right"/>
    </xf>
    <xf numFmtId="0" fontId="3" fillId="0" borderId="8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" fontId="3" fillId="0" borderId="4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1" fontId="5" fillId="0" borderId="4" xfId="0" applyNumberFormat="1" applyFont="1" applyFill="1" applyBorder="1" applyAlignment="1">
      <alignment horizontal="center"/>
    </xf>
    <xf numFmtId="165" fontId="5" fillId="0" borderId="4" xfId="0" applyNumberFormat="1" applyFont="1" applyFill="1" applyBorder="1" applyAlignment="1"/>
    <xf numFmtId="165" fontId="5" fillId="0" borderId="4" xfId="0" applyNumberFormat="1" applyFont="1" applyFill="1" applyBorder="1" applyAlignment="1">
      <alignment horizontal="right"/>
    </xf>
    <xf numFmtId="165" fontId="5" fillId="0" borderId="3" xfId="0" applyNumberFormat="1" applyFont="1" applyFill="1" applyBorder="1" applyAlignment="1">
      <alignment horizontal="right"/>
    </xf>
    <xf numFmtId="165" fontId="5" fillId="0" borderId="4" xfId="0" applyNumberFormat="1" applyFont="1" applyFill="1" applyBorder="1" applyAlignment="1">
      <alignment horizontal="center"/>
    </xf>
    <xf numFmtId="49" fontId="5" fillId="0" borderId="4" xfId="0" applyNumberFormat="1" applyFont="1" applyFill="1" applyBorder="1" applyAlignment="1">
      <alignment horizontal="center"/>
    </xf>
    <xf numFmtId="3" fontId="5" fillId="0" borderId="3" xfId="0" applyNumberFormat="1" applyFont="1" applyFill="1" applyBorder="1" applyAlignment="1">
      <alignment horizontal="center"/>
    </xf>
    <xf numFmtId="165" fontId="5" fillId="0" borderId="3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165" fontId="5" fillId="0" borderId="8" xfId="2" applyNumberFormat="1" applyFont="1" applyFill="1" applyBorder="1" applyAlignment="1">
      <alignment horizontal="right" wrapText="1"/>
    </xf>
    <xf numFmtId="165" fontId="5" fillId="0" borderId="5" xfId="2" applyNumberFormat="1" applyFont="1" applyFill="1" applyBorder="1" applyAlignment="1">
      <alignment horizontal="right" wrapText="1"/>
    </xf>
    <xf numFmtId="164" fontId="3" fillId="0" borderId="4" xfId="0" applyNumberFormat="1" applyFont="1" applyFill="1" applyBorder="1" applyAlignment="1">
      <alignment horizontal="center"/>
    </xf>
    <xf numFmtId="166" fontId="3" fillId="0" borderId="4" xfId="0" applyNumberFormat="1" applyFont="1" applyFill="1" applyBorder="1" applyAlignment="1">
      <alignment horizontal="center"/>
    </xf>
    <xf numFmtId="49" fontId="3" fillId="0" borderId="8" xfId="0" applyNumberFormat="1" applyFont="1" applyFill="1" applyBorder="1" applyAlignment="1">
      <alignment horizontal="center"/>
    </xf>
    <xf numFmtId="166" fontId="3" fillId="0" borderId="3" xfId="0" applyNumberFormat="1" applyFont="1" applyFill="1" applyBorder="1" applyAlignment="1">
      <alignment horizontal="center"/>
    </xf>
    <xf numFmtId="3" fontId="3" fillId="0" borderId="4" xfId="0" applyNumberFormat="1" applyFont="1" applyFill="1" applyBorder="1" applyAlignment="1">
      <alignment horizontal="center"/>
    </xf>
    <xf numFmtId="0" fontId="4" fillId="0" borderId="0" xfId="0" applyFont="1" applyFill="1" applyBorder="1"/>
    <xf numFmtId="165" fontId="4" fillId="0" borderId="0" xfId="0" applyNumberFormat="1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right"/>
    </xf>
    <xf numFmtId="165" fontId="3" fillId="0" borderId="0" xfId="0" applyNumberFormat="1" applyFont="1" applyFill="1" applyBorder="1"/>
    <xf numFmtId="165" fontId="4" fillId="0" borderId="0" xfId="0" applyNumberFormat="1" applyFont="1" applyFill="1" applyBorder="1" applyAlignment="1">
      <alignment horizontal="right" vertical="center"/>
    </xf>
    <xf numFmtId="165" fontId="4" fillId="0" borderId="0" xfId="0" applyNumberFormat="1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right" vertical="center"/>
    </xf>
    <xf numFmtId="165" fontId="4" fillId="0" borderId="0" xfId="0" applyNumberFormat="1" applyFont="1" applyFill="1" applyAlignment="1">
      <alignment horizontal="left"/>
    </xf>
    <xf numFmtId="3" fontId="3" fillId="0" borderId="0" xfId="0" applyNumberFormat="1" applyFont="1" applyFill="1" applyAlignment="1">
      <alignment horizontal="left"/>
    </xf>
    <xf numFmtId="165" fontId="3" fillId="0" borderId="0" xfId="0" applyNumberFormat="1" applyFont="1" applyFill="1"/>
    <xf numFmtId="3" fontId="3" fillId="0" borderId="0" xfId="0" applyNumberFormat="1" applyFont="1" applyFill="1"/>
    <xf numFmtId="1" fontId="3" fillId="0" borderId="0" xfId="0" applyNumberFormat="1" applyFont="1" applyFill="1"/>
    <xf numFmtId="1" fontId="3" fillId="0" borderId="0" xfId="0" applyNumberFormat="1" applyFont="1" applyFill="1" applyAlignment="1">
      <alignment horizontal="right" vertical="center"/>
    </xf>
    <xf numFmtId="165" fontId="4" fillId="0" borderId="0" xfId="0" applyNumberFormat="1" applyFont="1" applyFill="1"/>
    <xf numFmtId="166" fontId="3" fillId="0" borderId="0" xfId="0" applyNumberFormat="1" applyFont="1" applyFill="1"/>
    <xf numFmtId="3" fontId="3" fillId="0" borderId="0" xfId="0" applyNumberFormat="1" applyFont="1" applyFill="1" applyBorder="1"/>
    <xf numFmtId="3" fontId="3" fillId="0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165" fontId="5" fillId="0" borderId="7" xfId="2" applyNumberFormat="1" applyFont="1" applyFill="1" applyBorder="1" applyAlignment="1">
      <alignment horizontal="right" wrapText="1"/>
    </xf>
    <xf numFmtId="49" fontId="3" fillId="0" borderId="7" xfId="0" applyNumberFormat="1" applyFont="1" applyFill="1" applyBorder="1" applyAlignment="1">
      <alignment horizontal="center"/>
    </xf>
    <xf numFmtId="165" fontId="4" fillId="0" borderId="9" xfId="0" applyNumberFormat="1" applyFont="1" applyFill="1" applyBorder="1" applyAlignment="1">
      <alignment horizontal="right"/>
    </xf>
    <xf numFmtId="165" fontId="3" fillId="0" borderId="9" xfId="0" applyNumberFormat="1" applyFont="1" applyFill="1" applyBorder="1" applyAlignment="1">
      <alignment horizontal="right"/>
    </xf>
    <xf numFmtId="3" fontId="4" fillId="0" borderId="9" xfId="0" applyNumberFormat="1" applyFont="1" applyFill="1" applyBorder="1" applyAlignment="1">
      <alignment horizontal="center"/>
    </xf>
    <xf numFmtId="0" fontId="4" fillId="3" borderId="0" xfId="0" applyFont="1" applyFill="1" applyBorder="1"/>
    <xf numFmtId="0" fontId="4" fillId="3" borderId="10" xfId="0" applyFont="1" applyFill="1" applyBorder="1" applyAlignment="1">
      <alignment horizontal="center"/>
    </xf>
    <xf numFmtId="165" fontId="4" fillId="3" borderId="0" xfId="0" applyNumberFormat="1" applyFont="1" applyFill="1" applyBorder="1" applyAlignment="1">
      <alignment horizontal="center"/>
    </xf>
    <xf numFmtId="165" fontId="4" fillId="3" borderId="0" xfId="0" applyNumberFormat="1" applyFont="1" applyFill="1" applyBorder="1" applyAlignment="1">
      <alignment horizontal="right"/>
    </xf>
    <xf numFmtId="9" fontId="4" fillId="3" borderId="0" xfId="0" applyNumberFormat="1" applyFont="1" applyFill="1" applyBorder="1" applyAlignment="1">
      <alignment horizontal="center"/>
    </xf>
    <xf numFmtId="165" fontId="4" fillId="3" borderId="0" xfId="0" applyNumberFormat="1" applyFont="1" applyFill="1" applyBorder="1" applyAlignment="1">
      <alignment horizontal="right" vertical="center"/>
    </xf>
    <xf numFmtId="0" fontId="0" fillId="0" borderId="0" xfId="0" applyFill="1"/>
    <xf numFmtId="165" fontId="3" fillId="0" borderId="0" xfId="0" applyNumberFormat="1" applyFont="1" applyFill="1" applyBorder="1" applyAlignment="1">
      <alignment horizontal="center"/>
    </xf>
    <xf numFmtId="3" fontId="5" fillId="0" borderId="4" xfId="0" applyNumberFormat="1" applyFont="1" applyFill="1" applyBorder="1" applyAlignment="1">
      <alignment horizontal="center"/>
    </xf>
    <xf numFmtId="3" fontId="3" fillId="0" borderId="0" xfId="0" applyNumberFormat="1" applyFont="1" applyFill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5" fontId="3" fillId="0" borderId="0" xfId="0" applyNumberFormat="1" applyFont="1" applyFill="1" applyAlignment="1">
      <alignment horizontal="left"/>
    </xf>
    <xf numFmtId="164" fontId="5" fillId="0" borderId="4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165" fontId="4" fillId="0" borderId="0" xfId="0" applyNumberFormat="1" applyFont="1" applyFill="1" applyBorder="1" applyAlignment="1">
      <alignment horizontal="left" vertical="center" wrapText="1"/>
    </xf>
    <xf numFmtId="165" fontId="4" fillId="3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165" fontId="5" fillId="0" borderId="3" xfId="0" applyNumberFormat="1" applyFont="1" applyFill="1" applyBorder="1" applyAlignment="1"/>
    <xf numFmtId="0" fontId="0" fillId="0" borderId="0" xfId="0" applyAlignment="1"/>
    <xf numFmtId="0" fontId="0" fillId="0" borderId="0" xfId="0" applyFill="1" applyAlignment="1"/>
    <xf numFmtId="165" fontId="4" fillId="0" borderId="15" xfId="0" applyNumberFormat="1" applyFont="1" applyFill="1" applyBorder="1" applyAlignment="1">
      <alignment horizontal="right"/>
    </xf>
    <xf numFmtId="165" fontId="4" fillId="0" borderId="16" xfId="0" applyNumberFormat="1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7" fontId="3" fillId="0" borderId="4" xfId="0" applyNumberFormat="1" applyFont="1" applyFill="1" applyBorder="1" applyAlignment="1">
      <alignment horizontal="left" wrapText="1"/>
    </xf>
    <xf numFmtId="0" fontId="3" fillId="0" borderId="17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7" fillId="0" borderId="0" xfId="0" applyFont="1" applyFill="1" applyAlignment="1"/>
    <xf numFmtId="0" fontId="3" fillId="0" borderId="0" xfId="0" applyFont="1" applyFill="1" applyAlignment="1"/>
    <xf numFmtId="3" fontId="5" fillId="0" borderId="4" xfId="2" applyNumberFormat="1" applyFont="1" applyFill="1" applyBorder="1" applyAlignment="1">
      <alignment horizontal="center" wrapText="1"/>
    </xf>
    <xf numFmtId="0" fontId="4" fillId="4" borderId="13" xfId="0" applyFont="1" applyFill="1" applyBorder="1" applyAlignment="1">
      <alignment vertical="center"/>
    </xf>
    <xf numFmtId="9" fontId="8" fillId="3" borderId="0" xfId="0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3" fillId="0" borderId="7" xfId="0" applyFont="1" applyFill="1" applyBorder="1" applyAlignment="1">
      <alignment wrapText="1"/>
    </xf>
    <xf numFmtId="0" fontId="3" fillId="0" borderId="18" xfId="0" applyFont="1" applyFill="1" applyBorder="1" applyAlignment="1">
      <alignment wrapText="1"/>
    </xf>
    <xf numFmtId="0" fontId="3" fillId="0" borderId="19" xfId="0" applyFont="1" applyFill="1" applyBorder="1" applyAlignment="1">
      <alignment wrapText="1"/>
    </xf>
    <xf numFmtId="0" fontId="3" fillId="0" borderId="20" xfId="0" applyFont="1" applyFill="1" applyBorder="1" applyAlignment="1">
      <alignment wrapText="1"/>
    </xf>
    <xf numFmtId="0" fontId="5" fillId="0" borderId="4" xfId="0" applyFont="1" applyFill="1" applyBorder="1" applyAlignment="1">
      <alignment wrapText="1"/>
    </xf>
    <xf numFmtId="0" fontId="3" fillId="0" borderId="21" xfId="0" applyFont="1" applyFill="1" applyBorder="1" applyAlignment="1">
      <alignment wrapText="1"/>
    </xf>
    <xf numFmtId="165" fontId="4" fillId="0" borderId="16" xfId="0" applyNumberFormat="1" applyFont="1" applyFill="1" applyBorder="1" applyAlignment="1">
      <alignment horizontal="center"/>
    </xf>
    <xf numFmtId="0" fontId="4" fillId="0" borderId="16" xfId="0" applyFont="1" applyFill="1" applyBorder="1" applyAlignment="1">
      <alignment horizontal="center"/>
    </xf>
    <xf numFmtId="0" fontId="4" fillId="0" borderId="16" xfId="0" applyFont="1" applyFill="1" applyBorder="1" applyAlignment="1">
      <alignment horizontal="right"/>
    </xf>
    <xf numFmtId="0" fontId="3" fillId="0" borderId="7" xfId="0" applyFont="1" applyFill="1" applyBorder="1" applyAlignment="1">
      <alignment horizontal="center"/>
    </xf>
    <xf numFmtId="0" fontId="9" fillId="0" borderId="0" xfId="0" applyFont="1" applyFill="1"/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165" fontId="4" fillId="4" borderId="13" xfId="0" applyNumberFormat="1" applyFont="1" applyFill="1" applyBorder="1" applyAlignment="1">
      <alignment horizontal="center" vertical="center"/>
    </xf>
    <xf numFmtId="165" fontId="4" fillId="4" borderId="12" xfId="0" applyNumberFormat="1" applyFont="1" applyFill="1" applyBorder="1" applyAlignment="1">
      <alignment horizontal="center"/>
    </xf>
    <xf numFmtId="165" fontId="4" fillId="2" borderId="10" xfId="0" applyNumberFormat="1" applyFont="1" applyFill="1" applyBorder="1" applyAlignment="1">
      <alignment horizontal="right"/>
    </xf>
    <xf numFmtId="165" fontId="3" fillId="0" borderId="0" xfId="0" applyNumberFormat="1" applyFont="1" applyFill="1" applyAlignment="1">
      <alignment horizontal="right"/>
    </xf>
    <xf numFmtId="165" fontId="4" fillId="0" borderId="0" xfId="0" applyNumberFormat="1" applyFont="1" applyFill="1" applyAlignment="1">
      <alignment horizontal="right"/>
    </xf>
    <xf numFmtId="165" fontId="3" fillId="0" borderId="0" xfId="0" applyNumberFormat="1" applyFont="1" applyFill="1" applyBorder="1" applyAlignment="1">
      <alignment horizontal="right"/>
    </xf>
    <xf numFmtId="166" fontId="3" fillId="0" borderId="3" xfId="0" applyNumberFormat="1" applyFont="1" applyFill="1" applyBorder="1" applyAlignment="1">
      <alignment horizontal="right"/>
    </xf>
    <xf numFmtId="0" fontId="3" fillId="0" borderId="3" xfId="0" applyFont="1" applyFill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4" fillId="4" borderId="14" xfId="0" applyNumberFormat="1" applyFont="1" applyFill="1" applyBorder="1" applyAlignment="1">
      <alignment horizontal="center" vertical="center"/>
    </xf>
    <xf numFmtId="0" fontId="9" fillId="0" borderId="0" xfId="0" applyFont="1" applyAlignment="1"/>
    <xf numFmtId="168" fontId="4" fillId="3" borderId="0" xfId="0" applyNumberFormat="1" applyFont="1" applyFill="1" applyBorder="1" applyAlignment="1">
      <alignment horizontal="right"/>
    </xf>
    <xf numFmtId="0" fontId="3" fillId="0" borderId="8" xfId="0" applyFont="1" applyFill="1" applyBorder="1" applyAlignment="1">
      <alignment wrapText="1"/>
    </xf>
    <xf numFmtId="164" fontId="3" fillId="0" borderId="8" xfId="0" applyNumberFormat="1" applyFont="1" applyFill="1" applyBorder="1" applyAlignment="1">
      <alignment horizontal="center"/>
    </xf>
    <xf numFmtId="0" fontId="3" fillId="0" borderId="4" xfId="0" applyFont="1" applyFill="1" applyBorder="1" applyAlignment="1"/>
    <xf numFmtId="0" fontId="3" fillId="0" borderId="4" xfId="0" applyFont="1" applyFill="1" applyBorder="1" applyAlignment="1">
      <alignment vertical="top" wrapText="1"/>
    </xf>
    <xf numFmtId="165" fontId="3" fillId="0" borderId="25" xfId="0" applyNumberFormat="1" applyFont="1" applyFill="1" applyBorder="1" applyAlignment="1">
      <alignment horizontal="right"/>
    </xf>
    <xf numFmtId="166" fontId="3" fillId="0" borderId="4" xfId="0" applyNumberFormat="1" applyFont="1" applyFill="1" applyBorder="1" applyAlignment="1"/>
    <xf numFmtId="165" fontId="3" fillId="0" borderId="26" xfId="0" applyNumberFormat="1" applyFont="1" applyFill="1" applyBorder="1" applyAlignment="1"/>
    <xf numFmtId="0" fontId="3" fillId="3" borderId="14" xfId="0" applyFont="1" applyFill="1" applyBorder="1" applyAlignment="1">
      <alignment horizontal="center" vertical="center"/>
    </xf>
    <xf numFmtId="165" fontId="3" fillId="0" borderId="26" xfId="0" applyNumberFormat="1" applyFont="1" applyFill="1" applyBorder="1" applyAlignment="1">
      <alignment horizontal="right"/>
    </xf>
    <xf numFmtId="165" fontId="3" fillId="3" borderId="0" xfId="0" applyNumberFormat="1" applyFont="1" applyFill="1" applyBorder="1" applyAlignment="1">
      <alignment horizontal="right"/>
    </xf>
    <xf numFmtId="0" fontId="3" fillId="0" borderId="5" xfId="0" applyFont="1" applyFill="1" applyBorder="1" applyAlignment="1">
      <alignment wrapText="1"/>
    </xf>
    <xf numFmtId="0" fontId="5" fillId="0" borderId="0" xfId="0" applyFont="1" applyFill="1" applyAlignment="1">
      <alignment horizontal="center"/>
    </xf>
    <xf numFmtId="164" fontId="5" fillId="0" borderId="3" xfId="0" applyNumberFormat="1" applyFont="1" applyFill="1" applyBorder="1" applyAlignment="1">
      <alignment horizontal="center"/>
    </xf>
    <xf numFmtId="0" fontId="10" fillId="0" borderId="0" xfId="0" applyFont="1" applyFill="1" applyAlignment="1"/>
    <xf numFmtId="0" fontId="1" fillId="0" borderId="0" xfId="0" applyFont="1" applyFill="1" applyAlignment="1"/>
    <xf numFmtId="165" fontId="11" fillId="0" borderId="3" xfId="0" applyNumberFormat="1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/>
    </xf>
    <xf numFmtId="0" fontId="3" fillId="0" borderId="16" xfId="0" applyFont="1" applyFill="1" applyBorder="1"/>
    <xf numFmtId="0" fontId="11" fillId="0" borderId="4" xfId="0" applyFont="1" applyFill="1" applyBorder="1" applyAlignment="1">
      <alignment horizontal="center"/>
    </xf>
    <xf numFmtId="165" fontId="4" fillId="0" borderId="27" xfId="0" applyNumberFormat="1" applyFont="1" applyFill="1" applyBorder="1" applyAlignment="1">
      <alignment horizontal="right"/>
    </xf>
    <xf numFmtId="165" fontId="4" fillId="0" borderId="15" xfId="0" applyNumberFormat="1" applyFont="1" applyFill="1" applyBorder="1" applyAlignment="1">
      <alignment horizontal="center"/>
    </xf>
    <xf numFmtId="165" fontId="4" fillId="0" borderId="28" xfId="0" applyNumberFormat="1" applyFont="1" applyFill="1" applyBorder="1" applyAlignment="1">
      <alignment horizontal="right"/>
    </xf>
    <xf numFmtId="165" fontId="4" fillId="0" borderId="29" xfId="0" applyNumberFormat="1" applyFont="1" applyFill="1" applyBorder="1" applyAlignment="1">
      <alignment horizontal="right"/>
    </xf>
    <xf numFmtId="165" fontId="4" fillId="0" borderId="30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65" fontId="3" fillId="0" borderId="3" xfId="0" applyNumberFormat="1" applyFont="1" applyFill="1" applyBorder="1" applyAlignment="1">
      <alignment horizontal="left" wrapText="1"/>
    </xf>
    <xf numFmtId="0" fontId="3" fillId="0" borderId="0" xfId="0" applyFont="1" applyAlignment="1"/>
    <xf numFmtId="165" fontId="3" fillId="0" borderId="4" xfId="0" applyNumberFormat="1" applyFont="1" applyFill="1" applyBorder="1" applyAlignment="1">
      <alignment horizontal="left" wrapText="1"/>
    </xf>
    <xf numFmtId="165" fontId="5" fillId="0" borderId="4" xfId="2" applyNumberFormat="1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0" fontId="5" fillId="0" borderId="0" xfId="0" applyFont="1" applyFill="1" applyAlignment="1"/>
    <xf numFmtId="165" fontId="3" fillId="0" borderId="4" xfId="2" applyNumberFormat="1" applyFont="1" applyFill="1" applyBorder="1" applyAlignment="1">
      <alignment horizontal="left" wrapText="1"/>
    </xf>
    <xf numFmtId="165" fontId="3" fillId="0" borderId="6" xfId="0" applyNumberFormat="1" applyFont="1" applyFill="1" applyBorder="1" applyAlignment="1"/>
    <xf numFmtId="3" fontId="3" fillId="0" borderId="6" xfId="0" applyNumberFormat="1" applyFont="1" applyFill="1" applyBorder="1" applyAlignment="1">
      <alignment horizontal="center"/>
    </xf>
    <xf numFmtId="3" fontId="5" fillId="0" borderId="3" xfId="2" applyNumberFormat="1" applyFont="1" applyFill="1" applyBorder="1" applyAlignment="1">
      <alignment horizontal="center" wrapText="1"/>
    </xf>
    <xf numFmtId="165" fontId="3" fillId="0" borderId="4" xfId="0" applyNumberFormat="1" applyFont="1" applyFill="1" applyBorder="1" applyAlignment="1">
      <alignment horizontal="left"/>
    </xf>
    <xf numFmtId="165" fontId="3" fillId="0" borderId="0" xfId="0" applyNumberFormat="1" applyFont="1" applyFill="1" applyAlignment="1"/>
    <xf numFmtId="165" fontId="5" fillId="0" borderId="7" xfId="2" applyNumberFormat="1" applyFont="1" applyFill="1" applyBorder="1" applyAlignment="1">
      <alignment horizontal="left" wrapText="1"/>
    </xf>
    <xf numFmtId="165" fontId="3" fillId="0" borderId="0" xfId="0" applyNumberFormat="1" applyFont="1"/>
    <xf numFmtId="165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65" fontId="3" fillId="0" borderId="7" xfId="0" applyNumberFormat="1" applyFont="1" applyFill="1" applyBorder="1" applyAlignment="1">
      <alignment horizontal="center"/>
    </xf>
    <xf numFmtId="3" fontId="3" fillId="0" borderId="7" xfId="0" applyNumberFormat="1" applyFont="1" applyFill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165" fontId="3" fillId="0" borderId="15" xfId="0" applyNumberFormat="1" applyFont="1" applyFill="1" applyBorder="1" applyAlignment="1">
      <alignment horizontal="right"/>
    </xf>
    <xf numFmtId="165" fontId="3" fillId="0" borderId="9" xfId="0" applyNumberFormat="1" applyFont="1" applyFill="1" applyBorder="1" applyAlignment="1">
      <alignment horizontal="center"/>
    </xf>
    <xf numFmtId="167" fontId="3" fillId="0" borderId="3" xfId="0" applyNumberFormat="1" applyFont="1" applyFill="1" applyBorder="1" applyAlignment="1">
      <alignment horizontal="center"/>
    </xf>
    <xf numFmtId="0" fontId="3" fillId="0" borderId="4" xfId="1" applyFont="1" applyFill="1" applyBorder="1" applyAlignment="1">
      <alignment wrapText="1"/>
    </xf>
    <xf numFmtId="164" fontId="3" fillId="0" borderId="4" xfId="1" applyNumberFormat="1" applyFont="1" applyFill="1" applyBorder="1" applyAlignment="1">
      <alignment horizontal="center"/>
    </xf>
    <xf numFmtId="1" fontId="3" fillId="0" borderId="4" xfId="1" applyNumberFormat="1" applyFont="1" applyFill="1" applyBorder="1" applyAlignment="1">
      <alignment horizontal="center"/>
    </xf>
    <xf numFmtId="165" fontId="3" fillId="0" borderId="4" xfId="1" applyNumberFormat="1" applyFont="1" applyFill="1" applyBorder="1" applyAlignment="1">
      <alignment horizontal="left" wrapText="1"/>
    </xf>
    <xf numFmtId="165" fontId="3" fillId="0" borderId="7" xfId="1" applyNumberFormat="1" applyFont="1" applyFill="1" applyBorder="1" applyAlignment="1">
      <alignment horizontal="left"/>
    </xf>
    <xf numFmtId="165" fontId="3" fillId="0" borderId="7" xfId="1" applyNumberFormat="1" applyFont="1" applyFill="1" applyBorder="1" applyAlignment="1"/>
    <xf numFmtId="165" fontId="3" fillId="0" borderId="7" xfId="1" applyNumberFormat="1" applyFont="1" applyFill="1" applyBorder="1" applyAlignment="1">
      <alignment horizontal="right"/>
    </xf>
    <xf numFmtId="165" fontId="3" fillId="0" borderId="4" xfId="1" applyNumberFormat="1" applyFont="1" applyFill="1" applyBorder="1" applyAlignment="1"/>
    <xf numFmtId="165" fontId="3" fillId="0" borderId="4" xfId="1" applyNumberFormat="1" applyFont="1" applyFill="1" applyBorder="1" applyAlignment="1">
      <alignment horizontal="right"/>
    </xf>
    <xf numFmtId="49" fontId="3" fillId="0" borderId="4" xfId="1" applyNumberFormat="1" applyFont="1" applyFill="1" applyBorder="1" applyAlignment="1">
      <alignment horizontal="center"/>
    </xf>
    <xf numFmtId="3" fontId="3" fillId="0" borderId="4" xfId="1" applyNumberFormat="1" applyFont="1" applyFill="1" applyBorder="1" applyAlignment="1">
      <alignment horizontal="center"/>
    </xf>
    <xf numFmtId="165" fontId="3" fillId="0" borderId="4" xfId="1" applyNumberFormat="1" applyFont="1" applyFill="1" applyBorder="1" applyAlignment="1">
      <alignment horizontal="center"/>
    </xf>
    <xf numFmtId="49" fontId="3" fillId="0" borderId="7" xfId="1" applyNumberFormat="1" applyFont="1" applyFill="1" applyBorder="1" applyAlignment="1">
      <alignment horizontal="center"/>
    </xf>
    <xf numFmtId="165" fontId="3" fillId="0" borderId="3" xfId="1" applyNumberFormat="1" applyFont="1" applyFill="1" applyBorder="1" applyAlignment="1">
      <alignment horizontal="right"/>
    </xf>
    <xf numFmtId="165" fontId="3" fillId="0" borderId="7" xfId="0" applyNumberFormat="1" applyFont="1" applyFill="1" applyBorder="1" applyAlignment="1">
      <alignment horizontal="left" wrapText="1"/>
    </xf>
    <xf numFmtId="165" fontId="4" fillId="0" borderId="3" xfId="0" applyNumberFormat="1" applyFont="1" applyFill="1" applyBorder="1" applyAlignment="1">
      <alignment horizontal="right"/>
    </xf>
    <xf numFmtId="166" fontId="3" fillId="0" borderId="0" xfId="0" applyNumberFormat="1" applyFont="1" applyFill="1" applyAlignment="1">
      <alignment horizontal="left"/>
    </xf>
    <xf numFmtId="165" fontId="4" fillId="0" borderId="0" xfId="0" applyNumberFormat="1" applyFont="1" applyFill="1" applyBorder="1" applyAlignment="1">
      <alignment horizontal="left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5" fontId="4" fillId="0" borderId="3" xfId="0" applyNumberFormat="1" applyFont="1" applyFill="1" applyBorder="1" applyAlignment="1"/>
    <xf numFmtId="165" fontId="13" fillId="0" borderId="3" xfId="0" applyNumberFormat="1" applyFont="1" applyFill="1" applyBorder="1" applyAlignment="1"/>
    <xf numFmtId="165" fontId="4" fillId="0" borderId="4" xfId="0" applyNumberFormat="1" applyFont="1" applyFill="1" applyBorder="1" applyAlignment="1"/>
    <xf numFmtId="165" fontId="13" fillId="0" borderId="4" xfId="2" applyNumberFormat="1" applyFont="1" applyFill="1" applyBorder="1" applyAlignment="1">
      <alignment horizontal="right" wrapText="1"/>
    </xf>
    <xf numFmtId="165" fontId="13" fillId="0" borderId="3" xfId="0" applyNumberFormat="1" applyFont="1" applyFill="1" applyBorder="1" applyAlignment="1">
      <alignment horizontal="right"/>
    </xf>
    <xf numFmtId="165" fontId="4" fillId="0" borderId="4" xfId="0" applyNumberFormat="1" applyFont="1" applyFill="1" applyBorder="1" applyAlignment="1">
      <alignment horizontal="right"/>
    </xf>
    <xf numFmtId="165" fontId="13" fillId="0" borderId="4" xfId="0" applyNumberFormat="1" applyFont="1" applyFill="1" applyBorder="1" applyAlignment="1">
      <alignment horizontal="right"/>
    </xf>
    <xf numFmtId="165" fontId="13" fillId="0" borderId="3" xfId="2" applyNumberFormat="1" applyFont="1" applyFill="1" applyBorder="1" applyAlignment="1">
      <alignment horizontal="right" wrapText="1"/>
    </xf>
    <xf numFmtId="165" fontId="4" fillId="0" borderId="4" xfId="1" applyNumberFormat="1" applyFont="1" applyFill="1" applyBorder="1" applyAlignment="1"/>
    <xf numFmtId="165" fontId="4" fillId="0" borderId="7" xfId="0" applyNumberFormat="1" applyFont="1" applyFill="1" applyBorder="1" applyAlignment="1">
      <alignment horizontal="right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165" fontId="14" fillId="0" borderId="3" xfId="0" applyNumberFormat="1" applyFont="1" applyFill="1" applyBorder="1" applyAlignment="1"/>
    <xf numFmtId="165" fontId="14" fillId="0" borderId="4" xfId="0" applyNumberFormat="1" applyFont="1" applyFill="1" applyBorder="1" applyAlignment="1"/>
    <xf numFmtId="0" fontId="4" fillId="0" borderId="0" xfId="0" applyFont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4" fillId="0" borderId="0" xfId="0" applyFont="1" applyAlignment="1">
      <alignment horizontal="left" vertical="center" wrapText="1"/>
    </xf>
    <xf numFmtId="3" fontId="4" fillId="0" borderId="0" xfId="0" applyNumberFormat="1" applyFont="1" applyFill="1"/>
    <xf numFmtId="0" fontId="15" fillId="2" borderId="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/>
    </xf>
    <xf numFmtId="3" fontId="15" fillId="0" borderId="9" xfId="0" applyNumberFormat="1" applyFont="1" applyFill="1" applyBorder="1" applyAlignment="1">
      <alignment horizontal="right"/>
    </xf>
    <xf numFmtId="165" fontId="15" fillId="3" borderId="0" xfId="0" applyNumberFormat="1" applyFont="1" applyFill="1" applyBorder="1" applyAlignment="1">
      <alignment horizontal="right"/>
    </xf>
    <xf numFmtId="3" fontId="15" fillId="0" borderId="9" xfId="0" applyNumberFormat="1" applyFont="1" applyFill="1" applyBorder="1" applyAlignment="1">
      <alignment horizontal="center"/>
    </xf>
    <xf numFmtId="0" fontId="15" fillId="0" borderId="0" xfId="0" applyFont="1"/>
    <xf numFmtId="3" fontId="15" fillId="0" borderId="3" xfId="0" applyNumberFormat="1" applyFont="1" applyFill="1" applyBorder="1" applyAlignment="1">
      <alignment horizontal="center"/>
    </xf>
    <xf numFmtId="165" fontId="15" fillId="0" borderId="3" xfId="0" applyNumberFormat="1" applyFont="1" applyFill="1" applyBorder="1" applyAlignment="1">
      <alignment horizontal="center"/>
    </xf>
    <xf numFmtId="3" fontId="15" fillId="0" borderId="4" xfId="0" applyNumberFormat="1" applyFont="1" applyFill="1" applyBorder="1" applyAlignment="1">
      <alignment horizontal="center"/>
    </xf>
    <xf numFmtId="1" fontId="15" fillId="0" borderId="4" xfId="0" applyNumberFormat="1" applyFont="1" applyFill="1" applyBorder="1" applyAlignment="1">
      <alignment horizontal="center"/>
    </xf>
    <xf numFmtId="3" fontId="15" fillId="0" borderId="4" xfId="1" applyNumberFormat="1" applyFont="1" applyFill="1" applyBorder="1" applyAlignment="1">
      <alignment horizontal="center"/>
    </xf>
    <xf numFmtId="3" fontId="15" fillId="0" borderId="7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0" xfId="0" applyFont="1" applyFill="1" applyAlignment="1">
      <alignment horizontal="left"/>
    </xf>
    <xf numFmtId="3" fontId="15" fillId="0" borderId="0" xfId="0" applyNumberFormat="1" applyFont="1" applyFill="1" applyAlignment="1">
      <alignment horizontal="left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3" fontId="15" fillId="0" borderId="25" xfId="0" applyNumberFormat="1" applyFont="1" applyFill="1" applyBorder="1" applyAlignment="1">
      <alignment horizontal="right"/>
    </xf>
    <xf numFmtId="3" fontId="15" fillId="0" borderId="4" xfId="0" applyNumberFormat="1" applyFont="1" applyFill="1" applyBorder="1" applyAlignment="1">
      <alignment horizontal="right"/>
    </xf>
    <xf numFmtId="3" fontId="15" fillId="0" borderId="3" xfId="0" applyNumberFormat="1" applyFont="1" applyFill="1" applyBorder="1" applyAlignment="1"/>
    <xf numFmtId="49" fontId="15" fillId="0" borderId="4" xfId="1" applyNumberFormat="1" applyFont="1" applyFill="1" applyBorder="1" applyAlignment="1">
      <alignment horizontal="right"/>
    </xf>
    <xf numFmtId="3" fontId="15" fillId="0" borderId="26" xfId="0" applyNumberFormat="1" applyFont="1" applyFill="1" applyBorder="1" applyAlignment="1">
      <alignment horizontal="right"/>
    </xf>
    <xf numFmtId="0" fontId="15" fillId="0" borderId="0" xfId="0" applyFont="1" applyFill="1" applyBorder="1"/>
    <xf numFmtId="0" fontId="15" fillId="0" borderId="0" xfId="0" applyFont="1" applyAlignment="1">
      <alignment horizontal="left" vertical="center" wrapText="1"/>
    </xf>
    <xf numFmtId="3" fontId="15" fillId="0" borderId="27" xfId="0" applyNumberFormat="1" applyFont="1" applyFill="1" applyBorder="1" applyAlignment="1">
      <alignment horizontal="center"/>
    </xf>
    <xf numFmtId="165" fontId="15" fillId="0" borderId="0" xfId="0" applyNumberFormat="1" applyFont="1" applyFill="1" applyBorder="1" applyAlignment="1">
      <alignment horizontal="center"/>
    </xf>
    <xf numFmtId="3" fontId="15" fillId="0" borderId="0" xfId="0" applyNumberFormat="1" applyFont="1" applyFill="1"/>
    <xf numFmtId="165" fontId="3" fillId="0" borderId="0" xfId="0" applyNumberFormat="1" applyFont="1" applyAlignment="1"/>
    <xf numFmtId="0" fontId="3" fillId="7" borderId="0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4" xfId="0" applyFont="1" applyFill="1" applyBorder="1" applyAlignment="1">
      <alignment wrapText="1"/>
    </xf>
    <xf numFmtId="0" fontId="3" fillId="7" borderId="5" xfId="0" applyFont="1" applyFill="1" applyBorder="1" applyAlignment="1">
      <alignment horizontal="center"/>
    </xf>
    <xf numFmtId="1" fontId="3" fillId="7" borderId="4" xfId="0" applyNumberFormat="1" applyFont="1" applyFill="1" applyBorder="1" applyAlignment="1">
      <alignment horizontal="center"/>
    </xf>
    <xf numFmtId="165" fontId="5" fillId="7" borderId="4" xfId="2" applyNumberFormat="1" applyFont="1" applyFill="1" applyBorder="1" applyAlignment="1">
      <alignment horizontal="left" wrapText="1"/>
    </xf>
    <xf numFmtId="165" fontId="3" fillId="7" borderId="4" xfId="0" applyNumberFormat="1" applyFont="1" applyFill="1" applyBorder="1" applyAlignment="1">
      <alignment horizontal="center"/>
    </xf>
    <xf numFmtId="165" fontId="3" fillId="7" borderId="4" xfId="0" applyNumberFormat="1" applyFont="1" applyFill="1" applyBorder="1" applyAlignment="1">
      <alignment horizontal="right"/>
    </xf>
    <xf numFmtId="165" fontId="3" fillId="7" borderId="4" xfId="0" applyNumberFormat="1" applyFont="1" applyFill="1" applyBorder="1" applyAlignment="1"/>
    <xf numFmtId="165" fontId="5" fillId="7" borderId="4" xfId="2" applyNumberFormat="1" applyFont="1" applyFill="1" applyBorder="1" applyAlignment="1">
      <alignment horizontal="right" wrapText="1"/>
    </xf>
    <xf numFmtId="165" fontId="5" fillId="7" borderId="3" xfId="2" applyNumberFormat="1" applyFont="1" applyFill="1" applyBorder="1" applyAlignment="1">
      <alignment horizontal="right" wrapText="1"/>
    </xf>
    <xf numFmtId="165" fontId="4" fillId="7" borderId="3" xfId="0" applyNumberFormat="1" applyFont="1" applyFill="1" applyBorder="1" applyAlignment="1">
      <alignment horizontal="right"/>
    </xf>
    <xf numFmtId="165" fontId="3" fillId="7" borderId="3" xfId="0" applyNumberFormat="1" applyFont="1" applyFill="1" applyBorder="1" applyAlignment="1"/>
    <xf numFmtId="165" fontId="3" fillId="7" borderId="3" xfId="0" applyNumberFormat="1" applyFont="1" applyFill="1" applyBorder="1" applyAlignment="1">
      <alignment horizontal="right"/>
    </xf>
    <xf numFmtId="165" fontId="14" fillId="7" borderId="3" xfId="0" applyNumberFormat="1" applyFont="1" applyFill="1" applyBorder="1" applyAlignment="1"/>
    <xf numFmtId="3" fontId="15" fillId="7" borderId="4" xfId="0" applyNumberFormat="1" applyFont="1" applyFill="1" applyBorder="1" applyAlignment="1">
      <alignment horizontal="right"/>
    </xf>
    <xf numFmtId="49" fontId="3" fillId="7" borderId="4" xfId="0" applyNumberFormat="1" applyFont="1" applyFill="1" applyBorder="1" applyAlignment="1">
      <alignment horizontal="center"/>
    </xf>
    <xf numFmtId="3" fontId="15" fillId="7" borderId="4" xfId="0" applyNumberFormat="1" applyFont="1" applyFill="1" applyBorder="1" applyAlignment="1">
      <alignment horizontal="center"/>
    </xf>
    <xf numFmtId="3" fontId="3" fillId="7" borderId="4" xfId="0" applyNumberFormat="1" applyFont="1" applyFill="1" applyBorder="1" applyAlignment="1">
      <alignment horizontal="center"/>
    </xf>
    <xf numFmtId="3" fontId="3" fillId="7" borderId="3" xfId="0" applyNumberFormat="1" applyFont="1" applyFill="1" applyBorder="1" applyAlignment="1">
      <alignment horizontal="center"/>
    </xf>
    <xf numFmtId="3" fontId="15" fillId="7" borderId="3" xfId="0" applyNumberFormat="1" applyFont="1" applyFill="1" applyBorder="1" applyAlignment="1">
      <alignment horizontal="center"/>
    </xf>
    <xf numFmtId="165" fontId="3" fillId="7" borderId="3" xfId="0" applyNumberFormat="1" applyFont="1" applyFill="1" applyBorder="1" applyAlignment="1">
      <alignment horizontal="center"/>
    </xf>
    <xf numFmtId="165" fontId="3" fillId="7" borderId="0" xfId="0" applyNumberFormat="1" applyFont="1" applyFill="1" applyAlignment="1"/>
    <xf numFmtId="0" fontId="0" fillId="7" borderId="0" xfId="0" applyFill="1" applyAlignment="1"/>
    <xf numFmtId="168" fontId="4" fillId="3" borderId="0" xfId="0" applyNumberFormat="1" applyFont="1" applyFill="1" applyBorder="1" applyAlignment="1">
      <alignment horizontal="center"/>
    </xf>
    <xf numFmtId="168" fontId="12" fillId="3" borderId="0" xfId="0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</cellXfs>
  <cellStyles count="3">
    <cellStyle name="Normal" xfId="0" builtinId="0"/>
    <cellStyle name="Normal 2" xfId="1"/>
    <cellStyle name="Normal_Sheet1" xfId="2"/>
  </cellStyles>
  <dxfs count="0"/>
  <tableStyles count="0" defaultTableStyle="TableStyleMedium2" defaultPivotStyle="PivotStyleLight16"/>
  <colors>
    <mruColors>
      <color rgb="FF0000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VTRMSUPP\BRANCH\2011%20BUDGET\SPECIAL%20PLATES%202010\FY%2009%2010%20DEPOSI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5">
          <cell r="N5">
            <v>0</v>
          </cell>
        </row>
        <row r="7">
          <cell r="I7">
            <v>173952.55</v>
          </cell>
          <cell r="N7">
            <v>0</v>
          </cell>
        </row>
        <row r="11">
          <cell r="N11">
            <v>0</v>
          </cell>
        </row>
        <row r="12">
          <cell r="I12">
            <v>165819.96</v>
          </cell>
          <cell r="N12">
            <v>0</v>
          </cell>
        </row>
        <row r="13">
          <cell r="I13">
            <v>338404.66</v>
          </cell>
          <cell r="N13">
            <v>0</v>
          </cell>
        </row>
        <row r="15">
          <cell r="I15">
            <v>0</v>
          </cell>
          <cell r="N15">
            <v>0</v>
          </cell>
        </row>
        <row r="19">
          <cell r="I19">
            <v>12235.625</v>
          </cell>
          <cell r="N19">
            <v>182554.375</v>
          </cell>
        </row>
        <row r="20">
          <cell r="I20">
            <v>73</v>
          </cell>
          <cell r="N20">
            <v>412</v>
          </cell>
        </row>
        <row r="25">
          <cell r="I25">
            <v>175</v>
          </cell>
          <cell r="N25">
            <v>785</v>
          </cell>
        </row>
        <row r="27">
          <cell r="I27">
            <v>5129</v>
          </cell>
          <cell r="N27">
            <v>0</v>
          </cell>
        </row>
        <row r="28">
          <cell r="N28">
            <v>0</v>
          </cell>
        </row>
        <row r="29">
          <cell r="I29">
            <v>3986.3</v>
          </cell>
        </row>
        <row r="32">
          <cell r="I32">
            <v>8152.4</v>
          </cell>
          <cell r="N32">
            <v>0</v>
          </cell>
        </row>
        <row r="33">
          <cell r="I33">
            <v>14756</v>
          </cell>
          <cell r="N33">
            <v>0</v>
          </cell>
        </row>
        <row r="38">
          <cell r="N38">
            <v>0</v>
          </cell>
        </row>
        <row r="39">
          <cell r="I39">
            <v>44114</v>
          </cell>
          <cell r="N39">
            <v>0</v>
          </cell>
        </row>
        <row r="40">
          <cell r="N40">
            <v>0</v>
          </cell>
        </row>
        <row r="41">
          <cell r="I41">
            <v>6446.4</v>
          </cell>
          <cell r="N41">
            <v>0</v>
          </cell>
        </row>
        <row r="42">
          <cell r="N42">
            <v>0</v>
          </cell>
        </row>
        <row r="43">
          <cell r="I43">
            <v>2979</v>
          </cell>
          <cell r="N43">
            <v>0</v>
          </cell>
        </row>
        <row r="45">
          <cell r="I45">
            <v>2098.8125</v>
          </cell>
          <cell r="N45">
            <v>31286.1875</v>
          </cell>
        </row>
        <row r="46">
          <cell r="I46">
            <v>547</v>
          </cell>
          <cell r="N46">
            <v>2303</v>
          </cell>
        </row>
        <row r="48">
          <cell r="N48">
            <v>0</v>
          </cell>
        </row>
        <row r="49">
          <cell r="I49">
            <v>0</v>
          </cell>
          <cell r="N49">
            <v>0</v>
          </cell>
        </row>
        <row r="50">
          <cell r="I50">
            <v>2196</v>
          </cell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I54">
            <v>0</v>
          </cell>
          <cell r="N54">
            <v>0</v>
          </cell>
        </row>
        <row r="55">
          <cell r="N55">
            <v>0</v>
          </cell>
        </row>
        <row r="56">
          <cell r="I56">
            <v>0</v>
          </cell>
          <cell r="N56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9">
          <cell r="I69">
            <v>1965</v>
          </cell>
          <cell r="N69">
            <v>8678</v>
          </cell>
        </row>
        <row r="74">
          <cell r="I74">
            <v>480</v>
          </cell>
          <cell r="N74">
            <v>1860</v>
          </cell>
        </row>
        <row r="75">
          <cell r="I75">
            <v>1428</v>
          </cell>
          <cell r="N75">
            <v>5896</v>
          </cell>
        </row>
        <row r="79">
          <cell r="N79">
            <v>0</v>
          </cell>
        </row>
        <row r="80">
          <cell r="I80">
            <v>2703</v>
          </cell>
          <cell r="N80">
            <v>10818</v>
          </cell>
        </row>
        <row r="82">
          <cell r="I82">
            <v>0</v>
          </cell>
          <cell r="N82">
            <v>0</v>
          </cell>
        </row>
        <row r="83">
          <cell r="I83">
            <v>2404.3000000000002</v>
          </cell>
          <cell r="N83">
            <v>0</v>
          </cell>
        </row>
        <row r="85">
          <cell r="N85">
            <v>0</v>
          </cell>
        </row>
        <row r="87">
          <cell r="N87">
            <v>0</v>
          </cell>
        </row>
        <row r="91">
          <cell r="I91">
            <v>21489</v>
          </cell>
          <cell r="N91">
            <v>0</v>
          </cell>
        </row>
        <row r="95">
          <cell r="N95">
            <v>0</v>
          </cell>
        </row>
        <row r="97">
          <cell r="I97">
            <v>0</v>
          </cell>
          <cell r="N97">
            <v>0</v>
          </cell>
        </row>
        <row r="99">
          <cell r="N99">
            <v>0</v>
          </cell>
        </row>
        <row r="100">
          <cell r="I100">
            <v>3728</v>
          </cell>
          <cell r="N100">
            <v>0</v>
          </cell>
        </row>
        <row r="102">
          <cell r="I102">
            <v>160</v>
          </cell>
          <cell r="N102">
            <v>620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I106">
            <v>311</v>
          </cell>
          <cell r="N106">
            <v>1370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2">
          <cell r="N112">
            <v>0</v>
          </cell>
        </row>
        <row r="116">
          <cell r="I116">
            <v>219</v>
          </cell>
          <cell r="N116">
            <v>1041</v>
          </cell>
        </row>
        <row r="121">
          <cell r="N121">
            <v>0</v>
          </cell>
        </row>
        <row r="132">
          <cell r="I132">
            <v>63714</v>
          </cell>
          <cell r="N132">
            <v>0</v>
          </cell>
        </row>
        <row r="134">
          <cell r="I134">
            <v>0</v>
          </cell>
          <cell r="N134">
            <v>0</v>
          </cell>
        </row>
        <row r="142">
          <cell r="I142">
            <v>1044</v>
          </cell>
          <cell r="N142">
            <v>4356</v>
          </cell>
        </row>
        <row r="143">
          <cell r="I143">
            <v>908</v>
          </cell>
          <cell r="N143">
            <v>2485</v>
          </cell>
        </row>
        <row r="145">
          <cell r="I145">
            <v>595</v>
          </cell>
          <cell r="N145">
            <v>2705</v>
          </cell>
        </row>
        <row r="147">
          <cell r="I147">
            <v>0</v>
          </cell>
          <cell r="N147">
            <v>0</v>
          </cell>
        </row>
        <row r="152">
          <cell r="N152">
            <v>0</v>
          </cell>
        </row>
        <row r="159">
          <cell r="I159">
            <v>926</v>
          </cell>
          <cell r="N159">
            <v>3412</v>
          </cell>
        </row>
        <row r="160">
          <cell r="I160">
            <v>2996</v>
          </cell>
          <cell r="N160">
            <v>10084</v>
          </cell>
        </row>
        <row r="161">
          <cell r="I161">
            <v>0</v>
          </cell>
          <cell r="N161">
            <v>0</v>
          </cell>
        </row>
        <row r="162">
          <cell r="I162">
            <v>0</v>
          </cell>
          <cell r="N162">
            <v>0</v>
          </cell>
        </row>
        <row r="172">
          <cell r="I172">
            <v>728</v>
          </cell>
          <cell r="N172">
            <v>2600</v>
          </cell>
        </row>
        <row r="173">
          <cell r="I173">
            <v>1214</v>
          </cell>
          <cell r="N173">
            <v>3776</v>
          </cell>
        </row>
        <row r="177">
          <cell r="N177">
            <v>0</v>
          </cell>
        </row>
        <row r="178">
          <cell r="N178">
            <v>0</v>
          </cell>
        </row>
        <row r="181">
          <cell r="N181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8"/>
  <sheetViews>
    <sheetView tabSelected="1" topLeftCell="Y129" zoomScaleNormal="100" workbookViewId="0">
      <selection activeCell="Y218" sqref="Y218:AA218"/>
    </sheetView>
  </sheetViews>
  <sheetFormatPr defaultRowHeight="13" x14ac:dyDescent="0.2"/>
  <cols>
    <col min="1" max="1" width="4.375" style="177" customWidth="1"/>
    <col min="2" max="2" width="9" style="178"/>
    <col min="3" max="3" width="44.125" style="178" customWidth="1"/>
    <col min="4" max="4" width="15.25" style="178" customWidth="1"/>
    <col min="5" max="5" width="10" style="178" customWidth="1"/>
    <col min="6" max="6" width="19.125" style="101" customWidth="1"/>
    <col min="7" max="7" width="18.875" style="101" customWidth="1"/>
    <col min="8" max="8" width="9.5" style="178" customWidth="1"/>
    <col min="9" max="9" width="10.875" style="178" customWidth="1"/>
    <col min="10" max="11" width="11.25" style="178" customWidth="1"/>
    <col min="12" max="13" width="11.375" style="178" customWidth="1"/>
    <col min="14" max="14" width="11.125" style="178" customWidth="1"/>
    <col min="15" max="15" width="10.75" style="178" customWidth="1"/>
    <col min="16" max="16" width="10.375" style="178" customWidth="1"/>
    <col min="17" max="18" width="10.625" style="178" customWidth="1"/>
    <col min="19" max="19" width="10.75" style="178" customWidth="1"/>
    <col min="20" max="20" width="10.875" style="178" customWidth="1"/>
    <col min="21" max="21" width="11.125" style="178" customWidth="1"/>
    <col min="22" max="23" width="10.625" style="178" customWidth="1"/>
    <col min="24" max="24" width="10.875" style="1" customWidth="1"/>
    <col min="25" max="25" width="11.125" style="1" customWidth="1"/>
    <col min="26" max="27" width="11" style="138" customWidth="1"/>
    <col min="28" max="28" width="11.25" style="239" customWidth="1"/>
    <col min="29" max="29" width="11.375" style="252" customWidth="1"/>
    <col min="30" max="30" width="8.125" style="178" customWidth="1"/>
    <col min="31" max="31" width="8.625" style="178" customWidth="1"/>
    <col min="32" max="32" width="11.25" style="252" customWidth="1"/>
    <col min="33" max="33" width="9.5" style="178" customWidth="1"/>
    <col min="34" max="34" width="9.75" style="177" customWidth="1"/>
    <col min="35" max="35" width="10" style="178" customWidth="1"/>
    <col min="36" max="36" width="10.125" style="178" customWidth="1"/>
    <col min="37" max="37" width="10.5" style="1" customWidth="1"/>
    <col min="38" max="38" width="11.375" style="252" customWidth="1"/>
    <col min="39" max="39" width="9.125" style="177" customWidth="1"/>
    <col min="40" max="40" width="11.25" style="178" customWidth="1"/>
    <col min="41" max="41" width="11.75" style="178" customWidth="1"/>
    <col min="42" max="42" width="11.75" style="1" customWidth="1"/>
    <col min="43" max="43" width="11.75" style="178" customWidth="1"/>
    <col min="44" max="44" width="9" style="178"/>
  </cols>
  <sheetData>
    <row r="1" spans="1:44" ht="0.75" customHeight="1" thickBot="1" x14ac:dyDescent="0.25">
      <c r="AR1" s="1"/>
    </row>
    <row r="2" spans="1:44" ht="34.75" customHeight="1" thickBot="1" x14ac:dyDescent="0.25">
      <c r="A2" s="4"/>
      <c r="B2" s="301" t="s">
        <v>134</v>
      </c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3"/>
    </row>
    <row r="3" spans="1:44" ht="13.7" thickBot="1" x14ac:dyDescent="0.25">
      <c r="A3" s="4"/>
      <c r="B3" s="165"/>
      <c r="C3" s="88"/>
      <c r="D3" s="89"/>
      <c r="E3" s="88"/>
      <c r="F3" s="97"/>
      <c r="G3" s="97"/>
      <c r="H3" s="88"/>
      <c r="I3" s="89"/>
      <c r="J3" s="89"/>
      <c r="K3" s="89"/>
      <c r="L3" s="89"/>
      <c r="M3" s="89"/>
      <c r="N3" s="89"/>
      <c r="O3" s="89"/>
      <c r="P3" s="88"/>
      <c r="Q3" s="89"/>
      <c r="R3" s="88"/>
      <c r="S3" s="89"/>
      <c r="T3" s="89"/>
      <c r="U3" s="89"/>
      <c r="V3" s="89"/>
      <c r="W3" s="89"/>
      <c r="X3" s="89"/>
      <c r="Y3" s="88"/>
      <c r="Z3" s="137"/>
      <c r="AA3" s="137"/>
      <c r="AB3" s="89"/>
      <c r="AC3" s="244"/>
      <c r="AD3" s="88"/>
      <c r="AE3" s="88"/>
      <c r="AF3" s="244"/>
      <c r="AG3" s="88"/>
      <c r="AH3" s="88"/>
      <c r="AI3" s="88"/>
      <c r="AJ3" s="88"/>
      <c r="AK3" s="88"/>
      <c r="AL3" s="244"/>
      <c r="AM3" s="88"/>
      <c r="AN3" s="88"/>
      <c r="AO3" s="2"/>
      <c r="AP3" s="2"/>
      <c r="AQ3" s="3"/>
    </row>
    <row r="4" spans="1:44" x14ac:dyDescent="0.2">
      <c r="A4" s="4"/>
      <c r="B4" s="166"/>
      <c r="C4" s="133"/>
      <c r="D4" s="92"/>
      <c r="E4" s="92"/>
      <c r="F4" s="98"/>
      <c r="G4" s="98"/>
      <c r="H4" s="92"/>
      <c r="I4" s="92"/>
      <c r="J4" s="92"/>
      <c r="K4" s="92"/>
      <c r="L4" s="92"/>
      <c r="M4" s="92"/>
      <c r="N4" s="92"/>
      <c r="O4" s="92"/>
      <c r="P4" s="92"/>
      <c r="Q4" s="92"/>
      <c r="R4" s="107" t="s">
        <v>13</v>
      </c>
      <c r="S4" s="92"/>
      <c r="T4" s="92"/>
      <c r="U4" s="92"/>
      <c r="V4" s="92"/>
      <c r="W4" s="92"/>
      <c r="X4" s="92"/>
      <c r="Y4" s="92"/>
      <c r="Z4" s="136"/>
      <c r="AA4" s="136"/>
      <c r="AB4" s="234" t="s">
        <v>13</v>
      </c>
      <c r="AC4" s="245" t="s">
        <v>401</v>
      </c>
      <c r="AD4" s="92"/>
      <c r="AE4" s="92"/>
      <c r="AF4" s="245" t="s">
        <v>401</v>
      </c>
      <c r="AG4" s="92" t="s">
        <v>13</v>
      </c>
      <c r="AH4" s="92" t="s">
        <v>13</v>
      </c>
      <c r="AI4" s="92" t="s">
        <v>13</v>
      </c>
      <c r="AJ4" s="92" t="s">
        <v>13</v>
      </c>
      <c r="AK4" s="221" t="s">
        <v>13</v>
      </c>
      <c r="AL4" s="245" t="s">
        <v>402</v>
      </c>
      <c r="AM4" s="92"/>
      <c r="AN4" s="92"/>
      <c r="AO4" s="110" t="s">
        <v>202</v>
      </c>
      <c r="AP4" s="110" t="s">
        <v>202</v>
      </c>
      <c r="AQ4" s="110" t="s">
        <v>202</v>
      </c>
    </row>
    <row r="5" spans="1:44" ht="28.1" customHeight="1" x14ac:dyDescent="0.2">
      <c r="A5" s="4"/>
      <c r="B5" s="167" t="s">
        <v>2</v>
      </c>
      <c r="C5" s="134" t="s">
        <v>1</v>
      </c>
      <c r="D5" s="93" t="s">
        <v>244</v>
      </c>
      <c r="E5" s="93" t="s">
        <v>281</v>
      </c>
      <c r="F5" s="95" t="s">
        <v>322</v>
      </c>
      <c r="G5" s="95" t="s">
        <v>321</v>
      </c>
      <c r="H5" s="93" t="s">
        <v>180</v>
      </c>
      <c r="I5" s="93" t="s">
        <v>180</v>
      </c>
      <c r="J5" s="93" t="s">
        <v>180</v>
      </c>
      <c r="K5" s="93" t="s">
        <v>180</v>
      </c>
      <c r="L5" s="93" t="s">
        <v>180</v>
      </c>
      <c r="M5" s="93" t="s">
        <v>180</v>
      </c>
      <c r="N5" s="93" t="s">
        <v>180</v>
      </c>
      <c r="O5" s="93" t="s">
        <v>180</v>
      </c>
      <c r="P5" s="93" t="s">
        <v>180</v>
      </c>
      <c r="Q5" s="93" t="s">
        <v>180</v>
      </c>
      <c r="R5" s="108" t="s">
        <v>180</v>
      </c>
      <c r="S5" s="93" t="s">
        <v>180</v>
      </c>
      <c r="T5" s="93" t="s">
        <v>180</v>
      </c>
      <c r="U5" s="93" t="s">
        <v>180</v>
      </c>
      <c r="V5" s="93" t="s">
        <v>180</v>
      </c>
      <c r="W5" s="93" t="s">
        <v>180</v>
      </c>
      <c r="X5" s="93" t="s">
        <v>180</v>
      </c>
      <c r="Y5" s="93" t="s">
        <v>180</v>
      </c>
      <c r="Z5" s="135" t="s">
        <v>180</v>
      </c>
      <c r="AA5" s="135" t="s">
        <v>180</v>
      </c>
      <c r="AB5" s="235" t="s">
        <v>180</v>
      </c>
      <c r="AC5" s="246" t="s">
        <v>202</v>
      </c>
      <c r="AD5" s="93"/>
      <c r="AE5" s="118"/>
      <c r="AF5" s="246" t="s">
        <v>202</v>
      </c>
      <c r="AG5" s="93" t="s">
        <v>282</v>
      </c>
      <c r="AH5" s="93" t="s">
        <v>282</v>
      </c>
      <c r="AI5" s="93" t="s">
        <v>282</v>
      </c>
      <c r="AJ5" s="93" t="s">
        <v>282</v>
      </c>
      <c r="AK5" s="222" t="s">
        <v>282</v>
      </c>
      <c r="AL5" s="246" t="s">
        <v>202</v>
      </c>
      <c r="AM5" s="93"/>
      <c r="AN5" s="93"/>
      <c r="AO5" s="111" t="s">
        <v>284</v>
      </c>
      <c r="AP5" s="111" t="s">
        <v>284</v>
      </c>
      <c r="AQ5" s="111" t="s">
        <v>203</v>
      </c>
    </row>
    <row r="6" spans="1:44" s="145" customFormat="1" ht="28.1" customHeight="1" x14ac:dyDescent="0.2">
      <c r="A6" s="144"/>
      <c r="B6" s="167"/>
      <c r="C6" s="134" t="s">
        <v>2</v>
      </c>
      <c r="D6" s="93" t="s">
        <v>245</v>
      </c>
      <c r="E6" s="93" t="s">
        <v>400</v>
      </c>
      <c r="F6" s="95" t="s">
        <v>323</v>
      </c>
      <c r="G6" s="95" t="s">
        <v>324</v>
      </c>
      <c r="H6" s="93" t="s">
        <v>181</v>
      </c>
      <c r="I6" s="93" t="s">
        <v>181</v>
      </c>
      <c r="J6" s="93" t="s">
        <v>181</v>
      </c>
      <c r="K6" s="93" t="s">
        <v>181</v>
      </c>
      <c r="L6" s="93" t="s">
        <v>181</v>
      </c>
      <c r="M6" s="93" t="s">
        <v>181</v>
      </c>
      <c r="N6" s="93" t="s">
        <v>181</v>
      </c>
      <c r="O6" s="93" t="s">
        <v>181</v>
      </c>
      <c r="P6" s="93" t="s">
        <v>181</v>
      </c>
      <c r="Q6" s="93" t="s">
        <v>181</v>
      </c>
      <c r="R6" s="108" t="s">
        <v>181</v>
      </c>
      <c r="S6" s="93" t="s">
        <v>181</v>
      </c>
      <c r="T6" s="93" t="s">
        <v>181</v>
      </c>
      <c r="U6" s="93" t="s">
        <v>181</v>
      </c>
      <c r="V6" s="93" t="s">
        <v>181</v>
      </c>
      <c r="W6" s="93" t="s">
        <v>181</v>
      </c>
      <c r="X6" s="93" t="s">
        <v>181</v>
      </c>
      <c r="Y6" s="93" t="s">
        <v>181</v>
      </c>
      <c r="Z6" s="135" t="s">
        <v>181</v>
      </c>
      <c r="AA6" s="135" t="s">
        <v>181</v>
      </c>
      <c r="AB6" s="235" t="s">
        <v>181</v>
      </c>
      <c r="AC6" s="247" t="s">
        <v>467</v>
      </c>
      <c r="AD6" s="93" t="s">
        <v>160</v>
      </c>
      <c r="AE6" s="93" t="s">
        <v>160</v>
      </c>
      <c r="AF6" s="247" t="s">
        <v>467</v>
      </c>
      <c r="AG6" s="93" t="s">
        <v>230</v>
      </c>
      <c r="AH6" s="93" t="s">
        <v>230</v>
      </c>
      <c r="AI6" s="93" t="s">
        <v>230</v>
      </c>
      <c r="AJ6" s="93" t="s">
        <v>230</v>
      </c>
      <c r="AK6" s="222" t="s">
        <v>230</v>
      </c>
      <c r="AL6" s="247" t="s">
        <v>467</v>
      </c>
      <c r="AM6" s="93" t="s">
        <v>4</v>
      </c>
      <c r="AN6" s="93" t="s">
        <v>520</v>
      </c>
      <c r="AO6" s="108" t="s">
        <v>283</v>
      </c>
      <c r="AP6" s="108" t="s">
        <v>320</v>
      </c>
      <c r="AQ6" s="108" t="s">
        <v>204</v>
      </c>
      <c r="AR6" s="179"/>
    </row>
    <row r="7" spans="1:44" s="145" customFormat="1" ht="25.05" customHeight="1" thickBot="1" x14ac:dyDescent="0.25">
      <c r="A7" s="144"/>
      <c r="B7" s="168" t="s">
        <v>0</v>
      </c>
      <c r="C7" s="143"/>
      <c r="D7" s="94" t="s">
        <v>0</v>
      </c>
      <c r="E7" s="94" t="s">
        <v>3</v>
      </c>
      <c r="F7" s="96"/>
      <c r="G7" s="96" t="s">
        <v>322</v>
      </c>
      <c r="H7" s="94" t="s">
        <v>131</v>
      </c>
      <c r="I7" s="94" t="s">
        <v>132</v>
      </c>
      <c r="J7" s="94" t="s">
        <v>133</v>
      </c>
      <c r="K7" s="94" t="s">
        <v>135</v>
      </c>
      <c r="L7" s="94" t="s">
        <v>11</v>
      </c>
      <c r="M7" s="94" t="s">
        <v>12</v>
      </c>
      <c r="N7" s="94" t="s">
        <v>9</v>
      </c>
      <c r="O7" s="94" t="s">
        <v>10</v>
      </c>
      <c r="P7" s="94" t="s">
        <v>56</v>
      </c>
      <c r="Q7" s="94" t="s">
        <v>143</v>
      </c>
      <c r="R7" s="109" t="s">
        <v>182</v>
      </c>
      <c r="S7" s="94" t="s">
        <v>161</v>
      </c>
      <c r="T7" s="94" t="s">
        <v>206</v>
      </c>
      <c r="U7" s="94" t="s">
        <v>216</v>
      </c>
      <c r="V7" s="94" t="s">
        <v>220</v>
      </c>
      <c r="W7" s="94" t="s">
        <v>227</v>
      </c>
      <c r="X7" s="94" t="s">
        <v>302</v>
      </c>
      <c r="Y7" s="94" t="s">
        <v>303</v>
      </c>
      <c r="Z7" s="146" t="s">
        <v>451</v>
      </c>
      <c r="AA7" s="146" t="s">
        <v>515</v>
      </c>
      <c r="AB7" s="236" t="s">
        <v>518</v>
      </c>
      <c r="AC7" s="248" t="s">
        <v>466</v>
      </c>
      <c r="AD7" s="94" t="s">
        <v>4</v>
      </c>
      <c r="AE7" s="94" t="s">
        <v>468</v>
      </c>
      <c r="AF7" s="248" t="s">
        <v>280</v>
      </c>
      <c r="AG7" s="94" t="s">
        <v>231</v>
      </c>
      <c r="AH7" s="94" t="s">
        <v>304</v>
      </c>
      <c r="AI7" s="94" t="s">
        <v>305</v>
      </c>
      <c r="AJ7" s="94" t="s">
        <v>452</v>
      </c>
      <c r="AK7" s="223" t="s">
        <v>516</v>
      </c>
      <c r="AL7" s="248" t="s">
        <v>519</v>
      </c>
      <c r="AM7" s="94" t="s">
        <v>520</v>
      </c>
      <c r="AN7" s="94" t="s">
        <v>468</v>
      </c>
      <c r="AO7" s="109"/>
      <c r="AP7" s="156"/>
      <c r="AQ7" s="109"/>
      <c r="AR7" s="179"/>
    </row>
    <row r="8" spans="1:44" s="132" customFormat="1" ht="24.5" x14ac:dyDescent="0.2">
      <c r="A8" s="4">
        <v>1</v>
      </c>
      <c r="B8" s="28">
        <v>295</v>
      </c>
      <c r="C8" s="142" t="s">
        <v>453</v>
      </c>
      <c r="D8" s="5">
        <v>504.62009999999998</v>
      </c>
      <c r="E8" s="6" t="s">
        <v>454</v>
      </c>
      <c r="F8" s="180" t="s">
        <v>455</v>
      </c>
      <c r="G8" s="180" t="s">
        <v>456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224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9">
        <v>150</v>
      </c>
      <c r="AA8" s="9">
        <v>5511</v>
      </c>
      <c r="AB8" s="237">
        <f t="shared" ref="AB8:AB54" si="0">SUM(R8:AA8)</f>
        <v>5661</v>
      </c>
      <c r="AC8" s="264">
        <v>0</v>
      </c>
      <c r="AD8" s="11" t="s">
        <v>78</v>
      </c>
      <c r="AE8" s="11" t="s">
        <v>78</v>
      </c>
      <c r="AF8" s="253">
        <v>0</v>
      </c>
      <c r="AG8" s="12">
        <v>0</v>
      </c>
      <c r="AH8" s="12">
        <v>0</v>
      </c>
      <c r="AI8" s="12">
        <v>0</v>
      </c>
      <c r="AJ8" s="28">
        <v>40</v>
      </c>
      <c r="AK8" s="12">
        <v>157</v>
      </c>
      <c r="AL8" s="253">
        <f>SUM(AF8:AK8)</f>
        <v>197</v>
      </c>
      <c r="AM8" s="11">
        <v>30</v>
      </c>
      <c r="AN8" s="6" t="s">
        <v>198</v>
      </c>
      <c r="AO8" s="9">
        <f>SUM(40+1470)</f>
        <v>1510</v>
      </c>
      <c r="AP8" s="153">
        <v>0</v>
      </c>
      <c r="AQ8" s="153">
        <f>SUM(110+4041)</f>
        <v>4151</v>
      </c>
      <c r="AR8" s="1"/>
    </row>
    <row r="9" spans="1:44" s="103" customFormat="1" ht="29.35" customHeight="1" x14ac:dyDescent="0.2">
      <c r="A9" s="4">
        <v>2</v>
      </c>
      <c r="B9" s="28">
        <v>124</v>
      </c>
      <c r="C9" s="121" t="s">
        <v>14</v>
      </c>
      <c r="D9" s="5" t="s">
        <v>249</v>
      </c>
      <c r="E9" s="6">
        <v>1993</v>
      </c>
      <c r="F9" s="180" t="s">
        <v>325</v>
      </c>
      <c r="G9" s="180" t="s">
        <v>326</v>
      </c>
      <c r="H9" s="8">
        <v>1470</v>
      </c>
      <c r="I9" s="8">
        <v>1200</v>
      </c>
      <c r="J9" s="8">
        <v>900</v>
      </c>
      <c r="K9" s="9">
        <v>1140</v>
      </c>
      <c r="L9" s="8">
        <v>1080</v>
      </c>
      <c r="M9" s="8">
        <v>1020</v>
      </c>
      <c r="N9" s="8">
        <v>780</v>
      </c>
      <c r="O9" s="10">
        <v>750</v>
      </c>
      <c r="P9" s="8">
        <v>1050</v>
      </c>
      <c r="Q9" s="9">
        <v>1020</v>
      </c>
      <c r="R9" s="218">
        <f>SUM(H9:Q9)</f>
        <v>10410</v>
      </c>
      <c r="S9" s="8">
        <v>960</v>
      </c>
      <c r="T9" s="8">
        <v>1110</v>
      </c>
      <c r="U9" s="8">
        <v>660</v>
      </c>
      <c r="V9" s="8">
        <v>600</v>
      </c>
      <c r="W9" s="7">
        <v>483</v>
      </c>
      <c r="X9" s="8">
        <v>514</v>
      </c>
      <c r="Y9" s="8">
        <v>223</v>
      </c>
      <c r="Z9" s="9">
        <v>263</v>
      </c>
      <c r="AA9" s="9">
        <v>60</v>
      </c>
      <c r="AB9" s="237">
        <f t="shared" si="0"/>
        <v>15283</v>
      </c>
      <c r="AC9" s="265">
        <v>347</v>
      </c>
      <c r="AD9" s="11">
        <v>30</v>
      </c>
      <c r="AE9" s="6" t="s">
        <v>186</v>
      </c>
      <c r="AF9" s="253">
        <v>458</v>
      </c>
      <c r="AG9" s="12">
        <v>13</v>
      </c>
      <c r="AH9" s="12">
        <v>12</v>
      </c>
      <c r="AI9" s="12">
        <v>7</v>
      </c>
      <c r="AJ9" s="12">
        <v>6</v>
      </c>
      <c r="AK9" s="12">
        <v>2</v>
      </c>
      <c r="AL9" s="253">
        <f t="shared" ref="AL9:AL72" si="1">SUM(AF9:AK9)</f>
        <v>498</v>
      </c>
      <c r="AM9" s="11">
        <v>30</v>
      </c>
      <c r="AN9" s="6" t="s">
        <v>198</v>
      </c>
      <c r="AO9" s="9">
        <f>SUM(2953+16)</f>
        <v>2969</v>
      </c>
      <c r="AP9" s="14">
        <v>0</v>
      </c>
      <c r="AQ9" s="7">
        <f>SUM(12270+44)</f>
        <v>12314</v>
      </c>
      <c r="AR9" s="181"/>
    </row>
    <row r="10" spans="1:44" s="104" customFormat="1" x14ac:dyDescent="0.2">
      <c r="A10" s="4">
        <v>3</v>
      </c>
      <c r="B10" s="28">
        <v>256</v>
      </c>
      <c r="C10" s="121" t="s">
        <v>225</v>
      </c>
      <c r="D10" s="5" t="s">
        <v>319</v>
      </c>
      <c r="E10" s="6" t="s">
        <v>226</v>
      </c>
      <c r="F10" s="182" t="s">
        <v>327</v>
      </c>
      <c r="G10" s="182" t="s">
        <v>328</v>
      </c>
      <c r="H10" s="7">
        <v>0</v>
      </c>
      <c r="I10" s="8">
        <v>0</v>
      </c>
      <c r="J10" s="8">
        <v>0</v>
      </c>
      <c r="K10" s="9">
        <v>0</v>
      </c>
      <c r="L10" s="8">
        <v>0</v>
      </c>
      <c r="M10" s="8">
        <v>0</v>
      </c>
      <c r="N10" s="8">
        <v>0</v>
      </c>
      <c r="O10" s="10">
        <v>0</v>
      </c>
      <c r="P10" s="7">
        <v>0</v>
      </c>
      <c r="Q10" s="9">
        <v>0</v>
      </c>
      <c r="R10" s="218">
        <v>0</v>
      </c>
      <c r="S10" s="8">
        <v>0</v>
      </c>
      <c r="T10" s="8">
        <v>0</v>
      </c>
      <c r="U10" s="8">
        <v>0</v>
      </c>
      <c r="V10" s="8">
        <v>0</v>
      </c>
      <c r="W10" s="7">
        <v>1698</v>
      </c>
      <c r="X10" s="8">
        <v>7450</v>
      </c>
      <c r="Y10" s="7">
        <v>12352</v>
      </c>
      <c r="Z10" s="9">
        <v>14427.5</v>
      </c>
      <c r="AA10" s="9">
        <v>18105</v>
      </c>
      <c r="AB10" s="237">
        <f t="shared" si="0"/>
        <v>54032.5</v>
      </c>
      <c r="AC10" s="265">
        <v>0</v>
      </c>
      <c r="AD10" s="11" t="s">
        <v>78</v>
      </c>
      <c r="AE10" s="11" t="s">
        <v>78</v>
      </c>
      <c r="AF10" s="253">
        <v>0</v>
      </c>
      <c r="AG10" s="12">
        <v>34</v>
      </c>
      <c r="AH10" s="12">
        <v>248</v>
      </c>
      <c r="AI10" s="48">
        <v>407</v>
      </c>
      <c r="AJ10" s="12">
        <v>467</v>
      </c>
      <c r="AK10" s="12">
        <v>470</v>
      </c>
      <c r="AL10" s="253">
        <f t="shared" si="1"/>
        <v>1626</v>
      </c>
      <c r="AM10" s="11">
        <v>30</v>
      </c>
      <c r="AN10" s="37" t="s">
        <v>524</v>
      </c>
      <c r="AO10" s="9">
        <f>SUM(10827+6940)</f>
        <v>17767</v>
      </c>
      <c r="AP10" s="14">
        <v>0</v>
      </c>
      <c r="AQ10" s="7">
        <f>SUM(25101+11165)</f>
        <v>36266</v>
      </c>
      <c r="AR10" s="116"/>
    </row>
    <row r="11" spans="1:44" s="103" customFormat="1" x14ac:dyDescent="0.2">
      <c r="A11" s="4">
        <v>4</v>
      </c>
      <c r="B11" s="17">
        <v>35</v>
      </c>
      <c r="C11" s="120" t="s">
        <v>69</v>
      </c>
      <c r="D11" s="5" t="s">
        <v>273</v>
      </c>
      <c r="E11" s="13">
        <v>1992</v>
      </c>
      <c r="F11" s="182" t="s">
        <v>329</v>
      </c>
      <c r="G11" s="182" t="s">
        <v>330</v>
      </c>
      <c r="H11" s="7">
        <v>7050</v>
      </c>
      <c r="I11" s="7">
        <v>7020</v>
      </c>
      <c r="J11" s="7">
        <v>5700</v>
      </c>
      <c r="K11" s="14">
        <v>6780</v>
      </c>
      <c r="L11" s="7">
        <v>9450</v>
      </c>
      <c r="M11" s="7">
        <v>11460</v>
      </c>
      <c r="N11" s="7">
        <v>15720</v>
      </c>
      <c r="O11" s="15">
        <v>16320</v>
      </c>
      <c r="P11" s="7">
        <v>19590</v>
      </c>
      <c r="Q11" s="9">
        <v>19290</v>
      </c>
      <c r="R11" s="218">
        <v>118380</v>
      </c>
      <c r="S11" s="8">
        <v>18240</v>
      </c>
      <c r="T11" s="8">
        <v>17100</v>
      </c>
      <c r="U11" s="8">
        <v>13530</v>
      </c>
      <c r="V11" s="8">
        <v>13950</v>
      </c>
      <c r="W11" s="7">
        <v>12380</v>
      </c>
      <c r="X11" s="8">
        <v>12535</v>
      </c>
      <c r="Y11" s="7">
        <v>12465</v>
      </c>
      <c r="Z11" s="9">
        <v>11120</v>
      </c>
      <c r="AA11" s="9">
        <v>9945</v>
      </c>
      <c r="AB11" s="237">
        <f t="shared" si="0"/>
        <v>239645</v>
      </c>
      <c r="AC11" s="265">
        <v>3946</v>
      </c>
      <c r="AD11" s="11">
        <v>30</v>
      </c>
      <c r="AE11" s="6" t="s">
        <v>186</v>
      </c>
      <c r="AF11" s="253">
        <v>6040</v>
      </c>
      <c r="AG11" s="12">
        <v>464</v>
      </c>
      <c r="AH11" s="12">
        <v>407</v>
      </c>
      <c r="AI11" s="48">
        <v>397</v>
      </c>
      <c r="AJ11" s="12">
        <v>360</v>
      </c>
      <c r="AK11" s="12">
        <v>303</v>
      </c>
      <c r="AL11" s="253">
        <f t="shared" si="1"/>
        <v>7971</v>
      </c>
      <c r="AM11" s="11">
        <v>30</v>
      </c>
      <c r="AN11" s="13" t="s">
        <v>198</v>
      </c>
      <c r="AO11" s="9">
        <f>SUM(55348+2652)</f>
        <v>58000</v>
      </c>
      <c r="AP11" s="14">
        <v>0</v>
      </c>
      <c r="AQ11" s="7">
        <f>SUM(174352+7293)</f>
        <v>181645</v>
      </c>
      <c r="AR11" s="181"/>
    </row>
    <row r="12" spans="1:44" s="103" customFormat="1" ht="28.45" customHeight="1" x14ac:dyDescent="0.2">
      <c r="A12" s="4">
        <v>5</v>
      </c>
      <c r="B12" s="17">
        <v>204</v>
      </c>
      <c r="C12" s="120" t="s">
        <v>168</v>
      </c>
      <c r="D12" s="5">
        <v>504.63</v>
      </c>
      <c r="E12" s="13" t="s">
        <v>163</v>
      </c>
      <c r="F12" s="182" t="s">
        <v>340</v>
      </c>
      <c r="G12" s="182" t="s">
        <v>407</v>
      </c>
      <c r="H12" s="7">
        <v>0</v>
      </c>
      <c r="I12" s="7">
        <v>0</v>
      </c>
      <c r="J12" s="7">
        <v>0</v>
      </c>
      <c r="K12" s="14">
        <v>0</v>
      </c>
      <c r="L12" s="7">
        <v>0</v>
      </c>
      <c r="M12" s="7">
        <v>0</v>
      </c>
      <c r="N12" s="7">
        <v>0</v>
      </c>
      <c r="O12" s="14">
        <v>0</v>
      </c>
      <c r="P12" s="7">
        <v>0</v>
      </c>
      <c r="Q12" s="9">
        <v>0</v>
      </c>
      <c r="R12" s="218">
        <v>0</v>
      </c>
      <c r="S12" s="8">
        <v>1290</v>
      </c>
      <c r="T12" s="8">
        <v>2790</v>
      </c>
      <c r="U12" s="8">
        <v>3210</v>
      </c>
      <c r="V12" s="8">
        <v>3720</v>
      </c>
      <c r="W12" s="7">
        <v>4070</v>
      </c>
      <c r="X12" s="8">
        <v>5040</v>
      </c>
      <c r="Y12" s="7">
        <v>5715</v>
      </c>
      <c r="Z12" s="9">
        <v>5670</v>
      </c>
      <c r="AA12" s="9">
        <v>5682</v>
      </c>
      <c r="AB12" s="237">
        <f t="shared" si="0"/>
        <v>37187</v>
      </c>
      <c r="AC12" s="265">
        <v>0</v>
      </c>
      <c r="AD12" s="11" t="s">
        <v>78</v>
      </c>
      <c r="AE12" s="11" t="s">
        <v>78</v>
      </c>
      <c r="AF12" s="253">
        <v>367</v>
      </c>
      <c r="AG12" s="12">
        <v>154</v>
      </c>
      <c r="AH12" s="12">
        <v>166</v>
      </c>
      <c r="AI12" s="48">
        <v>185</v>
      </c>
      <c r="AJ12" s="12">
        <v>188</v>
      </c>
      <c r="AK12" s="12">
        <v>188</v>
      </c>
      <c r="AL12" s="253">
        <f t="shared" si="1"/>
        <v>1248</v>
      </c>
      <c r="AM12" s="11">
        <v>30</v>
      </c>
      <c r="AN12" s="13" t="s">
        <v>198</v>
      </c>
      <c r="AO12" s="9">
        <f>SUM(8401+1515)</f>
        <v>9916</v>
      </c>
      <c r="AP12" s="14">
        <v>0</v>
      </c>
      <c r="AQ12" s="7">
        <f>SUM(23104+4167)</f>
        <v>27271</v>
      </c>
      <c r="AR12" s="181"/>
    </row>
    <row r="13" spans="1:44" s="103" customFormat="1" x14ac:dyDescent="0.2">
      <c r="A13" s="4">
        <v>6</v>
      </c>
      <c r="B13" s="17">
        <v>202</v>
      </c>
      <c r="C13" s="120" t="s">
        <v>151</v>
      </c>
      <c r="D13" s="5">
        <v>504.30700000000002</v>
      </c>
      <c r="E13" s="13" t="s">
        <v>163</v>
      </c>
      <c r="F13" s="183" t="s">
        <v>331</v>
      </c>
      <c r="G13" s="183" t="s">
        <v>358</v>
      </c>
      <c r="H13" s="7">
        <v>0</v>
      </c>
      <c r="I13" s="7">
        <v>0</v>
      </c>
      <c r="J13" s="7">
        <v>0</v>
      </c>
      <c r="K13" s="14">
        <v>0</v>
      </c>
      <c r="L13" s="7">
        <v>0</v>
      </c>
      <c r="M13" s="7">
        <v>0</v>
      </c>
      <c r="N13" s="7">
        <v>0</v>
      </c>
      <c r="O13" s="14">
        <v>0</v>
      </c>
      <c r="P13" s="7">
        <v>0</v>
      </c>
      <c r="Q13" s="9">
        <v>0</v>
      </c>
      <c r="R13" s="218">
        <v>0</v>
      </c>
      <c r="S13" s="8">
        <v>1700</v>
      </c>
      <c r="T13" s="8">
        <v>3580</v>
      </c>
      <c r="U13" s="8">
        <v>4415</v>
      </c>
      <c r="V13" s="8">
        <v>4913</v>
      </c>
      <c r="W13" s="7">
        <v>198</v>
      </c>
      <c r="X13" s="8">
        <v>0</v>
      </c>
      <c r="Y13" s="7">
        <v>0</v>
      </c>
      <c r="Z13" s="9">
        <v>0</v>
      </c>
      <c r="AA13" s="9">
        <v>0</v>
      </c>
      <c r="AB13" s="237">
        <f t="shared" si="0"/>
        <v>14806</v>
      </c>
      <c r="AC13" s="265">
        <v>0</v>
      </c>
      <c r="AD13" s="11" t="s">
        <v>78</v>
      </c>
      <c r="AE13" s="11" t="s">
        <v>78</v>
      </c>
      <c r="AF13" s="253">
        <v>1460.8</v>
      </c>
      <c r="AG13" s="12">
        <v>691</v>
      </c>
      <c r="AH13" s="12">
        <v>897</v>
      </c>
      <c r="AI13" s="48">
        <v>185</v>
      </c>
      <c r="AJ13" s="12">
        <v>1390</v>
      </c>
      <c r="AK13" s="12">
        <v>1632</v>
      </c>
      <c r="AL13" s="253">
        <f t="shared" si="1"/>
        <v>6255.8</v>
      </c>
      <c r="AM13" s="16" t="s">
        <v>158</v>
      </c>
      <c r="AN13" s="13" t="s">
        <v>90</v>
      </c>
      <c r="AO13" s="9">
        <v>14806</v>
      </c>
      <c r="AP13" s="14">
        <v>0</v>
      </c>
      <c r="AQ13" s="7">
        <f>[1]Sheet1!N5</f>
        <v>0</v>
      </c>
      <c r="AR13" s="181"/>
    </row>
    <row r="14" spans="1:44" s="103" customFormat="1" x14ac:dyDescent="0.2">
      <c r="A14" s="4">
        <v>7</v>
      </c>
      <c r="B14" s="17">
        <v>15</v>
      </c>
      <c r="C14" s="120" t="s">
        <v>81</v>
      </c>
      <c r="D14" s="5" t="s">
        <v>289</v>
      </c>
      <c r="E14" s="17">
        <v>1954</v>
      </c>
      <c r="F14" s="183" t="s">
        <v>331</v>
      </c>
      <c r="G14" s="183" t="s">
        <v>358</v>
      </c>
      <c r="H14" s="7">
        <v>10887</v>
      </c>
      <c r="I14" s="7">
        <v>11246</v>
      </c>
      <c r="J14" s="7">
        <v>9310</v>
      </c>
      <c r="K14" s="14">
        <v>10435.5</v>
      </c>
      <c r="L14" s="7">
        <v>10717</v>
      </c>
      <c r="M14" s="7">
        <v>11445</v>
      </c>
      <c r="N14" s="7">
        <v>10881</v>
      </c>
      <c r="O14" s="15">
        <v>10226.049999999999</v>
      </c>
      <c r="P14" s="7">
        <v>10005</v>
      </c>
      <c r="Q14" s="9">
        <v>9848</v>
      </c>
      <c r="R14" s="218">
        <v>105000.55</v>
      </c>
      <c r="S14" s="8">
        <v>9820</v>
      </c>
      <c r="T14" s="8">
        <v>9747</v>
      </c>
      <c r="U14" s="8">
        <v>8904</v>
      </c>
      <c r="V14" s="8">
        <v>9476</v>
      </c>
      <c r="W14" s="7">
        <v>9491</v>
      </c>
      <c r="X14" s="8">
        <v>10541</v>
      </c>
      <c r="Y14" s="7">
        <v>10973</v>
      </c>
      <c r="Z14" s="9">
        <v>10967</v>
      </c>
      <c r="AA14" s="9">
        <v>0</v>
      </c>
      <c r="AB14" s="237">
        <f t="shared" si="0"/>
        <v>184919.55</v>
      </c>
      <c r="AC14" s="265" t="s">
        <v>76</v>
      </c>
      <c r="AD14" s="16">
        <v>2</v>
      </c>
      <c r="AE14" s="13" t="s">
        <v>90</v>
      </c>
      <c r="AF14" s="253" t="s">
        <v>76</v>
      </c>
      <c r="AG14" s="12">
        <v>8701</v>
      </c>
      <c r="AH14" s="12">
        <v>8751</v>
      </c>
      <c r="AI14" s="48">
        <v>9001</v>
      </c>
      <c r="AJ14" s="12">
        <v>9118</v>
      </c>
      <c r="AK14" s="12">
        <v>9111</v>
      </c>
      <c r="AL14" s="253">
        <f t="shared" si="1"/>
        <v>44682</v>
      </c>
      <c r="AM14" s="16" t="s">
        <v>173</v>
      </c>
      <c r="AN14" s="13" t="s">
        <v>90</v>
      </c>
      <c r="AO14" s="9">
        <f>[1]Sheet1!I7+10967</f>
        <v>184919.55</v>
      </c>
      <c r="AP14" s="14">
        <v>0</v>
      </c>
      <c r="AQ14" s="7">
        <f>[1]Sheet1!N7</f>
        <v>0</v>
      </c>
      <c r="AR14" s="181"/>
    </row>
    <row r="15" spans="1:44" s="104" customFormat="1" ht="39.6" customHeight="1" x14ac:dyDescent="0.2">
      <c r="A15" s="4">
        <v>8</v>
      </c>
      <c r="B15" s="17">
        <v>222</v>
      </c>
      <c r="C15" s="120" t="s">
        <v>228</v>
      </c>
      <c r="D15" s="5">
        <v>504.41300000000001</v>
      </c>
      <c r="E15" s="17">
        <v>2008</v>
      </c>
      <c r="F15" s="182" t="s">
        <v>340</v>
      </c>
      <c r="G15" s="182" t="s">
        <v>332</v>
      </c>
      <c r="H15" s="7">
        <v>0</v>
      </c>
      <c r="I15" s="8">
        <v>0</v>
      </c>
      <c r="J15" s="8">
        <v>0</v>
      </c>
      <c r="K15" s="9">
        <v>0</v>
      </c>
      <c r="L15" s="8">
        <v>0</v>
      </c>
      <c r="M15" s="8">
        <v>0</v>
      </c>
      <c r="N15" s="8">
        <v>0</v>
      </c>
      <c r="O15" s="10">
        <v>0</v>
      </c>
      <c r="P15" s="8">
        <v>0</v>
      </c>
      <c r="Q15" s="8">
        <v>0</v>
      </c>
      <c r="R15" s="224">
        <v>0</v>
      </c>
      <c r="S15" s="8">
        <v>0</v>
      </c>
      <c r="T15" s="8">
        <v>0</v>
      </c>
      <c r="U15" s="8">
        <v>0</v>
      </c>
      <c r="V15" s="8">
        <v>0</v>
      </c>
      <c r="W15" s="7">
        <v>550</v>
      </c>
      <c r="X15" s="8">
        <v>2760</v>
      </c>
      <c r="Y15" s="7">
        <v>3042</v>
      </c>
      <c r="Z15" s="9">
        <v>3023</v>
      </c>
      <c r="AA15" s="9">
        <v>3325</v>
      </c>
      <c r="AB15" s="237">
        <f t="shared" si="0"/>
        <v>12700</v>
      </c>
      <c r="AC15" s="265">
        <v>0</v>
      </c>
      <c r="AD15" s="11" t="s">
        <v>78</v>
      </c>
      <c r="AE15" s="11" t="s">
        <v>78</v>
      </c>
      <c r="AF15" s="253">
        <v>0</v>
      </c>
      <c r="AG15" s="12">
        <v>18</v>
      </c>
      <c r="AH15" s="12">
        <v>88</v>
      </c>
      <c r="AI15" s="48">
        <v>101</v>
      </c>
      <c r="AJ15" s="12">
        <v>103</v>
      </c>
      <c r="AK15" s="12">
        <v>107</v>
      </c>
      <c r="AL15" s="253">
        <f t="shared" si="1"/>
        <v>417</v>
      </c>
      <c r="AM15" s="11">
        <v>30</v>
      </c>
      <c r="AN15" s="13" t="s">
        <v>198</v>
      </c>
      <c r="AO15" s="9">
        <f>SUM(2500+887)</f>
        <v>3387</v>
      </c>
      <c r="AP15" s="14">
        <v>0</v>
      </c>
      <c r="AQ15" s="7">
        <f>SUM(6874+2439)</f>
        <v>9313</v>
      </c>
      <c r="AR15" s="116"/>
    </row>
    <row r="16" spans="1:44" s="103" customFormat="1" ht="51.15" customHeight="1" x14ac:dyDescent="0.2">
      <c r="A16" s="4">
        <v>9</v>
      </c>
      <c r="B16" s="17">
        <v>250</v>
      </c>
      <c r="C16" s="120" t="s">
        <v>217</v>
      </c>
      <c r="D16" s="18">
        <v>504.80099999999999</v>
      </c>
      <c r="E16" s="17">
        <v>2006</v>
      </c>
      <c r="F16" s="182" t="s">
        <v>344</v>
      </c>
      <c r="G16" s="184" t="s">
        <v>408</v>
      </c>
      <c r="H16" s="7">
        <v>0</v>
      </c>
      <c r="I16" s="7">
        <v>0</v>
      </c>
      <c r="J16" s="7">
        <v>0</v>
      </c>
      <c r="K16" s="14">
        <v>0</v>
      </c>
      <c r="L16" s="7">
        <v>0</v>
      </c>
      <c r="M16" s="7">
        <v>0</v>
      </c>
      <c r="N16" s="7">
        <v>0</v>
      </c>
      <c r="O16" s="15">
        <v>0</v>
      </c>
      <c r="P16" s="8">
        <v>0</v>
      </c>
      <c r="Q16" s="9">
        <v>0</v>
      </c>
      <c r="R16" s="218">
        <v>0</v>
      </c>
      <c r="S16" s="8">
        <v>0</v>
      </c>
      <c r="T16" s="8">
        <v>0</v>
      </c>
      <c r="U16" s="8">
        <v>7190</v>
      </c>
      <c r="V16" s="8">
        <v>11940</v>
      </c>
      <c r="W16" s="7">
        <v>10865</v>
      </c>
      <c r="X16" s="8">
        <v>13237</v>
      </c>
      <c r="Y16" s="7">
        <v>15324</v>
      </c>
      <c r="Z16" s="9">
        <v>16510</v>
      </c>
      <c r="AA16" s="9">
        <v>16325</v>
      </c>
      <c r="AB16" s="237">
        <f t="shared" si="0"/>
        <v>91391</v>
      </c>
      <c r="AC16" s="265">
        <v>0</v>
      </c>
      <c r="AD16" s="11" t="s">
        <v>78</v>
      </c>
      <c r="AE16" s="11" t="s">
        <v>78</v>
      </c>
      <c r="AF16" s="253">
        <v>637.66666666666663</v>
      </c>
      <c r="AG16" s="12">
        <v>392</v>
      </c>
      <c r="AH16" s="12">
        <v>431</v>
      </c>
      <c r="AI16" s="48">
        <v>481</v>
      </c>
      <c r="AJ16" s="12">
        <v>523</v>
      </c>
      <c r="AK16" s="12">
        <v>507</v>
      </c>
      <c r="AL16" s="253">
        <f t="shared" si="1"/>
        <v>2971.6666666666665</v>
      </c>
      <c r="AM16" s="11">
        <v>30</v>
      </c>
      <c r="AN16" s="13" t="s">
        <v>198</v>
      </c>
      <c r="AO16" s="9">
        <f>SUM(24928+4354)</f>
        <v>29282</v>
      </c>
      <c r="AP16" s="14">
        <v>0</v>
      </c>
      <c r="AQ16" s="7">
        <f>SUM(50138+11971)</f>
        <v>62109</v>
      </c>
      <c r="AR16" s="181"/>
    </row>
    <row r="17" spans="1:44" s="103" customFormat="1" ht="27" customHeight="1" x14ac:dyDescent="0.2">
      <c r="A17" s="4">
        <v>10</v>
      </c>
      <c r="B17" s="17">
        <v>195</v>
      </c>
      <c r="C17" s="120" t="s">
        <v>5</v>
      </c>
      <c r="D17" s="5" t="s">
        <v>279</v>
      </c>
      <c r="E17" s="13">
        <v>1998</v>
      </c>
      <c r="F17" s="182" t="s">
        <v>345</v>
      </c>
      <c r="G17" s="182" t="s">
        <v>409</v>
      </c>
      <c r="H17" s="7">
        <v>0</v>
      </c>
      <c r="I17" s="7">
        <v>0</v>
      </c>
      <c r="J17" s="7">
        <v>0</v>
      </c>
      <c r="K17" s="14">
        <v>0</v>
      </c>
      <c r="L17" s="7">
        <v>52600</v>
      </c>
      <c r="M17" s="7">
        <v>159050</v>
      </c>
      <c r="N17" s="7">
        <v>274700</v>
      </c>
      <c r="O17" s="7">
        <v>362555</v>
      </c>
      <c r="P17" s="8">
        <v>398925</v>
      </c>
      <c r="Q17" s="9">
        <v>423890</v>
      </c>
      <c r="R17" s="218">
        <v>1671720</v>
      </c>
      <c r="S17" s="8">
        <v>490070</v>
      </c>
      <c r="T17" s="8">
        <v>492180</v>
      </c>
      <c r="U17" s="8">
        <v>453430</v>
      </c>
      <c r="V17" s="8">
        <v>469830</v>
      </c>
      <c r="W17" s="7">
        <v>441180</v>
      </c>
      <c r="X17" s="8">
        <v>486098</v>
      </c>
      <c r="Y17" s="7">
        <v>518832</v>
      </c>
      <c r="Z17" s="9">
        <v>498170</v>
      </c>
      <c r="AA17" s="9">
        <v>477842.5</v>
      </c>
      <c r="AB17" s="237">
        <f t="shared" si="0"/>
        <v>5999352.5</v>
      </c>
      <c r="AC17" s="265">
        <v>66868.800000000003</v>
      </c>
      <c r="AD17" s="16">
        <v>25</v>
      </c>
      <c r="AE17" s="13" t="s">
        <v>188</v>
      </c>
      <c r="AF17" s="253">
        <v>130385.8</v>
      </c>
      <c r="AG17" s="12">
        <v>16105</v>
      </c>
      <c r="AH17" s="12">
        <v>15791</v>
      </c>
      <c r="AI17" s="48">
        <v>16725</v>
      </c>
      <c r="AJ17" s="12">
        <v>16232</v>
      </c>
      <c r="AK17" s="12">
        <v>15173</v>
      </c>
      <c r="AL17" s="253">
        <f t="shared" si="1"/>
        <v>210411.8</v>
      </c>
      <c r="AM17" s="16">
        <v>30</v>
      </c>
      <c r="AN17" s="13" t="s">
        <v>198</v>
      </c>
      <c r="AO17" s="9">
        <f>SUM(1360968+127431)</f>
        <v>1488399</v>
      </c>
      <c r="AP17" s="14">
        <v>0</v>
      </c>
      <c r="AQ17" s="7">
        <f>SUM(4160542+350412)</f>
        <v>4510954</v>
      </c>
      <c r="AR17" s="181"/>
    </row>
    <row r="18" spans="1:44" s="162" customFormat="1" x14ac:dyDescent="0.2">
      <c r="A18" s="160">
        <v>11</v>
      </c>
      <c r="B18" s="31"/>
      <c r="C18" s="126" t="s">
        <v>229</v>
      </c>
      <c r="D18" s="161">
        <v>504.50200000000001</v>
      </c>
      <c r="E18" s="31">
        <v>2008</v>
      </c>
      <c r="F18" s="183" t="s">
        <v>331</v>
      </c>
      <c r="G18" s="183" t="s">
        <v>358</v>
      </c>
      <c r="H18" s="33">
        <v>0</v>
      </c>
      <c r="I18" s="102">
        <v>0</v>
      </c>
      <c r="J18" s="102">
        <v>0</v>
      </c>
      <c r="K18" s="35">
        <v>0</v>
      </c>
      <c r="L18" s="102">
        <v>0</v>
      </c>
      <c r="M18" s="102">
        <v>0</v>
      </c>
      <c r="N18" s="102">
        <v>0</v>
      </c>
      <c r="O18" s="10">
        <v>0</v>
      </c>
      <c r="P18" s="102">
        <v>0</v>
      </c>
      <c r="Q18" s="102">
        <v>0</v>
      </c>
      <c r="R18" s="225">
        <v>0</v>
      </c>
      <c r="S18" s="102">
        <v>0</v>
      </c>
      <c r="T18" s="102">
        <v>0</v>
      </c>
      <c r="U18" s="102">
        <v>0</v>
      </c>
      <c r="V18" s="102">
        <v>0</v>
      </c>
      <c r="W18" s="33">
        <v>1858863</v>
      </c>
      <c r="X18" s="102">
        <v>733882</v>
      </c>
      <c r="Y18" s="33">
        <v>561653</v>
      </c>
      <c r="Z18" s="35">
        <v>437180</v>
      </c>
      <c r="AA18" s="35">
        <v>273419</v>
      </c>
      <c r="AB18" s="237">
        <f t="shared" si="0"/>
        <v>3864997</v>
      </c>
      <c r="AC18" s="265">
        <v>0</v>
      </c>
      <c r="AD18" s="39" t="s">
        <v>78</v>
      </c>
      <c r="AE18" s="39" t="s">
        <v>78</v>
      </c>
      <c r="AF18" s="254" t="s">
        <v>78</v>
      </c>
      <c r="AG18" s="38">
        <v>41421</v>
      </c>
      <c r="AH18" s="38">
        <v>65409</v>
      </c>
      <c r="AI18" s="85">
        <v>84108</v>
      </c>
      <c r="AJ18" s="38">
        <v>94682</v>
      </c>
      <c r="AK18" s="38">
        <v>114771</v>
      </c>
      <c r="AL18" s="253">
        <f t="shared" si="1"/>
        <v>400391</v>
      </c>
      <c r="AM18" s="36">
        <v>10</v>
      </c>
      <c r="AN18" s="37" t="s">
        <v>90</v>
      </c>
      <c r="AO18" s="35">
        <f>SUM(3591578+273419)</f>
        <v>3864997</v>
      </c>
      <c r="AP18" s="34">
        <v>0</v>
      </c>
      <c r="AQ18" s="33">
        <f>[1]Sheet1!N11</f>
        <v>0</v>
      </c>
      <c r="AR18" s="185"/>
    </row>
    <row r="19" spans="1:44" s="103" customFormat="1" x14ac:dyDescent="0.2">
      <c r="A19" s="4">
        <v>12</v>
      </c>
      <c r="B19" s="17">
        <v>32</v>
      </c>
      <c r="C19" s="120" t="s">
        <v>311</v>
      </c>
      <c r="D19" s="5" t="s">
        <v>267</v>
      </c>
      <c r="E19" s="17">
        <v>1993</v>
      </c>
      <c r="F19" s="183" t="s">
        <v>331</v>
      </c>
      <c r="G19" s="183" t="s">
        <v>358</v>
      </c>
      <c r="H19" s="7">
        <v>4130</v>
      </c>
      <c r="I19" s="7">
        <v>5460</v>
      </c>
      <c r="J19" s="7">
        <v>5620</v>
      </c>
      <c r="K19" s="14">
        <v>6476.18</v>
      </c>
      <c r="L19" s="7">
        <v>8150.5</v>
      </c>
      <c r="M19" s="7">
        <v>8430</v>
      </c>
      <c r="N19" s="7">
        <v>9010</v>
      </c>
      <c r="O19" s="15">
        <v>10357.27</v>
      </c>
      <c r="P19" s="7">
        <v>13375.45</v>
      </c>
      <c r="Q19" s="9">
        <v>15884</v>
      </c>
      <c r="R19" s="218">
        <v>86893.4</v>
      </c>
      <c r="S19" s="8">
        <v>18167.560000000001</v>
      </c>
      <c r="T19" s="8">
        <v>19706</v>
      </c>
      <c r="U19" s="8">
        <v>19645</v>
      </c>
      <c r="V19" s="8">
        <v>20710</v>
      </c>
      <c r="W19" s="7">
        <v>698</v>
      </c>
      <c r="X19" s="8">
        <v>0</v>
      </c>
      <c r="Y19" s="7">
        <v>0</v>
      </c>
      <c r="Z19" s="9">
        <v>0</v>
      </c>
      <c r="AA19" s="9">
        <v>0</v>
      </c>
      <c r="AB19" s="237">
        <f t="shared" si="0"/>
        <v>165819.96</v>
      </c>
      <c r="AC19" s="265" t="s">
        <v>76</v>
      </c>
      <c r="AD19" s="16">
        <v>10</v>
      </c>
      <c r="AE19" s="13" t="s">
        <v>189</v>
      </c>
      <c r="AF19" s="253" t="s">
        <v>76</v>
      </c>
      <c r="AG19" s="12">
        <v>3236</v>
      </c>
      <c r="AH19" s="12">
        <v>4945</v>
      </c>
      <c r="AI19" s="48">
        <f>2427+2587+327+3036+1889</f>
        <v>10266</v>
      </c>
      <c r="AJ19" s="12">
        <v>16583</v>
      </c>
      <c r="AK19" s="12">
        <v>22503</v>
      </c>
      <c r="AL19" s="253">
        <f t="shared" si="1"/>
        <v>57533</v>
      </c>
      <c r="AM19" s="16" t="s">
        <v>463</v>
      </c>
      <c r="AN19" s="13" t="s">
        <v>464</v>
      </c>
      <c r="AO19" s="9">
        <f>[1]Sheet1!I12</f>
        <v>165819.96</v>
      </c>
      <c r="AP19" s="14">
        <v>0</v>
      </c>
      <c r="AQ19" s="7">
        <f>[1]Sheet1!N12</f>
        <v>0</v>
      </c>
      <c r="AR19" s="181"/>
    </row>
    <row r="20" spans="1:44" s="103" customFormat="1" x14ac:dyDescent="0.2">
      <c r="A20" s="4">
        <v>13</v>
      </c>
      <c r="B20" s="17">
        <v>33</v>
      </c>
      <c r="C20" s="120" t="s">
        <v>15</v>
      </c>
      <c r="D20" s="5" t="s">
        <v>268</v>
      </c>
      <c r="E20" s="17">
        <v>1991</v>
      </c>
      <c r="F20" s="183" t="s">
        <v>331</v>
      </c>
      <c r="G20" s="183" t="s">
        <v>358</v>
      </c>
      <c r="H20" s="7">
        <v>27156.52</v>
      </c>
      <c r="I20" s="7">
        <v>27035</v>
      </c>
      <c r="J20" s="7">
        <v>23392.66</v>
      </c>
      <c r="K20" s="14">
        <v>21576.89</v>
      </c>
      <c r="L20" s="7">
        <v>30801.74</v>
      </c>
      <c r="M20" s="7">
        <v>28192</v>
      </c>
      <c r="N20" s="7">
        <v>29356</v>
      </c>
      <c r="O20" s="15">
        <v>26582.23</v>
      </c>
      <c r="P20" s="7">
        <v>24872.73</v>
      </c>
      <c r="Q20" s="9">
        <v>26110</v>
      </c>
      <c r="R20" s="218">
        <v>265075.77</v>
      </c>
      <c r="S20" s="8">
        <v>25404.400000000001</v>
      </c>
      <c r="T20" s="8">
        <v>24962.49</v>
      </c>
      <c r="U20" s="8">
        <v>21405</v>
      </c>
      <c r="V20" s="8">
        <v>1403</v>
      </c>
      <c r="W20" s="7">
        <v>90</v>
      </c>
      <c r="X20" s="8">
        <v>32</v>
      </c>
      <c r="Y20" s="7">
        <v>32</v>
      </c>
      <c r="Z20" s="9">
        <v>0</v>
      </c>
      <c r="AA20" s="9">
        <v>0</v>
      </c>
      <c r="AB20" s="237">
        <f t="shared" si="0"/>
        <v>338404.66000000003</v>
      </c>
      <c r="AC20" s="265" t="s">
        <v>76</v>
      </c>
      <c r="AD20" s="16">
        <v>0</v>
      </c>
      <c r="AE20" s="13" t="s">
        <v>90</v>
      </c>
      <c r="AF20" s="253" t="s">
        <v>76</v>
      </c>
      <c r="AG20" s="12">
        <v>343</v>
      </c>
      <c r="AH20" s="12">
        <v>379</v>
      </c>
      <c r="AI20" s="48">
        <v>389</v>
      </c>
      <c r="AJ20" s="12">
        <v>392</v>
      </c>
      <c r="AK20" s="12">
        <v>373</v>
      </c>
      <c r="AL20" s="253">
        <f t="shared" si="1"/>
        <v>1876</v>
      </c>
      <c r="AM20" s="16">
        <v>0</v>
      </c>
      <c r="AN20" s="13" t="s">
        <v>90</v>
      </c>
      <c r="AO20" s="9">
        <f>[1]Sheet1!I13</f>
        <v>338404.66</v>
      </c>
      <c r="AP20" s="14">
        <v>0</v>
      </c>
      <c r="AQ20" s="7">
        <f>[1]Sheet1!N13</f>
        <v>0</v>
      </c>
      <c r="AR20" s="181"/>
    </row>
    <row r="21" spans="1:44" s="103" customFormat="1" ht="24.5" x14ac:dyDescent="0.2">
      <c r="A21" s="4">
        <v>14</v>
      </c>
      <c r="B21" s="17">
        <v>134</v>
      </c>
      <c r="C21" s="120" t="s">
        <v>16</v>
      </c>
      <c r="D21" s="5" t="s">
        <v>247</v>
      </c>
      <c r="E21" s="13" t="s">
        <v>83</v>
      </c>
      <c r="F21" s="182" t="s">
        <v>325</v>
      </c>
      <c r="G21" s="182" t="s">
        <v>326</v>
      </c>
      <c r="H21" s="7">
        <v>0</v>
      </c>
      <c r="I21" s="7">
        <v>1230</v>
      </c>
      <c r="J21" s="7">
        <v>2010</v>
      </c>
      <c r="K21" s="14">
        <v>2280</v>
      </c>
      <c r="L21" s="7">
        <v>2910</v>
      </c>
      <c r="M21" s="7">
        <v>3060</v>
      </c>
      <c r="N21" s="7">
        <v>2520</v>
      </c>
      <c r="O21" s="15">
        <v>2310</v>
      </c>
      <c r="P21" s="7">
        <v>2220</v>
      </c>
      <c r="Q21" s="9">
        <v>2430</v>
      </c>
      <c r="R21" s="218">
        <v>20970</v>
      </c>
      <c r="S21" s="8">
        <v>2280</v>
      </c>
      <c r="T21" s="8">
        <v>2190</v>
      </c>
      <c r="U21" s="8">
        <v>1980</v>
      </c>
      <c r="V21" s="8">
        <v>2340</v>
      </c>
      <c r="W21" s="7">
        <v>2506</v>
      </c>
      <c r="X21" s="8">
        <v>3268</v>
      </c>
      <c r="Y21" s="7">
        <v>3454</v>
      </c>
      <c r="Z21" s="9">
        <v>3385</v>
      </c>
      <c r="AA21" s="9">
        <v>3347.5</v>
      </c>
      <c r="AB21" s="237">
        <f t="shared" si="0"/>
        <v>45720.5</v>
      </c>
      <c r="AC21" s="265">
        <v>699</v>
      </c>
      <c r="AD21" s="11">
        <v>30</v>
      </c>
      <c r="AE21" s="6" t="s">
        <v>186</v>
      </c>
      <c r="AF21" s="253">
        <v>992</v>
      </c>
      <c r="AG21" s="12">
        <v>92</v>
      </c>
      <c r="AH21" s="12">
        <v>105</v>
      </c>
      <c r="AI21" s="48">
        <v>106</v>
      </c>
      <c r="AJ21" s="12">
        <v>109</v>
      </c>
      <c r="AK21" s="12">
        <v>104</v>
      </c>
      <c r="AL21" s="253">
        <f t="shared" si="1"/>
        <v>1508</v>
      </c>
      <c r="AM21" s="11">
        <v>30</v>
      </c>
      <c r="AN21" s="13" t="s">
        <v>198</v>
      </c>
      <c r="AO21" s="9">
        <f>SUM(9202+893)</f>
        <v>10095</v>
      </c>
      <c r="AP21" s="14">
        <v>0</v>
      </c>
      <c r="AQ21" s="7">
        <f>SUM(33170+2456)</f>
        <v>35626</v>
      </c>
      <c r="AR21" s="181"/>
    </row>
    <row r="22" spans="1:44" s="103" customFormat="1" ht="25.2" customHeight="1" x14ac:dyDescent="0.2">
      <c r="A22" s="4">
        <v>15</v>
      </c>
      <c r="B22" s="17">
        <v>180</v>
      </c>
      <c r="C22" s="120" t="s">
        <v>17</v>
      </c>
      <c r="D22" s="17" t="s">
        <v>292</v>
      </c>
      <c r="E22" s="17" t="s">
        <v>78</v>
      </c>
      <c r="F22" s="182" t="s">
        <v>341</v>
      </c>
      <c r="G22" s="182" t="s">
        <v>333</v>
      </c>
      <c r="H22" s="7">
        <v>0</v>
      </c>
      <c r="I22" s="7">
        <v>0</v>
      </c>
      <c r="J22" s="7">
        <v>0</v>
      </c>
      <c r="K22" s="14">
        <v>0</v>
      </c>
      <c r="L22" s="7">
        <v>0</v>
      </c>
      <c r="M22" s="7">
        <v>0</v>
      </c>
      <c r="N22" s="7">
        <v>0</v>
      </c>
      <c r="O22" s="15">
        <v>0</v>
      </c>
      <c r="P22" s="7">
        <v>0</v>
      </c>
      <c r="Q22" s="9">
        <v>0</v>
      </c>
      <c r="R22" s="218">
        <v>0</v>
      </c>
      <c r="S22" s="8">
        <v>0</v>
      </c>
      <c r="T22" s="8">
        <v>0</v>
      </c>
      <c r="U22" s="8">
        <v>0</v>
      </c>
      <c r="V22" s="8">
        <v>0</v>
      </c>
      <c r="W22" s="7">
        <v>0</v>
      </c>
      <c r="X22" s="8">
        <v>0</v>
      </c>
      <c r="Y22" s="7">
        <v>0</v>
      </c>
      <c r="Z22" s="9">
        <v>0</v>
      </c>
      <c r="AA22" s="9">
        <v>0</v>
      </c>
      <c r="AB22" s="237">
        <f t="shared" si="0"/>
        <v>0</v>
      </c>
      <c r="AC22" s="265">
        <v>0</v>
      </c>
      <c r="AD22" s="16">
        <v>0</v>
      </c>
      <c r="AE22" s="13" t="s">
        <v>78</v>
      </c>
      <c r="AF22" s="253">
        <v>0</v>
      </c>
      <c r="AG22" s="12">
        <v>0</v>
      </c>
      <c r="AH22" s="12">
        <v>0</v>
      </c>
      <c r="AI22" s="48">
        <v>0</v>
      </c>
      <c r="AJ22" s="12">
        <v>0</v>
      </c>
      <c r="AK22" s="12">
        <v>0</v>
      </c>
      <c r="AL22" s="253">
        <f t="shared" si="1"/>
        <v>0</v>
      </c>
      <c r="AM22" s="11">
        <v>30</v>
      </c>
      <c r="AN22" s="13" t="s">
        <v>198</v>
      </c>
      <c r="AO22" s="9">
        <f>[1]Sheet1!I15</f>
        <v>0</v>
      </c>
      <c r="AP22" s="14">
        <v>0</v>
      </c>
      <c r="AQ22" s="7">
        <f>[1]Sheet1!N15</f>
        <v>0</v>
      </c>
      <c r="AR22" s="181"/>
    </row>
    <row r="23" spans="1:44" s="103" customFormat="1" ht="27" customHeight="1" x14ac:dyDescent="0.2">
      <c r="A23" s="4">
        <v>16</v>
      </c>
      <c r="B23" s="17">
        <v>111</v>
      </c>
      <c r="C23" s="120" t="s">
        <v>18</v>
      </c>
      <c r="D23" s="5" t="s">
        <v>249</v>
      </c>
      <c r="E23" s="13" t="s">
        <v>84</v>
      </c>
      <c r="F23" s="182" t="s">
        <v>325</v>
      </c>
      <c r="G23" s="182" t="s">
        <v>326</v>
      </c>
      <c r="H23" s="7">
        <v>11700</v>
      </c>
      <c r="I23" s="7">
        <v>11640</v>
      </c>
      <c r="J23" s="7">
        <v>11160</v>
      </c>
      <c r="K23" s="14">
        <v>10740</v>
      </c>
      <c r="L23" s="7">
        <v>11850</v>
      </c>
      <c r="M23" s="7">
        <v>12840</v>
      </c>
      <c r="N23" s="7">
        <v>12000</v>
      </c>
      <c r="O23" s="15">
        <v>11700</v>
      </c>
      <c r="P23" s="7">
        <v>12090</v>
      </c>
      <c r="Q23" s="9">
        <v>11970</v>
      </c>
      <c r="R23" s="218">
        <v>117690</v>
      </c>
      <c r="S23" s="8">
        <v>12630</v>
      </c>
      <c r="T23" s="8">
        <v>12600</v>
      </c>
      <c r="U23" s="8">
        <v>12090</v>
      </c>
      <c r="V23" s="8">
        <v>12810</v>
      </c>
      <c r="W23" s="7">
        <v>13928</v>
      </c>
      <c r="X23" s="8">
        <v>17205</v>
      </c>
      <c r="Y23" s="7">
        <v>20361</v>
      </c>
      <c r="Z23" s="9">
        <v>22242</v>
      </c>
      <c r="AA23" s="9">
        <v>22775</v>
      </c>
      <c r="AB23" s="237">
        <f t="shared" si="0"/>
        <v>264331</v>
      </c>
      <c r="AC23" s="265">
        <v>3923</v>
      </c>
      <c r="AD23" s="11">
        <v>30</v>
      </c>
      <c r="AE23" s="6" t="s">
        <v>186</v>
      </c>
      <c r="AF23" s="253">
        <v>5594</v>
      </c>
      <c r="AG23" s="12">
        <v>504</v>
      </c>
      <c r="AH23" s="12">
        <v>557</v>
      </c>
      <c r="AI23" s="48">
        <v>680</v>
      </c>
      <c r="AJ23" s="12">
        <v>718</v>
      </c>
      <c r="AK23" s="12">
        <v>721</v>
      </c>
      <c r="AL23" s="253">
        <f t="shared" si="1"/>
        <v>8774</v>
      </c>
      <c r="AM23" s="11">
        <v>30</v>
      </c>
      <c r="AN23" s="13" t="s">
        <v>198</v>
      </c>
      <c r="AO23" s="9">
        <f>SUM(52648+6074)</f>
        <v>58722</v>
      </c>
      <c r="AP23" s="14">
        <v>0</v>
      </c>
      <c r="AQ23" s="7">
        <f>SUM(188908+16701)</f>
        <v>205609</v>
      </c>
      <c r="AR23" s="181"/>
    </row>
    <row r="24" spans="1:44" s="103" customFormat="1" ht="37.450000000000003" thickBot="1" x14ac:dyDescent="0.25">
      <c r="A24" s="4">
        <v>17</v>
      </c>
      <c r="B24" s="17">
        <v>205</v>
      </c>
      <c r="C24" s="122" t="s">
        <v>147</v>
      </c>
      <c r="D24" s="19">
        <v>504.64100000000002</v>
      </c>
      <c r="E24" s="13" t="s">
        <v>163</v>
      </c>
      <c r="F24" s="182" t="s">
        <v>346</v>
      </c>
      <c r="G24" s="182" t="s">
        <v>410</v>
      </c>
      <c r="H24" s="7">
        <v>0</v>
      </c>
      <c r="I24" s="7">
        <v>0</v>
      </c>
      <c r="J24" s="7">
        <v>0</v>
      </c>
      <c r="K24" s="14">
        <v>0</v>
      </c>
      <c r="L24" s="7">
        <v>0</v>
      </c>
      <c r="M24" s="7">
        <v>0</v>
      </c>
      <c r="N24" s="7">
        <v>0</v>
      </c>
      <c r="O24" s="15">
        <v>0</v>
      </c>
      <c r="P24" s="7">
        <v>0</v>
      </c>
      <c r="Q24" s="9">
        <v>0</v>
      </c>
      <c r="R24" s="218">
        <v>0</v>
      </c>
      <c r="S24" s="8">
        <v>4710</v>
      </c>
      <c r="T24" s="8">
        <v>6120</v>
      </c>
      <c r="U24" s="8">
        <v>7080</v>
      </c>
      <c r="V24" s="8">
        <v>6450</v>
      </c>
      <c r="W24" s="7">
        <v>7188</v>
      </c>
      <c r="X24" s="8">
        <v>7658</v>
      </c>
      <c r="Y24" s="7">
        <v>8775</v>
      </c>
      <c r="Z24" s="9">
        <v>8603</v>
      </c>
      <c r="AA24" s="9">
        <v>8127.5</v>
      </c>
      <c r="AB24" s="237">
        <f t="shared" si="0"/>
        <v>64711.5</v>
      </c>
      <c r="AC24" s="265">
        <v>0</v>
      </c>
      <c r="AD24" s="11" t="s">
        <v>78</v>
      </c>
      <c r="AE24" s="11" t="s">
        <v>78</v>
      </c>
      <c r="AF24" s="253">
        <v>812</v>
      </c>
      <c r="AG24" s="12">
        <v>253</v>
      </c>
      <c r="AH24" s="12">
        <v>253</v>
      </c>
      <c r="AI24" s="48">
        <v>285</v>
      </c>
      <c r="AJ24" s="12">
        <v>278</v>
      </c>
      <c r="AK24" s="12">
        <v>258</v>
      </c>
      <c r="AL24" s="253">
        <f t="shared" si="1"/>
        <v>2139</v>
      </c>
      <c r="AM24" s="11">
        <v>30</v>
      </c>
      <c r="AN24" s="13" t="s">
        <v>198</v>
      </c>
      <c r="AO24" s="9">
        <f>SUM(17781+2168)</f>
        <v>19949</v>
      </c>
      <c r="AP24" s="14">
        <v>0</v>
      </c>
      <c r="AQ24" s="7">
        <f>SUM(38801+5962)</f>
        <v>44763</v>
      </c>
      <c r="AR24" s="181"/>
    </row>
    <row r="25" spans="1:44" s="103" customFormat="1" ht="37.450000000000003" customHeight="1" x14ac:dyDescent="0.2">
      <c r="A25" s="4">
        <v>18</v>
      </c>
      <c r="B25" s="27">
        <v>193</v>
      </c>
      <c r="C25" s="123" t="s">
        <v>61</v>
      </c>
      <c r="D25" s="20" t="s">
        <v>80</v>
      </c>
      <c r="E25" s="13" t="s">
        <v>85</v>
      </c>
      <c r="F25" s="183" t="s">
        <v>397</v>
      </c>
      <c r="G25" s="182" t="s">
        <v>411</v>
      </c>
      <c r="H25" s="7">
        <v>0</v>
      </c>
      <c r="I25" s="7">
        <v>0</v>
      </c>
      <c r="J25" s="7">
        <v>0</v>
      </c>
      <c r="K25" s="14">
        <v>0</v>
      </c>
      <c r="L25" s="7">
        <v>14200</v>
      </c>
      <c r="M25" s="7">
        <v>24850</v>
      </c>
      <c r="N25" s="7">
        <v>31650</v>
      </c>
      <c r="O25" s="7">
        <v>29700</v>
      </c>
      <c r="P25" s="7">
        <v>22000</v>
      </c>
      <c r="Q25" s="9">
        <v>16450</v>
      </c>
      <c r="R25" s="218">
        <v>138850</v>
      </c>
      <c r="S25" s="8">
        <v>62340</v>
      </c>
      <c r="T25" s="8">
        <v>66960</v>
      </c>
      <c r="U25" s="8">
        <v>63720</v>
      </c>
      <c r="V25" s="8">
        <v>69060</v>
      </c>
      <c r="W25" s="7">
        <v>67240</v>
      </c>
      <c r="X25" s="8">
        <v>77432</v>
      </c>
      <c r="Y25" s="7">
        <v>79221</v>
      </c>
      <c r="Z25" s="9">
        <v>78405</v>
      </c>
      <c r="AA25" s="9">
        <v>75792.5</v>
      </c>
      <c r="AB25" s="237">
        <f t="shared" si="0"/>
        <v>779020.5</v>
      </c>
      <c r="AC25" s="265">
        <v>2777</v>
      </c>
      <c r="AD25" s="16">
        <v>50</v>
      </c>
      <c r="AE25" s="13" t="s">
        <v>190</v>
      </c>
      <c r="AF25" s="253">
        <v>11513</v>
      </c>
      <c r="AG25" s="12">
        <v>2465</v>
      </c>
      <c r="AH25" s="12">
        <v>2501</v>
      </c>
      <c r="AI25" s="48">
        <v>2571</v>
      </c>
      <c r="AJ25" s="12">
        <v>2535</v>
      </c>
      <c r="AK25" s="12">
        <v>2439</v>
      </c>
      <c r="AL25" s="253">
        <f t="shared" si="1"/>
        <v>24024</v>
      </c>
      <c r="AM25" s="11">
        <v>30</v>
      </c>
      <c r="AN25" s="13" t="s">
        <v>198</v>
      </c>
      <c r="AO25" s="9">
        <f>SUM(164389+20212)</f>
        <v>184601</v>
      </c>
      <c r="AP25" s="14">
        <v>0</v>
      </c>
      <c r="AQ25" s="7">
        <f>SUM(538839+55581)</f>
        <v>594420</v>
      </c>
      <c r="AR25" s="181"/>
    </row>
    <row r="26" spans="1:44" s="103" customFormat="1" x14ac:dyDescent="0.2">
      <c r="A26" s="4">
        <v>19</v>
      </c>
      <c r="B26" s="27">
        <v>187</v>
      </c>
      <c r="C26" s="124" t="s">
        <v>70</v>
      </c>
      <c r="D26" s="20" t="s">
        <v>80</v>
      </c>
      <c r="E26" s="21" t="s">
        <v>78</v>
      </c>
      <c r="F26" s="112"/>
      <c r="G26" s="112"/>
      <c r="H26" s="7">
        <v>0</v>
      </c>
      <c r="I26" s="7">
        <v>0</v>
      </c>
      <c r="J26" s="7">
        <v>0</v>
      </c>
      <c r="K26" s="14">
        <v>0</v>
      </c>
      <c r="L26" s="7">
        <v>0</v>
      </c>
      <c r="M26" s="7">
        <v>10680</v>
      </c>
      <c r="N26" s="7">
        <v>27040</v>
      </c>
      <c r="O26" s="22">
        <v>43720</v>
      </c>
      <c r="P26" s="22">
        <v>53760</v>
      </c>
      <c r="Q26" s="23">
        <v>59290</v>
      </c>
      <c r="R26" s="218">
        <v>194490</v>
      </c>
      <c r="S26" s="23">
        <v>300</v>
      </c>
      <c r="T26" s="23">
        <v>0</v>
      </c>
      <c r="U26" s="23">
        <v>0</v>
      </c>
      <c r="V26" s="23">
        <v>0</v>
      </c>
      <c r="W26" s="22">
        <v>0</v>
      </c>
      <c r="X26" s="23">
        <v>0</v>
      </c>
      <c r="Y26" s="22">
        <v>0</v>
      </c>
      <c r="Z26" s="23">
        <v>0</v>
      </c>
      <c r="AA26" s="9">
        <v>0</v>
      </c>
      <c r="AB26" s="237">
        <f t="shared" si="0"/>
        <v>194790</v>
      </c>
      <c r="AC26" s="265">
        <v>4862.25</v>
      </c>
      <c r="AD26" s="16">
        <v>40</v>
      </c>
      <c r="AE26" s="13" t="s">
        <v>191</v>
      </c>
      <c r="AF26" s="253">
        <v>4872.25</v>
      </c>
      <c r="AG26" s="12">
        <v>0</v>
      </c>
      <c r="AH26" s="12">
        <v>0</v>
      </c>
      <c r="AI26" s="48">
        <v>0</v>
      </c>
      <c r="AJ26" s="12">
        <v>0</v>
      </c>
      <c r="AK26" s="12">
        <v>0</v>
      </c>
      <c r="AL26" s="253">
        <f t="shared" si="1"/>
        <v>4872.25</v>
      </c>
      <c r="AM26" s="11">
        <v>30</v>
      </c>
      <c r="AN26" s="13" t="s">
        <v>198</v>
      </c>
      <c r="AO26" s="9">
        <f>[1]Sheet1!I19</f>
        <v>12235.625</v>
      </c>
      <c r="AP26" s="14">
        <v>0</v>
      </c>
      <c r="AQ26" s="7">
        <f>[1]Sheet1!N19</f>
        <v>182554.375</v>
      </c>
      <c r="AR26" s="181"/>
    </row>
    <row r="27" spans="1:44" s="103" customFormat="1" ht="13.7" thickBot="1" x14ac:dyDescent="0.25">
      <c r="A27" s="4">
        <v>20</v>
      </c>
      <c r="B27" s="113">
        <v>175</v>
      </c>
      <c r="C27" s="125" t="s">
        <v>71</v>
      </c>
      <c r="D27" s="20" t="s">
        <v>80</v>
      </c>
      <c r="E27" s="17" t="s">
        <v>78</v>
      </c>
      <c r="F27" s="114"/>
      <c r="G27" s="114"/>
      <c r="H27" s="7">
        <v>0</v>
      </c>
      <c r="I27" s="7">
        <v>0</v>
      </c>
      <c r="J27" s="7">
        <v>0</v>
      </c>
      <c r="K27" s="14">
        <v>0</v>
      </c>
      <c r="L27" s="7">
        <v>0</v>
      </c>
      <c r="M27" s="7">
        <v>0</v>
      </c>
      <c r="N27" s="7">
        <v>140</v>
      </c>
      <c r="O27" s="22">
        <v>35</v>
      </c>
      <c r="P27" s="22">
        <v>210</v>
      </c>
      <c r="Q27" s="23">
        <v>70</v>
      </c>
      <c r="R27" s="218">
        <v>455</v>
      </c>
      <c r="S27" s="23">
        <v>30</v>
      </c>
      <c r="T27" s="23">
        <v>0</v>
      </c>
      <c r="U27" s="23">
        <v>0</v>
      </c>
      <c r="V27" s="23">
        <v>0</v>
      </c>
      <c r="W27" s="22">
        <v>0</v>
      </c>
      <c r="X27" s="23">
        <v>0</v>
      </c>
      <c r="Y27" s="22">
        <v>0</v>
      </c>
      <c r="Z27" s="23">
        <v>0</v>
      </c>
      <c r="AA27" s="9">
        <v>0</v>
      </c>
      <c r="AB27" s="237">
        <f t="shared" si="0"/>
        <v>485</v>
      </c>
      <c r="AC27" s="265">
        <v>13</v>
      </c>
      <c r="AD27" s="16">
        <v>35</v>
      </c>
      <c r="AE27" s="13" t="s">
        <v>192</v>
      </c>
      <c r="AF27" s="253">
        <v>14</v>
      </c>
      <c r="AG27" s="12">
        <v>0</v>
      </c>
      <c r="AH27" s="12">
        <v>0</v>
      </c>
      <c r="AI27" s="48">
        <v>0</v>
      </c>
      <c r="AJ27" s="12">
        <v>0</v>
      </c>
      <c r="AK27" s="12">
        <v>0</v>
      </c>
      <c r="AL27" s="253">
        <f t="shared" si="1"/>
        <v>14</v>
      </c>
      <c r="AM27" s="11">
        <v>30</v>
      </c>
      <c r="AN27" s="13" t="s">
        <v>198</v>
      </c>
      <c r="AO27" s="9">
        <f>[1]Sheet1!I20</f>
        <v>73</v>
      </c>
      <c r="AP27" s="14">
        <v>0</v>
      </c>
      <c r="AQ27" s="7">
        <f>[1]Sheet1!N20</f>
        <v>412</v>
      </c>
      <c r="AR27" s="181"/>
    </row>
    <row r="28" spans="1:44" s="103" customFormat="1" ht="25.2" customHeight="1" x14ac:dyDescent="0.2">
      <c r="A28" s="4">
        <v>21</v>
      </c>
      <c r="B28" s="17">
        <v>213</v>
      </c>
      <c r="C28" s="121" t="s">
        <v>218</v>
      </c>
      <c r="D28" s="18">
        <v>504.80099999999999</v>
      </c>
      <c r="E28" s="17">
        <v>2006</v>
      </c>
      <c r="F28" s="186" t="s">
        <v>512</v>
      </c>
      <c r="G28" s="186" t="s">
        <v>412</v>
      </c>
      <c r="H28" s="7">
        <v>0</v>
      </c>
      <c r="I28" s="7">
        <v>0</v>
      </c>
      <c r="J28" s="7">
        <v>0</v>
      </c>
      <c r="K28" s="14">
        <v>0</v>
      </c>
      <c r="L28" s="7">
        <v>0</v>
      </c>
      <c r="M28" s="7">
        <v>0</v>
      </c>
      <c r="N28" s="7">
        <v>0</v>
      </c>
      <c r="O28" s="22">
        <v>0</v>
      </c>
      <c r="P28" s="22">
        <v>0</v>
      </c>
      <c r="Q28" s="23">
        <v>0</v>
      </c>
      <c r="R28" s="218">
        <v>0</v>
      </c>
      <c r="S28" s="23">
        <v>0</v>
      </c>
      <c r="T28" s="23">
        <v>0</v>
      </c>
      <c r="U28" s="23">
        <v>750</v>
      </c>
      <c r="V28" s="23">
        <v>1110</v>
      </c>
      <c r="W28" s="22">
        <v>1113</v>
      </c>
      <c r="X28" s="23">
        <v>1318</v>
      </c>
      <c r="Y28" s="22">
        <v>1225</v>
      </c>
      <c r="Z28" s="23">
        <v>1305</v>
      </c>
      <c r="AA28" s="9">
        <v>1277.5</v>
      </c>
      <c r="AB28" s="237">
        <f t="shared" si="0"/>
        <v>8098.5</v>
      </c>
      <c r="AC28" s="265">
        <v>0</v>
      </c>
      <c r="AD28" s="11" t="s">
        <v>78</v>
      </c>
      <c r="AE28" s="11" t="s">
        <v>78</v>
      </c>
      <c r="AF28" s="253">
        <v>62</v>
      </c>
      <c r="AG28" s="12">
        <v>40</v>
      </c>
      <c r="AH28" s="12">
        <v>43</v>
      </c>
      <c r="AI28" s="48">
        <v>40</v>
      </c>
      <c r="AJ28" s="12">
        <v>40</v>
      </c>
      <c r="AK28" s="12">
        <v>39</v>
      </c>
      <c r="AL28" s="253">
        <f t="shared" si="1"/>
        <v>264</v>
      </c>
      <c r="AM28" s="11">
        <v>30</v>
      </c>
      <c r="AN28" s="13" t="s">
        <v>198</v>
      </c>
      <c r="AO28" s="9">
        <f>SUM(1819+341)</f>
        <v>2160</v>
      </c>
      <c r="AP28" s="14">
        <v>0</v>
      </c>
      <c r="AQ28" s="7">
        <f>SUM(5002+937)</f>
        <v>5939</v>
      </c>
      <c r="AR28" s="181"/>
    </row>
    <row r="29" spans="1:44" s="104" customFormat="1" ht="25.75" customHeight="1" x14ac:dyDescent="0.2">
      <c r="A29" s="4">
        <v>22</v>
      </c>
      <c r="B29" s="28">
        <v>273</v>
      </c>
      <c r="C29" s="121" t="s">
        <v>310</v>
      </c>
      <c r="D29" s="87">
        <v>504.62700000000001</v>
      </c>
      <c r="E29" s="17">
        <v>2010</v>
      </c>
      <c r="F29" s="183" t="s">
        <v>397</v>
      </c>
      <c r="G29" s="183" t="s">
        <v>413</v>
      </c>
      <c r="H29" s="7">
        <v>0</v>
      </c>
      <c r="I29" s="7">
        <v>0</v>
      </c>
      <c r="J29" s="7">
        <v>0</v>
      </c>
      <c r="K29" s="14">
        <v>0</v>
      </c>
      <c r="L29" s="7">
        <v>0</v>
      </c>
      <c r="M29" s="7">
        <v>0</v>
      </c>
      <c r="N29" s="7">
        <v>0</v>
      </c>
      <c r="O29" s="22">
        <v>0</v>
      </c>
      <c r="P29" s="22">
        <v>0</v>
      </c>
      <c r="Q29" s="23">
        <v>0</v>
      </c>
      <c r="R29" s="218">
        <v>0</v>
      </c>
      <c r="S29" s="23">
        <v>0</v>
      </c>
      <c r="T29" s="23">
        <v>0</v>
      </c>
      <c r="U29" s="23">
        <v>0</v>
      </c>
      <c r="V29" s="23">
        <v>0</v>
      </c>
      <c r="W29" s="22">
        <v>0</v>
      </c>
      <c r="X29" s="23">
        <v>2573</v>
      </c>
      <c r="Y29" s="22">
        <v>13675</v>
      </c>
      <c r="Z29" s="23">
        <v>18185</v>
      </c>
      <c r="AA29" s="9">
        <v>22505</v>
      </c>
      <c r="AB29" s="237">
        <f t="shared" si="0"/>
        <v>56938</v>
      </c>
      <c r="AC29" s="265">
        <v>0</v>
      </c>
      <c r="AD29" s="11" t="s">
        <v>78</v>
      </c>
      <c r="AE29" s="11" t="s">
        <v>78</v>
      </c>
      <c r="AF29" s="253">
        <v>0</v>
      </c>
      <c r="AG29" s="12">
        <v>0</v>
      </c>
      <c r="AH29" s="12">
        <v>128</v>
      </c>
      <c r="AI29" s="48">
        <v>425</v>
      </c>
      <c r="AJ29" s="12">
        <v>592</v>
      </c>
      <c r="AK29" s="12">
        <v>707</v>
      </c>
      <c r="AL29" s="253">
        <f t="shared" si="1"/>
        <v>1852</v>
      </c>
      <c r="AM29" s="11">
        <v>30</v>
      </c>
      <c r="AN29" s="13" t="s">
        <v>198</v>
      </c>
      <c r="AO29" s="9">
        <f>SUM(9183+6002)</f>
        <v>15185</v>
      </c>
      <c r="AP29" s="14">
        <v>0</v>
      </c>
      <c r="AQ29" s="7">
        <f>SUM(25250+16503)</f>
        <v>41753</v>
      </c>
      <c r="AR29" s="116"/>
    </row>
    <row r="30" spans="1:44" s="103" customFormat="1" ht="18.75" customHeight="1" x14ac:dyDescent="0.2">
      <c r="A30" s="4">
        <v>23</v>
      </c>
      <c r="B30" s="28">
        <v>172</v>
      </c>
      <c r="C30" s="121" t="s">
        <v>176</v>
      </c>
      <c r="D30" s="17" t="s">
        <v>263</v>
      </c>
      <c r="E30" s="17">
        <v>2001</v>
      </c>
      <c r="F30" s="183" t="s">
        <v>397</v>
      </c>
      <c r="G30" s="183" t="s">
        <v>334</v>
      </c>
      <c r="H30" s="7">
        <v>0</v>
      </c>
      <c r="I30" s="7">
        <v>0</v>
      </c>
      <c r="J30" s="7">
        <v>0</v>
      </c>
      <c r="K30" s="14">
        <v>0</v>
      </c>
      <c r="L30" s="7">
        <v>0</v>
      </c>
      <c r="M30" s="7">
        <v>0</v>
      </c>
      <c r="N30" s="7">
        <v>0</v>
      </c>
      <c r="O30" s="15">
        <v>41325</v>
      </c>
      <c r="P30" s="7">
        <v>72275</v>
      </c>
      <c r="Q30" s="9">
        <v>105020</v>
      </c>
      <c r="R30" s="218">
        <v>218620</v>
      </c>
      <c r="S30" s="8">
        <v>149260</v>
      </c>
      <c r="T30" s="8">
        <v>161160</v>
      </c>
      <c r="U30" s="8">
        <v>155050</v>
      </c>
      <c r="V30" s="8">
        <v>163380</v>
      </c>
      <c r="W30" s="7">
        <v>161500</v>
      </c>
      <c r="X30" s="7">
        <f>SUM(310+185632.5)</f>
        <v>185942.5</v>
      </c>
      <c r="Y30" s="7">
        <v>200832</v>
      </c>
      <c r="Z30" s="9">
        <v>197183</v>
      </c>
      <c r="AA30" s="9">
        <v>195430</v>
      </c>
      <c r="AB30" s="237">
        <f t="shared" si="0"/>
        <v>1788357.5</v>
      </c>
      <c r="AC30" s="265">
        <v>8744.7999999999993</v>
      </c>
      <c r="AD30" s="16">
        <v>25</v>
      </c>
      <c r="AE30" s="13" t="s">
        <v>193</v>
      </c>
      <c r="AF30" s="253">
        <v>29706.466666666667</v>
      </c>
      <c r="AG30" s="12">
        <v>5105</v>
      </c>
      <c r="AH30" s="48">
        <v>6035</v>
      </c>
      <c r="AI30" s="48">
        <v>6035</v>
      </c>
      <c r="AJ30" s="12">
        <v>6406</v>
      </c>
      <c r="AK30" s="12">
        <v>6227</v>
      </c>
      <c r="AL30" s="253">
        <f t="shared" si="1"/>
        <v>59514.466666666667</v>
      </c>
      <c r="AM30" s="11">
        <v>30</v>
      </c>
      <c r="AN30" s="13" t="s">
        <v>198</v>
      </c>
      <c r="AO30" s="9">
        <f>SUM(410214+52117)</f>
        <v>462331</v>
      </c>
      <c r="AP30" s="14">
        <v>0</v>
      </c>
      <c r="AQ30" s="7">
        <f>SUM(1182712+143313)</f>
        <v>1326025</v>
      </c>
      <c r="AR30" s="181"/>
    </row>
    <row r="31" spans="1:44" s="104" customFormat="1" ht="47.35" customHeight="1" x14ac:dyDescent="0.2">
      <c r="A31" s="4">
        <v>24</v>
      </c>
      <c r="B31" s="17">
        <v>189</v>
      </c>
      <c r="C31" s="120" t="s">
        <v>92</v>
      </c>
      <c r="D31" s="17" t="s">
        <v>290</v>
      </c>
      <c r="E31" s="13" t="s">
        <v>85</v>
      </c>
      <c r="F31" s="182" t="s">
        <v>325</v>
      </c>
      <c r="G31" s="182" t="s">
        <v>414</v>
      </c>
      <c r="H31" s="7">
        <v>0</v>
      </c>
      <c r="I31" s="7">
        <v>0</v>
      </c>
      <c r="J31" s="7">
        <v>0</v>
      </c>
      <c r="K31" s="14">
        <v>0</v>
      </c>
      <c r="L31" s="7">
        <v>720</v>
      </c>
      <c r="M31" s="7">
        <v>3210</v>
      </c>
      <c r="N31" s="7">
        <v>6240</v>
      </c>
      <c r="O31" s="15">
        <v>8490</v>
      </c>
      <c r="P31" s="7">
        <v>9660</v>
      </c>
      <c r="Q31" s="9">
        <v>9270</v>
      </c>
      <c r="R31" s="218">
        <v>37590</v>
      </c>
      <c r="S31" s="8">
        <v>9810</v>
      </c>
      <c r="T31" s="8">
        <v>9480</v>
      </c>
      <c r="U31" s="8">
        <v>8790</v>
      </c>
      <c r="V31" s="8">
        <v>8370</v>
      </c>
      <c r="W31" s="7">
        <v>9530</v>
      </c>
      <c r="X31" s="7">
        <f>SUM(22+10410)</f>
        <v>10432</v>
      </c>
      <c r="Y31" s="7">
        <v>11171</v>
      </c>
      <c r="Z31" s="9">
        <v>11800</v>
      </c>
      <c r="AA31" s="9">
        <v>11645</v>
      </c>
      <c r="AB31" s="237">
        <f t="shared" si="0"/>
        <v>128618</v>
      </c>
      <c r="AC31" s="265">
        <v>1253</v>
      </c>
      <c r="AD31" s="11">
        <v>30</v>
      </c>
      <c r="AE31" s="6" t="s">
        <v>186</v>
      </c>
      <c r="AF31" s="253">
        <v>2468</v>
      </c>
      <c r="AG31" s="12">
        <v>339</v>
      </c>
      <c r="AH31" s="48">
        <v>338</v>
      </c>
      <c r="AI31" s="48">
        <v>365</v>
      </c>
      <c r="AJ31" s="12">
        <v>381</v>
      </c>
      <c r="AK31" s="12">
        <v>371</v>
      </c>
      <c r="AL31" s="253">
        <f t="shared" si="1"/>
        <v>4262</v>
      </c>
      <c r="AM31" s="11">
        <v>30</v>
      </c>
      <c r="AN31" s="13" t="s">
        <v>198</v>
      </c>
      <c r="AO31" s="9">
        <f>SUM(27434+3105)</f>
        <v>30539</v>
      </c>
      <c r="AP31" s="14">
        <v>0</v>
      </c>
      <c r="AQ31" s="7">
        <f>SUM(89539+8540)</f>
        <v>98079</v>
      </c>
      <c r="AR31" s="116"/>
    </row>
    <row r="32" spans="1:44" s="103" customFormat="1" x14ac:dyDescent="0.2">
      <c r="A32" s="4">
        <v>25</v>
      </c>
      <c r="B32" s="17"/>
      <c r="C32" s="120" t="s">
        <v>471</v>
      </c>
      <c r="D32" s="28">
        <v>504.315</v>
      </c>
      <c r="E32" s="29">
        <v>2012</v>
      </c>
      <c r="F32" s="183" t="s">
        <v>331</v>
      </c>
      <c r="G32" s="183" t="s">
        <v>358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226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238">
        <v>0</v>
      </c>
      <c r="AC32" s="265">
        <v>0</v>
      </c>
      <c r="AD32" s="11"/>
      <c r="AE32" s="6"/>
      <c r="AF32" s="253">
        <v>0</v>
      </c>
      <c r="AG32" s="12">
        <v>0</v>
      </c>
      <c r="AH32" s="48">
        <v>0</v>
      </c>
      <c r="AI32" s="48">
        <v>0</v>
      </c>
      <c r="AJ32" s="12">
        <v>0</v>
      </c>
      <c r="AK32" s="12">
        <v>1225</v>
      </c>
      <c r="AL32" s="253">
        <f t="shared" si="1"/>
        <v>1225</v>
      </c>
      <c r="AM32" s="11">
        <v>0</v>
      </c>
      <c r="AN32" s="13" t="s">
        <v>78</v>
      </c>
      <c r="AO32" s="9">
        <v>0</v>
      </c>
      <c r="AP32" s="14">
        <v>0</v>
      </c>
      <c r="AQ32" s="7">
        <v>0</v>
      </c>
      <c r="AR32" s="181"/>
    </row>
    <row r="33" spans="1:44" s="103" customFormat="1" ht="13" customHeight="1" x14ac:dyDescent="0.2">
      <c r="A33" s="4">
        <v>26</v>
      </c>
      <c r="B33" s="17"/>
      <c r="C33" s="120" t="s">
        <v>472</v>
      </c>
      <c r="D33" s="28">
        <v>504.315</v>
      </c>
      <c r="E33" s="24">
        <v>2012</v>
      </c>
      <c r="F33" s="183" t="s">
        <v>331</v>
      </c>
      <c r="G33" s="183" t="s">
        <v>358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226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238">
        <v>0</v>
      </c>
      <c r="AC33" s="265">
        <v>0</v>
      </c>
      <c r="AD33" s="16"/>
      <c r="AE33" s="6"/>
      <c r="AF33" s="253">
        <v>0</v>
      </c>
      <c r="AG33" s="12">
        <v>0</v>
      </c>
      <c r="AH33" s="48">
        <v>0</v>
      </c>
      <c r="AI33" s="48">
        <v>0</v>
      </c>
      <c r="AJ33" s="12">
        <v>0</v>
      </c>
      <c r="AK33" s="12">
        <v>108</v>
      </c>
      <c r="AL33" s="253">
        <f t="shared" si="1"/>
        <v>108</v>
      </c>
      <c r="AM33" s="11">
        <v>0</v>
      </c>
      <c r="AN33" s="13" t="s">
        <v>78</v>
      </c>
      <c r="AO33" s="9">
        <v>0</v>
      </c>
      <c r="AP33" s="14">
        <v>0</v>
      </c>
      <c r="AQ33" s="7"/>
      <c r="AR33" s="181"/>
    </row>
    <row r="34" spans="1:44" s="103" customFormat="1" x14ac:dyDescent="0.2">
      <c r="A34" s="4">
        <v>27</v>
      </c>
      <c r="B34" s="17">
        <v>119</v>
      </c>
      <c r="C34" s="120" t="s">
        <v>19</v>
      </c>
      <c r="D34" s="150" t="s">
        <v>247</v>
      </c>
      <c r="E34" s="13" t="s">
        <v>84</v>
      </c>
      <c r="F34" s="182" t="s">
        <v>19</v>
      </c>
      <c r="G34" s="182" t="s">
        <v>326</v>
      </c>
      <c r="H34" s="7">
        <v>210</v>
      </c>
      <c r="I34" s="7">
        <v>150</v>
      </c>
      <c r="J34" s="7">
        <v>60</v>
      </c>
      <c r="K34" s="14">
        <v>30</v>
      </c>
      <c r="L34" s="7">
        <v>90</v>
      </c>
      <c r="M34" s="7">
        <v>150</v>
      </c>
      <c r="N34" s="7">
        <v>30</v>
      </c>
      <c r="O34" s="15">
        <v>0</v>
      </c>
      <c r="P34" s="7">
        <v>30</v>
      </c>
      <c r="Q34" s="9">
        <v>60</v>
      </c>
      <c r="R34" s="218">
        <v>810</v>
      </c>
      <c r="S34" s="8">
        <v>0</v>
      </c>
      <c r="T34" s="8">
        <v>120</v>
      </c>
      <c r="U34" s="8">
        <v>30</v>
      </c>
      <c r="V34" s="8">
        <v>0</v>
      </c>
      <c r="W34" s="7">
        <v>0</v>
      </c>
      <c r="X34" s="8">
        <v>0</v>
      </c>
      <c r="Y34" s="7">
        <v>0</v>
      </c>
      <c r="Z34" s="9">
        <v>0</v>
      </c>
      <c r="AA34" s="9">
        <v>0</v>
      </c>
      <c r="AB34" s="237">
        <f t="shared" si="0"/>
        <v>960</v>
      </c>
      <c r="AC34" s="265">
        <v>27</v>
      </c>
      <c r="AD34" s="16">
        <v>30</v>
      </c>
      <c r="AE34" s="13" t="s">
        <v>186</v>
      </c>
      <c r="AF34" s="253">
        <v>32</v>
      </c>
      <c r="AG34" s="12">
        <v>0</v>
      </c>
      <c r="AH34" s="48">
        <v>0</v>
      </c>
      <c r="AI34" s="48">
        <v>0</v>
      </c>
      <c r="AJ34" s="12">
        <v>0</v>
      </c>
      <c r="AK34" s="12">
        <v>0</v>
      </c>
      <c r="AL34" s="253">
        <f t="shared" si="1"/>
        <v>32</v>
      </c>
      <c r="AM34" s="16">
        <v>30</v>
      </c>
      <c r="AN34" s="13" t="s">
        <v>198</v>
      </c>
      <c r="AO34" s="9">
        <f>[1]Sheet1!I25</f>
        <v>175</v>
      </c>
      <c r="AP34" s="14">
        <v>0</v>
      </c>
      <c r="AQ34" s="7">
        <f>[1]Sheet1!N25</f>
        <v>785</v>
      </c>
      <c r="AR34" s="181"/>
    </row>
    <row r="35" spans="1:44" s="103" customFormat="1" ht="24.5" x14ac:dyDescent="0.2">
      <c r="A35" s="4">
        <v>28</v>
      </c>
      <c r="B35" s="17"/>
      <c r="C35" s="120" t="s">
        <v>473</v>
      </c>
      <c r="D35" s="17">
        <v>504.80099999999999</v>
      </c>
      <c r="E35" s="40">
        <v>2012</v>
      </c>
      <c r="F35" s="183" t="s">
        <v>505</v>
      </c>
      <c r="G35" s="183" t="s">
        <v>509</v>
      </c>
      <c r="H35" s="7">
        <v>0</v>
      </c>
      <c r="I35" s="8">
        <v>0</v>
      </c>
      <c r="J35" s="8">
        <v>0</v>
      </c>
      <c r="K35" s="9">
        <v>0</v>
      </c>
      <c r="L35" s="8">
        <v>0</v>
      </c>
      <c r="M35" s="8">
        <v>0</v>
      </c>
      <c r="N35" s="7">
        <v>0</v>
      </c>
      <c r="O35" s="7">
        <v>0</v>
      </c>
      <c r="P35" s="7">
        <v>0</v>
      </c>
      <c r="Q35" s="7">
        <v>0</v>
      </c>
      <c r="R35" s="226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15">
        <v>0</v>
      </c>
      <c r="Z35" s="10">
        <v>0</v>
      </c>
      <c r="AA35" s="9">
        <v>1430</v>
      </c>
      <c r="AB35" s="237">
        <f t="shared" si="0"/>
        <v>1430</v>
      </c>
      <c r="AC35" s="265">
        <v>0</v>
      </c>
      <c r="AD35" s="16" t="s">
        <v>78</v>
      </c>
      <c r="AE35" s="16" t="s">
        <v>78</v>
      </c>
      <c r="AF35" s="253">
        <v>0</v>
      </c>
      <c r="AG35" s="12">
        <v>0</v>
      </c>
      <c r="AH35" s="48">
        <v>0</v>
      </c>
      <c r="AI35" s="48">
        <v>0</v>
      </c>
      <c r="AJ35" s="12">
        <v>0</v>
      </c>
      <c r="AK35" s="12">
        <v>46</v>
      </c>
      <c r="AL35" s="253">
        <f t="shared" si="1"/>
        <v>46</v>
      </c>
      <c r="AM35" s="11">
        <v>30</v>
      </c>
      <c r="AN35" s="13" t="s">
        <v>198</v>
      </c>
      <c r="AO35" s="9">
        <v>381</v>
      </c>
      <c r="AP35" s="14">
        <v>0</v>
      </c>
      <c r="AQ35" s="7">
        <v>1049</v>
      </c>
      <c r="AR35" s="181"/>
    </row>
    <row r="36" spans="1:44" s="104" customFormat="1" ht="25.95" customHeight="1" x14ac:dyDescent="0.2">
      <c r="A36" s="4">
        <v>29</v>
      </c>
      <c r="B36" s="17"/>
      <c r="C36" s="120" t="s">
        <v>474</v>
      </c>
      <c r="D36" s="17" t="s">
        <v>511</v>
      </c>
      <c r="E36" s="29">
        <v>2012</v>
      </c>
      <c r="F36" s="183" t="s">
        <v>506</v>
      </c>
      <c r="G36" s="183" t="s">
        <v>510</v>
      </c>
      <c r="H36" s="7">
        <v>0</v>
      </c>
      <c r="I36" s="8">
        <v>0</v>
      </c>
      <c r="J36" s="8">
        <v>0</v>
      </c>
      <c r="K36" s="9">
        <v>0</v>
      </c>
      <c r="L36" s="8">
        <v>0</v>
      </c>
      <c r="M36" s="8">
        <v>0</v>
      </c>
      <c r="N36" s="7">
        <v>0</v>
      </c>
      <c r="O36" s="7">
        <v>0</v>
      </c>
      <c r="P36" s="7">
        <v>0</v>
      </c>
      <c r="Q36" s="7">
        <v>0</v>
      </c>
      <c r="R36" s="226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15">
        <v>0</v>
      </c>
      <c r="Z36" s="10">
        <v>0</v>
      </c>
      <c r="AA36" s="9">
        <v>32434.5</v>
      </c>
      <c r="AB36" s="237">
        <f t="shared" si="0"/>
        <v>32434.5</v>
      </c>
      <c r="AC36" s="265">
        <v>0</v>
      </c>
      <c r="AD36" s="16" t="s">
        <v>78</v>
      </c>
      <c r="AE36" s="16" t="s">
        <v>78</v>
      </c>
      <c r="AF36" s="253">
        <v>0</v>
      </c>
      <c r="AG36" s="12">
        <v>0</v>
      </c>
      <c r="AH36" s="48">
        <v>0</v>
      </c>
      <c r="AI36" s="48">
        <v>0</v>
      </c>
      <c r="AJ36" s="12">
        <v>0</v>
      </c>
      <c r="AK36" s="12">
        <v>1044</v>
      </c>
      <c r="AL36" s="253">
        <f t="shared" si="1"/>
        <v>1044</v>
      </c>
      <c r="AM36" s="11">
        <v>30</v>
      </c>
      <c r="AN36" s="13" t="s">
        <v>198</v>
      </c>
      <c r="AO36" s="9">
        <v>8651</v>
      </c>
      <c r="AP36" s="14">
        <v>0</v>
      </c>
      <c r="AQ36" s="7">
        <v>23784</v>
      </c>
      <c r="AR36" s="116"/>
    </row>
    <row r="37" spans="1:44" s="104" customFormat="1" ht="24.5" x14ac:dyDescent="0.2">
      <c r="A37" s="4">
        <v>30</v>
      </c>
      <c r="B37" s="17">
        <v>185</v>
      </c>
      <c r="C37" s="120" t="s">
        <v>121</v>
      </c>
      <c r="D37" s="17" t="s">
        <v>265</v>
      </c>
      <c r="E37" s="29">
        <v>2000</v>
      </c>
      <c r="F37" s="183" t="s">
        <v>342</v>
      </c>
      <c r="G37" s="183" t="s">
        <v>415</v>
      </c>
      <c r="H37" s="7">
        <v>0</v>
      </c>
      <c r="I37" s="8">
        <v>0</v>
      </c>
      <c r="J37" s="8">
        <v>0</v>
      </c>
      <c r="K37" s="9">
        <v>0</v>
      </c>
      <c r="L37" s="8">
        <v>0</v>
      </c>
      <c r="M37" s="8">
        <v>0</v>
      </c>
      <c r="N37" s="8">
        <v>2730</v>
      </c>
      <c r="O37" s="15">
        <v>4945</v>
      </c>
      <c r="P37" s="10">
        <v>5040</v>
      </c>
      <c r="Q37" s="10">
        <v>4800</v>
      </c>
      <c r="R37" s="218">
        <v>17515</v>
      </c>
      <c r="S37" s="10">
        <v>4740</v>
      </c>
      <c r="T37" s="10">
        <v>4500</v>
      </c>
      <c r="U37" s="10">
        <v>4560</v>
      </c>
      <c r="V37" s="10">
        <v>4410</v>
      </c>
      <c r="W37" s="15">
        <v>4353</v>
      </c>
      <c r="X37" s="7">
        <v>4705</v>
      </c>
      <c r="Y37" s="15">
        <v>5065</v>
      </c>
      <c r="Z37" s="10">
        <v>5033</v>
      </c>
      <c r="AA37" s="9">
        <v>4617.5</v>
      </c>
      <c r="AB37" s="237">
        <f t="shared" si="0"/>
        <v>59498.5</v>
      </c>
      <c r="AC37" s="265">
        <v>583.83333333333337</v>
      </c>
      <c r="AD37" s="11">
        <v>30</v>
      </c>
      <c r="AE37" s="6" t="s">
        <v>186</v>
      </c>
      <c r="AF37" s="253">
        <v>1190.8333333333335</v>
      </c>
      <c r="AG37" s="12">
        <v>154</v>
      </c>
      <c r="AH37" s="48">
        <v>154</v>
      </c>
      <c r="AI37" s="48">
        <v>165</v>
      </c>
      <c r="AJ37" s="12">
        <v>161</v>
      </c>
      <c r="AK37" s="12">
        <v>149</v>
      </c>
      <c r="AL37" s="253">
        <f t="shared" si="1"/>
        <v>1973.8333333333335</v>
      </c>
      <c r="AM37" s="16">
        <v>30</v>
      </c>
      <c r="AN37" s="13" t="s">
        <v>198</v>
      </c>
      <c r="AO37" s="9">
        <f>SUM(12884+1233)</f>
        <v>14117</v>
      </c>
      <c r="AP37" s="14">
        <v>0</v>
      </c>
      <c r="AQ37" s="7">
        <f>SUM(41996+3386)</f>
        <v>45382</v>
      </c>
      <c r="AR37" s="116"/>
    </row>
    <row r="38" spans="1:44" s="103" customFormat="1" ht="36.75" customHeight="1" x14ac:dyDescent="0.2">
      <c r="A38" s="30">
        <v>31</v>
      </c>
      <c r="B38" s="17">
        <v>31</v>
      </c>
      <c r="C38" s="120" t="s">
        <v>93</v>
      </c>
      <c r="D38" s="17" t="s">
        <v>174</v>
      </c>
      <c r="E38" s="17">
        <v>1993</v>
      </c>
      <c r="F38" s="183" t="s">
        <v>331</v>
      </c>
      <c r="G38" s="183" t="s">
        <v>358</v>
      </c>
      <c r="H38" s="7">
        <v>240</v>
      </c>
      <c r="I38" s="7">
        <v>230</v>
      </c>
      <c r="J38" s="7">
        <v>210</v>
      </c>
      <c r="K38" s="14">
        <v>220</v>
      </c>
      <c r="L38" s="7">
        <v>650</v>
      </c>
      <c r="M38" s="7">
        <v>465</v>
      </c>
      <c r="N38" s="7">
        <v>378</v>
      </c>
      <c r="O38" s="15">
        <v>360</v>
      </c>
      <c r="P38" s="7">
        <v>304</v>
      </c>
      <c r="Q38" s="9">
        <v>410</v>
      </c>
      <c r="R38" s="218">
        <v>3467</v>
      </c>
      <c r="S38" s="8">
        <v>345</v>
      </c>
      <c r="T38" s="8">
        <v>400</v>
      </c>
      <c r="U38" s="8">
        <v>410</v>
      </c>
      <c r="V38" s="8">
        <v>485</v>
      </c>
      <c r="W38" s="7">
        <v>22</v>
      </c>
      <c r="X38" s="7">
        <v>0</v>
      </c>
      <c r="Y38" s="7">
        <v>0</v>
      </c>
      <c r="Z38" s="9">
        <v>0</v>
      </c>
      <c r="AA38" s="9">
        <v>0</v>
      </c>
      <c r="AB38" s="237">
        <f t="shared" si="0"/>
        <v>5129</v>
      </c>
      <c r="AC38" s="265">
        <v>346.7</v>
      </c>
      <c r="AD38" s="16">
        <v>10</v>
      </c>
      <c r="AE38" s="13" t="s">
        <v>189</v>
      </c>
      <c r="AF38" s="253">
        <v>510.7</v>
      </c>
      <c r="AG38" s="12">
        <v>53</v>
      </c>
      <c r="AH38" s="48">
        <v>65</v>
      </c>
      <c r="AI38" s="48">
        <v>88</v>
      </c>
      <c r="AJ38" s="12">
        <v>100</v>
      </c>
      <c r="AK38" s="12">
        <v>106</v>
      </c>
      <c r="AL38" s="253">
        <f t="shared" si="1"/>
        <v>922.7</v>
      </c>
      <c r="AM38" s="16" t="s">
        <v>463</v>
      </c>
      <c r="AN38" s="13" t="s">
        <v>464</v>
      </c>
      <c r="AO38" s="9">
        <f>[1]Sheet1!I27</f>
        <v>5129</v>
      </c>
      <c r="AP38" s="14">
        <v>0</v>
      </c>
      <c r="AQ38" s="7">
        <f>[1]Sheet1!N27</f>
        <v>0</v>
      </c>
      <c r="AR38" s="181"/>
    </row>
    <row r="39" spans="1:44" s="103" customFormat="1" x14ac:dyDescent="0.2">
      <c r="A39" s="30">
        <v>32</v>
      </c>
      <c r="B39" s="171">
        <v>87</v>
      </c>
      <c r="C39" s="120" t="s">
        <v>470</v>
      </c>
      <c r="D39" s="17" t="s">
        <v>246</v>
      </c>
      <c r="E39" s="17">
        <v>1958</v>
      </c>
      <c r="F39" s="183" t="s">
        <v>331</v>
      </c>
      <c r="G39" s="183" t="s">
        <v>358</v>
      </c>
      <c r="H39" s="7">
        <v>38775</v>
      </c>
      <c r="I39" s="7">
        <v>48630</v>
      </c>
      <c r="J39" s="7">
        <v>51345</v>
      </c>
      <c r="K39" s="14">
        <v>66110.3</v>
      </c>
      <c r="L39" s="7">
        <v>84540</v>
      </c>
      <c r="M39" s="7">
        <v>105366</v>
      </c>
      <c r="N39" s="7">
        <v>110827</v>
      </c>
      <c r="O39" s="15">
        <v>104796.6</v>
      </c>
      <c r="P39" s="7">
        <v>119958</v>
      </c>
      <c r="Q39" s="9">
        <v>129643</v>
      </c>
      <c r="R39" s="218">
        <v>859990.9</v>
      </c>
      <c r="S39" s="8">
        <v>131950</v>
      </c>
      <c r="T39" s="8">
        <v>136665</v>
      </c>
      <c r="U39" s="8">
        <v>130606</v>
      </c>
      <c r="V39" s="8">
        <v>145421</v>
      </c>
      <c r="W39" s="7">
        <v>157786</v>
      </c>
      <c r="X39" s="7">
        <v>200854.25</v>
      </c>
      <c r="Y39" s="7">
        <v>220791</v>
      </c>
      <c r="Z39" s="9">
        <v>243482</v>
      </c>
      <c r="AA39" s="164">
        <v>3339</v>
      </c>
      <c r="AB39" s="237">
        <f t="shared" si="0"/>
        <v>2230885.15</v>
      </c>
      <c r="AC39" s="265">
        <v>57332.726666666669</v>
      </c>
      <c r="AD39" s="16">
        <v>15</v>
      </c>
      <c r="AE39" s="13" t="s">
        <v>90</v>
      </c>
      <c r="AF39" s="253">
        <v>93642.193333333329</v>
      </c>
      <c r="AG39" s="12">
        <v>5288</v>
      </c>
      <c r="AH39" s="48">
        <v>12950</v>
      </c>
      <c r="AI39" s="48">
        <v>14364</v>
      </c>
      <c r="AJ39" s="12">
        <v>9263</v>
      </c>
      <c r="AK39" s="12">
        <v>19296</v>
      </c>
      <c r="AL39" s="253">
        <f t="shared" si="1"/>
        <v>154803.19333333333</v>
      </c>
      <c r="AM39" s="16">
        <v>15</v>
      </c>
      <c r="AN39" s="13" t="s">
        <v>90</v>
      </c>
      <c r="AO39" s="9">
        <f>SUM(2227546+3339)</f>
        <v>2230885</v>
      </c>
      <c r="AP39" s="14">
        <v>0</v>
      </c>
      <c r="AQ39" s="7">
        <f>[1]Sheet1!N28</f>
        <v>0</v>
      </c>
      <c r="AR39" s="181"/>
    </row>
    <row r="40" spans="1:44" s="103" customFormat="1" x14ac:dyDescent="0.2">
      <c r="A40" s="30">
        <v>33</v>
      </c>
      <c r="B40" s="17">
        <v>34</v>
      </c>
      <c r="C40" s="120" t="s">
        <v>58</v>
      </c>
      <c r="D40" s="17" t="s">
        <v>174</v>
      </c>
      <c r="E40" s="17">
        <v>1991</v>
      </c>
      <c r="F40" s="183" t="s">
        <v>331</v>
      </c>
      <c r="G40" s="183" t="s">
        <v>358</v>
      </c>
      <c r="H40" s="7">
        <v>290</v>
      </c>
      <c r="I40" s="7">
        <v>100</v>
      </c>
      <c r="J40" s="7">
        <v>30</v>
      </c>
      <c r="K40" s="14">
        <v>135</v>
      </c>
      <c r="L40" s="7">
        <v>50</v>
      </c>
      <c r="M40" s="7">
        <v>200</v>
      </c>
      <c r="N40" s="7">
        <v>450</v>
      </c>
      <c r="O40" s="15">
        <v>440</v>
      </c>
      <c r="P40" s="7">
        <v>458.3</v>
      </c>
      <c r="Q40" s="9">
        <v>358</v>
      </c>
      <c r="R40" s="218">
        <v>2511.3000000000002</v>
      </c>
      <c r="S40" s="8">
        <v>335</v>
      </c>
      <c r="T40" s="8">
        <v>300</v>
      </c>
      <c r="U40" s="8">
        <v>380</v>
      </c>
      <c r="V40" s="8">
        <v>355</v>
      </c>
      <c r="W40" s="7">
        <v>100</v>
      </c>
      <c r="X40" s="7">
        <v>5.0999999999999996</v>
      </c>
      <c r="Y40" s="7">
        <v>0</v>
      </c>
      <c r="Z40" s="9">
        <v>0</v>
      </c>
      <c r="AA40" s="9">
        <v>0</v>
      </c>
      <c r="AB40" s="237">
        <f t="shared" si="0"/>
        <v>3986.4</v>
      </c>
      <c r="AC40" s="265">
        <v>251.13</v>
      </c>
      <c r="AD40" s="16">
        <v>10</v>
      </c>
      <c r="AE40" s="13" t="s">
        <v>189</v>
      </c>
      <c r="AF40" s="253">
        <v>388.13</v>
      </c>
      <c r="AG40" s="12">
        <v>51</v>
      </c>
      <c r="AH40" s="48">
        <v>63</v>
      </c>
      <c r="AI40" s="48">
        <v>65</v>
      </c>
      <c r="AJ40" s="12">
        <v>70</v>
      </c>
      <c r="AK40" s="12">
        <v>74</v>
      </c>
      <c r="AL40" s="253">
        <f t="shared" si="1"/>
        <v>711.13</v>
      </c>
      <c r="AM40" s="16" t="s">
        <v>158</v>
      </c>
      <c r="AN40" s="13" t="s">
        <v>450</v>
      </c>
      <c r="AO40" s="9">
        <f>[1]Sheet1!I29</f>
        <v>3986.3</v>
      </c>
      <c r="AP40" s="14">
        <v>0</v>
      </c>
      <c r="AQ40" s="7">
        <v>0</v>
      </c>
      <c r="AR40" s="181"/>
    </row>
    <row r="41" spans="1:44" s="103" customFormat="1" ht="25.95" customHeight="1" x14ac:dyDescent="0.2">
      <c r="A41" s="30">
        <v>34</v>
      </c>
      <c r="B41" s="17">
        <v>259</v>
      </c>
      <c r="C41" s="120" t="s">
        <v>232</v>
      </c>
      <c r="D41" s="17">
        <v>504.65699999999998</v>
      </c>
      <c r="E41" s="17">
        <v>2008</v>
      </c>
      <c r="F41" s="182" t="s">
        <v>325</v>
      </c>
      <c r="G41" s="182" t="s">
        <v>326</v>
      </c>
      <c r="H41" s="7">
        <v>0</v>
      </c>
      <c r="I41" s="7">
        <v>0</v>
      </c>
      <c r="J41" s="7">
        <v>0</v>
      </c>
      <c r="K41" s="14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8">
        <v>0</v>
      </c>
      <c r="R41" s="218">
        <v>0</v>
      </c>
      <c r="S41" s="8">
        <v>0</v>
      </c>
      <c r="T41" s="8">
        <v>0</v>
      </c>
      <c r="U41" s="8">
        <v>0</v>
      </c>
      <c r="V41" s="10">
        <v>0</v>
      </c>
      <c r="W41" s="7">
        <v>1070</v>
      </c>
      <c r="X41" s="7">
        <v>1882.5</v>
      </c>
      <c r="Y41" s="7">
        <v>2405</v>
      </c>
      <c r="Z41" s="9">
        <v>2440</v>
      </c>
      <c r="AA41" s="9">
        <v>1965</v>
      </c>
      <c r="AB41" s="237">
        <f t="shared" si="0"/>
        <v>9762.5</v>
      </c>
      <c r="AC41" s="265">
        <v>0</v>
      </c>
      <c r="AD41" s="16" t="s">
        <v>78</v>
      </c>
      <c r="AE41" s="16" t="s">
        <v>78</v>
      </c>
      <c r="AF41" s="253">
        <v>1012.6666666666666</v>
      </c>
      <c r="AG41" s="12">
        <v>391</v>
      </c>
      <c r="AH41" s="48">
        <v>58</v>
      </c>
      <c r="AI41" s="48">
        <v>83</v>
      </c>
      <c r="AJ41" s="12">
        <v>73</v>
      </c>
      <c r="AK41" s="12">
        <v>68</v>
      </c>
      <c r="AL41" s="253">
        <f t="shared" si="1"/>
        <v>1685.6666666666665</v>
      </c>
      <c r="AM41" s="11">
        <v>30</v>
      </c>
      <c r="AN41" s="13" t="s">
        <v>198</v>
      </c>
      <c r="AO41" s="9">
        <f>SUM(524+2081)</f>
        <v>2605</v>
      </c>
      <c r="AP41" s="14">
        <v>0</v>
      </c>
      <c r="AQ41" s="7">
        <f>SUM(5717+1441)</f>
        <v>7158</v>
      </c>
      <c r="AR41" s="181"/>
    </row>
    <row r="42" spans="1:44" s="104" customFormat="1" ht="38.9" customHeight="1" x14ac:dyDescent="0.2">
      <c r="A42" s="30">
        <v>35</v>
      </c>
      <c r="B42" s="17"/>
      <c r="C42" s="120" t="s">
        <v>475</v>
      </c>
      <c r="D42" s="17"/>
      <c r="E42" s="29">
        <v>2012</v>
      </c>
      <c r="F42" s="183" t="s">
        <v>507</v>
      </c>
      <c r="G42" s="183" t="s">
        <v>508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227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0">
        <v>0</v>
      </c>
      <c r="AA42" s="9">
        <v>0</v>
      </c>
      <c r="AB42" s="237">
        <f t="shared" si="0"/>
        <v>0</v>
      </c>
      <c r="AC42" s="265">
        <v>0</v>
      </c>
      <c r="AD42" s="11">
        <v>0</v>
      </c>
      <c r="AE42" s="6" t="s">
        <v>78</v>
      </c>
      <c r="AF42" s="253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5</v>
      </c>
      <c r="AL42" s="253">
        <f t="shared" si="1"/>
        <v>5</v>
      </c>
      <c r="AM42" s="11">
        <v>30</v>
      </c>
      <c r="AN42" s="13" t="s">
        <v>198</v>
      </c>
      <c r="AO42" s="9">
        <v>0</v>
      </c>
      <c r="AP42" s="14">
        <v>0</v>
      </c>
      <c r="AQ42" s="7">
        <v>0</v>
      </c>
      <c r="AR42" s="116"/>
    </row>
    <row r="43" spans="1:44" s="103" customFormat="1" ht="46.8" customHeight="1" x14ac:dyDescent="0.2">
      <c r="A43" s="30">
        <v>36</v>
      </c>
      <c r="B43" s="17">
        <v>206</v>
      </c>
      <c r="C43" s="120" t="s">
        <v>140</v>
      </c>
      <c r="D43" s="17">
        <v>504.63600000000002</v>
      </c>
      <c r="E43" s="29">
        <v>2004</v>
      </c>
      <c r="F43" s="182" t="s">
        <v>325</v>
      </c>
      <c r="G43" s="182" t="s">
        <v>370</v>
      </c>
      <c r="H43" s="7">
        <v>0</v>
      </c>
      <c r="I43" s="7">
        <v>0</v>
      </c>
      <c r="J43" s="7">
        <v>0</v>
      </c>
      <c r="K43" s="14">
        <v>0</v>
      </c>
      <c r="L43" s="7">
        <v>0</v>
      </c>
      <c r="M43" s="7">
        <v>0</v>
      </c>
      <c r="N43" s="7">
        <v>0</v>
      </c>
      <c r="O43" s="14">
        <v>0</v>
      </c>
      <c r="P43" s="7">
        <v>0</v>
      </c>
      <c r="Q43" s="9">
        <v>0</v>
      </c>
      <c r="R43" s="218">
        <v>0</v>
      </c>
      <c r="S43" s="8">
        <v>3810</v>
      </c>
      <c r="T43" s="8">
        <v>7470</v>
      </c>
      <c r="U43" s="8">
        <v>8690</v>
      </c>
      <c r="V43" s="8">
        <v>10410</v>
      </c>
      <c r="W43" s="7">
        <v>11313</v>
      </c>
      <c r="X43" s="187">
        <f>SUM(279.32+13222.5)</f>
        <v>13501.82</v>
      </c>
      <c r="Y43" s="15">
        <v>16896</v>
      </c>
      <c r="Z43" s="10">
        <v>17233</v>
      </c>
      <c r="AA43" s="9">
        <v>18088</v>
      </c>
      <c r="AB43" s="237">
        <f t="shared" si="0"/>
        <v>107411.82</v>
      </c>
      <c r="AC43" s="265">
        <v>546.54999999999995</v>
      </c>
      <c r="AD43" s="16">
        <v>8</v>
      </c>
      <c r="AE43" s="13" t="s">
        <v>90</v>
      </c>
      <c r="AF43" s="253">
        <v>882.05</v>
      </c>
      <c r="AG43" s="12">
        <v>59</v>
      </c>
      <c r="AH43" s="188">
        <v>438</v>
      </c>
      <c r="AI43" s="48">
        <v>484</v>
      </c>
      <c r="AJ43" s="12">
        <v>550</v>
      </c>
      <c r="AK43" s="12">
        <v>596</v>
      </c>
      <c r="AL43" s="253">
        <f t="shared" si="1"/>
        <v>3009.05</v>
      </c>
      <c r="AM43" s="11">
        <v>30</v>
      </c>
      <c r="AN43" s="13" t="s">
        <v>198</v>
      </c>
      <c r="AO43" s="9">
        <f>SUM(23821+4824)</f>
        <v>28645</v>
      </c>
      <c r="AP43" s="14">
        <v>0</v>
      </c>
      <c r="AQ43" s="7">
        <f>SUM(13264+65503)</f>
        <v>78767</v>
      </c>
      <c r="AR43" s="181"/>
    </row>
    <row r="44" spans="1:44" s="104" customFormat="1" ht="20.9" customHeight="1" x14ac:dyDescent="0.2">
      <c r="A44" s="30">
        <v>37</v>
      </c>
      <c r="B44" s="17">
        <v>36</v>
      </c>
      <c r="C44" s="120" t="s">
        <v>20</v>
      </c>
      <c r="D44" s="17" t="s">
        <v>285</v>
      </c>
      <c r="E44" s="29">
        <v>1991</v>
      </c>
      <c r="F44" s="182" t="s">
        <v>522</v>
      </c>
      <c r="G44" s="183" t="s">
        <v>339</v>
      </c>
      <c r="H44" s="7">
        <v>656</v>
      </c>
      <c r="I44" s="7">
        <v>600</v>
      </c>
      <c r="J44" s="7">
        <v>648</v>
      </c>
      <c r="K44" s="14">
        <v>470.8</v>
      </c>
      <c r="L44" s="7">
        <v>424</v>
      </c>
      <c r="M44" s="7">
        <v>240</v>
      </c>
      <c r="N44" s="7">
        <v>376</v>
      </c>
      <c r="O44" s="15">
        <v>325.60000000000002</v>
      </c>
      <c r="P44" s="15">
        <v>320</v>
      </c>
      <c r="Q44" s="10">
        <v>312</v>
      </c>
      <c r="R44" s="218">
        <v>4372.3999999999996</v>
      </c>
      <c r="S44" s="10">
        <v>456</v>
      </c>
      <c r="T44" s="10">
        <v>888</v>
      </c>
      <c r="U44" s="10">
        <v>812</v>
      </c>
      <c r="V44" s="10">
        <v>528</v>
      </c>
      <c r="W44" s="15">
        <v>472</v>
      </c>
      <c r="X44" s="7">
        <v>144</v>
      </c>
      <c r="Y44" s="15">
        <v>480</v>
      </c>
      <c r="Z44" s="10">
        <v>1648</v>
      </c>
      <c r="AA44" s="164">
        <v>0</v>
      </c>
      <c r="AB44" s="237">
        <f t="shared" si="0"/>
        <v>9800.4</v>
      </c>
      <c r="AC44" s="265">
        <v>546.54999999999995</v>
      </c>
      <c r="AD44" s="16">
        <v>8</v>
      </c>
      <c r="AE44" s="13" t="s">
        <v>90</v>
      </c>
      <c r="AF44" s="253">
        <v>882.05</v>
      </c>
      <c r="AG44" s="12">
        <v>59</v>
      </c>
      <c r="AH44" s="48">
        <v>149</v>
      </c>
      <c r="AI44" s="48">
        <v>168</v>
      </c>
      <c r="AJ44" s="12">
        <v>136</v>
      </c>
      <c r="AK44" s="12">
        <v>121</v>
      </c>
      <c r="AL44" s="253">
        <f t="shared" si="1"/>
        <v>1515.05</v>
      </c>
      <c r="AM44" s="11">
        <v>8</v>
      </c>
      <c r="AN44" s="13" t="s">
        <v>90</v>
      </c>
      <c r="AO44" s="9">
        <f>[1]Sheet1!I32+1648</f>
        <v>9800.4</v>
      </c>
      <c r="AP44" s="14">
        <v>0</v>
      </c>
      <c r="AQ44" s="7">
        <f>[1]Sheet1!N32</f>
        <v>0</v>
      </c>
      <c r="AR44" s="116"/>
    </row>
    <row r="45" spans="1:44" s="103" customFormat="1" x14ac:dyDescent="0.2">
      <c r="A45" s="30">
        <v>38</v>
      </c>
      <c r="B45" s="31">
        <v>1</v>
      </c>
      <c r="C45" s="120" t="s">
        <v>59</v>
      </c>
      <c r="D45" s="17" t="s">
        <v>260</v>
      </c>
      <c r="E45" s="29">
        <v>1997</v>
      </c>
      <c r="F45" s="182" t="s">
        <v>331</v>
      </c>
      <c r="G45" s="183" t="s">
        <v>339</v>
      </c>
      <c r="H45" s="7">
        <v>0</v>
      </c>
      <c r="I45" s="7">
        <v>0</v>
      </c>
      <c r="J45" s="7">
        <v>0</v>
      </c>
      <c r="K45" s="14">
        <v>0</v>
      </c>
      <c r="L45" s="7">
        <v>0</v>
      </c>
      <c r="M45" s="7">
        <v>0</v>
      </c>
      <c r="N45" s="7">
        <v>0</v>
      </c>
      <c r="O45" s="15">
        <v>0</v>
      </c>
      <c r="P45" s="15">
        <v>0</v>
      </c>
      <c r="Q45" s="10">
        <v>0</v>
      </c>
      <c r="R45" s="218">
        <v>0</v>
      </c>
      <c r="S45" s="10">
        <v>0</v>
      </c>
      <c r="T45" s="10">
        <v>0</v>
      </c>
      <c r="U45" s="10">
        <v>0</v>
      </c>
      <c r="V45" s="10">
        <v>0</v>
      </c>
      <c r="W45" s="15">
        <v>0</v>
      </c>
      <c r="X45" s="7">
        <v>0</v>
      </c>
      <c r="Y45" s="15">
        <v>14756</v>
      </c>
      <c r="Z45" s="9">
        <v>0</v>
      </c>
      <c r="AA45" s="9">
        <v>0</v>
      </c>
      <c r="AB45" s="237">
        <f t="shared" si="0"/>
        <v>14756</v>
      </c>
      <c r="AC45" s="265" t="s">
        <v>76</v>
      </c>
      <c r="AD45" s="16">
        <v>0</v>
      </c>
      <c r="AE45" s="13" t="s">
        <v>78</v>
      </c>
      <c r="AF45" s="255" t="s">
        <v>76</v>
      </c>
      <c r="AG45" s="48">
        <v>488</v>
      </c>
      <c r="AH45" s="48">
        <v>298</v>
      </c>
      <c r="AI45" s="48">
        <v>297</v>
      </c>
      <c r="AJ45" s="12">
        <v>264</v>
      </c>
      <c r="AK45" s="12">
        <v>252</v>
      </c>
      <c r="AL45" s="253">
        <f t="shared" si="1"/>
        <v>1599</v>
      </c>
      <c r="AM45" s="16">
        <v>0</v>
      </c>
      <c r="AN45" s="13" t="s">
        <v>78</v>
      </c>
      <c r="AO45" s="9">
        <f>[1]Sheet1!I33</f>
        <v>14756</v>
      </c>
      <c r="AP45" s="14">
        <v>0</v>
      </c>
      <c r="AQ45" s="7">
        <f>[1]Sheet1!N33</f>
        <v>0</v>
      </c>
      <c r="AR45" s="181"/>
    </row>
    <row r="46" spans="1:44" s="103" customFormat="1" x14ac:dyDescent="0.2">
      <c r="A46" s="30">
        <v>39</v>
      </c>
      <c r="B46" s="31"/>
      <c r="C46" s="120" t="s">
        <v>476</v>
      </c>
      <c r="D46" s="17"/>
      <c r="E46" s="24">
        <v>2012</v>
      </c>
      <c r="F46" s="183" t="s">
        <v>331</v>
      </c>
      <c r="G46" s="183" t="s">
        <v>358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227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0">
        <v>0</v>
      </c>
      <c r="AA46" s="9">
        <v>0</v>
      </c>
      <c r="AB46" s="237">
        <f t="shared" si="0"/>
        <v>0</v>
      </c>
      <c r="AC46" s="265">
        <v>0</v>
      </c>
      <c r="AD46" s="16">
        <v>0</v>
      </c>
      <c r="AE46" s="13" t="s">
        <v>78</v>
      </c>
      <c r="AF46" s="255">
        <v>0</v>
      </c>
      <c r="AG46" s="48">
        <v>0</v>
      </c>
      <c r="AH46" s="48">
        <v>0</v>
      </c>
      <c r="AI46" s="48">
        <v>0</v>
      </c>
      <c r="AJ46" s="12">
        <v>0</v>
      </c>
      <c r="AK46" s="12">
        <v>7</v>
      </c>
      <c r="AL46" s="253">
        <f t="shared" si="1"/>
        <v>7</v>
      </c>
      <c r="AM46" s="16">
        <v>0</v>
      </c>
      <c r="AN46" s="13" t="s">
        <v>78</v>
      </c>
      <c r="AO46" s="9">
        <v>0</v>
      </c>
      <c r="AP46" s="14">
        <v>0</v>
      </c>
      <c r="AQ46" s="7">
        <v>0</v>
      </c>
      <c r="AR46" s="181"/>
    </row>
    <row r="47" spans="1:44" s="103" customFormat="1" ht="36.75" x14ac:dyDescent="0.2">
      <c r="A47" s="30">
        <v>40</v>
      </c>
      <c r="B47" s="17">
        <v>165</v>
      </c>
      <c r="C47" s="120" t="s">
        <v>125</v>
      </c>
      <c r="D47" s="27" t="s">
        <v>243</v>
      </c>
      <c r="E47" s="29">
        <v>2001</v>
      </c>
      <c r="F47" s="182" t="s">
        <v>469</v>
      </c>
      <c r="G47" s="182" t="s">
        <v>416</v>
      </c>
      <c r="H47" s="16" t="s">
        <v>78</v>
      </c>
      <c r="I47" s="7">
        <v>0</v>
      </c>
      <c r="J47" s="7">
        <v>0</v>
      </c>
      <c r="K47" s="14">
        <v>0</v>
      </c>
      <c r="L47" s="7">
        <v>0</v>
      </c>
      <c r="M47" s="7">
        <v>0</v>
      </c>
      <c r="N47" s="7">
        <v>0</v>
      </c>
      <c r="O47" s="14">
        <v>0</v>
      </c>
      <c r="P47" s="14">
        <v>24535</v>
      </c>
      <c r="Q47" s="9">
        <v>40335</v>
      </c>
      <c r="R47" s="218">
        <v>64870</v>
      </c>
      <c r="S47" s="9">
        <v>50825</v>
      </c>
      <c r="T47" s="9">
        <v>57000</v>
      </c>
      <c r="U47" s="9">
        <v>64320</v>
      </c>
      <c r="V47" s="9">
        <v>76830</v>
      </c>
      <c r="W47" s="14">
        <v>115400</v>
      </c>
      <c r="X47" s="8">
        <f>SUM(200+145175)</f>
        <v>145375</v>
      </c>
      <c r="Y47" s="14">
        <v>173399</v>
      </c>
      <c r="Z47" s="9">
        <v>161115</v>
      </c>
      <c r="AA47" s="9">
        <v>144600</v>
      </c>
      <c r="AB47" s="237">
        <f t="shared" si="0"/>
        <v>1053734</v>
      </c>
      <c r="AC47" s="265">
        <v>1853.4285714285713</v>
      </c>
      <c r="AD47" s="16">
        <v>35</v>
      </c>
      <c r="AE47" s="13" t="s">
        <v>194</v>
      </c>
      <c r="AF47" s="255">
        <v>10152.595238095237</v>
      </c>
      <c r="AG47" s="48">
        <v>3811</v>
      </c>
      <c r="AH47" s="12">
        <v>4657</v>
      </c>
      <c r="AI47" s="85">
        <v>4657</v>
      </c>
      <c r="AJ47" s="38">
        <v>5047</v>
      </c>
      <c r="AK47" s="12">
        <v>4456</v>
      </c>
      <c r="AL47" s="253">
        <f t="shared" si="1"/>
        <v>32780.595238095237</v>
      </c>
      <c r="AM47" s="16">
        <v>30</v>
      </c>
      <c r="AN47" s="13" t="s">
        <v>198</v>
      </c>
      <c r="AO47" s="9">
        <f>SUM(38562+243681)</f>
        <v>282243</v>
      </c>
      <c r="AP47" s="14">
        <v>0</v>
      </c>
      <c r="AQ47" s="7">
        <f>SUM(665453+106038)</f>
        <v>771491</v>
      </c>
      <c r="AR47" s="181"/>
    </row>
    <row r="48" spans="1:44" s="103" customFormat="1" ht="36.75" x14ac:dyDescent="0.2">
      <c r="A48" s="30">
        <v>41</v>
      </c>
      <c r="B48" s="17">
        <v>246</v>
      </c>
      <c r="C48" s="120" t="s">
        <v>210</v>
      </c>
      <c r="D48" s="17" t="s">
        <v>243</v>
      </c>
      <c r="E48" s="40">
        <v>2005</v>
      </c>
      <c r="F48" s="182" t="s">
        <v>336</v>
      </c>
      <c r="G48" s="182" t="s">
        <v>337</v>
      </c>
      <c r="H48" s="8">
        <v>0</v>
      </c>
      <c r="I48" s="8">
        <v>0</v>
      </c>
      <c r="J48" s="8">
        <v>0</v>
      </c>
      <c r="K48" s="9">
        <v>0</v>
      </c>
      <c r="L48" s="7">
        <v>0</v>
      </c>
      <c r="M48" s="7">
        <v>0</v>
      </c>
      <c r="N48" s="7">
        <v>0</v>
      </c>
      <c r="O48" s="14">
        <v>0</v>
      </c>
      <c r="P48" s="14">
        <v>0</v>
      </c>
      <c r="Q48" s="9">
        <v>0</v>
      </c>
      <c r="R48" s="218">
        <v>0</v>
      </c>
      <c r="S48" s="9">
        <v>0</v>
      </c>
      <c r="T48" s="9">
        <v>2160</v>
      </c>
      <c r="U48" s="9">
        <v>8340</v>
      </c>
      <c r="V48" s="9">
        <v>13140</v>
      </c>
      <c r="W48" s="14">
        <v>15155</v>
      </c>
      <c r="X48" s="10">
        <f>SUM(44+15736.5)</f>
        <v>15780.5</v>
      </c>
      <c r="Y48" s="14">
        <v>15500</v>
      </c>
      <c r="Z48" s="9">
        <v>18860</v>
      </c>
      <c r="AA48" s="9">
        <v>17885</v>
      </c>
      <c r="AB48" s="237">
        <f t="shared" si="0"/>
        <v>106820.5</v>
      </c>
      <c r="AC48" s="265">
        <v>0</v>
      </c>
      <c r="AD48" s="16" t="s">
        <v>78</v>
      </c>
      <c r="AE48" s="16" t="s">
        <v>78</v>
      </c>
      <c r="AF48" s="255">
        <v>788</v>
      </c>
      <c r="AG48" s="48">
        <v>534</v>
      </c>
      <c r="AH48" s="189">
        <v>493</v>
      </c>
      <c r="AI48" s="48">
        <v>493</v>
      </c>
      <c r="AJ48" s="12">
        <v>600</v>
      </c>
      <c r="AK48" s="12">
        <v>550</v>
      </c>
      <c r="AL48" s="253">
        <f t="shared" si="1"/>
        <v>3458</v>
      </c>
      <c r="AM48" s="16">
        <v>30</v>
      </c>
      <c r="AN48" s="13" t="s">
        <v>198</v>
      </c>
      <c r="AO48" s="9">
        <f>SUM(4770+23719)</f>
        <v>28489</v>
      </c>
      <c r="AP48" s="14">
        <v>0</v>
      </c>
      <c r="AQ48" s="7">
        <f>SUM(65217+13115)</f>
        <v>78332</v>
      </c>
      <c r="AR48" s="181"/>
    </row>
    <row r="49" spans="1:44" s="103" customFormat="1" ht="36.75" x14ac:dyDescent="0.2">
      <c r="A49" s="30">
        <v>42</v>
      </c>
      <c r="B49" s="169">
        <v>68</v>
      </c>
      <c r="C49" s="126" t="s">
        <v>136</v>
      </c>
      <c r="D49" s="41" t="s">
        <v>243</v>
      </c>
      <c r="E49" s="32">
        <v>2004</v>
      </c>
      <c r="F49" s="182" t="s">
        <v>336</v>
      </c>
      <c r="G49" s="182" t="s">
        <v>337</v>
      </c>
      <c r="H49" s="33">
        <v>0</v>
      </c>
      <c r="I49" s="33">
        <v>0</v>
      </c>
      <c r="J49" s="33">
        <v>0</v>
      </c>
      <c r="K49" s="34">
        <v>0</v>
      </c>
      <c r="L49" s="33">
        <v>0</v>
      </c>
      <c r="M49" s="33">
        <v>0</v>
      </c>
      <c r="N49" s="33">
        <v>0</v>
      </c>
      <c r="O49" s="34">
        <v>0</v>
      </c>
      <c r="P49" s="34">
        <v>0</v>
      </c>
      <c r="Q49" s="35">
        <v>0</v>
      </c>
      <c r="R49" s="228">
        <v>0</v>
      </c>
      <c r="S49" s="35">
        <v>11850</v>
      </c>
      <c r="T49" s="35">
        <v>11070</v>
      </c>
      <c r="U49" s="35">
        <v>12420</v>
      </c>
      <c r="V49" s="35">
        <v>12960</v>
      </c>
      <c r="W49" s="34">
        <v>15138</v>
      </c>
      <c r="X49" s="10">
        <v>17308</v>
      </c>
      <c r="Y49" s="34">
        <v>18095</v>
      </c>
      <c r="Z49" s="9">
        <v>16455</v>
      </c>
      <c r="AA49" s="9">
        <v>14657.5</v>
      </c>
      <c r="AB49" s="237">
        <f t="shared" si="0"/>
        <v>129953.5</v>
      </c>
      <c r="AC49" s="265">
        <v>0</v>
      </c>
      <c r="AD49" s="36">
        <v>35</v>
      </c>
      <c r="AE49" s="37" t="s">
        <v>78</v>
      </c>
      <c r="AF49" s="255">
        <v>1610</v>
      </c>
      <c r="AG49" s="85">
        <v>513</v>
      </c>
      <c r="AH49" s="189">
        <v>548</v>
      </c>
      <c r="AI49" s="48">
        <v>548</v>
      </c>
      <c r="AJ49" s="12">
        <v>520</v>
      </c>
      <c r="AK49" s="12">
        <v>477</v>
      </c>
      <c r="AL49" s="253">
        <f t="shared" si="1"/>
        <v>4216</v>
      </c>
      <c r="AM49" s="39">
        <v>30</v>
      </c>
      <c r="AN49" s="37" t="s">
        <v>198</v>
      </c>
      <c r="AO49" s="9">
        <f>SUM(3909+30747)</f>
        <v>34656</v>
      </c>
      <c r="AP49" s="14">
        <v>0</v>
      </c>
      <c r="AQ49" s="33">
        <f>SUM(10749+84549)</f>
        <v>95298</v>
      </c>
      <c r="AR49" s="181"/>
    </row>
    <row r="50" spans="1:44" s="103" customFormat="1" ht="24.5" x14ac:dyDescent="0.2">
      <c r="A50" s="30">
        <v>43</v>
      </c>
      <c r="B50" s="27">
        <v>166</v>
      </c>
      <c r="C50" s="122" t="s">
        <v>96</v>
      </c>
      <c r="D50" s="17" t="s">
        <v>251</v>
      </c>
      <c r="E50" s="29">
        <v>2002</v>
      </c>
      <c r="F50" s="183" t="s">
        <v>343</v>
      </c>
      <c r="G50" s="183" t="s">
        <v>417</v>
      </c>
      <c r="H50" s="7">
        <v>0</v>
      </c>
      <c r="I50" s="7">
        <v>0</v>
      </c>
      <c r="J50" s="7">
        <v>0</v>
      </c>
      <c r="K50" s="14">
        <v>0</v>
      </c>
      <c r="L50" s="7">
        <v>0</v>
      </c>
      <c r="M50" s="7">
        <v>0</v>
      </c>
      <c r="N50" s="7">
        <v>0</v>
      </c>
      <c r="O50" s="15">
        <v>0</v>
      </c>
      <c r="P50" s="15">
        <v>25</v>
      </c>
      <c r="Q50" s="10">
        <v>2900</v>
      </c>
      <c r="R50" s="218">
        <v>2925</v>
      </c>
      <c r="S50" s="10">
        <v>7080</v>
      </c>
      <c r="T50" s="10">
        <v>9450</v>
      </c>
      <c r="U50" s="10">
        <v>10230</v>
      </c>
      <c r="V50" s="10">
        <v>11730</v>
      </c>
      <c r="W50" s="15">
        <v>17280</v>
      </c>
      <c r="X50" s="8">
        <v>21457.5</v>
      </c>
      <c r="Y50" s="15">
        <v>27614</v>
      </c>
      <c r="Z50" s="9">
        <v>27547.5</v>
      </c>
      <c r="AA50" s="9">
        <v>22802.5</v>
      </c>
      <c r="AB50" s="237">
        <f t="shared" si="0"/>
        <v>158116.5</v>
      </c>
      <c r="AC50" s="265">
        <v>117</v>
      </c>
      <c r="AD50" s="16">
        <v>25</v>
      </c>
      <c r="AE50" s="13" t="s">
        <v>188</v>
      </c>
      <c r="AF50" s="255">
        <v>1400</v>
      </c>
      <c r="AG50" s="48">
        <v>575</v>
      </c>
      <c r="AH50" s="12">
        <v>718</v>
      </c>
      <c r="AI50" s="48">
        <v>882</v>
      </c>
      <c r="AJ50" s="12">
        <v>863</v>
      </c>
      <c r="AK50" s="12">
        <v>725</v>
      </c>
      <c r="AL50" s="253">
        <f t="shared" si="1"/>
        <v>5163</v>
      </c>
      <c r="AM50" s="11">
        <v>30</v>
      </c>
      <c r="AN50" s="13" t="s">
        <v>165</v>
      </c>
      <c r="AO50" s="9">
        <f>SUM(35890+6081)</f>
        <v>41971</v>
      </c>
      <c r="AP50" s="14">
        <v>0</v>
      </c>
      <c r="AQ50" s="7">
        <f>SUM(99424+16722)</f>
        <v>116146</v>
      </c>
      <c r="AR50" s="181"/>
    </row>
    <row r="51" spans="1:44" s="298" customFormat="1" ht="25.2" customHeight="1" x14ac:dyDescent="0.2">
      <c r="A51" s="275">
        <v>44</v>
      </c>
      <c r="B51" s="276">
        <v>7</v>
      </c>
      <c r="C51" s="277" t="s">
        <v>94</v>
      </c>
      <c r="D51" s="278" t="s">
        <v>286</v>
      </c>
      <c r="E51" s="279">
        <v>1965</v>
      </c>
      <c r="F51" s="280" t="s">
        <v>331</v>
      </c>
      <c r="G51" s="280" t="s">
        <v>358</v>
      </c>
      <c r="H51" s="281" t="s">
        <v>78</v>
      </c>
      <c r="I51" s="281" t="s">
        <v>78</v>
      </c>
      <c r="J51" s="281" t="s">
        <v>78</v>
      </c>
      <c r="K51" s="282">
        <v>59712.1</v>
      </c>
      <c r="L51" s="283">
        <v>59305</v>
      </c>
      <c r="M51" s="283">
        <v>68677</v>
      </c>
      <c r="N51" s="283">
        <v>71813</v>
      </c>
      <c r="O51" s="284">
        <v>72371</v>
      </c>
      <c r="P51" s="284">
        <v>78956.899999999994</v>
      </c>
      <c r="Q51" s="285">
        <v>70168</v>
      </c>
      <c r="R51" s="286">
        <f>SUM(K51:Q51)</f>
        <v>481003</v>
      </c>
      <c r="S51" s="285">
        <v>74970</v>
      </c>
      <c r="T51" s="285">
        <v>76550</v>
      </c>
      <c r="U51" s="285">
        <v>75051</v>
      </c>
      <c r="V51" s="285">
        <v>74156</v>
      </c>
      <c r="W51" s="284">
        <v>25414</v>
      </c>
      <c r="X51" s="287">
        <v>74291</v>
      </c>
      <c r="Y51" s="284">
        <v>80333</v>
      </c>
      <c r="Z51" s="288">
        <v>91403</v>
      </c>
      <c r="AA51" s="288">
        <v>77040</v>
      </c>
      <c r="AB51" s="289">
        <f t="shared" si="0"/>
        <v>1130211</v>
      </c>
      <c r="AC51" s="290">
        <v>12025</v>
      </c>
      <c r="AD51" s="281">
        <v>40</v>
      </c>
      <c r="AE51" s="291" t="s">
        <v>200</v>
      </c>
      <c r="AF51" s="292">
        <f>SUM(1854+1876+1914+1874+AC51)</f>
        <v>19543</v>
      </c>
      <c r="AG51" s="293">
        <v>1602</v>
      </c>
      <c r="AH51" s="294">
        <v>1530</v>
      </c>
      <c r="AI51" s="293">
        <v>1781</v>
      </c>
      <c r="AJ51" s="294">
        <v>2285</v>
      </c>
      <c r="AK51" s="294">
        <v>1926</v>
      </c>
      <c r="AL51" s="295">
        <f t="shared" si="1"/>
        <v>28667</v>
      </c>
      <c r="AM51" s="296">
        <v>40</v>
      </c>
      <c r="AN51" s="291" t="s">
        <v>200</v>
      </c>
      <c r="AO51" s="288">
        <f>SUM(32912+2408)</f>
        <v>35320</v>
      </c>
      <c r="AP51" s="282">
        <f>SUM(1020259+74632)</f>
        <v>1094891</v>
      </c>
      <c r="AQ51" s="283">
        <f>[1]Sheet1!N38</f>
        <v>0</v>
      </c>
      <c r="AR51" s="297"/>
    </row>
    <row r="52" spans="1:44" s="103" customFormat="1" x14ac:dyDescent="0.2">
      <c r="A52" s="30">
        <v>45</v>
      </c>
      <c r="B52" s="27">
        <v>28</v>
      </c>
      <c r="C52" s="120" t="s">
        <v>21</v>
      </c>
      <c r="D52" s="41" t="s">
        <v>287</v>
      </c>
      <c r="E52" s="29">
        <v>1991</v>
      </c>
      <c r="F52" s="183" t="s">
        <v>331</v>
      </c>
      <c r="G52" s="183" t="s">
        <v>358</v>
      </c>
      <c r="H52" s="7">
        <v>6470</v>
      </c>
      <c r="I52" s="7">
        <v>6620</v>
      </c>
      <c r="J52" s="7">
        <v>6210</v>
      </c>
      <c r="K52" s="14">
        <v>7251</v>
      </c>
      <c r="L52" s="7">
        <v>8575</v>
      </c>
      <c r="M52" s="7">
        <v>8663</v>
      </c>
      <c r="N52" s="7">
        <v>210</v>
      </c>
      <c r="O52" s="15">
        <v>25</v>
      </c>
      <c r="P52" s="15">
        <v>90</v>
      </c>
      <c r="Q52" s="10">
        <v>0</v>
      </c>
      <c r="R52" s="218">
        <v>44114</v>
      </c>
      <c r="S52" s="10">
        <v>0</v>
      </c>
      <c r="T52" s="10">
        <v>0</v>
      </c>
      <c r="U52" s="10">
        <v>0</v>
      </c>
      <c r="V52" s="10">
        <v>0</v>
      </c>
      <c r="W52" s="15">
        <v>0</v>
      </c>
      <c r="X52" s="8">
        <v>0</v>
      </c>
      <c r="Y52" s="15">
        <v>0</v>
      </c>
      <c r="Z52" s="9">
        <v>0</v>
      </c>
      <c r="AA52" s="9">
        <v>0</v>
      </c>
      <c r="AB52" s="237">
        <f t="shared" si="0"/>
        <v>44114</v>
      </c>
      <c r="AC52" s="265" t="s">
        <v>76</v>
      </c>
      <c r="AD52" s="16">
        <v>0</v>
      </c>
      <c r="AE52" s="13" t="s">
        <v>189</v>
      </c>
      <c r="AF52" s="255" t="s">
        <v>76</v>
      </c>
      <c r="AG52" s="48">
        <v>2551</v>
      </c>
      <c r="AH52" s="12">
        <v>1973</v>
      </c>
      <c r="AI52" s="48">
        <v>2184</v>
      </c>
      <c r="AJ52" s="12">
        <v>2327</v>
      </c>
      <c r="AK52" s="12">
        <v>2380</v>
      </c>
      <c r="AL52" s="253">
        <f t="shared" si="1"/>
        <v>11415</v>
      </c>
      <c r="AM52" s="11">
        <v>0</v>
      </c>
      <c r="AN52" s="13" t="s">
        <v>78</v>
      </c>
      <c r="AO52" s="9">
        <f>[1]Sheet1!I39</f>
        <v>44114</v>
      </c>
      <c r="AP52" s="14">
        <v>0</v>
      </c>
      <c r="AQ52" s="7">
        <f>[1]Sheet1!N39</f>
        <v>0</v>
      </c>
      <c r="AR52" s="181"/>
    </row>
    <row r="53" spans="1:44" s="103" customFormat="1" x14ac:dyDescent="0.2">
      <c r="A53" s="30">
        <v>46</v>
      </c>
      <c r="B53" s="17">
        <v>11</v>
      </c>
      <c r="C53" s="159" t="s">
        <v>22</v>
      </c>
      <c r="D53" s="28" t="s">
        <v>291</v>
      </c>
      <c r="E53" s="29">
        <v>1972</v>
      </c>
      <c r="F53" s="183" t="s">
        <v>331</v>
      </c>
      <c r="G53" s="183" t="s">
        <v>358</v>
      </c>
      <c r="H53" s="7">
        <v>77178</v>
      </c>
      <c r="I53" s="7">
        <v>76698</v>
      </c>
      <c r="J53" s="7">
        <v>73632</v>
      </c>
      <c r="K53" s="14">
        <v>78850.61</v>
      </c>
      <c r="L53" s="7">
        <v>32733</v>
      </c>
      <c r="M53" s="7">
        <v>76550</v>
      </c>
      <c r="N53" s="7">
        <v>140649</v>
      </c>
      <c r="O53" s="15">
        <v>28718.9</v>
      </c>
      <c r="P53" s="42">
        <v>73770</v>
      </c>
      <c r="Q53" s="15">
        <v>102620</v>
      </c>
      <c r="R53" s="218">
        <v>761399.51</v>
      </c>
      <c r="S53" s="43">
        <v>155151</v>
      </c>
      <c r="T53" s="43">
        <v>138576</v>
      </c>
      <c r="U53" s="43">
        <v>143254</v>
      </c>
      <c r="V53" s="43">
        <v>166947</v>
      </c>
      <c r="W53" s="15">
        <v>174222</v>
      </c>
      <c r="X53" s="43">
        <v>231877</v>
      </c>
      <c r="Y53" s="15">
        <v>267239</v>
      </c>
      <c r="Z53" s="9">
        <v>313501</v>
      </c>
      <c r="AA53" s="9">
        <v>383830</v>
      </c>
      <c r="AB53" s="237">
        <f t="shared" si="0"/>
        <v>2735996.51</v>
      </c>
      <c r="AC53" s="265" t="s">
        <v>76</v>
      </c>
      <c r="AD53" s="16" t="s">
        <v>74</v>
      </c>
      <c r="AE53" s="13" t="s">
        <v>90</v>
      </c>
      <c r="AF53" s="255" t="s">
        <v>76</v>
      </c>
      <c r="AG53" s="48">
        <v>78869</v>
      </c>
      <c r="AH53" s="12">
        <v>92364</v>
      </c>
      <c r="AI53" s="48">
        <v>109937</v>
      </c>
      <c r="AJ53" s="12">
        <v>126151</v>
      </c>
      <c r="AK53" s="12">
        <v>141523</v>
      </c>
      <c r="AL53" s="253">
        <f t="shared" si="1"/>
        <v>548844</v>
      </c>
      <c r="AM53" s="16">
        <v>0</v>
      </c>
      <c r="AN53" s="13" t="s">
        <v>78</v>
      </c>
      <c r="AO53" s="9">
        <v>2735997</v>
      </c>
      <c r="AP53" s="14">
        <v>0</v>
      </c>
      <c r="AQ53" s="7">
        <f>[1]Sheet1!N40</f>
        <v>0</v>
      </c>
      <c r="AR53" s="181"/>
    </row>
    <row r="54" spans="1:44" s="103" customFormat="1" ht="13" customHeight="1" x14ac:dyDescent="0.2">
      <c r="A54" s="30">
        <v>47</v>
      </c>
      <c r="B54" s="17"/>
      <c r="C54" s="121" t="s">
        <v>477</v>
      </c>
      <c r="D54" s="17">
        <v>504.202</v>
      </c>
      <c r="E54" s="29">
        <v>2012</v>
      </c>
      <c r="F54" s="183" t="s">
        <v>331</v>
      </c>
      <c r="G54" s="183" t="s">
        <v>358</v>
      </c>
      <c r="H54" s="14">
        <v>0</v>
      </c>
      <c r="I54" s="9">
        <v>0</v>
      </c>
      <c r="J54" s="9">
        <v>0</v>
      </c>
      <c r="K54" s="9">
        <v>0</v>
      </c>
      <c r="L54" s="8">
        <v>0</v>
      </c>
      <c r="M54" s="8">
        <v>0</v>
      </c>
      <c r="N54" s="8">
        <v>0</v>
      </c>
      <c r="O54" s="15">
        <v>0</v>
      </c>
      <c r="P54" s="10">
        <v>0</v>
      </c>
      <c r="Q54" s="10">
        <v>0</v>
      </c>
      <c r="R54" s="218">
        <v>0</v>
      </c>
      <c r="S54" s="10">
        <v>0</v>
      </c>
      <c r="T54" s="10">
        <v>0</v>
      </c>
      <c r="U54" s="10">
        <v>0</v>
      </c>
      <c r="V54" s="10">
        <v>0</v>
      </c>
      <c r="W54" s="15">
        <v>0</v>
      </c>
      <c r="X54" s="10">
        <v>0</v>
      </c>
      <c r="Y54" s="10">
        <v>0</v>
      </c>
      <c r="Z54" s="15">
        <v>0</v>
      </c>
      <c r="AA54" s="9">
        <v>0</v>
      </c>
      <c r="AB54" s="237">
        <f t="shared" si="0"/>
        <v>0</v>
      </c>
      <c r="AC54" s="265">
        <v>0</v>
      </c>
      <c r="AD54" s="16">
        <v>0</v>
      </c>
      <c r="AE54" s="13" t="s">
        <v>78</v>
      </c>
      <c r="AF54" s="256">
        <v>0</v>
      </c>
      <c r="AG54" s="29">
        <v>0</v>
      </c>
      <c r="AH54" s="29">
        <v>0</v>
      </c>
      <c r="AI54" s="29">
        <v>0</v>
      </c>
      <c r="AJ54" s="12">
        <v>0</v>
      </c>
      <c r="AK54" s="12">
        <v>799</v>
      </c>
      <c r="AL54" s="253">
        <f t="shared" si="1"/>
        <v>799</v>
      </c>
      <c r="AM54" s="16">
        <v>0</v>
      </c>
      <c r="AN54" s="13" t="s">
        <v>78</v>
      </c>
      <c r="AO54" s="9">
        <v>0</v>
      </c>
      <c r="AP54" s="14">
        <v>0</v>
      </c>
      <c r="AQ54" s="7">
        <v>0</v>
      </c>
      <c r="AR54" s="181"/>
    </row>
    <row r="55" spans="1:44" s="103" customFormat="1" x14ac:dyDescent="0.2">
      <c r="A55" s="30">
        <v>48</v>
      </c>
      <c r="B55" s="17"/>
      <c r="C55" s="121" t="s">
        <v>478</v>
      </c>
      <c r="D55" s="17">
        <v>504.202</v>
      </c>
      <c r="E55" s="29">
        <v>2012</v>
      </c>
      <c r="F55" s="183" t="s">
        <v>331</v>
      </c>
      <c r="G55" s="183" t="s">
        <v>358</v>
      </c>
      <c r="H55" s="14">
        <v>0</v>
      </c>
      <c r="I55" s="9">
        <v>0</v>
      </c>
      <c r="J55" s="9">
        <v>0</v>
      </c>
      <c r="K55" s="9">
        <v>0</v>
      </c>
      <c r="L55" s="8">
        <v>0</v>
      </c>
      <c r="M55" s="8">
        <v>0</v>
      </c>
      <c r="N55" s="8">
        <v>0</v>
      </c>
      <c r="O55" s="15">
        <v>0</v>
      </c>
      <c r="P55" s="10">
        <v>0</v>
      </c>
      <c r="Q55" s="10">
        <v>0</v>
      </c>
      <c r="R55" s="218">
        <v>0</v>
      </c>
      <c r="S55" s="10">
        <v>0</v>
      </c>
      <c r="T55" s="10">
        <v>0</v>
      </c>
      <c r="U55" s="10">
        <v>0</v>
      </c>
      <c r="V55" s="10">
        <v>0</v>
      </c>
      <c r="W55" s="15">
        <v>0</v>
      </c>
      <c r="X55" s="10">
        <v>0</v>
      </c>
      <c r="Y55" s="10">
        <v>0</v>
      </c>
      <c r="Z55" s="15">
        <v>0</v>
      </c>
      <c r="AA55" s="9">
        <v>0</v>
      </c>
      <c r="AB55" s="237">
        <f t="shared" ref="AB55:AB63" si="2">SUM(R55:AA55)</f>
        <v>0</v>
      </c>
      <c r="AC55" s="265">
        <v>0</v>
      </c>
      <c r="AD55" s="16">
        <v>0</v>
      </c>
      <c r="AE55" s="13" t="s">
        <v>78</v>
      </c>
      <c r="AF55" s="256">
        <v>0</v>
      </c>
      <c r="AG55" s="29">
        <v>0</v>
      </c>
      <c r="AH55" s="29">
        <v>0</v>
      </c>
      <c r="AI55" s="29">
        <v>0</v>
      </c>
      <c r="AJ55" s="12">
        <v>0</v>
      </c>
      <c r="AK55" s="12">
        <v>94</v>
      </c>
      <c r="AL55" s="253">
        <f t="shared" ref="AL55:AL63" si="3">SUM(AF55:AK55)</f>
        <v>94</v>
      </c>
      <c r="AM55" s="16">
        <v>0</v>
      </c>
      <c r="AN55" s="13" t="s">
        <v>78</v>
      </c>
      <c r="AO55" s="9">
        <v>0</v>
      </c>
      <c r="AP55" s="14">
        <v>0</v>
      </c>
      <c r="AQ55" s="7">
        <v>0</v>
      </c>
      <c r="AR55" s="274"/>
    </row>
    <row r="56" spans="1:44" s="104" customFormat="1" x14ac:dyDescent="0.2">
      <c r="A56" s="30">
        <v>49</v>
      </c>
      <c r="B56" s="17"/>
      <c r="C56" s="121" t="s">
        <v>479</v>
      </c>
      <c r="D56" s="17">
        <v>504.202</v>
      </c>
      <c r="E56" s="29">
        <v>2012</v>
      </c>
      <c r="F56" s="183" t="s">
        <v>331</v>
      </c>
      <c r="G56" s="183" t="s">
        <v>358</v>
      </c>
      <c r="H56" s="14">
        <v>0</v>
      </c>
      <c r="I56" s="9">
        <v>0</v>
      </c>
      <c r="J56" s="9">
        <v>0</v>
      </c>
      <c r="K56" s="9">
        <v>0</v>
      </c>
      <c r="L56" s="8">
        <v>0</v>
      </c>
      <c r="M56" s="8">
        <v>0</v>
      </c>
      <c r="N56" s="8">
        <v>0</v>
      </c>
      <c r="O56" s="15">
        <v>0</v>
      </c>
      <c r="P56" s="10">
        <v>0</v>
      </c>
      <c r="Q56" s="10">
        <v>0</v>
      </c>
      <c r="R56" s="218">
        <v>0</v>
      </c>
      <c r="S56" s="10">
        <v>0</v>
      </c>
      <c r="T56" s="10">
        <v>0</v>
      </c>
      <c r="U56" s="10">
        <v>0</v>
      </c>
      <c r="V56" s="10">
        <v>0</v>
      </c>
      <c r="W56" s="15">
        <v>0</v>
      </c>
      <c r="X56" s="10">
        <v>0</v>
      </c>
      <c r="Y56" s="10">
        <v>0</v>
      </c>
      <c r="Z56" s="15">
        <v>0</v>
      </c>
      <c r="AA56" s="9">
        <v>0</v>
      </c>
      <c r="AB56" s="237">
        <f t="shared" si="2"/>
        <v>0</v>
      </c>
      <c r="AC56" s="265">
        <v>0</v>
      </c>
      <c r="AD56" s="16">
        <v>0</v>
      </c>
      <c r="AE56" s="13" t="s">
        <v>78</v>
      </c>
      <c r="AF56" s="256">
        <v>0</v>
      </c>
      <c r="AG56" s="29">
        <v>0</v>
      </c>
      <c r="AH56" s="29">
        <v>0</v>
      </c>
      <c r="AI56" s="29">
        <v>0</v>
      </c>
      <c r="AJ56" s="12">
        <v>0</v>
      </c>
      <c r="AK56" s="12">
        <v>0</v>
      </c>
      <c r="AL56" s="253">
        <f t="shared" si="3"/>
        <v>0</v>
      </c>
      <c r="AM56" s="16">
        <v>0</v>
      </c>
      <c r="AN56" s="13" t="s">
        <v>78</v>
      </c>
      <c r="AO56" s="9">
        <v>0</v>
      </c>
      <c r="AP56" s="14">
        <v>0</v>
      </c>
      <c r="AQ56" s="7">
        <v>0</v>
      </c>
      <c r="AR56" s="116"/>
    </row>
    <row r="57" spans="1:44" s="103" customFormat="1" x14ac:dyDescent="0.2">
      <c r="A57" s="30">
        <v>50</v>
      </c>
      <c r="B57" s="17"/>
      <c r="C57" s="121" t="s">
        <v>480</v>
      </c>
      <c r="D57" s="17">
        <v>504.202</v>
      </c>
      <c r="E57" s="29">
        <v>2012</v>
      </c>
      <c r="F57" s="183" t="s">
        <v>331</v>
      </c>
      <c r="G57" s="183" t="s">
        <v>358</v>
      </c>
      <c r="H57" s="14">
        <v>0</v>
      </c>
      <c r="I57" s="9">
        <v>0</v>
      </c>
      <c r="J57" s="9">
        <v>0</v>
      </c>
      <c r="K57" s="9">
        <v>0</v>
      </c>
      <c r="L57" s="8">
        <v>0</v>
      </c>
      <c r="M57" s="8">
        <v>0</v>
      </c>
      <c r="N57" s="8">
        <v>0</v>
      </c>
      <c r="O57" s="15">
        <v>0</v>
      </c>
      <c r="P57" s="10">
        <v>0</v>
      </c>
      <c r="Q57" s="10">
        <v>0</v>
      </c>
      <c r="R57" s="218">
        <v>0</v>
      </c>
      <c r="S57" s="10">
        <v>0</v>
      </c>
      <c r="T57" s="10">
        <v>0</v>
      </c>
      <c r="U57" s="10">
        <v>0</v>
      </c>
      <c r="V57" s="10">
        <v>0</v>
      </c>
      <c r="W57" s="15">
        <v>0</v>
      </c>
      <c r="X57" s="10">
        <v>0</v>
      </c>
      <c r="Y57" s="10">
        <v>0</v>
      </c>
      <c r="Z57" s="15">
        <v>0</v>
      </c>
      <c r="AA57" s="9">
        <v>0</v>
      </c>
      <c r="AB57" s="237">
        <f t="shared" si="2"/>
        <v>0</v>
      </c>
      <c r="AC57" s="265">
        <v>0</v>
      </c>
      <c r="AD57" s="16">
        <v>0</v>
      </c>
      <c r="AE57" s="13" t="s">
        <v>78</v>
      </c>
      <c r="AF57" s="256">
        <v>0</v>
      </c>
      <c r="AG57" s="29">
        <v>0</v>
      </c>
      <c r="AH57" s="29">
        <v>0</v>
      </c>
      <c r="AI57" s="29">
        <v>0</v>
      </c>
      <c r="AJ57" s="12">
        <v>0</v>
      </c>
      <c r="AK57" s="12">
        <v>0</v>
      </c>
      <c r="AL57" s="253">
        <f t="shared" si="3"/>
        <v>0</v>
      </c>
      <c r="AM57" s="16">
        <v>0</v>
      </c>
      <c r="AN57" s="13" t="s">
        <v>78</v>
      </c>
      <c r="AO57" s="9">
        <v>0</v>
      </c>
      <c r="AP57" s="14">
        <v>0</v>
      </c>
      <c r="AQ57" s="7">
        <v>0</v>
      </c>
      <c r="AR57" s="181"/>
    </row>
    <row r="58" spans="1:44" s="103" customFormat="1" x14ac:dyDescent="0.2">
      <c r="A58" s="30">
        <v>51</v>
      </c>
      <c r="B58" s="17"/>
      <c r="C58" s="121" t="s">
        <v>481</v>
      </c>
      <c r="D58" s="17">
        <v>504.202</v>
      </c>
      <c r="E58" s="29">
        <v>2012</v>
      </c>
      <c r="F58" s="183" t="s">
        <v>331</v>
      </c>
      <c r="G58" s="183" t="s">
        <v>358</v>
      </c>
      <c r="H58" s="14">
        <v>0</v>
      </c>
      <c r="I58" s="9">
        <v>0</v>
      </c>
      <c r="J58" s="9">
        <v>0</v>
      </c>
      <c r="K58" s="9">
        <v>0</v>
      </c>
      <c r="L58" s="8">
        <v>0</v>
      </c>
      <c r="M58" s="8">
        <v>0</v>
      </c>
      <c r="N58" s="8">
        <v>0</v>
      </c>
      <c r="O58" s="15">
        <v>0</v>
      </c>
      <c r="P58" s="10">
        <v>0</v>
      </c>
      <c r="Q58" s="10">
        <v>0</v>
      </c>
      <c r="R58" s="218">
        <v>0</v>
      </c>
      <c r="S58" s="10">
        <v>0</v>
      </c>
      <c r="T58" s="10">
        <v>0</v>
      </c>
      <c r="U58" s="10">
        <v>0</v>
      </c>
      <c r="V58" s="10">
        <v>0</v>
      </c>
      <c r="W58" s="15">
        <v>0</v>
      </c>
      <c r="X58" s="10">
        <v>0</v>
      </c>
      <c r="Y58" s="10">
        <v>0</v>
      </c>
      <c r="Z58" s="15">
        <v>0</v>
      </c>
      <c r="AA58" s="9">
        <v>0</v>
      </c>
      <c r="AB58" s="237">
        <f t="shared" si="2"/>
        <v>0</v>
      </c>
      <c r="AC58" s="265">
        <v>0</v>
      </c>
      <c r="AD58" s="16">
        <v>0</v>
      </c>
      <c r="AE58" s="13" t="s">
        <v>78</v>
      </c>
      <c r="AF58" s="256">
        <v>0</v>
      </c>
      <c r="AG58" s="29">
        <v>0</v>
      </c>
      <c r="AH58" s="29">
        <v>0</v>
      </c>
      <c r="AI58" s="29">
        <v>0</v>
      </c>
      <c r="AJ58" s="12">
        <v>0</v>
      </c>
      <c r="AK58" s="12">
        <v>0</v>
      </c>
      <c r="AL58" s="253">
        <f t="shared" si="3"/>
        <v>0</v>
      </c>
      <c r="AM58" s="16">
        <v>0</v>
      </c>
      <c r="AN58" s="13" t="s">
        <v>78</v>
      </c>
      <c r="AO58" s="9">
        <v>0</v>
      </c>
      <c r="AP58" s="14">
        <v>0</v>
      </c>
      <c r="AQ58" s="7">
        <v>0</v>
      </c>
      <c r="AR58" s="181"/>
    </row>
    <row r="59" spans="1:44" s="104" customFormat="1" x14ac:dyDescent="0.2">
      <c r="A59" s="30">
        <v>52</v>
      </c>
      <c r="B59" s="17"/>
      <c r="C59" s="121" t="s">
        <v>482</v>
      </c>
      <c r="D59" s="17">
        <v>504.202</v>
      </c>
      <c r="E59" s="29">
        <v>2012</v>
      </c>
      <c r="F59" s="183" t="s">
        <v>331</v>
      </c>
      <c r="G59" s="183" t="s">
        <v>358</v>
      </c>
      <c r="H59" s="14">
        <v>0</v>
      </c>
      <c r="I59" s="9">
        <v>0</v>
      </c>
      <c r="J59" s="9">
        <v>0</v>
      </c>
      <c r="K59" s="9">
        <v>0</v>
      </c>
      <c r="L59" s="8">
        <v>0</v>
      </c>
      <c r="M59" s="8">
        <v>0</v>
      </c>
      <c r="N59" s="8">
        <v>0</v>
      </c>
      <c r="O59" s="15">
        <v>0</v>
      </c>
      <c r="P59" s="10">
        <v>0</v>
      </c>
      <c r="Q59" s="10">
        <v>0</v>
      </c>
      <c r="R59" s="218">
        <v>0</v>
      </c>
      <c r="S59" s="10">
        <v>0</v>
      </c>
      <c r="T59" s="10">
        <v>0</v>
      </c>
      <c r="U59" s="10">
        <v>0</v>
      </c>
      <c r="V59" s="10">
        <v>0</v>
      </c>
      <c r="W59" s="15">
        <v>0</v>
      </c>
      <c r="X59" s="10">
        <v>0</v>
      </c>
      <c r="Y59" s="10">
        <v>0</v>
      </c>
      <c r="Z59" s="15">
        <v>0</v>
      </c>
      <c r="AA59" s="9">
        <v>0</v>
      </c>
      <c r="AB59" s="237">
        <f t="shared" si="2"/>
        <v>0</v>
      </c>
      <c r="AC59" s="265">
        <v>0</v>
      </c>
      <c r="AD59" s="16">
        <v>0</v>
      </c>
      <c r="AE59" s="13" t="s">
        <v>78</v>
      </c>
      <c r="AF59" s="256">
        <v>0</v>
      </c>
      <c r="AG59" s="29">
        <v>0</v>
      </c>
      <c r="AH59" s="29">
        <v>0</v>
      </c>
      <c r="AI59" s="29">
        <v>0</v>
      </c>
      <c r="AJ59" s="12">
        <v>0</v>
      </c>
      <c r="AK59" s="12">
        <v>85</v>
      </c>
      <c r="AL59" s="253">
        <f t="shared" si="3"/>
        <v>85</v>
      </c>
      <c r="AM59" s="16">
        <v>0</v>
      </c>
      <c r="AN59" s="13" t="s">
        <v>78</v>
      </c>
      <c r="AO59" s="9">
        <v>0</v>
      </c>
      <c r="AP59" s="14">
        <v>0</v>
      </c>
      <c r="AQ59" s="7">
        <v>0</v>
      </c>
      <c r="AR59" s="116"/>
    </row>
    <row r="60" spans="1:44" s="104" customFormat="1" x14ac:dyDescent="0.2">
      <c r="A60" s="30">
        <v>53</v>
      </c>
      <c r="B60" s="17"/>
      <c r="C60" s="121" t="s">
        <v>483</v>
      </c>
      <c r="D60" s="17">
        <v>504.202</v>
      </c>
      <c r="E60" s="29">
        <v>2012</v>
      </c>
      <c r="F60" s="183" t="s">
        <v>331</v>
      </c>
      <c r="G60" s="183" t="s">
        <v>358</v>
      </c>
      <c r="H60" s="14">
        <v>0</v>
      </c>
      <c r="I60" s="9">
        <v>0</v>
      </c>
      <c r="J60" s="9">
        <v>0</v>
      </c>
      <c r="K60" s="9">
        <v>0</v>
      </c>
      <c r="L60" s="8">
        <v>0</v>
      </c>
      <c r="M60" s="8">
        <v>0</v>
      </c>
      <c r="N60" s="8">
        <v>0</v>
      </c>
      <c r="O60" s="15">
        <v>0</v>
      </c>
      <c r="P60" s="10">
        <v>0</v>
      </c>
      <c r="Q60" s="10">
        <v>0</v>
      </c>
      <c r="R60" s="218">
        <v>0</v>
      </c>
      <c r="S60" s="10">
        <v>0</v>
      </c>
      <c r="T60" s="10">
        <v>0</v>
      </c>
      <c r="U60" s="10">
        <v>0</v>
      </c>
      <c r="V60" s="10">
        <v>0</v>
      </c>
      <c r="W60" s="15">
        <v>0</v>
      </c>
      <c r="X60" s="10">
        <v>0</v>
      </c>
      <c r="Y60" s="10">
        <v>0</v>
      </c>
      <c r="Z60" s="15">
        <v>0</v>
      </c>
      <c r="AA60" s="9">
        <v>0</v>
      </c>
      <c r="AB60" s="237">
        <f t="shared" si="2"/>
        <v>0</v>
      </c>
      <c r="AC60" s="265">
        <v>0</v>
      </c>
      <c r="AD60" s="16">
        <v>0</v>
      </c>
      <c r="AE60" s="13" t="s">
        <v>78</v>
      </c>
      <c r="AF60" s="256">
        <v>0</v>
      </c>
      <c r="AG60" s="29">
        <v>0</v>
      </c>
      <c r="AH60" s="29">
        <v>0</v>
      </c>
      <c r="AI60" s="29">
        <v>0</v>
      </c>
      <c r="AJ60" s="12">
        <v>0</v>
      </c>
      <c r="AK60" s="12">
        <v>6</v>
      </c>
      <c r="AL60" s="253">
        <f t="shared" si="3"/>
        <v>6</v>
      </c>
      <c r="AM60" s="16">
        <v>0</v>
      </c>
      <c r="AN60" s="13" t="s">
        <v>78</v>
      </c>
      <c r="AO60" s="9">
        <v>0</v>
      </c>
      <c r="AP60" s="14">
        <v>0</v>
      </c>
      <c r="AQ60" s="7">
        <v>0</v>
      </c>
      <c r="AR60" s="116"/>
    </row>
    <row r="61" spans="1:44" s="103" customFormat="1" x14ac:dyDescent="0.2">
      <c r="A61" s="30">
        <v>54</v>
      </c>
      <c r="B61" s="17"/>
      <c r="C61" s="120" t="s">
        <v>484</v>
      </c>
      <c r="D61" s="17">
        <v>504.202</v>
      </c>
      <c r="E61" s="29">
        <v>2012</v>
      </c>
      <c r="F61" s="183" t="s">
        <v>331</v>
      </c>
      <c r="G61" s="183" t="s">
        <v>358</v>
      </c>
      <c r="H61" s="14">
        <v>0</v>
      </c>
      <c r="I61" s="9">
        <v>0</v>
      </c>
      <c r="J61" s="9">
        <v>0</v>
      </c>
      <c r="K61" s="9">
        <v>0</v>
      </c>
      <c r="L61" s="8">
        <v>0</v>
      </c>
      <c r="M61" s="8">
        <v>0</v>
      </c>
      <c r="N61" s="8">
        <v>0</v>
      </c>
      <c r="O61" s="15">
        <v>0</v>
      </c>
      <c r="P61" s="10">
        <v>0</v>
      </c>
      <c r="Q61" s="10">
        <v>0</v>
      </c>
      <c r="R61" s="218">
        <v>0</v>
      </c>
      <c r="S61" s="10">
        <v>0</v>
      </c>
      <c r="T61" s="10">
        <v>0</v>
      </c>
      <c r="U61" s="10">
        <v>0</v>
      </c>
      <c r="V61" s="10">
        <v>0</v>
      </c>
      <c r="W61" s="15">
        <v>0</v>
      </c>
      <c r="X61" s="10">
        <v>0</v>
      </c>
      <c r="Y61" s="10">
        <v>0</v>
      </c>
      <c r="Z61" s="15">
        <v>0</v>
      </c>
      <c r="AA61" s="9">
        <v>0</v>
      </c>
      <c r="AB61" s="237">
        <f t="shared" si="2"/>
        <v>0</v>
      </c>
      <c r="AC61" s="265">
        <v>0</v>
      </c>
      <c r="AD61" s="16">
        <v>0</v>
      </c>
      <c r="AE61" s="13" t="s">
        <v>78</v>
      </c>
      <c r="AF61" s="256">
        <v>0</v>
      </c>
      <c r="AG61" s="29">
        <v>0</v>
      </c>
      <c r="AH61" s="29">
        <v>0</v>
      </c>
      <c r="AI61" s="29">
        <v>0</v>
      </c>
      <c r="AJ61" s="12">
        <v>0</v>
      </c>
      <c r="AK61" s="12">
        <v>19</v>
      </c>
      <c r="AL61" s="253">
        <f t="shared" si="3"/>
        <v>19</v>
      </c>
      <c r="AM61" s="16">
        <v>0</v>
      </c>
      <c r="AN61" s="13" t="s">
        <v>78</v>
      </c>
      <c r="AO61" s="9">
        <v>0</v>
      </c>
      <c r="AP61" s="14">
        <v>0</v>
      </c>
      <c r="AQ61" s="7">
        <v>0</v>
      </c>
      <c r="AR61" s="181"/>
    </row>
    <row r="62" spans="1:44" s="103" customFormat="1" x14ac:dyDescent="0.2">
      <c r="A62" s="30">
        <v>55</v>
      </c>
      <c r="B62" s="17"/>
      <c r="C62" s="120" t="s">
        <v>485</v>
      </c>
      <c r="D62" s="17">
        <v>504.202</v>
      </c>
      <c r="E62" s="29">
        <v>2012</v>
      </c>
      <c r="F62" s="183" t="s">
        <v>331</v>
      </c>
      <c r="G62" s="183" t="s">
        <v>358</v>
      </c>
      <c r="H62" s="14">
        <v>0</v>
      </c>
      <c r="I62" s="9">
        <v>0</v>
      </c>
      <c r="J62" s="9">
        <v>0</v>
      </c>
      <c r="K62" s="9">
        <v>0</v>
      </c>
      <c r="L62" s="8">
        <v>0</v>
      </c>
      <c r="M62" s="8">
        <v>0</v>
      </c>
      <c r="N62" s="8">
        <v>0</v>
      </c>
      <c r="O62" s="15">
        <v>0</v>
      </c>
      <c r="P62" s="10">
        <v>0</v>
      </c>
      <c r="Q62" s="10">
        <v>0</v>
      </c>
      <c r="R62" s="218">
        <v>0</v>
      </c>
      <c r="S62" s="10">
        <v>0</v>
      </c>
      <c r="T62" s="10">
        <v>0</v>
      </c>
      <c r="U62" s="10">
        <v>0</v>
      </c>
      <c r="V62" s="10">
        <v>0</v>
      </c>
      <c r="W62" s="15">
        <v>0</v>
      </c>
      <c r="X62" s="10">
        <v>0</v>
      </c>
      <c r="Y62" s="10">
        <v>0</v>
      </c>
      <c r="Z62" s="15">
        <v>0</v>
      </c>
      <c r="AA62" s="9">
        <v>0</v>
      </c>
      <c r="AB62" s="237">
        <f t="shared" si="2"/>
        <v>0</v>
      </c>
      <c r="AC62" s="265">
        <v>0</v>
      </c>
      <c r="AD62" s="16">
        <v>0</v>
      </c>
      <c r="AE62" s="13" t="s">
        <v>78</v>
      </c>
      <c r="AF62" s="256">
        <v>0</v>
      </c>
      <c r="AG62" s="29">
        <v>0</v>
      </c>
      <c r="AH62" s="29">
        <v>0</v>
      </c>
      <c r="AI62" s="29">
        <v>0</v>
      </c>
      <c r="AJ62" s="12">
        <v>0</v>
      </c>
      <c r="AK62" s="12">
        <v>2</v>
      </c>
      <c r="AL62" s="253">
        <f t="shared" si="3"/>
        <v>2</v>
      </c>
      <c r="AM62" s="16">
        <v>0</v>
      </c>
      <c r="AN62" s="13" t="s">
        <v>78</v>
      </c>
      <c r="AO62" s="9">
        <v>0</v>
      </c>
      <c r="AP62" s="14">
        <v>0</v>
      </c>
      <c r="AQ62" s="7">
        <v>0</v>
      </c>
      <c r="AR62" s="181"/>
    </row>
    <row r="63" spans="1:44" s="103" customFormat="1" x14ac:dyDescent="0.2">
      <c r="A63" s="30">
        <v>56</v>
      </c>
      <c r="B63" s="17"/>
      <c r="C63" s="120" t="s">
        <v>486</v>
      </c>
      <c r="D63" s="17">
        <v>504.202</v>
      </c>
      <c r="E63" s="29">
        <v>2012</v>
      </c>
      <c r="F63" s="183" t="s">
        <v>331</v>
      </c>
      <c r="G63" s="183" t="s">
        <v>358</v>
      </c>
      <c r="H63" s="14">
        <v>0</v>
      </c>
      <c r="I63" s="9">
        <v>0</v>
      </c>
      <c r="J63" s="9">
        <v>0</v>
      </c>
      <c r="K63" s="9">
        <v>0</v>
      </c>
      <c r="L63" s="8">
        <v>0</v>
      </c>
      <c r="M63" s="8">
        <v>0</v>
      </c>
      <c r="N63" s="8">
        <v>0</v>
      </c>
      <c r="O63" s="15">
        <v>0</v>
      </c>
      <c r="P63" s="10">
        <v>0</v>
      </c>
      <c r="Q63" s="10">
        <v>0</v>
      </c>
      <c r="R63" s="218">
        <v>0</v>
      </c>
      <c r="S63" s="10">
        <v>0</v>
      </c>
      <c r="T63" s="10">
        <v>0</v>
      </c>
      <c r="U63" s="10">
        <v>0</v>
      </c>
      <c r="V63" s="10">
        <v>0</v>
      </c>
      <c r="W63" s="15">
        <v>0</v>
      </c>
      <c r="X63" s="10">
        <v>0</v>
      </c>
      <c r="Y63" s="10">
        <v>0</v>
      </c>
      <c r="Z63" s="15">
        <v>0</v>
      </c>
      <c r="AA63" s="9">
        <v>0</v>
      </c>
      <c r="AB63" s="237">
        <f t="shared" si="2"/>
        <v>0</v>
      </c>
      <c r="AC63" s="265">
        <v>0</v>
      </c>
      <c r="AD63" s="16">
        <v>0</v>
      </c>
      <c r="AE63" s="13" t="s">
        <v>78</v>
      </c>
      <c r="AF63" s="256">
        <v>0</v>
      </c>
      <c r="AG63" s="29">
        <v>0</v>
      </c>
      <c r="AH63" s="29">
        <v>0</v>
      </c>
      <c r="AI63" s="29">
        <v>0</v>
      </c>
      <c r="AJ63" s="12">
        <v>0</v>
      </c>
      <c r="AK63" s="12">
        <v>5</v>
      </c>
      <c r="AL63" s="253">
        <f t="shared" si="3"/>
        <v>5</v>
      </c>
      <c r="AM63" s="16">
        <v>0</v>
      </c>
      <c r="AN63" s="13" t="s">
        <v>78</v>
      </c>
      <c r="AO63" s="9">
        <v>0</v>
      </c>
      <c r="AP63" s="14">
        <v>0</v>
      </c>
      <c r="AQ63" s="7">
        <v>0</v>
      </c>
      <c r="AR63" s="181"/>
    </row>
    <row r="64" spans="1:44" s="104" customFormat="1" ht="13" customHeight="1" x14ac:dyDescent="0.2">
      <c r="A64" s="30">
        <v>57</v>
      </c>
      <c r="B64" s="17"/>
      <c r="C64" s="120" t="s">
        <v>487</v>
      </c>
      <c r="D64" s="17">
        <v>504.202</v>
      </c>
      <c r="E64" s="29">
        <v>2012</v>
      </c>
      <c r="F64" s="183" t="s">
        <v>331</v>
      </c>
      <c r="G64" s="183" t="s">
        <v>358</v>
      </c>
      <c r="H64" s="14">
        <v>0</v>
      </c>
      <c r="I64" s="9">
        <v>0</v>
      </c>
      <c r="J64" s="9">
        <v>0</v>
      </c>
      <c r="K64" s="9">
        <v>0</v>
      </c>
      <c r="L64" s="8">
        <v>0</v>
      </c>
      <c r="M64" s="8">
        <v>0</v>
      </c>
      <c r="N64" s="8">
        <v>0</v>
      </c>
      <c r="O64" s="15">
        <v>0</v>
      </c>
      <c r="P64" s="10">
        <v>0</v>
      </c>
      <c r="Q64" s="10">
        <v>0</v>
      </c>
      <c r="R64" s="218">
        <v>0</v>
      </c>
      <c r="S64" s="10">
        <v>0</v>
      </c>
      <c r="T64" s="10">
        <v>0</v>
      </c>
      <c r="U64" s="10">
        <v>0</v>
      </c>
      <c r="V64" s="10">
        <v>0</v>
      </c>
      <c r="W64" s="15">
        <v>0</v>
      </c>
      <c r="X64" s="10">
        <v>0</v>
      </c>
      <c r="Y64" s="10">
        <v>0</v>
      </c>
      <c r="Z64" s="15">
        <v>0</v>
      </c>
      <c r="AA64" s="9">
        <v>0</v>
      </c>
      <c r="AB64" s="237">
        <f t="shared" ref="AB64:AL64" si="4">SUM(R64:AA64)</f>
        <v>0</v>
      </c>
      <c r="AC64" s="266">
        <f t="shared" si="4"/>
        <v>0</v>
      </c>
      <c r="AD64" s="16">
        <v>0</v>
      </c>
      <c r="AE64" s="13" t="s">
        <v>78</v>
      </c>
      <c r="AF64" s="256">
        <v>0</v>
      </c>
      <c r="AG64" s="29">
        <v>0</v>
      </c>
      <c r="AH64" s="29">
        <v>0</v>
      </c>
      <c r="AI64" s="29">
        <v>0</v>
      </c>
      <c r="AJ64" s="12">
        <v>0</v>
      </c>
      <c r="AK64" s="38">
        <v>283</v>
      </c>
      <c r="AL64" s="253">
        <f t="shared" si="4"/>
        <v>283</v>
      </c>
      <c r="AM64" s="39">
        <v>0</v>
      </c>
      <c r="AN64" s="39" t="s">
        <v>78</v>
      </c>
      <c r="AO64" s="102">
        <v>0</v>
      </c>
      <c r="AP64" s="102">
        <v>0</v>
      </c>
      <c r="AQ64" s="102">
        <v>0</v>
      </c>
      <c r="AR64" s="116"/>
    </row>
    <row r="65" spans="1:44" s="103" customFormat="1" x14ac:dyDescent="0.2">
      <c r="A65" s="30">
        <v>58</v>
      </c>
      <c r="B65" s="17"/>
      <c r="C65" s="120" t="s">
        <v>488</v>
      </c>
      <c r="D65" s="17">
        <v>504.202</v>
      </c>
      <c r="E65" s="29">
        <v>2012</v>
      </c>
      <c r="F65" s="183" t="s">
        <v>331</v>
      </c>
      <c r="G65" s="183" t="s">
        <v>358</v>
      </c>
      <c r="H65" s="14">
        <v>0</v>
      </c>
      <c r="I65" s="9">
        <v>0</v>
      </c>
      <c r="J65" s="9">
        <v>0</v>
      </c>
      <c r="K65" s="9">
        <v>0</v>
      </c>
      <c r="L65" s="8">
        <v>0</v>
      </c>
      <c r="M65" s="8">
        <v>0</v>
      </c>
      <c r="N65" s="8">
        <v>0</v>
      </c>
      <c r="O65" s="15">
        <v>0</v>
      </c>
      <c r="P65" s="10">
        <v>0</v>
      </c>
      <c r="Q65" s="10">
        <v>0</v>
      </c>
      <c r="R65" s="218">
        <v>0</v>
      </c>
      <c r="S65" s="10">
        <v>0</v>
      </c>
      <c r="T65" s="10">
        <v>0</v>
      </c>
      <c r="U65" s="10">
        <v>0</v>
      </c>
      <c r="V65" s="10">
        <v>0</v>
      </c>
      <c r="W65" s="15">
        <v>0</v>
      </c>
      <c r="X65" s="10">
        <v>0</v>
      </c>
      <c r="Y65" s="10">
        <v>0</v>
      </c>
      <c r="Z65" s="15">
        <v>0</v>
      </c>
      <c r="AA65" s="9">
        <v>0</v>
      </c>
      <c r="AB65" s="237">
        <f t="shared" ref="AB65:AC70" si="5">SUM(R65:AA65)</f>
        <v>0</v>
      </c>
      <c r="AC65" s="266">
        <f t="shared" si="5"/>
        <v>0</v>
      </c>
      <c r="AD65" s="16">
        <v>0</v>
      </c>
      <c r="AE65" s="13" t="s">
        <v>78</v>
      </c>
      <c r="AF65" s="256">
        <v>0</v>
      </c>
      <c r="AG65" s="29">
        <v>0</v>
      </c>
      <c r="AH65" s="29">
        <v>0</v>
      </c>
      <c r="AI65" s="29">
        <v>0</v>
      </c>
      <c r="AJ65" s="12">
        <v>0</v>
      </c>
      <c r="AK65" s="12">
        <v>2</v>
      </c>
      <c r="AL65" s="253">
        <f t="shared" si="1"/>
        <v>2</v>
      </c>
      <c r="AM65" s="16">
        <v>0</v>
      </c>
      <c r="AN65" s="13" t="s">
        <v>78</v>
      </c>
      <c r="AO65" s="9">
        <v>0</v>
      </c>
      <c r="AP65" s="14">
        <v>0</v>
      </c>
      <c r="AQ65" s="7">
        <v>0</v>
      </c>
      <c r="AR65" s="181"/>
    </row>
    <row r="66" spans="1:44" s="103" customFormat="1" x14ac:dyDescent="0.2">
      <c r="A66" s="30">
        <v>59</v>
      </c>
      <c r="B66" s="17"/>
      <c r="C66" s="120" t="s">
        <v>489</v>
      </c>
      <c r="D66" s="17">
        <v>504.202</v>
      </c>
      <c r="E66" s="29">
        <v>2012</v>
      </c>
      <c r="F66" s="183" t="s">
        <v>331</v>
      </c>
      <c r="G66" s="183" t="s">
        <v>358</v>
      </c>
      <c r="H66" s="14">
        <v>0</v>
      </c>
      <c r="I66" s="9">
        <v>0</v>
      </c>
      <c r="J66" s="9">
        <v>0</v>
      </c>
      <c r="K66" s="9">
        <v>0</v>
      </c>
      <c r="L66" s="8">
        <v>0</v>
      </c>
      <c r="M66" s="8">
        <v>0</v>
      </c>
      <c r="N66" s="8">
        <v>0</v>
      </c>
      <c r="O66" s="15">
        <v>0</v>
      </c>
      <c r="P66" s="10">
        <v>0</v>
      </c>
      <c r="Q66" s="10">
        <v>0</v>
      </c>
      <c r="R66" s="218">
        <v>0</v>
      </c>
      <c r="S66" s="10">
        <v>0</v>
      </c>
      <c r="T66" s="10">
        <v>0</v>
      </c>
      <c r="U66" s="10">
        <v>0</v>
      </c>
      <c r="V66" s="10">
        <v>0</v>
      </c>
      <c r="W66" s="15">
        <v>0</v>
      </c>
      <c r="X66" s="10">
        <v>0</v>
      </c>
      <c r="Y66" s="10">
        <v>0</v>
      </c>
      <c r="Z66" s="15">
        <v>0</v>
      </c>
      <c r="AA66" s="9">
        <v>0</v>
      </c>
      <c r="AB66" s="237">
        <f t="shared" si="5"/>
        <v>0</v>
      </c>
      <c r="AC66" s="266">
        <f t="shared" si="5"/>
        <v>0</v>
      </c>
      <c r="AD66" s="16">
        <v>0</v>
      </c>
      <c r="AE66" s="13" t="s">
        <v>78</v>
      </c>
      <c r="AF66" s="256">
        <v>0</v>
      </c>
      <c r="AG66" s="29">
        <v>0</v>
      </c>
      <c r="AH66" s="29">
        <v>0</v>
      </c>
      <c r="AI66" s="29">
        <v>0</v>
      </c>
      <c r="AJ66" s="12">
        <v>0</v>
      </c>
      <c r="AK66" s="12">
        <v>1</v>
      </c>
      <c r="AL66" s="253">
        <f t="shared" si="1"/>
        <v>1</v>
      </c>
      <c r="AM66" s="16">
        <v>0</v>
      </c>
      <c r="AN66" s="13" t="s">
        <v>78</v>
      </c>
      <c r="AO66" s="9">
        <v>0</v>
      </c>
      <c r="AP66" s="14">
        <v>0</v>
      </c>
      <c r="AQ66" s="7">
        <v>0</v>
      </c>
      <c r="AR66" s="181"/>
    </row>
    <row r="67" spans="1:44" s="103" customFormat="1" x14ac:dyDescent="0.2">
      <c r="A67" s="30">
        <v>60</v>
      </c>
      <c r="B67" s="17"/>
      <c r="C67" s="120" t="s">
        <v>490</v>
      </c>
      <c r="D67" s="17">
        <v>504.202</v>
      </c>
      <c r="E67" s="29">
        <v>2012</v>
      </c>
      <c r="F67" s="183" t="s">
        <v>331</v>
      </c>
      <c r="G67" s="183" t="s">
        <v>358</v>
      </c>
      <c r="H67" s="14">
        <v>0</v>
      </c>
      <c r="I67" s="9">
        <v>0</v>
      </c>
      <c r="J67" s="9">
        <v>0</v>
      </c>
      <c r="K67" s="9">
        <v>0</v>
      </c>
      <c r="L67" s="8">
        <v>0</v>
      </c>
      <c r="M67" s="8">
        <v>0</v>
      </c>
      <c r="N67" s="8">
        <v>0</v>
      </c>
      <c r="O67" s="15">
        <v>0</v>
      </c>
      <c r="P67" s="10">
        <v>0</v>
      </c>
      <c r="Q67" s="10">
        <v>0</v>
      </c>
      <c r="R67" s="218">
        <v>0</v>
      </c>
      <c r="S67" s="10">
        <v>0</v>
      </c>
      <c r="T67" s="10">
        <v>0</v>
      </c>
      <c r="U67" s="10">
        <v>0</v>
      </c>
      <c r="V67" s="10">
        <v>0</v>
      </c>
      <c r="W67" s="15">
        <v>0</v>
      </c>
      <c r="X67" s="10">
        <v>0</v>
      </c>
      <c r="Y67" s="10">
        <v>0</v>
      </c>
      <c r="Z67" s="15">
        <v>0</v>
      </c>
      <c r="AA67" s="9">
        <v>0</v>
      </c>
      <c r="AB67" s="237">
        <f t="shared" si="5"/>
        <v>0</v>
      </c>
      <c r="AC67" s="266">
        <f t="shared" si="5"/>
        <v>0</v>
      </c>
      <c r="AD67" s="16">
        <v>0</v>
      </c>
      <c r="AE67" s="13" t="s">
        <v>78</v>
      </c>
      <c r="AF67" s="256">
        <v>0</v>
      </c>
      <c r="AG67" s="29">
        <v>0</v>
      </c>
      <c r="AH67" s="29">
        <v>0</v>
      </c>
      <c r="AI67" s="29">
        <v>0</v>
      </c>
      <c r="AJ67" s="12">
        <v>0</v>
      </c>
      <c r="AK67" s="12">
        <v>0</v>
      </c>
      <c r="AL67" s="253">
        <f t="shared" si="1"/>
        <v>0</v>
      </c>
      <c r="AM67" s="16">
        <v>0</v>
      </c>
      <c r="AN67" s="13" t="s">
        <v>78</v>
      </c>
      <c r="AO67" s="9">
        <v>0</v>
      </c>
      <c r="AP67" s="14">
        <v>0</v>
      </c>
      <c r="AQ67" s="7">
        <v>0</v>
      </c>
      <c r="AR67" s="181"/>
    </row>
    <row r="68" spans="1:44" s="104" customFormat="1" x14ac:dyDescent="0.2">
      <c r="A68" s="30">
        <v>61</v>
      </c>
      <c r="B68" s="17"/>
      <c r="C68" s="120" t="s">
        <v>491</v>
      </c>
      <c r="D68" s="17">
        <v>504.202</v>
      </c>
      <c r="E68" s="29">
        <v>2012</v>
      </c>
      <c r="F68" s="183" t="s">
        <v>331</v>
      </c>
      <c r="G68" s="183" t="s">
        <v>358</v>
      </c>
      <c r="H68" s="14">
        <v>0</v>
      </c>
      <c r="I68" s="9">
        <v>0</v>
      </c>
      <c r="J68" s="9">
        <v>0</v>
      </c>
      <c r="K68" s="9">
        <v>0</v>
      </c>
      <c r="L68" s="8">
        <v>0</v>
      </c>
      <c r="M68" s="8">
        <v>0</v>
      </c>
      <c r="N68" s="8">
        <v>0</v>
      </c>
      <c r="O68" s="15">
        <v>0</v>
      </c>
      <c r="P68" s="10">
        <v>0</v>
      </c>
      <c r="Q68" s="10">
        <v>0</v>
      </c>
      <c r="R68" s="218">
        <v>0</v>
      </c>
      <c r="S68" s="10">
        <v>0</v>
      </c>
      <c r="T68" s="10">
        <v>0</v>
      </c>
      <c r="U68" s="10">
        <v>0</v>
      </c>
      <c r="V68" s="10">
        <v>0</v>
      </c>
      <c r="W68" s="15">
        <v>0</v>
      </c>
      <c r="X68" s="10">
        <v>0</v>
      </c>
      <c r="Y68" s="10">
        <v>0</v>
      </c>
      <c r="Z68" s="15">
        <v>0</v>
      </c>
      <c r="AA68" s="9">
        <v>0</v>
      </c>
      <c r="AB68" s="237">
        <f t="shared" si="5"/>
        <v>0</v>
      </c>
      <c r="AC68" s="266">
        <f t="shared" si="5"/>
        <v>0</v>
      </c>
      <c r="AD68" s="16">
        <v>0</v>
      </c>
      <c r="AE68" s="13" t="s">
        <v>78</v>
      </c>
      <c r="AF68" s="256">
        <v>0</v>
      </c>
      <c r="AG68" s="29">
        <v>0</v>
      </c>
      <c r="AH68" s="29">
        <v>0</v>
      </c>
      <c r="AI68" s="29">
        <v>0</v>
      </c>
      <c r="AJ68" s="12">
        <v>0</v>
      </c>
      <c r="AK68" s="12">
        <v>401</v>
      </c>
      <c r="AL68" s="253">
        <f t="shared" si="1"/>
        <v>401</v>
      </c>
      <c r="AM68" s="16">
        <v>0</v>
      </c>
      <c r="AN68" s="13" t="s">
        <v>78</v>
      </c>
      <c r="AO68" s="9">
        <v>0</v>
      </c>
      <c r="AP68" s="14">
        <v>0</v>
      </c>
      <c r="AQ68" s="7">
        <v>0</v>
      </c>
      <c r="AR68" s="116"/>
    </row>
    <row r="69" spans="1:44" s="104" customFormat="1" x14ac:dyDescent="0.2">
      <c r="A69" s="30">
        <v>62</v>
      </c>
      <c r="B69" s="17"/>
      <c r="C69" s="120" t="s">
        <v>492</v>
      </c>
      <c r="D69" s="17">
        <v>504.202</v>
      </c>
      <c r="E69" s="29">
        <v>2012</v>
      </c>
      <c r="F69" s="183" t="s">
        <v>331</v>
      </c>
      <c r="G69" s="183" t="s">
        <v>358</v>
      </c>
      <c r="H69" s="14">
        <v>0</v>
      </c>
      <c r="I69" s="9">
        <v>0</v>
      </c>
      <c r="J69" s="9">
        <v>0</v>
      </c>
      <c r="K69" s="9">
        <v>0</v>
      </c>
      <c r="L69" s="8">
        <v>0</v>
      </c>
      <c r="M69" s="8">
        <v>0</v>
      </c>
      <c r="N69" s="8">
        <v>0</v>
      </c>
      <c r="O69" s="15">
        <v>0</v>
      </c>
      <c r="P69" s="10">
        <v>0</v>
      </c>
      <c r="Q69" s="10">
        <v>0</v>
      </c>
      <c r="R69" s="218">
        <v>0</v>
      </c>
      <c r="S69" s="10">
        <v>0</v>
      </c>
      <c r="T69" s="10">
        <v>0</v>
      </c>
      <c r="U69" s="10">
        <v>0</v>
      </c>
      <c r="V69" s="10">
        <v>0</v>
      </c>
      <c r="W69" s="15">
        <v>0</v>
      </c>
      <c r="X69" s="10">
        <v>0</v>
      </c>
      <c r="Y69" s="10">
        <v>0</v>
      </c>
      <c r="Z69" s="15">
        <v>0</v>
      </c>
      <c r="AA69" s="9">
        <v>0</v>
      </c>
      <c r="AB69" s="237">
        <f t="shared" si="5"/>
        <v>0</v>
      </c>
      <c r="AC69" s="266">
        <f t="shared" si="5"/>
        <v>0</v>
      </c>
      <c r="AD69" s="16">
        <v>0</v>
      </c>
      <c r="AE69" s="13" t="s">
        <v>78</v>
      </c>
      <c r="AF69" s="256">
        <v>0</v>
      </c>
      <c r="AG69" s="29">
        <v>0</v>
      </c>
      <c r="AH69" s="29">
        <v>0</v>
      </c>
      <c r="AI69" s="29">
        <v>0</v>
      </c>
      <c r="AJ69" s="12">
        <v>0</v>
      </c>
      <c r="AK69" s="12">
        <v>49</v>
      </c>
      <c r="AL69" s="253">
        <f t="shared" si="1"/>
        <v>49</v>
      </c>
      <c r="AM69" s="16">
        <v>0</v>
      </c>
      <c r="AN69" s="13" t="s">
        <v>78</v>
      </c>
      <c r="AO69" s="9">
        <v>0</v>
      </c>
      <c r="AP69" s="14">
        <v>0</v>
      </c>
      <c r="AQ69" s="7">
        <v>0</v>
      </c>
      <c r="AR69" s="116"/>
    </row>
    <row r="70" spans="1:44" s="104" customFormat="1" x14ac:dyDescent="0.2">
      <c r="A70" s="30">
        <v>63</v>
      </c>
      <c r="B70" s="17"/>
      <c r="C70" s="120" t="s">
        <v>526</v>
      </c>
      <c r="D70" s="17">
        <v>504.202</v>
      </c>
      <c r="E70" s="29">
        <v>2012</v>
      </c>
      <c r="F70" s="183" t="s">
        <v>331</v>
      </c>
      <c r="G70" s="183" t="s">
        <v>358</v>
      </c>
      <c r="H70" s="14">
        <v>0</v>
      </c>
      <c r="I70" s="9">
        <v>0</v>
      </c>
      <c r="J70" s="9">
        <v>0</v>
      </c>
      <c r="K70" s="9">
        <v>0</v>
      </c>
      <c r="L70" s="8">
        <v>0</v>
      </c>
      <c r="M70" s="8">
        <v>0</v>
      </c>
      <c r="N70" s="8">
        <v>0</v>
      </c>
      <c r="O70" s="15">
        <v>0</v>
      </c>
      <c r="P70" s="10">
        <v>0</v>
      </c>
      <c r="Q70" s="10">
        <v>0</v>
      </c>
      <c r="R70" s="218">
        <v>0</v>
      </c>
      <c r="S70" s="10">
        <v>0</v>
      </c>
      <c r="T70" s="10">
        <v>0</v>
      </c>
      <c r="U70" s="10">
        <v>0</v>
      </c>
      <c r="V70" s="10">
        <v>0</v>
      </c>
      <c r="W70" s="15">
        <v>0</v>
      </c>
      <c r="X70" s="10">
        <v>0</v>
      </c>
      <c r="Y70" s="10">
        <v>0</v>
      </c>
      <c r="Z70" s="15">
        <v>0</v>
      </c>
      <c r="AA70" s="9">
        <v>0</v>
      </c>
      <c r="AB70" s="237">
        <f t="shared" si="5"/>
        <v>0</v>
      </c>
      <c r="AC70" s="266">
        <f t="shared" si="5"/>
        <v>0</v>
      </c>
      <c r="AD70" s="16">
        <v>0</v>
      </c>
      <c r="AE70" s="13" t="s">
        <v>78</v>
      </c>
      <c r="AF70" s="256">
        <v>0</v>
      </c>
      <c r="AG70" s="29">
        <v>0</v>
      </c>
      <c r="AH70" s="29">
        <v>0</v>
      </c>
      <c r="AI70" s="29">
        <v>0</v>
      </c>
      <c r="AJ70" s="12">
        <v>0</v>
      </c>
      <c r="AK70" s="12">
        <v>120</v>
      </c>
      <c r="AL70" s="253">
        <f t="shared" si="1"/>
        <v>120</v>
      </c>
      <c r="AM70" s="16">
        <v>0</v>
      </c>
      <c r="AN70" s="13" t="s">
        <v>78</v>
      </c>
      <c r="AO70" s="9">
        <v>0</v>
      </c>
      <c r="AP70" s="14">
        <v>0</v>
      </c>
      <c r="AQ70" s="7">
        <v>0</v>
      </c>
      <c r="AR70" s="116"/>
    </row>
    <row r="71" spans="1:44" s="103" customFormat="1" x14ac:dyDescent="0.2">
      <c r="A71" s="30">
        <v>64</v>
      </c>
      <c r="B71" s="17">
        <v>14</v>
      </c>
      <c r="C71" s="120" t="s">
        <v>179</v>
      </c>
      <c r="D71" s="17" t="s">
        <v>78</v>
      </c>
      <c r="E71" s="29" t="s">
        <v>78</v>
      </c>
      <c r="F71" s="183"/>
      <c r="G71" s="183" t="s">
        <v>358</v>
      </c>
      <c r="H71" s="7">
        <v>580</v>
      </c>
      <c r="I71" s="7">
        <v>367</v>
      </c>
      <c r="J71" s="7">
        <v>269</v>
      </c>
      <c r="K71" s="14">
        <v>803</v>
      </c>
      <c r="L71" s="7">
        <v>0</v>
      </c>
      <c r="M71" s="7">
        <v>116</v>
      </c>
      <c r="N71" s="7">
        <v>442</v>
      </c>
      <c r="O71" s="15">
        <v>260</v>
      </c>
      <c r="P71" s="15">
        <v>192</v>
      </c>
      <c r="Q71" s="10">
        <v>401</v>
      </c>
      <c r="R71" s="218">
        <v>3430</v>
      </c>
      <c r="S71" s="10">
        <v>347.4</v>
      </c>
      <c r="T71" s="10">
        <v>579</v>
      </c>
      <c r="U71" s="10">
        <v>1028</v>
      </c>
      <c r="V71" s="10">
        <v>663</v>
      </c>
      <c r="W71" s="15">
        <v>399</v>
      </c>
      <c r="X71" s="15">
        <v>0</v>
      </c>
      <c r="Y71" s="15">
        <v>0</v>
      </c>
      <c r="Z71" s="10">
        <v>0</v>
      </c>
      <c r="AA71" s="9">
        <v>0</v>
      </c>
      <c r="AB71" s="237">
        <f>SUM(R71:AA71)</f>
        <v>6446.4</v>
      </c>
      <c r="AC71" s="265" t="s">
        <v>76</v>
      </c>
      <c r="AD71" s="16">
        <v>1</v>
      </c>
      <c r="AE71" s="13" t="s">
        <v>90</v>
      </c>
      <c r="AF71" s="256" t="s">
        <v>76</v>
      </c>
      <c r="AG71" s="29" t="s">
        <v>222</v>
      </c>
      <c r="AH71" s="29">
        <v>0</v>
      </c>
      <c r="AI71" s="29">
        <v>0</v>
      </c>
      <c r="AJ71" s="12">
        <v>0</v>
      </c>
      <c r="AK71" s="12">
        <v>0</v>
      </c>
      <c r="AL71" s="253">
        <f t="shared" si="1"/>
        <v>0</v>
      </c>
      <c r="AM71" s="16">
        <v>0</v>
      </c>
      <c r="AN71" s="13" t="s">
        <v>90</v>
      </c>
      <c r="AO71" s="9">
        <f>[1]Sheet1!I41</f>
        <v>6446.4</v>
      </c>
      <c r="AP71" s="14">
        <v>0</v>
      </c>
      <c r="AQ71" s="7">
        <f>[1]Sheet1!N41</f>
        <v>0</v>
      </c>
      <c r="AR71" s="181"/>
    </row>
    <row r="72" spans="1:44" s="104" customFormat="1" x14ac:dyDescent="0.2">
      <c r="A72" s="30">
        <v>65</v>
      </c>
      <c r="B72" s="17">
        <v>32</v>
      </c>
      <c r="C72" s="120" t="s">
        <v>82</v>
      </c>
      <c r="D72" s="17">
        <v>502.20299999999997</v>
      </c>
      <c r="E72" s="29">
        <v>1962</v>
      </c>
      <c r="F72" s="183" t="s">
        <v>331</v>
      </c>
      <c r="G72" s="183" t="s">
        <v>358</v>
      </c>
      <c r="H72" s="7">
        <v>0</v>
      </c>
      <c r="I72" s="8">
        <v>0</v>
      </c>
      <c r="J72" s="8">
        <v>0</v>
      </c>
      <c r="K72" s="9">
        <v>0</v>
      </c>
      <c r="L72" s="8">
        <v>0</v>
      </c>
      <c r="M72" s="8">
        <v>0</v>
      </c>
      <c r="N72" s="8">
        <v>0</v>
      </c>
      <c r="O72" s="15">
        <v>0</v>
      </c>
      <c r="P72" s="10">
        <v>0</v>
      </c>
      <c r="Q72" s="10">
        <v>0</v>
      </c>
      <c r="R72" s="218">
        <v>0</v>
      </c>
      <c r="S72" s="10">
        <v>0</v>
      </c>
      <c r="T72" s="10">
        <v>0</v>
      </c>
      <c r="U72" s="10">
        <v>0</v>
      </c>
      <c r="V72" s="10">
        <v>0</v>
      </c>
      <c r="W72" s="15">
        <v>0</v>
      </c>
      <c r="X72" s="15">
        <v>0</v>
      </c>
      <c r="Y72" s="15">
        <v>2155</v>
      </c>
      <c r="Z72" s="10">
        <v>2115</v>
      </c>
      <c r="AA72" s="164">
        <v>2465</v>
      </c>
      <c r="AB72" s="237">
        <f>SUM(R72:AA72)</f>
        <v>6735</v>
      </c>
      <c r="AC72" s="265" t="s">
        <v>76</v>
      </c>
      <c r="AD72" s="16">
        <v>5</v>
      </c>
      <c r="AE72" s="13" t="s">
        <v>78</v>
      </c>
      <c r="AF72" s="256" t="s">
        <v>76</v>
      </c>
      <c r="AG72" s="29">
        <v>163</v>
      </c>
      <c r="AH72" s="29">
        <v>197</v>
      </c>
      <c r="AI72" s="29">
        <v>225</v>
      </c>
      <c r="AJ72" s="12">
        <v>244</v>
      </c>
      <c r="AK72" s="12">
        <v>264</v>
      </c>
      <c r="AL72" s="253">
        <f t="shared" si="1"/>
        <v>1093</v>
      </c>
      <c r="AM72" s="11">
        <v>0</v>
      </c>
      <c r="AN72" s="13" t="s">
        <v>78</v>
      </c>
      <c r="AO72" s="9">
        <f>SUM(AB72)</f>
        <v>6735</v>
      </c>
      <c r="AP72" s="14">
        <v>0</v>
      </c>
      <c r="AQ72" s="7">
        <f>[1]Sheet1!N42</f>
        <v>0</v>
      </c>
      <c r="AR72" s="116"/>
    </row>
    <row r="73" spans="1:44" s="103" customFormat="1" x14ac:dyDescent="0.2">
      <c r="A73" s="30">
        <v>66</v>
      </c>
      <c r="B73" s="17">
        <v>208</v>
      </c>
      <c r="C73" s="120" t="s">
        <v>403</v>
      </c>
      <c r="D73" s="17">
        <v>504.30799999999999</v>
      </c>
      <c r="E73" s="29">
        <v>2004</v>
      </c>
      <c r="F73" s="183" t="s">
        <v>331</v>
      </c>
      <c r="G73" s="183" t="s">
        <v>358</v>
      </c>
      <c r="H73" s="7">
        <v>0</v>
      </c>
      <c r="I73" s="7">
        <v>0</v>
      </c>
      <c r="J73" s="7">
        <v>0</v>
      </c>
      <c r="K73" s="14">
        <v>0</v>
      </c>
      <c r="L73" s="7">
        <v>0</v>
      </c>
      <c r="M73" s="7">
        <v>0</v>
      </c>
      <c r="N73" s="7">
        <v>0</v>
      </c>
      <c r="O73" s="15">
        <v>0</v>
      </c>
      <c r="P73" s="15">
        <v>0</v>
      </c>
      <c r="Q73" s="10">
        <v>0</v>
      </c>
      <c r="R73" s="218">
        <v>0</v>
      </c>
      <c r="S73" s="10">
        <v>402</v>
      </c>
      <c r="T73" s="10">
        <v>645</v>
      </c>
      <c r="U73" s="10">
        <v>786</v>
      </c>
      <c r="V73" s="10">
        <v>975</v>
      </c>
      <c r="W73" s="15">
        <v>171</v>
      </c>
      <c r="X73" s="15">
        <v>0</v>
      </c>
      <c r="Y73" s="15">
        <v>0</v>
      </c>
      <c r="Z73" s="10">
        <v>0</v>
      </c>
      <c r="AA73" s="9">
        <v>3</v>
      </c>
      <c r="AB73" s="237">
        <f t="shared" ref="AB73:AB135" si="6">SUM(R73:AA73)</f>
        <v>2982</v>
      </c>
      <c r="AC73" s="265" t="s">
        <v>76</v>
      </c>
      <c r="AD73" s="16" t="s">
        <v>78</v>
      </c>
      <c r="AE73" s="13" t="s">
        <v>90</v>
      </c>
      <c r="AF73" s="256" t="s">
        <v>76</v>
      </c>
      <c r="AG73" s="29">
        <v>432</v>
      </c>
      <c r="AH73" s="29">
        <v>650</v>
      </c>
      <c r="AI73" s="29">
        <v>884</v>
      </c>
      <c r="AJ73" s="12">
        <v>1061</v>
      </c>
      <c r="AK73" s="12">
        <v>1190</v>
      </c>
      <c r="AL73" s="253">
        <f t="shared" ref="AL73:AL135" si="7">SUM(AF73:AK73)</f>
        <v>4217</v>
      </c>
      <c r="AM73" s="16">
        <v>3</v>
      </c>
      <c r="AN73" s="13" t="s">
        <v>90</v>
      </c>
      <c r="AO73" s="9">
        <f>[1]Sheet1!I43</f>
        <v>2979</v>
      </c>
      <c r="AP73" s="14">
        <v>0</v>
      </c>
      <c r="AQ73" s="7">
        <f>[1]Sheet1!N43</f>
        <v>0</v>
      </c>
      <c r="AR73" s="181"/>
    </row>
    <row r="74" spans="1:44" s="103" customFormat="1" ht="13" customHeight="1" x14ac:dyDescent="0.2">
      <c r="A74" s="30">
        <v>67</v>
      </c>
      <c r="B74" s="17"/>
      <c r="C74" s="120" t="s">
        <v>493</v>
      </c>
      <c r="D74" s="17">
        <v>504.202</v>
      </c>
      <c r="E74" s="29">
        <v>2012</v>
      </c>
      <c r="F74" s="183" t="s">
        <v>331</v>
      </c>
      <c r="G74" s="183" t="s">
        <v>358</v>
      </c>
      <c r="H74" s="14">
        <v>0</v>
      </c>
      <c r="I74" s="9">
        <v>0</v>
      </c>
      <c r="J74" s="9">
        <v>0</v>
      </c>
      <c r="K74" s="9">
        <v>0</v>
      </c>
      <c r="L74" s="8">
        <v>0</v>
      </c>
      <c r="M74" s="8">
        <v>0</v>
      </c>
      <c r="N74" s="8">
        <v>0</v>
      </c>
      <c r="O74" s="15">
        <v>0</v>
      </c>
      <c r="P74" s="10">
        <v>0</v>
      </c>
      <c r="Q74" s="10">
        <v>0</v>
      </c>
      <c r="R74" s="218">
        <v>0</v>
      </c>
      <c r="S74" s="10">
        <v>0</v>
      </c>
      <c r="T74" s="10">
        <v>0</v>
      </c>
      <c r="U74" s="10">
        <v>0</v>
      </c>
      <c r="V74" s="10">
        <v>0</v>
      </c>
      <c r="W74" s="15">
        <v>0</v>
      </c>
      <c r="X74" s="10">
        <v>0</v>
      </c>
      <c r="Y74" s="10">
        <v>0</v>
      </c>
      <c r="Z74" s="10">
        <v>0</v>
      </c>
      <c r="AA74" s="9">
        <v>0</v>
      </c>
      <c r="AB74" s="237">
        <f t="shared" si="6"/>
        <v>0</v>
      </c>
      <c r="AC74" s="266">
        <f>SUM(S74:AB74)</f>
        <v>0</v>
      </c>
      <c r="AD74" s="16">
        <v>0</v>
      </c>
      <c r="AE74" s="13" t="s">
        <v>78</v>
      </c>
      <c r="AF74" s="256">
        <v>0</v>
      </c>
      <c r="AG74" s="29">
        <v>0</v>
      </c>
      <c r="AH74" s="29">
        <v>0</v>
      </c>
      <c r="AI74" s="29">
        <v>0</v>
      </c>
      <c r="AJ74" s="12">
        <v>0</v>
      </c>
      <c r="AK74" s="12">
        <v>15</v>
      </c>
      <c r="AL74" s="253">
        <f t="shared" si="7"/>
        <v>15</v>
      </c>
      <c r="AM74" s="16">
        <v>0</v>
      </c>
      <c r="AN74" s="13" t="s">
        <v>78</v>
      </c>
      <c r="AO74" s="9">
        <v>0</v>
      </c>
      <c r="AP74" s="14">
        <v>0</v>
      </c>
      <c r="AQ74" s="7">
        <v>0</v>
      </c>
      <c r="AR74" s="181"/>
    </row>
    <row r="75" spans="1:44" s="103" customFormat="1" x14ac:dyDescent="0.2">
      <c r="A75" s="30">
        <v>68</v>
      </c>
      <c r="B75" s="17"/>
      <c r="C75" s="120" t="s">
        <v>494</v>
      </c>
      <c r="D75" s="17">
        <v>504.202</v>
      </c>
      <c r="E75" s="29">
        <v>2012</v>
      </c>
      <c r="F75" s="183" t="s">
        <v>331</v>
      </c>
      <c r="G75" s="183" t="s">
        <v>358</v>
      </c>
      <c r="H75" s="14">
        <v>0</v>
      </c>
      <c r="I75" s="9">
        <v>0</v>
      </c>
      <c r="J75" s="9">
        <v>0</v>
      </c>
      <c r="K75" s="9">
        <v>0</v>
      </c>
      <c r="L75" s="8">
        <v>0</v>
      </c>
      <c r="M75" s="8">
        <v>0</v>
      </c>
      <c r="N75" s="8">
        <v>0</v>
      </c>
      <c r="O75" s="15">
        <v>0</v>
      </c>
      <c r="P75" s="10">
        <v>0</v>
      </c>
      <c r="Q75" s="10">
        <v>0</v>
      </c>
      <c r="R75" s="218">
        <v>0</v>
      </c>
      <c r="S75" s="10">
        <v>0</v>
      </c>
      <c r="T75" s="10">
        <v>0</v>
      </c>
      <c r="U75" s="10">
        <v>0</v>
      </c>
      <c r="V75" s="10">
        <v>0</v>
      </c>
      <c r="W75" s="15">
        <v>0</v>
      </c>
      <c r="X75" s="10">
        <v>0</v>
      </c>
      <c r="Y75" s="10">
        <v>0</v>
      </c>
      <c r="Z75" s="10">
        <v>0</v>
      </c>
      <c r="AA75" s="9">
        <v>0</v>
      </c>
      <c r="AB75" s="237">
        <f t="shared" si="6"/>
        <v>0</v>
      </c>
      <c r="AC75" s="266">
        <f>SUM(S75:AB75)</f>
        <v>0</v>
      </c>
      <c r="AD75" s="16">
        <v>0</v>
      </c>
      <c r="AE75" s="13" t="s">
        <v>78</v>
      </c>
      <c r="AF75" s="256">
        <v>0</v>
      </c>
      <c r="AG75" s="29">
        <v>0</v>
      </c>
      <c r="AH75" s="29">
        <v>0</v>
      </c>
      <c r="AI75" s="29">
        <v>0</v>
      </c>
      <c r="AJ75" s="12">
        <v>0</v>
      </c>
      <c r="AK75" s="12">
        <v>7</v>
      </c>
      <c r="AL75" s="253">
        <f t="shared" si="7"/>
        <v>7</v>
      </c>
      <c r="AM75" s="16">
        <v>0</v>
      </c>
      <c r="AN75" s="13" t="s">
        <v>78</v>
      </c>
      <c r="AO75" s="9">
        <v>0</v>
      </c>
      <c r="AP75" s="14">
        <v>0</v>
      </c>
      <c r="AQ75" s="7">
        <v>0</v>
      </c>
      <c r="AR75" s="181"/>
    </row>
    <row r="76" spans="1:44" s="103" customFormat="1" x14ac:dyDescent="0.2">
      <c r="A76" s="30">
        <v>69</v>
      </c>
      <c r="B76" s="17"/>
      <c r="C76" s="120" t="s">
        <v>495</v>
      </c>
      <c r="D76" s="17">
        <v>504.202</v>
      </c>
      <c r="E76" s="29">
        <v>2012</v>
      </c>
      <c r="F76" s="183" t="s">
        <v>331</v>
      </c>
      <c r="G76" s="183" t="s">
        <v>358</v>
      </c>
      <c r="H76" s="14">
        <v>0</v>
      </c>
      <c r="I76" s="9">
        <v>0</v>
      </c>
      <c r="J76" s="9">
        <v>0</v>
      </c>
      <c r="K76" s="9">
        <v>0</v>
      </c>
      <c r="L76" s="8">
        <v>0</v>
      </c>
      <c r="M76" s="8">
        <v>0</v>
      </c>
      <c r="N76" s="8">
        <v>0</v>
      </c>
      <c r="O76" s="15">
        <v>0</v>
      </c>
      <c r="P76" s="10">
        <v>0</v>
      </c>
      <c r="Q76" s="10">
        <v>0</v>
      </c>
      <c r="R76" s="218">
        <v>0</v>
      </c>
      <c r="S76" s="10">
        <v>0</v>
      </c>
      <c r="T76" s="10">
        <v>0</v>
      </c>
      <c r="U76" s="10">
        <v>0</v>
      </c>
      <c r="V76" s="10">
        <v>0</v>
      </c>
      <c r="W76" s="15">
        <v>0</v>
      </c>
      <c r="X76" s="10">
        <v>0</v>
      </c>
      <c r="Y76" s="10">
        <v>0</v>
      </c>
      <c r="Z76" s="10">
        <v>0</v>
      </c>
      <c r="AA76" s="9">
        <v>0</v>
      </c>
      <c r="AB76" s="237">
        <f t="shared" si="6"/>
        <v>0</v>
      </c>
      <c r="AC76" s="266">
        <f>SUM(S76:AB76)</f>
        <v>0</v>
      </c>
      <c r="AD76" s="16">
        <v>0</v>
      </c>
      <c r="AE76" s="13" t="s">
        <v>78</v>
      </c>
      <c r="AF76" s="256">
        <v>0</v>
      </c>
      <c r="AG76" s="29">
        <v>0</v>
      </c>
      <c r="AH76" s="29">
        <v>0</v>
      </c>
      <c r="AI76" s="29">
        <v>0</v>
      </c>
      <c r="AJ76" s="12">
        <v>0</v>
      </c>
      <c r="AK76" s="12">
        <v>0</v>
      </c>
      <c r="AL76" s="253">
        <f t="shared" si="7"/>
        <v>0</v>
      </c>
      <c r="AM76" s="16">
        <v>0</v>
      </c>
      <c r="AN76" s="13" t="s">
        <v>78</v>
      </c>
      <c r="AO76" s="9">
        <v>0</v>
      </c>
      <c r="AP76" s="14">
        <v>0</v>
      </c>
      <c r="AQ76" s="7">
        <v>0</v>
      </c>
      <c r="AR76" s="181"/>
    </row>
    <row r="77" spans="1:44" s="103" customFormat="1" ht="13" customHeight="1" x14ac:dyDescent="0.2">
      <c r="A77" s="30">
        <v>70</v>
      </c>
      <c r="B77" s="17"/>
      <c r="C77" s="120" t="s">
        <v>496</v>
      </c>
      <c r="D77" s="17">
        <v>504.202</v>
      </c>
      <c r="E77" s="29">
        <v>2012</v>
      </c>
      <c r="F77" s="183" t="s">
        <v>331</v>
      </c>
      <c r="G77" s="183" t="s">
        <v>358</v>
      </c>
      <c r="H77" s="14">
        <v>0</v>
      </c>
      <c r="I77" s="9">
        <v>0</v>
      </c>
      <c r="J77" s="9">
        <v>0</v>
      </c>
      <c r="K77" s="9">
        <v>0</v>
      </c>
      <c r="L77" s="8">
        <v>0</v>
      </c>
      <c r="M77" s="8">
        <v>0</v>
      </c>
      <c r="N77" s="8">
        <v>0</v>
      </c>
      <c r="O77" s="15">
        <v>0</v>
      </c>
      <c r="P77" s="10">
        <v>0</v>
      </c>
      <c r="Q77" s="10">
        <v>0</v>
      </c>
      <c r="R77" s="218">
        <v>0</v>
      </c>
      <c r="S77" s="10">
        <v>0</v>
      </c>
      <c r="T77" s="10">
        <v>0</v>
      </c>
      <c r="U77" s="10">
        <v>0</v>
      </c>
      <c r="V77" s="10">
        <v>0</v>
      </c>
      <c r="W77" s="15">
        <v>0</v>
      </c>
      <c r="X77" s="7"/>
      <c r="Y77" s="15"/>
      <c r="Z77" s="10">
        <v>0</v>
      </c>
      <c r="AA77" s="9">
        <v>0</v>
      </c>
      <c r="AB77" s="237">
        <f t="shared" si="6"/>
        <v>0</v>
      </c>
      <c r="AC77" s="266">
        <f>SUM(S77:AB77)</f>
        <v>0</v>
      </c>
      <c r="AD77" s="16">
        <v>0</v>
      </c>
      <c r="AE77" s="13" t="s">
        <v>78</v>
      </c>
      <c r="AF77" s="256">
        <v>0</v>
      </c>
      <c r="AG77" s="29">
        <v>0</v>
      </c>
      <c r="AH77" s="29">
        <v>0</v>
      </c>
      <c r="AI77" s="29">
        <v>0</v>
      </c>
      <c r="AJ77" s="12">
        <v>0</v>
      </c>
      <c r="AK77" s="12">
        <v>2</v>
      </c>
      <c r="AL77" s="253">
        <f t="shared" si="7"/>
        <v>2</v>
      </c>
      <c r="AM77" s="16">
        <v>0</v>
      </c>
      <c r="AN77" s="13" t="s">
        <v>78</v>
      </c>
      <c r="AO77" s="9">
        <v>0</v>
      </c>
      <c r="AP77" s="14">
        <v>0</v>
      </c>
      <c r="AQ77" s="7">
        <v>0</v>
      </c>
      <c r="AR77" s="181"/>
    </row>
    <row r="78" spans="1:44" s="104" customFormat="1" ht="24.5" x14ac:dyDescent="0.2">
      <c r="A78" s="30">
        <v>71</v>
      </c>
      <c r="B78" s="17">
        <v>168</v>
      </c>
      <c r="C78" s="120" t="s">
        <v>120</v>
      </c>
      <c r="D78" s="17" t="s">
        <v>266</v>
      </c>
      <c r="E78" s="29">
        <v>2001</v>
      </c>
      <c r="F78" s="183" t="s">
        <v>397</v>
      </c>
      <c r="G78" s="183" t="s">
        <v>413</v>
      </c>
      <c r="H78" s="7">
        <v>0</v>
      </c>
      <c r="I78" s="8">
        <v>0</v>
      </c>
      <c r="J78" s="8">
        <v>0</v>
      </c>
      <c r="K78" s="9">
        <v>0</v>
      </c>
      <c r="L78" s="8">
        <v>0</v>
      </c>
      <c r="M78" s="8">
        <v>0</v>
      </c>
      <c r="N78" s="8">
        <v>0</v>
      </c>
      <c r="O78" s="15">
        <v>0</v>
      </c>
      <c r="P78" s="8">
        <v>11040</v>
      </c>
      <c r="Q78" s="9">
        <v>22285</v>
      </c>
      <c r="R78" s="218">
        <v>33325</v>
      </c>
      <c r="S78" s="8">
        <v>60</v>
      </c>
      <c r="T78" s="8">
        <v>0</v>
      </c>
      <c r="U78" s="8">
        <v>0</v>
      </c>
      <c r="V78" s="8">
        <v>0</v>
      </c>
      <c r="W78" s="7">
        <v>0</v>
      </c>
      <c r="X78" s="7">
        <v>0</v>
      </c>
      <c r="Y78" s="15">
        <v>0</v>
      </c>
      <c r="Z78" s="10">
        <v>0</v>
      </c>
      <c r="AA78" s="9">
        <v>0</v>
      </c>
      <c r="AB78" s="237">
        <f t="shared" si="6"/>
        <v>33385</v>
      </c>
      <c r="AC78" s="265">
        <v>833.125</v>
      </c>
      <c r="AD78" s="16">
        <v>40</v>
      </c>
      <c r="AE78" s="13" t="s">
        <v>196</v>
      </c>
      <c r="AF78" s="255">
        <v>835.125</v>
      </c>
      <c r="AG78" s="48">
        <v>0</v>
      </c>
      <c r="AH78" s="48">
        <v>0</v>
      </c>
      <c r="AI78" s="48">
        <v>0</v>
      </c>
      <c r="AJ78" s="12">
        <v>0</v>
      </c>
      <c r="AK78" s="12">
        <v>0</v>
      </c>
      <c r="AL78" s="253">
        <f t="shared" si="7"/>
        <v>835.125</v>
      </c>
      <c r="AM78" s="11">
        <v>30</v>
      </c>
      <c r="AN78" s="13" t="s">
        <v>198</v>
      </c>
      <c r="AO78" s="9">
        <f>[1]Sheet1!I45</f>
        <v>2098.8125</v>
      </c>
      <c r="AP78" s="14">
        <v>0</v>
      </c>
      <c r="AQ78" s="7">
        <f>[1]Sheet1!N45</f>
        <v>31286.1875</v>
      </c>
      <c r="AR78" s="116"/>
    </row>
    <row r="79" spans="1:44" s="103" customFormat="1" ht="24.5" x14ac:dyDescent="0.2">
      <c r="A79" s="30">
        <v>72</v>
      </c>
      <c r="B79" s="17">
        <v>179</v>
      </c>
      <c r="C79" s="120" t="s">
        <v>98</v>
      </c>
      <c r="D79" s="28" t="s">
        <v>266</v>
      </c>
      <c r="E79" s="29">
        <v>2000</v>
      </c>
      <c r="F79" s="183" t="s">
        <v>397</v>
      </c>
      <c r="G79" s="183" t="s">
        <v>413</v>
      </c>
      <c r="H79" s="7">
        <v>0</v>
      </c>
      <c r="I79" s="7">
        <v>0</v>
      </c>
      <c r="J79" s="7">
        <v>0</v>
      </c>
      <c r="K79" s="14">
        <v>0</v>
      </c>
      <c r="L79" s="7">
        <v>0</v>
      </c>
      <c r="M79" s="7">
        <v>0</v>
      </c>
      <c r="N79" s="7">
        <v>0</v>
      </c>
      <c r="O79" s="15">
        <v>12150</v>
      </c>
      <c r="P79" s="7">
        <v>28050</v>
      </c>
      <c r="Q79" s="9">
        <v>16800</v>
      </c>
      <c r="R79" s="218">
        <v>57000</v>
      </c>
      <c r="S79" s="8">
        <v>34410</v>
      </c>
      <c r="T79" s="8">
        <v>36000</v>
      </c>
      <c r="U79" s="8">
        <v>34080</v>
      </c>
      <c r="V79" s="8">
        <v>32130</v>
      </c>
      <c r="W79" s="7">
        <v>35433</v>
      </c>
      <c r="X79" s="7">
        <v>42277</v>
      </c>
      <c r="Y79" s="7">
        <v>46148</v>
      </c>
      <c r="Z79" s="9">
        <v>44705</v>
      </c>
      <c r="AA79" s="9">
        <v>44177.5</v>
      </c>
      <c r="AB79" s="237">
        <f t="shared" si="6"/>
        <v>406360.5</v>
      </c>
      <c r="AC79" s="265">
        <v>1140</v>
      </c>
      <c r="AD79" s="16">
        <v>50</v>
      </c>
      <c r="AE79" s="13" t="s">
        <v>195</v>
      </c>
      <c r="AF79" s="255">
        <v>5694</v>
      </c>
      <c r="AG79" s="48">
        <v>1234</v>
      </c>
      <c r="AH79" s="48">
        <v>1384</v>
      </c>
      <c r="AI79" s="48">
        <v>1478</v>
      </c>
      <c r="AJ79" s="12">
        <v>1457</v>
      </c>
      <c r="AK79" s="12">
        <v>1395</v>
      </c>
      <c r="AL79" s="253">
        <f t="shared" si="7"/>
        <v>12642</v>
      </c>
      <c r="AM79" s="11">
        <v>30</v>
      </c>
      <c r="AN79" s="13" t="s">
        <v>198</v>
      </c>
      <c r="AO79" s="9">
        <f>SUM(84235+11781)</f>
        <v>96016</v>
      </c>
      <c r="AP79" s="14">
        <v>0</v>
      </c>
      <c r="AQ79" s="7">
        <f>SUM(277949+32396)</f>
        <v>310345</v>
      </c>
      <c r="AR79" s="181"/>
    </row>
    <row r="80" spans="1:44" s="103" customFormat="1" ht="13" customHeight="1" x14ac:dyDescent="0.2">
      <c r="A80" s="30">
        <v>73</v>
      </c>
      <c r="B80" s="17">
        <v>136</v>
      </c>
      <c r="C80" s="120" t="s">
        <v>72</v>
      </c>
      <c r="D80" s="5" t="s">
        <v>249</v>
      </c>
      <c r="E80" s="29">
        <v>1993</v>
      </c>
      <c r="F80" s="182" t="s">
        <v>325</v>
      </c>
      <c r="G80" s="183" t="s">
        <v>326</v>
      </c>
      <c r="H80" s="7">
        <v>0</v>
      </c>
      <c r="I80" s="7">
        <v>0</v>
      </c>
      <c r="J80" s="7">
        <v>30</v>
      </c>
      <c r="K80" s="14">
        <v>270</v>
      </c>
      <c r="L80" s="7">
        <v>420</v>
      </c>
      <c r="M80" s="7">
        <v>480</v>
      </c>
      <c r="N80" s="7">
        <v>240</v>
      </c>
      <c r="O80" s="15">
        <v>240</v>
      </c>
      <c r="P80" s="15">
        <v>180</v>
      </c>
      <c r="Q80" s="10">
        <v>270</v>
      </c>
      <c r="R80" s="218">
        <v>2130</v>
      </c>
      <c r="S80" s="10">
        <v>300</v>
      </c>
      <c r="T80" s="10">
        <v>180</v>
      </c>
      <c r="U80" s="10">
        <v>120</v>
      </c>
      <c r="V80" s="10">
        <v>90</v>
      </c>
      <c r="W80" s="15">
        <v>30</v>
      </c>
      <c r="X80" s="15">
        <v>0</v>
      </c>
      <c r="Y80" s="15">
        <v>0</v>
      </c>
      <c r="Z80" s="10">
        <v>0</v>
      </c>
      <c r="AA80" s="9">
        <v>0</v>
      </c>
      <c r="AB80" s="237">
        <f t="shared" si="6"/>
        <v>2850</v>
      </c>
      <c r="AC80" s="265">
        <v>71</v>
      </c>
      <c r="AD80" s="16">
        <v>30</v>
      </c>
      <c r="AE80" s="13" t="s">
        <v>186</v>
      </c>
      <c r="AF80" s="255">
        <v>94</v>
      </c>
      <c r="AG80" s="48">
        <v>1</v>
      </c>
      <c r="AH80" s="48">
        <v>0</v>
      </c>
      <c r="AI80" s="48">
        <v>0</v>
      </c>
      <c r="AJ80" s="12">
        <v>0</v>
      </c>
      <c r="AK80" s="12"/>
      <c r="AL80" s="253">
        <f t="shared" si="7"/>
        <v>95</v>
      </c>
      <c r="AM80" s="11">
        <v>30</v>
      </c>
      <c r="AN80" s="13" t="s">
        <v>198</v>
      </c>
      <c r="AO80" s="9">
        <f>[1]Sheet1!I46</f>
        <v>547</v>
      </c>
      <c r="AP80" s="14">
        <v>0</v>
      </c>
      <c r="AQ80" s="7">
        <f>[1]Sheet1!N46</f>
        <v>2303</v>
      </c>
      <c r="AR80" s="181"/>
    </row>
    <row r="81" spans="1:44" s="103" customFormat="1" ht="36.75" x14ac:dyDescent="0.2">
      <c r="A81" s="30">
        <v>74</v>
      </c>
      <c r="B81" s="17">
        <v>210</v>
      </c>
      <c r="C81" s="120" t="s">
        <v>170</v>
      </c>
      <c r="D81" s="5">
        <v>504.63499999999999</v>
      </c>
      <c r="E81" s="29">
        <v>2004</v>
      </c>
      <c r="F81" s="183" t="s">
        <v>338</v>
      </c>
      <c r="G81" s="183" t="s">
        <v>418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15">
        <v>0</v>
      </c>
      <c r="P81" s="15">
        <v>0</v>
      </c>
      <c r="Q81" s="10">
        <v>0</v>
      </c>
      <c r="R81" s="218">
        <v>0</v>
      </c>
      <c r="S81" s="10">
        <v>30</v>
      </c>
      <c r="T81" s="10">
        <v>930</v>
      </c>
      <c r="U81" s="10">
        <v>1200</v>
      </c>
      <c r="V81" s="10">
        <v>1230</v>
      </c>
      <c r="W81" s="15">
        <v>1773</v>
      </c>
      <c r="X81" s="7">
        <f>SUM(30+1810)</f>
        <v>1840</v>
      </c>
      <c r="Y81" s="15">
        <v>2530</v>
      </c>
      <c r="Z81" s="9">
        <v>2680</v>
      </c>
      <c r="AA81" s="9">
        <v>2680</v>
      </c>
      <c r="AB81" s="237">
        <f t="shared" si="6"/>
        <v>14893</v>
      </c>
      <c r="AC81" s="265">
        <v>0</v>
      </c>
      <c r="AD81" s="16" t="s">
        <v>78</v>
      </c>
      <c r="AE81" s="16" t="s">
        <v>78</v>
      </c>
      <c r="AF81" s="255">
        <v>113</v>
      </c>
      <c r="AG81" s="48">
        <v>59</v>
      </c>
      <c r="AH81" s="48">
        <v>63</v>
      </c>
      <c r="AI81" s="48">
        <v>85</v>
      </c>
      <c r="AJ81" s="12">
        <v>88</v>
      </c>
      <c r="AK81" s="12">
        <v>85</v>
      </c>
      <c r="AL81" s="253">
        <f t="shared" si="7"/>
        <v>493</v>
      </c>
      <c r="AM81" s="11">
        <v>30</v>
      </c>
      <c r="AN81" s="13" t="s">
        <v>198</v>
      </c>
      <c r="AO81" s="9">
        <f>SUM(4426+715)</f>
        <v>5141</v>
      </c>
      <c r="AP81" s="14">
        <v>0</v>
      </c>
      <c r="AQ81" s="7">
        <f>SUM(7787+1965)</f>
        <v>9752</v>
      </c>
      <c r="AR81" s="181"/>
    </row>
    <row r="82" spans="1:44" s="104" customFormat="1" x14ac:dyDescent="0.2">
      <c r="A82" s="30">
        <v>75</v>
      </c>
      <c r="B82" s="17">
        <v>211</v>
      </c>
      <c r="C82" s="120" t="s">
        <v>167</v>
      </c>
      <c r="D82" s="5">
        <v>504.41</v>
      </c>
      <c r="E82" s="29">
        <v>2004</v>
      </c>
      <c r="F82" s="183" t="s">
        <v>331</v>
      </c>
      <c r="G82" s="183" t="s">
        <v>358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15">
        <v>0</v>
      </c>
      <c r="P82" s="15">
        <v>0</v>
      </c>
      <c r="Q82" s="10">
        <v>0</v>
      </c>
      <c r="R82" s="218">
        <v>0</v>
      </c>
      <c r="S82" s="10">
        <v>3704</v>
      </c>
      <c r="T82" s="10">
        <v>6240</v>
      </c>
      <c r="U82" s="10">
        <v>6920</v>
      </c>
      <c r="V82" s="10">
        <v>7856</v>
      </c>
      <c r="W82" s="15">
        <v>8129</v>
      </c>
      <c r="X82" s="7">
        <f>SUM(32+10874.08)</f>
        <v>10906.08</v>
      </c>
      <c r="Y82" s="15">
        <v>12413</v>
      </c>
      <c r="Z82" s="9">
        <v>14019</v>
      </c>
      <c r="AA82" s="164">
        <v>14298</v>
      </c>
      <c r="AB82" s="237">
        <f t="shared" si="6"/>
        <v>84485.08</v>
      </c>
      <c r="AC82" s="265">
        <v>0</v>
      </c>
      <c r="AD82" s="16" t="s">
        <v>78</v>
      </c>
      <c r="AE82" s="16" t="s">
        <v>78</v>
      </c>
      <c r="AF82" s="255">
        <v>3090</v>
      </c>
      <c r="AG82" s="48">
        <v>1073</v>
      </c>
      <c r="AH82" s="48">
        <v>1302</v>
      </c>
      <c r="AI82" s="48">
        <v>1519</v>
      </c>
      <c r="AJ82" s="12">
        <v>1685</v>
      </c>
      <c r="AK82" s="12">
        <v>1695</v>
      </c>
      <c r="AL82" s="253">
        <f t="shared" si="7"/>
        <v>10364</v>
      </c>
      <c r="AM82" s="11">
        <v>8</v>
      </c>
      <c r="AN82" s="13" t="s">
        <v>90</v>
      </c>
      <c r="AO82" s="9">
        <v>84485</v>
      </c>
      <c r="AP82" s="14">
        <v>0</v>
      </c>
      <c r="AQ82" s="7">
        <f>[1]Sheet1!N48</f>
        <v>0</v>
      </c>
      <c r="AR82" s="116"/>
    </row>
    <row r="83" spans="1:44" s="104" customFormat="1" ht="13" customHeight="1" x14ac:dyDescent="0.2">
      <c r="A83" s="30">
        <v>76</v>
      </c>
      <c r="B83" s="17"/>
      <c r="C83" s="120" t="s">
        <v>233</v>
      </c>
      <c r="D83" s="5">
        <v>504.31400000000002</v>
      </c>
      <c r="E83" s="29">
        <v>2003</v>
      </c>
      <c r="F83" s="183" t="s">
        <v>331</v>
      </c>
      <c r="G83" s="183" t="s">
        <v>358</v>
      </c>
      <c r="H83" s="7">
        <v>0</v>
      </c>
      <c r="I83" s="7">
        <v>0</v>
      </c>
      <c r="J83" s="7">
        <v>0</v>
      </c>
      <c r="K83" s="14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8">
        <v>0</v>
      </c>
      <c r="R83" s="218">
        <v>0</v>
      </c>
      <c r="S83" s="8">
        <v>0</v>
      </c>
      <c r="T83" s="8">
        <v>0</v>
      </c>
      <c r="U83" s="8">
        <v>0</v>
      </c>
      <c r="V83" s="10">
        <v>0</v>
      </c>
      <c r="W83" s="15">
        <v>0</v>
      </c>
      <c r="X83" s="7">
        <v>0</v>
      </c>
      <c r="Y83" s="15">
        <v>0</v>
      </c>
      <c r="Z83" s="9">
        <v>0</v>
      </c>
      <c r="AA83" s="9">
        <v>0</v>
      </c>
      <c r="AB83" s="237">
        <f t="shared" si="6"/>
        <v>0</v>
      </c>
      <c r="AC83" s="265">
        <v>0</v>
      </c>
      <c r="AD83" s="16" t="s">
        <v>78</v>
      </c>
      <c r="AE83" s="16"/>
      <c r="AF83" s="255" t="s">
        <v>222</v>
      </c>
      <c r="AG83" s="48">
        <v>507</v>
      </c>
      <c r="AH83" s="48">
        <v>656</v>
      </c>
      <c r="AI83" s="48">
        <v>877</v>
      </c>
      <c r="AJ83" s="12">
        <v>1037</v>
      </c>
      <c r="AK83" s="12">
        <v>1203</v>
      </c>
      <c r="AL83" s="253">
        <f t="shared" si="7"/>
        <v>4280</v>
      </c>
      <c r="AM83" s="11">
        <v>0</v>
      </c>
      <c r="AN83" s="13" t="s">
        <v>78</v>
      </c>
      <c r="AO83" s="9">
        <f>[1]Sheet1!I49</f>
        <v>0</v>
      </c>
      <c r="AP83" s="14">
        <v>0</v>
      </c>
      <c r="AQ83" s="7">
        <f>[1]Sheet1!N49</f>
        <v>0</v>
      </c>
      <c r="AR83" s="116"/>
    </row>
    <row r="84" spans="1:44" s="104" customFormat="1" ht="13" customHeight="1" x14ac:dyDescent="0.2">
      <c r="A84" s="30">
        <v>77</v>
      </c>
      <c r="B84" s="17">
        <v>213</v>
      </c>
      <c r="C84" s="120" t="s">
        <v>154</v>
      </c>
      <c r="D84" s="44">
        <v>504.404</v>
      </c>
      <c r="E84" s="29">
        <v>2004</v>
      </c>
      <c r="F84" s="183" t="s">
        <v>331</v>
      </c>
      <c r="G84" s="183" t="s">
        <v>358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15">
        <v>0</v>
      </c>
      <c r="P84" s="15">
        <v>0</v>
      </c>
      <c r="Q84" s="10">
        <v>0</v>
      </c>
      <c r="R84" s="218">
        <v>0</v>
      </c>
      <c r="S84" s="10">
        <v>0</v>
      </c>
      <c r="T84" s="10">
        <v>0</v>
      </c>
      <c r="U84" s="10">
        <v>0</v>
      </c>
      <c r="V84" s="10">
        <v>0</v>
      </c>
      <c r="W84" s="15">
        <v>0</v>
      </c>
      <c r="X84" s="7">
        <v>0</v>
      </c>
      <c r="Y84" s="15">
        <v>2196</v>
      </c>
      <c r="Z84" s="9">
        <v>0</v>
      </c>
      <c r="AA84" s="9">
        <v>0</v>
      </c>
      <c r="AB84" s="237">
        <f t="shared" si="6"/>
        <v>2196</v>
      </c>
      <c r="AC84" s="265">
        <v>0</v>
      </c>
      <c r="AD84" s="16" t="s">
        <v>78</v>
      </c>
      <c r="AE84" s="13" t="s">
        <v>78</v>
      </c>
      <c r="AF84" s="255" t="s">
        <v>76</v>
      </c>
      <c r="AG84" s="48">
        <v>40</v>
      </c>
      <c r="AH84" s="48">
        <v>43</v>
      </c>
      <c r="AI84" s="48">
        <v>48</v>
      </c>
      <c r="AJ84" s="12">
        <v>47</v>
      </c>
      <c r="AK84" s="12">
        <v>48</v>
      </c>
      <c r="AL84" s="253">
        <f t="shared" si="7"/>
        <v>226</v>
      </c>
      <c r="AM84" s="16">
        <v>0</v>
      </c>
      <c r="AN84" s="46" t="s">
        <v>78</v>
      </c>
      <c r="AO84" s="9">
        <f>[1]Sheet1!I50</f>
        <v>2196</v>
      </c>
      <c r="AP84" s="14">
        <v>0</v>
      </c>
      <c r="AQ84" s="7">
        <f>[1]Sheet1!N50</f>
        <v>0</v>
      </c>
      <c r="AR84" s="116"/>
    </row>
    <row r="85" spans="1:44" s="103" customFormat="1" ht="13" customHeight="1" x14ac:dyDescent="0.2">
      <c r="A85" s="30">
        <v>78</v>
      </c>
      <c r="B85" s="17">
        <v>214</v>
      </c>
      <c r="C85" s="120" t="s">
        <v>146</v>
      </c>
      <c r="D85" s="5">
        <v>504.64699999999999</v>
      </c>
      <c r="E85" s="29">
        <v>2004</v>
      </c>
      <c r="F85" s="183" t="s">
        <v>331</v>
      </c>
      <c r="G85" s="183" t="s">
        <v>358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15">
        <v>0</v>
      </c>
      <c r="P85" s="15">
        <v>0</v>
      </c>
      <c r="Q85" s="10">
        <v>0</v>
      </c>
      <c r="R85" s="218">
        <v>0</v>
      </c>
      <c r="S85" s="10">
        <v>15450</v>
      </c>
      <c r="T85" s="10">
        <v>24030</v>
      </c>
      <c r="U85" s="10">
        <v>26650</v>
      </c>
      <c r="V85" s="10">
        <v>35880</v>
      </c>
      <c r="W85" s="15">
        <v>42275</v>
      </c>
      <c r="X85" s="7">
        <f>SUM(30+45717.5)</f>
        <v>45747.5</v>
      </c>
      <c r="Y85" s="15">
        <v>52055</v>
      </c>
      <c r="Z85" s="9">
        <v>52345</v>
      </c>
      <c r="AA85" s="9">
        <v>50860</v>
      </c>
      <c r="AB85" s="237">
        <f t="shared" si="6"/>
        <v>345292.5</v>
      </c>
      <c r="AC85" s="265">
        <v>515</v>
      </c>
      <c r="AD85" s="16">
        <v>30</v>
      </c>
      <c r="AE85" s="13" t="s">
        <v>90</v>
      </c>
      <c r="AF85" s="255">
        <v>3915.3333333333335</v>
      </c>
      <c r="AG85" s="48">
        <v>1471</v>
      </c>
      <c r="AH85" s="48">
        <v>1491</v>
      </c>
      <c r="AI85" s="48">
        <v>1696</v>
      </c>
      <c r="AJ85" s="12">
        <v>1688</v>
      </c>
      <c r="AK85" s="12">
        <v>1555</v>
      </c>
      <c r="AL85" s="253">
        <f t="shared" si="7"/>
        <v>11816.333333333334</v>
      </c>
      <c r="AM85" s="16">
        <v>30</v>
      </c>
      <c r="AN85" s="13" t="s">
        <v>90</v>
      </c>
      <c r="AO85" s="9">
        <f>SUM(AB85)</f>
        <v>345292.5</v>
      </c>
      <c r="AP85" s="14">
        <v>0</v>
      </c>
      <c r="AQ85" s="7">
        <f>[1]Sheet1!N51</f>
        <v>0</v>
      </c>
      <c r="AR85" s="181"/>
    </row>
    <row r="86" spans="1:44" s="104" customFormat="1" ht="13" customHeight="1" x14ac:dyDescent="0.2">
      <c r="A86" s="30">
        <v>79</v>
      </c>
      <c r="B86" s="17"/>
      <c r="C86" s="120" t="s">
        <v>312</v>
      </c>
      <c r="D86" s="5">
        <v>504.80099999999999</v>
      </c>
      <c r="E86" s="29">
        <v>2010</v>
      </c>
      <c r="F86" s="183" t="s">
        <v>522</v>
      </c>
      <c r="G86" s="183" t="s">
        <v>358</v>
      </c>
      <c r="H86" s="7">
        <v>0</v>
      </c>
      <c r="I86" s="7">
        <v>0</v>
      </c>
      <c r="J86" s="7">
        <v>0</v>
      </c>
      <c r="K86" s="14">
        <v>0</v>
      </c>
      <c r="L86" s="7">
        <v>0</v>
      </c>
      <c r="M86" s="7">
        <v>0</v>
      </c>
      <c r="N86" s="7">
        <v>0</v>
      </c>
      <c r="O86" s="22">
        <v>0</v>
      </c>
      <c r="P86" s="22">
        <v>0</v>
      </c>
      <c r="Q86" s="23">
        <v>0</v>
      </c>
      <c r="R86" s="218">
        <v>0</v>
      </c>
      <c r="S86" s="23">
        <v>0</v>
      </c>
      <c r="T86" s="10">
        <v>0</v>
      </c>
      <c r="U86" s="10">
        <v>0</v>
      </c>
      <c r="V86" s="10">
        <v>0</v>
      </c>
      <c r="W86" s="15">
        <v>0</v>
      </c>
      <c r="X86" s="15">
        <v>0</v>
      </c>
      <c r="Y86" s="15">
        <v>914</v>
      </c>
      <c r="Z86" s="9">
        <v>1470</v>
      </c>
      <c r="AA86" s="9">
        <v>0</v>
      </c>
      <c r="AB86" s="237">
        <f t="shared" si="6"/>
        <v>2384</v>
      </c>
      <c r="AC86" s="265">
        <v>0</v>
      </c>
      <c r="AD86" s="16" t="s">
        <v>78</v>
      </c>
      <c r="AE86" s="13" t="s">
        <v>78</v>
      </c>
      <c r="AF86" s="255">
        <v>0</v>
      </c>
      <c r="AG86" s="48">
        <v>0</v>
      </c>
      <c r="AH86" s="48">
        <v>0</v>
      </c>
      <c r="AI86" s="48">
        <v>29</v>
      </c>
      <c r="AJ86" s="12">
        <v>39</v>
      </c>
      <c r="AK86" s="12">
        <v>92</v>
      </c>
      <c r="AL86" s="253">
        <f t="shared" si="7"/>
        <v>160</v>
      </c>
      <c r="AM86" s="16">
        <v>30</v>
      </c>
      <c r="AN86" s="13" t="s">
        <v>90</v>
      </c>
      <c r="AO86" s="9">
        <f>SUM(AB86)</f>
        <v>2384</v>
      </c>
      <c r="AP86" s="14">
        <v>0</v>
      </c>
      <c r="AQ86" s="7">
        <f>[1]Sheet1!N52</f>
        <v>0</v>
      </c>
      <c r="AR86" s="116"/>
    </row>
    <row r="87" spans="1:44" s="103" customFormat="1" ht="13" customHeight="1" x14ac:dyDescent="0.2">
      <c r="A87" s="30">
        <v>80</v>
      </c>
      <c r="B87" s="17">
        <v>41</v>
      </c>
      <c r="C87" s="120" t="s">
        <v>313</v>
      </c>
      <c r="D87" s="44">
        <v>504.80099999999999</v>
      </c>
      <c r="E87" s="29">
        <v>2010</v>
      </c>
      <c r="F87" s="183" t="s">
        <v>331</v>
      </c>
      <c r="G87" s="183" t="s">
        <v>358</v>
      </c>
      <c r="H87" s="7">
        <v>0</v>
      </c>
      <c r="I87" s="7">
        <v>0</v>
      </c>
      <c r="J87" s="7">
        <v>0</v>
      </c>
      <c r="K87" s="14">
        <v>0</v>
      </c>
      <c r="L87" s="7">
        <v>0</v>
      </c>
      <c r="M87" s="7">
        <v>0</v>
      </c>
      <c r="N87" s="7">
        <v>0</v>
      </c>
      <c r="O87" s="22">
        <v>0</v>
      </c>
      <c r="P87" s="22">
        <v>0</v>
      </c>
      <c r="Q87" s="23">
        <v>0</v>
      </c>
      <c r="R87" s="218">
        <v>0</v>
      </c>
      <c r="S87" s="23">
        <v>0</v>
      </c>
      <c r="T87" s="10">
        <v>0</v>
      </c>
      <c r="U87" s="10">
        <v>0</v>
      </c>
      <c r="V87" s="10">
        <v>0</v>
      </c>
      <c r="W87" s="15">
        <v>0</v>
      </c>
      <c r="X87" s="15">
        <v>0</v>
      </c>
      <c r="Y87" s="15">
        <v>24820</v>
      </c>
      <c r="Z87" s="9">
        <v>22155</v>
      </c>
      <c r="AA87" s="9">
        <v>19897.5</v>
      </c>
      <c r="AB87" s="237">
        <f t="shared" si="6"/>
        <v>66872.5</v>
      </c>
      <c r="AC87" s="265">
        <v>0</v>
      </c>
      <c r="AD87" s="16" t="s">
        <v>78</v>
      </c>
      <c r="AE87" s="13" t="s">
        <v>78</v>
      </c>
      <c r="AF87" s="255">
        <v>0</v>
      </c>
      <c r="AG87" s="48">
        <v>0</v>
      </c>
      <c r="AH87" s="48">
        <v>0</v>
      </c>
      <c r="AI87" s="48">
        <v>637</v>
      </c>
      <c r="AJ87" s="12">
        <v>725</v>
      </c>
      <c r="AK87" s="12">
        <v>740</v>
      </c>
      <c r="AL87" s="253">
        <f t="shared" si="7"/>
        <v>2102</v>
      </c>
      <c r="AM87" s="11">
        <v>30</v>
      </c>
      <c r="AN87" s="13" t="s">
        <v>90</v>
      </c>
      <c r="AO87" s="9">
        <f>SUM(AB87)</f>
        <v>66872.5</v>
      </c>
      <c r="AP87" s="14">
        <v>0</v>
      </c>
      <c r="AQ87" s="7">
        <f>[1]Sheet1!N53</f>
        <v>0</v>
      </c>
      <c r="AR87" s="181"/>
    </row>
    <row r="88" spans="1:44" s="147" customFormat="1" x14ac:dyDescent="0.2">
      <c r="A88" s="30">
        <v>81</v>
      </c>
      <c r="B88" s="17"/>
      <c r="C88" s="120" t="s">
        <v>62</v>
      </c>
      <c r="D88" s="44" t="s">
        <v>299</v>
      </c>
      <c r="E88" s="29">
        <v>1995</v>
      </c>
      <c r="F88" s="183" t="s">
        <v>331</v>
      </c>
      <c r="G88" s="183" t="s">
        <v>358</v>
      </c>
      <c r="H88" s="7">
        <v>0</v>
      </c>
      <c r="I88" s="7">
        <v>0</v>
      </c>
      <c r="J88" s="7">
        <v>0</v>
      </c>
      <c r="K88" s="14">
        <v>0</v>
      </c>
      <c r="L88" s="7">
        <v>0</v>
      </c>
      <c r="M88" s="7">
        <v>0</v>
      </c>
      <c r="N88" s="7">
        <v>0</v>
      </c>
      <c r="O88" s="15">
        <v>0</v>
      </c>
      <c r="P88" s="15">
        <v>0</v>
      </c>
      <c r="Q88" s="10">
        <v>0</v>
      </c>
      <c r="R88" s="218">
        <v>0</v>
      </c>
      <c r="S88" s="10">
        <v>0</v>
      </c>
      <c r="T88" s="10">
        <v>0</v>
      </c>
      <c r="U88" s="10">
        <v>0</v>
      </c>
      <c r="V88" s="10">
        <v>0</v>
      </c>
      <c r="W88" s="15">
        <v>0</v>
      </c>
      <c r="X88" s="15">
        <v>0</v>
      </c>
      <c r="Y88" s="15">
        <v>0</v>
      </c>
      <c r="Z88" s="9">
        <v>0</v>
      </c>
      <c r="AA88" s="9">
        <v>0</v>
      </c>
      <c r="AB88" s="237">
        <f t="shared" si="6"/>
        <v>0</v>
      </c>
      <c r="AC88" s="265" t="s">
        <v>76</v>
      </c>
      <c r="AD88" s="16">
        <v>0</v>
      </c>
      <c r="AE88" s="37" t="s">
        <v>78</v>
      </c>
      <c r="AF88" s="255" t="s">
        <v>76</v>
      </c>
      <c r="AG88" s="48" t="s">
        <v>222</v>
      </c>
      <c r="AH88" s="48">
        <v>0</v>
      </c>
      <c r="AI88" s="48">
        <v>0</v>
      </c>
      <c r="AJ88" s="12">
        <v>26</v>
      </c>
      <c r="AK88" s="12">
        <v>26</v>
      </c>
      <c r="AL88" s="253">
        <f t="shared" si="7"/>
        <v>52</v>
      </c>
      <c r="AM88" s="11">
        <v>0</v>
      </c>
      <c r="AN88" s="13" t="s">
        <v>78</v>
      </c>
      <c r="AO88" s="9">
        <f>[1]Sheet1!I54</f>
        <v>0</v>
      </c>
      <c r="AP88" s="14">
        <v>0</v>
      </c>
      <c r="AQ88" s="7">
        <f>[1]Sheet1!N54</f>
        <v>0</v>
      </c>
      <c r="AR88" s="181"/>
    </row>
    <row r="89" spans="1:44" s="104" customFormat="1" x14ac:dyDescent="0.2">
      <c r="A89" s="30">
        <v>82</v>
      </c>
      <c r="B89" s="17">
        <v>24</v>
      </c>
      <c r="C89" s="120" t="s">
        <v>23</v>
      </c>
      <c r="D89" s="44" t="s">
        <v>297</v>
      </c>
      <c r="E89" s="29">
        <v>1993</v>
      </c>
      <c r="F89" s="183" t="s">
        <v>331</v>
      </c>
      <c r="G89" s="183" t="s">
        <v>358</v>
      </c>
      <c r="H89" s="7">
        <v>387524.35</v>
      </c>
      <c r="I89" s="8">
        <v>509222</v>
      </c>
      <c r="J89" s="8">
        <v>432149.89</v>
      </c>
      <c r="K89" s="9">
        <v>496610.99</v>
      </c>
      <c r="L89" s="8">
        <v>825883</v>
      </c>
      <c r="M89" s="8">
        <v>504236</v>
      </c>
      <c r="N89" s="9">
        <v>359401</v>
      </c>
      <c r="O89" s="15">
        <v>479811.01</v>
      </c>
      <c r="P89" s="10">
        <v>566526.14</v>
      </c>
      <c r="Q89" s="10">
        <v>554087</v>
      </c>
      <c r="R89" s="218">
        <v>5115451.38</v>
      </c>
      <c r="S89" s="10">
        <v>588482</v>
      </c>
      <c r="T89" s="10">
        <v>565635</v>
      </c>
      <c r="U89" s="10">
        <v>546929</v>
      </c>
      <c r="V89" s="10">
        <v>512707</v>
      </c>
      <c r="W89" s="15">
        <v>18334</v>
      </c>
      <c r="X89" s="15">
        <v>418309</v>
      </c>
      <c r="Y89" s="15">
        <v>423051</v>
      </c>
      <c r="Z89" s="9">
        <v>375435</v>
      </c>
      <c r="AA89" s="9">
        <v>381906</v>
      </c>
      <c r="AB89" s="237">
        <f t="shared" si="6"/>
        <v>8946239.379999999</v>
      </c>
      <c r="AC89" s="265" t="s">
        <v>76</v>
      </c>
      <c r="AD89" s="16">
        <v>8</v>
      </c>
      <c r="AE89" s="37" t="s">
        <v>90</v>
      </c>
      <c r="AF89" s="255" t="s">
        <v>76</v>
      </c>
      <c r="AG89" s="48">
        <v>693</v>
      </c>
      <c r="AH89" s="48">
        <v>588</v>
      </c>
      <c r="AI89" s="48">
        <v>569</v>
      </c>
      <c r="AJ89" s="12">
        <v>544</v>
      </c>
      <c r="AK89" s="12">
        <v>546</v>
      </c>
      <c r="AL89" s="253">
        <f t="shared" si="7"/>
        <v>2940</v>
      </c>
      <c r="AM89" s="11">
        <v>8</v>
      </c>
      <c r="AN89" s="13" t="s">
        <v>90</v>
      </c>
      <c r="AO89" s="9">
        <f>SUM(AB89)</f>
        <v>8946239.379999999</v>
      </c>
      <c r="AP89" s="14">
        <v>0</v>
      </c>
      <c r="AQ89" s="7">
        <f>[1]Sheet1!N55</f>
        <v>0</v>
      </c>
      <c r="AR89" s="116"/>
    </row>
    <row r="90" spans="1:44" s="103" customFormat="1" x14ac:dyDescent="0.2">
      <c r="A90" s="30">
        <v>83</v>
      </c>
      <c r="B90" s="17"/>
      <c r="C90" s="120" t="s">
        <v>63</v>
      </c>
      <c r="D90" s="17" t="s">
        <v>298</v>
      </c>
      <c r="E90" s="29">
        <v>1994</v>
      </c>
      <c r="F90" s="183" t="s">
        <v>331</v>
      </c>
      <c r="G90" s="183" t="s">
        <v>358</v>
      </c>
      <c r="H90" s="7">
        <v>0</v>
      </c>
      <c r="I90" s="7">
        <v>0</v>
      </c>
      <c r="J90" s="7">
        <v>0</v>
      </c>
      <c r="K90" s="14">
        <v>0</v>
      </c>
      <c r="L90" s="7">
        <v>0</v>
      </c>
      <c r="M90" s="7">
        <v>0</v>
      </c>
      <c r="N90" s="7">
        <v>0</v>
      </c>
      <c r="O90" s="15">
        <v>0</v>
      </c>
      <c r="P90" s="15">
        <v>0</v>
      </c>
      <c r="Q90" s="10">
        <v>0</v>
      </c>
      <c r="R90" s="218">
        <v>0</v>
      </c>
      <c r="S90" s="10">
        <v>0</v>
      </c>
      <c r="T90" s="10">
        <v>0</v>
      </c>
      <c r="U90" s="10">
        <v>0</v>
      </c>
      <c r="V90" s="10">
        <v>0</v>
      </c>
      <c r="W90" s="15">
        <v>0</v>
      </c>
      <c r="X90" s="10">
        <v>0</v>
      </c>
      <c r="Y90" s="15">
        <v>0</v>
      </c>
      <c r="Z90" s="10">
        <v>0</v>
      </c>
      <c r="AA90" s="9">
        <v>0</v>
      </c>
      <c r="AB90" s="237">
        <f t="shared" si="6"/>
        <v>0</v>
      </c>
      <c r="AC90" s="265" t="s">
        <v>76</v>
      </c>
      <c r="AD90" s="16" t="s">
        <v>89</v>
      </c>
      <c r="AE90" s="37" t="s">
        <v>78</v>
      </c>
      <c r="AF90" s="255" t="s">
        <v>76</v>
      </c>
      <c r="AG90" s="48" t="s">
        <v>222</v>
      </c>
      <c r="AH90" s="12">
        <v>0</v>
      </c>
      <c r="AI90" s="48">
        <v>0</v>
      </c>
      <c r="AJ90" s="12">
        <v>0</v>
      </c>
      <c r="AK90" s="12">
        <v>0</v>
      </c>
      <c r="AL90" s="253">
        <f t="shared" si="7"/>
        <v>0</v>
      </c>
      <c r="AM90" s="45">
        <v>50.3</v>
      </c>
      <c r="AN90" s="13" t="s">
        <v>78</v>
      </c>
      <c r="AO90" s="9">
        <f>[1]Sheet1!I56</f>
        <v>0</v>
      </c>
      <c r="AP90" s="14">
        <v>0</v>
      </c>
      <c r="AQ90" s="7">
        <f>[1]Sheet1!N56</f>
        <v>0</v>
      </c>
      <c r="AR90" s="181"/>
    </row>
    <row r="91" spans="1:44" s="103" customFormat="1" ht="24.5" x14ac:dyDescent="0.2">
      <c r="A91" s="30">
        <v>84</v>
      </c>
      <c r="B91" s="17">
        <v>201</v>
      </c>
      <c r="C91" s="120" t="s">
        <v>149</v>
      </c>
      <c r="D91" s="17">
        <v>504.64499999999998</v>
      </c>
      <c r="E91" s="29">
        <v>2004</v>
      </c>
      <c r="F91" s="183" t="s">
        <v>371</v>
      </c>
      <c r="G91" s="183" t="s">
        <v>419</v>
      </c>
      <c r="H91" s="7">
        <v>0</v>
      </c>
      <c r="I91" s="7">
        <v>0</v>
      </c>
      <c r="J91" s="7">
        <v>0</v>
      </c>
      <c r="K91" s="14">
        <v>0</v>
      </c>
      <c r="L91" s="7">
        <v>0</v>
      </c>
      <c r="M91" s="7">
        <v>0</v>
      </c>
      <c r="N91" s="7">
        <v>0</v>
      </c>
      <c r="O91" s="15">
        <v>0</v>
      </c>
      <c r="P91" s="10">
        <v>0</v>
      </c>
      <c r="Q91" s="10">
        <v>0</v>
      </c>
      <c r="R91" s="218">
        <v>0</v>
      </c>
      <c r="S91" s="10">
        <v>1140</v>
      </c>
      <c r="T91" s="10">
        <v>1380</v>
      </c>
      <c r="U91" s="10">
        <v>1440</v>
      </c>
      <c r="V91" s="10">
        <v>1410</v>
      </c>
      <c r="W91" s="15">
        <v>1528</v>
      </c>
      <c r="X91" s="9">
        <f>SUM(44+1915)</f>
        <v>1959</v>
      </c>
      <c r="Y91" s="15">
        <v>2122</v>
      </c>
      <c r="Z91" s="9">
        <v>1660</v>
      </c>
      <c r="AA91" s="9">
        <v>1607.5</v>
      </c>
      <c r="AB91" s="237">
        <f t="shared" si="6"/>
        <v>14246.5</v>
      </c>
      <c r="AC91" s="265">
        <v>0</v>
      </c>
      <c r="AD91" s="16" t="s">
        <v>78</v>
      </c>
      <c r="AE91" s="16" t="s">
        <v>78</v>
      </c>
      <c r="AF91" s="255">
        <v>179</v>
      </c>
      <c r="AG91" s="48">
        <v>54</v>
      </c>
      <c r="AH91" s="12">
        <v>55</v>
      </c>
      <c r="AI91" s="48">
        <v>57</v>
      </c>
      <c r="AJ91" s="12">
        <v>58</v>
      </c>
      <c r="AK91" s="12">
        <v>47</v>
      </c>
      <c r="AL91" s="253">
        <f t="shared" si="7"/>
        <v>450</v>
      </c>
      <c r="AM91" s="11">
        <v>30</v>
      </c>
      <c r="AN91" s="13" t="s">
        <v>198</v>
      </c>
      <c r="AO91" s="9">
        <f>SUM(3370+429)</f>
        <v>3799</v>
      </c>
      <c r="AP91" s="14">
        <v>0</v>
      </c>
      <c r="AQ91" s="7">
        <f>SUM(9269+1179)</f>
        <v>10448</v>
      </c>
      <c r="AR91" s="181"/>
    </row>
    <row r="92" spans="1:44" s="147" customFormat="1" ht="36.75" x14ac:dyDescent="0.2">
      <c r="A92" s="30">
        <v>85</v>
      </c>
      <c r="B92" s="17">
        <v>183</v>
      </c>
      <c r="C92" s="120" t="s">
        <v>24</v>
      </c>
      <c r="D92" s="28" t="s">
        <v>254</v>
      </c>
      <c r="E92" s="29">
        <v>2000</v>
      </c>
      <c r="F92" s="182" t="s">
        <v>325</v>
      </c>
      <c r="G92" s="182" t="s">
        <v>420</v>
      </c>
      <c r="H92" s="7">
        <v>0</v>
      </c>
      <c r="I92" s="7">
        <v>0</v>
      </c>
      <c r="J92" s="7">
        <v>0</v>
      </c>
      <c r="K92" s="14">
        <v>0</v>
      </c>
      <c r="L92" s="7">
        <v>0</v>
      </c>
      <c r="M92" s="7">
        <v>0</v>
      </c>
      <c r="N92" s="7">
        <v>180</v>
      </c>
      <c r="O92" s="15">
        <v>2460</v>
      </c>
      <c r="P92" s="7">
        <v>3660</v>
      </c>
      <c r="Q92" s="9">
        <v>3840</v>
      </c>
      <c r="R92" s="218">
        <v>10140</v>
      </c>
      <c r="S92" s="8">
        <v>3990</v>
      </c>
      <c r="T92" s="8">
        <v>3840</v>
      </c>
      <c r="U92" s="8">
        <v>3510</v>
      </c>
      <c r="V92" s="8">
        <v>3630</v>
      </c>
      <c r="W92" s="7">
        <v>3518</v>
      </c>
      <c r="X92" s="8">
        <v>3260</v>
      </c>
      <c r="Y92" s="7">
        <v>3560</v>
      </c>
      <c r="Z92" s="9">
        <v>3427.5</v>
      </c>
      <c r="AA92" s="9">
        <v>3630</v>
      </c>
      <c r="AB92" s="237">
        <f t="shared" si="6"/>
        <v>42505.5</v>
      </c>
      <c r="AC92" s="265">
        <v>338</v>
      </c>
      <c r="AD92" s="16">
        <v>30</v>
      </c>
      <c r="AE92" s="13" t="s">
        <v>186</v>
      </c>
      <c r="AF92" s="255">
        <v>837</v>
      </c>
      <c r="AG92" s="48">
        <v>102</v>
      </c>
      <c r="AH92" s="12">
        <v>112</v>
      </c>
      <c r="AI92" s="48">
        <v>113</v>
      </c>
      <c r="AJ92" s="12">
        <v>110</v>
      </c>
      <c r="AK92" s="12">
        <v>108</v>
      </c>
      <c r="AL92" s="253">
        <f t="shared" si="7"/>
        <v>1382</v>
      </c>
      <c r="AM92" s="11">
        <v>30</v>
      </c>
      <c r="AN92" s="13" t="s">
        <v>198</v>
      </c>
      <c r="AO92" s="9">
        <f>SUM(9353+968)</f>
        <v>10321</v>
      </c>
      <c r="AP92" s="14">
        <v>0</v>
      </c>
      <c r="AQ92" s="7">
        <f>SUM(29523+2662)</f>
        <v>32185</v>
      </c>
      <c r="AR92" s="181"/>
    </row>
    <row r="93" spans="1:44" s="104" customFormat="1" x14ac:dyDescent="0.2">
      <c r="A93" s="30">
        <v>86</v>
      </c>
      <c r="B93" s="17">
        <v>181</v>
      </c>
      <c r="C93" s="120" t="s">
        <v>122</v>
      </c>
      <c r="D93" s="28" t="s">
        <v>264</v>
      </c>
      <c r="E93" s="29">
        <v>2000</v>
      </c>
      <c r="F93" s="182" t="s">
        <v>367</v>
      </c>
      <c r="G93" s="182" t="s">
        <v>347</v>
      </c>
      <c r="H93" s="7">
        <v>0</v>
      </c>
      <c r="I93" s="7">
        <v>0</v>
      </c>
      <c r="J93" s="7">
        <v>0</v>
      </c>
      <c r="K93" s="14">
        <v>0</v>
      </c>
      <c r="L93" s="7">
        <v>0</v>
      </c>
      <c r="M93" s="7">
        <v>0</v>
      </c>
      <c r="N93" s="7">
        <v>0</v>
      </c>
      <c r="O93" s="15">
        <v>3940</v>
      </c>
      <c r="P93" s="7">
        <v>6180</v>
      </c>
      <c r="Q93" s="9">
        <v>6420</v>
      </c>
      <c r="R93" s="218">
        <v>16540</v>
      </c>
      <c r="S93" s="8">
        <v>6810</v>
      </c>
      <c r="T93" s="8">
        <v>6390</v>
      </c>
      <c r="U93" s="8">
        <v>5700</v>
      </c>
      <c r="V93" s="8">
        <v>5790</v>
      </c>
      <c r="W93" s="7">
        <v>5958</v>
      </c>
      <c r="X93" s="7">
        <f>SUM(96+6520)</f>
        <v>6616</v>
      </c>
      <c r="Y93" s="7">
        <v>6768</v>
      </c>
      <c r="Z93" s="9">
        <v>5992.5</v>
      </c>
      <c r="AA93" s="9">
        <v>5490</v>
      </c>
      <c r="AB93" s="237">
        <f t="shared" si="6"/>
        <v>72054.5</v>
      </c>
      <c r="AC93" s="265">
        <v>551.33333333333337</v>
      </c>
      <c r="AD93" s="16">
        <v>30</v>
      </c>
      <c r="AE93" s="13" t="s">
        <v>186</v>
      </c>
      <c r="AF93" s="255">
        <v>1374.3333333333335</v>
      </c>
      <c r="AG93" s="48">
        <v>189</v>
      </c>
      <c r="AH93" s="48">
        <v>215</v>
      </c>
      <c r="AI93" s="48">
        <v>216</v>
      </c>
      <c r="AJ93" s="12">
        <v>196</v>
      </c>
      <c r="AK93" s="12">
        <v>179</v>
      </c>
      <c r="AL93" s="253">
        <f t="shared" si="7"/>
        <v>2369.3333333333335</v>
      </c>
      <c r="AM93" s="11">
        <v>30</v>
      </c>
      <c r="AN93" s="13" t="s">
        <v>198</v>
      </c>
      <c r="AO93" s="9">
        <f>SUM(16098+1464)</f>
        <v>17562</v>
      </c>
      <c r="AP93" s="14">
        <v>0</v>
      </c>
      <c r="AQ93" s="7">
        <f>SUM(50467+4026)</f>
        <v>54493</v>
      </c>
      <c r="AR93" s="116"/>
    </row>
    <row r="94" spans="1:44" s="103" customFormat="1" x14ac:dyDescent="0.2">
      <c r="A94" s="30">
        <v>87</v>
      </c>
      <c r="B94" s="17">
        <v>170</v>
      </c>
      <c r="C94" s="120" t="s">
        <v>95</v>
      </c>
      <c r="D94" s="28" t="s">
        <v>264</v>
      </c>
      <c r="E94" s="29">
        <v>2001</v>
      </c>
      <c r="F94" s="182" t="s">
        <v>367</v>
      </c>
      <c r="G94" s="182" t="s">
        <v>347</v>
      </c>
      <c r="H94" s="7">
        <v>0</v>
      </c>
      <c r="I94" s="7">
        <v>0</v>
      </c>
      <c r="J94" s="7">
        <v>0</v>
      </c>
      <c r="K94" s="14">
        <v>0</v>
      </c>
      <c r="L94" s="7">
        <v>0</v>
      </c>
      <c r="M94" s="7">
        <v>0</v>
      </c>
      <c r="N94" s="7">
        <v>0</v>
      </c>
      <c r="O94" s="15">
        <v>30</v>
      </c>
      <c r="P94" s="7">
        <v>25</v>
      </c>
      <c r="Q94" s="9">
        <v>237</v>
      </c>
      <c r="R94" s="218">
        <v>292</v>
      </c>
      <c r="S94" s="8">
        <v>240</v>
      </c>
      <c r="T94" s="8">
        <v>300</v>
      </c>
      <c r="U94" s="8">
        <v>380</v>
      </c>
      <c r="V94" s="8">
        <v>0</v>
      </c>
      <c r="W94" s="7">
        <v>923</v>
      </c>
      <c r="X94" s="7">
        <v>1345</v>
      </c>
      <c r="Y94" s="7">
        <v>1378</v>
      </c>
      <c r="Z94" s="9">
        <v>1627.5</v>
      </c>
      <c r="AA94" s="9">
        <v>1735</v>
      </c>
      <c r="AB94" s="237">
        <f t="shared" si="6"/>
        <v>8220.5</v>
      </c>
      <c r="AC94" s="265">
        <v>9.7333333333333325</v>
      </c>
      <c r="AD94" s="16">
        <v>30</v>
      </c>
      <c r="AE94" s="13" t="s">
        <v>186</v>
      </c>
      <c r="AF94" s="255">
        <v>40.4</v>
      </c>
      <c r="AG94" s="48">
        <v>34</v>
      </c>
      <c r="AH94" s="48">
        <v>42</v>
      </c>
      <c r="AI94" s="48">
        <v>46</v>
      </c>
      <c r="AJ94" s="12">
        <v>51</v>
      </c>
      <c r="AK94" s="12">
        <v>48</v>
      </c>
      <c r="AL94" s="253">
        <f t="shared" si="7"/>
        <v>261.39999999999998</v>
      </c>
      <c r="AM94" s="11">
        <v>30</v>
      </c>
      <c r="AN94" s="13" t="s">
        <v>198</v>
      </c>
      <c r="AO94" s="9">
        <f>SUM(1702+463)</f>
        <v>2165</v>
      </c>
      <c r="AP94" s="14">
        <v>0</v>
      </c>
      <c r="AQ94" s="7">
        <f>SUM(4784+1272)</f>
        <v>6056</v>
      </c>
      <c r="AR94" s="181"/>
    </row>
    <row r="95" spans="1:44" s="104" customFormat="1" ht="37.450000000000003" customHeight="1" x14ac:dyDescent="0.2">
      <c r="A95" s="30">
        <v>88</v>
      </c>
      <c r="B95" s="17">
        <v>216</v>
      </c>
      <c r="C95" s="120" t="s">
        <v>144</v>
      </c>
      <c r="D95" s="28">
        <v>504.64800000000002</v>
      </c>
      <c r="E95" s="29">
        <v>2004</v>
      </c>
      <c r="F95" s="182" t="s">
        <v>341</v>
      </c>
      <c r="G95" s="182" t="s">
        <v>348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15">
        <v>0</v>
      </c>
      <c r="P95" s="15">
        <v>0</v>
      </c>
      <c r="Q95" s="10">
        <v>0</v>
      </c>
      <c r="R95" s="218">
        <v>0</v>
      </c>
      <c r="S95" s="8">
        <v>48440</v>
      </c>
      <c r="T95" s="8">
        <v>149640</v>
      </c>
      <c r="U95" s="8">
        <v>204240</v>
      </c>
      <c r="V95" s="8">
        <v>210160</v>
      </c>
      <c r="W95" s="7">
        <v>189410</v>
      </c>
      <c r="X95" s="7">
        <f>SUM(420.91+197056.62)</f>
        <v>197477.53</v>
      </c>
      <c r="Y95" s="7">
        <v>189564</v>
      </c>
      <c r="Z95" s="9">
        <v>172459.96</v>
      </c>
      <c r="AA95" s="9">
        <v>157369.88</v>
      </c>
      <c r="AB95" s="237">
        <f t="shared" si="6"/>
        <v>1518761.37</v>
      </c>
      <c r="AC95" s="265">
        <v>0</v>
      </c>
      <c r="AD95" s="16" t="s">
        <v>78</v>
      </c>
      <c r="AE95" s="16" t="s">
        <v>78</v>
      </c>
      <c r="AF95" s="255">
        <v>15312</v>
      </c>
      <c r="AG95" s="48">
        <v>5293</v>
      </c>
      <c r="AH95" s="48">
        <v>4778</v>
      </c>
      <c r="AI95" s="48">
        <v>4570</v>
      </c>
      <c r="AJ95" s="12">
        <v>4201</v>
      </c>
      <c r="AK95" s="12">
        <v>3719</v>
      </c>
      <c r="AL95" s="253">
        <f t="shared" si="7"/>
        <v>37873</v>
      </c>
      <c r="AM95" s="11">
        <v>40</v>
      </c>
      <c r="AN95" s="37" t="s">
        <v>448</v>
      </c>
      <c r="AO95" s="9">
        <f>SUM(894674+31475)</f>
        <v>926149</v>
      </c>
      <c r="AP95" s="14">
        <v>0</v>
      </c>
      <c r="AQ95" s="7">
        <f>SUM(466717+125895)</f>
        <v>592612</v>
      </c>
      <c r="AR95" s="116"/>
    </row>
    <row r="96" spans="1:44" s="103" customFormat="1" ht="36.75" x14ac:dyDescent="0.2">
      <c r="A96" s="30">
        <v>89</v>
      </c>
      <c r="B96" s="17">
        <v>215</v>
      </c>
      <c r="C96" s="120" t="s">
        <v>145</v>
      </c>
      <c r="D96" s="28">
        <v>504.64800000000002</v>
      </c>
      <c r="E96" s="29">
        <v>2004</v>
      </c>
      <c r="F96" s="182" t="s">
        <v>341</v>
      </c>
      <c r="G96" s="182" t="s">
        <v>348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15">
        <v>0</v>
      </c>
      <c r="P96" s="15">
        <v>0</v>
      </c>
      <c r="Q96" s="10">
        <v>0</v>
      </c>
      <c r="R96" s="218">
        <v>0</v>
      </c>
      <c r="S96" s="8">
        <v>29320</v>
      </c>
      <c r="T96" s="8">
        <v>81040</v>
      </c>
      <c r="U96" s="8">
        <v>114320</v>
      </c>
      <c r="V96" s="8">
        <v>112400</v>
      </c>
      <c r="W96" s="7">
        <v>109500</v>
      </c>
      <c r="X96" s="7">
        <f>SUM(306.66+116803.32)</f>
        <v>117109.98000000001</v>
      </c>
      <c r="Y96" s="7">
        <v>114012</v>
      </c>
      <c r="Z96" s="9">
        <v>102793.24</v>
      </c>
      <c r="AA96" s="9">
        <v>95153.29</v>
      </c>
      <c r="AB96" s="237">
        <f t="shared" si="6"/>
        <v>875648.51</v>
      </c>
      <c r="AC96" s="265">
        <v>0</v>
      </c>
      <c r="AD96" s="16" t="s">
        <v>78</v>
      </c>
      <c r="AE96" s="16" t="s">
        <v>78</v>
      </c>
      <c r="AF96" s="255">
        <v>8427</v>
      </c>
      <c r="AG96" s="48">
        <v>3011</v>
      </c>
      <c r="AH96" s="48">
        <v>2814</v>
      </c>
      <c r="AI96" s="48">
        <v>2750</v>
      </c>
      <c r="AJ96" s="12">
        <v>2507</v>
      </c>
      <c r="AK96" s="12">
        <v>2236</v>
      </c>
      <c r="AL96" s="253">
        <f t="shared" si="7"/>
        <v>21745</v>
      </c>
      <c r="AM96" s="16">
        <v>40</v>
      </c>
      <c r="AN96" s="37" t="s">
        <v>448</v>
      </c>
      <c r="AO96" s="9">
        <f>SUM(502758+19032)</f>
        <v>521790</v>
      </c>
      <c r="AP96" s="14">
        <v>0</v>
      </c>
      <c r="AQ96" s="7">
        <f>SUM(277737+76122)</f>
        <v>353859</v>
      </c>
      <c r="AR96" s="181"/>
    </row>
    <row r="97" spans="1:44" s="103" customFormat="1" x14ac:dyDescent="0.2">
      <c r="A97" s="30">
        <v>90</v>
      </c>
      <c r="B97" s="17">
        <v>348</v>
      </c>
      <c r="C97" s="120" t="s">
        <v>234</v>
      </c>
      <c r="D97" s="28">
        <v>504.40800000000002</v>
      </c>
      <c r="E97" s="29">
        <v>2008</v>
      </c>
      <c r="F97" s="183" t="s">
        <v>331</v>
      </c>
      <c r="G97" s="183" t="s">
        <v>358</v>
      </c>
      <c r="H97" s="7">
        <v>0</v>
      </c>
      <c r="I97" s="7">
        <v>0</v>
      </c>
      <c r="J97" s="7">
        <v>0</v>
      </c>
      <c r="K97" s="14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8">
        <v>0</v>
      </c>
      <c r="R97" s="218">
        <v>0</v>
      </c>
      <c r="S97" s="8">
        <v>0</v>
      </c>
      <c r="T97" s="8">
        <v>0</v>
      </c>
      <c r="U97" s="8">
        <v>0</v>
      </c>
      <c r="V97" s="10">
        <v>0</v>
      </c>
      <c r="W97" s="7">
        <v>262</v>
      </c>
      <c r="X97" s="7">
        <f>SUM(10+717.49)</f>
        <v>727.49</v>
      </c>
      <c r="Y97" s="7">
        <v>1005</v>
      </c>
      <c r="Z97" s="9">
        <v>1275</v>
      </c>
      <c r="AA97" s="9">
        <v>1473.32</v>
      </c>
      <c r="AB97" s="237">
        <f t="shared" si="6"/>
        <v>4742.8099999999995</v>
      </c>
      <c r="AC97" s="265">
        <v>0</v>
      </c>
      <c r="AD97" s="16">
        <v>0</v>
      </c>
      <c r="AE97" s="16" t="s">
        <v>78</v>
      </c>
      <c r="AF97" s="255" t="s">
        <v>222</v>
      </c>
      <c r="AG97" s="48">
        <v>34</v>
      </c>
      <c r="AH97" s="48">
        <v>69</v>
      </c>
      <c r="AI97" s="48">
        <v>102</v>
      </c>
      <c r="AJ97" s="12">
        <v>128</v>
      </c>
      <c r="AK97" s="12">
        <v>138</v>
      </c>
      <c r="AL97" s="253">
        <f t="shared" si="7"/>
        <v>471</v>
      </c>
      <c r="AM97" s="16">
        <v>10</v>
      </c>
      <c r="AN97" s="13" t="s">
        <v>90</v>
      </c>
      <c r="AO97" s="9">
        <f>SUM(AB97)</f>
        <v>4742.8099999999995</v>
      </c>
      <c r="AP97" s="14">
        <v>0</v>
      </c>
      <c r="AQ97" s="7">
        <f>[1]Sheet1!N63</f>
        <v>0</v>
      </c>
      <c r="AR97" s="181"/>
    </row>
    <row r="98" spans="1:44" s="103" customFormat="1" ht="13" customHeight="1" x14ac:dyDescent="0.2">
      <c r="A98" s="30">
        <v>91</v>
      </c>
      <c r="B98" s="17"/>
      <c r="C98" s="120" t="s">
        <v>497</v>
      </c>
      <c r="D98" s="28"/>
      <c r="E98" s="29">
        <v>2012</v>
      </c>
      <c r="F98" s="183" t="s">
        <v>331</v>
      </c>
      <c r="G98" s="183" t="s">
        <v>358</v>
      </c>
      <c r="H98" s="14">
        <v>0</v>
      </c>
      <c r="I98" s="9">
        <v>0</v>
      </c>
      <c r="J98" s="9">
        <v>0</v>
      </c>
      <c r="K98" s="9">
        <v>0</v>
      </c>
      <c r="L98" s="8">
        <v>0</v>
      </c>
      <c r="M98" s="8">
        <v>0</v>
      </c>
      <c r="N98" s="8">
        <v>0</v>
      </c>
      <c r="O98" s="15">
        <v>0</v>
      </c>
      <c r="P98" s="10">
        <v>0</v>
      </c>
      <c r="Q98" s="10">
        <v>0</v>
      </c>
      <c r="R98" s="218">
        <v>0</v>
      </c>
      <c r="S98" s="10">
        <v>0</v>
      </c>
      <c r="T98" s="10">
        <v>0</v>
      </c>
      <c r="U98" s="10">
        <v>0</v>
      </c>
      <c r="V98" s="10">
        <v>0</v>
      </c>
      <c r="W98" s="15">
        <v>0</v>
      </c>
      <c r="X98" s="7"/>
      <c r="Y98" s="15">
        <v>0</v>
      </c>
      <c r="Z98" s="10">
        <v>0</v>
      </c>
      <c r="AA98" s="9">
        <v>182.49</v>
      </c>
      <c r="AB98" s="237">
        <f t="shared" si="6"/>
        <v>182.49</v>
      </c>
      <c r="AC98" s="265">
        <v>0</v>
      </c>
      <c r="AD98" s="16">
        <v>0</v>
      </c>
      <c r="AE98" s="13" t="s">
        <v>78</v>
      </c>
      <c r="AF98" s="255">
        <v>0</v>
      </c>
      <c r="AG98" s="48">
        <v>0</v>
      </c>
      <c r="AH98" s="48">
        <v>0</v>
      </c>
      <c r="AI98" s="48">
        <v>0</v>
      </c>
      <c r="AJ98" s="12">
        <v>0</v>
      </c>
      <c r="AK98" s="12">
        <v>19</v>
      </c>
      <c r="AL98" s="253">
        <f t="shared" si="7"/>
        <v>19</v>
      </c>
      <c r="AM98" s="16">
        <v>0</v>
      </c>
      <c r="AN98" s="13" t="s">
        <v>78</v>
      </c>
      <c r="AO98" s="9">
        <f>SUM(AB98)</f>
        <v>182.49</v>
      </c>
      <c r="AP98" s="14">
        <v>0</v>
      </c>
      <c r="AQ98" s="7">
        <v>0</v>
      </c>
      <c r="AR98" s="181"/>
    </row>
    <row r="99" spans="1:44" s="103" customFormat="1" ht="13" customHeight="1" x14ac:dyDescent="0.2">
      <c r="A99" s="30">
        <v>92</v>
      </c>
      <c r="B99" s="17">
        <v>197</v>
      </c>
      <c r="C99" s="120" t="s">
        <v>25</v>
      </c>
      <c r="D99" s="28" t="s">
        <v>262</v>
      </c>
      <c r="E99" s="29">
        <v>1998</v>
      </c>
      <c r="F99" s="183" t="s">
        <v>331</v>
      </c>
      <c r="G99" s="183" t="s">
        <v>358</v>
      </c>
      <c r="H99" s="7">
        <v>0</v>
      </c>
      <c r="I99" s="7">
        <v>0</v>
      </c>
      <c r="J99" s="7">
        <v>0</v>
      </c>
      <c r="K99" s="14">
        <v>0</v>
      </c>
      <c r="L99" s="7">
        <v>50</v>
      </c>
      <c r="M99" s="7">
        <v>85</v>
      </c>
      <c r="N99" s="7">
        <v>200</v>
      </c>
      <c r="O99" s="15">
        <v>220</v>
      </c>
      <c r="P99" s="7">
        <v>210</v>
      </c>
      <c r="Q99" s="14">
        <v>190</v>
      </c>
      <c r="R99" s="229">
        <v>955</v>
      </c>
      <c r="S99" s="8">
        <v>250</v>
      </c>
      <c r="T99" s="8">
        <v>320</v>
      </c>
      <c r="U99" s="8">
        <v>460</v>
      </c>
      <c r="V99" s="8">
        <v>760</v>
      </c>
      <c r="W99" s="7">
        <v>1175</v>
      </c>
      <c r="X99" s="7">
        <v>1224.17</v>
      </c>
      <c r="Y99" s="7">
        <v>1729</v>
      </c>
      <c r="Z99" s="9">
        <v>1427.5</v>
      </c>
      <c r="AA99" s="9">
        <v>1611.66</v>
      </c>
      <c r="AB99" s="237">
        <f t="shared" si="6"/>
        <v>9912.33</v>
      </c>
      <c r="AC99" s="265">
        <v>95.5</v>
      </c>
      <c r="AD99" s="16">
        <v>10</v>
      </c>
      <c r="AE99" s="13" t="s">
        <v>189</v>
      </c>
      <c r="AF99" s="255">
        <v>274.5</v>
      </c>
      <c r="AG99" s="48">
        <v>105</v>
      </c>
      <c r="AH99" s="48">
        <v>123</v>
      </c>
      <c r="AI99" s="48">
        <v>133</v>
      </c>
      <c r="AJ99" s="12">
        <v>147</v>
      </c>
      <c r="AK99" s="12">
        <v>153</v>
      </c>
      <c r="AL99" s="253">
        <f t="shared" si="7"/>
        <v>935.5</v>
      </c>
      <c r="AM99" s="16">
        <v>10</v>
      </c>
      <c r="AN99" s="13" t="s">
        <v>187</v>
      </c>
      <c r="AO99" s="9">
        <f>SUM(AB99)</f>
        <v>9912.33</v>
      </c>
      <c r="AP99" s="14">
        <v>0</v>
      </c>
      <c r="AQ99" s="7">
        <f>[1]Sheet1!N64</f>
        <v>0</v>
      </c>
      <c r="AR99" s="181"/>
    </row>
    <row r="100" spans="1:44" s="103" customFormat="1" ht="13" customHeight="1" x14ac:dyDescent="0.2">
      <c r="A100" s="30">
        <v>93</v>
      </c>
      <c r="B100" s="17">
        <v>347</v>
      </c>
      <c r="C100" s="120" t="s">
        <v>235</v>
      </c>
      <c r="D100" s="28">
        <v>504.40800000000002</v>
      </c>
      <c r="E100" s="29">
        <v>2008</v>
      </c>
      <c r="F100" s="183" t="s">
        <v>331</v>
      </c>
      <c r="G100" s="183" t="s">
        <v>358</v>
      </c>
      <c r="H100" s="7">
        <v>0</v>
      </c>
      <c r="I100" s="7">
        <v>0</v>
      </c>
      <c r="J100" s="7">
        <v>0</v>
      </c>
      <c r="K100" s="14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8">
        <v>0</v>
      </c>
      <c r="R100" s="218">
        <v>0</v>
      </c>
      <c r="S100" s="8">
        <v>0</v>
      </c>
      <c r="T100" s="8">
        <v>0</v>
      </c>
      <c r="U100" s="8">
        <v>0</v>
      </c>
      <c r="V100" s="10">
        <v>0</v>
      </c>
      <c r="W100" s="7">
        <v>50</v>
      </c>
      <c r="X100" s="7">
        <v>227.5</v>
      </c>
      <c r="Y100" s="7">
        <v>317</v>
      </c>
      <c r="Z100" s="9">
        <v>429.17</v>
      </c>
      <c r="AA100" s="9">
        <v>589.99</v>
      </c>
      <c r="AB100" s="237">
        <f t="shared" si="6"/>
        <v>1613.66</v>
      </c>
      <c r="AC100" s="265">
        <v>0</v>
      </c>
      <c r="AD100" s="16" t="s">
        <v>78</v>
      </c>
      <c r="AE100" s="16" t="s">
        <v>78</v>
      </c>
      <c r="AF100" s="255" t="s">
        <v>222</v>
      </c>
      <c r="AG100" s="48">
        <v>8</v>
      </c>
      <c r="AH100" s="48">
        <v>22</v>
      </c>
      <c r="AI100" s="48">
        <v>31</v>
      </c>
      <c r="AJ100" s="12">
        <v>42</v>
      </c>
      <c r="AK100" s="12">
        <v>56</v>
      </c>
      <c r="AL100" s="253">
        <f t="shared" si="7"/>
        <v>159</v>
      </c>
      <c r="AM100" s="11">
        <v>0</v>
      </c>
      <c r="AN100" s="13" t="s">
        <v>90</v>
      </c>
      <c r="AO100" s="9">
        <f>SUM(AB100)</f>
        <v>1613.66</v>
      </c>
      <c r="AP100" s="14">
        <v>0</v>
      </c>
      <c r="AQ100" s="7">
        <f>[1]Sheet1!N65</f>
        <v>0</v>
      </c>
      <c r="AR100" s="181"/>
    </row>
    <row r="101" spans="1:44" s="104" customFormat="1" ht="13" customHeight="1" x14ac:dyDescent="0.2">
      <c r="A101" s="30">
        <v>94</v>
      </c>
      <c r="B101" s="17"/>
      <c r="C101" s="120" t="s">
        <v>498</v>
      </c>
      <c r="D101" s="28">
        <v>504.30110000000002</v>
      </c>
      <c r="E101" s="29">
        <v>2012</v>
      </c>
      <c r="F101" s="183" t="s">
        <v>331</v>
      </c>
      <c r="G101" s="183" t="s">
        <v>358</v>
      </c>
      <c r="H101" s="14">
        <v>0</v>
      </c>
      <c r="I101" s="9">
        <v>0</v>
      </c>
      <c r="J101" s="9">
        <v>0</v>
      </c>
      <c r="K101" s="9">
        <v>0</v>
      </c>
      <c r="L101" s="8">
        <v>0</v>
      </c>
      <c r="M101" s="8">
        <v>0</v>
      </c>
      <c r="N101" s="8">
        <v>0</v>
      </c>
      <c r="O101" s="15">
        <v>0</v>
      </c>
      <c r="P101" s="10">
        <v>0</v>
      </c>
      <c r="Q101" s="10">
        <v>0</v>
      </c>
      <c r="R101" s="218">
        <v>0</v>
      </c>
      <c r="S101" s="10">
        <v>0</v>
      </c>
      <c r="T101" s="10">
        <v>0</v>
      </c>
      <c r="U101" s="10">
        <v>0</v>
      </c>
      <c r="V101" s="10">
        <v>0</v>
      </c>
      <c r="W101" s="15">
        <v>0</v>
      </c>
      <c r="X101" s="15">
        <v>0</v>
      </c>
      <c r="Y101" s="15">
        <v>0</v>
      </c>
      <c r="Z101" s="10">
        <v>0</v>
      </c>
      <c r="AA101" s="9">
        <v>0</v>
      </c>
      <c r="AB101" s="237">
        <f t="shared" si="6"/>
        <v>0</v>
      </c>
      <c r="AC101" s="265">
        <v>0</v>
      </c>
      <c r="AD101" s="16">
        <v>0</v>
      </c>
      <c r="AE101" s="13" t="s">
        <v>78</v>
      </c>
      <c r="AF101" s="255">
        <v>0</v>
      </c>
      <c r="AG101" s="48">
        <v>0</v>
      </c>
      <c r="AH101" s="48">
        <v>0</v>
      </c>
      <c r="AI101" s="48">
        <v>0</v>
      </c>
      <c r="AJ101" s="12">
        <v>0</v>
      </c>
      <c r="AK101" s="12">
        <v>249</v>
      </c>
      <c r="AL101" s="253">
        <f t="shared" si="7"/>
        <v>249</v>
      </c>
      <c r="AM101" s="16">
        <v>0</v>
      </c>
      <c r="AN101" s="13" t="s">
        <v>78</v>
      </c>
      <c r="AO101" s="9">
        <v>0</v>
      </c>
      <c r="AP101" s="14">
        <v>0</v>
      </c>
      <c r="AQ101" s="7">
        <v>0</v>
      </c>
      <c r="AR101" s="116"/>
    </row>
    <row r="102" spans="1:44" s="104" customFormat="1" ht="13" customHeight="1" x14ac:dyDescent="0.2">
      <c r="A102" s="30">
        <v>95</v>
      </c>
      <c r="B102" s="17"/>
      <c r="C102" s="120" t="s">
        <v>499</v>
      </c>
      <c r="D102" s="28">
        <v>504.30110000000002</v>
      </c>
      <c r="E102" s="29">
        <v>2012</v>
      </c>
      <c r="F102" s="183" t="s">
        <v>331</v>
      </c>
      <c r="G102" s="183" t="s">
        <v>358</v>
      </c>
      <c r="H102" s="14">
        <v>0</v>
      </c>
      <c r="I102" s="9">
        <v>0</v>
      </c>
      <c r="J102" s="9">
        <v>0</v>
      </c>
      <c r="K102" s="9">
        <v>0</v>
      </c>
      <c r="L102" s="8">
        <v>0</v>
      </c>
      <c r="M102" s="8">
        <v>0</v>
      </c>
      <c r="N102" s="8">
        <v>0</v>
      </c>
      <c r="O102" s="15">
        <v>0</v>
      </c>
      <c r="P102" s="10">
        <v>0</v>
      </c>
      <c r="Q102" s="10">
        <v>0</v>
      </c>
      <c r="R102" s="218">
        <v>0</v>
      </c>
      <c r="S102" s="10">
        <v>0</v>
      </c>
      <c r="T102" s="10">
        <v>0</v>
      </c>
      <c r="U102" s="10">
        <v>0</v>
      </c>
      <c r="V102" s="10">
        <v>0</v>
      </c>
      <c r="W102" s="15">
        <v>0</v>
      </c>
      <c r="X102" s="15">
        <v>0</v>
      </c>
      <c r="Y102" s="15">
        <v>0</v>
      </c>
      <c r="Z102" s="10">
        <v>0</v>
      </c>
      <c r="AA102" s="9">
        <v>0</v>
      </c>
      <c r="AB102" s="237">
        <f t="shared" si="6"/>
        <v>0</v>
      </c>
      <c r="AC102" s="265">
        <v>0</v>
      </c>
      <c r="AD102" s="16">
        <v>0</v>
      </c>
      <c r="AE102" s="13" t="s">
        <v>78</v>
      </c>
      <c r="AF102" s="255">
        <v>0</v>
      </c>
      <c r="AG102" s="48">
        <v>0</v>
      </c>
      <c r="AH102" s="48">
        <v>0</v>
      </c>
      <c r="AI102" s="48">
        <v>0</v>
      </c>
      <c r="AJ102" s="12">
        <v>0</v>
      </c>
      <c r="AK102" s="12">
        <v>419</v>
      </c>
      <c r="AL102" s="253">
        <f t="shared" si="7"/>
        <v>419</v>
      </c>
      <c r="AM102" s="16">
        <v>0</v>
      </c>
      <c r="AN102" s="13" t="s">
        <v>78</v>
      </c>
      <c r="AO102" s="9">
        <v>0</v>
      </c>
      <c r="AP102" s="14">
        <v>0</v>
      </c>
      <c r="AQ102" s="7">
        <v>0</v>
      </c>
      <c r="AR102" s="116"/>
    </row>
    <row r="103" spans="1:44" s="104" customFormat="1" ht="13" customHeight="1" x14ac:dyDescent="0.2">
      <c r="A103" s="30">
        <v>96</v>
      </c>
      <c r="B103" s="17"/>
      <c r="C103" s="120" t="s">
        <v>500</v>
      </c>
      <c r="D103" s="28">
        <v>504.30110000000002</v>
      </c>
      <c r="E103" s="29">
        <v>2012</v>
      </c>
      <c r="F103" s="183" t="s">
        <v>331</v>
      </c>
      <c r="G103" s="183" t="s">
        <v>358</v>
      </c>
      <c r="H103" s="14">
        <v>0</v>
      </c>
      <c r="I103" s="9">
        <v>0</v>
      </c>
      <c r="J103" s="9">
        <v>0</v>
      </c>
      <c r="K103" s="9">
        <v>0</v>
      </c>
      <c r="L103" s="8">
        <v>0</v>
      </c>
      <c r="M103" s="8">
        <v>0</v>
      </c>
      <c r="N103" s="8">
        <v>0</v>
      </c>
      <c r="O103" s="15">
        <v>0</v>
      </c>
      <c r="P103" s="10">
        <v>0</v>
      </c>
      <c r="Q103" s="10">
        <v>0</v>
      </c>
      <c r="R103" s="218">
        <v>0</v>
      </c>
      <c r="S103" s="10">
        <v>0</v>
      </c>
      <c r="T103" s="10">
        <v>0</v>
      </c>
      <c r="U103" s="10">
        <v>0</v>
      </c>
      <c r="V103" s="10">
        <v>0</v>
      </c>
      <c r="W103" s="15">
        <v>0</v>
      </c>
      <c r="X103" s="15">
        <v>0</v>
      </c>
      <c r="Y103" s="15">
        <v>0</v>
      </c>
      <c r="Z103" s="10">
        <v>0</v>
      </c>
      <c r="AA103" s="9">
        <v>0</v>
      </c>
      <c r="AB103" s="237">
        <f t="shared" si="6"/>
        <v>0</v>
      </c>
      <c r="AC103" s="265">
        <v>0</v>
      </c>
      <c r="AD103" s="16">
        <v>0</v>
      </c>
      <c r="AE103" s="13" t="s">
        <v>78</v>
      </c>
      <c r="AF103" s="255">
        <v>0</v>
      </c>
      <c r="AG103" s="48">
        <v>0</v>
      </c>
      <c r="AH103" s="48">
        <v>0</v>
      </c>
      <c r="AI103" s="48">
        <v>0</v>
      </c>
      <c r="AJ103" s="12">
        <v>0</v>
      </c>
      <c r="AK103" s="12">
        <v>22</v>
      </c>
      <c r="AL103" s="253">
        <f t="shared" si="7"/>
        <v>22</v>
      </c>
      <c r="AM103" s="16">
        <v>0</v>
      </c>
      <c r="AN103" s="13" t="s">
        <v>78</v>
      </c>
      <c r="AO103" s="9">
        <v>0</v>
      </c>
      <c r="AP103" s="14">
        <v>0</v>
      </c>
      <c r="AQ103" s="7">
        <v>0</v>
      </c>
      <c r="AR103" s="116"/>
    </row>
    <row r="104" spans="1:44" s="103" customFormat="1" ht="13" customHeight="1" x14ac:dyDescent="0.2">
      <c r="A104" s="30">
        <v>97</v>
      </c>
      <c r="B104" s="17"/>
      <c r="C104" s="120" t="s">
        <v>501</v>
      </c>
      <c r="D104" s="28">
        <v>504.30110000000002</v>
      </c>
      <c r="E104" s="29">
        <v>2012</v>
      </c>
      <c r="F104" s="183" t="s">
        <v>331</v>
      </c>
      <c r="G104" s="183" t="s">
        <v>358</v>
      </c>
      <c r="H104" s="14">
        <v>0</v>
      </c>
      <c r="I104" s="9">
        <v>0</v>
      </c>
      <c r="J104" s="9">
        <v>0</v>
      </c>
      <c r="K104" s="9">
        <v>0</v>
      </c>
      <c r="L104" s="8">
        <v>0</v>
      </c>
      <c r="M104" s="8">
        <v>0</v>
      </c>
      <c r="N104" s="8">
        <v>0</v>
      </c>
      <c r="O104" s="15">
        <v>0</v>
      </c>
      <c r="P104" s="10">
        <v>0</v>
      </c>
      <c r="Q104" s="10">
        <v>0</v>
      </c>
      <c r="R104" s="218">
        <v>0</v>
      </c>
      <c r="S104" s="10">
        <v>0</v>
      </c>
      <c r="T104" s="10">
        <v>0</v>
      </c>
      <c r="U104" s="10">
        <v>0</v>
      </c>
      <c r="V104" s="10">
        <v>0</v>
      </c>
      <c r="W104" s="15">
        <v>0</v>
      </c>
      <c r="X104" s="15">
        <v>0</v>
      </c>
      <c r="Y104" s="15">
        <v>0</v>
      </c>
      <c r="Z104" s="10">
        <v>0</v>
      </c>
      <c r="AA104" s="9">
        <v>0</v>
      </c>
      <c r="AB104" s="237">
        <f t="shared" si="6"/>
        <v>0</v>
      </c>
      <c r="AC104" s="265">
        <v>0</v>
      </c>
      <c r="AD104" s="16">
        <v>0</v>
      </c>
      <c r="AE104" s="13" t="s">
        <v>78</v>
      </c>
      <c r="AF104" s="255">
        <v>0</v>
      </c>
      <c r="AG104" s="48">
        <v>0</v>
      </c>
      <c r="AH104" s="48">
        <v>0</v>
      </c>
      <c r="AI104" s="48">
        <v>0</v>
      </c>
      <c r="AJ104" s="12">
        <v>0</v>
      </c>
      <c r="AK104" s="12">
        <v>333</v>
      </c>
      <c r="AL104" s="253">
        <f t="shared" si="7"/>
        <v>333</v>
      </c>
      <c r="AM104" s="16">
        <v>0</v>
      </c>
      <c r="AN104" s="13" t="s">
        <v>78</v>
      </c>
      <c r="AO104" s="9">
        <v>0</v>
      </c>
      <c r="AP104" s="14">
        <v>0</v>
      </c>
      <c r="AQ104" s="7">
        <v>0</v>
      </c>
      <c r="AR104" s="181"/>
    </row>
    <row r="105" spans="1:44" s="103" customFormat="1" ht="13" customHeight="1" x14ac:dyDescent="0.2">
      <c r="A105" s="30">
        <v>98</v>
      </c>
      <c r="B105" s="17"/>
      <c r="C105" s="120" t="s">
        <v>502</v>
      </c>
      <c r="D105" s="28">
        <v>504.30110000000002</v>
      </c>
      <c r="E105" s="29">
        <v>2012</v>
      </c>
      <c r="F105" s="183" t="s">
        <v>331</v>
      </c>
      <c r="G105" s="183" t="s">
        <v>358</v>
      </c>
      <c r="H105" s="14">
        <v>0</v>
      </c>
      <c r="I105" s="9">
        <v>0</v>
      </c>
      <c r="J105" s="9">
        <v>0</v>
      </c>
      <c r="K105" s="9">
        <v>0</v>
      </c>
      <c r="L105" s="8">
        <v>0</v>
      </c>
      <c r="M105" s="8">
        <v>0</v>
      </c>
      <c r="N105" s="8">
        <v>0</v>
      </c>
      <c r="O105" s="15">
        <v>0</v>
      </c>
      <c r="P105" s="10">
        <v>0</v>
      </c>
      <c r="Q105" s="10">
        <v>0</v>
      </c>
      <c r="R105" s="218">
        <v>0</v>
      </c>
      <c r="S105" s="10">
        <v>0</v>
      </c>
      <c r="T105" s="10">
        <v>0</v>
      </c>
      <c r="U105" s="10">
        <v>0</v>
      </c>
      <c r="V105" s="10">
        <v>0</v>
      </c>
      <c r="W105" s="15">
        <v>0</v>
      </c>
      <c r="X105" s="15">
        <v>0</v>
      </c>
      <c r="Y105" s="15">
        <v>0</v>
      </c>
      <c r="Z105" s="10">
        <v>0</v>
      </c>
      <c r="AA105" s="9">
        <v>0</v>
      </c>
      <c r="AB105" s="237">
        <f t="shared" si="6"/>
        <v>0</v>
      </c>
      <c r="AC105" s="265">
        <v>0</v>
      </c>
      <c r="AD105" s="16">
        <v>0</v>
      </c>
      <c r="AE105" s="13" t="s">
        <v>78</v>
      </c>
      <c r="AF105" s="255">
        <v>0</v>
      </c>
      <c r="AG105" s="48">
        <v>0</v>
      </c>
      <c r="AH105" s="48">
        <v>0</v>
      </c>
      <c r="AI105" s="48">
        <v>0</v>
      </c>
      <c r="AJ105" s="12">
        <v>0</v>
      </c>
      <c r="AK105" s="12">
        <v>281</v>
      </c>
      <c r="AL105" s="253">
        <f t="shared" si="7"/>
        <v>281</v>
      </c>
      <c r="AM105" s="16">
        <v>0</v>
      </c>
      <c r="AN105" s="13" t="s">
        <v>78</v>
      </c>
      <c r="AO105" s="9">
        <v>0</v>
      </c>
      <c r="AP105" s="14">
        <v>0</v>
      </c>
      <c r="AQ105" s="7">
        <v>0</v>
      </c>
      <c r="AR105" s="181"/>
    </row>
    <row r="106" spans="1:44" s="104" customFormat="1" ht="13" customHeight="1" x14ac:dyDescent="0.2">
      <c r="A106" s="30">
        <v>99</v>
      </c>
      <c r="B106" s="17">
        <v>6</v>
      </c>
      <c r="C106" s="120" t="s">
        <v>118</v>
      </c>
      <c r="D106" s="17" t="s">
        <v>288</v>
      </c>
      <c r="E106" s="29">
        <v>1985</v>
      </c>
      <c r="F106" s="183" t="s">
        <v>331</v>
      </c>
      <c r="G106" s="183" t="s">
        <v>358</v>
      </c>
      <c r="H106" s="7">
        <v>5395.24</v>
      </c>
      <c r="I106" s="7">
        <v>5846</v>
      </c>
      <c r="J106" s="7">
        <v>3333.16</v>
      </c>
      <c r="K106" s="14">
        <v>5296.67</v>
      </c>
      <c r="L106" s="7">
        <v>8566</v>
      </c>
      <c r="M106" s="7">
        <v>9696</v>
      </c>
      <c r="N106" s="7">
        <v>9557</v>
      </c>
      <c r="O106" s="15">
        <v>10217</v>
      </c>
      <c r="P106" s="7">
        <v>9741.1200000000008</v>
      </c>
      <c r="Q106" s="14">
        <v>9048</v>
      </c>
      <c r="R106" s="229">
        <v>76696.19</v>
      </c>
      <c r="S106" s="8">
        <v>9543</v>
      </c>
      <c r="T106" s="8">
        <v>10183</v>
      </c>
      <c r="U106" s="8">
        <v>10835</v>
      </c>
      <c r="V106" s="8">
        <v>12399</v>
      </c>
      <c r="W106" s="7">
        <v>9661</v>
      </c>
      <c r="X106" s="8">
        <v>9457.93</v>
      </c>
      <c r="Y106" s="7">
        <v>9402</v>
      </c>
      <c r="Z106" s="9">
        <v>9661</v>
      </c>
      <c r="AA106" s="164">
        <v>9439</v>
      </c>
      <c r="AB106" s="237">
        <f t="shared" si="6"/>
        <v>167277.12</v>
      </c>
      <c r="AC106" s="265">
        <v>1917.4047500000001</v>
      </c>
      <c r="AD106" s="16">
        <v>40</v>
      </c>
      <c r="AE106" s="13" t="s">
        <v>90</v>
      </c>
      <c r="AF106" s="255">
        <v>2991.4047500000001</v>
      </c>
      <c r="AG106" s="48">
        <v>87</v>
      </c>
      <c r="AH106" s="12">
        <v>96</v>
      </c>
      <c r="AI106" s="48">
        <v>91</v>
      </c>
      <c r="AJ106" s="12">
        <v>97</v>
      </c>
      <c r="AK106" s="12">
        <v>91</v>
      </c>
      <c r="AL106" s="253">
        <f t="shared" si="7"/>
        <v>3453.4047500000001</v>
      </c>
      <c r="AM106" s="11">
        <v>40</v>
      </c>
      <c r="AN106" s="13" t="s">
        <v>90</v>
      </c>
      <c r="AO106" s="9">
        <f>SUM(AB106)</f>
        <v>167277.12</v>
      </c>
      <c r="AP106" s="14">
        <v>0</v>
      </c>
      <c r="AQ106" s="7">
        <f>[1]Sheet1!N66</f>
        <v>0</v>
      </c>
      <c r="AR106" s="116"/>
    </row>
    <row r="107" spans="1:44" s="103" customFormat="1" ht="13" customHeight="1" x14ac:dyDescent="0.2">
      <c r="A107" s="30">
        <v>100</v>
      </c>
      <c r="B107" s="17">
        <v>178</v>
      </c>
      <c r="C107" s="120" t="s">
        <v>103</v>
      </c>
      <c r="D107" s="17" t="s">
        <v>263</v>
      </c>
      <c r="E107" s="13" t="s">
        <v>88</v>
      </c>
      <c r="F107" s="183" t="s">
        <v>398</v>
      </c>
      <c r="G107" s="183" t="s">
        <v>334</v>
      </c>
      <c r="H107" s="7">
        <v>0</v>
      </c>
      <c r="I107" s="7">
        <v>0</v>
      </c>
      <c r="J107" s="7">
        <v>0</v>
      </c>
      <c r="K107" s="14">
        <v>0</v>
      </c>
      <c r="L107" s="7">
        <v>0</v>
      </c>
      <c r="M107" s="7">
        <v>0</v>
      </c>
      <c r="N107" s="7">
        <v>175550</v>
      </c>
      <c r="O107" s="15">
        <v>294700</v>
      </c>
      <c r="P107" s="15">
        <v>337350</v>
      </c>
      <c r="Q107" s="15">
        <v>361855</v>
      </c>
      <c r="R107" s="229">
        <v>1169455</v>
      </c>
      <c r="S107" s="10">
        <v>427875</v>
      </c>
      <c r="T107" s="10">
        <v>411300</v>
      </c>
      <c r="U107" s="10">
        <v>357900</v>
      </c>
      <c r="V107" s="10">
        <v>371760</v>
      </c>
      <c r="W107" s="15">
        <v>344098</v>
      </c>
      <c r="X107" s="8">
        <f>SUM(797.83+376847.5)</f>
        <v>377645.33</v>
      </c>
      <c r="Y107" s="15">
        <v>388279</v>
      </c>
      <c r="Z107" s="9">
        <v>374727.5</v>
      </c>
      <c r="AA107" s="9">
        <v>358207.5</v>
      </c>
      <c r="AB107" s="237">
        <f t="shared" si="6"/>
        <v>4581247.33</v>
      </c>
      <c r="AC107" s="265">
        <v>46778.2</v>
      </c>
      <c r="AD107" s="16">
        <v>25</v>
      </c>
      <c r="AE107" s="13" t="s">
        <v>188</v>
      </c>
      <c r="AF107" s="255">
        <v>99072.7</v>
      </c>
      <c r="AG107" s="48">
        <v>11255</v>
      </c>
      <c r="AH107" s="12">
        <v>12245</v>
      </c>
      <c r="AI107" s="48">
        <v>12245</v>
      </c>
      <c r="AJ107" s="12">
        <v>12141</v>
      </c>
      <c r="AK107" s="12">
        <v>11475</v>
      </c>
      <c r="AL107" s="253">
        <f t="shared" si="7"/>
        <v>158433.70000000001</v>
      </c>
      <c r="AM107" s="16">
        <v>30</v>
      </c>
      <c r="AN107" s="13" t="s">
        <v>198</v>
      </c>
      <c r="AO107" s="9">
        <f>SUM(1048192+95525)</f>
        <v>1143717</v>
      </c>
      <c r="AP107" s="14">
        <v>0</v>
      </c>
      <c r="AQ107" s="7">
        <f>SUM(3174848+262682)</f>
        <v>3437530</v>
      </c>
      <c r="AR107" s="181"/>
    </row>
    <row r="108" spans="1:44" s="104" customFormat="1" ht="36" customHeight="1" x14ac:dyDescent="0.2">
      <c r="A108" s="4">
        <v>101</v>
      </c>
      <c r="B108" s="17">
        <v>252</v>
      </c>
      <c r="C108" s="120" t="s">
        <v>314</v>
      </c>
      <c r="D108" s="28" t="s">
        <v>243</v>
      </c>
      <c r="E108" s="13" t="s">
        <v>221</v>
      </c>
      <c r="F108" s="114" t="s">
        <v>349</v>
      </c>
      <c r="G108" s="183" t="s">
        <v>421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226">
        <v>0</v>
      </c>
      <c r="S108" s="7">
        <v>0</v>
      </c>
      <c r="T108" s="7">
        <v>0</v>
      </c>
      <c r="U108" s="7">
        <v>0</v>
      </c>
      <c r="V108" s="10">
        <v>13470</v>
      </c>
      <c r="W108" s="15">
        <v>21100</v>
      </c>
      <c r="X108" s="10">
        <v>24797.5</v>
      </c>
      <c r="Y108" s="15">
        <v>23095</v>
      </c>
      <c r="Z108" s="9">
        <v>19097.5</v>
      </c>
      <c r="AA108" s="9">
        <v>15467.5</v>
      </c>
      <c r="AB108" s="237">
        <f t="shared" si="6"/>
        <v>117027.5</v>
      </c>
      <c r="AC108" s="265">
        <v>0</v>
      </c>
      <c r="AD108" s="16" t="s">
        <v>78</v>
      </c>
      <c r="AE108" s="16" t="s">
        <v>78</v>
      </c>
      <c r="AF108" s="255">
        <v>449</v>
      </c>
      <c r="AG108" s="48">
        <v>673</v>
      </c>
      <c r="AH108" s="189">
        <v>797</v>
      </c>
      <c r="AI108" s="48">
        <v>797</v>
      </c>
      <c r="AJ108" s="12">
        <v>608</v>
      </c>
      <c r="AK108" s="12">
        <v>462</v>
      </c>
      <c r="AL108" s="253">
        <f t="shared" si="7"/>
        <v>3786</v>
      </c>
      <c r="AM108" s="11">
        <v>30</v>
      </c>
      <c r="AN108" s="13" t="s">
        <v>198</v>
      </c>
      <c r="AO108" s="9">
        <f>SUM(27083+4125)</f>
        <v>31208</v>
      </c>
      <c r="AP108" s="14">
        <v>0</v>
      </c>
      <c r="AQ108" s="7">
        <f>SUM(74477+11343)</f>
        <v>85820</v>
      </c>
      <c r="AR108" s="116"/>
    </row>
    <row r="109" spans="1:44" s="115" customFormat="1" ht="24.5" x14ac:dyDescent="0.2">
      <c r="A109" s="4">
        <v>102</v>
      </c>
      <c r="B109" s="17">
        <v>125</v>
      </c>
      <c r="C109" s="127" t="s">
        <v>26</v>
      </c>
      <c r="D109" s="44" t="s">
        <v>249</v>
      </c>
      <c r="E109" s="29">
        <v>1992</v>
      </c>
      <c r="F109" s="182" t="s">
        <v>325</v>
      </c>
      <c r="G109" s="182" t="s">
        <v>326</v>
      </c>
      <c r="H109" s="7">
        <v>960</v>
      </c>
      <c r="I109" s="7">
        <v>1140</v>
      </c>
      <c r="J109" s="7">
        <v>840</v>
      </c>
      <c r="K109" s="14">
        <v>900</v>
      </c>
      <c r="L109" s="7">
        <v>930</v>
      </c>
      <c r="M109" s="7">
        <v>1200</v>
      </c>
      <c r="N109" s="7">
        <v>930</v>
      </c>
      <c r="O109" s="15">
        <v>660</v>
      </c>
      <c r="P109" s="7">
        <v>600</v>
      </c>
      <c r="Q109" s="9">
        <v>570</v>
      </c>
      <c r="R109" s="218">
        <v>8730</v>
      </c>
      <c r="S109" s="8">
        <v>540</v>
      </c>
      <c r="T109" s="8">
        <v>510</v>
      </c>
      <c r="U109" s="8">
        <v>390</v>
      </c>
      <c r="V109" s="8">
        <v>210</v>
      </c>
      <c r="W109" s="7">
        <v>143</v>
      </c>
      <c r="X109" s="8">
        <v>60</v>
      </c>
      <c r="Y109" s="7">
        <v>60</v>
      </c>
      <c r="Z109" s="9">
        <v>60</v>
      </c>
      <c r="AA109" s="9">
        <v>0</v>
      </c>
      <c r="AB109" s="237">
        <f t="shared" si="6"/>
        <v>10703</v>
      </c>
      <c r="AC109" s="265">
        <v>291</v>
      </c>
      <c r="AD109" s="16">
        <v>30</v>
      </c>
      <c r="AE109" s="13" t="s">
        <v>186</v>
      </c>
      <c r="AF109" s="255">
        <v>346</v>
      </c>
      <c r="AG109" s="48">
        <v>5</v>
      </c>
      <c r="AH109" s="12">
        <v>2</v>
      </c>
      <c r="AI109" s="48">
        <v>2</v>
      </c>
      <c r="AJ109" s="12">
        <v>2</v>
      </c>
      <c r="AK109" s="12">
        <v>0</v>
      </c>
      <c r="AL109" s="253">
        <f t="shared" si="7"/>
        <v>357</v>
      </c>
      <c r="AM109" s="11">
        <v>30</v>
      </c>
      <c r="AN109" s="13" t="s">
        <v>198</v>
      </c>
      <c r="AO109" s="9">
        <f>[1]Sheet1!I69+16</f>
        <v>1981</v>
      </c>
      <c r="AP109" s="14">
        <v>0</v>
      </c>
      <c r="AQ109" s="7">
        <f>[1]Sheet1!N69+44</f>
        <v>8722</v>
      </c>
      <c r="AR109" s="116"/>
    </row>
    <row r="110" spans="1:44" s="103" customFormat="1" ht="31" customHeight="1" x14ac:dyDescent="0.2">
      <c r="A110" s="4">
        <v>103</v>
      </c>
      <c r="B110" s="17">
        <v>198</v>
      </c>
      <c r="C110" s="120" t="s">
        <v>6</v>
      </c>
      <c r="D110" s="28" t="s">
        <v>277</v>
      </c>
      <c r="E110" s="29">
        <v>1997</v>
      </c>
      <c r="F110" s="182" t="s">
        <v>325</v>
      </c>
      <c r="G110" s="182" t="s">
        <v>423</v>
      </c>
      <c r="H110" s="7">
        <v>0</v>
      </c>
      <c r="I110" s="7">
        <v>0</v>
      </c>
      <c r="J110" s="7">
        <v>0</v>
      </c>
      <c r="K110" s="14">
        <v>0</v>
      </c>
      <c r="L110" s="7">
        <v>3930</v>
      </c>
      <c r="M110" s="7">
        <v>8940</v>
      </c>
      <c r="N110" s="7">
        <v>9690</v>
      </c>
      <c r="O110" s="15">
        <v>9030</v>
      </c>
      <c r="P110" s="7">
        <v>9480</v>
      </c>
      <c r="Q110" s="14">
        <v>8820</v>
      </c>
      <c r="R110" s="229">
        <v>49890</v>
      </c>
      <c r="S110" s="7">
        <v>8790</v>
      </c>
      <c r="T110" s="7">
        <v>7650</v>
      </c>
      <c r="U110" s="8">
        <v>6700</v>
      </c>
      <c r="V110" s="8">
        <v>7290</v>
      </c>
      <c r="W110" s="7">
        <v>7820</v>
      </c>
      <c r="X110" s="8">
        <v>8952.5</v>
      </c>
      <c r="Y110" s="33">
        <v>10290</v>
      </c>
      <c r="Z110" s="9">
        <v>9995</v>
      </c>
      <c r="AA110" s="9">
        <v>10520</v>
      </c>
      <c r="AB110" s="237">
        <f t="shared" si="6"/>
        <v>127897.5</v>
      </c>
      <c r="AC110" s="265">
        <v>1663</v>
      </c>
      <c r="AD110" s="16">
        <v>30</v>
      </c>
      <c r="AE110" s="13" t="s">
        <v>186</v>
      </c>
      <c r="AF110" s="255">
        <v>2677.3333333333335</v>
      </c>
      <c r="AG110" s="48">
        <v>267</v>
      </c>
      <c r="AH110" s="12">
        <v>291</v>
      </c>
      <c r="AI110" s="48">
        <v>327</v>
      </c>
      <c r="AJ110" s="12">
        <v>331</v>
      </c>
      <c r="AK110" s="12">
        <v>321</v>
      </c>
      <c r="AL110" s="253">
        <f t="shared" si="7"/>
        <v>4214.3333333333339</v>
      </c>
      <c r="AM110" s="11">
        <v>30</v>
      </c>
      <c r="AN110" s="13" t="s">
        <v>198</v>
      </c>
      <c r="AO110" s="9">
        <f>SUM(26313+2806)</f>
        <v>29119</v>
      </c>
      <c r="AP110" s="14">
        <v>0</v>
      </c>
      <c r="AQ110" s="7">
        <f>SUM(91065+7714)</f>
        <v>98779</v>
      </c>
      <c r="AR110" s="181"/>
    </row>
    <row r="111" spans="1:44" s="104" customFormat="1" ht="36.75" x14ac:dyDescent="0.2">
      <c r="A111" s="4">
        <v>104</v>
      </c>
      <c r="B111" s="17">
        <v>257</v>
      </c>
      <c r="C111" s="120" t="s">
        <v>317</v>
      </c>
      <c r="D111" s="28" t="s">
        <v>243</v>
      </c>
      <c r="E111" s="29">
        <v>2008</v>
      </c>
      <c r="F111" s="114" t="s">
        <v>349</v>
      </c>
      <c r="G111" s="182" t="s">
        <v>422</v>
      </c>
      <c r="H111" s="7">
        <v>0</v>
      </c>
      <c r="I111" s="7">
        <v>0</v>
      </c>
      <c r="J111" s="7">
        <v>0</v>
      </c>
      <c r="K111" s="14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8">
        <v>0</v>
      </c>
      <c r="R111" s="218">
        <v>0</v>
      </c>
      <c r="S111" s="8">
        <v>0</v>
      </c>
      <c r="T111" s="8">
        <v>0</v>
      </c>
      <c r="U111" s="8">
        <v>0</v>
      </c>
      <c r="V111" s="10">
        <v>0</v>
      </c>
      <c r="W111" s="7">
        <v>150</v>
      </c>
      <c r="X111" s="8">
        <v>4327.5</v>
      </c>
      <c r="Y111" s="7">
        <v>4165</v>
      </c>
      <c r="Z111" s="9">
        <v>3277.5</v>
      </c>
      <c r="AA111" s="9">
        <v>3315</v>
      </c>
      <c r="AB111" s="237">
        <f t="shared" si="6"/>
        <v>15235</v>
      </c>
      <c r="AC111" s="265">
        <v>0</v>
      </c>
      <c r="AD111" s="16" t="s">
        <v>78</v>
      </c>
      <c r="AE111" s="13" t="s">
        <v>78</v>
      </c>
      <c r="AF111" s="255">
        <v>0</v>
      </c>
      <c r="AG111" s="48">
        <v>5</v>
      </c>
      <c r="AH111" s="12">
        <v>37</v>
      </c>
      <c r="AI111" s="48">
        <v>141</v>
      </c>
      <c r="AJ111" s="12">
        <v>119</v>
      </c>
      <c r="AK111" s="12">
        <v>101</v>
      </c>
      <c r="AL111" s="253">
        <f t="shared" si="7"/>
        <v>403</v>
      </c>
      <c r="AM111" s="16">
        <v>30</v>
      </c>
      <c r="AN111" s="13" t="s">
        <v>198</v>
      </c>
      <c r="AO111" s="9">
        <f>SUM(2608+884)</f>
        <v>3492</v>
      </c>
      <c r="AP111" s="14">
        <v>0</v>
      </c>
      <c r="AQ111" s="7">
        <f>SUM(9312+2431)</f>
        <v>11743</v>
      </c>
      <c r="AR111" s="116"/>
    </row>
    <row r="112" spans="1:44" s="103" customFormat="1" ht="38.9" customHeight="1" x14ac:dyDescent="0.2">
      <c r="A112" s="4">
        <v>105</v>
      </c>
      <c r="B112" s="17">
        <v>162</v>
      </c>
      <c r="C112" s="120" t="s">
        <v>100</v>
      </c>
      <c r="D112" s="28" t="s">
        <v>243</v>
      </c>
      <c r="E112" s="29">
        <v>2001</v>
      </c>
      <c r="F112" s="114" t="s">
        <v>349</v>
      </c>
      <c r="G112" s="182" t="s">
        <v>350</v>
      </c>
      <c r="H112" s="7">
        <v>0</v>
      </c>
      <c r="I112" s="7">
        <v>0</v>
      </c>
      <c r="J112" s="7">
        <v>0</v>
      </c>
      <c r="K112" s="14">
        <v>0</v>
      </c>
      <c r="L112" s="7">
        <v>0</v>
      </c>
      <c r="M112" s="7">
        <v>0</v>
      </c>
      <c r="N112" s="7">
        <v>0</v>
      </c>
      <c r="O112" s="15">
        <v>0</v>
      </c>
      <c r="P112" s="7">
        <v>7280</v>
      </c>
      <c r="Q112" s="9">
        <v>82140</v>
      </c>
      <c r="R112" s="218">
        <v>89420</v>
      </c>
      <c r="S112" s="8">
        <v>74295</v>
      </c>
      <c r="T112" s="8">
        <v>67500</v>
      </c>
      <c r="U112" s="8">
        <v>52950</v>
      </c>
      <c r="V112" s="8">
        <v>47760</v>
      </c>
      <c r="W112" s="7">
        <v>46715</v>
      </c>
      <c r="X112" s="8">
        <f>SUM(120+50345)</f>
        <v>50465</v>
      </c>
      <c r="Y112" s="7">
        <v>51971</v>
      </c>
      <c r="Z112" s="9">
        <v>48510</v>
      </c>
      <c r="AA112" s="9">
        <v>51547.5</v>
      </c>
      <c r="AB112" s="237">
        <f t="shared" si="6"/>
        <v>581133.5</v>
      </c>
      <c r="AC112" s="265">
        <v>2554.8571428571427</v>
      </c>
      <c r="AD112" s="16">
        <v>35</v>
      </c>
      <c r="AE112" s="13" t="s">
        <v>194</v>
      </c>
      <c r="AF112" s="255">
        <v>10638.357142857143</v>
      </c>
      <c r="AG112" s="48">
        <v>1667</v>
      </c>
      <c r="AH112" s="12">
        <v>1624</v>
      </c>
      <c r="AI112" s="48">
        <v>1624</v>
      </c>
      <c r="AJ112" s="12">
        <v>1514</v>
      </c>
      <c r="AK112" s="12">
        <v>1617</v>
      </c>
      <c r="AL112" s="253">
        <f t="shared" si="7"/>
        <v>18684.357142857145</v>
      </c>
      <c r="AM112" s="11">
        <v>30</v>
      </c>
      <c r="AN112" s="13" t="s">
        <v>198</v>
      </c>
      <c r="AO112" s="9">
        <f>SUM(142929+13747)</f>
        <v>156676</v>
      </c>
      <c r="AP112" s="14">
        <v>0</v>
      </c>
      <c r="AQ112" s="7">
        <f>SUM(386657+37801)</f>
        <v>424458</v>
      </c>
      <c r="AR112" s="181"/>
    </row>
    <row r="113" spans="1:44" s="104" customFormat="1" ht="25.05" customHeight="1" x14ac:dyDescent="0.2">
      <c r="A113" s="4">
        <v>106</v>
      </c>
      <c r="B113" s="17">
        <v>132</v>
      </c>
      <c r="C113" s="120" t="s">
        <v>27</v>
      </c>
      <c r="D113" s="44" t="s">
        <v>249</v>
      </c>
      <c r="E113" s="29">
        <v>1996</v>
      </c>
      <c r="F113" s="182" t="s">
        <v>325</v>
      </c>
      <c r="G113" s="183" t="s">
        <v>326</v>
      </c>
      <c r="H113" s="7">
        <v>0</v>
      </c>
      <c r="I113" s="7">
        <v>240</v>
      </c>
      <c r="J113" s="7">
        <v>540</v>
      </c>
      <c r="K113" s="14">
        <v>660</v>
      </c>
      <c r="L113" s="7">
        <v>630</v>
      </c>
      <c r="M113" s="7">
        <v>690</v>
      </c>
      <c r="N113" s="7">
        <v>900</v>
      </c>
      <c r="O113" s="15">
        <v>900</v>
      </c>
      <c r="P113" s="15">
        <v>780</v>
      </c>
      <c r="Q113" s="10">
        <v>660</v>
      </c>
      <c r="R113" s="218">
        <v>6000</v>
      </c>
      <c r="S113" s="10">
        <v>690</v>
      </c>
      <c r="T113" s="10">
        <v>570</v>
      </c>
      <c r="U113" s="10">
        <v>390</v>
      </c>
      <c r="V113" s="10">
        <v>360</v>
      </c>
      <c r="W113" s="15">
        <v>295</v>
      </c>
      <c r="X113" s="8">
        <v>270</v>
      </c>
      <c r="Y113" s="15">
        <v>180</v>
      </c>
      <c r="Z113" s="9">
        <v>132.5</v>
      </c>
      <c r="AA113" s="9">
        <v>45</v>
      </c>
      <c r="AB113" s="237">
        <f t="shared" si="6"/>
        <v>8932.5</v>
      </c>
      <c r="AC113" s="265">
        <v>200</v>
      </c>
      <c r="AD113" s="16">
        <v>30</v>
      </c>
      <c r="AE113" s="13" t="s">
        <v>186</v>
      </c>
      <c r="AF113" s="255">
        <v>267</v>
      </c>
      <c r="AG113" s="48">
        <v>10</v>
      </c>
      <c r="AH113" s="12">
        <v>9</v>
      </c>
      <c r="AI113" s="48">
        <v>5</v>
      </c>
      <c r="AJ113" s="12">
        <v>4</v>
      </c>
      <c r="AK113" s="12">
        <v>2</v>
      </c>
      <c r="AL113" s="253">
        <f t="shared" si="7"/>
        <v>297</v>
      </c>
      <c r="AM113" s="16">
        <v>30</v>
      </c>
      <c r="AN113" s="13" t="s">
        <v>198</v>
      </c>
      <c r="AO113" s="9">
        <f>SUM(1771+12)</f>
        <v>1783</v>
      </c>
      <c r="AP113" s="14">
        <v>0</v>
      </c>
      <c r="AQ113" s="7">
        <f>SUM(7117+33)</f>
        <v>7150</v>
      </c>
      <c r="AR113" s="116"/>
    </row>
    <row r="114" spans="1:44" s="103" customFormat="1" ht="25.05" customHeight="1" x14ac:dyDescent="0.2">
      <c r="A114" s="4">
        <v>107</v>
      </c>
      <c r="B114" s="17">
        <v>138</v>
      </c>
      <c r="C114" s="120" t="s">
        <v>110</v>
      </c>
      <c r="D114" s="44" t="s">
        <v>249</v>
      </c>
      <c r="E114" s="29" t="s">
        <v>85</v>
      </c>
      <c r="F114" s="182" t="s">
        <v>325</v>
      </c>
      <c r="G114" s="183" t="s">
        <v>326</v>
      </c>
      <c r="H114" s="7">
        <v>0</v>
      </c>
      <c r="I114" s="7">
        <v>0</v>
      </c>
      <c r="J114" s="7">
        <v>0</v>
      </c>
      <c r="K114" s="14">
        <v>0</v>
      </c>
      <c r="L114" s="7">
        <v>180</v>
      </c>
      <c r="M114" s="7">
        <v>180</v>
      </c>
      <c r="N114" s="7">
        <v>180</v>
      </c>
      <c r="O114" s="15">
        <v>270</v>
      </c>
      <c r="P114" s="15">
        <v>300</v>
      </c>
      <c r="Q114" s="10">
        <v>330</v>
      </c>
      <c r="R114" s="218">
        <v>1440</v>
      </c>
      <c r="S114" s="10">
        <v>210</v>
      </c>
      <c r="T114" s="10">
        <v>270</v>
      </c>
      <c r="U114" s="10">
        <v>180</v>
      </c>
      <c r="V114" s="10">
        <v>120</v>
      </c>
      <c r="W114" s="15">
        <v>60</v>
      </c>
      <c r="X114" s="7">
        <v>30</v>
      </c>
      <c r="Y114" s="15">
        <v>30</v>
      </c>
      <c r="Z114" s="10">
        <v>0</v>
      </c>
      <c r="AA114" s="9">
        <v>0</v>
      </c>
      <c r="AB114" s="237">
        <f t="shared" si="6"/>
        <v>2340</v>
      </c>
      <c r="AC114" s="265">
        <v>48</v>
      </c>
      <c r="AD114" s="16">
        <v>30</v>
      </c>
      <c r="AE114" s="13" t="s">
        <v>186</v>
      </c>
      <c r="AF114" s="255">
        <v>74</v>
      </c>
      <c r="AG114" s="48">
        <v>2</v>
      </c>
      <c r="AH114" s="48">
        <v>1</v>
      </c>
      <c r="AI114" s="48">
        <v>1</v>
      </c>
      <c r="AJ114" s="12">
        <v>0</v>
      </c>
      <c r="AK114" s="12">
        <v>0</v>
      </c>
      <c r="AL114" s="253">
        <f t="shared" si="7"/>
        <v>78</v>
      </c>
      <c r="AM114" s="16">
        <v>30</v>
      </c>
      <c r="AN114" s="13" t="s">
        <v>198</v>
      </c>
      <c r="AO114" s="9">
        <f>[1]Sheet1!I74</f>
        <v>480</v>
      </c>
      <c r="AP114" s="14">
        <v>0</v>
      </c>
      <c r="AQ114" s="7">
        <f>[1]Sheet1!N74</f>
        <v>1860</v>
      </c>
      <c r="AR114" s="181"/>
    </row>
    <row r="115" spans="1:44" s="104" customFormat="1" ht="25.05" customHeight="1" x14ac:dyDescent="0.2">
      <c r="A115" s="4">
        <v>108</v>
      </c>
      <c r="B115" s="17">
        <v>104</v>
      </c>
      <c r="C115" s="120" t="s">
        <v>28</v>
      </c>
      <c r="D115" s="5" t="s">
        <v>249</v>
      </c>
      <c r="E115" s="29" t="s">
        <v>84</v>
      </c>
      <c r="F115" s="182" t="s">
        <v>325</v>
      </c>
      <c r="G115" s="183" t="s">
        <v>326</v>
      </c>
      <c r="H115" s="7">
        <v>300</v>
      </c>
      <c r="I115" s="7">
        <v>270</v>
      </c>
      <c r="J115" s="7">
        <v>240</v>
      </c>
      <c r="K115" s="14">
        <v>450</v>
      </c>
      <c r="L115" s="7">
        <v>990</v>
      </c>
      <c r="M115" s="7">
        <v>1050</v>
      </c>
      <c r="N115" s="7">
        <v>630</v>
      </c>
      <c r="O115" s="15">
        <v>540</v>
      </c>
      <c r="P115" s="15">
        <v>390</v>
      </c>
      <c r="Q115" s="10">
        <v>390</v>
      </c>
      <c r="R115" s="218">
        <v>5250</v>
      </c>
      <c r="S115" s="10">
        <v>600</v>
      </c>
      <c r="T115" s="10">
        <v>480</v>
      </c>
      <c r="U115" s="10">
        <v>390</v>
      </c>
      <c r="V115" s="10">
        <v>210</v>
      </c>
      <c r="W115" s="15">
        <v>179</v>
      </c>
      <c r="X115" s="7">
        <v>150</v>
      </c>
      <c r="Y115" s="15">
        <v>65</v>
      </c>
      <c r="Z115" s="9">
        <v>22.5</v>
      </c>
      <c r="AA115" s="9">
        <v>0</v>
      </c>
      <c r="AB115" s="237">
        <f t="shared" si="6"/>
        <v>7346.5</v>
      </c>
      <c r="AC115" s="265">
        <v>175</v>
      </c>
      <c r="AD115" s="16">
        <v>30</v>
      </c>
      <c r="AE115" s="13" t="s">
        <v>186</v>
      </c>
      <c r="AF115" s="255">
        <v>231</v>
      </c>
      <c r="AG115" s="48">
        <v>6</v>
      </c>
      <c r="AH115" s="48">
        <v>5</v>
      </c>
      <c r="AI115" s="48">
        <v>2</v>
      </c>
      <c r="AJ115" s="12">
        <v>1</v>
      </c>
      <c r="AK115" s="12">
        <v>0</v>
      </c>
      <c r="AL115" s="253">
        <f t="shared" si="7"/>
        <v>245</v>
      </c>
      <c r="AM115" s="11">
        <v>30</v>
      </c>
      <c r="AN115" s="13" t="s">
        <v>198</v>
      </c>
      <c r="AO115" s="9">
        <f>[1]Sheet1!I75+6</f>
        <v>1434</v>
      </c>
      <c r="AP115" s="14">
        <v>0</v>
      </c>
      <c r="AQ115" s="7">
        <f>[1]Sheet1!N75+17</f>
        <v>5913</v>
      </c>
      <c r="AR115" s="116"/>
    </row>
    <row r="116" spans="1:44" s="103" customFormat="1" ht="25.05" customHeight="1" x14ac:dyDescent="0.2">
      <c r="A116" s="4">
        <v>109</v>
      </c>
      <c r="B116" s="17">
        <v>269</v>
      </c>
      <c r="C116" s="120" t="s">
        <v>306</v>
      </c>
      <c r="D116" s="44">
        <v>504.65800000000002</v>
      </c>
      <c r="E116" s="29">
        <v>2009</v>
      </c>
      <c r="F116" s="183" t="s">
        <v>351</v>
      </c>
      <c r="G116" s="183" t="s">
        <v>424</v>
      </c>
      <c r="H116" s="7">
        <v>0</v>
      </c>
      <c r="I116" s="7">
        <v>0</v>
      </c>
      <c r="J116" s="7">
        <v>0</v>
      </c>
      <c r="K116" s="14">
        <v>0</v>
      </c>
      <c r="L116" s="7">
        <v>0</v>
      </c>
      <c r="M116" s="7">
        <v>0</v>
      </c>
      <c r="N116" s="7">
        <v>0</v>
      </c>
      <c r="O116" s="22">
        <v>0</v>
      </c>
      <c r="P116" s="22">
        <v>0</v>
      </c>
      <c r="Q116" s="23">
        <v>0</v>
      </c>
      <c r="R116" s="218">
        <v>0</v>
      </c>
      <c r="S116" s="23">
        <v>0</v>
      </c>
      <c r="T116" s="10">
        <v>0</v>
      </c>
      <c r="U116" s="10">
        <v>0</v>
      </c>
      <c r="V116" s="10">
        <v>0</v>
      </c>
      <c r="W116" s="15">
        <v>0</v>
      </c>
      <c r="X116" s="7">
        <v>707.5</v>
      </c>
      <c r="Y116" s="15">
        <v>860</v>
      </c>
      <c r="Z116" s="9">
        <v>1295</v>
      </c>
      <c r="AA116" s="9">
        <v>1432</v>
      </c>
      <c r="AB116" s="237">
        <f t="shared" si="6"/>
        <v>4294.5</v>
      </c>
      <c r="AC116" s="265">
        <v>0</v>
      </c>
      <c r="AD116" s="16" t="s">
        <v>78</v>
      </c>
      <c r="AE116" s="13" t="s">
        <v>78</v>
      </c>
      <c r="AF116" s="255">
        <v>0</v>
      </c>
      <c r="AG116" s="48">
        <v>0</v>
      </c>
      <c r="AH116" s="48">
        <v>25</v>
      </c>
      <c r="AI116" s="48">
        <v>27</v>
      </c>
      <c r="AJ116" s="12">
        <v>39</v>
      </c>
      <c r="AK116" s="12">
        <v>46</v>
      </c>
      <c r="AL116" s="253">
        <f t="shared" si="7"/>
        <v>137</v>
      </c>
      <c r="AM116" s="16">
        <v>30</v>
      </c>
      <c r="AN116" s="13" t="s">
        <v>198</v>
      </c>
      <c r="AO116" s="9">
        <f>SUM(763+382)</f>
        <v>1145</v>
      </c>
      <c r="AP116" s="14">
        <v>0</v>
      </c>
      <c r="AQ116" s="7">
        <f>SUM(2100+1050)</f>
        <v>3150</v>
      </c>
      <c r="AR116" s="181"/>
    </row>
    <row r="117" spans="1:44" s="104" customFormat="1" ht="39.6" customHeight="1" x14ac:dyDescent="0.2">
      <c r="A117" s="4">
        <v>110</v>
      </c>
      <c r="B117" s="17">
        <v>194</v>
      </c>
      <c r="C117" s="120" t="s">
        <v>7</v>
      </c>
      <c r="D117" s="17" t="s">
        <v>275</v>
      </c>
      <c r="E117" s="29">
        <v>1998</v>
      </c>
      <c r="F117" s="183" t="s">
        <v>372</v>
      </c>
      <c r="G117" s="183" t="s">
        <v>425</v>
      </c>
      <c r="H117" s="7">
        <v>0</v>
      </c>
      <c r="I117" s="7">
        <v>0</v>
      </c>
      <c r="J117" s="7">
        <v>0</v>
      </c>
      <c r="K117" s="14">
        <v>0</v>
      </c>
      <c r="L117" s="7">
        <v>2300</v>
      </c>
      <c r="M117" s="7">
        <v>7600</v>
      </c>
      <c r="N117" s="7">
        <v>10875</v>
      </c>
      <c r="O117" s="15">
        <v>16250</v>
      </c>
      <c r="P117" s="15">
        <v>20175</v>
      </c>
      <c r="Q117" s="10">
        <v>20335</v>
      </c>
      <c r="R117" s="218">
        <v>77535</v>
      </c>
      <c r="S117" s="10">
        <v>22070</v>
      </c>
      <c r="T117" s="10">
        <v>22710</v>
      </c>
      <c r="U117" s="10">
        <v>20100</v>
      </c>
      <c r="V117" s="10">
        <v>20610</v>
      </c>
      <c r="W117" s="15">
        <v>21051</v>
      </c>
      <c r="X117" s="7">
        <v>22062.5</v>
      </c>
      <c r="Y117" s="15">
        <v>23095</v>
      </c>
      <c r="Z117" s="9">
        <v>21352.5</v>
      </c>
      <c r="AA117" s="9">
        <v>19702.5</v>
      </c>
      <c r="AB117" s="237">
        <f t="shared" si="6"/>
        <v>270288.5</v>
      </c>
      <c r="AC117" s="265">
        <v>3101.4</v>
      </c>
      <c r="AD117" s="16">
        <v>25</v>
      </c>
      <c r="AE117" s="13" t="s">
        <v>188</v>
      </c>
      <c r="AF117" s="255">
        <v>5951.0666666666666</v>
      </c>
      <c r="AG117" s="48">
        <v>771</v>
      </c>
      <c r="AH117" s="48">
        <v>699</v>
      </c>
      <c r="AI117" s="48">
        <v>741</v>
      </c>
      <c r="AJ117" s="12">
        <v>684</v>
      </c>
      <c r="AK117" s="12">
        <v>618</v>
      </c>
      <c r="AL117" s="253">
        <f t="shared" si="7"/>
        <v>9464.0666666666657</v>
      </c>
      <c r="AM117" s="16">
        <v>30</v>
      </c>
      <c r="AN117" s="13" t="s">
        <v>90</v>
      </c>
      <c r="AO117" s="9">
        <f>SUM(AB117)</f>
        <v>270288.5</v>
      </c>
      <c r="AP117" s="14">
        <v>0</v>
      </c>
      <c r="AQ117" s="7">
        <v>0</v>
      </c>
      <c r="AR117" s="116"/>
    </row>
    <row r="118" spans="1:44" s="103" customFormat="1" ht="36.75" x14ac:dyDescent="0.2">
      <c r="A118" s="4">
        <v>111</v>
      </c>
      <c r="B118" s="17">
        <v>218</v>
      </c>
      <c r="C118" s="120" t="s">
        <v>148</v>
      </c>
      <c r="D118" s="17">
        <v>504.63799999999998</v>
      </c>
      <c r="E118" s="29">
        <v>2004</v>
      </c>
      <c r="F118" s="183" t="s">
        <v>341</v>
      </c>
      <c r="G118" s="183" t="s">
        <v>352</v>
      </c>
      <c r="H118" s="7">
        <v>0</v>
      </c>
      <c r="I118" s="7">
        <v>0</v>
      </c>
      <c r="J118" s="7">
        <v>0</v>
      </c>
      <c r="K118" s="14">
        <v>0</v>
      </c>
      <c r="L118" s="7">
        <v>0</v>
      </c>
      <c r="M118" s="7">
        <v>0</v>
      </c>
      <c r="N118" s="7">
        <v>0</v>
      </c>
      <c r="O118" s="15">
        <v>0</v>
      </c>
      <c r="P118" s="15">
        <v>0</v>
      </c>
      <c r="Q118" s="10">
        <v>0</v>
      </c>
      <c r="R118" s="218">
        <v>0</v>
      </c>
      <c r="S118" s="10">
        <v>9120</v>
      </c>
      <c r="T118" s="10">
        <v>12270</v>
      </c>
      <c r="U118" s="10">
        <v>14970</v>
      </c>
      <c r="V118" s="10">
        <v>17370</v>
      </c>
      <c r="W118" s="15">
        <v>22148</v>
      </c>
      <c r="X118" s="7">
        <f>SUM(380+30610)</f>
        <v>30990</v>
      </c>
      <c r="Y118" s="15">
        <v>35936</v>
      </c>
      <c r="Z118" s="9">
        <v>38187.5</v>
      </c>
      <c r="AA118" s="9">
        <v>39850</v>
      </c>
      <c r="AB118" s="237">
        <f t="shared" si="6"/>
        <v>220841.5</v>
      </c>
      <c r="AC118" s="265">
        <v>0</v>
      </c>
      <c r="AD118" s="16" t="s">
        <v>78</v>
      </c>
      <c r="AE118" s="16" t="s">
        <v>78</v>
      </c>
      <c r="AF118" s="255">
        <v>1791</v>
      </c>
      <c r="AG118" s="48">
        <v>768</v>
      </c>
      <c r="AH118" s="48">
        <v>990</v>
      </c>
      <c r="AI118" s="48">
        <v>1169</v>
      </c>
      <c r="AJ118" s="12">
        <v>1261</v>
      </c>
      <c r="AK118" s="12">
        <v>1281</v>
      </c>
      <c r="AL118" s="253">
        <f t="shared" si="7"/>
        <v>7260</v>
      </c>
      <c r="AM118" s="16">
        <v>30</v>
      </c>
      <c r="AN118" s="13" t="s">
        <v>198</v>
      </c>
      <c r="AO118" s="9">
        <f>SUM(48268+10628)</f>
        <v>58896</v>
      </c>
      <c r="AP118" s="14">
        <v>0</v>
      </c>
      <c r="AQ118" s="7">
        <f>SUM(132723+29223)</f>
        <v>161946</v>
      </c>
      <c r="AR118" s="181"/>
    </row>
    <row r="119" spans="1:44" s="103" customFormat="1" ht="13" customHeight="1" x14ac:dyDescent="0.2">
      <c r="A119" s="4">
        <v>112</v>
      </c>
      <c r="B119" s="17">
        <v>40</v>
      </c>
      <c r="C119" s="120" t="s">
        <v>29</v>
      </c>
      <c r="D119" s="17" t="s">
        <v>276</v>
      </c>
      <c r="E119" s="29">
        <v>1993</v>
      </c>
      <c r="F119" s="183" t="s">
        <v>331</v>
      </c>
      <c r="G119" s="183" t="s">
        <v>358</v>
      </c>
      <c r="H119" s="7">
        <v>1100</v>
      </c>
      <c r="I119" s="7">
        <v>1730</v>
      </c>
      <c r="J119" s="7">
        <v>2130</v>
      </c>
      <c r="K119" s="14">
        <v>2605</v>
      </c>
      <c r="L119" s="7">
        <v>3540</v>
      </c>
      <c r="M119" s="7">
        <v>3813</v>
      </c>
      <c r="N119" s="7">
        <v>140</v>
      </c>
      <c r="O119" s="15">
        <v>230</v>
      </c>
      <c r="P119" s="7">
        <v>80</v>
      </c>
      <c r="Q119" s="9">
        <v>0</v>
      </c>
      <c r="R119" s="218">
        <v>15368</v>
      </c>
      <c r="S119" s="8">
        <v>8</v>
      </c>
      <c r="T119" s="8">
        <v>80</v>
      </c>
      <c r="U119" s="8">
        <v>0</v>
      </c>
      <c r="V119" s="8">
        <v>0</v>
      </c>
      <c r="W119" s="7">
        <v>0</v>
      </c>
      <c r="X119" s="7">
        <v>0</v>
      </c>
      <c r="Y119" s="7">
        <v>0</v>
      </c>
      <c r="Z119" s="9">
        <v>0</v>
      </c>
      <c r="AA119" s="9">
        <v>0</v>
      </c>
      <c r="AB119" s="237">
        <f t="shared" si="6"/>
        <v>15456</v>
      </c>
      <c r="AC119" s="265" t="s">
        <v>76</v>
      </c>
      <c r="AD119" s="16">
        <v>0</v>
      </c>
      <c r="AE119" s="13" t="s">
        <v>189</v>
      </c>
      <c r="AF119" s="255" t="s">
        <v>76</v>
      </c>
      <c r="AG119" s="48">
        <v>1297</v>
      </c>
      <c r="AH119" s="48">
        <v>1032</v>
      </c>
      <c r="AI119" s="48">
        <v>1062</v>
      </c>
      <c r="AJ119" s="12">
        <v>1043</v>
      </c>
      <c r="AK119" s="12">
        <v>1019</v>
      </c>
      <c r="AL119" s="253">
        <f t="shared" si="7"/>
        <v>5453</v>
      </c>
      <c r="AM119" s="11">
        <v>0</v>
      </c>
      <c r="AN119" s="13" t="s">
        <v>90</v>
      </c>
      <c r="AO119" s="9">
        <f>SUM(AB119)</f>
        <v>15456</v>
      </c>
      <c r="AP119" s="14">
        <v>0</v>
      </c>
      <c r="AQ119" s="7">
        <f>[1]Sheet1!N79</f>
        <v>0</v>
      </c>
      <c r="AR119" s="181"/>
    </row>
    <row r="120" spans="1:44" s="104" customFormat="1" ht="13" customHeight="1" x14ac:dyDescent="0.2">
      <c r="A120" s="4">
        <v>113</v>
      </c>
      <c r="B120" s="17">
        <v>135</v>
      </c>
      <c r="C120" s="120" t="s">
        <v>73</v>
      </c>
      <c r="D120" s="5" t="s">
        <v>249</v>
      </c>
      <c r="E120" s="29" t="s">
        <v>87</v>
      </c>
      <c r="F120" s="182" t="s">
        <v>353</v>
      </c>
      <c r="G120" s="182" t="s">
        <v>326</v>
      </c>
      <c r="H120" s="7">
        <v>0</v>
      </c>
      <c r="I120" s="7">
        <v>0</v>
      </c>
      <c r="J120" s="7">
        <v>780</v>
      </c>
      <c r="K120" s="14">
        <v>900</v>
      </c>
      <c r="L120" s="7">
        <v>1260</v>
      </c>
      <c r="M120" s="7">
        <v>1320</v>
      </c>
      <c r="N120" s="7">
        <v>1170</v>
      </c>
      <c r="O120" s="15">
        <v>1170</v>
      </c>
      <c r="P120" s="7">
        <v>1170</v>
      </c>
      <c r="Q120" s="9">
        <v>1260</v>
      </c>
      <c r="R120" s="218">
        <v>9030</v>
      </c>
      <c r="S120" s="8">
        <v>1260</v>
      </c>
      <c r="T120" s="8">
        <v>1110</v>
      </c>
      <c r="U120" s="8">
        <v>690</v>
      </c>
      <c r="V120" s="8">
        <v>600</v>
      </c>
      <c r="W120" s="7">
        <v>398</v>
      </c>
      <c r="X120" s="7">
        <v>270</v>
      </c>
      <c r="Y120" s="7">
        <v>163</v>
      </c>
      <c r="Z120" s="9">
        <v>120</v>
      </c>
      <c r="AA120" s="9">
        <v>0</v>
      </c>
      <c r="AB120" s="237">
        <f t="shared" si="6"/>
        <v>13641</v>
      </c>
      <c r="AC120" s="265">
        <v>301</v>
      </c>
      <c r="AD120" s="16">
        <v>30</v>
      </c>
      <c r="AE120" s="13" t="s">
        <v>186</v>
      </c>
      <c r="AF120" s="255">
        <v>423</v>
      </c>
      <c r="AG120" s="48">
        <v>12</v>
      </c>
      <c r="AH120" s="48">
        <v>9</v>
      </c>
      <c r="AI120" s="48">
        <v>5</v>
      </c>
      <c r="AJ120" s="12">
        <v>4</v>
      </c>
      <c r="AK120" s="12">
        <v>0</v>
      </c>
      <c r="AL120" s="253">
        <f t="shared" si="7"/>
        <v>453</v>
      </c>
      <c r="AM120" s="11">
        <v>30</v>
      </c>
      <c r="AN120" s="13" t="s">
        <v>198</v>
      </c>
      <c r="AO120" s="9">
        <f>[1]Sheet1!I80+32</f>
        <v>2735</v>
      </c>
      <c r="AP120" s="14">
        <v>0</v>
      </c>
      <c r="AQ120" s="7">
        <f>[1]Sheet1!N80+88</f>
        <v>10906</v>
      </c>
      <c r="AR120" s="116"/>
    </row>
    <row r="121" spans="1:44" s="103" customFormat="1" ht="27" customHeight="1" x14ac:dyDescent="0.2">
      <c r="A121" s="4">
        <v>114</v>
      </c>
      <c r="B121" s="17">
        <v>163</v>
      </c>
      <c r="C121" s="120" t="s">
        <v>126</v>
      </c>
      <c r="D121" s="28" t="s">
        <v>263</v>
      </c>
      <c r="E121" s="29">
        <v>2002</v>
      </c>
      <c r="F121" s="186" t="s">
        <v>398</v>
      </c>
      <c r="G121" s="182" t="s">
        <v>334</v>
      </c>
      <c r="H121" s="7">
        <v>0</v>
      </c>
      <c r="I121" s="7">
        <v>0</v>
      </c>
      <c r="J121" s="7">
        <v>0</v>
      </c>
      <c r="K121" s="14">
        <v>0</v>
      </c>
      <c r="L121" s="7">
        <v>0</v>
      </c>
      <c r="M121" s="7">
        <v>0</v>
      </c>
      <c r="N121" s="7">
        <v>0</v>
      </c>
      <c r="O121" s="22">
        <v>0</v>
      </c>
      <c r="P121" s="7">
        <v>21375</v>
      </c>
      <c r="Q121" s="9">
        <v>44310</v>
      </c>
      <c r="R121" s="218">
        <v>65685</v>
      </c>
      <c r="S121" s="8">
        <v>59920</v>
      </c>
      <c r="T121" s="8">
        <v>61620</v>
      </c>
      <c r="U121" s="8">
        <v>54570</v>
      </c>
      <c r="V121" s="8">
        <v>57330</v>
      </c>
      <c r="W121" s="7">
        <v>58515</v>
      </c>
      <c r="X121" s="7">
        <f>SUM(112+66930)</f>
        <v>67042</v>
      </c>
      <c r="Y121" s="7">
        <v>68662</v>
      </c>
      <c r="Z121" s="9">
        <v>65865</v>
      </c>
      <c r="AA121" s="9">
        <v>62420</v>
      </c>
      <c r="AB121" s="237">
        <f t="shared" si="6"/>
        <v>621629</v>
      </c>
      <c r="AC121" s="265">
        <v>2627.4</v>
      </c>
      <c r="AD121" s="16">
        <v>25</v>
      </c>
      <c r="AE121" s="13" t="s">
        <v>193</v>
      </c>
      <c r="AF121" s="255">
        <v>10408.733333333334</v>
      </c>
      <c r="AG121" s="48">
        <v>1718</v>
      </c>
      <c r="AH121" s="48">
        <v>2161</v>
      </c>
      <c r="AI121" s="48">
        <v>2161</v>
      </c>
      <c r="AJ121" s="12">
        <v>2137</v>
      </c>
      <c r="AK121" s="12">
        <v>1967</v>
      </c>
      <c r="AL121" s="253">
        <f t="shared" si="7"/>
        <v>20552.733333333334</v>
      </c>
      <c r="AM121" s="11">
        <v>30</v>
      </c>
      <c r="AN121" s="13" t="s">
        <v>198</v>
      </c>
      <c r="AO121" s="9">
        <f>SUM(144748+16646)</f>
        <v>161394</v>
      </c>
      <c r="AP121" s="14">
        <v>0</v>
      </c>
      <c r="AQ121" s="7">
        <f>SUM(414461+45774)</f>
        <v>460235</v>
      </c>
      <c r="AR121" s="181"/>
    </row>
    <row r="122" spans="1:44" s="104" customFormat="1" x14ac:dyDescent="0.2">
      <c r="A122" s="4">
        <v>115</v>
      </c>
      <c r="B122" s="17"/>
      <c r="C122" s="120" t="s">
        <v>236</v>
      </c>
      <c r="D122" s="28">
        <v>504.31599999999997</v>
      </c>
      <c r="E122" s="29">
        <v>2008</v>
      </c>
      <c r="F122" s="183" t="s">
        <v>331</v>
      </c>
      <c r="G122" s="183" t="s">
        <v>358</v>
      </c>
      <c r="H122" s="7">
        <v>0</v>
      </c>
      <c r="I122" s="7">
        <v>0</v>
      </c>
      <c r="J122" s="7">
        <v>0</v>
      </c>
      <c r="K122" s="14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8">
        <v>0</v>
      </c>
      <c r="R122" s="218">
        <v>0</v>
      </c>
      <c r="S122" s="8">
        <v>0</v>
      </c>
      <c r="T122" s="8">
        <v>0</v>
      </c>
      <c r="U122" s="8">
        <v>0</v>
      </c>
      <c r="V122" s="10">
        <v>0</v>
      </c>
      <c r="W122" s="7">
        <v>0</v>
      </c>
      <c r="X122" s="7">
        <v>0</v>
      </c>
      <c r="Y122" s="7">
        <v>0</v>
      </c>
      <c r="Z122" s="9">
        <v>0</v>
      </c>
      <c r="AA122" s="9">
        <v>0</v>
      </c>
      <c r="AB122" s="237">
        <f t="shared" si="6"/>
        <v>0</v>
      </c>
      <c r="AC122" s="265">
        <v>0</v>
      </c>
      <c r="AD122" s="16" t="s">
        <v>78</v>
      </c>
      <c r="AE122" s="13" t="s">
        <v>78</v>
      </c>
      <c r="AF122" s="255">
        <v>0</v>
      </c>
      <c r="AG122" s="48">
        <v>89</v>
      </c>
      <c r="AH122" s="12">
        <v>483</v>
      </c>
      <c r="AI122" s="48">
        <v>938</v>
      </c>
      <c r="AJ122" s="12">
        <v>1441</v>
      </c>
      <c r="AK122" s="12">
        <v>1961</v>
      </c>
      <c r="AL122" s="253">
        <f t="shared" si="7"/>
        <v>4912</v>
      </c>
      <c r="AM122" s="11">
        <v>0</v>
      </c>
      <c r="AN122" s="13" t="s">
        <v>90</v>
      </c>
      <c r="AO122" s="9">
        <f>[1]Sheet1!I82</f>
        <v>0</v>
      </c>
      <c r="AP122" s="14">
        <v>0</v>
      </c>
      <c r="AQ122" s="7">
        <f>[1]Sheet1!N82</f>
        <v>0</v>
      </c>
      <c r="AR122" s="116"/>
    </row>
    <row r="123" spans="1:44" s="104" customFormat="1" ht="27" customHeight="1" x14ac:dyDescent="0.2">
      <c r="A123" s="4">
        <v>116</v>
      </c>
      <c r="B123" s="17">
        <v>44</v>
      </c>
      <c r="C123" s="152" t="s">
        <v>517</v>
      </c>
      <c r="D123" s="28" t="s">
        <v>169</v>
      </c>
      <c r="E123" s="29">
        <v>1995</v>
      </c>
      <c r="F123" s="183" t="s">
        <v>331</v>
      </c>
      <c r="G123" s="183" t="s">
        <v>358</v>
      </c>
      <c r="H123" s="7">
        <v>0</v>
      </c>
      <c r="I123" s="7">
        <v>0</v>
      </c>
      <c r="J123" s="7">
        <v>24</v>
      </c>
      <c r="K123" s="14">
        <v>56</v>
      </c>
      <c r="L123" s="7">
        <v>27</v>
      </c>
      <c r="M123" s="7">
        <v>75</v>
      </c>
      <c r="N123" s="7">
        <v>90</v>
      </c>
      <c r="O123" s="22">
        <v>113</v>
      </c>
      <c r="P123" s="7">
        <v>211</v>
      </c>
      <c r="Q123" s="9">
        <v>213</v>
      </c>
      <c r="R123" s="218">
        <v>809</v>
      </c>
      <c r="S123" s="8">
        <v>220</v>
      </c>
      <c r="T123" s="8">
        <v>252</v>
      </c>
      <c r="U123" s="8">
        <v>367.3</v>
      </c>
      <c r="V123" s="8">
        <v>309</v>
      </c>
      <c r="W123" s="7">
        <v>343</v>
      </c>
      <c r="X123" s="7">
        <v>104</v>
      </c>
      <c r="Y123" s="7">
        <v>0</v>
      </c>
      <c r="Z123" s="9">
        <v>0</v>
      </c>
      <c r="AA123" s="9">
        <v>0</v>
      </c>
      <c r="AB123" s="237">
        <f t="shared" si="6"/>
        <v>2404.3000000000002</v>
      </c>
      <c r="AC123" s="265">
        <v>269.66666666666669</v>
      </c>
      <c r="AD123" s="16">
        <v>3</v>
      </c>
      <c r="AE123" s="13" t="s">
        <v>199</v>
      </c>
      <c r="AF123" s="255">
        <v>652.43333333333339</v>
      </c>
      <c r="AG123" s="48">
        <v>80</v>
      </c>
      <c r="AH123" s="12">
        <v>71</v>
      </c>
      <c r="AI123" s="48">
        <v>79</v>
      </c>
      <c r="AJ123" s="12">
        <f>SUM(6+14+20+2+30+3)</f>
        <v>75</v>
      </c>
      <c r="AK123" s="12">
        <v>79</v>
      </c>
      <c r="AL123" s="253">
        <f t="shared" si="7"/>
        <v>1036.4333333333334</v>
      </c>
      <c r="AM123" s="11">
        <v>3</v>
      </c>
      <c r="AN123" s="13" t="s">
        <v>166</v>
      </c>
      <c r="AO123" s="9">
        <f>[1]Sheet1!I83</f>
        <v>2404.3000000000002</v>
      </c>
      <c r="AP123" s="14">
        <v>0</v>
      </c>
      <c r="AQ123" s="7">
        <f>[1]Sheet1!N83</f>
        <v>0</v>
      </c>
      <c r="AR123" s="116"/>
    </row>
    <row r="124" spans="1:44" s="116" customFormat="1" ht="12.25" x14ac:dyDescent="0.2">
      <c r="A124" s="4">
        <v>117</v>
      </c>
      <c r="B124" s="17">
        <v>37</v>
      </c>
      <c r="C124" s="149" t="s">
        <v>30</v>
      </c>
      <c r="D124" s="17" t="s">
        <v>271</v>
      </c>
      <c r="E124" s="29">
        <v>1991</v>
      </c>
      <c r="F124" s="183" t="s">
        <v>331</v>
      </c>
      <c r="G124" s="183" t="s">
        <v>358</v>
      </c>
      <c r="H124" s="7">
        <v>9357.2000000000007</v>
      </c>
      <c r="I124" s="7">
        <v>321412</v>
      </c>
      <c r="J124" s="7">
        <v>11239.5</v>
      </c>
      <c r="K124" s="14">
        <v>15069.5</v>
      </c>
      <c r="L124" s="7">
        <v>13195</v>
      </c>
      <c r="M124" s="7">
        <v>17271</v>
      </c>
      <c r="N124" s="7">
        <v>12754</v>
      </c>
      <c r="O124" s="22">
        <v>9750</v>
      </c>
      <c r="P124" s="7">
        <v>10125.200000000001</v>
      </c>
      <c r="Q124" s="9">
        <v>10110</v>
      </c>
      <c r="R124" s="218">
        <v>430283.4</v>
      </c>
      <c r="S124" s="8">
        <v>10298.5</v>
      </c>
      <c r="T124" s="8">
        <v>13313.2</v>
      </c>
      <c r="U124" s="8">
        <v>11178.6</v>
      </c>
      <c r="V124" s="8">
        <v>8795</v>
      </c>
      <c r="W124" s="7">
        <v>4201</v>
      </c>
      <c r="X124" s="7">
        <v>7938</v>
      </c>
      <c r="Y124" s="7">
        <v>7875</v>
      </c>
      <c r="Z124" s="9">
        <v>8562.5</v>
      </c>
      <c r="AA124" s="9">
        <v>7813</v>
      </c>
      <c r="AB124" s="237">
        <f t="shared" si="6"/>
        <v>510258.2</v>
      </c>
      <c r="AC124" s="265">
        <v>6884.5344000000005</v>
      </c>
      <c r="AD124" s="45">
        <v>62.5</v>
      </c>
      <c r="AE124" s="13" t="s">
        <v>90</v>
      </c>
      <c r="AF124" s="255">
        <v>7581.8992000000007</v>
      </c>
      <c r="AG124" s="48">
        <v>149</v>
      </c>
      <c r="AH124" s="12">
        <v>93</v>
      </c>
      <c r="AI124" s="48">
        <v>118</v>
      </c>
      <c r="AJ124" s="12">
        <v>126</v>
      </c>
      <c r="AK124" s="12">
        <v>99</v>
      </c>
      <c r="AL124" s="253">
        <f t="shared" si="7"/>
        <v>8166.8992000000007</v>
      </c>
      <c r="AM124" s="47">
        <v>62.5</v>
      </c>
      <c r="AN124" s="13" t="s">
        <v>90</v>
      </c>
      <c r="AO124" s="9">
        <f>SUM(AB124)</f>
        <v>510258.2</v>
      </c>
      <c r="AP124" s="14">
        <v>0</v>
      </c>
      <c r="AQ124" s="7">
        <f>[1]Sheet1!N85</f>
        <v>0</v>
      </c>
    </row>
    <row r="125" spans="1:44" s="103" customFormat="1" ht="35.299999999999997" customHeight="1" x14ac:dyDescent="0.2">
      <c r="A125" s="4">
        <v>118</v>
      </c>
      <c r="B125" s="17">
        <v>196</v>
      </c>
      <c r="C125" s="120" t="s">
        <v>91</v>
      </c>
      <c r="D125" s="28" t="s">
        <v>272</v>
      </c>
      <c r="E125" s="29">
        <v>1998</v>
      </c>
      <c r="F125" s="182" t="s">
        <v>354</v>
      </c>
      <c r="G125" s="186" t="s">
        <v>355</v>
      </c>
      <c r="H125" s="7">
        <v>0</v>
      </c>
      <c r="I125" s="7">
        <v>0</v>
      </c>
      <c r="J125" s="7">
        <v>0</v>
      </c>
      <c r="K125" s="14">
        <v>0</v>
      </c>
      <c r="L125" s="7">
        <v>1560</v>
      </c>
      <c r="M125" s="7">
        <v>39240</v>
      </c>
      <c r="N125" s="7">
        <v>73500</v>
      </c>
      <c r="O125" s="22">
        <v>113760</v>
      </c>
      <c r="P125" s="22">
        <v>132480</v>
      </c>
      <c r="Q125" s="22">
        <v>117110</v>
      </c>
      <c r="R125" s="229">
        <v>477650</v>
      </c>
      <c r="S125" s="23">
        <v>100410</v>
      </c>
      <c r="T125" s="23">
        <v>85020</v>
      </c>
      <c r="U125" s="8">
        <v>70440</v>
      </c>
      <c r="V125" s="8">
        <v>63720</v>
      </c>
      <c r="W125" s="7">
        <v>52328</v>
      </c>
      <c r="X125" s="7">
        <v>51639</v>
      </c>
      <c r="Y125" s="7">
        <v>47113</v>
      </c>
      <c r="Z125" s="9">
        <v>43099</v>
      </c>
      <c r="AA125" s="9">
        <v>37273.129999999997</v>
      </c>
      <c r="AB125" s="237">
        <f t="shared" si="6"/>
        <v>1028692.13</v>
      </c>
      <c r="AC125" s="265">
        <v>15921.666666666666</v>
      </c>
      <c r="AD125" s="16">
        <v>30</v>
      </c>
      <c r="AE125" s="13" t="s">
        <v>186</v>
      </c>
      <c r="AF125" s="255">
        <v>26574.666666666664</v>
      </c>
      <c r="AG125" s="48">
        <v>2007</v>
      </c>
      <c r="AH125" s="48">
        <v>1660</v>
      </c>
      <c r="AI125" s="48">
        <v>1502</v>
      </c>
      <c r="AJ125" s="12">
        <v>1377</v>
      </c>
      <c r="AK125" s="12">
        <v>1173</v>
      </c>
      <c r="AL125" s="253">
        <f t="shared" si="7"/>
        <v>34293.666666666664</v>
      </c>
      <c r="AM125" s="16">
        <v>30</v>
      </c>
      <c r="AN125" s="13" t="s">
        <v>198</v>
      </c>
      <c r="AO125" s="9">
        <f>SUM(216616+9939)</f>
        <v>226555</v>
      </c>
      <c r="AP125" s="14">
        <v>0</v>
      </c>
      <c r="AQ125" s="7">
        <f>SUM(774804+27333)</f>
        <v>802137</v>
      </c>
      <c r="AR125" s="116"/>
    </row>
    <row r="126" spans="1:44" s="104" customFormat="1" x14ac:dyDescent="0.2">
      <c r="A126" s="4">
        <v>119</v>
      </c>
      <c r="B126" s="17">
        <v>271</v>
      </c>
      <c r="C126" s="120" t="s">
        <v>307</v>
      </c>
      <c r="D126" s="28">
        <v>504.80099999999999</v>
      </c>
      <c r="E126" s="29">
        <v>2009</v>
      </c>
      <c r="F126" s="183" t="s">
        <v>331</v>
      </c>
      <c r="G126" s="183" t="s">
        <v>358</v>
      </c>
      <c r="H126" s="7">
        <v>0</v>
      </c>
      <c r="I126" s="8">
        <v>0</v>
      </c>
      <c r="J126" s="8">
        <v>0</v>
      </c>
      <c r="K126" s="9">
        <v>0</v>
      </c>
      <c r="L126" s="8">
        <v>0</v>
      </c>
      <c r="M126" s="8">
        <v>0</v>
      </c>
      <c r="N126" s="8">
        <v>0</v>
      </c>
      <c r="O126" s="22">
        <v>0</v>
      </c>
      <c r="P126" s="23">
        <v>0</v>
      </c>
      <c r="Q126" s="23">
        <v>0</v>
      </c>
      <c r="R126" s="218">
        <v>0</v>
      </c>
      <c r="S126" s="23">
        <v>0</v>
      </c>
      <c r="T126" s="23">
        <v>0</v>
      </c>
      <c r="U126" s="8">
        <v>0</v>
      </c>
      <c r="V126" s="8">
        <v>0</v>
      </c>
      <c r="W126" s="7">
        <v>0</v>
      </c>
      <c r="X126" s="7">
        <f>SUM(30+31435)</f>
        <v>31465</v>
      </c>
      <c r="Y126" s="7">
        <v>88995</v>
      </c>
      <c r="Z126" s="9">
        <v>91063.5</v>
      </c>
      <c r="AA126" s="9">
        <v>94207.5</v>
      </c>
      <c r="AB126" s="237">
        <f t="shared" si="6"/>
        <v>305731</v>
      </c>
      <c r="AC126" s="265">
        <v>0</v>
      </c>
      <c r="AD126" s="16" t="s">
        <v>78</v>
      </c>
      <c r="AE126" s="13" t="s">
        <v>90</v>
      </c>
      <c r="AF126" s="255">
        <v>0</v>
      </c>
      <c r="AG126" s="48">
        <v>0</v>
      </c>
      <c r="AH126" s="48">
        <v>2365</v>
      </c>
      <c r="AI126" s="48">
        <v>2903</v>
      </c>
      <c r="AJ126" s="12">
        <v>2984</v>
      </c>
      <c r="AK126" s="12">
        <v>2925</v>
      </c>
      <c r="AL126" s="253">
        <f t="shared" si="7"/>
        <v>11177</v>
      </c>
      <c r="AM126" s="16">
        <v>30</v>
      </c>
      <c r="AN126" s="13" t="s">
        <v>90</v>
      </c>
      <c r="AO126" s="9">
        <f>SUM(AB126)</f>
        <v>305731</v>
      </c>
      <c r="AP126" s="14">
        <v>0</v>
      </c>
      <c r="AQ126" s="7">
        <f>[1]Sheet1!N87</f>
        <v>0</v>
      </c>
      <c r="AR126" s="116"/>
    </row>
    <row r="127" spans="1:44" s="103" customFormat="1" ht="25.2" customHeight="1" x14ac:dyDescent="0.2">
      <c r="A127" s="4">
        <v>120</v>
      </c>
      <c r="B127" s="17">
        <v>190</v>
      </c>
      <c r="C127" s="120" t="s">
        <v>117</v>
      </c>
      <c r="D127" s="5" t="s">
        <v>248</v>
      </c>
      <c r="E127" s="29">
        <v>2001</v>
      </c>
      <c r="F127" s="182" t="s">
        <v>325</v>
      </c>
      <c r="G127" s="182" t="s">
        <v>326</v>
      </c>
      <c r="H127" s="7">
        <v>0</v>
      </c>
      <c r="I127" s="7">
        <v>0</v>
      </c>
      <c r="J127" s="7">
        <v>0</v>
      </c>
      <c r="K127" s="14">
        <v>0</v>
      </c>
      <c r="L127" s="7">
        <v>0</v>
      </c>
      <c r="M127" s="7">
        <v>0</v>
      </c>
      <c r="N127" s="7">
        <v>0</v>
      </c>
      <c r="O127" s="22">
        <v>0</v>
      </c>
      <c r="P127" s="7">
        <v>960</v>
      </c>
      <c r="Q127" s="14">
        <v>1020</v>
      </c>
      <c r="R127" s="229">
        <v>1980</v>
      </c>
      <c r="S127" s="8">
        <v>1290</v>
      </c>
      <c r="T127" s="8">
        <v>1230</v>
      </c>
      <c r="U127" s="23">
        <v>1200</v>
      </c>
      <c r="V127" s="23">
        <v>870</v>
      </c>
      <c r="W127" s="22">
        <v>1036</v>
      </c>
      <c r="X127" s="7">
        <v>949</v>
      </c>
      <c r="Y127" s="22">
        <v>914</v>
      </c>
      <c r="Z127" s="9">
        <v>795.86</v>
      </c>
      <c r="AA127" s="9">
        <v>923.75</v>
      </c>
      <c r="AB127" s="237">
        <f t="shared" si="6"/>
        <v>11188.61</v>
      </c>
      <c r="AC127" s="265">
        <v>66</v>
      </c>
      <c r="AD127" s="16">
        <v>30</v>
      </c>
      <c r="AE127" s="13" t="s">
        <v>186</v>
      </c>
      <c r="AF127" s="255">
        <v>219</v>
      </c>
      <c r="AG127" s="48">
        <v>31</v>
      </c>
      <c r="AH127" s="48">
        <v>31</v>
      </c>
      <c r="AI127" s="48">
        <v>30</v>
      </c>
      <c r="AJ127" s="12">
        <v>27</v>
      </c>
      <c r="AK127" s="12">
        <v>27</v>
      </c>
      <c r="AL127" s="253">
        <f t="shared" si="7"/>
        <v>365</v>
      </c>
      <c r="AM127" s="16">
        <v>30</v>
      </c>
      <c r="AN127" s="13" t="s">
        <v>198</v>
      </c>
      <c r="AO127" s="9">
        <f>SUM(2539+246)</f>
        <v>2785</v>
      </c>
      <c r="AP127" s="14">
        <v>0</v>
      </c>
      <c r="AQ127" s="7">
        <f>SUM(7726+678)</f>
        <v>8404</v>
      </c>
      <c r="AR127" s="181"/>
    </row>
    <row r="128" spans="1:44" s="103" customFormat="1" ht="26.5" customHeight="1" x14ac:dyDescent="0.2">
      <c r="A128" s="4">
        <v>121</v>
      </c>
      <c r="B128" s="17">
        <v>248</v>
      </c>
      <c r="C128" s="120" t="s">
        <v>308</v>
      </c>
      <c r="D128" s="5">
        <v>504.65800000000002</v>
      </c>
      <c r="E128" s="29">
        <v>2009</v>
      </c>
      <c r="F128" s="182" t="s">
        <v>325</v>
      </c>
      <c r="G128" s="186" t="s">
        <v>426</v>
      </c>
      <c r="H128" s="7">
        <v>0</v>
      </c>
      <c r="I128" s="7">
        <v>0</v>
      </c>
      <c r="J128" s="7">
        <v>0</v>
      </c>
      <c r="K128" s="14">
        <v>0</v>
      </c>
      <c r="L128" s="7">
        <v>0</v>
      </c>
      <c r="M128" s="7">
        <v>0</v>
      </c>
      <c r="N128" s="7">
        <v>0</v>
      </c>
      <c r="O128" s="22">
        <v>0</v>
      </c>
      <c r="P128" s="22">
        <v>0</v>
      </c>
      <c r="Q128" s="23">
        <v>0</v>
      </c>
      <c r="R128" s="218">
        <v>0</v>
      </c>
      <c r="S128" s="23">
        <v>0</v>
      </c>
      <c r="T128" s="8">
        <v>0</v>
      </c>
      <c r="U128" s="23">
        <v>0</v>
      </c>
      <c r="V128" s="23">
        <v>0</v>
      </c>
      <c r="W128" s="22">
        <v>0</v>
      </c>
      <c r="X128" s="7">
        <v>372.5</v>
      </c>
      <c r="Y128" s="22">
        <v>459</v>
      </c>
      <c r="Z128" s="9">
        <v>1292.5</v>
      </c>
      <c r="AA128" s="9">
        <v>1722.5</v>
      </c>
      <c r="AB128" s="237">
        <f t="shared" si="6"/>
        <v>3846.5</v>
      </c>
      <c r="AC128" s="265">
        <v>0</v>
      </c>
      <c r="AD128" s="16" t="s">
        <v>78</v>
      </c>
      <c r="AE128" s="16" t="s">
        <v>78</v>
      </c>
      <c r="AF128" s="255">
        <v>0</v>
      </c>
      <c r="AG128" s="48">
        <v>0</v>
      </c>
      <c r="AH128" s="48">
        <v>12</v>
      </c>
      <c r="AI128" s="48">
        <v>19</v>
      </c>
      <c r="AJ128" s="12">
        <v>39</v>
      </c>
      <c r="AK128" s="12">
        <v>48</v>
      </c>
      <c r="AL128" s="253">
        <f t="shared" si="7"/>
        <v>118</v>
      </c>
      <c r="AM128" s="11">
        <v>30</v>
      </c>
      <c r="AN128" s="13" t="s">
        <v>198</v>
      </c>
      <c r="AO128" s="9">
        <f>SUM(519+460)</f>
        <v>979</v>
      </c>
      <c r="AP128" s="14">
        <v>0</v>
      </c>
      <c r="AQ128" s="7">
        <f>SUM(1604+1264)</f>
        <v>2868</v>
      </c>
      <c r="AR128" s="181"/>
    </row>
    <row r="129" spans="1:44" s="103" customFormat="1" ht="26.65" customHeight="1" x14ac:dyDescent="0.2">
      <c r="A129" s="4">
        <v>122</v>
      </c>
      <c r="B129" s="17">
        <v>219</v>
      </c>
      <c r="C129" s="120" t="s">
        <v>150</v>
      </c>
      <c r="D129" s="5">
        <v>504.65100000000001</v>
      </c>
      <c r="E129" s="29">
        <v>2004</v>
      </c>
      <c r="F129" s="182" t="s">
        <v>373</v>
      </c>
      <c r="G129" s="182" t="s">
        <v>356</v>
      </c>
      <c r="H129" s="7">
        <v>0</v>
      </c>
      <c r="I129" s="7">
        <v>0</v>
      </c>
      <c r="J129" s="7">
        <v>0</v>
      </c>
      <c r="K129" s="14">
        <v>0</v>
      </c>
      <c r="L129" s="7">
        <v>0</v>
      </c>
      <c r="M129" s="7">
        <v>0</v>
      </c>
      <c r="N129" s="7">
        <v>0</v>
      </c>
      <c r="O129" s="22">
        <v>0</v>
      </c>
      <c r="P129" s="7">
        <v>0</v>
      </c>
      <c r="Q129" s="9">
        <v>0</v>
      </c>
      <c r="R129" s="218">
        <v>0</v>
      </c>
      <c r="S129" s="8">
        <v>1200</v>
      </c>
      <c r="T129" s="8">
        <v>2040</v>
      </c>
      <c r="U129" s="8">
        <v>1800</v>
      </c>
      <c r="V129" s="8">
        <v>1920</v>
      </c>
      <c r="W129" s="7">
        <v>2041</v>
      </c>
      <c r="X129" s="7">
        <v>2682.5</v>
      </c>
      <c r="Y129" s="7">
        <v>3450</v>
      </c>
      <c r="Z129" s="9">
        <v>3366</v>
      </c>
      <c r="AA129" s="9">
        <v>3040</v>
      </c>
      <c r="AB129" s="237">
        <f t="shared" si="6"/>
        <v>21539.5</v>
      </c>
      <c r="AC129" s="265">
        <v>0</v>
      </c>
      <c r="AD129" s="16" t="s">
        <v>78</v>
      </c>
      <c r="AE129" s="16" t="s">
        <v>78</v>
      </c>
      <c r="AF129" s="255">
        <v>232</v>
      </c>
      <c r="AG129" s="48">
        <v>69</v>
      </c>
      <c r="AH129" s="48">
        <v>86</v>
      </c>
      <c r="AI129" s="48">
        <v>111</v>
      </c>
      <c r="AJ129" s="12">
        <v>107</v>
      </c>
      <c r="AK129" s="12">
        <v>100</v>
      </c>
      <c r="AL129" s="253">
        <f t="shared" si="7"/>
        <v>705</v>
      </c>
      <c r="AM129" s="11">
        <v>30</v>
      </c>
      <c r="AN129" s="13" t="s">
        <v>198</v>
      </c>
      <c r="AO129" s="9">
        <f>SUM(4933+811)</f>
        <v>5744</v>
      </c>
      <c r="AP129" s="14">
        <v>0</v>
      </c>
      <c r="AQ129" s="7">
        <f>SUM(13566+2230)</f>
        <v>15796</v>
      </c>
      <c r="AR129" s="181"/>
    </row>
    <row r="130" spans="1:44" s="103" customFormat="1" ht="13" customHeight="1" x14ac:dyDescent="0.2">
      <c r="A130" s="4">
        <v>123</v>
      </c>
      <c r="B130" s="17">
        <v>22</v>
      </c>
      <c r="C130" s="120" t="s">
        <v>57</v>
      </c>
      <c r="D130" s="28" t="s">
        <v>294</v>
      </c>
      <c r="E130" s="29">
        <v>1991</v>
      </c>
      <c r="F130" s="182" t="s">
        <v>331</v>
      </c>
      <c r="G130" s="183" t="s">
        <v>358</v>
      </c>
      <c r="H130" s="7">
        <v>230</v>
      </c>
      <c r="I130" s="7">
        <v>430</v>
      </c>
      <c r="J130" s="7">
        <v>190</v>
      </c>
      <c r="K130" s="14">
        <v>370</v>
      </c>
      <c r="L130" s="7">
        <v>990</v>
      </c>
      <c r="M130" s="7">
        <v>823</v>
      </c>
      <c r="N130" s="7">
        <v>1028</v>
      </c>
      <c r="O130" s="22">
        <v>1340</v>
      </c>
      <c r="P130" s="7">
        <v>1665</v>
      </c>
      <c r="Q130" s="9">
        <v>1690</v>
      </c>
      <c r="R130" s="218">
        <v>8756</v>
      </c>
      <c r="S130" s="8">
        <v>1675</v>
      </c>
      <c r="T130" s="8">
        <v>7395</v>
      </c>
      <c r="U130" s="8">
        <v>1740</v>
      </c>
      <c r="V130" s="8">
        <v>1789</v>
      </c>
      <c r="W130" s="7">
        <v>133</v>
      </c>
      <c r="X130" s="8">
        <v>1</v>
      </c>
      <c r="Y130" s="7">
        <v>0</v>
      </c>
      <c r="Z130" s="9">
        <v>0</v>
      </c>
      <c r="AA130" s="9">
        <v>0</v>
      </c>
      <c r="AB130" s="237">
        <f t="shared" si="6"/>
        <v>21489</v>
      </c>
      <c r="AC130" s="265">
        <v>875.6</v>
      </c>
      <c r="AD130" s="16">
        <v>10</v>
      </c>
      <c r="AE130" s="13" t="s">
        <v>189</v>
      </c>
      <c r="AF130" s="255">
        <v>2135.5</v>
      </c>
      <c r="AG130" s="48">
        <v>219</v>
      </c>
      <c r="AH130" s="12">
        <v>256</v>
      </c>
      <c r="AI130" s="48">
        <v>319</v>
      </c>
      <c r="AJ130" s="12">
        <v>385</v>
      </c>
      <c r="AK130" s="12">
        <v>375</v>
      </c>
      <c r="AL130" s="253">
        <f t="shared" si="7"/>
        <v>3689.5</v>
      </c>
      <c r="AM130" s="11" t="s">
        <v>158</v>
      </c>
      <c r="AN130" s="13" t="s">
        <v>187</v>
      </c>
      <c r="AO130" s="9">
        <f>[1]Sheet1!I91</f>
        <v>21489</v>
      </c>
      <c r="AP130" s="14">
        <v>0</v>
      </c>
      <c r="AQ130" s="7">
        <f>[1]Sheet1!N91</f>
        <v>0</v>
      </c>
      <c r="AR130" s="181"/>
    </row>
    <row r="131" spans="1:44" s="104" customFormat="1" ht="23.8" customHeight="1" x14ac:dyDescent="0.2">
      <c r="A131" s="4">
        <v>124</v>
      </c>
      <c r="B131" s="17">
        <v>220</v>
      </c>
      <c r="C131" s="120" t="s">
        <v>139</v>
      </c>
      <c r="D131" s="28">
        <v>504.64400000000001</v>
      </c>
      <c r="E131" s="29">
        <v>2004</v>
      </c>
      <c r="F131" s="183" t="s">
        <v>398</v>
      </c>
      <c r="G131" s="182" t="s">
        <v>357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224">
        <v>0</v>
      </c>
      <c r="S131" s="8">
        <v>3150</v>
      </c>
      <c r="T131" s="8">
        <v>6900</v>
      </c>
      <c r="U131" s="8">
        <v>8790</v>
      </c>
      <c r="V131" s="8">
        <v>11370</v>
      </c>
      <c r="W131" s="7">
        <v>13713</v>
      </c>
      <c r="X131" s="8">
        <v>16495</v>
      </c>
      <c r="Y131" s="7">
        <v>17483</v>
      </c>
      <c r="Z131" s="9">
        <v>16837.5</v>
      </c>
      <c r="AA131" s="9">
        <v>16567.5</v>
      </c>
      <c r="AB131" s="237">
        <f t="shared" si="6"/>
        <v>111306</v>
      </c>
      <c r="AC131" s="265">
        <v>0</v>
      </c>
      <c r="AD131" s="16" t="s">
        <v>78</v>
      </c>
      <c r="AE131" s="16" t="s">
        <v>78</v>
      </c>
      <c r="AF131" s="255">
        <v>1007</v>
      </c>
      <c r="AG131" s="48">
        <v>482</v>
      </c>
      <c r="AH131" s="48">
        <v>544</v>
      </c>
      <c r="AI131" s="48">
        <v>557</v>
      </c>
      <c r="AJ131" s="12">
        <v>559</v>
      </c>
      <c r="AK131" s="12">
        <v>523</v>
      </c>
      <c r="AL131" s="253">
        <f t="shared" si="7"/>
        <v>3672</v>
      </c>
      <c r="AM131" s="11">
        <v>30</v>
      </c>
      <c r="AN131" s="13" t="s">
        <v>198</v>
      </c>
      <c r="AO131" s="9">
        <f>SUM(25264+4418)</f>
        <v>29682</v>
      </c>
      <c r="AP131" s="14">
        <v>0</v>
      </c>
      <c r="AQ131" s="7">
        <f>SUM(69473+12151)</f>
        <v>81624</v>
      </c>
      <c r="AR131" s="116"/>
    </row>
    <row r="132" spans="1:44" s="104" customFormat="1" ht="76.349999999999994" customHeight="1" x14ac:dyDescent="0.2">
      <c r="A132" s="4">
        <v>125</v>
      </c>
      <c r="B132" s="17">
        <v>221</v>
      </c>
      <c r="C132" s="120" t="s">
        <v>138</v>
      </c>
      <c r="D132" s="28">
        <v>504.65199999999999</v>
      </c>
      <c r="E132" s="29">
        <v>2004</v>
      </c>
      <c r="F132" s="183" t="s">
        <v>371</v>
      </c>
      <c r="G132" s="184" t="s">
        <v>513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224">
        <v>0</v>
      </c>
      <c r="S132" s="8">
        <v>4920</v>
      </c>
      <c r="T132" s="8">
        <v>6780</v>
      </c>
      <c r="U132" s="8">
        <v>7710</v>
      </c>
      <c r="V132" s="8">
        <v>8100</v>
      </c>
      <c r="W132" s="7">
        <v>8828</v>
      </c>
      <c r="X132" s="8">
        <v>9997.5</v>
      </c>
      <c r="Y132" s="7">
        <v>10892</v>
      </c>
      <c r="Z132" s="9">
        <v>10830</v>
      </c>
      <c r="AA132" s="9">
        <v>11580</v>
      </c>
      <c r="AB132" s="237">
        <f t="shared" si="6"/>
        <v>79637.5</v>
      </c>
      <c r="AC132" s="265">
        <v>0</v>
      </c>
      <c r="AD132" s="16" t="s">
        <v>78</v>
      </c>
      <c r="AE132" s="16" t="s">
        <v>78</v>
      </c>
      <c r="AF132" s="255">
        <v>917</v>
      </c>
      <c r="AG132" s="48">
        <v>308</v>
      </c>
      <c r="AH132" s="48">
        <v>330</v>
      </c>
      <c r="AI132" s="48">
        <v>352</v>
      </c>
      <c r="AJ132" s="12">
        <v>355</v>
      </c>
      <c r="AK132" s="12">
        <v>368</v>
      </c>
      <c r="AL132" s="253">
        <f t="shared" si="7"/>
        <v>2630</v>
      </c>
      <c r="AM132" s="11">
        <v>30</v>
      </c>
      <c r="AN132" s="13" t="s">
        <v>198</v>
      </c>
      <c r="AO132" s="9">
        <f>SUM(18149+3088)</f>
        <v>21237</v>
      </c>
      <c r="AP132" s="14">
        <v>0</v>
      </c>
      <c r="AQ132" s="7">
        <f>SUM(49908+8493)</f>
        <v>58401</v>
      </c>
      <c r="AR132" s="116"/>
    </row>
    <row r="133" spans="1:44" s="104" customFormat="1" ht="25.95" customHeight="1" x14ac:dyDescent="0.2">
      <c r="A133" s="4">
        <v>126</v>
      </c>
      <c r="B133" s="17">
        <v>139</v>
      </c>
      <c r="C133" s="120" t="s">
        <v>104</v>
      </c>
      <c r="D133" s="5" t="s">
        <v>249</v>
      </c>
      <c r="E133" s="29">
        <v>1998</v>
      </c>
      <c r="F133" s="182" t="s">
        <v>325</v>
      </c>
      <c r="G133" s="182" t="s">
        <v>326</v>
      </c>
      <c r="H133" s="7">
        <v>0</v>
      </c>
      <c r="I133" s="7">
        <v>0</v>
      </c>
      <c r="J133" s="7">
        <v>0</v>
      </c>
      <c r="K133" s="14">
        <v>0</v>
      </c>
      <c r="L133" s="7">
        <v>0</v>
      </c>
      <c r="M133" s="7">
        <v>390</v>
      </c>
      <c r="N133" s="7">
        <v>660</v>
      </c>
      <c r="O133" s="15">
        <v>720</v>
      </c>
      <c r="P133" s="7">
        <v>690</v>
      </c>
      <c r="Q133" s="14">
        <v>750</v>
      </c>
      <c r="R133" s="218">
        <v>3210</v>
      </c>
      <c r="S133" s="8">
        <v>570</v>
      </c>
      <c r="T133" s="8">
        <v>420</v>
      </c>
      <c r="U133" s="8">
        <v>150</v>
      </c>
      <c r="V133" s="8">
        <v>120</v>
      </c>
      <c r="W133" s="7">
        <v>115</v>
      </c>
      <c r="X133" s="7">
        <v>60</v>
      </c>
      <c r="Y133" s="7">
        <v>60</v>
      </c>
      <c r="Z133" s="9">
        <v>30</v>
      </c>
      <c r="AA133" s="9">
        <v>0</v>
      </c>
      <c r="AB133" s="237">
        <f t="shared" si="6"/>
        <v>4735</v>
      </c>
      <c r="AC133" s="265">
        <v>107</v>
      </c>
      <c r="AD133" s="16">
        <v>30</v>
      </c>
      <c r="AE133" s="13" t="s">
        <v>186</v>
      </c>
      <c r="AF133" s="255">
        <v>149</v>
      </c>
      <c r="AG133" s="48">
        <v>4</v>
      </c>
      <c r="AH133" s="48">
        <v>2</v>
      </c>
      <c r="AI133" s="48">
        <v>1</v>
      </c>
      <c r="AJ133" s="12">
        <v>1</v>
      </c>
      <c r="AK133" s="12">
        <v>0</v>
      </c>
      <c r="AL133" s="253">
        <f t="shared" si="7"/>
        <v>157</v>
      </c>
      <c r="AM133" s="16">
        <v>30</v>
      </c>
      <c r="AN133" s="13" t="s">
        <v>198</v>
      </c>
      <c r="AO133" s="9">
        <f>SUM(942)</f>
        <v>942</v>
      </c>
      <c r="AP133" s="14">
        <v>0</v>
      </c>
      <c r="AQ133" s="7">
        <f>SUM(3793)</f>
        <v>3793</v>
      </c>
      <c r="AR133" s="116"/>
    </row>
    <row r="134" spans="1:44" s="104" customFormat="1" ht="13" customHeight="1" x14ac:dyDescent="0.2">
      <c r="A134" s="4">
        <v>127</v>
      </c>
      <c r="B134" s="17">
        <v>182</v>
      </c>
      <c r="C134" s="120" t="s">
        <v>31</v>
      </c>
      <c r="D134" s="28" t="s">
        <v>142</v>
      </c>
      <c r="E134" s="29">
        <v>2002</v>
      </c>
      <c r="F134" s="183" t="s">
        <v>331</v>
      </c>
      <c r="G134" s="183" t="s">
        <v>358</v>
      </c>
      <c r="H134" s="7">
        <v>0</v>
      </c>
      <c r="I134" s="7">
        <v>0</v>
      </c>
      <c r="J134" s="7">
        <v>0</v>
      </c>
      <c r="K134" s="14">
        <v>0</v>
      </c>
      <c r="L134" s="7">
        <v>0</v>
      </c>
      <c r="M134" s="7">
        <v>0</v>
      </c>
      <c r="N134" s="7">
        <v>0</v>
      </c>
      <c r="O134" s="15">
        <v>0</v>
      </c>
      <c r="P134" s="7">
        <v>70</v>
      </c>
      <c r="Q134" s="9">
        <v>0</v>
      </c>
      <c r="R134" s="218">
        <v>70</v>
      </c>
      <c r="S134" s="8">
        <v>0</v>
      </c>
      <c r="T134" s="8">
        <v>0</v>
      </c>
      <c r="U134" s="8">
        <v>0</v>
      </c>
      <c r="V134" s="8">
        <v>0</v>
      </c>
      <c r="W134" s="7">
        <v>0</v>
      </c>
      <c r="X134" s="7">
        <v>0</v>
      </c>
      <c r="Y134" s="7">
        <v>0</v>
      </c>
      <c r="Z134" s="9">
        <v>0</v>
      </c>
      <c r="AA134" s="9">
        <v>0</v>
      </c>
      <c r="AB134" s="237">
        <f t="shared" si="6"/>
        <v>70</v>
      </c>
      <c r="AC134" s="265">
        <v>7</v>
      </c>
      <c r="AD134" s="16">
        <v>10</v>
      </c>
      <c r="AE134" s="13" t="s">
        <v>90</v>
      </c>
      <c r="AF134" s="255">
        <v>7</v>
      </c>
      <c r="AG134" s="48">
        <v>0</v>
      </c>
      <c r="AH134" s="48">
        <v>0</v>
      </c>
      <c r="AI134" s="48">
        <v>0</v>
      </c>
      <c r="AJ134" s="12">
        <v>0</v>
      </c>
      <c r="AK134" s="12">
        <v>0</v>
      </c>
      <c r="AL134" s="253">
        <f t="shared" si="7"/>
        <v>7</v>
      </c>
      <c r="AM134" s="11" t="s">
        <v>465</v>
      </c>
      <c r="AN134" s="13" t="s">
        <v>90</v>
      </c>
      <c r="AO134" s="9">
        <f>SUM(AB134)</f>
        <v>70</v>
      </c>
      <c r="AP134" s="14">
        <v>0</v>
      </c>
      <c r="AQ134" s="7">
        <f>[1]Sheet1!N95</f>
        <v>0</v>
      </c>
      <c r="AR134" s="116"/>
    </row>
    <row r="135" spans="1:44" s="104" customFormat="1" ht="13" customHeight="1" x14ac:dyDescent="0.2">
      <c r="A135" s="4">
        <v>128</v>
      </c>
      <c r="B135" s="17">
        <v>131</v>
      </c>
      <c r="C135" s="120" t="s">
        <v>105</v>
      </c>
      <c r="D135" s="5" t="s">
        <v>249</v>
      </c>
      <c r="E135" s="29">
        <v>1993</v>
      </c>
      <c r="F135" s="182" t="s">
        <v>105</v>
      </c>
      <c r="G135" s="182" t="s">
        <v>326</v>
      </c>
      <c r="H135" s="7">
        <v>630</v>
      </c>
      <c r="I135" s="7">
        <v>570</v>
      </c>
      <c r="J135" s="7">
        <v>600</v>
      </c>
      <c r="K135" s="14">
        <v>660</v>
      </c>
      <c r="L135" s="7">
        <v>630</v>
      </c>
      <c r="M135" s="7">
        <v>750</v>
      </c>
      <c r="N135" s="7">
        <v>660</v>
      </c>
      <c r="O135" s="15">
        <v>1200</v>
      </c>
      <c r="P135" s="7">
        <v>1140</v>
      </c>
      <c r="Q135" s="9">
        <v>870</v>
      </c>
      <c r="R135" s="218">
        <v>7710</v>
      </c>
      <c r="S135" s="8">
        <v>780</v>
      </c>
      <c r="T135" s="8">
        <v>600</v>
      </c>
      <c r="U135" s="8">
        <v>450</v>
      </c>
      <c r="V135" s="8">
        <v>330</v>
      </c>
      <c r="W135" s="7">
        <v>225</v>
      </c>
      <c r="X135" s="8">
        <v>66</v>
      </c>
      <c r="Y135" s="7">
        <v>215</v>
      </c>
      <c r="Z135" s="9">
        <v>232</v>
      </c>
      <c r="AA135" s="9">
        <v>0</v>
      </c>
      <c r="AB135" s="237">
        <f t="shared" si="6"/>
        <v>10608</v>
      </c>
      <c r="AC135" s="265">
        <v>257</v>
      </c>
      <c r="AD135" s="16">
        <v>30</v>
      </c>
      <c r="AE135" s="13" t="s">
        <v>186</v>
      </c>
      <c r="AF135" s="255">
        <v>329</v>
      </c>
      <c r="AG135" s="48">
        <v>7</v>
      </c>
      <c r="AH135" s="48">
        <v>2</v>
      </c>
      <c r="AI135" s="48">
        <v>1</v>
      </c>
      <c r="AJ135" s="12">
        <v>0</v>
      </c>
      <c r="AK135" s="12"/>
      <c r="AL135" s="253">
        <f t="shared" si="7"/>
        <v>339</v>
      </c>
      <c r="AM135" s="11">
        <v>30</v>
      </c>
      <c r="AN135" s="13" t="s">
        <v>198</v>
      </c>
      <c r="AO135" s="9">
        <f>SUM(1997+62)</f>
        <v>2059</v>
      </c>
      <c r="AP135" s="14">
        <v>0</v>
      </c>
      <c r="AQ135" s="7">
        <f>SUM(8380+169)</f>
        <v>8549</v>
      </c>
      <c r="AR135" s="116"/>
    </row>
    <row r="136" spans="1:44" s="103" customFormat="1" x14ac:dyDescent="0.2">
      <c r="A136" s="4">
        <v>129</v>
      </c>
      <c r="B136" s="17">
        <v>223</v>
      </c>
      <c r="C136" s="120" t="s">
        <v>237</v>
      </c>
      <c r="D136" s="44">
        <v>504.30900000000003</v>
      </c>
      <c r="E136" s="24">
        <v>2008</v>
      </c>
      <c r="F136" s="183" t="s">
        <v>331</v>
      </c>
      <c r="G136" s="183" t="s">
        <v>358</v>
      </c>
      <c r="H136" s="25">
        <v>0</v>
      </c>
      <c r="I136" s="25">
        <v>0</v>
      </c>
      <c r="J136" s="25">
        <v>0</v>
      </c>
      <c r="K136" s="26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8">
        <v>0</v>
      </c>
      <c r="R136" s="218">
        <v>0</v>
      </c>
      <c r="S136" s="8">
        <v>0</v>
      </c>
      <c r="T136" s="8">
        <v>0</v>
      </c>
      <c r="U136" s="8">
        <v>0</v>
      </c>
      <c r="V136" s="10">
        <v>0</v>
      </c>
      <c r="W136" s="7">
        <v>0</v>
      </c>
      <c r="X136" s="7">
        <v>0</v>
      </c>
      <c r="Y136" s="7">
        <v>0</v>
      </c>
      <c r="Z136" s="9">
        <v>0</v>
      </c>
      <c r="AA136" s="9">
        <v>0</v>
      </c>
      <c r="AB136" s="237">
        <f t="shared" ref="AB136:AB199" si="8">SUM(R136:AA136)</f>
        <v>0</v>
      </c>
      <c r="AC136" s="265">
        <v>0</v>
      </c>
      <c r="AD136" s="16" t="s">
        <v>78</v>
      </c>
      <c r="AE136" s="13" t="s">
        <v>78</v>
      </c>
      <c r="AF136" s="255" t="s">
        <v>222</v>
      </c>
      <c r="AG136" s="48">
        <v>179</v>
      </c>
      <c r="AH136" s="48">
        <v>488</v>
      </c>
      <c r="AI136" s="48">
        <v>758</v>
      </c>
      <c r="AJ136" s="12">
        <v>969</v>
      </c>
      <c r="AK136" s="12">
        <v>1085</v>
      </c>
      <c r="AL136" s="253">
        <f t="shared" ref="AL136:AL199" si="9">SUM(AF136:AK136)</f>
        <v>3479</v>
      </c>
      <c r="AM136" s="16"/>
      <c r="AN136" s="46" t="s">
        <v>78</v>
      </c>
      <c r="AO136" s="9">
        <f>[1]Sheet1!I97</f>
        <v>0</v>
      </c>
      <c r="AP136" s="14">
        <v>0</v>
      </c>
      <c r="AQ136" s="7">
        <f>[1]Sheet1!N97</f>
        <v>0</v>
      </c>
      <c r="AR136" s="181"/>
    </row>
    <row r="137" spans="1:44" s="103" customFormat="1" x14ac:dyDescent="0.2">
      <c r="A137" s="4">
        <v>130</v>
      </c>
      <c r="B137" s="17">
        <v>177</v>
      </c>
      <c r="C137" s="120" t="s">
        <v>223</v>
      </c>
      <c r="D137" s="27" t="s">
        <v>172</v>
      </c>
      <c r="E137" s="29">
        <v>2000</v>
      </c>
      <c r="F137" s="182" t="s">
        <v>361</v>
      </c>
      <c r="G137" s="182" t="s">
        <v>427</v>
      </c>
      <c r="H137" s="7">
        <v>0</v>
      </c>
      <c r="I137" s="7">
        <v>0</v>
      </c>
      <c r="J137" s="7">
        <v>0</v>
      </c>
      <c r="K137" s="14">
        <v>0</v>
      </c>
      <c r="L137" s="7">
        <v>0</v>
      </c>
      <c r="M137" s="7">
        <v>0</v>
      </c>
      <c r="N137" s="7">
        <v>1320</v>
      </c>
      <c r="O137" s="15">
        <v>8130</v>
      </c>
      <c r="P137" s="7">
        <v>9090</v>
      </c>
      <c r="Q137" s="9">
        <v>9360</v>
      </c>
      <c r="R137" s="218">
        <v>27900</v>
      </c>
      <c r="S137" s="8">
        <v>7740</v>
      </c>
      <c r="T137" s="8">
        <v>7950</v>
      </c>
      <c r="U137" s="8">
        <v>7350</v>
      </c>
      <c r="V137" s="8">
        <v>7320</v>
      </c>
      <c r="W137" s="7">
        <v>6775</v>
      </c>
      <c r="X137" s="7">
        <v>7680</v>
      </c>
      <c r="Y137" s="33">
        <v>7106</v>
      </c>
      <c r="Z137" s="35">
        <v>7240</v>
      </c>
      <c r="AA137" s="9">
        <v>6592.5</v>
      </c>
      <c r="AB137" s="237">
        <f t="shared" si="8"/>
        <v>93653.5</v>
      </c>
      <c r="AC137" s="265">
        <v>930</v>
      </c>
      <c r="AD137" s="16">
        <v>30</v>
      </c>
      <c r="AE137" s="13" t="s">
        <v>186</v>
      </c>
      <c r="AF137" s="255">
        <v>1942</v>
      </c>
      <c r="AG137" s="48">
        <v>253</v>
      </c>
      <c r="AH137" s="48">
        <v>242</v>
      </c>
      <c r="AI137" s="48">
        <v>230</v>
      </c>
      <c r="AJ137" s="12">
        <v>230</v>
      </c>
      <c r="AK137" s="12">
        <v>203</v>
      </c>
      <c r="AL137" s="253">
        <f t="shared" si="9"/>
        <v>3100</v>
      </c>
      <c r="AM137" s="16">
        <v>30</v>
      </c>
      <c r="AN137" s="13" t="s">
        <v>198</v>
      </c>
      <c r="AO137" s="9">
        <f>SUM(20427+1759)</f>
        <v>22186</v>
      </c>
      <c r="AP137" s="14">
        <v>0</v>
      </c>
      <c r="AQ137" s="7">
        <f>SUM(66634+4834)</f>
        <v>71468</v>
      </c>
      <c r="AR137" s="181"/>
    </row>
    <row r="138" spans="1:44" s="104" customFormat="1" ht="13" customHeight="1" x14ac:dyDescent="0.2">
      <c r="A138" s="4">
        <v>131</v>
      </c>
      <c r="B138" s="17">
        <v>89</v>
      </c>
      <c r="C138" s="120" t="s">
        <v>32</v>
      </c>
      <c r="D138" s="28" t="s">
        <v>78</v>
      </c>
      <c r="E138" s="40" t="s">
        <v>78</v>
      </c>
      <c r="F138" s="183" t="s">
        <v>331</v>
      </c>
      <c r="G138" s="183" t="s">
        <v>358</v>
      </c>
      <c r="H138" s="8">
        <v>160</v>
      </c>
      <c r="I138" s="8">
        <v>450</v>
      </c>
      <c r="J138" s="8">
        <v>600</v>
      </c>
      <c r="K138" s="9">
        <v>360</v>
      </c>
      <c r="L138" s="7">
        <v>0</v>
      </c>
      <c r="M138" s="7">
        <v>1740</v>
      </c>
      <c r="N138" s="7">
        <v>3285</v>
      </c>
      <c r="O138" s="15">
        <v>1875</v>
      </c>
      <c r="P138" s="7">
        <v>0</v>
      </c>
      <c r="Q138" s="9">
        <v>30</v>
      </c>
      <c r="R138" s="218">
        <v>8500</v>
      </c>
      <c r="S138" s="8">
        <v>0</v>
      </c>
      <c r="T138" s="8">
        <v>0</v>
      </c>
      <c r="U138" s="8">
        <v>0</v>
      </c>
      <c r="V138" s="8">
        <v>0</v>
      </c>
      <c r="W138" s="7">
        <v>0</v>
      </c>
      <c r="X138" s="7">
        <v>0</v>
      </c>
      <c r="Y138" s="7">
        <v>0</v>
      </c>
      <c r="Z138" s="9">
        <v>367</v>
      </c>
      <c r="AA138" s="9">
        <f>SUM(321+50+125)</f>
        <v>496</v>
      </c>
      <c r="AB138" s="237">
        <f t="shared" si="8"/>
        <v>9363</v>
      </c>
      <c r="AC138" s="265" t="s">
        <v>76</v>
      </c>
      <c r="AD138" s="48" t="s">
        <v>78</v>
      </c>
      <c r="AE138" s="13" t="s">
        <v>90</v>
      </c>
      <c r="AF138" s="255" t="s">
        <v>76</v>
      </c>
      <c r="AG138" s="48" t="s">
        <v>222</v>
      </c>
      <c r="AH138" s="48">
        <v>0</v>
      </c>
      <c r="AI138" s="48">
        <v>0</v>
      </c>
      <c r="AJ138" s="12">
        <v>0</v>
      </c>
      <c r="AK138" s="12">
        <v>0</v>
      </c>
      <c r="AL138" s="253">
        <f t="shared" si="9"/>
        <v>0</v>
      </c>
      <c r="AM138" s="48" t="s">
        <v>78</v>
      </c>
      <c r="AN138" s="13" t="s">
        <v>90</v>
      </c>
      <c r="AO138" s="9">
        <f>SUM(AB138)</f>
        <v>9363</v>
      </c>
      <c r="AP138" s="14">
        <v>0</v>
      </c>
      <c r="AQ138" s="7">
        <f>[1]Sheet1!N99</f>
        <v>0</v>
      </c>
      <c r="AR138" s="116"/>
    </row>
    <row r="139" spans="1:44" s="104" customFormat="1" x14ac:dyDescent="0.2">
      <c r="A139" s="4">
        <v>132</v>
      </c>
      <c r="B139" s="17"/>
      <c r="C139" s="120" t="s">
        <v>183</v>
      </c>
      <c r="D139" s="28" t="s">
        <v>78</v>
      </c>
      <c r="E139" s="29" t="s">
        <v>78</v>
      </c>
      <c r="F139" s="183" t="s">
        <v>331</v>
      </c>
      <c r="G139" s="183" t="s">
        <v>358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8">
        <v>0</v>
      </c>
      <c r="R139" s="224">
        <v>0</v>
      </c>
      <c r="S139" s="8">
        <v>150</v>
      </c>
      <c r="T139" s="8">
        <v>120</v>
      </c>
      <c r="U139" s="8">
        <v>270</v>
      </c>
      <c r="V139" s="8">
        <v>960</v>
      </c>
      <c r="W139" s="7">
        <v>100</v>
      </c>
      <c r="X139" s="7">
        <v>2128</v>
      </c>
      <c r="Y139" s="7">
        <v>0</v>
      </c>
      <c r="Z139" s="9">
        <v>151</v>
      </c>
      <c r="AA139" s="9">
        <v>0</v>
      </c>
      <c r="AB139" s="237">
        <f t="shared" si="8"/>
        <v>3879</v>
      </c>
      <c r="AC139" s="265">
        <v>0</v>
      </c>
      <c r="AD139" s="16">
        <v>30</v>
      </c>
      <c r="AE139" s="13" t="s">
        <v>186</v>
      </c>
      <c r="AF139" s="255">
        <v>0</v>
      </c>
      <c r="AG139" s="48">
        <v>0</v>
      </c>
      <c r="AH139" s="48">
        <v>0</v>
      </c>
      <c r="AI139" s="48">
        <v>0</v>
      </c>
      <c r="AJ139" s="12">
        <v>0</v>
      </c>
      <c r="AK139" s="12">
        <v>0</v>
      </c>
      <c r="AL139" s="253">
        <f t="shared" si="9"/>
        <v>0</v>
      </c>
      <c r="AM139" s="11">
        <v>30</v>
      </c>
      <c r="AN139" s="13" t="s">
        <v>198</v>
      </c>
      <c r="AO139" s="9">
        <f>[1]Sheet1!I100+151</f>
        <v>3879</v>
      </c>
      <c r="AP139" s="14">
        <v>0</v>
      </c>
      <c r="AQ139" s="7">
        <f>[1]Sheet1!N100</f>
        <v>0</v>
      </c>
      <c r="AR139" s="116"/>
    </row>
    <row r="140" spans="1:44" s="103" customFormat="1" ht="46.8" customHeight="1" x14ac:dyDescent="0.2">
      <c r="A140" s="4">
        <v>133</v>
      </c>
      <c r="B140" s="17">
        <v>207</v>
      </c>
      <c r="C140" s="120" t="s">
        <v>141</v>
      </c>
      <c r="D140" s="28">
        <v>504.637</v>
      </c>
      <c r="E140" s="29">
        <v>2004</v>
      </c>
      <c r="F140" s="183" t="s">
        <v>359</v>
      </c>
      <c r="G140" s="182" t="s">
        <v>374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8">
        <v>0</v>
      </c>
      <c r="R140" s="224">
        <v>0</v>
      </c>
      <c r="S140" s="8">
        <v>44640</v>
      </c>
      <c r="T140" s="8">
        <v>75420</v>
      </c>
      <c r="U140" s="8">
        <v>73730</v>
      </c>
      <c r="V140" s="8">
        <v>86040</v>
      </c>
      <c r="W140" s="7">
        <v>92453</v>
      </c>
      <c r="X140" s="7">
        <v>106685</v>
      </c>
      <c r="Y140" s="7">
        <v>115444</v>
      </c>
      <c r="Z140" s="9">
        <v>111348</v>
      </c>
      <c r="AA140" s="9">
        <v>105620</v>
      </c>
      <c r="AB140" s="237">
        <f t="shared" si="8"/>
        <v>811380</v>
      </c>
      <c r="AC140" s="265">
        <v>0</v>
      </c>
      <c r="AD140" s="16" t="s">
        <v>78</v>
      </c>
      <c r="AE140" s="16" t="s">
        <v>78</v>
      </c>
      <c r="AF140" s="255">
        <v>9327.6666666666661</v>
      </c>
      <c r="AG140" s="48">
        <v>3254</v>
      </c>
      <c r="AH140" s="48">
        <v>3454</v>
      </c>
      <c r="AI140" s="48">
        <v>3707</v>
      </c>
      <c r="AJ140" s="12">
        <v>3620</v>
      </c>
      <c r="AK140" s="12">
        <v>3352</v>
      </c>
      <c r="AL140" s="253">
        <f t="shared" si="9"/>
        <v>26714.666666666664</v>
      </c>
      <c r="AM140" s="11">
        <v>30</v>
      </c>
      <c r="AN140" s="13" t="s">
        <v>198</v>
      </c>
      <c r="AO140" s="9">
        <f>SUM(188209+28167)</f>
        <v>216376</v>
      </c>
      <c r="AP140" s="14">
        <v>0</v>
      </c>
      <c r="AQ140" s="7">
        <f>SUM(517550+77454)</f>
        <v>595004</v>
      </c>
      <c r="AR140" s="181"/>
    </row>
    <row r="141" spans="1:44" s="104" customFormat="1" ht="13" customHeight="1" x14ac:dyDescent="0.2">
      <c r="A141" s="4">
        <v>134</v>
      </c>
      <c r="B141" s="17">
        <v>145</v>
      </c>
      <c r="C141" s="120" t="s">
        <v>112</v>
      </c>
      <c r="D141" s="5" t="s">
        <v>248</v>
      </c>
      <c r="E141" s="29">
        <v>2002</v>
      </c>
      <c r="F141" s="182" t="s">
        <v>375</v>
      </c>
      <c r="G141" s="182" t="s">
        <v>326</v>
      </c>
      <c r="H141" s="7">
        <v>0</v>
      </c>
      <c r="I141" s="8">
        <v>0</v>
      </c>
      <c r="J141" s="8">
        <v>0</v>
      </c>
      <c r="K141" s="9">
        <v>0</v>
      </c>
      <c r="L141" s="8">
        <v>0</v>
      </c>
      <c r="M141" s="8">
        <v>0</v>
      </c>
      <c r="N141" s="8">
        <v>0</v>
      </c>
      <c r="O141" s="15">
        <v>0</v>
      </c>
      <c r="P141" s="8">
        <v>210</v>
      </c>
      <c r="Q141" s="14">
        <v>270</v>
      </c>
      <c r="R141" s="229">
        <v>480</v>
      </c>
      <c r="S141" s="7">
        <v>150</v>
      </c>
      <c r="T141" s="7">
        <v>60</v>
      </c>
      <c r="U141" s="7">
        <v>30</v>
      </c>
      <c r="V141" s="7">
        <v>30</v>
      </c>
      <c r="W141" s="7">
        <v>30</v>
      </c>
      <c r="X141" s="7">
        <v>0</v>
      </c>
      <c r="Y141" s="7">
        <v>0</v>
      </c>
      <c r="Z141" s="9">
        <v>0</v>
      </c>
      <c r="AA141" s="9">
        <v>0</v>
      </c>
      <c r="AB141" s="237">
        <f t="shared" si="8"/>
        <v>780</v>
      </c>
      <c r="AC141" s="265">
        <v>16</v>
      </c>
      <c r="AD141" s="16">
        <v>30</v>
      </c>
      <c r="AE141" s="13" t="s">
        <v>186</v>
      </c>
      <c r="AF141" s="255">
        <v>25</v>
      </c>
      <c r="AG141" s="48">
        <v>1</v>
      </c>
      <c r="AH141" s="48">
        <v>0</v>
      </c>
      <c r="AI141" s="48">
        <v>0</v>
      </c>
      <c r="AJ141" s="12">
        <v>0</v>
      </c>
      <c r="AK141" s="12">
        <v>0</v>
      </c>
      <c r="AL141" s="253">
        <f t="shared" si="9"/>
        <v>26</v>
      </c>
      <c r="AM141" s="11">
        <v>30</v>
      </c>
      <c r="AN141" s="13" t="s">
        <v>198</v>
      </c>
      <c r="AO141" s="9">
        <f>[1]Sheet1!I102</f>
        <v>160</v>
      </c>
      <c r="AP141" s="14">
        <v>0</v>
      </c>
      <c r="AQ141" s="7">
        <f>[1]Sheet1!N102</f>
        <v>620</v>
      </c>
      <c r="AR141" s="116"/>
    </row>
    <row r="142" spans="1:44" s="103" customFormat="1" ht="28.1" customHeight="1" x14ac:dyDescent="0.2">
      <c r="A142" s="4">
        <v>135</v>
      </c>
      <c r="B142" s="29">
        <v>281</v>
      </c>
      <c r="C142" s="120" t="s">
        <v>315</v>
      </c>
      <c r="D142" s="5">
        <v>504.80099999999999</v>
      </c>
      <c r="E142" s="29">
        <v>2010</v>
      </c>
      <c r="F142" s="182" t="s">
        <v>325</v>
      </c>
      <c r="G142" s="182" t="s">
        <v>326</v>
      </c>
      <c r="H142" s="7">
        <v>0</v>
      </c>
      <c r="I142" s="7">
        <v>0</v>
      </c>
      <c r="J142" s="7">
        <v>0</v>
      </c>
      <c r="K142" s="14">
        <v>0</v>
      </c>
      <c r="L142" s="7">
        <v>0</v>
      </c>
      <c r="M142" s="7">
        <v>0</v>
      </c>
      <c r="N142" s="7">
        <v>0</v>
      </c>
      <c r="O142" s="22">
        <v>0</v>
      </c>
      <c r="P142" s="22">
        <v>0</v>
      </c>
      <c r="Q142" s="22">
        <v>0</v>
      </c>
      <c r="R142" s="229">
        <v>0</v>
      </c>
      <c r="S142" s="22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8260</v>
      </c>
      <c r="Z142" s="9">
        <v>11250</v>
      </c>
      <c r="AA142" s="9">
        <v>12265</v>
      </c>
      <c r="AB142" s="237">
        <f t="shared" si="8"/>
        <v>31775</v>
      </c>
      <c r="AC142" s="265">
        <v>0</v>
      </c>
      <c r="AD142" s="16" t="s">
        <v>78</v>
      </c>
      <c r="AE142" s="16" t="s">
        <v>78</v>
      </c>
      <c r="AF142" s="255">
        <v>0</v>
      </c>
      <c r="AG142" s="48">
        <v>0</v>
      </c>
      <c r="AH142" s="48">
        <v>0</v>
      </c>
      <c r="AI142" s="48">
        <v>287</v>
      </c>
      <c r="AJ142" s="12">
        <v>374</v>
      </c>
      <c r="AK142" s="12">
        <v>404</v>
      </c>
      <c r="AL142" s="253">
        <f t="shared" si="9"/>
        <v>1065</v>
      </c>
      <c r="AM142" s="11">
        <v>30</v>
      </c>
      <c r="AN142" s="13" t="s">
        <v>198</v>
      </c>
      <c r="AO142" s="9">
        <f>SUM(5203+3271)</f>
        <v>8474</v>
      </c>
      <c r="AP142" s="14">
        <v>0</v>
      </c>
      <c r="AQ142" s="7">
        <f>SUM(14307+8994)</f>
        <v>23301</v>
      </c>
      <c r="AR142" s="181"/>
    </row>
    <row r="143" spans="1:44" s="104" customFormat="1" ht="13" customHeight="1" x14ac:dyDescent="0.2">
      <c r="A143" s="4">
        <v>136</v>
      </c>
      <c r="B143" s="17">
        <v>226</v>
      </c>
      <c r="C143" s="120" t="s">
        <v>238</v>
      </c>
      <c r="D143" s="202">
        <v>504.31349999999998</v>
      </c>
      <c r="E143" s="29">
        <v>2003</v>
      </c>
      <c r="F143" s="182" t="s">
        <v>331</v>
      </c>
      <c r="G143" s="183" t="s">
        <v>358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226">
        <v>0</v>
      </c>
      <c r="S143" s="7">
        <v>0</v>
      </c>
      <c r="T143" s="7">
        <v>0</v>
      </c>
      <c r="U143" s="7">
        <v>0</v>
      </c>
      <c r="V143" s="7">
        <v>0</v>
      </c>
      <c r="W143" s="7">
        <v>30</v>
      </c>
      <c r="X143" s="7">
        <v>0</v>
      </c>
      <c r="Y143" s="7">
        <v>0</v>
      </c>
      <c r="Z143" s="9">
        <v>0</v>
      </c>
      <c r="AA143" s="9">
        <v>0</v>
      </c>
      <c r="AB143" s="237">
        <f t="shared" si="8"/>
        <v>30</v>
      </c>
      <c r="AC143" s="265">
        <v>0</v>
      </c>
      <c r="AD143" s="16">
        <v>0</v>
      </c>
      <c r="AE143" s="13" t="s">
        <v>78</v>
      </c>
      <c r="AF143" s="255">
        <v>0</v>
      </c>
      <c r="AG143" s="48">
        <v>2253</v>
      </c>
      <c r="AH143" s="48">
        <v>2670</v>
      </c>
      <c r="AI143" s="48">
        <v>3533</v>
      </c>
      <c r="AJ143" s="12">
        <v>4037</v>
      </c>
      <c r="AK143" s="12">
        <v>4087</v>
      </c>
      <c r="AL143" s="253">
        <f t="shared" si="9"/>
        <v>16580</v>
      </c>
      <c r="AM143" s="11">
        <v>0</v>
      </c>
      <c r="AN143" s="13" t="s">
        <v>90</v>
      </c>
      <c r="AO143" s="9">
        <f>SUM(AB143)</f>
        <v>30</v>
      </c>
      <c r="AP143" s="14">
        <v>0</v>
      </c>
      <c r="AQ143" s="7">
        <f>[1]Sheet1!N104</f>
        <v>0</v>
      </c>
      <c r="AR143" s="116"/>
    </row>
    <row r="144" spans="1:44" s="163" customFormat="1" ht="13" customHeight="1" x14ac:dyDescent="0.2">
      <c r="A144" s="4">
        <v>137</v>
      </c>
      <c r="B144" s="17">
        <v>171</v>
      </c>
      <c r="C144" s="120" t="s">
        <v>242</v>
      </c>
      <c r="D144" s="28" t="s">
        <v>219</v>
      </c>
      <c r="E144" s="29">
        <v>2001</v>
      </c>
      <c r="F144" s="182" t="s">
        <v>331</v>
      </c>
      <c r="G144" s="186" t="s">
        <v>358</v>
      </c>
      <c r="H144" s="7">
        <v>0</v>
      </c>
      <c r="I144" s="7">
        <v>0</v>
      </c>
      <c r="J144" s="7">
        <v>0</v>
      </c>
      <c r="K144" s="14">
        <v>0</v>
      </c>
      <c r="L144" s="7">
        <v>0</v>
      </c>
      <c r="M144" s="7">
        <v>0</v>
      </c>
      <c r="N144" s="7">
        <v>0</v>
      </c>
      <c r="O144" s="14">
        <v>6700</v>
      </c>
      <c r="P144" s="14">
        <v>8750</v>
      </c>
      <c r="Q144" s="14">
        <v>11710</v>
      </c>
      <c r="R144" s="229">
        <v>27160</v>
      </c>
      <c r="S144" s="14">
        <v>16500</v>
      </c>
      <c r="T144" s="14">
        <v>18030</v>
      </c>
      <c r="U144" s="14">
        <v>17310</v>
      </c>
      <c r="V144" s="14">
        <v>18300</v>
      </c>
      <c r="W144" s="14">
        <v>18022</v>
      </c>
      <c r="X144" s="14">
        <v>21346</v>
      </c>
      <c r="Y144" s="14">
        <v>23532</v>
      </c>
      <c r="Z144" s="9">
        <v>22954</v>
      </c>
      <c r="AA144" s="9">
        <v>23394.5</v>
      </c>
      <c r="AB144" s="237">
        <f t="shared" si="8"/>
        <v>206548.5</v>
      </c>
      <c r="AC144" s="265">
        <v>905.33333333333337</v>
      </c>
      <c r="AD144" s="16">
        <v>30</v>
      </c>
      <c r="AE144" s="13" t="s">
        <v>90</v>
      </c>
      <c r="AF144" s="255">
        <v>3243.3333333333335</v>
      </c>
      <c r="AG144" s="48">
        <v>642</v>
      </c>
      <c r="AH144" s="48">
        <v>679</v>
      </c>
      <c r="AI144" s="48">
        <v>745</v>
      </c>
      <c r="AJ144" s="12">
        <v>754</v>
      </c>
      <c r="AK144" s="12">
        <v>733</v>
      </c>
      <c r="AL144" s="253">
        <f t="shared" si="9"/>
        <v>6796.3333333333339</v>
      </c>
      <c r="AM144" s="11">
        <v>30</v>
      </c>
      <c r="AN144" s="13" t="s">
        <v>90</v>
      </c>
      <c r="AO144" s="9">
        <f>SUM(AB144)</f>
        <v>206548.5</v>
      </c>
      <c r="AP144" s="14">
        <v>0</v>
      </c>
      <c r="AQ144" s="7">
        <f>[1]Sheet1!N105</f>
        <v>0</v>
      </c>
      <c r="AR144" s="116"/>
    </row>
    <row r="145" spans="1:44" s="103" customFormat="1" ht="24.5" x14ac:dyDescent="0.2">
      <c r="A145" s="4">
        <v>138</v>
      </c>
      <c r="B145" s="17">
        <v>121</v>
      </c>
      <c r="C145" s="120" t="s">
        <v>33</v>
      </c>
      <c r="D145" s="5" t="s">
        <v>249</v>
      </c>
      <c r="E145" s="29">
        <v>1991</v>
      </c>
      <c r="F145" s="182" t="s">
        <v>325</v>
      </c>
      <c r="G145" s="182" t="s">
        <v>326</v>
      </c>
      <c r="H145" s="7">
        <v>240</v>
      </c>
      <c r="I145" s="7">
        <v>210</v>
      </c>
      <c r="J145" s="7">
        <v>120</v>
      </c>
      <c r="K145" s="14">
        <v>180</v>
      </c>
      <c r="L145" s="7">
        <v>270</v>
      </c>
      <c r="M145" s="7">
        <v>180</v>
      </c>
      <c r="N145" s="7">
        <v>30</v>
      </c>
      <c r="O145" s="14">
        <v>30</v>
      </c>
      <c r="P145" s="7">
        <v>90</v>
      </c>
      <c r="Q145" s="14">
        <v>30</v>
      </c>
      <c r="R145" s="229">
        <v>1380</v>
      </c>
      <c r="S145" s="7">
        <v>30</v>
      </c>
      <c r="T145" s="7">
        <v>30</v>
      </c>
      <c r="U145" s="7">
        <v>180</v>
      </c>
      <c r="V145" s="7">
        <v>30</v>
      </c>
      <c r="W145" s="7">
        <v>31</v>
      </c>
      <c r="X145" s="7">
        <v>0</v>
      </c>
      <c r="Y145" s="7">
        <v>0</v>
      </c>
      <c r="Z145" s="9">
        <v>0</v>
      </c>
      <c r="AA145" s="9">
        <v>0</v>
      </c>
      <c r="AB145" s="237">
        <f t="shared" si="8"/>
        <v>1681</v>
      </c>
      <c r="AC145" s="265">
        <v>46</v>
      </c>
      <c r="AD145" s="16">
        <v>30</v>
      </c>
      <c r="AE145" s="13" t="s">
        <v>90</v>
      </c>
      <c r="AF145" s="255">
        <v>55</v>
      </c>
      <c r="AG145" s="48">
        <v>1</v>
      </c>
      <c r="AH145" s="48">
        <v>0</v>
      </c>
      <c r="AI145" s="48">
        <v>0</v>
      </c>
      <c r="AJ145" s="12">
        <v>0</v>
      </c>
      <c r="AK145" s="12">
        <v>0</v>
      </c>
      <c r="AL145" s="253">
        <f t="shared" si="9"/>
        <v>56</v>
      </c>
      <c r="AM145" s="11">
        <v>30</v>
      </c>
      <c r="AN145" s="13" t="s">
        <v>198</v>
      </c>
      <c r="AO145" s="9">
        <f>[1]Sheet1!I106</f>
        <v>311</v>
      </c>
      <c r="AP145" s="14">
        <v>0</v>
      </c>
      <c r="AQ145" s="7">
        <f>[1]Sheet1!N106</f>
        <v>1370</v>
      </c>
      <c r="AR145" s="181"/>
    </row>
    <row r="146" spans="1:44" s="103" customFormat="1" x14ac:dyDescent="0.2">
      <c r="A146" s="4">
        <v>139</v>
      </c>
      <c r="B146" s="17">
        <v>42</v>
      </c>
      <c r="C146" s="120" t="s">
        <v>102</v>
      </c>
      <c r="D146" s="28" t="s">
        <v>261</v>
      </c>
      <c r="E146" s="29">
        <v>1996</v>
      </c>
      <c r="F146" s="182" t="s">
        <v>331</v>
      </c>
      <c r="G146" s="183" t="s">
        <v>358</v>
      </c>
      <c r="H146" s="7">
        <v>0</v>
      </c>
      <c r="I146" s="7">
        <v>0</v>
      </c>
      <c r="J146" s="7">
        <v>2140</v>
      </c>
      <c r="K146" s="14">
        <v>3793</v>
      </c>
      <c r="L146" s="7">
        <v>2960</v>
      </c>
      <c r="M146" s="7">
        <v>4250</v>
      </c>
      <c r="N146" s="7">
        <v>5021</v>
      </c>
      <c r="O146" s="15">
        <v>5540</v>
      </c>
      <c r="P146" s="7">
        <v>7222</v>
      </c>
      <c r="Q146" s="14">
        <v>7570</v>
      </c>
      <c r="R146" s="229">
        <v>38496</v>
      </c>
      <c r="S146" s="7">
        <v>8255</v>
      </c>
      <c r="T146" s="7">
        <v>8708</v>
      </c>
      <c r="U146" s="7">
        <v>8748</v>
      </c>
      <c r="V146" s="7">
        <v>8572</v>
      </c>
      <c r="W146" s="7">
        <v>7731</v>
      </c>
      <c r="X146" s="7">
        <v>3318</v>
      </c>
      <c r="Y146" s="7">
        <v>10628</v>
      </c>
      <c r="Z146" s="9">
        <v>10987</v>
      </c>
      <c r="AA146" s="9">
        <v>11606.67</v>
      </c>
      <c r="AB146" s="237">
        <f t="shared" si="8"/>
        <v>117049.67</v>
      </c>
      <c r="AC146" s="265">
        <v>1924.8</v>
      </c>
      <c r="AD146" s="16">
        <v>20</v>
      </c>
      <c r="AE146" s="13" t="s">
        <v>90</v>
      </c>
      <c r="AF146" s="255">
        <v>3638.95</v>
      </c>
      <c r="AG146" s="48">
        <v>441</v>
      </c>
      <c r="AH146" s="48">
        <v>494</v>
      </c>
      <c r="AI146" s="48">
        <v>518</v>
      </c>
      <c r="AJ146" s="12">
        <v>544</v>
      </c>
      <c r="AK146" s="12">
        <v>559</v>
      </c>
      <c r="AL146" s="253">
        <f t="shared" si="9"/>
        <v>6194.95</v>
      </c>
      <c r="AM146" s="11">
        <v>20</v>
      </c>
      <c r="AN146" s="13" t="s">
        <v>90</v>
      </c>
      <c r="AO146" s="9">
        <f>SUM(AB146)</f>
        <v>117049.67</v>
      </c>
      <c r="AP146" s="14">
        <v>0</v>
      </c>
      <c r="AQ146" s="7">
        <f>[1]Sheet1!N107</f>
        <v>0</v>
      </c>
      <c r="AR146" s="181"/>
    </row>
    <row r="147" spans="1:44" s="104" customFormat="1" x14ac:dyDescent="0.2">
      <c r="A147" s="4">
        <v>140</v>
      </c>
      <c r="B147" s="17">
        <v>26</v>
      </c>
      <c r="C147" s="120" t="s">
        <v>34</v>
      </c>
      <c r="D147" s="28" t="s">
        <v>157</v>
      </c>
      <c r="E147" s="29">
        <v>1990</v>
      </c>
      <c r="F147" s="183" t="s">
        <v>331</v>
      </c>
      <c r="G147" s="183" t="s">
        <v>358</v>
      </c>
      <c r="H147" s="14">
        <v>2955</v>
      </c>
      <c r="I147" s="14">
        <v>3405</v>
      </c>
      <c r="J147" s="14">
        <v>849</v>
      </c>
      <c r="K147" s="14">
        <v>2811</v>
      </c>
      <c r="L147" s="7">
        <v>2633</v>
      </c>
      <c r="M147" s="7">
        <v>2623</v>
      </c>
      <c r="N147" s="7">
        <v>2580</v>
      </c>
      <c r="O147" s="15">
        <v>2449</v>
      </c>
      <c r="P147" s="7">
        <v>2289</v>
      </c>
      <c r="Q147" s="14">
        <v>2183</v>
      </c>
      <c r="R147" s="229">
        <v>24777</v>
      </c>
      <c r="S147" s="7">
        <v>2042</v>
      </c>
      <c r="T147" s="7">
        <v>2111.6999999999998</v>
      </c>
      <c r="U147" s="7">
        <v>1424.9</v>
      </c>
      <c r="V147" s="7">
        <v>1655</v>
      </c>
      <c r="W147" s="7">
        <v>1332</v>
      </c>
      <c r="X147" s="7">
        <v>1268</v>
      </c>
      <c r="Y147" s="7">
        <v>1068</v>
      </c>
      <c r="Z147" s="9">
        <v>930</v>
      </c>
      <c r="AA147" s="9">
        <v>849</v>
      </c>
      <c r="AB147" s="237">
        <f t="shared" si="8"/>
        <v>37457.600000000006</v>
      </c>
      <c r="AC147" s="265" t="s">
        <v>76</v>
      </c>
      <c r="AD147" s="16" t="s">
        <v>159</v>
      </c>
      <c r="AE147" s="13" t="s">
        <v>90</v>
      </c>
      <c r="AF147" s="255" t="s">
        <v>222</v>
      </c>
      <c r="AG147" s="48">
        <v>70</v>
      </c>
      <c r="AH147" s="48">
        <f>SUM(331+79)</f>
        <v>410</v>
      </c>
      <c r="AI147" s="48">
        <v>357</v>
      </c>
      <c r="AJ147" s="12">
        <f>SUM(241+74)</f>
        <v>315</v>
      </c>
      <c r="AK147" s="12">
        <v>268</v>
      </c>
      <c r="AL147" s="253">
        <f t="shared" si="9"/>
        <v>1420</v>
      </c>
      <c r="AM147" s="11" t="s">
        <v>159</v>
      </c>
      <c r="AN147" s="13" t="s">
        <v>90</v>
      </c>
      <c r="AO147" s="9">
        <f>SUM(AB147)</f>
        <v>37457.600000000006</v>
      </c>
      <c r="AP147" s="14">
        <v>0</v>
      </c>
      <c r="AQ147" s="7">
        <f>[1]Sheet1!N108</f>
        <v>0</v>
      </c>
      <c r="AR147" s="116"/>
    </row>
    <row r="148" spans="1:44" s="104" customFormat="1" x14ac:dyDescent="0.2">
      <c r="A148" s="4">
        <v>141</v>
      </c>
      <c r="B148" s="17">
        <v>90</v>
      </c>
      <c r="C148" s="120" t="s">
        <v>447</v>
      </c>
      <c r="D148" s="28" t="s">
        <v>293</v>
      </c>
      <c r="E148" s="29">
        <v>1965</v>
      </c>
      <c r="F148" s="182" t="s">
        <v>360</v>
      </c>
      <c r="G148" s="182" t="s">
        <v>330</v>
      </c>
      <c r="H148" s="14">
        <v>2240230</v>
      </c>
      <c r="I148" s="14">
        <v>2260125</v>
      </c>
      <c r="J148" s="14">
        <v>1568720</v>
      </c>
      <c r="K148" s="14">
        <v>2274060</v>
      </c>
      <c r="L148" s="7">
        <v>2677440</v>
      </c>
      <c r="M148" s="7">
        <v>2991977</v>
      </c>
      <c r="N148" s="7">
        <v>3227816</v>
      </c>
      <c r="O148" s="15">
        <v>3276280</v>
      </c>
      <c r="P148" s="7">
        <v>3516000</v>
      </c>
      <c r="Q148" s="14">
        <v>3674880</v>
      </c>
      <c r="R148" s="229">
        <v>27707528</v>
      </c>
      <c r="S148" s="7">
        <v>3783920</v>
      </c>
      <c r="T148" s="7">
        <v>3892600</v>
      </c>
      <c r="U148" s="7">
        <v>3731148</v>
      </c>
      <c r="V148" s="7">
        <v>4212240</v>
      </c>
      <c r="W148" s="7">
        <v>4682935</v>
      </c>
      <c r="X148" s="14">
        <v>5792110.46</v>
      </c>
      <c r="Y148" s="7">
        <v>5454483</v>
      </c>
      <c r="Z148" s="9">
        <v>4802122</v>
      </c>
      <c r="AA148" s="9">
        <v>4391897</v>
      </c>
      <c r="AB148" s="237">
        <f t="shared" si="8"/>
        <v>68450983.460000008</v>
      </c>
      <c r="AC148" s="265">
        <v>692688.2</v>
      </c>
      <c r="AD148" s="16">
        <v>40</v>
      </c>
      <c r="AE148" s="13" t="s">
        <v>200</v>
      </c>
      <c r="AF148" s="255">
        <v>1083185.8999999999</v>
      </c>
      <c r="AG148" s="48">
        <v>123437</v>
      </c>
      <c r="AH148" s="48">
        <f>SUM(142174-1530)</f>
        <v>140644</v>
      </c>
      <c r="AI148" s="48">
        <v>154157</v>
      </c>
      <c r="AJ148" s="12">
        <v>172987</v>
      </c>
      <c r="AK148" s="12">
        <v>165559</v>
      </c>
      <c r="AL148" s="253">
        <f t="shared" si="9"/>
        <v>1839969.9</v>
      </c>
      <c r="AM148" s="11">
        <v>40</v>
      </c>
      <c r="AN148" s="13" t="s">
        <v>200</v>
      </c>
      <c r="AO148" s="9">
        <f>SUM(2002082+137297)</f>
        <v>2139379</v>
      </c>
      <c r="AP148" s="14">
        <f>SUM(62057004+4254600)</f>
        <v>66311604</v>
      </c>
      <c r="AQ148" s="7">
        <f>[1]Sheet1!N109</f>
        <v>0</v>
      </c>
      <c r="AR148" s="116"/>
    </row>
    <row r="149" spans="1:44" s="103" customFormat="1" x14ac:dyDescent="0.2">
      <c r="A149" s="4">
        <v>142</v>
      </c>
      <c r="B149" s="17">
        <v>25</v>
      </c>
      <c r="C149" s="120" t="s">
        <v>35</v>
      </c>
      <c r="D149" s="28" t="s">
        <v>155</v>
      </c>
      <c r="E149" s="29">
        <v>1979</v>
      </c>
      <c r="F149" s="183" t="s">
        <v>331</v>
      </c>
      <c r="G149" s="183" t="s">
        <v>358</v>
      </c>
      <c r="H149" s="14">
        <v>10491</v>
      </c>
      <c r="I149" s="14">
        <v>10185</v>
      </c>
      <c r="J149" s="14">
        <v>9807</v>
      </c>
      <c r="K149" s="14">
        <v>9650</v>
      </c>
      <c r="L149" s="7">
        <v>2767</v>
      </c>
      <c r="M149" s="7">
        <v>8932</v>
      </c>
      <c r="N149" s="7">
        <v>8507</v>
      </c>
      <c r="O149" s="15">
        <v>8127</v>
      </c>
      <c r="P149" s="7">
        <v>7746</v>
      </c>
      <c r="Q149" s="14">
        <v>7271</v>
      </c>
      <c r="R149" s="229">
        <v>83483</v>
      </c>
      <c r="S149" s="7">
        <v>6886.55</v>
      </c>
      <c r="T149" s="7">
        <v>6437.3</v>
      </c>
      <c r="U149" s="7">
        <v>4559.3</v>
      </c>
      <c r="V149" s="7">
        <v>5695</v>
      </c>
      <c r="W149" s="7">
        <v>5039</v>
      </c>
      <c r="X149" s="7">
        <v>4703</v>
      </c>
      <c r="Y149" s="7">
        <v>4263</v>
      </c>
      <c r="Z149" s="9">
        <v>3837</v>
      </c>
      <c r="AA149" s="9">
        <v>3609</v>
      </c>
      <c r="AB149" s="237">
        <f t="shared" si="8"/>
        <v>128512.15000000001</v>
      </c>
      <c r="AC149" s="265" t="s">
        <v>76</v>
      </c>
      <c r="AD149" s="16">
        <v>3</v>
      </c>
      <c r="AE149" s="13" t="s">
        <v>90</v>
      </c>
      <c r="AF149" s="255" t="s">
        <v>76</v>
      </c>
      <c r="AG149" s="48">
        <v>1637</v>
      </c>
      <c r="AH149" s="48">
        <v>1514</v>
      </c>
      <c r="AI149" s="48">
        <v>1395</v>
      </c>
      <c r="AJ149" s="12">
        <v>1247</v>
      </c>
      <c r="AK149" s="12">
        <v>1108</v>
      </c>
      <c r="AL149" s="253">
        <f t="shared" si="9"/>
        <v>6901</v>
      </c>
      <c r="AM149" s="11" t="s">
        <v>159</v>
      </c>
      <c r="AN149" s="13" t="s">
        <v>90</v>
      </c>
      <c r="AO149" s="9">
        <f>SUM(AB149)</f>
        <v>128512.15000000001</v>
      </c>
      <c r="AP149" s="14">
        <v>0</v>
      </c>
      <c r="AQ149" s="7">
        <f>[1]Sheet1!N110</f>
        <v>0</v>
      </c>
      <c r="AR149" s="181"/>
    </row>
    <row r="150" spans="1:44" s="104" customFormat="1" ht="38.200000000000003" customHeight="1" x14ac:dyDescent="0.2">
      <c r="A150" s="4">
        <v>143</v>
      </c>
      <c r="B150" s="17">
        <v>41</v>
      </c>
      <c r="C150" s="120" t="s">
        <v>175</v>
      </c>
      <c r="D150" s="28" t="s">
        <v>219</v>
      </c>
      <c r="E150" s="29">
        <v>1995</v>
      </c>
      <c r="F150" s="183" t="s">
        <v>376</v>
      </c>
      <c r="G150" s="183" t="s">
        <v>362</v>
      </c>
      <c r="H150" s="14">
        <v>0</v>
      </c>
      <c r="I150" s="14">
        <v>1220</v>
      </c>
      <c r="J150" s="14">
        <v>3450</v>
      </c>
      <c r="K150" s="14">
        <v>4808</v>
      </c>
      <c r="L150" s="7">
        <v>4825</v>
      </c>
      <c r="M150" s="7">
        <v>7548</v>
      </c>
      <c r="N150" s="7">
        <v>7775</v>
      </c>
      <c r="O150" s="15">
        <v>8359</v>
      </c>
      <c r="P150" s="15">
        <v>14750</v>
      </c>
      <c r="Q150" s="15">
        <v>17401</v>
      </c>
      <c r="R150" s="229">
        <v>70136</v>
      </c>
      <c r="S150" s="15">
        <v>21755</v>
      </c>
      <c r="T150" s="15">
        <v>23574</v>
      </c>
      <c r="U150" s="15">
        <v>22800</v>
      </c>
      <c r="V150" s="15">
        <v>23490</v>
      </c>
      <c r="W150" s="15">
        <v>24712</v>
      </c>
      <c r="X150" s="8">
        <v>32702.5</v>
      </c>
      <c r="Y150" s="15">
        <v>13692</v>
      </c>
      <c r="Z150" s="9">
        <v>40537.5</v>
      </c>
      <c r="AA150" s="9">
        <v>43595</v>
      </c>
      <c r="AB150" s="237">
        <f t="shared" si="8"/>
        <v>316994</v>
      </c>
      <c r="AC150" s="265">
        <v>2805.44</v>
      </c>
      <c r="AD150" s="16">
        <v>25</v>
      </c>
      <c r="AE150" s="13" t="s">
        <v>198</v>
      </c>
      <c r="AF150" s="255">
        <v>5859.4066666666668</v>
      </c>
      <c r="AG150" s="48">
        <v>883</v>
      </c>
      <c r="AH150" s="12">
        <v>1063</v>
      </c>
      <c r="AI150" s="48">
        <v>1258</v>
      </c>
      <c r="AJ150" s="12">
        <v>1324</v>
      </c>
      <c r="AK150" s="12">
        <v>1379</v>
      </c>
      <c r="AL150" s="253">
        <f t="shared" si="9"/>
        <v>11766.406666666666</v>
      </c>
      <c r="AM150" s="11">
        <v>30</v>
      </c>
      <c r="AN150" s="13" t="s">
        <v>198</v>
      </c>
      <c r="AO150" s="9">
        <f>SUM(67165+11626)</f>
        <v>78791</v>
      </c>
      <c r="AP150" s="14">
        <v>0</v>
      </c>
      <c r="AQ150" s="7">
        <f>SUM(206235+31968)</f>
        <v>238203</v>
      </c>
      <c r="AR150" s="116"/>
    </row>
    <row r="151" spans="1:44" s="103" customFormat="1" x14ac:dyDescent="0.2">
      <c r="A151" s="4">
        <v>144</v>
      </c>
      <c r="B151" s="17">
        <v>27</v>
      </c>
      <c r="C151" s="120" t="s">
        <v>60</v>
      </c>
      <c r="D151" s="5" t="s">
        <v>156</v>
      </c>
      <c r="E151" s="29">
        <v>1990</v>
      </c>
      <c r="F151" s="183" t="s">
        <v>331</v>
      </c>
      <c r="G151" s="183" t="s">
        <v>358</v>
      </c>
      <c r="H151" s="14">
        <v>52836</v>
      </c>
      <c r="I151" s="14">
        <v>53187</v>
      </c>
      <c r="J151" s="14">
        <v>37746</v>
      </c>
      <c r="K151" s="14">
        <v>28347.05</v>
      </c>
      <c r="L151" s="7">
        <v>89025</v>
      </c>
      <c r="M151" s="7">
        <v>89077</v>
      </c>
      <c r="N151" s="7">
        <v>68020</v>
      </c>
      <c r="O151" s="15">
        <v>66592</v>
      </c>
      <c r="P151" s="15">
        <v>69430</v>
      </c>
      <c r="Q151" s="15">
        <v>70959</v>
      </c>
      <c r="R151" s="229">
        <v>625219.05000000005</v>
      </c>
      <c r="S151" s="15">
        <v>74583.95</v>
      </c>
      <c r="T151" s="15">
        <v>75597</v>
      </c>
      <c r="U151" s="15">
        <v>74114.2</v>
      </c>
      <c r="V151" s="15">
        <v>74875.55</v>
      </c>
      <c r="W151" s="15">
        <v>48193</v>
      </c>
      <c r="X151" s="7">
        <v>59834</v>
      </c>
      <c r="Y151" s="15">
        <v>58931</v>
      </c>
      <c r="Z151" s="9">
        <v>60452</v>
      </c>
      <c r="AA151" s="9">
        <v>63825</v>
      </c>
      <c r="AB151" s="237">
        <f t="shared" si="8"/>
        <v>1215624.75</v>
      </c>
      <c r="AC151" s="265">
        <v>208406.35</v>
      </c>
      <c r="AD151" s="16">
        <v>3</v>
      </c>
      <c r="AE151" s="13" t="s">
        <v>90</v>
      </c>
      <c r="AF151" s="255" t="s">
        <v>222</v>
      </c>
      <c r="AG151" s="48">
        <v>20070</v>
      </c>
      <c r="AH151" s="48">
        <v>20412</v>
      </c>
      <c r="AI151" s="48">
        <v>21084</v>
      </c>
      <c r="AJ151" s="12">
        <v>21310</v>
      </c>
      <c r="AK151" s="12">
        <v>21247</v>
      </c>
      <c r="AL151" s="253">
        <f t="shared" si="9"/>
        <v>104123</v>
      </c>
      <c r="AM151" s="11" t="s">
        <v>159</v>
      </c>
      <c r="AN151" s="13" t="s">
        <v>199</v>
      </c>
      <c r="AO151" s="9">
        <f>SUM(AB151)</f>
        <v>1215624.75</v>
      </c>
      <c r="AP151" s="14">
        <v>0</v>
      </c>
      <c r="AQ151" s="7">
        <f>[1]Sheet1!N112</f>
        <v>0</v>
      </c>
      <c r="AR151" s="181"/>
    </row>
    <row r="152" spans="1:44" s="103" customFormat="1" ht="36.75" x14ac:dyDescent="0.2">
      <c r="A152" s="4">
        <v>145</v>
      </c>
      <c r="B152" s="17">
        <v>191</v>
      </c>
      <c r="C152" s="120" t="s">
        <v>79</v>
      </c>
      <c r="D152" s="17">
        <v>502.29199999999997</v>
      </c>
      <c r="E152" s="29">
        <v>1998</v>
      </c>
      <c r="F152" s="182" t="s">
        <v>341</v>
      </c>
      <c r="G152" s="182" t="s">
        <v>428</v>
      </c>
      <c r="H152" s="14">
        <v>0</v>
      </c>
      <c r="I152" s="14">
        <v>0</v>
      </c>
      <c r="J152" s="14">
        <v>0</v>
      </c>
      <c r="K152" s="14">
        <v>0</v>
      </c>
      <c r="L152" s="7">
        <v>5520</v>
      </c>
      <c r="M152" s="7">
        <v>23130</v>
      </c>
      <c r="N152" s="7">
        <v>44040</v>
      </c>
      <c r="O152" s="7">
        <v>51090</v>
      </c>
      <c r="P152" s="7">
        <v>53280</v>
      </c>
      <c r="Q152" s="14">
        <v>50815</v>
      </c>
      <c r="R152" s="229">
        <v>227875</v>
      </c>
      <c r="S152" s="7">
        <v>48990</v>
      </c>
      <c r="T152" s="7">
        <v>44280</v>
      </c>
      <c r="U152" s="7">
        <v>39000</v>
      </c>
      <c r="V152" s="7">
        <v>38940</v>
      </c>
      <c r="W152" s="7">
        <v>41194</v>
      </c>
      <c r="X152" s="7">
        <f>SUM(44+42707.5)</f>
        <v>42751.5</v>
      </c>
      <c r="Y152" s="7">
        <v>43383</v>
      </c>
      <c r="Z152" s="9">
        <v>38921.06</v>
      </c>
      <c r="AA152" s="9">
        <v>32462.65</v>
      </c>
      <c r="AB152" s="237">
        <f t="shared" si="8"/>
        <v>597797.21000000008</v>
      </c>
      <c r="AC152" s="265">
        <v>7595.833333333333</v>
      </c>
      <c r="AD152" s="16">
        <v>30</v>
      </c>
      <c r="AE152" s="13" t="s">
        <v>186</v>
      </c>
      <c r="AF152" s="255">
        <v>13302.833333333332</v>
      </c>
      <c r="AG152" s="48">
        <v>1287</v>
      </c>
      <c r="AH152" s="48">
        <v>1151</v>
      </c>
      <c r="AI152" s="48">
        <v>1114</v>
      </c>
      <c r="AJ152" s="12">
        <v>1044</v>
      </c>
      <c r="AK152" s="12">
        <v>937</v>
      </c>
      <c r="AL152" s="253">
        <f t="shared" si="9"/>
        <v>18835.833333333332</v>
      </c>
      <c r="AM152" s="11">
        <v>30</v>
      </c>
      <c r="AN152" s="13" t="s">
        <v>198</v>
      </c>
      <c r="AO152" s="9">
        <f>SUM(127968+8657)</f>
        <v>136625</v>
      </c>
      <c r="AP152" s="14">
        <v>0</v>
      </c>
      <c r="AQ152" s="7">
        <f>SUM(437366+23806)</f>
        <v>461172</v>
      </c>
      <c r="AR152" s="181"/>
    </row>
    <row r="153" spans="1:44" s="104" customFormat="1" ht="19.45" customHeight="1" x14ac:dyDescent="0.2">
      <c r="A153" s="4">
        <v>146</v>
      </c>
      <c r="B153" s="17">
        <v>174</v>
      </c>
      <c r="C153" s="120" t="s">
        <v>177</v>
      </c>
      <c r="D153" s="17" t="s">
        <v>219</v>
      </c>
      <c r="E153" s="13">
        <v>2000</v>
      </c>
      <c r="F153" s="182" t="s">
        <v>398</v>
      </c>
      <c r="G153" s="183" t="s">
        <v>334</v>
      </c>
      <c r="H153" s="14">
        <v>0</v>
      </c>
      <c r="I153" s="14">
        <v>0</v>
      </c>
      <c r="J153" s="14">
        <v>0</v>
      </c>
      <c r="K153" s="14">
        <v>0</v>
      </c>
      <c r="L153" s="7">
        <v>0</v>
      </c>
      <c r="M153" s="7">
        <v>0</v>
      </c>
      <c r="N153" s="7">
        <v>28950</v>
      </c>
      <c r="O153" s="22">
        <v>19205</v>
      </c>
      <c r="P153" s="7">
        <v>22200</v>
      </c>
      <c r="Q153" s="14">
        <v>23275</v>
      </c>
      <c r="R153" s="229">
        <v>93630</v>
      </c>
      <c r="S153" s="7">
        <v>28805</v>
      </c>
      <c r="T153" s="7">
        <v>28260</v>
      </c>
      <c r="U153" s="7">
        <v>26730</v>
      </c>
      <c r="V153" s="7">
        <v>25680</v>
      </c>
      <c r="W153" s="7">
        <v>22558</v>
      </c>
      <c r="X153" s="7">
        <f>SUM(180+25773)</f>
        <v>25953</v>
      </c>
      <c r="Y153" s="7">
        <v>30665</v>
      </c>
      <c r="Z153" s="9">
        <v>31953.5</v>
      </c>
      <c r="AA153" s="9">
        <v>32678.5</v>
      </c>
      <c r="AB153" s="237">
        <f t="shared" si="8"/>
        <v>346913</v>
      </c>
      <c r="AC153" s="265">
        <v>3745.2</v>
      </c>
      <c r="AD153" s="16">
        <v>25</v>
      </c>
      <c r="AE153" s="13" t="s">
        <v>90</v>
      </c>
      <c r="AF153" s="255">
        <v>7394.3666666666668</v>
      </c>
      <c r="AG153" s="48">
        <v>869</v>
      </c>
      <c r="AH153" s="48">
        <v>862</v>
      </c>
      <c r="AI153" s="48">
        <v>991</v>
      </c>
      <c r="AJ153" s="12">
        <v>1027</v>
      </c>
      <c r="AK153" s="12">
        <v>1032</v>
      </c>
      <c r="AL153" s="253">
        <f t="shared" si="9"/>
        <v>12175.366666666667</v>
      </c>
      <c r="AM153" s="11">
        <v>30</v>
      </c>
      <c r="AN153" s="13" t="s">
        <v>198</v>
      </c>
      <c r="AO153" s="9">
        <f>SUM(271136+8715)</f>
        <v>279851</v>
      </c>
      <c r="AP153" s="14">
        <v>0</v>
      </c>
      <c r="AQ153" s="7">
        <f>SUM(43098+23964)</f>
        <v>67062</v>
      </c>
      <c r="AR153" s="116"/>
    </row>
    <row r="154" spans="1:44" s="104" customFormat="1" ht="25.75" customHeight="1" x14ac:dyDescent="0.2">
      <c r="A154" s="4">
        <v>147</v>
      </c>
      <c r="B154" s="17">
        <v>114</v>
      </c>
      <c r="C154" s="120" t="s">
        <v>36</v>
      </c>
      <c r="D154" s="5" t="s">
        <v>249</v>
      </c>
      <c r="E154" s="29" t="s">
        <v>86</v>
      </c>
      <c r="F154" s="182" t="s">
        <v>325</v>
      </c>
      <c r="G154" s="190" t="s">
        <v>326</v>
      </c>
      <c r="H154" s="14">
        <v>7770</v>
      </c>
      <c r="I154" s="14">
        <v>7470</v>
      </c>
      <c r="J154" s="14">
        <v>6180</v>
      </c>
      <c r="K154" s="14">
        <v>6120</v>
      </c>
      <c r="L154" s="7">
        <v>6720</v>
      </c>
      <c r="M154" s="7">
        <v>7290</v>
      </c>
      <c r="N154" s="7">
        <v>7080</v>
      </c>
      <c r="O154" s="15">
        <v>6690</v>
      </c>
      <c r="P154" s="7">
        <v>6900</v>
      </c>
      <c r="Q154" s="14">
        <v>7320</v>
      </c>
      <c r="R154" s="229">
        <v>69540</v>
      </c>
      <c r="S154" s="7">
        <v>7770</v>
      </c>
      <c r="T154" s="7">
        <v>7680</v>
      </c>
      <c r="U154" s="7">
        <v>7380</v>
      </c>
      <c r="V154" s="7">
        <v>7560</v>
      </c>
      <c r="W154" s="7">
        <v>7508</v>
      </c>
      <c r="X154" s="7">
        <f>SUM(9297.5+20)</f>
        <v>9317.5</v>
      </c>
      <c r="Y154" s="7">
        <v>11748</v>
      </c>
      <c r="Z154" s="9">
        <v>11915</v>
      </c>
      <c r="AA154" s="9">
        <v>12677.5</v>
      </c>
      <c r="AB154" s="237">
        <f t="shared" si="8"/>
        <v>153096</v>
      </c>
      <c r="AC154" s="265">
        <v>2318</v>
      </c>
      <c r="AD154" s="16">
        <v>30</v>
      </c>
      <c r="AE154" s="13" t="s">
        <v>186</v>
      </c>
      <c r="AF154" s="255">
        <v>3331</v>
      </c>
      <c r="AG154" s="48">
        <v>280</v>
      </c>
      <c r="AH154" s="48">
        <v>300</v>
      </c>
      <c r="AI154" s="48">
        <v>374</v>
      </c>
      <c r="AJ154" s="12">
        <v>383</v>
      </c>
      <c r="AK154" s="12">
        <v>403</v>
      </c>
      <c r="AL154" s="253">
        <f t="shared" si="9"/>
        <v>5071</v>
      </c>
      <c r="AM154" s="11">
        <v>30</v>
      </c>
      <c r="AN154" s="13" t="s">
        <v>198</v>
      </c>
      <c r="AO154" s="9">
        <f>SUM(30492+3381)</f>
        <v>33873</v>
      </c>
      <c r="AP154" s="14">
        <v>0</v>
      </c>
      <c r="AQ154" s="7">
        <f>SUM(109927+9296)</f>
        <v>119223</v>
      </c>
      <c r="AR154" s="116"/>
    </row>
    <row r="155" spans="1:44" s="104" customFormat="1" x14ac:dyDescent="0.2">
      <c r="A155" s="4">
        <v>148</v>
      </c>
      <c r="B155" s="17">
        <v>109</v>
      </c>
      <c r="C155" s="120" t="s">
        <v>37</v>
      </c>
      <c r="D155" s="5" t="s">
        <v>249</v>
      </c>
      <c r="E155" s="29" t="s">
        <v>84</v>
      </c>
      <c r="F155" s="182" t="s">
        <v>37</v>
      </c>
      <c r="G155" s="190" t="s">
        <v>326</v>
      </c>
      <c r="H155" s="14">
        <v>270</v>
      </c>
      <c r="I155" s="14">
        <v>150</v>
      </c>
      <c r="J155" s="14">
        <v>150</v>
      </c>
      <c r="K155" s="14">
        <v>90</v>
      </c>
      <c r="L155" s="7">
        <v>30</v>
      </c>
      <c r="M155" s="7">
        <v>120</v>
      </c>
      <c r="N155" s="7">
        <v>180</v>
      </c>
      <c r="O155" s="15">
        <v>120</v>
      </c>
      <c r="P155" s="7">
        <v>60</v>
      </c>
      <c r="Q155" s="14">
        <v>0</v>
      </c>
      <c r="R155" s="229">
        <v>1170</v>
      </c>
      <c r="S155" s="7">
        <v>30</v>
      </c>
      <c r="T155" s="7">
        <v>30</v>
      </c>
      <c r="U155" s="7">
        <v>30</v>
      </c>
      <c r="V155" s="7">
        <v>0</v>
      </c>
      <c r="W155" s="7">
        <v>0</v>
      </c>
      <c r="X155" s="7">
        <v>0</v>
      </c>
      <c r="Y155" s="7">
        <v>0</v>
      </c>
      <c r="Z155" s="9">
        <v>0</v>
      </c>
      <c r="AA155" s="9">
        <v>0</v>
      </c>
      <c r="AB155" s="237">
        <f t="shared" si="8"/>
        <v>1260</v>
      </c>
      <c r="AC155" s="265">
        <v>39</v>
      </c>
      <c r="AD155" s="16">
        <v>30</v>
      </c>
      <c r="AE155" s="13" t="s">
        <v>186</v>
      </c>
      <c r="AF155" s="255">
        <v>42</v>
      </c>
      <c r="AG155" s="48">
        <v>0</v>
      </c>
      <c r="AH155" s="48">
        <v>0</v>
      </c>
      <c r="AI155" s="48">
        <v>0</v>
      </c>
      <c r="AJ155" s="12">
        <v>0</v>
      </c>
      <c r="AK155" s="12"/>
      <c r="AL155" s="253">
        <f t="shared" si="9"/>
        <v>42</v>
      </c>
      <c r="AM155" s="11">
        <v>30</v>
      </c>
      <c r="AN155" s="13" t="s">
        <v>198</v>
      </c>
      <c r="AO155" s="9">
        <f>[1]Sheet1!I116</f>
        <v>219</v>
      </c>
      <c r="AP155" s="14">
        <v>0</v>
      </c>
      <c r="AQ155" s="7">
        <f>[1]Sheet1!N116</f>
        <v>1041</v>
      </c>
      <c r="AR155" s="116"/>
    </row>
    <row r="156" spans="1:44" s="104" customFormat="1" ht="24.5" x14ac:dyDescent="0.2">
      <c r="A156" s="4">
        <v>149</v>
      </c>
      <c r="B156" s="17">
        <v>284</v>
      </c>
      <c r="C156" s="120" t="s">
        <v>316</v>
      </c>
      <c r="D156" s="5">
        <v>504.80099999999999</v>
      </c>
      <c r="E156" s="29">
        <v>2010</v>
      </c>
      <c r="F156" s="182" t="s">
        <v>368</v>
      </c>
      <c r="G156" s="182" t="s">
        <v>429</v>
      </c>
      <c r="H156" s="7">
        <v>0</v>
      </c>
      <c r="I156" s="7">
        <v>0</v>
      </c>
      <c r="J156" s="7">
        <v>0</v>
      </c>
      <c r="K156" s="14">
        <v>0</v>
      </c>
      <c r="L156" s="7">
        <v>0</v>
      </c>
      <c r="M156" s="7">
        <v>0</v>
      </c>
      <c r="N156" s="7">
        <v>0</v>
      </c>
      <c r="O156" s="22">
        <v>0</v>
      </c>
      <c r="P156" s="22">
        <v>0</v>
      </c>
      <c r="Q156" s="22">
        <v>0</v>
      </c>
      <c r="R156" s="229">
        <v>0</v>
      </c>
      <c r="S156" s="22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3130</v>
      </c>
      <c r="Z156" s="9">
        <v>5330</v>
      </c>
      <c r="AA156" s="9">
        <v>5105</v>
      </c>
      <c r="AB156" s="237">
        <f t="shared" si="8"/>
        <v>13565</v>
      </c>
      <c r="AC156" s="265">
        <v>0</v>
      </c>
      <c r="AD156" s="16" t="s">
        <v>78</v>
      </c>
      <c r="AE156" s="16" t="s">
        <v>78</v>
      </c>
      <c r="AF156" s="255">
        <v>0</v>
      </c>
      <c r="AG156" s="48">
        <v>0</v>
      </c>
      <c r="AH156" s="48">
        <v>0</v>
      </c>
      <c r="AI156" s="48">
        <v>114</v>
      </c>
      <c r="AJ156" s="12">
        <v>171</v>
      </c>
      <c r="AK156" s="12">
        <v>170</v>
      </c>
      <c r="AL156" s="253">
        <f t="shared" si="9"/>
        <v>455</v>
      </c>
      <c r="AM156" s="11">
        <v>30</v>
      </c>
      <c r="AN156" s="13" t="s">
        <v>198</v>
      </c>
      <c r="AO156" s="9">
        <f>SUM(2257+1361)</f>
        <v>3618</v>
      </c>
      <c r="AP156" s="14">
        <v>0</v>
      </c>
      <c r="AQ156" s="7">
        <f>SUM(6203+3744)</f>
        <v>9947</v>
      </c>
      <c r="AR156" s="116"/>
    </row>
    <row r="157" spans="1:44" s="104" customFormat="1" ht="37.450000000000003" customHeight="1" x14ac:dyDescent="0.2">
      <c r="A157" s="4">
        <v>150</v>
      </c>
      <c r="B157" s="17">
        <v>129</v>
      </c>
      <c r="C157" s="120" t="s">
        <v>38</v>
      </c>
      <c r="D157" s="44" t="s">
        <v>249</v>
      </c>
      <c r="E157" s="29">
        <v>1993</v>
      </c>
      <c r="F157" s="182" t="s">
        <v>38</v>
      </c>
      <c r="G157" s="190" t="s">
        <v>326</v>
      </c>
      <c r="H157" s="14">
        <v>1170</v>
      </c>
      <c r="I157" s="14">
        <v>1860</v>
      </c>
      <c r="J157" s="14">
        <v>1890</v>
      </c>
      <c r="K157" s="14">
        <v>2400</v>
      </c>
      <c r="L157" s="7">
        <v>2670</v>
      </c>
      <c r="M157" s="7">
        <v>3060</v>
      </c>
      <c r="N157" s="7">
        <v>2910</v>
      </c>
      <c r="O157" s="15">
        <v>3000</v>
      </c>
      <c r="P157" s="7">
        <v>2850</v>
      </c>
      <c r="Q157" s="14">
        <v>3000</v>
      </c>
      <c r="R157" s="229">
        <v>24810</v>
      </c>
      <c r="S157" s="7">
        <v>3120</v>
      </c>
      <c r="T157" s="7">
        <v>3210</v>
      </c>
      <c r="U157" s="7">
        <v>3390</v>
      </c>
      <c r="V157" s="7">
        <v>3390</v>
      </c>
      <c r="W157" s="7">
        <v>4260</v>
      </c>
      <c r="X157" s="7">
        <v>4843</v>
      </c>
      <c r="Y157" s="7">
        <v>5810</v>
      </c>
      <c r="Z157" s="9">
        <v>5690</v>
      </c>
      <c r="AA157" s="9">
        <v>5865</v>
      </c>
      <c r="AB157" s="237">
        <f t="shared" si="8"/>
        <v>64388</v>
      </c>
      <c r="AC157" s="265">
        <v>827</v>
      </c>
      <c r="AD157" s="16">
        <v>30</v>
      </c>
      <c r="AE157" s="13" t="s">
        <v>186</v>
      </c>
      <c r="AF157" s="255">
        <v>1264</v>
      </c>
      <c r="AG157" s="48">
        <v>145</v>
      </c>
      <c r="AH157" s="48">
        <v>159</v>
      </c>
      <c r="AI157" s="48">
        <v>182</v>
      </c>
      <c r="AJ157" s="12">
        <v>186</v>
      </c>
      <c r="AK157" s="12">
        <v>185</v>
      </c>
      <c r="AL157" s="253">
        <f t="shared" si="9"/>
        <v>2121</v>
      </c>
      <c r="AM157" s="16">
        <v>30</v>
      </c>
      <c r="AN157" s="13" t="s">
        <v>198</v>
      </c>
      <c r="AO157" s="9">
        <f>SUM(13125+1565)</f>
        <v>14690</v>
      </c>
      <c r="AP157" s="14">
        <v>0</v>
      </c>
      <c r="AQ157" s="7">
        <f>SUM(45397+4301)</f>
        <v>49698</v>
      </c>
      <c r="AR157" s="116"/>
    </row>
    <row r="158" spans="1:44" s="103" customFormat="1" x14ac:dyDescent="0.2">
      <c r="A158" s="4">
        <v>151</v>
      </c>
      <c r="B158" s="31">
        <v>282</v>
      </c>
      <c r="C158" s="126" t="s">
        <v>404</v>
      </c>
      <c r="D158" s="91">
        <v>504.80099999999999</v>
      </c>
      <c r="E158" s="32">
        <v>2010</v>
      </c>
      <c r="F158" s="182" t="s">
        <v>327</v>
      </c>
      <c r="G158" s="182" t="s">
        <v>363</v>
      </c>
      <c r="H158" s="33">
        <v>0</v>
      </c>
      <c r="I158" s="33">
        <v>0</v>
      </c>
      <c r="J158" s="33">
        <v>0</v>
      </c>
      <c r="K158" s="34">
        <v>0</v>
      </c>
      <c r="L158" s="33">
        <v>0</v>
      </c>
      <c r="M158" s="33">
        <v>0</v>
      </c>
      <c r="N158" s="33">
        <v>0</v>
      </c>
      <c r="O158" s="15">
        <v>0</v>
      </c>
      <c r="P158" s="15">
        <v>0</v>
      </c>
      <c r="Q158" s="15">
        <v>0</v>
      </c>
      <c r="R158" s="230">
        <v>0</v>
      </c>
      <c r="S158" s="15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2228</v>
      </c>
      <c r="Z158" s="9">
        <v>2830</v>
      </c>
      <c r="AA158" s="9">
        <v>3162</v>
      </c>
      <c r="AB158" s="237">
        <f t="shared" si="8"/>
        <v>8220</v>
      </c>
      <c r="AC158" s="265">
        <v>0</v>
      </c>
      <c r="AD158" s="36" t="s">
        <v>78</v>
      </c>
      <c r="AE158" s="36" t="s">
        <v>78</v>
      </c>
      <c r="AF158" s="255">
        <v>0</v>
      </c>
      <c r="AG158" s="85">
        <v>0</v>
      </c>
      <c r="AH158" s="85">
        <v>0</v>
      </c>
      <c r="AI158" s="85">
        <v>74</v>
      </c>
      <c r="AJ158" s="38">
        <v>88</v>
      </c>
      <c r="AK158" s="12">
        <v>97</v>
      </c>
      <c r="AL158" s="253">
        <f t="shared" si="9"/>
        <v>259</v>
      </c>
      <c r="AM158" s="36">
        <v>30</v>
      </c>
      <c r="AN158" s="37" t="s">
        <v>198</v>
      </c>
      <c r="AO158" s="35">
        <f>SUM(1349+844)</f>
        <v>2193</v>
      </c>
      <c r="AP158" s="34">
        <v>0</v>
      </c>
      <c r="AQ158" s="33">
        <f>SUM(3708+2319)</f>
        <v>6027</v>
      </c>
      <c r="AR158" s="181"/>
    </row>
    <row r="159" spans="1:44" s="103" customFormat="1" ht="35.5" customHeight="1" x14ac:dyDescent="0.2">
      <c r="A159" s="4">
        <v>152</v>
      </c>
      <c r="B159" s="17">
        <v>228</v>
      </c>
      <c r="C159" s="120" t="s">
        <v>171</v>
      </c>
      <c r="D159" s="44">
        <v>504.63299999999998</v>
      </c>
      <c r="E159" s="29">
        <v>2004</v>
      </c>
      <c r="F159" s="182" t="s">
        <v>377</v>
      </c>
      <c r="G159" s="182" t="s">
        <v>364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7">
        <v>0</v>
      </c>
      <c r="O159" s="7">
        <v>0</v>
      </c>
      <c r="P159" s="7">
        <v>0</v>
      </c>
      <c r="Q159" s="7">
        <v>0</v>
      </c>
      <c r="R159" s="226">
        <v>0</v>
      </c>
      <c r="S159" s="7">
        <v>29880</v>
      </c>
      <c r="T159" s="7">
        <v>64290</v>
      </c>
      <c r="U159" s="7">
        <v>74380</v>
      </c>
      <c r="V159" s="7">
        <v>73950</v>
      </c>
      <c r="W159" s="7">
        <v>73205</v>
      </c>
      <c r="X159" s="7">
        <f>SUM(180+85847.5)</f>
        <v>86027.5</v>
      </c>
      <c r="Y159" s="7">
        <v>95109</v>
      </c>
      <c r="Z159" s="9">
        <v>93417.8</v>
      </c>
      <c r="AA159" s="9">
        <v>90360</v>
      </c>
      <c r="AB159" s="237">
        <f t="shared" si="8"/>
        <v>680619.3</v>
      </c>
      <c r="AC159" s="265">
        <v>0</v>
      </c>
      <c r="AD159" s="16" t="s">
        <v>78</v>
      </c>
      <c r="AE159" s="16" t="s">
        <v>78</v>
      </c>
      <c r="AF159" s="255">
        <v>8083.333333333333</v>
      </c>
      <c r="AG159" s="48">
        <v>2678</v>
      </c>
      <c r="AH159" s="48">
        <v>2801</v>
      </c>
      <c r="AI159" s="48">
        <v>3074</v>
      </c>
      <c r="AJ159" s="12">
        <v>3000</v>
      </c>
      <c r="AK159" s="12">
        <v>2842</v>
      </c>
      <c r="AL159" s="253">
        <f t="shared" si="9"/>
        <v>22478.333333333332</v>
      </c>
      <c r="AM159" s="11">
        <v>30</v>
      </c>
      <c r="AN159" s="13" t="s">
        <v>198</v>
      </c>
      <c r="AO159" s="9">
        <f>SUM(157407+24096)</f>
        <v>181503</v>
      </c>
      <c r="AP159" s="14">
        <v>0</v>
      </c>
      <c r="AQ159" s="7">
        <f>SUM(432853+66263)</f>
        <v>499116</v>
      </c>
      <c r="AR159" s="181"/>
    </row>
    <row r="160" spans="1:44" s="104" customFormat="1" x14ac:dyDescent="0.2">
      <c r="A160" s="4">
        <v>153</v>
      </c>
      <c r="B160" s="17">
        <v>253</v>
      </c>
      <c r="C160" s="120" t="s">
        <v>239</v>
      </c>
      <c r="D160" s="44">
        <v>504.315</v>
      </c>
      <c r="E160" s="29">
        <v>2008</v>
      </c>
      <c r="F160" s="183" t="s">
        <v>331</v>
      </c>
      <c r="G160" s="183" t="s">
        <v>358</v>
      </c>
      <c r="H160" s="7">
        <v>0</v>
      </c>
      <c r="I160" s="7">
        <v>0</v>
      </c>
      <c r="J160" s="7">
        <v>0</v>
      </c>
      <c r="K160" s="14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229">
        <v>0</v>
      </c>
      <c r="S160" s="7">
        <v>0</v>
      </c>
      <c r="T160" s="7">
        <v>0</v>
      </c>
      <c r="U160" s="7">
        <v>0</v>
      </c>
      <c r="V160" s="15">
        <v>0</v>
      </c>
      <c r="W160" s="7">
        <v>30</v>
      </c>
      <c r="X160" s="7">
        <v>0</v>
      </c>
      <c r="Y160" s="7">
        <v>0</v>
      </c>
      <c r="Z160" s="9">
        <v>0</v>
      </c>
      <c r="AA160" s="9">
        <v>0</v>
      </c>
      <c r="AB160" s="237">
        <f t="shared" si="8"/>
        <v>30</v>
      </c>
      <c r="AC160" s="265">
        <v>0</v>
      </c>
      <c r="AD160" s="16" t="s">
        <v>78</v>
      </c>
      <c r="AE160" s="16" t="s">
        <v>78</v>
      </c>
      <c r="AF160" s="255">
        <v>0</v>
      </c>
      <c r="AG160" s="48">
        <v>72</v>
      </c>
      <c r="AH160" s="48">
        <v>203</v>
      </c>
      <c r="AI160" s="48">
        <v>267</v>
      </c>
      <c r="AJ160" s="12">
        <v>322</v>
      </c>
      <c r="AK160" s="12">
        <v>344</v>
      </c>
      <c r="AL160" s="253">
        <f t="shared" si="9"/>
        <v>1208</v>
      </c>
      <c r="AM160" s="11">
        <v>0</v>
      </c>
      <c r="AN160" s="13" t="s">
        <v>90</v>
      </c>
      <c r="AO160" s="9">
        <f>SUM(AB160)</f>
        <v>30</v>
      </c>
      <c r="AP160" s="14">
        <v>0</v>
      </c>
      <c r="AQ160" s="7">
        <f>[1]Sheet1!N121</f>
        <v>0</v>
      </c>
      <c r="AR160" s="116"/>
    </row>
    <row r="161" spans="1:44" s="103" customFormat="1" ht="28.45" customHeight="1" x14ac:dyDescent="0.2">
      <c r="A161" s="4">
        <v>154</v>
      </c>
      <c r="B161" s="17">
        <v>229</v>
      </c>
      <c r="C161" s="120" t="s">
        <v>207</v>
      </c>
      <c r="D161" s="5">
        <v>504.64600000000002</v>
      </c>
      <c r="E161" s="29">
        <v>2005</v>
      </c>
      <c r="F161" s="182" t="s">
        <v>373</v>
      </c>
      <c r="G161" s="182" t="s">
        <v>430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7">
        <v>0</v>
      </c>
      <c r="O161" s="7">
        <v>0</v>
      </c>
      <c r="P161" s="7">
        <v>0</v>
      </c>
      <c r="Q161" s="7">
        <v>0</v>
      </c>
      <c r="R161" s="226">
        <v>0</v>
      </c>
      <c r="S161" s="7">
        <v>0</v>
      </c>
      <c r="T161" s="7">
        <v>1530</v>
      </c>
      <c r="U161" s="7">
        <v>4860</v>
      </c>
      <c r="V161" s="7">
        <v>6180</v>
      </c>
      <c r="W161" s="7">
        <v>6683</v>
      </c>
      <c r="X161" s="7">
        <v>8400</v>
      </c>
      <c r="Y161" s="7">
        <v>9062</v>
      </c>
      <c r="Z161" s="9">
        <v>9460</v>
      </c>
      <c r="AA161" s="9">
        <v>8710</v>
      </c>
      <c r="AB161" s="237">
        <f t="shared" si="8"/>
        <v>54885</v>
      </c>
      <c r="AC161" s="265">
        <v>0</v>
      </c>
      <c r="AD161" s="16" t="s">
        <v>78</v>
      </c>
      <c r="AE161" s="16" t="s">
        <v>78</v>
      </c>
      <c r="AF161" s="255">
        <v>419</v>
      </c>
      <c r="AG161" s="48">
        <v>263</v>
      </c>
      <c r="AH161" s="48">
        <v>265</v>
      </c>
      <c r="AI161" s="48">
        <v>287</v>
      </c>
      <c r="AJ161" s="12">
        <v>296</v>
      </c>
      <c r="AK161" s="12">
        <v>267</v>
      </c>
      <c r="AL161" s="253">
        <f t="shared" si="9"/>
        <v>1797</v>
      </c>
      <c r="AM161" s="11">
        <v>30</v>
      </c>
      <c r="AN161" s="13" t="s">
        <v>198</v>
      </c>
      <c r="AO161" s="9">
        <f>SUM(12314+2323)</f>
        <v>14637</v>
      </c>
      <c r="AP161" s="14">
        <v>0</v>
      </c>
      <c r="AQ161" s="7">
        <f>SUM(33861+6387)</f>
        <v>40248</v>
      </c>
      <c r="AR161" s="181"/>
    </row>
    <row r="162" spans="1:44" s="103" customFormat="1" ht="23.05" customHeight="1" x14ac:dyDescent="0.2">
      <c r="A162" s="4">
        <v>155</v>
      </c>
      <c r="B162" s="17">
        <v>103</v>
      </c>
      <c r="C162" s="120" t="s">
        <v>39</v>
      </c>
      <c r="D162" s="5" t="s">
        <v>249</v>
      </c>
      <c r="E162" s="29" t="s">
        <v>84</v>
      </c>
      <c r="F162" s="182" t="s">
        <v>325</v>
      </c>
      <c r="G162" s="190" t="s">
        <v>326</v>
      </c>
      <c r="H162" s="14">
        <v>5760</v>
      </c>
      <c r="I162" s="14">
        <v>5070</v>
      </c>
      <c r="J162" s="14">
        <v>4830</v>
      </c>
      <c r="K162" s="14">
        <v>4590</v>
      </c>
      <c r="L162" s="7">
        <v>5190</v>
      </c>
      <c r="M162" s="7">
        <v>5430</v>
      </c>
      <c r="N162" s="7">
        <v>4830</v>
      </c>
      <c r="O162" s="15">
        <v>6270</v>
      </c>
      <c r="P162" s="7">
        <v>5490</v>
      </c>
      <c r="Q162" s="14">
        <v>5580</v>
      </c>
      <c r="R162" s="229">
        <v>53040</v>
      </c>
      <c r="S162" s="7">
        <v>5220</v>
      </c>
      <c r="T162" s="7">
        <v>5370</v>
      </c>
      <c r="U162" s="7">
        <v>5040</v>
      </c>
      <c r="V162" s="7">
        <v>5610</v>
      </c>
      <c r="W162" s="7">
        <v>5500</v>
      </c>
      <c r="X162" s="7">
        <f>SUM(7792.5+22)</f>
        <v>7814.5</v>
      </c>
      <c r="Y162" s="7">
        <v>9590</v>
      </c>
      <c r="Z162" s="9">
        <v>9882.5</v>
      </c>
      <c r="AA162" s="9">
        <v>10817.5</v>
      </c>
      <c r="AB162" s="237">
        <f t="shared" si="8"/>
        <v>117884.5</v>
      </c>
      <c r="AC162" s="265">
        <v>1768</v>
      </c>
      <c r="AD162" s="16">
        <v>30</v>
      </c>
      <c r="AE162" s="13" t="s">
        <v>186</v>
      </c>
      <c r="AF162" s="255">
        <v>2476</v>
      </c>
      <c r="AG162" s="48">
        <v>200</v>
      </c>
      <c r="AH162" s="48">
        <v>248</v>
      </c>
      <c r="AI162" s="48">
        <v>317</v>
      </c>
      <c r="AJ162" s="12">
        <v>320</v>
      </c>
      <c r="AK162" s="12">
        <v>333</v>
      </c>
      <c r="AL162" s="253">
        <f t="shared" si="9"/>
        <v>3894</v>
      </c>
      <c r="AM162" s="16">
        <v>30</v>
      </c>
      <c r="AN162" s="13" t="s">
        <v>198</v>
      </c>
      <c r="AO162" s="9">
        <f>SUM(23249+2884)</f>
        <v>26133</v>
      </c>
      <c r="AP162" s="14">
        <v>0</v>
      </c>
      <c r="AQ162" s="7">
        <f>SUM(83819+7933)</f>
        <v>91752</v>
      </c>
      <c r="AR162" s="181"/>
    </row>
    <row r="163" spans="1:44" s="104" customFormat="1" ht="24.5" x14ac:dyDescent="0.2">
      <c r="A163" s="4">
        <v>156</v>
      </c>
      <c r="B163" s="17">
        <v>133</v>
      </c>
      <c r="C163" s="120" t="s">
        <v>40</v>
      </c>
      <c r="D163" s="5" t="s">
        <v>249</v>
      </c>
      <c r="E163" s="29">
        <v>1991</v>
      </c>
      <c r="F163" s="182" t="s">
        <v>325</v>
      </c>
      <c r="G163" s="190" t="s">
        <v>326</v>
      </c>
      <c r="H163" s="14">
        <v>0</v>
      </c>
      <c r="I163" s="14">
        <v>930</v>
      </c>
      <c r="J163" s="14">
        <v>1290</v>
      </c>
      <c r="K163" s="14">
        <v>1050</v>
      </c>
      <c r="L163" s="7">
        <v>1200</v>
      </c>
      <c r="M163" s="7">
        <v>1530</v>
      </c>
      <c r="N163" s="7">
        <v>1680</v>
      </c>
      <c r="O163" s="15">
        <v>1620</v>
      </c>
      <c r="P163" s="7">
        <v>1440</v>
      </c>
      <c r="Q163" s="14">
        <v>1380</v>
      </c>
      <c r="R163" s="229">
        <v>12120</v>
      </c>
      <c r="S163" s="7">
        <v>1290</v>
      </c>
      <c r="T163" s="7">
        <v>1230</v>
      </c>
      <c r="U163" s="7">
        <v>1020</v>
      </c>
      <c r="V163" s="7">
        <v>1290</v>
      </c>
      <c r="W163" s="7">
        <v>1090</v>
      </c>
      <c r="X163" s="7">
        <v>1485</v>
      </c>
      <c r="Y163" s="7">
        <v>1423</v>
      </c>
      <c r="Z163" s="9">
        <v>1442.5</v>
      </c>
      <c r="AA163" s="9">
        <v>1392.5</v>
      </c>
      <c r="AB163" s="237">
        <f t="shared" si="8"/>
        <v>23783</v>
      </c>
      <c r="AC163" s="265">
        <v>404</v>
      </c>
      <c r="AD163" s="16">
        <v>30</v>
      </c>
      <c r="AE163" s="13" t="s">
        <v>186</v>
      </c>
      <c r="AF163" s="255">
        <v>565</v>
      </c>
      <c r="AG163" s="48">
        <v>44</v>
      </c>
      <c r="AH163" s="48">
        <v>47</v>
      </c>
      <c r="AI163" s="48">
        <v>44</v>
      </c>
      <c r="AJ163" s="12">
        <v>44</v>
      </c>
      <c r="AK163" s="12">
        <v>46</v>
      </c>
      <c r="AL163" s="253">
        <f t="shared" si="9"/>
        <v>790</v>
      </c>
      <c r="AM163" s="11">
        <v>30</v>
      </c>
      <c r="AN163" s="13" t="s">
        <v>198</v>
      </c>
      <c r="AO163" s="9">
        <f>SUM(4759+372)</f>
        <v>5131</v>
      </c>
      <c r="AP163" s="14">
        <v>0</v>
      </c>
      <c r="AQ163" s="7">
        <f>SUM(17631+1021)</f>
        <v>18652</v>
      </c>
      <c r="AR163" s="116"/>
    </row>
    <row r="164" spans="1:44" s="103" customFormat="1" ht="15.85" customHeight="1" x14ac:dyDescent="0.2">
      <c r="A164" s="4">
        <v>157</v>
      </c>
      <c r="B164" s="17">
        <v>243</v>
      </c>
      <c r="C164" s="120" t="s">
        <v>211</v>
      </c>
      <c r="D164" s="5">
        <v>504.00299999999999</v>
      </c>
      <c r="E164" s="29">
        <v>2004</v>
      </c>
      <c r="F164" s="182" t="s">
        <v>331</v>
      </c>
      <c r="G164" s="182" t="s">
        <v>358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7">
        <v>0</v>
      </c>
      <c r="O164" s="7">
        <v>0</v>
      </c>
      <c r="P164" s="7">
        <v>0</v>
      </c>
      <c r="Q164" s="7">
        <v>0</v>
      </c>
      <c r="R164" s="229">
        <v>0</v>
      </c>
      <c r="S164" s="7">
        <v>340</v>
      </c>
      <c r="T164" s="7">
        <v>1100</v>
      </c>
      <c r="U164" s="7">
        <v>2110</v>
      </c>
      <c r="V164" s="7">
        <v>1380</v>
      </c>
      <c r="W164" s="7">
        <v>1860</v>
      </c>
      <c r="X164" s="7">
        <v>700</v>
      </c>
      <c r="Y164" s="7">
        <v>1350</v>
      </c>
      <c r="Z164" s="9">
        <v>1760</v>
      </c>
      <c r="AA164" s="9">
        <v>400</v>
      </c>
      <c r="AB164" s="237">
        <f t="shared" si="8"/>
        <v>11000</v>
      </c>
      <c r="AC164" s="265">
        <v>0</v>
      </c>
      <c r="AD164" s="16" t="s">
        <v>78</v>
      </c>
      <c r="AE164" s="16" t="s">
        <v>78</v>
      </c>
      <c r="AF164" s="255">
        <v>246.5</v>
      </c>
      <c r="AG164" s="48" t="s">
        <v>78</v>
      </c>
      <c r="AH164" s="48" t="s">
        <v>78</v>
      </c>
      <c r="AI164" s="48" t="s">
        <v>78</v>
      </c>
      <c r="AJ164" s="12">
        <v>84</v>
      </c>
      <c r="AK164" s="12">
        <v>20</v>
      </c>
      <c r="AL164" s="253">
        <f t="shared" si="9"/>
        <v>350.5</v>
      </c>
      <c r="AM164" s="11">
        <v>20</v>
      </c>
      <c r="AN164" s="13" t="s">
        <v>197</v>
      </c>
      <c r="AO164" s="9">
        <v>5500</v>
      </c>
      <c r="AP164" s="14">
        <v>0</v>
      </c>
      <c r="AQ164" s="7">
        <v>5500</v>
      </c>
      <c r="AR164" s="181"/>
    </row>
    <row r="165" spans="1:44" s="104" customFormat="1" ht="61.95" customHeight="1" x14ac:dyDescent="0.2">
      <c r="A165" s="4">
        <v>158</v>
      </c>
      <c r="B165" s="17">
        <v>245</v>
      </c>
      <c r="C165" s="120" t="s">
        <v>446</v>
      </c>
      <c r="D165" s="5">
        <v>504.00299999999999</v>
      </c>
      <c r="E165" s="29">
        <v>2004</v>
      </c>
      <c r="F165" s="182" t="s">
        <v>331</v>
      </c>
      <c r="G165" s="182" t="s">
        <v>431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7">
        <v>0</v>
      </c>
      <c r="O165" s="7">
        <v>0</v>
      </c>
      <c r="P165" s="7">
        <v>0</v>
      </c>
      <c r="Q165" s="7">
        <v>0</v>
      </c>
      <c r="R165" s="229">
        <v>0</v>
      </c>
      <c r="S165" s="7">
        <v>760</v>
      </c>
      <c r="T165" s="7">
        <v>10960</v>
      </c>
      <c r="U165" s="7">
        <v>3310</v>
      </c>
      <c r="V165" s="7">
        <v>3040</v>
      </c>
      <c r="W165" s="7">
        <v>4109</v>
      </c>
      <c r="X165" s="7">
        <v>1360</v>
      </c>
      <c r="Y165" s="7">
        <v>3639</v>
      </c>
      <c r="Z165" s="9">
        <v>2120</v>
      </c>
      <c r="AA165" s="9">
        <v>840</v>
      </c>
      <c r="AB165" s="237">
        <f t="shared" si="8"/>
        <v>30138</v>
      </c>
      <c r="AC165" s="265">
        <v>0</v>
      </c>
      <c r="AD165" s="16" t="s">
        <v>78</v>
      </c>
      <c r="AE165" s="16" t="s">
        <v>78</v>
      </c>
      <c r="AF165" s="255">
        <v>451.75</v>
      </c>
      <c r="AG165" s="48" t="s">
        <v>78</v>
      </c>
      <c r="AH165" s="48" t="s">
        <v>78</v>
      </c>
      <c r="AI165" s="48" t="s">
        <v>78</v>
      </c>
      <c r="AJ165" s="12">
        <v>53</v>
      </c>
      <c r="AK165" s="12">
        <v>21</v>
      </c>
      <c r="AL165" s="253">
        <f t="shared" si="9"/>
        <v>525.75</v>
      </c>
      <c r="AM165" s="11">
        <v>40</v>
      </c>
      <c r="AN165" s="13" t="s">
        <v>318</v>
      </c>
      <c r="AO165" s="9">
        <f>SUM(14630+420)</f>
        <v>15050</v>
      </c>
      <c r="AP165" s="14">
        <f>SUM(7334+210)</f>
        <v>7544</v>
      </c>
      <c r="AQ165" s="14">
        <f>SUM(7334+210)</f>
        <v>7544</v>
      </c>
      <c r="AR165" s="191"/>
    </row>
    <row r="166" spans="1:44" s="103" customFormat="1" ht="26.65" customHeight="1" x14ac:dyDescent="0.2">
      <c r="A166" s="4">
        <v>159</v>
      </c>
      <c r="B166" s="17">
        <v>230</v>
      </c>
      <c r="C166" s="120" t="s">
        <v>137</v>
      </c>
      <c r="D166" s="5">
        <v>504.64</v>
      </c>
      <c r="E166" s="29">
        <v>2004</v>
      </c>
      <c r="F166" s="183" t="s">
        <v>378</v>
      </c>
      <c r="G166" s="182" t="s">
        <v>379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7">
        <v>0</v>
      </c>
      <c r="O166" s="7">
        <v>0</v>
      </c>
      <c r="P166" s="7">
        <v>0</v>
      </c>
      <c r="Q166" s="7">
        <v>0</v>
      </c>
      <c r="R166" s="229">
        <v>0</v>
      </c>
      <c r="S166" s="7">
        <v>14730</v>
      </c>
      <c r="T166" s="7">
        <v>16500</v>
      </c>
      <c r="U166" s="7">
        <v>16330</v>
      </c>
      <c r="V166" s="7">
        <v>15300</v>
      </c>
      <c r="W166" s="7">
        <v>14518</v>
      </c>
      <c r="X166" s="15">
        <v>14405</v>
      </c>
      <c r="Y166" s="7">
        <v>13988</v>
      </c>
      <c r="Z166" s="9">
        <v>13602.5</v>
      </c>
      <c r="AA166" s="9">
        <v>12202.5</v>
      </c>
      <c r="AB166" s="237">
        <f t="shared" si="8"/>
        <v>131576</v>
      </c>
      <c r="AC166" s="265">
        <v>0</v>
      </c>
      <c r="AD166" s="16" t="s">
        <v>78</v>
      </c>
      <c r="AE166" s="16" t="s">
        <v>78</v>
      </c>
      <c r="AF166" s="255">
        <v>2095.3333333333335</v>
      </c>
      <c r="AG166" s="48">
        <v>507</v>
      </c>
      <c r="AH166" s="117">
        <v>466</v>
      </c>
      <c r="AI166" s="48">
        <v>463</v>
      </c>
      <c r="AJ166" s="12">
        <v>439</v>
      </c>
      <c r="AK166" s="12">
        <v>387</v>
      </c>
      <c r="AL166" s="253">
        <f t="shared" si="9"/>
        <v>4357.3333333333339</v>
      </c>
      <c r="AM166" s="11">
        <v>30</v>
      </c>
      <c r="AN166" s="13" t="s">
        <v>198</v>
      </c>
      <c r="AO166" s="9">
        <f>SUM(31833+3254)</f>
        <v>35087</v>
      </c>
      <c r="AP166" s="14">
        <v>0</v>
      </c>
      <c r="AQ166" s="7">
        <f>SUM(87540+8949)</f>
        <v>96489</v>
      </c>
      <c r="AR166" s="181"/>
    </row>
    <row r="167" spans="1:44" s="103" customFormat="1" ht="36.75" x14ac:dyDescent="0.2">
      <c r="A167" s="4">
        <v>160</v>
      </c>
      <c r="B167" s="17">
        <v>167</v>
      </c>
      <c r="C167" s="120" t="s">
        <v>97</v>
      </c>
      <c r="D167" s="28" t="s">
        <v>253</v>
      </c>
      <c r="E167" s="29">
        <v>2002</v>
      </c>
      <c r="F167" s="182" t="s">
        <v>380</v>
      </c>
      <c r="G167" s="182" t="s">
        <v>381</v>
      </c>
      <c r="H167" s="14">
        <v>0</v>
      </c>
      <c r="I167" s="14">
        <v>0</v>
      </c>
      <c r="J167" s="14">
        <v>0</v>
      </c>
      <c r="K167" s="14">
        <v>0</v>
      </c>
      <c r="L167" s="7">
        <v>0</v>
      </c>
      <c r="M167" s="7">
        <v>0</v>
      </c>
      <c r="N167" s="7">
        <v>0</v>
      </c>
      <c r="O167" s="15">
        <v>0</v>
      </c>
      <c r="P167" s="7">
        <v>3180</v>
      </c>
      <c r="Q167" s="14">
        <v>3300</v>
      </c>
      <c r="R167" s="229">
        <v>6480</v>
      </c>
      <c r="S167" s="7">
        <v>3180</v>
      </c>
      <c r="T167" s="7">
        <v>3240</v>
      </c>
      <c r="U167" s="7">
        <v>2610</v>
      </c>
      <c r="V167" s="7">
        <v>3360</v>
      </c>
      <c r="W167" s="7">
        <v>3240</v>
      </c>
      <c r="X167" s="8">
        <v>3647.5</v>
      </c>
      <c r="Y167" s="7">
        <v>3490</v>
      </c>
      <c r="Z167" s="9">
        <v>3342.5</v>
      </c>
      <c r="AA167" s="9">
        <v>3427.5</v>
      </c>
      <c r="AB167" s="237">
        <f t="shared" si="8"/>
        <v>36017.5</v>
      </c>
      <c r="AC167" s="265">
        <v>216</v>
      </c>
      <c r="AD167" s="13" t="s">
        <v>75</v>
      </c>
      <c r="AE167" s="13" t="s">
        <v>186</v>
      </c>
      <c r="AF167" s="255">
        <v>629</v>
      </c>
      <c r="AG167" s="48">
        <v>120</v>
      </c>
      <c r="AH167" s="12">
        <v>116</v>
      </c>
      <c r="AI167" s="48">
        <v>110</v>
      </c>
      <c r="AJ167" s="12">
        <v>113</v>
      </c>
      <c r="AK167" s="12">
        <v>109</v>
      </c>
      <c r="AL167" s="253">
        <f t="shared" si="9"/>
        <v>1197</v>
      </c>
      <c r="AM167" s="11">
        <v>30</v>
      </c>
      <c r="AN167" s="13" t="s">
        <v>198</v>
      </c>
      <c r="AO167" s="9">
        <f>SUM(8043+915)</f>
        <v>8958</v>
      </c>
      <c r="AP167" s="14">
        <v>0</v>
      </c>
      <c r="AQ167" s="7">
        <f>SUM(24547+2513)</f>
        <v>27060</v>
      </c>
      <c r="AR167" s="181"/>
    </row>
    <row r="168" spans="1:44" s="103" customFormat="1" ht="24.5" x14ac:dyDescent="0.2">
      <c r="A168" s="4">
        <v>161</v>
      </c>
      <c r="B168" s="17">
        <v>192</v>
      </c>
      <c r="C168" s="120" t="s">
        <v>41</v>
      </c>
      <c r="D168" s="5" t="s">
        <v>249</v>
      </c>
      <c r="E168" s="29">
        <v>2001</v>
      </c>
      <c r="F168" s="182" t="s">
        <v>325</v>
      </c>
      <c r="G168" s="190" t="s">
        <v>326</v>
      </c>
      <c r="H168" s="14">
        <v>0</v>
      </c>
      <c r="I168" s="14">
        <v>0</v>
      </c>
      <c r="J168" s="14">
        <v>0</v>
      </c>
      <c r="K168" s="14">
        <v>0</v>
      </c>
      <c r="L168" s="7">
        <v>0</v>
      </c>
      <c r="M168" s="7">
        <v>0</v>
      </c>
      <c r="N168" s="7">
        <v>0</v>
      </c>
      <c r="O168" s="15">
        <v>1020</v>
      </c>
      <c r="P168" s="7">
        <v>3630</v>
      </c>
      <c r="Q168" s="14">
        <v>3210</v>
      </c>
      <c r="R168" s="229">
        <v>7860</v>
      </c>
      <c r="S168" s="7">
        <v>3330</v>
      </c>
      <c r="T168" s="7">
        <v>2790</v>
      </c>
      <c r="U168" s="7">
        <v>2370</v>
      </c>
      <c r="V168" s="7">
        <v>2820</v>
      </c>
      <c r="W168" s="7">
        <v>1478</v>
      </c>
      <c r="X168" s="8">
        <v>2105</v>
      </c>
      <c r="Y168" s="7">
        <v>1953</v>
      </c>
      <c r="Z168" s="9">
        <v>2205</v>
      </c>
      <c r="AA168" s="9">
        <v>2235</v>
      </c>
      <c r="AB168" s="237">
        <f t="shared" si="8"/>
        <v>29146</v>
      </c>
      <c r="AC168" s="265">
        <v>262</v>
      </c>
      <c r="AD168" s="16">
        <v>30</v>
      </c>
      <c r="AE168" s="13" t="s">
        <v>186</v>
      </c>
      <c r="AF168" s="255">
        <v>639</v>
      </c>
      <c r="AG168" s="48">
        <v>67</v>
      </c>
      <c r="AH168" s="12">
        <v>66</v>
      </c>
      <c r="AI168" s="48">
        <v>66</v>
      </c>
      <c r="AJ168" s="12">
        <v>70</v>
      </c>
      <c r="AK168" s="12">
        <v>69</v>
      </c>
      <c r="AL168" s="253">
        <f t="shared" si="9"/>
        <v>977</v>
      </c>
      <c r="AM168" s="16">
        <v>30</v>
      </c>
      <c r="AN168" s="13" t="s">
        <v>198</v>
      </c>
      <c r="AO168" s="9">
        <f>SUM(6390+596)</f>
        <v>6986</v>
      </c>
      <c r="AP168" s="14">
        <v>0</v>
      </c>
      <c r="AQ168" s="7">
        <f>SUM(20521+1639)</f>
        <v>22160</v>
      </c>
      <c r="AR168" s="181"/>
    </row>
    <row r="169" spans="1:44" s="104" customFormat="1" ht="13" customHeight="1" x14ac:dyDescent="0.2">
      <c r="A169" s="4">
        <v>162</v>
      </c>
      <c r="B169" s="17">
        <v>88</v>
      </c>
      <c r="C169" s="120" t="s">
        <v>8</v>
      </c>
      <c r="D169" s="28" t="s">
        <v>295</v>
      </c>
      <c r="E169" s="29">
        <v>1990</v>
      </c>
      <c r="F169" s="182" t="s">
        <v>329</v>
      </c>
      <c r="G169" s="190"/>
      <c r="H169" s="14">
        <v>3390</v>
      </c>
      <c r="I169" s="14">
        <v>3420</v>
      </c>
      <c r="J169" s="14">
        <v>3030</v>
      </c>
      <c r="K169" s="14">
        <v>3120</v>
      </c>
      <c r="L169" s="7">
        <v>3420</v>
      </c>
      <c r="M169" s="7">
        <v>3780</v>
      </c>
      <c r="N169" s="7">
        <v>10430</v>
      </c>
      <c r="O169" s="15">
        <v>5550</v>
      </c>
      <c r="P169" s="7">
        <v>6240</v>
      </c>
      <c r="Q169" s="14">
        <v>8010</v>
      </c>
      <c r="R169" s="229">
        <v>50390</v>
      </c>
      <c r="S169" s="7">
        <v>7650</v>
      </c>
      <c r="T169" s="7">
        <v>7620</v>
      </c>
      <c r="U169" s="7">
        <v>6930</v>
      </c>
      <c r="V169" s="7">
        <v>7590</v>
      </c>
      <c r="W169" s="7">
        <v>7630</v>
      </c>
      <c r="X169" s="7">
        <f>SUM(9007.5+30)</f>
        <v>9037.5</v>
      </c>
      <c r="Y169" s="7">
        <v>10020</v>
      </c>
      <c r="Z169" s="9">
        <v>9823</v>
      </c>
      <c r="AA169" s="9">
        <v>8962.5</v>
      </c>
      <c r="AB169" s="237">
        <f t="shared" si="8"/>
        <v>125653</v>
      </c>
      <c r="AC169" s="265">
        <v>1679.6666666666667</v>
      </c>
      <c r="AD169" s="16">
        <v>30</v>
      </c>
      <c r="AE169" s="13" t="s">
        <v>186</v>
      </c>
      <c r="AF169" s="255">
        <v>2672.666666666667</v>
      </c>
      <c r="AG169" s="48">
        <v>289</v>
      </c>
      <c r="AH169" s="48">
        <v>299</v>
      </c>
      <c r="AI169" s="48">
        <v>316</v>
      </c>
      <c r="AJ169" s="12">
        <v>305</v>
      </c>
      <c r="AK169" s="12">
        <v>287</v>
      </c>
      <c r="AL169" s="253">
        <f t="shared" si="9"/>
        <v>4168.666666666667</v>
      </c>
      <c r="AM169" s="16">
        <v>30</v>
      </c>
      <c r="AN169" s="13" t="s">
        <v>198</v>
      </c>
      <c r="AO169" s="9">
        <f>SUM(26078+2391)</f>
        <v>28469</v>
      </c>
      <c r="AP169" s="14">
        <v>97184</v>
      </c>
      <c r="AQ169" s="7">
        <v>0</v>
      </c>
      <c r="AR169" s="116"/>
    </row>
    <row r="170" spans="1:44" s="103" customFormat="1" x14ac:dyDescent="0.2">
      <c r="A170" s="4">
        <v>163</v>
      </c>
      <c r="B170" s="17">
        <v>73</v>
      </c>
      <c r="C170" s="120" t="s">
        <v>42</v>
      </c>
      <c r="D170" s="28" t="s">
        <v>258</v>
      </c>
      <c r="E170" s="29">
        <v>1970</v>
      </c>
      <c r="F170" s="182" t="s">
        <v>331</v>
      </c>
      <c r="G170" s="183" t="s">
        <v>339</v>
      </c>
      <c r="H170" s="14">
        <v>0</v>
      </c>
      <c r="I170" s="14">
        <v>0</v>
      </c>
      <c r="J170" s="14">
        <v>0</v>
      </c>
      <c r="K170" s="14">
        <v>0</v>
      </c>
      <c r="L170" s="7">
        <v>0</v>
      </c>
      <c r="M170" s="7">
        <v>0</v>
      </c>
      <c r="N170" s="7">
        <v>0</v>
      </c>
      <c r="O170" s="15">
        <v>0</v>
      </c>
      <c r="P170" s="15">
        <v>0</v>
      </c>
      <c r="Q170" s="15">
        <v>0</v>
      </c>
      <c r="R170" s="229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7">
        <v>0</v>
      </c>
      <c r="Y170" s="15">
        <v>63714</v>
      </c>
      <c r="Z170" s="9">
        <v>0</v>
      </c>
      <c r="AA170" s="9">
        <v>0</v>
      </c>
      <c r="AB170" s="237">
        <f t="shared" si="8"/>
        <v>63714</v>
      </c>
      <c r="AC170" s="265">
        <v>0</v>
      </c>
      <c r="AD170" s="16">
        <v>0</v>
      </c>
      <c r="AE170" s="13" t="s">
        <v>78</v>
      </c>
      <c r="AF170" s="255" t="s">
        <v>76</v>
      </c>
      <c r="AG170" s="48">
        <v>2106</v>
      </c>
      <c r="AH170" s="48">
        <v>1338</v>
      </c>
      <c r="AI170" s="48">
        <v>1291</v>
      </c>
      <c r="AJ170" s="12">
        <v>1285</v>
      </c>
      <c r="AK170" s="12">
        <v>1183</v>
      </c>
      <c r="AL170" s="253">
        <f t="shared" si="9"/>
        <v>7203</v>
      </c>
      <c r="AM170" s="16">
        <v>0</v>
      </c>
      <c r="AN170" s="13" t="s">
        <v>78</v>
      </c>
      <c r="AO170" s="9">
        <f>[1]Sheet1!I132</f>
        <v>63714</v>
      </c>
      <c r="AP170" s="14">
        <v>0</v>
      </c>
      <c r="AQ170" s="7">
        <f>[1]Sheet1!N132</f>
        <v>0</v>
      </c>
      <c r="AR170" s="181"/>
    </row>
    <row r="171" spans="1:44" s="103" customFormat="1" ht="22.9" customHeight="1" x14ac:dyDescent="0.2">
      <c r="A171" s="4">
        <v>164</v>
      </c>
      <c r="B171" s="17">
        <v>200</v>
      </c>
      <c r="C171" s="120" t="s">
        <v>101</v>
      </c>
      <c r="D171" s="28" t="s">
        <v>274</v>
      </c>
      <c r="E171" s="13" t="s">
        <v>83</v>
      </c>
      <c r="F171" s="182" t="s">
        <v>382</v>
      </c>
      <c r="G171" s="182" t="s">
        <v>433</v>
      </c>
      <c r="H171" s="14">
        <v>0</v>
      </c>
      <c r="I171" s="14">
        <v>4625</v>
      </c>
      <c r="J171" s="14">
        <v>61175</v>
      </c>
      <c r="K171" s="14">
        <v>154415</v>
      </c>
      <c r="L171" s="7">
        <v>283875</v>
      </c>
      <c r="M171" s="7">
        <v>455230</v>
      </c>
      <c r="N171" s="7">
        <v>532125</v>
      </c>
      <c r="O171" s="7">
        <v>536703</v>
      </c>
      <c r="P171" s="7">
        <v>562575</v>
      </c>
      <c r="Q171" s="14">
        <v>580920</v>
      </c>
      <c r="R171" s="229">
        <v>3171643</v>
      </c>
      <c r="S171" s="7">
        <v>664260</v>
      </c>
      <c r="T171" s="7">
        <v>625560</v>
      </c>
      <c r="U171" s="7">
        <v>529380</v>
      </c>
      <c r="V171" s="7">
        <v>549150</v>
      </c>
      <c r="W171" s="7">
        <v>490495</v>
      </c>
      <c r="X171" s="7">
        <f>SUM(954.16+527323.5)</f>
        <v>528277.66</v>
      </c>
      <c r="Y171" s="7">
        <v>485302</v>
      </c>
      <c r="Z171" s="9">
        <v>468247.5</v>
      </c>
      <c r="AA171" s="9">
        <v>426417.5</v>
      </c>
      <c r="AB171" s="237">
        <f t="shared" si="8"/>
        <v>7938732.6600000001</v>
      </c>
      <c r="AC171" s="265">
        <v>126865.72</v>
      </c>
      <c r="AD171" s="16">
        <v>25</v>
      </c>
      <c r="AE171" s="13" t="s">
        <v>188</v>
      </c>
      <c r="AF171" s="255">
        <v>205810.72</v>
      </c>
      <c r="AG171" s="48">
        <v>18323</v>
      </c>
      <c r="AH171" s="48">
        <v>17042</v>
      </c>
      <c r="AI171" s="48">
        <v>16421</v>
      </c>
      <c r="AJ171" s="12">
        <v>15156</v>
      </c>
      <c r="AK171" s="12">
        <v>13598</v>
      </c>
      <c r="AL171" s="253">
        <f t="shared" si="9"/>
        <v>286350.71999999997</v>
      </c>
      <c r="AM171" s="16">
        <v>30</v>
      </c>
      <c r="AN171" s="13" t="s">
        <v>198</v>
      </c>
      <c r="AO171" s="9">
        <f>SUM(1773611+113715)</f>
        <v>1887326</v>
      </c>
      <c r="AP171" s="14">
        <v>0</v>
      </c>
      <c r="AQ171" s="7">
        <f>SUM(5738704+312703)</f>
        <v>6051407</v>
      </c>
      <c r="AR171" s="181"/>
    </row>
    <row r="172" spans="1:44" s="103" customFormat="1" ht="13" customHeight="1" x14ac:dyDescent="0.2">
      <c r="A172" s="4">
        <v>165</v>
      </c>
      <c r="B172" s="17">
        <v>70</v>
      </c>
      <c r="C172" s="120" t="s">
        <v>43</v>
      </c>
      <c r="D172" s="28" t="s">
        <v>259</v>
      </c>
      <c r="E172" s="29">
        <v>1938</v>
      </c>
      <c r="F172" s="183" t="s">
        <v>331</v>
      </c>
      <c r="G172" s="183" t="s">
        <v>358</v>
      </c>
      <c r="H172" s="14">
        <v>0</v>
      </c>
      <c r="I172" s="14">
        <v>0</v>
      </c>
      <c r="J172" s="14">
        <v>0</v>
      </c>
      <c r="K172" s="14">
        <v>0</v>
      </c>
      <c r="L172" s="7">
        <v>0</v>
      </c>
      <c r="M172" s="7">
        <v>0</v>
      </c>
      <c r="N172" s="7">
        <v>0</v>
      </c>
      <c r="O172" s="15">
        <v>0</v>
      </c>
      <c r="P172" s="15">
        <v>0</v>
      </c>
      <c r="Q172" s="15">
        <v>0</v>
      </c>
      <c r="R172" s="229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7">
        <v>0</v>
      </c>
      <c r="Y172" s="15">
        <v>0</v>
      </c>
      <c r="Z172" s="9">
        <v>0</v>
      </c>
      <c r="AA172" s="9">
        <v>0</v>
      </c>
      <c r="AB172" s="237">
        <f t="shared" si="8"/>
        <v>0</v>
      </c>
      <c r="AC172" s="265">
        <v>0</v>
      </c>
      <c r="AD172" s="16">
        <v>0</v>
      </c>
      <c r="AE172" s="13" t="s">
        <v>78</v>
      </c>
      <c r="AF172" s="255" t="s">
        <v>76</v>
      </c>
      <c r="AG172" s="48">
        <v>601</v>
      </c>
      <c r="AH172" s="48">
        <v>492</v>
      </c>
      <c r="AI172" s="48">
        <v>438</v>
      </c>
      <c r="AJ172" s="12">
        <v>431</v>
      </c>
      <c r="AK172" s="12">
        <v>399</v>
      </c>
      <c r="AL172" s="253">
        <f t="shared" si="9"/>
        <v>2361</v>
      </c>
      <c r="AM172" s="16">
        <v>0</v>
      </c>
      <c r="AN172" s="13" t="s">
        <v>78</v>
      </c>
      <c r="AO172" s="9">
        <f>[1]Sheet1!I134</f>
        <v>0</v>
      </c>
      <c r="AP172" s="14">
        <v>0</v>
      </c>
      <c r="AQ172" s="7">
        <f>[1]Sheet1!N134</f>
        <v>0</v>
      </c>
      <c r="AR172" s="181"/>
    </row>
    <row r="173" spans="1:44" s="103" customFormat="1" ht="25.2" customHeight="1" x14ac:dyDescent="0.2">
      <c r="A173" s="4">
        <v>166</v>
      </c>
      <c r="B173" s="17">
        <v>122</v>
      </c>
      <c r="C173" s="120" t="s">
        <v>106</v>
      </c>
      <c r="D173" s="5" t="s">
        <v>249</v>
      </c>
      <c r="E173" s="29">
        <v>1993</v>
      </c>
      <c r="F173" s="183" t="s">
        <v>106</v>
      </c>
      <c r="G173" s="183" t="s">
        <v>326</v>
      </c>
      <c r="H173" s="14">
        <v>2700</v>
      </c>
      <c r="I173" s="14">
        <v>2700</v>
      </c>
      <c r="J173" s="14">
        <v>2670</v>
      </c>
      <c r="K173" s="14">
        <v>2490</v>
      </c>
      <c r="L173" s="7">
        <v>2580</v>
      </c>
      <c r="M173" s="7">
        <v>2670</v>
      </c>
      <c r="N173" s="7">
        <v>3690</v>
      </c>
      <c r="O173" s="15">
        <v>3450</v>
      </c>
      <c r="P173" s="7">
        <v>3150</v>
      </c>
      <c r="Q173" s="14">
        <v>3150</v>
      </c>
      <c r="R173" s="229">
        <v>29250</v>
      </c>
      <c r="S173" s="7">
        <v>3660</v>
      </c>
      <c r="T173" s="7">
        <v>3090</v>
      </c>
      <c r="U173" s="7">
        <v>3270</v>
      </c>
      <c r="V173" s="15">
        <v>4560</v>
      </c>
      <c r="W173" s="15">
        <v>4935</v>
      </c>
      <c r="X173" s="7">
        <v>6130</v>
      </c>
      <c r="Y173" s="15">
        <v>7043</v>
      </c>
      <c r="Z173" s="9">
        <v>6585</v>
      </c>
      <c r="AA173" s="9">
        <v>5687</v>
      </c>
      <c r="AB173" s="237">
        <f t="shared" si="8"/>
        <v>74210</v>
      </c>
      <c r="AC173" s="265">
        <v>975</v>
      </c>
      <c r="AD173" s="16">
        <v>30</v>
      </c>
      <c r="AE173" s="13" t="s">
        <v>186</v>
      </c>
      <c r="AF173" s="255">
        <v>1461</v>
      </c>
      <c r="AG173" s="48">
        <v>170</v>
      </c>
      <c r="AH173" s="48">
        <v>201</v>
      </c>
      <c r="AI173" s="48">
        <v>229</v>
      </c>
      <c r="AJ173" s="12">
        <v>215</v>
      </c>
      <c r="AK173" s="12">
        <v>177</v>
      </c>
      <c r="AL173" s="253">
        <f t="shared" si="9"/>
        <v>2453</v>
      </c>
      <c r="AM173" s="16">
        <v>30</v>
      </c>
      <c r="AN173" s="13" t="s">
        <v>198</v>
      </c>
      <c r="AO173" s="9">
        <f>SUM(15348+1516)</f>
        <v>16864</v>
      </c>
      <c r="AP173" s="14">
        <v>0</v>
      </c>
      <c r="AQ173" s="7">
        <f>SUM(53174+4171)</f>
        <v>57345</v>
      </c>
      <c r="AR173" s="181"/>
    </row>
    <row r="174" spans="1:44" s="104" customFormat="1" ht="29.7" customHeight="1" x14ac:dyDescent="0.2">
      <c r="A174" s="4">
        <v>167</v>
      </c>
      <c r="B174" s="17">
        <v>258</v>
      </c>
      <c r="C174" s="120" t="s">
        <v>240</v>
      </c>
      <c r="D174" s="5">
        <v>504.642</v>
      </c>
      <c r="E174" s="29">
        <v>2008</v>
      </c>
      <c r="F174" s="183" t="s">
        <v>369</v>
      </c>
      <c r="G174" s="183" t="s">
        <v>432</v>
      </c>
      <c r="H174" s="7">
        <v>0</v>
      </c>
      <c r="I174" s="7">
        <v>0</v>
      </c>
      <c r="J174" s="7">
        <v>0</v>
      </c>
      <c r="K174" s="14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229">
        <v>0</v>
      </c>
      <c r="S174" s="7">
        <v>0</v>
      </c>
      <c r="T174" s="7">
        <v>0</v>
      </c>
      <c r="U174" s="7">
        <v>0</v>
      </c>
      <c r="V174" s="15">
        <v>0</v>
      </c>
      <c r="W174" s="15">
        <v>4103</v>
      </c>
      <c r="X174" s="7">
        <f>SUM(22+10977.5)</f>
        <v>10999.5</v>
      </c>
      <c r="Y174" s="15">
        <v>16174</v>
      </c>
      <c r="Z174" s="9">
        <v>17547.5</v>
      </c>
      <c r="AA174" s="9">
        <v>15667.5</v>
      </c>
      <c r="AB174" s="237">
        <f t="shared" si="8"/>
        <v>64491.5</v>
      </c>
      <c r="AC174" s="265">
        <v>0</v>
      </c>
      <c r="AD174" s="16">
        <v>30</v>
      </c>
      <c r="AE174" s="13" t="s">
        <v>186</v>
      </c>
      <c r="AF174" s="255">
        <v>0</v>
      </c>
      <c r="AG174" s="48">
        <v>54</v>
      </c>
      <c r="AH174" s="48">
        <v>370</v>
      </c>
      <c r="AI174" s="48">
        <v>521</v>
      </c>
      <c r="AJ174" s="12">
        <v>562</v>
      </c>
      <c r="AK174" s="12">
        <v>495</v>
      </c>
      <c r="AL174" s="253">
        <f t="shared" si="9"/>
        <v>2002</v>
      </c>
      <c r="AM174" s="16">
        <v>30</v>
      </c>
      <c r="AN174" s="13" t="s">
        <v>198</v>
      </c>
      <c r="AO174" s="9">
        <f>SUM(13023+4177)</f>
        <v>17200</v>
      </c>
      <c r="AP174" s="14">
        <v>0</v>
      </c>
      <c r="AQ174" s="7">
        <f>SUM(35803+11489)</f>
        <v>47292</v>
      </c>
      <c r="AR174" s="116"/>
    </row>
    <row r="175" spans="1:44" s="104" customFormat="1" ht="13" customHeight="1" x14ac:dyDescent="0.2">
      <c r="A175" s="4">
        <v>168</v>
      </c>
      <c r="B175" s="17"/>
      <c r="C175" s="120" t="s">
        <v>503</v>
      </c>
      <c r="D175" s="28"/>
      <c r="E175" s="29">
        <v>2012</v>
      </c>
      <c r="F175" s="183" t="s">
        <v>331</v>
      </c>
      <c r="G175" s="183" t="s">
        <v>358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231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9">
        <v>0</v>
      </c>
      <c r="AB175" s="237">
        <f t="shared" si="8"/>
        <v>0</v>
      </c>
      <c r="AC175" s="265">
        <v>0</v>
      </c>
      <c r="AD175" s="16"/>
      <c r="AE175" s="13"/>
      <c r="AF175" s="255"/>
      <c r="AG175" s="48"/>
      <c r="AH175" s="12"/>
      <c r="AI175" s="48"/>
      <c r="AJ175" s="12">
        <v>0</v>
      </c>
      <c r="AK175" s="12">
        <v>14</v>
      </c>
      <c r="AL175" s="253">
        <f t="shared" si="9"/>
        <v>14</v>
      </c>
      <c r="AM175" s="16">
        <v>0</v>
      </c>
      <c r="AN175" s="13" t="s">
        <v>78</v>
      </c>
      <c r="AO175" s="9">
        <v>0</v>
      </c>
      <c r="AP175" s="14">
        <v>0</v>
      </c>
      <c r="AQ175" s="7">
        <v>0</v>
      </c>
      <c r="AR175" s="116"/>
    </row>
    <row r="176" spans="1:44" s="104" customFormat="1" x14ac:dyDescent="0.2">
      <c r="A176" s="4">
        <v>169</v>
      </c>
      <c r="B176" s="17">
        <v>142</v>
      </c>
      <c r="C176" s="120" t="s">
        <v>107</v>
      </c>
      <c r="D176" s="5" t="s">
        <v>249</v>
      </c>
      <c r="E176" s="29">
        <v>2001</v>
      </c>
      <c r="F176" s="182" t="s">
        <v>107</v>
      </c>
      <c r="G176" s="190" t="s">
        <v>326</v>
      </c>
      <c r="H176" s="14">
        <v>0</v>
      </c>
      <c r="I176" s="14">
        <v>0</v>
      </c>
      <c r="J176" s="14">
        <v>0</v>
      </c>
      <c r="K176" s="14">
        <v>0</v>
      </c>
      <c r="L176" s="7">
        <v>0</v>
      </c>
      <c r="M176" s="7">
        <v>0</v>
      </c>
      <c r="N176" s="7">
        <v>0</v>
      </c>
      <c r="O176" s="15">
        <v>120</v>
      </c>
      <c r="P176" s="7">
        <v>1020</v>
      </c>
      <c r="Q176" s="14">
        <v>1560</v>
      </c>
      <c r="R176" s="229">
        <v>2700</v>
      </c>
      <c r="S176" s="7">
        <v>3030</v>
      </c>
      <c r="T176" s="7">
        <v>3090</v>
      </c>
      <c r="U176" s="7">
        <v>2580</v>
      </c>
      <c r="V176" s="7">
        <v>2490</v>
      </c>
      <c r="W176" s="7">
        <v>2698</v>
      </c>
      <c r="X176" s="7">
        <f>SUM(22+2715)</f>
        <v>2737</v>
      </c>
      <c r="Y176" s="7">
        <v>2836</v>
      </c>
      <c r="Z176" s="9">
        <v>2960</v>
      </c>
      <c r="AA176" s="9">
        <v>2937.5</v>
      </c>
      <c r="AB176" s="237">
        <f t="shared" si="8"/>
        <v>28058.5</v>
      </c>
      <c r="AC176" s="265">
        <v>90</v>
      </c>
      <c r="AD176" s="16">
        <v>30</v>
      </c>
      <c r="AE176" s="13" t="s">
        <v>186</v>
      </c>
      <c r="AF176" s="255">
        <v>463</v>
      </c>
      <c r="AG176" s="48">
        <v>96</v>
      </c>
      <c r="AH176" s="48">
        <v>87</v>
      </c>
      <c r="AI176" s="48">
        <v>97</v>
      </c>
      <c r="AJ176" s="12">
        <v>96</v>
      </c>
      <c r="AK176" s="12">
        <v>91</v>
      </c>
      <c r="AL176" s="253">
        <f t="shared" si="9"/>
        <v>930</v>
      </c>
      <c r="AM176" s="16">
        <v>30</v>
      </c>
      <c r="AN176" s="13" t="s">
        <v>198</v>
      </c>
      <c r="AO176" s="9">
        <f>SUM(6428+784)</f>
        <v>7212</v>
      </c>
      <c r="AP176" s="14">
        <v>0</v>
      </c>
      <c r="AQ176" s="7">
        <f>SUM(18692+2155)</f>
        <v>20847</v>
      </c>
      <c r="AR176" s="116"/>
    </row>
    <row r="177" spans="1:44" s="104" customFormat="1" x14ac:dyDescent="0.2">
      <c r="A177" s="4">
        <v>170</v>
      </c>
      <c r="B177" s="17">
        <v>127</v>
      </c>
      <c r="C177" s="120" t="s">
        <v>44</v>
      </c>
      <c r="D177" s="5" t="s">
        <v>249</v>
      </c>
      <c r="E177" s="29">
        <v>1993</v>
      </c>
      <c r="F177" s="182" t="s">
        <v>44</v>
      </c>
      <c r="G177" s="190" t="s">
        <v>326</v>
      </c>
      <c r="H177" s="14">
        <v>750</v>
      </c>
      <c r="I177" s="14">
        <v>810</v>
      </c>
      <c r="J177" s="14">
        <v>660</v>
      </c>
      <c r="K177" s="14">
        <v>750</v>
      </c>
      <c r="L177" s="7">
        <v>780</v>
      </c>
      <c r="M177" s="7">
        <v>870</v>
      </c>
      <c r="N177" s="7">
        <v>1290</v>
      </c>
      <c r="O177" s="15">
        <v>1350</v>
      </c>
      <c r="P177" s="7">
        <v>1500</v>
      </c>
      <c r="Q177" s="14">
        <v>1710</v>
      </c>
      <c r="R177" s="229">
        <v>10470</v>
      </c>
      <c r="S177" s="7">
        <v>1830</v>
      </c>
      <c r="T177" s="7">
        <v>1710</v>
      </c>
      <c r="U177" s="7">
        <v>1500</v>
      </c>
      <c r="V177" s="7">
        <v>810</v>
      </c>
      <c r="W177" s="7">
        <v>698</v>
      </c>
      <c r="X177" s="7">
        <v>487.5</v>
      </c>
      <c r="Y177" s="7">
        <v>522</v>
      </c>
      <c r="Z177" s="9">
        <v>242.5</v>
      </c>
      <c r="AA177" s="9">
        <v>57.5</v>
      </c>
      <c r="AB177" s="237">
        <f t="shared" si="8"/>
        <v>18327.5</v>
      </c>
      <c r="AC177" s="265">
        <v>349</v>
      </c>
      <c r="AD177" s="16">
        <v>30</v>
      </c>
      <c r="AE177" s="13" t="s">
        <v>186</v>
      </c>
      <c r="AF177" s="255">
        <v>544</v>
      </c>
      <c r="AG177" s="48">
        <v>23</v>
      </c>
      <c r="AH177" s="48">
        <v>17</v>
      </c>
      <c r="AI177" s="48">
        <v>10</v>
      </c>
      <c r="AJ177" s="12">
        <v>6</v>
      </c>
      <c r="AK177" s="12">
        <v>1</v>
      </c>
      <c r="AL177" s="253">
        <f t="shared" si="9"/>
        <v>601</v>
      </c>
      <c r="AM177" s="16">
        <v>30</v>
      </c>
      <c r="AN177" s="13" t="s">
        <v>198</v>
      </c>
      <c r="AO177" s="9">
        <f>SUM(3825+16)</f>
        <v>3841</v>
      </c>
      <c r="AP177" s="14">
        <v>0</v>
      </c>
      <c r="AQ177" s="7">
        <f>SUM(14444+43)</f>
        <v>14487</v>
      </c>
      <c r="AR177" s="116"/>
    </row>
    <row r="178" spans="1:44" s="104" customFormat="1" ht="24.5" x14ac:dyDescent="0.2">
      <c r="A178" s="4">
        <v>171</v>
      </c>
      <c r="B178" s="17">
        <v>169</v>
      </c>
      <c r="C178" s="120" t="s">
        <v>123</v>
      </c>
      <c r="D178" s="28" t="s">
        <v>252</v>
      </c>
      <c r="E178" s="29">
        <v>2001</v>
      </c>
      <c r="F178" s="182" t="s">
        <v>383</v>
      </c>
      <c r="G178" s="182" t="s">
        <v>434</v>
      </c>
      <c r="H178" s="14">
        <v>0</v>
      </c>
      <c r="I178" s="14">
        <v>0</v>
      </c>
      <c r="J178" s="14">
        <v>0</v>
      </c>
      <c r="K178" s="14">
        <v>0</v>
      </c>
      <c r="L178" s="7">
        <v>0</v>
      </c>
      <c r="M178" s="7">
        <v>0</v>
      </c>
      <c r="N178" s="7">
        <v>0</v>
      </c>
      <c r="O178" s="15">
        <v>0</v>
      </c>
      <c r="P178" s="7">
        <v>10860</v>
      </c>
      <c r="Q178" s="14">
        <v>15330</v>
      </c>
      <c r="R178" s="229">
        <v>26190</v>
      </c>
      <c r="S178" s="7">
        <v>15810</v>
      </c>
      <c r="T178" s="7">
        <v>17250</v>
      </c>
      <c r="U178" s="7">
        <v>13500</v>
      </c>
      <c r="V178" s="7">
        <v>15540</v>
      </c>
      <c r="W178" s="7">
        <v>15275</v>
      </c>
      <c r="X178" s="7">
        <v>16980</v>
      </c>
      <c r="Y178" s="7">
        <v>18523</v>
      </c>
      <c r="Z178" s="9">
        <v>16895</v>
      </c>
      <c r="AA178" s="9">
        <v>15285</v>
      </c>
      <c r="AB178" s="237">
        <f t="shared" si="8"/>
        <v>171248</v>
      </c>
      <c r="AC178" s="265">
        <v>873</v>
      </c>
      <c r="AD178" s="16">
        <v>30</v>
      </c>
      <c r="AE178" s="13" t="s">
        <v>186</v>
      </c>
      <c r="AF178" s="255">
        <v>2943</v>
      </c>
      <c r="AG178" s="48">
        <v>540</v>
      </c>
      <c r="AH178" s="48">
        <v>568</v>
      </c>
      <c r="AI178" s="48">
        <v>580</v>
      </c>
      <c r="AJ178" s="12">
        <v>544</v>
      </c>
      <c r="AK178" s="12">
        <v>486</v>
      </c>
      <c r="AL178" s="253">
        <f t="shared" si="9"/>
        <v>5661</v>
      </c>
      <c r="AM178" s="16">
        <v>30</v>
      </c>
      <c r="AN178" s="13" t="s">
        <v>198</v>
      </c>
      <c r="AO178" s="9">
        <f>SUM(38973+4076)</f>
        <v>43049</v>
      </c>
      <c r="AP178" s="14">
        <v>0</v>
      </c>
      <c r="AQ178" s="7">
        <f>SUM(116990+11209)</f>
        <v>128199</v>
      </c>
      <c r="AR178" s="116"/>
    </row>
    <row r="179" spans="1:44" s="103" customFormat="1" x14ac:dyDescent="0.2">
      <c r="A179" s="4">
        <v>172</v>
      </c>
      <c r="B179" s="17">
        <v>101</v>
      </c>
      <c r="C179" s="120" t="s">
        <v>45</v>
      </c>
      <c r="D179" s="5" t="s">
        <v>249</v>
      </c>
      <c r="E179" s="24">
        <v>1990</v>
      </c>
      <c r="F179" s="182" t="s">
        <v>384</v>
      </c>
      <c r="G179" s="190" t="s">
        <v>326</v>
      </c>
      <c r="H179" s="26">
        <v>159510</v>
      </c>
      <c r="I179" s="26">
        <v>162180</v>
      </c>
      <c r="J179" s="26">
        <v>155940</v>
      </c>
      <c r="K179" s="26">
        <v>172290</v>
      </c>
      <c r="L179" s="7">
        <v>204570</v>
      </c>
      <c r="M179" s="7">
        <v>219876</v>
      </c>
      <c r="N179" s="7">
        <v>214680</v>
      </c>
      <c r="O179" s="15">
        <v>200795</v>
      </c>
      <c r="P179" s="7">
        <v>196560</v>
      </c>
      <c r="Q179" s="14">
        <v>189530</v>
      </c>
      <c r="R179" s="229">
        <v>1875931</v>
      </c>
      <c r="S179" s="7">
        <v>182970</v>
      </c>
      <c r="T179" s="7">
        <v>179130</v>
      </c>
      <c r="U179" s="7">
        <v>164130</v>
      </c>
      <c r="V179" s="7">
        <v>173910</v>
      </c>
      <c r="W179" s="7">
        <v>169485</v>
      </c>
      <c r="X179" s="7">
        <f>SUM(198125.66+515.66)</f>
        <v>198641.32</v>
      </c>
      <c r="Y179" s="7">
        <v>229425</v>
      </c>
      <c r="Z179" s="9">
        <v>225757.5</v>
      </c>
      <c r="AA179" s="9">
        <v>198035</v>
      </c>
      <c r="AB179" s="237">
        <f t="shared" si="8"/>
        <v>3597414.82</v>
      </c>
      <c r="AC179" s="265">
        <v>62531.033333333333</v>
      </c>
      <c r="AD179" s="16">
        <v>30</v>
      </c>
      <c r="AE179" s="13" t="s">
        <v>186</v>
      </c>
      <c r="AF179" s="255">
        <v>85869.033333333326</v>
      </c>
      <c r="AG179" s="48">
        <v>6120</v>
      </c>
      <c r="AH179" s="48">
        <v>6497</v>
      </c>
      <c r="AI179" s="48">
        <v>7425</v>
      </c>
      <c r="AJ179" s="12">
        <v>7231</v>
      </c>
      <c r="AK179" s="12">
        <v>6311</v>
      </c>
      <c r="AL179" s="253">
        <f t="shared" si="9"/>
        <v>119453.03333333333</v>
      </c>
      <c r="AM179" s="16">
        <v>30</v>
      </c>
      <c r="AN179" s="13" t="s">
        <v>198</v>
      </c>
      <c r="AO179" s="9">
        <f>SUM(718917+52812)</f>
        <v>771729</v>
      </c>
      <c r="AP179" s="14">
        <v>0</v>
      </c>
      <c r="AQ179" s="7">
        <f>SUM(2680462+145224)</f>
        <v>2825686</v>
      </c>
      <c r="AR179" s="181"/>
    </row>
    <row r="180" spans="1:44" s="103" customFormat="1" ht="24.5" x14ac:dyDescent="0.2">
      <c r="A180" s="4">
        <v>173</v>
      </c>
      <c r="B180" s="17">
        <v>126</v>
      </c>
      <c r="C180" s="120" t="s">
        <v>115</v>
      </c>
      <c r="D180" s="5" t="s">
        <v>249</v>
      </c>
      <c r="E180" s="29">
        <v>1993</v>
      </c>
      <c r="F180" s="182" t="s">
        <v>385</v>
      </c>
      <c r="G180" s="190" t="s">
        <v>326</v>
      </c>
      <c r="H180" s="14">
        <v>930</v>
      </c>
      <c r="I180" s="14">
        <v>1140</v>
      </c>
      <c r="J180" s="14">
        <v>750</v>
      </c>
      <c r="K180" s="14">
        <v>870</v>
      </c>
      <c r="L180" s="7">
        <v>1170</v>
      </c>
      <c r="M180" s="7">
        <v>990</v>
      </c>
      <c r="N180" s="7">
        <v>780</v>
      </c>
      <c r="O180" s="15">
        <v>4067</v>
      </c>
      <c r="P180" s="15">
        <v>780</v>
      </c>
      <c r="Q180" s="15">
        <v>900</v>
      </c>
      <c r="R180" s="229">
        <v>12377</v>
      </c>
      <c r="S180" s="15">
        <v>900</v>
      </c>
      <c r="T180" s="15">
        <v>900</v>
      </c>
      <c r="U180" s="15">
        <v>870</v>
      </c>
      <c r="V180" s="7">
        <v>780</v>
      </c>
      <c r="W180" s="7">
        <v>1533</v>
      </c>
      <c r="X180" s="7">
        <v>1457.5</v>
      </c>
      <c r="Y180" s="7">
        <v>1660</v>
      </c>
      <c r="Z180" s="9">
        <v>1567.5</v>
      </c>
      <c r="AA180" s="9">
        <v>1860</v>
      </c>
      <c r="AB180" s="237">
        <f t="shared" si="8"/>
        <v>23905</v>
      </c>
      <c r="AC180" s="265">
        <v>412.56666666666666</v>
      </c>
      <c r="AD180" s="16">
        <v>30</v>
      </c>
      <c r="AE180" s="13" t="s">
        <v>186</v>
      </c>
      <c r="AF180" s="255">
        <v>527.56666666666661</v>
      </c>
      <c r="AG180" s="48">
        <v>52</v>
      </c>
      <c r="AH180" s="48">
        <v>48</v>
      </c>
      <c r="AI180" s="48">
        <v>50</v>
      </c>
      <c r="AJ180" s="12">
        <v>52</v>
      </c>
      <c r="AK180" s="12">
        <v>55</v>
      </c>
      <c r="AL180" s="253">
        <f t="shared" si="9"/>
        <v>784.56666666666661</v>
      </c>
      <c r="AM180" s="16">
        <v>30</v>
      </c>
      <c r="AN180" s="13" t="s">
        <v>198</v>
      </c>
      <c r="AO180" s="9">
        <f>SUM(4642+496)</f>
        <v>5138</v>
      </c>
      <c r="AP180" s="14">
        <v>0</v>
      </c>
      <c r="AQ180" s="7">
        <f>SUM(17403+1364)</f>
        <v>18767</v>
      </c>
      <c r="AR180" s="181"/>
    </row>
    <row r="181" spans="1:44" s="103" customFormat="1" ht="24.5" x14ac:dyDescent="0.2">
      <c r="A181" s="4">
        <v>174</v>
      </c>
      <c r="B181" s="17">
        <v>130</v>
      </c>
      <c r="C181" s="120" t="s">
        <v>116</v>
      </c>
      <c r="D181" s="5" t="s">
        <v>249</v>
      </c>
      <c r="E181" s="40">
        <v>1993</v>
      </c>
      <c r="F181" s="182" t="s">
        <v>386</v>
      </c>
      <c r="G181" s="190" t="s">
        <v>326</v>
      </c>
      <c r="H181" s="9">
        <v>180</v>
      </c>
      <c r="I181" s="9">
        <v>390</v>
      </c>
      <c r="J181" s="9">
        <v>300</v>
      </c>
      <c r="K181" s="9">
        <v>330</v>
      </c>
      <c r="L181" s="7">
        <v>330</v>
      </c>
      <c r="M181" s="7">
        <v>390</v>
      </c>
      <c r="N181" s="7">
        <v>360</v>
      </c>
      <c r="O181" s="15">
        <v>540</v>
      </c>
      <c r="P181" s="15">
        <v>630</v>
      </c>
      <c r="Q181" s="15">
        <v>510</v>
      </c>
      <c r="R181" s="229">
        <v>3960</v>
      </c>
      <c r="S181" s="15">
        <v>390</v>
      </c>
      <c r="T181" s="15">
        <v>390</v>
      </c>
      <c r="U181" s="15">
        <v>210</v>
      </c>
      <c r="V181" s="15">
        <v>210</v>
      </c>
      <c r="W181" s="15">
        <v>120</v>
      </c>
      <c r="X181" s="7">
        <v>90</v>
      </c>
      <c r="Y181" s="15">
        <v>30</v>
      </c>
      <c r="Z181" s="10">
        <v>0</v>
      </c>
      <c r="AA181" s="9">
        <v>0</v>
      </c>
      <c r="AB181" s="237">
        <f t="shared" si="8"/>
        <v>5400</v>
      </c>
      <c r="AC181" s="265">
        <v>132</v>
      </c>
      <c r="AD181" s="16">
        <v>30</v>
      </c>
      <c r="AE181" s="13" t="s">
        <v>186</v>
      </c>
      <c r="AF181" s="255">
        <v>172</v>
      </c>
      <c r="AG181" s="48">
        <v>5</v>
      </c>
      <c r="AH181" s="48">
        <v>3</v>
      </c>
      <c r="AI181" s="48">
        <v>1</v>
      </c>
      <c r="AJ181" s="12">
        <v>0</v>
      </c>
      <c r="AK181" s="12">
        <v>0</v>
      </c>
      <c r="AL181" s="253">
        <f t="shared" si="9"/>
        <v>181</v>
      </c>
      <c r="AM181" s="16">
        <v>30</v>
      </c>
      <c r="AN181" s="13" t="s">
        <v>198</v>
      </c>
      <c r="AO181" s="9">
        <f>[1]Sheet1!I142</f>
        <v>1044</v>
      </c>
      <c r="AP181" s="14">
        <v>0</v>
      </c>
      <c r="AQ181" s="7">
        <f>[1]Sheet1!N142</f>
        <v>4356</v>
      </c>
      <c r="AR181" s="181"/>
    </row>
    <row r="182" spans="1:44" s="104" customFormat="1" x14ac:dyDescent="0.2">
      <c r="A182" s="4">
        <v>175</v>
      </c>
      <c r="B182" s="17">
        <v>144</v>
      </c>
      <c r="C182" s="120" t="s">
        <v>114</v>
      </c>
      <c r="D182" s="44" t="s">
        <v>249</v>
      </c>
      <c r="E182" s="29">
        <v>2002</v>
      </c>
      <c r="F182" s="182" t="s">
        <v>342</v>
      </c>
      <c r="G182" s="190" t="s">
        <v>326</v>
      </c>
      <c r="H182" s="14">
        <v>0</v>
      </c>
      <c r="I182" s="9">
        <v>0</v>
      </c>
      <c r="J182" s="9">
        <v>0</v>
      </c>
      <c r="K182" s="9">
        <v>0</v>
      </c>
      <c r="L182" s="8">
        <v>0</v>
      </c>
      <c r="M182" s="8">
        <v>0</v>
      </c>
      <c r="N182" s="8">
        <v>0</v>
      </c>
      <c r="O182" s="10">
        <v>0</v>
      </c>
      <c r="P182" s="15">
        <v>420</v>
      </c>
      <c r="Q182" s="15">
        <v>450</v>
      </c>
      <c r="R182" s="229">
        <v>870</v>
      </c>
      <c r="S182" s="15">
        <v>720</v>
      </c>
      <c r="T182" s="15">
        <v>690</v>
      </c>
      <c r="U182" s="15">
        <v>450</v>
      </c>
      <c r="V182" s="15">
        <v>360</v>
      </c>
      <c r="W182" s="15">
        <v>183</v>
      </c>
      <c r="X182" s="102">
        <v>90</v>
      </c>
      <c r="Y182" s="15">
        <v>30</v>
      </c>
      <c r="Z182" s="10">
        <v>0</v>
      </c>
      <c r="AA182" s="9">
        <v>0</v>
      </c>
      <c r="AB182" s="237">
        <f t="shared" si="8"/>
        <v>3393</v>
      </c>
      <c r="AC182" s="265">
        <v>29</v>
      </c>
      <c r="AD182" s="16">
        <v>30</v>
      </c>
      <c r="AE182" s="13" t="s">
        <v>186</v>
      </c>
      <c r="AF182" s="255">
        <v>103</v>
      </c>
      <c r="AG182" s="48">
        <v>7</v>
      </c>
      <c r="AH182" s="38">
        <v>3</v>
      </c>
      <c r="AI182" s="48">
        <v>1</v>
      </c>
      <c r="AJ182" s="12">
        <v>0</v>
      </c>
      <c r="AK182" s="12"/>
      <c r="AL182" s="253">
        <f t="shared" si="9"/>
        <v>114</v>
      </c>
      <c r="AM182" s="16">
        <v>30</v>
      </c>
      <c r="AN182" s="13" t="s">
        <v>198</v>
      </c>
      <c r="AO182" s="9">
        <f>[1]Sheet1!I143</f>
        <v>908</v>
      </c>
      <c r="AP182" s="14">
        <v>0</v>
      </c>
      <c r="AQ182" s="7">
        <f>[1]Sheet1!N143</f>
        <v>2485</v>
      </c>
      <c r="AR182" s="116"/>
    </row>
    <row r="183" spans="1:44" s="103" customFormat="1" ht="24.5" x14ac:dyDescent="0.2">
      <c r="A183" s="4">
        <v>176</v>
      </c>
      <c r="B183" s="17">
        <v>118</v>
      </c>
      <c r="C183" s="120" t="s">
        <v>119</v>
      </c>
      <c r="D183" s="44" t="s">
        <v>249</v>
      </c>
      <c r="E183" s="29" t="s">
        <v>86</v>
      </c>
      <c r="F183" s="182" t="s">
        <v>387</v>
      </c>
      <c r="G183" s="190" t="s">
        <v>326</v>
      </c>
      <c r="H183" s="14">
        <v>2370</v>
      </c>
      <c r="I183" s="14">
        <v>2370</v>
      </c>
      <c r="J183" s="14">
        <v>3060</v>
      </c>
      <c r="K183" s="14">
        <v>3960</v>
      </c>
      <c r="L183" s="7">
        <v>4860</v>
      </c>
      <c r="M183" s="7">
        <v>5340</v>
      </c>
      <c r="N183" s="7">
        <v>5700</v>
      </c>
      <c r="O183" s="15">
        <v>5545</v>
      </c>
      <c r="P183" s="7">
        <v>5880</v>
      </c>
      <c r="Q183" s="14">
        <v>6390</v>
      </c>
      <c r="R183" s="229">
        <v>45475</v>
      </c>
      <c r="S183" s="7">
        <v>6450</v>
      </c>
      <c r="T183" s="7">
        <v>7050</v>
      </c>
      <c r="U183" s="7">
        <v>6450</v>
      </c>
      <c r="V183" s="15">
        <v>7050</v>
      </c>
      <c r="W183" s="15">
        <v>8005</v>
      </c>
      <c r="X183" s="33">
        <v>8927.5</v>
      </c>
      <c r="Y183" s="15">
        <v>10073</v>
      </c>
      <c r="Z183" s="10">
        <v>10118</v>
      </c>
      <c r="AA183" s="9">
        <v>8815</v>
      </c>
      <c r="AB183" s="237">
        <f t="shared" si="8"/>
        <v>118413.5</v>
      </c>
      <c r="AC183" s="265">
        <v>1515.8333333333333</v>
      </c>
      <c r="AD183" s="16">
        <v>30</v>
      </c>
      <c r="AE183" s="13" t="s">
        <v>186</v>
      </c>
      <c r="AF183" s="255">
        <v>2415.833333333333</v>
      </c>
      <c r="AG183" s="48">
        <v>267</v>
      </c>
      <c r="AH183" s="85">
        <v>295</v>
      </c>
      <c r="AI183" s="48">
        <v>326</v>
      </c>
      <c r="AJ183" s="12">
        <v>328</v>
      </c>
      <c r="AK183" s="12">
        <v>271</v>
      </c>
      <c r="AL183" s="253">
        <f t="shared" si="9"/>
        <v>3902.833333333333</v>
      </c>
      <c r="AM183" s="16">
        <v>30</v>
      </c>
      <c r="AN183" s="13" t="s">
        <v>198</v>
      </c>
      <c r="AO183" s="9">
        <f>SUM(24679+2352)</f>
        <v>27031</v>
      </c>
      <c r="AP183" s="14">
        <v>0</v>
      </c>
      <c r="AQ183" s="7">
        <f>SUM(84918+6465)</f>
        <v>91383</v>
      </c>
      <c r="AR183" s="181"/>
    </row>
    <row r="184" spans="1:44" s="104" customFormat="1" ht="34.200000000000003" customHeight="1" x14ac:dyDescent="0.2">
      <c r="A184" s="4">
        <v>177</v>
      </c>
      <c r="B184" s="17">
        <v>123</v>
      </c>
      <c r="C184" s="120" t="s">
        <v>64</v>
      </c>
      <c r="D184" s="44" t="s">
        <v>249</v>
      </c>
      <c r="E184" s="24">
        <v>1994</v>
      </c>
      <c r="F184" s="182" t="s">
        <v>325</v>
      </c>
      <c r="G184" s="190" t="s">
        <v>326</v>
      </c>
      <c r="H184" s="14">
        <v>30</v>
      </c>
      <c r="I184" s="26">
        <v>390</v>
      </c>
      <c r="J184" s="26">
        <v>300</v>
      </c>
      <c r="K184" s="26">
        <v>360</v>
      </c>
      <c r="L184" s="7">
        <v>390</v>
      </c>
      <c r="M184" s="7">
        <v>420</v>
      </c>
      <c r="N184" s="7">
        <v>270</v>
      </c>
      <c r="O184" s="15">
        <v>240</v>
      </c>
      <c r="P184" s="15">
        <v>240</v>
      </c>
      <c r="Q184" s="15">
        <v>210</v>
      </c>
      <c r="R184" s="229">
        <v>2850</v>
      </c>
      <c r="S184" s="15">
        <v>120</v>
      </c>
      <c r="T184" s="15">
        <v>150</v>
      </c>
      <c r="U184" s="15">
        <v>60</v>
      </c>
      <c r="V184" s="7">
        <v>30</v>
      </c>
      <c r="W184" s="7">
        <v>30</v>
      </c>
      <c r="X184" s="7">
        <v>30</v>
      </c>
      <c r="Y184" s="7">
        <v>30</v>
      </c>
      <c r="Z184" s="9">
        <v>0</v>
      </c>
      <c r="AA184" s="9">
        <v>0</v>
      </c>
      <c r="AB184" s="237">
        <f t="shared" si="8"/>
        <v>3300</v>
      </c>
      <c r="AC184" s="265">
        <v>95</v>
      </c>
      <c r="AD184" s="16">
        <v>30</v>
      </c>
      <c r="AE184" s="13" t="s">
        <v>186</v>
      </c>
      <c r="AF184" s="255">
        <v>107</v>
      </c>
      <c r="AG184" s="48">
        <v>1</v>
      </c>
      <c r="AH184" s="48">
        <v>1</v>
      </c>
      <c r="AI184" s="48">
        <v>1</v>
      </c>
      <c r="AJ184" s="12">
        <v>0</v>
      </c>
      <c r="AK184" s="12">
        <v>0</v>
      </c>
      <c r="AL184" s="253">
        <f t="shared" si="9"/>
        <v>110</v>
      </c>
      <c r="AM184" s="16">
        <v>30</v>
      </c>
      <c r="AN184" s="13" t="s">
        <v>198</v>
      </c>
      <c r="AO184" s="9">
        <f>[1]Sheet1!I145</f>
        <v>595</v>
      </c>
      <c r="AP184" s="14">
        <v>0</v>
      </c>
      <c r="AQ184" s="7">
        <f>[1]Sheet1!N145</f>
        <v>2705</v>
      </c>
      <c r="AR184" s="116"/>
    </row>
    <row r="185" spans="1:44" s="103" customFormat="1" ht="26.5" customHeight="1" x14ac:dyDescent="0.2">
      <c r="A185" s="4">
        <v>178</v>
      </c>
      <c r="B185" s="17">
        <v>117</v>
      </c>
      <c r="C185" s="120" t="s">
        <v>65</v>
      </c>
      <c r="D185" s="5" t="s">
        <v>249</v>
      </c>
      <c r="E185" s="29">
        <v>1992</v>
      </c>
      <c r="F185" s="182" t="s">
        <v>325</v>
      </c>
      <c r="G185" s="190" t="s">
        <v>326</v>
      </c>
      <c r="H185" s="26">
        <v>7080</v>
      </c>
      <c r="I185" s="14">
        <v>8040</v>
      </c>
      <c r="J185" s="14">
        <v>7200</v>
      </c>
      <c r="K185" s="14">
        <v>7290</v>
      </c>
      <c r="L185" s="7">
        <v>8400</v>
      </c>
      <c r="M185" s="7">
        <v>8520</v>
      </c>
      <c r="N185" s="7">
        <v>8520</v>
      </c>
      <c r="O185" s="15">
        <v>10590</v>
      </c>
      <c r="P185" s="15">
        <v>11580</v>
      </c>
      <c r="Q185" s="15">
        <v>11970</v>
      </c>
      <c r="R185" s="229">
        <v>89190</v>
      </c>
      <c r="S185" s="15">
        <v>13200</v>
      </c>
      <c r="T185" s="15">
        <v>12930</v>
      </c>
      <c r="U185" s="15">
        <v>12630</v>
      </c>
      <c r="V185" s="15">
        <v>13800</v>
      </c>
      <c r="W185" s="15">
        <v>14300</v>
      </c>
      <c r="X185" s="33">
        <f>SUM(22+16470)</f>
        <v>16492</v>
      </c>
      <c r="Y185" s="15">
        <v>21447</v>
      </c>
      <c r="Z185" s="10">
        <v>23393</v>
      </c>
      <c r="AA185" s="9">
        <v>18407.5</v>
      </c>
      <c r="AB185" s="237">
        <f t="shared" si="8"/>
        <v>235789.5</v>
      </c>
      <c r="AC185" s="265">
        <v>2973</v>
      </c>
      <c r="AD185" s="16">
        <v>30</v>
      </c>
      <c r="AE185" s="13" t="s">
        <v>186</v>
      </c>
      <c r="AF185" s="255">
        <v>4725</v>
      </c>
      <c r="AG185" s="48">
        <v>497</v>
      </c>
      <c r="AH185" s="85">
        <v>531</v>
      </c>
      <c r="AI185" s="48">
        <v>704</v>
      </c>
      <c r="AJ185" s="12">
        <v>726</v>
      </c>
      <c r="AK185" s="12">
        <v>583</v>
      </c>
      <c r="AL185" s="253">
        <f t="shared" si="9"/>
        <v>7766</v>
      </c>
      <c r="AM185" s="16">
        <v>30</v>
      </c>
      <c r="AN185" s="13" t="s">
        <v>198</v>
      </c>
      <c r="AO185" s="9">
        <f>SUM(49050+4910)</f>
        <v>53960</v>
      </c>
      <c r="AP185" s="14">
        <v>0</v>
      </c>
      <c r="AQ185" s="7">
        <f>SUM(168331+13499)</f>
        <v>181830</v>
      </c>
      <c r="AR185" s="181"/>
    </row>
    <row r="186" spans="1:44" s="103" customFormat="1" ht="23.4" customHeight="1" x14ac:dyDescent="0.2">
      <c r="A186" s="4">
        <v>179</v>
      </c>
      <c r="B186" s="17">
        <v>233</v>
      </c>
      <c r="C186" s="120" t="s">
        <v>153</v>
      </c>
      <c r="D186" s="44">
        <v>504.40600000000001</v>
      </c>
      <c r="E186" s="40">
        <v>2004</v>
      </c>
      <c r="F186" s="190" t="s">
        <v>331</v>
      </c>
      <c r="G186" s="183" t="s">
        <v>358</v>
      </c>
      <c r="H186" s="14">
        <v>0</v>
      </c>
      <c r="I186" s="9">
        <v>0</v>
      </c>
      <c r="J186" s="9">
        <v>0</v>
      </c>
      <c r="K186" s="9">
        <v>0</v>
      </c>
      <c r="L186" s="7">
        <v>0</v>
      </c>
      <c r="M186" s="7">
        <v>0</v>
      </c>
      <c r="N186" s="7">
        <v>0</v>
      </c>
      <c r="O186" s="15">
        <v>0</v>
      </c>
      <c r="P186" s="15">
        <v>0</v>
      </c>
      <c r="Q186" s="15">
        <v>0</v>
      </c>
      <c r="R186" s="229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33">
        <v>0</v>
      </c>
      <c r="Y186" s="15">
        <v>0</v>
      </c>
      <c r="Z186" s="10">
        <v>0</v>
      </c>
      <c r="AA186" s="9">
        <v>0</v>
      </c>
      <c r="AB186" s="237">
        <f t="shared" si="8"/>
        <v>0</v>
      </c>
      <c r="AC186" s="265">
        <v>0</v>
      </c>
      <c r="AD186" s="16" t="s">
        <v>78</v>
      </c>
      <c r="AE186" s="16" t="s">
        <v>78</v>
      </c>
      <c r="AF186" s="255" t="s">
        <v>76</v>
      </c>
      <c r="AG186" s="48">
        <v>178</v>
      </c>
      <c r="AH186" s="85">
        <v>179</v>
      </c>
      <c r="AI186" s="48">
        <v>185</v>
      </c>
      <c r="AJ186" s="12">
        <v>186</v>
      </c>
      <c r="AK186" s="12">
        <v>189</v>
      </c>
      <c r="AL186" s="253">
        <f t="shared" si="9"/>
        <v>917</v>
      </c>
      <c r="AM186" s="16">
        <v>0</v>
      </c>
      <c r="AN186" s="13" t="s">
        <v>78</v>
      </c>
      <c r="AO186" s="9">
        <f>[1]Sheet1!I147</f>
        <v>0</v>
      </c>
      <c r="AP186" s="14">
        <v>0</v>
      </c>
      <c r="AQ186" s="7">
        <f>[1]Sheet1!N147</f>
        <v>0</v>
      </c>
      <c r="AR186" s="181"/>
    </row>
    <row r="187" spans="1:44" s="103" customFormat="1" x14ac:dyDescent="0.2">
      <c r="A187" s="4">
        <v>180</v>
      </c>
      <c r="B187" s="17">
        <v>184</v>
      </c>
      <c r="C187" s="120" t="s">
        <v>124</v>
      </c>
      <c r="D187" s="28" t="s">
        <v>250</v>
      </c>
      <c r="E187" s="29">
        <v>2000</v>
      </c>
      <c r="F187" s="183" t="s">
        <v>359</v>
      </c>
      <c r="G187" s="183" t="s">
        <v>365</v>
      </c>
      <c r="H187" s="9">
        <v>0</v>
      </c>
      <c r="I187" s="14">
        <v>0</v>
      </c>
      <c r="J187" s="14">
        <v>0</v>
      </c>
      <c r="K187" s="14">
        <v>0</v>
      </c>
      <c r="L187" s="7">
        <v>0</v>
      </c>
      <c r="M187" s="7">
        <v>0</v>
      </c>
      <c r="N187" s="7">
        <v>3000</v>
      </c>
      <c r="O187" s="15">
        <v>18660</v>
      </c>
      <c r="P187" s="15">
        <v>27450</v>
      </c>
      <c r="Q187" s="15">
        <v>33870</v>
      </c>
      <c r="R187" s="229">
        <v>82980</v>
      </c>
      <c r="S187" s="15">
        <v>35250</v>
      </c>
      <c r="T187" s="15">
        <v>33720</v>
      </c>
      <c r="U187" s="15">
        <v>30210</v>
      </c>
      <c r="V187" s="15">
        <v>31110</v>
      </c>
      <c r="W187" s="15">
        <v>30498</v>
      </c>
      <c r="X187" s="33">
        <f>SUM(50.16+33462.5)</f>
        <v>33512.660000000003</v>
      </c>
      <c r="Y187" s="15">
        <v>34578</v>
      </c>
      <c r="Z187" s="10">
        <v>30373</v>
      </c>
      <c r="AA187" s="9">
        <v>28250</v>
      </c>
      <c r="AB187" s="237">
        <f t="shared" si="8"/>
        <v>370481.66000000003</v>
      </c>
      <c r="AC187" s="265">
        <v>2766</v>
      </c>
      <c r="AD187" s="16">
        <v>30</v>
      </c>
      <c r="AE187" s="13" t="s">
        <v>186</v>
      </c>
      <c r="AF187" s="255">
        <v>7109</v>
      </c>
      <c r="AG187" s="48">
        <v>1129</v>
      </c>
      <c r="AH187" s="85">
        <v>1082</v>
      </c>
      <c r="AI187" s="48">
        <v>1094</v>
      </c>
      <c r="AJ187" s="12">
        <v>995</v>
      </c>
      <c r="AK187" s="12">
        <v>874</v>
      </c>
      <c r="AL187" s="253">
        <f t="shared" si="9"/>
        <v>12283</v>
      </c>
      <c r="AM187" s="16">
        <v>30</v>
      </c>
      <c r="AN187" s="13" t="s">
        <v>198</v>
      </c>
      <c r="AO187" s="9">
        <f>SUM(82965+7534)</f>
        <v>90499</v>
      </c>
      <c r="AP187" s="14">
        <v>0</v>
      </c>
      <c r="AQ187" s="7">
        <f>SUM(259266+20717)</f>
        <v>279983</v>
      </c>
      <c r="AR187" s="181"/>
    </row>
    <row r="188" spans="1:44" s="103" customFormat="1" ht="13" customHeight="1" x14ac:dyDescent="0.2">
      <c r="A188" s="4">
        <v>181</v>
      </c>
      <c r="B188" s="17">
        <v>236</v>
      </c>
      <c r="C188" s="120" t="s">
        <v>152</v>
      </c>
      <c r="D188" s="17">
        <v>504.65600000000001</v>
      </c>
      <c r="E188" s="29">
        <v>2004</v>
      </c>
      <c r="F188" s="183" t="s">
        <v>398</v>
      </c>
      <c r="G188" s="183" t="s">
        <v>435</v>
      </c>
      <c r="H188" s="14">
        <v>0</v>
      </c>
      <c r="I188" s="14">
        <v>0</v>
      </c>
      <c r="J188" s="14">
        <v>0</v>
      </c>
      <c r="K188" s="14">
        <v>0</v>
      </c>
      <c r="L188" s="7">
        <v>0</v>
      </c>
      <c r="M188" s="7">
        <v>0</v>
      </c>
      <c r="N188" s="7">
        <v>0</v>
      </c>
      <c r="O188" s="15">
        <v>0</v>
      </c>
      <c r="P188" s="15">
        <v>0</v>
      </c>
      <c r="Q188" s="15">
        <v>0</v>
      </c>
      <c r="R188" s="229">
        <v>0</v>
      </c>
      <c r="S188" s="15">
        <v>4890</v>
      </c>
      <c r="T188" s="15">
        <v>7800</v>
      </c>
      <c r="U188" s="15">
        <v>8850</v>
      </c>
      <c r="V188" s="15">
        <v>9360</v>
      </c>
      <c r="W188" s="15">
        <v>9683</v>
      </c>
      <c r="X188" s="15">
        <f>SUM(127.83+12415)</f>
        <v>12542.83</v>
      </c>
      <c r="Y188" s="15">
        <v>13430</v>
      </c>
      <c r="Z188" s="10">
        <v>13143</v>
      </c>
      <c r="AA188" s="9">
        <v>12822.5</v>
      </c>
      <c r="AB188" s="237">
        <f t="shared" si="8"/>
        <v>92521.33</v>
      </c>
      <c r="AC188" s="265">
        <v>0</v>
      </c>
      <c r="AD188" s="16" t="s">
        <v>78</v>
      </c>
      <c r="AE188" s="16" t="s">
        <v>78</v>
      </c>
      <c r="AF188" s="255">
        <v>1030</v>
      </c>
      <c r="AG188" s="48">
        <v>352</v>
      </c>
      <c r="AH188" s="117">
        <v>412</v>
      </c>
      <c r="AI188" s="48">
        <v>430</v>
      </c>
      <c r="AJ188" s="12">
        <v>438</v>
      </c>
      <c r="AK188" s="12">
        <v>420</v>
      </c>
      <c r="AL188" s="253">
        <f t="shared" si="9"/>
        <v>3082</v>
      </c>
      <c r="AM188" s="16">
        <v>30</v>
      </c>
      <c r="AN188" s="13" t="s">
        <v>198</v>
      </c>
      <c r="AO188" s="9">
        <f>SUM(21254+3419)</f>
        <v>24673</v>
      </c>
      <c r="AP188" s="14">
        <v>0</v>
      </c>
      <c r="AQ188" s="7">
        <f>SUM(58445+9403)</f>
        <v>67848</v>
      </c>
      <c r="AR188" s="181"/>
    </row>
    <row r="189" spans="1:44" s="103" customFormat="1" ht="22.5" customHeight="1" x14ac:dyDescent="0.2">
      <c r="A189" s="4">
        <v>182</v>
      </c>
      <c r="B189" s="131">
        <v>137</v>
      </c>
      <c r="C189" s="120" t="s">
        <v>108</v>
      </c>
      <c r="D189" s="44" t="s">
        <v>249</v>
      </c>
      <c r="E189" s="29">
        <v>1996</v>
      </c>
      <c r="F189" s="182" t="s">
        <v>325</v>
      </c>
      <c r="G189" s="192" t="s">
        <v>326</v>
      </c>
      <c r="H189" s="26">
        <v>0</v>
      </c>
      <c r="I189" s="26">
        <v>0</v>
      </c>
      <c r="J189" s="26">
        <v>0</v>
      </c>
      <c r="K189" s="26">
        <v>390</v>
      </c>
      <c r="L189" s="25">
        <v>390</v>
      </c>
      <c r="M189" s="25">
        <v>510</v>
      </c>
      <c r="N189" s="25">
        <v>600</v>
      </c>
      <c r="O189" s="72">
        <v>750</v>
      </c>
      <c r="P189" s="72">
        <v>840</v>
      </c>
      <c r="Q189" s="15">
        <v>840</v>
      </c>
      <c r="R189" s="229">
        <v>4320</v>
      </c>
      <c r="S189" s="15">
        <v>960</v>
      </c>
      <c r="T189" s="15">
        <v>1080</v>
      </c>
      <c r="U189" s="15">
        <v>690</v>
      </c>
      <c r="V189" s="15">
        <v>450</v>
      </c>
      <c r="W189" s="15">
        <v>270</v>
      </c>
      <c r="X189" s="33">
        <v>210</v>
      </c>
      <c r="Y189" s="15">
        <v>150</v>
      </c>
      <c r="Z189" s="10">
        <v>90</v>
      </c>
      <c r="AA189" s="9">
        <v>60</v>
      </c>
      <c r="AB189" s="237">
        <f t="shared" si="8"/>
        <v>8280</v>
      </c>
      <c r="AC189" s="265">
        <v>144</v>
      </c>
      <c r="AD189" s="16">
        <v>30</v>
      </c>
      <c r="AE189" s="13" t="s">
        <v>186</v>
      </c>
      <c r="AF189" s="255">
        <v>250</v>
      </c>
      <c r="AG189" s="48">
        <v>9</v>
      </c>
      <c r="AH189" s="85">
        <v>7</v>
      </c>
      <c r="AI189" s="48">
        <v>5</v>
      </c>
      <c r="AJ189" s="12">
        <v>3</v>
      </c>
      <c r="AK189" s="12">
        <v>2</v>
      </c>
      <c r="AL189" s="253">
        <f t="shared" si="9"/>
        <v>276</v>
      </c>
      <c r="AM189" s="16">
        <v>30</v>
      </c>
      <c r="AN189" s="73" t="s">
        <v>198</v>
      </c>
      <c r="AO189" s="9">
        <f>SUM(1760+16)</f>
        <v>1776</v>
      </c>
      <c r="AP189" s="14">
        <v>0</v>
      </c>
      <c r="AQ189" s="7">
        <f>SUM(6460+44)</f>
        <v>6504</v>
      </c>
      <c r="AR189" s="181"/>
    </row>
    <row r="190" spans="1:44" s="103" customFormat="1" ht="22.5" customHeight="1" x14ac:dyDescent="0.2">
      <c r="A190" s="4">
        <v>183</v>
      </c>
      <c r="B190" s="131">
        <v>290</v>
      </c>
      <c r="C190" s="120" t="s">
        <v>460</v>
      </c>
      <c r="D190" s="44">
        <v>504.80099999999999</v>
      </c>
      <c r="E190" s="29">
        <v>2011</v>
      </c>
      <c r="F190" s="182" t="s">
        <v>461</v>
      </c>
      <c r="G190" s="192" t="s">
        <v>462</v>
      </c>
      <c r="H190" s="26">
        <v>0</v>
      </c>
      <c r="I190" s="26">
        <v>0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14">
        <v>0</v>
      </c>
      <c r="R190" s="229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0">
        <v>29008</v>
      </c>
      <c r="AA190" s="9">
        <v>52012.5</v>
      </c>
      <c r="AB190" s="237">
        <f t="shared" si="8"/>
        <v>81020.5</v>
      </c>
      <c r="AC190" s="265">
        <v>0</v>
      </c>
      <c r="AD190" s="16" t="s">
        <v>78</v>
      </c>
      <c r="AE190" s="16" t="s">
        <v>78</v>
      </c>
      <c r="AF190" s="255"/>
      <c r="AG190" s="48"/>
      <c r="AH190" s="85"/>
      <c r="AI190" s="48"/>
      <c r="AJ190" s="12">
        <v>1054</v>
      </c>
      <c r="AK190" s="12">
        <v>1670</v>
      </c>
      <c r="AL190" s="253">
        <f t="shared" si="9"/>
        <v>2724</v>
      </c>
      <c r="AM190" s="16">
        <v>30</v>
      </c>
      <c r="AN190" s="73" t="s">
        <v>198</v>
      </c>
      <c r="AO190" s="141">
        <f>SUM(7736+13873)</f>
        <v>21609</v>
      </c>
      <c r="AP190" s="14">
        <v>0</v>
      </c>
      <c r="AQ190" s="154">
        <f>SUM(21271+38141)</f>
        <v>59412</v>
      </c>
      <c r="AR190" s="181"/>
    </row>
    <row r="191" spans="1:44" s="103" customFormat="1" ht="22.5" customHeight="1" x14ac:dyDescent="0.2">
      <c r="A191" s="4">
        <v>184</v>
      </c>
      <c r="B191" s="131">
        <v>244</v>
      </c>
      <c r="C191" s="120" t="s">
        <v>162</v>
      </c>
      <c r="D191" s="44">
        <v>504.63900000000001</v>
      </c>
      <c r="E191" s="29">
        <v>2004</v>
      </c>
      <c r="F191" s="192" t="s">
        <v>388</v>
      </c>
      <c r="G191" s="192" t="s">
        <v>436</v>
      </c>
      <c r="H191" s="26">
        <v>0</v>
      </c>
      <c r="I191" s="26">
        <v>0</v>
      </c>
      <c r="J191" s="26">
        <v>0</v>
      </c>
      <c r="K191" s="26">
        <v>0</v>
      </c>
      <c r="L191" s="25">
        <v>0</v>
      </c>
      <c r="M191" s="25">
        <v>0</v>
      </c>
      <c r="N191" s="25">
        <v>0</v>
      </c>
      <c r="O191" s="72">
        <v>0</v>
      </c>
      <c r="P191" s="72">
        <v>0</v>
      </c>
      <c r="Q191" s="15">
        <v>0</v>
      </c>
      <c r="R191" s="229">
        <v>0</v>
      </c>
      <c r="S191" s="15">
        <v>4830</v>
      </c>
      <c r="T191" s="15">
        <v>6420</v>
      </c>
      <c r="U191" s="15">
        <v>7440</v>
      </c>
      <c r="V191" s="15">
        <v>8280</v>
      </c>
      <c r="W191" s="15">
        <v>10323</v>
      </c>
      <c r="X191" s="15">
        <f>SUM(60+11945)</f>
        <v>12005</v>
      </c>
      <c r="Y191" s="15">
        <v>13889</v>
      </c>
      <c r="Z191" s="9">
        <v>13507.5</v>
      </c>
      <c r="AA191" s="9">
        <v>13322.5</v>
      </c>
      <c r="AB191" s="237">
        <f t="shared" si="8"/>
        <v>90017</v>
      </c>
      <c r="AC191" s="265">
        <v>0</v>
      </c>
      <c r="AD191" s="16" t="s">
        <v>78</v>
      </c>
      <c r="AE191" s="16" t="s">
        <v>78</v>
      </c>
      <c r="AF191" s="255">
        <v>899</v>
      </c>
      <c r="AG191" s="48">
        <v>355</v>
      </c>
      <c r="AH191" s="117">
        <v>396</v>
      </c>
      <c r="AI191" s="48">
        <v>450</v>
      </c>
      <c r="AJ191" s="12">
        <v>439</v>
      </c>
      <c r="AK191" s="12">
        <v>412</v>
      </c>
      <c r="AL191" s="253">
        <f t="shared" si="9"/>
        <v>2951</v>
      </c>
      <c r="AM191" s="16">
        <v>30</v>
      </c>
      <c r="AN191" s="73" t="s">
        <v>164</v>
      </c>
      <c r="AO191" s="9">
        <f>SUM(20453+3553)</f>
        <v>24006</v>
      </c>
      <c r="AP191" s="14">
        <v>0</v>
      </c>
      <c r="AQ191" s="7">
        <f>SUM(56241+9770)</f>
        <v>66011</v>
      </c>
      <c r="AR191" s="181"/>
    </row>
    <row r="192" spans="1:44" s="103" customFormat="1" ht="13" customHeight="1" x14ac:dyDescent="0.2">
      <c r="A192" s="4">
        <v>185</v>
      </c>
      <c r="B192" s="131">
        <v>91</v>
      </c>
      <c r="C192" s="120" t="s">
        <v>129</v>
      </c>
      <c r="D192" s="17" t="s">
        <v>268</v>
      </c>
      <c r="E192" s="29">
        <v>1984</v>
      </c>
      <c r="F192" s="192" t="s">
        <v>331</v>
      </c>
      <c r="G192" s="192" t="s">
        <v>358</v>
      </c>
      <c r="H192" s="26">
        <v>96911</v>
      </c>
      <c r="I192" s="26">
        <v>97144.44</v>
      </c>
      <c r="J192" s="26">
        <v>78846.25</v>
      </c>
      <c r="K192" s="26">
        <v>70685.61</v>
      </c>
      <c r="L192" s="25">
        <v>87871</v>
      </c>
      <c r="M192" s="25">
        <v>73579</v>
      </c>
      <c r="N192" s="25">
        <v>74220</v>
      </c>
      <c r="O192" s="72">
        <v>64730</v>
      </c>
      <c r="P192" s="72">
        <v>69768.06</v>
      </c>
      <c r="Q192" s="15">
        <v>66838</v>
      </c>
      <c r="R192" s="229">
        <v>780593.36</v>
      </c>
      <c r="S192" s="15">
        <v>72059.45</v>
      </c>
      <c r="T192" s="15">
        <v>71066</v>
      </c>
      <c r="U192" s="15">
        <v>68918.8</v>
      </c>
      <c r="V192" s="15">
        <v>4087.74</v>
      </c>
      <c r="W192" s="15">
        <v>160</v>
      </c>
      <c r="X192" s="33">
        <v>0</v>
      </c>
      <c r="Y192" s="15">
        <v>0</v>
      </c>
      <c r="Z192" s="9">
        <v>0</v>
      </c>
      <c r="AA192" s="164">
        <v>0</v>
      </c>
      <c r="AB192" s="237">
        <f t="shared" si="8"/>
        <v>996885.35</v>
      </c>
      <c r="AC192" s="265" t="s">
        <v>76</v>
      </c>
      <c r="AD192" s="16" t="s">
        <v>74</v>
      </c>
      <c r="AE192" s="13" t="s">
        <v>90</v>
      </c>
      <c r="AF192" s="255" t="s">
        <v>76</v>
      </c>
      <c r="AG192" s="48">
        <v>1115</v>
      </c>
      <c r="AH192" s="85">
        <v>1406</v>
      </c>
      <c r="AI192" s="48">
        <v>1566</v>
      </c>
      <c r="AJ192" s="12">
        <v>1722</v>
      </c>
      <c r="AK192" s="12">
        <v>1773</v>
      </c>
      <c r="AL192" s="253">
        <f t="shared" si="9"/>
        <v>7582</v>
      </c>
      <c r="AM192" s="16">
        <v>0</v>
      </c>
      <c r="AN192" s="73" t="s">
        <v>90</v>
      </c>
      <c r="AO192" s="9">
        <f>SUM(AB192)</f>
        <v>996885.35</v>
      </c>
      <c r="AP192" s="14">
        <v>0</v>
      </c>
      <c r="AQ192" s="7">
        <f>[1]Sheet1!N152</f>
        <v>0</v>
      </c>
      <c r="AR192" s="181"/>
    </row>
    <row r="193" spans="1:44" s="103" customFormat="1" ht="24.5" customHeight="1" x14ac:dyDescent="0.2">
      <c r="A193" s="4">
        <v>186</v>
      </c>
      <c r="B193" s="131">
        <v>247</v>
      </c>
      <c r="C193" s="120" t="s">
        <v>309</v>
      </c>
      <c r="D193" s="17" t="s">
        <v>243</v>
      </c>
      <c r="E193" s="29">
        <v>2006</v>
      </c>
      <c r="F193" s="192" t="s">
        <v>335</v>
      </c>
      <c r="G193" s="192" t="s">
        <v>437</v>
      </c>
      <c r="H193" s="26">
        <v>0</v>
      </c>
      <c r="I193" s="26">
        <v>0</v>
      </c>
      <c r="J193" s="26">
        <v>0</v>
      </c>
      <c r="K193" s="26">
        <v>0</v>
      </c>
      <c r="L193" s="25">
        <v>0</v>
      </c>
      <c r="M193" s="25">
        <v>0</v>
      </c>
      <c r="N193" s="25">
        <v>0</v>
      </c>
      <c r="O193" s="72">
        <v>0</v>
      </c>
      <c r="P193" s="72">
        <v>0</v>
      </c>
      <c r="Q193" s="15">
        <v>0</v>
      </c>
      <c r="R193" s="229">
        <v>0</v>
      </c>
      <c r="S193" s="15">
        <v>0</v>
      </c>
      <c r="T193" s="15">
        <v>0</v>
      </c>
      <c r="U193" s="15">
        <v>120</v>
      </c>
      <c r="V193" s="15">
        <v>3840</v>
      </c>
      <c r="W193" s="15">
        <v>5295</v>
      </c>
      <c r="X193" s="15">
        <f>SUM(23.83+6505)</f>
        <v>6528.83</v>
      </c>
      <c r="Y193" s="15">
        <v>10327</v>
      </c>
      <c r="Z193" s="9">
        <v>21915</v>
      </c>
      <c r="AA193" s="9">
        <v>35215</v>
      </c>
      <c r="AB193" s="237">
        <f t="shared" si="8"/>
        <v>83240.83</v>
      </c>
      <c r="AC193" s="265">
        <v>0</v>
      </c>
      <c r="AD193" s="16" t="s">
        <v>78</v>
      </c>
      <c r="AE193" s="16" t="s">
        <v>78</v>
      </c>
      <c r="AF193" s="255">
        <v>132</v>
      </c>
      <c r="AG193" s="48">
        <v>169</v>
      </c>
      <c r="AH193" s="117">
        <v>221</v>
      </c>
      <c r="AI193" s="48">
        <v>221</v>
      </c>
      <c r="AJ193" s="12">
        <v>690</v>
      </c>
      <c r="AK193" s="12">
        <v>1099</v>
      </c>
      <c r="AL193" s="253">
        <f t="shared" si="9"/>
        <v>2532</v>
      </c>
      <c r="AM193" s="16">
        <v>30</v>
      </c>
      <c r="AN193" s="73" t="s">
        <v>198</v>
      </c>
      <c r="AO193" s="9">
        <f>SUM(12808+9392)</f>
        <v>22200</v>
      </c>
      <c r="AP193" s="14">
        <v>0</v>
      </c>
      <c r="AQ193" s="7">
        <f>SUM(35218+25823)</f>
        <v>61041</v>
      </c>
      <c r="AR193" s="181"/>
    </row>
    <row r="194" spans="1:44" s="103" customFormat="1" ht="24.5" customHeight="1" x14ac:dyDescent="0.2">
      <c r="A194" s="4">
        <v>187</v>
      </c>
      <c r="B194" s="131">
        <v>254</v>
      </c>
      <c r="C194" s="120" t="s">
        <v>224</v>
      </c>
      <c r="D194" s="17">
        <v>504.80099999999999</v>
      </c>
      <c r="E194" s="29">
        <v>2007</v>
      </c>
      <c r="F194" s="183" t="s">
        <v>366</v>
      </c>
      <c r="G194" s="192" t="s">
        <v>438</v>
      </c>
      <c r="H194" s="26">
        <v>0</v>
      </c>
      <c r="I194" s="26">
        <v>0</v>
      </c>
      <c r="J194" s="26">
        <v>0</v>
      </c>
      <c r="K194" s="26">
        <v>0</v>
      </c>
      <c r="L194" s="26">
        <v>0</v>
      </c>
      <c r="M194" s="26">
        <v>0</v>
      </c>
      <c r="N194" s="26">
        <v>0</v>
      </c>
      <c r="O194" s="26">
        <v>0</v>
      </c>
      <c r="P194" s="26">
        <v>0</v>
      </c>
      <c r="Q194" s="14">
        <v>0</v>
      </c>
      <c r="R194" s="229">
        <v>0</v>
      </c>
      <c r="S194" s="14">
        <v>0</v>
      </c>
      <c r="T194" s="14">
        <v>0</v>
      </c>
      <c r="U194" s="14">
        <v>0</v>
      </c>
      <c r="V194" s="15">
        <v>29490</v>
      </c>
      <c r="W194" s="15">
        <v>34460</v>
      </c>
      <c r="X194" s="15">
        <f>SUM(104+39135)</f>
        <v>39239</v>
      </c>
      <c r="Y194" s="15">
        <v>43157</v>
      </c>
      <c r="Z194" s="9">
        <v>39962.5</v>
      </c>
      <c r="AA194" s="9">
        <v>36120</v>
      </c>
      <c r="AB194" s="237">
        <f t="shared" si="8"/>
        <v>222428.5</v>
      </c>
      <c r="AC194" s="265">
        <v>0</v>
      </c>
      <c r="AD194" s="16" t="s">
        <v>78</v>
      </c>
      <c r="AE194" s="16" t="s">
        <v>78</v>
      </c>
      <c r="AF194" s="255">
        <v>983</v>
      </c>
      <c r="AG194" s="48">
        <v>1206</v>
      </c>
      <c r="AH194" s="117">
        <v>1276</v>
      </c>
      <c r="AI194" s="48">
        <v>1371</v>
      </c>
      <c r="AJ194" s="12">
        <v>1286</v>
      </c>
      <c r="AK194" s="12">
        <v>1146</v>
      </c>
      <c r="AL194" s="253">
        <f t="shared" si="9"/>
        <v>7268</v>
      </c>
      <c r="AM194" s="16">
        <v>30</v>
      </c>
      <c r="AN194" s="73" t="s">
        <v>198</v>
      </c>
      <c r="AO194" s="9">
        <f>SUM(49684+9634)</f>
        <v>59318</v>
      </c>
      <c r="AP194" s="14">
        <v>0</v>
      </c>
      <c r="AQ194" s="7">
        <f>SUM(136623+26488)</f>
        <v>163111</v>
      </c>
      <c r="AR194" s="181"/>
    </row>
    <row r="195" spans="1:44" s="103" customFormat="1" ht="13" customHeight="1" x14ac:dyDescent="0.2">
      <c r="A195" s="4">
        <v>188</v>
      </c>
      <c r="B195" s="131">
        <v>110</v>
      </c>
      <c r="C195" s="120" t="s">
        <v>66</v>
      </c>
      <c r="D195" s="44" t="s">
        <v>249</v>
      </c>
      <c r="E195" s="29" t="s">
        <v>84</v>
      </c>
      <c r="F195" s="183" t="s">
        <v>389</v>
      </c>
      <c r="G195" s="192" t="s">
        <v>326</v>
      </c>
      <c r="H195" s="26">
        <v>2700</v>
      </c>
      <c r="I195" s="26">
        <v>2910</v>
      </c>
      <c r="J195" s="26">
        <v>2370</v>
      </c>
      <c r="K195" s="26">
        <v>2970</v>
      </c>
      <c r="L195" s="25">
        <v>3630</v>
      </c>
      <c r="M195" s="25">
        <v>3780</v>
      </c>
      <c r="N195" s="25">
        <v>3330</v>
      </c>
      <c r="O195" s="72">
        <v>3150</v>
      </c>
      <c r="P195" s="72">
        <v>3420</v>
      </c>
      <c r="Q195" s="14">
        <v>3330</v>
      </c>
      <c r="R195" s="229">
        <v>31590</v>
      </c>
      <c r="S195" s="15">
        <v>3480</v>
      </c>
      <c r="T195" s="15">
        <v>3690</v>
      </c>
      <c r="U195" s="15">
        <v>3310</v>
      </c>
      <c r="V195" s="15">
        <v>3480</v>
      </c>
      <c r="W195" s="15">
        <v>3345</v>
      </c>
      <c r="X195" s="7">
        <v>4177.5</v>
      </c>
      <c r="Y195" s="15">
        <v>4625</v>
      </c>
      <c r="Z195" s="9">
        <v>4957.5</v>
      </c>
      <c r="AA195" s="9">
        <v>5202.5</v>
      </c>
      <c r="AB195" s="237">
        <f t="shared" si="8"/>
        <v>67857.5</v>
      </c>
      <c r="AC195" s="265">
        <v>1053</v>
      </c>
      <c r="AD195" s="16">
        <v>30</v>
      </c>
      <c r="AE195" s="13" t="s">
        <v>186</v>
      </c>
      <c r="AF195" s="255">
        <v>1518.3333333333333</v>
      </c>
      <c r="AG195" s="48">
        <v>129</v>
      </c>
      <c r="AH195" s="48">
        <v>131</v>
      </c>
      <c r="AI195" s="48">
        <v>153</v>
      </c>
      <c r="AJ195" s="12">
        <v>158</v>
      </c>
      <c r="AK195" s="12">
        <v>155</v>
      </c>
      <c r="AL195" s="253">
        <f t="shared" si="9"/>
        <v>2244.333333333333</v>
      </c>
      <c r="AM195" s="16">
        <v>30</v>
      </c>
      <c r="AN195" s="73" t="s">
        <v>198</v>
      </c>
      <c r="AO195" s="9">
        <f>SUM(13549+1389)</f>
        <v>14938</v>
      </c>
      <c r="AP195" s="14">
        <v>0</v>
      </c>
      <c r="AQ195" s="7">
        <f>SUM(49105+3815)</f>
        <v>52920</v>
      </c>
      <c r="AR195" s="181"/>
    </row>
    <row r="196" spans="1:44" s="103" customFormat="1" ht="22.5" customHeight="1" x14ac:dyDescent="0.2">
      <c r="A196" s="4">
        <v>189</v>
      </c>
      <c r="B196" s="131">
        <v>160</v>
      </c>
      <c r="C196" s="120" t="s">
        <v>205</v>
      </c>
      <c r="D196" s="17" t="s">
        <v>256</v>
      </c>
      <c r="E196" s="29">
        <v>2003</v>
      </c>
      <c r="F196" s="183" t="s">
        <v>371</v>
      </c>
      <c r="G196" s="192" t="s">
        <v>439</v>
      </c>
      <c r="H196" s="26">
        <v>0</v>
      </c>
      <c r="I196" s="26">
        <v>0</v>
      </c>
      <c r="J196" s="26">
        <v>0</v>
      </c>
      <c r="K196" s="26">
        <v>0</v>
      </c>
      <c r="L196" s="25">
        <v>0</v>
      </c>
      <c r="M196" s="25">
        <v>0</v>
      </c>
      <c r="N196" s="25">
        <v>0</v>
      </c>
      <c r="O196" s="72">
        <v>0</v>
      </c>
      <c r="P196" s="72">
        <v>0</v>
      </c>
      <c r="Q196" s="14">
        <v>4335</v>
      </c>
      <c r="R196" s="229">
        <v>4125</v>
      </c>
      <c r="S196" s="15">
        <v>20790</v>
      </c>
      <c r="T196" s="15">
        <v>19680</v>
      </c>
      <c r="U196" s="15">
        <v>17050</v>
      </c>
      <c r="V196" s="15">
        <v>16530</v>
      </c>
      <c r="W196" s="15">
        <v>17310</v>
      </c>
      <c r="X196" s="7">
        <v>18325</v>
      </c>
      <c r="Y196" s="15">
        <v>18700</v>
      </c>
      <c r="Z196" s="9">
        <v>18508</v>
      </c>
      <c r="AA196" s="9">
        <v>18017.5</v>
      </c>
      <c r="AB196" s="237">
        <f t="shared" si="8"/>
        <v>169035.5</v>
      </c>
      <c r="AC196" s="265">
        <v>137.5</v>
      </c>
      <c r="AD196" s="16">
        <v>30</v>
      </c>
      <c r="AE196" s="13" t="s">
        <v>90</v>
      </c>
      <c r="AF196" s="255">
        <v>2605.8333333333335</v>
      </c>
      <c r="AG196" s="48">
        <v>587</v>
      </c>
      <c r="AH196" s="48">
        <v>604</v>
      </c>
      <c r="AI196" s="48">
        <v>609</v>
      </c>
      <c r="AJ196" s="12">
        <v>603</v>
      </c>
      <c r="AK196" s="12">
        <v>571</v>
      </c>
      <c r="AL196" s="253">
        <f t="shared" si="9"/>
        <v>5579.8333333333339</v>
      </c>
      <c r="AM196" s="16">
        <v>30</v>
      </c>
      <c r="AN196" s="73" t="s">
        <v>198</v>
      </c>
      <c r="AO196" s="9">
        <f>SUM(43138+4805)</f>
        <v>47943</v>
      </c>
      <c r="AP196" s="14">
        <v>0</v>
      </c>
      <c r="AQ196" s="7">
        <f>SUM(107880+13213)</f>
        <v>121093</v>
      </c>
      <c r="AR196" s="181"/>
    </row>
    <row r="197" spans="1:44" s="103" customFormat="1" ht="36.75" customHeight="1" x14ac:dyDescent="0.2">
      <c r="A197" s="4">
        <v>190</v>
      </c>
      <c r="B197" s="17">
        <v>112</v>
      </c>
      <c r="C197" s="151" t="s">
        <v>514</v>
      </c>
      <c r="D197" s="5" t="s">
        <v>249</v>
      </c>
      <c r="E197" s="29">
        <v>1990</v>
      </c>
      <c r="F197" s="120" t="s">
        <v>514</v>
      </c>
      <c r="G197" s="190" t="s">
        <v>326</v>
      </c>
      <c r="H197" s="14">
        <v>4620</v>
      </c>
      <c r="I197" s="14">
        <v>5460</v>
      </c>
      <c r="J197" s="14">
        <v>4800</v>
      </c>
      <c r="K197" s="14">
        <v>5400</v>
      </c>
      <c r="L197" s="7">
        <v>7020</v>
      </c>
      <c r="M197" s="7">
        <v>8010</v>
      </c>
      <c r="N197" s="7">
        <v>7320</v>
      </c>
      <c r="O197" s="15">
        <v>6990</v>
      </c>
      <c r="P197" s="7">
        <v>6990</v>
      </c>
      <c r="Q197" s="14">
        <v>7710</v>
      </c>
      <c r="R197" s="229">
        <v>64320</v>
      </c>
      <c r="S197" s="7">
        <v>6870</v>
      </c>
      <c r="T197" s="7">
        <v>6150</v>
      </c>
      <c r="U197" s="7">
        <v>5640</v>
      </c>
      <c r="V197" s="7">
        <v>5580</v>
      </c>
      <c r="W197" s="7">
        <v>6223</v>
      </c>
      <c r="X197" s="7">
        <v>7442.5</v>
      </c>
      <c r="Y197" s="7">
        <v>8580</v>
      </c>
      <c r="Z197" s="9">
        <v>8402.5</v>
      </c>
      <c r="AA197" s="9">
        <v>6622.5</v>
      </c>
      <c r="AB197" s="237">
        <f t="shared" si="8"/>
        <v>125830.5</v>
      </c>
      <c r="AC197" s="265">
        <v>2144</v>
      </c>
      <c r="AD197" s="16">
        <v>30</v>
      </c>
      <c r="AE197" s="13" t="s">
        <v>186</v>
      </c>
      <c r="AF197" s="255">
        <v>2952</v>
      </c>
      <c r="AG197" s="48">
        <v>134</v>
      </c>
      <c r="AH197" s="48">
        <v>239</v>
      </c>
      <c r="AI197" s="48">
        <v>272</v>
      </c>
      <c r="AJ197" s="12">
        <v>270</v>
      </c>
      <c r="AK197" s="12">
        <v>211</v>
      </c>
      <c r="AL197" s="253">
        <f t="shared" si="9"/>
        <v>4078</v>
      </c>
      <c r="AM197" s="16">
        <v>30</v>
      </c>
      <c r="AN197" s="13" t="s">
        <v>198</v>
      </c>
      <c r="AO197" s="9">
        <f>SUM(25358+1766)</f>
        <v>27124</v>
      </c>
      <c r="AP197" s="14">
        <v>0</v>
      </c>
      <c r="AQ197" s="7">
        <f>SUM(93851+4856)</f>
        <v>98707</v>
      </c>
      <c r="AR197" s="181"/>
    </row>
    <row r="198" spans="1:44" s="103" customFormat="1" ht="13" customHeight="1" x14ac:dyDescent="0.2">
      <c r="A198" s="4">
        <v>191</v>
      </c>
      <c r="B198" s="131">
        <v>105</v>
      </c>
      <c r="C198" s="120" t="s">
        <v>67</v>
      </c>
      <c r="D198" s="44" t="s">
        <v>249</v>
      </c>
      <c r="E198" s="29" t="s">
        <v>84</v>
      </c>
      <c r="F198" s="183" t="s">
        <v>390</v>
      </c>
      <c r="G198" s="192" t="s">
        <v>326</v>
      </c>
      <c r="H198" s="26">
        <v>38100</v>
      </c>
      <c r="I198" s="26">
        <v>39660</v>
      </c>
      <c r="J198" s="26">
        <v>42750</v>
      </c>
      <c r="K198" s="26">
        <v>55020</v>
      </c>
      <c r="L198" s="25">
        <v>66150</v>
      </c>
      <c r="M198" s="25">
        <v>78270</v>
      </c>
      <c r="N198" s="25">
        <v>79290</v>
      </c>
      <c r="O198" s="72">
        <v>76200</v>
      </c>
      <c r="P198" s="72">
        <v>76200</v>
      </c>
      <c r="Q198" s="15">
        <v>77660</v>
      </c>
      <c r="R198" s="229">
        <v>629300</v>
      </c>
      <c r="S198" s="15">
        <v>79020</v>
      </c>
      <c r="T198" s="15">
        <v>78090</v>
      </c>
      <c r="U198" s="15">
        <v>76020</v>
      </c>
      <c r="V198" s="15">
        <v>81900</v>
      </c>
      <c r="W198" s="15">
        <v>81753</v>
      </c>
      <c r="X198" s="7">
        <f>SUM(101170+400.32)</f>
        <v>101570.32</v>
      </c>
      <c r="Y198" s="15">
        <v>117236</v>
      </c>
      <c r="Z198" s="9">
        <v>117472.5</v>
      </c>
      <c r="AA198" s="9">
        <v>112207.5</v>
      </c>
      <c r="AB198" s="237">
        <f t="shared" si="8"/>
        <v>1474569.32</v>
      </c>
      <c r="AC198" s="265">
        <v>20976.666666666668</v>
      </c>
      <c r="AD198" s="16">
        <v>30</v>
      </c>
      <c r="AE198" s="13" t="s">
        <v>186</v>
      </c>
      <c r="AF198" s="255">
        <v>31477.666666666668</v>
      </c>
      <c r="AG198" s="48">
        <v>2870</v>
      </c>
      <c r="AH198" s="48">
        <v>3317</v>
      </c>
      <c r="AI198" s="48">
        <v>3761</v>
      </c>
      <c r="AJ198" s="12">
        <v>3772</v>
      </c>
      <c r="AK198" s="12">
        <v>3566</v>
      </c>
      <c r="AL198" s="253">
        <f t="shared" si="9"/>
        <v>48763.666666666672</v>
      </c>
      <c r="AM198" s="16">
        <v>30</v>
      </c>
      <c r="AN198" s="73" t="s">
        <v>198</v>
      </c>
      <c r="AO198" s="9">
        <f>SUM(300369+29922)</f>
        <v>330291</v>
      </c>
      <c r="AP198" s="14">
        <v>0</v>
      </c>
      <c r="AQ198" s="7">
        <f>SUM(1061994+82284)</f>
        <v>1144278</v>
      </c>
      <c r="AR198" s="181"/>
    </row>
    <row r="199" spans="1:44" s="103" customFormat="1" ht="22.5" customHeight="1" x14ac:dyDescent="0.2">
      <c r="A199" s="4">
        <v>192</v>
      </c>
      <c r="B199" s="131">
        <v>289</v>
      </c>
      <c r="C199" s="120" t="s">
        <v>457</v>
      </c>
      <c r="D199" s="44">
        <v>504.80200000000002</v>
      </c>
      <c r="E199" s="29">
        <v>2011</v>
      </c>
      <c r="F199" s="183" t="s">
        <v>458</v>
      </c>
      <c r="G199" s="192" t="s">
        <v>459</v>
      </c>
      <c r="H199" s="26">
        <v>0</v>
      </c>
      <c r="I199" s="26">
        <v>0</v>
      </c>
      <c r="J199" s="26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14">
        <v>0</v>
      </c>
      <c r="R199" s="229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9">
        <v>2262.5</v>
      </c>
      <c r="AA199" s="9">
        <v>7575</v>
      </c>
      <c r="AB199" s="237">
        <f t="shared" si="8"/>
        <v>9837.5</v>
      </c>
      <c r="AC199" s="265">
        <v>0</v>
      </c>
      <c r="AD199" s="16" t="s">
        <v>78</v>
      </c>
      <c r="AE199" s="13" t="s">
        <v>78</v>
      </c>
      <c r="AF199" s="255">
        <v>0</v>
      </c>
      <c r="AG199" s="48"/>
      <c r="AH199" s="48"/>
      <c r="AI199" s="48"/>
      <c r="AJ199" s="12">
        <v>102</v>
      </c>
      <c r="AK199" s="12">
        <v>235</v>
      </c>
      <c r="AL199" s="253">
        <f t="shared" si="9"/>
        <v>337</v>
      </c>
      <c r="AM199" s="16">
        <v>30</v>
      </c>
      <c r="AN199" s="73" t="s">
        <v>198</v>
      </c>
      <c r="AO199" s="9">
        <f>SUM(603+2021)</f>
        <v>2624</v>
      </c>
      <c r="AP199" s="14">
        <v>0</v>
      </c>
      <c r="AQ199" s="7">
        <f>SUM(1659+5555)</f>
        <v>7214</v>
      </c>
      <c r="AR199" s="181"/>
    </row>
    <row r="200" spans="1:44" s="103" customFormat="1" ht="22.5" customHeight="1" x14ac:dyDescent="0.2">
      <c r="A200" s="4">
        <v>193</v>
      </c>
      <c r="B200" s="131">
        <v>239</v>
      </c>
      <c r="C200" s="120" t="s">
        <v>208</v>
      </c>
      <c r="D200" s="44">
        <v>504.63200000000001</v>
      </c>
      <c r="E200" s="29">
        <v>2005</v>
      </c>
      <c r="F200" s="183" t="s">
        <v>391</v>
      </c>
      <c r="G200" s="192" t="s">
        <v>440</v>
      </c>
      <c r="H200" s="26">
        <v>0</v>
      </c>
      <c r="I200" s="26">
        <v>0</v>
      </c>
      <c r="J200" s="26">
        <v>0</v>
      </c>
      <c r="K200" s="26">
        <v>0</v>
      </c>
      <c r="L200" s="25">
        <v>0</v>
      </c>
      <c r="M200" s="25">
        <v>0</v>
      </c>
      <c r="N200" s="25">
        <v>0</v>
      </c>
      <c r="O200" s="72">
        <v>0</v>
      </c>
      <c r="P200" s="72">
        <v>0</v>
      </c>
      <c r="Q200" s="15">
        <v>0</v>
      </c>
      <c r="R200" s="229">
        <v>0</v>
      </c>
      <c r="S200" s="15">
        <v>0</v>
      </c>
      <c r="T200" s="15">
        <v>1770</v>
      </c>
      <c r="U200" s="15">
        <v>2820</v>
      </c>
      <c r="V200" s="15">
        <v>4680</v>
      </c>
      <c r="W200" s="15">
        <v>5503</v>
      </c>
      <c r="X200" s="15">
        <v>6407.5</v>
      </c>
      <c r="Y200" s="15">
        <v>7877</v>
      </c>
      <c r="Z200" s="9">
        <v>7497.5</v>
      </c>
      <c r="AA200" s="9">
        <v>7182.5</v>
      </c>
      <c r="AB200" s="237">
        <f t="shared" ref="AB200:AB226" si="10">SUM(R200:AA200)</f>
        <v>43737.5</v>
      </c>
      <c r="AC200" s="265">
        <v>0</v>
      </c>
      <c r="AD200" s="16" t="s">
        <v>78</v>
      </c>
      <c r="AE200" s="16" t="s">
        <v>78</v>
      </c>
      <c r="AF200" s="255">
        <v>309</v>
      </c>
      <c r="AG200" s="48">
        <v>199</v>
      </c>
      <c r="AH200" s="117">
        <v>209</v>
      </c>
      <c r="AI200" s="48">
        <v>255</v>
      </c>
      <c r="AJ200" s="12">
        <v>240</v>
      </c>
      <c r="AK200" s="12">
        <v>234</v>
      </c>
      <c r="AL200" s="253">
        <f t="shared" ref="AL200:AL226" si="11">SUM(AF200:AK200)</f>
        <v>1446</v>
      </c>
      <c r="AM200" s="16">
        <v>30</v>
      </c>
      <c r="AN200" s="73" t="s">
        <v>198</v>
      </c>
      <c r="AO200" s="9">
        <f>SUM(9749+1916)</f>
        <v>11665</v>
      </c>
      <c r="AP200" s="14">
        <v>0</v>
      </c>
      <c r="AQ200" s="7">
        <f>SUM(26806+5267)</f>
        <v>32073</v>
      </c>
      <c r="AR200" s="181"/>
    </row>
    <row r="201" spans="1:44" s="103" customFormat="1" ht="22.5" customHeight="1" x14ac:dyDescent="0.2">
      <c r="A201" s="4">
        <v>194</v>
      </c>
      <c r="B201" s="131">
        <v>141</v>
      </c>
      <c r="C201" s="120" t="s">
        <v>113</v>
      </c>
      <c r="D201" s="44" t="s">
        <v>249</v>
      </c>
      <c r="E201" s="29">
        <v>1998</v>
      </c>
      <c r="F201" s="182" t="s">
        <v>325</v>
      </c>
      <c r="G201" s="192" t="s">
        <v>326</v>
      </c>
      <c r="H201" s="26">
        <v>0</v>
      </c>
      <c r="I201" s="26">
        <v>0</v>
      </c>
      <c r="J201" s="26">
        <v>0</v>
      </c>
      <c r="K201" s="26">
        <v>0</v>
      </c>
      <c r="L201" s="25">
        <v>120</v>
      </c>
      <c r="M201" s="25">
        <v>210</v>
      </c>
      <c r="N201" s="25">
        <v>330</v>
      </c>
      <c r="O201" s="72">
        <v>510</v>
      </c>
      <c r="P201" s="72">
        <v>540</v>
      </c>
      <c r="Q201" s="15">
        <v>600</v>
      </c>
      <c r="R201" s="229">
        <v>2310</v>
      </c>
      <c r="S201" s="15">
        <v>660</v>
      </c>
      <c r="T201" s="15">
        <v>540</v>
      </c>
      <c r="U201" s="15">
        <v>360</v>
      </c>
      <c r="V201" s="15">
        <v>210</v>
      </c>
      <c r="W201" s="15">
        <v>90</v>
      </c>
      <c r="X201" s="7">
        <v>55</v>
      </c>
      <c r="Y201" s="15">
        <v>113</v>
      </c>
      <c r="Z201" s="9">
        <v>30</v>
      </c>
      <c r="AA201" s="9">
        <v>0</v>
      </c>
      <c r="AB201" s="237">
        <f t="shared" si="10"/>
        <v>4368</v>
      </c>
      <c r="AC201" s="265">
        <v>77</v>
      </c>
      <c r="AD201" s="16">
        <v>30</v>
      </c>
      <c r="AE201" s="13" t="s">
        <v>186</v>
      </c>
      <c r="AF201" s="255">
        <v>136</v>
      </c>
      <c r="AG201" s="48">
        <v>3</v>
      </c>
      <c r="AH201" s="48">
        <v>3</v>
      </c>
      <c r="AI201" s="48">
        <v>2</v>
      </c>
      <c r="AJ201" s="12">
        <v>1</v>
      </c>
      <c r="AK201" s="12">
        <v>0</v>
      </c>
      <c r="AL201" s="253">
        <f t="shared" si="11"/>
        <v>145</v>
      </c>
      <c r="AM201" s="16">
        <v>30</v>
      </c>
      <c r="AN201" s="73" t="s">
        <v>198</v>
      </c>
      <c r="AO201" s="9">
        <f>[1]Sheet1!I159+8</f>
        <v>934</v>
      </c>
      <c r="AP201" s="14">
        <v>0</v>
      </c>
      <c r="AQ201" s="7">
        <f>[1]Sheet1!N159+22</f>
        <v>3434</v>
      </c>
      <c r="AR201" s="181"/>
    </row>
    <row r="202" spans="1:44" s="103" customFormat="1" ht="13" customHeight="1" x14ac:dyDescent="0.2">
      <c r="A202" s="4">
        <v>195</v>
      </c>
      <c r="B202" s="131">
        <v>173</v>
      </c>
      <c r="C202" s="120" t="s">
        <v>68</v>
      </c>
      <c r="D202" s="44" t="s">
        <v>249</v>
      </c>
      <c r="E202" s="29">
        <v>2001</v>
      </c>
      <c r="F202" s="182" t="s">
        <v>392</v>
      </c>
      <c r="G202" s="192" t="s">
        <v>326</v>
      </c>
      <c r="H202" s="26">
        <v>0</v>
      </c>
      <c r="I202" s="26">
        <v>0</v>
      </c>
      <c r="J202" s="26">
        <v>0</v>
      </c>
      <c r="K202" s="26">
        <v>0</v>
      </c>
      <c r="L202" s="25">
        <v>0</v>
      </c>
      <c r="M202" s="25">
        <v>0</v>
      </c>
      <c r="N202" s="25">
        <v>0</v>
      </c>
      <c r="O202" s="72">
        <v>1140</v>
      </c>
      <c r="P202" s="72">
        <v>1800</v>
      </c>
      <c r="Q202" s="15">
        <v>1980</v>
      </c>
      <c r="R202" s="229">
        <v>4920</v>
      </c>
      <c r="S202" s="15">
        <v>2190</v>
      </c>
      <c r="T202" s="15">
        <v>2040</v>
      </c>
      <c r="U202" s="15">
        <v>2010</v>
      </c>
      <c r="V202" s="15">
        <v>930</v>
      </c>
      <c r="W202" s="15">
        <v>480</v>
      </c>
      <c r="X202" s="7">
        <v>360</v>
      </c>
      <c r="Y202" s="15">
        <v>150</v>
      </c>
      <c r="Z202" s="10">
        <v>0</v>
      </c>
      <c r="AA202" s="9">
        <v>0</v>
      </c>
      <c r="AB202" s="237">
        <f t="shared" si="10"/>
        <v>13080</v>
      </c>
      <c r="AC202" s="265">
        <v>164</v>
      </c>
      <c r="AD202" s="16">
        <v>30</v>
      </c>
      <c r="AE202" s="13" t="s">
        <v>186</v>
      </c>
      <c r="AF202" s="255">
        <v>403</v>
      </c>
      <c r="AG202" s="48">
        <v>16</v>
      </c>
      <c r="AH202" s="48">
        <v>12</v>
      </c>
      <c r="AI202" s="48">
        <v>5</v>
      </c>
      <c r="AJ202" s="12">
        <v>0</v>
      </c>
      <c r="AK202" s="12">
        <v>0</v>
      </c>
      <c r="AL202" s="253">
        <f t="shared" si="11"/>
        <v>436</v>
      </c>
      <c r="AM202" s="16">
        <v>30</v>
      </c>
      <c r="AN202" s="73" t="s">
        <v>198</v>
      </c>
      <c r="AO202" s="9">
        <f>[1]Sheet1!I160</f>
        <v>2996</v>
      </c>
      <c r="AP202" s="14">
        <v>0</v>
      </c>
      <c r="AQ202" s="7">
        <f>[1]Sheet1!N160</f>
        <v>10084</v>
      </c>
      <c r="AR202" s="181"/>
    </row>
    <row r="203" spans="1:44" s="103" customFormat="1" ht="13" customHeight="1" x14ac:dyDescent="0.2">
      <c r="A203" s="4">
        <v>196</v>
      </c>
      <c r="B203" s="131">
        <v>72</v>
      </c>
      <c r="C203" s="120" t="s">
        <v>49</v>
      </c>
      <c r="D203" s="17" t="s">
        <v>257</v>
      </c>
      <c r="E203" s="29">
        <v>1961</v>
      </c>
      <c r="F203" s="190" t="s">
        <v>331</v>
      </c>
      <c r="G203" s="192" t="s">
        <v>358</v>
      </c>
      <c r="H203" s="26">
        <v>0</v>
      </c>
      <c r="I203" s="26">
        <v>0</v>
      </c>
      <c r="J203" s="26">
        <v>0</v>
      </c>
      <c r="K203" s="26">
        <v>0</v>
      </c>
      <c r="L203" s="25">
        <v>0</v>
      </c>
      <c r="M203" s="25">
        <v>0</v>
      </c>
      <c r="N203" s="25">
        <v>0</v>
      </c>
      <c r="O203" s="72">
        <v>0</v>
      </c>
      <c r="P203" s="72">
        <v>0</v>
      </c>
      <c r="Q203" s="15">
        <v>0</v>
      </c>
      <c r="R203" s="229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0">
        <v>0</v>
      </c>
      <c r="AA203" s="9">
        <v>0</v>
      </c>
      <c r="AB203" s="237">
        <f t="shared" si="10"/>
        <v>0</v>
      </c>
      <c r="AC203" s="265" t="s">
        <v>76</v>
      </c>
      <c r="AD203" s="16">
        <v>0</v>
      </c>
      <c r="AE203" s="13" t="s">
        <v>78</v>
      </c>
      <c r="AF203" s="255" t="s">
        <v>76</v>
      </c>
      <c r="AG203" s="48">
        <v>57</v>
      </c>
      <c r="AH203" s="48">
        <v>40</v>
      </c>
      <c r="AI203" s="48">
        <v>38</v>
      </c>
      <c r="AJ203" s="12">
        <v>39</v>
      </c>
      <c r="AK203" s="12">
        <v>35</v>
      </c>
      <c r="AL203" s="253">
        <f t="shared" si="11"/>
        <v>209</v>
      </c>
      <c r="AM203" s="16">
        <v>0</v>
      </c>
      <c r="AN203" s="73" t="s">
        <v>78</v>
      </c>
      <c r="AO203" s="9">
        <f>[1]Sheet1!I161</f>
        <v>0</v>
      </c>
      <c r="AP203" s="14">
        <v>0</v>
      </c>
      <c r="AQ203" s="7">
        <f>[1]Sheet1!N161</f>
        <v>0</v>
      </c>
      <c r="AR203" s="181"/>
    </row>
    <row r="204" spans="1:44" s="103" customFormat="1" ht="13" customHeight="1" x14ac:dyDescent="0.2">
      <c r="A204" s="4">
        <v>197</v>
      </c>
      <c r="B204" s="131">
        <v>74</v>
      </c>
      <c r="C204" s="120" t="s">
        <v>111</v>
      </c>
      <c r="D204" s="17" t="s">
        <v>258</v>
      </c>
      <c r="E204" s="29">
        <v>1972</v>
      </c>
      <c r="F204" s="190" t="s">
        <v>331</v>
      </c>
      <c r="G204" s="192" t="s">
        <v>358</v>
      </c>
      <c r="H204" s="26">
        <v>0</v>
      </c>
      <c r="I204" s="26">
        <v>0</v>
      </c>
      <c r="J204" s="26">
        <v>0</v>
      </c>
      <c r="K204" s="26">
        <v>0</v>
      </c>
      <c r="L204" s="25">
        <v>0</v>
      </c>
      <c r="M204" s="25">
        <v>0</v>
      </c>
      <c r="N204" s="25">
        <v>0</v>
      </c>
      <c r="O204" s="72">
        <v>0</v>
      </c>
      <c r="P204" s="72">
        <v>0</v>
      </c>
      <c r="Q204" s="15">
        <v>0</v>
      </c>
      <c r="R204" s="229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0">
        <v>0</v>
      </c>
      <c r="AA204" s="9">
        <v>0</v>
      </c>
      <c r="AB204" s="237">
        <f t="shared" si="10"/>
        <v>0</v>
      </c>
      <c r="AC204" s="265" t="s">
        <v>76</v>
      </c>
      <c r="AD204" s="16">
        <v>0</v>
      </c>
      <c r="AE204" s="13" t="s">
        <v>78</v>
      </c>
      <c r="AF204" s="255" t="s">
        <v>76</v>
      </c>
      <c r="AG204" s="48">
        <v>173</v>
      </c>
      <c r="AH204" s="48">
        <v>97</v>
      </c>
      <c r="AI204" s="48">
        <v>84</v>
      </c>
      <c r="AJ204" s="12">
        <v>83</v>
      </c>
      <c r="AK204" s="12">
        <v>84</v>
      </c>
      <c r="AL204" s="253">
        <f t="shared" si="11"/>
        <v>521</v>
      </c>
      <c r="AM204" s="16">
        <v>0</v>
      </c>
      <c r="AN204" s="73" t="s">
        <v>78</v>
      </c>
      <c r="AO204" s="9">
        <f>[1]Sheet1!I162</f>
        <v>0</v>
      </c>
      <c r="AP204" s="14">
        <v>0</v>
      </c>
      <c r="AQ204" s="7">
        <f>[1]Sheet1!N162</f>
        <v>0</v>
      </c>
      <c r="AR204" s="181"/>
    </row>
    <row r="205" spans="1:44" s="104" customFormat="1" ht="22.5" customHeight="1" x14ac:dyDescent="0.2">
      <c r="A205" s="4">
        <v>198</v>
      </c>
      <c r="B205" s="131">
        <v>199</v>
      </c>
      <c r="C205" s="120" t="s">
        <v>449</v>
      </c>
      <c r="D205" s="17" t="s">
        <v>201</v>
      </c>
      <c r="E205" s="29">
        <v>1995</v>
      </c>
      <c r="F205" s="192" t="s">
        <v>441</v>
      </c>
      <c r="G205" s="192" t="s">
        <v>330</v>
      </c>
      <c r="H205" s="26">
        <v>0</v>
      </c>
      <c r="I205" s="26">
        <v>0</v>
      </c>
      <c r="J205" s="26">
        <v>1400</v>
      </c>
      <c r="K205" s="26">
        <v>1360</v>
      </c>
      <c r="L205" s="25">
        <v>620</v>
      </c>
      <c r="M205" s="25">
        <v>1320</v>
      </c>
      <c r="N205" s="25">
        <v>2960</v>
      </c>
      <c r="O205" s="72">
        <v>3840</v>
      </c>
      <c r="P205" s="72">
        <v>4000</v>
      </c>
      <c r="Q205" s="15">
        <v>4060</v>
      </c>
      <c r="R205" s="229">
        <v>19560</v>
      </c>
      <c r="S205" s="15">
        <v>5780</v>
      </c>
      <c r="T205" s="15">
        <v>4890</v>
      </c>
      <c r="U205" s="15">
        <v>4650</v>
      </c>
      <c r="V205" s="15">
        <v>4590</v>
      </c>
      <c r="W205" s="15">
        <v>5313</v>
      </c>
      <c r="X205" s="7">
        <v>5417.5</v>
      </c>
      <c r="Y205" s="15">
        <v>5692</v>
      </c>
      <c r="Z205" s="9">
        <v>5292.5</v>
      </c>
      <c r="AA205" s="9">
        <v>5535</v>
      </c>
      <c r="AB205" s="237">
        <f t="shared" si="10"/>
        <v>66720</v>
      </c>
      <c r="AC205" s="265">
        <v>978</v>
      </c>
      <c r="AD205" s="16">
        <v>20</v>
      </c>
      <c r="AE205" s="13" t="s">
        <v>197</v>
      </c>
      <c r="AF205" s="255">
        <v>1641.6666666666665</v>
      </c>
      <c r="AG205" s="48">
        <v>197</v>
      </c>
      <c r="AH205" s="48">
        <v>170</v>
      </c>
      <c r="AI205" s="48">
        <v>185</v>
      </c>
      <c r="AJ205" s="12">
        <v>170</v>
      </c>
      <c r="AK205" s="12">
        <v>188</v>
      </c>
      <c r="AL205" s="253">
        <f t="shared" si="11"/>
        <v>2551.6666666666665</v>
      </c>
      <c r="AM205" s="16">
        <v>30</v>
      </c>
      <c r="AN205" s="73" t="s">
        <v>165</v>
      </c>
      <c r="AO205" s="9">
        <f>SUM(66720-4059)</f>
        <v>62661</v>
      </c>
      <c r="AP205" s="14">
        <v>0</v>
      </c>
      <c r="AQ205" s="7">
        <v>4059</v>
      </c>
      <c r="AR205" s="116"/>
    </row>
    <row r="206" spans="1:44" s="103" customFormat="1" ht="13" customHeight="1" x14ac:dyDescent="0.2">
      <c r="A206" s="4">
        <v>199</v>
      </c>
      <c r="B206" s="131">
        <v>238</v>
      </c>
      <c r="C206" s="120" t="s">
        <v>209</v>
      </c>
      <c r="D206" s="17">
        <v>504.62799999999999</v>
      </c>
      <c r="E206" s="29">
        <v>2005</v>
      </c>
      <c r="F206" s="183" t="s">
        <v>393</v>
      </c>
      <c r="G206" s="192" t="s">
        <v>442</v>
      </c>
      <c r="H206" s="26">
        <v>0</v>
      </c>
      <c r="I206" s="26">
        <v>0</v>
      </c>
      <c r="J206" s="26">
        <v>0</v>
      </c>
      <c r="K206" s="26">
        <v>0</v>
      </c>
      <c r="L206" s="25">
        <v>0</v>
      </c>
      <c r="M206" s="25">
        <v>0</v>
      </c>
      <c r="N206" s="25">
        <v>0</v>
      </c>
      <c r="O206" s="72">
        <v>0</v>
      </c>
      <c r="P206" s="72">
        <v>0</v>
      </c>
      <c r="Q206" s="15">
        <v>0</v>
      </c>
      <c r="R206" s="229">
        <v>0</v>
      </c>
      <c r="S206" s="15">
        <v>0</v>
      </c>
      <c r="T206" s="15">
        <v>1140</v>
      </c>
      <c r="U206" s="15">
        <v>2130</v>
      </c>
      <c r="V206" s="15">
        <v>3300</v>
      </c>
      <c r="W206" s="15">
        <v>3820</v>
      </c>
      <c r="X206" s="15">
        <f>SUM(30+4905)</f>
        <v>4935</v>
      </c>
      <c r="Y206" s="15">
        <v>6894</v>
      </c>
      <c r="Z206" s="9">
        <v>6472.5</v>
      </c>
      <c r="AA206" s="9">
        <v>7302.5</v>
      </c>
      <c r="AB206" s="237">
        <f t="shared" si="10"/>
        <v>35994</v>
      </c>
      <c r="AC206" s="265">
        <v>0</v>
      </c>
      <c r="AD206" s="16" t="s">
        <v>78</v>
      </c>
      <c r="AE206" s="16" t="s">
        <v>78</v>
      </c>
      <c r="AF206" s="255">
        <v>219</v>
      </c>
      <c r="AG206" s="48">
        <v>136</v>
      </c>
      <c r="AH206" s="117">
        <v>163</v>
      </c>
      <c r="AI206" s="48">
        <v>213</v>
      </c>
      <c r="AJ206" s="12">
        <v>206</v>
      </c>
      <c r="AK206" s="12">
        <v>217</v>
      </c>
      <c r="AL206" s="253">
        <f t="shared" si="11"/>
        <v>1154</v>
      </c>
      <c r="AM206" s="16">
        <v>30</v>
      </c>
      <c r="AN206" s="73" t="s">
        <v>165</v>
      </c>
      <c r="AO206" s="9">
        <f>SUM(7652+1948)</f>
        <v>9600</v>
      </c>
      <c r="AP206" s="14">
        <v>0</v>
      </c>
      <c r="AQ206" s="7">
        <f>SUM(21039+5355)</f>
        <v>26394</v>
      </c>
      <c r="AR206" s="181"/>
    </row>
    <row r="207" spans="1:44" s="103" customFormat="1" ht="13" customHeight="1" x14ac:dyDescent="0.2">
      <c r="A207" s="4">
        <v>200</v>
      </c>
      <c r="B207" s="131">
        <v>108</v>
      </c>
      <c r="C207" s="120" t="s">
        <v>46</v>
      </c>
      <c r="D207" s="44" t="s">
        <v>249</v>
      </c>
      <c r="E207" s="29" t="s">
        <v>84</v>
      </c>
      <c r="F207" s="183" t="s">
        <v>46</v>
      </c>
      <c r="G207" s="192" t="s">
        <v>326</v>
      </c>
      <c r="H207" s="26">
        <v>21300</v>
      </c>
      <c r="I207" s="26">
        <v>20460</v>
      </c>
      <c r="J207" s="26">
        <v>16080</v>
      </c>
      <c r="K207" s="26">
        <v>18210</v>
      </c>
      <c r="L207" s="25">
        <v>21180</v>
      </c>
      <c r="M207" s="25">
        <v>21325</v>
      </c>
      <c r="N207" s="25">
        <v>18900</v>
      </c>
      <c r="O207" s="72">
        <v>18510</v>
      </c>
      <c r="P207" s="72">
        <v>18090</v>
      </c>
      <c r="Q207" s="15">
        <v>17970</v>
      </c>
      <c r="R207" s="229">
        <v>192025</v>
      </c>
      <c r="S207" s="15">
        <v>16410</v>
      </c>
      <c r="T207" s="15">
        <v>16050</v>
      </c>
      <c r="U207" s="15">
        <v>14970</v>
      </c>
      <c r="V207" s="15">
        <v>15870</v>
      </c>
      <c r="W207" s="15">
        <v>15945</v>
      </c>
      <c r="X207" s="7">
        <v>18955</v>
      </c>
      <c r="Y207" s="15">
        <v>24829</v>
      </c>
      <c r="Z207" s="9">
        <v>25312.5</v>
      </c>
      <c r="AA207" s="9">
        <v>27787.5</v>
      </c>
      <c r="AB207" s="237">
        <f t="shared" si="10"/>
        <v>368154</v>
      </c>
      <c r="AC207" s="265">
        <v>6400.833333333333</v>
      </c>
      <c r="AD207" s="16">
        <v>30</v>
      </c>
      <c r="AE207" s="13" t="s">
        <v>186</v>
      </c>
      <c r="AF207" s="255">
        <v>8510.8333333333321</v>
      </c>
      <c r="AG207" s="48">
        <v>576</v>
      </c>
      <c r="AH207" s="48">
        <v>624</v>
      </c>
      <c r="AI207" s="48">
        <v>769</v>
      </c>
      <c r="AJ207" s="12">
        <v>848</v>
      </c>
      <c r="AK207" s="12">
        <v>845</v>
      </c>
      <c r="AL207" s="253">
        <f t="shared" si="11"/>
        <v>12172.833333333332</v>
      </c>
      <c r="AM207" s="16">
        <v>30</v>
      </c>
      <c r="AN207" s="73" t="s">
        <v>198</v>
      </c>
      <c r="AO207" s="9">
        <f>SUM(71563+7411)</f>
        <v>78974</v>
      </c>
      <c r="AP207" s="14">
        <v>0</v>
      </c>
      <c r="AQ207" s="7">
        <f>SUM(268803+20377)</f>
        <v>289180</v>
      </c>
      <c r="AR207" s="181"/>
    </row>
    <row r="208" spans="1:44" s="103" customFormat="1" ht="22.5" customHeight="1" x14ac:dyDescent="0.2">
      <c r="A208" s="4">
        <v>201</v>
      </c>
      <c r="B208" s="131">
        <v>115</v>
      </c>
      <c r="C208" s="120" t="s">
        <v>47</v>
      </c>
      <c r="D208" s="44" t="s">
        <v>249</v>
      </c>
      <c r="E208" s="29" t="s">
        <v>86</v>
      </c>
      <c r="F208" s="182" t="s">
        <v>325</v>
      </c>
      <c r="G208" s="192" t="s">
        <v>326</v>
      </c>
      <c r="H208" s="26">
        <v>990</v>
      </c>
      <c r="I208" s="26">
        <v>1200</v>
      </c>
      <c r="J208" s="26">
        <v>780</v>
      </c>
      <c r="K208" s="26">
        <v>1320</v>
      </c>
      <c r="L208" s="25">
        <v>1500</v>
      </c>
      <c r="M208" s="25">
        <v>1320</v>
      </c>
      <c r="N208" s="25">
        <v>1080</v>
      </c>
      <c r="O208" s="72">
        <v>1350</v>
      </c>
      <c r="P208" s="72">
        <v>1050</v>
      </c>
      <c r="Q208" s="15">
        <v>1140</v>
      </c>
      <c r="R208" s="229">
        <v>11730</v>
      </c>
      <c r="S208" s="15">
        <v>960</v>
      </c>
      <c r="T208" s="15">
        <v>930</v>
      </c>
      <c r="U208" s="15">
        <v>960</v>
      </c>
      <c r="V208" s="15">
        <v>840</v>
      </c>
      <c r="W208" s="15">
        <v>950</v>
      </c>
      <c r="X208" s="7">
        <v>1152.5</v>
      </c>
      <c r="Y208" s="15">
        <v>1325</v>
      </c>
      <c r="Z208" s="9">
        <v>1515</v>
      </c>
      <c r="AA208" s="9">
        <v>1492.5</v>
      </c>
      <c r="AB208" s="237">
        <f t="shared" si="10"/>
        <v>21855</v>
      </c>
      <c r="AC208" s="265">
        <v>391</v>
      </c>
      <c r="AD208" s="16">
        <v>30</v>
      </c>
      <c r="AE208" s="13" t="s">
        <v>186</v>
      </c>
      <c r="AF208" s="255">
        <v>514</v>
      </c>
      <c r="AG208" s="48">
        <v>36</v>
      </c>
      <c r="AH208" s="48">
        <v>39</v>
      </c>
      <c r="AI208" s="48">
        <v>43</v>
      </c>
      <c r="AJ208" s="12">
        <v>49</v>
      </c>
      <c r="AK208" s="12">
        <v>51</v>
      </c>
      <c r="AL208" s="253">
        <f t="shared" si="11"/>
        <v>732</v>
      </c>
      <c r="AM208" s="16">
        <v>30</v>
      </c>
      <c r="AN208" s="73" t="s">
        <v>198</v>
      </c>
      <c r="AO208" s="9">
        <f>SUM(4256+398)</f>
        <v>4654</v>
      </c>
      <c r="AP208" s="14">
        <v>0</v>
      </c>
      <c r="AQ208" s="7">
        <f>SUM(16106+1095)</f>
        <v>17201</v>
      </c>
      <c r="AR208" s="181"/>
    </row>
    <row r="209" spans="1:44" s="103" customFormat="1" ht="13" customHeight="1" x14ac:dyDescent="0.2">
      <c r="A209" s="4">
        <v>202</v>
      </c>
      <c r="B209" s="131">
        <v>113</v>
      </c>
      <c r="C209" s="120" t="s">
        <v>48</v>
      </c>
      <c r="D209" s="44" t="s">
        <v>249</v>
      </c>
      <c r="E209" s="29" t="s">
        <v>84</v>
      </c>
      <c r="F209" s="183" t="s">
        <v>394</v>
      </c>
      <c r="G209" s="192" t="s">
        <v>326</v>
      </c>
      <c r="H209" s="26">
        <v>6570</v>
      </c>
      <c r="I209" s="26">
        <v>6660</v>
      </c>
      <c r="J209" s="26">
        <v>5850</v>
      </c>
      <c r="K209" s="26">
        <v>5760</v>
      </c>
      <c r="L209" s="25">
        <v>6300</v>
      </c>
      <c r="M209" s="25">
        <v>7620</v>
      </c>
      <c r="N209" s="25">
        <v>6750</v>
      </c>
      <c r="O209" s="72">
        <v>7320</v>
      </c>
      <c r="P209" s="72">
        <v>7590</v>
      </c>
      <c r="Q209" s="15">
        <v>8670</v>
      </c>
      <c r="R209" s="229">
        <v>69090</v>
      </c>
      <c r="S209" s="15">
        <v>9060</v>
      </c>
      <c r="T209" s="15">
        <v>8730</v>
      </c>
      <c r="U209" s="15">
        <v>7890</v>
      </c>
      <c r="V209" s="15">
        <v>8250</v>
      </c>
      <c r="W209" s="15">
        <v>8378</v>
      </c>
      <c r="X209" s="7">
        <v>9682.5</v>
      </c>
      <c r="Y209" s="15">
        <v>11265</v>
      </c>
      <c r="Z209" s="9">
        <v>9997.5</v>
      </c>
      <c r="AA209" s="9">
        <v>8517.5</v>
      </c>
      <c r="AB209" s="237">
        <f t="shared" si="10"/>
        <v>150860.5</v>
      </c>
      <c r="AC209" s="265">
        <v>2303</v>
      </c>
      <c r="AD209" s="16">
        <v>30</v>
      </c>
      <c r="AE209" s="13" t="s">
        <v>186</v>
      </c>
      <c r="AF209" s="255">
        <v>3434</v>
      </c>
      <c r="AG209" s="48">
        <v>296</v>
      </c>
      <c r="AH209" s="48">
        <v>328</v>
      </c>
      <c r="AI209" s="48">
        <v>363</v>
      </c>
      <c r="AJ209" s="12">
        <v>322</v>
      </c>
      <c r="AK209" s="12">
        <v>266</v>
      </c>
      <c r="AL209" s="253">
        <f t="shared" si="11"/>
        <v>5009</v>
      </c>
      <c r="AM209" s="16">
        <v>30</v>
      </c>
      <c r="AN209" s="73" t="s">
        <v>198</v>
      </c>
      <c r="AO209" s="9">
        <f>SUM(31049+2273)</f>
        <v>33322</v>
      </c>
      <c r="AP209" s="14">
        <v>0</v>
      </c>
      <c r="AQ209" s="7">
        <f>SUM(111293+6246)</f>
        <v>117539</v>
      </c>
      <c r="AR209" s="181"/>
    </row>
    <row r="210" spans="1:44" s="103" customFormat="1" ht="22.5" customHeight="1" x14ac:dyDescent="0.2">
      <c r="A210" s="4">
        <v>203</v>
      </c>
      <c r="B210" s="131">
        <v>120</v>
      </c>
      <c r="C210" s="120" t="s">
        <v>405</v>
      </c>
      <c r="D210" s="44" t="s">
        <v>249</v>
      </c>
      <c r="E210" s="29" t="s">
        <v>86</v>
      </c>
      <c r="F210" s="182" t="s">
        <v>325</v>
      </c>
      <c r="G210" s="192" t="s">
        <v>326</v>
      </c>
      <c r="H210" s="26">
        <v>1140</v>
      </c>
      <c r="I210" s="26">
        <v>1170</v>
      </c>
      <c r="J210" s="26">
        <v>1080</v>
      </c>
      <c r="K210" s="26">
        <v>1260</v>
      </c>
      <c r="L210" s="25">
        <v>1230</v>
      </c>
      <c r="M210" s="25">
        <v>1170</v>
      </c>
      <c r="N210" s="25">
        <v>1290</v>
      </c>
      <c r="O210" s="72">
        <v>1050</v>
      </c>
      <c r="P210" s="72">
        <v>1020</v>
      </c>
      <c r="Q210" s="15">
        <v>1110</v>
      </c>
      <c r="R210" s="229">
        <v>11520</v>
      </c>
      <c r="S210" s="15">
        <v>1230</v>
      </c>
      <c r="T210" s="15">
        <v>1230</v>
      </c>
      <c r="U210" s="15">
        <v>1290</v>
      </c>
      <c r="V210" s="15">
        <v>2670</v>
      </c>
      <c r="W210" s="15">
        <v>1425</v>
      </c>
      <c r="X210" s="7">
        <v>1587.5</v>
      </c>
      <c r="Y210" s="15">
        <v>1690</v>
      </c>
      <c r="Z210" s="9">
        <v>1472.5</v>
      </c>
      <c r="AA210" s="9">
        <v>1547.5</v>
      </c>
      <c r="AB210" s="237">
        <f t="shared" si="10"/>
        <v>25662.5</v>
      </c>
      <c r="AC210" s="265">
        <v>384</v>
      </c>
      <c r="AD210" s="16">
        <v>30</v>
      </c>
      <c r="AE210" s="13" t="s">
        <v>186</v>
      </c>
      <c r="AF210" s="255">
        <v>598</v>
      </c>
      <c r="AG210" s="48">
        <v>48</v>
      </c>
      <c r="AH210" s="48">
        <v>51</v>
      </c>
      <c r="AI210" s="48">
        <v>55</v>
      </c>
      <c r="AJ210" s="12">
        <v>50</v>
      </c>
      <c r="AK210" s="12">
        <v>46</v>
      </c>
      <c r="AL210" s="253">
        <f t="shared" si="11"/>
        <v>848</v>
      </c>
      <c r="AM210" s="16">
        <v>30</v>
      </c>
      <c r="AN210" s="73" t="s">
        <v>198</v>
      </c>
      <c r="AO210" s="9">
        <f>SUM(5279+413)</f>
        <v>5692</v>
      </c>
      <c r="AP210" s="14">
        <v>0</v>
      </c>
      <c r="AQ210" s="7">
        <f>SUM(18836+1135)</f>
        <v>19971</v>
      </c>
      <c r="AR210" s="181"/>
    </row>
    <row r="211" spans="1:44" s="103" customFormat="1" ht="13" customHeight="1" x14ac:dyDescent="0.2">
      <c r="A211" s="4">
        <v>204</v>
      </c>
      <c r="B211" s="131">
        <v>106</v>
      </c>
      <c r="C211" s="120" t="s">
        <v>50</v>
      </c>
      <c r="D211" s="44" t="s">
        <v>249</v>
      </c>
      <c r="E211" s="29" t="s">
        <v>84</v>
      </c>
      <c r="F211" s="183" t="s">
        <v>50</v>
      </c>
      <c r="G211" s="192" t="s">
        <v>326</v>
      </c>
      <c r="H211" s="26">
        <v>1500</v>
      </c>
      <c r="I211" s="26">
        <v>1410</v>
      </c>
      <c r="J211" s="26">
        <v>1230</v>
      </c>
      <c r="K211" s="26">
        <v>1110</v>
      </c>
      <c r="L211" s="25">
        <v>1320</v>
      </c>
      <c r="M211" s="25">
        <v>1350</v>
      </c>
      <c r="N211" s="25">
        <v>1170</v>
      </c>
      <c r="O211" s="72">
        <v>1740</v>
      </c>
      <c r="P211" s="72">
        <v>1260</v>
      </c>
      <c r="Q211" s="15">
        <v>1500</v>
      </c>
      <c r="R211" s="229">
        <v>13590</v>
      </c>
      <c r="S211" s="15">
        <v>1830</v>
      </c>
      <c r="T211" s="15">
        <v>1800</v>
      </c>
      <c r="U211" s="15">
        <v>1740</v>
      </c>
      <c r="V211" s="15">
        <v>2010</v>
      </c>
      <c r="W211" s="15">
        <v>2138</v>
      </c>
      <c r="X211" s="7">
        <v>2697.5</v>
      </c>
      <c r="Y211" s="15">
        <v>3100</v>
      </c>
      <c r="Z211" s="10">
        <v>2795</v>
      </c>
      <c r="AA211" s="9">
        <v>1732.5</v>
      </c>
      <c r="AB211" s="237">
        <f t="shared" si="10"/>
        <v>33433</v>
      </c>
      <c r="AC211" s="265">
        <v>453</v>
      </c>
      <c r="AD211" s="16">
        <v>30</v>
      </c>
      <c r="AE211" s="13" t="s">
        <v>186</v>
      </c>
      <c r="AF211" s="255">
        <v>699</v>
      </c>
      <c r="AG211" s="48">
        <v>71</v>
      </c>
      <c r="AH211" s="48">
        <v>91</v>
      </c>
      <c r="AI211" s="48">
        <v>100</v>
      </c>
      <c r="AJ211" s="12">
        <v>86</v>
      </c>
      <c r="AK211" s="12">
        <v>58</v>
      </c>
      <c r="AL211" s="253">
        <f t="shared" si="11"/>
        <v>1105</v>
      </c>
      <c r="AM211" s="16">
        <v>30</v>
      </c>
      <c r="AN211" s="73" t="s">
        <v>198</v>
      </c>
      <c r="AO211" s="9">
        <f>SUM(7095+462)</f>
        <v>7557</v>
      </c>
      <c r="AP211" s="14">
        <v>0</v>
      </c>
      <c r="AQ211" s="7">
        <f>SUM(24605+1271)</f>
        <v>25876</v>
      </c>
      <c r="AR211" s="181"/>
    </row>
    <row r="212" spans="1:44" s="103" customFormat="1" ht="13" customHeight="1" x14ac:dyDescent="0.2">
      <c r="A212" s="4">
        <v>205</v>
      </c>
      <c r="B212" s="131">
        <v>102</v>
      </c>
      <c r="C212" s="120" t="s">
        <v>51</v>
      </c>
      <c r="D212" s="44" t="s">
        <v>249</v>
      </c>
      <c r="E212" s="29" t="s">
        <v>84</v>
      </c>
      <c r="F212" s="183" t="s">
        <v>51</v>
      </c>
      <c r="G212" s="192" t="s">
        <v>326</v>
      </c>
      <c r="H212" s="26">
        <v>42690</v>
      </c>
      <c r="I212" s="26">
        <v>45750</v>
      </c>
      <c r="J212" s="26">
        <v>51810</v>
      </c>
      <c r="K212" s="26">
        <v>56310</v>
      </c>
      <c r="L212" s="25">
        <v>66810</v>
      </c>
      <c r="M212" s="25">
        <v>72270</v>
      </c>
      <c r="N212" s="25">
        <v>75660</v>
      </c>
      <c r="O212" s="72">
        <v>75480</v>
      </c>
      <c r="P212" s="72">
        <v>80580</v>
      </c>
      <c r="Q212" s="15">
        <v>84525</v>
      </c>
      <c r="R212" s="229">
        <v>651885</v>
      </c>
      <c r="S212" s="15">
        <v>85740</v>
      </c>
      <c r="T212" s="15">
        <v>90600</v>
      </c>
      <c r="U212" s="15">
        <v>93240</v>
      </c>
      <c r="V212" s="15">
        <v>101760</v>
      </c>
      <c r="W212" s="15">
        <v>107543</v>
      </c>
      <c r="X212" s="7">
        <v>132857</v>
      </c>
      <c r="Y212" s="15">
        <v>152159</v>
      </c>
      <c r="Z212" s="10">
        <v>142188</v>
      </c>
      <c r="AA212" s="9">
        <v>119252.5</v>
      </c>
      <c r="AB212" s="237">
        <f t="shared" si="10"/>
        <v>1677224.5</v>
      </c>
      <c r="AC212" s="265">
        <v>21729.5</v>
      </c>
      <c r="AD212" s="16">
        <v>30</v>
      </c>
      <c r="AE212" s="13" t="s">
        <v>186</v>
      </c>
      <c r="AF212" s="255">
        <v>34107.5</v>
      </c>
      <c r="AG212" s="48">
        <v>3807</v>
      </c>
      <c r="AH212" s="48">
        <v>4313</v>
      </c>
      <c r="AI212" s="48">
        <v>4838</v>
      </c>
      <c r="AJ212" s="12">
        <v>4495</v>
      </c>
      <c r="AK212" s="12">
        <v>3783</v>
      </c>
      <c r="AL212" s="253">
        <f t="shared" si="11"/>
        <v>55343.5</v>
      </c>
      <c r="AM212" s="16">
        <v>30</v>
      </c>
      <c r="AN212" s="73" t="s">
        <v>198</v>
      </c>
      <c r="AO212" s="9">
        <f>SUM(350278+31802)</f>
        <v>382080</v>
      </c>
      <c r="AP212" s="14">
        <v>0</v>
      </c>
      <c r="AQ212" s="7">
        <f>SUM(1207694+87451)</f>
        <v>1295145</v>
      </c>
      <c r="AR212" s="181"/>
    </row>
    <row r="213" spans="1:44" s="103" customFormat="1" ht="13" customHeight="1" x14ac:dyDescent="0.2">
      <c r="A213" s="4">
        <v>206</v>
      </c>
      <c r="B213" s="131">
        <v>188</v>
      </c>
      <c r="C213" s="120" t="s">
        <v>52</v>
      </c>
      <c r="D213" s="44" t="s">
        <v>249</v>
      </c>
      <c r="E213" s="29">
        <v>1998</v>
      </c>
      <c r="F213" s="183" t="s">
        <v>52</v>
      </c>
      <c r="G213" s="192" t="s">
        <v>326</v>
      </c>
      <c r="H213" s="26">
        <v>0</v>
      </c>
      <c r="I213" s="26">
        <v>0</v>
      </c>
      <c r="J213" s="26">
        <v>0</v>
      </c>
      <c r="K213" s="26">
        <v>0</v>
      </c>
      <c r="L213" s="25">
        <v>60</v>
      </c>
      <c r="M213" s="25">
        <v>0</v>
      </c>
      <c r="N213" s="25">
        <v>90</v>
      </c>
      <c r="O213" s="72">
        <v>30</v>
      </c>
      <c r="P213" s="72">
        <v>120</v>
      </c>
      <c r="Q213" s="15">
        <v>1290</v>
      </c>
      <c r="R213" s="229">
        <v>1590</v>
      </c>
      <c r="S213" s="15">
        <v>480</v>
      </c>
      <c r="T213" s="15">
        <v>360</v>
      </c>
      <c r="U213" s="15">
        <v>420</v>
      </c>
      <c r="V213" s="15">
        <v>150</v>
      </c>
      <c r="W213" s="15">
        <v>178</v>
      </c>
      <c r="X213" s="7">
        <v>90</v>
      </c>
      <c r="Y213" s="15">
        <v>60</v>
      </c>
      <c r="Z213" s="10">
        <v>0</v>
      </c>
      <c r="AA213" s="9">
        <v>0</v>
      </c>
      <c r="AB213" s="237">
        <f t="shared" si="10"/>
        <v>3328</v>
      </c>
      <c r="AC213" s="265">
        <v>53</v>
      </c>
      <c r="AD213" s="16">
        <v>30</v>
      </c>
      <c r="AE213" s="13" t="s">
        <v>186</v>
      </c>
      <c r="AF213" s="255">
        <v>100</v>
      </c>
      <c r="AG213" s="48">
        <v>3</v>
      </c>
      <c r="AH213" s="48">
        <v>2</v>
      </c>
      <c r="AI213" s="48">
        <v>1</v>
      </c>
      <c r="AJ213" s="12">
        <v>0</v>
      </c>
      <c r="AK213" s="12">
        <v>0</v>
      </c>
      <c r="AL213" s="253">
        <f t="shared" si="11"/>
        <v>106</v>
      </c>
      <c r="AM213" s="16">
        <v>30</v>
      </c>
      <c r="AN213" s="73" t="s">
        <v>198</v>
      </c>
      <c r="AO213" s="9">
        <f>[1]Sheet1!I172</f>
        <v>728</v>
      </c>
      <c r="AP213" s="14">
        <v>0</v>
      </c>
      <c r="AQ213" s="7">
        <f>[1]Sheet1!N172</f>
        <v>2600</v>
      </c>
      <c r="AR213" s="181"/>
    </row>
    <row r="214" spans="1:44" s="103" customFormat="1" ht="13" customHeight="1" x14ac:dyDescent="0.2">
      <c r="A214" s="4">
        <v>207</v>
      </c>
      <c r="B214" s="131">
        <v>143</v>
      </c>
      <c r="C214" s="120" t="s">
        <v>77</v>
      </c>
      <c r="D214" s="44" t="s">
        <v>249</v>
      </c>
      <c r="E214" s="29">
        <v>2001</v>
      </c>
      <c r="F214" s="183" t="s">
        <v>77</v>
      </c>
      <c r="G214" s="192" t="s">
        <v>326</v>
      </c>
      <c r="H214" s="26">
        <v>0</v>
      </c>
      <c r="I214" s="26">
        <v>0</v>
      </c>
      <c r="J214" s="26">
        <v>0</v>
      </c>
      <c r="K214" s="26">
        <v>0</v>
      </c>
      <c r="L214" s="25">
        <v>0</v>
      </c>
      <c r="M214" s="25">
        <v>0</v>
      </c>
      <c r="N214" s="25">
        <v>0</v>
      </c>
      <c r="O214" s="72">
        <v>0</v>
      </c>
      <c r="P214" s="72">
        <v>300</v>
      </c>
      <c r="Q214" s="15">
        <v>870</v>
      </c>
      <c r="R214" s="229">
        <v>1170</v>
      </c>
      <c r="S214" s="15">
        <v>870</v>
      </c>
      <c r="T214" s="15">
        <v>960</v>
      </c>
      <c r="U214" s="15">
        <v>690</v>
      </c>
      <c r="V214" s="15">
        <v>540</v>
      </c>
      <c r="W214" s="15">
        <v>360</v>
      </c>
      <c r="X214" s="7">
        <v>250</v>
      </c>
      <c r="Y214" s="15">
        <v>150</v>
      </c>
      <c r="Z214" s="10">
        <v>60</v>
      </c>
      <c r="AA214" s="9">
        <v>0</v>
      </c>
      <c r="AB214" s="237">
        <f t="shared" si="10"/>
        <v>5050</v>
      </c>
      <c r="AC214" s="265">
        <v>39</v>
      </c>
      <c r="AD214" s="16">
        <v>30</v>
      </c>
      <c r="AE214" s="13" t="s">
        <v>186</v>
      </c>
      <c r="AF214" s="255">
        <v>141</v>
      </c>
      <c r="AG214" s="48">
        <v>12</v>
      </c>
      <c r="AH214" s="48">
        <v>8</v>
      </c>
      <c r="AI214" s="48">
        <v>5</v>
      </c>
      <c r="AJ214" s="12">
        <v>2</v>
      </c>
      <c r="AK214" s="12">
        <v>0</v>
      </c>
      <c r="AL214" s="253">
        <f t="shared" si="11"/>
        <v>168</v>
      </c>
      <c r="AM214" s="16">
        <v>30</v>
      </c>
      <c r="AN214" s="73" t="s">
        <v>198</v>
      </c>
      <c r="AO214" s="9">
        <f>[1]Sheet1!I173+16</f>
        <v>1230</v>
      </c>
      <c r="AP214" s="14">
        <v>0</v>
      </c>
      <c r="AQ214" s="7">
        <f>[1]Sheet1!N173+44</f>
        <v>3820</v>
      </c>
      <c r="AR214" s="181"/>
    </row>
    <row r="215" spans="1:44" s="103" customFormat="1" ht="13" customHeight="1" x14ac:dyDescent="0.2">
      <c r="A215" s="4">
        <v>208</v>
      </c>
      <c r="B215" s="131">
        <v>107</v>
      </c>
      <c r="C215" s="120" t="s">
        <v>53</v>
      </c>
      <c r="D215" s="44" t="s">
        <v>249</v>
      </c>
      <c r="E215" s="29" t="s">
        <v>84</v>
      </c>
      <c r="F215" s="183" t="s">
        <v>53</v>
      </c>
      <c r="G215" s="192" t="s">
        <v>326</v>
      </c>
      <c r="H215" s="26">
        <v>2040</v>
      </c>
      <c r="I215" s="26">
        <v>1860</v>
      </c>
      <c r="J215" s="26">
        <v>1410</v>
      </c>
      <c r="K215" s="26">
        <v>2040</v>
      </c>
      <c r="L215" s="25">
        <v>1680</v>
      </c>
      <c r="M215" s="25">
        <v>1590</v>
      </c>
      <c r="N215" s="25">
        <v>1830</v>
      </c>
      <c r="O215" s="72">
        <v>1710</v>
      </c>
      <c r="P215" s="72">
        <v>1650</v>
      </c>
      <c r="Q215" s="15">
        <v>1560</v>
      </c>
      <c r="R215" s="229">
        <v>17370</v>
      </c>
      <c r="S215" s="15">
        <v>1470</v>
      </c>
      <c r="T215" s="15">
        <v>2130</v>
      </c>
      <c r="U215" s="15">
        <v>2460</v>
      </c>
      <c r="V215" s="15">
        <v>2910</v>
      </c>
      <c r="W215" s="15">
        <v>3020</v>
      </c>
      <c r="X215" s="7">
        <v>4457.5</v>
      </c>
      <c r="Y215" s="15">
        <v>5227</v>
      </c>
      <c r="Z215" s="10">
        <v>5615</v>
      </c>
      <c r="AA215" s="9">
        <v>5900</v>
      </c>
      <c r="AB215" s="237">
        <f t="shared" si="10"/>
        <v>50559.5</v>
      </c>
      <c r="AC215" s="265">
        <v>579</v>
      </c>
      <c r="AD215" s="16">
        <v>30</v>
      </c>
      <c r="AE215" s="13" t="s">
        <v>186</v>
      </c>
      <c r="AF215" s="255">
        <v>878</v>
      </c>
      <c r="AG215" s="48">
        <v>107</v>
      </c>
      <c r="AH215" s="48">
        <v>138</v>
      </c>
      <c r="AI215" s="48">
        <v>172</v>
      </c>
      <c r="AJ215" s="12">
        <v>184</v>
      </c>
      <c r="AK215" s="12">
        <v>180</v>
      </c>
      <c r="AL215" s="253">
        <f t="shared" si="11"/>
        <v>1659</v>
      </c>
      <c r="AM215" s="16">
        <v>30</v>
      </c>
      <c r="AN215" s="73" t="s">
        <v>198</v>
      </c>
      <c r="AO215" s="9">
        <f>SUM(10172+1583)</f>
        <v>11755</v>
      </c>
      <c r="AP215" s="14">
        <v>0</v>
      </c>
      <c r="AQ215" s="7">
        <f>SUM(34488+4317)</f>
        <v>38805</v>
      </c>
      <c r="AR215" s="181"/>
    </row>
    <row r="216" spans="1:44" s="103" customFormat="1" ht="13" customHeight="1" x14ac:dyDescent="0.2">
      <c r="A216" s="4">
        <v>209</v>
      </c>
      <c r="B216" s="131">
        <v>116</v>
      </c>
      <c r="C216" s="120" t="s">
        <v>54</v>
      </c>
      <c r="D216" s="44" t="s">
        <v>249</v>
      </c>
      <c r="E216" s="29" t="s">
        <v>86</v>
      </c>
      <c r="F216" s="183" t="s">
        <v>54</v>
      </c>
      <c r="G216" s="192" t="s">
        <v>326</v>
      </c>
      <c r="H216" s="26">
        <v>1140</v>
      </c>
      <c r="I216" s="26">
        <v>1050</v>
      </c>
      <c r="J216" s="26">
        <v>810</v>
      </c>
      <c r="K216" s="26">
        <v>1230</v>
      </c>
      <c r="L216" s="25">
        <v>1290</v>
      </c>
      <c r="M216" s="25">
        <v>1110</v>
      </c>
      <c r="N216" s="25">
        <v>1080</v>
      </c>
      <c r="O216" s="72">
        <v>870</v>
      </c>
      <c r="P216" s="72">
        <v>780</v>
      </c>
      <c r="Q216" s="15">
        <v>960</v>
      </c>
      <c r="R216" s="229">
        <v>10320</v>
      </c>
      <c r="S216" s="15">
        <v>900</v>
      </c>
      <c r="T216" s="15">
        <v>930</v>
      </c>
      <c r="U216" s="15">
        <v>780</v>
      </c>
      <c r="V216" s="15">
        <v>600</v>
      </c>
      <c r="W216" s="15">
        <v>270</v>
      </c>
      <c r="X216" s="7">
        <v>180</v>
      </c>
      <c r="Y216" s="15">
        <v>150</v>
      </c>
      <c r="Z216" s="10">
        <v>90</v>
      </c>
      <c r="AA216" s="9">
        <v>60</v>
      </c>
      <c r="AB216" s="237">
        <f t="shared" si="10"/>
        <v>14280</v>
      </c>
      <c r="AC216" s="265">
        <v>344</v>
      </c>
      <c r="AD216" s="16">
        <v>30</v>
      </c>
      <c r="AE216" s="13" t="s">
        <v>186</v>
      </c>
      <c r="AF216" s="255">
        <v>451</v>
      </c>
      <c r="AG216" s="48">
        <v>9</v>
      </c>
      <c r="AH216" s="48">
        <v>6</v>
      </c>
      <c r="AI216" s="48">
        <v>5</v>
      </c>
      <c r="AJ216" s="12">
        <v>3</v>
      </c>
      <c r="AK216" s="12">
        <v>2</v>
      </c>
      <c r="AL216" s="253">
        <f t="shared" si="11"/>
        <v>476</v>
      </c>
      <c r="AM216" s="16">
        <v>30</v>
      </c>
      <c r="AN216" s="73" t="s">
        <v>198</v>
      </c>
      <c r="AO216" s="9">
        <f>SUM(2760+16)</f>
        <v>2776</v>
      </c>
      <c r="AP216" s="14">
        <v>0</v>
      </c>
      <c r="AQ216" s="7">
        <f>SUM(11460+44)</f>
        <v>11504</v>
      </c>
      <c r="AR216" s="181"/>
    </row>
    <row r="217" spans="1:44" s="103" customFormat="1" ht="22.5" customHeight="1" x14ac:dyDescent="0.2">
      <c r="A217" s="4">
        <v>210</v>
      </c>
      <c r="B217" s="131">
        <v>146</v>
      </c>
      <c r="C217" s="120" t="s">
        <v>130</v>
      </c>
      <c r="D217" s="44" t="s">
        <v>249</v>
      </c>
      <c r="E217" s="29">
        <v>2002</v>
      </c>
      <c r="F217" s="182" t="s">
        <v>130</v>
      </c>
      <c r="G217" s="192" t="s">
        <v>326</v>
      </c>
      <c r="H217" s="26">
        <v>0</v>
      </c>
      <c r="I217" s="26">
        <v>0</v>
      </c>
      <c r="J217" s="26">
        <v>0</v>
      </c>
      <c r="K217" s="26">
        <v>0</v>
      </c>
      <c r="L217" s="25">
        <v>0</v>
      </c>
      <c r="M217" s="25">
        <v>0</v>
      </c>
      <c r="N217" s="25">
        <v>0</v>
      </c>
      <c r="O217" s="72">
        <v>0</v>
      </c>
      <c r="P217" s="72">
        <v>0</v>
      </c>
      <c r="Q217" s="15">
        <v>1620</v>
      </c>
      <c r="R217" s="229">
        <v>1620</v>
      </c>
      <c r="S217" s="15">
        <v>1740</v>
      </c>
      <c r="T217" s="15">
        <v>2520</v>
      </c>
      <c r="U217" s="15">
        <v>2640</v>
      </c>
      <c r="V217" s="15">
        <v>2730</v>
      </c>
      <c r="W217" s="15">
        <v>2808</v>
      </c>
      <c r="X217" s="15">
        <v>3130</v>
      </c>
      <c r="Y217" s="15">
        <v>3128</v>
      </c>
      <c r="Z217" s="10">
        <v>3570</v>
      </c>
      <c r="AA217" s="9">
        <v>3502.5</v>
      </c>
      <c r="AB217" s="237">
        <f t="shared" si="10"/>
        <v>27388.5</v>
      </c>
      <c r="AC217" s="265">
        <v>54</v>
      </c>
      <c r="AD217" s="16">
        <v>30</v>
      </c>
      <c r="AE217" s="13" t="s">
        <v>186</v>
      </c>
      <c r="AF217" s="255">
        <v>375</v>
      </c>
      <c r="AG217" s="48">
        <v>100</v>
      </c>
      <c r="AH217" s="48">
        <v>103</v>
      </c>
      <c r="AI217" s="48">
        <v>105</v>
      </c>
      <c r="AJ217" s="12">
        <v>115</v>
      </c>
      <c r="AK217" s="12">
        <v>112</v>
      </c>
      <c r="AL217" s="253">
        <f t="shared" si="11"/>
        <v>910</v>
      </c>
      <c r="AM217" s="16">
        <v>30</v>
      </c>
      <c r="AN217" s="73" t="s">
        <v>198</v>
      </c>
      <c r="AO217" s="9">
        <f>SUM(6208+935)</f>
        <v>7143</v>
      </c>
      <c r="AP217" s="14">
        <v>0</v>
      </c>
      <c r="AQ217" s="7">
        <f>SUM(17677+2569)</f>
        <v>20246</v>
      </c>
      <c r="AR217" s="181"/>
    </row>
    <row r="218" spans="1:44" s="104" customFormat="1" ht="13" customHeight="1" x14ac:dyDescent="0.2">
      <c r="A218" s="4">
        <v>211</v>
      </c>
      <c r="B218" s="131"/>
      <c r="C218" s="203" t="s">
        <v>241</v>
      </c>
      <c r="D218" s="204">
        <v>504.851</v>
      </c>
      <c r="E218" s="205">
        <v>2008</v>
      </c>
      <c r="F218" s="206" t="s">
        <v>329</v>
      </c>
      <c r="G218" s="207" t="s">
        <v>330</v>
      </c>
      <c r="H218" s="208">
        <v>0</v>
      </c>
      <c r="I218" s="208">
        <v>0</v>
      </c>
      <c r="J218" s="208">
        <v>0</v>
      </c>
      <c r="K218" s="209">
        <v>0</v>
      </c>
      <c r="L218" s="208">
        <v>0</v>
      </c>
      <c r="M218" s="208">
        <v>0</v>
      </c>
      <c r="N218" s="208">
        <v>0</v>
      </c>
      <c r="O218" s="72">
        <v>0</v>
      </c>
      <c r="P218" s="208">
        <v>0</v>
      </c>
      <c r="Q218" s="210">
        <v>0</v>
      </c>
      <c r="R218" s="232">
        <v>0</v>
      </c>
      <c r="S218" s="211">
        <v>0</v>
      </c>
      <c r="T218" s="210">
        <v>0</v>
      </c>
      <c r="U218" s="210">
        <v>0</v>
      </c>
      <c r="V218" s="210">
        <v>0</v>
      </c>
      <c r="W218" s="15">
        <v>212062.8</v>
      </c>
      <c r="X218" s="15">
        <v>0</v>
      </c>
      <c r="Y218" s="15">
        <v>4770970</v>
      </c>
      <c r="Z218" s="10">
        <v>11717864</v>
      </c>
      <c r="AA218" s="9">
        <v>16480759.16</v>
      </c>
      <c r="AB218" s="237">
        <f t="shared" si="10"/>
        <v>33181655.960000001</v>
      </c>
      <c r="AC218" s="267" t="s">
        <v>76</v>
      </c>
      <c r="AD218" s="212" t="s">
        <v>78</v>
      </c>
      <c r="AE218" s="212" t="s">
        <v>78</v>
      </c>
      <c r="AF218" s="257">
        <v>0</v>
      </c>
      <c r="AG218" s="213">
        <v>1312</v>
      </c>
      <c r="AH218" s="213">
        <v>0</v>
      </c>
      <c r="AI218" s="213">
        <v>21702</v>
      </c>
      <c r="AJ218" s="12">
        <v>38422</v>
      </c>
      <c r="AK218" s="12">
        <v>79939</v>
      </c>
      <c r="AL218" s="253">
        <f t="shared" si="11"/>
        <v>141375</v>
      </c>
      <c r="AM218" s="214" t="s">
        <v>301</v>
      </c>
      <c r="AN218" s="215" t="s">
        <v>78</v>
      </c>
      <c r="AO218" s="216">
        <f>SUM(541200+1259580+1746914+W218)</f>
        <v>3759756.8</v>
      </c>
      <c r="AP218" s="211">
        <f>SUM(6046840+4356673+1660081)</f>
        <v>12063594</v>
      </c>
      <c r="AQ218" s="211">
        <f>SUM(2569689+6101611+8687005)</f>
        <v>17358305</v>
      </c>
      <c r="AR218" s="116"/>
    </row>
    <row r="219" spans="1:44" s="103" customFormat="1" ht="13" customHeight="1" x14ac:dyDescent="0.2">
      <c r="A219" s="4">
        <v>212</v>
      </c>
      <c r="B219" s="131">
        <v>29</v>
      </c>
      <c r="C219" s="120" t="s">
        <v>55</v>
      </c>
      <c r="D219" s="17" t="s">
        <v>270</v>
      </c>
      <c r="E219" s="29">
        <v>1991</v>
      </c>
      <c r="F219" s="183" t="s">
        <v>331</v>
      </c>
      <c r="G219" s="192" t="s">
        <v>358</v>
      </c>
      <c r="H219" s="26">
        <v>24550</v>
      </c>
      <c r="I219" s="26">
        <v>25377</v>
      </c>
      <c r="J219" s="26">
        <v>24390</v>
      </c>
      <c r="K219" s="26">
        <v>26628</v>
      </c>
      <c r="L219" s="25">
        <v>42412</v>
      </c>
      <c r="M219" s="25">
        <v>33147</v>
      </c>
      <c r="N219" s="25">
        <v>623</v>
      </c>
      <c r="O219" s="72">
        <v>43</v>
      </c>
      <c r="P219" s="72">
        <v>0</v>
      </c>
      <c r="Q219" s="15">
        <v>0</v>
      </c>
      <c r="R219" s="229">
        <v>177170</v>
      </c>
      <c r="S219" s="15">
        <v>0</v>
      </c>
      <c r="T219" s="15">
        <v>40</v>
      </c>
      <c r="U219" s="15">
        <v>0</v>
      </c>
      <c r="V219" s="15">
        <v>0</v>
      </c>
      <c r="W219" s="15">
        <v>0</v>
      </c>
      <c r="X219" s="7">
        <v>0</v>
      </c>
      <c r="Y219" s="15">
        <v>0</v>
      </c>
      <c r="Z219" s="10">
        <v>0</v>
      </c>
      <c r="AA219" s="9">
        <v>0</v>
      </c>
      <c r="AB219" s="237">
        <f t="shared" si="10"/>
        <v>177210</v>
      </c>
      <c r="AC219" s="265" t="s">
        <v>76</v>
      </c>
      <c r="AD219" s="16">
        <v>0</v>
      </c>
      <c r="AE219" s="13" t="s">
        <v>189</v>
      </c>
      <c r="AF219" s="255" t="s">
        <v>76</v>
      </c>
      <c r="AG219" s="48">
        <v>8584</v>
      </c>
      <c r="AH219" s="48">
        <v>7253</v>
      </c>
      <c r="AI219" s="48">
        <v>7766</v>
      </c>
      <c r="AJ219" s="12">
        <v>8102</v>
      </c>
      <c r="AK219" s="12">
        <v>8138</v>
      </c>
      <c r="AL219" s="253">
        <f t="shared" si="11"/>
        <v>39843</v>
      </c>
      <c r="AM219" s="16">
        <v>0</v>
      </c>
      <c r="AN219" s="73" t="s">
        <v>78</v>
      </c>
      <c r="AO219" s="9">
        <f>SUM(AB219)</f>
        <v>177210</v>
      </c>
      <c r="AP219" s="14">
        <v>0</v>
      </c>
      <c r="AQ219" s="7">
        <f>[1]Sheet1!N177</f>
        <v>0</v>
      </c>
      <c r="AR219" s="181"/>
    </row>
    <row r="220" spans="1:44" s="104" customFormat="1" ht="13" customHeight="1" x14ac:dyDescent="0.2">
      <c r="A220" s="4">
        <v>213</v>
      </c>
      <c r="B220" s="131">
        <v>30</v>
      </c>
      <c r="C220" s="120" t="s">
        <v>521</v>
      </c>
      <c r="D220" s="17" t="s">
        <v>296</v>
      </c>
      <c r="E220" s="29">
        <v>1980</v>
      </c>
      <c r="F220" s="190" t="s">
        <v>331</v>
      </c>
      <c r="G220" s="217" t="s">
        <v>399</v>
      </c>
      <c r="H220" s="26">
        <v>7544</v>
      </c>
      <c r="I220" s="26">
        <v>7116</v>
      </c>
      <c r="J220" s="26">
        <v>5840</v>
      </c>
      <c r="K220" s="26">
        <v>6234.55</v>
      </c>
      <c r="L220" s="25">
        <v>6864</v>
      </c>
      <c r="M220" s="25">
        <v>7401</v>
      </c>
      <c r="N220" s="25">
        <v>9662</v>
      </c>
      <c r="O220" s="72">
        <v>6162</v>
      </c>
      <c r="P220" s="72">
        <v>6573</v>
      </c>
      <c r="Q220" s="15">
        <v>6955</v>
      </c>
      <c r="R220" s="229">
        <v>70351.55</v>
      </c>
      <c r="S220" s="15">
        <v>7305</v>
      </c>
      <c r="T220" s="15">
        <v>7597</v>
      </c>
      <c r="U220" s="15">
        <v>7275</v>
      </c>
      <c r="V220" s="15">
        <v>8152</v>
      </c>
      <c r="W220" s="15">
        <v>8436</v>
      </c>
      <c r="X220" s="7">
        <f>SUM(10484+32)</f>
        <v>10516</v>
      </c>
      <c r="Y220" s="15">
        <v>11464</v>
      </c>
      <c r="Z220" s="10">
        <v>12344</v>
      </c>
      <c r="AA220" s="164">
        <v>184</v>
      </c>
      <c r="AB220" s="237">
        <f t="shared" si="10"/>
        <v>143624.54999999999</v>
      </c>
      <c r="AC220" s="265">
        <v>17587.887500000001</v>
      </c>
      <c r="AD220" s="16">
        <v>4</v>
      </c>
      <c r="AE220" s="13" t="s">
        <v>90</v>
      </c>
      <c r="AF220" s="255">
        <v>25170.137500000001</v>
      </c>
      <c r="AG220" s="48">
        <v>2227</v>
      </c>
      <c r="AH220" s="48">
        <v>2422</v>
      </c>
      <c r="AI220" s="48">
        <v>2671</v>
      </c>
      <c r="AJ220" s="12">
        <v>2864</v>
      </c>
      <c r="AK220" s="12">
        <v>3027</v>
      </c>
      <c r="AL220" s="253">
        <f t="shared" si="11"/>
        <v>38381.137499999997</v>
      </c>
      <c r="AM220" s="16">
        <v>4</v>
      </c>
      <c r="AN220" s="73" t="s">
        <v>90</v>
      </c>
      <c r="AO220" s="9">
        <f>SUM(AB220)</f>
        <v>143624.54999999999</v>
      </c>
      <c r="AP220" s="14">
        <v>0</v>
      </c>
      <c r="AQ220" s="7">
        <f>[1]Sheet1!N178</f>
        <v>0</v>
      </c>
      <c r="AR220" s="116"/>
    </row>
    <row r="221" spans="1:44" s="103" customFormat="1" ht="13" customHeight="1" x14ac:dyDescent="0.2">
      <c r="A221" s="4">
        <v>214</v>
      </c>
      <c r="B221" s="131">
        <v>128</v>
      </c>
      <c r="C221" s="120" t="s">
        <v>109</v>
      </c>
      <c r="D221" s="44" t="s">
        <v>249</v>
      </c>
      <c r="E221" s="29">
        <v>1993</v>
      </c>
      <c r="F221" s="183" t="s">
        <v>395</v>
      </c>
      <c r="G221" s="192" t="s">
        <v>326</v>
      </c>
      <c r="H221" s="26">
        <v>450</v>
      </c>
      <c r="I221" s="26">
        <v>540</v>
      </c>
      <c r="J221" s="26">
        <v>690</v>
      </c>
      <c r="K221" s="26">
        <v>990</v>
      </c>
      <c r="L221" s="25">
        <v>1140</v>
      </c>
      <c r="M221" s="25">
        <v>1200</v>
      </c>
      <c r="N221" s="25">
        <v>1530</v>
      </c>
      <c r="O221" s="72">
        <v>1560</v>
      </c>
      <c r="P221" s="72">
        <v>1710</v>
      </c>
      <c r="Q221" s="15">
        <v>1860</v>
      </c>
      <c r="R221" s="229">
        <v>11670</v>
      </c>
      <c r="S221" s="15">
        <v>2070</v>
      </c>
      <c r="T221" s="15">
        <v>2340</v>
      </c>
      <c r="U221" s="15">
        <v>2040</v>
      </c>
      <c r="V221" s="15">
        <v>2160</v>
      </c>
      <c r="W221" s="15">
        <v>2240</v>
      </c>
      <c r="X221" s="7">
        <f>SUM(22+2995)</f>
        <v>3017</v>
      </c>
      <c r="Y221" s="15">
        <v>3004</v>
      </c>
      <c r="Z221" s="10">
        <v>3223</v>
      </c>
      <c r="AA221" s="9">
        <v>2925</v>
      </c>
      <c r="AB221" s="237">
        <f t="shared" si="10"/>
        <v>34689</v>
      </c>
      <c r="AC221" s="265">
        <v>389</v>
      </c>
      <c r="AD221" s="16">
        <v>30</v>
      </c>
      <c r="AE221" s="13" t="s">
        <v>186</v>
      </c>
      <c r="AF221" s="255">
        <v>676</v>
      </c>
      <c r="AG221" s="48">
        <v>77</v>
      </c>
      <c r="AH221" s="48">
        <v>99</v>
      </c>
      <c r="AI221" s="48">
        <v>98</v>
      </c>
      <c r="AJ221" s="12">
        <v>98</v>
      </c>
      <c r="AK221" s="12">
        <v>96</v>
      </c>
      <c r="AL221" s="253">
        <f t="shared" si="11"/>
        <v>1144</v>
      </c>
      <c r="AM221" s="16">
        <v>30</v>
      </c>
      <c r="AN221" s="73" t="s">
        <v>198</v>
      </c>
      <c r="AO221" s="9">
        <f>SUM(7244+781)</f>
        <v>8025</v>
      </c>
      <c r="AP221" s="14">
        <v>0</v>
      </c>
      <c r="AQ221" s="7">
        <f>SUM(24519+2145)</f>
        <v>26664</v>
      </c>
      <c r="AR221" s="181"/>
    </row>
    <row r="222" spans="1:44" s="103" customFormat="1" ht="13" customHeight="1" x14ac:dyDescent="0.2">
      <c r="A222" s="4">
        <v>215</v>
      </c>
      <c r="B222" s="131">
        <v>164</v>
      </c>
      <c r="C222" s="120" t="s">
        <v>127</v>
      </c>
      <c r="D222" s="17" t="s">
        <v>263</v>
      </c>
      <c r="E222" s="29">
        <v>2002</v>
      </c>
      <c r="F222" s="183" t="s">
        <v>398</v>
      </c>
      <c r="G222" s="192" t="s">
        <v>334</v>
      </c>
      <c r="H222" s="26">
        <v>0</v>
      </c>
      <c r="I222" s="26">
        <v>0</v>
      </c>
      <c r="J222" s="26">
        <v>0</v>
      </c>
      <c r="K222" s="26">
        <v>0</v>
      </c>
      <c r="L222" s="25">
        <v>0</v>
      </c>
      <c r="M222" s="25">
        <v>0</v>
      </c>
      <c r="N222" s="25">
        <v>0</v>
      </c>
      <c r="O222" s="72">
        <v>0</v>
      </c>
      <c r="P222" s="72">
        <v>35050</v>
      </c>
      <c r="Q222" s="15">
        <v>66845</v>
      </c>
      <c r="R222" s="229">
        <v>101895</v>
      </c>
      <c r="S222" s="15">
        <v>93330</v>
      </c>
      <c r="T222" s="15">
        <v>90750</v>
      </c>
      <c r="U222" s="15">
        <v>81160</v>
      </c>
      <c r="V222" s="15">
        <v>83860</v>
      </c>
      <c r="W222" s="15">
        <v>84653</v>
      </c>
      <c r="X222" s="7">
        <f>SUM(167.49+99415)</f>
        <v>99582.49</v>
      </c>
      <c r="Y222" s="15">
        <v>116070</v>
      </c>
      <c r="Z222" s="10">
        <v>121695</v>
      </c>
      <c r="AA222" s="9">
        <v>126170.3</v>
      </c>
      <c r="AB222" s="237">
        <f t="shared" si="10"/>
        <v>999165.79</v>
      </c>
      <c r="AC222" s="265">
        <v>4075.8</v>
      </c>
      <c r="AD222" s="16">
        <v>25</v>
      </c>
      <c r="AE222" s="13" t="s">
        <v>188</v>
      </c>
      <c r="AF222" s="255">
        <v>15712.466666666667</v>
      </c>
      <c r="AG222" s="48">
        <v>2507</v>
      </c>
      <c r="AH222" s="48">
        <v>3228</v>
      </c>
      <c r="AI222" s="48">
        <v>3228</v>
      </c>
      <c r="AJ222" s="12">
        <v>3960</v>
      </c>
      <c r="AK222" s="12">
        <v>3981</v>
      </c>
      <c r="AL222" s="253">
        <f t="shared" si="11"/>
        <v>32616.466666666667</v>
      </c>
      <c r="AM222" s="16">
        <v>30</v>
      </c>
      <c r="AN222" s="73" t="s">
        <v>198</v>
      </c>
      <c r="AO222" s="9">
        <f>SUM(233514+33647)</f>
        <v>267161</v>
      </c>
      <c r="AP222" s="14">
        <v>0</v>
      </c>
      <c r="AQ222" s="7">
        <f>SUM(639482+92523)</f>
        <v>732005</v>
      </c>
      <c r="AR222" s="181"/>
    </row>
    <row r="223" spans="1:44" s="103" customFormat="1" ht="13" customHeight="1" x14ac:dyDescent="0.2">
      <c r="A223" s="4">
        <v>216</v>
      </c>
      <c r="B223" s="131"/>
      <c r="C223" s="120" t="s">
        <v>504</v>
      </c>
      <c r="D223" s="17">
        <v>504.31700000000001</v>
      </c>
      <c r="E223" s="29">
        <v>2012</v>
      </c>
      <c r="F223" s="183" t="s">
        <v>331</v>
      </c>
      <c r="G223" s="183" t="s">
        <v>358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227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0">
        <v>0</v>
      </c>
      <c r="AA223" s="9">
        <v>0</v>
      </c>
      <c r="AB223" s="237">
        <f t="shared" si="10"/>
        <v>0</v>
      </c>
      <c r="AC223" s="265">
        <v>0</v>
      </c>
      <c r="AD223" s="16">
        <v>0</v>
      </c>
      <c r="AE223" s="13" t="s">
        <v>78</v>
      </c>
      <c r="AF223" s="255">
        <v>0</v>
      </c>
      <c r="AG223" s="48">
        <v>0</v>
      </c>
      <c r="AH223" s="48">
        <v>0</v>
      </c>
      <c r="AI223" s="48">
        <v>0</v>
      </c>
      <c r="AJ223" s="12">
        <v>0</v>
      </c>
      <c r="AK223" s="12">
        <v>237</v>
      </c>
      <c r="AL223" s="253">
        <f t="shared" si="11"/>
        <v>237</v>
      </c>
      <c r="AM223" s="16">
        <v>0</v>
      </c>
      <c r="AN223" s="73" t="s">
        <v>78</v>
      </c>
      <c r="AO223" s="9">
        <v>0</v>
      </c>
      <c r="AP223" s="14">
        <v>0</v>
      </c>
      <c r="AQ223" s="7">
        <v>0</v>
      </c>
      <c r="AR223" s="181"/>
    </row>
    <row r="224" spans="1:44" s="103" customFormat="1" ht="13" customHeight="1" x14ac:dyDescent="0.2">
      <c r="A224" s="4">
        <v>217</v>
      </c>
      <c r="B224" s="131">
        <v>50</v>
      </c>
      <c r="C224" s="120" t="s">
        <v>99</v>
      </c>
      <c r="D224" s="17" t="s">
        <v>269</v>
      </c>
      <c r="E224" s="29">
        <v>1993</v>
      </c>
      <c r="F224" s="183" t="s">
        <v>331</v>
      </c>
      <c r="G224" s="192" t="s">
        <v>358</v>
      </c>
      <c r="H224" s="26">
        <v>40</v>
      </c>
      <c r="I224" s="26">
        <v>820</v>
      </c>
      <c r="J224" s="26">
        <v>1410</v>
      </c>
      <c r="K224" s="26">
        <v>1915</v>
      </c>
      <c r="L224" s="25">
        <v>2450</v>
      </c>
      <c r="M224" s="25">
        <v>2630</v>
      </c>
      <c r="N224" s="25">
        <v>68</v>
      </c>
      <c r="O224" s="72">
        <v>9240</v>
      </c>
      <c r="P224" s="72">
        <v>0</v>
      </c>
      <c r="Q224" s="15">
        <v>0</v>
      </c>
      <c r="R224" s="229">
        <v>18573</v>
      </c>
      <c r="S224" s="15">
        <v>357.3</v>
      </c>
      <c r="T224" s="15">
        <v>0</v>
      </c>
      <c r="U224" s="15">
        <v>0</v>
      </c>
      <c r="V224" s="15">
        <v>0</v>
      </c>
      <c r="W224" s="15">
        <v>0</v>
      </c>
      <c r="X224" s="7">
        <v>0</v>
      </c>
      <c r="Y224" s="15">
        <v>0</v>
      </c>
      <c r="Z224" s="10">
        <v>0</v>
      </c>
      <c r="AA224" s="9">
        <v>0</v>
      </c>
      <c r="AB224" s="237">
        <f t="shared" si="10"/>
        <v>18930.3</v>
      </c>
      <c r="AC224" s="265" t="s">
        <v>76</v>
      </c>
      <c r="AD224" s="16">
        <v>0</v>
      </c>
      <c r="AE224" s="13" t="s">
        <v>189</v>
      </c>
      <c r="AF224" s="255" t="s">
        <v>76</v>
      </c>
      <c r="AG224" s="48">
        <v>1030</v>
      </c>
      <c r="AH224" s="48">
        <v>782</v>
      </c>
      <c r="AI224" s="48">
        <v>758</v>
      </c>
      <c r="AJ224" s="12">
        <v>726</v>
      </c>
      <c r="AK224" s="12">
        <v>654</v>
      </c>
      <c r="AL224" s="253">
        <f t="shared" si="11"/>
        <v>3950</v>
      </c>
      <c r="AM224" s="16">
        <v>0</v>
      </c>
      <c r="AN224" s="73" t="s">
        <v>90</v>
      </c>
      <c r="AO224" s="9">
        <f>SUM(AB224)</f>
        <v>18930.3</v>
      </c>
      <c r="AP224" s="14">
        <v>0</v>
      </c>
      <c r="AQ224" s="7">
        <f>[1]Sheet1!N181</f>
        <v>0</v>
      </c>
      <c r="AR224" s="181"/>
    </row>
    <row r="225" spans="1:44" s="103" customFormat="1" ht="22.5" customHeight="1" x14ac:dyDescent="0.2">
      <c r="A225" s="4">
        <v>218</v>
      </c>
      <c r="B225" s="131">
        <v>176</v>
      </c>
      <c r="C225" s="120" t="s">
        <v>178</v>
      </c>
      <c r="D225" s="17" t="s">
        <v>255</v>
      </c>
      <c r="E225" s="29">
        <v>2001</v>
      </c>
      <c r="F225" s="183" t="s">
        <v>341</v>
      </c>
      <c r="G225" s="192" t="s">
        <v>443</v>
      </c>
      <c r="H225" s="26">
        <v>0</v>
      </c>
      <c r="I225" s="26">
        <v>0</v>
      </c>
      <c r="J225" s="26">
        <v>0</v>
      </c>
      <c r="K225" s="26">
        <v>0</v>
      </c>
      <c r="L225" s="25">
        <v>0</v>
      </c>
      <c r="M225" s="25">
        <v>0</v>
      </c>
      <c r="N225" s="25">
        <v>0</v>
      </c>
      <c r="O225" s="72">
        <v>30</v>
      </c>
      <c r="P225" s="72">
        <v>1170</v>
      </c>
      <c r="Q225" s="15">
        <v>1290</v>
      </c>
      <c r="R225" s="229">
        <v>2490</v>
      </c>
      <c r="S225" s="15">
        <v>1560</v>
      </c>
      <c r="T225" s="15">
        <v>1230</v>
      </c>
      <c r="U225" s="15">
        <v>930</v>
      </c>
      <c r="V225" s="15">
        <v>810</v>
      </c>
      <c r="W225" s="15">
        <v>700</v>
      </c>
      <c r="X225" s="7">
        <v>702.5</v>
      </c>
      <c r="Y225" s="15">
        <v>893</v>
      </c>
      <c r="Z225" s="10">
        <v>694</v>
      </c>
      <c r="AA225" s="9">
        <v>517.5</v>
      </c>
      <c r="AB225" s="237">
        <f t="shared" si="10"/>
        <v>10527</v>
      </c>
      <c r="AC225" s="265">
        <v>83</v>
      </c>
      <c r="AD225" s="16">
        <v>30</v>
      </c>
      <c r="AE225" s="13" t="s">
        <v>186</v>
      </c>
      <c r="AF225" s="255">
        <v>234</v>
      </c>
      <c r="AG225" s="48">
        <v>26</v>
      </c>
      <c r="AH225" s="48">
        <v>22</v>
      </c>
      <c r="AI225" s="48">
        <v>27</v>
      </c>
      <c r="AJ225" s="12">
        <v>22</v>
      </c>
      <c r="AK225" s="12">
        <v>17</v>
      </c>
      <c r="AL225" s="253">
        <f t="shared" si="11"/>
        <v>348</v>
      </c>
      <c r="AM225" s="16">
        <v>30</v>
      </c>
      <c r="AN225" s="73" t="s">
        <v>198</v>
      </c>
      <c r="AO225" s="9">
        <f>SUM(2420+139)</f>
        <v>2559</v>
      </c>
      <c r="AP225" s="14">
        <v>0</v>
      </c>
      <c r="AQ225" s="7">
        <f>SUM(7588+380)</f>
        <v>7968</v>
      </c>
      <c r="AR225" s="181"/>
    </row>
    <row r="226" spans="1:44" s="103" customFormat="1" ht="27.55" customHeight="1" thickBot="1" x14ac:dyDescent="0.25">
      <c r="A226" s="4">
        <v>219</v>
      </c>
      <c r="B226" s="131">
        <v>186</v>
      </c>
      <c r="C226" s="120" t="s">
        <v>128</v>
      </c>
      <c r="D226" s="44" t="s">
        <v>278</v>
      </c>
      <c r="E226" s="29">
        <v>1999</v>
      </c>
      <c r="F226" s="192" t="s">
        <v>396</v>
      </c>
      <c r="G226" s="192" t="s">
        <v>444</v>
      </c>
      <c r="H226" s="26">
        <v>0</v>
      </c>
      <c r="I226" s="26">
        <v>0</v>
      </c>
      <c r="J226" s="26">
        <v>0</v>
      </c>
      <c r="K226" s="26">
        <v>0</v>
      </c>
      <c r="L226" s="25">
        <v>0</v>
      </c>
      <c r="M226" s="25">
        <v>0</v>
      </c>
      <c r="N226" s="25">
        <v>25860</v>
      </c>
      <c r="O226" s="72">
        <v>18420</v>
      </c>
      <c r="P226" s="72">
        <v>28050</v>
      </c>
      <c r="Q226" s="72">
        <v>31135</v>
      </c>
      <c r="R226" s="233">
        <v>103465</v>
      </c>
      <c r="S226" s="72">
        <v>30360</v>
      </c>
      <c r="T226" s="72">
        <v>28980</v>
      </c>
      <c r="U226" s="72">
        <v>25050</v>
      </c>
      <c r="V226" s="72">
        <v>24810</v>
      </c>
      <c r="W226" s="72">
        <v>24543</v>
      </c>
      <c r="X226" s="7">
        <f>SUM(52+26555)</f>
        <v>26607</v>
      </c>
      <c r="Y226" s="15">
        <v>27752</v>
      </c>
      <c r="Z226" s="10">
        <v>25133</v>
      </c>
      <c r="AA226" s="9">
        <v>23005</v>
      </c>
      <c r="AB226" s="237">
        <f t="shared" si="10"/>
        <v>339705</v>
      </c>
      <c r="AC226" s="268">
        <v>3448.8333333333335</v>
      </c>
      <c r="AD226" s="197">
        <v>30</v>
      </c>
      <c r="AE226" s="73" t="s">
        <v>186</v>
      </c>
      <c r="AF226" s="258">
        <v>7088.8333333333339</v>
      </c>
      <c r="AG226" s="198">
        <v>896</v>
      </c>
      <c r="AH226" s="48">
        <v>861</v>
      </c>
      <c r="AI226" s="48">
        <v>876</v>
      </c>
      <c r="AJ226" s="12">
        <v>807</v>
      </c>
      <c r="AK226" s="12">
        <v>719</v>
      </c>
      <c r="AL226" s="253">
        <f t="shared" si="11"/>
        <v>11247.833333333334</v>
      </c>
      <c r="AM226" s="197">
        <v>30</v>
      </c>
      <c r="AN226" s="73" t="s">
        <v>198</v>
      </c>
      <c r="AO226" s="9">
        <f>SUM(74108+6135)</f>
        <v>80243</v>
      </c>
      <c r="AP226" s="157">
        <v>0</v>
      </c>
      <c r="AQ226" s="155">
        <f>SUM(242592+16870)</f>
        <v>259462</v>
      </c>
      <c r="AR226" s="181"/>
    </row>
    <row r="227" spans="1:44" ht="14.4" thickTop="1" thickBot="1" x14ac:dyDescent="0.25">
      <c r="A227" s="4"/>
      <c r="B227" s="170"/>
      <c r="C227" s="130" t="s">
        <v>13</v>
      </c>
      <c r="D227" s="129"/>
      <c r="E227" s="128"/>
      <c r="F227" s="106"/>
      <c r="G227" s="106"/>
      <c r="H227" s="105">
        <f t="shared" ref="H227:X227" si="12">SUM(H7:H226)</f>
        <v>3343396.31</v>
      </c>
      <c r="I227" s="74">
        <f t="shared" si="12"/>
        <v>3828000.44</v>
      </c>
      <c r="J227" s="74">
        <f t="shared" si="12"/>
        <v>2756996.46</v>
      </c>
      <c r="K227" s="74">
        <f t="shared" si="12"/>
        <v>3739826.7499999995</v>
      </c>
      <c r="L227" s="74">
        <f t="shared" si="12"/>
        <v>4825589.24</v>
      </c>
      <c r="M227" s="74">
        <f t="shared" si="12"/>
        <v>5295288</v>
      </c>
      <c r="N227" s="74">
        <f t="shared" si="12"/>
        <v>5914789</v>
      </c>
      <c r="O227" s="74">
        <f t="shared" si="12"/>
        <v>6297545.6600000001</v>
      </c>
      <c r="P227" s="172">
        <f t="shared" si="12"/>
        <v>7027688.8999999994</v>
      </c>
      <c r="Q227" s="174">
        <f t="shared" si="12"/>
        <v>7468866</v>
      </c>
      <c r="R227" s="175">
        <f t="shared" si="12"/>
        <v>50497776.75999999</v>
      </c>
      <c r="S227" s="175">
        <f t="shared" si="12"/>
        <v>8228873.1099999994</v>
      </c>
      <c r="T227" s="175">
        <f t="shared" si="12"/>
        <v>8528107.6900000013</v>
      </c>
      <c r="U227" s="175">
        <f t="shared" si="12"/>
        <v>8158544.0999999996</v>
      </c>
      <c r="V227" s="175">
        <f t="shared" si="12"/>
        <v>8759854.2899999991</v>
      </c>
      <c r="W227" s="176">
        <f t="shared" si="12"/>
        <v>10659741.800000001</v>
      </c>
      <c r="X227" s="173">
        <f t="shared" si="12"/>
        <v>11482277.750000002</v>
      </c>
      <c r="Y227" s="74">
        <f>SUM(Y9:Y226)</f>
        <v>16221782</v>
      </c>
      <c r="Z227" s="74">
        <f>SUM(Z8:Z226)</f>
        <v>22293382.090000004</v>
      </c>
      <c r="AA227" s="74">
        <f>SUM(AA8:AA226)</f>
        <v>26143025.290000003</v>
      </c>
      <c r="AB227" s="74">
        <f>SUM(AB8:AB226)</f>
        <v>170973364.88</v>
      </c>
      <c r="AC227" s="249">
        <f>SUM(AC9:AC226)</f>
        <v>1464836.1873642853</v>
      </c>
      <c r="AD227" s="75"/>
      <c r="AE227" s="75"/>
      <c r="AF227" s="251">
        <f>SUM(AF9:AF226)</f>
        <v>2149113.4521642863</v>
      </c>
      <c r="AG227" s="76">
        <f>SUM(AG9:AG226)</f>
        <v>431401</v>
      </c>
      <c r="AH227" s="76">
        <f>SUM(AH9:AH226)</f>
        <v>501384</v>
      </c>
      <c r="AI227" s="76">
        <f>SUM(AI9:AI226)</f>
        <v>590748</v>
      </c>
      <c r="AJ227" s="76">
        <f>SUM(AJ8:AJ226)</f>
        <v>658995</v>
      </c>
      <c r="AK227" s="76">
        <f>SUM(AK8:AK226)</f>
        <v>743140</v>
      </c>
      <c r="AL227" s="271">
        <f>SUM(AL8:AL226)</f>
        <v>5074781.4521642849</v>
      </c>
      <c r="AM227" s="201"/>
      <c r="AN227" s="200"/>
      <c r="AO227" s="74">
        <f>SUM(AO8:AO226)</f>
        <v>41368144.167499989</v>
      </c>
      <c r="AP227" s="74">
        <f>SUM(AP8:AP226)</f>
        <v>79574817</v>
      </c>
      <c r="AQ227" s="74">
        <f>SUM(AQ8:AQ226)</f>
        <v>50030421.5625</v>
      </c>
      <c r="AR227" s="193"/>
    </row>
    <row r="228" spans="1:44" x14ac:dyDescent="0.2">
      <c r="A228" s="4"/>
      <c r="B228" s="55"/>
      <c r="C228" s="77" t="s">
        <v>300</v>
      </c>
      <c r="D228" s="78"/>
      <c r="E228" s="79"/>
      <c r="F228" s="100"/>
      <c r="G228" s="100"/>
      <c r="H228" s="80"/>
      <c r="I228" s="81">
        <f>(I227-H227)/H227</f>
        <v>0.14494366957053914</v>
      </c>
      <c r="J228" s="119">
        <f t="shared" ref="J228:W228" si="13">(J227-I227)/I227</f>
        <v>-0.27978157181194052</v>
      </c>
      <c r="K228" s="81">
        <f t="shared" si="13"/>
        <v>0.35648587303590501</v>
      </c>
      <c r="L228" s="81">
        <f t="shared" si="13"/>
        <v>0.29032427504830294</v>
      </c>
      <c r="M228" s="81">
        <f t="shared" si="13"/>
        <v>9.7335006491352294E-2</v>
      </c>
      <c r="N228" s="81">
        <f t="shared" si="13"/>
        <v>0.116990992746759</v>
      </c>
      <c r="O228" s="81">
        <f t="shared" si="13"/>
        <v>6.4711802906240637E-2</v>
      </c>
      <c r="P228" s="81">
        <f t="shared" si="13"/>
        <v>0.11594092038707017</v>
      </c>
      <c r="Q228" s="81">
        <f t="shared" si="13"/>
        <v>6.2776982060204822E-2</v>
      </c>
      <c r="R228" s="82"/>
      <c r="S228" s="81">
        <f>(S227-Q227)/Q227</f>
        <v>0.10175669372030498</v>
      </c>
      <c r="T228" s="81">
        <f t="shared" si="13"/>
        <v>3.6363980340924466E-2</v>
      </c>
      <c r="U228" s="119">
        <f t="shared" si="13"/>
        <v>-4.3334770553302156E-2</v>
      </c>
      <c r="V228" s="81">
        <f t="shared" si="13"/>
        <v>7.3703124311113241E-2</v>
      </c>
      <c r="W228" s="81">
        <f t="shared" si="13"/>
        <v>0.21688574342713204</v>
      </c>
      <c r="X228" s="81">
        <f>(X227-W227)/W227</f>
        <v>7.7162839910437708E-2</v>
      </c>
      <c r="Y228" s="81">
        <f>(Y227-X227)/X227</f>
        <v>0.41276690506811659</v>
      </c>
      <c r="Z228" s="81">
        <f>(Z227-Y227)/Y227</f>
        <v>0.37428687489450935</v>
      </c>
      <c r="AA228" s="81">
        <f>(AA227-Z227)/Z227</f>
        <v>0.17268098597416534</v>
      </c>
      <c r="AB228" s="80"/>
      <c r="AC228" s="250"/>
      <c r="AD228" s="80"/>
      <c r="AE228" s="80"/>
      <c r="AF228" s="250"/>
      <c r="AG228" s="148"/>
      <c r="AH228" s="299">
        <f>SUM(AH227-AG227)/AG227</f>
        <v>0.16222261886272865</v>
      </c>
      <c r="AI228" s="299">
        <f>SUM(AI227-AH227)/AH227</f>
        <v>0.17823464649849216</v>
      </c>
      <c r="AJ228" s="299">
        <f>SUM(AJ227-AI227)/AI227</f>
        <v>0.11552641735562372</v>
      </c>
      <c r="AK228" s="300">
        <f>SUM(AK227-AJ227)/AJ227</f>
        <v>0.12768685650118741</v>
      </c>
      <c r="AL228" s="250"/>
      <c r="AM228" s="79"/>
      <c r="AN228" s="80"/>
      <c r="AO228" s="80"/>
      <c r="AP228" s="158"/>
      <c r="AQ228" s="80"/>
    </row>
    <row r="229" spans="1:44" x14ac:dyDescent="0.2">
      <c r="A229" s="4"/>
      <c r="B229" s="55"/>
      <c r="C229" s="49"/>
      <c r="D229" s="56"/>
      <c r="E229" s="50"/>
      <c r="F229" s="99"/>
      <c r="G229" s="99"/>
      <c r="H229" s="51"/>
      <c r="I229" s="50"/>
      <c r="J229" s="50"/>
      <c r="K229" s="50"/>
      <c r="L229" s="52"/>
      <c r="M229" s="52"/>
      <c r="N229" s="52"/>
      <c r="O229" s="52"/>
      <c r="P229" s="54"/>
      <c r="Q229" s="53"/>
      <c r="R229" s="53"/>
      <c r="S229" s="54"/>
      <c r="T229" s="54"/>
      <c r="U229" s="54"/>
      <c r="V229" s="54"/>
      <c r="W229" s="54"/>
      <c r="X229" s="54"/>
      <c r="Y229" s="54"/>
      <c r="Z229" s="51"/>
      <c r="AA229" s="51"/>
      <c r="AB229" s="49"/>
      <c r="AC229" s="269"/>
      <c r="AD229" s="30"/>
      <c r="AE229" s="52"/>
      <c r="AF229" s="259"/>
      <c r="AG229" s="30"/>
      <c r="AH229" s="30"/>
      <c r="AI229" s="84"/>
      <c r="AJ229" s="84"/>
      <c r="AK229" s="84"/>
      <c r="AL229" s="272"/>
      <c r="AM229" s="30"/>
      <c r="AN229" s="55"/>
      <c r="AO229" s="52"/>
      <c r="AP229" s="52"/>
      <c r="AQ229" s="52"/>
    </row>
    <row r="230" spans="1:44" x14ac:dyDescent="0.2">
      <c r="A230" s="4"/>
      <c r="B230" s="220" t="s">
        <v>523</v>
      </c>
      <c r="C230" s="57"/>
      <c r="D230" s="57"/>
      <c r="E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AB230" s="240"/>
      <c r="AC230" s="260"/>
      <c r="AD230" s="58"/>
      <c r="AE230" s="58"/>
      <c r="AF230" s="260"/>
      <c r="AG230" s="58"/>
      <c r="AH230" s="58"/>
      <c r="AI230" s="58"/>
      <c r="AJ230" s="58"/>
      <c r="AK230" s="58"/>
      <c r="AL230" s="260"/>
      <c r="AM230" s="4"/>
      <c r="AN230" s="58"/>
      <c r="AO230" s="58"/>
      <c r="AP230" s="58"/>
      <c r="AQ230" s="58"/>
    </row>
    <row r="231" spans="1:44" ht="13" customHeight="1" x14ac:dyDescent="0.2">
      <c r="A231" s="4"/>
      <c r="B231" s="57" t="s">
        <v>185</v>
      </c>
      <c r="C231" s="57"/>
      <c r="D231" s="57"/>
      <c r="E231" s="58"/>
      <c r="H231" s="59"/>
      <c r="I231" s="58"/>
      <c r="J231" s="58"/>
      <c r="K231" s="58"/>
      <c r="L231" s="58"/>
      <c r="M231" s="58"/>
      <c r="N231" s="58"/>
      <c r="O231" s="58"/>
      <c r="P231" s="58"/>
      <c r="Q231" s="60"/>
      <c r="R231" s="60"/>
      <c r="S231" s="58"/>
      <c r="T231" s="58"/>
      <c r="U231" s="58"/>
      <c r="V231" s="58"/>
      <c r="W231" s="58"/>
      <c r="X231" s="58"/>
      <c r="Y231" s="90"/>
      <c r="AB231" s="61"/>
      <c r="AC231" s="260"/>
      <c r="AD231" s="58"/>
      <c r="AE231" s="58"/>
      <c r="AF231" s="261"/>
      <c r="AG231" s="58"/>
      <c r="AH231" s="4"/>
      <c r="AI231" s="58"/>
      <c r="AJ231" s="58"/>
      <c r="AK231" s="58"/>
      <c r="AL231" s="260"/>
      <c r="AM231" s="4"/>
      <c r="AN231" s="58"/>
      <c r="AO231" s="219"/>
      <c r="AP231" s="58"/>
      <c r="AQ231" s="58"/>
    </row>
    <row r="232" spans="1:44" ht="13" customHeight="1" x14ac:dyDescent="0.2">
      <c r="A232" s="4"/>
      <c r="B232" s="57" t="s">
        <v>215</v>
      </c>
      <c r="C232" s="57"/>
      <c r="D232" s="57"/>
      <c r="E232" s="58"/>
      <c r="H232" s="59"/>
      <c r="I232" s="58"/>
      <c r="J232" s="58"/>
      <c r="K232" s="58"/>
      <c r="L232" s="58"/>
      <c r="M232" s="58"/>
      <c r="N232" s="58"/>
      <c r="O232" s="58"/>
      <c r="P232" s="58"/>
      <c r="Q232" s="60"/>
      <c r="R232" s="60"/>
      <c r="S232" s="58"/>
      <c r="T232" s="58"/>
      <c r="U232" s="58"/>
      <c r="V232" s="58"/>
      <c r="W232" s="61"/>
      <c r="X232" s="61"/>
      <c r="Y232" s="61"/>
      <c r="Z232" s="139"/>
      <c r="AA232" s="139"/>
      <c r="AB232" s="240"/>
      <c r="AC232" s="260"/>
      <c r="AD232" s="58"/>
      <c r="AE232" s="58"/>
      <c r="AF232" s="260"/>
      <c r="AG232" s="62"/>
      <c r="AH232" s="86"/>
      <c r="AI232" s="62"/>
      <c r="AJ232" s="62"/>
      <c r="AK232" s="62"/>
      <c r="AL232" s="260"/>
      <c r="AM232" s="4"/>
      <c r="AN232" s="58"/>
      <c r="AO232" s="219"/>
      <c r="AP232" s="58"/>
      <c r="AQ232" s="58"/>
    </row>
    <row r="233" spans="1:44" ht="13" customHeight="1" x14ac:dyDescent="0.2">
      <c r="A233" s="4"/>
      <c r="B233" s="57" t="s">
        <v>214</v>
      </c>
      <c r="C233" s="57"/>
      <c r="D233" s="57"/>
      <c r="E233" s="58"/>
      <c r="H233" s="59"/>
      <c r="I233" s="58"/>
      <c r="J233" s="58"/>
      <c r="K233" s="58"/>
      <c r="L233" s="58"/>
      <c r="M233" s="58"/>
      <c r="N233" s="58"/>
      <c r="O233" s="58"/>
      <c r="P233" s="58"/>
      <c r="Q233" s="60"/>
      <c r="R233" s="60"/>
      <c r="S233" s="58"/>
      <c r="T233" s="58"/>
      <c r="U233" s="58"/>
      <c r="V233" s="58"/>
      <c r="W233" s="58"/>
      <c r="X233" s="58"/>
      <c r="Y233" s="58"/>
      <c r="AB233" s="240"/>
      <c r="AC233" s="260"/>
      <c r="AD233" s="58"/>
      <c r="AE233" s="58"/>
      <c r="AF233" s="260"/>
      <c r="AG233" s="58"/>
      <c r="AH233" s="4"/>
      <c r="AI233" s="58"/>
      <c r="AJ233" s="58"/>
      <c r="AK233" s="58"/>
      <c r="AL233" s="260"/>
      <c r="AM233" s="4"/>
      <c r="AN233" s="58"/>
      <c r="AO233" s="219"/>
      <c r="AP233" s="58"/>
      <c r="AQ233" s="58"/>
    </row>
    <row r="234" spans="1:44" ht="13" customHeight="1" x14ac:dyDescent="0.2">
      <c r="A234" s="4"/>
      <c r="B234" s="57" t="s">
        <v>184</v>
      </c>
      <c r="C234" s="57"/>
      <c r="D234" s="57"/>
      <c r="E234" s="58"/>
      <c r="H234" s="59"/>
      <c r="I234" s="58"/>
      <c r="J234" s="58"/>
      <c r="K234" s="58"/>
      <c r="L234" s="58"/>
      <c r="M234" s="58"/>
      <c r="N234" s="58"/>
      <c r="O234" s="58"/>
      <c r="P234" s="58"/>
      <c r="Q234" s="60"/>
      <c r="R234" s="60"/>
      <c r="S234" s="58"/>
      <c r="T234" s="58"/>
      <c r="U234" s="58"/>
      <c r="V234" s="58"/>
      <c r="W234" s="58"/>
      <c r="X234" s="58"/>
      <c r="Y234" s="58"/>
      <c r="AB234" s="240"/>
      <c r="AC234" s="260"/>
      <c r="AD234" s="58"/>
      <c r="AE234" s="58"/>
      <c r="AF234" s="260"/>
      <c r="AG234" s="58"/>
      <c r="AH234" s="4"/>
      <c r="AI234" s="58"/>
      <c r="AJ234" s="58"/>
      <c r="AK234" s="58"/>
      <c r="AL234" s="260"/>
      <c r="AM234" s="4"/>
      <c r="AN234" s="58"/>
      <c r="AO234" s="58"/>
      <c r="AP234" s="58"/>
      <c r="AQ234" s="58"/>
    </row>
    <row r="235" spans="1:44" ht="13" customHeight="1" x14ac:dyDescent="0.2">
      <c r="A235" s="4"/>
      <c r="B235" s="57" t="s">
        <v>213</v>
      </c>
      <c r="C235" s="57"/>
      <c r="D235" s="57"/>
      <c r="E235" s="58"/>
      <c r="H235" s="59"/>
      <c r="I235" s="58"/>
      <c r="J235" s="58"/>
      <c r="K235" s="58"/>
      <c r="L235" s="58"/>
      <c r="M235" s="58"/>
      <c r="N235" s="58"/>
      <c r="O235" s="58"/>
      <c r="P235" s="58"/>
      <c r="Q235" s="60"/>
      <c r="R235" s="60"/>
      <c r="S235" s="58"/>
      <c r="T235" s="58"/>
      <c r="U235" s="58"/>
      <c r="V235" s="58"/>
      <c r="W235" s="58"/>
      <c r="X235" s="58"/>
      <c r="Y235" s="58"/>
      <c r="AB235" s="240"/>
      <c r="AC235" s="260"/>
      <c r="AD235" s="58"/>
      <c r="AE235" s="58"/>
      <c r="AF235" s="260"/>
      <c r="AG235" s="58"/>
      <c r="AH235" s="4"/>
      <c r="AI235" s="58"/>
      <c r="AJ235" s="58"/>
      <c r="AK235" s="58"/>
      <c r="AL235" s="260"/>
      <c r="AM235" s="4"/>
      <c r="AN235" s="58"/>
      <c r="AO235" s="58"/>
      <c r="AP235" s="58"/>
      <c r="AQ235" s="58"/>
    </row>
    <row r="236" spans="1:44" ht="13" customHeight="1" x14ac:dyDescent="0.2">
      <c r="A236" s="4"/>
      <c r="B236" s="1" t="s">
        <v>212</v>
      </c>
      <c r="C236" s="1"/>
      <c r="D236" s="1"/>
      <c r="E236" s="1"/>
      <c r="H236" s="59"/>
      <c r="I236" s="1"/>
      <c r="J236" s="1"/>
      <c r="K236" s="1"/>
      <c r="L236" s="1"/>
      <c r="M236" s="1"/>
      <c r="N236" s="1"/>
      <c r="O236" s="1"/>
      <c r="P236" s="1"/>
      <c r="Q236" s="60"/>
      <c r="R236" s="60"/>
      <c r="S236" s="1"/>
      <c r="T236" s="1"/>
      <c r="U236" s="1"/>
      <c r="V236" s="1"/>
      <c r="W236" s="1"/>
      <c r="AB236" s="241"/>
      <c r="AC236" s="262"/>
      <c r="AD236" s="1"/>
      <c r="AE236" s="1"/>
      <c r="AF236" s="262"/>
      <c r="AG236" s="1"/>
      <c r="AH236" s="4"/>
      <c r="AI236" s="1"/>
      <c r="AJ236" s="1"/>
      <c r="AL236" s="262"/>
      <c r="AM236" s="4"/>
      <c r="AN236" s="1"/>
      <c r="AO236" s="59"/>
      <c r="AP236" s="59"/>
      <c r="AQ236" s="59"/>
    </row>
    <row r="237" spans="1:44" ht="13" customHeight="1" x14ac:dyDescent="0.2">
      <c r="B237" s="1" t="s">
        <v>406</v>
      </c>
      <c r="C237" s="1"/>
      <c r="D237" s="1"/>
      <c r="E237" s="1"/>
      <c r="H237" s="59"/>
      <c r="I237" s="1"/>
      <c r="J237" s="1"/>
      <c r="K237" s="1"/>
      <c r="L237" s="1"/>
      <c r="M237" s="1"/>
      <c r="N237" s="1"/>
      <c r="O237" s="63"/>
      <c r="P237" s="1"/>
      <c r="Q237" s="60"/>
      <c r="R237" s="60"/>
      <c r="S237" s="1"/>
      <c r="T237" s="1"/>
      <c r="U237" s="1"/>
      <c r="V237" s="1"/>
      <c r="W237" s="1"/>
      <c r="AB237" s="241"/>
      <c r="AC237" s="262"/>
      <c r="AD237" s="1"/>
      <c r="AE237" s="1"/>
      <c r="AF237" s="262"/>
      <c r="AG237" s="1"/>
      <c r="AH237" s="4"/>
      <c r="AI237" s="1"/>
      <c r="AJ237" s="1"/>
      <c r="AL237" s="262"/>
      <c r="AM237" s="4"/>
      <c r="AN237" s="1"/>
      <c r="AO237" s="59"/>
      <c r="AP237" s="59"/>
      <c r="AQ237" s="59"/>
    </row>
    <row r="238" spans="1:44" s="83" customFormat="1" ht="13" customHeight="1" x14ac:dyDescent="0.2">
      <c r="A238" s="4"/>
      <c r="B238" s="304" t="s">
        <v>525</v>
      </c>
      <c r="C238" s="305"/>
      <c r="D238" s="305"/>
      <c r="E238" s="305"/>
      <c r="F238" s="305"/>
      <c r="G238" s="305"/>
      <c r="H238" s="305"/>
      <c r="I238" s="305"/>
      <c r="J238" s="305"/>
      <c r="K238" s="305"/>
      <c r="L238" s="305"/>
      <c r="M238" s="305"/>
      <c r="N238" s="305"/>
      <c r="O238" s="305"/>
      <c r="P238" s="305"/>
      <c r="Q238" s="305"/>
      <c r="R238" s="305"/>
      <c r="S238" s="305"/>
      <c r="T238" s="305"/>
      <c r="U238" s="305"/>
      <c r="V238" s="305"/>
      <c r="W238" s="305"/>
      <c r="X238" s="305"/>
      <c r="Y238" s="305"/>
      <c r="Z238" s="305"/>
      <c r="AA238" s="305"/>
      <c r="AB238" s="305"/>
      <c r="AC238" s="305"/>
      <c r="AD238" s="1"/>
      <c r="AE238" s="1"/>
      <c r="AF238" s="262"/>
      <c r="AG238" s="1"/>
      <c r="AH238" s="4"/>
      <c r="AI238" s="1"/>
      <c r="AJ238" s="1"/>
      <c r="AK238" s="1"/>
      <c r="AL238" s="262"/>
      <c r="AM238" s="4"/>
      <c r="AN238" s="1"/>
      <c r="AO238" s="59"/>
      <c r="AP238" s="59"/>
      <c r="AQ238" s="59"/>
      <c r="AR238" s="1"/>
    </row>
    <row r="239" spans="1:44" s="83" customFormat="1" ht="13" customHeight="1" x14ac:dyDescent="0.2">
      <c r="A239" s="4"/>
      <c r="B239" s="306" t="s">
        <v>527</v>
      </c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242"/>
      <c r="AC239" s="270"/>
      <c r="AD239" s="1"/>
      <c r="AE239" s="1"/>
      <c r="AF239" s="262"/>
      <c r="AG239" s="1"/>
      <c r="AH239" s="4"/>
      <c r="AI239" s="1"/>
      <c r="AJ239" s="1"/>
      <c r="AK239" s="1"/>
      <c r="AL239" s="262"/>
      <c r="AM239" s="4"/>
      <c r="AN239" s="1"/>
      <c r="AO239" s="59"/>
      <c r="AP239" s="59"/>
      <c r="AQ239" s="59"/>
      <c r="AR239" s="1"/>
    </row>
    <row r="240" spans="1:44" s="83" customFormat="1" ht="13" customHeight="1" x14ac:dyDescent="0.2">
      <c r="A240" s="4"/>
      <c r="B240" s="304" t="s">
        <v>445</v>
      </c>
      <c r="C240" s="305"/>
      <c r="D240" s="305"/>
      <c r="E240" s="305"/>
      <c r="F240" s="305"/>
      <c r="G240" s="305"/>
      <c r="H240" s="305"/>
      <c r="I240" s="305"/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5"/>
      <c r="U240" s="305"/>
      <c r="V240" s="305"/>
      <c r="W240" s="305"/>
      <c r="X240" s="305"/>
      <c r="Y240" s="305"/>
      <c r="Z240" s="305"/>
      <c r="AA240" s="305"/>
      <c r="AB240" s="305"/>
      <c r="AC240" s="305"/>
      <c r="AD240" s="1"/>
      <c r="AE240" s="1"/>
      <c r="AF240" s="262"/>
      <c r="AG240" s="1"/>
      <c r="AH240" s="4"/>
      <c r="AI240" s="1"/>
      <c r="AJ240" s="1"/>
      <c r="AK240" s="1"/>
      <c r="AL240" s="262"/>
      <c r="AM240" s="4"/>
      <c r="AN240" s="1"/>
      <c r="AO240" s="59"/>
      <c r="AP240" s="59"/>
      <c r="AQ240" s="59"/>
      <c r="AR240" s="1"/>
    </row>
    <row r="241" spans="1:44" s="83" customFormat="1" ht="13" customHeight="1" x14ac:dyDescent="0.2">
      <c r="A241" s="4"/>
      <c r="B241" s="194" t="s">
        <v>528</v>
      </c>
      <c r="C241" s="195"/>
      <c r="D241" s="195"/>
      <c r="E241" s="195"/>
      <c r="F241" s="195"/>
      <c r="G241" s="195"/>
      <c r="H241" s="196"/>
      <c r="I241" s="196"/>
      <c r="J241" s="196"/>
      <c r="K241" s="1"/>
      <c r="L241" s="1"/>
      <c r="M241" s="1"/>
      <c r="N241" s="1"/>
      <c r="O241" s="63"/>
      <c r="P241" s="1"/>
      <c r="Q241" s="60"/>
      <c r="R241" s="60"/>
      <c r="S241" s="1"/>
      <c r="T241" s="1"/>
      <c r="U241" s="1"/>
      <c r="V241" s="1"/>
      <c r="W241" s="1"/>
      <c r="X241" s="1"/>
      <c r="Y241" s="1"/>
      <c r="Z241" s="138"/>
      <c r="AA241" s="138"/>
      <c r="AB241" s="241"/>
      <c r="AC241" s="262"/>
      <c r="AD241" s="1"/>
      <c r="AE241" s="1"/>
      <c r="AF241" s="262"/>
      <c r="AG241" s="1"/>
      <c r="AH241" s="4"/>
      <c r="AI241" s="1"/>
      <c r="AJ241" s="1"/>
      <c r="AK241" s="1"/>
      <c r="AL241" s="262"/>
      <c r="AM241" s="4"/>
      <c r="AN241" s="1"/>
      <c r="AO241" s="59"/>
      <c r="AP241" s="59"/>
      <c r="AQ241" s="59"/>
      <c r="AR241" s="1"/>
    </row>
    <row r="242" spans="1:44" ht="13" customHeight="1" x14ac:dyDescent="0.2">
      <c r="B242" s="1" t="s">
        <v>529</v>
      </c>
      <c r="C242" s="1"/>
      <c r="D242" s="1"/>
      <c r="E242" s="1"/>
      <c r="H242" s="59"/>
      <c r="I242" s="1"/>
      <c r="J242" s="1"/>
      <c r="K242" s="1"/>
      <c r="L242" s="1"/>
      <c r="M242" s="1"/>
      <c r="N242" s="63"/>
      <c r="O242" s="64"/>
      <c r="P242" s="65"/>
      <c r="Q242" s="66"/>
      <c r="R242" s="66"/>
      <c r="S242" s="65"/>
      <c r="T242" s="65"/>
      <c r="U242" s="65"/>
      <c r="V242" s="65"/>
      <c r="W242" s="65"/>
      <c r="X242" s="65"/>
      <c r="Y242" s="65"/>
      <c r="AB242" s="243"/>
      <c r="AC242" s="262"/>
      <c r="AD242" s="1"/>
      <c r="AE242" s="1"/>
      <c r="AF242" s="262"/>
      <c r="AG242" s="1"/>
      <c r="AH242" s="4"/>
      <c r="AI242" s="1"/>
      <c r="AJ242" s="1"/>
      <c r="AL242" s="273"/>
      <c r="AM242" s="4"/>
      <c r="AN242" s="1"/>
      <c r="AO242" s="67"/>
      <c r="AP242" s="63"/>
      <c r="AQ242" s="67"/>
    </row>
    <row r="243" spans="1:44" x14ac:dyDescent="0.2">
      <c r="B243" s="1"/>
      <c r="C243" s="1"/>
      <c r="D243" s="1"/>
      <c r="E243" s="1"/>
      <c r="H243" s="59"/>
      <c r="I243" s="1"/>
      <c r="J243" s="1"/>
      <c r="K243" s="1"/>
      <c r="L243" s="1"/>
      <c r="M243" s="1"/>
      <c r="N243" s="63"/>
      <c r="O243" s="68"/>
      <c r="P243" s="1"/>
      <c r="Q243" s="60"/>
      <c r="R243" s="60"/>
      <c r="S243" s="1"/>
      <c r="T243" s="1"/>
      <c r="U243" s="1"/>
      <c r="V243" s="1"/>
      <c r="W243" s="1"/>
      <c r="AB243" s="243"/>
      <c r="AC243" s="262"/>
      <c r="AD243" s="1"/>
      <c r="AE243" s="1"/>
      <c r="AF243" s="262"/>
      <c r="AG243" s="1"/>
      <c r="AH243" s="4"/>
      <c r="AI243" s="1"/>
      <c r="AJ243" s="1"/>
      <c r="AL243" s="262"/>
      <c r="AM243" s="4"/>
      <c r="AN243" s="1"/>
      <c r="AO243" s="1"/>
      <c r="AQ243" s="1"/>
    </row>
    <row r="244" spans="1:44" x14ac:dyDescent="0.2">
      <c r="B244" s="1"/>
      <c r="C244" s="1"/>
      <c r="D244" s="1"/>
      <c r="E244" s="1"/>
      <c r="H244" s="59"/>
      <c r="I244" s="1"/>
      <c r="J244" s="1"/>
      <c r="K244" s="1"/>
      <c r="L244" s="1"/>
      <c r="M244" s="1"/>
      <c r="N244" s="1"/>
      <c r="O244" s="1"/>
      <c r="P244" s="1"/>
      <c r="Q244" s="60"/>
      <c r="R244" s="60"/>
      <c r="S244" s="1"/>
      <c r="T244" s="1"/>
      <c r="U244" s="1"/>
      <c r="V244" s="1"/>
      <c r="W244" s="1"/>
      <c r="AB244" s="241"/>
      <c r="AC244" s="262"/>
      <c r="AD244" s="1"/>
      <c r="AE244" s="1"/>
      <c r="AF244" s="262"/>
      <c r="AG244" s="1"/>
      <c r="AH244" s="4"/>
      <c r="AI244" s="1"/>
      <c r="AJ244" s="1"/>
      <c r="AL244" s="262"/>
      <c r="AM244" s="4"/>
      <c r="AN244" s="1"/>
      <c r="AO244" s="1"/>
      <c r="AQ244" s="1"/>
    </row>
    <row r="245" spans="1:44" x14ac:dyDescent="0.2">
      <c r="C245" s="1"/>
      <c r="D245" s="1"/>
      <c r="E245" s="1"/>
      <c r="H245" s="59"/>
      <c r="I245" s="1"/>
      <c r="J245" s="1"/>
      <c r="K245" s="1"/>
      <c r="L245" s="1"/>
      <c r="M245" s="1"/>
      <c r="N245" s="1"/>
      <c r="O245" s="1"/>
      <c r="P245" s="1"/>
      <c r="Q245" s="60"/>
      <c r="R245" s="60"/>
      <c r="S245" s="1"/>
      <c r="T245" s="1"/>
      <c r="U245" s="1"/>
      <c r="V245" s="1"/>
      <c r="W245" s="1"/>
      <c r="AB245" s="241"/>
      <c r="AC245" s="262"/>
      <c r="AD245" s="1"/>
      <c r="AE245" s="1"/>
      <c r="AF245" s="262"/>
      <c r="AG245" s="1"/>
      <c r="AH245" s="4"/>
      <c r="AI245" s="1"/>
      <c r="AJ245" s="1"/>
      <c r="AL245" s="262"/>
      <c r="AM245" s="4"/>
      <c r="AN245" s="1"/>
      <c r="AO245" s="1"/>
      <c r="AQ245" s="1"/>
    </row>
    <row r="246" spans="1:44" x14ac:dyDescent="0.2">
      <c r="C246" s="1"/>
      <c r="D246" s="1"/>
      <c r="E246" s="1"/>
      <c r="H246" s="59"/>
      <c r="I246" s="1"/>
      <c r="J246" s="1"/>
      <c r="K246" s="1"/>
      <c r="L246" s="1"/>
      <c r="M246" s="1"/>
      <c r="N246" s="1"/>
      <c r="O246" s="1"/>
      <c r="P246" s="1"/>
      <c r="Q246" s="60"/>
      <c r="R246" s="60"/>
      <c r="S246" s="1"/>
      <c r="T246" s="1"/>
      <c r="U246" s="1"/>
      <c r="V246" s="1"/>
      <c r="W246" s="1"/>
      <c r="AB246" s="241"/>
      <c r="AC246" s="262"/>
      <c r="AD246" s="1"/>
      <c r="AE246" s="1"/>
      <c r="AF246" s="262"/>
      <c r="AG246" s="1"/>
      <c r="AH246" s="4"/>
      <c r="AI246" s="1"/>
      <c r="AJ246" s="1"/>
      <c r="AL246" s="262"/>
      <c r="AM246" s="4"/>
      <c r="AN246" s="1"/>
      <c r="AO246" s="1"/>
      <c r="AQ246" s="1"/>
    </row>
    <row r="247" spans="1:44" x14ac:dyDescent="0.2">
      <c r="C247" s="1"/>
      <c r="D247" s="1"/>
      <c r="E247" s="1"/>
      <c r="H247" s="59"/>
      <c r="I247" s="1"/>
      <c r="J247" s="1"/>
      <c r="K247" s="1"/>
      <c r="L247" s="1"/>
      <c r="M247" s="1"/>
      <c r="N247" s="1"/>
      <c r="O247" s="1"/>
      <c r="P247" s="1"/>
      <c r="Q247" s="60"/>
      <c r="R247" s="60"/>
      <c r="S247" s="1"/>
      <c r="T247" s="1"/>
      <c r="U247" s="1"/>
      <c r="V247" s="1"/>
      <c r="W247" s="1"/>
      <c r="AB247" s="241"/>
      <c r="AC247" s="262"/>
      <c r="AD247" s="1"/>
      <c r="AE247" s="1"/>
      <c r="AF247" s="262"/>
      <c r="AG247" s="1"/>
      <c r="AH247" s="4"/>
      <c r="AI247" s="1"/>
      <c r="AJ247" s="1"/>
      <c r="AL247" s="262"/>
      <c r="AM247" s="4"/>
      <c r="AN247" s="1"/>
      <c r="AO247" s="1"/>
      <c r="AQ247" s="1"/>
    </row>
    <row r="248" spans="1:44" x14ac:dyDescent="0.2">
      <c r="C248" s="1"/>
      <c r="D248" s="1"/>
      <c r="E248" s="1"/>
      <c r="H248" s="59"/>
      <c r="I248" s="1"/>
      <c r="J248" s="1"/>
      <c r="K248" s="1"/>
      <c r="L248" s="1"/>
      <c r="M248" s="1"/>
      <c r="N248" s="1"/>
      <c r="O248" s="1"/>
      <c r="P248" s="1"/>
      <c r="Q248" s="60"/>
      <c r="R248" s="60"/>
      <c r="S248" s="1"/>
      <c r="T248" s="1"/>
      <c r="U248" s="1"/>
      <c r="V248" s="1"/>
      <c r="W248" s="1"/>
      <c r="AB248" s="241"/>
      <c r="AC248" s="262"/>
      <c r="AD248" s="1"/>
      <c r="AE248" s="1"/>
      <c r="AF248" s="262"/>
      <c r="AG248" s="1"/>
      <c r="AH248" s="4"/>
      <c r="AI248" s="1"/>
      <c r="AJ248" s="1"/>
      <c r="AL248" s="262"/>
      <c r="AM248" s="4"/>
      <c r="AN248" s="1"/>
      <c r="AO248" s="1"/>
      <c r="AQ248" s="1"/>
    </row>
    <row r="249" spans="1:44" x14ac:dyDescent="0.2">
      <c r="C249" s="1"/>
      <c r="D249" s="1"/>
      <c r="E249" s="1"/>
      <c r="H249" s="59"/>
      <c r="I249" s="1"/>
      <c r="J249" s="1"/>
      <c r="K249" s="1"/>
      <c r="L249" s="1"/>
      <c r="M249" s="1"/>
      <c r="N249" s="1"/>
      <c r="O249" s="1"/>
      <c r="P249" s="1"/>
      <c r="Q249" s="60"/>
      <c r="R249" s="60"/>
      <c r="S249" s="1"/>
      <c r="T249" s="1"/>
      <c r="U249" s="1"/>
      <c r="V249" s="1"/>
      <c r="W249" s="1"/>
      <c r="AB249" s="241"/>
      <c r="AC249" s="262"/>
      <c r="AD249" s="1"/>
      <c r="AE249" s="1"/>
      <c r="AF249" s="262"/>
      <c r="AG249" s="1"/>
      <c r="AH249" s="4"/>
      <c r="AI249" s="1"/>
      <c r="AJ249" s="1"/>
      <c r="AL249" s="262"/>
      <c r="AM249" s="4"/>
      <c r="AN249" s="1"/>
      <c r="AO249" s="1"/>
      <c r="AQ249" s="1"/>
    </row>
    <row r="250" spans="1:44" x14ac:dyDescent="0.2">
      <c r="C250" s="1"/>
      <c r="D250" s="1"/>
      <c r="E250" s="1"/>
      <c r="H250" s="59"/>
      <c r="I250" s="1"/>
      <c r="J250" s="1"/>
      <c r="K250" s="1"/>
      <c r="L250" s="1"/>
      <c r="M250" s="1"/>
      <c r="N250" s="1"/>
      <c r="O250" s="1"/>
      <c r="P250" s="1"/>
      <c r="Q250" s="60"/>
      <c r="R250" s="60"/>
      <c r="S250" s="1"/>
      <c r="T250" s="1"/>
      <c r="U250" s="1"/>
      <c r="V250" s="1"/>
      <c r="W250" s="1"/>
      <c r="AB250" s="241"/>
      <c r="AC250" s="262"/>
      <c r="AD250" s="1"/>
      <c r="AE250" s="1"/>
      <c r="AF250" s="262"/>
      <c r="AG250" s="1"/>
      <c r="AH250" s="4"/>
      <c r="AI250" s="1"/>
      <c r="AJ250" s="1"/>
      <c r="AL250" s="262"/>
      <c r="AM250" s="4"/>
      <c r="AN250" s="1"/>
      <c r="AO250" s="1"/>
      <c r="AQ250" s="1"/>
    </row>
    <row r="251" spans="1:44" x14ac:dyDescent="0.2">
      <c r="C251" s="1"/>
      <c r="D251" s="1"/>
      <c r="E251" s="1"/>
      <c r="H251" s="59"/>
      <c r="I251" s="1"/>
      <c r="J251" s="1"/>
      <c r="K251" s="1"/>
      <c r="L251" s="1"/>
      <c r="M251" s="1"/>
      <c r="N251" s="1"/>
      <c r="O251" s="1"/>
      <c r="P251" s="1"/>
      <c r="Q251" s="60"/>
      <c r="R251" s="60"/>
      <c r="S251" s="1"/>
      <c r="T251" s="1"/>
      <c r="U251" s="1"/>
      <c r="V251" s="1"/>
      <c r="W251" s="1"/>
      <c r="AB251" s="241"/>
      <c r="AC251" s="262"/>
      <c r="AD251" s="1"/>
      <c r="AE251" s="1"/>
      <c r="AF251" s="262"/>
      <c r="AG251" s="1"/>
      <c r="AH251" s="4"/>
      <c r="AI251" s="1"/>
      <c r="AJ251" s="1"/>
      <c r="AL251" s="262"/>
      <c r="AM251" s="4"/>
      <c r="AN251" s="1"/>
      <c r="AO251" s="1"/>
      <c r="AQ251" s="1"/>
    </row>
    <row r="252" spans="1:44" x14ac:dyDescent="0.2">
      <c r="C252" s="1"/>
      <c r="D252" s="1"/>
      <c r="E252" s="1"/>
      <c r="H252" s="59"/>
      <c r="I252" s="1"/>
      <c r="J252" s="1"/>
      <c r="K252" s="1"/>
      <c r="L252" s="1"/>
      <c r="M252" s="1"/>
      <c r="N252" s="1"/>
      <c r="O252" s="1"/>
      <c r="P252" s="1"/>
      <c r="Q252" s="60"/>
      <c r="R252" s="60"/>
      <c r="S252" s="1"/>
      <c r="T252" s="1"/>
      <c r="U252" s="1"/>
      <c r="V252" s="1"/>
      <c r="W252" s="1"/>
      <c r="AB252" s="241"/>
      <c r="AC252" s="262"/>
      <c r="AD252" s="1"/>
      <c r="AE252" s="1"/>
      <c r="AF252" s="262"/>
      <c r="AG252" s="1"/>
      <c r="AH252" s="4"/>
      <c r="AI252" s="1"/>
      <c r="AJ252" s="1"/>
      <c r="AL252" s="262"/>
      <c r="AM252" s="4"/>
      <c r="AN252" s="1"/>
      <c r="AO252" s="1"/>
      <c r="AQ252" s="1"/>
    </row>
    <row r="253" spans="1:44" x14ac:dyDescent="0.2">
      <c r="C253" s="1"/>
      <c r="D253" s="1"/>
      <c r="E253" s="1"/>
      <c r="H253" s="59"/>
      <c r="I253" s="1"/>
      <c r="J253" s="1"/>
      <c r="K253" s="1"/>
      <c r="L253" s="1"/>
      <c r="M253" s="1"/>
      <c r="N253" s="69"/>
      <c r="O253" s="69"/>
      <c r="P253" s="69"/>
      <c r="Q253" s="70"/>
      <c r="R253" s="70"/>
      <c r="S253" s="69"/>
      <c r="T253" s="69"/>
      <c r="U253" s="69"/>
      <c r="V253" s="69"/>
      <c r="W253" s="69"/>
      <c r="X253" s="69"/>
      <c r="Y253" s="69"/>
      <c r="Z253" s="140"/>
      <c r="AA253" s="140"/>
      <c r="AB253" s="49"/>
      <c r="AC253" s="269"/>
      <c r="AD253" s="30"/>
      <c r="AE253" s="55"/>
      <c r="AF253" s="259"/>
      <c r="AG253" s="30"/>
      <c r="AH253" s="30"/>
      <c r="AI253" s="30"/>
      <c r="AJ253" s="30"/>
      <c r="AK253" s="30"/>
      <c r="AL253" s="259"/>
      <c r="AM253" s="30"/>
      <c r="AN253" s="55"/>
      <c r="AO253" s="55"/>
      <c r="AP253" s="55"/>
      <c r="AQ253" s="55"/>
    </row>
    <row r="254" spans="1:44" x14ac:dyDescent="0.2">
      <c r="C254" s="1"/>
      <c r="D254" s="1"/>
      <c r="E254" s="1"/>
      <c r="H254" s="59"/>
      <c r="I254" s="1"/>
      <c r="J254" s="1"/>
      <c r="K254" s="1"/>
      <c r="L254" s="1"/>
      <c r="M254" s="1"/>
      <c r="N254" s="64"/>
      <c r="O254" s="64"/>
      <c r="P254" s="64"/>
      <c r="Q254" s="71"/>
      <c r="R254" s="71"/>
      <c r="S254" s="64"/>
      <c r="T254" s="64"/>
      <c r="U254" s="64"/>
      <c r="V254" s="64"/>
      <c r="W254" s="64"/>
      <c r="X254" s="64"/>
      <c r="Y254" s="64"/>
      <c r="AB254" s="241"/>
      <c r="AC254" s="262"/>
      <c r="AD254" s="4"/>
      <c r="AE254" s="1"/>
      <c r="AF254" s="263"/>
      <c r="AG254" s="4"/>
      <c r="AH254" s="4"/>
      <c r="AI254" s="4"/>
      <c r="AJ254" s="4"/>
      <c r="AK254" s="4"/>
      <c r="AL254" s="263"/>
      <c r="AM254" s="4"/>
      <c r="AN254" s="1"/>
      <c r="AO254" s="1"/>
      <c r="AQ254" s="1"/>
    </row>
    <row r="255" spans="1:44" x14ac:dyDescent="0.2">
      <c r="C255" s="1"/>
      <c r="D255" s="1"/>
      <c r="E255" s="1"/>
      <c r="H255" s="59"/>
      <c r="I255" s="1"/>
      <c r="J255" s="1"/>
      <c r="K255" s="1"/>
      <c r="L255" s="1"/>
      <c r="M255" s="1"/>
      <c r="N255" s="64"/>
      <c r="O255" s="64"/>
      <c r="P255" s="64"/>
      <c r="Q255" s="71"/>
      <c r="R255" s="71"/>
      <c r="S255" s="64"/>
      <c r="T255" s="64"/>
      <c r="U255" s="64"/>
      <c r="V255" s="64"/>
      <c r="W255" s="64"/>
      <c r="X255" s="64"/>
      <c r="Y255" s="64"/>
      <c r="AB255" s="241"/>
      <c r="AC255" s="262"/>
      <c r="AD255" s="4"/>
      <c r="AE255" s="1"/>
      <c r="AF255" s="263"/>
      <c r="AG255" s="4"/>
      <c r="AH255" s="4"/>
      <c r="AI255" s="4"/>
      <c r="AJ255" s="4"/>
      <c r="AK255" s="4"/>
      <c r="AL255" s="263"/>
      <c r="AM255" s="4"/>
      <c r="AN255" s="1"/>
      <c r="AO255" s="1"/>
      <c r="AQ255" s="1"/>
    </row>
    <row r="256" spans="1:44" x14ac:dyDescent="0.2">
      <c r="C256" s="1"/>
      <c r="D256" s="1"/>
      <c r="E256" s="1"/>
      <c r="H256" s="59"/>
      <c r="I256" s="1"/>
      <c r="J256" s="1"/>
      <c r="K256" s="1"/>
      <c r="L256" s="1"/>
      <c r="M256" s="1"/>
      <c r="N256" s="64"/>
      <c r="O256" s="64"/>
      <c r="P256" s="64"/>
      <c r="Q256" s="71"/>
      <c r="R256" s="71"/>
      <c r="S256" s="64"/>
      <c r="T256" s="64"/>
      <c r="U256" s="64"/>
      <c r="V256" s="64"/>
      <c r="W256" s="64"/>
      <c r="X256" s="64"/>
      <c r="Y256" s="64"/>
      <c r="AB256" s="241"/>
      <c r="AC256" s="262"/>
      <c r="AD256" s="4"/>
      <c r="AE256" s="1"/>
      <c r="AF256" s="263"/>
      <c r="AG256" s="4"/>
      <c r="AH256" s="4"/>
      <c r="AI256" s="4"/>
      <c r="AJ256" s="4"/>
      <c r="AK256" s="4"/>
      <c r="AL256" s="263"/>
      <c r="AM256" s="4"/>
      <c r="AN256" s="1"/>
      <c r="AO256" s="1"/>
      <c r="AQ256" s="1"/>
    </row>
    <row r="257" spans="2:43" x14ac:dyDescent="0.2">
      <c r="C257" s="1"/>
      <c r="D257" s="1"/>
      <c r="E257" s="1"/>
      <c r="H257" s="59"/>
      <c r="I257" s="1"/>
      <c r="J257" s="1"/>
      <c r="K257" s="1"/>
      <c r="L257" s="1"/>
      <c r="M257" s="1"/>
      <c r="N257" s="64"/>
      <c r="O257" s="64"/>
      <c r="P257" s="64"/>
      <c r="Q257" s="71"/>
      <c r="R257" s="71"/>
      <c r="S257" s="64"/>
      <c r="T257" s="64"/>
      <c r="U257" s="64"/>
      <c r="V257" s="64"/>
      <c r="W257" s="64"/>
      <c r="X257" s="64"/>
      <c r="Y257" s="64"/>
      <c r="AB257" s="241"/>
      <c r="AC257" s="262"/>
      <c r="AD257" s="4"/>
      <c r="AE257" s="1"/>
      <c r="AF257" s="263"/>
      <c r="AG257" s="4"/>
      <c r="AH257" s="4"/>
      <c r="AI257" s="4"/>
      <c r="AJ257" s="4"/>
      <c r="AK257" s="4"/>
      <c r="AL257" s="263"/>
      <c r="AM257" s="4"/>
      <c r="AN257" s="1"/>
      <c r="AO257" s="1"/>
      <c r="AQ257" s="1"/>
    </row>
    <row r="258" spans="2:43" x14ac:dyDescent="0.2">
      <c r="B258" s="1"/>
      <c r="C258" s="1"/>
      <c r="D258" s="1"/>
      <c r="E258" s="1"/>
      <c r="H258" s="59"/>
      <c r="I258" s="1"/>
      <c r="J258" s="1"/>
      <c r="K258" s="1"/>
      <c r="L258" s="1"/>
      <c r="M258" s="1"/>
      <c r="N258" s="64"/>
      <c r="O258" s="64"/>
      <c r="P258" s="64"/>
      <c r="Q258" s="71"/>
      <c r="R258" s="71"/>
      <c r="S258" s="64"/>
      <c r="T258" s="64"/>
      <c r="U258" s="64"/>
      <c r="V258" s="64"/>
      <c r="W258" s="64"/>
      <c r="X258" s="64"/>
      <c r="Y258" s="64"/>
      <c r="AB258" s="241"/>
      <c r="AC258" s="262"/>
      <c r="AD258" s="4"/>
      <c r="AE258" s="1"/>
      <c r="AF258" s="263"/>
      <c r="AG258" s="4"/>
      <c r="AH258" s="4"/>
      <c r="AI258" s="4"/>
      <c r="AJ258" s="4"/>
      <c r="AK258" s="4"/>
      <c r="AL258" s="263"/>
      <c r="AM258" s="4"/>
      <c r="AN258" s="1"/>
      <c r="AO258" s="1"/>
      <c r="AQ258" s="1"/>
    </row>
  </sheetData>
  <sheetProtection password="C8D8" sheet="1" objects="1" scenarios="1"/>
  <mergeCells count="4">
    <mergeCell ref="B2:AQ2"/>
    <mergeCell ref="B238:AC238"/>
    <mergeCell ref="B240:AC240"/>
    <mergeCell ref="B239:M239"/>
  </mergeCells>
  <phoneticPr fontId="6" type="noConversion"/>
  <pageMargins left="0.25" right="0.25" top="0.25" bottom="0.25" header="0" footer="0"/>
  <pageSetup paperSize="5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SPECIAL PLATES 94 - CURRENT</vt:lpstr>
      <vt:lpstr>'SPECIAL PLATES 94 - CURRENT'!Print_Area</vt:lpstr>
      <vt:lpstr>'SPECIAL PLATES 94 - CURRENT'!Print_Titles</vt:lpstr>
    </vt:vector>
  </TitlesOfParts>
  <Company>TxDOT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cflore2</dc:creator>
  <cp:lastModifiedBy>Diane Emrick-Dodson</cp:lastModifiedBy>
  <cp:lastPrinted>2013-02-08T17:09:30Z</cp:lastPrinted>
  <dcterms:created xsi:type="dcterms:W3CDTF">2009-07-06T13:55:43Z</dcterms:created>
  <dcterms:modified xsi:type="dcterms:W3CDTF">2013-05-24T19:57:48Z</dcterms:modified>
</cp:coreProperties>
</file>