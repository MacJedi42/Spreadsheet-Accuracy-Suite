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40" yWindow="540" windowWidth="10860" windowHeight="6345"/>
  </bookViews>
  <sheets>
    <sheet name="Sheet1" sheetId="1" r:id="rId1"/>
  </sheets>
  <definedNames>
    <definedName name="_xlnm.Print_Area" localSheetId="0">Sheet1!$A$1:$F$36</definedName>
  </definedNames>
  <calcPr calcId="145621"/>
</workbook>
</file>

<file path=xl/calcChain.xml><?xml version="1.0" encoding="utf-8"?>
<calcChain xmlns="http://schemas.openxmlformats.org/spreadsheetml/2006/main">
  <c r="D17" i="1" l="1"/>
  <c r="D16" i="1"/>
  <c r="D28" i="1" l="1"/>
  <c r="D27" i="1"/>
  <c r="D26" i="1"/>
  <c r="D25" i="1"/>
  <c r="D24" i="1"/>
  <c r="D9" i="1"/>
  <c r="D8" i="1"/>
  <c r="D7" i="1"/>
  <c r="D6" i="1"/>
  <c r="D21" i="1"/>
  <c r="D20" i="1"/>
  <c r="D19" i="1"/>
  <c r="D18" i="1"/>
  <c r="D15" i="1"/>
  <c r="D13" i="1"/>
  <c r="B11" i="1"/>
  <c r="C11" i="1"/>
  <c r="B22" i="1"/>
  <c r="B30" i="1"/>
  <c r="D29" i="1"/>
  <c r="C30" i="1"/>
  <c r="D14" i="1"/>
  <c r="C22" i="1"/>
  <c r="D4" i="1"/>
  <c r="D5" i="1"/>
  <c r="D10" i="1"/>
  <c r="D30" i="1" l="1"/>
  <c r="C31" i="1"/>
  <c r="D11" i="1"/>
  <c r="D22" i="1"/>
  <c r="B31" i="1"/>
  <c r="D31" i="1" l="1"/>
</calcChain>
</file>

<file path=xl/sharedStrings.xml><?xml version="1.0" encoding="utf-8"?>
<sst xmlns="http://schemas.openxmlformats.org/spreadsheetml/2006/main" count="45" uniqueCount="40">
  <si>
    <t>Spring</t>
  </si>
  <si>
    <t>Full Year Total</t>
  </si>
  <si>
    <t xml:space="preserve">             Subtotal B – Total Financial Aid</t>
  </si>
  <si>
    <t>Balance [A - B (Award) - C]</t>
  </si>
  <si>
    <t xml:space="preserve">       Campus ID:</t>
  </si>
  <si>
    <t>Financial Aid - See Award Letter</t>
  </si>
  <si>
    <t>Please make sure that your balance at the bottom of this sheet comes to $0</t>
  </si>
  <si>
    <t>Fall</t>
  </si>
  <si>
    <t>16. Other State or Government Aid</t>
  </si>
  <si>
    <t xml:space="preserve">  6. Other Charges </t>
  </si>
  <si>
    <t xml:space="preserve">  5. Health Insurance </t>
  </si>
  <si>
    <t xml:space="preserve">  2. Student Fee</t>
  </si>
  <si>
    <t xml:space="preserve">  1. Tuition</t>
  </si>
  <si>
    <t xml:space="preserve"> 8. ENC Scholarships and Grants</t>
  </si>
  <si>
    <t xml:space="preserve"> 9. Nazarene Church Scholarship and Match</t>
  </si>
  <si>
    <t>10. Outside Miscellaneous Scholarships</t>
  </si>
  <si>
    <t xml:space="preserve">11. Subsidized Stafford Loan </t>
  </si>
  <si>
    <t xml:space="preserve">12. Unsubsidized Stafford Loan </t>
  </si>
  <si>
    <t>13. Pell Grant</t>
  </si>
  <si>
    <t>14. SEOG Grant</t>
  </si>
  <si>
    <t xml:space="preserve">21. Payroll Deductions </t>
  </si>
  <si>
    <t xml:space="preserve">20. Parent PLUS Loan </t>
  </si>
  <si>
    <r>
      <t xml:space="preserve">              </t>
    </r>
    <r>
      <rPr>
        <i/>
        <sz val="11"/>
        <rFont val="Garamond"/>
        <family val="1"/>
      </rPr>
      <t>Subtotal A – Total Charges</t>
    </r>
  </si>
  <si>
    <r>
      <t xml:space="preserve">             </t>
    </r>
    <r>
      <rPr>
        <i/>
        <sz val="11"/>
        <rFont val="Garamond"/>
        <family val="1"/>
      </rPr>
      <t>Subtotal C- Total Payments</t>
    </r>
  </si>
  <si>
    <t xml:space="preserve">Fall </t>
  </si>
  <si>
    <t xml:space="preserve">Spring </t>
  </si>
  <si>
    <t xml:space="preserve">Payments </t>
  </si>
  <si>
    <t>Charges - See Worksheet Instructions</t>
  </si>
  <si>
    <t xml:space="preserve">18. TMS Monthly Payment Plan </t>
  </si>
  <si>
    <t xml:space="preserve">Please contact the Offices of Student Accounts or Financial Aid with any questions. </t>
  </si>
  <si>
    <t>studentaccounts@enc.edu 866-532-3669, financialaid@enc.edu 617-745-3712</t>
  </si>
  <si>
    <t xml:space="preserve"> </t>
  </si>
  <si>
    <t>19. Other Loan -Name___________________</t>
  </si>
  <si>
    <t>15. State Grant</t>
  </si>
  <si>
    <t>22. Cash, Check or Credit Card Payments</t>
  </si>
  <si>
    <r>
      <t xml:space="preserve">  7. </t>
    </r>
    <r>
      <rPr>
        <sz val="10"/>
        <rFont val="Garamond"/>
        <family val="1"/>
      </rPr>
      <t>Prior Balance Owed</t>
    </r>
  </si>
  <si>
    <t xml:space="preserve">Name: </t>
  </si>
  <si>
    <r>
      <t>17.</t>
    </r>
    <r>
      <rPr>
        <sz val="10"/>
        <rFont val="Garamond"/>
        <family val="1"/>
      </rPr>
      <t xml:space="preserve"> </t>
    </r>
    <r>
      <rPr>
        <sz val="9"/>
        <rFont val="Garamond"/>
        <family val="1"/>
      </rPr>
      <t>Admission Dep./Credit Balance from prior term</t>
    </r>
  </si>
  <si>
    <t xml:space="preserve">  3. Room &amp; Board </t>
  </si>
  <si>
    <r>
      <t xml:space="preserve">  4. </t>
    </r>
    <r>
      <rPr>
        <sz val="9"/>
        <rFont val="Garamond"/>
        <family val="1"/>
      </rPr>
      <t>Rm Damage/Rm &amp; Lock/Mailbox Key Deposits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</si>
</sst>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8" x14ac:knownFonts="1">
    <font>
      <sz val="10"/>
      <name val="Arial"/>
    </font>
    <font>
      <sz val="10"/>
      <name val="Arial"/>
      <family val="2"/>
    </font>
    <font>
      <b/>
      <sz val="12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Arial"/>
      <family val="2"/>
    </font>
    <font>
      <sz val="18"/>
      <name val="Arial"/>
      <family val="2"/>
    </font>
    <font>
      <sz val="16"/>
      <name val="Garamond"/>
      <family val="1"/>
    </font>
    <font>
      <sz val="10"/>
      <name val="Garamond"/>
      <family val="1"/>
    </font>
    <font>
      <sz val="12"/>
      <name val="Garamond"/>
      <family val="1"/>
    </font>
    <font>
      <b/>
      <sz val="12"/>
      <name val="Garamond"/>
      <family val="1"/>
    </font>
    <font>
      <sz val="11"/>
      <name val="Garamond"/>
      <family val="1"/>
    </font>
    <font>
      <sz val="8"/>
      <name val="Garamond"/>
      <family val="1"/>
    </font>
    <font>
      <i/>
      <sz val="11"/>
      <name val="Garamond"/>
      <family val="1"/>
    </font>
    <font>
      <b/>
      <sz val="11"/>
      <name val="Garamond"/>
      <family val="1"/>
    </font>
    <font>
      <b/>
      <u/>
      <sz val="11"/>
      <name val="Garamond"/>
      <family val="1"/>
    </font>
    <font>
      <sz val="9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6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top" wrapText="1"/>
    </xf>
    <xf numFmtId="44" fontId="3" fillId="0" borderId="0" xfId="1" applyFont="1" applyBorder="1" applyAlignment="1">
      <alignment horizontal="right" vertical="top" wrapText="1"/>
    </xf>
    <xf numFmtId="44" fontId="3" fillId="0" borderId="0" xfId="1" applyFont="1" applyBorder="1" applyAlignment="1">
      <alignment horizontal="right" vertical="center" wrapText="1"/>
    </xf>
    <xf numFmtId="44" fontId="2" fillId="0" borderId="0" xfId="1" applyFont="1" applyBorder="1" applyAlignment="1">
      <alignment horizontal="center" vertical="top" wrapText="1"/>
    </xf>
    <xf numFmtId="44" fontId="4" fillId="0" borderId="0" xfId="1" applyFont="1" applyBorder="1" applyAlignment="1">
      <alignment horizontal="right" vertical="top" wrapText="1"/>
    </xf>
    <xf numFmtId="0" fontId="8" fillId="0" borderId="3" xfId="0" applyFont="1" applyBorder="1" applyAlignment="1">
      <alignment shrinkToFit="1"/>
    </xf>
    <xf numFmtId="14" fontId="9" fillId="0" borderId="3" xfId="0" applyNumberFormat="1" applyFont="1" applyBorder="1" applyAlignment="1">
      <alignment horizontal="left"/>
    </xf>
    <xf numFmtId="0" fontId="9" fillId="0" borderId="3" xfId="0" applyFont="1" applyBorder="1"/>
    <xf numFmtId="0" fontId="10" fillId="0" borderId="3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left" vertical="center" wrapText="1"/>
    </xf>
    <xf numFmtId="44" fontId="9" fillId="0" borderId="2" xfId="1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44" fontId="9" fillId="0" borderId="5" xfId="1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44" fontId="9" fillId="0" borderId="6" xfId="1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44" fontId="9" fillId="0" borderId="2" xfId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44" fontId="9" fillId="0" borderId="8" xfId="1" applyFont="1" applyBorder="1" applyAlignment="1">
      <alignment horizontal="center" vertical="center" wrapText="1"/>
    </xf>
    <xf numFmtId="44" fontId="9" fillId="0" borderId="8" xfId="1" applyFont="1" applyBorder="1" applyAlignment="1">
      <alignment horizontal="left" vertical="center" wrapText="1"/>
    </xf>
    <xf numFmtId="0" fontId="12" fillId="0" borderId="7" xfId="0" applyFont="1" applyFill="1" applyBorder="1" applyAlignment="1">
      <alignment horizontal="left" vertical="center" wrapText="1"/>
    </xf>
    <xf numFmtId="44" fontId="9" fillId="0" borderId="6" xfId="1" applyFont="1" applyBorder="1" applyAlignment="1">
      <alignment horizontal="center" vertical="center" wrapText="1"/>
    </xf>
    <xf numFmtId="0" fontId="14" fillId="0" borderId="14" xfId="0" applyFont="1" applyBorder="1" applyAlignment="1">
      <alignment vertical="top" wrapText="1"/>
    </xf>
    <xf numFmtId="44" fontId="9" fillId="0" borderId="6" xfId="1" applyFont="1" applyBorder="1" applyAlignment="1">
      <alignment horizontal="left" vertical="top" wrapText="1"/>
    </xf>
    <xf numFmtId="44" fontId="11" fillId="0" borderId="2" xfId="1" applyFont="1" applyBorder="1" applyAlignment="1">
      <alignment horizontal="center" vertical="top" wrapText="1"/>
    </xf>
    <xf numFmtId="0" fontId="12" fillId="0" borderId="4" xfId="0" applyFont="1" applyBorder="1" applyAlignment="1">
      <alignment vertical="center" wrapText="1"/>
    </xf>
    <xf numFmtId="44" fontId="9" fillId="0" borderId="2" xfId="1" applyNumberFormat="1" applyFont="1" applyBorder="1" applyAlignment="1">
      <alignment horizontal="left" vertical="center" wrapText="1"/>
    </xf>
    <xf numFmtId="0" fontId="12" fillId="0" borderId="8" xfId="0" applyFont="1" applyBorder="1" applyAlignment="1">
      <alignment vertical="center" wrapText="1"/>
    </xf>
    <xf numFmtId="44" fontId="9" fillId="0" borderId="6" xfId="1" applyNumberFormat="1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44" fontId="13" fillId="0" borderId="8" xfId="1" applyNumberFormat="1" applyFont="1" applyFill="1" applyBorder="1" applyAlignment="1">
      <alignment horizontal="center" vertical="center" wrapText="1"/>
    </xf>
    <xf numFmtId="44" fontId="13" fillId="0" borderId="2" xfId="1" applyNumberFormat="1" applyFont="1" applyFill="1" applyBorder="1" applyAlignment="1">
      <alignment horizontal="center" vertical="center" wrapText="1"/>
    </xf>
    <xf numFmtId="44" fontId="11" fillId="0" borderId="2" xfId="1" applyFont="1" applyBorder="1" applyAlignment="1">
      <alignment horizontal="center" vertical="center" wrapText="1"/>
    </xf>
    <xf numFmtId="0" fontId="11" fillId="0" borderId="4" xfId="0" applyFont="1" applyBorder="1" applyAlignment="1">
      <alignment vertical="center" wrapText="1"/>
    </xf>
    <xf numFmtId="44" fontId="9" fillId="0" borderId="8" xfId="1" applyFont="1" applyFill="1" applyBorder="1" applyAlignment="1">
      <alignment horizontal="left" vertical="center" wrapText="1"/>
    </xf>
    <xf numFmtId="44" fontId="12" fillId="2" borderId="6" xfId="1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top" textRotation="180" shrinkToFi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0</xdr:rowOff>
    </xdr:from>
    <xdr:to>
      <xdr:col>3</xdr:col>
      <xdr:colOff>1171575</xdr:colOff>
      <xdr:row>1</xdr:row>
      <xdr:rowOff>276225</xdr:rowOff>
    </xdr:to>
    <xdr:grpSp>
      <xdr:nvGrpSpPr>
        <xdr:cNvPr id="1075" name="Group 5"/>
        <xdr:cNvGrpSpPr>
          <a:grpSpLocks noChangeAspect="1"/>
        </xdr:cNvGrpSpPr>
      </xdr:nvGrpSpPr>
      <xdr:grpSpPr bwMode="auto">
        <a:xfrm>
          <a:off x="19050" y="0"/>
          <a:ext cx="5906366" cy="1029566"/>
          <a:chOff x="2" y="0"/>
          <a:chExt cx="618" cy="111"/>
        </a:xfrm>
      </xdr:grpSpPr>
      <xdr:sp macro="" textlink="">
        <xdr:nvSpPr>
          <xdr:cNvPr id="1077" name="AutoShape 4"/>
          <xdr:cNvSpPr>
            <a:spLocks noChangeAspect="1" noChangeArrowheads="1"/>
          </xdr:cNvSpPr>
        </xdr:nvSpPr>
        <xdr:spPr bwMode="auto">
          <a:xfrm>
            <a:off x="2" y="1"/>
            <a:ext cx="618" cy="110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</xdr:spPr>
      </xdr:sp>
      <xdr:sp macro="" textlink="">
        <xdr:nvSpPr>
          <xdr:cNvPr id="1033" name="Rectangle 9"/>
          <xdr:cNvSpPr>
            <a:spLocks noChangeArrowheads="1"/>
          </xdr:cNvSpPr>
        </xdr:nvSpPr>
        <xdr:spPr bwMode="auto">
          <a:xfrm>
            <a:off x="364" y="0"/>
            <a:ext cx="1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400" b="0" i="0" strike="noStrike">
                <a:solidFill>
                  <a:srgbClr val="000000"/>
                </a:solidFill>
                <a:latin typeface="Albertus Extra Bold"/>
              </a:rPr>
              <a:t> </a:t>
            </a:r>
          </a:p>
        </xdr:txBody>
      </xdr:sp>
      <xdr:sp macro="" textlink="">
        <xdr:nvSpPr>
          <xdr:cNvPr id="1079" name="Rectangle 10"/>
          <xdr:cNvSpPr>
            <a:spLocks noChangeArrowheads="1"/>
          </xdr:cNvSpPr>
        </xdr:nvSpPr>
        <xdr:spPr bwMode="auto">
          <a:xfrm>
            <a:off x="190" y="23"/>
            <a:ext cx="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1040" name="Rectangle 16"/>
          <xdr:cNvSpPr>
            <a:spLocks noChangeArrowheads="1"/>
          </xdr:cNvSpPr>
        </xdr:nvSpPr>
        <xdr:spPr bwMode="auto">
          <a:xfrm>
            <a:off x="435" y="23"/>
            <a:ext cx="1" cy="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400" b="0" i="0" strike="noStrike">
                <a:solidFill>
                  <a:srgbClr val="000000"/>
                </a:solidFill>
                <a:latin typeface="Albertus Extra Bold"/>
              </a:rPr>
              <a:t> </a:t>
            </a:r>
          </a:p>
        </xdr:txBody>
      </xdr:sp>
      <xdr:sp macro="" textlink="">
        <xdr:nvSpPr>
          <xdr:cNvPr id="1041" name="Rectangle 17"/>
          <xdr:cNvSpPr>
            <a:spLocks noChangeArrowheads="1"/>
          </xdr:cNvSpPr>
        </xdr:nvSpPr>
        <xdr:spPr bwMode="auto">
          <a:xfrm>
            <a:off x="91" y="47"/>
            <a:ext cx="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strike="noStrike">
                <a:solidFill>
                  <a:srgbClr val="000000"/>
                </a:solidFill>
                <a:latin typeface="Albertus Extra Bold"/>
              </a:rPr>
              <a:t> </a:t>
            </a:r>
          </a:p>
        </xdr:txBody>
      </xdr:sp>
      <xdr:sp macro="" textlink="">
        <xdr:nvSpPr>
          <xdr:cNvPr id="1052" name="Rectangle 28"/>
          <xdr:cNvSpPr>
            <a:spLocks noChangeArrowheads="1"/>
          </xdr:cNvSpPr>
        </xdr:nvSpPr>
        <xdr:spPr bwMode="auto">
          <a:xfrm>
            <a:off x="533" y="45"/>
            <a:ext cx="1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Albertus Medium"/>
              </a:rPr>
              <a:t> </a:t>
            </a:r>
          </a:p>
        </xdr:txBody>
      </xdr:sp>
      <xdr:sp macro="" textlink="">
        <xdr:nvSpPr>
          <xdr:cNvPr id="1054" name="Rectangle 30"/>
          <xdr:cNvSpPr>
            <a:spLocks noChangeArrowheads="1"/>
          </xdr:cNvSpPr>
        </xdr:nvSpPr>
        <xdr:spPr bwMode="auto">
          <a:xfrm>
            <a:off x="535" y="64"/>
            <a:ext cx="1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Albertus Medium"/>
              </a:rPr>
              <a:t> </a:t>
            </a:r>
          </a:p>
        </xdr:txBody>
      </xdr:sp>
      <xdr:sp macro="" textlink="">
        <xdr:nvSpPr>
          <xdr:cNvPr id="1056" name="Rectangle 32"/>
          <xdr:cNvSpPr>
            <a:spLocks noChangeArrowheads="1"/>
          </xdr:cNvSpPr>
        </xdr:nvSpPr>
        <xdr:spPr bwMode="auto">
          <a:xfrm>
            <a:off x="520" y="83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200" b="0" i="0" strike="noStrike">
                <a:solidFill>
                  <a:srgbClr val="000000"/>
                </a:solidFill>
                <a:latin typeface="Times New Roman"/>
                <a:cs typeface="Times New Roman"/>
              </a:rPr>
              <a:t> </a:t>
            </a:r>
          </a:p>
        </xdr:txBody>
      </xdr:sp>
    </xdr:grpSp>
    <xdr:clientData/>
  </xdr:twoCellAnchor>
  <xdr:twoCellAnchor>
    <xdr:from>
      <xdr:col>0</xdr:col>
      <xdr:colOff>1003300</xdr:colOff>
      <xdr:row>0</xdr:row>
      <xdr:rowOff>12700</xdr:rowOff>
    </xdr:from>
    <xdr:to>
      <xdr:col>3</xdr:col>
      <xdr:colOff>311150</xdr:colOff>
      <xdr:row>1</xdr:row>
      <xdr:rowOff>273050</xdr:rowOff>
    </xdr:to>
    <xdr:sp macro="" textlink="">
      <xdr:nvSpPr>
        <xdr:cNvPr id="15" name="TextBox 14"/>
        <xdr:cNvSpPr txBox="1"/>
      </xdr:nvSpPr>
      <xdr:spPr>
        <a:xfrm>
          <a:off x="1003300" y="12700"/>
          <a:ext cx="4064000" cy="1060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en-US" sz="1400" b="1">
              <a:latin typeface="Garamond" pitchFamily="18" charset="0"/>
            </a:rPr>
            <a:t>Fall 2013/Spring 2014</a:t>
          </a:r>
        </a:p>
        <a:p>
          <a:pPr algn="ctr"/>
          <a:r>
            <a:rPr lang="en-US" sz="1400" b="1">
              <a:latin typeface="Garamond" pitchFamily="18" charset="0"/>
            </a:rPr>
            <a:t>Eastern Nazarene College</a:t>
          </a:r>
        </a:p>
        <a:p>
          <a:pPr algn="ctr"/>
          <a:r>
            <a:rPr lang="en-US" sz="1400" b="1" baseline="0">
              <a:latin typeface="Garamond" pitchFamily="18" charset="0"/>
            </a:rPr>
            <a:t>Budget Worksheet</a:t>
          </a:r>
        </a:p>
        <a:p>
          <a:pPr algn="ctr"/>
          <a:r>
            <a:rPr lang="en-US" sz="1200" baseline="0">
              <a:latin typeface="Garamond" pitchFamily="18" charset="0"/>
            </a:rPr>
            <a:t>*Use the accompanying instruction sheet to complete this form*</a:t>
          </a:r>
          <a:endParaRPr lang="en-US" sz="1200">
            <a:latin typeface="Garamond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tabSelected="1" zoomScale="110" zoomScaleNormal="110" workbookViewId="0">
      <selection activeCell="B8" sqref="B8"/>
    </sheetView>
  </sheetViews>
  <sheetFormatPr defaultColWidth="40.85546875" defaultRowHeight="16.5" customHeight="1" x14ac:dyDescent="0.2"/>
  <cols>
    <col min="1" max="1" width="39.85546875" bestFit="1" customWidth="1"/>
    <col min="2" max="3" width="15.7109375" customWidth="1"/>
    <col min="4" max="4" width="17.7109375" customWidth="1"/>
    <col min="5" max="5" width="0.7109375" customWidth="1"/>
    <col min="6" max="6" width="6.5703125" customWidth="1"/>
    <col min="7" max="7" width="12.140625" customWidth="1"/>
    <col min="8" max="8" width="9.28515625" bestFit="1" customWidth="1"/>
    <col min="9" max="9" width="5.140625" bestFit="1" customWidth="1"/>
    <col min="10" max="10" width="6.28515625" bestFit="1" customWidth="1"/>
  </cols>
  <sheetData>
    <row r="1" spans="1:7" ht="59.25" customHeight="1" x14ac:dyDescent="0.2">
      <c r="G1" s="1"/>
    </row>
    <row r="2" spans="1:7" ht="37.5" customHeight="1" x14ac:dyDescent="0.35">
      <c r="A2" s="8" t="s">
        <v>36</v>
      </c>
      <c r="B2" s="9" t="s">
        <v>31</v>
      </c>
      <c r="C2" s="10" t="s">
        <v>4</v>
      </c>
      <c r="D2" s="11"/>
      <c r="E2" s="2"/>
      <c r="F2" s="40"/>
    </row>
    <row r="3" spans="1:7" ht="16.5" customHeight="1" x14ac:dyDescent="0.2">
      <c r="A3" s="19" t="s">
        <v>27</v>
      </c>
      <c r="B3" s="12" t="s">
        <v>7</v>
      </c>
      <c r="C3" s="12" t="s">
        <v>0</v>
      </c>
      <c r="D3" s="12" t="s">
        <v>1</v>
      </c>
      <c r="E3" s="3"/>
      <c r="F3" s="40"/>
    </row>
    <row r="4" spans="1:7" ht="16.5" customHeight="1" x14ac:dyDescent="0.2">
      <c r="A4" s="13" t="s">
        <v>12</v>
      </c>
      <c r="B4" s="14">
        <v>13491</v>
      </c>
      <c r="C4" s="14">
        <v>13491</v>
      </c>
      <c r="D4" s="14">
        <f t="shared" ref="D4:D10" si="0">SUM(B4:C4)</f>
        <v>26982</v>
      </c>
      <c r="E4" s="4"/>
      <c r="F4" s="40"/>
    </row>
    <row r="5" spans="1:7" ht="16.5" customHeight="1" x14ac:dyDescent="0.2">
      <c r="A5" s="13" t="s">
        <v>11</v>
      </c>
      <c r="B5" s="14">
        <v>470</v>
      </c>
      <c r="C5" s="14">
        <v>470</v>
      </c>
      <c r="D5" s="14">
        <f t="shared" si="0"/>
        <v>940</v>
      </c>
      <c r="E5" s="4"/>
      <c r="F5" s="40"/>
    </row>
    <row r="6" spans="1:7" ht="16.5" customHeight="1" thickBot="1" x14ac:dyDescent="0.25">
      <c r="A6" s="21" t="s">
        <v>38</v>
      </c>
      <c r="B6" s="14">
        <v>4350</v>
      </c>
      <c r="C6" s="14">
        <v>4350</v>
      </c>
      <c r="D6" s="16">
        <f t="shared" si="0"/>
        <v>8700</v>
      </c>
      <c r="E6" s="5"/>
      <c r="F6" s="40"/>
    </row>
    <row r="7" spans="1:7" ht="16.5" customHeight="1" thickBot="1" x14ac:dyDescent="0.25">
      <c r="A7" s="21" t="s">
        <v>39</v>
      </c>
      <c r="B7" s="23">
        <v>285</v>
      </c>
      <c r="C7" s="34">
        <v>0</v>
      </c>
      <c r="D7" s="16">
        <f t="shared" si="0"/>
        <v>285</v>
      </c>
      <c r="E7" s="4"/>
      <c r="F7" s="40"/>
    </row>
    <row r="8" spans="1:7" ht="15.75" thickBot="1" x14ac:dyDescent="0.25">
      <c r="A8" s="13" t="s">
        <v>10</v>
      </c>
      <c r="B8" s="14">
        <v>0</v>
      </c>
      <c r="C8" s="35"/>
      <c r="D8" s="16">
        <f t="shared" si="0"/>
        <v>0</v>
      </c>
      <c r="E8" s="4"/>
      <c r="F8" s="40"/>
    </row>
    <row r="9" spans="1:7" ht="16.5" customHeight="1" thickBot="1" x14ac:dyDescent="0.25">
      <c r="A9" s="13" t="s">
        <v>9</v>
      </c>
      <c r="B9" s="14">
        <v>0</v>
      </c>
      <c r="C9" s="14">
        <v>0</v>
      </c>
      <c r="D9" s="16">
        <f t="shared" si="0"/>
        <v>0</v>
      </c>
      <c r="E9" s="4"/>
      <c r="F9" s="40"/>
    </row>
    <row r="10" spans="1:7" ht="16.5" customHeight="1" thickBot="1" x14ac:dyDescent="0.25">
      <c r="A10" s="15" t="s">
        <v>35</v>
      </c>
      <c r="B10" s="16">
        <v>0</v>
      </c>
      <c r="C10" s="16">
        <v>0</v>
      </c>
      <c r="D10" s="16">
        <f t="shared" si="0"/>
        <v>0</v>
      </c>
      <c r="E10" s="4"/>
      <c r="F10" s="40"/>
    </row>
    <row r="11" spans="1:7" ht="16.5" customHeight="1" thickBot="1" x14ac:dyDescent="0.25">
      <c r="A11" s="17" t="s">
        <v>22</v>
      </c>
      <c r="B11" s="18">
        <f>SUM(B4:B10)</f>
        <v>18596</v>
      </c>
      <c r="C11" s="18">
        <f>SUM(C4:C10)</f>
        <v>18311</v>
      </c>
      <c r="D11" s="18">
        <f>SUM(D4:D10)</f>
        <v>36907</v>
      </c>
      <c r="E11" s="4"/>
      <c r="F11" s="40"/>
    </row>
    <row r="12" spans="1:7" ht="16.5" customHeight="1" thickTop="1" x14ac:dyDescent="0.2">
      <c r="A12" s="19" t="s">
        <v>5</v>
      </c>
      <c r="B12" s="36" t="s">
        <v>24</v>
      </c>
      <c r="C12" s="36" t="s">
        <v>25</v>
      </c>
      <c r="D12" s="36" t="s">
        <v>1</v>
      </c>
      <c r="E12" s="6"/>
      <c r="F12" s="40"/>
    </row>
    <row r="13" spans="1:7" ht="16.5" customHeight="1" x14ac:dyDescent="0.2">
      <c r="A13" s="13" t="s">
        <v>13</v>
      </c>
      <c r="B13" s="20">
        <v>0</v>
      </c>
      <c r="C13" s="14">
        <v>0</v>
      </c>
      <c r="D13" s="14">
        <f t="shared" ref="D13:D21" si="1">SUM(B13:C13)</f>
        <v>0</v>
      </c>
      <c r="E13" s="4"/>
      <c r="F13" s="40"/>
    </row>
    <row r="14" spans="1:7" ht="16.5" customHeight="1" x14ac:dyDescent="0.2">
      <c r="A14" s="13" t="s">
        <v>14</v>
      </c>
      <c r="B14" s="20">
        <v>0</v>
      </c>
      <c r="C14" s="14">
        <v>0</v>
      </c>
      <c r="D14" s="14">
        <f t="shared" si="1"/>
        <v>0</v>
      </c>
      <c r="E14" s="4"/>
      <c r="F14" s="40"/>
    </row>
    <row r="15" spans="1:7" ht="16.5" customHeight="1" x14ac:dyDescent="0.2">
      <c r="A15" s="13" t="s">
        <v>15</v>
      </c>
      <c r="B15" s="20">
        <v>0</v>
      </c>
      <c r="C15" s="14">
        <v>0</v>
      </c>
      <c r="D15" s="14">
        <f t="shared" si="1"/>
        <v>0</v>
      </c>
      <c r="E15" s="4"/>
      <c r="F15" s="40"/>
    </row>
    <row r="16" spans="1:7" ht="16.5" customHeight="1" x14ac:dyDescent="0.2">
      <c r="A16" s="13" t="s">
        <v>16</v>
      </c>
      <c r="B16" s="20">
        <v>0</v>
      </c>
      <c r="C16" s="14">
        <v>0</v>
      </c>
      <c r="D16" s="14">
        <f t="shared" si="1"/>
        <v>0</v>
      </c>
      <c r="E16" s="4"/>
    </row>
    <row r="17" spans="1:7" ht="16.5" customHeight="1" x14ac:dyDescent="0.2">
      <c r="A17" s="13" t="s">
        <v>17</v>
      </c>
      <c r="B17" s="20">
        <v>0</v>
      </c>
      <c r="C17" s="14">
        <v>0</v>
      </c>
      <c r="D17" s="14">
        <f t="shared" si="1"/>
        <v>0</v>
      </c>
      <c r="E17" s="4"/>
    </row>
    <row r="18" spans="1:7" ht="16.5" customHeight="1" x14ac:dyDescent="0.2">
      <c r="A18" s="13" t="s">
        <v>18</v>
      </c>
      <c r="B18" s="20">
        <v>0</v>
      </c>
      <c r="C18" s="14">
        <v>0</v>
      </c>
      <c r="D18" s="14">
        <f t="shared" si="1"/>
        <v>0</v>
      </c>
      <c r="E18" s="4"/>
    </row>
    <row r="19" spans="1:7" ht="16.5" customHeight="1" x14ac:dyDescent="0.2">
      <c r="A19" s="13" t="s">
        <v>19</v>
      </c>
      <c r="B19" s="20">
        <v>0</v>
      </c>
      <c r="C19" s="14">
        <v>0</v>
      </c>
      <c r="D19" s="14">
        <f t="shared" si="1"/>
        <v>0</v>
      </c>
      <c r="E19" s="4"/>
    </row>
    <row r="20" spans="1:7" ht="16.5" customHeight="1" x14ac:dyDescent="0.2">
      <c r="A20" s="21" t="s">
        <v>33</v>
      </c>
      <c r="B20" s="22">
        <v>0</v>
      </c>
      <c r="C20" s="23">
        <v>0</v>
      </c>
      <c r="D20" s="14">
        <f t="shared" si="1"/>
        <v>0</v>
      </c>
      <c r="E20" s="4"/>
    </row>
    <row r="21" spans="1:7" ht="16.5" customHeight="1" thickBot="1" x14ac:dyDescent="0.25">
      <c r="A21" s="24" t="s">
        <v>8</v>
      </c>
      <c r="B21" s="25">
        <v>0</v>
      </c>
      <c r="C21" s="18">
        <v>0</v>
      </c>
      <c r="D21" s="14">
        <f t="shared" si="1"/>
        <v>0</v>
      </c>
      <c r="E21" s="4"/>
    </row>
    <row r="22" spans="1:7" ht="16.5" customHeight="1" thickTop="1" thickBot="1" x14ac:dyDescent="0.25">
      <c r="A22" s="26" t="s">
        <v>2</v>
      </c>
      <c r="B22" s="27">
        <f>SUM(B13:B21)</f>
        <v>0</v>
      </c>
      <c r="C22" s="27">
        <f>SUM(C13:C21)</f>
        <v>0</v>
      </c>
      <c r="D22" s="27">
        <f>SUM(D13:D21)</f>
        <v>0</v>
      </c>
      <c r="E22" s="4"/>
    </row>
    <row r="23" spans="1:7" ht="16.5" customHeight="1" x14ac:dyDescent="0.2">
      <c r="A23" s="37" t="s">
        <v>26</v>
      </c>
      <c r="B23" s="28" t="s">
        <v>7</v>
      </c>
      <c r="C23" s="28" t="s">
        <v>0</v>
      </c>
      <c r="D23" s="28" t="s">
        <v>1</v>
      </c>
      <c r="E23" s="6"/>
    </row>
    <row r="24" spans="1:7" ht="16.5" customHeight="1" thickBot="1" x14ac:dyDescent="0.25">
      <c r="A24" s="29" t="s">
        <v>37</v>
      </c>
      <c r="B24" s="30">
        <v>0</v>
      </c>
      <c r="C24" s="14">
        <v>0</v>
      </c>
      <c r="D24" s="32">
        <f t="shared" ref="D24:D30" si="2">SUM(B24:C24)</f>
        <v>0</v>
      </c>
      <c r="E24" s="4"/>
    </row>
    <row r="25" spans="1:7" ht="16.5" customHeight="1" thickTop="1" thickBot="1" x14ac:dyDescent="0.25">
      <c r="A25" s="29" t="s">
        <v>28</v>
      </c>
      <c r="B25" s="30"/>
      <c r="C25" s="14">
        <v>0</v>
      </c>
      <c r="D25" s="32">
        <f t="shared" si="2"/>
        <v>0</v>
      </c>
      <c r="E25" s="4"/>
    </row>
    <row r="26" spans="1:7" ht="16.5" customHeight="1" thickTop="1" thickBot="1" x14ac:dyDescent="0.25">
      <c r="A26" s="29" t="s">
        <v>32</v>
      </c>
      <c r="B26" s="14">
        <v>0</v>
      </c>
      <c r="C26" s="14">
        <v>0</v>
      </c>
      <c r="D26" s="32">
        <f t="shared" si="2"/>
        <v>0</v>
      </c>
      <c r="E26" s="4"/>
    </row>
    <row r="27" spans="1:7" ht="16.5" customHeight="1" thickTop="1" thickBot="1" x14ac:dyDescent="0.25">
      <c r="A27" s="29" t="s">
        <v>21</v>
      </c>
      <c r="B27" s="14">
        <v>0</v>
      </c>
      <c r="C27" s="14">
        <v>0</v>
      </c>
      <c r="D27" s="32">
        <f t="shared" si="2"/>
        <v>0</v>
      </c>
      <c r="E27" s="4"/>
    </row>
    <row r="28" spans="1:7" ht="16.5" customHeight="1" thickTop="1" thickBot="1" x14ac:dyDescent="0.25">
      <c r="A28" s="31" t="s">
        <v>20</v>
      </c>
      <c r="B28" s="38">
        <v>0</v>
      </c>
      <c r="C28" s="38">
        <v>0</v>
      </c>
      <c r="D28" s="32">
        <f t="shared" si="2"/>
        <v>0</v>
      </c>
      <c r="E28" s="5"/>
    </row>
    <row r="29" spans="1:7" ht="16.5" customHeight="1" thickTop="1" thickBot="1" x14ac:dyDescent="0.25">
      <c r="A29" s="17" t="s">
        <v>34</v>
      </c>
      <c r="B29" s="14">
        <v>0</v>
      </c>
      <c r="C29" s="14">
        <v>0</v>
      </c>
      <c r="D29" s="32">
        <f t="shared" si="2"/>
        <v>0</v>
      </c>
      <c r="E29" s="4"/>
      <c r="G29" t="s">
        <v>31</v>
      </c>
    </row>
    <row r="30" spans="1:7" ht="16.5" customHeight="1" thickTop="1" thickBot="1" x14ac:dyDescent="0.25">
      <c r="A30" s="17" t="s">
        <v>23</v>
      </c>
      <c r="B30" s="18">
        <f>SUM(B24:B29)</f>
        <v>0</v>
      </c>
      <c r="C30" s="18">
        <f>SUM(C24:C29)</f>
        <v>0</v>
      </c>
      <c r="D30" s="32">
        <f t="shared" si="2"/>
        <v>0</v>
      </c>
      <c r="E30" s="4"/>
    </row>
    <row r="31" spans="1:7" ht="16.5" customHeight="1" thickTop="1" thickBot="1" x14ac:dyDescent="0.25">
      <c r="A31" s="33" t="s">
        <v>3</v>
      </c>
      <c r="B31" s="39">
        <f>SUM(B11-B22)-B30</f>
        <v>18596</v>
      </c>
      <c r="C31" s="39">
        <f>SUM(C11-C22)-C30</f>
        <v>18311</v>
      </c>
      <c r="D31" s="39">
        <f>SUM(D11-D22)-D30</f>
        <v>36907</v>
      </c>
      <c r="E31" s="4"/>
    </row>
    <row r="32" spans="1:7" ht="16.5" customHeight="1" thickTop="1" thickBot="1" x14ac:dyDescent="0.25">
      <c r="A32" s="41"/>
      <c r="B32" s="42"/>
      <c r="C32" s="42"/>
      <c r="D32" s="43"/>
      <c r="E32" s="7"/>
    </row>
    <row r="33" spans="1:5" ht="18" customHeight="1" thickTop="1" x14ac:dyDescent="0.25">
      <c r="A33" s="44" t="s">
        <v>6</v>
      </c>
      <c r="B33" s="44"/>
      <c r="C33" s="44"/>
      <c r="D33" s="44"/>
      <c r="E33" s="7"/>
    </row>
    <row r="34" spans="1:5" ht="20.25" customHeight="1" x14ac:dyDescent="0.2">
      <c r="A34" s="45" t="s">
        <v>29</v>
      </c>
      <c r="B34" s="45"/>
      <c r="C34" s="45"/>
      <c r="D34" s="45"/>
    </row>
    <row r="35" spans="1:5" ht="18" customHeight="1" x14ac:dyDescent="0.2">
      <c r="A35" s="45" t="s">
        <v>30</v>
      </c>
      <c r="B35" s="45"/>
      <c r="C35" s="45"/>
      <c r="D35" s="45"/>
    </row>
  </sheetData>
  <mergeCells count="5">
    <mergeCell ref="F2:F15"/>
    <mergeCell ref="A32:D32"/>
    <mergeCell ref="A33:D33"/>
    <mergeCell ref="A34:D34"/>
    <mergeCell ref="A35:D35"/>
  </mergeCells>
  <phoneticPr fontId="0" type="noConversion"/>
  <printOptions horizontalCentered="1"/>
  <pageMargins left="0.75" right="0.75" top="1" bottom="1" header="0.5" footer="0.5"/>
  <pageSetup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09-10 Excel Payment Contract worksheet</dc:title>
  <dc:creator>Parker Dana</dc:creator>
  <cp:lastModifiedBy>Vasquez, Melinda I</cp:lastModifiedBy>
  <cp:lastPrinted>2012-11-26T16:11:44Z</cp:lastPrinted>
  <dcterms:created xsi:type="dcterms:W3CDTF">2004-08-02T13:33:03Z</dcterms:created>
  <dcterms:modified xsi:type="dcterms:W3CDTF">2013-03-05T19:18:17Z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ktContentLanguage">
    <vt:i4>1033</vt:i4>
  </property>
  <property fmtid="{D5CDD505-2E9C-101B-9397-08002B2CF9AE}" pid="3" name="EktQuickLink">
    <vt:lpwstr>DownloadAsset.aspx?id=965</vt:lpwstr>
  </property>
  <property fmtid="{D5CDD505-2E9C-101B-9397-08002B2CF9AE}" pid="4" name="EktContentType">
    <vt:i4>101</vt:i4>
  </property>
  <property fmtid="{D5CDD505-2E9C-101B-9397-08002B2CF9AE}" pid="5" name="EktFolderName">
    <vt:lpwstr/>
  </property>
  <property fmtid="{D5CDD505-2E9C-101B-9397-08002B2CF9AE}" pid="6" name="EktCmsPath">
    <vt:lpwstr/>
  </property>
  <property fmtid="{D5CDD505-2E9C-101B-9397-08002B2CF9AE}" pid="7" name="EktExpiryType">
    <vt:i4>1</vt:i4>
  </property>
  <property fmtid="{D5CDD505-2E9C-101B-9397-08002B2CF9AE}" pid="8" name="EktDateCreated">
    <vt:filetime>2009-08-14T15:53:59Z</vt:filetime>
  </property>
  <property fmtid="{D5CDD505-2E9C-101B-9397-08002B2CF9AE}" pid="9" name="EktDateModified">
    <vt:filetime>2009-08-14T17:32:16Z</vt:filetime>
  </property>
  <property fmtid="{D5CDD505-2E9C-101B-9397-08002B2CF9AE}" pid="10" name="EktTaxCategory">
    <vt:lpwstr/>
  </property>
  <property fmtid="{D5CDD505-2E9C-101B-9397-08002B2CF9AE}" pid="11" name="EktCmsSize">
    <vt:i4>43520</vt:i4>
  </property>
  <property fmtid="{D5CDD505-2E9C-101B-9397-08002B2CF9AE}" pid="12" name="EktSearchable">
    <vt:i4>1</vt:i4>
  </property>
  <property fmtid="{D5CDD505-2E9C-101B-9397-08002B2CF9AE}" pid="13" name="EktEDescription">
    <vt:lpwstr>&amp;lt;p&amp;gt;This excel document will help you crunch the numbers for your payment contract worksheet.&amp;#160; Use this along with the Full Payment Contract pdf for best results.&amp;lt;/p&amp;gt;</vt:lpwstr>
  </property>
</Properties>
</file>