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7680" windowHeight="8220" firstSheet="3" activeTab="3"/>
  </bookViews>
  <sheets>
    <sheet name="2011-12" sheetId="26" r:id="rId1"/>
    <sheet name="2010-11" sheetId="27" r:id="rId2"/>
    <sheet name="2009-10" sheetId="28" r:id="rId3"/>
    <sheet name="2008-09" sheetId="29" r:id="rId4"/>
    <sheet name="2007-08" sheetId="30" r:id="rId5"/>
    <sheet name="2006-07" sheetId="31" r:id="rId6"/>
    <sheet name="2005-06" sheetId="32" r:id="rId7"/>
    <sheet name="2004-05" sheetId="33" r:id="rId8"/>
    <sheet name="2003-04" sheetId="22" r:id="rId9"/>
    <sheet name="2002-03" sheetId="23" r:id="rId10"/>
    <sheet name="2001-02" sheetId="24" r:id="rId11"/>
    <sheet name="2000-01" sheetId="25" r:id="rId12"/>
    <sheet name="1999-00" sheetId="20" r:id="rId13"/>
    <sheet name="1998-99" sheetId="21" r:id="rId14"/>
    <sheet name="1997-98" sheetId="19" r:id="rId15"/>
    <sheet name="1996-97" sheetId="18" r:id="rId16"/>
    <sheet name="1995-96" sheetId="1" r:id="rId17"/>
  </sheets>
  <definedNames>
    <definedName name="_xlnm.Print_Titles" localSheetId="16">'1995-96'!$5:$6</definedName>
  </definedNames>
  <calcPr calcId="145621"/>
</workbook>
</file>

<file path=xl/calcChain.xml><?xml version="1.0" encoding="utf-8"?>
<calcChain xmlns="http://schemas.openxmlformats.org/spreadsheetml/2006/main">
  <c r="G89" i="26" l="1"/>
  <c r="D89" i="26"/>
  <c r="G88" i="26"/>
  <c r="D88" i="26"/>
  <c r="F96" i="26"/>
  <c r="E96" i="26"/>
  <c r="C96" i="26"/>
  <c r="B96" i="26"/>
  <c r="G95" i="26"/>
  <c r="D95" i="26"/>
  <c r="G94" i="26"/>
  <c r="D94" i="26"/>
  <c r="G93" i="26"/>
  <c r="D93" i="26"/>
  <c r="G92" i="26"/>
  <c r="D92" i="26"/>
  <c r="H92" i="26" s="1"/>
  <c r="G91" i="26"/>
  <c r="D91" i="26"/>
  <c r="G90" i="26"/>
  <c r="D90" i="26"/>
  <c r="G87" i="26"/>
  <c r="D87" i="26"/>
  <c r="H87" i="26" s="1"/>
  <c r="G86" i="26"/>
  <c r="D86" i="26"/>
  <c r="F82" i="26"/>
  <c r="E82" i="26"/>
  <c r="C82" i="26"/>
  <c r="B82" i="26"/>
  <c r="G81" i="26"/>
  <c r="D81" i="26"/>
  <c r="G80" i="26"/>
  <c r="D80" i="26"/>
  <c r="G79" i="26"/>
  <c r="D79" i="26"/>
  <c r="G78" i="26"/>
  <c r="D78" i="26"/>
  <c r="G77" i="26"/>
  <c r="D77" i="26"/>
  <c r="G76" i="26"/>
  <c r="D76" i="26"/>
  <c r="H76" i="26" s="1"/>
  <c r="G75" i="26"/>
  <c r="D75" i="26"/>
  <c r="G74" i="26"/>
  <c r="D74" i="26"/>
  <c r="G73" i="26"/>
  <c r="D73" i="26"/>
  <c r="G72" i="26"/>
  <c r="D72" i="26"/>
  <c r="H72" i="26" s="1"/>
  <c r="G71" i="26"/>
  <c r="D71" i="26"/>
  <c r="H71" i="26" s="1"/>
  <c r="G70" i="26"/>
  <c r="D70" i="26"/>
  <c r="G69" i="26"/>
  <c r="D69" i="26"/>
  <c r="G68" i="26"/>
  <c r="D68" i="26"/>
  <c r="G67" i="26"/>
  <c r="D67" i="26"/>
  <c r="G66" i="26"/>
  <c r="D66" i="26"/>
  <c r="G65" i="26"/>
  <c r="D65" i="26"/>
  <c r="G64" i="26"/>
  <c r="D64" i="26"/>
  <c r="G63" i="26"/>
  <c r="D63" i="26"/>
  <c r="G62" i="26"/>
  <c r="D62" i="26"/>
  <c r="G61" i="26"/>
  <c r="D61" i="26"/>
  <c r="G60" i="26"/>
  <c r="D60" i="26"/>
  <c r="G59" i="26"/>
  <c r="D59" i="26"/>
  <c r="G58" i="26"/>
  <c r="D58" i="26"/>
  <c r="G57" i="26"/>
  <c r="D57" i="26"/>
  <c r="G56" i="26"/>
  <c r="D56" i="26"/>
  <c r="H56" i="26" s="1"/>
  <c r="G55" i="26"/>
  <c r="D55" i="26"/>
  <c r="H55" i="26" s="1"/>
  <c r="G54" i="26"/>
  <c r="D54" i="26"/>
  <c r="G53" i="26"/>
  <c r="D53" i="26"/>
  <c r="G52" i="26"/>
  <c r="D52" i="26"/>
  <c r="G51" i="26"/>
  <c r="D51" i="26"/>
  <c r="G50" i="26"/>
  <c r="D50" i="26"/>
  <c r="H50" i="26" s="1"/>
  <c r="G49" i="26"/>
  <c r="D49" i="26"/>
  <c r="G48" i="26"/>
  <c r="D48" i="26"/>
  <c r="G47" i="26"/>
  <c r="D47" i="26"/>
  <c r="H47" i="26" s="1"/>
  <c r="G46" i="26"/>
  <c r="D46" i="26"/>
  <c r="G45" i="26"/>
  <c r="D45" i="26"/>
  <c r="G44" i="26"/>
  <c r="D44" i="26"/>
  <c r="H44" i="26" s="1"/>
  <c r="G43" i="26"/>
  <c r="D43" i="26"/>
  <c r="G42" i="26"/>
  <c r="D42" i="26"/>
  <c r="G41" i="26"/>
  <c r="D41" i="26"/>
  <c r="G40" i="26"/>
  <c r="D40" i="26"/>
  <c r="H40" i="26" s="1"/>
  <c r="G39" i="26"/>
  <c r="D39" i="26"/>
  <c r="H39" i="26" s="1"/>
  <c r="G38" i="26"/>
  <c r="D38" i="26"/>
  <c r="G37" i="26"/>
  <c r="D37" i="26"/>
  <c r="G36" i="26"/>
  <c r="D36" i="26"/>
  <c r="H36" i="26" s="1"/>
  <c r="G35" i="26"/>
  <c r="D35" i="26"/>
  <c r="G34" i="26"/>
  <c r="D34" i="26"/>
  <c r="G33" i="26"/>
  <c r="D33" i="26"/>
  <c r="G32" i="26"/>
  <c r="D32" i="26"/>
  <c r="G31" i="26"/>
  <c r="D31" i="26"/>
  <c r="H31" i="26" s="1"/>
  <c r="G30" i="26"/>
  <c r="D30" i="26"/>
  <c r="G29" i="26"/>
  <c r="D29" i="26"/>
  <c r="G28" i="26"/>
  <c r="D28" i="26"/>
  <c r="H28" i="26" s="1"/>
  <c r="G27" i="26"/>
  <c r="D27" i="26"/>
  <c r="G26" i="26"/>
  <c r="D26" i="26"/>
  <c r="H26" i="26" s="1"/>
  <c r="G25" i="26"/>
  <c r="D25" i="26"/>
  <c r="G24" i="26"/>
  <c r="D24" i="26"/>
  <c r="H24" i="26" s="1"/>
  <c r="G23" i="26"/>
  <c r="D23" i="26"/>
  <c r="H23" i="26" s="1"/>
  <c r="G22" i="26"/>
  <c r="D22" i="26"/>
  <c r="H22" i="26" s="1"/>
  <c r="G21" i="26"/>
  <c r="D21" i="26"/>
  <c r="H21" i="26" s="1"/>
  <c r="G20" i="26"/>
  <c r="D20" i="26"/>
  <c r="H20" i="26" s="1"/>
  <c r="G19" i="26"/>
  <c r="D19" i="26"/>
  <c r="G18" i="26"/>
  <c r="D18" i="26"/>
  <c r="G17" i="26"/>
  <c r="D17" i="26"/>
  <c r="G16" i="26"/>
  <c r="D16" i="26"/>
  <c r="G15" i="26"/>
  <c r="D15" i="26"/>
  <c r="H15" i="26" s="1"/>
  <c r="G14" i="26"/>
  <c r="D14" i="26"/>
  <c r="G13" i="26"/>
  <c r="D13" i="26"/>
  <c r="H13" i="26" s="1"/>
  <c r="G12" i="26"/>
  <c r="D12" i="26"/>
  <c r="H12" i="26" s="1"/>
  <c r="G11" i="26"/>
  <c r="D11" i="26"/>
  <c r="G10" i="26"/>
  <c r="D10" i="26"/>
  <c r="G9" i="26"/>
  <c r="D9" i="26"/>
  <c r="G8" i="26"/>
  <c r="D8" i="26"/>
  <c r="G7" i="26"/>
  <c r="D7" i="26"/>
  <c r="A3" i="26"/>
  <c r="F94" i="27"/>
  <c r="E94" i="27"/>
  <c r="C94" i="27"/>
  <c r="B94" i="27"/>
  <c r="G93" i="27"/>
  <c r="D93" i="27"/>
  <c r="G92" i="27"/>
  <c r="D92" i="27"/>
  <c r="H92" i="27" s="1"/>
  <c r="G91" i="27"/>
  <c r="D91" i="27"/>
  <c r="G90" i="27"/>
  <c r="D90" i="27"/>
  <c r="H90" i="27" s="1"/>
  <c r="G89" i="27"/>
  <c r="D89" i="27"/>
  <c r="H89" i="27" s="1"/>
  <c r="G88" i="27"/>
  <c r="D88" i="27"/>
  <c r="G87" i="27"/>
  <c r="D87" i="27"/>
  <c r="H87" i="27" s="1"/>
  <c r="G86" i="27"/>
  <c r="D86" i="27"/>
  <c r="F82" i="27"/>
  <c r="E82" i="27"/>
  <c r="C82" i="27"/>
  <c r="B82" i="27"/>
  <c r="G81" i="27"/>
  <c r="D81" i="27"/>
  <c r="G80" i="27"/>
  <c r="D80" i="27"/>
  <c r="H80" i="27" s="1"/>
  <c r="G79" i="27"/>
  <c r="H79" i="27" s="1"/>
  <c r="D79" i="27"/>
  <c r="G78" i="27"/>
  <c r="D78" i="27"/>
  <c r="G77" i="27"/>
  <c r="D77" i="27"/>
  <c r="G76" i="27"/>
  <c r="D76" i="27"/>
  <c r="G75" i="27"/>
  <c r="D75" i="27"/>
  <c r="G74" i="27"/>
  <c r="D74" i="27"/>
  <c r="G73" i="27"/>
  <c r="D73" i="27"/>
  <c r="G72" i="27"/>
  <c r="D72" i="27"/>
  <c r="H72" i="27" s="1"/>
  <c r="G71" i="27"/>
  <c r="D71" i="27"/>
  <c r="G70" i="27"/>
  <c r="D70" i="27"/>
  <c r="G69" i="27"/>
  <c r="D69" i="27"/>
  <c r="G68" i="27"/>
  <c r="D68" i="27"/>
  <c r="G67" i="27"/>
  <c r="D67" i="27"/>
  <c r="G66" i="27"/>
  <c r="D66" i="27"/>
  <c r="G65" i="27"/>
  <c r="D65" i="27"/>
  <c r="G64" i="27"/>
  <c r="D64" i="27"/>
  <c r="G63" i="27"/>
  <c r="D63" i="27"/>
  <c r="G62" i="27"/>
  <c r="D62" i="27"/>
  <c r="G61" i="27"/>
  <c r="D61" i="27"/>
  <c r="G60" i="27"/>
  <c r="D60" i="27"/>
  <c r="G59" i="27"/>
  <c r="D59" i="27"/>
  <c r="G58" i="27"/>
  <c r="D58" i="27"/>
  <c r="G57" i="27"/>
  <c r="D57" i="27"/>
  <c r="G56" i="27"/>
  <c r="D56" i="27"/>
  <c r="G55" i="27"/>
  <c r="D55" i="27"/>
  <c r="G54" i="27"/>
  <c r="D54" i="27"/>
  <c r="G53" i="27"/>
  <c r="D53" i="27"/>
  <c r="G52" i="27"/>
  <c r="D52" i="27"/>
  <c r="G51" i="27"/>
  <c r="D51" i="27"/>
  <c r="G50" i="27"/>
  <c r="D50" i="27"/>
  <c r="G49" i="27"/>
  <c r="D49" i="27"/>
  <c r="G48" i="27"/>
  <c r="D48" i="27"/>
  <c r="H48" i="27" s="1"/>
  <c r="G47" i="27"/>
  <c r="D47" i="27"/>
  <c r="G46" i="27"/>
  <c r="D46" i="27"/>
  <c r="G45" i="27"/>
  <c r="D45" i="27"/>
  <c r="G44" i="27"/>
  <c r="D44" i="27"/>
  <c r="G43" i="27"/>
  <c r="D43" i="27"/>
  <c r="G42" i="27"/>
  <c r="D42" i="27"/>
  <c r="G41" i="27"/>
  <c r="D41" i="27"/>
  <c r="G40" i="27"/>
  <c r="D40" i="27"/>
  <c r="H40" i="27" s="1"/>
  <c r="G39" i="27"/>
  <c r="D39" i="27"/>
  <c r="G38" i="27"/>
  <c r="D38" i="27"/>
  <c r="G37" i="27"/>
  <c r="D37" i="27"/>
  <c r="G36" i="27"/>
  <c r="D36" i="27"/>
  <c r="G35" i="27"/>
  <c r="D35" i="27"/>
  <c r="G34" i="27"/>
  <c r="D34" i="27"/>
  <c r="G33" i="27"/>
  <c r="D33" i="27"/>
  <c r="G32" i="27"/>
  <c r="D32" i="27"/>
  <c r="H32" i="27" s="1"/>
  <c r="G31" i="27"/>
  <c r="D31" i="27"/>
  <c r="G30" i="27"/>
  <c r="D30" i="27"/>
  <c r="G29" i="27"/>
  <c r="D29" i="27"/>
  <c r="G28" i="27"/>
  <c r="D28" i="27"/>
  <c r="G27" i="27"/>
  <c r="D27" i="27"/>
  <c r="G26" i="27"/>
  <c r="D26" i="27"/>
  <c r="G25" i="27"/>
  <c r="D25" i="27"/>
  <c r="G24" i="27"/>
  <c r="D24" i="27"/>
  <c r="H24" i="27" s="1"/>
  <c r="G23" i="27"/>
  <c r="D23" i="27"/>
  <c r="G22" i="27"/>
  <c r="D22" i="27"/>
  <c r="G21" i="27"/>
  <c r="D21" i="27"/>
  <c r="G20" i="27"/>
  <c r="H20" i="27" s="1"/>
  <c r="D20" i="27"/>
  <c r="G19" i="27"/>
  <c r="D19" i="27"/>
  <c r="G18" i="27"/>
  <c r="D18" i="27"/>
  <c r="G17" i="27"/>
  <c r="D17" i="27"/>
  <c r="G16" i="27"/>
  <c r="D16" i="27"/>
  <c r="H16" i="27" s="1"/>
  <c r="H15" i="27"/>
  <c r="G15" i="27"/>
  <c r="D15" i="27"/>
  <c r="G14" i="27"/>
  <c r="D14" i="27"/>
  <c r="G13" i="27"/>
  <c r="D13" i="27"/>
  <c r="G12" i="27"/>
  <c r="D12" i="27"/>
  <c r="H12" i="27" s="1"/>
  <c r="G11" i="27"/>
  <c r="D11" i="27"/>
  <c r="G10" i="27"/>
  <c r="D10" i="27"/>
  <c r="G9" i="27"/>
  <c r="D9" i="27"/>
  <c r="H9" i="27" s="1"/>
  <c r="G8" i="27"/>
  <c r="D8" i="27"/>
  <c r="H8" i="27" s="1"/>
  <c r="G7" i="27"/>
  <c r="D7" i="27"/>
  <c r="H7" i="27" s="1"/>
  <c r="A3" i="27"/>
  <c r="F92" i="28"/>
  <c r="E92" i="28"/>
  <c r="C92" i="28"/>
  <c r="B92" i="28"/>
  <c r="G91" i="28"/>
  <c r="D91" i="28"/>
  <c r="G90" i="28"/>
  <c r="D90" i="28"/>
  <c r="G89" i="28"/>
  <c r="D89" i="28"/>
  <c r="G88" i="28"/>
  <c r="H88" i="28" s="1"/>
  <c r="D88" i="28"/>
  <c r="G87" i="28"/>
  <c r="D87" i="28"/>
  <c r="G86" i="28"/>
  <c r="D86" i="28"/>
  <c r="H86" i="28" s="1"/>
  <c r="G85" i="28"/>
  <c r="D85" i="28"/>
  <c r="H85" i="28" s="1"/>
  <c r="G84" i="28"/>
  <c r="D84" i="28"/>
  <c r="F80" i="28"/>
  <c r="E80" i="28"/>
  <c r="C80" i="28"/>
  <c r="B80" i="28"/>
  <c r="G79" i="28"/>
  <c r="D79" i="28"/>
  <c r="G78" i="28"/>
  <c r="D78" i="28"/>
  <c r="G77" i="28"/>
  <c r="D77" i="28"/>
  <c r="G76" i="28"/>
  <c r="D76" i="28"/>
  <c r="G75" i="28"/>
  <c r="D75" i="28"/>
  <c r="H75" i="28" s="1"/>
  <c r="G74" i="28"/>
  <c r="D74" i="28"/>
  <c r="G73" i="28"/>
  <c r="D73" i="28"/>
  <c r="H73" i="28" s="1"/>
  <c r="G72" i="28"/>
  <c r="D72" i="28"/>
  <c r="G71" i="28"/>
  <c r="D71" i="28"/>
  <c r="G70" i="28"/>
  <c r="D70" i="28"/>
  <c r="G69" i="28"/>
  <c r="D69" i="28"/>
  <c r="G68" i="28"/>
  <c r="D68" i="28"/>
  <c r="G67" i="28"/>
  <c r="D67" i="28"/>
  <c r="H67" i="28" s="1"/>
  <c r="G66" i="28"/>
  <c r="D66" i="28"/>
  <c r="G65" i="28"/>
  <c r="D65" i="28"/>
  <c r="H65" i="28" s="1"/>
  <c r="G64" i="28"/>
  <c r="D64" i="28"/>
  <c r="G63" i="28"/>
  <c r="D63" i="28"/>
  <c r="G62" i="28"/>
  <c r="D62" i="28"/>
  <c r="G61" i="28"/>
  <c r="D61" i="28"/>
  <c r="G60" i="28"/>
  <c r="D60" i="28"/>
  <c r="G59" i="28"/>
  <c r="D59" i="28"/>
  <c r="H59" i="28" s="1"/>
  <c r="G58" i="28"/>
  <c r="D58" i="28"/>
  <c r="G57" i="28"/>
  <c r="D57" i="28"/>
  <c r="H57" i="28" s="1"/>
  <c r="G56" i="28"/>
  <c r="D56" i="28"/>
  <c r="G55" i="28"/>
  <c r="D55" i="28"/>
  <c r="G54" i="28"/>
  <c r="D54" i="28"/>
  <c r="G53" i="28"/>
  <c r="D53" i="28"/>
  <c r="G52" i="28"/>
  <c r="D52" i="28"/>
  <c r="G51" i="28"/>
  <c r="D51" i="28"/>
  <c r="H51" i="28" s="1"/>
  <c r="G50" i="28"/>
  <c r="D50" i="28"/>
  <c r="G49" i="28"/>
  <c r="D49" i="28"/>
  <c r="G48" i="28"/>
  <c r="D48" i="28"/>
  <c r="H48" i="28" s="1"/>
  <c r="G47" i="28"/>
  <c r="D47" i="28"/>
  <c r="G46" i="28"/>
  <c r="D46" i="28"/>
  <c r="G45" i="28"/>
  <c r="D45" i="28"/>
  <c r="G44" i="28"/>
  <c r="D44" i="28"/>
  <c r="H44" i="28" s="1"/>
  <c r="G43" i="28"/>
  <c r="D43" i="28"/>
  <c r="H43" i="28" s="1"/>
  <c r="G42" i="28"/>
  <c r="D42" i="28"/>
  <c r="G41" i="28"/>
  <c r="D41" i="28"/>
  <c r="G40" i="28"/>
  <c r="D40" i="28"/>
  <c r="H40" i="28" s="1"/>
  <c r="G39" i="28"/>
  <c r="D39" i="28"/>
  <c r="G38" i="28"/>
  <c r="D38" i="28"/>
  <c r="G37" i="28"/>
  <c r="D37" i="28"/>
  <c r="G36" i="28"/>
  <c r="D36" i="28"/>
  <c r="G35" i="28"/>
  <c r="D35" i="28"/>
  <c r="H35" i="28" s="1"/>
  <c r="G34" i="28"/>
  <c r="D34" i="28"/>
  <c r="G33" i="28"/>
  <c r="D33" i="28"/>
  <c r="G32" i="28"/>
  <c r="D32" i="28"/>
  <c r="H32" i="28" s="1"/>
  <c r="G31" i="28"/>
  <c r="D31" i="28"/>
  <c r="G30" i="28"/>
  <c r="D30" i="28"/>
  <c r="G29" i="28"/>
  <c r="D29" i="28"/>
  <c r="G28" i="28"/>
  <c r="D28" i="28"/>
  <c r="H28" i="28" s="1"/>
  <c r="G27" i="28"/>
  <c r="D27" i="28"/>
  <c r="H27" i="28" s="1"/>
  <c r="G26" i="28"/>
  <c r="D26" i="28"/>
  <c r="G25" i="28"/>
  <c r="D25" i="28"/>
  <c r="G24" i="28"/>
  <c r="D24" i="28"/>
  <c r="H24" i="28" s="1"/>
  <c r="G23" i="28"/>
  <c r="D23" i="28"/>
  <c r="G22" i="28"/>
  <c r="D22" i="28"/>
  <c r="G21" i="28"/>
  <c r="D21" i="28"/>
  <c r="G20" i="28"/>
  <c r="D20" i="28"/>
  <c r="G19" i="28"/>
  <c r="D19" i="28"/>
  <c r="H19" i="28" s="1"/>
  <c r="G18" i="28"/>
  <c r="D18" i="28"/>
  <c r="G17" i="28"/>
  <c r="D17" i="28"/>
  <c r="H17" i="28" s="1"/>
  <c r="G16" i="28"/>
  <c r="D16" i="28"/>
  <c r="H16" i="28" s="1"/>
  <c r="G15" i="28"/>
  <c r="D15" i="28"/>
  <c r="G14" i="28"/>
  <c r="D14" i="28"/>
  <c r="G13" i="28"/>
  <c r="D13" i="28"/>
  <c r="G12" i="28"/>
  <c r="D12" i="28"/>
  <c r="G11" i="28"/>
  <c r="D11" i="28"/>
  <c r="H11" i="28" s="1"/>
  <c r="G10" i="28"/>
  <c r="D10" i="28"/>
  <c r="G9" i="28"/>
  <c r="D9" i="28"/>
  <c r="H9" i="28" s="1"/>
  <c r="G8" i="28"/>
  <c r="D8" i="28"/>
  <c r="H8" i="28" s="1"/>
  <c r="G7" i="28"/>
  <c r="D7" i="28"/>
  <c r="A3" i="28"/>
  <c r="F91" i="29"/>
  <c r="E91" i="29"/>
  <c r="C91" i="29"/>
  <c r="B91" i="29"/>
  <c r="G90" i="29"/>
  <c r="D90" i="29"/>
  <c r="G89" i="29"/>
  <c r="D89" i="29"/>
  <c r="G88" i="29"/>
  <c r="D88" i="29"/>
  <c r="G87" i="29"/>
  <c r="D87" i="29"/>
  <c r="G86" i="29"/>
  <c r="D86" i="29"/>
  <c r="G85" i="29"/>
  <c r="D85" i="29"/>
  <c r="G84" i="29"/>
  <c r="D84" i="29"/>
  <c r="G83" i="29"/>
  <c r="D83" i="29"/>
  <c r="F79" i="29"/>
  <c r="E79" i="29"/>
  <c r="C79" i="29"/>
  <c r="B79" i="29"/>
  <c r="G78" i="29"/>
  <c r="D78" i="29"/>
  <c r="G77" i="29"/>
  <c r="D77" i="29"/>
  <c r="G76" i="29"/>
  <c r="D76" i="29"/>
  <c r="G75" i="29"/>
  <c r="D75" i="29"/>
  <c r="G74" i="29"/>
  <c r="D74" i="29"/>
  <c r="G73" i="29"/>
  <c r="D73" i="29"/>
  <c r="G72" i="29"/>
  <c r="D72" i="29"/>
  <c r="G71" i="29"/>
  <c r="D71" i="29"/>
  <c r="G70" i="29"/>
  <c r="D70" i="29"/>
  <c r="G69" i="29"/>
  <c r="D69" i="29"/>
  <c r="G68" i="29"/>
  <c r="D68" i="29"/>
  <c r="G67" i="29"/>
  <c r="D67" i="29"/>
  <c r="G66" i="29"/>
  <c r="D66" i="29"/>
  <c r="G65" i="29"/>
  <c r="D65" i="29"/>
  <c r="G64" i="29"/>
  <c r="D64" i="29"/>
  <c r="G63" i="29"/>
  <c r="D63" i="29"/>
  <c r="G62" i="29"/>
  <c r="D62" i="29"/>
  <c r="G61" i="29"/>
  <c r="D61" i="29"/>
  <c r="G60" i="29"/>
  <c r="D60" i="29"/>
  <c r="G59" i="29"/>
  <c r="D59" i="29"/>
  <c r="G58" i="29"/>
  <c r="D58" i="29"/>
  <c r="G57" i="29"/>
  <c r="D57" i="29"/>
  <c r="G56" i="29"/>
  <c r="D56" i="29"/>
  <c r="G55" i="29"/>
  <c r="D55" i="29"/>
  <c r="G54" i="29"/>
  <c r="D54" i="29"/>
  <c r="G53" i="29"/>
  <c r="D53" i="29"/>
  <c r="G52" i="29"/>
  <c r="D52" i="29"/>
  <c r="G51" i="29"/>
  <c r="D51" i="29"/>
  <c r="G50" i="29"/>
  <c r="D50" i="29"/>
  <c r="G49" i="29"/>
  <c r="D49" i="29"/>
  <c r="G48" i="29"/>
  <c r="D48" i="29"/>
  <c r="G47" i="29"/>
  <c r="D47" i="29"/>
  <c r="G46" i="29"/>
  <c r="D46" i="29"/>
  <c r="H46" i="29" s="1"/>
  <c r="G45" i="29"/>
  <c r="D45" i="29"/>
  <c r="H45" i="29" s="1"/>
  <c r="G44" i="29"/>
  <c r="D44" i="29"/>
  <c r="G43" i="29"/>
  <c r="D43" i="29"/>
  <c r="G42" i="29"/>
  <c r="D42" i="29"/>
  <c r="G41" i="29"/>
  <c r="D41" i="29"/>
  <c r="G40" i="29"/>
  <c r="D40" i="29"/>
  <c r="G39" i="29"/>
  <c r="D39" i="29"/>
  <c r="G38" i="29"/>
  <c r="D38" i="29"/>
  <c r="G37" i="29"/>
  <c r="D37" i="29"/>
  <c r="H37" i="29" s="1"/>
  <c r="G36" i="29"/>
  <c r="D36" i="29"/>
  <c r="G35" i="29"/>
  <c r="D35" i="29"/>
  <c r="G34" i="29"/>
  <c r="D34" i="29"/>
  <c r="G33" i="29"/>
  <c r="D33" i="29"/>
  <c r="G32" i="29"/>
  <c r="D32" i="29"/>
  <c r="G31" i="29"/>
  <c r="D31" i="29"/>
  <c r="G30" i="29"/>
  <c r="D30" i="29"/>
  <c r="G29" i="29"/>
  <c r="D29" i="29"/>
  <c r="H29" i="29" s="1"/>
  <c r="G28" i="29"/>
  <c r="D28" i="29"/>
  <c r="G27" i="29"/>
  <c r="D27" i="29"/>
  <c r="G26" i="29"/>
  <c r="D26" i="29"/>
  <c r="G25" i="29"/>
  <c r="D25" i="29"/>
  <c r="G24" i="29"/>
  <c r="D24" i="29"/>
  <c r="G23" i="29"/>
  <c r="D23" i="29"/>
  <c r="G22" i="29"/>
  <c r="D22" i="29"/>
  <c r="G21" i="29"/>
  <c r="D21" i="29"/>
  <c r="H21" i="29" s="1"/>
  <c r="G20" i="29"/>
  <c r="D20" i="29"/>
  <c r="G19" i="29"/>
  <c r="D19" i="29"/>
  <c r="G18" i="29"/>
  <c r="D18" i="29"/>
  <c r="G17" i="29"/>
  <c r="D17" i="29"/>
  <c r="G16" i="29"/>
  <c r="D16" i="29"/>
  <c r="G15" i="29"/>
  <c r="D15" i="29"/>
  <c r="G14" i="29"/>
  <c r="D14" i="29"/>
  <c r="G13" i="29"/>
  <c r="D13" i="29"/>
  <c r="H13" i="29" s="1"/>
  <c r="G12" i="29"/>
  <c r="D12" i="29"/>
  <c r="G11" i="29"/>
  <c r="D11" i="29"/>
  <c r="G10" i="29"/>
  <c r="D10" i="29"/>
  <c r="G9" i="29"/>
  <c r="D9" i="29"/>
  <c r="G8" i="29"/>
  <c r="D8" i="29"/>
  <c r="G7" i="29"/>
  <c r="D7" i="29"/>
  <c r="A3" i="29"/>
  <c r="F103" i="30"/>
  <c r="E103" i="30"/>
  <c r="C103" i="30"/>
  <c r="B103" i="30"/>
  <c r="G102" i="30"/>
  <c r="D102" i="30"/>
  <c r="G101" i="30"/>
  <c r="D101" i="30"/>
  <c r="G100" i="30"/>
  <c r="D100" i="30"/>
  <c r="H100" i="30" s="1"/>
  <c r="G99" i="30"/>
  <c r="D99" i="30"/>
  <c r="H99" i="30" s="1"/>
  <c r="G98" i="30"/>
  <c r="D98" i="30"/>
  <c r="H98" i="30" s="1"/>
  <c r="G97" i="30"/>
  <c r="D97" i="30"/>
  <c r="H97" i="30" s="1"/>
  <c r="G96" i="30"/>
  <c r="D96" i="30"/>
  <c r="G95" i="30"/>
  <c r="D95" i="30"/>
  <c r="F91" i="30"/>
  <c r="E91" i="30"/>
  <c r="C91" i="30"/>
  <c r="B91" i="30"/>
  <c r="G90" i="30"/>
  <c r="D90" i="30"/>
  <c r="G89" i="30"/>
  <c r="D89" i="30"/>
  <c r="H89" i="30" s="1"/>
  <c r="G88" i="30"/>
  <c r="D88" i="30"/>
  <c r="H88" i="30" s="1"/>
  <c r="G87" i="30"/>
  <c r="D87" i="30"/>
  <c r="G86" i="30"/>
  <c r="D86" i="30"/>
  <c r="G85" i="30"/>
  <c r="D85" i="30"/>
  <c r="G84" i="30"/>
  <c r="D84" i="30"/>
  <c r="G83" i="30"/>
  <c r="D83" i="30"/>
  <c r="G82" i="30"/>
  <c r="D82" i="30"/>
  <c r="G81" i="30"/>
  <c r="D81" i="30"/>
  <c r="G80" i="30"/>
  <c r="D80" i="30"/>
  <c r="H80" i="30" s="1"/>
  <c r="G79" i="30"/>
  <c r="H79" i="30" s="1"/>
  <c r="D79" i="30"/>
  <c r="G78" i="30"/>
  <c r="D78" i="30"/>
  <c r="G77" i="30"/>
  <c r="D77" i="30"/>
  <c r="H77" i="30" s="1"/>
  <c r="G76" i="30"/>
  <c r="D76" i="30"/>
  <c r="H76" i="30" s="1"/>
  <c r="G75" i="30"/>
  <c r="D75" i="30"/>
  <c r="G74" i="30"/>
  <c r="D74" i="30"/>
  <c r="G73" i="30"/>
  <c r="D73" i="30"/>
  <c r="H73" i="30" s="1"/>
  <c r="G72" i="30"/>
  <c r="D72" i="30"/>
  <c r="G71" i="30"/>
  <c r="D71" i="30"/>
  <c r="G70" i="30"/>
  <c r="D70" i="30"/>
  <c r="G69" i="30"/>
  <c r="D69" i="30"/>
  <c r="H69" i="30" s="1"/>
  <c r="G68" i="30"/>
  <c r="D68" i="30"/>
  <c r="G67" i="30"/>
  <c r="D67" i="30"/>
  <c r="G66" i="30"/>
  <c r="D66" i="30"/>
  <c r="G65" i="30"/>
  <c r="D65" i="30"/>
  <c r="G64" i="30"/>
  <c r="D64" i="30"/>
  <c r="H64" i="30" s="1"/>
  <c r="G63" i="30"/>
  <c r="D63" i="30"/>
  <c r="H63" i="30" s="1"/>
  <c r="G62" i="30"/>
  <c r="D62" i="30"/>
  <c r="H62" i="30" s="1"/>
  <c r="G61" i="30"/>
  <c r="D61" i="30"/>
  <c r="H61" i="30" s="1"/>
  <c r="G60" i="30"/>
  <c r="D60" i="30"/>
  <c r="H60" i="30" s="1"/>
  <c r="G59" i="30"/>
  <c r="D59" i="30"/>
  <c r="G58" i="30"/>
  <c r="H58" i="30" s="1"/>
  <c r="D58" i="30"/>
  <c r="G57" i="30"/>
  <c r="D57" i="30"/>
  <c r="H57" i="30" s="1"/>
  <c r="G56" i="30"/>
  <c r="D56" i="30"/>
  <c r="G55" i="30"/>
  <c r="D55" i="30"/>
  <c r="G54" i="30"/>
  <c r="D54" i="30"/>
  <c r="H54" i="30" s="1"/>
  <c r="G53" i="30"/>
  <c r="D53" i="30"/>
  <c r="G52" i="30"/>
  <c r="D52" i="30"/>
  <c r="G51" i="30"/>
  <c r="D51" i="30"/>
  <c r="H51" i="30" s="1"/>
  <c r="G50" i="30"/>
  <c r="D50" i="30"/>
  <c r="H50" i="30" s="1"/>
  <c r="G49" i="30"/>
  <c r="D49" i="30"/>
  <c r="G48" i="30"/>
  <c r="D48" i="30"/>
  <c r="G47" i="30"/>
  <c r="D47" i="30"/>
  <c r="G46" i="30"/>
  <c r="D46" i="30"/>
  <c r="H46" i="30" s="1"/>
  <c r="G45" i="30"/>
  <c r="D45" i="30"/>
  <c r="G44" i="30"/>
  <c r="D44" i="30"/>
  <c r="H44" i="30" s="1"/>
  <c r="G43" i="30"/>
  <c r="D43" i="30"/>
  <c r="H43" i="30" s="1"/>
  <c r="G42" i="30"/>
  <c r="D42" i="30"/>
  <c r="G41" i="30"/>
  <c r="D41" i="30"/>
  <c r="G40" i="30"/>
  <c r="D40" i="30"/>
  <c r="G39" i="30"/>
  <c r="D39" i="30"/>
  <c r="G38" i="30"/>
  <c r="D38" i="30"/>
  <c r="H38" i="30" s="1"/>
  <c r="G37" i="30"/>
  <c r="D37" i="30"/>
  <c r="G36" i="30"/>
  <c r="D36" i="30"/>
  <c r="G35" i="30"/>
  <c r="D35" i="30"/>
  <c r="H35" i="30" s="1"/>
  <c r="G34" i="30"/>
  <c r="D34" i="30"/>
  <c r="H34" i="30" s="1"/>
  <c r="G33" i="30"/>
  <c r="D33" i="30"/>
  <c r="G32" i="30"/>
  <c r="D32" i="30"/>
  <c r="G31" i="30"/>
  <c r="H31" i="30" s="1"/>
  <c r="D31" i="30"/>
  <c r="G30" i="30"/>
  <c r="D30" i="30"/>
  <c r="H30" i="30" s="1"/>
  <c r="G29" i="30"/>
  <c r="D29" i="30"/>
  <c r="H29" i="30" s="1"/>
  <c r="G28" i="30"/>
  <c r="D28" i="30"/>
  <c r="G27" i="30"/>
  <c r="D27" i="30"/>
  <c r="G26" i="30"/>
  <c r="D26" i="30"/>
  <c r="G25" i="30"/>
  <c r="D25" i="30"/>
  <c r="H25" i="30" s="1"/>
  <c r="G24" i="30"/>
  <c r="D24" i="30"/>
  <c r="G23" i="30"/>
  <c r="D23" i="30"/>
  <c r="G22" i="30"/>
  <c r="D22" i="30"/>
  <c r="H22" i="30" s="1"/>
  <c r="G21" i="30"/>
  <c r="D21" i="30"/>
  <c r="H21" i="30" s="1"/>
  <c r="G20" i="30"/>
  <c r="D20" i="30"/>
  <c r="G19" i="30"/>
  <c r="D19" i="30"/>
  <c r="G18" i="30"/>
  <c r="D18" i="30"/>
  <c r="G17" i="30"/>
  <c r="D17" i="30"/>
  <c r="G16" i="30"/>
  <c r="D16" i="30"/>
  <c r="G15" i="30"/>
  <c r="D15" i="30"/>
  <c r="G14" i="30"/>
  <c r="D14" i="30"/>
  <c r="G13" i="30"/>
  <c r="D13" i="30"/>
  <c r="H13" i="30" s="1"/>
  <c r="G12" i="30"/>
  <c r="D12" i="30"/>
  <c r="H12" i="30" s="1"/>
  <c r="G11" i="30"/>
  <c r="D11" i="30"/>
  <c r="G10" i="30"/>
  <c r="D10" i="30"/>
  <c r="G9" i="30"/>
  <c r="D9" i="30"/>
  <c r="H9" i="30" s="1"/>
  <c r="G8" i="30"/>
  <c r="D8" i="30"/>
  <c r="H8" i="30" s="1"/>
  <c r="G7" i="30"/>
  <c r="D7" i="30"/>
  <c r="A3" i="30"/>
  <c r="E105" i="31"/>
  <c r="F105" i="31"/>
  <c r="G19" i="31"/>
  <c r="D19" i="31"/>
  <c r="H19" i="31" s="1"/>
  <c r="G18" i="31"/>
  <c r="D18" i="31"/>
  <c r="H18" i="31" s="1"/>
  <c r="G70" i="31"/>
  <c r="D70" i="31"/>
  <c r="H70" i="31" s="1"/>
  <c r="G69" i="31"/>
  <c r="D69" i="31"/>
  <c r="H69" i="31" s="1"/>
  <c r="G68" i="31"/>
  <c r="D68" i="31"/>
  <c r="H68" i="31" s="1"/>
  <c r="G67" i="31"/>
  <c r="D67" i="31"/>
  <c r="H67" i="31" s="1"/>
  <c r="G66" i="31"/>
  <c r="D66" i="31"/>
  <c r="G65" i="31"/>
  <c r="D65" i="31"/>
  <c r="H65" i="31" s="1"/>
  <c r="D104" i="32"/>
  <c r="E104" i="32"/>
  <c r="F104" i="32"/>
  <c r="G104" i="32"/>
  <c r="H104" i="32"/>
  <c r="G97" i="32"/>
  <c r="D97" i="32"/>
  <c r="H97" i="32" s="1"/>
  <c r="B104" i="32"/>
  <c r="C104" i="32"/>
  <c r="G76" i="32"/>
  <c r="D76" i="32"/>
  <c r="G75" i="32"/>
  <c r="D75" i="32"/>
  <c r="G74" i="32"/>
  <c r="D74" i="32"/>
  <c r="H74" i="32" s="1"/>
  <c r="G73" i="32"/>
  <c r="D73" i="32"/>
  <c r="H73" i="32" s="1"/>
  <c r="G72" i="32"/>
  <c r="D72" i="32"/>
  <c r="H72" i="32" s="1"/>
  <c r="G71" i="32"/>
  <c r="D71" i="32"/>
  <c r="D103" i="33"/>
  <c r="E103" i="33"/>
  <c r="F103" i="33"/>
  <c r="G103" i="33"/>
  <c r="H103" i="33"/>
  <c r="G95" i="33"/>
  <c r="D95" i="33"/>
  <c r="G75" i="33"/>
  <c r="D75" i="33"/>
  <c r="G74" i="33"/>
  <c r="D74" i="33"/>
  <c r="H74" i="33" s="1"/>
  <c r="G73" i="33"/>
  <c r="D73" i="33"/>
  <c r="H73" i="33" s="1"/>
  <c r="G72" i="33"/>
  <c r="D72" i="33"/>
  <c r="G71" i="33"/>
  <c r="D71" i="33"/>
  <c r="G70" i="33"/>
  <c r="D70" i="33"/>
  <c r="C103" i="22"/>
  <c r="D103" i="22"/>
  <c r="E103" i="22"/>
  <c r="F103" i="22"/>
  <c r="G103" i="22"/>
  <c r="H103" i="22"/>
  <c r="G96" i="22"/>
  <c r="D96" i="22"/>
  <c r="G73" i="22"/>
  <c r="D73" i="22"/>
  <c r="G72" i="22"/>
  <c r="D72" i="22"/>
  <c r="G71" i="22"/>
  <c r="D71" i="22"/>
  <c r="G70" i="22"/>
  <c r="D70" i="22"/>
  <c r="G69" i="22"/>
  <c r="D69" i="22"/>
  <c r="D102" i="23"/>
  <c r="E102" i="23"/>
  <c r="F102" i="23"/>
  <c r="G102" i="23"/>
  <c r="H102" i="23"/>
  <c r="G95" i="23"/>
  <c r="D95" i="23"/>
  <c r="G75" i="23"/>
  <c r="D75" i="23"/>
  <c r="G74" i="23"/>
  <c r="D74" i="23"/>
  <c r="G73" i="23"/>
  <c r="D73" i="23"/>
  <c r="H73" i="23" s="1"/>
  <c r="G72" i="23"/>
  <c r="D72" i="23"/>
  <c r="H72" i="23" s="1"/>
  <c r="D101" i="24"/>
  <c r="E101" i="24"/>
  <c r="F101" i="24"/>
  <c r="G101" i="24"/>
  <c r="H101" i="24"/>
  <c r="G95" i="24"/>
  <c r="D95" i="24"/>
  <c r="H95" i="24" s="1"/>
  <c r="G76" i="24"/>
  <c r="D76" i="24"/>
  <c r="G75" i="24"/>
  <c r="D75" i="24"/>
  <c r="G74" i="24"/>
  <c r="D74" i="24"/>
  <c r="H74" i="24" s="1"/>
  <c r="D102" i="25"/>
  <c r="E102" i="25"/>
  <c r="F102" i="25"/>
  <c r="G102" i="25"/>
  <c r="H102" i="25"/>
  <c r="G97" i="25"/>
  <c r="D97" i="25"/>
  <c r="H97" i="25" s="1"/>
  <c r="D10" i="25"/>
  <c r="G10" i="25"/>
  <c r="D11" i="25"/>
  <c r="G11" i="25"/>
  <c r="D85" i="25"/>
  <c r="G85" i="25"/>
  <c r="H85" i="25" s="1"/>
  <c r="D86" i="25"/>
  <c r="G86" i="25"/>
  <c r="D87" i="25"/>
  <c r="H87" i="25" s="1"/>
  <c r="G87" i="25"/>
  <c r="D88" i="25"/>
  <c r="G88" i="25"/>
  <c r="D7" i="25"/>
  <c r="D8" i="25"/>
  <c r="D9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B89" i="25"/>
  <c r="C89" i="25"/>
  <c r="G24" i="25"/>
  <c r="G23" i="25"/>
  <c r="G22" i="25"/>
  <c r="G21" i="25"/>
  <c r="C107" i="20"/>
  <c r="D107" i="20"/>
  <c r="E107" i="20"/>
  <c r="F107" i="20"/>
  <c r="G107" i="20"/>
  <c r="H107" i="20"/>
  <c r="G99" i="20"/>
  <c r="G100" i="20"/>
  <c r="G101" i="20"/>
  <c r="G102" i="20"/>
  <c r="D99" i="20"/>
  <c r="D100" i="20"/>
  <c r="D101" i="20"/>
  <c r="H101" i="20" s="1"/>
  <c r="D102" i="20"/>
  <c r="H102" i="20" s="1"/>
  <c r="G28" i="20"/>
  <c r="D28" i="20"/>
  <c r="G27" i="20"/>
  <c r="D27" i="20"/>
  <c r="G26" i="20"/>
  <c r="D26" i="20"/>
  <c r="G25" i="20"/>
  <c r="D25" i="20"/>
  <c r="G24" i="20"/>
  <c r="D24" i="20"/>
  <c r="G23" i="20"/>
  <c r="D23" i="20"/>
  <c r="G22" i="20"/>
  <c r="D22" i="20"/>
  <c r="G21" i="20"/>
  <c r="D21" i="20"/>
  <c r="G20" i="20"/>
  <c r="D20" i="20"/>
  <c r="C100" i="21"/>
  <c r="D100" i="21"/>
  <c r="E100" i="21"/>
  <c r="F100" i="21"/>
  <c r="G100" i="21"/>
  <c r="H100" i="21"/>
  <c r="G94" i="21"/>
  <c r="D94" i="21"/>
  <c r="H94" i="21" s="1"/>
  <c r="B100" i="21"/>
  <c r="G12" i="21"/>
  <c r="D12" i="21"/>
  <c r="G11" i="21"/>
  <c r="D11" i="21"/>
  <c r="H11" i="21" s="1"/>
  <c r="B87" i="21"/>
  <c r="C87" i="21"/>
  <c r="C97" i="19"/>
  <c r="D97" i="19"/>
  <c r="E97" i="19"/>
  <c r="F97" i="19"/>
  <c r="G97" i="19"/>
  <c r="H97" i="19"/>
  <c r="C105" i="31"/>
  <c r="B105" i="31"/>
  <c r="G104" i="31"/>
  <c r="D104" i="31"/>
  <c r="G103" i="31"/>
  <c r="D103" i="31"/>
  <c r="G102" i="31"/>
  <c r="D102" i="31"/>
  <c r="G101" i="31"/>
  <c r="D101" i="31"/>
  <c r="G100" i="31"/>
  <c r="D100" i="31"/>
  <c r="G99" i="31"/>
  <c r="D99" i="31"/>
  <c r="H99" i="31" s="1"/>
  <c r="G98" i="31"/>
  <c r="D98" i="31"/>
  <c r="G97" i="31"/>
  <c r="D97" i="31"/>
  <c r="D105" i="31" s="1"/>
  <c r="F93" i="31"/>
  <c r="E93" i="31"/>
  <c r="C93" i="31"/>
  <c r="B93" i="31"/>
  <c r="G92" i="31"/>
  <c r="D92" i="31"/>
  <c r="H92" i="31" s="1"/>
  <c r="G91" i="31"/>
  <c r="D91" i="31"/>
  <c r="G90" i="31"/>
  <c r="D90" i="31"/>
  <c r="H90" i="31" s="1"/>
  <c r="G89" i="31"/>
  <c r="D89" i="31"/>
  <c r="H89" i="31" s="1"/>
  <c r="G88" i="31"/>
  <c r="D88" i="31"/>
  <c r="G87" i="31"/>
  <c r="D87" i="31"/>
  <c r="G86" i="31"/>
  <c r="D86" i="31"/>
  <c r="G85" i="31"/>
  <c r="D85" i="31"/>
  <c r="G84" i="31"/>
  <c r="D84" i="31"/>
  <c r="H84" i="31" s="1"/>
  <c r="G83" i="31"/>
  <c r="D83" i="31"/>
  <c r="G82" i="31"/>
  <c r="D82" i="31"/>
  <c r="H82" i="31" s="1"/>
  <c r="G81" i="31"/>
  <c r="D81" i="31"/>
  <c r="H81" i="31" s="1"/>
  <c r="G80" i="31"/>
  <c r="D80" i="31"/>
  <c r="G79" i="31"/>
  <c r="D79" i="31"/>
  <c r="G78" i="31"/>
  <c r="D78" i="31"/>
  <c r="G77" i="31"/>
  <c r="D77" i="31"/>
  <c r="G76" i="31"/>
  <c r="D76" i="31"/>
  <c r="H76" i="31" s="1"/>
  <c r="G75" i="31"/>
  <c r="D75" i="31"/>
  <c r="G74" i="31"/>
  <c r="D74" i="31"/>
  <c r="H74" i="31" s="1"/>
  <c r="G73" i="31"/>
  <c r="D73" i="31"/>
  <c r="H73" i="31" s="1"/>
  <c r="G72" i="31"/>
  <c r="D72" i="31"/>
  <c r="G71" i="31"/>
  <c r="D71" i="31"/>
  <c r="G64" i="31"/>
  <c r="D64" i="31"/>
  <c r="H64" i="31" s="1"/>
  <c r="G63" i="31"/>
  <c r="D63" i="31"/>
  <c r="G62" i="31"/>
  <c r="D62" i="31"/>
  <c r="H62" i="31" s="1"/>
  <c r="G61" i="31"/>
  <c r="D61" i="31"/>
  <c r="G60" i="31"/>
  <c r="D60" i="31"/>
  <c r="H60" i="31" s="1"/>
  <c r="G59" i="31"/>
  <c r="D59" i="31"/>
  <c r="G58" i="31"/>
  <c r="D58" i="31"/>
  <c r="G57" i="31"/>
  <c r="D57" i="31"/>
  <c r="G56" i="31"/>
  <c r="D56" i="31"/>
  <c r="G55" i="31"/>
  <c r="D55" i="31"/>
  <c r="G54" i="31"/>
  <c r="D54" i="31"/>
  <c r="H54" i="31" s="1"/>
  <c r="G53" i="31"/>
  <c r="D53" i="31"/>
  <c r="G52" i="31"/>
  <c r="D52" i="31"/>
  <c r="H52" i="31" s="1"/>
  <c r="G51" i="31"/>
  <c r="D51" i="31"/>
  <c r="H51" i="31" s="1"/>
  <c r="G50" i="31"/>
  <c r="D50" i="31"/>
  <c r="G49" i="31"/>
  <c r="D49" i="31"/>
  <c r="G48" i="31"/>
  <c r="D48" i="31"/>
  <c r="H48" i="31" s="1"/>
  <c r="G47" i="31"/>
  <c r="D47" i="31"/>
  <c r="G46" i="31"/>
  <c r="D46" i="31"/>
  <c r="H46" i="31" s="1"/>
  <c r="G45" i="31"/>
  <c r="D45" i="31"/>
  <c r="G44" i="31"/>
  <c r="D44" i="31"/>
  <c r="G43" i="31"/>
  <c r="D43" i="31"/>
  <c r="G42" i="31"/>
  <c r="D42" i="31"/>
  <c r="G41" i="31"/>
  <c r="D41" i="31"/>
  <c r="G40" i="31"/>
  <c r="D40" i="31"/>
  <c r="G39" i="31"/>
  <c r="D39" i="31"/>
  <c r="G38" i="31"/>
  <c r="D38" i="31"/>
  <c r="H38" i="31" s="1"/>
  <c r="G37" i="31"/>
  <c r="D37" i="31"/>
  <c r="G36" i="31"/>
  <c r="D36" i="31"/>
  <c r="G35" i="31"/>
  <c r="D35" i="31"/>
  <c r="G34" i="31"/>
  <c r="D34" i="31"/>
  <c r="G33" i="31"/>
  <c r="D33" i="31"/>
  <c r="G32" i="31"/>
  <c r="D32" i="31"/>
  <c r="H32" i="31" s="1"/>
  <c r="G31" i="31"/>
  <c r="D31" i="31"/>
  <c r="G30" i="31"/>
  <c r="D30" i="31"/>
  <c r="G29" i="31"/>
  <c r="D29" i="31"/>
  <c r="G28" i="31"/>
  <c r="D28" i="31"/>
  <c r="G27" i="31"/>
  <c r="D27" i="31"/>
  <c r="H27" i="31" s="1"/>
  <c r="G26" i="31"/>
  <c r="D26" i="31"/>
  <c r="G25" i="31"/>
  <c r="D25" i="31"/>
  <c r="G24" i="31"/>
  <c r="D24" i="31"/>
  <c r="G23" i="31"/>
  <c r="D23" i="31"/>
  <c r="G22" i="31"/>
  <c r="D22" i="31"/>
  <c r="H22" i="31" s="1"/>
  <c r="G21" i="31"/>
  <c r="D21" i="31"/>
  <c r="G20" i="31"/>
  <c r="D20" i="31"/>
  <c r="G17" i="31"/>
  <c r="D17" i="31"/>
  <c r="H17" i="31" s="1"/>
  <c r="G16" i="31"/>
  <c r="D16" i="31"/>
  <c r="G15" i="31"/>
  <c r="D15" i="31"/>
  <c r="G14" i="31"/>
  <c r="D14" i="31"/>
  <c r="H14" i="31" s="1"/>
  <c r="G13" i="31"/>
  <c r="D13" i="31"/>
  <c r="H13" i="31" s="1"/>
  <c r="G12" i="31"/>
  <c r="D12" i="31"/>
  <c r="G11" i="31"/>
  <c r="D11" i="31"/>
  <c r="G10" i="31"/>
  <c r="D10" i="31"/>
  <c r="H10" i="31" s="1"/>
  <c r="G9" i="31"/>
  <c r="D9" i="31"/>
  <c r="H9" i="31" s="1"/>
  <c r="G8" i="31"/>
  <c r="D8" i="31"/>
  <c r="G7" i="31"/>
  <c r="D7" i="31"/>
  <c r="A3" i="31"/>
  <c r="G103" i="32"/>
  <c r="D103" i="32"/>
  <c r="H103" i="32" s="1"/>
  <c r="G102" i="32"/>
  <c r="D102" i="32"/>
  <c r="G101" i="32"/>
  <c r="D101" i="32"/>
  <c r="G100" i="32"/>
  <c r="D100" i="32"/>
  <c r="G99" i="32"/>
  <c r="D99" i="32"/>
  <c r="G98" i="32"/>
  <c r="D98" i="32"/>
  <c r="G96" i="32"/>
  <c r="D96" i="32"/>
  <c r="H96" i="32" s="1"/>
  <c r="G95" i="32"/>
  <c r="D95" i="32"/>
  <c r="F91" i="32"/>
  <c r="E91" i="32"/>
  <c r="C91" i="32"/>
  <c r="B91" i="32"/>
  <c r="G90" i="32"/>
  <c r="D90" i="32"/>
  <c r="G89" i="32"/>
  <c r="D89" i="32"/>
  <c r="G88" i="32"/>
  <c r="D88" i="32"/>
  <c r="G87" i="32"/>
  <c r="D87" i="32"/>
  <c r="H87" i="32" s="1"/>
  <c r="G86" i="32"/>
  <c r="D86" i="32"/>
  <c r="H86" i="32" s="1"/>
  <c r="G85" i="32"/>
  <c r="D85" i="32"/>
  <c r="G84" i="32"/>
  <c r="D84" i="32"/>
  <c r="G83" i="32"/>
  <c r="D83" i="32"/>
  <c r="G82" i="32"/>
  <c r="D82" i="32"/>
  <c r="G81" i="32"/>
  <c r="D81" i="32"/>
  <c r="G80" i="32"/>
  <c r="D80" i="32"/>
  <c r="G79" i="32"/>
  <c r="D79" i="32"/>
  <c r="H79" i="32" s="1"/>
  <c r="G78" i="32"/>
  <c r="D78" i="32"/>
  <c r="H78" i="32" s="1"/>
  <c r="G77" i="32"/>
  <c r="D77" i="32"/>
  <c r="G70" i="32"/>
  <c r="D70" i="32"/>
  <c r="G69" i="32"/>
  <c r="D69" i="32"/>
  <c r="G68" i="32"/>
  <c r="D68" i="32"/>
  <c r="G67" i="32"/>
  <c r="D67" i="32"/>
  <c r="G66" i="32"/>
  <c r="D66" i="32"/>
  <c r="G65" i="32"/>
  <c r="D65" i="32"/>
  <c r="H65" i="32" s="1"/>
  <c r="G64" i="32"/>
  <c r="D64" i="32"/>
  <c r="H64" i="32" s="1"/>
  <c r="G63" i="32"/>
  <c r="D63" i="32"/>
  <c r="G62" i="32"/>
  <c r="D62" i="32"/>
  <c r="G61" i="32"/>
  <c r="D61" i="32"/>
  <c r="H61" i="32" s="1"/>
  <c r="G60" i="32"/>
  <c r="H60" i="32" s="1"/>
  <c r="D60" i="32"/>
  <c r="G59" i="32"/>
  <c r="D59" i="32"/>
  <c r="G58" i="32"/>
  <c r="D58" i="32"/>
  <c r="G57" i="32"/>
  <c r="D57" i="32"/>
  <c r="G56" i="32"/>
  <c r="D56" i="32"/>
  <c r="G55" i="32"/>
  <c r="D55" i="32"/>
  <c r="G54" i="32"/>
  <c r="D54" i="32"/>
  <c r="G53" i="32"/>
  <c r="D53" i="32"/>
  <c r="G52" i="32"/>
  <c r="D52" i="32"/>
  <c r="G51" i="32"/>
  <c r="D51" i="32"/>
  <c r="G50" i="32"/>
  <c r="D50" i="32"/>
  <c r="G49" i="32"/>
  <c r="D49" i="32"/>
  <c r="G48" i="32"/>
  <c r="D48" i="32"/>
  <c r="G47" i="32"/>
  <c r="D47" i="32"/>
  <c r="G46" i="32"/>
  <c r="D46" i="32"/>
  <c r="G45" i="32"/>
  <c r="D45" i="32"/>
  <c r="H45" i="32" s="1"/>
  <c r="G44" i="32"/>
  <c r="D44" i="32"/>
  <c r="G43" i="32"/>
  <c r="D43" i="32"/>
  <c r="G42" i="32"/>
  <c r="D42" i="32"/>
  <c r="G41" i="32"/>
  <c r="D41" i="32"/>
  <c r="H41" i="32" s="1"/>
  <c r="G40" i="32"/>
  <c r="D40" i="32"/>
  <c r="H40" i="32" s="1"/>
  <c r="G39" i="32"/>
  <c r="D39" i="32"/>
  <c r="G38" i="32"/>
  <c r="D38" i="32"/>
  <c r="G37" i="32"/>
  <c r="D37" i="32"/>
  <c r="H37" i="32" s="1"/>
  <c r="G36" i="32"/>
  <c r="D36" i="32"/>
  <c r="G35" i="32"/>
  <c r="D35" i="32"/>
  <c r="G34" i="32"/>
  <c r="D34" i="32"/>
  <c r="G33" i="32"/>
  <c r="D33" i="32"/>
  <c r="H33" i="32" s="1"/>
  <c r="G32" i="32"/>
  <c r="D32" i="32"/>
  <c r="G31" i="32"/>
  <c r="D31" i="32"/>
  <c r="G30" i="32"/>
  <c r="D30" i="32"/>
  <c r="H30" i="32" s="1"/>
  <c r="G29" i="32"/>
  <c r="D29" i="32"/>
  <c r="H29" i="32" s="1"/>
  <c r="G28" i="32"/>
  <c r="D28" i="32"/>
  <c r="G27" i="32"/>
  <c r="D27" i="32"/>
  <c r="G26" i="32"/>
  <c r="D26" i="32"/>
  <c r="H26" i="32" s="1"/>
  <c r="G25" i="32"/>
  <c r="D25" i="32"/>
  <c r="G24" i="32"/>
  <c r="D24" i="32"/>
  <c r="G23" i="32"/>
  <c r="D23" i="32"/>
  <c r="G22" i="32"/>
  <c r="D22" i="32"/>
  <c r="G21" i="32"/>
  <c r="D21" i="32"/>
  <c r="H21" i="32" s="1"/>
  <c r="G20" i="32"/>
  <c r="D20" i="32"/>
  <c r="G19" i="32"/>
  <c r="D19" i="32"/>
  <c r="G18" i="32"/>
  <c r="D18" i="32"/>
  <c r="G17" i="32"/>
  <c r="D17" i="32"/>
  <c r="H17" i="32" s="1"/>
  <c r="G16" i="32"/>
  <c r="D16" i="32"/>
  <c r="H16" i="32" s="1"/>
  <c r="G15" i="32"/>
  <c r="D15" i="32"/>
  <c r="G14" i="32"/>
  <c r="D14" i="32"/>
  <c r="H14" i="32" s="1"/>
  <c r="G13" i="32"/>
  <c r="D13" i="32"/>
  <c r="H13" i="32" s="1"/>
  <c r="G12" i="32"/>
  <c r="D12" i="32"/>
  <c r="G11" i="32"/>
  <c r="H11" i="32" s="1"/>
  <c r="D11" i="32"/>
  <c r="G10" i="32"/>
  <c r="D10" i="32"/>
  <c r="H10" i="32" s="1"/>
  <c r="G9" i="32"/>
  <c r="D9" i="32"/>
  <c r="H9" i="32" s="1"/>
  <c r="G8" i="32"/>
  <c r="D8" i="32"/>
  <c r="H8" i="32" s="1"/>
  <c r="G7" i="32"/>
  <c r="D7" i="32"/>
  <c r="A3" i="32"/>
  <c r="C103" i="33"/>
  <c r="B103" i="33"/>
  <c r="G102" i="33"/>
  <c r="D102" i="33"/>
  <c r="H102" i="33" s="1"/>
  <c r="G101" i="33"/>
  <c r="D101" i="33"/>
  <c r="H101" i="33" s="1"/>
  <c r="G100" i="33"/>
  <c r="D100" i="33"/>
  <c r="G99" i="33"/>
  <c r="D99" i="33"/>
  <c r="G98" i="33"/>
  <c r="H98" i="33" s="1"/>
  <c r="D98" i="33"/>
  <c r="G97" i="33"/>
  <c r="D97" i="33"/>
  <c r="G96" i="33"/>
  <c r="D96" i="33"/>
  <c r="G94" i="33"/>
  <c r="D94" i="33"/>
  <c r="H94" i="33" s="1"/>
  <c r="F90" i="33"/>
  <c r="E90" i="33"/>
  <c r="C90" i="33"/>
  <c r="B90" i="33"/>
  <c r="G89" i="33"/>
  <c r="D89" i="33"/>
  <c r="G88" i="33"/>
  <c r="D88" i="33"/>
  <c r="G87" i="33"/>
  <c r="D87" i="33"/>
  <c r="G86" i="33"/>
  <c r="D86" i="33"/>
  <c r="G85" i="33"/>
  <c r="D85" i="33"/>
  <c r="G84" i="33"/>
  <c r="D84" i="33"/>
  <c r="H84" i="33" s="1"/>
  <c r="G83" i="33"/>
  <c r="D83" i="33"/>
  <c r="H83" i="33" s="1"/>
  <c r="G82" i="33"/>
  <c r="D82" i="33"/>
  <c r="G81" i="33"/>
  <c r="D81" i="33"/>
  <c r="G80" i="33"/>
  <c r="D80" i="33"/>
  <c r="G79" i="33"/>
  <c r="D79" i="33"/>
  <c r="G78" i="33"/>
  <c r="D78" i="33"/>
  <c r="G77" i="33"/>
  <c r="D77" i="33"/>
  <c r="G76" i="33"/>
  <c r="D76" i="33"/>
  <c r="G69" i="33"/>
  <c r="D69" i="33"/>
  <c r="G68" i="33"/>
  <c r="D68" i="33"/>
  <c r="G67" i="33"/>
  <c r="D67" i="33"/>
  <c r="G66" i="33"/>
  <c r="D66" i="33"/>
  <c r="G65" i="33"/>
  <c r="D65" i="33"/>
  <c r="G64" i="33"/>
  <c r="D64" i="33"/>
  <c r="G63" i="33"/>
  <c r="D63" i="33"/>
  <c r="G62" i="33"/>
  <c r="D62" i="33"/>
  <c r="H62" i="33" s="1"/>
  <c r="G61" i="33"/>
  <c r="D61" i="33"/>
  <c r="G60" i="33"/>
  <c r="D60" i="33"/>
  <c r="G59" i="33"/>
  <c r="D59" i="33"/>
  <c r="G58" i="33"/>
  <c r="D58" i="33"/>
  <c r="G57" i="33"/>
  <c r="D57" i="33"/>
  <c r="G56" i="33"/>
  <c r="D56" i="33"/>
  <c r="G55" i="33"/>
  <c r="D55" i="33"/>
  <c r="G54" i="33"/>
  <c r="D54" i="33"/>
  <c r="G53" i="33"/>
  <c r="D53" i="33"/>
  <c r="H53" i="33" s="1"/>
  <c r="G52" i="33"/>
  <c r="D52" i="33"/>
  <c r="G51" i="33"/>
  <c r="D51" i="33"/>
  <c r="G50" i="33"/>
  <c r="D50" i="33"/>
  <c r="G49" i="33"/>
  <c r="D49" i="33"/>
  <c r="G48" i="33"/>
  <c r="D48" i="33"/>
  <c r="G47" i="33"/>
  <c r="D47" i="33"/>
  <c r="G46" i="33"/>
  <c r="D46" i="33"/>
  <c r="G45" i="33"/>
  <c r="D45" i="33"/>
  <c r="H45" i="33" s="1"/>
  <c r="G44" i="33"/>
  <c r="D44" i="33"/>
  <c r="G43" i="33"/>
  <c r="D43" i="33"/>
  <c r="G42" i="33"/>
  <c r="D42" i="33"/>
  <c r="G41" i="33"/>
  <c r="D41" i="33"/>
  <c r="G40" i="33"/>
  <c r="D40" i="33"/>
  <c r="G39" i="33"/>
  <c r="D39" i="33"/>
  <c r="G38" i="33"/>
  <c r="D38" i="33"/>
  <c r="G37" i="33"/>
  <c r="D37" i="33"/>
  <c r="G36" i="33"/>
  <c r="D36" i="33"/>
  <c r="G35" i="33"/>
  <c r="D35" i="33"/>
  <c r="G34" i="33"/>
  <c r="D34" i="33"/>
  <c r="G33" i="33"/>
  <c r="D33" i="33"/>
  <c r="G32" i="33"/>
  <c r="D32" i="33"/>
  <c r="G31" i="33"/>
  <c r="D31" i="33"/>
  <c r="G30" i="33"/>
  <c r="D30" i="33"/>
  <c r="G29" i="33"/>
  <c r="D29" i="33"/>
  <c r="G28" i="33"/>
  <c r="D28" i="33"/>
  <c r="G27" i="33"/>
  <c r="D27" i="33"/>
  <c r="G26" i="33"/>
  <c r="D26" i="33"/>
  <c r="G25" i="33"/>
  <c r="D25" i="33"/>
  <c r="G24" i="33"/>
  <c r="D24" i="33"/>
  <c r="G23" i="33"/>
  <c r="D23" i="33"/>
  <c r="G22" i="33"/>
  <c r="D22" i="33"/>
  <c r="G21" i="33"/>
  <c r="D21" i="33"/>
  <c r="G20" i="33"/>
  <c r="D20" i="33"/>
  <c r="G19" i="33"/>
  <c r="D19" i="33"/>
  <c r="G18" i="33"/>
  <c r="D18" i="33"/>
  <c r="G17" i="33"/>
  <c r="D17" i="33"/>
  <c r="G16" i="33"/>
  <c r="D16" i="33"/>
  <c r="G15" i="33"/>
  <c r="D15" i="33"/>
  <c r="G14" i="33"/>
  <c r="D14" i="33"/>
  <c r="G13" i="33"/>
  <c r="D13" i="33"/>
  <c r="G12" i="33"/>
  <c r="D12" i="33"/>
  <c r="G11" i="33"/>
  <c r="D11" i="33"/>
  <c r="G10" i="33"/>
  <c r="D10" i="33"/>
  <c r="G9" i="33"/>
  <c r="D9" i="33"/>
  <c r="G8" i="33"/>
  <c r="D8" i="33"/>
  <c r="G7" i="33"/>
  <c r="D7" i="33"/>
  <c r="A3" i="33"/>
  <c r="B103" i="22"/>
  <c r="G102" i="22"/>
  <c r="D102" i="22"/>
  <c r="G101" i="22"/>
  <c r="D101" i="22"/>
  <c r="G100" i="22"/>
  <c r="D100" i="22"/>
  <c r="G99" i="22"/>
  <c r="D99" i="22"/>
  <c r="G98" i="22"/>
  <c r="D98" i="22"/>
  <c r="G97" i="22"/>
  <c r="D97" i="22"/>
  <c r="H97" i="22" s="1"/>
  <c r="G95" i="22"/>
  <c r="D95" i="22"/>
  <c r="G94" i="22"/>
  <c r="D94" i="22"/>
  <c r="F90" i="22"/>
  <c r="E90" i="22"/>
  <c r="C90" i="22"/>
  <c r="B90" i="22"/>
  <c r="G89" i="22"/>
  <c r="D89" i="22"/>
  <c r="G88" i="22"/>
  <c r="D88" i="22"/>
  <c r="H88" i="22" s="1"/>
  <c r="G87" i="22"/>
  <c r="D87" i="22"/>
  <c r="G86" i="22"/>
  <c r="D86" i="22"/>
  <c r="H86" i="22" s="1"/>
  <c r="G85" i="22"/>
  <c r="D85" i="22"/>
  <c r="G84" i="22"/>
  <c r="D84" i="22"/>
  <c r="G83" i="22"/>
  <c r="D83" i="22"/>
  <c r="G82" i="22"/>
  <c r="D82" i="22"/>
  <c r="G81" i="22"/>
  <c r="D81" i="22"/>
  <c r="G80" i="22"/>
  <c r="D80" i="22"/>
  <c r="H80" i="22" s="1"/>
  <c r="G79" i="22"/>
  <c r="D79" i="22"/>
  <c r="G78" i="22"/>
  <c r="D78" i="22"/>
  <c r="G77" i="22"/>
  <c r="D77" i="22"/>
  <c r="G76" i="22"/>
  <c r="D76" i="22"/>
  <c r="G75" i="22"/>
  <c r="D75" i="22"/>
  <c r="G74" i="22"/>
  <c r="D74" i="22"/>
  <c r="G68" i="22"/>
  <c r="D68" i="22"/>
  <c r="G67" i="22"/>
  <c r="D67" i="22"/>
  <c r="G66" i="22"/>
  <c r="D66" i="22"/>
  <c r="H66" i="22" s="1"/>
  <c r="G65" i="22"/>
  <c r="D65" i="22"/>
  <c r="G64" i="22"/>
  <c r="D64" i="22"/>
  <c r="G63" i="22"/>
  <c r="D63" i="22"/>
  <c r="G62" i="22"/>
  <c r="D62" i="22"/>
  <c r="H62" i="22" s="1"/>
  <c r="G61" i="22"/>
  <c r="D61" i="22"/>
  <c r="G60" i="22"/>
  <c r="D60" i="22"/>
  <c r="G59" i="22"/>
  <c r="D59" i="22"/>
  <c r="G58" i="22"/>
  <c r="D58" i="22"/>
  <c r="G57" i="22"/>
  <c r="D57" i="22"/>
  <c r="G56" i="22"/>
  <c r="D56" i="22"/>
  <c r="H56" i="22" s="1"/>
  <c r="G55" i="22"/>
  <c r="D55" i="22"/>
  <c r="G54" i="22"/>
  <c r="D54" i="22"/>
  <c r="G53" i="22"/>
  <c r="D53" i="22"/>
  <c r="G52" i="22"/>
  <c r="D52" i="22"/>
  <c r="G51" i="22"/>
  <c r="D51" i="22"/>
  <c r="G50" i="22"/>
  <c r="D50" i="22"/>
  <c r="H50" i="22" s="1"/>
  <c r="G49" i="22"/>
  <c r="D49" i="22"/>
  <c r="G48" i="22"/>
  <c r="D48" i="22"/>
  <c r="H48" i="22" s="1"/>
  <c r="G47" i="22"/>
  <c r="D47" i="22"/>
  <c r="G46" i="22"/>
  <c r="D46" i="22"/>
  <c r="H46" i="22" s="1"/>
  <c r="G45" i="22"/>
  <c r="D45" i="22"/>
  <c r="G44" i="22"/>
  <c r="D44" i="22"/>
  <c r="G43" i="22"/>
  <c r="D43" i="22"/>
  <c r="H43" i="22" s="1"/>
  <c r="G42" i="22"/>
  <c r="D42" i="22"/>
  <c r="G41" i="22"/>
  <c r="D41" i="22"/>
  <c r="G40" i="22"/>
  <c r="D40" i="22"/>
  <c r="G39" i="22"/>
  <c r="D39" i="22"/>
  <c r="G38" i="22"/>
  <c r="H38" i="22" s="1"/>
  <c r="D38" i="22"/>
  <c r="G37" i="22"/>
  <c r="D37" i="22"/>
  <c r="G36" i="22"/>
  <c r="D36" i="22"/>
  <c r="G35" i="22"/>
  <c r="D35" i="22"/>
  <c r="H35" i="22" s="1"/>
  <c r="G34" i="22"/>
  <c r="D34" i="22"/>
  <c r="G33" i="22"/>
  <c r="D33" i="22"/>
  <c r="G32" i="22"/>
  <c r="D32" i="22"/>
  <c r="G31" i="22"/>
  <c r="D31" i="22"/>
  <c r="G30" i="22"/>
  <c r="D30" i="22"/>
  <c r="G29" i="22"/>
  <c r="D29" i="22"/>
  <c r="G28" i="22"/>
  <c r="D28" i="22"/>
  <c r="G27" i="22"/>
  <c r="D27" i="22"/>
  <c r="H27" i="22" s="1"/>
  <c r="G26" i="22"/>
  <c r="D26" i="22"/>
  <c r="G25" i="22"/>
  <c r="D25" i="22"/>
  <c r="G24" i="22"/>
  <c r="D24" i="22"/>
  <c r="G23" i="22"/>
  <c r="D23" i="22"/>
  <c r="G22" i="22"/>
  <c r="D22" i="22"/>
  <c r="G21" i="22"/>
  <c r="D21" i="22"/>
  <c r="H21" i="22" s="1"/>
  <c r="G20" i="22"/>
  <c r="D20" i="22"/>
  <c r="G19" i="22"/>
  <c r="D19" i="22"/>
  <c r="G18" i="22"/>
  <c r="D18" i="22"/>
  <c r="G17" i="22"/>
  <c r="D17" i="22"/>
  <c r="G16" i="22"/>
  <c r="D16" i="22"/>
  <c r="G15" i="22"/>
  <c r="D15" i="22"/>
  <c r="G14" i="22"/>
  <c r="D14" i="22"/>
  <c r="G13" i="22"/>
  <c r="D13" i="22"/>
  <c r="H13" i="22" s="1"/>
  <c r="G12" i="22"/>
  <c r="D12" i="22"/>
  <c r="G11" i="22"/>
  <c r="D11" i="22"/>
  <c r="H11" i="22" s="1"/>
  <c r="G10" i="22"/>
  <c r="D10" i="22"/>
  <c r="G9" i="22"/>
  <c r="D9" i="22"/>
  <c r="G8" i="22"/>
  <c r="D8" i="22"/>
  <c r="G7" i="22"/>
  <c r="D7" i="22"/>
  <c r="A3" i="22"/>
  <c r="C102" i="23"/>
  <c r="B102" i="23"/>
  <c r="G101" i="23"/>
  <c r="D101" i="23"/>
  <c r="G100" i="23"/>
  <c r="D100" i="23"/>
  <c r="G99" i="23"/>
  <c r="D99" i="23"/>
  <c r="G98" i="23"/>
  <c r="D98" i="23"/>
  <c r="G97" i="23"/>
  <c r="D97" i="23"/>
  <c r="G96" i="23"/>
  <c r="D96" i="23"/>
  <c r="H96" i="23" s="1"/>
  <c r="G94" i="23"/>
  <c r="D94" i="23"/>
  <c r="G93" i="23"/>
  <c r="D93" i="23"/>
  <c r="F89" i="23"/>
  <c r="E89" i="23"/>
  <c r="C89" i="23"/>
  <c r="B89" i="23"/>
  <c r="G88" i="23"/>
  <c r="D88" i="23"/>
  <c r="G87" i="23"/>
  <c r="D87" i="23"/>
  <c r="H87" i="23" s="1"/>
  <c r="G86" i="23"/>
  <c r="D86" i="23"/>
  <c r="G85" i="23"/>
  <c r="D85" i="23"/>
  <c r="H85" i="23" s="1"/>
  <c r="G84" i="23"/>
  <c r="D84" i="23"/>
  <c r="G83" i="23"/>
  <c r="D83" i="23"/>
  <c r="G82" i="23"/>
  <c r="D82" i="23"/>
  <c r="H82" i="23" s="1"/>
  <c r="G81" i="23"/>
  <c r="D81" i="23"/>
  <c r="G80" i="23"/>
  <c r="D80" i="23"/>
  <c r="G79" i="23"/>
  <c r="D79" i="23"/>
  <c r="H79" i="23" s="1"/>
  <c r="G78" i="23"/>
  <c r="D78" i="23"/>
  <c r="G77" i="23"/>
  <c r="D77" i="23"/>
  <c r="G76" i="23"/>
  <c r="D76" i="23"/>
  <c r="G71" i="23"/>
  <c r="D71" i="23"/>
  <c r="G70" i="23"/>
  <c r="D70" i="23"/>
  <c r="G69" i="23"/>
  <c r="D69" i="23"/>
  <c r="G68" i="23"/>
  <c r="D68" i="23"/>
  <c r="G67" i="23"/>
  <c r="D67" i="23"/>
  <c r="H67" i="23" s="1"/>
  <c r="G66" i="23"/>
  <c r="D66" i="23"/>
  <c r="G65" i="23"/>
  <c r="D65" i="23"/>
  <c r="G64" i="23"/>
  <c r="D64" i="23"/>
  <c r="G63" i="23"/>
  <c r="D63" i="23"/>
  <c r="G62" i="23"/>
  <c r="D62" i="23"/>
  <c r="G61" i="23"/>
  <c r="D61" i="23"/>
  <c r="G60" i="23"/>
  <c r="D60" i="23"/>
  <c r="G59" i="23"/>
  <c r="D59" i="23"/>
  <c r="H59" i="23" s="1"/>
  <c r="G58" i="23"/>
  <c r="D58" i="23"/>
  <c r="G57" i="23"/>
  <c r="D57" i="23"/>
  <c r="H57" i="23" s="1"/>
  <c r="G56" i="23"/>
  <c r="D56" i="23"/>
  <c r="G55" i="23"/>
  <c r="D55" i="23"/>
  <c r="H55" i="23" s="1"/>
  <c r="G54" i="23"/>
  <c r="D54" i="23"/>
  <c r="G53" i="23"/>
  <c r="D53" i="23"/>
  <c r="G52" i="23"/>
  <c r="D52" i="23"/>
  <c r="G51" i="23"/>
  <c r="D51" i="23"/>
  <c r="H51" i="23" s="1"/>
  <c r="G50" i="23"/>
  <c r="D50" i="23"/>
  <c r="G49" i="23"/>
  <c r="D49" i="23"/>
  <c r="H49" i="23" s="1"/>
  <c r="G48" i="23"/>
  <c r="D48" i="23"/>
  <c r="G47" i="23"/>
  <c r="D47" i="23"/>
  <c r="H47" i="23" s="1"/>
  <c r="G46" i="23"/>
  <c r="D46" i="23"/>
  <c r="G45" i="23"/>
  <c r="D45" i="23"/>
  <c r="G44" i="23"/>
  <c r="D44" i="23"/>
  <c r="G43" i="23"/>
  <c r="D43" i="23"/>
  <c r="H43" i="23" s="1"/>
  <c r="G42" i="23"/>
  <c r="D42" i="23"/>
  <c r="G41" i="23"/>
  <c r="D41" i="23"/>
  <c r="H41" i="23" s="1"/>
  <c r="G40" i="23"/>
  <c r="D40" i="23"/>
  <c r="G39" i="23"/>
  <c r="D39" i="23"/>
  <c r="G38" i="23"/>
  <c r="D38" i="23"/>
  <c r="G37" i="23"/>
  <c r="D37" i="23"/>
  <c r="G36" i="23"/>
  <c r="D36" i="23"/>
  <c r="G35" i="23"/>
  <c r="D35" i="23"/>
  <c r="H35" i="23" s="1"/>
  <c r="G34" i="23"/>
  <c r="D34" i="23"/>
  <c r="G33" i="23"/>
  <c r="D33" i="23"/>
  <c r="H33" i="23" s="1"/>
  <c r="G32" i="23"/>
  <c r="D32" i="23"/>
  <c r="G31" i="23"/>
  <c r="D31" i="23"/>
  <c r="G30" i="23"/>
  <c r="D30" i="23"/>
  <c r="H30" i="23" s="1"/>
  <c r="G29" i="23"/>
  <c r="D29" i="23"/>
  <c r="G28" i="23"/>
  <c r="D28" i="23"/>
  <c r="G27" i="23"/>
  <c r="D27" i="23"/>
  <c r="H27" i="23" s="1"/>
  <c r="G26" i="23"/>
  <c r="D26" i="23"/>
  <c r="G25" i="23"/>
  <c r="D25" i="23"/>
  <c r="G24" i="23"/>
  <c r="D24" i="23"/>
  <c r="G23" i="23"/>
  <c r="D23" i="23"/>
  <c r="G22" i="23"/>
  <c r="D22" i="23"/>
  <c r="G21" i="23"/>
  <c r="D21" i="23"/>
  <c r="G20" i="23"/>
  <c r="D20" i="23"/>
  <c r="G19" i="23"/>
  <c r="D19" i="23"/>
  <c r="H19" i="23" s="1"/>
  <c r="G18" i="23"/>
  <c r="D18" i="23"/>
  <c r="G17" i="23"/>
  <c r="D17" i="23"/>
  <c r="G16" i="23"/>
  <c r="D16" i="23"/>
  <c r="G15" i="23"/>
  <c r="D15" i="23"/>
  <c r="G14" i="23"/>
  <c r="D14" i="23"/>
  <c r="G13" i="23"/>
  <c r="D13" i="23"/>
  <c r="G12" i="23"/>
  <c r="D12" i="23"/>
  <c r="G11" i="23"/>
  <c r="D11" i="23"/>
  <c r="H11" i="23" s="1"/>
  <c r="G10" i="23"/>
  <c r="D10" i="23"/>
  <c r="G9" i="23"/>
  <c r="D9" i="23"/>
  <c r="G8" i="23"/>
  <c r="D8" i="23"/>
  <c r="G7" i="23"/>
  <c r="D7" i="23"/>
  <c r="A3" i="23"/>
  <c r="C101" i="24"/>
  <c r="B101" i="24"/>
  <c r="G100" i="24"/>
  <c r="D100" i="24"/>
  <c r="H100" i="24" s="1"/>
  <c r="G99" i="24"/>
  <c r="D99" i="24"/>
  <c r="G98" i="24"/>
  <c r="D98" i="24"/>
  <c r="G97" i="24"/>
  <c r="H97" i="24" s="1"/>
  <c r="D97" i="24"/>
  <c r="G96" i="24"/>
  <c r="D96" i="24"/>
  <c r="G94" i="24"/>
  <c r="D94" i="24"/>
  <c r="G93" i="24"/>
  <c r="D93" i="24"/>
  <c r="G92" i="24"/>
  <c r="D92" i="24"/>
  <c r="H92" i="24" s="1"/>
  <c r="F88" i="24"/>
  <c r="E88" i="24"/>
  <c r="C88" i="24"/>
  <c r="B88" i="24"/>
  <c r="G87" i="24"/>
  <c r="D87" i="24"/>
  <c r="G86" i="24"/>
  <c r="D86" i="24"/>
  <c r="G85" i="24"/>
  <c r="D85" i="24"/>
  <c r="G84" i="24"/>
  <c r="D84" i="24"/>
  <c r="G83" i="24"/>
  <c r="D83" i="24"/>
  <c r="H83" i="24" s="1"/>
  <c r="G82" i="24"/>
  <c r="D82" i="24"/>
  <c r="H82" i="24" s="1"/>
  <c r="G81" i="24"/>
  <c r="D81" i="24"/>
  <c r="H81" i="24" s="1"/>
  <c r="G80" i="24"/>
  <c r="D80" i="24"/>
  <c r="G79" i="24"/>
  <c r="D79" i="24"/>
  <c r="G78" i="24"/>
  <c r="D78" i="24"/>
  <c r="G77" i="24"/>
  <c r="D77" i="24"/>
  <c r="H77" i="24" s="1"/>
  <c r="G73" i="24"/>
  <c r="D73" i="24"/>
  <c r="G72" i="24"/>
  <c r="D72" i="24"/>
  <c r="H72" i="24" s="1"/>
  <c r="G71" i="24"/>
  <c r="D71" i="24"/>
  <c r="H71" i="24" s="1"/>
  <c r="G70" i="24"/>
  <c r="D70" i="24"/>
  <c r="G69" i="24"/>
  <c r="D69" i="24"/>
  <c r="G68" i="24"/>
  <c r="D68" i="24"/>
  <c r="G67" i="24"/>
  <c r="D67" i="24"/>
  <c r="G66" i="24"/>
  <c r="D66" i="24"/>
  <c r="H66" i="24" s="1"/>
  <c r="G65" i="24"/>
  <c r="D65" i="24"/>
  <c r="G64" i="24"/>
  <c r="D64" i="24"/>
  <c r="H64" i="24" s="1"/>
  <c r="G63" i="24"/>
  <c r="D63" i="24"/>
  <c r="H63" i="24" s="1"/>
  <c r="G62" i="24"/>
  <c r="D62" i="24"/>
  <c r="H62" i="24" s="1"/>
  <c r="G61" i="24"/>
  <c r="D61" i="24"/>
  <c r="G60" i="24"/>
  <c r="D60" i="24"/>
  <c r="G59" i="24"/>
  <c r="D59" i="24"/>
  <c r="G58" i="24"/>
  <c r="D58" i="24"/>
  <c r="H58" i="24" s="1"/>
  <c r="G57" i="24"/>
  <c r="D57" i="24"/>
  <c r="G56" i="24"/>
  <c r="D56" i="24"/>
  <c r="H56" i="24" s="1"/>
  <c r="G55" i="24"/>
  <c r="D55" i="24"/>
  <c r="H55" i="24" s="1"/>
  <c r="G54" i="24"/>
  <c r="D54" i="24"/>
  <c r="G53" i="24"/>
  <c r="D53" i="24"/>
  <c r="G52" i="24"/>
  <c r="D52" i="24"/>
  <c r="G51" i="24"/>
  <c r="D51" i="24"/>
  <c r="G50" i="24"/>
  <c r="D50" i="24"/>
  <c r="H50" i="24" s="1"/>
  <c r="G49" i="24"/>
  <c r="D49" i="24"/>
  <c r="H49" i="24" s="1"/>
  <c r="G48" i="24"/>
  <c r="D48" i="24"/>
  <c r="H48" i="24" s="1"/>
  <c r="G47" i="24"/>
  <c r="D47" i="24"/>
  <c r="H47" i="24" s="1"/>
  <c r="G46" i="24"/>
  <c r="D46" i="24"/>
  <c r="G45" i="24"/>
  <c r="D45" i="24"/>
  <c r="G44" i="24"/>
  <c r="D44" i="24"/>
  <c r="G43" i="24"/>
  <c r="D43" i="24"/>
  <c r="G42" i="24"/>
  <c r="D42" i="24"/>
  <c r="H42" i="24" s="1"/>
  <c r="G41" i="24"/>
  <c r="D41" i="24"/>
  <c r="H41" i="24" s="1"/>
  <c r="G40" i="24"/>
  <c r="D40" i="24"/>
  <c r="G39" i="24"/>
  <c r="D39" i="24"/>
  <c r="G38" i="24"/>
  <c r="D38" i="24"/>
  <c r="G37" i="24"/>
  <c r="D37" i="24"/>
  <c r="G36" i="24"/>
  <c r="D36" i="24"/>
  <c r="G35" i="24"/>
  <c r="D35" i="24"/>
  <c r="G34" i="24"/>
  <c r="D34" i="24"/>
  <c r="H34" i="24" s="1"/>
  <c r="G33" i="24"/>
  <c r="D33" i="24"/>
  <c r="H33" i="24" s="1"/>
  <c r="G32" i="24"/>
  <c r="D32" i="24"/>
  <c r="G31" i="24"/>
  <c r="D31" i="24"/>
  <c r="H31" i="24" s="1"/>
  <c r="G30" i="24"/>
  <c r="D30" i="24"/>
  <c r="H30" i="24" s="1"/>
  <c r="G29" i="24"/>
  <c r="D29" i="24"/>
  <c r="G28" i="24"/>
  <c r="D28" i="24"/>
  <c r="G27" i="24"/>
  <c r="D27" i="24"/>
  <c r="G26" i="24"/>
  <c r="D26" i="24"/>
  <c r="H26" i="24" s="1"/>
  <c r="G25" i="24"/>
  <c r="D25" i="24"/>
  <c r="H25" i="24" s="1"/>
  <c r="G24" i="24"/>
  <c r="D24" i="24"/>
  <c r="H24" i="24" s="1"/>
  <c r="G23" i="24"/>
  <c r="D23" i="24"/>
  <c r="H23" i="24" s="1"/>
  <c r="G22" i="24"/>
  <c r="D22" i="24"/>
  <c r="G21" i="24"/>
  <c r="D21" i="24"/>
  <c r="G20" i="24"/>
  <c r="D20" i="24"/>
  <c r="G19" i="24"/>
  <c r="D19" i="24"/>
  <c r="G18" i="24"/>
  <c r="D18" i="24"/>
  <c r="H18" i="24" s="1"/>
  <c r="G17" i="24"/>
  <c r="D17" i="24"/>
  <c r="H17" i="24" s="1"/>
  <c r="G16" i="24"/>
  <c r="D16" i="24"/>
  <c r="H16" i="24" s="1"/>
  <c r="G15" i="24"/>
  <c r="D15" i="24"/>
  <c r="H15" i="24" s="1"/>
  <c r="G14" i="24"/>
  <c r="D14" i="24"/>
  <c r="H14" i="24" s="1"/>
  <c r="G13" i="24"/>
  <c r="D13" i="24"/>
  <c r="G12" i="24"/>
  <c r="D12" i="24"/>
  <c r="G11" i="24"/>
  <c r="D11" i="24"/>
  <c r="G10" i="24"/>
  <c r="D10" i="24"/>
  <c r="H10" i="24" s="1"/>
  <c r="G9" i="24"/>
  <c r="D9" i="24"/>
  <c r="H9" i="24" s="1"/>
  <c r="G8" i="24"/>
  <c r="D8" i="24"/>
  <c r="H8" i="24" s="1"/>
  <c r="G7" i="24"/>
  <c r="D7" i="24"/>
  <c r="A3" i="24"/>
  <c r="C102" i="25"/>
  <c r="B102" i="25"/>
  <c r="G101" i="25"/>
  <c r="D101" i="25"/>
  <c r="G100" i="25"/>
  <c r="D100" i="25"/>
  <c r="G99" i="25"/>
  <c r="D99" i="25"/>
  <c r="H99" i="25" s="1"/>
  <c r="G98" i="25"/>
  <c r="D98" i="25"/>
  <c r="G96" i="25"/>
  <c r="D96" i="25"/>
  <c r="H96" i="25" s="1"/>
  <c r="G95" i="25"/>
  <c r="D95" i="25"/>
  <c r="G94" i="25"/>
  <c r="D94" i="25"/>
  <c r="G93" i="25"/>
  <c r="D93" i="25"/>
  <c r="F89" i="25"/>
  <c r="E89" i="25"/>
  <c r="G84" i="25"/>
  <c r="G83" i="25"/>
  <c r="G82" i="25"/>
  <c r="G81" i="25"/>
  <c r="G80" i="25"/>
  <c r="G79" i="25"/>
  <c r="G78" i="25"/>
  <c r="G77" i="25"/>
  <c r="G76" i="25"/>
  <c r="G75" i="25"/>
  <c r="G74" i="25"/>
  <c r="G73" i="25"/>
  <c r="G72" i="25"/>
  <c r="G71" i="25"/>
  <c r="G70" i="25"/>
  <c r="G69" i="25"/>
  <c r="G68" i="25"/>
  <c r="G67" i="25"/>
  <c r="G66" i="25"/>
  <c r="G65" i="25"/>
  <c r="G64" i="25"/>
  <c r="G63" i="25"/>
  <c r="G62" i="25"/>
  <c r="G61" i="25"/>
  <c r="G60" i="25"/>
  <c r="G59" i="25"/>
  <c r="G58" i="25"/>
  <c r="G57" i="25"/>
  <c r="G56" i="25"/>
  <c r="G55" i="25"/>
  <c r="G54" i="25"/>
  <c r="G53" i="25"/>
  <c r="G52" i="25"/>
  <c r="G51" i="25"/>
  <c r="G50" i="25"/>
  <c r="G49" i="25"/>
  <c r="G48" i="25"/>
  <c r="G47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34" i="25"/>
  <c r="G33" i="25"/>
  <c r="G32" i="25"/>
  <c r="G31" i="25"/>
  <c r="G30" i="25"/>
  <c r="G29" i="25"/>
  <c r="G28" i="25"/>
  <c r="G27" i="25"/>
  <c r="G26" i="25"/>
  <c r="G25" i="25"/>
  <c r="G20" i="25"/>
  <c r="G19" i="25"/>
  <c r="G18" i="25"/>
  <c r="G17" i="25"/>
  <c r="G16" i="25"/>
  <c r="G15" i="25"/>
  <c r="G14" i="25"/>
  <c r="G13" i="25"/>
  <c r="H13" i="25" s="1"/>
  <c r="G12" i="25"/>
  <c r="G9" i="25"/>
  <c r="G8" i="25"/>
  <c r="G7" i="25"/>
  <c r="A3" i="25"/>
  <c r="B107" i="20"/>
  <c r="G106" i="20"/>
  <c r="D106" i="20"/>
  <c r="G105" i="20"/>
  <c r="D105" i="20"/>
  <c r="H105" i="20" s="1"/>
  <c r="G104" i="20"/>
  <c r="D104" i="20"/>
  <c r="G103" i="20"/>
  <c r="D103" i="20"/>
  <c r="G98" i="20"/>
  <c r="D98" i="20"/>
  <c r="G97" i="20"/>
  <c r="D97" i="20"/>
  <c r="G96" i="20"/>
  <c r="D96" i="20"/>
  <c r="F92" i="20"/>
  <c r="E92" i="20"/>
  <c r="C92" i="20"/>
  <c r="B92" i="20"/>
  <c r="G91" i="20"/>
  <c r="D91" i="20"/>
  <c r="H91" i="20" s="1"/>
  <c r="G90" i="20"/>
  <c r="D90" i="20"/>
  <c r="H90" i="20" s="1"/>
  <c r="G89" i="20"/>
  <c r="D89" i="20"/>
  <c r="G88" i="20"/>
  <c r="D88" i="20"/>
  <c r="G87" i="20"/>
  <c r="D87" i="20"/>
  <c r="G86" i="20"/>
  <c r="D86" i="20"/>
  <c r="H86" i="20" s="1"/>
  <c r="G85" i="20"/>
  <c r="D85" i="20"/>
  <c r="G84" i="20"/>
  <c r="D84" i="20"/>
  <c r="G83" i="20"/>
  <c r="D83" i="20"/>
  <c r="G82" i="20"/>
  <c r="D82" i="20"/>
  <c r="H82" i="20" s="1"/>
  <c r="G81" i="20"/>
  <c r="D81" i="20"/>
  <c r="G80" i="20"/>
  <c r="D80" i="20"/>
  <c r="G79" i="20"/>
  <c r="D79" i="20"/>
  <c r="G78" i="20"/>
  <c r="D78" i="20"/>
  <c r="H78" i="20" s="1"/>
  <c r="G77" i="20"/>
  <c r="D77" i="20"/>
  <c r="H77" i="20" s="1"/>
  <c r="G76" i="20"/>
  <c r="D76" i="20"/>
  <c r="G75" i="20"/>
  <c r="D75" i="20"/>
  <c r="G74" i="20"/>
  <c r="D74" i="20"/>
  <c r="H74" i="20" s="1"/>
  <c r="G73" i="20"/>
  <c r="D73" i="20"/>
  <c r="G72" i="20"/>
  <c r="D72" i="20"/>
  <c r="G71" i="20"/>
  <c r="D71" i="20"/>
  <c r="G70" i="20"/>
  <c r="D70" i="20"/>
  <c r="H70" i="20" s="1"/>
  <c r="G69" i="20"/>
  <c r="D69" i="20"/>
  <c r="G68" i="20"/>
  <c r="D68" i="20"/>
  <c r="G67" i="20"/>
  <c r="D67" i="20"/>
  <c r="H67" i="20" s="1"/>
  <c r="G66" i="20"/>
  <c r="D66" i="20"/>
  <c r="G65" i="20"/>
  <c r="D65" i="20"/>
  <c r="G64" i="20"/>
  <c r="D64" i="20"/>
  <c r="G63" i="20"/>
  <c r="D63" i="20"/>
  <c r="G62" i="20"/>
  <c r="D62" i="20"/>
  <c r="H62" i="20" s="1"/>
  <c r="G61" i="20"/>
  <c r="D61" i="20"/>
  <c r="H61" i="20" s="1"/>
  <c r="G60" i="20"/>
  <c r="D60" i="20"/>
  <c r="G59" i="20"/>
  <c r="D59" i="20"/>
  <c r="H59" i="20" s="1"/>
  <c r="G58" i="20"/>
  <c r="D58" i="20"/>
  <c r="G57" i="20"/>
  <c r="D57" i="20"/>
  <c r="G56" i="20"/>
  <c r="D56" i="20"/>
  <c r="G55" i="20"/>
  <c r="D55" i="20"/>
  <c r="G54" i="20"/>
  <c r="D54" i="20"/>
  <c r="H54" i="20" s="1"/>
  <c r="G53" i="20"/>
  <c r="D53" i="20"/>
  <c r="G52" i="20"/>
  <c r="D52" i="20"/>
  <c r="G51" i="20"/>
  <c r="D51" i="20"/>
  <c r="H51" i="20" s="1"/>
  <c r="G50" i="20"/>
  <c r="D50" i="20"/>
  <c r="H50" i="20" s="1"/>
  <c r="G49" i="20"/>
  <c r="D49" i="20"/>
  <c r="G48" i="20"/>
  <c r="D48" i="20"/>
  <c r="G47" i="20"/>
  <c r="D47" i="20"/>
  <c r="G46" i="20"/>
  <c r="D46" i="20"/>
  <c r="H46" i="20" s="1"/>
  <c r="G45" i="20"/>
  <c r="D45" i="20"/>
  <c r="H45" i="20" s="1"/>
  <c r="G44" i="20"/>
  <c r="D44" i="20"/>
  <c r="G43" i="20"/>
  <c r="D43" i="20"/>
  <c r="H43" i="20" s="1"/>
  <c r="G42" i="20"/>
  <c r="D42" i="20"/>
  <c r="H42" i="20" s="1"/>
  <c r="G41" i="20"/>
  <c r="D41" i="20"/>
  <c r="G40" i="20"/>
  <c r="D40" i="20"/>
  <c r="G39" i="20"/>
  <c r="D39" i="20"/>
  <c r="G38" i="20"/>
  <c r="D38" i="20"/>
  <c r="H38" i="20" s="1"/>
  <c r="G37" i="20"/>
  <c r="D37" i="20"/>
  <c r="G36" i="20"/>
  <c r="D36" i="20"/>
  <c r="G35" i="20"/>
  <c r="D35" i="20"/>
  <c r="H35" i="20" s="1"/>
  <c r="G34" i="20"/>
  <c r="D34" i="20"/>
  <c r="H34" i="20" s="1"/>
  <c r="G33" i="20"/>
  <c r="D33" i="20"/>
  <c r="G32" i="20"/>
  <c r="D32" i="20"/>
  <c r="G31" i="20"/>
  <c r="D31" i="20"/>
  <c r="G30" i="20"/>
  <c r="D30" i="20"/>
  <c r="H30" i="20" s="1"/>
  <c r="G29" i="20"/>
  <c r="D29" i="20"/>
  <c r="G19" i="20"/>
  <c r="D19" i="20"/>
  <c r="G18" i="20"/>
  <c r="D18" i="20"/>
  <c r="H18" i="20" s="1"/>
  <c r="G17" i="20"/>
  <c r="D17" i="20"/>
  <c r="H17" i="20" s="1"/>
  <c r="G16" i="20"/>
  <c r="D16" i="20"/>
  <c r="G15" i="20"/>
  <c r="D15" i="20"/>
  <c r="G14" i="20"/>
  <c r="D14" i="20"/>
  <c r="G13" i="20"/>
  <c r="D13" i="20"/>
  <c r="H13" i="20" s="1"/>
  <c r="G12" i="20"/>
  <c r="D12" i="20"/>
  <c r="G11" i="20"/>
  <c r="D11" i="20"/>
  <c r="G10" i="20"/>
  <c r="D10" i="20"/>
  <c r="G9" i="20"/>
  <c r="D9" i="20"/>
  <c r="G8" i="20"/>
  <c r="D8" i="20"/>
  <c r="G7" i="20"/>
  <c r="D7" i="20"/>
  <c r="A3" i="20"/>
  <c r="G99" i="21"/>
  <c r="D99" i="21"/>
  <c r="G98" i="21"/>
  <c r="D98" i="21"/>
  <c r="H98" i="21" s="1"/>
  <c r="G97" i="21"/>
  <c r="D97" i="21"/>
  <c r="G96" i="21"/>
  <c r="D96" i="21"/>
  <c r="G95" i="21"/>
  <c r="D95" i="21"/>
  <c r="G93" i="21"/>
  <c r="D93" i="21"/>
  <c r="G92" i="21"/>
  <c r="D92" i="21"/>
  <c r="G91" i="21"/>
  <c r="D91" i="21"/>
  <c r="H91" i="21" s="1"/>
  <c r="F87" i="21"/>
  <c r="E87" i="21"/>
  <c r="G86" i="21"/>
  <c r="D86" i="21"/>
  <c r="H86" i="21" s="1"/>
  <c r="G85" i="21"/>
  <c r="D85" i="21"/>
  <c r="G84" i="21"/>
  <c r="D84" i="21"/>
  <c r="G83" i="21"/>
  <c r="D83" i="21"/>
  <c r="G82" i="21"/>
  <c r="D82" i="21"/>
  <c r="G81" i="21"/>
  <c r="D81" i="21"/>
  <c r="G80" i="21"/>
  <c r="D80" i="21"/>
  <c r="H80" i="21" s="1"/>
  <c r="G79" i="21"/>
  <c r="D79" i="21"/>
  <c r="G78" i="21"/>
  <c r="D78" i="21"/>
  <c r="H78" i="21" s="1"/>
  <c r="G77" i="21"/>
  <c r="D77" i="21"/>
  <c r="G76" i="21"/>
  <c r="D76" i="21"/>
  <c r="G75" i="21"/>
  <c r="D75" i="21"/>
  <c r="G74" i="21"/>
  <c r="D74" i="21"/>
  <c r="G73" i="21"/>
  <c r="D73" i="21"/>
  <c r="G72" i="21"/>
  <c r="D72" i="21"/>
  <c r="G71" i="21"/>
  <c r="D71" i="21"/>
  <c r="G70" i="21"/>
  <c r="D70" i="21"/>
  <c r="G69" i="21"/>
  <c r="D69" i="21"/>
  <c r="G68" i="21"/>
  <c r="D68" i="21"/>
  <c r="G67" i="21"/>
  <c r="D67" i="21"/>
  <c r="G66" i="21"/>
  <c r="D66" i="21"/>
  <c r="G65" i="21"/>
  <c r="D65" i="21"/>
  <c r="G64" i="21"/>
  <c r="D64" i="21"/>
  <c r="H64" i="21" s="1"/>
  <c r="G63" i="21"/>
  <c r="D63" i="21"/>
  <c r="G62" i="21"/>
  <c r="D62" i="21"/>
  <c r="H62" i="21" s="1"/>
  <c r="G61" i="21"/>
  <c r="D61" i="21"/>
  <c r="G60" i="21"/>
  <c r="D60" i="21"/>
  <c r="G59" i="21"/>
  <c r="D59" i="21"/>
  <c r="G58" i="21"/>
  <c r="D58" i="21"/>
  <c r="G57" i="21"/>
  <c r="D57" i="21"/>
  <c r="G56" i="21"/>
  <c r="D56" i="21"/>
  <c r="G55" i="21"/>
  <c r="D55" i="21"/>
  <c r="G54" i="21"/>
  <c r="D54" i="21"/>
  <c r="H54" i="21" s="1"/>
  <c r="G53" i="21"/>
  <c r="D53" i="21"/>
  <c r="G52" i="21"/>
  <c r="D52" i="21"/>
  <c r="G51" i="21"/>
  <c r="D51" i="21"/>
  <c r="G50" i="21"/>
  <c r="D50" i="21"/>
  <c r="G49" i="21"/>
  <c r="D49" i="21"/>
  <c r="G48" i="21"/>
  <c r="D48" i="21"/>
  <c r="H48" i="21" s="1"/>
  <c r="G47" i="21"/>
  <c r="D47" i="21"/>
  <c r="G46" i="21"/>
  <c r="D46" i="21"/>
  <c r="H46" i="21" s="1"/>
  <c r="G45" i="21"/>
  <c r="D45" i="21"/>
  <c r="G44" i="21"/>
  <c r="D44" i="21"/>
  <c r="G43" i="21"/>
  <c r="D43" i="21"/>
  <c r="G42" i="21"/>
  <c r="D42" i="21"/>
  <c r="G41" i="21"/>
  <c r="D41" i="21"/>
  <c r="G40" i="21"/>
  <c r="D40" i="21"/>
  <c r="G39" i="21"/>
  <c r="D39" i="21"/>
  <c r="G38" i="21"/>
  <c r="D38" i="21"/>
  <c r="H38" i="21" s="1"/>
  <c r="G37" i="21"/>
  <c r="D37" i="21"/>
  <c r="G36" i="21"/>
  <c r="D36" i="21"/>
  <c r="H36" i="21" s="1"/>
  <c r="G35" i="21"/>
  <c r="D35" i="21"/>
  <c r="G34" i="21"/>
  <c r="D34" i="21"/>
  <c r="G33" i="21"/>
  <c r="D33" i="21"/>
  <c r="G32" i="21"/>
  <c r="D32" i="21"/>
  <c r="H32" i="21" s="1"/>
  <c r="G31" i="21"/>
  <c r="D31" i="21"/>
  <c r="G30" i="21"/>
  <c r="D30" i="21"/>
  <c r="H30" i="21" s="1"/>
  <c r="G29" i="21"/>
  <c r="D29" i="21"/>
  <c r="G28" i="21"/>
  <c r="D28" i="21"/>
  <c r="H28" i="21" s="1"/>
  <c r="G27" i="21"/>
  <c r="D27" i="21"/>
  <c r="G26" i="21"/>
  <c r="D26" i="21"/>
  <c r="G25" i="21"/>
  <c r="D25" i="21"/>
  <c r="G24" i="21"/>
  <c r="D24" i="21"/>
  <c r="G23" i="21"/>
  <c r="D23" i="21"/>
  <c r="G22" i="21"/>
  <c r="D22" i="21"/>
  <c r="H22" i="21" s="1"/>
  <c r="G21" i="21"/>
  <c r="D21" i="21"/>
  <c r="H21" i="21" s="1"/>
  <c r="G20" i="21"/>
  <c r="D20" i="21"/>
  <c r="H20" i="21" s="1"/>
  <c r="G19" i="21"/>
  <c r="D19" i="21"/>
  <c r="G18" i="21"/>
  <c r="D18" i="21"/>
  <c r="G17" i="21"/>
  <c r="D17" i="21"/>
  <c r="G16" i="21"/>
  <c r="D16" i="21"/>
  <c r="H16" i="21" s="1"/>
  <c r="G15" i="21"/>
  <c r="D15" i="21"/>
  <c r="G14" i="21"/>
  <c r="D14" i="21"/>
  <c r="H14" i="21" s="1"/>
  <c r="G13" i="21"/>
  <c r="D13" i="21"/>
  <c r="G10" i="21"/>
  <c r="D10" i="21"/>
  <c r="G9" i="21"/>
  <c r="D9" i="21"/>
  <c r="G8" i="21"/>
  <c r="D8" i="21"/>
  <c r="G7" i="21"/>
  <c r="D7" i="21"/>
  <c r="A3" i="21"/>
  <c r="C85" i="19"/>
  <c r="E85" i="19"/>
  <c r="F85" i="19"/>
  <c r="B85" i="19"/>
  <c r="G68" i="19"/>
  <c r="D68" i="19"/>
  <c r="G67" i="19"/>
  <c r="D67" i="19"/>
  <c r="G66" i="19"/>
  <c r="D66" i="19"/>
  <c r="G65" i="19"/>
  <c r="D65" i="19"/>
  <c r="G64" i="19"/>
  <c r="D64" i="19"/>
  <c r="H64" i="19" s="1"/>
  <c r="G63" i="19"/>
  <c r="H63" i="19" s="1"/>
  <c r="D63" i="19"/>
  <c r="G62" i="19"/>
  <c r="D62" i="19"/>
  <c r="G61" i="19"/>
  <c r="D61" i="19"/>
  <c r="F93" i="18"/>
  <c r="E93" i="18"/>
  <c r="F81" i="18"/>
  <c r="E81" i="18"/>
  <c r="B81" i="18"/>
  <c r="C81" i="18"/>
  <c r="G75" i="18"/>
  <c r="D75" i="18"/>
  <c r="H75" i="18" s="1"/>
  <c r="G74" i="18"/>
  <c r="D74" i="18"/>
  <c r="G73" i="18"/>
  <c r="D73" i="18"/>
  <c r="D76" i="18"/>
  <c r="G76" i="18"/>
  <c r="D77" i="18"/>
  <c r="G77" i="18"/>
  <c r="B97" i="19"/>
  <c r="G96" i="19"/>
  <c r="D96" i="19"/>
  <c r="G95" i="19"/>
  <c r="D95" i="19"/>
  <c r="G94" i="19"/>
  <c r="D94" i="19"/>
  <c r="H94" i="19" s="1"/>
  <c r="G93" i="19"/>
  <c r="D93" i="19"/>
  <c r="G92" i="19"/>
  <c r="D92" i="19"/>
  <c r="G91" i="19"/>
  <c r="D91" i="19"/>
  <c r="H91" i="19" s="1"/>
  <c r="G90" i="19"/>
  <c r="D90" i="19"/>
  <c r="G89" i="19"/>
  <c r="D89" i="19"/>
  <c r="H89" i="19" s="1"/>
  <c r="G84" i="19"/>
  <c r="D84" i="19"/>
  <c r="G83" i="19"/>
  <c r="D83" i="19"/>
  <c r="H83" i="19" s="1"/>
  <c r="G82" i="19"/>
  <c r="D82" i="19"/>
  <c r="H82" i="19" s="1"/>
  <c r="G81" i="19"/>
  <c r="D81" i="19"/>
  <c r="G80" i="19"/>
  <c r="D80" i="19"/>
  <c r="G79" i="19"/>
  <c r="D79" i="19"/>
  <c r="H79" i="19" s="1"/>
  <c r="G78" i="19"/>
  <c r="D78" i="19"/>
  <c r="H78" i="19" s="1"/>
  <c r="G77" i="19"/>
  <c r="D77" i="19"/>
  <c r="G76" i="19"/>
  <c r="D76" i="19"/>
  <c r="H76" i="19" s="1"/>
  <c r="G75" i="19"/>
  <c r="D75" i="19"/>
  <c r="H75" i="19" s="1"/>
  <c r="G74" i="19"/>
  <c r="D74" i="19"/>
  <c r="G73" i="19"/>
  <c r="D73" i="19"/>
  <c r="G72" i="19"/>
  <c r="D72" i="19"/>
  <c r="G71" i="19"/>
  <c r="D71" i="19"/>
  <c r="H71" i="19" s="1"/>
  <c r="G70" i="19"/>
  <c r="D70" i="19"/>
  <c r="G69" i="19"/>
  <c r="D69" i="19"/>
  <c r="G60" i="19"/>
  <c r="D60" i="19"/>
  <c r="H60" i="19" s="1"/>
  <c r="G59" i="19"/>
  <c r="D59" i="19"/>
  <c r="H59" i="19" s="1"/>
  <c r="G58" i="19"/>
  <c r="D58" i="19"/>
  <c r="H58" i="19" s="1"/>
  <c r="G57" i="19"/>
  <c r="D57" i="19"/>
  <c r="G56" i="19"/>
  <c r="D56" i="19"/>
  <c r="G55" i="19"/>
  <c r="H55" i="19" s="1"/>
  <c r="D55" i="19"/>
  <c r="G54" i="19"/>
  <c r="D54" i="19"/>
  <c r="H54" i="19" s="1"/>
  <c r="G53" i="19"/>
  <c r="D53" i="19"/>
  <c r="H53" i="19" s="1"/>
  <c r="G52" i="19"/>
  <c r="D52" i="19"/>
  <c r="H52" i="19" s="1"/>
  <c r="G51" i="19"/>
  <c r="D51" i="19"/>
  <c r="H51" i="19" s="1"/>
  <c r="G50" i="19"/>
  <c r="D50" i="19"/>
  <c r="G49" i="19"/>
  <c r="D49" i="19"/>
  <c r="G48" i="19"/>
  <c r="D48" i="19"/>
  <c r="G47" i="19"/>
  <c r="D47" i="19"/>
  <c r="G46" i="19"/>
  <c r="D46" i="19"/>
  <c r="G45" i="19"/>
  <c r="D45" i="19"/>
  <c r="H45" i="19" s="1"/>
  <c r="G44" i="19"/>
  <c r="D44" i="19"/>
  <c r="H44" i="19" s="1"/>
  <c r="G43" i="19"/>
  <c r="D43" i="19"/>
  <c r="H43" i="19" s="1"/>
  <c r="G42" i="19"/>
  <c r="D42" i="19"/>
  <c r="H42" i="19" s="1"/>
  <c r="G41" i="19"/>
  <c r="D41" i="19"/>
  <c r="G40" i="19"/>
  <c r="D40" i="19"/>
  <c r="G39" i="19"/>
  <c r="D39" i="19"/>
  <c r="H39" i="19" s="1"/>
  <c r="G38" i="19"/>
  <c r="D38" i="19"/>
  <c r="H38" i="19" s="1"/>
  <c r="G37" i="19"/>
  <c r="D37" i="19"/>
  <c r="H37" i="19" s="1"/>
  <c r="G36" i="19"/>
  <c r="D36" i="19"/>
  <c r="H36" i="19" s="1"/>
  <c r="G35" i="19"/>
  <c r="D35" i="19"/>
  <c r="H35" i="19" s="1"/>
  <c r="G34" i="19"/>
  <c r="D34" i="19"/>
  <c r="G33" i="19"/>
  <c r="D33" i="19"/>
  <c r="G32" i="19"/>
  <c r="D32" i="19"/>
  <c r="G31" i="19"/>
  <c r="D31" i="19"/>
  <c r="G30" i="19"/>
  <c r="D30" i="19"/>
  <c r="H30" i="19" s="1"/>
  <c r="G29" i="19"/>
  <c r="D29" i="19"/>
  <c r="H29" i="19" s="1"/>
  <c r="G28" i="19"/>
  <c r="D28" i="19"/>
  <c r="H28" i="19" s="1"/>
  <c r="G27" i="19"/>
  <c r="D27" i="19"/>
  <c r="H27" i="19" s="1"/>
  <c r="G26" i="19"/>
  <c r="D26" i="19"/>
  <c r="G25" i="19"/>
  <c r="D25" i="19"/>
  <c r="G24" i="19"/>
  <c r="D24" i="19"/>
  <c r="G23" i="19"/>
  <c r="H23" i="19" s="1"/>
  <c r="D23" i="19"/>
  <c r="G22" i="19"/>
  <c r="D22" i="19"/>
  <c r="G21" i="19"/>
  <c r="D21" i="19"/>
  <c r="G20" i="19"/>
  <c r="D20" i="19"/>
  <c r="H20" i="19" s="1"/>
  <c r="G19" i="19"/>
  <c r="D19" i="19"/>
  <c r="H19" i="19" s="1"/>
  <c r="G18" i="19"/>
  <c r="D18" i="19"/>
  <c r="G17" i="19"/>
  <c r="D17" i="19"/>
  <c r="G16" i="19"/>
  <c r="D16" i="19"/>
  <c r="G15" i="19"/>
  <c r="D15" i="19"/>
  <c r="G14" i="19"/>
  <c r="D14" i="19"/>
  <c r="G13" i="19"/>
  <c r="D13" i="19"/>
  <c r="G12" i="19"/>
  <c r="D12" i="19"/>
  <c r="H12" i="19" s="1"/>
  <c r="G11" i="19"/>
  <c r="D11" i="19"/>
  <c r="H11" i="19" s="1"/>
  <c r="G10" i="19"/>
  <c r="D10" i="19"/>
  <c r="G9" i="19"/>
  <c r="D9" i="19"/>
  <c r="G8" i="19"/>
  <c r="D8" i="19"/>
  <c r="G7" i="19"/>
  <c r="G85" i="19" s="1"/>
  <c r="D7" i="19"/>
  <c r="A3" i="19"/>
  <c r="H81" i="26" l="1"/>
  <c r="H93" i="26"/>
  <c r="H88" i="26"/>
  <c r="H42" i="26"/>
  <c r="H58" i="26"/>
  <c r="H74" i="26"/>
  <c r="H95" i="26"/>
  <c r="H94" i="26"/>
  <c r="H89" i="26"/>
  <c r="H10" i="26"/>
  <c r="H33" i="26"/>
  <c r="H78" i="26"/>
  <c r="H8" i="26"/>
  <c r="H16" i="26"/>
  <c r="H80" i="26"/>
  <c r="H66" i="26"/>
  <c r="H11" i="26"/>
  <c r="H27" i="26"/>
  <c r="H35" i="26"/>
  <c r="H43" i="26"/>
  <c r="H51" i="26"/>
  <c r="H59" i="26"/>
  <c r="H75" i="26"/>
  <c r="H29" i="26"/>
  <c r="H53" i="26"/>
  <c r="H61" i="26"/>
  <c r="H69" i="26"/>
  <c r="H77" i="26"/>
  <c r="H14" i="26"/>
  <c r="H30" i="26"/>
  <c r="H38" i="26"/>
  <c r="H46" i="26"/>
  <c r="H54" i="26"/>
  <c r="H62" i="26"/>
  <c r="H70" i="26"/>
  <c r="H9" i="26"/>
  <c r="H17" i="26"/>
  <c r="H49" i="26"/>
  <c r="H19" i="26"/>
  <c r="H34" i="26"/>
  <c r="H41" i="26"/>
  <c r="H64" i="26"/>
  <c r="H79" i="26"/>
  <c r="H91" i="26"/>
  <c r="H57" i="26"/>
  <c r="H65" i="26"/>
  <c r="H73" i="26"/>
  <c r="H37" i="26"/>
  <c r="H52" i="26"/>
  <c r="H67" i="26"/>
  <c r="D82" i="26"/>
  <c r="H45" i="26"/>
  <c r="H60" i="26"/>
  <c r="G82" i="26"/>
  <c r="H68" i="26"/>
  <c r="D96" i="26"/>
  <c r="G96" i="26"/>
  <c r="H32" i="26"/>
  <c r="H18" i="26"/>
  <c r="H25" i="26"/>
  <c r="H48" i="26"/>
  <c r="H63" i="26"/>
  <c r="H90" i="26"/>
  <c r="H91" i="27"/>
  <c r="H93" i="27"/>
  <c r="H23" i="27"/>
  <c r="H31" i="27"/>
  <c r="H39" i="27"/>
  <c r="H47" i="27"/>
  <c r="H63" i="27"/>
  <c r="H17" i="27"/>
  <c r="H25" i="27"/>
  <c r="H41" i="27"/>
  <c r="H73" i="27"/>
  <c r="H81" i="27"/>
  <c r="H18" i="27"/>
  <c r="H34" i="27"/>
  <c r="H50" i="27"/>
  <c r="H74" i="27"/>
  <c r="H19" i="27"/>
  <c r="H51" i="27"/>
  <c r="H59" i="27"/>
  <c r="H67" i="27"/>
  <c r="H75" i="27"/>
  <c r="H28" i="27"/>
  <c r="H44" i="27"/>
  <c r="H60" i="27"/>
  <c r="H76" i="27"/>
  <c r="H29" i="27"/>
  <c r="H45" i="27"/>
  <c r="H53" i="27"/>
  <c r="H61" i="27"/>
  <c r="H69" i="27"/>
  <c r="H77" i="27"/>
  <c r="H22" i="27"/>
  <c r="H38" i="27"/>
  <c r="H46" i="27"/>
  <c r="H54" i="27"/>
  <c r="H62" i="27"/>
  <c r="H70" i="27"/>
  <c r="H57" i="27"/>
  <c r="H42" i="27"/>
  <c r="H35" i="27"/>
  <c r="H14" i="27"/>
  <c r="H21" i="27"/>
  <c r="H43" i="27"/>
  <c r="H65" i="27"/>
  <c r="G82" i="27"/>
  <c r="H36" i="27"/>
  <c r="H58" i="27"/>
  <c r="H66" i="27"/>
  <c r="H30" i="27"/>
  <c r="H37" i="27"/>
  <c r="H68" i="27"/>
  <c r="H10" i="27"/>
  <c r="D94" i="27"/>
  <c r="H11" i="27"/>
  <c r="H33" i="27"/>
  <c r="H55" i="27"/>
  <c r="G94" i="27"/>
  <c r="H52" i="27"/>
  <c r="H26" i="27"/>
  <c r="H56" i="27"/>
  <c r="H78" i="27"/>
  <c r="H27" i="27"/>
  <c r="H49" i="27"/>
  <c r="H71" i="27"/>
  <c r="H88" i="27"/>
  <c r="H13" i="27"/>
  <c r="H64" i="27"/>
  <c r="H90" i="28"/>
  <c r="H87" i="28"/>
  <c r="H26" i="28"/>
  <c r="H34" i="28"/>
  <c r="H42" i="28"/>
  <c r="H50" i="28"/>
  <c r="H58" i="28"/>
  <c r="H74" i="28"/>
  <c r="H29" i="28"/>
  <c r="H37" i="28"/>
  <c r="H53" i="28"/>
  <c r="H61" i="28"/>
  <c r="H69" i="28"/>
  <c r="H77" i="28"/>
  <c r="H38" i="28"/>
  <c r="H54" i="28"/>
  <c r="H70" i="28"/>
  <c r="H15" i="28"/>
  <c r="H23" i="28"/>
  <c r="H31" i="28"/>
  <c r="H39" i="28"/>
  <c r="H47" i="28"/>
  <c r="H55" i="28"/>
  <c r="H63" i="28"/>
  <c r="H71" i="28"/>
  <c r="H12" i="28"/>
  <c r="H66" i="28"/>
  <c r="H91" i="28"/>
  <c r="D92" i="28"/>
  <c r="H13" i="28"/>
  <c r="G92" i="28"/>
  <c r="H22" i="28"/>
  <c r="H45" i="28"/>
  <c r="H52" i="28"/>
  <c r="H60" i="28"/>
  <c r="H7" i="28"/>
  <c r="H76" i="28"/>
  <c r="G80" i="28"/>
  <c r="H30" i="28"/>
  <c r="H78" i="28"/>
  <c r="H25" i="28"/>
  <c r="H33" i="28"/>
  <c r="H41" i="28"/>
  <c r="H56" i="28"/>
  <c r="H79" i="28"/>
  <c r="H10" i="28"/>
  <c r="H18" i="28"/>
  <c r="H49" i="28"/>
  <c r="H64" i="28"/>
  <c r="H72" i="28"/>
  <c r="H89" i="28"/>
  <c r="H46" i="28"/>
  <c r="H21" i="28"/>
  <c r="H62" i="28"/>
  <c r="H14" i="28"/>
  <c r="H68" i="28"/>
  <c r="D80" i="28"/>
  <c r="H20" i="28"/>
  <c r="H36" i="28"/>
  <c r="H87" i="29"/>
  <c r="H88" i="29"/>
  <c r="H90" i="29"/>
  <c r="H47" i="29"/>
  <c r="H84" i="29"/>
  <c r="H51" i="29"/>
  <c r="H59" i="29"/>
  <c r="H67" i="29"/>
  <c r="H75" i="29"/>
  <c r="H85" i="29"/>
  <c r="H12" i="29"/>
  <c r="H28" i="29"/>
  <c r="H60" i="29"/>
  <c r="H76" i="29"/>
  <c r="H86" i="29"/>
  <c r="H41" i="29"/>
  <c r="D91" i="29"/>
  <c r="G91" i="29"/>
  <c r="H10" i="29"/>
  <c r="H26" i="29"/>
  <c r="H20" i="29"/>
  <c r="H52" i="29"/>
  <c r="H68" i="29"/>
  <c r="H89" i="29"/>
  <c r="H9" i="29"/>
  <c r="H17" i="29"/>
  <c r="H25" i="29"/>
  <c r="H33" i="29"/>
  <c r="H48" i="29"/>
  <c r="H56" i="29"/>
  <c r="H64" i="29"/>
  <c r="H72" i="29"/>
  <c r="H18" i="29"/>
  <c r="H34" i="29"/>
  <c r="H49" i="29"/>
  <c r="H57" i="29"/>
  <c r="H65" i="29"/>
  <c r="H73" i="29"/>
  <c r="H11" i="29"/>
  <c r="H19" i="29"/>
  <c r="H27" i="29"/>
  <c r="H35" i="29"/>
  <c r="H50" i="29"/>
  <c r="H66" i="29"/>
  <c r="H43" i="29"/>
  <c r="H44" i="29"/>
  <c r="H14" i="29"/>
  <c r="H22" i="29"/>
  <c r="H30" i="29"/>
  <c r="H38" i="29"/>
  <c r="H53" i="29"/>
  <c r="H61" i="29"/>
  <c r="H69" i="29"/>
  <c r="H77" i="29"/>
  <c r="H15" i="29"/>
  <c r="H23" i="29"/>
  <c r="H31" i="29"/>
  <c r="H39" i="29"/>
  <c r="H54" i="29"/>
  <c r="H62" i="29"/>
  <c r="H70" i="29"/>
  <c r="H78" i="29"/>
  <c r="G79" i="29"/>
  <c r="H8" i="29"/>
  <c r="H16" i="29"/>
  <c r="H24" i="29"/>
  <c r="H32" i="29"/>
  <c r="H40" i="29"/>
  <c r="H55" i="29"/>
  <c r="H63" i="29"/>
  <c r="H71" i="29"/>
  <c r="H42" i="29"/>
  <c r="H58" i="29"/>
  <c r="H36" i="29"/>
  <c r="D79" i="29"/>
  <c r="H74" i="29"/>
  <c r="H102" i="30"/>
  <c r="G103" i="30"/>
  <c r="H24" i="30"/>
  <c r="H96" i="30"/>
  <c r="H66" i="30"/>
  <c r="H81" i="30"/>
  <c r="H67" i="30"/>
  <c r="H82" i="30"/>
  <c r="H36" i="30"/>
  <c r="H90" i="30"/>
  <c r="H17" i="30"/>
  <c r="H68" i="30"/>
  <c r="H101" i="30"/>
  <c r="H65" i="30"/>
  <c r="H15" i="30"/>
  <c r="H23" i="30"/>
  <c r="H78" i="30"/>
  <c r="D103" i="30"/>
  <c r="H19" i="30"/>
  <c r="H27" i="30"/>
  <c r="H28" i="30"/>
  <c r="H59" i="30"/>
  <c r="H75" i="30"/>
  <c r="H14" i="30"/>
  <c r="H37" i="30"/>
  <c r="H45" i="30"/>
  <c r="H53" i="30"/>
  <c r="H83" i="30"/>
  <c r="G91" i="30"/>
  <c r="H16" i="30"/>
  <c r="H39" i="30"/>
  <c r="H47" i="30"/>
  <c r="H55" i="30"/>
  <c r="H70" i="30"/>
  <c r="H85" i="30"/>
  <c r="H32" i="30"/>
  <c r="H40" i="30"/>
  <c r="H48" i="30"/>
  <c r="H56" i="30"/>
  <c r="H71" i="30"/>
  <c r="H86" i="30"/>
  <c r="H33" i="30"/>
  <c r="H41" i="30"/>
  <c r="H49" i="30"/>
  <c r="H72" i="30"/>
  <c r="H87" i="30"/>
  <c r="H18" i="30"/>
  <c r="H52" i="30"/>
  <c r="H74" i="30"/>
  <c r="H20" i="30"/>
  <c r="H42" i="30"/>
  <c r="H10" i="30"/>
  <c r="H11" i="30"/>
  <c r="H84" i="30"/>
  <c r="H26" i="30"/>
  <c r="D91" i="30"/>
  <c r="H29" i="31"/>
  <c r="H37" i="31"/>
  <c r="H45" i="31"/>
  <c r="H53" i="31"/>
  <c r="H61" i="31"/>
  <c r="H75" i="31"/>
  <c r="H83" i="31"/>
  <c r="H91" i="31"/>
  <c r="H66" i="31"/>
  <c r="G105" i="31"/>
  <c r="H100" i="31"/>
  <c r="H102" i="31"/>
  <c r="H86" i="26"/>
  <c r="H7" i="26"/>
  <c r="H86" i="27"/>
  <c r="D82" i="27"/>
  <c r="H84" i="28"/>
  <c r="H83" i="29"/>
  <c r="H7" i="29"/>
  <c r="H95" i="30"/>
  <c r="H103" i="30" s="1"/>
  <c r="H7" i="30"/>
  <c r="H8" i="31"/>
  <c r="H16" i="31"/>
  <c r="H26" i="31"/>
  <c r="H34" i="31"/>
  <c r="H42" i="31"/>
  <c r="H72" i="31"/>
  <c r="H88" i="31"/>
  <c r="H98" i="31"/>
  <c r="H23" i="31"/>
  <c r="H31" i="31"/>
  <c r="H39" i="31"/>
  <c r="H47" i="31"/>
  <c r="H55" i="31"/>
  <c r="H63" i="31"/>
  <c r="H77" i="31"/>
  <c r="H85" i="31"/>
  <c r="H11" i="31"/>
  <c r="H78" i="31"/>
  <c r="H15" i="31"/>
  <c r="H25" i="31"/>
  <c r="H33" i="31"/>
  <c r="H41" i="31"/>
  <c r="H49" i="31"/>
  <c r="H87" i="31"/>
  <c r="H97" i="31"/>
  <c r="H21" i="31"/>
  <c r="H36" i="31"/>
  <c r="H44" i="31"/>
  <c r="H59" i="31"/>
  <c r="H80" i="31"/>
  <c r="D93" i="31"/>
  <c r="H30" i="31"/>
  <c r="H24" i="31"/>
  <c r="G93" i="31"/>
  <c r="H101" i="31"/>
  <c r="H56" i="31"/>
  <c r="H103" i="31"/>
  <c r="H40" i="31"/>
  <c r="H57" i="31"/>
  <c r="H50" i="31"/>
  <c r="H71" i="31"/>
  <c r="H86" i="31"/>
  <c r="H104" i="31"/>
  <c r="H12" i="31"/>
  <c r="H20" i="31"/>
  <c r="H28" i="31"/>
  <c r="H35" i="31"/>
  <c r="H43" i="31"/>
  <c r="H58" i="31"/>
  <c r="H79" i="31"/>
  <c r="H98" i="32"/>
  <c r="H42" i="32"/>
  <c r="H43" i="32"/>
  <c r="H51" i="32"/>
  <c r="H59" i="32"/>
  <c r="H81" i="32"/>
  <c r="H89" i="32"/>
  <c r="H36" i="32"/>
  <c r="H52" i="32"/>
  <c r="H90" i="32"/>
  <c r="H101" i="32"/>
  <c r="H47" i="32"/>
  <c r="H85" i="32"/>
  <c r="H95" i="32"/>
  <c r="H49" i="32"/>
  <c r="H27" i="32"/>
  <c r="H35" i="32"/>
  <c r="H50" i="32"/>
  <c r="H58" i="32"/>
  <c r="H66" i="32"/>
  <c r="H80" i="32"/>
  <c r="H71" i="32"/>
  <c r="H15" i="32"/>
  <c r="H23" i="32"/>
  <c r="H62" i="32"/>
  <c r="H75" i="32"/>
  <c r="H48" i="32"/>
  <c r="H12" i="32"/>
  <c r="H82" i="32"/>
  <c r="H54" i="32"/>
  <c r="H70" i="32"/>
  <c r="H76" i="32"/>
  <c r="H18" i="32"/>
  <c r="H55" i="32"/>
  <c r="H69" i="32"/>
  <c r="H100" i="32"/>
  <c r="H19" i="32"/>
  <c r="H56" i="32"/>
  <c r="H83" i="32"/>
  <c r="H34" i="32"/>
  <c r="H63" i="32"/>
  <c r="H102" i="32"/>
  <c r="H20" i="32"/>
  <c r="H57" i="32"/>
  <c r="H77" i="32"/>
  <c r="H84" i="32"/>
  <c r="G91" i="32"/>
  <c r="H22" i="32"/>
  <c r="H28" i="32"/>
  <c r="H44" i="32"/>
  <c r="H24" i="32"/>
  <c r="H31" i="32"/>
  <c r="H38" i="32"/>
  <c r="H53" i="32"/>
  <c r="H67" i="32"/>
  <c r="H39" i="32"/>
  <c r="H46" i="32"/>
  <c r="H88" i="32"/>
  <c r="H99" i="32"/>
  <c r="D91" i="32"/>
  <c r="H25" i="32"/>
  <c r="H32" i="32"/>
  <c r="H68" i="32"/>
  <c r="H95" i="33"/>
  <c r="H70" i="33"/>
  <c r="H99" i="33"/>
  <c r="H31" i="33"/>
  <c r="H39" i="33"/>
  <c r="H47" i="33"/>
  <c r="H55" i="33"/>
  <c r="H63" i="33"/>
  <c r="H77" i="33"/>
  <c r="H85" i="33"/>
  <c r="H12" i="33"/>
  <c r="H97" i="33"/>
  <c r="H18" i="33"/>
  <c r="H34" i="33"/>
  <c r="H51" i="33"/>
  <c r="H71" i="33"/>
  <c r="H36" i="33"/>
  <c r="H72" i="33"/>
  <c r="H75" i="33"/>
  <c r="H16" i="33"/>
  <c r="H24" i="33"/>
  <c r="H32" i="33"/>
  <c r="H33" i="33"/>
  <c r="H41" i="33"/>
  <c r="H49" i="33"/>
  <c r="H57" i="33"/>
  <c r="H65" i="33"/>
  <c r="H87" i="33"/>
  <c r="H29" i="33"/>
  <c r="H43" i="33"/>
  <c r="H59" i="33"/>
  <c r="H81" i="33"/>
  <c r="H89" i="33"/>
  <c r="H13" i="33"/>
  <c r="H21" i="33"/>
  <c r="H44" i="33"/>
  <c r="H60" i="33"/>
  <c r="H68" i="33"/>
  <c r="H100" i="33"/>
  <c r="H22" i="33"/>
  <c r="H69" i="33"/>
  <c r="H40" i="33"/>
  <c r="H48" i="33"/>
  <c r="H9" i="33"/>
  <c r="H17" i="33"/>
  <c r="H25" i="33"/>
  <c r="H56" i="33"/>
  <c r="H64" i="33"/>
  <c r="H78" i="33"/>
  <c r="H86" i="33"/>
  <c r="H96" i="33"/>
  <c r="H38" i="33"/>
  <c r="H50" i="33"/>
  <c r="H11" i="33"/>
  <c r="H19" i="33"/>
  <c r="H27" i="33"/>
  <c r="H66" i="33"/>
  <c r="H80" i="33"/>
  <c r="H8" i="33"/>
  <c r="H46" i="33"/>
  <c r="H61" i="33"/>
  <c r="H82" i="33"/>
  <c r="H42" i="33"/>
  <c r="H20" i="33"/>
  <c r="H35" i="33"/>
  <c r="H58" i="33"/>
  <c r="H79" i="33"/>
  <c r="H26" i="33"/>
  <c r="H28" i="33"/>
  <c r="H52" i="33"/>
  <c r="H67" i="33"/>
  <c r="H88" i="33"/>
  <c r="H10" i="33"/>
  <c r="H14" i="33"/>
  <c r="H37" i="33"/>
  <c r="D90" i="33"/>
  <c r="H54" i="33"/>
  <c r="H76" i="33"/>
  <c r="G90" i="33"/>
  <c r="H15" i="33"/>
  <c r="H23" i="33"/>
  <c r="H30" i="33"/>
  <c r="H100" i="22"/>
  <c r="H96" i="22"/>
  <c r="H84" i="22"/>
  <c r="H9" i="22"/>
  <c r="H17" i="22"/>
  <c r="H25" i="22"/>
  <c r="H33" i="22"/>
  <c r="H41" i="22"/>
  <c r="H12" i="22"/>
  <c r="H52" i="22"/>
  <c r="H68" i="22"/>
  <c r="H42" i="22"/>
  <c r="H61" i="22"/>
  <c r="H74" i="22"/>
  <c r="H15" i="22"/>
  <c r="H31" i="22"/>
  <c r="H39" i="22"/>
  <c r="H83" i="22"/>
  <c r="H102" i="22"/>
  <c r="H47" i="22"/>
  <c r="H55" i="22"/>
  <c r="H63" i="22"/>
  <c r="H16" i="22"/>
  <c r="H32" i="22"/>
  <c r="H40" i="22"/>
  <c r="H65" i="22"/>
  <c r="H18" i="22"/>
  <c r="H70" i="22"/>
  <c r="H51" i="22"/>
  <c r="H59" i="22"/>
  <c r="H71" i="22"/>
  <c r="H20" i="22"/>
  <c r="H36" i="22"/>
  <c r="H72" i="22"/>
  <c r="H29" i="22"/>
  <c r="H37" i="22"/>
  <c r="H89" i="22"/>
  <c r="H73" i="22"/>
  <c r="H14" i="22"/>
  <c r="H82" i="22"/>
  <c r="H54" i="22"/>
  <c r="H75" i="22"/>
  <c r="H69" i="22"/>
  <c r="H28" i="22"/>
  <c r="H60" i="22"/>
  <c r="H81" i="22"/>
  <c r="H58" i="22"/>
  <c r="H78" i="22"/>
  <c r="H85" i="22"/>
  <c r="H95" i="22"/>
  <c r="H79" i="22"/>
  <c r="H8" i="22"/>
  <c r="H22" i="22"/>
  <c r="H30" i="22"/>
  <c r="H45" i="22"/>
  <c r="H67" i="22"/>
  <c r="H87" i="22"/>
  <c r="H98" i="22"/>
  <c r="H23" i="22"/>
  <c r="H53" i="22"/>
  <c r="H24" i="22"/>
  <c r="H99" i="22"/>
  <c r="H44" i="22"/>
  <c r="H10" i="22"/>
  <c r="H101" i="22"/>
  <c r="H26" i="22"/>
  <c r="H76" i="22"/>
  <c r="D90" i="22"/>
  <c r="G90" i="22"/>
  <c r="H19" i="22"/>
  <c r="H34" i="22"/>
  <c r="H49" i="22"/>
  <c r="H57" i="22"/>
  <c r="H64" i="22"/>
  <c r="H77" i="22"/>
  <c r="H94" i="22"/>
  <c r="H97" i="23"/>
  <c r="H95" i="23"/>
  <c r="H54" i="23"/>
  <c r="H70" i="23"/>
  <c r="H93" i="23"/>
  <c r="H16" i="23"/>
  <c r="H24" i="23"/>
  <c r="H64" i="23"/>
  <c r="H76" i="23"/>
  <c r="H99" i="23"/>
  <c r="H13" i="23"/>
  <c r="H21" i="23"/>
  <c r="H29" i="23"/>
  <c r="H37" i="23"/>
  <c r="H61" i="23"/>
  <c r="H69" i="23"/>
  <c r="H84" i="23"/>
  <c r="H18" i="23"/>
  <c r="H50" i="23"/>
  <c r="H66" i="23"/>
  <c r="H86" i="23"/>
  <c r="H74" i="23"/>
  <c r="H75" i="23"/>
  <c r="H12" i="23"/>
  <c r="H20" i="23"/>
  <c r="H28" i="23"/>
  <c r="H36" i="23"/>
  <c r="H44" i="23"/>
  <c r="H52" i="23"/>
  <c r="H60" i="23"/>
  <c r="H68" i="23"/>
  <c r="H22" i="23"/>
  <c r="H42" i="23"/>
  <c r="H17" i="23"/>
  <c r="H25" i="23"/>
  <c r="H48" i="23"/>
  <c r="H56" i="23"/>
  <c r="H83" i="23"/>
  <c r="H26" i="23"/>
  <c r="H34" i="23"/>
  <c r="H65" i="23"/>
  <c r="H77" i="23"/>
  <c r="H94" i="23"/>
  <c r="H78" i="23"/>
  <c r="H14" i="23"/>
  <c r="H45" i="23"/>
  <c r="H53" i="23"/>
  <c r="H80" i="23"/>
  <c r="H88" i="23"/>
  <c r="H98" i="23"/>
  <c r="H10" i="23"/>
  <c r="D89" i="23"/>
  <c r="H58" i="23"/>
  <c r="G89" i="23"/>
  <c r="H15" i="23"/>
  <c r="H23" i="23"/>
  <c r="H38" i="23"/>
  <c r="H46" i="23"/>
  <c r="H81" i="23"/>
  <c r="H8" i="23"/>
  <c r="H31" i="23"/>
  <c r="H39" i="23"/>
  <c r="H62" i="23"/>
  <c r="H100" i="23"/>
  <c r="H9" i="23"/>
  <c r="H32" i="23"/>
  <c r="H40" i="23"/>
  <c r="H63" i="23"/>
  <c r="H71" i="23"/>
  <c r="H101" i="23"/>
  <c r="H93" i="24"/>
  <c r="H94" i="24"/>
  <c r="H11" i="24"/>
  <c r="H19" i="24"/>
  <c r="H27" i="24"/>
  <c r="H35" i="24"/>
  <c r="H43" i="24"/>
  <c r="H51" i="24"/>
  <c r="H59" i="24"/>
  <c r="H78" i="24"/>
  <c r="H20" i="24"/>
  <c r="H36" i="24"/>
  <c r="H52" i="24"/>
  <c r="H13" i="24"/>
  <c r="H21" i="24"/>
  <c r="H29" i="24"/>
  <c r="H37" i="24"/>
  <c r="H53" i="24"/>
  <c r="H61" i="24"/>
  <c r="H80" i="24"/>
  <c r="H75" i="24"/>
  <c r="H57" i="24"/>
  <c r="H65" i="24"/>
  <c r="H73" i="24"/>
  <c r="H84" i="24"/>
  <c r="H76" i="24"/>
  <c r="H38" i="24"/>
  <c r="H79" i="24"/>
  <c r="H32" i="24"/>
  <c r="H40" i="24"/>
  <c r="H54" i="24"/>
  <c r="H69" i="24"/>
  <c r="H87" i="24"/>
  <c r="H98" i="24"/>
  <c r="H99" i="24"/>
  <c r="H70" i="24"/>
  <c r="H22" i="24"/>
  <c r="H12" i="24"/>
  <c r="H28" i="24"/>
  <c r="H44" i="24"/>
  <c r="H45" i="24"/>
  <c r="H67" i="24"/>
  <c r="H85" i="24"/>
  <c r="H96" i="24"/>
  <c r="D88" i="24"/>
  <c r="G88" i="24"/>
  <c r="H39" i="24"/>
  <c r="H46" i="24"/>
  <c r="H60" i="24"/>
  <c r="H68" i="24"/>
  <c r="H86" i="24"/>
  <c r="H93" i="25"/>
  <c r="H23" i="25"/>
  <c r="H81" i="25"/>
  <c r="H65" i="25"/>
  <c r="H17" i="25"/>
  <c r="H51" i="25"/>
  <c r="H11" i="25"/>
  <c r="H55" i="25"/>
  <c r="H88" i="25"/>
  <c r="H22" i="25"/>
  <c r="H43" i="25"/>
  <c r="H86" i="25"/>
  <c r="H101" i="25"/>
  <c r="H10" i="25"/>
  <c r="H24" i="25"/>
  <c r="H56" i="25"/>
  <c r="H47" i="25"/>
  <c r="H31" i="25"/>
  <c r="H49" i="25"/>
  <c r="H68" i="25"/>
  <c r="H84" i="25"/>
  <c r="H77" i="25"/>
  <c r="H61" i="25"/>
  <c r="H45" i="25"/>
  <c r="H21" i="25"/>
  <c r="H76" i="25"/>
  <c r="H60" i="25"/>
  <c r="H32" i="25"/>
  <c r="H54" i="25"/>
  <c r="H59" i="25"/>
  <c r="H98" i="25"/>
  <c r="H57" i="25"/>
  <c r="H94" i="25"/>
  <c r="H66" i="25"/>
  <c r="H34" i="25"/>
  <c r="H18" i="25"/>
  <c r="H80" i="25"/>
  <c r="H48" i="25"/>
  <c r="H16" i="25"/>
  <c r="H63" i="25"/>
  <c r="H15" i="25"/>
  <c r="H14" i="25"/>
  <c r="H82" i="25"/>
  <c r="H100" i="25"/>
  <c r="H29" i="25"/>
  <c r="H8" i="25"/>
  <c r="H73" i="25"/>
  <c r="H25" i="25"/>
  <c r="H95" i="25"/>
  <c r="H39" i="25"/>
  <c r="H12" i="25"/>
  <c r="H50" i="25"/>
  <c r="H28" i="25"/>
  <c r="H27" i="25"/>
  <c r="H69" i="25"/>
  <c r="H53" i="25"/>
  <c r="H37" i="25"/>
  <c r="H52" i="25"/>
  <c r="H20" i="25"/>
  <c r="H83" i="25"/>
  <c r="H35" i="25"/>
  <c r="H19" i="25"/>
  <c r="H38" i="25"/>
  <c r="H79" i="25"/>
  <c r="D89" i="25"/>
  <c r="H74" i="25"/>
  <c r="H9" i="25"/>
  <c r="H36" i="25"/>
  <c r="H44" i="25"/>
  <c r="H67" i="25"/>
  <c r="H75" i="25"/>
  <c r="H26" i="25"/>
  <c r="G89" i="25"/>
  <c r="H58" i="25"/>
  <c r="H46" i="25"/>
  <c r="H62" i="25"/>
  <c r="H70" i="25"/>
  <c r="H78" i="25"/>
  <c r="H40" i="25"/>
  <c r="H71" i="25"/>
  <c r="H42" i="25"/>
  <c r="H30" i="25"/>
  <c r="H33" i="25"/>
  <c r="H41" i="25"/>
  <c r="H64" i="25"/>
  <c r="H72" i="25"/>
  <c r="H100" i="20"/>
  <c r="H99" i="20"/>
  <c r="H98" i="20"/>
  <c r="H22" i="20"/>
  <c r="H11" i="20"/>
  <c r="H52" i="20"/>
  <c r="H12" i="20"/>
  <c r="H23" i="20"/>
  <c r="H14" i="20"/>
  <c r="H39" i="20"/>
  <c r="H55" i="20"/>
  <c r="H24" i="20"/>
  <c r="H15" i="20"/>
  <c r="H32" i="20"/>
  <c r="H72" i="20"/>
  <c r="H80" i="20"/>
  <c r="H25" i="20"/>
  <c r="H8" i="20"/>
  <c r="H41" i="20"/>
  <c r="H49" i="20"/>
  <c r="H73" i="20"/>
  <c r="H81" i="20"/>
  <c r="H26" i="20"/>
  <c r="H27" i="20"/>
  <c r="H20" i="20"/>
  <c r="H28" i="20"/>
  <c r="H19" i="20"/>
  <c r="H36" i="20"/>
  <c r="H60" i="20"/>
  <c r="H68" i="20"/>
  <c r="H76" i="20"/>
  <c r="H84" i="20"/>
  <c r="H21" i="20"/>
  <c r="H79" i="20"/>
  <c r="H58" i="20"/>
  <c r="H66" i="20"/>
  <c r="H89" i="20"/>
  <c r="H97" i="20"/>
  <c r="H29" i="20"/>
  <c r="H44" i="20"/>
  <c r="H75" i="20"/>
  <c r="H83" i="20"/>
  <c r="H103" i="20"/>
  <c r="H31" i="20"/>
  <c r="H85" i="20"/>
  <c r="H104" i="20"/>
  <c r="H37" i="20"/>
  <c r="H69" i="20"/>
  <c r="G92" i="20"/>
  <c r="H47" i="20"/>
  <c r="H16" i="20"/>
  <c r="H33" i="20"/>
  <c r="H40" i="20"/>
  <c r="H48" i="20"/>
  <c r="H63" i="20"/>
  <c r="H71" i="20"/>
  <c r="H9" i="20"/>
  <c r="H56" i="20"/>
  <c r="H64" i="20"/>
  <c r="H87" i="20"/>
  <c r="H106" i="20"/>
  <c r="H53" i="20"/>
  <c r="D92" i="20"/>
  <c r="H10" i="20"/>
  <c r="H57" i="20"/>
  <c r="H65" i="20"/>
  <c r="H88" i="20"/>
  <c r="H96" i="20"/>
  <c r="H99" i="21"/>
  <c r="H8" i="21"/>
  <c r="H18" i="21"/>
  <c r="H26" i="21"/>
  <c r="H34" i="21"/>
  <c r="H42" i="21"/>
  <c r="H50" i="21"/>
  <c r="H58" i="21"/>
  <c r="H66" i="21"/>
  <c r="H74" i="21"/>
  <c r="H82" i="21"/>
  <c r="H93" i="21"/>
  <c r="H9" i="21"/>
  <c r="H19" i="21"/>
  <c r="H27" i="21"/>
  <c r="H35" i="21"/>
  <c r="H43" i="21"/>
  <c r="H51" i="21"/>
  <c r="H59" i="21"/>
  <c r="H67" i="21"/>
  <c r="H75" i="21"/>
  <c r="H83" i="21"/>
  <c r="H95" i="21"/>
  <c r="H96" i="21"/>
  <c r="H44" i="21"/>
  <c r="H52" i="21"/>
  <c r="H60" i="21"/>
  <c r="H68" i="21"/>
  <c r="H15" i="21"/>
  <c r="H23" i="21"/>
  <c r="H31" i="21"/>
  <c r="H39" i="21"/>
  <c r="H47" i="21"/>
  <c r="H55" i="21"/>
  <c r="H63" i="21"/>
  <c r="H71" i="21"/>
  <c r="H79" i="21"/>
  <c r="H12" i="21"/>
  <c r="H76" i="21"/>
  <c r="H84" i="21"/>
  <c r="H13" i="21"/>
  <c r="H29" i="21"/>
  <c r="H37" i="21"/>
  <c r="H45" i="21"/>
  <c r="H53" i="21"/>
  <c r="H61" i="21"/>
  <c r="H69" i="21"/>
  <c r="H77" i="21"/>
  <c r="H85" i="21"/>
  <c r="H97" i="21"/>
  <c r="H70" i="21"/>
  <c r="H17" i="21"/>
  <c r="H25" i="21"/>
  <c r="H33" i="21"/>
  <c r="H41" i="21"/>
  <c r="H49" i="21"/>
  <c r="H57" i="21"/>
  <c r="H65" i="21"/>
  <c r="H73" i="21"/>
  <c r="H81" i="21"/>
  <c r="H92" i="21"/>
  <c r="H10" i="21"/>
  <c r="G87" i="21"/>
  <c r="H72" i="21"/>
  <c r="D87" i="21"/>
  <c r="H24" i="21"/>
  <c r="H40" i="21"/>
  <c r="H56" i="21"/>
  <c r="H92" i="19"/>
  <c r="H7" i="19"/>
  <c r="H15" i="19"/>
  <c r="H67" i="19"/>
  <c r="H8" i="19"/>
  <c r="H16" i="19"/>
  <c r="H68" i="19"/>
  <c r="H40" i="19"/>
  <c r="H48" i="19"/>
  <c r="H80" i="19"/>
  <c r="H61" i="19"/>
  <c r="H25" i="19"/>
  <c r="H33" i="19"/>
  <c r="H57" i="19"/>
  <c r="H73" i="19"/>
  <c r="H81" i="19"/>
  <c r="H62" i="19"/>
  <c r="H10" i="19"/>
  <c r="H13" i="19"/>
  <c r="H21" i="19"/>
  <c r="H65" i="19"/>
  <c r="H14" i="19"/>
  <c r="H66" i="19"/>
  <c r="H34" i="19"/>
  <c r="D85" i="19"/>
  <c r="H7" i="31"/>
  <c r="H7" i="32"/>
  <c r="H7" i="33"/>
  <c r="H7" i="22"/>
  <c r="H7" i="23"/>
  <c r="H7" i="24"/>
  <c r="H7" i="25"/>
  <c r="H7" i="20"/>
  <c r="H7" i="21"/>
  <c r="H18" i="19"/>
  <c r="H26" i="19"/>
  <c r="H41" i="19"/>
  <c r="H49" i="19"/>
  <c r="H56" i="19"/>
  <c r="H72" i="19"/>
  <c r="H90" i="19"/>
  <c r="H93" i="19"/>
  <c r="H31" i="19"/>
  <c r="H46" i="19"/>
  <c r="H69" i="19"/>
  <c r="H77" i="19"/>
  <c r="H84" i="19"/>
  <c r="H95" i="19"/>
  <c r="H74" i="19"/>
  <c r="H22" i="19"/>
  <c r="H24" i="19"/>
  <c r="H32" i="19"/>
  <c r="H47" i="19"/>
  <c r="H70" i="19"/>
  <c r="H96" i="19"/>
  <c r="H50" i="19"/>
  <c r="H9" i="19"/>
  <c r="H85" i="19" s="1"/>
  <c r="H17" i="19"/>
  <c r="H73" i="18"/>
  <c r="H74" i="18"/>
  <c r="H77" i="18"/>
  <c r="H76" i="18"/>
  <c r="G93" i="18"/>
  <c r="G92" i="18"/>
  <c r="D92" i="18"/>
  <c r="H92" i="18" s="1"/>
  <c r="G91" i="18"/>
  <c r="D91" i="18"/>
  <c r="H91" i="18" s="1"/>
  <c r="G90" i="18"/>
  <c r="D90" i="18"/>
  <c r="G89" i="18"/>
  <c r="D89" i="18"/>
  <c r="H89" i="18" s="1"/>
  <c r="G88" i="18"/>
  <c r="D88" i="18"/>
  <c r="H88" i="18" s="1"/>
  <c r="G87" i="18"/>
  <c r="D87" i="18"/>
  <c r="G86" i="18"/>
  <c r="D86" i="18"/>
  <c r="G85" i="18"/>
  <c r="D85" i="18"/>
  <c r="H85" i="18" s="1"/>
  <c r="D8" i="18"/>
  <c r="G8" i="18"/>
  <c r="D9" i="18"/>
  <c r="G9" i="18"/>
  <c r="H9" i="18"/>
  <c r="D10" i="18"/>
  <c r="G10" i="18"/>
  <c r="H10" i="18" s="1"/>
  <c r="D11" i="18"/>
  <c r="G11" i="18"/>
  <c r="D12" i="18"/>
  <c r="G12" i="18"/>
  <c r="D13" i="18"/>
  <c r="G13" i="18"/>
  <c r="D14" i="18"/>
  <c r="G14" i="18"/>
  <c r="H14" i="18" s="1"/>
  <c r="D15" i="18"/>
  <c r="G15" i="18"/>
  <c r="D16" i="18"/>
  <c r="G16" i="18"/>
  <c r="D17" i="18"/>
  <c r="G17" i="18"/>
  <c r="H17" i="18"/>
  <c r="D18" i="18"/>
  <c r="G18" i="18"/>
  <c r="H18" i="18" s="1"/>
  <c r="D19" i="18"/>
  <c r="G19" i="18"/>
  <c r="D20" i="18"/>
  <c r="G20" i="18"/>
  <c r="D21" i="18"/>
  <c r="H21" i="18" s="1"/>
  <c r="G21" i="18"/>
  <c r="D22" i="18"/>
  <c r="G22" i="18"/>
  <c r="D23" i="18"/>
  <c r="G23" i="18"/>
  <c r="D24" i="18"/>
  <c r="G24" i="18"/>
  <c r="D25" i="18"/>
  <c r="G25" i="18"/>
  <c r="H25" i="18"/>
  <c r="D26" i="18"/>
  <c r="G26" i="18"/>
  <c r="H26" i="18" s="1"/>
  <c r="D27" i="18"/>
  <c r="G27" i="18"/>
  <c r="D28" i="18"/>
  <c r="G28" i="18"/>
  <c r="D29" i="18"/>
  <c r="G29" i="18"/>
  <c r="H29" i="18" s="1"/>
  <c r="D30" i="18"/>
  <c r="G30" i="18"/>
  <c r="D31" i="18"/>
  <c r="G31" i="18"/>
  <c r="D32" i="18"/>
  <c r="G32" i="18"/>
  <c r="D33" i="18"/>
  <c r="G33" i="18"/>
  <c r="H33" i="18"/>
  <c r="D34" i="18"/>
  <c r="G34" i="18"/>
  <c r="H34" i="18" s="1"/>
  <c r="D35" i="18"/>
  <c r="G35" i="18"/>
  <c r="D36" i="18"/>
  <c r="G36" i="18"/>
  <c r="D37" i="18"/>
  <c r="G37" i="18"/>
  <c r="H37" i="18" s="1"/>
  <c r="D38" i="18"/>
  <c r="G38" i="18"/>
  <c r="H38" i="18" s="1"/>
  <c r="D39" i="18"/>
  <c r="G39" i="18"/>
  <c r="D40" i="18"/>
  <c r="G40" i="18"/>
  <c r="D41" i="18"/>
  <c r="G41" i="18"/>
  <c r="H41" i="18"/>
  <c r="D42" i="18"/>
  <c r="G42" i="18"/>
  <c r="D43" i="18"/>
  <c r="H43" i="18" s="1"/>
  <c r="G43" i="18"/>
  <c r="D44" i="18"/>
  <c r="G44" i="18"/>
  <c r="D45" i="18"/>
  <c r="G45" i="18"/>
  <c r="H45" i="18"/>
  <c r="D46" i="18"/>
  <c r="G46" i="18"/>
  <c r="H46" i="18" s="1"/>
  <c r="D47" i="18"/>
  <c r="G47" i="18"/>
  <c r="D48" i="18"/>
  <c r="G48" i="18"/>
  <c r="D49" i="18"/>
  <c r="G49" i="18"/>
  <c r="D50" i="18"/>
  <c r="G50" i="18"/>
  <c r="D51" i="18"/>
  <c r="G51" i="18"/>
  <c r="D52" i="18"/>
  <c r="G52" i="18"/>
  <c r="D53" i="18"/>
  <c r="G53" i="18"/>
  <c r="H53" i="18"/>
  <c r="D54" i="18"/>
  <c r="G54" i="18"/>
  <c r="H54" i="18" s="1"/>
  <c r="D55" i="18"/>
  <c r="G55" i="18"/>
  <c r="D56" i="18"/>
  <c r="G56" i="18"/>
  <c r="D57" i="18"/>
  <c r="G57" i="18"/>
  <c r="D58" i="18"/>
  <c r="G58" i="18"/>
  <c r="D59" i="18"/>
  <c r="G59" i="18"/>
  <c r="D60" i="18"/>
  <c r="G60" i="18"/>
  <c r="D61" i="18"/>
  <c r="G61" i="18"/>
  <c r="D62" i="18"/>
  <c r="G62" i="18"/>
  <c r="D63" i="18"/>
  <c r="G63" i="18"/>
  <c r="D64" i="18"/>
  <c r="G64" i="18"/>
  <c r="D65" i="18"/>
  <c r="G65" i="18"/>
  <c r="D66" i="18"/>
  <c r="G66" i="18"/>
  <c r="D67" i="18"/>
  <c r="G67" i="18"/>
  <c r="D68" i="18"/>
  <c r="G68" i="18"/>
  <c r="D69" i="18"/>
  <c r="G69" i="18"/>
  <c r="H69" i="18"/>
  <c r="D70" i="18"/>
  <c r="G70" i="18"/>
  <c r="D71" i="18"/>
  <c r="G71" i="18"/>
  <c r="D72" i="18"/>
  <c r="G72" i="18"/>
  <c r="D78" i="18"/>
  <c r="G78" i="18"/>
  <c r="D79" i="18"/>
  <c r="G79" i="18"/>
  <c r="D80" i="18"/>
  <c r="G80" i="18"/>
  <c r="D81" i="18"/>
  <c r="G81" i="18"/>
  <c r="G7" i="18"/>
  <c r="D7" i="18"/>
  <c r="C93" i="18"/>
  <c r="B93" i="18"/>
  <c r="A3" i="18"/>
  <c r="H82" i="26" l="1"/>
  <c r="H96" i="26"/>
  <c r="H94" i="27"/>
  <c r="H82" i="27"/>
  <c r="H80" i="28"/>
  <c r="H92" i="28"/>
  <c r="H91" i="29"/>
  <c r="H79" i="29"/>
  <c r="H91" i="30"/>
  <c r="H105" i="31"/>
  <c r="H93" i="31"/>
  <c r="H91" i="32"/>
  <c r="H90" i="33"/>
  <c r="H90" i="22"/>
  <c r="H89" i="23"/>
  <c r="H88" i="24"/>
  <c r="H89" i="25"/>
  <c r="H92" i="20"/>
  <c r="H87" i="21"/>
  <c r="H87" i="18"/>
  <c r="H86" i="18"/>
  <c r="D93" i="18"/>
  <c r="H93" i="18" s="1"/>
  <c r="H90" i="18"/>
  <c r="H80" i="18"/>
  <c r="H8" i="18"/>
  <c r="H52" i="18"/>
  <c r="H67" i="18"/>
  <c r="H79" i="18"/>
  <c r="H78" i="18"/>
  <c r="H57" i="18"/>
  <c r="H27" i="18"/>
  <c r="H19" i="18"/>
  <c r="H55" i="18"/>
  <c r="H32" i="18"/>
  <c r="H40" i="18"/>
  <c r="H39" i="18"/>
  <c r="H31" i="18"/>
  <c r="H24" i="18"/>
  <c r="H64" i="18"/>
  <c r="H12" i="18"/>
  <c r="H81" i="18"/>
  <c r="H61" i="18"/>
  <c r="H68" i="18"/>
  <c r="H60" i="18"/>
  <c r="H30" i="18"/>
  <c r="H16" i="18"/>
  <c r="H72" i="18"/>
  <c r="H20" i="18"/>
  <c r="H23" i="18"/>
  <c r="H65" i="18"/>
  <c r="H28" i="18"/>
  <c r="H59" i="18"/>
  <c r="H44" i="18"/>
  <c r="H15" i="18"/>
  <c r="H35" i="18"/>
  <c r="H71" i="18"/>
  <c r="H63" i="18"/>
  <c r="H11" i="18"/>
  <c r="H47" i="18"/>
  <c r="H51" i="18"/>
  <c r="H13" i="18"/>
  <c r="H49" i="18"/>
  <c r="H56" i="18"/>
  <c r="H48" i="18"/>
  <c r="H36" i="18"/>
  <c r="H70" i="18"/>
  <c r="H62" i="18"/>
  <c r="H66" i="18"/>
  <c r="H58" i="18"/>
  <c r="H22" i="18"/>
  <c r="H50" i="18"/>
  <c r="H42" i="18"/>
  <c r="H7" i="18"/>
  <c r="A3" i="1"/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" i="1"/>
  <c r="G82" i="1" l="1"/>
  <c r="G83" i="1"/>
  <c r="G84" i="1"/>
  <c r="G85" i="1"/>
  <c r="G86" i="1"/>
  <c r="G87" i="1"/>
  <c r="G88" i="1"/>
  <c r="G81" i="1"/>
  <c r="D82" i="1"/>
  <c r="D83" i="1"/>
  <c r="D84" i="1"/>
  <c r="H84" i="1" s="1"/>
  <c r="D85" i="1"/>
  <c r="H85" i="1" s="1"/>
  <c r="D86" i="1"/>
  <c r="H86" i="1" s="1"/>
  <c r="D87" i="1"/>
  <c r="H87" i="1" s="1"/>
  <c r="D88" i="1"/>
  <c r="H88" i="1" s="1"/>
  <c r="D81" i="1"/>
  <c r="H81" i="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" i="1"/>
  <c r="H83" i="1" l="1"/>
  <c r="H82" i="1"/>
  <c r="H77" i="1"/>
  <c r="H89" i="1"/>
  <c r="F89" i="1"/>
  <c r="E89" i="1"/>
  <c r="C89" i="1"/>
  <c r="B89" i="1"/>
  <c r="G89" i="1" l="1"/>
  <c r="D89" i="1"/>
  <c r="C77" i="1"/>
  <c r="E77" i="1"/>
  <c r="F77" i="1"/>
  <c r="G77" i="1"/>
  <c r="B77" i="1"/>
  <c r="D77" i="1" l="1"/>
</calcChain>
</file>

<file path=xl/sharedStrings.xml><?xml version="1.0" encoding="utf-8"?>
<sst xmlns="http://schemas.openxmlformats.org/spreadsheetml/2006/main" count="1919" uniqueCount="189">
  <si>
    <t>Total</t>
  </si>
  <si>
    <t>Laws</t>
  </si>
  <si>
    <t>Department</t>
  </si>
  <si>
    <t>Undergraduate</t>
  </si>
  <si>
    <t>Graduate</t>
  </si>
  <si>
    <t>Anatomy and Developmental Biology</t>
  </si>
  <si>
    <t>Anthropology</t>
  </si>
  <si>
    <t>Institute of Archaeology</t>
  </si>
  <si>
    <t>Bartlett School of Architecture</t>
  </si>
  <si>
    <t>Biochemistry and Molecular Biology</t>
  </si>
  <si>
    <t>Biology</t>
  </si>
  <si>
    <t>Chemical and Biochemical Engineering</t>
  </si>
  <si>
    <t>Chemistry</t>
  </si>
  <si>
    <t>Civil and Environmental Engineering</t>
  </si>
  <si>
    <t>Computer Science</t>
  </si>
  <si>
    <t>Development Planning Unit</t>
  </si>
  <si>
    <t>Dutch Language and Literature</t>
  </si>
  <si>
    <t>Economics</t>
  </si>
  <si>
    <t>Electronic and Electrical Engineering</t>
  </si>
  <si>
    <t>English Language and Literature</t>
  </si>
  <si>
    <t>Slade School of Fine Art</t>
  </si>
  <si>
    <t>French</t>
  </si>
  <si>
    <t>Geography</t>
  </si>
  <si>
    <t>Geological Sciences</t>
  </si>
  <si>
    <t>German</t>
  </si>
  <si>
    <t>HERDU</t>
  </si>
  <si>
    <t>History</t>
  </si>
  <si>
    <t>Human Communication Science</t>
  </si>
  <si>
    <t>Italian</t>
  </si>
  <si>
    <t>Library, Archive and Information Studies</t>
  </si>
  <si>
    <t>Mathematics</t>
  </si>
  <si>
    <t>Mechanical Engineering</t>
  </si>
  <si>
    <t>Medical Physics</t>
  </si>
  <si>
    <t>Modern European Studies</t>
  </si>
  <si>
    <t>Pharmacology</t>
  </si>
  <si>
    <t>Philosophy</t>
  </si>
  <si>
    <t>Phonetics and Linguistics</t>
  </si>
  <si>
    <t>Photogrammetry and Surveying</t>
  </si>
  <si>
    <t>Physics and Astronomy</t>
  </si>
  <si>
    <t>Physiology</t>
  </si>
  <si>
    <t>Psychology</t>
  </si>
  <si>
    <t>Scandinavian Studies</t>
  </si>
  <si>
    <t>Science and Technology Studies</t>
  </si>
  <si>
    <t>Space and Climate Physics</t>
  </si>
  <si>
    <t>Spanish and Latin American Studies</t>
  </si>
  <si>
    <t>Statistical Science</t>
  </si>
  <si>
    <t>Intercollegiate Course</t>
  </si>
  <si>
    <t>Interdepartmental Course</t>
  </si>
  <si>
    <t>Pre-Clinical Studies</t>
  </si>
  <si>
    <t>Clinical Studies</t>
  </si>
  <si>
    <t>Bacteriology</t>
  </si>
  <si>
    <t>Epidemiology and Public Health</t>
  </si>
  <si>
    <t>Haematology</t>
  </si>
  <si>
    <t>Histopathology</t>
  </si>
  <si>
    <t>Immunology</t>
  </si>
  <si>
    <t>Laryngology and Otology</t>
  </si>
  <si>
    <t>Medicine</t>
  </si>
  <si>
    <t>Molecular Pathology</t>
  </si>
  <si>
    <t>Neurological Studies</t>
  </si>
  <si>
    <t>Nuclear Medicine</t>
  </si>
  <si>
    <t>Obstetrics and Gynaecology</t>
  </si>
  <si>
    <t>Oncology</t>
  </si>
  <si>
    <t>Orthopaedics</t>
  </si>
  <si>
    <t>Paediatrics</t>
  </si>
  <si>
    <t>Primary Health Care (CHIME)</t>
  </si>
  <si>
    <t>Psychiatry</t>
  </si>
  <si>
    <t>Sexually Transmitted Diseases</t>
  </si>
  <si>
    <t>Surgery</t>
  </si>
  <si>
    <t>Urology and Nephrology</t>
  </si>
  <si>
    <t>Virology</t>
  </si>
  <si>
    <t>Institute of Ophthalmology</t>
  </si>
  <si>
    <t>Greek and Latin</t>
  </si>
  <si>
    <t>Hebrew and Jewish Studies</t>
  </si>
  <si>
    <t>History of Art</t>
  </si>
  <si>
    <t>Faculty</t>
  </si>
  <si>
    <t>Arts and Humanities</t>
  </si>
  <si>
    <t>Built Environment</t>
  </si>
  <si>
    <t>Clinical Sciences</t>
  </si>
  <si>
    <t>Engineering</t>
  </si>
  <si>
    <t>Life Sciences</t>
  </si>
  <si>
    <t>Mathematical and Physical Sciences</t>
  </si>
  <si>
    <t>Social and Historical Sciences</t>
  </si>
  <si>
    <t>Home</t>
  </si>
  <si>
    <t>Overseas</t>
  </si>
  <si>
    <t>Table K</t>
  </si>
  <si>
    <t>Part Time Departmental Student by Fee Status</t>
  </si>
  <si>
    <t>The Clinical Sciences total includes the Graduate Institutes of Child Health, Neurology and Ophthalmology and the Eastman Dental Institute.</t>
  </si>
  <si>
    <t>Bartlett School</t>
  </si>
  <si>
    <t>Centre for Advanced Instrumentation Systems</t>
  </si>
  <si>
    <t>Epidemiology and Public Health Medicine</t>
  </si>
  <si>
    <t>Medicine (Cruciform Project)</t>
  </si>
  <si>
    <t>Molecular Endocrinology</t>
  </si>
  <si>
    <t>Institute of Child Health</t>
  </si>
  <si>
    <t>Clinical Sciences1</t>
  </si>
  <si>
    <t>Geomatic Engineering</t>
  </si>
  <si>
    <t>Centre for Professional Development</t>
  </si>
  <si>
    <t>CHIME</t>
  </si>
  <si>
    <t>Podiatry</t>
  </si>
  <si>
    <t>Primary Health Care</t>
  </si>
  <si>
    <t>Institute of Neurology</t>
  </si>
  <si>
    <t>Biochemical Engineering</t>
  </si>
  <si>
    <t>Chemical Engineering</t>
  </si>
  <si>
    <t>Gatsby Computational Neuroscience Unit</t>
  </si>
  <si>
    <t>School of Public Policy</t>
  </si>
  <si>
    <t>Wolfson Institute for Biomedical Research</t>
  </si>
  <si>
    <t>Royal Free Hospital School of Medicine</t>
  </si>
  <si>
    <t>COMPLEX</t>
  </si>
  <si>
    <t>Eastman Dental Institute</t>
  </si>
  <si>
    <t>Molecular Pathology and Clinical Biochemistry</t>
  </si>
  <si>
    <t>RLW Inst of Neurological Studies</t>
  </si>
  <si>
    <t>Primary Care and Population studies</t>
  </si>
  <si>
    <t>School of Slavonic and East European Studies</t>
  </si>
  <si>
    <t>Clinical Neurosciences</t>
  </si>
  <si>
    <t>Immunology and Molecular Pathology</t>
  </si>
  <si>
    <t>Medical Microbiology</t>
  </si>
  <si>
    <t>RLW Institute of Neurological Studies</t>
  </si>
  <si>
    <t>Paediatrics and Child Health</t>
  </si>
  <si>
    <t>Primary Care and Population Sciences</t>
  </si>
  <si>
    <t>Psychiatry and Behavioural Sciences</t>
  </si>
  <si>
    <t>School of East European and Slavonic Stds</t>
  </si>
  <si>
    <t>Centre for Advanced Instrumentation Sys.</t>
  </si>
  <si>
    <t>School of Slavonic and E. European Stds</t>
  </si>
  <si>
    <t>Wolfson Inst. for Biomedical Research</t>
  </si>
  <si>
    <t>Institute of Laryngology and Otology</t>
  </si>
  <si>
    <t>School of Podiatry</t>
  </si>
  <si>
    <t>Institute of Urology and Nephrology</t>
  </si>
  <si>
    <t>Earth Sciences</t>
  </si>
  <si>
    <t>Education and Professional Development</t>
  </si>
  <si>
    <t>Physical Sciences</t>
  </si>
  <si>
    <t>Engineering Sciences</t>
  </si>
  <si>
    <t>Centre for European Studies</t>
  </si>
  <si>
    <t>European Social and Political Studies</t>
  </si>
  <si>
    <t>Human Sciences</t>
  </si>
  <si>
    <t>Language Centre (Affiliates)</t>
  </si>
  <si>
    <t>Infection</t>
  </si>
  <si>
    <t>CALT</t>
  </si>
  <si>
    <t>Gynaecological Oncology</t>
  </si>
  <si>
    <t>Mental Health Sciences</t>
  </si>
  <si>
    <t>Pathology</t>
  </si>
  <si>
    <t>Management Studies Centre</t>
  </si>
  <si>
    <t>Natural/Physical Sciences</t>
  </si>
  <si>
    <t>Political Science</t>
  </si>
  <si>
    <t>Ear Institute</t>
  </si>
  <si>
    <t>Institute of Orthopaedics and Musculoskeletal Science</t>
  </si>
  <si>
    <t>Institute of Urology</t>
  </si>
  <si>
    <t>The Biomedical Sciences total includes the Graduate Institutes of Child Health, Neurology and Ophthalmology and the Eastman Dental Institute.</t>
  </si>
  <si>
    <t>Biomedical Sciences1</t>
  </si>
  <si>
    <t>Biomedical Sciences</t>
  </si>
  <si>
    <t>Bartlett School of Constrctn. &amp; Prj. Mgmt.</t>
  </si>
  <si>
    <t>Bartlett School of Graduate Studies</t>
  </si>
  <si>
    <t>Bartlett School of Planning</t>
  </si>
  <si>
    <t>Centre for Intercultural Studies</t>
  </si>
  <si>
    <t>CoMPLEX</t>
  </si>
  <si>
    <t>Jill Dando Institute of Crime Science</t>
  </si>
  <si>
    <t>Interdepartmental Programmes</t>
  </si>
  <si>
    <t>Orthopaedics and Musculoskeletal Sci.</t>
  </si>
  <si>
    <t>Centre for Advanced Spatial Analysis</t>
  </si>
  <si>
    <t>Civil, Environmental and Geomatic Eng.</t>
  </si>
  <si>
    <t>Management Science and Innovation</t>
  </si>
  <si>
    <t>Natural Sciences Office</t>
  </si>
  <si>
    <t>Division of Biosciences</t>
  </si>
  <si>
    <t>Wellcome Trust Centre History of Medicine</t>
  </si>
  <si>
    <t>Faculty of Life Sciences</t>
  </si>
  <si>
    <t>Laboratory for Molecular Cell Biology</t>
  </si>
  <si>
    <t>Division of Psychology and Language Sci.</t>
  </si>
  <si>
    <t>Cancer Institute</t>
  </si>
  <si>
    <t>Division of Infection and Immunity</t>
  </si>
  <si>
    <t>Division of Medical Education</t>
  </si>
  <si>
    <t>Division of Medicine</t>
  </si>
  <si>
    <t>Division of Population Health</t>
  </si>
  <si>
    <t>Division of Research Strategy</t>
  </si>
  <si>
    <t>Division of Surgery and Interventional Sci</t>
  </si>
  <si>
    <t>Institute for Women's Health</t>
  </si>
  <si>
    <t>Faculty of Engineering Sciences</t>
  </si>
  <si>
    <t>Information Studies</t>
  </si>
  <si>
    <t>Security and Crime Science</t>
  </si>
  <si>
    <t>Faculty of Biomedical Sciences</t>
  </si>
  <si>
    <t>UCL Medical School</t>
  </si>
  <si>
    <t>School of Energy &amp; Resources (Australia)</t>
  </si>
  <si>
    <t>UCL Energy Institute</t>
  </si>
  <si>
    <t>School of Energy and Resources (Australia)</t>
  </si>
  <si>
    <t>European Social and Political Studies and Political Studies</t>
  </si>
  <si>
    <t>Gatsby Computational Neuroscienc</t>
  </si>
  <si>
    <t>Faculty of Brain Sciences</t>
  </si>
  <si>
    <t>Institute of Cardiovascular Science</t>
  </si>
  <si>
    <t>Faculty of Medical Sciences</t>
  </si>
  <si>
    <t>Brain Sciences</t>
  </si>
  <si>
    <t>Medical Sciences</t>
  </si>
  <si>
    <t>Population Health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</si>
</sst>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8.5"/>
      <color theme="1"/>
      <name val="Arial"/>
      <family val="2"/>
    </font>
    <font>
      <b/>
      <sz val="7.5"/>
      <color theme="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2" xfId="0" applyFont="1" applyBorder="1"/>
    <xf numFmtId="0" fontId="5" fillId="0" borderId="1" xfId="0" applyFont="1" applyBorder="1"/>
    <xf numFmtId="0" fontId="5" fillId="0" borderId="10" xfId="0" applyFont="1" applyBorder="1"/>
    <xf numFmtId="0" fontId="3" fillId="0" borderId="12" xfId="0" applyFont="1" applyBorder="1"/>
    <xf numFmtId="0" fontId="3" fillId="0" borderId="17" xfId="0" applyFont="1" applyBorder="1"/>
    <xf numFmtId="0" fontId="5" fillId="0" borderId="19" xfId="0" applyFont="1" applyBorder="1"/>
    <xf numFmtId="0" fontId="3" fillId="0" borderId="22" xfId="0" applyFont="1" applyBorder="1"/>
    <xf numFmtId="0" fontId="5" fillId="0" borderId="11" xfId="0" applyFont="1" applyBorder="1"/>
    <xf numFmtId="0" fontId="5" fillId="0" borderId="3" xfId="0" applyFont="1" applyBorder="1"/>
    <xf numFmtId="0" fontId="5" fillId="0" borderId="6" xfId="0" applyFont="1" applyBorder="1"/>
    <xf numFmtId="0" fontId="7" fillId="0" borderId="14" xfId="0" applyFont="1" applyBorder="1"/>
    <xf numFmtId="0" fontId="7" fillId="0" borderId="16" xfId="0" applyFont="1" applyBorder="1"/>
    <xf numFmtId="0" fontId="5" fillId="0" borderId="21" xfId="0" applyFont="1" applyBorder="1"/>
    <xf numFmtId="0" fontId="8" fillId="2" borderId="9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8" fillId="2" borderId="23" xfId="0" applyFont="1" applyFill="1" applyBorder="1" applyAlignment="1">
      <alignment wrapText="1"/>
    </xf>
    <xf numFmtId="0" fontId="8" fillId="2" borderId="24" xfId="0" applyFont="1" applyFill="1" applyBorder="1" applyAlignment="1">
      <alignment wrapText="1"/>
    </xf>
    <xf numFmtId="0" fontId="8" fillId="2" borderId="25" xfId="0" applyFont="1" applyFill="1" applyBorder="1" applyAlignment="1">
      <alignment wrapText="1"/>
    </xf>
    <xf numFmtId="0" fontId="5" fillId="0" borderId="27" xfId="0" applyFont="1" applyBorder="1"/>
    <xf numFmtId="0" fontId="9" fillId="0" borderId="26" xfId="0" applyFont="1" applyBorder="1"/>
    <xf numFmtId="0" fontId="9" fillId="0" borderId="28" xfId="0" applyFont="1" applyBorder="1"/>
    <xf numFmtId="0" fontId="6" fillId="2" borderId="18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6" fillId="2" borderId="1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view="pageLayout" zoomScale="70" zoomScaleNormal="100" zoomScalePageLayoutView="70" workbookViewId="0">
      <selection activeCell="A99" sqref="A99:H99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2011-12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6</v>
      </c>
      <c r="B7" s="6">
        <v>0</v>
      </c>
      <c r="C7" s="4">
        <v>0</v>
      </c>
      <c r="D7" s="5">
        <f>SUM(B7:C7)</f>
        <v>0</v>
      </c>
      <c r="E7" s="6">
        <v>55</v>
      </c>
      <c r="F7" s="4">
        <v>2</v>
      </c>
      <c r="G7" s="5">
        <f>SUM(E7:F7)</f>
        <v>57</v>
      </c>
      <c r="H7" s="9">
        <f>D7+G7</f>
        <v>57</v>
      </c>
    </row>
    <row r="8" spans="1:8" x14ac:dyDescent="0.25">
      <c r="A8" s="14" t="s">
        <v>7</v>
      </c>
      <c r="B8" s="6">
        <v>7</v>
      </c>
      <c r="C8" s="4">
        <v>0</v>
      </c>
      <c r="D8" s="5">
        <f t="shared" ref="D8:D76" si="0">SUM(B8:C8)</f>
        <v>7</v>
      </c>
      <c r="E8" s="6">
        <v>87</v>
      </c>
      <c r="F8" s="4">
        <v>3</v>
      </c>
      <c r="G8" s="5">
        <f t="shared" ref="G8:G76" si="1">SUM(E8:F8)</f>
        <v>90</v>
      </c>
      <c r="H8" s="9">
        <f t="shared" ref="H8:H76" si="2">D8+G8</f>
        <v>97</v>
      </c>
    </row>
    <row r="9" spans="1:8" x14ac:dyDescent="0.25">
      <c r="A9" s="14" t="s">
        <v>8</v>
      </c>
      <c r="B9" s="6">
        <v>3</v>
      </c>
      <c r="C9" s="4">
        <v>9</v>
      </c>
      <c r="D9" s="5">
        <f t="shared" si="0"/>
        <v>12</v>
      </c>
      <c r="E9" s="6">
        <v>23</v>
      </c>
      <c r="F9" s="4">
        <v>2</v>
      </c>
      <c r="G9" s="5">
        <f t="shared" si="1"/>
        <v>25</v>
      </c>
      <c r="H9" s="9">
        <f t="shared" si="2"/>
        <v>37</v>
      </c>
    </row>
    <row r="10" spans="1:8" x14ac:dyDescent="0.25">
      <c r="A10" s="14" t="s">
        <v>148</v>
      </c>
      <c r="B10" s="6">
        <v>0</v>
      </c>
      <c r="C10" s="4">
        <v>0</v>
      </c>
      <c r="D10" s="5">
        <f t="shared" si="0"/>
        <v>0</v>
      </c>
      <c r="E10" s="6">
        <v>46</v>
      </c>
      <c r="F10" s="4">
        <v>8</v>
      </c>
      <c r="G10" s="5">
        <f t="shared" si="1"/>
        <v>54</v>
      </c>
      <c r="H10" s="9">
        <f t="shared" si="2"/>
        <v>54</v>
      </c>
    </row>
    <row r="11" spans="1:8" x14ac:dyDescent="0.25">
      <c r="A11" s="14" t="s">
        <v>149</v>
      </c>
      <c r="B11" s="6">
        <v>0</v>
      </c>
      <c r="C11" s="4">
        <v>0</v>
      </c>
      <c r="D11" s="5">
        <f t="shared" si="0"/>
        <v>0</v>
      </c>
      <c r="E11" s="6">
        <v>77</v>
      </c>
      <c r="F11" s="4">
        <v>33</v>
      </c>
      <c r="G11" s="5">
        <f t="shared" si="1"/>
        <v>110</v>
      </c>
      <c r="H11" s="9">
        <f t="shared" si="2"/>
        <v>110</v>
      </c>
    </row>
    <row r="12" spans="1:8" x14ac:dyDescent="0.25">
      <c r="A12" s="14" t="s">
        <v>150</v>
      </c>
      <c r="B12" s="6">
        <v>0</v>
      </c>
      <c r="C12" s="4">
        <v>1</v>
      </c>
      <c r="D12" s="5">
        <f t="shared" si="0"/>
        <v>1</v>
      </c>
      <c r="E12" s="6">
        <v>80</v>
      </c>
      <c r="F12" s="4">
        <v>7</v>
      </c>
      <c r="G12" s="5">
        <f t="shared" si="1"/>
        <v>87</v>
      </c>
      <c r="H12" s="9">
        <f t="shared" si="2"/>
        <v>88</v>
      </c>
    </row>
    <row r="13" spans="1:8" x14ac:dyDescent="0.25">
      <c r="A13" s="14" t="s">
        <v>100</v>
      </c>
      <c r="B13" s="6">
        <v>0</v>
      </c>
      <c r="C13" s="4">
        <v>2</v>
      </c>
      <c r="D13" s="5">
        <f t="shared" si="0"/>
        <v>2</v>
      </c>
      <c r="E13" s="6">
        <v>5</v>
      </c>
      <c r="F13" s="4">
        <v>0</v>
      </c>
      <c r="G13" s="5">
        <f t="shared" si="1"/>
        <v>5</v>
      </c>
      <c r="H13" s="9">
        <f t="shared" si="2"/>
        <v>7</v>
      </c>
    </row>
    <row r="14" spans="1:8" x14ac:dyDescent="0.25">
      <c r="A14" s="14" t="s">
        <v>160</v>
      </c>
      <c r="B14" s="6">
        <v>21</v>
      </c>
      <c r="C14" s="4">
        <v>3</v>
      </c>
      <c r="D14" s="5">
        <f t="shared" si="0"/>
        <v>24</v>
      </c>
      <c r="E14" s="6">
        <v>24</v>
      </c>
      <c r="F14" s="4">
        <v>3</v>
      </c>
      <c r="G14" s="5">
        <f t="shared" si="1"/>
        <v>27</v>
      </c>
      <c r="H14" s="9">
        <f t="shared" si="2"/>
        <v>51</v>
      </c>
    </row>
    <row r="15" spans="1:8" x14ac:dyDescent="0.25">
      <c r="A15" s="14" t="s">
        <v>156</v>
      </c>
      <c r="B15" s="6">
        <v>0</v>
      </c>
      <c r="C15" s="4">
        <v>0</v>
      </c>
      <c r="D15" s="5">
        <f t="shared" si="0"/>
        <v>0</v>
      </c>
      <c r="E15" s="6">
        <v>3</v>
      </c>
      <c r="F15" s="4">
        <v>1</v>
      </c>
      <c r="G15" s="5">
        <f t="shared" si="1"/>
        <v>4</v>
      </c>
      <c r="H15" s="9">
        <f t="shared" si="2"/>
        <v>4</v>
      </c>
    </row>
    <row r="16" spans="1:8" x14ac:dyDescent="0.25">
      <c r="A16" s="14" t="s">
        <v>130</v>
      </c>
      <c r="B16" s="6">
        <v>0</v>
      </c>
      <c r="C16" s="4">
        <v>0</v>
      </c>
      <c r="D16" s="5">
        <f t="shared" si="0"/>
        <v>0</v>
      </c>
      <c r="E16" s="6">
        <v>8</v>
      </c>
      <c r="F16" s="4">
        <v>0</v>
      </c>
      <c r="G16" s="5">
        <f t="shared" si="1"/>
        <v>8</v>
      </c>
      <c r="H16" s="9">
        <f t="shared" si="2"/>
        <v>8</v>
      </c>
    </row>
    <row r="17" spans="1:8" x14ac:dyDescent="0.25">
      <c r="A17" s="14" t="s">
        <v>151</v>
      </c>
      <c r="B17" s="6">
        <v>0</v>
      </c>
      <c r="C17" s="4">
        <v>0</v>
      </c>
      <c r="D17" s="5">
        <f t="shared" si="0"/>
        <v>0</v>
      </c>
      <c r="E17" s="6">
        <v>33</v>
      </c>
      <c r="F17" s="4">
        <v>2</v>
      </c>
      <c r="G17" s="5">
        <f t="shared" si="1"/>
        <v>35</v>
      </c>
      <c r="H17" s="9">
        <f t="shared" si="2"/>
        <v>35</v>
      </c>
    </row>
    <row r="18" spans="1:8" x14ac:dyDescent="0.25">
      <c r="A18" s="14" t="s">
        <v>152</v>
      </c>
      <c r="B18" s="6">
        <v>0</v>
      </c>
      <c r="C18" s="4">
        <v>0</v>
      </c>
      <c r="D18" s="5">
        <f t="shared" si="0"/>
        <v>0</v>
      </c>
      <c r="E18" s="6">
        <v>0</v>
      </c>
      <c r="F18" s="4">
        <v>0</v>
      </c>
      <c r="G18" s="5">
        <f t="shared" si="1"/>
        <v>0</v>
      </c>
      <c r="H18" s="9">
        <f t="shared" si="2"/>
        <v>0</v>
      </c>
    </row>
    <row r="19" spans="1:8" x14ac:dyDescent="0.25">
      <c r="A19" s="14" t="s">
        <v>135</v>
      </c>
      <c r="B19" s="6">
        <v>0</v>
      </c>
      <c r="C19" s="4">
        <v>0</v>
      </c>
      <c r="D19" s="5">
        <f t="shared" si="0"/>
        <v>0</v>
      </c>
      <c r="E19" s="6">
        <v>23</v>
      </c>
      <c r="F19" s="4">
        <v>0</v>
      </c>
      <c r="G19" s="5">
        <f t="shared" si="1"/>
        <v>23</v>
      </c>
      <c r="H19" s="9">
        <f t="shared" si="2"/>
        <v>23</v>
      </c>
    </row>
    <row r="20" spans="1:8" x14ac:dyDescent="0.25">
      <c r="A20" s="14" t="s">
        <v>101</v>
      </c>
      <c r="B20" s="6">
        <v>7</v>
      </c>
      <c r="C20" s="4">
        <v>1</v>
      </c>
      <c r="D20" s="5">
        <f t="shared" si="0"/>
        <v>8</v>
      </c>
      <c r="E20" s="6">
        <v>1</v>
      </c>
      <c r="F20" s="4">
        <v>1</v>
      </c>
      <c r="G20" s="5">
        <f t="shared" si="1"/>
        <v>2</v>
      </c>
      <c r="H20" s="9">
        <f t="shared" si="2"/>
        <v>10</v>
      </c>
    </row>
    <row r="21" spans="1:8" x14ac:dyDescent="0.25">
      <c r="A21" s="14" t="s">
        <v>12</v>
      </c>
      <c r="B21" s="6">
        <v>6</v>
      </c>
      <c r="C21" s="4">
        <v>0</v>
      </c>
      <c r="D21" s="5">
        <f t="shared" si="0"/>
        <v>6</v>
      </c>
      <c r="E21" s="6">
        <v>1</v>
      </c>
      <c r="F21" s="4">
        <v>0</v>
      </c>
      <c r="G21" s="5">
        <f t="shared" si="1"/>
        <v>1</v>
      </c>
      <c r="H21" s="9">
        <f t="shared" si="2"/>
        <v>7</v>
      </c>
    </row>
    <row r="22" spans="1:8" x14ac:dyDescent="0.25">
      <c r="A22" s="14" t="s">
        <v>157</v>
      </c>
      <c r="B22" s="6">
        <v>0</v>
      </c>
      <c r="C22" s="4">
        <v>1</v>
      </c>
      <c r="D22" s="5">
        <f t="shared" si="0"/>
        <v>1</v>
      </c>
      <c r="E22" s="6">
        <v>18</v>
      </c>
      <c r="F22" s="4">
        <v>3</v>
      </c>
      <c r="G22" s="5">
        <f t="shared" si="1"/>
        <v>21</v>
      </c>
      <c r="H22" s="9">
        <f t="shared" si="2"/>
        <v>22</v>
      </c>
    </row>
    <row r="23" spans="1:8" x14ac:dyDescent="0.25">
      <c r="A23" s="14" t="s">
        <v>14</v>
      </c>
      <c r="B23" s="6">
        <v>4</v>
      </c>
      <c r="C23" s="4">
        <v>0</v>
      </c>
      <c r="D23" s="5">
        <f t="shared" si="0"/>
        <v>4</v>
      </c>
      <c r="E23" s="6">
        <v>19</v>
      </c>
      <c r="F23" s="4">
        <v>2</v>
      </c>
      <c r="G23" s="5">
        <f t="shared" si="1"/>
        <v>21</v>
      </c>
      <c r="H23" s="9">
        <f t="shared" si="2"/>
        <v>25</v>
      </c>
    </row>
    <row r="24" spans="1:8" x14ac:dyDescent="0.25">
      <c r="A24" s="14" t="s">
        <v>15</v>
      </c>
      <c r="B24" s="6">
        <v>0</v>
      </c>
      <c r="C24" s="4">
        <v>0</v>
      </c>
      <c r="D24" s="5">
        <f t="shared" si="0"/>
        <v>0</v>
      </c>
      <c r="E24" s="6">
        <v>29</v>
      </c>
      <c r="F24" s="4">
        <v>2</v>
      </c>
      <c r="G24" s="5">
        <f t="shared" si="1"/>
        <v>31</v>
      </c>
      <c r="H24" s="9">
        <f t="shared" si="2"/>
        <v>31</v>
      </c>
    </row>
    <row r="25" spans="1:8" x14ac:dyDescent="0.25">
      <c r="A25" s="14" t="s">
        <v>16</v>
      </c>
      <c r="B25" s="6">
        <v>0</v>
      </c>
      <c r="C25" s="4">
        <v>0</v>
      </c>
      <c r="D25" s="5">
        <f t="shared" si="0"/>
        <v>0</v>
      </c>
      <c r="E25" s="6">
        <v>6</v>
      </c>
      <c r="F25" s="4">
        <v>1</v>
      </c>
      <c r="G25" s="5">
        <f t="shared" si="1"/>
        <v>7</v>
      </c>
      <c r="H25" s="9">
        <f t="shared" si="2"/>
        <v>7</v>
      </c>
    </row>
    <row r="26" spans="1:8" x14ac:dyDescent="0.25">
      <c r="A26" s="14" t="s">
        <v>126</v>
      </c>
      <c r="B26" s="6">
        <v>4</v>
      </c>
      <c r="C26" s="4">
        <v>0</v>
      </c>
      <c r="D26" s="5">
        <f t="shared" si="0"/>
        <v>4</v>
      </c>
      <c r="E26" s="6">
        <v>14</v>
      </c>
      <c r="F26" s="4">
        <v>0</v>
      </c>
      <c r="G26" s="5">
        <f t="shared" si="1"/>
        <v>14</v>
      </c>
      <c r="H26" s="9">
        <f t="shared" si="2"/>
        <v>18</v>
      </c>
    </row>
    <row r="27" spans="1:8" x14ac:dyDescent="0.25">
      <c r="A27" s="14" t="s">
        <v>17</v>
      </c>
      <c r="B27" s="6">
        <v>5</v>
      </c>
      <c r="C27" s="4">
        <v>11</v>
      </c>
      <c r="D27" s="5">
        <f t="shared" si="0"/>
        <v>16</v>
      </c>
      <c r="E27" s="6">
        <v>14</v>
      </c>
      <c r="F27" s="4">
        <v>3</v>
      </c>
      <c r="G27" s="5">
        <f t="shared" si="1"/>
        <v>17</v>
      </c>
      <c r="H27" s="9">
        <f t="shared" si="2"/>
        <v>33</v>
      </c>
    </row>
    <row r="28" spans="1:8" x14ac:dyDescent="0.25">
      <c r="A28" s="14" t="s">
        <v>18</v>
      </c>
      <c r="B28" s="6">
        <v>1</v>
      </c>
      <c r="C28" s="4">
        <v>2</v>
      </c>
      <c r="D28" s="5">
        <f t="shared" si="0"/>
        <v>3</v>
      </c>
      <c r="E28" s="6">
        <v>41</v>
      </c>
      <c r="F28" s="4">
        <v>5</v>
      </c>
      <c r="G28" s="5">
        <f t="shared" si="1"/>
        <v>46</v>
      </c>
      <c r="H28" s="9">
        <f t="shared" si="2"/>
        <v>49</v>
      </c>
    </row>
    <row r="29" spans="1:8" x14ac:dyDescent="0.25">
      <c r="A29" s="14" t="s">
        <v>180</v>
      </c>
      <c r="B29" s="6">
        <v>0</v>
      </c>
      <c r="C29" s="4">
        <v>0</v>
      </c>
      <c r="D29" s="5">
        <f t="shared" si="0"/>
        <v>0</v>
      </c>
      <c r="E29" s="6">
        <v>1</v>
      </c>
      <c r="F29" s="4">
        <v>11</v>
      </c>
      <c r="G29" s="5">
        <f t="shared" si="1"/>
        <v>12</v>
      </c>
      <c r="H29" s="9">
        <f t="shared" si="2"/>
        <v>12</v>
      </c>
    </row>
    <row r="30" spans="1:8" x14ac:dyDescent="0.25">
      <c r="A30" s="14" t="s">
        <v>179</v>
      </c>
      <c r="B30" s="6">
        <v>0</v>
      </c>
      <c r="C30" s="4">
        <v>0</v>
      </c>
      <c r="D30" s="5">
        <f t="shared" si="0"/>
        <v>0</v>
      </c>
      <c r="E30" s="6">
        <v>2</v>
      </c>
      <c r="F30" s="4">
        <v>0</v>
      </c>
      <c r="G30" s="5">
        <f t="shared" si="1"/>
        <v>2</v>
      </c>
      <c r="H30" s="9">
        <f t="shared" si="2"/>
        <v>2</v>
      </c>
    </row>
    <row r="31" spans="1:8" x14ac:dyDescent="0.25">
      <c r="A31" s="14" t="s">
        <v>19</v>
      </c>
      <c r="B31" s="6">
        <v>0</v>
      </c>
      <c r="C31" s="4">
        <v>0</v>
      </c>
      <c r="D31" s="5">
        <f t="shared" si="0"/>
        <v>0</v>
      </c>
      <c r="E31" s="6">
        <v>23</v>
      </c>
      <c r="F31" s="4">
        <v>0</v>
      </c>
      <c r="G31" s="5">
        <f t="shared" si="1"/>
        <v>23</v>
      </c>
      <c r="H31" s="9">
        <f t="shared" si="2"/>
        <v>23</v>
      </c>
    </row>
    <row r="32" spans="1:8" x14ac:dyDescent="0.25">
      <c r="A32" s="14" t="s">
        <v>173</v>
      </c>
      <c r="B32" s="6">
        <v>0</v>
      </c>
      <c r="C32" s="4">
        <v>0</v>
      </c>
      <c r="D32" s="5">
        <f t="shared" si="0"/>
        <v>0</v>
      </c>
      <c r="E32" s="6">
        <v>0</v>
      </c>
      <c r="F32" s="4">
        <v>0</v>
      </c>
      <c r="G32" s="5">
        <f t="shared" si="1"/>
        <v>0</v>
      </c>
      <c r="H32" s="9">
        <f t="shared" si="2"/>
        <v>0</v>
      </c>
    </row>
    <row r="33" spans="1:8" x14ac:dyDescent="0.25">
      <c r="A33" s="14" t="s">
        <v>181</v>
      </c>
      <c r="B33" s="6">
        <v>1</v>
      </c>
      <c r="C33" s="4">
        <v>0</v>
      </c>
      <c r="D33" s="5">
        <f t="shared" si="0"/>
        <v>1</v>
      </c>
      <c r="E33" s="6">
        <v>0</v>
      </c>
      <c r="F33" s="4">
        <v>0</v>
      </c>
      <c r="G33" s="5">
        <f t="shared" si="1"/>
        <v>0</v>
      </c>
      <c r="H33" s="9">
        <f t="shared" si="2"/>
        <v>1</v>
      </c>
    </row>
    <row r="34" spans="1:8" x14ac:dyDescent="0.25">
      <c r="A34" s="14" t="s">
        <v>20</v>
      </c>
      <c r="B34" s="6">
        <v>0</v>
      </c>
      <c r="C34" s="4">
        <v>0</v>
      </c>
      <c r="D34" s="5">
        <f t="shared" si="0"/>
        <v>0</v>
      </c>
      <c r="E34" s="6">
        <v>8</v>
      </c>
      <c r="F34" s="4">
        <v>1</v>
      </c>
      <c r="G34" s="5">
        <f t="shared" si="1"/>
        <v>9</v>
      </c>
      <c r="H34" s="9">
        <f t="shared" si="2"/>
        <v>9</v>
      </c>
    </row>
    <row r="35" spans="1:8" x14ac:dyDescent="0.25">
      <c r="A35" s="14" t="s">
        <v>21</v>
      </c>
      <c r="B35" s="6">
        <v>0</v>
      </c>
      <c r="C35" s="4">
        <v>0</v>
      </c>
      <c r="D35" s="5">
        <f t="shared" si="0"/>
        <v>0</v>
      </c>
      <c r="E35" s="6">
        <v>4</v>
      </c>
      <c r="F35" s="4">
        <v>0</v>
      </c>
      <c r="G35" s="5">
        <f t="shared" si="1"/>
        <v>4</v>
      </c>
      <c r="H35" s="9">
        <f t="shared" si="2"/>
        <v>4</v>
      </c>
    </row>
    <row r="36" spans="1:8" x14ac:dyDescent="0.25">
      <c r="A36" s="14" t="s">
        <v>182</v>
      </c>
      <c r="B36" s="6">
        <v>0</v>
      </c>
      <c r="C36" s="4">
        <v>0</v>
      </c>
      <c r="D36" s="5">
        <f t="shared" si="0"/>
        <v>0</v>
      </c>
      <c r="E36" s="6">
        <v>0</v>
      </c>
      <c r="F36" s="4">
        <v>0</v>
      </c>
      <c r="G36" s="5">
        <f t="shared" si="1"/>
        <v>0</v>
      </c>
      <c r="H36" s="9">
        <f t="shared" si="2"/>
        <v>0</v>
      </c>
    </row>
    <row r="37" spans="1:8" x14ac:dyDescent="0.25">
      <c r="A37" s="14" t="s">
        <v>22</v>
      </c>
      <c r="B37" s="6">
        <v>3</v>
      </c>
      <c r="C37" s="4">
        <v>0</v>
      </c>
      <c r="D37" s="5">
        <f t="shared" si="0"/>
        <v>3</v>
      </c>
      <c r="E37" s="6">
        <v>40</v>
      </c>
      <c r="F37" s="4">
        <v>1</v>
      </c>
      <c r="G37" s="5">
        <f t="shared" si="1"/>
        <v>41</v>
      </c>
      <c r="H37" s="9">
        <f t="shared" si="2"/>
        <v>44</v>
      </c>
    </row>
    <row r="38" spans="1:8" x14ac:dyDescent="0.25">
      <c r="A38" s="14" t="s">
        <v>24</v>
      </c>
      <c r="B38" s="6">
        <v>0</v>
      </c>
      <c r="C38" s="4">
        <v>0</v>
      </c>
      <c r="D38" s="5">
        <f t="shared" si="0"/>
        <v>0</v>
      </c>
      <c r="E38" s="6">
        <v>5</v>
      </c>
      <c r="F38" s="4">
        <v>0</v>
      </c>
      <c r="G38" s="5">
        <f t="shared" si="1"/>
        <v>5</v>
      </c>
      <c r="H38" s="9">
        <f t="shared" si="2"/>
        <v>5</v>
      </c>
    </row>
    <row r="39" spans="1:8" x14ac:dyDescent="0.25">
      <c r="A39" s="14" t="s">
        <v>71</v>
      </c>
      <c r="B39" s="6">
        <v>6</v>
      </c>
      <c r="C39" s="4">
        <v>1</v>
      </c>
      <c r="D39" s="5">
        <f t="shared" si="0"/>
        <v>7</v>
      </c>
      <c r="E39" s="6">
        <v>13</v>
      </c>
      <c r="F39" s="4">
        <v>0</v>
      </c>
      <c r="G39" s="5">
        <f t="shared" si="1"/>
        <v>13</v>
      </c>
      <c r="H39" s="9">
        <f t="shared" si="2"/>
        <v>20</v>
      </c>
    </row>
    <row r="40" spans="1:8" x14ac:dyDescent="0.25">
      <c r="A40" s="14" t="s">
        <v>72</v>
      </c>
      <c r="B40" s="6">
        <v>4</v>
      </c>
      <c r="C40" s="4">
        <v>0</v>
      </c>
      <c r="D40" s="5">
        <f t="shared" si="0"/>
        <v>4</v>
      </c>
      <c r="E40" s="6">
        <v>7</v>
      </c>
      <c r="F40" s="4">
        <v>2</v>
      </c>
      <c r="G40" s="5">
        <f t="shared" si="1"/>
        <v>9</v>
      </c>
      <c r="H40" s="9">
        <f t="shared" si="2"/>
        <v>13</v>
      </c>
    </row>
    <row r="41" spans="1:8" x14ac:dyDescent="0.25">
      <c r="A41" s="14" t="s">
        <v>26</v>
      </c>
      <c r="B41" s="6">
        <v>0</v>
      </c>
      <c r="C41" s="4">
        <v>0</v>
      </c>
      <c r="D41" s="5">
        <f t="shared" si="0"/>
        <v>0</v>
      </c>
      <c r="E41" s="6">
        <v>30</v>
      </c>
      <c r="F41" s="4">
        <v>0</v>
      </c>
      <c r="G41" s="5">
        <f t="shared" si="1"/>
        <v>30</v>
      </c>
      <c r="H41" s="9">
        <f t="shared" si="2"/>
        <v>30</v>
      </c>
    </row>
    <row r="42" spans="1:8" x14ac:dyDescent="0.25">
      <c r="A42" s="14" t="s">
        <v>73</v>
      </c>
      <c r="B42" s="6">
        <v>0</v>
      </c>
      <c r="C42" s="4">
        <v>0</v>
      </c>
      <c r="D42" s="5">
        <f t="shared" si="0"/>
        <v>0</v>
      </c>
      <c r="E42" s="6">
        <v>22</v>
      </c>
      <c r="F42" s="4">
        <v>2</v>
      </c>
      <c r="G42" s="5">
        <f t="shared" si="1"/>
        <v>24</v>
      </c>
      <c r="H42" s="9">
        <f t="shared" si="2"/>
        <v>24</v>
      </c>
    </row>
    <row r="43" spans="1:8" x14ac:dyDescent="0.25">
      <c r="A43" s="14" t="s">
        <v>161</v>
      </c>
      <c r="B43" s="6">
        <v>0</v>
      </c>
      <c r="C43" s="4">
        <v>0</v>
      </c>
      <c r="D43" s="5">
        <f t="shared" si="0"/>
        <v>0</v>
      </c>
      <c r="E43" s="6">
        <v>1</v>
      </c>
      <c r="F43" s="4">
        <v>0</v>
      </c>
      <c r="G43" s="5">
        <f t="shared" si="1"/>
        <v>1</v>
      </c>
      <c r="H43" s="9">
        <f t="shared" si="2"/>
        <v>1</v>
      </c>
    </row>
    <row r="44" spans="1:8" x14ac:dyDescent="0.25">
      <c r="A44" s="14" t="s">
        <v>174</v>
      </c>
      <c r="B44" s="6">
        <v>0</v>
      </c>
      <c r="C44" s="4">
        <v>0</v>
      </c>
      <c r="D44" s="5">
        <f t="shared" si="0"/>
        <v>0</v>
      </c>
      <c r="E44" s="6">
        <v>110</v>
      </c>
      <c r="F44" s="4">
        <v>2</v>
      </c>
      <c r="G44" s="5">
        <f t="shared" si="1"/>
        <v>112</v>
      </c>
      <c r="H44" s="9">
        <f t="shared" si="2"/>
        <v>112</v>
      </c>
    </row>
    <row r="45" spans="1:8" x14ac:dyDescent="0.25">
      <c r="A45" s="14" t="s">
        <v>28</v>
      </c>
      <c r="B45" s="6">
        <v>0</v>
      </c>
      <c r="C45" s="4">
        <v>1</v>
      </c>
      <c r="D45" s="5">
        <f t="shared" si="0"/>
        <v>1</v>
      </c>
      <c r="E45" s="6">
        <v>4</v>
      </c>
      <c r="F45" s="4">
        <v>0</v>
      </c>
      <c r="G45" s="5">
        <f t="shared" si="1"/>
        <v>4</v>
      </c>
      <c r="H45" s="9">
        <f t="shared" si="2"/>
        <v>5</v>
      </c>
    </row>
    <row r="46" spans="1:8" x14ac:dyDescent="0.25">
      <c r="A46" s="14" t="s">
        <v>133</v>
      </c>
      <c r="B46" s="6">
        <v>0</v>
      </c>
      <c r="C46" s="4">
        <v>0</v>
      </c>
      <c r="D46" s="5">
        <f t="shared" si="0"/>
        <v>0</v>
      </c>
      <c r="E46" s="6">
        <v>0</v>
      </c>
      <c r="F46" s="4">
        <v>0</v>
      </c>
      <c r="G46" s="5">
        <f t="shared" si="1"/>
        <v>0</v>
      </c>
      <c r="H46" s="9">
        <f t="shared" si="2"/>
        <v>0</v>
      </c>
    </row>
    <row r="47" spans="1:8" x14ac:dyDescent="0.25">
      <c r="A47" s="14" t="s">
        <v>1</v>
      </c>
      <c r="B47" s="6">
        <v>1</v>
      </c>
      <c r="C47" s="4">
        <v>0</v>
      </c>
      <c r="D47" s="5">
        <f t="shared" si="0"/>
        <v>1</v>
      </c>
      <c r="E47" s="6">
        <v>43</v>
      </c>
      <c r="F47" s="4">
        <v>6</v>
      </c>
      <c r="G47" s="5">
        <f t="shared" si="1"/>
        <v>49</v>
      </c>
      <c r="H47" s="9">
        <f t="shared" si="2"/>
        <v>50</v>
      </c>
    </row>
    <row r="48" spans="1:8" x14ac:dyDescent="0.25">
      <c r="A48" s="14" t="s">
        <v>162</v>
      </c>
      <c r="B48" s="6">
        <v>0</v>
      </c>
      <c r="C48" s="4">
        <v>0</v>
      </c>
      <c r="D48" s="5">
        <f t="shared" si="0"/>
        <v>0</v>
      </c>
      <c r="E48" s="6">
        <v>0</v>
      </c>
      <c r="F48" s="4">
        <v>0</v>
      </c>
      <c r="G48" s="5">
        <f t="shared" si="1"/>
        <v>0</v>
      </c>
      <c r="H48" s="9">
        <f t="shared" si="2"/>
        <v>0</v>
      </c>
    </row>
    <row r="49" spans="1:8" x14ac:dyDescent="0.25">
      <c r="A49" s="14" t="s">
        <v>158</v>
      </c>
      <c r="B49" s="6">
        <v>9</v>
      </c>
      <c r="C49" s="4">
        <v>1</v>
      </c>
      <c r="D49" s="5">
        <f t="shared" si="0"/>
        <v>10</v>
      </c>
      <c r="E49" s="6">
        <v>15</v>
      </c>
      <c r="F49" s="4">
        <v>2</v>
      </c>
      <c r="G49" s="5">
        <f t="shared" si="1"/>
        <v>17</v>
      </c>
      <c r="H49" s="9">
        <f t="shared" si="2"/>
        <v>27</v>
      </c>
    </row>
    <row r="50" spans="1:8" x14ac:dyDescent="0.25">
      <c r="A50" s="14" t="s">
        <v>30</v>
      </c>
      <c r="B50" s="6">
        <v>15</v>
      </c>
      <c r="C50" s="4">
        <v>17</v>
      </c>
      <c r="D50" s="5">
        <f t="shared" si="0"/>
        <v>32</v>
      </c>
      <c r="E50" s="6">
        <v>3</v>
      </c>
      <c r="F50" s="4">
        <v>1</v>
      </c>
      <c r="G50" s="5">
        <f t="shared" si="1"/>
        <v>4</v>
      </c>
      <c r="H50" s="9">
        <f t="shared" si="2"/>
        <v>36</v>
      </c>
    </row>
    <row r="51" spans="1:8" x14ac:dyDescent="0.25">
      <c r="A51" s="14" t="s">
        <v>31</v>
      </c>
      <c r="B51" s="6">
        <v>3</v>
      </c>
      <c r="C51" s="4">
        <v>5</v>
      </c>
      <c r="D51" s="5">
        <f t="shared" si="0"/>
        <v>8</v>
      </c>
      <c r="E51" s="6">
        <v>14</v>
      </c>
      <c r="F51" s="4">
        <v>3</v>
      </c>
      <c r="G51" s="5">
        <f t="shared" si="1"/>
        <v>17</v>
      </c>
      <c r="H51" s="9">
        <f t="shared" si="2"/>
        <v>25</v>
      </c>
    </row>
    <row r="52" spans="1:8" x14ac:dyDescent="0.25">
      <c r="A52" s="14" t="s">
        <v>32</v>
      </c>
      <c r="B52" s="6">
        <v>0</v>
      </c>
      <c r="C52" s="4">
        <v>0</v>
      </c>
      <c r="D52" s="5">
        <f t="shared" si="0"/>
        <v>0</v>
      </c>
      <c r="E52" s="6">
        <v>32</v>
      </c>
      <c r="F52" s="4">
        <v>10</v>
      </c>
      <c r="G52" s="5">
        <f t="shared" si="1"/>
        <v>42</v>
      </c>
      <c r="H52" s="9">
        <f t="shared" si="2"/>
        <v>42</v>
      </c>
    </row>
    <row r="53" spans="1:8" x14ac:dyDescent="0.25">
      <c r="A53" s="14" t="s">
        <v>163</v>
      </c>
      <c r="B53" s="6">
        <v>0</v>
      </c>
      <c r="C53" s="4">
        <v>0</v>
      </c>
      <c r="D53" s="5">
        <f t="shared" si="0"/>
        <v>0</v>
      </c>
      <c r="E53" s="6">
        <v>0</v>
      </c>
      <c r="F53" s="4">
        <v>0</v>
      </c>
      <c r="G53" s="5">
        <f t="shared" si="1"/>
        <v>0</v>
      </c>
      <c r="H53" s="9">
        <f t="shared" si="2"/>
        <v>0</v>
      </c>
    </row>
    <row r="54" spans="1:8" x14ac:dyDescent="0.25">
      <c r="A54" s="14" t="s">
        <v>159</v>
      </c>
      <c r="B54" s="6">
        <v>5</v>
      </c>
      <c r="C54" s="4">
        <v>0</v>
      </c>
      <c r="D54" s="5">
        <f t="shared" si="0"/>
        <v>5</v>
      </c>
      <c r="E54" s="6">
        <v>0</v>
      </c>
      <c r="F54" s="4">
        <v>0</v>
      </c>
      <c r="G54" s="5">
        <f t="shared" si="1"/>
        <v>0</v>
      </c>
      <c r="H54" s="9">
        <f t="shared" si="2"/>
        <v>5</v>
      </c>
    </row>
    <row r="55" spans="1:8" x14ac:dyDescent="0.25">
      <c r="A55" s="14" t="s">
        <v>35</v>
      </c>
      <c r="B55" s="6">
        <v>1</v>
      </c>
      <c r="C55" s="4">
        <v>0</v>
      </c>
      <c r="D55" s="5">
        <f t="shared" si="0"/>
        <v>1</v>
      </c>
      <c r="E55" s="6">
        <v>19</v>
      </c>
      <c r="F55" s="4">
        <v>0</v>
      </c>
      <c r="G55" s="5">
        <f t="shared" si="1"/>
        <v>19</v>
      </c>
      <c r="H55" s="9">
        <f t="shared" si="2"/>
        <v>20</v>
      </c>
    </row>
    <row r="56" spans="1:8" x14ac:dyDescent="0.25">
      <c r="A56" s="14" t="s">
        <v>38</v>
      </c>
      <c r="B56" s="6">
        <v>57</v>
      </c>
      <c r="C56" s="4">
        <v>2</v>
      </c>
      <c r="D56" s="5">
        <f t="shared" si="0"/>
        <v>59</v>
      </c>
      <c r="E56" s="6">
        <v>3</v>
      </c>
      <c r="F56" s="4">
        <v>0</v>
      </c>
      <c r="G56" s="5">
        <f t="shared" si="1"/>
        <v>3</v>
      </c>
      <c r="H56" s="9">
        <f t="shared" si="2"/>
        <v>62</v>
      </c>
    </row>
    <row r="57" spans="1:8" x14ac:dyDescent="0.25">
      <c r="A57" s="14" t="s">
        <v>141</v>
      </c>
      <c r="B57" s="6">
        <v>0</v>
      </c>
      <c r="C57" s="4">
        <v>0</v>
      </c>
      <c r="D57" s="5">
        <f t="shared" si="0"/>
        <v>0</v>
      </c>
      <c r="E57" s="6">
        <v>60</v>
      </c>
      <c r="F57" s="4">
        <v>3</v>
      </c>
      <c r="G57" s="5">
        <f t="shared" si="1"/>
        <v>63</v>
      </c>
      <c r="H57" s="9">
        <f t="shared" si="2"/>
        <v>63</v>
      </c>
    </row>
    <row r="58" spans="1:8" x14ac:dyDescent="0.25">
      <c r="A58" s="14" t="s">
        <v>164</v>
      </c>
      <c r="B58" s="6">
        <v>8</v>
      </c>
      <c r="C58" s="4">
        <v>3</v>
      </c>
      <c r="D58" s="5">
        <f t="shared" si="0"/>
        <v>11</v>
      </c>
      <c r="E58" s="6">
        <v>214</v>
      </c>
      <c r="F58" s="4">
        <v>11</v>
      </c>
      <c r="G58" s="5">
        <f t="shared" si="1"/>
        <v>225</v>
      </c>
      <c r="H58" s="9">
        <f t="shared" si="2"/>
        <v>236</v>
      </c>
    </row>
    <row r="59" spans="1:8" x14ac:dyDescent="0.25">
      <c r="A59" s="14" t="s">
        <v>41</v>
      </c>
      <c r="B59" s="6">
        <v>0</v>
      </c>
      <c r="C59" s="4">
        <v>0</v>
      </c>
      <c r="D59" s="5">
        <f t="shared" si="0"/>
        <v>0</v>
      </c>
      <c r="E59" s="6">
        <v>2</v>
      </c>
      <c r="F59" s="4">
        <v>0</v>
      </c>
      <c r="G59" s="5">
        <f t="shared" si="1"/>
        <v>2</v>
      </c>
      <c r="H59" s="9">
        <f t="shared" si="2"/>
        <v>2</v>
      </c>
    </row>
    <row r="60" spans="1:8" x14ac:dyDescent="0.25">
      <c r="A60" s="14" t="s">
        <v>175</v>
      </c>
      <c r="B60" s="6">
        <v>0</v>
      </c>
      <c r="C60" s="4">
        <v>0</v>
      </c>
      <c r="D60" s="5">
        <f t="shared" si="0"/>
        <v>0</v>
      </c>
      <c r="E60" s="6">
        <v>52</v>
      </c>
      <c r="F60" s="4">
        <v>0</v>
      </c>
      <c r="G60" s="5">
        <f t="shared" si="1"/>
        <v>52</v>
      </c>
      <c r="H60" s="9">
        <f t="shared" si="2"/>
        <v>52</v>
      </c>
    </row>
    <row r="61" spans="1:8" x14ac:dyDescent="0.25">
      <c r="A61" s="14" t="s">
        <v>121</v>
      </c>
      <c r="B61" s="6">
        <v>5</v>
      </c>
      <c r="C61" s="4">
        <v>4</v>
      </c>
      <c r="D61" s="5">
        <f t="shared" si="0"/>
        <v>9</v>
      </c>
      <c r="E61" s="6">
        <v>42</v>
      </c>
      <c r="F61" s="4">
        <v>0</v>
      </c>
      <c r="G61" s="5">
        <f t="shared" si="1"/>
        <v>42</v>
      </c>
      <c r="H61" s="9">
        <f t="shared" si="2"/>
        <v>51</v>
      </c>
    </row>
    <row r="62" spans="1:8" x14ac:dyDescent="0.25">
      <c r="A62" s="14" t="s">
        <v>42</v>
      </c>
      <c r="B62" s="6">
        <v>2</v>
      </c>
      <c r="C62" s="4">
        <v>0</v>
      </c>
      <c r="D62" s="5">
        <f t="shared" si="0"/>
        <v>2</v>
      </c>
      <c r="E62" s="6">
        <v>4</v>
      </c>
      <c r="F62" s="4">
        <v>0</v>
      </c>
      <c r="G62" s="5">
        <f t="shared" si="1"/>
        <v>4</v>
      </c>
      <c r="H62" s="9">
        <f t="shared" si="2"/>
        <v>6</v>
      </c>
    </row>
    <row r="63" spans="1:8" x14ac:dyDescent="0.25">
      <c r="A63" s="14" t="s">
        <v>43</v>
      </c>
      <c r="B63" s="6">
        <v>0</v>
      </c>
      <c r="C63" s="4">
        <v>0</v>
      </c>
      <c r="D63" s="5">
        <f t="shared" si="0"/>
        <v>0</v>
      </c>
      <c r="E63" s="6">
        <v>38</v>
      </c>
      <c r="F63" s="4">
        <v>2</v>
      </c>
      <c r="G63" s="5">
        <f t="shared" si="1"/>
        <v>40</v>
      </c>
      <c r="H63" s="9">
        <f t="shared" si="2"/>
        <v>40</v>
      </c>
    </row>
    <row r="64" spans="1:8" x14ac:dyDescent="0.25">
      <c r="A64" s="14" t="s">
        <v>44</v>
      </c>
      <c r="B64" s="6">
        <v>1</v>
      </c>
      <c r="C64" s="4">
        <v>0</v>
      </c>
      <c r="D64" s="5">
        <f t="shared" si="0"/>
        <v>1</v>
      </c>
      <c r="E64" s="6">
        <v>2</v>
      </c>
      <c r="F64" s="4">
        <v>0</v>
      </c>
      <c r="G64" s="5">
        <f t="shared" si="1"/>
        <v>2</v>
      </c>
      <c r="H64" s="9">
        <f t="shared" si="2"/>
        <v>3</v>
      </c>
    </row>
    <row r="65" spans="1:8" x14ac:dyDescent="0.25">
      <c r="A65" s="14" t="s">
        <v>45</v>
      </c>
      <c r="B65" s="6">
        <v>9</v>
      </c>
      <c r="C65" s="4">
        <v>7</v>
      </c>
      <c r="D65" s="5">
        <f t="shared" si="0"/>
        <v>16</v>
      </c>
      <c r="E65" s="6">
        <v>5</v>
      </c>
      <c r="F65" s="4">
        <v>1</v>
      </c>
      <c r="G65" s="5">
        <f t="shared" si="1"/>
        <v>6</v>
      </c>
      <c r="H65" s="9">
        <f t="shared" si="2"/>
        <v>22</v>
      </c>
    </row>
    <row r="66" spans="1:8" x14ac:dyDescent="0.25">
      <c r="A66" s="14" t="s">
        <v>104</v>
      </c>
      <c r="B66" s="6">
        <v>0</v>
      </c>
      <c r="C66" s="4">
        <v>0</v>
      </c>
      <c r="D66" s="5">
        <f t="shared" si="0"/>
        <v>0</v>
      </c>
      <c r="E66" s="6">
        <v>1</v>
      </c>
      <c r="F66" s="4">
        <v>2</v>
      </c>
      <c r="G66" s="5">
        <f t="shared" si="1"/>
        <v>3</v>
      </c>
      <c r="H66" s="9">
        <f t="shared" si="2"/>
        <v>3</v>
      </c>
    </row>
    <row r="67" spans="1:8" x14ac:dyDescent="0.25">
      <c r="A67" s="14" t="s">
        <v>183</v>
      </c>
      <c r="B67" s="6">
        <v>0</v>
      </c>
      <c r="C67" s="4">
        <v>0</v>
      </c>
      <c r="D67" s="5">
        <f t="shared" si="0"/>
        <v>0</v>
      </c>
      <c r="E67" s="6">
        <v>25</v>
      </c>
      <c r="F67" s="4">
        <v>1</v>
      </c>
      <c r="G67" s="5">
        <f t="shared" si="1"/>
        <v>26</v>
      </c>
      <c r="H67" s="9">
        <f t="shared" si="2"/>
        <v>26</v>
      </c>
    </row>
    <row r="68" spans="1:8" x14ac:dyDescent="0.25">
      <c r="A68" s="14" t="s">
        <v>165</v>
      </c>
      <c r="B68" s="6">
        <v>0</v>
      </c>
      <c r="C68" s="4">
        <v>0</v>
      </c>
      <c r="D68" s="5">
        <f t="shared" si="0"/>
        <v>0</v>
      </c>
      <c r="E68" s="6">
        <v>16</v>
      </c>
      <c r="F68" s="4">
        <v>4</v>
      </c>
      <c r="G68" s="5">
        <f t="shared" si="1"/>
        <v>20</v>
      </c>
      <c r="H68" s="9">
        <f t="shared" si="2"/>
        <v>20</v>
      </c>
    </row>
    <row r="69" spans="1:8" x14ac:dyDescent="0.25">
      <c r="A69" s="14" t="s">
        <v>184</v>
      </c>
      <c r="B69" s="6">
        <v>0</v>
      </c>
      <c r="C69" s="4">
        <v>0</v>
      </c>
      <c r="D69" s="5">
        <f t="shared" si="0"/>
        <v>0</v>
      </c>
      <c r="E69" s="6">
        <v>18</v>
      </c>
      <c r="F69" s="4">
        <v>1</v>
      </c>
      <c r="G69" s="5">
        <f t="shared" si="1"/>
        <v>19</v>
      </c>
      <c r="H69" s="9">
        <f t="shared" si="2"/>
        <v>19</v>
      </c>
    </row>
    <row r="70" spans="1:8" x14ac:dyDescent="0.25">
      <c r="A70" s="14" t="s">
        <v>92</v>
      </c>
      <c r="B70" s="6">
        <v>0</v>
      </c>
      <c r="C70" s="4">
        <v>0</v>
      </c>
      <c r="D70" s="5">
        <f t="shared" si="0"/>
        <v>0</v>
      </c>
      <c r="E70" s="6">
        <v>210</v>
      </c>
      <c r="F70" s="4">
        <v>10</v>
      </c>
      <c r="G70" s="5">
        <f t="shared" si="1"/>
        <v>220</v>
      </c>
      <c r="H70" s="9">
        <f t="shared" si="2"/>
        <v>220</v>
      </c>
    </row>
    <row r="71" spans="1:8" x14ac:dyDescent="0.25">
      <c r="A71" s="14" t="s">
        <v>142</v>
      </c>
      <c r="B71" s="6">
        <v>1</v>
      </c>
      <c r="C71" s="4">
        <v>0</v>
      </c>
      <c r="D71" s="5">
        <f t="shared" si="0"/>
        <v>1</v>
      </c>
      <c r="E71" s="6">
        <v>46</v>
      </c>
      <c r="F71" s="4">
        <v>4</v>
      </c>
      <c r="G71" s="5">
        <f t="shared" si="1"/>
        <v>50</v>
      </c>
      <c r="H71" s="9">
        <f t="shared" si="2"/>
        <v>51</v>
      </c>
    </row>
    <row r="72" spans="1:8" x14ac:dyDescent="0.25">
      <c r="A72" s="14" t="s">
        <v>107</v>
      </c>
      <c r="B72" s="6">
        <v>0</v>
      </c>
      <c r="C72" s="4">
        <v>0</v>
      </c>
      <c r="D72" s="5">
        <f t="shared" si="0"/>
        <v>0</v>
      </c>
      <c r="E72" s="6">
        <v>345</v>
      </c>
      <c r="F72" s="4">
        <v>20</v>
      </c>
      <c r="G72" s="5">
        <f t="shared" si="1"/>
        <v>365</v>
      </c>
      <c r="H72" s="9">
        <f t="shared" si="2"/>
        <v>365</v>
      </c>
    </row>
    <row r="73" spans="1:8" x14ac:dyDescent="0.25">
      <c r="A73" s="14" t="s">
        <v>166</v>
      </c>
      <c r="B73" s="6">
        <v>0</v>
      </c>
      <c r="C73" s="4">
        <v>0</v>
      </c>
      <c r="D73" s="5">
        <f t="shared" si="0"/>
        <v>0</v>
      </c>
      <c r="E73" s="6">
        <v>63</v>
      </c>
      <c r="F73" s="4">
        <v>8</v>
      </c>
      <c r="G73" s="5">
        <f t="shared" si="1"/>
        <v>71</v>
      </c>
      <c r="H73" s="9">
        <f t="shared" si="2"/>
        <v>71</v>
      </c>
    </row>
    <row r="74" spans="1:8" x14ac:dyDescent="0.25">
      <c r="A74" s="14" t="s">
        <v>185</v>
      </c>
      <c r="B74" s="6">
        <v>1</v>
      </c>
      <c r="C74" s="4">
        <v>0</v>
      </c>
      <c r="D74" s="5">
        <f t="shared" si="0"/>
        <v>1</v>
      </c>
      <c r="E74" s="6">
        <v>5</v>
      </c>
      <c r="F74" s="4">
        <v>0</v>
      </c>
      <c r="G74" s="5">
        <f t="shared" si="1"/>
        <v>5</v>
      </c>
      <c r="H74" s="9">
        <f t="shared" si="2"/>
        <v>6</v>
      </c>
    </row>
    <row r="75" spans="1:8" x14ac:dyDescent="0.25">
      <c r="A75" s="14" t="s">
        <v>177</v>
      </c>
      <c r="B75" s="6">
        <v>7</v>
      </c>
      <c r="C75" s="4">
        <v>0</v>
      </c>
      <c r="D75" s="5">
        <f t="shared" si="0"/>
        <v>7</v>
      </c>
      <c r="E75" s="6">
        <v>68</v>
      </c>
      <c r="F75" s="4">
        <v>1</v>
      </c>
      <c r="G75" s="5">
        <f t="shared" si="1"/>
        <v>69</v>
      </c>
      <c r="H75" s="9">
        <f t="shared" si="2"/>
        <v>76</v>
      </c>
    </row>
    <row r="76" spans="1:8" x14ac:dyDescent="0.25">
      <c r="A76" s="14" t="s">
        <v>168</v>
      </c>
      <c r="B76" s="6">
        <v>0</v>
      </c>
      <c r="C76" s="4">
        <v>0</v>
      </c>
      <c r="D76" s="5">
        <f t="shared" si="0"/>
        <v>0</v>
      </c>
      <c r="E76" s="6">
        <v>73</v>
      </c>
      <c r="F76" s="4">
        <v>8</v>
      </c>
      <c r="G76" s="5">
        <f t="shared" si="1"/>
        <v>81</v>
      </c>
      <c r="H76" s="9">
        <f t="shared" si="2"/>
        <v>81</v>
      </c>
    </row>
    <row r="77" spans="1:8" x14ac:dyDescent="0.25">
      <c r="A77" s="14" t="s">
        <v>99</v>
      </c>
      <c r="B77" s="6">
        <v>0</v>
      </c>
      <c r="C77" s="4">
        <v>0</v>
      </c>
      <c r="D77" s="5">
        <f t="shared" ref="D77:D81" si="3">SUM(B77:C77)</f>
        <v>0</v>
      </c>
      <c r="E77" s="6">
        <v>91</v>
      </c>
      <c r="F77" s="4">
        <v>15</v>
      </c>
      <c r="G77" s="5">
        <f t="shared" ref="G77:G81" si="4">SUM(E77:F77)</f>
        <v>106</v>
      </c>
      <c r="H77" s="9">
        <f t="shared" ref="H77:H81" si="5">D77+G77</f>
        <v>106</v>
      </c>
    </row>
    <row r="78" spans="1:8" x14ac:dyDescent="0.25">
      <c r="A78" s="14" t="s">
        <v>70</v>
      </c>
      <c r="B78" s="6">
        <v>0</v>
      </c>
      <c r="C78" s="4">
        <v>0</v>
      </c>
      <c r="D78" s="5">
        <f t="shared" si="3"/>
        <v>0</v>
      </c>
      <c r="E78" s="6">
        <v>41</v>
      </c>
      <c r="F78" s="4">
        <v>4</v>
      </c>
      <c r="G78" s="5">
        <f t="shared" si="4"/>
        <v>45</v>
      </c>
      <c r="H78" s="9">
        <f t="shared" si="5"/>
        <v>45</v>
      </c>
    </row>
    <row r="79" spans="1:8" x14ac:dyDescent="0.25">
      <c r="A79" s="14" t="s">
        <v>169</v>
      </c>
      <c r="B79" s="6">
        <v>0</v>
      </c>
      <c r="C79" s="4">
        <v>0</v>
      </c>
      <c r="D79" s="5">
        <f t="shared" si="3"/>
        <v>0</v>
      </c>
      <c r="E79" s="6">
        <v>147</v>
      </c>
      <c r="F79" s="4">
        <v>11</v>
      </c>
      <c r="G79" s="5">
        <f t="shared" si="4"/>
        <v>158</v>
      </c>
      <c r="H79" s="9">
        <f t="shared" si="5"/>
        <v>158</v>
      </c>
    </row>
    <row r="80" spans="1:8" x14ac:dyDescent="0.25">
      <c r="A80" s="14" t="s">
        <v>171</v>
      </c>
      <c r="B80" s="6">
        <v>0</v>
      </c>
      <c r="C80" s="4">
        <v>0</v>
      </c>
      <c r="D80" s="5">
        <f t="shared" si="3"/>
        <v>0</v>
      </c>
      <c r="E80" s="6">
        <v>141</v>
      </c>
      <c r="F80" s="4">
        <v>14</v>
      </c>
      <c r="G80" s="5">
        <f t="shared" si="4"/>
        <v>155</v>
      </c>
      <c r="H80" s="9">
        <f t="shared" si="5"/>
        <v>155</v>
      </c>
    </row>
    <row r="81" spans="1:8" ht="15.75" thickBot="1" x14ac:dyDescent="0.3">
      <c r="A81" s="15" t="s">
        <v>172</v>
      </c>
      <c r="B81" s="11">
        <v>0</v>
      </c>
      <c r="C81" s="12">
        <v>0</v>
      </c>
      <c r="D81" s="23">
        <f t="shared" si="3"/>
        <v>0</v>
      </c>
      <c r="E81" s="11">
        <v>32</v>
      </c>
      <c r="F81" s="12">
        <v>19</v>
      </c>
      <c r="G81" s="23">
        <f t="shared" si="4"/>
        <v>51</v>
      </c>
      <c r="H81" s="16">
        <f t="shared" si="5"/>
        <v>51</v>
      </c>
    </row>
    <row r="82" spans="1:8" ht="16.5" thickTop="1" thickBot="1" x14ac:dyDescent="0.3">
      <c r="A82" s="8" t="s">
        <v>0</v>
      </c>
      <c r="B82" s="7">
        <f t="shared" ref="B82:H82" si="6">SUM(B7:B81)</f>
        <v>197</v>
      </c>
      <c r="C82" s="7">
        <f t="shared" si="6"/>
        <v>71</v>
      </c>
      <c r="D82" s="7">
        <f t="shared" si="6"/>
        <v>268</v>
      </c>
      <c r="E82" s="7">
        <f t="shared" si="6"/>
        <v>2747</v>
      </c>
      <c r="F82" s="7">
        <f t="shared" si="6"/>
        <v>258</v>
      </c>
      <c r="G82" s="7">
        <f t="shared" si="6"/>
        <v>3005</v>
      </c>
      <c r="H82" s="7">
        <f t="shared" si="6"/>
        <v>3273</v>
      </c>
    </row>
    <row r="83" spans="1:8" ht="15.75" thickBot="1" x14ac:dyDescent="0.3"/>
    <row r="84" spans="1:8" x14ac:dyDescent="0.25">
      <c r="A84" s="26" t="s">
        <v>74</v>
      </c>
      <c r="B84" s="28" t="s">
        <v>3</v>
      </c>
      <c r="C84" s="29"/>
      <c r="D84" s="29"/>
      <c r="E84" s="28" t="s">
        <v>4</v>
      </c>
      <c r="F84" s="29"/>
      <c r="G84" s="29"/>
      <c r="H84" s="26" t="s">
        <v>0</v>
      </c>
    </row>
    <row r="85" spans="1:8" x14ac:dyDescent="0.25">
      <c r="A85" s="27"/>
      <c r="B85" s="20" t="s">
        <v>82</v>
      </c>
      <c r="C85" s="21" t="s">
        <v>83</v>
      </c>
      <c r="D85" s="22" t="s">
        <v>0</v>
      </c>
      <c r="E85" s="20" t="s">
        <v>82</v>
      </c>
      <c r="F85" s="21" t="s">
        <v>83</v>
      </c>
      <c r="G85" s="22" t="s">
        <v>0</v>
      </c>
      <c r="H85" s="27"/>
    </row>
    <row r="86" spans="1:8" x14ac:dyDescent="0.25">
      <c r="A86" s="14" t="s">
        <v>75</v>
      </c>
      <c r="B86" s="6">
        <v>15</v>
      </c>
      <c r="C86" s="4">
        <v>2</v>
      </c>
      <c r="D86" s="5">
        <f t="shared" ref="D86:D95" si="7">SUM(B86:C86)</f>
        <v>17</v>
      </c>
      <c r="E86" s="6">
        <v>268</v>
      </c>
      <c r="F86" s="4">
        <v>8</v>
      </c>
      <c r="G86" s="5">
        <f t="shared" ref="G86:G95" si="8">SUM(E86:F86)</f>
        <v>276</v>
      </c>
      <c r="H86" s="9">
        <f t="shared" ref="H86:H95" si="9">D86+G86</f>
        <v>293</v>
      </c>
    </row>
    <row r="87" spans="1:8" x14ac:dyDescent="0.25">
      <c r="A87" s="14" t="s">
        <v>186</v>
      </c>
      <c r="B87" s="6">
        <v>9</v>
      </c>
      <c r="C87" s="4">
        <v>3</v>
      </c>
      <c r="D87" s="5">
        <f t="shared" si="7"/>
        <v>12</v>
      </c>
      <c r="E87" s="6">
        <v>417</v>
      </c>
      <c r="F87" s="4">
        <v>35</v>
      </c>
      <c r="G87" s="5">
        <f t="shared" si="8"/>
        <v>452</v>
      </c>
      <c r="H87" s="9">
        <f t="shared" si="9"/>
        <v>464</v>
      </c>
    </row>
    <row r="88" spans="1:8" x14ac:dyDescent="0.25">
      <c r="A88" s="14" t="s">
        <v>76</v>
      </c>
      <c r="B88" s="6">
        <v>3</v>
      </c>
      <c r="C88" s="4">
        <v>10</v>
      </c>
      <c r="D88" s="5">
        <f t="shared" ref="D88:D89" si="10">SUM(B88:C88)</f>
        <v>13</v>
      </c>
      <c r="E88" s="6">
        <v>260</v>
      </c>
      <c r="F88" s="4">
        <v>53</v>
      </c>
      <c r="G88" s="5">
        <f t="shared" ref="G88:G89" si="11">SUM(E88:F88)</f>
        <v>313</v>
      </c>
      <c r="H88" s="9">
        <f t="shared" ref="H88:H89" si="12">D88+G88</f>
        <v>326</v>
      </c>
    </row>
    <row r="89" spans="1:8" x14ac:dyDescent="0.25">
      <c r="A89" s="14" t="s">
        <v>129</v>
      </c>
      <c r="B89" s="6">
        <v>24</v>
      </c>
      <c r="C89" s="4">
        <v>12</v>
      </c>
      <c r="D89" s="5">
        <f t="shared" si="10"/>
        <v>36</v>
      </c>
      <c r="E89" s="6">
        <v>198</v>
      </c>
      <c r="F89" s="4">
        <v>37</v>
      </c>
      <c r="G89" s="5">
        <f t="shared" si="11"/>
        <v>235</v>
      </c>
      <c r="H89" s="9">
        <f t="shared" si="12"/>
        <v>271</v>
      </c>
    </row>
    <row r="90" spans="1:8" x14ac:dyDescent="0.25">
      <c r="A90" s="14" t="s">
        <v>1</v>
      </c>
      <c r="B90" s="6">
        <v>1</v>
      </c>
      <c r="C90" s="4"/>
      <c r="D90" s="5">
        <f t="shared" si="7"/>
        <v>1</v>
      </c>
      <c r="E90" s="6">
        <v>43</v>
      </c>
      <c r="F90" s="4">
        <v>6</v>
      </c>
      <c r="G90" s="5">
        <f t="shared" si="8"/>
        <v>49</v>
      </c>
      <c r="H90" s="9">
        <f t="shared" si="9"/>
        <v>50</v>
      </c>
    </row>
    <row r="91" spans="1:8" x14ac:dyDescent="0.25">
      <c r="A91" s="14" t="s">
        <v>79</v>
      </c>
      <c r="B91" s="6">
        <v>21</v>
      </c>
      <c r="C91" s="4">
        <v>3</v>
      </c>
      <c r="D91" s="5">
        <f t="shared" si="7"/>
        <v>24</v>
      </c>
      <c r="E91" s="6">
        <v>25</v>
      </c>
      <c r="F91" s="4">
        <v>3</v>
      </c>
      <c r="G91" s="5">
        <f t="shared" si="8"/>
        <v>28</v>
      </c>
      <c r="H91" s="9">
        <f t="shared" si="9"/>
        <v>52</v>
      </c>
    </row>
    <row r="92" spans="1:8" x14ac:dyDescent="0.25">
      <c r="A92" s="14" t="s">
        <v>80</v>
      </c>
      <c r="B92" s="6">
        <v>98</v>
      </c>
      <c r="C92" s="4">
        <v>26</v>
      </c>
      <c r="D92" s="5">
        <f t="shared" si="7"/>
        <v>124</v>
      </c>
      <c r="E92" s="6">
        <v>68</v>
      </c>
      <c r="F92" s="4">
        <v>4</v>
      </c>
      <c r="G92" s="5">
        <f t="shared" si="8"/>
        <v>72</v>
      </c>
      <c r="H92" s="9">
        <f t="shared" si="9"/>
        <v>196</v>
      </c>
    </row>
    <row r="93" spans="1:8" x14ac:dyDescent="0.25">
      <c r="A93" s="14" t="s">
        <v>187</v>
      </c>
      <c r="B93" s="6">
        <v>8</v>
      </c>
      <c r="C93" s="4">
        <v>0</v>
      </c>
      <c r="D93" s="5">
        <f t="shared" si="7"/>
        <v>8</v>
      </c>
      <c r="E93" s="6">
        <v>712</v>
      </c>
      <c r="F93" s="4">
        <v>57</v>
      </c>
      <c r="G93" s="5">
        <f t="shared" si="8"/>
        <v>769</v>
      </c>
      <c r="H93" s="9">
        <f t="shared" si="9"/>
        <v>777</v>
      </c>
    </row>
    <row r="94" spans="1:8" x14ac:dyDescent="0.25">
      <c r="A94" s="14" t="s">
        <v>188</v>
      </c>
      <c r="B94" s="6">
        <v>0</v>
      </c>
      <c r="C94" s="4">
        <v>0</v>
      </c>
      <c r="D94" s="5">
        <f t="shared" si="7"/>
        <v>0</v>
      </c>
      <c r="E94" s="6">
        <v>407</v>
      </c>
      <c r="F94" s="4">
        <v>41</v>
      </c>
      <c r="G94" s="5">
        <f t="shared" si="8"/>
        <v>448</v>
      </c>
      <c r="H94" s="9">
        <f t="shared" si="9"/>
        <v>448</v>
      </c>
    </row>
    <row r="95" spans="1:8" ht="15.75" thickBot="1" x14ac:dyDescent="0.3">
      <c r="A95" s="15" t="s">
        <v>81</v>
      </c>
      <c r="B95" s="11">
        <v>18</v>
      </c>
      <c r="C95" s="12">
        <v>15</v>
      </c>
      <c r="D95" s="12">
        <f t="shared" si="7"/>
        <v>33</v>
      </c>
      <c r="E95" s="11">
        <v>349</v>
      </c>
      <c r="F95" s="12">
        <v>14</v>
      </c>
      <c r="G95" s="13">
        <f t="shared" si="8"/>
        <v>363</v>
      </c>
      <c r="H95" s="16">
        <f t="shared" si="9"/>
        <v>396</v>
      </c>
    </row>
    <row r="96" spans="1:8" ht="16.5" thickTop="1" thickBot="1" x14ac:dyDescent="0.3">
      <c r="A96" s="8" t="s">
        <v>0</v>
      </c>
      <c r="B96" s="7">
        <f t="shared" ref="B96:H96" si="13">SUM(B86:B95)</f>
        <v>197</v>
      </c>
      <c r="C96" s="7">
        <f t="shared" si="13"/>
        <v>71</v>
      </c>
      <c r="D96" s="7">
        <f t="shared" si="13"/>
        <v>268</v>
      </c>
      <c r="E96" s="7">
        <f t="shared" si="13"/>
        <v>2747</v>
      </c>
      <c r="F96" s="7">
        <f t="shared" si="13"/>
        <v>258</v>
      </c>
      <c r="G96" s="7">
        <f t="shared" si="13"/>
        <v>3005</v>
      </c>
      <c r="H96" s="7">
        <f t="shared" si="13"/>
        <v>3273</v>
      </c>
    </row>
  </sheetData>
  <mergeCells count="9">
    <mergeCell ref="A84:A85"/>
    <mergeCell ref="B84:D84"/>
    <mergeCell ref="E84:G84"/>
    <mergeCell ref="H84:H85"/>
    <mergeCell ref="A2:H2"/>
    <mergeCell ref="A5:A6"/>
    <mergeCell ref="B5:D5"/>
    <mergeCell ref="E5:G5"/>
    <mergeCell ref="H5:H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Layout" topLeftCell="A79" zoomScale="70" zoomScaleNormal="100" zoomScalePageLayoutView="70" workbookViewId="0">
      <selection activeCell="A101" sqref="A101:A103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2010-11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6</v>
      </c>
      <c r="B7" s="6">
        <v>1</v>
      </c>
      <c r="C7" s="4">
        <v>0</v>
      </c>
      <c r="D7" s="5">
        <f>SUM(B7:C7)</f>
        <v>1</v>
      </c>
      <c r="E7" s="6">
        <v>46</v>
      </c>
      <c r="F7" s="4">
        <v>4</v>
      </c>
      <c r="G7" s="5">
        <f>SUM(E7:F7)</f>
        <v>50</v>
      </c>
      <c r="H7" s="9">
        <f>D7+G7</f>
        <v>51</v>
      </c>
    </row>
    <row r="8" spans="1:8" x14ac:dyDescent="0.25">
      <c r="A8" s="14" t="s">
        <v>7</v>
      </c>
      <c r="B8" s="6">
        <v>10</v>
      </c>
      <c r="C8" s="4">
        <v>1</v>
      </c>
      <c r="D8" s="5">
        <f t="shared" ref="D8:D79" si="0">SUM(B8:C8)</f>
        <v>11</v>
      </c>
      <c r="E8" s="6">
        <v>98</v>
      </c>
      <c r="F8" s="4">
        <v>1</v>
      </c>
      <c r="G8" s="5">
        <f t="shared" ref="G8:G79" si="1">SUM(E8:F8)</f>
        <v>99</v>
      </c>
      <c r="H8" s="9">
        <f t="shared" ref="H8:H79" si="2">D8+G8</f>
        <v>110</v>
      </c>
    </row>
    <row r="9" spans="1:8" x14ac:dyDescent="0.25">
      <c r="A9" s="14" t="s">
        <v>8</v>
      </c>
      <c r="B9" s="6">
        <v>5</v>
      </c>
      <c r="C9" s="4">
        <v>7</v>
      </c>
      <c r="D9" s="5">
        <f t="shared" si="0"/>
        <v>12</v>
      </c>
      <c r="E9" s="6">
        <v>29</v>
      </c>
      <c r="F9" s="4">
        <v>3</v>
      </c>
      <c r="G9" s="5">
        <f t="shared" si="1"/>
        <v>32</v>
      </c>
      <c r="H9" s="9">
        <f t="shared" si="2"/>
        <v>44</v>
      </c>
    </row>
    <row r="10" spans="1:8" x14ac:dyDescent="0.25">
      <c r="A10" s="14" t="s">
        <v>148</v>
      </c>
      <c r="B10" s="6">
        <v>0</v>
      </c>
      <c r="C10" s="4">
        <v>1</v>
      </c>
      <c r="D10" s="5">
        <f t="shared" si="0"/>
        <v>1</v>
      </c>
      <c r="E10" s="6">
        <v>58</v>
      </c>
      <c r="F10" s="4">
        <v>6</v>
      </c>
      <c r="G10" s="5">
        <f t="shared" si="1"/>
        <v>64</v>
      </c>
      <c r="H10" s="9">
        <f t="shared" si="2"/>
        <v>65</v>
      </c>
    </row>
    <row r="11" spans="1:8" x14ac:dyDescent="0.25">
      <c r="A11" s="14" t="s">
        <v>149</v>
      </c>
      <c r="B11" s="6">
        <v>0</v>
      </c>
      <c r="C11" s="4">
        <v>0</v>
      </c>
      <c r="D11" s="5">
        <f t="shared" si="0"/>
        <v>0</v>
      </c>
      <c r="E11" s="6">
        <v>96</v>
      </c>
      <c r="F11" s="4">
        <v>30</v>
      </c>
      <c r="G11" s="5">
        <f t="shared" si="1"/>
        <v>126</v>
      </c>
      <c r="H11" s="9">
        <f t="shared" si="2"/>
        <v>126</v>
      </c>
    </row>
    <row r="12" spans="1:8" x14ac:dyDescent="0.25">
      <c r="A12" s="14" t="s">
        <v>150</v>
      </c>
      <c r="B12" s="6">
        <v>0</v>
      </c>
      <c r="C12" s="4">
        <v>0</v>
      </c>
      <c r="D12" s="5">
        <f t="shared" si="0"/>
        <v>0</v>
      </c>
      <c r="E12" s="6">
        <v>77</v>
      </c>
      <c r="F12" s="4">
        <v>6</v>
      </c>
      <c r="G12" s="5">
        <f t="shared" si="1"/>
        <v>83</v>
      </c>
      <c r="H12" s="9">
        <f t="shared" si="2"/>
        <v>83</v>
      </c>
    </row>
    <row r="13" spans="1:8" x14ac:dyDescent="0.25">
      <c r="A13" s="14" t="s">
        <v>100</v>
      </c>
      <c r="B13" s="6">
        <v>0</v>
      </c>
      <c r="C13" s="4">
        <v>1</v>
      </c>
      <c r="D13" s="5">
        <f t="shared" si="0"/>
        <v>1</v>
      </c>
      <c r="E13" s="6">
        <v>0</v>
      </c>
      <c r="F13" s="4">
        <v>0</v>
      </c>
      <c r="G13" s="5">
        <f t="shared" si="1"/>
        <v>0</v>
      </c>
      <c r="H13" s="9">
        <f t="shared" si="2"/>
        <v>1</v>
      </c>
    </row>
    <row r="14" spans="1:8" x14ac:dyDescent="0.25">
      <c r="A14" s="14" t="s">
        <v>160</v>
      </c>
      <c r="B14" s="6">
        <v>23</v>
      </c>
      <c r="C14" s="4">
        <v>6</v>
      </c>
      <c r="D14" s="5">
        <f t="shared" si="0"/>
        <v>29</v>
      </c>
      <c r="E14" s="6">
        <v>10</v>
      </c>
      <c r="F14" s="4">
        <v>3</v>
      </c>
      <c r="G14" s="5">
        <f t="shared" si="1"/>
        <v>13</v>
      </c>
      <c r="H14" s="9">
        <f t="shared" si="2"/>
        <v>42</v>
      </c>
    </row>
    <row r="15" spans="1:8" x14ac:dyDescent="0.25">
      <c r="A15" s="14" t="s">
        <v>156</v>
      </c>
      <c r="B15" s="6">
        <v>0</v>
      </c>
      <c r="C15" s="4">
        <v>0</v>
      </c>
      <c r="D15" s="5">
        <f t="shared" si="0"/>
        <v>0</v>
      </c>
      <c r="E15" s="6">
        <v>0</v>
      </c>
      <c r="F15" s="4">
        <v>1</v>
      </c>
      <c r="G15" s="5">
        <f t="shared" si="1"/>
        <v>1</v>
      </c>
      <c r="H15" s="9">
        <f t="shared" si="2"/>
        <v>1</v>
      </c>
    </row>
    <row r="16" spans="1:8" x14ac:dyDescent="0.25">
      <c r="A16" s="14" t="s">
        <v>130</v>
      </c>
      <c r="B16" s="6">
        <v>0</v>
      </c>
      <c r="C16" s="4">
        <v>0</v>
      </c>
      <c r="D16" s="5">
        <f t="shared" si="0"/>
        <v>0</v>
      </c>
      <c r="E16" s="6">
        <v>11</v>
      </c>
      <c r="F16" s="4">
        <v>0</v>
      </c>
      <c r="G16" s="5">
        <f t="shared" si="1"/>
        <v>11</v>
      </c>
      <c r="H16" s="9">
        <f t="shared" si="2"/>
        <v>11</v>
      </c>
    </row>
    <row r="17" spans="1:8" x14ac:dyDescent="0.25">
      <c r="A17" s="14" t="s">
        <v>151</v>
      </c>
      <c r="B17" s="6">
        <v>0</v>
      </c>
      <c r="C17" s="4">
        <v>0</v>
      </c>
      <c r="D17" s="5">
        <f t="shared" si="0"/>
        <v>0</v>
      </c>
      <c r="E17" s="6">
        <v>32</v>
      </c>
      <c r="F17" s="4">
        <v>1</v>
      </c>
      <c r="G17" s="5">
        <f t="shared" si="1"/>
        <v>33</v>
      </c>
      <c r="H17" s="9">
        <f t="shared" si="2"/>
        <v>33</v>
      </c>
    </row>
    <row r="18" spans="1:8" x14ac:dyDescent="0.25">
      <c r="A18" s="14" t="s">
        <v>152</v>
      </c>
      <c r="B18" s="6">
        <v>0</v>
      </c>
      <c r="C18" s="4">
        <v>0</v>
      </c>
      <c r="D18" s="5">
        <f t="shared" si="0"/>
        <v>0</v>
      </c>
      <c r="E18" s="6">
        <v>0</v>
      </c>
      <c r="F18" s="4">
        <v>0</v>
      </c>
      <c r="G18" s="5">
        <f t="shared" si="1"/>
        <v>0</v>
      </c>
      <c r="H18" s="9">
        <f t="shared" si="2"/>
        <v>0</v>
      </c>
    </row>
    <row r="19" spans="1:8" x14ac:dyDescent="0.25">
      <c r="A19" s="14" t="s">
        <v>135</v>
      </c>
      <c r="B19" s="6">
        <v>0</v>
      </c>
      <c r="C19" s="4">
        <v>0</v>
      </c>
      <c r="D19" s="5">
        <f t="shared" si="0"/>
        <v>0</v>
      </c>
      <c r="E19" s="6">
        <v>71</v>
      </c>
      <c r="F19" s="4">
        <v>18</v>
      </c>
      <c r="G19" s="5">
        <f t="shared" si="1"/>
        <v>89</v>
      </c>
      <c r="H19" s="9">
        <f t="shared" si="2"/>
        <v>89</v>
      </c>
    </row>
    <row r="20" spans="1:8" x14ac:dyDescent="0.25">
      <c r="A20" s="14" t="s">
        <v>101</v>
      </c>
      <c r="B20" s="6">
        <v>0</v>
      </c>
      <c r="C20" s="4">
        <v>5</v>
      </c>
      <c r="D20" s="5">
        <f t="shared" si="0"/>
        <v>5</v>
      </c>
      <c r="E20" s="6">
        <v>5</v>
      </c>
      <c r="F20" s="4">
        <v>0</v>
      </c>
      <c r="G20" s="5">
        <f t="shared" si="1"/>
        <v>5</v>
      </c>
      <c r="H20" s="9">
        <f t="shared" si="2"/>
        <v>10</v>
      </c>
    </row>
    <row r="21" spans="1:8" x14ac:dyDescent="0.25">
      <c r="A21" s="14" t="s">
        <v>12</v>
      </c>
      <c r="B21" s="6">
        <v>4</v>
      </c>
      <c r="C21" s="4">
        <v>0</v>
      </c>
      <c r="D21" s="5">
        <f t="shared" si="0"/>
        <v>4</v>
      </c>
      <c r="E21" s="6">
        <v>2</v>
      </c>
      <c r="F21" s="4">
        <v>0</v>
      </c>
      <c r="G21" s="5">
        <f t="shared" si="1"/>
        <v>2</v>
      </c>
      <c r="H21" s="9">
        <f t="shared" si="2"/>
        <v>6</v>
      </c>
    </row>
    <row r="22" spans="1:8" x14ac:dyDescent="0.25">
      <c r="A22" s="14" t="s">
        <v>157</v>
      </c>
      <c r="B22" s="6">
        <v>4</v>
      </c>
      <c r="C22" s="4">
        <v>2</v>
      </c>
      <c r="D22" s="5">
        <f t="shared" si="0"/>
        <v>6</v>
      </c>
      <c r="E22" s="6">
        <v>17</v>
      </c>
      <c r="F22" s="4">
        <v>3</v>
      </c>
      <c r="G22" s="5">
        <f t="shared" si="1"/>
        <v>20</v>
      </c>
      <c r="H22" s="9">
        <f t="shared" si="2"/>
        <v>26</v>
      </c>
    </row>
    <row r="23" spans="1:8" x14ac:dyDescent="0.25">
      <c r="A23" s="14" t="s">
        <v>14</v>
      </c>
      <c r="B23" s="6">
        <v>5</v>
      </c>
      <c r="C23" s="4">
        <v>1</v>
      </c>
      <c r="D23" s="5">
        <f t="shared" si="0"/>
        <v>6</v>
      </c>
      <c r="E23" s="6">
        <v>18</v>
      </c>
      <c r="F23" s="4">
        <v>2</v>
      </c>
      <c r="G23" s="5">
        <f t="shared" si="1"/>
        <v>20</v>
      </c>
      <c r="H23" s="9">
        <f t="shared" si="2"/>
        <v>26</v>
      </c>
    </row>
    <row r="24" spans="1:8" x14ac:dyDescent="0.25">
      <c r="A24" s="14" t="s">
        <v>15</v>
      </c>
      <c r="B24" s="6">
        <v>0</v>
      </c>
      <c r="C24" s="4">
        <v>0</v>
      </c>
      <c r="D24" s="5">
        <f t="shared" si="0"/>
        <v>0</v>
      </c>
      <c r="E24" s="6">
        <v>24</v>
      </c>
      <c r="F24" s="4">
        <v>2</v>
      </c>
      <c r="G24" s="5">
        <f t="shared" si="1"/>
        <v>26</v>
      </c>
      <c r="H24" s="9">
        <f t="shared" si="2"/>
        <v>26</v>
      </c>
    </row>
    <row r="25" spans="1:8" x14ac:dyDescent="0.25">
      <c r="A25" s="14" t="s">
        <v>16</v>
      </c>
      <c r="B25" s="6">
        <v>1</v>
      </c>
      <c r="C25" s="4">
        <v>0</v>
      </c>
      <c r="D25" s="5">
        <f t="shared" si="0"/>
        <v>1</v>
      </c>
      <c r="E25" s="6">
        <v>2</v>
      </c>
      <c r="F25" s="4">
        <v>0</v>
      </c>
      <c r="G25" s="5">
        <f t="shared" si="1"/>
        <v>2</v>
      </c>
      <c r="H25" s="9">
        <f t="shared" si="2"/>
        <v>3</v>
      </c>
    </row>
    <row r="26" spans="1:8" x14ac:dyDescent="0.25">
      <c r="A26" s="14" t="s">
        <v>126</v>
      </c>
      <c r="B26" s="6">
        <v>3</v>
      </c>
      <c r="C26" s="4">
        <v>0</v>
      </c>
      <c r="D26" s="5">
        <f t="shared" si="0"/>
        <v>3</v>
      </c>
      <c r="E26" s="6">
        <v>22</v>
      </c>
      <c r="F26" s="4">
        <v>0</v>
      </c>
      <c r="G26" s="5">
        <f t="shared" si="1"/>
        <v>22</v>
      </c>
      <c r="H26" s="9">
        <f t="shared" si="2"/>
        <v>25</v>
      </c>
    </row>
    <row r="27" spans="1:8" x14ac:dyDescent="0.25">
      <c r="A27" s="14" t="s">
        <v>17</v>
      </c>
      <c r="B27" s="6">
        <v>5</v>
      </c>
      <c r="C27" s="4">
        <v>5</v>
      </c>
      <c r="D27" s="5">
        <f t="shared" si="0"/>
        <v>10</v>
      </c>
      <c r="E27" s="6">
        <v>11</v>
      </c>
      <c r="F27" s="4">
        <v>5</v>
      </c>
      <c r="G27" s="5">
        <f t="shared" si="1"/>
        <v>16</v>
      </c>
      <c r="H27" s="9">
        <f t="shared" si="2"/>
        <v>26</v>
      </c>
    </row>
    <row r="28" spans="1:8" x14ac:dyDescent="0.25">
      <c r="A28" s="14" t="s">
        <v>18</v>
      </c>
      <c r="B28" s="6">
        <v>0</v>
      </c>
      <c r="C28" s="4">
        <v>1</v>
      </c>
      <c r="D28" s="5">
        <f t="shared" si="0"/>
        <v>1</v>
      </c>
      <c r="E28" s="6">
        <v>50</v>
      </c>
      <c r="F28" s="4">
        <v>17</v>
      </c>
      <c r="G28" s="5">
        <f t="shared" si="1"/>
        <v>67</v>
      </c>
      <c r="H28" s="9">
        <f t="shared" si="2"/>
        <v>68</v>
      </c>
    </row>
    <row r="29" spans="1:8" x14ac:dyDescent="0.25">
      <c r="A29" s="14" t="s">
        <v>178</v>
      </c>
      <c r="B29" s="6">
        <v>0</v>
      </c>
      <c r="C29" s="4">
        <v>0</v>
      </c>
      <c r="D29" s="5">
        <f t="shared" si="0"/>
        <v>0</v>
      </c>
      <c r="E29" s="6">
        <v>0</v>
      </c>
      <c r="F29" s="4">
        <v>3</v>
      </c>
      <c r="G29" s="5">
        <f t="shared" si="1"/>
        <v>3</v>
      </c>
      <c r="H29" s="9">
        <f t="shared" si="2"/>
        <v>3</v>
      </c>
    </row>
    <row r="30" spans="1:8" x14ac:dyDescent="0.25">
      <c r="A30" s="14" t="s">
        <v>179</v>
      </c>
      <c r="B30" s="6">
        <v>0</v>
      </c>
      <c r="C30" s="4">
        <v>0</v>
      </c>
      <c r="D30" s="5">
        <f t="shared" si="0"/>
        <v>0</v>
      </c>
      <c r="E30" s="6">
        <v>1</v>
      </c>
      <c r="F30" s="4">
        <v>0</v>
      </c>
      <c r="G30" s="5">
        <f t="shared" si="1"/>
        <v>1</v>
      </c>
      <c r="H30" s="9">
        <f t="shared" si="2"/>
        <v>1</v>
      </c>
    </row>
    <row r="31" spans="1:8" x14ac:dyDescent="0.25">
      <c r="A31" s="14" t="s">
        <v>19</v>
      </c>
      <c r="B31" s="6">
        <v>0</v>
      </c>
      <c r="C31" s="4">
        <v>0</v>
      </c>
      <c r="D31" s="5">
        <f t="shared" si="0"/>
        <v>0</v>
      </c>
      <c r="E31" s="6">
        <v>13</v>
      </c>
      <c r="F31" s="4">
        <v>0</v>
      </c>
      <c r="G31" s="5">
        <f t="shared" si="1"/>
        <v>13</v>
      </c>
      <c r="H31" s="9">
        <f t="shared" si="2"/>
        <v>13</v>
      </c>
    </row>
    <row r="32" spans="1:8" x14ac:dyDescent="0.25">
      <c r="A32" s="14" t="s">
        <v>173</v>
      </c>
      <c r="B32" s="6">
        <v>0</v>
      </c>
      <c r="C32" s="4">
        <v>0</v>
      </c>
      <c r="D32" s="5">
        <f t="shared" si="0"/>
        <v>0</v>
      </c>
      <c r="E32" s="6">
        <v>0</v>
      </c>
      <c r="F32" s="4">
        <v>0</v>
      </c>
      <c r="G32" s="5">
        <f t="shared" si="1"/>
        <v>0</v>
      </c>
      <c r="H32" s="9">
        <f t="shared" si="2"/>
        <v>0</v>
      </c>
    </row>
    <row r="33" spans="1:8" x14ac:dyDescent="0.25">
      <c r="A33" s="14" t="s">
        <v>131</v>
      </c>
      <c r="B33" s="6">
        <v>0</v>
      </c>
      <c r="C33" s="4">
        <v>0</v>
      </c>
      <c r="D33" s="5">
        <f t="shared" si="0"/>
        <v>0</v>
      </c>
      <c r="E33" s="6">
        <v>0</v>
      </c>
      <c r="F33" s="4">
        <v>0</v>
      </c>
      <c r="G33" s="5">
        <f t="shared" si="1"/>
        <v>0</v>
      </c>
      <c r="H33" s="9">
        <f t="shared" si="2"/>
        <v>0</v>
      </c>
    </row>
    <row r="34" spans="1:8" x14ac:dyDescent="0.25">
      <c r="A34" s="14" t="s">
        <v>20</v>
      </c>
      <c r="B34" s="6">
        <v>0</v>
      </c>
      <c r="C34" s="4">
        <v>0</v>
      </c>
      <c r="D34" s="5">
        <f t="shared" si="0"/>
        <v>0</v>
      </c>
      <c r="E34" s="6">
        <v>9</v>
      </c>
      <c r="F34" s="4">
        <v>0</v>
      </c>
      <c r="G34" s="5">
        <f t="shared" si="1"/>
        <v>9</v>
      </c>
      <c r="H34" s="9">
        <f t="shared" si="2"/>
        <v>9</v>
      </c>
    </row>
    <row r="35" spans="1:8" x14ac:dyDescent="0.25">
      <c r="A35" s="14" t="s">
        <v>21</v>
      </c>
      <c r="B35" s="6">
        <v>1</v>
      </c>
      <c r="C35" s="4">
        <v>0</v>
      </c>
      <c r="D35" s="5">
        <f t="shared" si="0"/>
        <v>1</v>
      </c>
      <c r="E35" s="6">
        <v>5</v>
      </c>
      <c r="F35" s="4">
        <v>0</v>
      </c>
      <c r="G35" s="5">
        <f t="shared" si="1"/>
        <v>5</v>
      </c>
      <c r="H35" s="9">
        <f t="shared" si="2"/>
        <v>6</v>
      </c>
    </row>
    <row r="36" spans="1:8" x14ac:dyDescent="0.25">
      <c r="A36" s="14" t="s">
        <v>102</v>
      </c>
      <c r="B36" s="6">
        <v>0</v>
      </c>
      <c r="C36" s="4">
        <v>0</v>
      </c>
      <c r="D36" s="5">
        <f t="shared" si="0"/>
        <v>0</v>
      </c>
      <c r="E36" s="6">
        <v>0</v>
      </c>
      <c r="F36" s="4">
        <v>0</v>
      </c>
      <c r="G36" s="5">
        <f t="shared" si="1"/>
        <v>0</v>
      </c>
      <c r="H36" s="9">
        <f t="shared" si="2"/>
        <v>0</v>
      </c>
    </row>
    <row r="37" spans="1:8" x14ac:dyDescent="0.25">
      <c r="A37" s="14" t="s">
        <v>22</v>
      </c>
      <c r="B37" s="6">
        <v>6</v>
      </c>
      <c r="C37" s="4">
        <v>2</v>
      </c>
      <c r="D37" s="5">
        <f t="shared" si="0"/>
        <v>8</v>
      </c>
      <c r="E37" s="6">
        <v>31</v>
      </c>
      <c r="F37" s="4">
        <v>3</v>
      </c>
      <c r="G37" s="5">
        <f t="shared" si="1"/>
        <v>34</v>
      </c>
      <c r="H37" s="9">
        <f t="shared" si="2"/>
        <v>42</v>
      </c>
    </row>
    <row r="38" spans="1:8" x14ac:dyDescent="0.25">
      <c r="A38" s="14" t="s">
        <v>24</v>
      </c>
      <c r="B38" s="6">
        <v>0</v>
      </c>
      <c r="C38" s="4">
        <v>0</v>
      </c>
      <c r="D38" s="5">
        <f t="shared" si="0"/>
        <v>0</v>
      </c>
      <c r="E38" s="6">
        <v>6</v>
      </c>
      <c r="F38" s="4">
        <v>0</v>
      </c>
      <c r="G38" s="5">
        <f t="shared" si="1"/>
        <v>6</v>
      </c>
      <c r="H38" s="9">
        <f t="shared" si="2"/>
        <v>6</v>
      </c>
    </row>
    <row r="39" spans="1:8" x14ac:dyDescent="0.25">
      <c r="A39" s="14" t="s">
        <v>71</v>
      </c>
      <c r="B39" s="6">
        <v>6</v>
      </c>
      <c r="C39" s="4">
        <v>0</v>
      </c>
      <c r="D39" s="5">
        <f t="shared" si="0"/>
        <v>6</v>
      </c>
      <c r="E39" s="6">
        <v>12</v>
      </c>
      <c r="F39" s="4">
        <v>0</v>
      </c>
      <c r="G39" s="5">
        <f t="shared" si="1"/>
        <v>12</v>
      </c>
      <c r="H39" s="9">
        <f t="shared" si="2"/>
        <v>18</v>
      </c>
    </row>
    <row r="40" spans="1:8" x14ac:dyDescent="0.25">
      <c r="A40" s="14" t="s">
        <v>72</v>
      </c>
      <c r="B40" s="6">
        <v>8</v>
      </c>
      <c r="C40" s="4">
        <v>0</v>
      </c>
      <c r="D40" s="5">
        <f t="shared" si="0"/>
        <v>8</v>
      </c>
      <c r="E40" s="6">
        <v>8</v>
      </c>
      <c r="F40" s="4">
        <v>2</v>
      </c>
      <c r="G40" s="5">
        <f t="shared" si="1"/>
        <v>10</v>
      </c>
      <c r="H40" s="9">
        <f t="shared" si="2"/>
        <v>18</v>
      </c>
    </row>
    <row r="41" spans="1:8" x14ac:dyDescent="0.25">
      <c r="A41" s="14" t="s">
        <v>26</v>
      </c>
      <c r="B41" s="6">
        <v>2</v>
      </c>
      <c r="C41" s="4">
        <v>0</v>
      </c>
      <c r="D41" s="5">
        <f t="shared" si="0"/>
        <v>2</v>
      </c>
      <c r="E41" s="6">
        <v>22</v>
      </c>
      <c r="F41" s="4">
        <v>0</v>
      </c>
      <c r="G41" s="5">
        <f t="shared" si="1"/>
        <v>22</v>
      </c>
      <c r="H41" s="9">
        <f t="shared" si="2"/>
        <v>24</v>
      </c>
    </row>
    <row r="42" spans="1:8" x14ac:dyDescent="0.25">
      <c r="A42" s="14" t="s">
        <v>73</v>
      </c>
      <c r="B42" s="6">
        <v>2</v>
      </c>
      <c r="C42" s="4">
        <v>0</v>
      </c>
      <c r="D42" s="5">
        <f t="shared" si="0"/>
        <v>2</v>
      </c>
      <c r="E42" s="6">
        <v>15</v>
      </c>
      <c r="F42" s="4">
        <v>1</v>
      </c>
      <c r="G42" s="5">
        <f t="shared" si="1"/>
        <v>16</v>
      </c>
      <c r="H42" s="9">
        <f t="shared" si="2"/>
        <v>18</v>
      </c>
    </row>
    <row r="43" spans="1:8" x14ac:dyDescent="0.25">
      <c r="A43" s="14" t="s">
        <v>161</v>
      </c>
      <c r="B43" s="6">
        <v>0</v>
      </c>
      <c r="C43" s="4">
        <v>0</v>
      </c>
      <c r="D43" s="5">
        <f t="shared" si="0"/>
        <v>0</v>
      </c>
      <c r="E43" s="6">
        <v>4</v>
      </c>
      <c r="F43" s="4">
        <v>0</v>
      </c>
      <c r="G43" s="5">
        <f t="shared" si="1"/>
        <v>4</v>
      </c>
      <c r="H43" s="9">
        <f t="shared" si="2"/>
        <v>4</v>
      </c>
    </row>
    <row r="44" spans="1:8" x14ac:dyDescent="0.25">
      <c r="A44" s="14" t="s">
        <v>174</v>
      </c>
      <c r="B44" s="6">
        <v>0</v>
      </c>
      <c r="C44" s="4">
        <v>0</v>
      </c>
      <c r="D44" s="5">
        <f t="shared" si="0"/>
        <v>0</v>
      </c>
      <c r="E44" s="6">
        <v>104</v>
      </c>
      <c r="F44" s="4">
        <v>1</v>
      </c>
      <c r="G44" s="5">
        <f t="shared" si="1"/>
        <v>105</v>
      </c>
      <c r="H44" s="9">
        <f t="shared" si="2"/>
        <v>105</v>
      </c>
    </row>
    <row r="45" spans="1:8" x14ac:dyDescent="0.25">
      <c r="A45" s="14" t="s">
        <v>28</v>
      </c>
      <c r="B45" s="6">
        <v>0</v>
      </c>
      <c r="C45" s="4">
        <v>0</v>
      </c>
      <c r="D45" s="5">
        <f t="shared" si="0"/>
        <v>0</v>
      </c>
      <c r="E45" s="6">
        <v>2</v>
      </c>
      <c r="F45" s="4">
        <v>0</v>
      </c>
      <c r="G45" s="5">
        <f t="shared" si="1"/>
        <v>2</v>
      </c>
      <c r="H45" s="9">
        <f t="shared" si="2"/>
        <v>2</v>
      </c>
    </row>
    <row r="46" spans="1:8" x14ac:dyDescent="0.25">
      <c r="A46" s="14" t="s">
        <v>133</v>
      </c>
      <c r="B46" s="6">
        <v>0</v>
      </c>
      <c r="C46" s="4">
        <v>0</v>
      </c>
      <c r="D46" s="5">
        <f t="shared" si="0"/>
        <v>0</v>
      </c>
      <c r="E46" s="6">
        <v>0</v>
      </c>
      <c r="F46" s="4">
        <v>0</v>
      </c>
      <c r="G46" s="5">
        <f t="shared" si="1"/>
        <v>0</v>
      </c>
      <c r="H46" s="9">
        <f t="shared" si="2"/>
        <v>0</v>
      </c>
    </row>
    <row r="47" spans="1:8" x14ac:dyDescent="0.25">
      <c r="A47" s="14" t="s">
        <v>1</v>
      </c>
      <c r="B47" s="6">
        <v>2</v>
      </c>
      <c r="C47" s="4">
        <v>0</v>
      </c>
      <c r="D47" s="5">
        <f t="shared" si="0"/>
        <v>2</v>
      </c>
      <c r="E47" s="6">
        <v>40</v>
      </c>
      <c r="F47" s="4">
        <v>6</v>
      </c>
      <c r="G47" s="5">
        <f t="shared" si="1"/>
        <v>46</v>
      </c>
      <c r="H47" s="9">
        <f t="shared" si="2"/>
        <v>48</v>
      </c>
    </row>
    <row r="48" spans="1:8" x14ac:dyDescent="0.25">
      <c r="A48" s="14" t="s">
        <v>162</v>
      </c>
      <c r="B48" s="6">
        <v>0</v>
      </c>
      <c r="C48" s="4">
        <v>0</v>
      </c>
      <c r="D48" s="5">
        <f t="shared" si="0"/>
        <v>0</v>
      </c>
      <c r="E48" s="6">
        <v>0</v>
      </c>
      <c r="F48" s="4">
        <v>0</v>
      </c>
      <c r="G48" s="5">
        <f t="shared" si="1"/>
        <v>0</v>
      </c>
      <c r="H48" s="9">
        <f t="shared" si="2"/>
        <v>0</v>
      </c>
    </row>
    <row r="49" spans="1:8" x14ac:dyDescent="0.25">
      <c r="A49" s="14" t="s">
        <v>158</v>
      </c>
      <c r="B49" s="6">
        <v>1</v>
      </c>
      <c r="C49" s="4">
        <v>1</v>
      </c>
      <c r="D49" s="5">
        <f t="shared" si="0"/>
        <v>2</v>
      </c>
      <c r="E49" s="6">
        <v>9</v>
      </c>
      <c r="F49" s="4">
        <v>1</v>
      </c>
      <c r="G49" s="5">
        <f t="shared" si="1"/>
        <v>10</v>
      </c>
      <c r="H49" s="9">
        <f t="shared" si="2"/>
        <v>12</v>
      </c>
    </row>
    <row r="50" spans="1:8" x14ac:dyDescent="0.25">
      <c r="A50" s="14" t="s">
        <v>30</v>
      </c>
      <c r="B50" s="6">
        <v>13</v>
      </c>
      <c r="C50" s="4">
        <v>14</v>
      </c>
      <c r="D50" s="5">
        <f t="shared" si="0"/>
        <v>27</v>
      </c>
      <c r="E50" s="6">
        <v>1</v>
      </c>
      <c r="F50" s="4">
        <v>0</v>
      </c>
      <c r="G50" s="5">
        <f t="shared" si="1"/>
        <v>1</v>
      </c>
      <c r="H50" s="9">
        <f t="shared" si="2"/>
        <v>28</v>
      </c>
    </row>
    <row r="51" spans="1:8" x14ac:dyDescent="0.25">
      <c r="A51" s="14" t="s">
        <v>31</v>
      </c>
      <c r="B51" s="6">
        <v>5</v>
      </c>
      <c r="C51" s="4">
        <v>10</v>
      </c>
      <c r="D51" s="5">
        <f t="shared" si="0"/>
        <v>15</v>
      </c>
      <c r="E51" s="6">
        <v>24</v>
      </c>
      <c r="F51" s="4">
        <v>6</v>
      </c>
      <c r="G51" s="5">
        <f t="shared" si="1"/>
        <v>30</v>
      </c>
      <c r="H51" s="9">
        <f t="shared" si="2"/>
        <v>45</v>
      </c>
    </row>
    <row r="52" spans="1:8" x14ac:dyDescent="0.25">
      <c r="A52" s="14" t="s">
        <v>32</v>
      </c>
      <c r="B52" s="6">
        <v>0</v>
      </c>
      <c r="C52" s="4">
        <v>0</v>
      </c>
      <c r="D52" s="5">
        <f t="shared" si="0"/>
        <v>0</v>
      </c>
      <c r="E52" s="6">
        <v>45</v>
      </c>
      <c r="F52" s="4">
        <v>3</v>
      </c>
      <c r="G52" s="5">
        <f t="shared" si="1"/>
        <v>48</v>
      </c>
      <c r="H52" s="9">
        <f t="shared" si="2"/>
        <v>48</v>
      </c>
    </row>
    <row r="53" spans="1:8" x14ac:dyDescent="0.25">
      <c r="A53" s="14" t="s">
        <v>163</v>
      </c>
      <c r="B53" s="6">
        <v>0</v>
      </c>
      <c r="C53" s="4">
        <v>0</v>
      </c>
      <c r="D53" s="5">
        <f t="shared" si="0"/>
        <v>0</v>
      </c>
      <c r="E53" s="6">
        <v>0</v>
      </c>
      <c r="F53" s="4">
        <v>1</v>
      </c>
      <c r="G53" s="5">
        <f t="shared" si="1"/>
        <v>1</v>
      </c>
      <c r="H53" s="9">
        <f t="shared" si="2"/>
        <v>1</v>
      </c>
    </row>
    <row r="54" spans="1:8" x14ac:dyDescent="0.25">
      <c r="A54" s="14" t="s">
        <v>159</v>
      </c>
      <c r="B54" s="6">
        <v>8</v>
      </c>
      <c r="C54" s="4">
        <v>0</v>
      </c>
      <c r="D54" s="5">
        <f t="shared" si="0"/>
        <v>8</v>
      </c>
      <c r="E54" s="6">
        <v>0</v>
      </c>
      <c r="F54" s="4">
        <v>0</v>
      </c>
      <c r="G54" s="5">
        <f t="shared" si="1"/>
        <v>0</v>
      </c>
      <c r="H54" s="9">
        <f t="shared" si="2"/>
        <v>8</v>
      </c>
    </row>
    <row r="55" spans="1:8" x14ac:dyDescent="0.25">
      <c r="A55" s="14" t="s">
        <v>35</v>
      </c>
      <c r="B55" s="6">
        <v>0</v>
      </c>
      <c r="C55" s="4">
        <v>1</v>
      </c>
      <c r="D55" s="5">
        <f t="shared" si="0"/>
        <v>1</v>
      </c>
      <c r="E55" s="6">
        <v>13</v>
      </c>
      <c r="F55" s="4">
        <v>0</v>
      </c>
      <c r="G55" s="5">
        <f t="shared" si="1"/>
        <v>13</v>
      </c>
      <c r="H55" s="9">
        <f t="shared" si="2"/>
        <v>14</v>
      </c>
    </row>
    <row r="56" spans="1:8" x14ac:dyDescent="0.25">
      <c r="A56" s="14" t="s">
        <v>38</v>
      </c>
      <c r="B56" s="6">
        <v>67</v>
      </c>
      <c r="C56" s="4">
        <v>2</v>
      </c>
      <c r="D56" s="5">
        <f t="shared" si="0"/>
        <v>69</v>
      </c>
      <c r="E56" s="6">
        <v>2</v>
      </c>
      <c r="F56" s="4">
        <v>0</v>
      </c>
      <c r="G56" s="5">
        <f t="shared" si="1"/>
        <v>2</v>
      </c>
      <c r="H56" s="9">
        <f t="shared" si="2"/>
        <v>71</v>
      </c>
    </row>
    <row r="57" spans="1:8" x14ac:dyDescent="0.25">
      <c r="A57" s="14" t="s">
        <v>141</v>
      </c>
      <c r="B57" s="6">
        <v>0</v>
      </c>
      <c r="C57" s="4">
        <v>0</v>
      </c>
      <c r="D57" s="5">
        <f t="shared" si="0"/>
        <v>0</v>
      </c>
      <c r="E57" s="6">
        <v>46</v>
      </c>
      <c r="F57" s="4">
        <v>4</v>
      </c>
      <c r="G57" s="5">
        <f t="shared" si="1"/>
        <v>50</v>
      </c>
      <c r="H57" s="9">
        <f t="shared" si="2"/>
        <v>50</v>
      </c>
    </row>
    <row r="58" spans="1:8" x14ac:dyDescent="0.25">
      <c r="A58" s="14" t="s">
        <v>164</v>
      </c>
      <c r="B58" s="6">
        <v>8</v>
      </c>
      <c r="C58" s="4">
        <v>3</v>
      </c>
      <c r="D58" s="5">
        <f t="shared" si="0"/>
        <v>11</v>
      </c>
      <c r="E58" s="6">
        <v>189</v>
      </c>
      <c r="F58" s="4">
        <v>15</v>
      </c>
      <c r="G58" s="5">
        <f t="shared" si="1"/>
        <v>204</v>
      </c>
      <c r="H58" s="9">
        <f t="shared" si="2"/>
        <v>215</v>
      </c>
    </row>
    <row r="59" spans="1:8" x14ac:dyDescent="0.25">
      <c r="A59" s="14" t="s">
        <v>41</v>
      </c>
      <c r="B59" s="6">
        <v>0</v>
      </c>
      <c r="C59" s="4">
        <v>1</v>
      </c>
      <c r="D59" s="5">
        <f t="shared" si="0"/>
        <v>1</v>
      </c>
      <c r="E59" s="6">
        <v>3</v>
      </c>
      <c r="F59" s="4">
        <v>0</v>
      </c>
      <c r="G59" s="5">
        <f t="shared" si="1"/>
        <v>3</v>
      </c>
      <c r="H59" s="9">
        <f t="shared" si="2"/>
        <v>4</v>
      </c>
    </row>
    <row r="60" spans="1:8" x14ac:dyDescent="0.25">
      <c r="A60" s="14" t="s">
        <v>175</v>
      </c>
      <c r="B60" s="6">
        <v>0</v>
      </c>
      <c r="C60" s="4">
        <v>0</v>
      </c>
      <c r="D60" s="5">
        <f t="shared" si="0"/>
        <v>0</v>
      </c>
      <c r="E60" s="6">
        <v>69</v>
      </c>
      <c r="F60" s="4">
        <v>0</v>
      </c>
      <c r="G60" s="5">
        <f t="shared" si="1"/>
        <v>69</v>
      </c>
      <c r="H60" s="9">
        <f t="shared" si="2"/>
        <v>69</v>
      </c>
    </row>
    <row r="61" spans="1:8" x14ac:dyDescent="0.25">
      <c r="A61" s="14" t="s">
        <v>121</v>
      </c>
      <c r="B61" s="6">
        <v>11</v>
      </c>
      <c r="C61" s="4">
        <v>3</v>
      </c>
      <c r="D61" s="5">
        <f t="shared" si="0"/>
        <v>14</v>
      </c>
      <c r="E61" s="6">
        <v>40</v>
      </c>
      <c r="F61" s="4">
        <v>2</v>
      </c>
      <c r="G61" s="5">
        <f t="shared" si="1"/>
        <v>42</v>
      </c>
      <c r="H61" s="9">
        <f t="shared" si="2"/>
        <v>56</v>
      </c>
    </row>
    <row r="62" spans="1:8" x14ac:dyDescent="0.25">
      <c r="A62" s="14" t="s">
        <v>42</v>
      </c>
      <c r="B62" s="6">
        <v>3</v>
      </c>
      <c r="C62" s="4">
        <v>0</v>
      </c>
      <c r="D62" s="5">
        <f t="shared" si="0"/>
        <v>3</v>
      </c>
      <c r="E62" s="6">
        <v>4</v>
      </c>
      <c r="F62" s="4">
        <v>0</v>
      </c>
      <c r="G62" s="5">
        <f t="shared" si="1"/>
        <v>4</v>
      </c>
      <c r="H62" s="9">
        <f t="shared" si="2"/>
        <v>7</v>
      </c>
    </row>
    <row r="63" spans="1:8" x14ac:dyDescent="0.25">
      <c r="A63" s="14" t="s">
        <v>43</v>
      </c>
      <c r="B63" s="6">
        <v>0</v>
      </c>
      <c r="C63" s="4">
        <v>0</v>
      </c>
      <c r="D63" s="5">
        <f t="shared" si="0"/>
        <v>0</v>
      </c>
      <c r="E63" s="6">
        <v>39</v>
      </c>
      <c r="F63" s="4">
        <v>4</v>
      </c>
      <c r="G63" s="5">
        <f t="shared" si="1"/>
        <v>43</v>
      </c>
      <c r="H63" s="9">
        <f t="shared" si="2"/>
        <v>43</v>
      </c>
    </row>
    <row r="64" spans="1:8" x14ac:dyDescent="0.25">
      <c r="A64" s="14" t="s">
        <v>44</v>
      </c>
      <c r="B64" s="6">
        <v>0</v>
      </c>
      <c r="C64" s="4">
        <v>0</v>
      </c>
      <c r="D64" s="5">
        <f t="shared" si="0"/>
        <v>0</v>
      </c>
      <c r="E64" s="6">
        <v>4</v>
      </c>
      <c r="F64" s="4">
        <v>0</v>
      </c>
      <c r="G64" s="5">
        <f t="shared" si="1"/>
        <v>4</v>
      </c>
      <c r="H64" s="9">
        <f t="shared" si="2"/>
        <v>4</v>
      </c>
    </row>
    <row r="65" spans="1:8" x14ac:dyDescent="0.25">
      <c r="A65" s="14" t="s">
        <v>45</v>
      </c>
      <c r="B65" s="6">
        <v>5</v>
      </c>
      <c r="C65" s="4">
        <v>9</v>
      </c>
      <c r="D65" s="5">
        <f t="shared" si="0"/>
        <v>14</v>
      </c>
      <c r="E65" s="6">
        <v>5</v>
      </c>
      <c r="F65" s="4">
        <v>1</v>
      </c>
      <c r="G65" s="5">
        <f t="shared" si="1"/>
        <v>6</v>
      </c>
      <c r="H65" s="9">
        <f t="shared" si="2"/>
        <v>20</v>
      </c>
    </row>
    <row r="66" spans="1:8" x14ac:dyDescent="0.25">
      <c r="A66" s="14" t="s">
        <v>176</v>
      </c>
      <c r="B66" s="6">
        <v>0</v>
      </c>
      <c r="C66" s="4">
        <v>0</v>
      </c>
      <c r="D66" s="5">
        <f t="shared" si="0"/>
        <v>0</v>
      </c>
      <c r="E66" s="6">
        <v>18</v>
      </c>
      <c r="F66" s="4">
        <v>2</v>
      </c>
      <c r="G66" s="5">
        <f t="shared" si="1"/>
        <v>20</v>
      </c>
      <c r="H66" s="9">
        <f t="shared" si="2"/>
        <v>20</v>
      </c>
    </row>
    <row r="67" spans="1:8" x14ac:dyDescent="0.25">
      <c r="A67" s="14" t="s">
        <v>104</v>
      </c>
      <c r="B67" s="6">
        <v>0</v>
      </c>
      <c r="C67" s="4">
        <v>0</v>
      </c>
      <c r="D67" s="5">
        <f t="shared" si="0"/>
        <v>0</v>
      </c>
      <c r="E67" s="6">
        <v>2</v>
      </c>
      <c r="F67" s="4">
        <v>2</v>
      </c>
      <c r="G67" s="5">
        <f t="shared" si="1"/>
        <v>4</v>
      </c>
      <c r="H67" s="9">
        <f t="shared" si="2"/>
        <v>4</v>
      </c>
    </row>
    <row r="68" spans="1:8" x14ac:dyDescent="0.25">
      <c r="A68" s="14" t="s">
        <v>165</v>
      </c>
      <c r="B68" s="6">
        <v>0</v>
      </c>
      <c r="C68" s="4">
        <v>0</v>
      </c>
      <c r="D68" s="5">
        <f t="shared" si="0"/>
        <v>0</v>
      </c>
      <c r="E68" s="6">
        <v>15</v>
      </c>
      <c r="F68" s="4">
        <v>4</v>
      </c>
      <c r="G68" s="5">
        <f t="shared" si="1"/>
        <v>19</v>
      </c>
      <c r="H68" s="9">
        <f t="shared" si="2"/>
        <v>19</v>
      </c>
    </row>
    <row r="69" spans="1:8" x14ac:dyDescent="0.25">
      <c r="A69" s="14" t="s">
        <v>92</v>
      </c>
      <c r="B69" s="6">
        <v>0</v>
      </c>
      <c r="C69" s="4">
        <v>0</v>
      </c>
      <c r="D69" s="5">
        <f t="shared" si="0"/>
        <v>0</v>
      </c>
      <c r="E69" s="6">
        <v>198</v>
      </c>
      <c r="F69" s="4">
        <v>15</v>
      </c>
      <c r="G69" s="5">
        <f t="shared" si="1"/>
        <v>213</v>
      </c>
      <c r="H69" s="9">
        <f t="shared" si="2"/>
        <v>213</v>
      </c>
    </row>
    <row r="70" spans="1:8" x14ac:dyDescent="0.25">
      <c r="A70" s="14" t="s">
        <v>142</v>
      </c>
      <c r="B70" s="6">
        <v>2</v>
      </c>
      <c r="C70" s="4">
        <v>0</v>
      </c>
      <c r="D70" s="5">
        <f t="shared" si="0"/>
        <v>2</v>
      </c>
      <c r="E70" s="6">
        <v>38</v>
      </c>
      <c r="F70" s="4">
        <v>5</v>
      </c>
      <c r="G70" s="5">
        <f t="shared" si="1"/>
        <v>43</v>
      </c>
      <c r="H70" s="9">
        <f t="shared" si="2"/>
        <v>45</v>
      </c>
    </row>
    <row r="71" spans="1:8" x14ac:dyDescent="0.25">
      <c r="A71" s="14" t="s">
        <v>107</v>
      </c>
      <c r="B71" s="6">
        <v>0</v>
      </c>
      <c r="C71" s="4">
        <v>0</v>
      </c>
      <c r="D71" s="5">
        <f t="shared" si="0"/>
        <v>0</v>
      </c>
      <c r="E71" s="6">
        <v>347</v>
      </c>
      <c r="F71" s="4">
        <v>26</v>
      </c>
      <c r="G71" s="5">
        <f t="shared" si="1"/>
        <v>373</v>
      </c>
      <c r="H71" s="9">
        <f t="shared" si="2"/>
        <v>373</v>
      </c>
    </row>
    <row r="72" spans="1:8" x14ac:dyDescent="0.25">
      <c r="A72" s="14" t="s">
        <v>166</v>
      </c>
      <c r="B72" s="6">
        <v>0</v>
      </c>
      <c r="C72" s="4">
        <v>0</v>
      </c>
      <c r="D72" s="5">
        <f t="shared" si="0"/>
        <v>0</v>
      </c>
      <c r="E72" s="6">
        <v>71</v>
      </c>
      <c r="F72" s="4">
        <v>10</v>
      </c>
      <c r="G72" s="5">
        <f t="shared" si="1"/>
        <v>81</v>
      </c>
      <c r="H72" s="9">
        <f t="shared" si="2"/>
        <v>81</v>
      </c>
    </row>
    <row r="73" spans="1:8" x14ac:dyDescent="0.25">
      <c r="A73" s="14" t="s">
        <v>167</v>
      </c>
      <c r="B73" s="6">
        <v>0</v>
      </c>
      <c r="C73" s="4">
        <v>0</v>
      </c>
      <c r="D73" s="5">
        <f t="shared" si="0"/>
        <v>0</v>
      </c>
      <c r="E73" s="6">
        <v>58</v>
      </c>
      <c r="F73" s="4">
        <v>1</v>
      </c>
      <c r="G73" s="5">
        <f t="shared" si="1"/>
        <v>59</v>
      </c>
      <c r="H73" s="9">
        <f t="shared" si="2"/>
        <v>59</v>
      </c>
    </row>
    <row r="74" spans="1:8" x14ac:dyDescent="0.25">
      <c r="A74" s="14" t="s">
        <v>177</v>
      </c>
      <c r="B74" s="6">
        <v>15</v>
      </c>
      <c r="C74" s="4">
        <v>0</v>
      </c>
      <c r="D74" s="5">
        <f t="shared" si="0"/>
        <v>15</v>
      </c>
      <c r="E74" s="6">
        <v>0</v>
      </c>
      <c r="F74" s="4">
        <v>0</v>
      </c>
      <c r="G74" s="5">
        <f t="shared" si="1"/>
        <v>0</v>
      </c>
      <c r="H74" s="9">
        <f t="shared" si="2"/>
        <v>15</v>
      </c>
    </row>
    <row r="75" spans="1:8" x14ac:dyDescent="0.25">
      <c r="A75" s="14" t="s">
        <v>168</v>
      </c>
      <c r="B75" s="6">
        <v>0</v>
      </c>
      <c r="C75" s="4">
        <v>0</v>
      </c>
      <c r="D75" s="5">
        <f t="shared" si="0"/>
        <v>0</v>
      </c>
      <c r="E75" s="6">
        <v>77</v>
      </c>
      <c r="F75" s="4">
        <v>8</v>
      </c>
      <c r="G75" s="5">
        <f t="shared" si="1"/>
        <v>85</v>
      </c>
      <c r="H75" s="9">
        <f t="shared" si="2"/>
        <v>85</v>
      </c>
    </row>
    <row r="76" spans="1:8" x14ac:dyDescent="0.25">
      <c r="A76" s="14" t="s">
        <v>99</v>
      </c>
      <c r="B76" s="6">
        <v>0</v>
      </c>
      <c r="C76" s="4">
        <v>0</v>
      </c>
      <c r="D76" s="5">
        <f t="shared" si="0"/>
        <v>0</v>
      </c>
      <c r="E76" s="6">
        <v>81</v>
      </c>
      <c r="F76" s="4">
        <v>16</v>
      </c>
      <c r="G76" s="5">
        <f t="shared" si="1"/>
        <v>97</v>
      </c>
      <c r="H76" s="9">
        <f t="shared" si="2"/>
        <v>97</v>
      </c>
    </row>
    <row r="77" spans="1:8" x14ac:dyDescent="0.25">
      <c r="A77" s="14" t="s">
        <v>70</v>
      </c>
      <c r="B77" s="6">
        <v>0</v>
      </c>
      <c r="C77" s="4">
        <v>0</v>
      </c>
      <c r="D77" s="5">
        <f t="shared" si="0"/>
        <v>0</v>
      </c>
      <c r="E77" s="6">
        <v>43</v>
      </c>
      <c r="F77" s="4">
        <v>4</v>
      </c>
      <c r="G77" s="5">
        <f t="shared" si="1"/>
        <v>47</v>
      </c>
      <c r="H77" s="9">
        <f t="shared" si="2"/>
        <v>47</v>
      </c>
    </row>
    <row r="78" spans="1:8" x14ac:dyDescent="0.25">
      <c r="A78" s="14" t="s">
        <v>169</v>
      </c>
      <c r="B78" s="6">
        <v>0</v>
      </c>
      <c r="C78" s="4">
        <v>0</v>
      </c>
      <c r="D78" s="5">
        <f t="shared" si="0"/>
        <v>0</v>
      </c>
      <c r="E78" s="6">
        <v>142</v>
      </c>
      <c r="F78" s="4">
        <v>13</v>
      </c>
      <c r="G78" s="5">
        <f t="shared" si="1"/>
        <v>155</v>
      </c>
      <c r="H78" s="9">
        <f t="shared" si="2"/>
        <v>155</v>
      </c>
    </row>
    <row r="79" spans="1:8" x14ac:dyDescent="0.25">
      <c r="A79" s="14" t="s">
        <v>170</v>
      </c>
      <c r="B79" s="6">
        <v>0</v>
      </c>
      <c r="C79" s="4">
        <v>0</v>
      </c>
      <c r="D79" s="5">
        <f t="shared" si="0"/>
        <v>0</v>
      </c>
      <c r="E79" s="6">
        <v>2</v>
      </c>
      <c r="F79" s="4">
        <v>0</v>
      </c>
      <c r="G79" s="5">
        <f t="shared" si="1"/>
        <v>2</v>
      </c>
      <c r="H79" s="9">
        <f t="shared" si="2"/>
        <v>2</v>
      </c>
    </row>
    <row r="80" spans="1:8" x14ac:dyDescent="0.25">
      <c r="A80" s="14" t="s">
        <v>171</v>
      </c>
      <c r="B80" s="6">
        <v>0</v>
      </c>
      <c r="C80" s="4">
        <v>0</v>
      </c>
      <c r="D80" s="5">
        <f t="shared" ref="D80:D81" si="3">SUM(B80:C80)</f>
        <v>0</v>
      </c>
      <c r="E80" s="6">
        <v>106</v>
      </c>
      <c r="F80" s="4">
        <v>10</v>
      </c>
      <c r="G80" s="5">
        <f t="shared" ref="G80:G81" si="4">SUM(E80:F80)</f>
        <v>116</v>
      </c>
      <c r="H80" s="9">
        <f t="shared" ref="H80:H81" si="5">D80+G80</f>
        <v>116</v>
      </c>
    </row>
    <row r="81" spans="1:8" ht="15.75" thickBot="1" x14ac:dyDescent="0.3">
      <c r="A81" s="15" t="s">
        <v>172</v>
      </c>
      <c r="B81" s="11">
        <v>0</v>
      </c>
      <c r="C81" s="12">
        <v>0</v>
      </c>
      <c r="D81" s="23">
        <f t="shared" si="3"/>
        <v>0</v>
      </c>
      <c r="E81" s="11">
        <v>31</v>
      </c>
      <c r="F81" s="12">
        <v>24</v>
      </c>
      <c r="G81" s="23">
        <f t="shared" si="4"/>
        <v>55</v>
      </c>
      <c r="H81" s="16">
        <f t="shared" si="5"/>
        <v>55</v>
      </c>
    </row>
    <row r="82" spans="1:8" ht="16.5" thickTop="1" thickBot="1" x14ac:dyDescent="0.3">
      <c r="A82" s="8" t="s">
        <v>0</v>
      </c>
      <c r="B82" s="7">
        <f t="shared" ref="B82:H82" si="6">SUM(B7:B81)</f>
        <v>226</v>
      </c>
      <c r="C82" s="7">
        <f t="shared" si="6"/>
        <v>76</v>
      </c>
      <c r="D82" s="7">
        <f t="shared" si="6"/>
        <v>302</v>
      </c>
      <c r="E82" s="7">
        <f t="shared" si="6"/>
        <v>2673</v>
      </c>
      <c r="F82" s="7">
        <f t="shared" si="6"/>
        <v>295</v>
      </c>
      <c r="G82" s="7">
        <f t="shared" si="6"/>
        <v>2968</v>
      </c>
      <c r="H82" s="7">
        <f t="shared" si="6"/>
        <v>3270</v>
      </c>
    </row>
    <row r="83" spans="1:8" ht="15.75" thickBot="1" x14ac:dyDescent="0.3"/>
    <row r="84" spans="1:8" x14ac:dyDescent="0.25">
      <c r="A84" s="26" t="s">
        <v>74</v>
      </c>
      <c r="B84" s="28" t="s">
        <v>3</v>
      </c>
      <c r="C84" s="29"/>
      <c r="D84" s="29"/>
      <c r="E84" s="28" t="s">
        <v>4</v>
      </c>
      <c r="F84" s="29"/>
      <c r="G84" s="29"/>
      <c r="H84" s="26" t="s">
        <v>0</v>
      </c>
    </row>
    <row r="85" spans="1:8" x14ac:dyDescent="0.25">
      <c r="A85" s="27"/>
      <c r="B85" s="20" t="s">
        <v>82</v>
      </c>
      <c r="C85" s="21" t="s">
        <v>83</v>
      </c>
      <c r="D85" s="22" t="s">
        <v>0</v>
      </c>
      <c r="E85" s="20" t="s">
        <v>82</v>
      </c>
      <c r="F85" s="21" t="s">
        <v>83</v>
      </c>
      <c r="G85" s="22" t="s">
        <v>0</v>
      </c>
      <c r="H85" s="27"/>
    </row>
    <row r="86" spans="1:8" x14ac:dyDescent="0.25">
      <c r="A86" s="14" t="s">
        <v>75</v>
      </c>
      <c r="B86" s="6">
        <v>22</v>
      </c>
      <c r="C86" s="4">
        <v>2</v>
      </c>
      <c r="D86" s="5">
        <f t="shared" ref="D86:D93" si="7">SUM(B86:C86)</f>
        <v>24</v>
      </c>
      <c r="E86" s="6">
        <v>248</v>
      </c>
      <c r="F86" s="4">
        <v>5</v>
      </c>
      <c r="G86" s="5">
        <f t="shared" ref="G86:G93" si="8">SUM(E86:F86)</f>
        <v>253</v>
      </c>
      <c r="H86" s="9">
        <f t="shared" ref="H86:H93" si="9">D86+G86</f>
        <v>277</v>
      </c>
    </row>
    <row r="87" spans="1:8" x14ac:dyDescent="0.25">
      <c r="A87" s="14" t="s">
        <v>147</v>
      </c>
      <c r="B87" s="6">
        <v>17</v>
      </c>
      <c r="C87" s="4">
        <v>0</v>
      </c>
      <c r="D87" s="5">
        <f t="shared" si="7"/>
        <v>17</v>
      </c>
      <c r="E87" s="6">
        <v>1229</v>
      </c>
      <c r="F87" s="4">
        <v>140</v>
      </c>
      <c r="G87" s="5">
        <f t="shared" si="8"/>
        <v>1369</v>
      </c>
      <c r="H87" s="9">
        <f t="shared" si="9"/>
        <v>1386</v>
      </c>
    </row>
    <row r="88" spans="1:8" x14ac:dyDescent="0.25">
      <c r="A88" s="14" t="s">
        <v>76</v>
      </c>
      <c r="B88" s="6">
        <v>5</v>
      </c>
      <c r="C88" s="4">
        <v>8</v>
      </c>
      <c r="D88" s="5">
        <f t="shared" si="7"/>
        <v>13</v>
      </c>
      <c r="E88" s="6">
        <v>285</v>
      </c>
      <c r="F88" s="4">
        <v>48</v>
      </c>
      <c r="G88" s="5">
        <f t="shared" si="8"/>
        <v>333</v>
      </c>
      <c r="H88" s="9">
        <f t="shared" si="9"/>
        <v>346</v>
      </c>
    </row>
    <row r="89" spans="1:8" x14ac:dyDescent="0.25">
      <c r="A89" s="14" t="s">
        <v>129</v>
      </c>
      <c r="B89" s="6">
        <v>15</v>
      </c>
      <c r="C89" s="4">
        <v>21</v>
      </c>
      <c r="D89" s="5">
        <f t="shared" si="7"/>
        <v>36</v>
      </c>
      <c r="E89" s="6">
        <v>237</v>
      </c>
      <c r="F89" s="4">
        <v>35</v>
      </c>
      <c r="G89" s="5">
        <f t="shared" si="8"/>
        <v>272</v>
      </c>
      <c r="H89" s="9">
        <f t="shared" si="9"/>
        <v>308</v>
      </c>
    </row>
    <row r="90" spans="1:8" x14ac:dyDescent="0.25">
      <c r="A90" s="14" t="s">
        <v>1</v>
      </c>
      <c r="B90" s="6">
        <v>2</v>
      </c>
      <c r="C90" s="4">
        <v>0</v>
      </c>
      <c r="D90" s="5">
        <f t="shared" si="7"/>
        <v>2</v>
      </c>
      <c r="E90" s="6">
        <v>40</v>
      </c>
      <c r="F90" s="4">
        <v>6</v>
      </c>
      <c r="G90" s="5">
        <f t="shared" si="8"/>
        <v>46</v>
      </c>
      <c r="H90" s="9">
        <f t="shared" si="9"/>
        <v>48</v>
      </c>
    </row>
    <row r="91" spans="1:8" x14ac:dyDescent="0.25">
      <c r="A91" s="14" t="s">
        <v>79</v>
      </c>
      <c r="B91" s="6">
        <v>31</v>
      </c>
      <c r="C91" s="4">
        <v>9</v>
      </c>
      <c r="D91" s="5">
        <f t="shared" si="7"/>
        <v>40</v>
      </c>
      <c r="E91" s="6">
        <v>203</v>
      </c>
      <c r="F91" s="4">
        <v>19</v>
      </c>
      <c r="G91" s="5">
        <f t="shared" si="8"/>
        <v>222</v>
      </c>
      <c r="H91" s="9">
        <f t="shared" si="9"/>
        <v>262</v>
      </c>
    </row>
    <row r="92" spans="1:8" x14ac:dyDescent="0.25">
      <c r="A92" s="14" t="s">
        <v>80</v>
      </c>
      <c r="B92" s="6">
        <v>103</v>
      </c>
      <c r="C92" s="4">
        <v>25</v>
      </c>
      <c r="D92" s="5">
        <f t="shared" si="7"/>
        <v>128</v>
      </c>
      <c r="E92" s="6">
        <v>75</v>
      </c>
      <c r="F92" s="4">
        <v>5</v>
      </c>
      <c r="G92" s="5">
        <f t="shared" si="8"/>
        <v>80</v>
      </c>
      <c r="H92" s="9">
        <f t="shared" si="9"/>
        <v>208</v>
      </c>
    </row>
    <row r="93" spans="1:8" ht="15.75" thickBot="1" x14ac:dyDescent="0.3">
      <c r="A93" s="15" t="s">
        <v>81</v>
      </c>
      <c r="B93" s="11">
        <v>31</v>
      </c>
      <c r="C93" s="12">
        <v>11</v>
      </c>
      <c r="D93" s="12">
        <f t="shared" si="7"/>
        <v>42</v>
      </c>
      <c r="E93" s="11">
        <v>356</v>
      </c>
      <c r="F93" s="12">
        <v>37</v>
      </c>
      <c r="G93" s="13">
        <f t="shared" si="8"/>
        <v>393</v>
      </c>
      <c r="H93" s="16">
        <f t="shared" si="9"/>
        <v>435</v>
      </c>
    </row>
    <row r="94" spans="1:8" ht="16.5" thickTop="1" thickBot="1" x14ac:dyDescent="0.3">
      <c r="A94" s="8" t="s">
        <v>0</v>
      </c>
      <c r="B94" s="7">
        <f t="shared" ref="B94:H94" si="10">SUM(B86:B93)</f>
        <v>226</v>
      </c>
      <c r="C94" s="7">
        <f t="shared" si="10"/>
        <v>76</v>
      </c>
      <c r="D94" s="7">
        <f t="shared" si="10"/>
        <v>302</v>
      </c>
      <c r="E94" s="7">
        <f t="shared" si="10"/>
        <v>2673</v>
      </c>
      <c r="F94" s="7">
        <f t="shared" si="10"/>
        <v>295</v>
      </c>
      <c r="G94" s="7">
        <f t="shared" si="10"/>
        <v>2968</v>
      </c>
      <c r="H94" s="7">
        <f t="shared" si="10"/>
        <v>3270</v>
      </c>
    </row>
    <row r="96" spans="1:8" x14ac:dyDescent="0.25">
      <c r="A96" s="33" t="s">
        <v>145</v>
      </c>
      <c r="B96" s="33"/>
      <c r="C96" s="33"/>
      <c r="D96" s="33"/>
      <c r="E96" s="33"/>
      <c r="F96" s="33"/>
      <c r="G96" s="33"/>
      <c r="H96" s="33"/>
    </row>
    <row r="97" spans="1:8" x14ac:dyDescent="0.25">
      <c r="A97" s="33"/>
      <c r="B97" s="33"/>
      <c r="C97" s="33"/>
      <c r="D97" s="33"/>
      <c r="E97" s="33"/>
      <c r="F97" s="33"/>
      <c r="G97" s="33"/>
      <c r="H97" s="33"/>
    </row>
    <row r="98" spans="1:8" x14ac:dyDescent="0.25">
      <c r="A98" s="33"/>
      <c r="B98" s="33"/>
      <c r="C98" s="33"/>
      <c r="D98" s="33"/>
      <c r="E98" s="33"/>
      <c r="F98" s="33"/>
      <c r="G98" s="33"/>
      <c r="H98" s="33"/>
    </row>
    <row r="100" spans="1:8" x14ac:dyDescent="0.25">
      <c r="A100" s="34"/>
      <c r="B100" s="34"/>
      <c r="C100" s="34"/>
      <c r="D100" s="34"/>
      <c r="E100" s="34"/>
      <c r="F100" s="34"/>
      <c r="G100" s="34"/>
      <c r="H100" s="34"/>
    </row>
  </sheetData>
  <mergeCells count="11">
    <mergeCell ref="A2:H2"/>
    <mergeCell ref="A5:A6"/>
    <mergeCell ref="B5:D5"/>
    <mergeCell ref="E5:G5"/>
    <mergeCell ref="H5:H6"/>
    <mergeCell ref="A96:H98"/>
    <mergeCell ref="A100:H100"/>
    <mergeCell ref="A84:A85"/>
    <mergeCell ref="B84:D84"/>
    <mergeCell ref="E84:G84"/>
    <mergeCell ref="H84:H8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Layout" topLeftCell="A70" zoomScale="70" zoomScaleNormal="100" zoomScalePageLayoutView="70" workbookViewId="0">
      <selection activeCell="C78" sqref="C78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2009-10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6</v>
      </c>
      <c r="B7" s="6">
        <v>2</v>
      </c>
      <c r="C7" s="4">
        <v>0</v>
      </c>
      <c r="D7" s="5">
        <f>SUM(B7:C7)</f>
        <v>2</v>
      </c>
      <c r="E7" s="6">
        <v>35</v>
      </c>
      <c r="F7" s="4">
        <v>6</v>
      </c>
      <c r="G7" s="5">
        <f>SUM(E7:F7)</f>
        <v>41</v>
      </c>
      <c r="H7" s="9">
        <f>D7+G7</f>
        <v>43</v>
      </c>
    </row>
    <row r="8" spans="1:8" x14ac:dyDescent="0.25">
      <c r="A8" s="14" t="s">
        <v>7</v>
      </c>
      <c r="B8" s="6">
        <v>4</v>
      </c>
      <c r="C8" s="4">
        <v>1</v>
      </c>
      <c r="D8" s="5">
        <f t="shared" ref="D8:D79" si="0">SUM(B8:C8)</f>
        <v>5</v>
      </c>
      <c r="E8" s="6">
        <v>94</v>
      </c>
      <c r="F8" s="4">
        <v>5</v>
      </c>
      <c r="G8" s="5">
        <f t="shared" ref="G8:G79" si="1">SUM(E8:F8)</f>
        <v>99</v>
      </c>
      <c r="H8" s="9">
        <f t="shared" ref="H8:H79" si="2">D8+G8</f>
        <v>104</v>
      </c>
    </row>
    <row r="9" spans="1:8" x14ac:dyDescent="0.25">
      <c r="A9" s="14" t="s">
        <v>8</v>
      </c>
      <c r="B9" s="6">
        <v>15</v>
      </c>
      <c r="C9" s="4">
        <v>5</v>
      </c>
      <c r="D9" s="5">
        <f t="shared" si="0"/>
        <v>20</v>
      </c>
      <c r="E9" s="6">
        <v>43</v>
      </c>
      <c r="F9" s="4">
        <v>2</v>
      </c>
      <c r="G9" s="5">
        <f t="shared" si="1"/>
        <v>45</v>
      </c>
      <c r="H9" s="9">
        <f t="shared" si="2"/>
        <v>65</v>
      </c>
    </row>
    <row r="10" spans="1:8" x14ac:dyDescent="0.25">
      <c r="A10" s="14" t="s">
        <v>148</v>
      </c>
      <c r="B10" s="6">
        <v>1</v>
      </c>
      <c r="C10" s="4">
        <v>1</v>
      </c>
      <c r="D10" s="5">
        <f t="shared" si="0"/>
        <v>2</v>
      </c>
      <c r="E10" s="6">
        <v>64</v>
      </c>
      <c r="F10" s="4">
        <v>6</v>
      </c>
      <c r="G10" s="5">
        <f t="shared" si="1"/>
        <v>70</v>
      </c>
      <c r="H10" s="9">
        <f t="shared" si="2"/>
        <v>72</v>
      </c>
    </row>
    <row r="11" spans="1:8" x14ac:dyDescent="0.25">
      <c r="A11" s="14" t="s">
        <v>149</v>
      </c>
      <c r="B11" s="6">
        <v>0</v>
      </c>
      <c r="C11" s="4">
        <v>0</v>
      </c>
      <c r="D11" s="5">
        <f t="shared" si="0"/>
        <v>0</v>
      </c>
      <c r="E11" s="6">
        <v>85</v>
      </c>
      <c r="F11" s="4">
        <v>7</v>
      </c>
      <c r="G11" s="5">
        <f t="shared" si="1"/>
        <v>92</v>
      </c>
      <c r="H11" s="9">
        <f t="shared" si="2"/>
        <v>92</v>
      </c>
    </row>
    <row r="12" spans="1:8" x14ac:dyDescent="0.25">
      <c r="A12" s="14" t="s">
        <v>150</v>
      </c>
      <c r="B12" s="6">
        <v>0</v>
      </c>
      <c r="C12" s="4">
        <v>1</v>
      </c>
      <c r="D12" s="5">
        <f t="shared" si="0"/>
        <v>1</v>
      </c>
      <c r="E12" s="6">
        <v>84</v>
      </c>
      <c r="F12" s="4">
        <v>4</v>
      </c>
      <c r="G12" s="5">
        <f t="shared" si="1"/>
        <v>88</v>
      </c>
      <c r="H12" s="9">
        <f t="shared" si="2"/>
        <v>89</v>
      </c>
    </row>
    <row r="13" spans="1:8" x14ac:dyDescent="0.25">
      <c r="A13" s="14" t="s">
        <v>100</v>
      </c>
      <c r="B13" s="6">
        <v>1</v>
      </c>
      <c r="C13" s="4">
        <v>0</v>
      </c>
      <c r="D13" s="5">
        <f t="shared" si="0"/>
        <v>1</v>
      </c>
      <c r="E13" s="6">
        <v>1</v>
      </c>
      <c r="F13" s="4">
        <v>1</v>
      </c>
      <c r="G13" s="5">
        <f t="shared" si="1"/>
        <v>2</v>
      </c>
      <c r="H13" s="9">
        <f t="shared" si="2"/>
        <v>3</v>
      </c>
    </row>
    <row r="14" spans="1:8" x14ac:dyDescent="0.25">
      <c r="A14" s="14" t="s">
        <v>160</v>
      </c>
      <c r="B14" s="6">
        <v>20</v>
      </c>
      <c r="C14" s="4">
        <v>5</v>
      </c>
      <c r="D14" s="5">
        <f t="shared" si="0"/>
        <v>25</v>
      </c>
      <c r="E14" s="6">
        <v>16</v>
      </c>
      <c r="F14" s="4">
        <v>3</v>
      </c>
      <c r="G14" s="5">
        <f t="shared" si="1"/>
        <v>19</v>
      </c>
      <c r="H14" s="9">
        <f t="shared" si="2"/>
        <v>44</v>
      </c>
    </row>
    <row r="15" spans="1:8" x14ac:dyDescent="0.25">
      <c r="A15" s="14" t="s">
        <v>156</v>
      </c>
      <c r="B15" s="6">
        <v>0</v>
      </c>
      <c r="C15" s="4">
        <v>0</v>
      </c>
      <c r="D15" s="5">
        <f t="shared" si="0"/>
        <v>0</v>
      </c>
      <c r="E15" s="6">
        <v>0</v>
      </c>
      <c r="F15" s="4">
        <v>0</v>
      </c>
      <c r="G15" s="5">
        <f t="shared" si="1"/>
        <v>0</v>
      </c>
      <c r="H15" s="9">
        <f t="shared" si="2"/>
        <v>0</v>
      </c>
    </row>
    <row r="16" spans="1:8" x14ac:dyDescent="0.25">
      <c r="A16" s="14" t="s">
        <v>130</v>
      </c>
      <c r="B16" s="6">
        <v>0</v>
      </c>
      <c r="C16" s="4">
        <v>0</v>
      </c>
      <c r="D16" s="5">
        <f t="shared" si="0"/>
        <v>0</v>
      </c>
      <c r="E16" s="6">
        <v>10</v>
      </c>
      <c r="F16" s="4">
        <v>0</v>
      </c>
      <c r="G16" s="5">
        <f t="shared" si="1"/>
        <v>10</v>
      </c>
      <c r="H16" s="9">
        <f t="shared" si="2"/>
        <v>10</v>
      </c>
    </row>
    <row r="17" spans="1:8" x14ac:dyDescent="0.25">
      <c r="A17" s="14" t="s">
        <v>151</v>
      </c>
      <c r="B17" s="6">
        <v>0</v>
      </c>
      <c r="C17" s="4">
        <v>0</v>
      </c>
      <c r="D17" s="5">
        <f t="shared" si="0"/>
        <v>0</v>
      </c>
      <c r="E17" s="6">
        <v>28</v>
      </c>
      <c r="F17" s="4">
        <v>2</v>
      </c>
      <c r="G17" s="5">
        <f t="shared" si="1"/>
        <v>30</v>
      </c>
      <c r="H17" s="9">
        <f t="shared" si="2"/>
        <v>30</v>
      </c>
    </row>
    <row r="18" spans="1:8" x14ac:dyDescent="0.25">
      <c r="A18" s="14" t="s">
        <v>152</v>
      </c>
      <c r="B18" s="6">
        <v>0</v>
      </c>
      <c r="C18" s="4">
        <v>0</v>
      </c>
      <c r="D18" s="5">
        <f t="shared" si="0"/>
        <v>0</v>
      </c>
      <c r="E18" s="6">
        <v>0</v>
      </c>
      <c r="F18" s="4">
        <v>0</v>
      </c>
      <c r="G18" s="5">
        <f t="shared" si="1"/>
        <v>0</v>
      </c>
      <c r="H18" s="9">
        <f t="shared" si="2"/>
        <v>0</v>
      </c>
    </row>
    <row r="19" spans="1:8" x14ac:dyDescent="0.25">
      <c r="A19" s="14" t="s">
        <v>135</v>
      </c>
      <c r="B19" s="6">
        <v>0</v>
      </c>
      <c r="C19" s="4">
        <v>0</v>
      </c>
      <c r="D19" s="5">
        <f t="shared" si="0"/>
        <v>0</v>
      </c>
      <c r="E19" s="6">
        <v>103</v>
      </c>
      <c r="F19" s="4">
        <v>22</v>
      </c>
      <c r="G19" s="5">
        <f t="shared" si="1"/>
        <v>125</v>
      </c>
      <c r="H19" s="9">
        <f t="shared" si="2"/>
        <v>125</v>
      </c>
    </row>
    <row r="20" spans="1:8" x14ac:dyDescent="0.25">
      <c r="A20" s="14" t="s">
        <v>101</v>
      </c>
      <c r="B20" s="6">
        <v>3</v>
      </c>
      <c r="C20" s="4">
        <v>2</v>
      </c>
      <c r="D20" s="5">
        <f t="shared" si="0"/>
        <v>5</v>
      </c>
      <c r="E20" s="6">
        <v>3</v>
      </c>
      <c r="F20" s="4">
        <v>1</v>
      </c>
      <c r="G20" s="5">
        <f t="shared" si="1"/>
        <v>4</v>
      </c>
      <c r="H20" s="9">
        <f t="shared" si="2"/>
        <v>9</v>
      </c>
    </row>
    <row r="21" spans="1:8" x14ac:dyDescent="0.25">
      <c r="A21" s="14" t="s">
        <v>12</v>
      </c>
      <c r="B21" s="6">
        <v>3</v>
      </c>
      <c r="C21" s="4">
        <v>0</v>
      </c>
      <c r="D21" s="5">
        <f t="shared" si="0"/>
        <v>3</v>
      </c>
      <c r="E21" s="6">
        <v>3</v>
      </c>
      <c r="F21" s="4">
        <v>0</v>
      </c>
      <c r="G21" s="5">
        <f t="shared" si="1"/>
        <v>3</v>
      </c>
      <c r="H21" s="9">
        <f t="shared" si="2"/>
        <v>6</v>
      </c>
    </row>
    <row r="22" spans="1:8" x14ac:dyDescent="0.25">
      <c r="A22" s="14" t="s">
        <v>157</v>
      </c>
      <c r="B22" s="6">
        <v>1</v>
      </c>
      <c r="C22" s="4">
        <v>4</v>
      </c>
      <c r="D22" s="5">
        <f t="shared" si="0"/>
        <v>5</v>
      </c>
      <c r="E22" s="6">
        <v>14</v>
      </c>
      <c r="F22" s="4">
        <v>2</v>
      </c>
      <c r="G22" s="5">
        <f t="shared" si="1"/>
        <v>16</v>
      </c>
      <c r="H22" s="9">
        <f t="shared" si="2"/>
        <v>21</v>
      </c>
    </row>
    <row r="23" spans="1:8" x14ac:dyDescent="0.25">
      <c r="A23" s="14" t="s">
        <v>14</v>
      </c>
      <c r="B23" s="6">
        <v>0</v>
      </c>
      <c r="C23" s="4">
        <v>2</v>
      </c>
      <c r="D23" s="5">
        <f t="shared" si="0"/>
        <v>2</v>
      </c>
      <c r="E23" s="6">
        <v>15</v>
      </c>
      <c r="F23" s="4">
        <v>2</v>
      </c>
      <c r="G23" s="5">
        <f t="shared" si="1"/>
        <v>17</v>
      </c>
      <c r="H23" s="9">
        <f t="shared" si="2"/>
        <v>19</v>
      </c>
    </row>
    <row r="24" spans="1:8" x14ac:dyDescent="0.25">
      <c r="A24" s="14" t="s">
        <v>15</v>
      </c>
      <c r="B24" s="6">
        <v>0</v>
      </c>
      <c r="C24" s="4">
        <v>0</v>
      </c>
      <c r="D24" s="5">
        <f t="shared" si="0"/>
        <v>0</v>
      </c>
      <c r="E24" s="6">
        <v>28</v>
      </c>
      <c r="F24" s="4">
        <v>5</v>
      </c>
      <c r="G24" s="5">
        <f t="shared" si="1"/>
        <v>33</v>
      </c>
      <c r="H24" s="9">
        <f t="shared" si="2"/>
        <v>33</v>
      </c>
    </row>
    <row r="25" spans="1:8" x14ac:dyDescent="0.25">
      <c r="A25" s="14" t="s">
        <v>16</v>
      </c>
      <c r="B25" s="6">
        <v>2</v>
      </c>
      <c r="C25" s="4">
        <v>0</v>
      </c>
      <c r="D25" s="5">
        <f t="shared" si="0"/>
        <v>2</v>
      </c>
      <c r="E25" s="6">
        <v>2</v>
      </c>
      <c r="F25" s="4">
        <v>1</v>
      </c>
      <c r="G25" s="5">
        <f t="shared" si="1"/>
        <v>3</v>
      </c>
      <c r="H25" s="9">
        <f t="shared" si="2"/>
        <v>5</v>
      </c>
    </row>
    <row r="26" spans="1:8" x14ac:dyDescent="0.25">
      <c r="A26" s="14" t="s">
        <v>126</v>
      </c>
      <c r="B26" s="6">
        <v>3</v>
      </c>
      <c r="C26" s="4">
        <v>0</v>
      </c>
      <c r="D26" s="5">
        <f t="shared" si="0"/>
        <v>3</v>
      </c>
      <c r="E26" s="6">
        <v>21</v>
      </c>
      <c r="F26" s="4">
        <v>0</v>
      </c>
      <c r="G26" s="5">
        <f t="shared" si="1"/>
        <v>21</v>
      </c>
      <c r="H26" s="9">
        <f t="shared" si="2"/>
        <v>24</v>
      </c>
    </row>
    <row r="27" spans="1:8" x14ac:dyDescent="0.25">
      <c r="A27" s="14" t="s">
        <v>17</v>
      </c>
      <c r="B27" s="6">
        <v>1</v>
      </c>
      <c r="C27" s="4">
        <v>6</v>
      </c>
      <c r="D27" s="5">
        <f t="shared" si="0"/>
        <v>7</v>
      </c>
      <c r="E27" s="6">
        <v>11</v>
      </c>
      <c r="F27" s="4">
        <v>3</v>
      </c>
      <c r="G27" s="5">
        <f t="shared" si="1"/>
        <v>14</v>
      </c>
      <c r="H27" s="9">
        <f t="shared" si="2"/>
        <v>21</v>
      </c>
    </row>
    <row r="28" spans="1:8" x14ac:dyDescent="0.25">
      <c r="A28" s="14" t="s">
        <v>18</v>
      </c>
      <c r="B28" s="6">
        <v>1</v>
      </c>
      <c r="C28" s="4">
        <v>1</v>
      </c>
      <c r="D28" s="5">
        <f t="shared" si="0"/>
        <v>2</v>
      </c>
      <c r="E28" s="6">
        <v>69</v>
      </c>
      <c r="F28" s="4">
        <v>39</v>
      </c>
      <c r="G28" s="5">
        <f t="shared" si="1"/>
        <v>108</v>
      </c>
      <c r="H28" s="9">
        <f t="shared" si="2"/>
        <v>110</v>
      </c>
    </row>
    <row r="29" spans="1:8" x14ac:dyDescent="0.25">
      <c r="A29" s="14" t="s">
        <v>19</v>
      </c>
      <c r="B29" s="6">
        <v>0</v>
      </c>
      <c r="C29" s="4">
        <v>0</v>
      </c>
      <c r="D29" s="5">
        <f t="shared" si="0"/>
        <v>0</v>
      </c>
      <c r="E29" s="6">
        <v>6</v>
      </c>
      <c r="F29" s="4">
        <v>0</v>
      </c>
      <c r="G29" s="5">
        <f t="shared" si="1"/>
        <v>6</v>
      </c>
      <c r="H29" s="9">
        <f t="shared" si="2"/>
        <v>6</v>
      </c>
    </row>
    <row r="30" spans="1:8" x14ac:dyDescent="0.25">
      <c r="A30" s="14" t="s">
        <v>173</v>
      </c>
      <c r="B30" s="6">
        <v>0</v>
      </c>
      <c r="C30" s="4">
        <v>0</v>
      </c>
      <c r="D30" s="5">
        <f t="shared" si="0"/>
        <v>0</v>
      </c>
      <c r="E30" s="6">
        <v>0</v>
      </c>
      <c r="F30" s="4">
        <v>0</v>
      </c>
      <c r="G30" s="5">
        <f t="shared" si="1"/>
        <v>0</v>
      </c>
      <c r="H30" s="9">
        <f t="shared" si="2"/>
        <v>0</v>
      </c>
    </row>
    <row r="31" spans="1:8" x14ac:dyDescent="0.25">
      <c r="A31" s="14" t="s">
        <v>131</v>
      </c>
      <c r="B31" s="6">
        <v>1</v>
      </c>
      <c r="C31" s="4">
        <v>0</v>
      </c>
      <c r="D31" s="5">
        <f t="shared" si="0"/>
        <v>1</v>
      </c>
      <c r="E31" s="6">
        <v>0</v>
      </c>
      <c r="F31" s="4">
        <v>0</v>
      </c>
      <c r="G31" s="5">
        <f t="shared" si="1"/>
        <v>0</v>
      </c>
      <c r="H31" s="9">
        <f t="shared" si="2"/>
        <v>1</v>
      </c>
    </row>
    <row r="32" spans="1:8" x14ac:dyDescent="0.25">
      <c r="A32" s="14" t="s">
        <v>20</v>
      </c>
      <c r="B32" s="6">
        <v>1</v>
      </c>
      <c r="C32" s="4">
        <v>0</v>
      </c>
      <c r="D32" s="5">
        <f t="shared" si="0"/>
        <v>1</v>
      </c>
      <c r="E32" s="6">
        <v>4</v>
      </c>
      <c r="F32" s="4">
        <v>1</v>
      </c>
      <c r="G32" s="5">
        <f t="shared" si="1"/>
        <v>5</v>
      </c>
      <c r="H32" s="9">
        <f t="shared" si="2"/>
        <v>6</v>
      </c>
    </row>
    <row r="33" spans="1:8" x14ac:dyDescent="0.25">
      <c r="A33" s="14" t="s">
        <v>21</v>
      </c>
      <c r="B33" s="6">
        <v>2</v>
      </c>
      <c r="C33" s="4">
        <v>0</v>
      </c>
      <c r="D33" s="5">
        <f t="shared" si="0"/>
        <v>2</v>
      </c>
      <c r="E33" s="6">
        <v>4</v>
      </c>
      <c r="F33" s="4">
        <v>0</v>
      </c>
      <c r="G33" s="5">
        <f t="shared" si="1"/>
        <v>4</v>
      </c>
      <c r="H33" s="9">
        <f t="shared" si="2"/>
        <v>6</v>
      </c>
    </row>
    <row r="34" spans="1:8" x14ac:dyDescent="0.25">
      <c r="A34" s="14" t="s">
        <v>102</v>
      </c>
      <c r="B34" s="6">
        <v>0</v>
      </c>
      <c r="C34" s="4">
        <v>0</v>
      </c>
      <c r="D34" s="5">
        <f t="shared" si="0"/>
        <v>0</v>
      </c>
      <c r="E34" s="6">
        <v>0</v>
      </c>
      <c r="F34" s="4">
        <v>0</v>
      </c>
      <c r="G34" s="5">
        <f t="shared" si="1"/>
        <v>0</v>
      </c>
      <c r="H34" s="9">
        <f t="shared" si="2"/>
        <v>0</v>
      </c>
    </row>
    <row r="35" spans="1:8" x14ac:dyDescent="0.25">
      <c r="A35" s="14" t="s">
        <v>22</v>
      </c>
      <c r="B35" s="6">
        <v>3</v>
      </c>
      <c r="C35" s="4">
        <v>2</v>
      </c>
      <c r="D35" s="5">
        <f t="shared" si="0"/>
        <v>5</v>
      </c>
      <c r="E35" s="6">
        <v>21</v>
      </c>
      <c r="F35" s="4">
        <v>3</v>
      </c>
      <c r="G35" s="5">
        <f t="shared" si="1"/>
        <v>24</v>
      </c>
      <c r="H35" s="9">
        <f t="shared" si="2"/>
        <v>29</v>
      </c>
    </row>
    <row r="36" spans="1:8" x14ac:dyDescent="0.25">
      <c r="A36" s="14" t="s">
        <v>24</v>
      </c>
      <c r="B36" s="6">
        <v>0</v>
      </c>
      <c r="C36" s="4">
        <v>0</v>
      </c>
      <c r="D36" s="5">
        <f t="shared" si="0"/>
        <v>0</v>
      </c>
      <c r="E36" s="6">
        <v>4</v>
      </c>
      <c r="F36" s="4">
        <v>0</v>
      </c>
      <c r="G36" s="5">
        <f t="shared" si="1"/>
        <v>4</v>
      </c>
      <c r="H36" s="9">
        <f t="shared" si="2"/>
        <v>4</v>
      </c>
    </row>
    <row r="37" spans="1:8" x14ac:dyDescent="0.25">
      <c r="A37" s="14" t="s">
        <v>71</v>
      </c>
      <c r="B37" s="6">
        <v>5</v>
      </c>
      <c r="C37" s="4">
        <v>0</v>
      </c>
      <c r="D37" s="5">
        <f t="shared" si="0"/>
        <v>5</v>
      </c>
      <c r="E37" s="6">
        <v>12</v>
      </c>
      <c r="F37" s="4">
        <v>1</v>
      </c>
      <c r="G37" s="5">
        <f t="shared" si="1"/>
        <v>13</v>
      </c>
      <c r="H37" s="9">
        <f t="shared" si="2"/>
        <v>18</v>
      </c>
    </row>
    <row r="38" spans="1:8" x14ac:dyDescent="0.25">
      <c r="A38" s="14" t="s">
        <v>72</v>
      </c>
      <c r="B38" s="6">
        <v>5</v>
      </c>
      <c r="C38" s="4">
        <v>0</v>
      </c>
      <c r="D38" s="5">
        <f t="shared" si="0"/>
        <v>5</v>
      </c>
      <c r="E38" s="6">
        <v>9</v>
      </c>
      <c r="F38" s="4">
        <v>1</v>
      </c>
      <c r="G38" s="5">
        <f t="shared" si="1"/>
        <v>10</v>
      </c>
      <c r="H38" s="9">
        <f t="shared" si="2"/>
        <v>15</v>
      </c>
    </row>
    <row r="39" spans="1:8" x14ac:dyDescent="0.25">
      <c r="A39" s="14" t="s">
        <v>26</v>
      </c>
      <c r="B39" s="6">
        <v>3</v>
      </c>
      <c r="C39" s="4">
        <v>0</v>
      </c>
      <c r="D39" s="5">
        <f t="shared" si="0"/>
        <v>3</v>
      </c>
      <c r="E39" s="6">
        <v>20</v>
      </c>
      <c r="F39" s="4">
        <v>0</v>
      </c>
      <c r="G39" s="5">
        <f t="shared" si="1"/>
        <v>20</v>
      </c>
      <c r="H39" s="9">
        <f t="shared" si="2"/>
        <v>23</v>
      </c>
    </row>
    <row r="40" spans="1:8" x14ac:dyDescent="0.25">
      <c r="A40" s="14" t="s">
        <v>73</v>
      </c>
      <c r="B40" s="6">
        <v>2</v>
      </c>
      <c r="C40" s="4">
        <v>0</v>
      </c>
      <c r="D40" s="5">
        <f t="shared" si="0"/>
        <v>2</v>
      </c>
      <c r="E40" s="6">
        <v>14</v>
      </c>
      <c r="F40" s="4">
        <v>0</v>
      </c>
      <c r="G40" s="5">
        <f t="shared" si="1"/>
        <v>14</v>
      </c>
      <c r="H40" s="9">
        <f t="shared" si="2"/>
        <v>16</v>
      </c>
    </row>
    <row r="41" spans="1:8" x14ac:dyDescent="0.25">
      <c r="A41" s="14" t="s">
        <v>161</v>
      </c>
      <c r="B41" s="6">
        <v>0</v>
      </c>
      <c r="C41" s="4">
        <v>0</v>
      </c>
      <c r="D41" s="5">
        <f t="shared" si="0"/>
        <v>0</v>
      </c>
      <c r="E41" s="6">
        <v>9</v>
      </c>
      <c r="F41" s="4">
        <v>0</v>
      </c>
      <c r="G41" s="5">
        <f t="shared" si="1"/>
        <v>9</v>
      </c>
      <c r="H41" s="9">
        <f t="shared" si="2"/>
        <v>9</v>
      </c>
    </row>
    <row r="42" spans="1:8" x14ac:dyDescent="0.25">
      <c r="A42" s="14" t="s">
        <v>174</v>
      </c>
      <c r="B42" s="6">
        <v>0</v>
      </c>
      <c r="C42" s="4">
        <v>0</v>
      </c>
      <c r="D42" s="5">
        <f t="shared" si="0"/>
        <v>0</v>
      </c>
      <c r="E42" s="6">
        <v>105</v>
      </c>
      <c r="F42" s="4">
        <v>3</v>
      </c>
      <c r="G42" s="5">
        <f t="shared" si="1"/>
        <v>108</v>
      </c>
      <c r="H42" s="9">
        <f t="shared" si="2"/>
        <v>108</v>
      </c>
    </row>
    <row r="43" spans="1:8" x14ac:dyDescent="0.25">
      <c r="A43" s="14" t="s">
        <v>28</v>
      </c>
      <c r="B43" s="6">
        <v>3</v>
      </c>
      <c r="C43" s="4">
        <v>0</v>
      </c>
      <c r="D43" s="5">
        <f t="shared" si="0"/>
        <v>3</v>
      </c>
      <c r="E43" s="6">
        <v>3</v>
      </c>
      <c r="F43" s="4">
        <v>0</v>
      </c>
      <c r="G43" s="5">
        <f t="shared" si="1"/>
        <v>3</v>
      </c>
      <c r="H43" s="9">
        <f t="shared" si="2"/>
        <v>6</v>
      </c>
    </row>
    <row r="44" spans="1:8" x14ac:dyDescent="0.25">
      <c r="A44" s="14" t="s">
        <v>133</v>
      </c>
      <c r="B44" s="6">
        <v>0</v>
      </c>
      <c r="C44" s="4">
        <v>0</v>
      </c>
      <c r="D44" s="5">
        <f t="shared" si="0"/>
        <v>0</v>
      </c>
      <c r="E44" s="6">
        <v>0</v>
      </c>
      <c r="F44" s="4">
        <v>0</v>
      </c>
      <c r="G44" s="5">
        <f t="shared" si="1"/>
        <v>0</v>
      </c>
      <c r="H44" s="9">
        <f t="shared" si="2"/>
        <v>0</v>
      </c>
    </row>
    <row r="45" spans="1:8" x14ac:dyDescent="0.25">
      <c r="A45" s="14" t="s">
        <v>1</v>
      </c>
      <c r="B45" s="6">
        <v>4</v>
      </c>
      <c r="C45" s="4">
        <v>0</v>
      </c>
      <c r="D45" s="5">
        <f t="shared" si="0"/>
        <v>4</v>
      </c>
      <c r="E45" s="6">
        <v>32</v>
      </c>
      <c r="F45" s="4">
        <v>4</v>
      </c>
      <c r="G45" s="5">
        <f t="shared" si="1"/>
        <v>36</v>
      </c>
      <c r="H45" s="9">
        <f t="shared" si="2"/>
        <v>40</v>
      </c>
    </row>
    <row r="46" spans="1:8" x14ac:dyDescent="0.25">
      <c r="A46" s="14" t="s">
        <v>162</v>
      </c>
      <c r="B46" s="6">
        <v>2</v>
      </c>
      <c r="C46" s="4">
        <v>0</v>
      </c>
      <c r="D46" s="5">
        <f t="shared" si="0"/>
        <v>2</v>
      </c>
      <c r="E46" s="6">
        <v>0</v>
      </c>
      <c r="F46" s="4">
        <v>0</v>
      </c>
      <c r="G46" s="5">
        <f t="shared" si="1"/>
        <v>0</v>
      </c>
      <c r="H46" s="9">
        <f t="shared" si="2"/>
        <v>2</v>
      </c>
    </row>
    <row r="47" spans="1:8" x14ac:dyDescent="0.25">
      <c r="A47" s="14" t="s">
        <v>158</v>
      </c>
      <c r="B47" s="6">
        <v>0</v>
      </c>
      <c r="C47" s="4">
        <v>2</v>
      </c>
      <c r="D47" s="5">
        <f t="shared" si="0"/>
        <v>2</v>
      </c>
      <c r="E47" s="6">
        <v>2</v>
      </c>
      <c r="F47" s="4">
        <v>1</v>
      </c>
      <c r="G47" s="5">
        <f t="shared" si="1"/>
        <v>3</v>
      </c>
      <c r="H47" s="9">
        <f t="shared" si="2"/>
        <v>5</v>
      </c>
    </row>
    <row r="48" spans="1:8" x14ac:dyDescent="0.25">
      <c r="A48" s="14" t="s">
        <v>30</v>
      </c>
      <c r="B48" s="6">
        <v>16</v>
      </c>
      <c r="C48" s="4">
        <v>9</v>
      </c>
      <c r="D48" s="5">
        <f t="shared" si="0"/>
        <v>25</v>
      </c>
      <c r="E48" s="6">
        <v>0</v>
      </c>
      <c r="F48" s="4">
        <v>0</v>
      </c>
      <c r="G48" s="5">
        <f t="shared" si="1"/>
        <v>0</v>
      </c>
      <c r="H48" s="9">
        <f t="shared" si="2"/>
        <v>25</v>
      </c>
    </row>
    <row r="49" spans="1:8" x14ac:dyDescent="0.25">
      <c r="A49" s="14" t="s">
        <v>31</v>
      </c>
      <c r="B49" s="6">
        <v>8</v>
      </c>
      <c r="C49" s="4">
        <v>6</v>
      </c>
      <c r="D49" s="5">
        <f t="shared" si="0"/>
        <v>14</v>
      </c>
      <c r="E49" s="6">
        <v>16</v>
      </c>
      <c r="F49" s="4">
        <v>2</v>
      </c>
      <c r="G49" s="5">
        <f t="shared" si="1"/>
        <v>18</v>
      </c>
      <c r="H49" s="9">
        <f t="shared" si="2"/>
        <v>32</v>
      </c>
    </row>
    <row r="50" spans="1:8" x14ac:dyDescent="0.25">
      <c r="A50" s="14" t="s">
        <v>32</v>
      </c>
      <c r="B50" s="6">
        <v>0</v>
      </c>
      <c r="C50" s="4">
        <v>0</v>
      </c>
      <c r="D50" s="5">
        <f t="shared" si="0"/>
        <v>0</v>
      </c>
      <c r="E50" s="6">
        <v>50</v>
      </c>
      <c r="F50" s="4">
        <v>3</v>
      </c>
      <c r="G50" s="5">
        <f t="shared" si="1"/>
        <v>53</v>
      </c>
      <c r="H50" s="9">
        <f t="shared" si="2"/>
        <v>53</v>
      </c>
    </row>
    <row r="51" spans="1:8" x14ac:dyDescent="0.25">
      <c r="A51" s="14" t="s">
        <v>163</v>
      </c>
      <c r="B51" s="6">
        <v>0</v>
      </c>
      <c r="C51" s="4">
        <v>0</v>
      </c>
      <c r="D51" s="5">
        <f t="shared" si="0"/>
        <v>0</v>
      </c>
      <c r="E51" s="6">
        <v>1</v>
      </c>
      <c r="F51" s="4">
        <v>1</v>
      </c>
      <c r="G51" s="5">
        <f t="shared" si="1"/>
        <v>2</v>
      </c>
      <c r="H51" s="9">
        <f t="shared" si="2"/>
        <v>2</v>
      </c>
    </row>
    <row r="52" spans="1:8" x14ac:dyDescent="0.25">
      <c r="A52" s="14" t="s">
        <v>159</v>
      </c>
      <c r="B52" s="6">
        <v>5</v>
      </c>
      <c r="C52" s="4">
        <v>0</v>
      </c>
      <c r="D52" s="5">
        <f t="shared" si="0"/>
        <v>5</v>
      </c>
      <c r="E52" s="6">
        <v>0</v>
      </c>
      <c r="F52" s="4">
        <v>0</v>
      </c>
      <c r="G52" s="5">
        <f t="shared" si="1"/>
        <v>0</v>
      </c>
      <c r="H52" s="9">
        <f t="shared" si="2"/>
        <v>5</v>
      </c>
    </row>
    <row r="53" spans="1:8" x14ac:dyDescent="0.25">
      <c r="A53" s="14" t="s">
        <v>35</v>
      </c>
      <c r="B53" s="6">
        <v>0</v>
      </c>
      <c r="C53" s="4">
        <v>0</v>
      </c>
      <c r="D53" s="5">
        <f t="shared" si="0"/>
        <v>0</v>
      </c>
      <c r="E53" s="6">
        <v>7</v>
      </c>
      <c r="F53" s="4">
        <v>0</v>
      </c>
      <c r="G53" s="5">
        <f t="shared" si="1"/>
        <v>7</v>
      </c>
      <c r="H53" s="9">
        <f t="shared" si="2"/>
        <v>7</v>
      </c>
    </row>
    <row r="54" spans="1:8" x14ac:dyDescent="0.25">
      <c r="A54" s="14" t="s">
        <v>38</v>
      </c>
      <c r="B54" s="6">
        <v>56</v>
      </c>
      <c r="C54" s="4">
        <v>2</v>
      </c>
      <c r="D54" s="5">
        <f t="shared" si="0"/>
        <v>58</v>
      </c>
      <c r="E54" s="6">
        <v>3</v>
      </c>
      <c r="F54" s="4">
        <v>0</v>
      </c>
      <c r="G54" s="5">
        <f t="shared" si="1"/>
        <v>3</v>
      </c>
      <c r="H54" s="9">
        <f t="shared" si="2"/>
        <v>61</v>
      </c>
    </row>
    <row r="55" spans="1:8" x14ac:dyDescent="0.25">
      <c r="A55" s="14" t="s">
        <v>141</v>
      </c>
      <c r="B55" s="6">
        <v>0</v>
      </c>
      <c r="C55" s="4">
        <v>0</v>
      </c>
      <c r="D55" s="5">
        <f t="shared" si="0"/>
        <v>0</v>
      </c>
      <c r="E55" s="6">
        <v>39</v>
      </c>
      <c r="F55" s="4">
        <v>5</v>
      </c>
      <c r="G55" s="5">
        <f t="shared" si="1"/>
        <v>44</v>
      </c>
      <c r="H55" s="9">
        <f t="shared" si="2"/>
        <v>44</v>
      </c>
    </row>
    <row r="56" spans="1:8" x14ac:dyDescent="0.25">
      <c r="A56" s="14" t="s">
        <v>164</v>
      </c>
      <c r="B56" s="6">
        <v>4</v>
      </c>
      <c r="C56" s="4">
        <v>2</v>
      </c>
      <c r="D56" s="5">
        <f t="shared" si="0"/>
        <v>6</v>
      </c>
      <c r="E56" s="6">
        <v>142</v>
      </c>
      <c r="F56" s="4">
        <v>10</v>
      </c>
      <c r="G56" s="5">
        <f t="shared" si="1"/>
        <v>152</v>
      </c>
      <c r="H56" s="9">
        <f t="shared" si="2"/>
        <v>158</v>
      </c>
    </row>
    <row r="57" spans="1:8" x14ac:dyDescent="0.25">
      <c r="A57" s="14" t="s">
        <v>41</v>
      </c>
      <c r="B57" s="6">
        <v>2</v>
      </c>
      <c r="C57" s="4">
        <v>0</v>
      </c>
      <c r="D57" s="5">
        <f t="shared" si="0"/>
        <v>2</v>
      </c>
      <c r="E57" s="6">
        <v>4</v>
      </c>
      <c r="F57" s="4">
        <v>0</v>
      </c>
      <c r="G57" s="5">
        <f t="shared" si="1"/>
        <v>4</v>
      </c>
      <c r="H57" s="9">
        <f t="shared" si="2"/>
        <v>6</v>
      </c>
    </row>
    <row r="58" spans="1:8" x14ac:dyDescent="0.25">
      <c r="A58" s="14" t="s">
        <v>175</v>
      </c>
      <c r="B58" s="6">
        <v>0</v>
      </c>
      <c r="C58" s="4">
        <v>0</v>
      </c>
      <c r="D58" s="5">
        <f t="shared" si="0"/>
        <v>0</v>
      </c>
      <c r="E58" s="6">
        <v>64</v>
      </c>
      <c r="F58" s="4">
        <v>1</v>
      </c>
      <c r="G58" s="5">
        <f t="shared" si="1"/>
        <v>65</v>
      </c>
      <c r="H58" s="9">
        <f t="shared" si="2"/>
        <v>65</v>
      </c>
    </row>
    <row r="59" spans="1:8" x14ac:dyDescent="0.25">
      <c r="A59" s="14" t="s">
        <v>121</v>
      </c>
      <c r="B59" s="6">
        <v>10</v>
      </c>
      <c r="C59" s="4">
        <v>2</v>
      </c>
      <c r="D59" s="5">
        <f t="shared" si="0"/>
        <v>12</v>
      </c>
      <c r="E59" s="6">
        <v>31</v>
      </c>
      <c r="F59" s="4">
        <v>2</v>
      </c>
      <c r="G59" s="5">
        <f t="shared" si="1"/>
        <v>33</v>
      </c>
      <c r="H59" s="9">
        <f t="shared" si="2"/>
        <v>45</v>
      </c>
    </row>
    <row r="60" spans="1:8" x14ac:dyDescent="0.25">
      <c r="A60" s="14" t="s">
        <v>42</v>
      </c>
      <c r="B60" s="6">
        <v>1</v>
      </c>
      <c r="C60" s="4">
        <v>0</v>
      </c>
      <c r="D60" s="5">
        <f t="shared" si="0"/>
        <v>1</v>
      </c>
      <c r="E60" s="6">
        <v>9</v>
      </c>
      <c r="F60" s="4">
        <v>0</v>
      </c>
      <c r="G60" s="5">
        <f t="shared" si="1"/>
        <v>9</v>
      </c>
      <c r="H60" s="9">
        <f t="shared" si="2"/>
        <v>10</v>
      </c>
    </row>
    <row r="61" spans="1:8" x14ac:dyDescent="0.25">
      <c r="A61" s="14" t="s">
        <v>43</v>
      </c>
      <c r="B61" s="6">
        <v>0</v>
      </c>
      <c r="C61" s="4">
        <v>0</v>
      </c>
      <c r="D61" s="5">
        <f t="shared" si="0"/>
        <v>0</v>
      </c>
      <c r="E61" s="6">
        <v>46</v>
      </c>
      <c r="F61" s="4">
        <v>4</v>
      </c>
      <c r="G61" s="5">
        <f t="shared" si="1"/>
        <v>50</v>
      </c>
      <c r="H61" s="9">
        <f t="shared" si="2"/>
        <v>50</v>
      </c>
    </row>
    <row r="62" spans="1:8" x14ac:dyDescent="0.25">
      <c r="A62" s="14" t="s">
        <v>44</v>
      </c>
      <c r="B62" s="6">
        <v>1</v>
      </c>
      <c r="C62" s="4">
        <v>0</v>
      </c>
      <c r="D62" s="5">
        <f t="shared" si="0"/>
        <v>1</v>
      </c>
      <c r="E62" s="6">
        <v>4</v>
      </c>
      <c r="F62" s="4">
        <v>0</v>
      </c>
      <c r="G62" s="5">
        <f t="shared" si="1"/>
        <v>4</v>
      </c>
      <c r="H62" s="9">
        <f t="shared" si="2"/>
        <v>5</v>
      </c>
    </row>
    <row r="63" spans="1:8" x14ac:dyDescent="0.25">
      <c r="A63" s="14" t="s">
        <v>45</v>
      </c>
      <c r="B63" s="6">
        <v>6</v>
      </c>
      <c r="C63" s="4">
        <v>5</v>
      </c>
      <c r="D63" s="5">
        <f t="shared" si="0"/>
        <v>11</v>
      </c>
      <c r="E63" s="6">
        <v>6</v>
      </c>
      <c r="F63" s="4">
        <v>1</v>
      </c>
      <c r="G63" s="5">
        <f t="shared" si="1"/>
        <v>7</v>
      </c>
      <c r="H63" s="9">
        <f t="shared" si="2"/>
        <v>18</v>
      </c>
    </row>
    <row r="64" spans="1:8" x14ac:dyDescent="0.25">
      <c r="A64" s="14" t="s">
        <v>176</v>
      </c>
      <c r="B64" s="6">
        <v>0</v>
      </c>
      <c r="C64" s="4">
        <v>0</v>
      </c>
      <c r="D64" s="5">
        <f t="shared" si="0"/>
        <v>0</v>
      </c>
      <c r="E64" s="6">
        <v>8</v>
      </c>
      <c r="F64" s="4">
        <v>3</v>
      </c>
      <c r="G64" s="5">
        <f t="shared" si="1"/>
        <v>11</v>
      </c>
      <c r="H64" s="9">
        <f t="shared" si="2"/>
        <v>11</v>
      </c>
    </row>
    <row r="65" spans="1:8" x14ac:dyDescent="0.25">
      <c r="A65" s="14" t="s">
        <v>104</v>
      </c>
      <c r="B65" s="6">
        <v>0</v>
      </c>
      <c r="C65" s="4">
        <v>0</v>
      </c>
      <c r="D65" s="5">
        <f t="shared" si="0"/>
        <v>0</v>
      </c>
      <c r="E65" s="6">
        <v>1</v>
      </c>
      <c r="F65" s="4">
        <v>1</v>
      </c>
      <c r="G65" s="5">
        <f t="shared" si="1"/>
        <v>2</v>
      </c>
      <c r="H65" s="9">
        <f t="shared" si="2"/>
        <v>2</v>
      </c>
    </row>
    <row r="66" spans="1:8" x14ac:dyDescent="0.25">
      <c r="A66" s="14" t="s">
        <v>165</v>
      </c>
      <c r="B66" s="6">
        <v>0</v>
      </c>
      <c r="C66" s="4">
        <v>0</v>
      </c>
      <c r="D66" s="5">
        <f t="shared" si="0"/>
        <v>0</v>
      </c>
      <c r="E66" s="6">
        <v>13</v>
      </c>
      <c r="F66" s="4">
        <v>3</v>
      </c>
      <c r="G66" s="5">
        <f t="shared" si="1"/>
        <v>16</v>
      </c>
      <c r="H66" s="9">
        <f t="shared" si="2"/>
        <v>16</v>
      </c>
    </row>
    <row r="67" spans="1:8" x14ac:dyDescent="0.25">
      <c r="A67" s="14" t="s">
        <v>92</v>
      </c>
      <c r="B67" s="6">
        <v>0</v>
      </c>
      <c r="C67" s="4">
        <v>0</v>
      </c>
      <c r="D67" s="5">
        <f t="shared" si="0"/>
        <v>0</v>
      </c>
      <c r="E67" s="6">
        <v>154</v>
      </c>
      <c r="F67" s="4">
        <v>17</v>
      </c>
      <c r="G67" s="5">
        <f t="shared" si="1"/>
        <v>171</v>
      </c>
      <c r="H67" s="9">
        <f t="shared" si="2"/>
        <v>171</v>
      </c>
    </row>
    <row r="68" spans="1:8" x14ac:dyDescent="0.25">
      <c r="A68" s="14" t="s">
        <v>142</v>
      </c>
      <c r="B68" s="6">
        <v>4</v>
      </c>
      <c r="C68" s="4">
        <v>0</v>
      </c>
      <c r="D68" s="5">
        <f t="shared" si="0"/>
        <v>4</v>
      </c>
      <c r="E68" s="6">
        <v>32</v>
      </c>
      <c r="F68" s="4">
        <v>7</v>
      </c>
      <c r="G68" s="5">
        <f t="shared" si="1"/>
        <v>39</v>
      </c>
      <c r="H68" s="9">
        <f t="shared" si="2"/>
        <v>43</v>
      </c>
    </row>
    <row r="69" spans="1:8" x14ac:dyDescent="0.25">
      <c r="A69" s="14" t="s">
        <v>107</v>
      </c>
      <c r="B69" s="6">
        <v>0</v>
      </c>
      <c r="C69" s="4">
        <v>0</v>
      </c>
      <c r="D69" s="5">
        <f t="shared" si="0"/>
        <v>0</v>
      </c>
      <c r="E69" s="6">
        <v>466</v>
      </c>
      <c r="F69" s="4">
        <v>32</v>
      </c>
      <c r="G69" s="5">
        <f t="shared" si="1"/>
        <v>498</v>
      </c>
      <c r="H69" s="9">
        <f t="shared" si="2"/>
        <v>498</v>
      </c>
    </row>
    <row r="70" spans="1:8" x14ac:dyDescent="0.25">
      <c r="A70" s="14" t="s">
        <v>166</v>
      </c>
      <c r="B70" s="6">
        <v>0</v>
      </c>
      <c r="C70" s="4">
        <v>0</v>
      </c>
      <c r="D70" s="5">
        <f t="shared" si="0"/>
        <v>0</v>
      </c>
      <c r="E70" s="6">
        <v>74</v>
      </c>
      <c r="F70" s="4">
        <v>14</v>
      </c>
      <c r="G70" s="5">
        <f t="shared" si="1"/>
        <v>88</v>
      </c>
      <c r="H70" s="9">
        <f t="shared" si="2"/>
        <v>88</v>
      </c>
    </row>
    <row r="71" spans="1:8" x14ac:dyDescent="0.25">
      <c r="A71" s="14" t="s">
        <v>167</v>
      </c>
      <c r="B71" s="6">
        <v>0</v>
      </c>
      <c r="C71" s="4">
        <v>0</v>
      </c>
      <c r="D71" s="5">
        <f t="shared" si="0"/>
        <v>0</v>
      </c>
      <c r="E71" s="6">
        <v>39</v>
      </c>
      <c r="F71" s="4">
        <v>0</v>
      </c>
      <c r="G71" s="5">
        <f t="shared" si="1"/>
        <v>39</v>
      </c>
      <c r="H71" s="9">
        <f t="shared" si="2"/>
        <v>39</v>
      </c>
    </row>
    <row r="72" spans="1:8" x14ac:dyDescent="0.25">
      <c r="A72" s="14" t="s">
        <v>177</v>
      </c>
      <c r="B72" s="6">
        <v>15</v>
      </c>
      <c r="C72" s="4">
        <v>1</v>
      </c>
      <c r="D72" s="5">
        <f t="shared" si="0"/>
        <v>16</v>
      </c>
      <c r="E72" s="6">
        <v>0</v>
      </c>
      <c r="F72" s="4">
        <v>0</v>
      </c>
      <c r="G72" s="5">
        <f t="shared" si="1"/>
        <v>0</v>
      </c>
      <c r="H72" s="9">
        <f t="shared" si="2"/>
        <v>16</v>
      </c>
    </row>
    <row r="73" spans="1:8" x14ac:dyDescent="0.25">
      <c r="A73" s="14" t="s">
        <v>168</v>
      </c>
      <c r="B73" s="6">
        <v>0</v>
      </c>
      <c r="C73" s="4">
        <v>0</v>
      </c>
      <c r="D73" s="5">
        <f t="shared" si="0"/>
        <v>0</v>
      </c>
      <c r="E73" s="6">
        <v>66</v>
      </c>
      <c r="F73" s="4">
        <v>10</v>
      </c>
      <c r="G73" s="5">
        <f t="shared" si="1"/>
        <v>76</v>
      </c>
      <c r="H73" s="9">
        <f t="shared" si="2"/>
        <v>76</v>
      </c>
    </row>
    <row r="74" spans="1:8" x14ac:dyDescent="0.25">
      <c r="A74" s="14" t="s">
        <v>99</v>
      </c>
      <c r="B74" s="6">
        <v>0</v>
      </c>
      <c r="C74" s="4">
        <v>0</v>
      </c>
      <c r="D74" s="5">
        <f t="shared" si="0"/>
        <v>0</v>
      </c>
      <c r="E74" s="6">
        <v>69</v>
      </c>
      <c r="F74" s="4">
        <v>13</v>
      </c>
      <c r="G74" s="5">
        <f t="shared" si="1"/>
        <v>82</v>
      </c>
      <c r="H74" s="9">
        <f t="shared" si="2"/>
        <v>82</v>
      </c>
    </row>
    <row r="75" spans="1:8" x14ac:dyDescent="0.25">
      <c r="A75" s="14" t="s">
        <v>70</v>
      </c>
      <c r="B75" s="6">
        <v>0</v>
      </c>
      <c r="C75" s="4">
        <v>0</v>
      </c>
      <c r="D75" s="5">
        <f t="shared" si="0"/>
        <v>0</v>
      </c>
      <c r="E75" s="6">
        <v>30</v>
      </c>
      <c r="F75" s="4">
        <v>8</v>
      </c>
      <c r="G75" s="5">
        <f t="shared" si="1"/>
        <v>38</v>
      </c>
      <c r="H75" s="9">
        <f t="shared" si="2"/>
        <v>38</v>
      </c>
    </row>
    <row r="76" spans="1:8" x14ac:dyDescent="0.25">
      <c r="A76" s="14" t="s">
        <v>169</v>
      </c>
      <c r="B76" s="6">
        <v>0</v>
      </c>
      <c r="C76" s="4">
        <v>0</v>
      </c>
      <c r="D76" s="5">
        <f t="shared" si="0"/>
        <v>0</v>
      </c>
      <c r="E76" s="6">
        <v>124</v>
      </c>
      <c r="F76" s="4">
        <v>10</v>
      </c>
      <c r="G76" s="5">
        <f t="shared" si="1"/>
        <v>134</v>
      </c>
      <c r="H76" s="9">
        <f t="shared" si="2"/>
        <v>134</v>
      </c>
    </row>
    <row r="77" spans="1:8" x14ac:dyDescent="0.25">
      <c r="A77" s="14" t="s">
        <v>170</v>
      </c>
      <c r="B77" s="6">
        <v>0</v>
      </c>
      <c r="C77" s="4">
        <v>0</v>
      </c>
      <c r="D77" s="5">
        <f t="shared" si="0"/>
        <v>0</v>
      </c>
      <c r="E77" s="6">
        <v>3</v>
      </c>
      <c r="F77" s="4">
        <v>0</v>
      </c>
      <c r="G77" s="5">
        <f t="shared" si="1"/>
        <v>3</v>
      </c>
      <c r="H77" s="9">
        <f t="shared" si="2"/>
        <v>3</v>
      </c>
    </row>
    <row r="78" spans="1:8" x14ac:dyDescent="0.25">
      <c r="A78" s="14" t="s">
        <v>171</v>
      </c>
      <c r="B78" s="6">
        <v>0</v>
      </c>
      <c r="C78" s="4">
        <v>0</v>
      </c>
      <c r="D78" s="5">
        <f t="shared" si="0"/>
        <v>0</v>
      </c>
      <c r="E78" s="6">
        <v>65</v>
      </c>
      <c r="F78" s="4">
        <v>12</v>
      </c>
      <c r="G78" s="5">
        <f t="shared" si="1"/>
        <v>77</v>
      </c>
      <c r="H78" s="9">
        <f t="shared" si="2"/>
        <v>77</v>
      </c>
    </row>
    <row r="79" spans="1:8" ht="15.75" thickBot="1" x14ac:dyDescent="0.3">
      <c r="A79" s="15" t="s">
        <v>172</v>
      </c>
      <c r="B79" s="11">
        <v>0</v>
      </c>
      <c r="C79" s="12">
        <v>0</v>
      </c>
      <c r="D79" s="12">
        <f t="shared" si="0"/>
        <v>0</v>
      </c>
      <c r="E79" s="11">
        <v>21</v>
      </c>
      <c r="F79" s="12">
        <v>14</v>
      </c>
      <c r="G79" s="13">
        <f t="shared" si="1"/>
        <v>35</v>
      </c>
      <c r="H79" s="16">
        <f t="shared" si="2"/>
        <v>35</v>
      </c>
    </row>
    <row r="80" spans="1:8" ht="16.5" thickTop="1" thickBot="1" x14ac:dyDescent="0.3">
      <c r="A80" s="8" t="s">
        <v>0</v>
      </c>
      <c r="B80" s="7">
        <f t="shared" ref="B80:H80" si="3">SUM(B7:B79)</f>
        <v>216</v>
      </c>
      <c r="C80" s="7">
        <f t="shared" si="3"/>
        <v>59</v>
      </c>
      <c r="D80" s="7">
        <f t="shared" si="3"/>
        <v>275</v>
      </c>
      <c r="E80" s="7">
        <f t="shared" si="3"/>
        <v>2561</v>
      </c>
      <c r="F80" s="7">
        <f t="shared" si="3"/>
        <v>298</v>
      </c>
      <c r="G80" s="7">
        <f t="shared" si="3"/>
        <v>2859</v>
      </c>
      <c r="H80" s="7">
        <f t="shared" si="3"/>
        <v>3134</v>
      </c>
    </row>
    <row r="81" spans="1:8" ht="15.75" thickBot="1" x14ac:dyDescent="0.3"/>
    <row r="82" spans="1:8" x14ac:dyDescent="0.25">
      <c r="A82" s="26" t="s">
        <v>74</v>
      </c>
      <c r="B82" s="28" t="s">
        <v>3</v>
      </c>
      <c r="C82" s="29"/>
      <c r="D82" s="29"/>
      <c r="E82" s="28" t="s">
        <v>4</v>
      </c>
      <c r="F82" s="29"/>
      <c r="G82" s="29"/>
      <c r="H82" s="26" t="s">
        <v>0</v>
      </c>
    </row>
    <row r="83" spans="1:8" x14ac:dyDescent="0.25">
      <c r="A83" s="27"/>
      <c r="B83" s="20" t="s">
        <v>82</v>
      </c>
      <c r="C83" s="21" t="s">
        <v>83</v>
      </c>
      <c r="D83" s="22" t="s">
        <v>0</v>
      </c>
      <c r="E83" s="20" t="s">
        <v>82</v>
      </c>
      <c r="F83" s="21" t="s">
        <v>83</v>
      </c>
      <c r="G83" s="22" t="s">
        <v>0</v>
      </c>
      <c r="H83" s="27"/>
    </row>
    <row r="84" spans="1:8" x14ac:dyDescent="0.25">
      <c r="A84" s="14" t="s">
        <v>75</v>
      </c>
      <c r="B84" s="6">
        <v>26</v>
      </c>
      <c r="C84" s="4">
        <v>0</v>
      </c>
      <c r="D84" s="5">
        <f t="shared" ref="D84:D91" si="4">SUM(B84:C84)</f>
        <v>26</v>
      </c>
      <c r="E84" s="6">
        <v>220</v>
      </c>
      <c r="F84" s="4">
        <v>9</v>
      </c>
      <c r="G84" s="5">
        <f t="shared" ref="G84:G91" si="5">SUM(E84:F84)</f>
        <v>229</v>
      </c>
      <c r="H84" s="9">
        <f t="shared" ref="H84:H91" si="6">D84+G84</f>
        <v>255</v>
      </c>
    </row>
    <row r="85" spans="1:8" x14ac:dyDescent="0.25">
      <c r="A85" s="14" t="s">
        <v>147</v>
      </c>
      <c r="B85" s="6">
        <v>19</v>
      </c>
      <c r="C85" s="4">
        <v>1</v>
      </c>
      <c r="D85" s="5">
        <f t="shared" si="4"/>
        <v>20</v>
      </c>
      <c r="E85" s="6">
        <v>1165</v>
      </c>
      <c r="F85" s="4">
        <v>144</v>
      </c>
      <c r="G85" s="5">
        <f t="shared" si="5"/>
        <v>1309</v>
      </c>
      <c r="H85" s="9">
        <f t="shared" si="6"/>
        <v>1329</v>
      </c>
    </row>
    <row r="86" spans="1:8" x14ac:dyDescent="0.25">
      <c r="A86" s="14" t="s">
        <v>76</v>
      </c>
      <c r="B86" s="6">
        <v>16</v>
      </c>
      <c r="C86" s="4">
        <v>7</v>
      </c>
      <c r="D86" s="5">
        <f t="shared" si="4"/>
        <v>23</v>
      </c>
      <c r="E86" s="6">
        <v>304</v>
      </c>
      <c r="F86" s="4">
        <v>24</v>
      </c>
      <c r="G86" s="5">
        <f t="shared" si="5"/>
        <v>328</v>
      </c>
      <c r="H86" s="9">
        <f t="shared" si="6"/>
        <v>351</v>
      </c>
    </row>
    <row r="87" spans="1:8" x14ac:dyDescent="0.25">
      <c r="A87" s="14" t="s">
        <v>129</v>
      </c>
      <c r="B87" s="6">
        <v>14</v>
      </c>
      <c r="C87" s="4">
        <v>17</v>
      </c>
      <c r="D87" s="5">
        <f t="shared" si="4"/>
        <v>31</v>
      </c>
      <c r="E87" s="6">
        <v>234</v>
      </c>
      <c r="F87" s="4">
        <v>52</v>
      </c>
      <c r="G87" s="5">
        <f t="shared" si="5"/>
        <v>286</v>
      </c>
      <c r="H87" s="9">
        <f t="shared" si="6"/>
        <v>317</v>
      </c>
    </row>
    <row r="88" spans="1:8" x14ac:dyDescent="0.25">
      <c r="A88" s="14" t="s">
        <v>1</v>
      </c>
      <c r="B88" s="6">
        <v>4</v>
      </c>
      <c r="C88" s="4">
        <v>0</v>
      </c>
      <c r="D88" s="5">
        <f t="shared" si="4"/>
        <v>4</v>
      </c>
      <c r="E88" s="6">
        <v>32</v>
      </c>
      <c r="F88" s="4">
        <v>4</v>
      </c>
      <c r="G88" s="5">
        <f t="shared" si="5"/>
        <v>36</v>
      </c>
      <c r="H88" s="9">
        <f t="shared" si="6"/>
        <v>40</v>
      </c>
    </row>
    <row r="89" spans="1:8" x14ac:dyDescent="0.25">
      <c r="A89" s="14" t="s">
        <v>79</v>
      </c>
      <c r="B89" s="6">
        <v>26</v>
      </c>
      <c r="C89" s="4">
        <v>7</v>
      </c>
      <c r="D89" s="5">
        <f t="shared" si="4"/>
        <v>33</v>
      </c>
      <c r="E89" s="6">
        <v>168</v>
      </c>
      <c r="F89" s="4">
        <v>14</v>
      </c>
      <c r="G89" s="5">
        <f t="shared" si="5"/>
        <v>182</v>
      </c>
      <c r="H89" s="9">
        <f t="shared" si="6"/>
        <v>215</v>
      </c>
    </row>
    <row r="90" spans="1:8" x14ac:dyDescent="0.25">
      <c r="A90" s="14" t="s">
        <v>80</v>
      </c>
      <c r="B90" s="6">
        <v>90</v>
      </c>
      <c r="C90" s="4">
        <v>16</v>
      </c>
      <c r="D90" s="5">
        <f t="shared" si="4"/>
        <v>106</v>
      </c>
      <c r="E90" s="6">
        <v>88</v>
      </c>
      <c r="F90" s="4">
        <v>5</v>
      </c>
      <c r="G90" s="5">
        <f t="shared" si="5"/>
        <v>93</v>
      </c>
      <c r="H90" s="9">
        <f t="shared" si="6"/>
        <v>199</v>
      </c>
    </row>
    <row r="91" spans="1:8" ht="15.75" thickBot="1" x14ac:dyDescent="0.3">
      <c r="A91" s="15" t="s">
        <v>81</v>
      </c>
      <c r="B91" s="11">
        <v>21</v>
      </c>
      <c r="C91" s="12">
        <v>11</v>
      </c>
      <c r="D91" s="12">
        <f t="shared" si="4"/>
        <v>32</v>
      </c>
      <c r="E91" s="11">
        <v>350</v>
      </c>
      <c r="F91" s="12">
        <v>46</v>
      </c>
      <c r="G91" s="13">
        <f t="shared" si="5"/>
        <v>396</v>
      </c>
      <c r="H91" s="16">
        <f t="shared" si="6"/>
        <v>428</v>
      </c>
    </row>
    <row r="92" spans="1:8" ht="16.5" thickTop="1" thickBot="1" x14ac:dyDescent="0.3">
      <c r="A92" s="8" t="s">
        <v>0</v>
      </c>
      <c r="B92" s="7">
        <f t="shared" ref="B92:H92" si="7">SUM(B84:B91)</f>
        <v>216</v>
      </c>
      <c r="C92" s="7">
        <f t="shared" si="7"/>
        <v>59</v>
      </c>
      <c r="D92" s="7">
        <f t="shared" si="7"/>
        <v>275</v>
      </c>
      <c r="E92" s="7">
        <f t="shared" si="7"/>
        <v>2561</v>
      </c>
      <c r="F92" s="7">
        <f t="shared" si="7"/>
        <v>298</v>
      </c>
      <c r="G92" s="7">
        <f t="shared" si="7"/>
        <v>2859</v>
      </c>
      <c r="H92" s="7">
        <f t="shared" si="7"/>
        <v>3134</v>
      </c>
    </row>
    <row r="94" spans="1:8" x14ac:dyDescent="0.25">
      <c r="A94" s="33" t="s">
        <v>145</v>
      </c>
      <c r="B94" s="33"/>
      <c r="C94" s="33"/>
      <c r="D94" s="33"/>
      <c r="E94" s="33"/>
      <c r="F94" s="33"/>
      <c r="G94" s="33"/>
      <c r="H94" s="33"/>
    </row>
    <row r="95" spans="1:8" x14ac:dyDescent="0.25">
      <c r="A95" s="33"/>
      <c r="B95" s="33"/>
      <c r="C95" s="33"/>
      <c r="D95" s="33"/>
      <c r="E95" s="33"/>
      <c r="F95" s="33"/>
      <c r="G95" s="33"/>
      <c r="H95" s="33"/>
    </row>
    <row r="96" spans="1:8" x14ac:dyDescent="0.25">
      <c r="A96" s="33"/>
      <c r="B96" s="33"/>
      <c r="C96" s="33"/>
      <c r="D96" s="33"/>
      <c r="E96" s="33"/>
      <c r="F96" s="33"/>
      <c r="G96" s="33"/>
      <c r="H96" s="33"/>
    </row>
    <row r="98" spans="1:8" x14ac:dyDescent="0.25">
      <c r="A98" s="34"/>
      <c r="B98" s="34"/>
      <c r="C98" s="34"/>
      <c r="D98" s="34"/>
      <c r="E98" s="34"/>
      <c r="F98" s="34"/>
      <c r="G98" s="34"/>
      <c r="H98" s="34"/>
    </row>
  </sheetData>
  <mergeCells count="11">
    <mergeCell ref="A2:H2"/>
    <mergeCell ref="A5:A6"/>
    <mergeCell ref="B5:D5"/>
    <mergeCell ref="E5:G5"/>
    <mergeCell ref="H5:H6"/>
    <mergeCell ref="A94:H96"/>
    <mergeCell ref="A98:H98"/>
    <mergeCell ref="A82:A83"/>
    <mergeCell ref="B82:D82"/>
    <mergeCell ref="E82:G82"/>
    <mergeCell ref="H82:H8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97"/>
  <sheetViews>
    <sheetView tabSelected="1" view="pageLayout" topLeftCell="A79" zoomScale="70" zoomScaleNormal="100" zoomScalePageLayoutView="70" workbookViewId="0">
      <selection activeCell="A97" sqref="A97:H97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2008-09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6</v>
      </c>
      <c r="B7" s="6">
        <v>1</v>
      </c>
      <c r="C7" s="4">
        <v>0</v>
      </c>
      <c r="D7" s="5">
        <f>SUM(B7:C7)</f>
        <v>1</v>
      </c>
      <c r="E7" s="6">
        <v>25</v>
      </c>
      <c r="F7" s="4">
        <v>2</v>
      </c>
      <c r="G7" s="5">
        <f>SUM(E7:F7)</f>
        <v>27</v>
      </c>
      <c r="H7" s="9">
        <f>D7+G7</f>
        <v>28</v>
      </c>
    </row>
    <row r="8" spans="1:8" x14ac:dyDescent="0.25">
      <c r="A8" s="14" t="s">
        <v>7</v>
      </c>
      <c r="B8" s="6">
        <v>1</v>
      </c>
      <c r="C8" s="4">
        <v>0</v>
      </c>
      <c r="D8" s="5">
        <f t="shared" ref="D8:D78" si="0">SUM(B8:C8)</f>
        <v>1</v>
      </c>
      <c r="E8" s="6">
        <v>87</v>
      </c>
      <c r="F8" s="4">
        <v>4</v>
      </c>
      <c r="G8" s="5">
        <f t="shared" ref="G8:G78" si="1">SUM(E8:F8)</f>
        <v>91</v>
      </c>
      <c r="H8" s="9">
        <f t="shared" ref="H8:H78" si="2">D8+G8</f>
        <v>92</v>
      </c>
    </row>
    <row r="9" spans="1:8" x14ac:dyDescent="0.25">
      <c r="A9" s="14" t="s">
        <v>8</v>
      </c>
      <c r="B9" s="6">
        <v>6</v>
      </c>
      <c r="C9" s="4">
        <v>3</v>
      </c>
      <c r="D9" s="5">
        <f t="shared" si="0"/>
        <v>9</v>
      </c>
      <c r="E9" s="6">
        <v>42</v>
      </c>
      <c r="F9" s="4">
        <v>5</v>
      </c>
      <c r="G9" s="5">
        <f t="shared" si="1"/>
        <v>47</v>
      </c>
      <c r="H9" s="9">
        <f t="shared" si="2"/>
        <v>56</v>
      </c>
    </row>
    <row r="10" spans="1:8" x14ac:dyDescent="0.25">
      <c r="A10" s="14" t="s">
        <v>148</v>
      </c>
      <c r="B10" s="6">
        <v>1</v>
      </c>
      <c r="C10" s="4">
        <v>2</v>
      </c>
      <c r="D10" s="5">
        <f t="shared" si="0"/>
        <v>3</v>
      </c>
      <c r="E10" s="6">
        <v>1</v>
      </c>
      <c r="F10" s="4">
        <v>0</v>
      </c>
      <c r="G10" s="5">
        <f t="shared" si="1"/>
        <v>1</v>
      </c>
      <c r="H10" s="9">
        <f t="shared" si="2"/>
        <v>4</v>
      </c>
    </row>
    <row r="11" spans="1:8" x14ac:dyDescent="0.25">
      <c r="A11" s="14" t="s">
        <v>149</v>
      </c>
      <c r="B11" s="6">
        <v>0</v>
      </c>
      <c r="C11" s="4">
        <v>0</v>
      </c>
      <c r="D11" s="5">
        <f t="shared" si="0"/>
        <v>0</v>
      </c>
      <c r="E11" s="6">
        <v>209</v>
      </c>
      <c r="F11" s="4">
        <v>15</v>
      </c>
      <c r="G11" s="5">
        <f t="shared" si="1"/>
        <v>224</v>
      </c>
      <c r="H11" s="9">
        <f t="shared" si="2"/>
        <v>224</v>
      </c>
    </row>
    <row r="12" spans="1:8" x14ac:dyDescent="0.25">
      <c r="A12" s="14" t="s">
        <v>150</v>
      </c>
      <c r="B12" s="6">
        <v>1</v>
      </c>
      <c r="C12" s="4">
        <v>1</v>
      </c>
      <c r="D12" s="5">
        <f t="shared" si="0"/>
        <v>2</v>
      </c>
      <c r="E12" s="6">
        <v>85</v>
      </c>
      <c r="F12" s="4">
        <v>4</v>
      </c>
      <c r="G12" s="5">
        <f t="shared" si="1"/>
        <v>89</v>
      </c>
      <c r="H12" s="9">
        <f t="shared" si="2"/>
        <v>91</v>
      </c>
    </row>
    <row r="13" spans="1:8" x14ac:dyDescent="0.25">
      <c r="A13" s="14" t="s">
        <v>100</v>
      </c>
      <c r="B13" s="6">
        <v>1</v>
      </c>
      <c r="C13" s="4">
        <v>0</v>
      </c>
      <c r="D13" s="5">
        <f t="shared" si="0"/>
        <v>1</v>
      </c>
      <c r="E13" s="6">
        <v>6</v>
      </c>
      <c r="F13" s="4">
        <v>2</v>
      </c>
      <c r="G13" s="5">
        <f t="shared" si="1"/>
        <v>8</v>
      </c>
      <c r="H13" s="9">
        <f t="shared" si="2"/>
        <v>9</v>
      </c>
    </row>
    <row r="14" spans="1:8" x14ac:dyDescent="0.25">
      <c r="A14" s="14" t="s">
        <v>160</v>
      </c>
      <c r="B14" s="6">
        <v>22</v>
      </c>
      <c r="C14" s="4">
        <v>4</v>
      </c>
      <c r="D14" s="5">
        <f t="shared" si="0"/>
        <v>26</v>
      </c>
      <c r="E14" s="6">
        <v>34</v>
      </c>
      <c r="F14" s="4">
        <v>2</v>
      </c>
      <c r="G14" s="5">
        <f t="shared" si="1"/>
        <v>36</v>
      </c>
      <c r="H14" s="9">
        <f t="shared" si="2"/>
        <v>62</v>
      </c>
    </row>
    <row r="15" spans="1:8" x14ac:dyDescent="0.25">
      <c r="A15" s="14" t="s">
        <v>156</v>
      </c>
      <c r="B15" s="6">
        <v>0</v>
      </c>
      <c r="C15" s="4">
        <v>0</v>
      </c>
      <c r="D15" s="5">
        <f t="shared" si="0"/>
        <v>0</v>
      </c>
      <c r="E15" s="6">
        <v>0</v>
      </c>
      <c r="F15" s="4">
        <v>0</v>
      </c>
      <c r="G15" s="5">
        <f t="shared" si="1"/>
        <v>0</v>
      </c>
      <c r="H15" s="9">
        <f t="shared" si="2"/>
        <v>0</v>
      </c>
    </row>
    <row r="16" spans="1:8" x14ac:dyDescent="0.25">
      <c r="A16" s="14" t="s">
        <v>130</v>
      </c>
      <c r="B16" s="6">
        <v>0</v>
      </c>
      <c r="C16" s="4">
        <v>0</v>
      </c>
      <c r="D16" s="5">
        <f t="shared" si="0"/>
        <v>0</v>
      </c>
      <c r="E16" s="6">
        <v>8</v>
      </c>
      <c r="F16" s="4">
        <v>1</v>
      </c>
      <c r="G16" s="5">
        <f t="shared" si="1"/>
        <v>9</v>
      </c>
      <c r="H16" s="9">
        <f t="shared" si="2"/>
        <v>9</v>
      </c>
    </row>
    <row r="17" spans="1:8" x14ac:dyDescent="0.25">
      <c r="A17" s="14" t="s">
        <v>151</v>
      </c>
      <c r="B17" s="6">
        <v>0</v>
      </c>
      <c r="C17" s="4">
        <v>0</v>
      </c>
      <c r="D17" s="5">
        <f t="shared" si="0"/>
        <v>0</v>
      </c>
      <c r="E17" s="6">
        <v>24</v>
      </c>
      <c r="F17" s="4">
        <v>3</v>
      </c>
      <c r="G17" s="5">
        <f t="shared" si="1"/>
        <v>27</v>
      </c>
      <c r="H17" s="9">
        <f t="shared" si="2"/>
        <v>27</v>
      </c>
    </row>
    <row r="18" spans="1:8" x14ac:dyDescent="0.25">
      <c r="A18" s="14" t="s">
        <v>152</v>
      </c>
      <c r="B18" s="6">
        <v>0</v>
      </c>
      <c r="C18" s="4">
        <v>0</v>
      </c>
      <c r="D18" s="5">
        <f t="shared" si="0"/>
        <v>0</v>
      </c>
      <c r="E18" s="6">
        <v>0</v>
      </c>
      <c r="F18" s="4">
        <v>0</v>
      </c>
      <c r="G18" s="5">
        <f t="shared" si="1"/>
        <v>0</v>
      </c>
      <c r="H18" s="9">
        <f t="shared" si="2"/>
        <v>0</v>
      </c>
    </row>
    <row r="19" spans="1:8" x14ac:dyDescent="0.25">
      <c r="A19" s="14" t="s">
        <v>135</v>
      </c>
      <c r="B19" s="6">
        <v>0</v>
      </c>
      <c r="C19" s="4">
        <v>0</v>
      </c>
      <c r="D19" s="5">
        <f t="shared" si="0"/>
        <v>0</v>
      </c>
      <c r="E19" s="6">
        <v>96</v>
      </c>
      <c r="F19" s="4">
        <v>20</v>
      </c>
      <c r="G19" s="5">
        <f t="shared" si="1"/>
        <v>116</v>
      </c>
      <c r="H19" s="9">
        <f t="shared" si="2"/>
        <v>116</v>
      </c>
    </row>
    <row r="20" spans="1:8" x14ac:dyDescent="0.25">
      <c r="A20" s="14" t="s">
        <v>101</v>
      </c>
      <c r="B20" s="6">
        <v>5</v>
      </c>
      <c r="C20" s="4">
        <v>2</v>
      </c>
      <c r="D20" s="5">
        <f t="shared" si="0"/>
        <v>7</v>
      </c>
      <c r="E20" s="6">
        <v>2</v>
      </c>
      <c r="F20" s="4">
        <v>3</v>
      </c>
      <c r="G20" s="5">
        <f t="shared" si="1"/>
        <v>5</v>
      </c>
      <c r="H20" s="9">
        <f t="shared" si="2"/>
        <v>12</v>
      </c>
    </row>
    <row r="21" spans="1:8" x14ac:dyDescent="0.25">
      <c r="A21" s="14" t="s">
        <v>12</v>
      </c>
      <c r="B21" s="6">
        <v>6</v>
      </c>
      <c r="C21" s="4">
        <v>0</v>
      </c>
      <c r="D21" s="5">
        <f t="shared" si="0"/>
        <v>6</v>
      </c>
      <c r="E21" s="6">
        <v>4</v>
      </c>
      <c r="F21" s="4">
        <v>0</v>
      </c>
      <c r="G21" s="5">
        <f t="shared" si="1"/>
        <v>4</v>
      </c>
      <c r="H21" s="9">
        <f t="shared" si="2"/>
        <v>10</v>
      </c>
    </row>
    <row r="22" spans="1:8" x14ac:dyDescent="0.25">
      <c r="A22" s="14" t="s">
        <v>157</v>
      </c>
      <c r="B22" s="6">
        <v>2</v>
      </c>
      <c r="C22" s="4">
        <v>0</v>
      </c>
      <c r="D22" s="5">
        <f t="shared" si="0"/>
        <v>2</v>
      </c>
      <c r="E22" s="6">
        <v>16</v>
      </c>
      <c r="F22" s="4">
        <v>4</v>
      </c>
      <c r="G22" s="5">
        <f t="shared" si="1"/>
        <v>20</v>
      </c>
      <c r="H22" s="9">
        <f t="shared" si="2"/>
        <v>22</v>
      </c>
    </row>
    <row r="23" spans="1:8" x14ac:dyDescent="0.25">
      <c r="A23" s="14" t="s">
        <v>14</v>
      </c>
      <c r="B23" s="6">
        <v>6</v>
      </c>
      <c r="C23" s="4">
        <v>3</v>
      </c>
      <c r="D23" s="5">
        <f t="shared" si="0"/>
        <v>9</v>
      </c>
      <c r="E23" s="6">
        <v>11</v>
      </c>
      <c r="F23" s="4">
        <v>1</v>
      </c>
      <c r="G23" s="5">
        <f t="shared" si="1"/>
        <v>12</v>
      </c>
      <c r="H23" s="9">
        <f t="shared" si="2"/>
        <v>21</v>
      </c>
    </row>
    <row r="24" spans="1:8" x14ac:dyDescent="0.25">
      <c r="A24" s="14" t="s">
        <v>15</v>
      </c>
      <c r="B24" s="6">
        <v>0</v>
      </c>
      <c r="C24" s="4">
        <v>0</v>
      </c>
      <c r="D24" s="5">
        <f t="shared" si="0"/>
        <v>0</v>
      </c>
      <c r="E24" s="6">
        <v>34</v>
      </c>
      <c r="F24" s="4">
        <v>5</v>
      </c>
      <c r="G24" s="5">
        <f t="shared" si="1"/>
        <v>39</v>
      </c>
      <c r="H24" s="9">
        <f t="shared" si="2"/>
        <v>39</v>
      </c>
    </row>
    <row r="25" spans="1:8" x14ac:dyDescent="0.25">
      <c r="A25" s="14" t="s">
        <v>16</v>
      </c>
      <c r="B25" s="6">
        <v>3</v>
      </c>
      <c r="C25" s="4">
        <v>0</v>
      </c>
      <c r="D25" s="5">
        <f t="shared" si="0"/>
        <v>3</v>
      </c>
      <c r="E25" s="6">
        <v>0</v>
      </c>
      <c r="F25" s="4">
        <v>0</v>
      </c>
      <c r="G25" s="5">
        <f t="shared" si="1"/>
        <v>0</v>
      </c>
      <c r="H25" s="9">
        <f t="shared" si="2"/>
        <v>3</v>
      </c>
    </row>
    <row r="26" spans="1:8" x14ac:dyDescent="0.25">
      <c r="A26" s="14" t="s">
        <v>126</v>
      </c>
      <c r="B26" s="6">
        <v>2</v>
      </c>
      <c r="C26" s="4">
        <v>0</v>
      </c>
      <c r="D26" s="5">
        <f t="shared" si="0"/>
        <v>2</v>
      </c>
      <c r="E26" s="6">
        <v>22</v>
      </c>
      <c r="F26" s="4">
        <v>0</v>
      </c>
      <c r="G26" s="5">
        <f t="shared" si="1"/>
        <v>22</v>
      </c>
      <c r="H26" s="9">
        <f t="shared" si="2"/>
        <v>24</v>
      </c>
    </row>
    <row r="27" spans="1:8" x14ac:dyDescent="0.25">
      <c r="A27" s="14" t="s">
        <v>17</v>
      </c>
      <c r="B27" s="6">
        <v>6</v>
      </c>
      <c r="C27" s="4">
        <v>4</v>
      </c>
      <c r="D27" s="5">
        <f t="shared" si="0"/>
        <v>10</v>
      </c>
      <c r="E27" s="6">
        <v>10</v>
      </c>
      <c r="F27" s="4">
        <v>1</v>
      </c>
      <c r="G27" s="5">
        <f t="shared" si="1"/>
        <v>11</v>
      </c>
      <c r="H27" s="9">
        <f t="shared" si="2"/>
        <v>21</v>
      </c>
    </row>
    <row r="28" spans="1:8" x14ac:dyDescent="0.25">
      <c r="A28" s="14" t="s">
        <v>18</v>
      </c>
      <c r="B28" s="6">
        <v>1</v>
      </c>
      <c r="C28" s="4">
        <v>1</v>
      </c>
      <c r="D28" s="5">
        <f t="shared" si="0"/>
        <v>2</v>
      </c>
      <c r="E28" s="6">
        <v>74</v>
      </c>
      <c r="F28" s="4">
        <v>71</v>
      </c>
      <c r="G28" s="5">
        <f t="shared" si="1"/>
        <v>145</v>
      </c>
      <c r="H28" s="9">
        <f t="shared" si="2"/>
        <v>147</v>
      </c>
    </row>
    <row r="29" spans="1:8" x14ac:dyDescent="0.25">
      <c r="A29" s="14" t="s">
        <v>19</v>
      </c>
      <c r="B29" s="6">
        <v>0</v>
      </c>
      <c r="C29" s="4">
        <v>0</v>
      </c>
      <c r="D29" s="5">
        <f t="shared" si="0"/>
        <v>0</v>
      </c>
      <c r="E29" s="6">
        <v>2</v>
      </c>
      <c r="F29" s="4">
        <v>1</v>
      </c>
      <c r="G29" s="5">
        <f t="shared" si="1"/>
        <v>3</v>
      </c>
      <c r="H29" s="9">
        <f t="shared" si="2"/>
        <v>3</v>
      </c>
    </row>
    <row r="30" spans="1:8" x14ac:dyDescent="0.25">
      <c r="A30" s="14" t="s">
        <v>131</v>
      </c>
      <c r="B30" s="6">
        <v>0</v>
      </c>
      <c r="C30" s="4">
        <v>1</v>
      </c>
      <c r="D30" s="5">
        <f t="shared" si="0"/>
        <v>1</v>
      </c>
      <c r="E30" s="6">
        <v>0</v>
      </c>
      <c r="F30" s="4">
        <v>0</v>
      </c>
      <c r="G30" s="5">
        <f t="shared" si="1"/>
        <v>0</v>
      </c>
      <c r="H30" s="9">
        <f t="shared" si="2"/>
        <v>1</v>
      </c>
    </row>
    <row r="31" spans="1:8" x14ac:dyDescent="0.25">
      <c r="A31" s="14" t="s">
        <v>20</v>
      </c>
      <c r="B31" s="6">
        <v>2</v>
      </c>
      <c r="C31" s="4">
        <v>0</v>
      </c>
      <c r="D31" s="5">
        <f t="shared" si="0"/>
        <v>2</v>
      </c>
      <c r="E31" s="6">
        <v>4</v>
      </c>
      <c r="F31" s="4">
        <v>0</v>
      </c>
      <c r="G31" s="5">
        <f t="shared" si="1"/>
        <v>4</v>
      </c>
      <c r="H31" s="9">
        <f t="shared" si="2"/>
        <v>6</v>
      </c>
    </row>
    <row r="32" spans="1:8" x14ac:dyDescent="0.25">
      <c r="A32" s="14" t="s">
        <v>21</v>
      </c>
      <c r="B32" s="6">
        <v>3</v>
      </c>
      <c r="C32" s="4">
        <v>0</v>
      </c>
      <c r="D32" s="5">
        <f t="shared" si="0"/>
        <v>3</v>
      </c>
      <c r="E32" s="6">
        <v>4</v>
      </c>
      <c r="F32" s="4">
        <v>0</v>
      </c>
      <c r="G32" s="5">
        <f t="shared" si="1"/>
        <v>4</v>
      </c>
      <c r="H32" s="9">
        <f t="shared" si="2"/>
        <v>7</v>
      </c>
    </row>
    <row r="33" spans="1:8" x14ac:dyDescent="0.25">
      <c r="A33" s="14" t="s">
        <v>102</v>
      </c>
      <c r="B33" s="6">
        <v>0</v>
      </c>
      <c r="C33" s="4">
        <v>0</v>
      </c>
      <c r="D33" s="5">
        <f t="shared" si="0"/>
        <v>0</v>
      </c>
      <c r="E33" s="6">
        <v>0</v>
      </c>
      <c r="F33" s="4">
        <v>0</v>
      </c>
      <c r="G33" s="5">
        <f t="shared" si="1"/>
        <v>0</v>
      </c>
      <c r="H33" s="9">
        <f t="shared" si="2"/>
        <v>0</v>
      </c>
    </row>
    <row r="34" spans="1:8" x14ac:dyDescent="0.25">
      <c r="A34" s="14" t="s">
        <v>22</v>
      </c>
      <c r="B34" s="6">
        <v>3</v>
      </c>
      <c r="C34" s="4">
        <v>1</v>
      </c>
      <c r="D34" s="5">
        <f t="shared" si="0"/>
        <v>4</v>
      </c>
      <c r="E34" s="6">
        <v>21</v>
      </c>
      <c r="F34" s="4">
        <v>2</v>
      </c>
      <c r="G34" s="5">
        <f t="shared" si="1"/>
        <v>23</v>
      </c>
      <c r="H34" s="9">
        <f t="shared" si="2"/>
        <v>27</v>
      </c>
    </row>
    <row r="35" spans="1:8" x14ac:dyDescent="0.25">
      <c r="A35" s="14" t="s">
        <v>24</v>
      </c>
      <c r="B35" s="6">
        <v>0</v>
      </c>
      <c r="C35" s="4">
        <v>0</v>
      </c>
      <c r="D35" s="5">
        <f t="shared" si="0"/>
        <v>0</v>
      </c>
      <c r="E35" s="6">
        <v>2</v>
      </c>
      <c r="F35" s="4">
        <v>0</v>
      </c>
      <c r="G35" s="5">
        <f t="shared" si="1"/>
        <v>2</v>
      </c>
      <c r="H35" s="9">
        <f t="shared" si="2"/>
        <v>2</v>
      </c>
    </row>
    <row r="36" spans="1:8" x14ac:dyDescent="0.25">
      <c r="A36" s="14" t="s">
        <v>71</v>
      </c>
      <c r="B36" s="6">
        <v>5</v>
      </c>
      <c r="C36" s="4">
        <v>0</v>
      </c>
      <c r="D36" s="5">
        <f t="shared" si="0"/>
        <v>5</v>
      </c>
      <c r="E36" s="6">
        <v>14</v>
      </c>
      <c r="F36" s="4">
        <v>2</v>
      </c>
      <c r="G36" s="5">
        <f t="shared" si="1"/>
        <v>16</v>
      </c>
      <c r="H36" s="9">
        <f t="shared" si="2"/>
        <v>21</v>
      </c>
    </row>
    <row r="37" spans="1:8" x14ac:dyDescent="0.25">
      <c r="A37" s="14" t="s">
        <v>72</v>
      </c>
      <c r="B37" s="6">
        <v>4</v>
      </c>
      <c r="C37" s="4">
        <v>0</v>
      </c>
      <c r="D37" s="5">
        <f t="shared" si="0"/>
        <v>4</v>
      </c>
      <c r="E37" s="6">
        <v>11</v>
      </c>
      <c r="F37" s="4">
        <v>2</v>
      </c>
      <c r="G37" s="5">
        <f t="shared" si="1"/>
        <v>13</v>
      </c>
      <c r="H37" s="9">
        <f t="shared" si="2"/>
        <v>17</v>
      </c>
    </row>
    <row r="38" spans="1:8" x14ac:dyDescent="0.25">
      <c r="A38" s="14" t="s">
        <v>26</v>
      </c>
      <c r="B38" s="6">
        <v>1</v>
      </c>
      <c r="C38" s="4">
        <v>0</v>
      </c>
      <c r="D38" s="5">
        <f t="shared" si="0"/>
        <v>1</v>
      </c>
      <c r="E38" s="6">
        <v>17</v>
      </c>
      <c r="F38" s="4">
        <v>1</v>
      </c>
      <c r="G38" s="5">
        <f t="shared" si="1"/>
        <v>18</v>
      </c>
      <c r="H38" s="9">
        <f t="shared" si="2"/>
        <v>19</v>
      </c>
    </row>
    <row r="39" spans="1:8" x14ac:dyDescent="0.25">
      <c r="A39" s="14" t="s">
        <v>73</v>
      </c>
      <c r="B39" s="6">
        <v>1</v>
      </c>
      <c r="C39" s="4">
        <v>0</v>
      </c>
      <c r="D39" s="5">
        <f t="shared" si="0"/>
        <v>1</v>
      </c>
      <c r="E39" s="6">
        <v>11</v>
      </c>
      <c r="F39" s="4">
        <v>0</v>
      </c>
      <c r="G39" s="5">
        <f t="shared" si="1"/>
        <v>11</v>
      </c>
      <c r="H39" s="9">
        <f t="shared" si="2"/>
        <v>12</v>
      </c>
    </row>
    <row r="40" spans="1:8" x14ac:dyDescent="0.25">
      <c r="A40" s="14" t="s">
        <v>161</v>
      </c>
      <c r="B40" s="6">
        <v>0</v>
      </c>
      <c r="C40" s="4">
        <v>0</v>
      </c>
      <c r="D40" s="5">
        <f t="shared" si="0"/>
        <v>0</v>
      </c>
      <c r="E40" s="6">
        <v>13</v>
      </c>
      <c r="F40" s="4">
        <v>0</v>
      </c>
      <c r="G40" s="5">
        <f t="shared" si="1"/>
        <v>13</v>
      </c>
      <c r="H40" s="9">
        <f t="shared" si="2"/>
        <v>13</v>
      </c>
    </row>
    <row r="41" spans="1:8" x14ac:dyDescent="0.25">
      <c r="A41" s="14" t="s">
        <v>28</v>
      </c>
      <c r="B41" s="6">
        <v>8</v>
      </c>
      <c r="C41" s="4">
        <v>1</v>
      </c>
      <c r="D41" s="5">
        <f t="shared" si="0"/>
        <v>9</v>
      </c>
      <c r="E41" s="6">
        <v>6</v>
      </c>
      <c r="F41" s="4">
        <v>0</v>
      </c>
      <c r="G41" s="5">
        <f t="shared" si="1"/>
        <v>6</v>
      </c>
      <c r="H41" s="9">
        <f t="shared" si="2"/>
        <v>15</v>
      </c>
    </row>
    <row r="42" spans="1:8" x14ac:dyDescent="0.25">
      <c r="A42" s="14" t="s">
        <v>153</v>
      </c>
      <c r="B42" s="6">
        <v>0</v>
      </c>
      <c r="C42" s="4">
        <v>0</v>
      </c>
      <c r="D42" s="5">
        <f t="shared" si="0"/>
        <v>0</v>
      </c>
      <c r="E42" s="6">
        <v>45</v>
      </c>
      <c r="F42" s="4">
        <v>1</v>
      </c>
      <c r="G42" s="5">
        <f t="shared" si="1"/>
        <v>46</v>
      </c>
      <c r="H42" s="9">
        <f t="shared" si="2"/>
        <v>46</v>
      </c>
    </row>
    <row r="43" spans="1:8" x14ac:dyDescent="0.25">
      <c r="A43" s="14" t="s">
        <v>133</v>
      </c>
      <c r="B43" s="6">
        <v>0</v>
      </c>
      <c r="C43" s="4">
        <v>0</v>
      </c>
      <c r="D43" s="5">
        <f t="shared" si="0"/>
        <v>0</v>
      </c>
      <c r="E43" s="6">
        <v>0</v>
      </c>
      <c r="F43" s="4">
        <v>0</v>
      </c>
      <c r="G43" s="5">
        <f t="shared" si="1"/>
        <v>0</v>
      </c>
      <c r="H43" s="9">
        <f t="shared" si="2"/>
        <v>0</v>
      </c>
    </row>
    <row r="44" spans="1:8" x14ac:dyDescent="0.25">
      <c r="A44" s="14" t="s">
        <v>1</v>
      </c>
      <c r="B44" s="6">
        <v>0</v>
      </c>
      <c r="C44" s="4">
        <v>0</v>
      </c>
      <c r="D44" s="5">
        <f t="shared" si="0"/>
        <v>0</v>
      </c>
      <c r="E44" s="6">
        <v>26</v>
      </c>
      <c r="F44" s="4">
        <v>51</v>
      </c>
      <c r="G44" s="5">
        <f t="shared" si="1"/>
        <v>77</v>
      </c>
      <c r="H44" s="9">
        <f t="shared" si="2"/>
        <v>77</v>
      </c>
    </row>
    <row r="45" spans="1:8" x14ac:dyDescent="0.25">
      <c r="A45" s="14" t="s">
        <v>29</v>
      </c>
      <c r="B45" s="6">
        <v>0</v>
      </c>
      <c r="C45" s="4">
        <v>0</v>
      </c>
      <c r="D45" s="5">
        <f t="shared" si="0"/>
        <v>0</v>
      </c>
      <c r="E45" s="6">
        <v>129</v>
      </c>
      <c r="F45" s="4">
        <v>5</v>
      </c>
      <c r="G45" s="5">
        <f t="shared" si="1"/>
        <v>134</v>
      </c>
      <c r="H45" s="9">
        <f t="shared" si="2"/>
        <v>134</v>
      </c>
    </row>
    <row r="46" spans="1:8" x14ac:dyDescent="0.25">
      <c r="A46" s="14" t="s">
        <v>162</v>
      </c>
      <c r="B46" s="6">
        <v>1</v>
      </c>
      <c r="C46" s="4">
        <v>0</v>
      </c>
      <c r="D46" s="5">
        <f t="shared" si="0"/>
        <v>1</v>
      </c>
      <c r="E46" s="6">
        <v>0</v>
      </c>
      <c r="F46" s="4">
        <v>0</v>
      </c>
      <c r="G46" s="5">
        <f t="shared" si="1"/>
        <v>0</v>
      </c>
      <c r="H46" s="9">
        <f t="shared" si="2"/>
        <v>1</v>
      </c>
    </row>
    <row r="47" spans="1:8" x14ac:dyDescent="0.25">
      <c r="A47" s="14" t="s">
        <v>158</v>
      </c>
      <c r="B47" s="6">
        <v>0</v>
      </c>
      <c r="C47" s="4">
        <v>3</v>
      </c>
      <c r="D47" s="5">
        <f t="shared" si="0"/>
        <v>3</v>
      </c>
      <c r="E47" s="6">
        <v>0</v>
      </c>
      <c r="F47" s="4">
        <v>0</v>
      </c>
      <c r="G47" s="5">
        <f t="shared" si="1"/>
        <v>0</v>
      </c>
      <c r="H47" s="9">
        <f t="shared" si="2"/>
        <v>3</v>
      </c>
    </row>
    <row r="48" spans="1:8" x14ac:dyDescent="0.25">
      <c r="A48" s="14" t="s">
        <v>30</v>
      </c>
      <c r="B48" s="6">
        <v>11</v>
      </c>
      <c r="C48" s="4">
        <v>11</v>
      </c>
      <c r="D48" s="5">
        <f t="shared" si="0"/>
        <v>22</v>
      </c>
      <c r="E48" s="6">
        <v>0</v>
      </c>
      <c r="F48" s="4">
        <v>0</v>
      </c>
      <c r="G48" s="5">
        <f t="shared" si="1"/>
        <v>0</v>
      </c>
      <c r="H48" s="9">
        <f t="shared" si="2"/>
        <v>22</v>
      </c>
    </row>
    <row r="49" spans="1:8" x14ac:dyDescent="0.25">
      <c r="A49" s="14" t="s">
        <v>31</v>
      </c>
      <c r="B49" s="6">
        <v>4</v>
      </c>
      <c r="C49" s="4">
        <v>3</v>
      </c>
      <c r="D49" s="5">
        <f t="shared" si="0"/>
        <v>7</v>
      </c>
      <c r="E49" s="6">
        <v>14</v>
      </c>
      <c r="F49" s="4">
        <v>2</v>
      </c>
      <c r="G49" s="5">
        <f t="shared" si="1"/>
        <v>16</v>
      </c>
      <c r="H49" s="9">
        <f t="shared" si="2"/>
        <v>23</v>
      </c>
    </row>
    <row r="50" spans="1:8" x14ac:dyDescent="0.25">
      <c r="A50" s="14" t="s">
        <v>32</v>
      </c>
      <c r="B50" s="6">
        <v>1</v>
      </c>
      <c r="C50" s="4">
        <v>0</v>
      </c>
      <c r="D50" s="5">
        <f t="shared" si="0"/>
        <v>1</v>
      </c>
      <c r="E50" s="6">
        <v>41</v>
      </c>
      <c r="F50" s="4">
        <v>4</v>
      </c>
      <c r="G50" s="5">
        <f t="shared" si="1"/>
        <v>45</v>
      </c>
      <c r="H50" s="9">
        <f t="shared" si="2"/>
        <v>46</v>
      </c>
    </row>
    <row r="51" spans="1:8" x14ac:dyDescent="0.25">
      <c r="A51" s="14" t="s">
        <v>163</v>
      </c>
      <c r="B51" s="6">
        <v>0</v>
      </c>
      <c r="C51" s="4">
        <v>0</v>
      </c>
      <c r="D51" s="5">
        <f t="shared" si="0"/>
        <v>0</v>
      </c>
      <c r="E51" s="6">
        <v>0</v>
      </c>
      <c r="F51" s="4">
        <v>2</v>
      </c>
      <c r="G51" s="5">
        <f t="shared" si="1"/>
        <v>2</v>
      </c>
      <c r="H51" s="9">
        <f t="shared" si="2"/>
        <v>2</v>
      </c>
    </row>
    <row r="52" spans="1:8" x14ac:dyDescent="0.25">
      <c r="A52" s="14" t="s">
        <v>159</v>
      </c>
      <c r="B52" s="6">
        <v>2</v>
      </c>
      <c r="C52" s="4">
        <v>0</v>
      </c>
      <c r="D52" s="5">
        <f t="shared" si="0"/>
        <v>2</v>
      </c>
      <c r="E52" s="6">
        <v>0</v>
      </c>
      <c r="F52" s="4">
        <v>0</v>
      </c>
      <c r="G52" s="5">
        <f t="shared" si="1"/>
        <v>0</v>
      </c>
      <c r="H52" s="9">
        <f t="shared" si="2"/>
        <v>2</v>
      </c>
    </row>
    <row r="53" spans="1:8" x14ac:dyDescent="0.25">
      <c r="A53" s="14" t="s">
        <v>35</v>
      </c>
      <c r="B53" s="6">
        <v>0</v>
      </c>
      <c r="C53" s="4">
        <v>0</v>
      </c>
      <c r="D53" s="5">
        <f t="shared" si="0"/>
        <v>0</v>
      </c>
      <c r="E53" s="6">
        <v>2</v>
      </c>
      <c r="F53" s="4">
        <v>0</v>
      </c>
      <c r="G53" s="5">
        <f t="shared" si="1"/>
        <v>2</v>
      </c>
      <c r="H53" s="9">
        <f t="shared" si="2"/>
        <v>2</v>
      </c>
    </row>
    <row r="54" spans="1:8" x14ac:dyDescent="0.25">
      <c r="A54" s="14" t="s">
        <v>38</v>
      </c>
      <c r="B54" s="6">
        <v>36</v>
      </c>
      <c r="C54" s="4">
        <v>3</v>
      </c>
      <c r="D54" s="5">
        <f t="shared" si="0"/>
        <v>39</v>
      </c>
      <c r="E54" s="6">
        <v>3</v>
      </c>
      <c r="F54" s="4">
        <v>0</v>
      </c>
      <c r="G54" s="5">
        <f t="shared" si="1"/>
        <v>3</v>
      </c>
      <c r="H54" s="9">
        <f t="shared" si="2"/>
        <v>42</v>
      </c>
    </row>
    <row r="55" spans="1:8" x14ac:dyDescent="0.25">
      <c r="A55" s="14" t="s">
        <v>141</v>
      </c>
      <c r="B55" s="6">
        <v>0</v>
      </c>
      <c r="C55" s="4">
        <v>0</v>
      </c>
      <c r="D55" s="5">
        <f t="shared" si="0"/>
        <v>0</v>
      </c>
      <c r="E55" s="6">
        <v>36</v>
      </c>
      <c r="F55" s="4">
        <v>5</v>
      </c>
      <c r="G55" s="5">
        <f t="shared" si="1"/>
        <v>41</v>
      </c>
      <c r="H55" s="9">
        <f t="shared" si="2"/>
        <v>41</v>
      </c>
    </row>
    <row r="56" spans="1:8" x14ac:dyDescent="0.25">
      <c r="A56" s="14" t="s">
        <v>164</v>
      </c>
      <c r="B56" s="6">
        <v>8</v>
      </c>
      <c r="C56" s="4">
        <v>3</v>
      </c>
      <c r="D56" s="5">
        <f t="shared" si="0"/>
        <v>11</v>
      </c>
      <c r="E56" s="6">
        <v>209</v>
      </c>
      <c r="F56" s="4">
        <v>12</v>
      </c>
      <c r="G56" s="5">
        <f t="shared" si="1"/>
        <v>221</v>
      </c>
      <c r="H56" s="9">
        <f t="shared" si="2"/>
        <v>232</v>
      </c>
    </row>
    <row r="57" spans="1:8" x14ac:dyDescent="0.25">
      <c r="A57" s="14" t="s">
        <v>41</v>
      </c>
      <c r="B57" s="6">
        <v>2</v>
      </c>
      <c r="C57" s="4">
        <v>0</v>
      </c>
      <c r="D57" s="5">
        <f t="shared" si="0"/>
        <v>2</v>
      </c>
      <c r="E57" s="6">
        <v>3</v>
      </c>
      <c r="F57" s="4">
        <v>0</v>
      </c>
      <c r="G57" s="5">
        <f t="shared" si="1"/>
        <v>3</v>
      </c>
      <c r="H57" s="9">
        <f t="shared" si="2"/>
        <v>5</v>
      </c>
    </row>
    <row r="58" spans="1:8" x14ac:dyDescent="0.25">
      <c r="A58" s="14" t="s">
        <v>121</v>
      </c>
      <c r="B58" s="6">
        <v>16</v>
      </c>
      <c r="C58" s="4">
        <v>5</v>
      </c>
      <c r="D58" s="5">
        <f t="shared" si="0"/>
        <v>21</v>
      </c>
      <c r="E58" s="6">
        <v>39</v>
      </c>
      <c r="F58" s="4">
        <v>3</v>
      </c>
      <c r="G58" s="5">
        <f t="shared" si="1"/>
        <v>42</v>
      </c>
      <c r="H58" s="9">
        <f t="shared" si="2"/>
        <v>63</v>
      </c>
    </row>
    <row r="59" spans="1:8" x14ac:dyDescent="0.25">
      <c r="A59" s="14" t="s">
        <v>42</v>
      </c>
      <c r="B59" s="6">
        <v>0</v>
      </c>
      <c r="C59" s="4">
        <v>0</v>
      </c>
      <c r="D59" s="5">
        <f t="shared" si="0"/>
        <v>0</v>
      </c>
      <c r="E59" s="6">
        <v>6</v>
      </c>
      <c r="F59" s="4">
        <v>0</v>
      </c>
      <c r="G59" s="5">
        <f t="shared" si="1"/>
        <v>6</v>
      </c>
      <c r="H59" s="9">
        <f t="shared" si="2"/>
        <v>6</v>
      </c>
    </row>
    <row r="60" spans="1:8" x14ac:dyDescent="0.25">
      <c r="A60" s="14" t="s">
        <v>43</v>
      </c>
      <c r="B60" s="6">
        <v>0</v>
      </c>
      <c r="C60" s="4">
        <v>0</v>
      </c>
      <c r="D60" s="5">
        <f t="shared" si="0"/>
        <v>0</v>
      </c>
      <c r="E60" s="6">
        <v>48</v>
      </c>
      <c r="F60" s="4">
        <v>3</v>
      </c>
      <c r="G60" s="5">
        <f t="shared" si="1"/>
        <v>51</v>
      </c>
      <c r="H60" s="9">
        <f t="shared" si="2"/>
        <v>51</v>
      </c>
    </row>
    <row r="61" spans="1:8" x14ac:dyDescent="0.25">
      <c r="A61" s="14" t="s">
        <v>44</v>
      </c>
      <c r="B61" s="6">
        <v>0</v>
      </c>
      <c r="C61" s="4">
        <v>0</v>
      </c>
      <c r="D61" s="5">
        <f t="shared" si="0"/>
        <v>0</v>
      </c>
      <c r="E61" s="6">
        <v>8</v>
      </c>
      <c r="F61" s="4">
        <v>0</v>
      </c>
      <c r="G61" s="5">
        <f t="shared" si="1"/>
        <v>8</v>
      </c>
      <c r="H61" s="9">
        <f t="shared" si="2"/>
        <v>8</v>
      </c>
    </row>
    <row r="62" spans="1:8" x14ac:dyDescent="0.25">
      <c r="A62" s="14" t="s">
        <v>45</v>
      </c>
      <c r="B62" s="6">
        <v>11</v>
      </c>
      <c r="C62" s="4">
        <v>9</v>
      </c>
      <c r="D62" s="5">
        <f t="shared" si="0"/>
        <v>20</v>
      </c>
      <c r="E62" s="6">
        <v>6</v>
      </c>
      <c r="F62" s="4">
        <v>1</v>
      </c>
      <c r="G62" s="5">
        <f t="shared" si="1"/>
        <v>7</v>
      </c>
      <c r="H62" s="9">
        <f t="shared" si="2"/>
        <v>27</v>
      </c>
    </row>
    <row r="63" spans="1:8" x14ac:dyDescent="0.25">
      <c r="A63" s="14" t="s">
        <v>48</v>
      </c>
      <c r="B63" s="6">
        <v>6</v>
      </c>
      <c r="C63" s="4">
        <v>0</v>
      </c>
      <c r="D63" s="5">
        <f t="shared" si="0"/>
        <v>6</v>
      </c>
      <c r="E63" s="6">
        <v>0</v>
      </c>
      <c r="F63" s="4">
        <v>0</v>
      </c>
      <c r="G63" s="5">
        <f t="shared" si="1"/>
        <v>0</v>
      </c>
      <c r="H63" s="9">
        <f t="shared" si="2"/>
        <v>6</v>
      </c>
    </row>
    <row r="64" spans="1:8" x14ac:dyDescent="0.25">
      <c r="A64" s="14" t="s">
        <v>49</v>
      </c>
      <c r="B64" s="6">
        <v>1</v>
      </c>
      <c r="C64" s="4">
        <v>0</v>
      </c>
      <c r="D64" s="5">
        <f t="shared" si="0"/>
        <v>1</v>
      </c>
      <c r="E64" s="6">
        <v>0</v>
      </c>
      <c r="F64" s="4">
        <v>0</v>
      </c>
      <c r="G64" s="5">
        <f t="shared" si="1"/>
        <v>0</v>
      </c>
      <c r="H64" s="9">
        <f t="shared" si="2"/>
        <v>1</v>
      </c>
    </row>
    <row r="65" spans="1:8" x14ac:dyDescent="0.25">
      <c r="A65" s="14" t="s">
        <v>122</v>
      </c>
      <c r="B65" s="6">
        <v>0</v>
      </c>
      <c r="C65" s="4">
        <v>0</v>
      </c>
      <c r="D65" s="5">
        <f t="shared" si="0"/>
        <v>0</v>
      </c>
      <c r="E65" s="6">
        <v>4</v>
      </c>
      <c r="F65" s="4">
        <v>0</v>
      </c>
      <c r="G65" s="5">
        <f t="shared" si="1"/>
        <v>4</v>
      </c>
      <c r="H65" s="9">
        <f t="shared" si="2"/>
        <v>4</v>
      </c>
    </row>
    <row r="66" spans="1:8" x14ac:dyDescent="0.25">
      <c r="A66" s="14" t="s">
        <v>165</v>
      </c>
      <c r="B66" s="6">
        <v>0</v>
      </c>
      <c r="C66" s="4">
        <v>0</v>
      </c>
      <c r="D66" s="5">
        <f t="shared" si="0"/>
        <v>0</v>
      </c>
      <c r="E66" s="6">
        <v>11</v>
      </c>
      <c r="F66" s="4">
        <v>4</v>
      </c>
      <c r="G66" s="5">
        <f t="shared" si="1"/>
        <v>15</v>
      </c>
      <c r="H66" s="9">
        <f t="shared" si="2"/>
        <v>15</v>
      </c>
    </row>
    <row r="67" spans="1:8" x14ac:dyDescent="0.25">
      <c r="A67" s="14" t="s">
        <v>92</v>
      </c>
      <c r="B67" s="6">
        <v>0</v>
      </c>
      <c r="C67" s="4">
        <v>0</v>
      </c>
      <c r="D67" s="5">
        <f t="shared" si="0"/>
        <v>0</v>
      </c>
      <c r="E67" s="6">
        <v>188</v>
      </c>
      <c r="F67" s="4">
        <v>15</v>
      </c>
      <c r="G67" s="5">
        <f t="shared" si="1"/>
        <v>203</v>
      </c>
      <c r="H67" s="9">
        <f t="shared" si="2"/>
        <v>203</v>
      </c>
    </row>
    <row r="68" spans="1:8" x14ac:dyDescent="0.25">
      <c r="A68" s="14" t="s">
        <v>142</v>
      </c>
      <c r="B68" s="6">
        <v>1</v>
      </c>
      <c r="C68" s="4">
        <v>0</v>
      </c>
      <c r="D68" s="5">
        <f t="shared" si="0"/>
        <v>1</v>
      </c>
      <c r="E68" s="6">
        <v>18</v>
      </c>
      <c r="F68" s="4">
        <v>4</v>
      </c>
      <c r="G68" s="5">
        <f t="shared" si="1"/>
        <v>22</v>
      </c>
      <c r="H68" s="9">
        <f t="shared" si="2"/>
        <v>23</v>
      </c>
    </row>
    <row r="69" spans="1:8" x14ac:dyDescent="0.25">
      <c r="A69" s="14" t="s">
        <v>107</v>
      </c>
      <c r="B69" s="6">
        <v>0</v>
      </c>
      <c r="C69" s="4">
        <v>0</v>
      </c>
      <c r="D69" s="5">
        <f t="shared" si="0"/>
        <v>0</v>
      </c>
      <c r="E69" s="6">
        <v>434</v>
      </c>
      <c r="F69" s="4">
        <v>30</v>
      </c>
      <c r="G69" s="5">
        <f t="shared" si="1"/>
        <v>464</v>
      </c>
      <c r="H69" s="9">
        <f t="shared" si="2"/>
        <v>464</v>
      </c>
    </row>
    <row r="70" spans="1:8" x14ac:dyDescent="0.25">
      <c r="A70" s="14" t="s">
        <v>166</v>
      </c>
      <c r="B70" s="6">
        <v>0</v>
      </c>
      <c r="C70" s="4">
        <v>0</v>
      </c>
      <c r="D70" s="5">
        <f t="shared" si="0"/>
        <v>0</v>
      </c>
      <c r="E70" s="6">
        <v>65</v>
      </c>
      <c r="F70" s="4">
        <v>10</v>
      </c>
      <c r="G70" s="5">
        <f t="shared" si="1"/>
        <v>75</v>
      </c>
      <c r="H70" s="9">
        <f t="shared" si="2"/>
        <v>75</v>
      </c>
    </row>
    <row r="71" spans="1:8" x14ac:dyDescent="0.25">
      <c r="A71" s="14" t="s">
        <v>167</v>
      </c>
      <c r="B71" s="6">
        <v>0</v>
      </c>
      <c r="C71" s="4">
        <v>0</v>
      </c>
      <c r="D71" s="5">
        <f t="shared" si="0"/>
        <v>0</v>
      </c>
      <c r="E71" s="6">
        <v>36</v>
      </c>
      <c r="F71" s="4">
        <v>0</v>
      </c>
      <c r="G71" s="5">
        <f t="shared" si="1"/>
        <v>36</v>
      </c>
      <c r="H71" s="9">
        <f t="shared" si="2"/>
        <v>36</v>
      </c>
    </row>
    <row r="72" spans="1:8" x14ac:dyDescent="0.25">
      <c r="A72" s="14" t="s">
        <v>168</v>
      </c>
      <c r="B72" s="6">
        <v>0</v>
      </c>
      <c r="C72" s="4">
        <v>0</v>
      </c>
      <c r="D72" s="5">
        <f t="shared" si="0"/>
        <v>0</v>
      </c>
      <c r="E72" s="6">
        <v>56</v>
      </c>
      <c r="F72" s="4">
        <v>11</v>
      </c>
      <c r="G72" s="5">
        <f t="shared" si="1"/>
        <v>67</v>
      </c>
      <c r="H72" s="9">
        <f t="shared" si="2"/>
        <v>67</v>
      </c>
    </row>
    <row r="73" spans="1:8" x14ac:dyDescent="0.25">
      <c r="A73" s="14" t="s">
        <v>99</v>
      </c>
      <c r="B73" s="6">
        <v>0</v>
      </c>
      <c r="C73" s="4">
        <v>0</v>
      </c>
      <c r="D73" s="5">
        <f t="shared" si="0"/>
        <v>0</v>
      </c>
      <c r="E73" s="6">
        <v>68</v>
      </c>
      <c r="F73" s="4">
        <v>13</v>
      </c>
      <c r="G73" s="5">
        <f t="shared" si="1"/>
        <v>81</v>
      </c>
      <c r="H73" s="9">
        <f t="shared" si="2"/>
        <v>81</v>
      </c>
    </row>
    <row r="74" spans="1:8" x14ac:dyDescent="0.25">
      <c r="A74" s="14" t="s">
        <v>70</v>
      </c>
      <c r="B74" s="6">
        <v>0</v>
      </c>
      <c r="C74" s="4">
        <v>0</v>
      </c>
      <c r="D74" s="5">
        <f t="shared" si="0"/>
        <v>0</v>
      </c>
      <c r="E74" s="6">
        <v>20</v>
      </c>
      <c r="F74" s="4">
        <v>5</v>
      </c>
      <c r="G74" s="5">
        <f t="shared" si="1"/>
        <v>25</v>
      </c>
      <c r="H74" s="9">
        <f t="shared" si="2"/>
        <v>25</v>
      </c>
    </row>
    <row r="75" spans="1:8" x14ac:dyDescent="0.25">
      <c r="A75" s="14" t="s">
        <v>169</v>
      </c>
      <c r="B75" s="6">
        <v>0</v>
      </c>
      <c r="C75" s="4">
        <v>0</v>
      </c>
      <c r="D75" s="5">
        <f t="shared" si="0"/>
        <v>0</v>
      </c>
      <c r="E75" s="6">
        <v>133</v>
      </c>
      <c r="F75" s="4">
        <v>9</v>
      </c>
      <c r="G75" s="5">
        <f t="shared" si="1"/>
        <v>142</v>
      </c>
      <c r="H75" s="9">
        <f t="shared" si="2"/>
        <v>142</v>
      </c>
    </row>
    <row r="76" spans="1:8" x14ac:dyDescent="0.25">
      <c r="A76" s="14" t="s">
        <v>170</v>
      </c>
      <c r="B76" s="6">
        <v>0</v>
      </c>
      <c r="C76" s="4">
        <v>0</v>
      </c>
      <c r="D76" s="5">
        <f t="shared" si="0"/>
        <v>0</v>
      </c>
      <c r="E76" s="6">
        <v>3</v>
      </c>
      <c r="F76" s="4">
        <v>0</v>
      </c>
      <c r="G76" s="5">
        <f t="shared" si="1"/>
        <v>3</v>
      </c>
      <c r="H76" s="9">
        <f t="shared" si="2"/>
        <v>3</v>
      </c>
    </row>
    <row r="77" spans="1:8" x14ac:dyDescent="0.25">
      <c r="A77" s="14" t="s">
        <v>171</v>
      </c>
      <c r="B77" s="6">
        <v>0</v>
      </c>
      <c r="C77" s="4">
        <v>0</v>
      </c>
      <c r="D77" s="5">
        <f t="shared" si="0"/>
        <v>0</v>
      </c>
      <c r="E77" s="6">
        <v>49</v>
      </c>
      <c r="F77" s="4">
        <v>16</v>
      </c>
      <c r="G77" s="5">
        <f t="shared" si="1"/>
        <v>65</v>
      </c>
      <c r="H77" s="9">
        <f t="shared" si="2"/>
        <v>65</v>
      </c>
    </row>
    <row r="78" spans="1:8" ht="15.75" thickBot="1" x14ac:dyDescent="0.3">
      <c r="A78" s="15" t="s">
        <v>172</v>
      </c>
      <c r="B78" s="11">
        <v>0</v>
      </c>
      <c r="C78" s="12">
        <v>0</v>
      </c>
      <c r="D78" s="12">
        <f t="shared" si="0"/>
        <v>0</v>
      </c>
      <c r="E78" s="11">
        <v>10</v>
      </c>
      <c r="F78" s="12">
        <v>8</v>
      </c>
      <c r="G78" s="13">
        <f t="shared" si="1"/>
        <v>18</v>
      </c>
      <c r="H78" s="16">
        <f t="shared" si="2"/>
        <v>18</v>
      </c>
    </row>
    <row r="79" spans="1:8" ht="16.5" thickTop="1" thickBot="1" x14ac:dyDescent="0.3">
      <c r="A79" s="8" t="s">
        <v>0</v>
      </c>
      <c r="B79" s="7">
        <f t="shared" ref="B79:H79" si="3">SUM(B7:B78)</f>
        <v>191</v>
      </c>
      <c r="C79" s="7">
        <f t="shared" si="3"/>
        <v>60</v>
      </c>
      <c r="D79" s="7">
        <f t="shared" si="3"/>
        <v>251</v>
      </c>
      <c r="E79" s="7">
        <f t="shared" si="3"/>
        <v>2605</v>
      </c>
      <c r="F79" s="7">
        <f t="shared" si="3"/>
        <v>365</v>
      </c>
      <c r="G79" s="7">
        <f t="shared" si="3"/>
        <v>2970</v>
      </c>
      <c r="H79" s="7">
        <f t="shared" si="3"/>
        <v>3221</v>
      </c>
    </row>
    <row r="80" spans="1:8" ht="15.75" thickBot="1" x14ac:dyDescent="0.3"/>
    <row r="81" spans="1:8" x14ac:dyDescent="0.25">
      <c r="A81" s="26" t="s">
        <v>74</v>
      </c>
      <c r="B81" s="28" t="s">
        <v>3</v>
      </c>
      <c r="C81" s="29"/>
      <c r="D81" s="29"/>
      <c r="E81" s="28" t="s">
        <v>4</v>
      </c>
      <c r="F81" s="29"/>
      <c r="G81" s="29"/>
      <c r="H81" s="26" t="s">
        <v>0</v>
      </c>
    </row>
    <row r="82" spans="1:8" x14ac:dyDescent="0.25">
      <c r="A82" s="27"/>
      <c r="B82" s="20" t="s">
        <v>82</v>
      </c>
      <c r="C82" s="21" t="s">
        <v>83</v>
      </c>
      <c r="D82" s="22" t="s">
        <v>0</v>
      </c>
      <c r="E82" s="20" t="s">
        <v>82</v>
      </c>
      <c r="F82" s="21" t="s">
        <v>83</v>
      </c>
      <c r="G82" s="22" t="s">
        <v>0</v>
      </c>
      <c r="H82" s="27"/>
    </row>
    <row r="83" spans="1:8" x14ac:dyDescent="0.25">
      <c r="A83" s="14" t="s">
        <v>75</v>
      </c>
      <c r="B83" s="6">
        <v>29</v>
      </c>
      <c r="C83" s="4">
        <v>2</v>
      </c>
      <c r="D83" s="5">
        <f t="shared" ref="D83:D90" si="4">SUM(B83:C83)</f>
        <v>31</v>
      </c>
      <c r="E83" s="6">
        <v>240</v>
      </c>
      <c r="F83" s="4">
        <v>15</v>
      </c>
      <c r="G83" s="5">
        <f t="shared" ref="G83:G90" si="5">SUM(E83:F83)</f>
        <v>255</v>
      </c>
      <c r="H83" s="9">
        <f t="shared" ref="H83:H90" si="6">D83+G83</f>
        <v>286</v>
      </c>
    </row>
    <row r="84" spans="1:8" x14ac:dyDescent="0.25">
      <c r="A84" s="14" t="s">
        <v>146</v>
      </c>
      <c r="B84" s="6">
        <v>5</v>
      </c>
      <c r="C84" s="4">
        <v>0</v>
      </c>
      <c r="D84" s="5">
        <f t="shared" si="4"/>
        <v>5</v>
      </c>
      <c r="E84" s="6">
        <v>1094</v>
      </c>
      <c r="F84" s="4">
        <v>125</v>
      </c>
      <c r="G84" s="5">
        <f t="shared" si="5"/>
        <v>1219</v>
      </c>
      <c r="H84" s="9">
        <f t="shared" si="6"/>
        <v>1224</v>
      </c>
    </row>
    <row r="85" spans="1:8" x14ac:dyDescent="0.25">
      <c r="A85" s="14" t="s">
        <v>76</v>
      </c>
      <c r="B85" s="6">
        <v>8</v>
      </c>
      <c r="C85" s="4">
        <v>6</v>
      </c>
      <c r="D85" s="5">
        <f t="shared" si="4"/>
        <v>14</v>
      </c>
      <c r="E85" s="6">
        <v>371</v>
      </c>
      <c r="F85" s="4">
        <v>29</v>
      </c>
      <c r="G85" s="5">
        <f t="shared" si="5"/>
        <v>400</v>
      </c>
      <c r="H85" s="9">
        <f t="shared" si="6"/>
        <v>414</v>
      </c>
    </row>
    <row r="86" spans="1:8" x14ac:dyDescent="0.25">
      <c r="A86" s="14" t="s">
        <v>129</v>
      </c>
      <c r="B86" s="6">
        <v>20</v>
      </c>
      <c r="C86" s="4">
        <v>12</v>
      </c>
      <c r="D86" s="5">
        <f t="shared" si="4"/>
        <v>32</v>
      </c>
      <c r="E86" s="6">
        <v>209</v>
      </c>
      <c r="F86" s="4">
        <v>88</v>
      </c>
      <c r="G86" s="5">
        <f t="shared" si="5"/>
        <v>297</v>
      </c>
      <c r="H86" s="9">
        <f t="shared" si="6"/>
        <v>329</v>
      </c>
    </row>
    <row r="87" spans="1:8" x14ac:dyDescent="0.25">
      <c r="A87" s="14" t="s">
        <v>1</v>
      </c>
      <c r="B87" s="6">
        <v>0</v>
      </c>
      <c r="C87" s="4">
        <v>0</v>
      </c>
      <c r="D87" s="5">
        <f t="shared" si="4"/>
        <v>0</v>
      </c>
      <c r="E87" s="6">
        <v>26</v>
      </c>
      <c r="F87" s="4">
        <v>5</v>
      </c>
      <c r="G87" s="5">
        <f t="shared" si="5"/>
        <v>31</v>
      </c>
      <c r="H87" s="9">
        <f t="shared" si="6"/>
        <v>31</v>
      </c>
    </row>
    <row r="88" spans="1:8" x14ac:dyDescent="0.25">
      <c r="A88" s="14" t="s">
        <v>79</v>
      </c>
      <c r="B88" s="6">
        <v>34</v>
      </c>
      <c r="C88" s="4">
        <v>7</v>
      </c>
      <c r="D88" s="5">
        <f t="shared" si="4"/>
        <v>41</v>
      </c>
      <c r="E88" s="6">
        <v>257</v>
      </c>
      <c r="F88" s="4">
        <v>16</v>
      </c>
      <c r="G88" s="5">
        <f t="shared" si="5"/>
        <v>273</v>
      </c>
      <c r="H88" s="9">
        <f t="shared" si="6"/>
        <v>314</v>
      </c>
    </row>
    <row r="89" spans="1:8" x14ac:dyDescent="0.25">
      <c r="A89" s="14" t="s">
        <v>80</v>
      </c>
      <c r="B89" s="6">
        <v>68</v>
      </c>
      <c r="C89" s="4">
        <v>23</v>
      </c>
      <c r="D89" s="5">
        <f t="shared" si="4"/>
        <v>91</v>
      </c>
      <c r="E89" s="6">
        <v>89</v>
      </c>
      <c r="F89" s="4">
        <v>4</v>
      </c>
      <c r="G89" s="5">
        <f t="shared" si="5"/>
        <v>93</v>
      </c>
      <c r="H89" s="9">
        <f t="shared" si="6"/>
        <v>184</v>
      </c>
    </row>
    <row r="90" spans="1:8" ht="15.75" thickBot="1" x14ac:dyDescent="0.3">
      <c r="A90" s="15" t="s">
        <v>81</v>
      </c>
      <c r="B90" s="11">
        <v>27</v>
      </c>
      <c r="C90" s="12">
        <v>10</v>
      </c>
      <c r="D90" s="12">
        <f t="shared" si="4"/>
        <v>37</v>
      </c>
      <c r="E90" s="11">
        <v>319</v>
      </c>
      <c r="F90" s="12">
        <v>37</v>
      </c>
      <c r="G90" s="13">
        <f t="shared" si="5"/>
        <v>356</v>
      </c>
      <c r="H90" s="16">
        <f t="shared" si="6"/>
        <v>393</v>
      </c>
    </row>
    <row r="91" spans="1:8" ht="16.5" thickTop="1" thickBot="1" x14ac:dyDescent="0.3">
      <c r="A91" s="8" t="s">
        <v>0</v>
      </c>
      <c r="B91" s="7">
        <f t="shared" ref="B91:H91" si="7">SUM(B83:B90)</f>
        <v>191</v>
      </c>
      <c r="C91" s="7">
        <f t="shared" si="7"/>
        <v>60</v>
      </c>
      <c r="D91" s="7">
        <f t="shared" si="7"/>
        <v>251</v>
      </c>
      <c r="E91" s="7">
        <f t="shared" si="7"/>
        <v>2605</v>
      </c>
      <c r="F91" s="7">
        <f t="shared" si="7"/>
        <v>319</v>
      </c>
      <c r="G91" s="7">
        <f t="shared" si="7"/>
        <v>2924</v>
      </c>
      <c r="H91" s="7">
        <f t="shared" si="7"/>
        <v>3175</v>
      </c>
    </row>
    <row r="93" spans="1:8" x14ac:dyDescent="0.25">
      <c r="A93" s="33" t="s">
        <v>145</v>
      </c>
      <c r="B93" s="33"/>
      <c r="C93" s="33"/>
      <c r="D93" s="33"/>
      <c r="E93" s="33"/>
      <c r="F93" s="33"/>
      <c r="G93" s="33"/>
      <c r="H93" s="33"/>
    </row>
    <row r="94" spans="1:8" x14ac:dyDescent="0.25">
      <c r="A94" s="33"/>
      <c r="B94" s="33"/>
      <c r="C94" s="33"/>
      <c r="D94" s="33"/>
      <c r="E94" s="33"/>
      <c r="F94" s="33"/>
      <c r="G94" s="33"/>
      <c r="H94" s="33"/>
    </row>
    <row r="95" spans="1:8" x14ac:dyDescent="0.25">
      <c r="A95" s="33"/>
      <c r="B95" s="33"/>
      <c r="C95" s="33"/>
      <c r="D95" s="33"/>
      <c r="E95" s="33"/>
      <c r="F95" s="33"/>
      <c r="G95" s="33"/>
      <c r="H95" s="33"/>
    </row>
    <row r="97" spans="1:8" x14ac:dyDescent="0.25">
      <c r="A97" s="34"/>
      <c r="B97" s="34"/>
      <c r="C97" s="34"/>
      <c r="D97" s="34"/>
      <c r="E97" s="34"/>
      <c r="F97" s="34"/>
      <c r="G97" s="34"/>
      <c r="H97" s="34"/>
    </row>
  </sheetData>
  <mergeCells count="11">
    <mergeCell ref="A2:H2"/>
    <mergeCell ref="A5:A6"/>
    <mergeCell ref="B5:D5"/>
    <mergeCell ref="E5:G5"/>
    <mergeCell ref="H5:H6"/>
    <mergeCell ref="A93:H95"/>
    <mergeCell ref="A97:H97"/>
    <mergeCell ref="A81:A82"/>
    <mergeCell ref="B81:D81"/>
    <mergeCell ref="E81:G81"/>
    <mergeCell ref="H81:H82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view="pageLayout" topLeftCell="A94" zoomScale="70" zoomScaleNormal="100" zoomScalePageLayoutView="70" workbookViewId="0">
      <selection activeCell="E113" sqref="E113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2007-08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1</v>
      </c>
      <c r="C7" s="4">
        <v>0</v>
      </c>
      <c r="D7" s="5">
        <f>SUM(B7:C7)</f>
        <v>1</v>
      </c>
      <c r="E7" s="6">
        <v>18</v>
      </c>
      <c r="F7" s="4">
        <v>1</v>
      </c>
      <c r="G7" s="5">
        <f>SUM(E7:F7)</f>
        <v>19</v>
      </c>
      <c r="H7" s="9">
        <f>D7+G7</f>
        <v>20</v>
      </c>
    </row>
    <row r="8" spans="1:8" x14ac:dyDescent="0.25">
      <c r="A8" s="14" t="s">
        <v>6</v>
      </c>
      <c r="B8" s="6">
        <v>1</v>
      </c>
      <c r="C8" s="4">
        <v>0</v>
      </c>
      <c r="D8" s="5">
        <f t="shared" ref="D8:D87" si="0">SUM(B8:C8)</f>
        <v>1</v>
      </c>
      <c r="E8" s="6">
        <v>26</v>
      </c>
      <c r="F8" s="4">
        <v>0</v>
      </c>
      <c r="G8" s="5">
        <f t="shared" ref="G8:G87" si="1">SUM(E8:F8)</f>
        <v>26</v>
      </c>
      <c r="H8" s="9">
        <f t="shared" ref="H8:H87" si="2">D8+G8</f>
        <v>27</v>
      </c>
    </row>
    <row r="9" spans="1:8" x14ac:dyDescent="0.25">
      <c r="A9" s="14" t="s">
        <v>7</v>
      </c>
      <c r="B9" s="6">
        <v>1</v>
      </c>
      <c r="C9" s="4">
        <v>0</v>
      </c>
      <c r="D9" s="5">
        <f t="shared" si="0"/>
        <v>1</v>
      </c>
      <c r="E9" s="6">
        <v>91</v>
      </c>
      <c r="F9" s="4">
        <v>3</v>
      </c>
      <c r="G9" s="5">
        <f t="shared" si="1"/>
        <v>94</v>
      </c>
      <c r="H9" s="9">
        <f t="shared" si="2"/>
        <v>95</v>
      </c>
    </row>
    <row r="10" spans="1:8" x14ac:dyDescent="0.25">
      <c r="A10" s="14" t="s">
        <v>8</v>
      </c>
      <c r="B10" s="6">
        <v>8</v>
      </c>
      <c r="C10" s="4">
        <v>3</v>
      </c>
      <c r="D10" s="5">
        <f t="shared" si="0"/>
        <v>11</v>
      </c>
      <c r="E10" s="6">
        <v>33</v>
      </c>
      <c r="F10" s="4">
        <v>5</v>
      </c>
      <c r="G10" s="5">
        <f t="shared" si="1"/>
        <v>38</v>
      </c>
      <c r="H10" s="9">
        <f t="shared" si="2"/>
        <v>49</v>
      </c>
    </row>
    <row r="11" spans="1:8" x14ac:dyDescent="0.25">
      <c r="A11" s="14" t="s">
        <v>148</v>
      </c>
      <c r="B11" s="6">
        <v>1</v>
      </c>
      <c r="C11" s="4">
        <v>1</v>
      </c>
      <c r="D11" s="5">
        <f t="shared" si="0"/>
        <v>2</v>
      </c>
      <c r="E11" s="6">
        <v>0</v>
      </c>
      <c r="F11" s="4">
        <v>0</v>
      </c>
      <c r="G11" s="5">
        <f t="shared" si="1"/>
        <v>0</v>
      </c>
      <c r="H11" s="9">
        <f t="shared" si="2"/>
        <v>2</v>
      </c>
    </row>
    <row r="12" spans="1:8" x14ac:dyDescent="0.25">
      <c r="A12" s="14" t="s">
        <v>149</v>
      </c>
      <c r="B12" s="6">
        <v>0</v>
      </c>
      <c r="C12" s="4">
        <v>0</v>
      </c>
      <c r="D12" s="5">
        <f t="shared" si="0"/>
        <v>0</v>
      </c>
      <c r="E12" s="6">
        <v>159</v>
      </c>
      <c r="F12" s="4">
        <v>10</v>
      </c>
      <c r="G12" s="5">
        <f t="shared" si="1"/>
        <v>169</v>
      </c>
      <c r="H12" s="9">
        <f t="shared" si="2"/>
        <v>169</v>
      </c>
    </row>
    <row r="13" spans="1:8" x14ac:dyDescent="0.25">
      <c r="A13" s="14" t="s">
        <v>150</v>
      </c>
      <c r="B13" s="6">
        <v>0</v>
      </c>
      <c r="C13" s="4">
        <v>0</v>
      </c>
      <c r="D13" s="5">
        <f t="shared" si="0"/>
        <v>0</v>
      </c>
      <c r="E13" s="6">
        <v>101</v>
      </c>
      <c r="F13" s="4">
        <v>10</v>
      </c>
      <c r="G13" s="5">
        <f t="shared" si="1"/>
        <v>111</v>
      </c>
      <c r="H13" s="9">
        <f t="shared" si="2"/>
        <v>111</v>
      </c>
    </row>
    <row r="14" spans="1:8" x14ac:dyDescent="0.25">
      <c r="A14" s="14" t="s">
        <v>100</v>
      </c>
      <c r="B14" s="6">
        <v>1</v>
      </c>
      <c r="C14" s="4">
        <v>1</v>
      </c>
      <c r="D14" s="5">
        <f t="shared" si="0"/>
        <v>2</v>
      </c>
      <c r="E14" s="6">
        <v>7</v>
      </c>
      <c r="F14" s="4">
        <v>2</v>
      </c>
      <c r="G14" s="5">
        <f t="shared" si="1"/>
        <v>9</v>
      </c>
      <c r="H14" s="9">
        <f t="shared" si="2"/>
        <v>11</v>
      </c>
    </row>
    <row r="15" spans="1:8" x14ac:dyDescent="0.25">
      <c r="A15" s="14" t="s">
        <v>9</v>
      </c>
      <c r="B15" s="6">
        <v>2</v>
      </c>
      <c r="C15" s="4">
        <v>6</v>
      </c>
      <c r="D15" s="5">
        <f t="shared" si="0"/>
        <v>8</v>
      </c>
      <c r="E15" s="6">
        <v>1</v>
      </c>
      <c r="F15" s="4">
        <v>2</v>
      </c>
      <c r="G15" s="5">
        <f t="shared" si="1"/>
        <v>3</v>
      </c>
      <c r="H15" s="9">
        <f t="shared" si="2"/>
        <v>11</v>
      </c>
    </row>
    <row r="16" spans="1:8" x14ac:dyDescent="0.25">
      <c r="A16" s="14" t="s">
        <v>10</v>
      </c>
      <c r="B16" s="6">
        <v>2</v>
      </c>
      <c r="C16" s="4">
        <v>1</v>
      </c>
      <c r="D16" s="5">
        <f t="shared" si="0"/>
        <v>3</v>
      </c>
      <c r="E16" s="6">
        <v>8</v>
      </c>
      <c r="F16" s="4">
        <v>1</v>
      </c>
      <c r="G16" s="5">
        <f t="shared" si="1"/>
        <v>9</v>
      </c>
      <c r="H16" s="9">
        <f t="shared" si="2"/>
        <v>12</v>
      </c>
    </row>
    <row r="17" spans="1:8" x14ac:dyDescent="0.25">
      <c r="A17" s="14" t="s">
        <v>156</v>
      </c>
      <c r="B17" s="6">
        <v>0</v>
      </c>
      <c r="C17" s="4">
        <v>0</v>
      </c>
      <c r="D17" s="5">
        <f t="shared" si="0"/>
        <v>0</v>
      </c>
      <c r="E17" s="6">
        <v>0</v>
      </c>
      <c r="F17" s="4">
        <v>0</v>
      </c>
      <c r="G17" s="5">
        <f t="shared" si="1"/>
        <v>0</v>
      </c>
      <c r="H17" s="9">
        <f t="shared" si="2"/>
        <v>0</v>
      </c>
    </row>
    <row r="18" spans="1:8" x14ac:dyDescent="0.25">
      <c r="A18" s="14" t="s">
        <v>130</v>
      </c>
      <c r="B18" s="6">
        <v>0</v>
      </c>
      <c r="C18" s="4">
        <v>0</v>
      </c>
      <c r="D18" s="5">
        <f t="shared" si="0"/>
        <v>0</v>
      </c>
      <c r="E18" s="6">
        <v>16</v>
      </c>
      <c r="F18" s="4">
        <v>0</v>
      </c>
      <c r="G18" s="5">
        <f t="shared" si="1"/>
        <v>16</v>
      </c>
      <c r="H18" s="9">
        <f t="shared" si="2"/>
        <v>16</v>
      </c>
    </row>
    <row r="19" spans="1:8" x14ac:dyDescent="0.25">
      <c r="A19" s="14" t="s">
        <v>151</v>
      </c>
      <c r="B19" s="6">
        <v>0</v>
      </c>
      <c r="C19" s="4">
        <v>0</v>
      </c>
      <c r="D19" s="5">
        <f t="shared" si="0"/>
        <v>0</v>
      </c>
      <c r="E19" s="6">
        <v>20</v>
      </c>
      <c r="F19" s="4">
        <v>1</v>
      </c>
      <c r="G19" s="5">
        <f t="shared" si="1"/>
        <v>21</v>
      </c>
      <c r="H19" s="9">
        <f t="shared" si="2"/>
        <v>21</v>
      </c>
    </row>
    <row r="20" spans="1:8" x14ac:dyDescent="0.25">
      <c r="A20" s="14" t="s">
        <v>152</v>
      </c>
      <c r="B20" s="6">
        <v>0</v>
      </c>
      <c r="C20" s="4">
        <v>0</v>
      </c>
      <c r="D20" s="5">
        <f t="shared" si="0"/>
        <v>0</v>
      </c>
      <c r="E20" s="6">
        <v>0</v>
      </c>
      <c r="F20" s="4">
        <v>0</v>
      </c>
      <c r="G20" s="5">
        <f t="shared" si="1"/>
        <v>0</v>
      </c>
      <c r="H20" s="9">
        <f t="shared" si="2"/>
        <v>0</v>
      </c>
    </row>
    <row r="21" spans="1:8" x14ac:dyDescent="0.25">
      <c r="A21" s="14" t="s">
        <v>135</v>
      </c>
      <c r="B21" s="6">
        <v>0</v>
      </c>
      <c r="C21" s="4">
        <v>0</v>
      </c>
      <c r="D21" s="5">
        <f t="shared" si="0"/>
        <v>0</v>
      </c>
      <c r="E21" s="6">
        <v>109</v>
      </c>
      <c r="F21" s="4">
        <v>23</v>
      </c>
      <c r="G21" s="5">
        <f t="shared" si="1"/>
        <v>132</v>
      </c>
      <c r="H21" s="9">
        <f t="shared" si="2"/>
        <v>132</v>
      </c>
    </row>
    <row r="22" spans="1:8" x14ac:dyDescent="0.25">
      <c r="A22" s="14" t="s">
        <v>101</v>
      </c>
      <c r="B22" s="6">
        <v>2</v>
      </c>
      <c r="C22" s="4">
        <v>0</v>
      </c>
      <c r="D22" s="5">
        <f t="shared" si="0"/>
        <v>2</v>
      </c>
      <c r="E22" s="6">
        <v>0</v>
      </c>
      <c r="F22" s="4">
        <v>2</v>
      </c>
      <c r="G22" s="5">
        <f t="shared" si="1"/>
        <v>2</v>
      </c>
      <c r="H22" s="9">
        <f t="shared" si="2"/>
        <v>4</v>
      </c>
    </row>
    <row r="23" spans="1:8" x14ac:dyDescent="0.25">
      <c r="A23" s="14" t="s">
        <v>12</v>
      </c>
      <c r="B23" s="6">
        <v>4</v>
      </c>
      <c r="C23" s="4">
        <v>2</v>
      </c>
      <c r="D23" s="5">
        <f t="shared" si="0"/>
        <v>6</v>
      </c>
      <c r="E23" s="6">
        <v>4</v>
      </c>
      <c r="F23" s="4">
        <v>0</v>
      </c>
      <c r="G23" s="5">
        <f t="shared" si="1"/>
        <v>4</v>
      </c>
      <c r="H23" s="9">
        <f t="shared" si="2"/>
        <v>10</v>
      </c>
    </row>
    <row r="24" spans="1:8" x14ac:dyDescent="0.25">
      <c r="A24" s="14" t="s">
        <v>157</v>
      </c>
      <c r="B24" s="6">
        <v>4</v>
      </c>
      <c r="C24" s="4">
        <v>2</v>
      </c>
      <c r="D24" s="5">
        <f t="shared" si="0"/>
        <v>6</v>
      </c>
      <c r="E24" s="6">
        <v>14</v>
      </c>
      <c r="F24" s="4">
        <v>6</v>
      </c>
      <c r="G24" s="5">
        <f t="shared" si="1"/>
        <v>20</v>
      </c>
      <c r="H24" s="9">
        <f t="shared" si="2"/>
        <v>26</v>
      </c>
    </row>
    <row r="25" spans="1:8" x14ac:dyDescent="0.25">
      <c r="A25" s="14" t="s">
        <v>14</v>
      </c>
      <c r="B25" s="6">
        <v>6</v>
      </c>
      <c r="C25" s="4">
        <v>2</v>
      </c>
      <c r="D25" s="5">
        <f t="shared" si="0"/>
        <v>8</v>
      </c>
      <c r="E25" s="6">
        <v>13</v>
      </c>
      <c r="F25" s="4">
        <v>2</v>
      </c>
      <c r="G25" s="5">
        <f t="shared" si="1"/>
        <v>15</v>
      </c>
      <c r="H25" s="9">
        <f t="shared" si="2"/>
        <v>23</v>
      </c>
    </row>
    <row r="26" spans="1:8" x14ac:dyDescent="0.25">
      <c r="A26" s="14" t="s">
        <v>15</v>
      </c>
      <c r="B26" s="6">
        <v>0</v>
      </c>
      <c r="C26" s="4">
        <v>0</v>
      </c>
      <c r="D26" s="5">
        <f t="shared" si="0"/>
        <v>0</v>
      </c>
      <c r="E26" s="6">
        <v>29</v>
      </c>
      <c r="F26" s="4">
        <v>2</v>
      </c>
      <c r="G26" s="5">
        <f t="shared" si="1"/>
        <v>31</v>
      </c>
      <c r="H26" s="9">
        <f t="shared" si="2"/>
        <v>31</v>
      </c>
    </row>
    <row r="27" spans="1:8" x14ac:dyDescent="0.25">
      <c r="A27" s="14" t="s">
        <v>16</v>
      </c>
      <c r="B27" s="6">
        <v>5</v>
      </c>
      <c r="C27" s="4">
        <v>0</v>
      </c>
      <c r="D27" s="5">
        <f t="shared" si="0"/>
        <v>5</v>
      </c>
      <c r="E27" s="6">
        <v>0</v>
      </c>
      <c r="F27" s="4">
        <v>0</v>
      </c>
      <c r="G27" s="5">
        <f t="shared" si="1"/>
        <v>0</v>
      </c>
      <c r="H27" s="9">
        <f t="shared" si="2"/>
        <v>5</v>
      </c>
    </row>
    <row r="28" spans="1:8" x14ac:dyDescent="0.25">
      <c r="A28" s="14" t="s">
        <v>126</v>
      </c>
      <c r="B28" s="6">
        <v>4</v>
      </c>
      <c r="C28" s="4">
        <v>0</v>
      </c>
      <c r="D28" s="5">
        <f t="shared" si="0"/>
        <v>4</v>
      </c>
      <c r="E28" s="6">
        <v>26</v>
      </c>
      <c r="F28" s="4">
        <v>2</v>
      </c>
      <c r="G28" s="5">
        <f t="shared" si="1"/>
        <v>28</v>
      </c>
      <c r="H28" s="9">
        <f t="shared" si="2"/>
        <v>32</v>
      </c>
    </row>
    <row r="29" spans="1:8" x14ac:dyDescent="0.25">
      <c r="A29" s="14" t="s">
        <v>17</v>
      </c>
      <c r="B29" s="6">
        <v>5</v>
      </c>
      <c r="C29" s="4">
        <v>4</v>
      </c>
      <c r="D29" s="5">
        <f t="shared" si="0"/>
        <v>9</v>
      </c>
      <c r="E29" s="6">
        <v>9</v>
      </c>
      <c r="F29" s="4">
        <v>2</v>
      </c>
      <c r="G29" s="5">
        <f t="shared" si="1"/>
        <v>11</v>
      </c>
      <c r="H29" s="9">
        <f t="shared" si="2"/>
        <v>20</v>
      </c>
    </row>
    <row r="30" spans="1:8" x14ac:dyDescent="0.25">
      <c r="A30" s="14" t="s">
        <v>18</v>
      </c>
      <c r="B30" s="6">
        <v>0</v>
      </c>
      <c r="C30" s="4">
        <v>2</v>
      </c>
      <c r="D30" s="5">
        <f t="shared" si="0"/>
        <v>2</v>
      </c>
      <c r="E30" s="6">
        <v>68</v>
      </c>
      <c r="F30" s="4">
        <v>108</v>
      </c>
      <c r="G30" s="5">
        <f t="shared" si="1"/>
        <v>176</v>
      </c>
      <c r="H30" s="9">
        <f t="shared" si="2"/>
        <v>178</v>
      </c>
    </row>
    <row r="31" spans="1:8" x14ac:dyDescent="0.25">
      <c r="A31" s="14" t="s">
        <v>19</v>
      </c>
      <c r="B31" s="6">
        <v>0</v>
      </c>
      <c r="C31" s="4">
        <v>0</v>
      </c>
      <c r="D31" s="5">
        <f t="shared" si="0"/>
        <v>0</v>
      </c>
      <c r="E31" s="6">
        <v>5</v>
      </c>
      <c r="F31" s="4">
        <v>1</v>
      </c>
      <c r="G31" s="5">
        <f t="shared" si="1"/>
        <v>6</v>
      </c>
      <c r="H31" s="9">
        <f t="shared" si="2"/>
        <v>6</v>
      </c>
    </row>
    <row r="32" spans="1:8" x14ac:dyDescent="0.25">
      <c r="A32" s="14" t="s">
        <v>131</v>
      </c>
      <c r="B32" s="6">
        <v>0</v>
      </c>
      <c r="C32" s="4">
        <v>0</v>
      </c>
      <c r="D32" s="5">
        <f t="shared" si="0"/>
        <v>0</v>
      </c>
      <c r="E32" s="6">
        <v>0</v>
      </c>
      <c r="F32" s="4">
        <v>0</v>
      </c>
      <c r="G32" s="5">
        <f t="shared" si="1"/>
        <v>0</v>
      </c>
      <c r="H32" s="9">
        <f t="shared" si="2"/>
        <v>0</v>
      </c>
    </row>
    <row r="33" spans="1:8" x14ac:dyDescent="0.25">
      <c r="A33" s="14" t="s">
        <v>20</v>
      </c>
      <c r="B33" s="6">
        <v>1</v>
      </c>
      <c r="C33" s="4">
        <v>0</v>
      </c>
      <c r="D33" s="5">
        <f t="shared" si="0"/>
        <v>1</v>
      </c>
      <c r="E33" s="6">
        <v>6</v>
      </c>
      <c r="F33" s="4">
        <v>0</v>
      </c>
      <c r="G33" s="5">
        <f t="shared" si="1"/>
        <v>6</v>
      </c>
      <c r="H33" s="9">
        <f t="shared" si="2"/>
        <v>7</v>
      </c>
    </row>
    <row r="34" spans="1:8" x14ac:dyDescent="0.25">
      <c r="A34" s="14" t="s">
        <v>21</v>
      </c>
      <c r="B34" s="6">
        <v>3</v>
      </c>
      <c r="C34" s="4">
        <v>0</v>
      </c>
      <c r="D34" s="5">
        <f t="shared" si="0"/>
        <v>3</v>
      </c>
      <c r="E34" s="6">
        <v>3</v>
      </c>
      <c r="F34" s="4">
        <v>0</v>
      </c>
      <c r="G34" s="5">
        <f t="shared" si="1"/>
        <v>3</v>
      </c>
      <c r="H34" s="9">
        <f t="shared" si="2"/>
        <v>6</v>
      </c>
    </row>
    <row r="35" spans="1:8" x14ac:dyDescent="0.25">
      <c r="A35" s="14" t="s">
        <v>102</v>
      </c>
      <c r="B35" s="6">
        <v>0</v>
      </c>
      <c r="C35" s="4">
        <v>0</v>
      </c>
      <c r="D35" s="5">
        <f t="shared" si="0"/>
        <v>0</v>
      </c>
      <c r="E35" s="6">
        <v>0</v>
      </c>
      <c r="F35" s="4">
        <v>0</v>
      </c>
      <c r="G35" s="5">
        <f t="shared" si="1"/>
        <v>0</v>
      </c>
      <c r="H35" s="9">
        <f t="shared" si="2"/>
        <v>0</v>
      </c>
    </row>
    <row r="36" spans="1:8" x14ac:dyDescent="0.25">
      <c r="A36" s="14" t="s">
        <v>22</v>
      </c>
      <c r="B36" s="6">
        <v>5</v>
      </c>
      <c r="C36" s="4">
        <v>1</v>
      </c>
      <c r="D36" s="5">
        <f t="shared" si="0"/>
        <v>6</v>
      </c>
      <c r="E36" s="6">
        <v>16</v>
      </c>
      <c r="F36" s="4">
        <v>3</v>
      </c>
      <c r="G36" s="5">
        <f t="shared" si="1"/>
        <v>19</v>
      </c>
      <c r="H36" s="9">
        <f t="shared" si="2"/>
        <v>25</v>
      </c>
    </row>
    <row r="37" spans="1:8" x14ac:dyDescent="0.25">
      <c r="A37" s="14" t="s">
        <v>24</v>
      </c>
      <c r="B37" s="6">
        <v>0</v>
      </c>
      <c r="C37" s="4">
        <v>0</v>
      </c>
      <c r="D37" s="5">
        <f t="shared" si="0"/>
        <v>0</v>
      </c>
      <c r="E37" s="6">
        <v>2</v>
      </c>
      <c r="F37" s="4">
        <v>0</v>
      </c>
      <c r="G37" s="5">
        <f t="shared" si="1"/>
        <v>2</v>
      </c>
      <c r="H37" s="9">
        <f t="shared" si="2"/>
        <v>2</v>
      </c>
    </row>
    <row r="38" spans="1:8" x14ac:dyDescent="0.25">
      <c r="A38" s="14" t="s">
        <v>71</v>
      </c>
      <c r="B38" s="6">
        <v>7</v>
      </c>
      <c r="C38" s="4">
        <v>1</v>
      </c>
      <c r="D38" s="5">
        <f t="shared" si="0"/>
        <v>8</v>
      </c>
      <c r="E38" s="6">
        <v>22</v>
      </c>
      <c r="F38" s="4">
        <v>1</v>
      </c>
      <c r="G38" s="5">
        <f t="shared" si="1"/>
        <v>23</v>
      </c>
      <c r="H38" s="9">
        <f t="shared" si="2"/>
        <v>31</v>
      </c>
    </row>
    <row r="39" spans="1:8" x14ac:dyDescent="0.25">
      <c r="A39" s="14" t="s">
        <v>72</v>
      </c>
      <c r="B39" s="6">
        <v>4</v>
      </c>
      <c r="C39" s="4">
        <v>0</v>
      </c>
      <c r="D39" s="5">
        <f t="shared" si="0"/>
        <v>4</v>
      </c>
      <c r="E39" s="6">
        <v>13</v>
      </c>
      <c r="F39" s="4">
        <v>1</v>
      </c>
      <c r="G39" s="5">
        <f t="shared" si="1"/>
        <v>14</v>
      </c>
      <c r="H39" s="9">
        <f t="shared" si="2"/>
        <v>18</v>
      </c>
    </row>
    <row r="40" spans="1:8" x14ac:dyDescent="0.25">
      <c r="A40" s="14" t="s">
        <v>26</v>
      </c>
      <c r="B40" s="6">
        <v>3</v>
      </c>
      <c r="C40" s="4">
        <v>0</v>
      </c>
      <c r="D40" s="5">
        <f t="shared" si="0"/>
        <v>3</v>
      </c>
      <c r="E40" s="6">
        <v>18</v>
      </c>
      <c r="F40" s="4">
        <v>1</v>
      </c>
      <c r="G40" s="5">
        <f t="shared" si="1"/>
        <v>19</v>
      </c>
      <c r="H40" s="9">
        <f t="shared" si="2"/>
        <v>22</v>
      </c>
    </row>
    <row r="41" spans="1:8" x14ac:dyDescent="0.25">
      <c r="A41" s="14" t="s">
        <v>73</v>
      </c>
      <c r="B41" s="6">
        <v>3</v>
      </c>
      <c r="C41" s="4">
        <v>1</v>
      </c>
      <c r="D41" s="5">
        <f t="shared" si="0"/>
        <v>4</v>
      </c>
      <c r="E41" s="6">
        <v>9</v>
      </c>
      <c r="F41" s="4">
        <v>0</v>
      </c>
      <c r="G41" s="5">
        <f t="shared" si="1"/>
        <v>9</v>
      </c>
      <c r="H41" s="9">
        <f t="shared" si="2"/>
        <v>13</v>
      </c>
    </row>
    <row r="42" spans="1:8" x14ac:dyDescent="0.25">
      <c r="A42" s="14" t="s">
        <v>27</v>
      </c>
      <c r="B42" s="6">
        <v>4</v>
      </c>
      <c r="C42" s="4">
        <v>1</v>
      </c>
      <c r="D42" s="5">
        <f t="shared" si="0"/>
        <v>5</v>
      </c>
      <c r="E42" s="6">
        <v>12</v>
      </c>
      <c r="F42" s="4">
        <v>0</v>
      </c>
      <c r="G42" s="5">
        <f t="shared" si="1"/>
        <v>12</v>
      </c>
      <c r="H42" s="9">
        <f t="shared" si="2"/>
        <v>17</v>
      </c>
    </row>
    <row r="43" spans="1:8" x14ac:dyDescent="0.25">
      <c r="A43" s="14" t="s">
        <v>132</v>
      </c>
      <c r="B43" s="6">
        <v>0</v>
      </c>
      <c r="C43" s="4">
        <v>0</v>
      </c>
      <c r="D43" s="5">
        <f t="shared" si="0"/>
        <v>0</v>
      </c>
      <c r="E43" s="6">
        <v>0</v>
      </c>
      <c r="F43" s="4">
        <v>0</v>
      </c>
      <c r="G43" s="5">
        <f t="shared" si="1"/>
        <v>0</v>
      </c>
      <c r="H43" s="9">
        <f t="shared" si="2"/>
        <v>0</v>
      </c>
    </row>
    <row r="44" spans="1:8" x14ac:dyDescent="0.25">
      <c r="A44" s="14" t="s">
        <v>28</v>
      </c>
      <c r="B44" s="6">
        <v>7</v>
      </c>
      <c r="C44" s="4">
        <v>1</v>
      </c>
      <c r="D44" s="5">
        <f t="shared" si="0"/>
        <v>8</v>
      </c>
      <c r="E44" s="6">
        <v>13</v>
      </c>
      <c r="F44" s="4">
        <v>0</v>
      </c>
      <c r="G44" s="5">
        <f t="shared" si="1"/>
        <v>13</v>
      </c>
      <c r="H44" s="9">
        <f t="shared" si="2"/>
        <v>21</v>
      </c>
    </row>
    <row r="45" spans="1:8" x14ac:dyDescent="0.25">
      <c r="A45" s="14" t="s">
        <v>153</v>
      </c>
      <c r="B45" s="6">
        <v>0</v>
      </c>
      <c r="C45" s="4">
        <v>0</v>
      </c>
      <c r="D45" s="5">
        <f t="shared" si="0"/>
        <v>0</v>
      </c>
      <c r="E45" s="6">
        <v>19</v>
      </c>
      <c r="F45" s="4">
        <v>1</v>
      </c>
      <c r="G45" s="5">
        <f t="shared" si="1"/>
        <v>20</v>
      </c>
      <c r="H45" s="9">
        <f t="shared" si="2"/>
        <v>20</v>
      </c>
    </row>
    <row r="46" spans="1:8" x14ac:dyDescent="0.25">
      <c r="A46" s="14" t="s">
        <v>133</v>
      </c>
      <c r="B46" s="6">
        <v>0</v>
      </c>
      <c r="C46" s="4">
        <v>0</v>
      </c>
      <c r="D46" s="5">
        <f t="shared" si="0"/>
        <v>0</v>
      </c>
      <c r="E46" s="6">
        <v>0</v>
      </c>
      <c r="F46" s="4">
        <v>0</v>
      </c>
      <c r="G46" s="5">
        <f t="shared" si="1"/>
        <v>0</v>
      </c>
      <c r="H46" s="9">
        <f t="shared" si="2"/>
        <v>0</v>
      </c>
    </row>
    <row r="47" spans="1:8" x14ac:dyDescent="0.25">
      <c r="A47" s="14" t="s">
        <v>1</v>
      </c>
      <c r="B47" s="6">
        <v>1</v>
      </c>
      <c r="C47" s="4">
        <v>0</v>
      </c>
      <c r="D47" s="5">
        <f t="shared" si="0"/>
        <v>1</v>
      </c>
      <c r="E47" s="6">
        <v>38</v>
      </c>
      <c r="F47" s="4">
        <v>10</v>
      </c>
      <c r="G47" s="5">
        <f t="shared" si="1"/>
        <v>48</v>
      </c>
      <c r="H47" s="9">
        <f t="shared" si="2"/>
        <v>49</v>
      </c>
    </row>
    <row r="48" spans="1:8" x14ac:dyDescent="0.25">
      <c r="A48" s="14" t="s">
        <v>29</v>
      </c>
      <c r="B48" s="6">
        <v>1</v>
      </c>
      <c r="C48" s="4">
        <v>0</v>
      </c>
      <c r="D48" s="5">
        <f t="shared" si="0"/>
        <v>1</v>
      </c>
      <c r="E48" s="6">
        <v>122</v>
      </c>
      <c r="F48" s="4">
        <v>5</v>
      </c>
      <c r="G48" s="5">
        <f t="shared" si="1"/>
        <v>127</v>
      </c>
      <c r="H48" s="9">
        <f t="shared" si="2"/>
        <v>128</v>
      </c>
    </row>
    <row r="49" spans="1:8" x14ac:dyDescent="0.25">
      <c r="A49" s="14" t="s">
        <v>158</v>
      </c>
      <c r="B49" s="6">
        <v>0</v>
      </c>
      <c r="C49" s="4">
        <v>0</v>
      </c>
      <c r="D49" s="5">
        <f t="shared" si="0"/>
        <v>0</v>
      </c>
      <c r="E49" s="6">
        <v>2</v>
      </c>
      <c r="F49" s="4">
        <v>0</v>
      </c>
      <c r="G49" s="5">
        <f t="shared" si="1"/>
        <v>2</v>
      </c>
      <c r="H49" s="9">
        <f t="shared" si="2"/>
        <v>2</v>
      </c>
    </row>
    <row r="50" spans="1:8" x14ac:dyDescent="0.25">
      <c r="A50" s="14" t="s">
        <v>30</v>
      </c>
      <c r="B50" s="6">
        <v>13</v>
      </c>
      <c r="C50" s="4">
        <v>13</v>
      </c>
      <c r="D50" s="5">
        <f t="shared" si="0"/>
        <v>26</v>
      </c>
      <c r="E50" s="6">
        <v>0</v>
      </c>
      <c r="F50" s="4">
        <v>0</v>
      </c>
      <c r="G50" s="5">
        <f t="shared" si="1"/>
        <v>0</v>
      </c>
      <c r="H50" s="9">
        <f t="shared" si="2"/>
        <v>26</v>
      </c>
    </row>
    <row r="51" spans="1:8" x14ac:dyDescent="0.25">
      <c r="A51" s="14" t="s">
        <v>31</v>
      </c>
      <c r="B51" s="6">
        <v>5</v>
      </c>
      <c r="C51" s="4">
        <v>7</v>
      </c>
      <c r="D51" s="5">
        <f t="shared" si="0"/>
        <v>12</v>
      </c>
      <c r="E51" s="6">
        <v>9</v>
      </c>
      <c r="F51" s="4">
        <v>1</v>
      </c>
      <c r="G51" s="5">
        <f t="shared" si="1"/>
        <v>10</v>
      </c>
      <c r="H51" s="9">
        <f t="shared" si="2"/>
        <v>22</v>
      </c>
    </row>
    <row r="52" spans="1:8" x14ac:dyDescent="0.25">
      <c r="A52" s="14" t="s">
        <v>32</v>
      </c>
      <c r="B52" s="6">
        <v>0</v>
      </c>
      <c r="C52" s="4">
        <v>0</v>
      </c>
      <c r="D52" s="5">
        <f t="shared" si="0"/>
        <v>0</v>
      </c>
      <c r="E52" s="6">
        <v>22</v>
      </c>
      <c r="F52" s="4">
        <v>5</v>
      </c>
      <c r="G52" s="5">
        <f t="shared" si="1"/>
        <v>27</v>
      </c>
      <c r="H52" s="9">
        <f t="shared" si="2"/>
        <v>27</v>
      </c>
    </row>
    <row r="53" spans="1:8" x14ac:dyDescent="0.25">
      <c r="A53" s="14" t="s">
        <v>159</v>
      </c>
      <c r="B53" s="6">
        <v>2</v>
      </c>
      <c r="C53" s="4">
        <v>2</v>
      </c>
      <c r="D53" s="5">
        <f t="shared" si="0"/>
        <v>4</v>
      </c>
      <c r="E53" s="6">
        <v>0</v>
      </c>
      <c r="F53" s="4">
        <v>0</v>
      </c>
      <c r="G53" s="5">
        <f t="shared" si="1"/>
        <v>0</v>
      </c>
      <c r="H53" s="9">
        <f t="shared" si="2"/>
        <v>4</v>
      </c>
    </row>
    <row r="54" spans="1:8" x14ac:dyDescent="0.25">
      <c r="A54" s="14" t="s">
        <v>34</v>
      </c>
      <c r="B54" s="6">
        <v>2</v>
      </c>
      <c r="C54" s="4">
        <v>0</v>
      </c>
      <c r="D54" s="5">
        <f t="shared" si="0"/>
        <v>2</v>
      </c>
      <c r="E54" s="6">
        <v>2</v>
      </c>
      <c r="F54" s="4">
        <v>1</v>
      </c>
      <c r="G54" s="5">
        <f t="shared" si="1"/>
        <v>3</v>
      </c>
      <c r="H54" s="9">
        <f t="shared" si="2"/>
        <v>5</v>
      </c>
    </row>
    <row r="55" spans="1:8" x14ac:dyDescent="0.25">
      <c r="A55" s="14" t="s">
        <v>35</v>
      </c>
      <c r="B55" s="6">
        <v>1</v>
      </c>
      <c r="C55" s="4">
        <v>0</v>
      </c>
      <c r="D55" s="5">
        <f t="shared" si="0"/>
        <v>1</v>
      </c>
      <c r="E55" s="6">
        <v>5</v>
      </c>
      <c r="F55" s="4">
        <v>1</v>
      </c>
      <c r="G55" s="5">
        <f t="shared" si="1"/>
        <v>6</v>
      </c>
      <c r="H55" s="9">
        <f t="shared" si="2"/>
        <v>7</v>
      </c>
    </row>
    <row r="56" spans="1:8" x14ac:dyDescent="0.25">
      <c r="A56" s="14" t="s">
        <v>36</v>
      </c>
      <c r="B56" s="6">
        <v>0</v>
      </c>
      <c r="C56" s="4">
        <v>0</v>
      </c>
      <c r="D56" s="5">
        <f t="shared" si="0"/>
        <v>0</v>
      </c>
      <c r="E56" s="6">
        <v>13</v>
      </c>
      <c r="F56" s="4">
        <v>4</v>
      </c>
      <c r="G56" s="5">
        <f t="shared" si="1"/>
        <v>17</v>
      </c>
      <c r="H56" s="9">
        <f t="shared" si="2"/>
        <v>17</v>
      </c>
    </row>
    <row r="57" spans="1:8" x14ac:dyDescent="0.25">
      <c r="A57" s="14" t="s">
        <v>38</v>
      </c>
      <c r="B57" s="6">
        <v>59</v>
      </c>
      <c r="C57" s="4">
        <v>2</v>
      </c>
      <c r="D57" s="5">
        <f t="shared" si="0"/>
        <v>61</v>
      </c>
      <c r="E57" s="6">
        <v>4</v>
      </c>
      <c r="F57" s="4">
        <v>1</v>
      </c>
      <c r="G57" s="5">
        <f t="shared" si="1"/>
        <v>5</v>
      </c>
      <c r="H57" s="9">
        <f t="shared" si="2"/>
        <v>66</v>
      </c>
    </row>
    <row r="58" spans="1:8" x14ac:dyDescent="0.25">
      <c r="A58" s="14" t="s">
        <v>39</v>
      </c>
      <c r="B58" s="6">
        <v>22</v>
      </c>
      <c r="C58" s="4">
        <v>5</v>
      </c>
      <c r="D58" s="5">
        <f t="shared" si="0"/>
        <v>27</v>
      </c>
      <c r="E58" s="6">
        <v>49</v>
      </c>
      <c r="F58" s="4">
        <v>0</v>
      </c>
      <c r="G58" s="5">
        <f t="shared" si="1"/>
        <v>49</v>
      </c>
      <c r="H58" s="9">
        <f t="shared" si="2"/>
        <v>76</v>
      </c>
    </row>
    <row r="59" spans="1:8" x14ac:dyDescent="0.25">
      <c r="A59" s="14" t="s">
        <v>141</v>
      </c>
      <c r="B59" s="6">
        <v>0</v>
      </c>
      <c r="C59" s="4">
        <v>0</v>
      </c>
      <c r="D59" s="5">
        <f t="shared" si="0"/>
        <v>0</v>
      </c>
      <c r="E59" s="6">
        <v>22</v>
      </c>
      <c r="F59" s="4">
        <v>2</v>
      </c>
      <c r="G59" s="5">
        <f t="shared" si="1"/>
        <v>24</v>
      </c>
      <c r="H59" s="9">
        <f t="shared" si="2"/>
        <v>24</v>
      </c>
    </row>
    <row r="60" spans="1:8" x14ac:dyDescent="0.25">
      <c r="A60" s="14" t="s">
        <v>40</v>
      </c>
      <c r="B60" s="6">
        <v>7</v>
      </c>
      <c r="C60" s="4">
        <v>2</v>
      </c>
      <c r="D60" s="5">
        <f t="shared" si="0"/>
        <v>9</v>
      </c>
      <c r="E60" s="6">
        <v>123</v>
      </c>
      <c r="F60" s="4">
        <v>7</v>
      </c>
      <c r="G60" s="5">
        <f t="shared" si="1"/>
        <v>130</v>
      </c>
      <c r="H60" s="9">
        <f t="shared" si="2"/>
        <v>139</v>
      </c>
    </row>
    <row r="61" spans="1:8" x14ac:dyDescent="0.25">
      <c r="A61" s="14" t="s">
        <v>41</v>
      </c>
      <c r="B61" s="6">
        <v>4</v>
      </c>
      <c r="C61" s="4">
        <v>0</v>
      </c>
      <c r="D61" s="5">
        <f t="shared" si="0"/>
        <v>4</v>
      </c>
      <c r="E61" s="6">
        <v>2</v>
      </c>
      <c r="F61" s="4">
        <v>0</v>
      </c>
      <c r="G61" s="5">
        <f t="shared" si="1"/>
        <v>2</v>
      </c>
      <c r="H61" s="9">
        <f t="shared" si="2"/>
        <v>6</v>
      </c>
    </row>
    <row r="62" spans="1:8" x14ac:dyDescent="0.25">
      <c r="A62" s="14" t="s">
        <v>121</v>
      </c>
      <c r="B62" s="6">
        <v>9</v>
      </c>
      <c r="C62" s="4">
        <v>6</v>
      </c>
      <c r="D62" s="5">
        <f t="shared" si="0"/>
        <v>15</v>
      </c>
      <c r="E62" s="6">
        <v>42</v>
      </c>
      <c r="F62" s="4">
        <v>0</v>
      </c>
      <c r="G62" s="5">
        <f t="shared" si="1"/>
        <v>42</v>
      </c>
      <c r="H62" s="9">
        <f t="shared" si="2"/>
        <v>57</v>
      </c>
    </row>
    <row r="63" spans="1:8" x14ac:dyDescent="0.25">
      <c r="A63" s="14" t="s">
        <v>42</v>
      </c>
      <c r="B63" s="6">
        <v>2</v>
      </c>
      <c r="C63" s="4">
        <v>0</v>
      </c>
      <c r="D63" s="5">
        <f t="shared" si="0"/>
        <v>2</v>
      </c>
      <c r="E63" s="6">
        <v>6</v>
      </c>
      <c r="F63" s="4">
        <v>0</v>
      </c>
      <c r="G63" s="5">
        <f t="shared" si="1"/>
        <v>6</v>
      </c>
      <c r="H63" s="9">
        <f t="shared" si="2"/>
        <v>8</v>
      </c>
    </row>
    <row r="64" spans="1:8" x14ac:dyDescent="0.25">
      <c r="A64" s="14" t="s">
        <v>43</v>
      </c>
      <c r="B64" s="6">
        <v>0</v>
      </c>
      <c r="C64" s="4">
        <v>0</v>
      </c>
      <c r="D64" s="5">
        <f t="shared" si="0"/>
        <v>0</v>
      </c>
      <c r="E64" s="6">
        <v>55</v>
      </c>
      <c r="F64" s="4">
        <v>4</v>
      </c>
      <c r="G64" s="5">
        <f t="shared" si="1"/>
        <v>59</v>
      </c>
      <c r="H64" s="9">
        <f t="shared" si="2"/>
        <v>59</v>
      </c>
    </row>
    <row r="65" spans="1:8" x14ac:dyDescent="0.25">
      <c r="A65" s="14" t="s">
        <v>44</v>
      </c>
      <c r="B65" s="6">
        <v>0</v>
      </c>
      <c r="C65" s="4">
        <v>0</v>
      </c>
      <c r="D65" s="5">
        <f t="shared" si="0"/>
        <v>0</v>
      </c>
      <c r="E65" s="6">
        <v>9</v>
      </c>
      <c r="F65" s="4">
        <v>0</v>
      </c>
      <c r="G65" s="5">
        <f t="shared" si="1"/>
        <v>9</v>
      </c>
      <c r="H65" s="9">
        <f t="shared" si="2"/>
        <v>9</v>
      </c>
    </row>
    <row r="66" spans="1:8" x14ac:dyDescent="0.25">
      <c r="A66" s="14" t="s">
        <v>45</v>
      </c>
      <c r="B66" s="6">
        <v>6</v>
      </c>
      <c r="C66" s="4">
        <v>5</v>
      </c>
      <c r="D66" s="5">
        <f t="shared" si="0"/>
        <v>11</v>
      </c>
      <c r="E66" s="6">
        <v>5</v>
      </c>
      <c r="F66" s="4">
        <v>0</v>
      </c>
      <c r="G66" s="5">
        <f t="shared" si="1"/>
        <v>5</v>
      </c>
      <c r="H66" s="9">
        <f t="shared" si="2"/>
        <v>16</v>
      </c>
    </row>
    <row r="67" spans="1:8" x14ac:dyDescent="0.25">
      <c r="A67" s="14" t="s">
        <v>154</v>
      </c>
      <c r="B67" s="6">
        <v>0</v>
      </c>
      <c r="C67" s="4">
        <v>0</v>
      </c>
      <c r="D67" s="5">
        <f t="shared" si="0"/>
        <v>0</v>
      </c>
      <c r="E67" s="6">
        <v>0</v>
      </c>
      <c r="F67" s="4">
        <v>0</v>
      </c>
      <c r="G67" s="5">
        <f t="shared" si="1"/>
        <v>0</v>
      </c>
      <c r="H67" s="9">
        <f t="shared" si="2"/>
        <v>0</v>
      </c>
    </row>
    <row r="68" spans="1:8" x14ac:dyDescent="0.25">
      <c r="A68" s="14" t="s">
        <v>48</v>
      </c>
      <c r="B68" s="6">
        <v>11</v>
      </c>
      <c r="C68" s="4">
        <v>0</v>
      </c>
      <c r="D68" s="5">
        <f t="shared" si="0"/>
        <v>11</v>
      </c>
      <c r="E68" s="6">
        <v>0</v>
      </c>
      <c r="F68" s="4">
        <v>0</v>
      </c>
      <c r="G68" s="5">
        <f t="shared" si="1"/>
        <v>0</v>
      </c>
      <c r="H68" s="9">
        <f t="shared" si="2"/>
        <v>11</v>
      </c>
    </row>
    <row r="69" spans="1:8" x14ac:dyDescent="0.25">
      <c r="A69" s="14" t="s">
        <v>49</v>
      </c>
      <c r="B69" s="6">
        <v>0</v>
      </c>
      <c r="C69" s="4">
        <v>0</v>
      </c>
      <c r="D69" s="5">
        <f t="shared" si="0"/>
        <v>0</v>
      </c>
      <c r="E69" s="6">
        <v>34</v>
      </c>
      <c r="F69" s="4">
        <v>1</v>
      </c>
      <c r="G69" s="5">
        <f t="shared" si="1"/>
        <v>35</v>
      </c>
      <c r="H69" s="9">
        <f t="shared" si="2"/>
        <v>35</v>
      </c>
    </row>
    <row r="70" spans="1:8" x14ac:dyDescent="0.25">
      <c r="A70" s="14" t="s">
        <v>122</v>
      </c>
      <c r="B70" s="6">
        <v>0</v>
      </c>
      <c r="C70" s="4">
        <v>0</v>
      </c>
      <c r="D70" s="5">
        <f t="shared" si="0"/>
        <v>0</v>
      </c>
      <c r="E70" s="6">
        <v>3</v>
      </c>
      <c r="F70" s="4">
        <v>0</v>
      </c>
      <c r="G70" s="5">
        <f t="shared" si="1"/>
        <v>3</v>
      </c>
      <c r="H70" s="9">
        <f t="shared" si="2"/>
        <v>3</v>
      </c>
    </row>
    <row r="71" spans="1:8" x14ac:dyDescent="0.25">
      <c r="A71" s="14" t="s">
        <v>92</v>
      </c>
      <c r="B71" s="6">
        <v>0</v>
      </c>
      <c r="C71" s="4">
        <v>0</v>
      </c>
      <c r="D71" s="5">
        <f t="shared" si="0"/>
        <v>0</v>
      </c>
      <c r="E71" s="6">
        <v>169</v>
      </c>
      <c r="F71" s="4">
        <v>23</v>
      </c>
      <c r="G71" s="5">
        <f t="shared" si="1"/>
        <v>192</v>
      </c>
      <c r="H71" s="9">
        <f t="shared" si="2"/>
        <v>192</v>
      </c>
    </row>
    <row r="72" spans="1:8" x14ac:dyDescent="0.25">
      <c r="A72" s="14" t="s">
        <v>96</v>
      </c>
      <c r="B72" s="6">
        <v>0</v>
      </c>
      <c r="C72" s="4">
        <v>0</v>
      </c>
      <c r="D72" s="5">
        <f t="shared" si="0"/>
        <v>0</v>
      </c>
      <c r="E72" s="6">
        <v>60</v>
      </c>
      <c r="F72" s="4">
        <v>6</v>
      </c>
      <c r="G72" s="5">
        <f t="shared" si="1"/>
        <v>66</v>
      </c>
      <c r="H72" s="9">
        <f t="shared" si="2"/>
        <v>66</v>
      </c>
    </row>
    <row r="73" spans="1:8" x14ac:dyDescent="0.25">
      <c r="A73" s="14" t="s">
        <v>142</v>
      </c>
      <c r="B73" s="6">
        <v>0</v>
      </c>
      <c r="C73" s="4">
        <v>0</v>
      </c>
      <c r="D73" s="5">
        <f t="shared" si="0"/>
        <v>0</v>
      </c>
      <c r="E73" s="6">
        <v>28</v>
      </c>
      <c r="F73" s="4">
        <v>3</v>
      </c>
      <c r="G73" s="5">
        <f t="shared" si="1"/>
        <v>31</v>
      </c>
      <c r="H73" s="9">
        <f t="shared" si="2"/>
        <v>31</v>
      </c>
    </row>
    <row r="74" spans="1:8" x14ac:dyDescent="0.25">
      <c r="A74" s="14" t="s">
        <v>107</v>
      </c>
      <c r="B74" s="6">
        <v>0</v>
      </c>
      <c r="C74" s="4">
        <v>0</v>
      </c>
      <c r="D74" s="5">
        <f t="shared" si="0"/>
        <v>0</v>
      </c>
      <c r="E74" s="6">
        <v>374</v>
      </c>
      <c r="F74" s="4">
        <v>27</v>
      </c>
      <c r="G74" s="5">
        <f t="shared" si="1"/>
        <v>401</v>
      </c>
      <c r="H74" s="9">
        <f t="shared" si="2"/>
        <v>401</v>
      </c>
    </row>
    <row r="75" spans="1:8" x14ac:dyDescent="0.25">
      <c r="A75" s="14" t="s">
        <v>51</v>
      </c>
      <c r="B75" s="6">
        <v>0</v>
      </c>
      <c r="C75" s="4">
        <v>0</v>
      </c>
      <c r="D75" s="5">
        <f t="shared" si="0"/>
        <v>0</v>
      </c>
      <c r="E75" s="6">
        <v>10</v>
      </c>
      <c r="F75" s="4">
        <v>3</v>
      </c>
      <c r="G75" s="5">
        <f t="shared" si="1"/>
        <v>13</v>
      </c>
      <c r="H75" s="9">
        <f t="shared" si="2"/>
        <v>13</v>
      </c>
    </row>
    <row r="76" spans="1:8" x14ac:dyDescent="0.25">
      <c r="A76" s="14" t="s">
        <v>136</v>
      </c>
      <c r="B76" s="6">
        <v>0</v>
      </c>
      <c r="C76" s="4">
        <v>0</v>
      </c>
      <c r="D76" s="5">
        <f t="shared" si="0"/>
        <v>0</v>
      </c>
      <c r="E76" s="6">
        <v>2</v>
      </c>
      <c r="F76" s="4">
        <v>2</v>
      </c>
      <c r="G76" s="5">
        <f t="shared" si="1"/>
        <v>4</v>
      </c>
      <c r="H76" s="9">
        <f t="shared" si="2"/>
        <v>4</v>
      </c>
    </row>
    <row r="77" spans="1:8" x14ac:dyDescent="0.25">
      <c r="A77" s="14" t="s">
        <v>52</v>
      </c>
      <c r="B77" s="6">
        <v>0</v>
      </c>
      <c r="C77" s="4">
        <v>0</v>
      </c>
      <c r="D77" s="5">
        <f t="shared" si="0"/>
        <v>0</v>
      </c>
      <c r="E77" s="6">
        <v>3</v>
      </c>
      <c r="F77" s="4">
        <v>4</v>
      </c>
      <c r="G77" s="5">
        <f t="shared" si="1"/>
        <v>7</v>
      </c>
      <c r="H77" s="9">
        <f t="shared" si="2"/>
        <v>7</v>
      </c>
    </row>
    <row r="78" spans="1:8" x14ac:dyDescent="0.25">
      <c r="A78" s="14" t="s">
        <v>113</v>
      </c>
      <c r="B78" s="6">
        <v>0</v>
      </c>
      <c r="C78" s="4">
        <v>0</v>
      </c>
      <c r="D78" s="5">
        <f t="shared" si="0"/>
        <v>0</v>
      </c>
      <c r="E78" s="6">
        <v>30</v>
      </c>
      <c r="F78" s="4">
        <v>5</v>
      </c>
      <c r="G78" s="5">
        <f t="shared" si="1"/>
        <v>35</v>
      </c>
      <c r="H78" s="9">
        <f t="shared" si="2"/>
        <v>35</v>
      </c>
    </row>
    <row r="79" spans="1:8" x14ac:dyDescent="0.25">
      <c r="A79" s="14" t="s">
        <v>134</v>
      </c>
      <c r="B79" s="6">
        <v>0</v>
      </c>
      <c r="C79" s="4">
        <v>0</v>
      </c>
      <c r="D79" s="5">
        <f t="shared" si="0"/>
        <v>0</v>
      </c>
      <c r="E79" s="6">
        <v>44</v>
      </c>
      <c r="F79" s="4">
        <v>5</v>
      </c>
      <c r="G79" s="5">
        <f t="shared" si="1"/>
        <v>49</v>
      </c>
      <c r="H79" s="9">
        <f t="shared" si="2"/>
        <v>49</v>
      </c>
    </row>
    <row r="80" spans="1:8" x14ac:dyDescent="0.25">
      <c r="A80" s="14" t="s">
        <v>56</v>
      </c>
      <c r="B80" s="6">
        <v>0</v>
      </c>
      <c r="C80" s="4">
        <v>0</v>
      </c>
      <c r="D80" s="5">
        <f t="shared" si="0"/>
        <v>0</v>
      </c>
      <c r="E80" s="6">
        <v>79</v>
      </c>
      <c r="F80" s="4">
        <v>7</v>
      </c>
      <c r="G80" s="5">
        <f t="shared" si="1"/>
        <v>86</v>
      </c>
      <c r="H80" s="9">
        <f t="shared" si="2"/>
        <v>86</v>
      </c>
    </row>
    <row r="81" spans="1:8" x14ac:dyDescent="0.25">
      <c r="A81" s="14" t="s">
        <v>137</v>
      </c>
      <c r="B81" s="6">
        <v>0</v>
      </c>
      <c r="C81" s="4">
        <v>0</v>
      </c>
      <c r="D81" s="5">
        <f t="shared" si="0"/>
        <v>0</v>
      </c>
      <c r="E81" s="6">
        <v>43</v>
      </c>
      <c r="F81" s="4">
        <v>0</v>
      </c>
      <c r="G81" s="5">
        <f t="shared" si="1"/>
        <v>43</v>
      </c>
      <c r="H81" s="9">
        <f t="shared" si="2"/>
        <v>43</v>
      </c>
    </row>
    <row r="82" spans="1:8" x14ac:dyDescent="0.25">
      <c r="A82" s="14" t="s">
        <v>99</v>
      </c>
      <c r="B82" s="6">
        <v>0</v>
      </c>
      <c r="C82" s="4">
        <v>0</v>
      </c>
      <c r="D82" s="5">
        <f t="shared" si="0"/>
        <v>0</v>
      </c>
      <c r="E82" s="6">
        <v>63</v>
      </c>
      <c r="F82" s="4">
        <v>11</v>
      </c>
      <c r="G82" s="5">
        <f t="shared" si="1"/>
        <v>74</v>
      </c>
      <c r="H82" s="9">
        <f t="shared" si="2"/>
        <v>74</v>
      </c>
    </row>
    <row r="83" spans="1:8" x14ac:dyDescent="0.25">
      <c r="A83" s="14" t="s">
        <v>59</v>
      </c>
      <c r="B83" s="6">
        <v>0</v>
      </c>
      <c r="C83" s="4">
        <v>0</v>
      </c>
      <c r="D83" s="5">
        <f t="shared" si="0"/>
        <v>0</v>
      </c>
      <c r="E83" s="6">
        <v>1</v>
      </c>
      <c r="F83" s="4">
        <v>0</v>
      </c>
      <c r="G83" s="5">
        <f t="shared" si="1"/>
        <v>1</v>
      </c>
      <c r="H83" s="9">
        <f t="shared" si="2"/>
        <v>1</v>
      </c>
    </row>
    <row r="84" spans="1:8" x14ac:dyDescent="0.25">
      <c r="A84" s="14" t="s">
        <v>60</v>
      </c>
      <c r="B84" s="6">
        <v>0</v>
      </c>
      <c r="C84" s="4">
        <v>0</v>
      </c>
      <c r="D84" s="5">
        <f t="shared" si="0"/>
        <v>0</v>
      </c>
      <c r="E84" s="6">
        <v>14</v>
      </c>
      <c r="F84" s="4">
        <v>2</v>
      </c>
      <c r="G84" s="5">
        <f t="shared" si="1"/>
        <v>16</v>
      </c>
      <c r="H84" s="9">
        <f t="shared" si="2"/>
        <v>16</v>
      </c>
    </row>
    <row r="85" spans="1:8" x14ac:dyDescent="0.25">
      <c r="A85" s="14" t="s">
        <v>61</v>
      </c>
      <c r="B85" s="6">
        <v>0</v>
      </c>
      <c r="C85" s="4">
        <v>0</v>
      </c>
      <c r="D85" s="5">
        <f t="shared" si="0"/>
        <v>0</v>
      </c>
      <c r="E85" s="6">
        <v>4</v>
      </c>
      <c r="F85" s="4">
        <v>0</v>
      </c>
      <c r="G85" s="5">
        <f t="shared" si="1"/>
        <v>4</v>
      </c>
      <c r="H85" s="9">
        <f t="shared" si="2"/>
        <v>4</v>
      </c>
    </row>
    <row r="86" spans="1:8" x14ac:dyDescent="0.25">
      <c r="A86" s="14" t="s">
        <v>70</v>
      </c>
      <c r="B86" s="6">
        <v>0</v>
      </c>
      <c r="C86" s="4">
        <v>0</v>
      </c>
      <c r="D86" s="5">
        <f t="shared" si="0"/>
        <v>0</v>
      </c>
      <c r="E86" s="6">
        <v>21</v>
      </c>
      <c r="F86" s="4">
        <v>6</v>
      </c>
      <c r="G86" s="5">
        <f t="shared" si="1"/>
        <v>27</v>
      </c>
      <c r="H86" s="9">
        <f t="shared" si="2"/>
        <v>27</v>
      </c>
    </row>
    <row r="87" spans="1:8" x14ac:dyDescent="0.25">
      <c r="A87" s="14" t="s">
        <v>155</v>
      </c>
      <c r="B87" s="6">
        <v>0</v>
      </c>
      <c r="C87" s="4">
        <v>0</v>
      </c>
      <c r="D87" s="5">
        <f t="shared" si="0"/>
        <v>0</v>
      </c>
      <c r="E87" s="6">
        <v>8</v>
      </c>
      <c r="F87" s="4">
        <v>1</v>
      </c>
      <c r="G87" s="5">
        <f t="shared" si="1"/>
        <v>9</v>
      </c>
      <c r="H87" s="9">
        <f t="shared" si="2"/>
        <v>9</v>
      </c>
    </row>
    <row r="88" spans="1:8" x14ac:dyDescent="0.25">
      <c r="A88" s="14" t="s">
        <v>138</v>
      </c>
      <c r="B88" s="6">
        <v>0</v>
      </c>
      <c r="C88" s="4">
        <v>0</v>
      </c>
      <c r="D88" s="5">
        <f t="shared" ref="D88:D90" si="3">SUM(B88:C88)</f>
        <v>0</v>
      </c>
      <c r="E88" s="6">
        <v>2</v>
      </c>
      <c r="F88" s="4">
        <v>1</v>
      </c>
      <c r="G88" s="5">
        <f t="shared" ref="G88:G90" si="4">SUM(E88:F88)</f>
        <v>3</v>
      </c>
      <c r="H88" s="9">
        <f t="shared" ref="H88:H90" si="5">D88+G88</f>
        <v>3</v>
      </c>
    </row>
    <row r="89" spans="1:8" x14ac:dyDescent="0.25">
      <c r="A89" s="14" t="s">
        <v>117</v>
      </c>
      <c r="B89" s="6">
        <v>0</v>
      </c>
      <c r="C89" s="4">
        <v>0</v>
      </c>
      <c r="D89" s="5">
        <f t="shared" si="3"/>
        <v>0</v>
      </c>
      <c r="E89" s="6">
        <v>28</v>
      </c>
      <c r="F89" s="4">
        <v>4</v>
      </c>
      <c r="G89" s="5">
        <f t="shared" si="4"/>
        <v>32</v>
      </c>
      <c r="H89" s="9">
        <f t="shared" si="5"/>
        <v>32</v>
      </c>
    </row>
    <row r="90" spans="1:8" ht="15.75" thickBot="1" x14ac:dyDescent="0.3">
      <c r="A90" s="15" t="s">
        <v>67</v>
      </c>
      <c r="B90" s="11">
        <v>0</v>
      </c>
      <c r="C90" s="12">
        <v>0</v>
      </c>
      <c r="D90" s="12">
        <f t="shared" si="3"/>
        <v>0</v>
      </c>
      <c r="E90" s="11">
        <v>43</v>
      </c>
      <c r="F90" s="12">
        <v>23</v>
      </c>
      <c r="G90" s="13">
        <f t="shared" si="4"/>
        <v>66</v>
      </c>
      <c r="H90" s="16">
        <f t="shared" si="5"/>
        <v>66</v>
      </c>
    </row>
    <row r="91" spans="1:8" ht="16.5" thickTop="1" thickBot="1" x14ac:dyDescent="0.3">
      <c r="A91" s="8" t="s">
        <v>0</v>
      </c>
      <c r="B91" s="7">
        <f t="shared" ref="B91:H91" si="6">SUM(B7:B90)</f>
        <v>229</v>
      </c>
      <c r="C91" s="7">
        <f t="shared" si="6"/>
        <v>71</v>
      </c>
      <c r="D91" s="7">
        <f t="shared" si="6"/>
        <v>300</v>
      </c>
      <c r="E91" s="7">
        <f t="shared" si="6"/>
        <v>2483</v>
      </c>
      <c r="F91" s="7">
        <f t="shared" si="6"/>
        <v>365</v>
      </c>
      <c r="G91" s="7">
        <f t="shared" si="6"/>
        <v>2848</v>
      </c>
      <c r="H91" s="7">
        <f t="shared" si="6"/>
        <v>3148</v>
      </c>
    </row>
    <row r="92" spans="1:8" ht="15.75" thickBot="1" x14ac:dyDescent="0.3"/>
    <row r="93" spans="1:8" x14ac:dyDescent="0.25">
      <c r="A93" s="26" t="s">
        <v>74</v>
      </c>
      <c r="B93" s="28" t="s">
        <v>3</v>
      </c>
      <c r="C93" s="29"/>
      <c r="D93" s="29"/>
      <c r="E93" s="28" t="s">
        <v>4</v>
      </c>
      <c r="F93" s="29"/>
      <c r="G93" s="29"/>
      <c r="H93" s="26" t="s">
        <v>0</v>
      </c>
    </row>
    <row r="94" spans="1:8" x14ac:dyDescent="0.25">
      <c r="A94" s="27"/>
      <c r="B94" s="20" t="s">
        <v>82</v>
      </c>
      <c r="C94" s="21" t="s">
        <v>83</v>
      </c>
      <c r="D94" s="22" t="s">
        <v>0</v>
      </c>
      <c r="E94" s="20" t="s">
        <v>82</v>
      </c>
      <c r="F94" s="21" t="s">
        <v>83</v>
      </c>
      <c r="G94" s="22" t="s">
        <v>0</v>
      </c>
      <c r="H94" s="27"/>
    </row>
    <row r="95" spans="1:8" x14ac:dyDescent="0.25">
      <c r="A95" s="14" t="s">
        <v>75</v>
      </c>
      <c r="B95" s="6">
        <v>38</v>
      </c>
      <c r="C95" s="4">
        <v>2</v>
      </c>
      <c r="D95" s="5">
        <f t="shared" ref="D95:D102" si="7">SUM(B95:C95)</f>
        <v>40</v>
      </c>
      <c r="E95" s="6">
        <v>267</v>
      </c>
      <c r="F95" s="4">
        <v>10</v>
      </c>
      <c r="G95" s="5">
        <f t="shared" ref="G95:G102" si="8">SUM(E95:F95)</f>
        <v>277</v>
      </c>
      <c r="H95" s="9">
        <f t="shared" ref="H95:H102" si="9">D95+G95</f>
        <v>317</v>
      </c>
    </row>
    <row r="96" spans="1:8" x14ac:dyDescent="0.25">
      <c r="A96" s="14" t="s">
        <v>146</v>
      </c>
      <c r="B96" s="6">
        <v>0</v>
      </c>
      <c r="C96" s="4">
        <v>0</v>
      </c>
      <c r="D96" s="5">
        <f t="shared" si="7"/>
        <v>0</v>
      </c>
      <c r="E96" s="6">
        <v>1063</v>
      </c>
      <c r="F96" s="4">
        <v>134</v>
      </c>
      <c r="G96" s="5">
        <f t="shared" si="8"/>
        <v>1197</v>
      </c>
      <c r="H96" s="9">
        <f t="shared" si="9"/>
        <v>1197</v>
      </c>
    </row>
    <row r="97" spans="1:8" x14ac:dyDescent="0.25">
      <c r="A97" s="14" t="s">
        <v>76</v>
      </c>
      <c r="B97" s="6">
        <v>9</v>
      </c>
      <c r="C97" s="4">
        <v>4</v>
      </c>
      <c r="D97" s="5">
        <f t="shared" si="7"/>
        <v>13</v>
      </c>
      <c r="E97" s="6">
        <v>322</v>
      </c>
      <c r="F97" s="4">
        <v>27</v>
      </c>
      <c r="G97" s="5">
        <f t="shared" si="8"/>
        <v>349</v>
      </c>
      <c r="H97" s="9">
        <f t="shared" si="9"/>
        <v>362</v>
      </c>
    </row>
    <row r="98" spans="1:8" x14ac:dyDescent="0.25">
      <c r="A98" s="14" t="s">
        <v>129</v>
      </c>
      <c r="B98" s="6">
        <v>18</v>
      </c>
      <c r="C98" s="4">
        <v>14</v>
      </c>
      <c r="D98" s="5">
        <f t="shared" si="7"/>
        <v>32</v>
      </c>
      <c r="E98" s="6">
        <v>154</v>
      </c>
      <c r="F98" s="4">
        <v>127</v>
      </c>
      <c r="G98" s="5">
        <f t="shared" si="8"/>
        <v>281</v>
      </c>
      <c r="H98" s="9">
        <f t="shared" si="9"/>
        <v>313</v>
      </c>
    </row>
    <row r="99" spans="1:8" x14ac:dyDescent="0.25">
      <c r="A99" s="14" t="s">
        <v>1</v>
      </c>
      <c r="B99" s="6">
        <v>1</v>
      </c>
      <c r="C99" s="4">
        <v>0</v>
      </c>
      <c r="D99" s="5">
        <f t="shared" si="7"/>
        <v>1</v>
      </c>
      <c r="E99" s="6">
        <v>38</v>
      </c>
      <c r="F99" s="4">
        <v>10</v>
      </c>
      <c r="G99" s="5">
        <f t="shared" si="8"/>
        <v>48</v>
      </c>
      <c r="H99" s="9">
        <f t="shared" si="9"/>
        <v>49</v>
      </c>
    </row>
    <row r="100" spans="1:8" x14ac:dyDescent="0.25">
      <c r="A100" s="14" t="s">
        <v>79</v>
      </c>
      <c r="B100" s="6">
        <v>51</v>
      </c>
      <c r="C100" s="4">
        <v>15</v>
      </c>
      <c r="D100" s="5">
        <f t="shared" si="7"/>
        <v>66</v>
      </c>
      <c r="E100" s="6">
        <v>226</v>
      </c>
      <c r="F100" s="4">
        <v>16</v>
      </c>
      <c r="G100" s="5">
        <f t="shared" si="8"/>
        <v>242</v>
      </c>
      <c r="H100" s="9">
        <f t="shared" si="9"/>
        <v>308</v>
      </c>
    </row>
    <row r="101" spans="1:8" x14ac:dyDescent="0.25">
      <c r="A101" s="14" t="s">
        <v>80</v>
      </c>
      <c r="B101" s="6">
        <v>91</v>
      </c>
      <c r="C101" s="4">
        <v>24</v>
      </c>
      <c r="D101" s="5">
        <f t="shared" si="7"/>
        <v>115</v>
      </c>
      <c r="E101" s="6">
        <v>100</v>
      </c>
      <c r="F101" s="4">
        <v>7</v>
      </c>
      <c r="G101" s="5">
        <f t="shared" si="8"/>
        <v>107</v>
      </c>
      <c r="H101" s="9">
        <f t="shared" si="9"/>
        <v>222</v>
      </c>
    </row>
    <row r="102" spans="1:8" ht="15.75" thickBot="1" x14ac:dyDescent="0.3">
      <c r="A102" s="15" t="s">
        <v>81</v>
      </c>
      <c r="B102" s="11">
        <v>21</v>
      </c>
      <c r="C102" s="12">
        <v>12</v>
      </c>
      <c r="D102" s="12">
        <f t="shared" si="7"/>
        <v>33</v>
      </c>
      <c r="E102" s="11">
        <v>313</v>
      </c>
      <c r="F102" s="12">
        <v>34</v>
      </c>
      <c r="G102" s="13">
        <f t="shared" si="8"/>
        <v>347</v>
      </c>
      <c r="H102" s="16">
        <f t="shared" si="9"/>
        <v>380</v>
      </c>
    </row>
    <row r="103" spans="1:8" ht="16.5" thickTop="1" thickBot="1" x14ac:dyDescent="0.3">
      <c r="A103" s="8" t="s">
        <v>0</v>
      </c>
      <c r="B103" s="7">
        <f t="shared" ref="B103:H103" si="10">SUM(B95:B102)</f>
        <v>229</v>
      </c>
      <c r="C103" s="7">
        <f t="shared" si="10"/>
        <v>71</v>
      </c>
      <c r="D103" s="7">
        <f t="shared" si="10"/>
        <v>300</v>
      </c>
      <c r="E103" s="7">
        <f t="shared" si="10"/>
        <v>2483</v>
      </c>
      <c r="F103" s="7">
        <f t="shared" si="10"/>
        <v>365</v>
      </c>
      <c r="G103" s="7">
        <f t="shared" si="10"/>
        <v>2848</v>
      </c>
      <c r="H103" s="7">
        <f t="shared" si="10"/>
        <v>3148</v>
      </c>
    </row>
    <row r="105" spans="1:8" x14ac:dyDescent="0.25">
      <c r="A105" s="33" t="s">
        <v>145</v>
      </c>
      <c r="B105" s="33"/>
      <c r="C105" s="33"/>
      <c r="D105" s="33"/>
      <c r="E105" s="33"/>
      <c r="F105" s="33"/>
      <c r="G105" s="33"/>
      <c r="H105" s="33"/>
    </row>
    <row r="106" spans="1:8" x14ac:dyDescent="0.25">
      <c r="A106" s="33"/>
      <c r="B106" s="33"/>
      <c r="C106" s="33"/>
      <c r="D106" s="33"/>
      <c r="E106" s="33"/>
      <c r="F106" s="33"/>
      <c r="G106" s="33"/>
      <c r="H106" s="33"/>
    </row>
    <row r="107" spans="1:8" x14ac:dyDescent="0.25">
      <c r="A107" s="33"/>
      <c r="B107" s="33"/>
      <c r="C107" s="33"/>
      <c r="D107" s="33"/>
      <c r="E107" s="33"/>
      <c r="F107" s="33"/>
      <c r="G107" s="33"/>
      <c r="H107" s="33"/>
    </row>
    <row r="109" spans="1:8" x14ac:dyDescent="0.25">
      <c r="A109" s="34"/>
      <c r="B109" s="34"/>
      <c r="C109" s="34"/>
      <c r="D109" s="34"/>
      <c r="E109" s="34"/>
      <c r="F109" s="34"/>
      <c r="G109" s="34"/>
      <c r="H109" s="34"/>
    </row>
  </sheetData>
  <mergeCells count="11">
    <mergeCell ref="A2:H2"/>
    <mergeCell ref="A5:A6"/>
    <mergeCell ref="B5:D5"/>
    <mergeCell ref="E5:G5"/>
    <mergeCell ref="H5:H6"/>
    <mergeCell ref="A105:H107"/>
    <mergeCell ref="A109:H109"/>
    <mergeCell ref="A93:A94"/>
    <mergeCell ref="B93:D93"/>
    <mergeCell ref="E93:G93"/>
    <mergeCell ref="H93:H94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showWhiteSpace="0" view="pageLayout" topLeftCell="A91" zoomScale="70" zoomScaleNormal="100" zoomScalePageLayoutView="70" workbookViewId="0">
      <selection activeCell="I99" sqref="I99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2006-07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0</v>
      </c>
      <c r="C7" s="4">
        <v>0</v>
      </c>
      <c r="D7" s="5">
        <f>SUM(B7:C7)</f>
        <v>0</v>
      </c>
      <c r="E7" s="6">
        <v>16</v>
      </c>
      <c r="F7" s="4">
        <v>1</v>
      </c>
      <c r="G7" s="5">
        <f>SUM(E7:F7)</f>
        <v>17</v>
      </c>
      <c r="H7" s="9">
        <f>D7+G7</f>
        <v>17</v>
      </c>
    </row>
    <row r="8" spans="1:8" x14ac:dyDescent="0.25">
      <c r="A8" s="14" t="s">
        <v>6</v>
      </c>
      <c r="B8" s="6">
        <v>1</v>
      </c>
      <c r="C8" s="4">
        <v>0</v>
      </c>
      <c r="D8" s="5">
        <f t="shared" ref="D8:D87" si="0">SUM(B8:C8)</f>
        <v>1</v>
      </c>
      <c r="E8" s="6">
        <v>23</v>
      </c>
      <c r="F8" s="4">
        <v>2</v>
      </c>
      <c r="G8" s="5">
        <f t="shared" ref="G8:G87" si="1">SUM(E8:F8)</f>
        <v>25</v>
      </c>
      <c r="H8" s="9">
        <f t="shared" ref="H8:H87" si="2">D8+G8</f>
        <v>26</v>
      </c>
    </row>
    <row r="9" spans="1:8" x14ac:dyDescent="0.25">
      <c r="A9" s="14" t="s">
        <v>7</v>
      </c>
      <c r="B9" s="6">
        <v>0</v>
      </c>
      <c r="C9" s="4">
        <v>0</v>
      </c>
      <c r="D9" s="5">
        <f t="shared" si="0"/>
        <v>0</v>
      </c>
      <c r="E9" s="6">
        <v>76</v>
      </c>
      <c r="F9" s="4">
        <v>2</v>
      </c>
      <c r="G9" s="5">
        <f t="shared" si="1"/>
        <v>78</v>
      </c>
      <c r="H9" s="9">
        <f t="shared" si="2"/>
        <v>78</v>
      </c>
    </row>
    <row r="10" spans="1:8" x14ac:dyDescent="0.25">
      <c r="A10" s="14" t="s">
        <v>8</v>
      </c>
      <c r="B10" s="6">
        <v>8</v>
      </c>
      <c r="C10" s="4">
        <v>2</v>
      </c>
      <c r="D10" s="5">
        <f t="shared" si="0"/>
        <v>10</v>
      </c>
      <c r="E10" s="6">
        <v>13</v>
      </c>
      <c r="F10" s="4">
        <v>5</v>
      </c>
      <c r="G10" s="5">
        <f t="shared" si="1"/>
        <v>18</v>
      </c>
      <c r="H10" s="9">
        <f t="shared" si="2"/>
        <v>28</v>
      </c>
    </row>
    <row r="11" spans="1:8" x14ac:dyDescent="0.25">
      <c r="A11" s="14" t="s">
        <v>148</v>
      </c>
      <c r="B11" s="6">
        <v>0</v>
      </c>
      <c r="C11" s="4">
        <v>3</v>
      </c>
      <c r="D11" s="5">
        <f t="shared" si="0"/>
        <v>3</v>
      </c>
      <c r="E11" s="6">
        <v>0</v>
      </c>
      <c r="F11" s="4">
        <v>0</v>
      </c>
      <c r="G11" s="5">
        <f t="shared" si="1"/>
        <v>0</v>
      </c>
      <c r="H11" s="9">
        <f t="shared" si="2"/>
        <v>3</v>
      </c>
    </row>
    <row r="12" spans="1:8" x14ac:dyDescent="0.25">
      <c r="A12" s="14" t="s">
        <v>149</v>
      </c>
      <c r="B12" s="6">
        <v>0</v>
      </c>
      <c r="C12" s="4">
        <v>0</v>
      </c>
      <c r="D12" s="5">
        <f t="shared" si="0"/>
        <v>0</v>
      </c>
      <c r="E12" s="6">
        <v>153</v>
      </c>
      <c r="F12" s="4">
        <v>9</v>
      </c>
      <c r="G12" s="5">
        <f t="shared" si="1"/>
        <v>162</v>
      </c>
      <c r="H12" s="9">
        <f t="shared" si="2"/>
        <v>162</v>
      </c>
    </row>
    <row r="13" spans="1:8" x14ac:dyDescent="0.25">
      <c r="A13" s="14" t="s">
        <v>150</v>
      </c>
      <c r="B13" s="6">
        <v>2</v>
      </c>
      <c r="C13" s="4">
        <v>0</v>
      </c>
      <c r="D13" s="5">
        <f t="shared" si="0"/>
        <v>2</v>
      </c>
      <c r="E13" s="6">
        <v>107</v>
      </c>
      <c r="F13" s="4">
        <v>8</v>
      </c>
      <c r="G13" s="5">
        <f t="shared" si="1"/>
        <v>115</v>
      </c>
      <c r="H13" s="9">
        <f t="shared" si="2"/>
        <v>117</v>
      </c>
    </row>
    <row r="14" spans="1:8" x14ac:dyDescent="0.25">
      <c r="A14" s="14" t="s">
        <v>100</v>
      </c>
      <c r="B14" s="6">
        <v>3</v>
      </c>
      <c r="C14" s="4">
        <v>2</v>
      </c>
      <c r="D14" s="5">
        <f t="shared" si="0"/>
        <v>5</v>
      </c>
      <c r="E14" s="6">
        <v>6</v>
      </c>
      <c r="F14" s="4">
        <v>0</v>
      </c>
      <c r="G14" s="5">
        <f t="shared" si="1"/>
        <v>6</v>
      </c>
      <c r="H14" s="9">
        <f t="shared" si="2"/>
        <v>11</v>
      </c>
    </row>
    <row r="15" spans="1:8" x14ac:dyDescent="0.25">
      <c r="A15" s="14" t="s">
        <v>9</v>
      </c>
      <c r="B15" s="6">
        <v>9</v>
      </c>
      <c r="C15" s="4">
        <v>1</v>
      </c>
      <c r="D15" s="5">
        <f t="shared" si="0"/>
        <v>10</v>
      </c>
      <c r="E15" s="6">
        <v>2</v>
      </c>
      <c r="F15" s="4">
        <v>3</v>
      </c>
      <c r="G15" s="5">
        <f t="shared" si="1"/>
        <v>5</v>
      </c>
      <c r="H15" s="9">
        <f t="shared" si="2"/>
        <v>15</v>
      </c>
    </row>
    <row r="16" spans="1:8" x14ac:dyDescent="0.25">
      <c r="A16" s="14" t="s">
        <v>10</v>
      </c>
      <c r="B16" s="6">
        <v>7</v>
      </c>
      <c r="C16" s="4">
        <v>0</v>
      </c>
      <c r="D16" s="5">
        <f t="shared" si="0"/>
        <v>7</v>
      </c>
      <c r="E16" s="6">
        <v>8</v>
      </c>
      <c r="F16" s="4">
        <v>1</v>
      </c>
      <c r="G16" s="5">
        <f t="shared" si="1"/>
        <v>9</v>
      </c>
      <c r="H16" s="9">
        <f t="shared" si="2"/>
        <v>16</v>
      </c>
    </row>
    <row r="17" spans="1:8" x14ac:dyDescent="0.25">
      <c r="A17" s="14" t="s">
        <v>130</v>
      </c>
      <c r="B17" s="6">
        <v>0</v>
      </c>
      <c r="C17" s="4">
        <v>0</v>
      </c>
      <c r="D17" s="5">
        <f t="shared" si="0"/>
        <v>0</v>
      </c>
      <c r="E17" s="6">
        <v>12</v>
      </c>
      <c r="F17" s="4">
        <v>2</v>
      </c>
      <c r="G17" s="5">
        <f t="shared" si="1"/>
        <v>14</v>
      </c>
      <c r="H17" s="9">
        <f t="shared" si="2"/>
        <v>14</v>
      </c>
    </row>
    <row r="18" spans="1:8" x14ac:dyDescent="0.25">
      <c r="A18" s="14" t="s">
        <v>151</v>
      </c>
      <c r="B18" s="6">
        <v>0</v>
      </c>
      <c r="C18" s="4">
        <v>0</v>
      </c>
      <c r="D18" s="5">
        <f t="shared" ref="D18:D19" si="3">SUM(B18:C18)</f>
        <v>0</v>
      </c>
      <c r="E18" s="6">
        <v>10</v>
      </c>
      <c r="F18" s="4">
        <v>0</v>
      </c>
      <c r="G18" s="5">
        <f t="shared" ref="G18:G19" si="4">SUM(E18:F18)</f>
        <v>10</v>
      </c>
      <c r="H18" s="9">
        <f t="shared" ref="H18:H19" si="5">D18+G18</f>
        <v>10</v>
      </c>
    </row>
    <row r="19" spans="1:8" x14ac:dyDescent="0.25">
      <c r="A19" s="14" t="s">
        <v>152</v>
      </c>
      <c r="B19" s="6">
        <v>0</v>
      </c>
      <c r="C19" s="4">
        <v>0</v>
      </c>
      <c r="D19" s="5">
        <f t="shared" si="3"/>
        <v>0</v>
      </c>
      <c r="E19" s="6">
        <v>0</v>
      </c>
      <c r="F19" s="4">
        <v>0</v>
      </c>
      <c r="G19" s="5">
        <f t="shared" si="4"/>
        <v>0</v>
      </c>
      <c r="H19" s="9">
        <f t="shared" si="5"/>
        <v>0</v>
      </c>
    </row>
    <row r="20" spans="1:8" x14ac:dyDescent="0.25">
      <c r="A20" s="14" t="s">
        <v>135</v>
      </c>
      <c r="B20" s="6">
        <v>0</v>
      </c>
      <c r="C20" s="4">
        <v>0</v>
      </c>
      <c r="D20" s="5">
        <f t="shared" si="0"/>
        <v>0</v>
      </c>
      <c r="E20" s="6">
        <v>113</v>
      </c>
      <c r="F20" s="4">
        <v>22</v>
      </c>
      <c r="G20" s="5">
        <f t="shared" si="1"/>
        <v>135</v>
      </c>
      <c r="H20" s="9">
        <f t="shared" si="2"/>
        <v>135</v>
      </c>
    </row>
    <row r="21" spans="1:8" x14ac:dyDescent="0.25">
      <c r="A21" s="14" t="s">
        <v>101</v>
      </c>
      <c r="B21" s="6">
        <v>1</v>
      </c>
      <c r="C21" s="4">
        <v>1</v>
      </c>
      <c r="D21" s="5">
        <f t="shared" si="0"/>
        <v>2</v>
      </c>
      <c r="E21" s="6">
        <v>2</v>
      </c>
      <c r="F21" s="4">
        <v>1</v>
      </c>
      <c r="G21" s="5">
        <f t="shared" si="1"/>
        <v>3</v>
      </c>
      <c r="H21" s="9">
        <f t="shared" si="2"/>
        <v>5</v>
      </c>
    </row>
    <row r="22" spans="1:8" x14ac:dyDescent="0.25">
      <c r="A22" s="14" t="s">
        <v>12</v>
      </c>
      <c r="B22" s="6">
        <v>3</v>
      </c>
      <c r="C22" s="4">
        <v>0</v>
      </c>
      <c r="D22" s="5">
        <f t="shared" si="0"/>
        <v>3</v>
      </c>
      <c r="E22" s="6">
        <v>2</v>
      </c>
      <c r="F22" s="4">
        <v>0</v>
      </c>
      <c r="G22" s="5">
        <f t="shared" si="1"/>
        <v>2</v>
      </c>
      <c r="H22" s="9">
        <f t="shared" si="2"/>
        <v>5</v>
      </c>
    </row>
    <row r="23" spans="1:8" x14ac:dyDescent="0.25">
      <c r="A23" s="14" t="s">
        <v>13</v>
      </c>
      <c r="B23" s="6">
        <v>5</v>
      </c>
      <c r="C23" s="4">
        <v>3</v>
      </c>
      <c r="D23" s="5">
        <f t="shared" si="0"/>
        <v>8</v>
      </c>
      <c r="E23" s="6">
        <v>5</v>
      </c>
      <c r="F23" s="4">
        <v>2</v>
      </c>
      <c r="G23" s="5">
        <f t="shared" si="1"/>
        <v>7</v>
      </c>
      <c r="H23" s="9">
        <f t="shared" si="2"/>
        <v>15</v>
      </c>
    </row>
    <row r="24" spans="1:8" x14ac:dyDescent="0.25">
      <c r="A24" s="14" t="s">
        <v>14</v>
      </c>
      <c r="B24" s="6">
        <v>4</v>
      </c>
      <c r="C24" s="4">
        <v>5</v>
      </c>
      <c r="D24" s="5">
        <f t="shared" si="0"/>
        <v>9</v>
      </c>
      <c r="E24" s="6">
        <v>13</v>
      </c>
      <c r="F24" s="4">
        <v>2</v>
      </c>
      <c r="G24" s="5">
        <f t="shared" si="1"/>
        <v>15</v>
      </c>
      <c r="H24" s="9">
        <f t="shared" si="2"/>
        <v>24</v>
      </c>
    </row>
    <row r="25" spans="1:8" x14ac:dyDescent="0.25">
      <c r="A25" s="14" t="s">
        <v>15</v>
      </c>
      <c r="B25" s="6">
        <v>0</v>
      </c>
      <c r="C25" s="4">
        <v>0</v>
      </c>
      <c r="D25" s="5">
        <f t="shared" si="0"/>
        <v>0</v>
      </c>
      <c r="E25" s="6">
        <v>23</v>
      </c>
      <c r="F25" s="4">
        <v>2</v>
      </c>
      <c r="G25" s="5">
        <f t="shared" si="1"/>
        <v>25</v>
      </c>
      <c r="H25" s="9">
        <f t="shared" si="2"/>
        <v>25</v>
      </c>
    </row>
    <row r="26" spans="1:8" x14ac:dyDescent="0.25">
      <c r="A26" s="14" t="s">
        <v>16</v>
      </c>
      <c r="B26" s="6">
        <v>2</v>
      </c>
      <c r="C26" s="4">
        <v>0</v>
      </c>
      <c r="D26" s="5">
        <f t="shared" si="0"/>
        <v>2</v>
      </c>
      <c r="E26" s="6">
        <v>1</v>
      </c>
      <c r="F26" s="4">
        <v>0</v>
      </c>
      <c r="G26" s="5">
        <f t="shared" si="1"/>
        <v>1</v>
      </c>
      <c r="H26" s="9">
        <f t="shared" si="2"/>
        <v>3</v>
      </c>
    </row>
    <row r="27" spans="1:8" x14ac:dyDescent="0.25">
      <c r="A27" s="14" t="s">
        <v>126</v>
      </c>
      <c r="B27" s="6">
        <v>4</v>
      </c>
      <c r="C27" s="4">
        <v>0</v>
      </c>
      <c r="D27" s="5">
        <f t="shared" si="0"/>
        <v>4</v>
      </c>
      <c r="E27" s="6">
        <v>23</v>
      </c>
      <c r="F27" s="4">
        <v>1</v>
      </c>
      <c r="G27" s="5">
        <f t="shared" si="1"/>
        <v>24</v>
      </c>
      <c r="H27" s="9">
        <f t="shared" si="2"/>
        <v>28</v>
      </c>
    </row>
    <row r="28" spans="1:8" x14ac:dyDescent="0.25">
      <c r="A28" s="14" t="s">
        <v>17</v>
      </c>
      <c r="B28" s="6">
        <v>5</v>
      </c>
      <c r="C28" s="4">
        <v>3</v>
      </c>
      <c r="D28" s="5">
        <f t="shared" si="0"/>
        <v>8</v>
      </c>
      <c r="E28" s="6">
        <v>8</v>
      </c>
      <c r="F28" s="4">
        <v>3</v>
      </c>
      <c r="G28" s="5">
        <f t="shared" si="1"/>
        <v>11</v>
      </c>
      <c r="H28" s="9">
        <f t="shared" si="2"/>
        <v>19</v>
      </c>
    </row>
    <row r="29" spans="1:8" x14ac:dyDescent="0.25">
      <c r="A29" s="14" t="s">
        <v>18</v>
      </c>
      <c r="B29" s="6">
        <v>0</v>
      </c>
      <c r="C29" s="4">
        <v>0</v>
      </c>
      <c r="D29" s="5">
        <f t="shared" si="0"/>
        <v>0</v>
      </c>
      <c r="E29" s="6">
        <v>83</v>
      </c>
      <c r="F29" s="4">
        <v>99</v>
      </c>
      <c r="G29" s="5">
        <f t="shared" si="1"/>
        <v>182</v>
      </c>
      <c r="H29" s="9">
        <f t="shared" si="2"/>
        <v>182</v>
      </c>
    </row>
    <row r="30" spans="1:8" x14ac:dyDescent="0.25">
      <c r="A30" s="14" t="s">
        <v>19</v>
      </c>
      <c r="B30" s="6">
        <v>0</v>
      </c>
      <c r="C30" s="4">
        <v>0</v>
      </c>
      <c r="D30" s="5">
        <f t="shared" si="0"/>
        <v>0</v>
      </c>
      <c r="E30" s="6">
        <v>9</v>
      </c>
      <c r="F30" s="4">
        <v>0</v>
      </c>
      <c r="G30" s="5">
        <f t="shared" si="1"/>
        <v>9</v>
      </c>
      <c r="H30" s="9">
        <f t="shared" si="2"/>
        <v>9</v>
      </c>
    </row>
    <row r="31" spans="1:8" x14ac:dyDescent="0.25">
      <c r="A31" s="14" t="s">
        <v>131</v>
      </c>
      <c r="B31" s="6">
        <v>1</v>
      </c>
      <c r="C31" s="4">
        <v>0</v>
      </c>
      <c r="D31" s="5">
        <f t="shared" si="0"/>
        <v>1</v>
      </c>
      <c r="E31" s="6">
        <v>0</v>
      </c>
      <c r="F31" s="4">
        <v>0</v>
      </c>
      <c r="G31" s="5">
        <f t="shared" si="1"/>
        <v>0</v>
      </c>
      <c r="H31" s="9">
        <f t="shared" si="2"/>
        <v>1</v>
      </c>
    </row>
    <row r="32" spans="1:8" x14ac:dyDescent="0.25">
      <c r="A32" s="14" t="s">
        <v>20</v>
      </c>
      <c r="B32" s="6">
        <v>0</v>
      </c>
      <c r="C32" s="4">
        <v>0</v>
      </c>
      <c r="D32" s="5">
        <f t="shared" si="0"/>
        <v>0</v>
      </c>
      <c r="E32" s="6">
        <v>4</v>
      </c>
      <c r="F32" s="4">
        <v>0</v>
      </c>
      <c r="G32" s="5">
        <f t="shared" si="1"/>
        <v>4</v>
      </c>
      <c r="H32" s="9">
        <f t="shared" si="2"/>
        <v>4</v>
      </c>
    </row>
    <row r="33" spans="1:8" x14ac:dyDescent="0.25">
      <c r="A33" s="14" t="s">
        <v>21</v>
      </c>
      <c r="B33" s="6">
        <v>1</v>
      </c>
      <c r="C33" s="4">
        <v>0</v>
      </c>
      <c r="D33" s="5">
        <f t="shared" si="0"/>
        <v>1</v>
      </c>
      <c r="E33" s="6">
        <v>4</v>
      </c>
      <c r="F33" s="4">
        <v>0</v>
      </c>
      <c r="G33" s="5">
        <f t="shared" si="1"/>
        <v>4</v>
      </c>
      <c r="H33" s="9">
        <f t="shared" si="2"/>
        <v>5</v>
      </c>
    </row>
    <row r="34" spans="1:8" x14ac:dyDescent="0.25">
      <c r="A34" s="14" t="s">
        <v>102</v>
      </c>
      <c r="B34" s="6">
        <v>0</v>
      </c>
      <c r="C34" s="4">
        <v>0</v>
      </c>
      <c r="D34" s="5">
        <f t="shared" si="0"/>
        <v>0</v>
      </c>
      <c r="E34" s="6">
        <v>0</v>
      </c>
      <c r="F34" s="4">
        <v>0</v>
      </c>
      <c r="G34" s="5">
        <f t="shared" si="1"/>
        <v>0</v>
      </c>
      <c r="H34" s="9">
        <f t="shared" si="2"/>
        <v>0</v>
      </c>
    </row>
    <row r="35" spans="1:8" x14ac:dyDescent="0.25">
      <c r="A35" s="14" t="s">
        <v>22</v>
      </c>
      <c r="B35" s="6">
        <v>0</v>
      </c>
      <c r="C35" s="4">
        <v>0</v>
      </c>
      <c r="D35" s="5">
        <f t="shared" si="0"/>
        <v>0</v>
      </c>
      <c r="E35" s="6">
        <v>14</v>
      </c>
      <c r="F35" s="4">
        <v>5</v>
      </c>
      <c r="G35" s="5">
        <f t="shared" si="1"/>
        <v>19</v>
      </c>
      <c r="H35" s="9">
        <f t="shared" si="2"/>
        <v>19</v>
      </c>
    </row>
    <row r="36" spans="1:8" x14ac:dyDescent="0.25">
      <c r="A36" s="14" t="s">
        <v>94</v>
      </c>
      <c r="B36" s="6">
        <v>0</v>
      </c>
      <c r="C36" s="4">
        <v>0</v>
      </c>
      <c r="D36" s="5">
        <f t="shared" si="0"/>
        <v>0</v>
      </c>
      <c r="E36" s="6">
        <v>15</v>
      </c>
      <c r="F36" s="4">
        <v>1</v>
      </c>
      <c r="G36" s="5">
        <f t="shared" si="1"/>
        <v>16</v>
      </c>
      <c r="H36" s="9">
        <f t="shared" si="2"/>
        <v>16</v>
      </c>
    </row>
    <row r="37" spans="1:8" x14ac:dyDescent="0.25">
      <c r="A37" s="14" t="s">
        <v>24</v>
      </c>
      <c r="B37" s="6">
        <v>1</v>
      </c>
      <c r="C37" s="4">
        <v>0</v>
      </c>
      <c r="D37" s="5">
        <f t="shared" si="0"/>
        <v>1</v>
      </c>
      <c r="E37" s="6">
        <v>1</v>
      </c>
      <c r="F37" s="4">
        <v>0</v>
      </c>
      <c r="G37" s="5">
        <f t="shared" si="1"/>
        <v>1</v>
      </c>
      <c r="H37" s="9">
        <f t="shared" si="2"/>
        <v>2</v>
      </c>
    </row>
    <row r="38" spans="1:8" x14ac:dyDescent="0.25">
      <c r="A38" s="14" t="s">
        <v>71</v>
      </c>
      <c r="B38" s="6">
        <v>7</v>
      </c>
      <c r="C38" s="4">
        <v>0</v>
      </c>
      <c r="D38" s="5">
        <f t="shared" si="0"/>
        <v>7</v>
      </c>
      <c r="E38" s="6">
        <v>13</v>
      </c>
      <c r="F38" s="4">
        <v>1</v>
      </c>
      <c r="G38" s="5">
        <f t="shared" si="1"/>
        <v>14</v>
      </c>
      <c r="H38" s="9">
        <f t="shared" si="2"/>
        <v>21</v>
      </c>
    </row>
    <row r="39" spans="1:8" x14ac:dyDescent="0.25">
      <c r="A39" s="14" t="s">
        <v>72</v>
      </c>
      <c r="B39" s="6">
        <v>5</v>
      </c>
      <c r="C39" s="4">
        <v>0</v>
      </c>
      <c r="D39" s="5">
        <f t="shared" si="0"/>
        <v>5</v>
      </c>
      <c r="E39" s="6">
        <v>22</v>
      </c>
      <c r="F39" s="4">
        <v>0</v>
      </c>
      <c r="G39" s="5">
        <f t="shared" si="1"/>
        <v>22</v>
      </c>
      <c r="H39" s="9">
        <f t="shared" si="2"/>
        <v>27</v>
      </c>
    </row>
    <row r="40" spans="1:8" x14ac:dyDescent="0.25">
      <c r="A40" s="14" t="s">
        <v>26</v>
      </c>
      <c r="B40" s="6">
        <v>3</v>
      </c>
      <c r="C40" s="4">
        <v>0</v>
      </c>
      <c r="D40" s="5">
        <f t="shared" si="0"/>
        <v>3</v>
      </c>
      <c r="E40" s="6">
        <v>15</v>
      </c>
      <c r="F40" s="4">
        <v>1</v>
      </c>
      <c r="G40" s="5">
        <f t="shared" si="1"/>
        <v>16</v>
      </c>
      <c r="H40" s="9">
        <f t="shared" si="2"/>
        <v>19</v>
      </c>
    </row>
    <row r="41" spans="1:8" x14ac:dyDescent="0.25">
      <c r="A41" s="14" t="s">
        <v>73</v>
      </c>
      <c r="B41" s="6">
        <v>4</v>
      </c>
      <c r="C41" s="4">
        <v>0</v>
      </c>
      <c r="D41" s="5">
        <f t="shared" si="0"/>
        <v>4</v>
      </c>
      <c r="E41" s="6">
        <v>14</v>
      </c>
      <c r="F41" s="4">
        <v>2</v>
      </c>
      <c r="G41" s="5">
        <f t="shared" si="1"/>
        <v>16</v>
      </c>
      <c r="H41" s="9">
        <f t="shared" si="2"/>
        <v>20</v>
      </c>
    </row>
    <row r="42" spans="1:8" x14ac:dyDescent="0.25">
      <c r="A42" s="14" t="s">
        <v>27</v>
      </c>
      <c r="B42" s="6">
        <v>2</v>
      </c>
      <c r="C42" s="4">
        <v>0</v>
      </c>
      <c r="D42" s="5">
        <f t="shared" si="0"/>
        <v>2</v>
      </c>
      <c r="E42" s="6">
        <v>10</v>
      </c>
      <c r="F42" s="4">
        <v>0</v>
      </c>
      <c r="G42" s="5">
        <f t="shared" si="1"/>
        <v>10</v>
      </c>
      <c r="H42" s="9">
        <f t="shared" si="2"/>
        <v>12</v>
      </c>
    </row>
    <row r="43" spans="1:8" x14ac:dyDescent="0.25">
      <c r="A43" s="14" t="s">
        <v>132</v>
      </c>
      <c r="B43" s="6">
        <v>0</v>
      </c>
      <c r="C43" s="4">
        <v>0</v>
      </c>
      <c r="D43" s="5">
        <f t="shared" si="0"/>
        <v>0</v>
      </c>
      <c r="E43" s="6">
        <v>0</v>
      </c>
      <c r="F43" s="4">
        <v>0</v>
      </c>
      <c r="G43" s="5">
        <f t="shared" si="1"/>
        <v>0</v>
      </c>
      <c r="H43" s="9">
        <f t="shared" si="2"/>
        <v>0</v>
      </c>
    </row>
    <row r="44" spans="1:8" x14ac:dyDescent="0.25">
      <c r="A44" s="14" t="s">
        <v>28</v>
      </c>
      <c r="B44" s="6">
        <v>5</v>
      </c>
      <c r="C44" s="4">
        <v>0</v>
      </c>
      <c r="D44" s="5">
        <f t="shared" si="0"/>
        <v>5</v>
      </c>
      <c r="E44" s="6">
        <v>17</v>
      </c>
      <c r="F44" s="4">
        <v>0</v>
      </c>
      <c r="G44" s="5">
        <f t="shared" si="1"/>
        <v>17</v>
      </c>
      <c r="H44" s="9">
        <f t="shared" si="2"/>
        <v>22</v>
      </c>
    </row>
    <row r="45" spans="1:8" x14ac:dyDescent="0.25">
      <c r="A45" s="14" t="s">
        <v>153</v>
      </c>
      <c r="B45" s="6">
        <v>0</v>
      </c>
      <c r="C45" s="4">
        <v>0</v>
      </c>
      <c r="D45" s="5">
        <f t="shared" si="0"/>
        <v>0</v>
      </c>
      <c r="E45" s="6">
        <v>20</v>
      </c>
      <c r="F45" s="4">
        <v>2</v>
      </c>
      <c r="G45" s="5">
        <f t="shared" si="1"/>
        <v>22</v>
      </c>
      <c r="H45" s="9">
        <f t="shared" si="2"/>
        <v>22</v>
      </c>
    </row>
    <row r="46" spans="1:8" x14ac:dyDescent="0.25">
      <c r="A46" s="14" t="s">
        <v>133</v>
      </c>
      <c r="B46" s="6">
        <v>0</v>
      </c>
      <c r="C46" s="4">
        <v>0</v>
      </c>
      <c r="D46" s="5">
        <f t="shared" si="0"/>
        <v>0</v>
      </c>
      <c r="E46" s="6">
        <v>0</v>
      </c>
      <c r="F46" s="4">
        <v>0</v>
      </c>
      <c r="G46" s="5">
        <f t="shared" si="1"/>
        <v>0</v>
      </c>
      <c r="H46" s="9">
        <f t="shared" si="2"/>
        <v>0</v>
      </c>
    </row>
    <row r="47" spans="1:8" x14ac:dyDescent="0.25">
      <c r="A47" s="14" t="s">
        <v>1</v>
      </c>
      <c r="B47" s="6">
        <v>1</v>
      </c>
      <c r="C47" s="4">
        <v>0</v>
      </c>
      <c r="D47" s="5">
        <f t="shared" si="0"/>
        <v>1</v>
      </c>
      <c r="E47" s="6">
        <v>41</v>
      </c>
      <c r="F47" s="4">
        <v>3</v>
      </c>
      <c r="G47" s="5">
        <f t="shared" si="1"/>
        <v>44</v>
      </c>
      <c r="H47" s="9">
        <f t="shared" si="2"/>
        <v>45</v>
      </c>
    </row>
    <row r="48" spans="1:8" x14ac:dyDescent="0.25">
      <c r="A48" s="14" t="s">
        <v>29</v>
      </c>
      <c r="B48" s="6">
        <v>0</v>
      </c>
      <c r="C48" s="4">
        <v>0</v>
      </c>
      <c r="D48" s="5">
        <f t="shared" si="0"/>
        <v>0</v>
      </c>
      <c r="E48" s="6">
        <v>108</v>
      </c>
      <c r="F48" s="4">
        <v>4</v>
      </c>
      <c r="G48" s="5">
        <f t="shared" si="1"/>
        <v>112</v>
      </c>
      <c r="H48" s="9">
        <f t="shared" si="2"/>
        <v>112</v>
      </c>
    </row>
    <row r="49" spans="1:8" x14ac:dyDescent="0.25">
      <c r="A49" s="14" t="s">
        <v>139</v>
      </c>
      <c r="B49" s="6">
        <v>0</v>
      </c>
      <c r="C49" s="4">
        <v>0</v>
      </c>
      <c r="D49" s="5">
        <f t="shared" si="0"/>
        <v>0</v>
      </c>
      <c r="E49" s="6">
        <v>8</v>
      </c>
      <c r="F49" s="4">
        <v>0</v>
      </c>
      <c r="G49" s="5">
        <f t="shared" si="1"/>
        <v>8</v>
      </c>
      <c r="H49" s="9">
        <f t="shared" si="2"/>
        <v>8</v>
      </c>
    </row>
    <row r="50" spans="1:8" x14ac:dyDescent="0.25">
      <c r="A50" s="14" t="s">
        <v>30</v>
      </c>
      <c r="B50" s="6">
        <v>17</v>
      </c>
      <c r="C50" s="4">
        <v>10</v>
      </c>
      <c r="D50" s="5">
        <f t="shared" si="0"/>
        <v>27</v>
      </c>
      <c r="E50" s="6">
        <v>0</v>
      </c>
      <c r="F50" s="4">
        <v>0</v>
      </c>
      <c r="G50" s="5">
        <f t="shared" si="1"/>
        <v>0</v>
      </c>
      <c r="H50" s="9">
        <f t="shared" si="2"/>
        <v>27</v>
      </c>
    </row>
    <row r="51" spans="1:8" x14ac:dyDescent="0.25">
      <c r="A51" s="14" t="s">
        <v>31</v>
      </c>
      <c r="B51" s="6">
        <v>9</v>
      </c>
      <c r="C51" s="4">
        <v>6</v>
      </c>
      <c r="D51" s="5">
        <f t="shared" si="0"/>
        <v>15</v>
      </c>
      <c r="E51" s="6">
        <v>53</v>
      </c>
      <c r="F51" s="4">
        <v>2</v>
      </c>
      <c r="G51" s="5">
        <f t="shared" si="1"/>
        <v>55</v>
      </c>
      <c r="H51" s="9">
        <f t="shared" si="2"/>
        <v>70</v>
      </c>
    </row>
    <row r="52" spans="1:8" x14ac:dyDescent="0.25">
      <c r="A52" s="14" t="s">
        <v>32</v>
      </c>
      <c r="B52" s="6">
        <v>0</v>
      </c>
      <c r="C52" s="4">
        <v>0</v>
      </c>
      <c r="D52" s="5">
        <f t="shared" si="0"/>
        <v>0</v>
      </c>
      <c r="E52" s="6">
        <v>30</v>
      </c>
      <c r="F52" s="4">
        <v>3</v>
      </c>
      <c r="G52" s="5">
        <f t="shared" si="1"/>
        <v>33</v>
      </c>
      <c r="H52" s="9">
        <f t="shared" si="2"/>
        <v>33</v>
      </c>
    </row>
    <row r="53" spans="1:8" x14ac:dyDescent="0.25">
      <c r="A53" s="14" t="s">
        <v>140</v>
      </c>
      <c r="B53" s="6">
        <v>0</v>
      </c>
      <c r="C53" s="4">
        <v>1</v>
      </c>
      <c r="D53" s="5">
        <f t="shared" si="0"/>
        <v>1</v>
      </c>
      <c r="E53" s="6">
        <v>0</v>
      </c>
      <c r="F53" s="4">
        <v>0</v>
      </c>
      <c r="G53" s="5">
        <f t="shared" si="1"/>
        <v>0</v>
      </c>
      <c r="H53" s="9">
        <f t="shared" si="2"/>
        <v>1</v>
      </c>
    </row>
    <row r="54" spans="1:8" x14ac:dyDescent="0.25">
      <c r="A54" s="14" t="s">
        <v>34</v>
      </c>
      <c r="B54" s="6">
        <v>4</v>
      </c>
      <c r="C54" s="4">
        <v>0</v>
      </c>
      <c r="D54" s="5">
        <f t="shared" si="0"/>
        <v>4</v>
      </c>
      <c r="E54" s="6">
        <v>2</v>
      </c>
      <c r="F54" s="4">
        <v>1</v>
      </c>
      <c r="G54" s="5">
        <f t="shared" si="1"/>
        <v>3</v>
      </c>
      <c r="H54" s="9">
        <f t="shared" si="2"/>
        <v>7</v>
      </c>
    </row>
    <row r="55" spans="1:8" x14ac:dyDescent="0.25">
      <c r="A55" s="14" t="s">
        <v>35</v>
      </c>
      <c r="B55" s="6">
        <v>0</v>
      </c>
      <c r="C55" s="4">
        <v>0</v>
      </c>
      <c r="D55" s="5">
        <f t="shared" si="0"/>
        <v>0</v>
      </c>
      <c r="E55" s="6">
        <v>5</v>
      </c>
      <c r="F55" s="4">
        <v>0</v>
      </c>
      <c r="G55" s="5">
        <f t="shared" si="1"/>
        <v>5</v>
      </c>
      <c r="H55" s="9">
        <f t="shared" si="2"/>
        <v>5</v>
      </c>
    </row>
    <row r="56" spans="1:8" x14ac:dyDescent="0.25">
      <c r="A56" s="14" t="s">
        <v>36</v>
      </c>
      <c r="B56" s="6">
        <v>2</v>
      </c>
      <c r="C56" s="4">
        <v>0</v>
      </c>
      <c r="D56" s="5">
        <f t="shared" si="0"/>
        <v>2</v>
      </c>
      <c r="E56" s="6">
        <v>7</v>
      </c>
      <c r="F56" s="4">
        <v>2</v>
      </c>
      <c r="G56" s="5">
        <f t="shared" si="1"/>
        <v>9</v>
      </c>
      <c r="H56" s="9">
        <f t="shared" si="2"/>
        <v>11</v>
      </c>
    </row>
    <row r="57" spans="1:8" x14ac:dyDescent="0.25">
      <c r="A57" s="14" t="s">
        <v>38</v>
      </c>
      <c r="B57" s="6">
        <v>47</v>
      </c>
      <c r="C57" s="4">
        <v>2</v>
      </c>
      <c r="D57" s="5">
        <f t="shared" si="0"/>
        <v>49</v>
      </c>
      <c r="E57" s="6">
        <v>4</v>
      </c>
      <c r="F57" s="4">
        <v>1</v>
      </c>
      <c r="G57" s="5">
        <f t="shared" si="1"/>
        <v>5</v>
      </c>
      <c r="H57" s="9">
        <f t="shared" si="2"/>
        <v>54</v>
      </c>
    </row>
    <row r="58" spans="1:8" x14ac:dyDescent="0.25">
      <c r="A58" s="14" t="s">
        <v>39</v>
      </c>
      <c r="B58" s="6">
        <v>5</v>
      </c>
      <c r="C58" s="4">
        <v>4</v>
      </c>
      <c r="D58" s="5">
        <f t="shared" si="0"/>
        <v>9</v>
      </c>
      <c r="E58" s="6">
        <v>93</v>
      </c>
      <c r="F58" s="4">
        <v>2</v>
      </c>
      <c r="G58" s="5">
        <f t="shared" si="1"/>
        <v>95</v>
      </c>
      <c r="H58" s="9">
        <f t="shared" si="2"/>
        <v>104</v>
      </c>
    </row>
    <row r="59" spans="1:8" x14ac:dyDescent="0.25">
      <c r="A59" s="14" t="s">
        <v>141</v>
      </c>
      <c r="B59" s="6">
        <v>0</v>
      </c>
      <c r="C59" s="4">
        <v>0</v>
      </c>
      <c r="D59" s="5">
        <f t="shared" si="0"/>
        <v>0</v>
      </c>
      <c r="E59" s="6">
        <v>26</v>
      </c>
      <c r="F59" s="4">
        <v>2</v>
      </c>
      <c r="G59" s="5">
        <f t="shared" si="1"/>
        <v>28</v>
      </c>
      <c r="H59" s="9">
        <f t="shared" si="2"/>
        <v>28</v>
      </c>
    </row>
    <row r="60" spans="1:8" x14ac:dyDescent="0.25">
      <c r="A60" s="14" t="s">
        <v>40</v>
      </c>
      <c r="B60" s="6">
        <v>3</v>
      </c>
      <c r="C60" s="4">
        <v>0</v>
      </c>
      <c r="D60" s="5">
        <f t="shared" si="0"/>
        <v>3</v>
      </c>
      <c r="E60" s="6">
        <v>142</v>
      </c>
      <c r="F60" s="4">
        <v>7</v>
      </c>
      <c r="G60" s="5">
        <f t="shared" si="1"/>
        <v>149</v>
      </c>
      <c r="H60" s="9">
        <f t="shared" si="2"/>
        <v>152</v>
      </c>
    </row>
    <row r="61" spans="1:8" x14ac:dyDescent="0.25">
      <c r="A61" s="14" t="s">
        <v>41</v>
      </c>
      <c r="B61" s="6">
        <v>4</v>
      </c>
      <c r="C61" s="4">
        <v>0</v>
      </c>
      <c r="D61" s="5">
        <f t="shared" si="0"/>
        <v>4</v>
      </c>
      <c r="E61" s="6">
        <v>3</v>
      </c>
      <c r="F61" s="4">
        <v>0</v>
      </c>
      <c r="G61" s="5">
        <f t="shared" si="1"/>
        <v>3</v>
      </c>
      <c r="H61" s="9">
        <f t="shared" si="2"/>
        <v>7</v>
      </c>
    </row>
    <row r="62" spans="1:8" x14ac:dyDescent="0.25">
      <c r="A62" s="14" t="s">
        <v>121</v>
      </c>
      <c r="B62" s="6">
        <v>6</v>
      </c>
      <c r="C62" s="4">
        <v>4</v>
      </c>
      <c r="D62" s="5">
        <f t="shared" si="0"/>
        <v>10</v>
      </c>
      <c r="E62" s="6">
        <v>32</v>
      </c>
      <c r="F62" s="4">
        <v>0</v>
      </c>
      <c r="G62" s="5">
        <f t="shared" si="1"/>
        <v>32</v>
      </c>
      <c r="H62" s="9">
        <f t="shared" si="2"/>
        <v>42</v>
      </c>
    </row>
    <row r="63" spans="1:8" x14ac:dyDescent="0.25">
      <c r="A63" s="14" t="s">
        <v>42</v>
      </c>
      <c r="B63" s="6">
        <v>1</v>
      </c>
      <c r="C63" s="4">
        <v>2</v>
      </c>
      <c r="D63" s="5">
        <f t="shared" si="0"/>
        <v>3</v>
      </c>
      <c r="E63" s="6">
        <v>4</v>
      </c>
      <c r="F63" s="4">
        <v>0</v>
      </c>
      <c r="G63" s="5">
        <f t="shared" si="1"/>
        <v>4</v>
      </c>
      <c r="H63" s="9">
        <f t="shared" si="2"/>
        <v>7</v>
      </c>
    </row>
    <row r="64" spans="1:8" x14ac:dyDescent="0.25">
      <c r="A64" s="14" t="s">
        <v>43</v>
      </c>
      <c r="B64" s="6">
        <v>0</v>
      </c>
      <c r="C64" s="4">
        <v>0</v>
      </c>
      <c r="D64" s="5">
        <f t="shared" si="0"/>
        <v>0</v>
      </c>
      <c r="E64" s="6">
        <v>2</v>
      </c>
      <c r="F64" s="4">
        <v>0</v>
      </c>
      <c r="G64" s="5">
        <f t="shared" si="1"/>
        <v>2</v>
      </c>
      <c r="H64" s="9">
        <f t="shared" si="2"/>
        <v>2</v>
      </c>
    </row>
    <row r="65" spans="1:8" x14ac:dyDescent="0.25">
      <c r="A65" s="14" t="s">
        <v>44</v>
      </c>
      <c r="B65" s="6">
        <v>0</v>
      </c>
      <c r="C65" s="4">
        <v>0</v>
      </c>
      <c r="D65" s="5">
        <f t="shared" ref="D65:D70" si="6">SUM(B65:C65)</f>
        <v>0</v>
      </c>
      <c r="E65" s="6">
        <v>7</v>
      </c>
      <c r="F65" s="4">
        <v>0</v>
      </c>
      <c r="G65" s="5">
        <f t="shared" ref="G65:G70" si="7">SUM(E65:F65)</f>
        <v>7</v>
      </c>
      <c r="H65" s="9">
        <f t="shared" ref="H65:H70" si="8">D65+G65</f>
        <v>7</v>
      </c>
    </row>
    <row r="66" spans="1:8" x14ac:dyDescent="0.25">
      <c r="A66" s="14" t="s">
        <v>45</v>
      </c>
      <c r="B66" s="6">
        <v>5</v>
      </c>
      <c r="C66" s="4">
        <v>5</v>
      </c>
      <c r="D66" s="5">
        <f t="shared" si="6"/>
        <v>10</v>
      </c>
      <c r="E66" s="6">
        <v>5</v>
      </c>
      <c r="F66" s="4">
        <v>0</v>
      </c>
      <c r="G66" s="5">
        <f t="shared" si="7"/>
        <v>5</v>
      </c>
      <c r="H66" s="9">
        <f t="shared" si="8"/>
        <v>15</v>
      </c>
    </row>
    <row r="67" spans="1:8" x14ac:dyDescent="0.25">
      <c r="A67" s="14" t="s">
        <v>154</v>
      </c>
      <c r="B67" s="6">
        <v>0</v>
      </c>
      <c r="C67" s="4">
        <v>0</v>
      </c>
      <c r="D67" s="5">
        <f t="shared" si="6"/>
        <v>0</v>
      </c>
      <c r="E67" s="6">
        <v>1</v>
      </c>
      <c r="F67" s="4">
        <v>0</v>
      </c>
      <c r="G67" s="5">
        <f t="shared" si="7"/>
        <v>1</v>
      </c>
      <c r="H67" s="9">
        <f t="shared" si="8"/>
        <v>1</v>
      </c>
    </row>
    <row r="68" spans="1:8" x14ac:dyDescent="0.25">
      <c r="A68" s="14" t="s">
        <v>48</v>
      </c>
      <c r="B68" s="6">
        <v>9</v>
      </c>
      <c r="C68" s="4">
        <v>0</v>
      </c>
      <c r="D68" s="5">
        <f t="shared" si="6"/>
        <v>9</v>
      </c>
      <c r="E68" s="6">
        <v>0</v>
      </c>
      <c r="F68" s="4">
        <v>0</v>
      </c>
      <c r="G68" s="5">
        <f t="shared" si="7"/>
        <v>0</v>
      </c>
      <c r="H68" s="9">
        <f t="shared" si="8"/>
        <v>9</v>
      </c>
    </row>
    <row r="69" spans="1:8" x14ac:dyDescent="0.25">
      <c r="A69" s="14" t="s">
        <v>49</v>
      </c>
      <c r="B69" s="6">
        <v>0</v>
      </c>
      <c r="C69" s="4">
        <v>0</v>
      </c>
      <c r="D69" s="5">
        <f t="shared" si="6"/>
        <v>0</v>
      </c>
      <c r="E69" s="6">
        <v>27</v>
      </c>
      <c r="F69" s="4">
        <v>0</v>
      </c>
      <c r="G69" s="5">
        <f t="shared" si="7"/>
        <v>27</v>
      </c>
      <c r="H69" s="9">
        <f t="shared" si="8"/>
        <v>27</v>
      </c>
    </row>
    <row r="70" spans="1:8" x14ac:dyDescent="0.25">
      <c r="A70" s="14" t="s">
        <v>122</v>
      </c>
      <c r="B70" s="6">
        <v>0</v>
      </c>
      <c r="C70" s="4">
        <v>0</v>
      </c>
      <c r="D70" s="5">
        <f t="shared" si="6"/>
        <v>0</v>
      </c>
      <c r="E70" s="6">
        <v>5</v>
      </c>
      <c r="F70" s="4">
        <v>0</v>
      </c>
      <c r="G70" s="5">
        <f t="shared" si="7"/>
        <v>5</v>
      </c>
      <c r="H70" s="9">
        <f t="shared" si="8"/>
        <v>5</v>
      </c>
    </row>
    <row r="71" spans="1:8" x14ac:dyDescent="0.25">
      <c r="A71" s="14" t="s">
        <v>92</v>
      </c>
      <c r="B71" s="6">
        <v>0</v>
      </c>
      <c r="C71" s="4">
        <v>0</v>
      </c>
      <c r="D71" s="5">
        <f t="shared" si="0"/>
        <v>0</v>
      </c>
      <c r="E71" s="6">
        <v>127</v>
      </c>
      <c r="F71" s="4">
        <v>19</v>
      </c>
      <c r="G71" s="5">
        <f t="shared" si="1"/>
        <v>146</v>
      </c>
      <c r="H71" s="9">
        <f t="shared" si="2"/>
        <v>146</v>
      </c>
    </row>
    <row r="72" spans="1:8" x14ac:dyDescent="0.25">
      <c r="A72" s="14" t="s">
        <v>96</v>
      </c>
      <c r="B72" s="6">
        <v>0</v>
      </c>
      <c r="C72" s="4">
        <v>0</v>
      </c>
      <c r="D72" s="5">
        <f t="shared" si="0"/>
        <v>0</v>
      </c>
      <c r="E72" s="6">
        <v>69</v>
      </c>
      <c r="F72" s="4">
        <v>10</v>
      </c>
      <c r="G72" s="5">
        <f t="shared" si="1"/>
        <v>79</v>
      </c>
      <c r="H72" s="9">
        <f t="shared" si="2"/>
        <v>79</v>
      </c>
    </row>
    <row r="73" spans="1:8" x14ac:dyDescent="0.25">
      <c r="A73" s="14" t="s">
        <v>142</v>
      </c>
      <c r="B73" s="6">
        <v>1</v>
      </c>
      <c r="C73" s="4">
        <v>0</v>
      </c>
      <c r="D73" s="5">
        <f t="shared" si="0"/>
        <v>1</v>
      </c>
      <c r="E73" s="6">
        <v>28</v>
      </c>
      <c r="F73" s="4">
        <v>3</v>
      </c>
      <c r="G73" s="5">
        <f t="shared" si="1"/>
        <v>31</v>
      </c>
      <c r="H73" s="9">
        <f t="shared" si="2"/>
        <v>32</v>
      </c>
    </row>
    <row r="74" spans="1:8" x14ac:dyDescent="0.25">
      <c r="A74" s="14" t="s">
        <v>107</v>
      </c>
      <c r="B74" s="6">
        <v>0</v>
      </c>
      <c r="C74" s="4">
        <v>0</v>
      </c>
      <c r="D74" s="5">
        <f t="shared" si="0"/>
        <v>0</v>
      </c>
      <c r="E74" s="6">
        <v>260</v>
      </c>
      <c r="F74" s="4">
        <v>21</v>
      </c>
      <c r="G74" s="5">
        <f t="shared" si="1"/>
        <v>281</v>
      </c>
      <c r="H74" s="9">
        <f t="shared" si="2"/>
        <v>281</v>
      </c>
    </row>
    <row r="75" spans="1:8" x14ac:dyDescent="0.25">
      <c r="A75" s="14" t="s">
        <v>51</v>
      </c>
      <c r="B75" s="6">
        <v>0</v>
      </c>
      <c r="C75" s="4">
        <v>0</v>
      </c>
      <c r="D75" s="5">
        <f t="shared" si="0"/>
        <v>0</v>
      </c>
      <c r="E75" s="6">
        <v>14</v>
      </c>
      <c r="F75" s="4">
        <v>3</v>
      </c>
      <c r="G75" s="5">
        <f t="shared" si="1"/>
        <v>17</v>
      </c>
      <c r="H75" s="9">
        <f t="shared" si="2"/>
        <v>17</v>
      </c>
    </row>
    <row r="76" spans="1:8" x14ac:dyDescent="0.25">
      <c r="A76" s="14" t="s">
        <v>136</v>
      </c>
      <c r="B76" s="6">
        <v>0</v>
      </c>
      <c r="C76" s="4">
        <v>0</v>
      </c>
      <c r="D76" s="5">
        <f t="shared" si="0"/>
        <v>0</v>
      </c>
      <c r="E76" s="6">
        <v>0</v>
      </c>
      <c r="F76" s="4">
        <v>0</v>
      </c>
      <c r="G76" s="5">
        <f t="shared" si="1"/>
        <v>0</v>
      </c>
      <c r="H76" s="9">
        <f t="shared" si="2"/>
        <v>0</v>
      </c>
    </row>
    <row r="77" spans="1:8" x14ac:dyDescent="0.25">
      <c r="A77" s="14" t="s">
        <v>52</v>
      </c>
      <c r="B77" s="6">
        <v>0</v>
      </c>
      <c r="C77" s="4">
        <v>0</v>
      </c>
      <c r="D77" s="5">
        <f t="shared" si="0"/>
        <v>0</v>
      </c>
      <c r="E77" s="6">
        <v>4</v>
      </c>
      <c r="F77" s="4">
        <v>2</v>
      </c>
      <c r="G77" s="5">
        <f t="shared" si="1"/>
        <v>6</v>
      </c>
      <c r="H77" s="9">
        <f t="shared" si="2"/>
        <v>6</v>
      </c>
    </row>
    <row r="78" spans="1:8" x14ac:dyDescent="0.25">
      <c r="A78" s="14" t="s">
        <v>113</v>
      </c>
      <c r="B78" s="6">
        <v>0</v>
      </c>
      <c r="C78" s="4">
        <v>0</v>
      </c>
      <c r="D78" s="5">
        <f t="shared" si="0"/>
        <v>0</v>
      </c>
      <c r="E78" s="6">
        <v>23</v>
      </c>
      <c r="F78" s="4">
        <v>1</v>
      </c>
      <c r="G78" s="5">
        <f t="shared" si="1"/>
        <v>24</v>
      </c>
      <c r="H78" s="9">
        <f t="shared" si="2"/>
        <v>24</v>
      </c>
    </row>
    <row r="79" spans="1:8" x14ac:dyDescent="0.25">
      <c r="A79" s="14" t="s">
        <v>134</v>
      </c>
      <c r="B79" s="6">
        <v>0</v>
      </c>
      <c r="C79" s="4">
        <v>0</v>
      </c>
      <c r="D79" s="5">
        <f t="shared" si="0"/>
        <v>0</v>
      </c>
      <c r="E79" s="6">
        <v>35</v>
      </c>
      <c r="F79" s="4">
        <v>1</v>
      </c>
      <c r="G79" s="5">
        <f t="shared" si="1"/>
        <v>36</v>
      </c>
      <c r="H79" s="9">
        <f t="shared" si="2"/>
        <v>36</v>
      </c>
    </row>
    <row r="80" spans="1:8" x14ac:dyDescent="0.25">
      <c r="A80" s="14" t="s">
        <v>56</v>
      </c>
      <c r="B80" s="6">
        <v>0</v>
      </c>
      <c r="C80" s="4">
        <v>0</v>
      </c>
      <c r="D80" s="5">
        <f t="shared" si="0"/>
        <v>0</v>
      </c>
      <c r="E80" s="6">
        <v>61</v>
      </c>
      <c r="F80" s="4">
        <v>8</v>
      </c>
      <c r="G80" s="5">
        <f t="shared" si="1"/>
        <v>69</v>
      </c>
      <c r="H80" s="9">
        <f t="shared" si="2"/>
        <v>69</v>
      </c>
    </row>
    <row r="81" spans="1:8" x14ac:dyDescent="0.25">
      <c r="A81" s="14" t="s">
        <v>137</v>
      </c>
      <c r="B81" s="6">
        <v>0</v>
      </c>
      <c r="C81" s="4">
        <v>0</v>
      </c>
      <c r="D81" s="5">
        <f t="shared" si="0"/>
        <v>0</v>
      </c>
      <c r="E81" s="6">
        <v>49</v>
      </c>
      <c r="F81" s="4">
        <v>4</v>
      </c>
      <c r="G81" s="5">
        <f t="shared" si="1"/>
        <v>53</v>
      </c>
      <c r="H81" s="9">
        <f t="shared" si="2"/>
        <v>53</v>
      </c>
    </row>
    <row r="82" spans="1:8" x14ac:dyDescent="0.25">
      <c r="A82" s="14" t="s">
        <v>115</v>
      </c>
      <c r="B82" s="6">
        <v>0</v>
      </c>
      <c r="C82" s="4">
        <v>0</v>
      </c>
      <c r="D82" s="5">
        <f t="shared" si="0"/>
        <v>0</v>
      </c>
      <c r="E82" s="6">
        <v>1</v>
      </c>
      <c r="F82" s="4">
        <v>1</v>
      </c>
      <c r="G82" s="5">
        <f t="shared" si="1"/>
        <v>2</v>
      </c>
      <c r="H82" s="9">
        <f t="shared" si="2"/>
        <v>2</v>
      </c>
    </row>
    <row r="83" spans="1:8" x14ac:dyDescent="0.25">
      <c r="A83" s="14" t="s">
        <v>99</v>
      </c>
      <c r="B83" s="6">
        <v>0</v>
      </c>
      <c r="C83" s="4">
        <v>0</v>
      </c>
      <c r="D83" s="5">
        <f t="shared" si="0"/>
        <v>0</v>
      </c>
      <c r="E83" s="6">
        <v>48</v>
      </c>
      <c r="F83" s="4">
        <v>6</v>
      </c>
      <c r="G83" s="5">
        <f t="shared" si="1"/>
        <v>54</v>
      </c>
      <c r="H83" s="9">
        <f t="shared" si="2"/>
        <v>54</v>
      </c>
    </row>
    <row r="84" spans="1:8" x14ac:dyDescent="0.25">
      <c r="A84" s="14" t="s">
        <v>59</v>
      </c>
      <c r="B84" s="6">
        <v>0</v>
      </c>
      <c r="C84" s="4">
        <v>0</v>
      </c>
      <c r="D84" s="5">
        <f t="shared" si="0"/>
        <v>0</v>
      </c>
      <c r="E84" s="6">
        <v>0</v>
      </c>
      <c r="F84" s="4">
        <v>0</v>
      </c>
      <c r="G84" s="5">
        <f t="shared" si="1"/>
        <v>0</v>
      </c>
      <c r="H84" s="9">
        <f t="shared" si="2"/>
        <v>0</v>
      </c>
    </row>
    <row r="85" spans="1:8" x14ac:dyDescent="0.25">
      <c r="A85" s="14" t="s">
        <v>60</v>
      </c>
      <c r="B85" s="6">
        <v>0</v>
      </c>
      <c r="C85" s="4">
        <v>0</v>
      </c>
      <c r="D85" s="5">
        <f t="shared" si="0"/>
        <v>0</v>
      </c>
      <c r="E85" s="6">
        <v>13</v>
      </c>
      <c r="F85" s="4">
        <v>1</v>
      </c>
      <c r="G85" s="5">
        <f t="shared" si="1"/>
        <v>14</v>
      </c>
      <c r="H85" s="9">
        <f t="shared" si="2"/>
        <v>14</v>
      </c>
    </row>
    <row r="86" spans="1:8" x14ac:dyDescent="0.25">
      <c r="A86" s="14" t="s">
        <v>61</v>
      </c>
      <c r="B86" s="6">
        <v>0</v>
      </c>
      <c r="C86" s="4">
        <v>0</v>
      </c>
      <c r="D86" s="5">
        <f t="shared" si="0"/>
        <v>0</v>
      </c>
      <c r="E86" s="6">
        <v>4</v>
      </c>
      <c r="F86" s="4">
        <v>0</v>
      </c>
      <c r="G86" s="5">
        <f t="shared" si="1"/>
        <v>4</v>
      </c>
      <c r="H86" s="9">
        <f t="shared" si="2"/>
        <v>4</v>
      </c>
    </row>
    <row r="87" spans="1:8" x14ac:dyDescent="0.25">
      <c r="A87" s="14" t="s">
        <v>70</v>
      </c>
      <c r="B87" s="6">
        <v>0</v>
      </c>
      <c r="C87" s="4">
        <v>0</v>
      </c>
      <c r="D87" s="5">
        <f t="shared" si="0"/>
        <v>0</v>
      </c>
      <c r="E87" s="6">
        <v>15</v>
      </c>
      <c r="F87" s="4">
        <v>3</v>
      </c>
      <c r="G87" s="5">
        <f t="shared" si="1"/>
        <v>18</v>
      </c>
      <c r="H87" s="9">
        <f t="shared" si="2"/>
        <v>18</v>
      </c>
    </row>
    <row r="88" spans="1:8" x14ac:dyDescent="0.25">
      <c r="A88" s="14" t="s">
        <v>155</v>
      </c>
      <c r="B88" s="6">
        <v>0</v>
      </c>
      <c r="C88" s="4">
        <v>0</v>
      </c>
      <c r="D88" s="5">
        <f t="shared" ref="D88:D92" si="9">SUM(B88:C88)</f>
        <v>0</v>
      </c>
      <c r="E88" s="6">
        <v>4</v>
      </c>
      <c r="F88" s="4">
        <v>0</v>
      </c>
      <c r="G88" s="5">
        <f t="shared" ref="G88:G92" si="10">SUM(E88:F88)</f>
        <v>4</v>
      </c>
      <c r="H88" s="9">
        <f t="shared" ref="H88:H92" si="11">D88+G88</f>
        <v>4</v>
      </c>
    </row>
    <row r="89" spans="1:8" x14ac:dyDescent="0.25">
      <c r="A89" s="14" t="s">
        <v>138</v>
      </c>
      <c r="B89" s="6">
        <v>0</v>
      </c>
      <c r="C89" s="4">
        <v>0</v>
      </c>
      <c r="D89" s="5">
        <f t="shared" si="9"/>
        <v>0</v>
      </c>
      <c r="E89" s="6">
        <v>3</v>
      </c>
      <c r="F89" s="4">
        <v>1</v>
      </c>
      <c r="G89" s="5">
        <f t="shared" si="10"/>
        <v>4</v>
      </c>
      <c r="H89" s="9">
        <f t="shared" si="11"/>
        <v>4</v>
      </c>
    </row>
    <row r="90" spans="1:8" x14ac:dyDescent="0.25">
      <c r="A90" s="14" t="s">
        <v>117</v>
      </c>
      <c r="B90" s="6">
        <v>0</v>
      </c>
      <c r="C90" s="4">
        <v>0</v>
      </c>
      <c r="D90" s="5">
        <f t="shared" si="9"/>
        <v>0</v>
      </c>
      <c r="E90" s="6">
        <v>30</v>
      </c>
      <c r="F90" s="4">
        <v>2</v>
      </c>
      <c r="G90" s="5">
        <f t="shared" si="10"/>
        <v>32</v>
      </c>
      <c r="H90" s="9">
        <f t="shared" si="11"/>
        <v>32</v>
      </c>
    </row>
    <row r="91" spans="1:8" x14ac:dyDescent="0.25">
      <c r="A91" s="14" t="s">
        <v>67</v>
      </c>
      <c r="B91" s="6">
        <v>0</v>
      </c>
      <c r="C91" s="4">
        <v>0</v>
      </c>
      <c r="D91" s="5">
        <f t="shared" si="9"/>
        <v>0</v>
      </c>
      <c r="E91" s="6">
        <v>26</v>
      </c>
      <c r="F91" s="4">
        <v>17</v>
      </c>
      <c r="G91" s="5">
        <f t="shared" si="10"/>
        <v>43</v>
      </c>
      <c r="H91" s="9">
        <f t="shared" si="11"/>
        <v>43</v>
      </c>
    </row>
    <row r="92" spans="1:8" ht="15.75" thickBot="1" x14ac:dyDescent="0.3">
      <c r="A92" s="15" t="s">
        <v>144</v>
      </c>
      <c r="B92" s="11">
        <v>0</v>
      </c>
      <c r="C92" s="12">
        <v>0</v>
      </c>
      <c r="D92" s="23">
        <f t="shared" si="9"/>
        <v>0</v>
      </c>
      <c r="E92" s="11">
        <v>16</v>
      </c>
      <c r="F92" s="12">
        <v>11</v>
      </c>
      <c r="G92" s="23">
        <f t="shared" si="10"/>
        <v>27</v>
      </c>
      <c r="H92" s="16">
        <f t="shared" si="11"/>
        <v>27</v>
      </c>
    </row>
    <row r="93" spans="1:8" ht="16.5" thickTop="1" thickBot="1" x14ac:dyDescent="0.3">
      <c r="A93" s="8" t="s">
        <v>0</v>
      </c>
      <c r="B93" s="7">
        <f t="shared" ref="B93:H93" si="12">SUM(B7:B92)</f>
        <v>197</v>
      </c>
      <c r="C93" s="7">
        <f t="shared" si="12"/>
        <v>54</v>
      </c>
      <c r="D93" s="7">
        <f t="shared" si="12"/>
        <v>251</v>
      </c>
      <c r="E93" s="7">
        <f t="shared" si="12"/>
        <v>2292</v>
      </c>
      <c r="F93" s="7">
        <f t="shared" si="12"/>
        <v>318</v>
      </c>
      <c r="G93" s="7">
        <f t="shared" si="12"/>
        <v>2610</v>
      </c>
      <c r="H93" s="7">
        <f t="shared" si="12"/>
        <v>2861</v>
      </c>
    </row>
    <row r="94" spans="1:8" ht="15.75" thickBot="1" x14ac:dyDescent="0.3"/>
    <row r="95" spans="1:8" x14ac:dyDescent="0.25">
      <c r="A95" s="26" t="s">
        <v>74</v>
      </c>
      <c r="B95" s="28" t="s">
        <v>3</v>
      </c>
      <c r="C95" s="29"/>
      <c r="D95" s="29"/>
      <c r="E95" s="28" t="s">
        <v>4</v>
      </c>
      <c r="F95" s="29"/>
      <c r="G95" s="29"/>
      <c r="H95" s="26" t="s">
        <v>0</v>
      </c>
    </row>
    <row r="96" spans="1:8" x14ac:dyDescent="0.25">
      <c r="A96" s="27"/>
      <c r="B96" s="20" t="s">
        <v>82</v>
      </c>
      <c r="C96" s="21" t="s">
        <v>83</v>
      </c>
      <c r="D96" s="22" t="s">
        <v>0</v>
      </c>
      <c r="E96" s="20" t="s">
        <v>82</v>
      </c>
      <c r="F96" s="21" t="s">
        <v>83</v>
      </c>
      <c r="G96" s="22" t="s">
        <v>0</v>
      </c>
      <c r="H96" s="27"/>
    </row>
    <row r="97" spans="1:8" x14ac:dyDescent="0.25">
      <c r="A97" s="14" t="s">
        <v>75</v>
      </c>
      <c r="B97" s="6">
        <v>29</v>
      </c>
      <c r="C97" s="4">
        <v>0</v>
      </c>
      <c r="D97" s="5">
        <f t="shared" ref="D97:D104" si="13">SUM(B97:C97)</f>
        <v>29</v>
      </c>
      <c r="E97" s="6">
        <v>229</v>
      </c>
      <c r="F97" s="4">
        <v>7</v>
      </c>
      <c r="G97" s="5">
        <f t="shared" ref="G97:G104" si="14">SUM(E97:F97)</f>
        <v>236</v>
      </c>
      <c r="H97" s="9">
        <f t="shared" ref="H97:H104" si="15">D97+G97</f>
        <v>265</v>
      </c>
    </row>
    <row r="98" spans="1:8" x14ac:dyDescent="0.25">
      <c r="A98" s="14" t="s">
        <v>147</v>
      </c>
      <c r="B98" s="6">
        <v>1</v>
      </c>
      <c r="C98" s="4">
        <v>0</v>
      </c>
      <c r="D98" s="5">
        <f t="shared" si="13"/>
        <v>1</v>
      </c>
      <c r="E98" s="6">
        <v>863</v>
      </c>
      <c r="F98" s="4">
        <v>114</v>
      </c>
      <c r="G98" s="5">
        <f t="shared" si="14"/>
        <v>977</v>
      </c>
      <c r="H98" s="9">
        <f t="shared" si="15"/>
        <v>978</v>
      </c>
    </row>
    <row r="99" spans="1:8" x14ac:dyDescent="0.25">
      <c r="A99" s="14" t="s">
        <v>76</v>
      </c>
      <c r="B99" s="6">
        <v>10</v>
      </c>
      <c r="C99" s="4">
        <v>5</v>
      </c>
      <c r="D99" s="5">
        <f t="shared" si="13"/>
        <v>15</v>
      </c>
      <c r="E99" s="6">
        <v>296</v>
      </c>
      <c r="F99" s="4">
        <v>24</v>
      </c>
      <c r="G99" s="5">
        <f t="shared" si="14"/>
        <v>320</v>
      </c>
      <c r="H99" s="9">
        <f t="shared" si="15"/>
        <v>335</v>
      </c>
    </row>
    <row r="100" spans="1:8" x14ac:dyDescent="0.25">
      <c r="A100" s="14" t="s">
        <v>129</v>
      </c>
      <c r="B100" s="6">
        <v>22</v>
      </c>
      <c r="C100" s="4">
        <v>17</v>
      </c>
      <c r="D100" s="5">
        <f t="shared" si="13"/>
        <v>39</v>
      </c>
      <c r="E100" s="6">
        <v>234</v>
      </c>
      <c r="F100" s="4">
        <v>112</v>
      </c>
      <c r="G100" s="5">
        <f t="shared" si="14"/>
        <v>346</v>
      </c>
      <c r="H100" s="9">
        <f t="shared" si="15"/>
        <v>385</v>
      </c>
    </row>
    <row r="101" spans="1:8" x14ac:dyDescent="0.25">
      <c r="A101" s="14" t="s">
        <v>1</v>
      </c>
      <c r="B101" s="6">
        <v>1</v>
      </c>
      <c r="C101" s="4">
        <v>0</v>
      </c>
      <c r="D101" s="5">
        <f t="shared" si="13"/>
        <v>1</v>
      </c>
      <c r="E101" s="6">
        <v>41</v>
      </c>
      <c r="F101" s="4">
        <v>3</v>
      </c>
      <c r="G101" s="5">
        <f t="shared" si="14"/>
        <v>44</v>
      </c>
      <c r="H101" s="9">
        <f t="shared" si="15"/>
        <v>45</v>
      </c>
    </row>
    <row r="102" spans="1:8" x14ac:dyDescent="0.25">
      <c r="A102" s="14" t="s">
        <v>79</v>
      </c>
      <c r="B102" s="6">
        <v>41</v>
      </c>
      <c r="C102" s="4">
        <v>5</v>
      </c>
      <c r="D102" s="5">
        <f t="shared" si="13"/>
        <v>46</v>
      </c>
      <c r="E102" s="6">
        <v>280</v>
      </c>
      <c r="F102" s="4">
        <v>17</v>
      </c>
      <c r="G102" s="5">
        <f t="shared" si="14"/>
        <v>297</v>
      </c>
      <c r="H102" s="9">
        <f t="shared" si="15"/>
        <v>343</v>
      </c>
    </row>
    <row r="103" spans="1:8" x14ac:dyDescent="0.25">
      <c r="A103" s="14" t="s">
        <v>80</v>
      </c>
      <c r="B103" s="6">
        <v>77</v>
      </c>
      <c r="C103" s="4">
        <v>20</v>
      </c>
      <c r="D103" s="5">
        <f t="shared" si="13"/>
        <v>97</v>
      </c>
      <c r="E103" s="6">
        <v>40</v>
      </c>
      <c r="F103" s="4">
        <v>2</v>
      </c>
      <c r="G103" s="5">
        <f t="shared" si="14"/>
        <v>42</v>
      </c>
      <c r="H103" s="9">
        <f t="shared" si="15"/>
        <v>139</v>
      </c>
    </row>
    <row r="104" spans="1:8" ht="15.75" thickBot="1" x14ac:dyDescent="0.3">
      <c r="A104" s="15" t="s">
        <v>81</v>
      </c>
      <c r="B104" s="11">
        <v>16</v>
      </c>
      <c r="C104" s="12">
        <v>7</v>
      </c>
      <c r="D104" s="12">
        <f t="shared" si="13"/>
        <v>23</v>
      </c>
      <c r="E104" s="11">
        <v>309</v>
      </c>
      <c r="F104" s="12">
        <v>39</v>
      </c>
      <c r="G104" s="13">
        <f t="shared" si="14"/>
        <v>348</v>
      </c>
      <c r="H104" s="16">
        <f t="shared" si="15"/>
        <v>371</v>
      </c>
    </row>
    <row r="105" spans="1:8" ht="16.5" thickTop="1" thickBot="1" x14ac:dyDescent="0.3">
      <c r="A105" s="8" t="s">
        <v>0</v>
      </c>
      <c r="B105" s="7">
        <f t="shared" ref="B105:H105" si="16">SUM(B97:B104)</f>
        <v>197</v>
      </c>
      <c r="C105" s="7">
        <f t="shared" si="16"/>
        <v>54</v>
      </c>
      <c r="D105" s="7">
        <f t="shared" si="16"/>
        <v>251</v>
      </c>
      <c r="E105" s="7">
        <f t="shared" si="16"/>
        <v>2292</v>
      </c>
      <c r="F105" s="7">
        <f t="shared" si="16"/>
        <v>318</v>
      </c>
      <c r="G105" s="7">
        <f t="shared" si="16"/>
        <v>2610</v>
      </c>
      <c r="H105" s="7">
        <f t="shared" si="16"/>
        <v>2861</v>
      </c>
    </row>
    <row r="107" spans="1:8" x14ac:dyDescent="0.25">
      <c r="A107" s="33" t="s">
        <v>145</v>
      </c>
      <c r="B107" s="33"/>
      <c r="C107" s="33"/>
      <c r="D107" s="33"/>
      <c r="E107" s="33"/>
      <c r="F107" s="33"/>
      <c r="G107" s="33"/>
      <c r="H107" s="33"/>
    </row>
    <row r="108" spans="1:8" x14ac:dyDescent="0.25">
      <c r="A108" s="33"/>
      <c r="B108" s="33"/>
      <c r="C108" s="33"/>
      <c r="D108" s="33"/>
      <c r="E108" s="33"/>
      <c r="F108" s="33"/>
      <c r="G108" s="33"/>
      <c r="H108" s="33"/>
    </row>
    <row r="109" spans="1:8" x14ac:dyDescent="0.25">
      <c r="A109" s="33"/>
      <c r="B109" s="33"/>
      <c r="C109" s="33"/>
      <c r="D109" s="33"/>
      <c r="E109" s="33"/>
      <c r="F109" s="33"/>
      <c r="G109" s="33"/>
      <c r="H109" s="33"/>
    </row>
    <row r="111" spans="1:8" x14ac:dyDescent="0.25">
      <c r="A111" s="34"/>
      <c r="B111" s="34"/>
      <c r="C111" s="34"/>
      <c r="D111" s="34"/>
      <c r="E111" s="34"/>
      <c r="F111" s="34"/>
      <c r="G111" s="34"/>
      <c r="H111" s="34"/>
    </row>
  </sheetData>
  <mergeCells count="11">
    <mergeCell ref="A2:H2"/>
    <mergeCell ref="A5:A6"/>
    <mergeCell ref="B5:D5"/>
    <mergeCell ref="E5:G5"/>
    <mergeCell ref="H5:H6"/>
    <mergeCell ref="A107:H109"/>
    <mergeCell ref="A111:H111"/>
    <mergeCell ref="A95:A96"/>
    <mergeCell ref="B95:D95"/>
    <mergeCell ref="E95:G95"/>
    <mergeCell ref="H95:H9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view="pageLayout" topLeftCell="A91" zoomScale="70" zoomScaleNormal="100" zoomScalePageLayoutView="70" workbookViewId="0">
      <selection activeCell="H109" sqref="H109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2005-06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1</v>
      </c>
      <c r="C7" s="4">
        <v>0</v>
      </c>
      <c r="D7" s="5">
        <f>SUM(B7:C7)</f>
        <v>1</v>
      </c>
      <c r="E7" s="6">
        <v>15</v>
      </c>
      <c r="F7" s="4">
        <v>2</v>
      </c>
      <c r="G7" s="5">
        <f>SUM(E7:F7)</f>
        <v>17</v>
      </c>
      <c r="H7" s="9">
        <f>D7+G7</f>
        <v>18</v>
      </c>
    </row>
    <row r="8" spans="1:8" x14ac:dyDescent="0.25">
      <c r="A8" s="14" t="s">
        <v>6</v>
      </c>
      <c r="B8" s="6">
        <v>0</v>
      </c>
      <c r="C8" s="4">
        <v>0</v>
      </c>
      <c r="D8" s="5">
        <f t="shared" ref="D8:D85" si="0">SUM(B8:C8)</f>
        <v>0</v>
      </c>
      <c r="E8" s="6">
        <v>19</v>
      </c>
      <c r="F8" s="4">
        <v>1</v>
      </c>
      <c r="G8" s="5">
        <f t="shared" ref="G8:G85" si="1">SUM(E8:F8)</f>
        <v>20</v>
      </c>
      <c r="H8" s="9">
        <f t="shared" ref="H8:H85" si="2">D8+G8</f>
        <v>20</v>
      </c>
    </row>
    <row r="9" spans="1:8" x14ac:dyDescent="0.25">
      <c r="A9" s="14" t="s">
        <v>7</v>
      </c>
      <c r="B9" s="6">
        <v>1</v>
      </c>
      <c r="C9" s="4">
        <v>0</v>
      </c>
      <c r="D9" s="5">
        <f t="shared" si="0"/>
        <v>1</v>
      </c>
      <c r="E9" s="6">
        <v>86</v>
      </c>
      <c r="F9" s="4">
        <v>2</v>
      </c>
      <c r="G9" s="5">
        <f t="shared" si="1"/>
        <v>88</v>
      </c>
      <c r="H9" s="9">
        <f t="shared" si="2"/>
        <v>89</v>
      </c>
    </row>
    <row r="10" spans="1:8" x14ac:dyDescent="0.25">
      <c r="A10" s="14" t="s">
        <v>8</v>
      </c>
      <c r="B10" s="6">
        <v>7</v>
      </c>
      <c r="C10" s="4">
        <v>1</v>
      </c>
      <c r="D10" s="5">
        <f t="shared" si="0"/>
        <v>8</v>
      </c>
      <c r="E10" s="6">
        <v>258</v>
      </c>
      <c r="F10" s="4">
        <v>15</v>
      </c>
      <c r="G10" s="5">
        <f t="shared" si="1"/>
        <v>273</v>
      </c>
      <c r="H10" s="9">
        <f t="shared" si="2"/>
        <v>281</v>
      </c>
    </row>
    <row r="11" spans="1:8" x14ac:dyDescent="0.25">
      <c r="A11" s="14" t="s">
        <v>100</v>
      </c>
      <c r="B11" s="6">
        <v>0</v>
      </c>
      <c r="C11" s="4">
        <v>0</v>
      </c>
      <c r="D11" s="5">
        <f t="shared" si="0"/>
        <v>0</v>
      </c>
      <c r="E11" s="6">
        <v>8</v>
      </c>
      <c r="F11" s="4">
        <v>2</v>
      </c>
      <c r="G11" s="5">
        <f t="shared" si="1"/>
        <v>10</v>
      </c>
      <c r="H11" s="9">
        <f t="shared" si="2"/>
        <v>10</v>
      </c>
    </row>
    <row r="12" spans="1:8" x14ac:dyDescent="0.25">
      <c r="A12" s="14" t="s">
        <v>9</v>
      </c>
      <c r="B12" s="6">
        <v>1</v>
      </c>
      <c r="C12" s="4">
        <v>2</v>
      </c>
      <c r="D12" s="5">
        <f t="shared" si="0"/>
        <v>3</v>
      </c>
      <c r="E12" s="6">
        <v>3</v>
      </c>
      <c r="F12" s="4">
        <v>1</v>
      </c>
      <c r="G12" s="5">
        <f t="shared" si="1"/>
        <v>4</v>
      </c>
      <c r="H12" s="9">
        <f t="shared" si="2"/>
        <v>7</v>
      </c>
    </row>
    <row r="13" spans="1:8" x14ac:dyDescent="0.25">
      <c r="A13" s="14" t="s">
        <v>10</v>
      </c>
      <c r="B13" s="6">
        <v>2</v>
      </c>
      <c r="C13" s="4">
        <v>0</v>
      </c>
      <c r="D13" s="5">
        <f t="shared" si="0"/>
        <v>2</v>
      </c>
      <c r="E13" s="6">
        <v>6</v>
      </c>
      <c r="F13" s="4">
        <v>1</v>
      </c>
      <c r="G13" s="5">
        <f t="shared" si="1"/>
        <v>7</v>
      </c>
      <c r="H13" s="9">
        <f t="shared" si="2"/>
        <v>9</v>
      </c>
    </row>
    <row r="14" spans="1:8" x14ac:dyDescent="0.25">
      <c r="A14" s="14" t="s">
        <v>120</v>
      </c>
      <c r="B14" s="6">
        <v>0</v>
      </c>
      <c r="C14" s="4">
        <v>0</v>
      </c>
      <c r="D14" s="5">
        <f t="shared" si="0"/>
        <v>0</v>
      </c>
      <c r="E14" s="6">
        <v>2</v>
      </c>
      <c r="F14" s="4">
        <v>0</v>
      </c>
      <c r="G14" s="5">
        <f t="shared" si="1"/>
        <v>2</v>
      </c>
      <c r="H14" s="9">
        <f t="shared" si="2"/>
        <v>2</v>
      </c>
    </row>
    <row r="15" spans="1:8" x14ac:dyDescent="0.25">
      <c r="A15" s="14" t="s">
        <v>130</v>
      </c>
      <c r="B15" s="6">
        <v>0</v>
      </c>
      <c r="C15" s="4">
        <v>0</v>
      </c>
      <c r="D15" s="5">
        <f t="shared" si="0"/>
        <v>0</v>
      </c>
      <c r="E15" s="6">
        <v>11</v>
      </c>
      <c r="F15" s="4">
        <v>3</v>
      </c>
      <c r="G15" s="5">
        <f t="shared" si="1"/>
        <v>14</v>
      </c>
      <c r="H15" s="9">
        <f t="shared" si="2"/>
        <v>14</v>
      </c>
    </row>
    <row r="16" spans="1:8" x14ac:dyDescent="0.25">
      <c r="A16" s="14" t="s">
        <v>106</v>
      </c>
      <c r="B16" s="6">
        <v>0</v>
      </c>
      <c r="C16" s="4">
        <v>0</v>
      </c>
      <c r="D16" s="5">
        <f t="shared" si="0"/>
        <v>0</v>
      </c>
      <c r="E16" s="6">
        <v>0</v>
      </c>
      <c r="F16" s="4">
        <v>0</v>
      </c>
      <c r="G16" s="5">
        <f t="shared" si="1"/>
        <v>0</v>
      </c>
      <c r="H16" s="9">
        <f t="shared" si="2"/>
        <v>0</v>
      </c>
    </row>
    <row r="17" spans="1:8" x14ac:dyDescent="0.25">
      <c r="A17" s="14" t="s">
        <v>135</v>
      </c>
      <c r="B17" s="6">
        <v>0</v>
      </c>
      <c r="C17" s="4">
        <v>0</v>
      </c>
      <c r="D17" s="5">
        <f t="shared" si="0"/>
        <v>0</v>
      </c>
      <c r="E17" s="6">
        <v>83</v>
      </c>
      <c r="F17" s="4">
        <v>17</v>
      </c>
      <c r="G17" s="5">
        <f t="shared" si="1"/>
        <v>100</v>
      </c>
      <c r="H17" s="9">
        <f t="shared" si="2"/>
        <v>100</v>
      </c>
    </row>
    <row r="18" spans="1:8" x14ac:dyDescent="0.25">
      <c r="A18" s="14" t="s">
        <v>101</v>
      </c>
      <c r="B18" s="6">
        <v>2</v>
      </c>
      <c r="C18" s="4">
        <v>0</v>
      </c>
      <c r="D18" s="5">
        <f t="shared" si="0"/>
        <v>2</v>
      </c>
      <c r="E18" s="6">
        <v>3</v>
      </c>
      <c r="F18" s="4">
        <v>4</v>
      </c>
      <c r="G18" s="5">
        <f t="shared" si="1"/>
        <v>7</v>
      </c>
      <c r="H18" s="9">
        <f t="shared" si="2"/>
        <v>9</v>
      </c>
    </row>
    <row r="19" spans="1:8" x14ac:dyDescent="0.25">
      <c r="A19" s="14" t="s">
        <v>12</v>
      </c>
      <c r="B19" s="6">
        <v>1</v>
      </c>
      <c r="C19" s="4">
        <v>0</v>
      </c>
      <c r="D19" s="5">
        <f t="shared" si="0"/>
        <v>1</v>
      </c>
      <c r="E19" s="6">
        <v>4</v>
      </c>
      <c r="F19" s="4">
        <v>0</v>
      </c>
      <c r="G19" s="5">
        <f t="shared" si="1"/>
        <v>4</v>
      </c>
      <c r="H19" s="9">
        <f t="shared" si="2"/>
        <v>5</v>
      </c>
    </row>
    <row r="20" spans="1:8" x14ac:dyDescent="0.25">
      <c r="A20" s="14" t="s">
        <v>13</v>
      </c>
      <c r="B20" s="6">
        <v>0</v>
      </c>
      <c r="C20" s="4">
        <v>0</v>
      </c>
      <c r="D20" s="5">
        <f t="shared" si="0"/>
        <v>0</v>
      </c>
      <c r="E20" s="6">
        <v>3</v>
      </c>
      <c r="F20" s="4">
        <v>3</v>
      </c>
      <c r="G20" s="5">
        <f t="shared" si="1"/>
        <v>6</v>
      </c>
      <c r="H20" s="9">
        <f t="shared" si="2"/>
        <v>6</v>
      </c>
    </row>
    <row r="21" spans="1:8" x14ac:dyDescent="0.25">
      <c r="A21" s="14" t="s">
        <v>14</v>
      </c>
      <c r="B21" s="6">
        <v>1</v>
      </c>
      <c r="C21" s="4">
        <v>0</v>
      </c>
      <c r="D21" s="5">
        <f t="shared" si="0"/>
        <v>1</v>
      </c>
      <c r="E21" s="6">
        <v>12</v>
      </c>
      <c r="F21" s="4">
        <v>5</v>
      </c>
      <c r="G21" s="5">
        <f t="shared" si="1"/>
        <v>17</v>
      </c>
      <c r="H21" s="9">
        <f t="shared" si="2"/>
        <v>18</v>
      </c>
    </row>
    <row r="22" spans="1:8" x14ac:dyDescent="0.25">
      <c r="A22" s="14" t="s">
        <v>15</v>
      </c>
      <c r="B22" s="6">
        <v>0</v>
      </c>
      <c r="C22" s="4">
        <v>0</v>
      </c>
      <c r="D22" s="5">
        <f t="shared" si="0"/>
        <v>0</v>
      </c>
      <c r="E22" s="6">
        <v>12</v>
      </c>
      <c r="F22" s="4">
        <v>3</v>
      </c>
      <c r="G22" s="5">
        <f t="shared" si="1"/>
        <v>15</v>
      </c>
      <c r="H22" s="9">
        <f t="shared" si="2"/>
        <v>15</v>
      </c>
    </row>
    <row r="23" spans="1:8" x14ac:dyDescent="0.25">
      <c r="A23" s="14" t="s">
        <v>16</v>
      </c>
      <c r="B23" s="6">
        <v>2</v>
      </c>
      <c r="C23" s="4">
        <v>0</v>
      </c>
      <c r="D23" s="5">
        <f t="shared" si="0"/>
        <v>2</v>
      </c>
      <c r="E23" s="6">
        <v>9</v>
      </c>
      <c r="F23" s="4">
        <v>0</v>
      </c>
      <c r="G23" s="5">
        <f t="shared" si="1"/>
        <v>9</v>
      </c>
      <c r="H23" s="9">
        <f t="shared" si="2"/>
        <v>11</v>
      </c>
    </row>
    <row r="24" spans="1:8" x14ac:dyDescent="0.25">
      <c r="A24" s="14" t="s">
        <v>126</v>
      </c>
      <c r="B24" s="6">
        <v>1</v>
      </c>
      <c r="C24" s="4">
        <v>0</v>
      </c>
      <c r="D24" s="5">
        <f t="shared" si="0"/>
        <v>1</v>
      </c>
      <c r="E24" s="6">
        <v>19</v>
      </c>
      <c r="F24" s="4">
        <v>2</v>
      </c>
      <c r="G24" s="5">
        <f t="shared" si="1"/>
        <v>21</v>
      </c>
      <c r="H24" s="9">
        <f t="shared" si="2"/>
        <v>22</v>
      </c>
    </row>
    <row r="25" spans="1:8" x14ac:dyDescent="0.25">
      <c r="A25" s="14" t="s">
        <v>17</v>
      </c>
      <c r="B25" s="6">
        <v>6</v>
      </c>
      <c r="C25" s="4">
        <v>5</v>
      </c>
      <c r="D25" s="5">
        <f t="shared" si="0"/>
        <v>11</v>
      </c>
      <c r="E25" s="6">
        <v>6</v>
      </c>
      <c r="F25" s="4">
        <v>2</v>
      </c>
      <c r="G25" s="5">
        <f t="shared" si="1"/>
        <v>8</v>
      </c>
      <c r="H25" s="9">
        <f t="shared" si="2"/>
        <v>19</v>
      </c>
    </row>
    <row r="26" spans="1:8" x14ac:dyDescent="0.25">
      <c r="A26" s="14" t="s">
        <v>18</v>
      </c>
      <c r="B26" s="6">
        <v>0</v>
      </c>
      <c r="C26" s="4">
        <v>0</v>
      </c>
      <c r="D26" s="5">
        <f t="shared" si="0"/>
        <v>0</v>
      </c>
      <c r="E26" s="6">
        <v>100</v>
      </c>
      <c r="F26" s="4">
        <v>91</v>
      </c>
      <c r="G26" s="5">
        <f t="shared" si="1"/>
        <v>191</v>
      </c>
      <c r="H26" s="9">
        <f t="shared" si="2"/>
        <v>191</v>
      </c>
    </row>
    <row r="27" spans="1:8" x14ac:dyDescent="0.25">
      <c r="A27" s="14" t="s">
        <v>19</v>
      </c>
      <c r="B27" s="6">
        <v>0</v>
      </c>
      <c r="C27" s="4">
        <v>0</v>
      </c>
      <c r="D27" s="5">
        <f t="shared" si="0"/>
        <v>0</v>
      </c>
      <c r="E27" s="6">
        <v>11</v>
      </c>
      <c r="F27" s="4">
        <v>0</v>
      </c>
      <c r="G27" s="5">
        <f t="shared" si="1"/>
        <v>11</v>
      </c>
      <c r="H27" s="9">
        <f t="shared" si="2"/>
        <v>11</v>
      </c>
    </row>
    <row r="28" spans="1:8" x14ac:dyDescent="0.25">
      <c r="A28" s="14" t="s">
        <v>131</v>
      </c>
      <c r="B28" s="6">
        <v>1</v>
      </c>
      <c r="C28" s="4">
        <v>0</v>
      </c>
      <c r="D28" s="5">
        <f t="shared" si="0"/>
        <v>1</v>
      </c>
      <c r="E28" s="6">
        <v>0</v>
      </c>
      <c r="F28" s="4">
        <v>0</v>
      </c>
      <c r="G28" s="5">
        <f t="shared" si="1"/>
        <v>0</v>
      </c>
      <c r="H28" s="9">
        <f t="shared" si="2"/>
        <v>1</v>
      </c>
    </row>
    <row r="29" spans="1:8" x14ac:dyDescent="0.25">
      <c r="A29" s="14" t="s">
        <v>20</v>
      </c>
      <c r="B29" s="6">
        <v>0</v>
      </c>
      <c r="C29" s="4">
        <v>0</v>
      </c>
      <c r="D29" s="5">
        <f t="shared" si="0"/>
        <v>0</v>
      </c>
      <c r="E29" s="6">
        <v>3</v>
      </c>
      <c r="F29" s="4">
        <v>0</v>
      </c>
      <c r="G29" s="5">
        <f t="shared" si="1"/>
        <v>3</v>
      </c>
      <c r="H29" s="9">
        <f t="shared" si="2"/>
        <v>3</v>
      </c>
    </row>
    <row r="30" spans="1:8" x14ac:dyDescent="0.25">
      <c r="A30" s="14" t="s">
        <v>21</v>
      </c>
      <c r="B30" s="6">
        <v>0</v>
      </c>
      <c r="C30" s="4">
        <v>0</v>
      </c>
      <c r="D30" s="5">
        <f t="shared" si="0"/>
        <v>0</v>
      </c>
      <c r="E30" s="6">
        <v>5</v>
      </c>
      <c r="F30" s="4">
        <v>0</v>
      </c>
      <c r="G30" s="5">
        <f t="shared" si="1"/>
        <v>5</v>
      </c>
      <c r="H30" s="9">
        <f t="shared" si="2"/>
        <v>5</v>
      </c>
    </row>
    <row r="31" spans="1:8" x14ac:dyDescent="0.25">
      <c r="A31" s="14" t="s">
        <v>102</v>
      </c>
      <c r="B31" s="6">
        <v>0</v>
      </c>
      <c r="C31" s="4">
        <v>0</v>
      </c>
      <c r="D31" s="5">
        <f t="shared" si="0"/>
        <v>0</v>
      </c>
      <c r="E31" s="6">
        <v>0</v>
      </c>
      <c r="F31" s="4">
        <v>0</v>
      </c>
      <c r="G31" s="5">
        <f t="shared" si="1"/>
        <v>0</v>
      </c>
      <c r="H31" s="9">
        <f t="shared" si="2"/>
        <v>0</v>
      </c>
    </row>
    <row r="32" spans="1:8" x14ac:dyDescent="0.25">
      <c r="A32" s="14" t="s">
        <v>22</v>
      </c>
      <c r="B32" s="6">
        <v>2</v>
      </c>
      <c r="C32" s="4">
        <v>0</v>
      </c>
      <c r="D32" s="5">
        <f t="shared" si="0"/>
        <v>2</v>
      </c>
      <c r="E32" s="6">
        <v>15</v>
      </c>
      <c r="F32" s="4">
        <v>6</v>
      </c>
      <c r="G32" s="5">
        <f t="shared" si="1"/>
        <v>21</v>
      </c>
      <c r="H32" s="9">
        <f t="shared" si="2"/>
        <v>23</v>
      </c>
    </row>
    <row r="33" spans="1:8" x14ac:dyDescent="0.25">
      <c r="A33" s="14" t="s">
        <v>94</v>
      </c>
      <c r="B33" s="6">
        <v>0</v>
      </c>
      <c r="C33" s="4">
        <v>0</v>
      </c>
      <c r="D33" s="5">
        <f t="shared" si="0"/>
        <v>0</v>
      </c>
      <c r="E33" s="6">
        <v>12</v>
      </c>
      <c r="F33" s="4">
        <v>1</v>
      </c>
      <c r="G33" s="5">
        <f t="shared" si="1"/>
        <v>13</v>
      </c>
      <c r="H33" s="9">
        <f t="shared" si="2"/>
        <v>13</v>
      </c>
    </row>
    <row r="34" spans="1:8" x14ac:dyDescent="0.25">
      <c r="A34" s="14" t="s">
        <v>24</v>
      </c>
      <c r="B34" s="6">
        <v>0</v>
      </c>
      <c r="C34" s="4">
        <v>0</v>
      </c>
      <c r="D34" s="5">
        <f t="shared" si="0"/>
        <v>0</v>
      </c>
      <c r="E34" s="6">
        <v>2</v>
      </c>
      <c r="F34" s="4">
        <v>0</v>
      </c>
      <c r="G34" s="5">
        <f t="shared" si="1"/>
        <v>2</v>
      </c>
      <c r="H34" s="9">
        <f t="shared" si="2"/>
        <v>2</v>
      </c>
    </row>
    <row r="35" spans="1:8" x14ac:dyDescent="0.25">
      <c r="A35" s="14" t="s">
        <v>71</v>
      </c>
      <c r="B35" s="6">
        <v>4</v>
      </c>
      <c r="C35" s="4">
        <v>0</v>
      </c>
      <c r="D35" s="5">
        <f t="shared" si="0"/>
        <v>4</v>
      </c>
      <c r="E35" s="6">
        <v>14</v>
      </c>
      <c r="F35" s="4">
        <v>0</v>
      </c>
      <c r="G35" s="5">
        <f t="shared" si="1"/>
        <v>14</v>
      </c>
      <c r="H35" s="9">
        <f t="shared" si="2"/>
        <v>18</v>
      </c>
    </row>
    <row r="36" spans="1:8" x14ac:dyDescent="0.25">
      <c r="A36" s="14" t="s">
        <v>72</v>
      </c>
      <c r="B36" s="6">
        <v>8</v>
      </c>
      <c r="C36" s="4">
        <v>0</v>
      </c>
      <c r="D36" s="5">
        <f t="shared" si="0"/>
        <v>8</v>
      </c>
      <c r="E36" s="6">
        <v>18</v>
      </c>
      <c r="F36" s="4">
        <v>0</v>
      </c>
      <c r="G36" s="5">
        <f t="shared" si="1"/>
        <v>18</v>
      </c>
      <c r="H36" s="9">
        <f t="shared" si="2"/>
        <v>26</v>
      </c>
    </row>
    <row r="37" spans="1:8" x14ac:dyDescent="0.25">
      <c r="A37" s="14" t="s">
        <v>26</v>
      </c>
      <c r="B37" s="6">
        <v>2</v>
      </c>
      <c r="C37" s="4">
        <v>0</v>
      </c>
      <c r="D37" s="5">
        <f t="shared" si="0"/>
        <v>2</v>
      </c>
      <c r="E37" s="6">
        <v>21</v>
      </c>
      <c r="F37" s="4">
        <v>1</v>
      </c>
      <c r="G37" s="5">
        <f t="shared" si="1"/>
        <v>22</v>
      </c>
      <c r="H37" s="9">
        <f t="shared" si="2"/>
        <v>24</v>
      </c>
    </row>
    <row r="38" spans="1:8" x14ac:dyDescent="0.25">
      <c r="A38" s="14" t="s">
        <v>73</v>
      </c>
      <c r="B38" s="6">
        <v>2</v>
      </c>
      <c r="C38" s="4">
        <v>0</v>
      </c>
      <c r="D38" s="5">
        <f t="shared" si="0"/>
        <v>2</v>
      </c>
      <c r="E38" s="6">
        <v>12</v>
      </c>
      <c r="F38" s="4">
        <v>2</v>
      </c>
      <c r="G38" s="5">
        <f t="shared" si="1"/>
        <v>14</v>
      </c>
      <c r="H38" s="9">
        <f t="shared" si="2"/>
        <v>16</v>
      </c>
    </row>
    <row r="39" spans="1:8" x14ac:dyDescent="0.25">
      <c r="A39" s="14" t="s">
        <v>27</v>
      </c>
      <c r="B39" s="6">
        <v>7</v>
      </c>
      <c r="C39" s="4">
        <v>1</v>
      </c>
      <c r="D39" s="5">
        <f t="shared" si="0"/>
        <v>8</v>
      </c>
      <c r="E39" s="6">
        <v>9</v>
      </c>
      <c r="F39" s="4">
        <v>0</v>
      </c>
      <c r="G39" s="5">
        <f t="shared" si="1"/>
        <v>9</v>
      </c>
      <c r="H39" s="9">
        <f t="shared" si="2"/>
        <v>17</v>
      </c>
    </row>
    <row r="40" spans="1:8" x14ac:dyDescent="0.25">
      <c r="A40" s="14" t="s">
        <v>132</v>
      </c>
      <c r="B40" s="6">
        <v>0</v>
      </c>
      <c r="C40" s="4">
        <v>0</v>
      </c>
      <c r="D40" s="5">
        <f t="shared" si="0"/>
        <v>0</v>
      </c>
      <c r="E40" s="6">
        <v>0</v>
      </c>
      <c r="F40" s="4">
        <v>0</v>
      </c>
      <c r="G40" s="5">
        <f t="shared" si="1"/>
        <v>0</v>
      </c>
      <c r="H40" s="9">
        <f t="shared" si="2"/>
        <v>0</v>
      </c>
    </row>
    <row r="41" spans="1:8" x14ac:dyDescent="0.25">
      <c r="A41" s="14" t="s">
        <v>28</v>
      </c>
      <c r="B41" s="6">
        <v>6</v>
      </c>
      <c r="C41" s="4">
        <v>1</v>
      </c>
      <c r="D41" s="5">
        <f t="shared" si="0"/>
        <v>7</v>
      </c>
      <c r="E41" s="6">
        <v>13</v>
      </c>
      <c r="F41" s="4">
        <v>0</v>
      </c>
      <c r="G41" s="5">
        <f t="shared" si="1"/>
        <v>13</v>
      </c>
      <c r="H41" s="9">
        <f t="shared" si="2"/>
        <v>20</v>
      </c>
    </row>
    <row r="42" spans="1:8" x14ac:dyDescent="0.25">
      <c r="A42" s="14" t="s">
        <v>133</v>
      </c>
      <c r="B42" s="6">
        <v>0</v>
      </c>
      <c r="C42" s="4">
        <v>0</v>
      </c>
      <c r="D42" s="5">
        <f t="shared" si="0"/>
        <v>0</v>
      </c>
      <c r="E42" s="6">
        <v>0</v>
      </c>
      <c r="F42" s="4">
        <v>0</v>
      </c>
      <c r="G42" s="5">
        <f t="shared" si="1"/>
        <v>0</v>
      </c>
      <c r="H42" s="9">
        <f t="shared" si="2"/>
        <v>0</v>
      </c>
    </row>
    <row r="43" spans="1:8" x14ac:dyDescent="0.25">
      <c r="A43" s="14" t="s">
        <v>1</v>
      </c>
      <c r="B43" s="6">
        <v>0</v>
      </c>
      <c r="C43" s="4">
        <v>0</v>
      </c>
      <c r="D43" s="5">
        <f t="shared" si="0"/>
        <v>0</v>
      </c>
      <c r="E43" s="6">
        <v>43</v>
      </c>
      <c r="F43" s="4">
        <v>1</v>
      </c>
      <c r="G43" s="5">
        <f t="shared" si="1"/>
        <v>44</v>
      </c>
      <c r="H43" s="9">
        <f t="shared" si="2"/>
        <v>44</v>
      </c>
    </row>
    <row r="44" spans="1:8" x14ac:dyDescent="0.25">
      <c r="A44" s="14" t="s">
        <v>29</v>
      </c>
      <c r="B44" s="6">
        <v>1</v>
      </c>
      <c r="C44" s="4">
        <v>0</v>
      </c>
      <c r="D44" s="5">
        <f t="shared" si="0"/>
        <v>1</v>
      </c>
      <c r="E44" s="6">
        <v>73</v>
      </c>
      <c r="F44" s="4">
        <v>6</v>
      </c>
      <c r="G44" s="5">
        <f t="shared" si="1"/>
        <v>79</v>
      </c>
      <c r="H44" s="9">
        <f t="shared" si="2"/>
        <v>80</v>
      </c>
    </row>
    <row r="45" spans="1:8" x14ac:dyDescent="0.25">
      <c r="A45" s="14" t="s">
        <v>139</v>
      </c>
      <c r="B45" s="6">
        <v>0</v>
      </c>
      <c r="C45" s="4">
        <v>0</v>
      </c>
      <c r="D45" s="5">
        <f t="shared" si="0"/>
        <v>0</v>
      </c>
      <c r="E45" s="6">
        <v>9</v>
      </c>
      <c r="F45" s="4">
        <v>0</v>
      </c>
      <c r="G45" s="5">
        <f t="shared" si="1"/>
        <v>9</v>
      </c>
      <c r="H45" s="9">
        <f t="shared" si="2"/>
        <v>9</v>
      </c>
    </row>
    <row r="46" spans="1:8" x14ac:dyDescent="0.25">
      <c r="A46" s="14" t="s">
        <v>30</v>
      </c>
      <c r="B46" s="6">
        <v>5</v>
      </c>
      <c r="C46" s="4">
        <v>6</v>
      </c>
      <c r="D46" s="5">
        <f t="shared" si="0"/>
        <v>11</v>
      </c>
      <c r="E46" s="6">
        <v>0</v>
      </c>
      <c r="F46" s="4">
        <v>0</v>
      </c>
      <c r="G46" s="5">
        <f t="shared" si="1"/>
        <v>0</v>
      </c>
      <c r="H46" s="9">
        <f t="shared" si="2"/>
        <v>11</v>
      </c>
    </row>
    <row r="47" spans="1:8" x14ac:dyDescent="0.25">
      <c r="A47" s="14" t="s">
        <v>31</v>
      </c>
      <c r="B47" s="6">
        <v>5</v>
      </c>
      <c r="C47" s="4">
        <v>6</v>
      </c>
      <c r="D47" s="5">
        <f t="shared" si="0"/>
        <v>11</v>
      </c>
      <c r="E47" s="6">
        <v>48</v>
      </c>
      <c r="F47" s="4">
        <v>3</v>
      </c>
      <c r="G47" s="5">
        <f t="shared" si="1"/>
        <v>51</v>
      </c>
      <c r="H47" s="9">
        <f t="shared" si="2"/>
        <v>62</v>
      </c>
    </row>
    <row r="48" spans="1:8" x14ac:dyDescent="0.25">
      <c r="A48" s="14" t="s">
        <v>32</v>
      </c>
      <c r="B48" s="6">
        <v>0</v>
      </c>
      <c r="C48" s="4">
        <v>1</v>
      </c>
      <c r="D48" s="5">
        <f t="shared" si="0"/>
        <v>1</v>
      </c>
      <c r="E48" s="6">
        <v>36</v>
      </c>
      <c r="F48" s="4">
        <v>5</v>
      </c>
      <c r="G48" s="5">
        <f t="shared" si="1"/>
        <v>41</v>
      </c>
      <c r="H48" s="9">
        <f t="shared" si="2"/>
        <v>42</v>
      </c>
    </row>
    <row r="49" spans="1:8" x14ac:dyDescent="0.25">
      <c r="A49" s="14" t="s">
        <v>140</v>
      </c>
      <c r="B49" s="6">
        <v>0</v>
      </c>
      <c r="C49" s="4">
        <v>0</v>
      </c>
      <c r="D49" s="5">
        <f t="shared" si="0"/>
        <v>0</v>
      </c>
      <c r="E49" s="6">
        <v>0</v>
      </c>
      <c r="F49" s="4">
        <v>0</v>
      </c>
      <c r="G49" s="5">
        <f t="shared" si="1"/>
        <v>0</v>
      </c>
      <c r="H49" s="9">
        <f t="shared" si="2"/>
        <v>0</v>
      </c>
    </row>
    <row r="50" spans="1:8" x14ac:dyDescent="0.25">
      <c r="A50" s="14" t="s">
        <v>34</v>
      </c>
      <c r="B50" s="6">
        <v>3</v>
      </c>
      <c r="C50" s="4">
        <v>0</v>
      </c>
      <c r="D50" s="5">
        <f t="shared" si="0"/>
        <v>3</v>
      </c>
      <c r="E50" s="6">
        <v>2</v>
      </c>
      <c r="F50" s="4">
        <v>0</v>
      </c>
      <c r="G50" s="5">
        <f t="shared" si="1"/>
        <v>2</v>
      </c>
      <c r="H50" s="9">
        <f t="shared" si="2"/>
        <v>5</v>
      </c>
    </row>
    <row r="51" spans="1:8" x14ac:dyDescent="0.25">
      <c r="A51" s="14" t="s">
        <v>35</v>
      </c>
      <c r="B51" s="6">
        <v>0</v>
      </c>
      <c r="C51" s="4">
        <v>0</v>
      </c>
      <c r="D51" s="5">
        <f t="shared" si="0"/>
        <v>0</v>
      </c>
      <c r="E51" s="6">
        <v>8</v>
      </c>
      <c r="F51" s="4">
        <v>0</v>
      </c>
      <c r="G51" s="5">
        <f t="shared" si="1"/>
        <v>8</v>
      </c>
      <c r="H51" s="9">
        <f t="shared" si="2"/>
        <v>8</v>
      </c>
    </row>
    <row r="52" spans="1:8" x14ac:dyDescent="0.25">
      <c r="A52" s="14" t="s">
        <v>36</v>
      </c>
      <c r="B52" s="6">
        <v>0</v>
      </c>
      <c r="C52" s="4">
        <v>0</v>
      </c>
      <c r="D52" s="5">
        <f t="shared" si="0"/>
        <v>0</v>
      </c>
      <c r="E52" s="6">
        <v>18</v>
      </c>
      <c r="F52" s="4">
        <v>1</v>
      </c>
      <c r="G52" s="5">
        <f t="shared" si="1"/>
        <v>19</v>
      </c>
      <c r="H52" s="9">
        <f t="shared" si="2"/>
        <v>19</v>
      </c>
    </row>
    <row r="53" spans="1:8" x14ac:dyDescent="0.25">
      <c r="A53" s="14" t="s">
        <v>38</v>
      </c>
      <c r="B53" s="6">
        <v>70</v>
      </c>
      <c r="C53" s="4">
        <v>0</v>
      </c>
      <c r="D53" s="5">
        <f t="shared" si="0"/>
        <v>70</v>
      </c>
      <c r="E53" s="6">
        <v>4</v>
      </c>
      <c r="F53" s="4">
        <v>1</v>
      </c>
      <c r="G53" s="5">
        <f t="shared" si="1"/>
        <v>5</v>
      </c>
      <c r="H53" s="9">
        <f t="shared" si="2"/>
        <v>75</v>
      </c>
    </row>
    <row r="54" spans="1:8" x14ac:dyDescent="0.25">
      <c r="A54" s="14" t="s">
        <v>39</v>
      </c>
      <c r="B54" s="6">
        <v>2</v>
      </c>
      <c r="C54" s="4">
        <v>2</v>
      </c>
      <c r="D54" s="5">
        <f t="shared" si="0"/>
        <v>4</v>
      </c>
      <c r="E54" s="6">
        <v>80</v>
      </c>
      <c r="F54" s="4">
        <v>4</v>
      </c>
      <c r="G54" s="5">
        <f t="shared" si="1"/>
        <v>84</v>
      </c>
      <c r="H54" s="9">
        <f t="shared" si="2"/>
        <v>88</v>
      </c>
    </row>
    <row r="55" spans="1:8" x14ac:dyDescent="0.25">
      <c r="A55" s="14" t="s">
        <v>141</v>
      </c>
      <c r="B55" s="6">
        <v>0</v>
      </c>
      <c r="C55" s="4">
        <v>0</v>
      </c>
      <c r="D55" s="5">
        <f t="shared" si="0"/>
        <v>0</v>
      </c>
      <c r="E55" s="6">
        <v>50</v>
      </c>
      <c r="F55" s="4">
        <v>1</v>
      </c>
      <c r="G55" s="5">
        <f t="shared" si="1"/>
        <v>51</v>
      </c>
      <c r="H55" s="9">
        <f t="shared" si="2"/>
        <v>51</v>
      </c>
    </row>
    <row r="56" spans="1:8" x14ac:dyDescent="0.25">
      <c r="A56" s="14" t="s">
        <v>40</v>
      </c>
      <c r="B56" s="6">
        <v>2</v>
      </c>
      <c r="C56" s="4">
        <v>1</v>
      </c>
      <c r="D56" s="5">
        <f t="shared" si="0"/>
        <v>3</v>
      </c>
      <c r="E56" s="6">
        <v>126</v>
      </c>
      <c r="F56" s="4">
        <v>4</v>
      </c>
      <c r="G56" s="5">
        <f t="shared" si="1"/>
        <v>130</v>
      </c>
      <c r="H56" s="9">
        <f t="shared" si="2"/>
        <v>133</v>
      </c>
    </row>
    <row r="57" spans="1:8" x14ac:dyDescent="0.25">
      <c r="A57" s="14" t="s">
        <v>41</v>
      </c>
      <c r="B57" s="6">
        <v>2</v>
      </c>
      <c r="C57" s="4">
        <v>0</v>
      </c>
      <c r="D57" s="5">
        <f t="shared" si="0"/>
        <v>2</v>
      </c>
      <c r="E57" s="6">
        <v>7</v>
      </c>
      <c r="F57" s="4">
        <v>0</v>
      </c>
      <c r="G57" s="5">
        <f t="shared" si="1"/>
        <v>7</v>
      </c>
      <c r="H57" s="9">
        <f t="shared" si="2"/>
        <v>9</v>
      </c>
    </row>
    <row r="58" spans="1:8" x14ac:dyDescent="0.25">
      <c r="A58" s="14" t="s">
        <v>121</v>
      </c>
      <c r="B58" s="6">
        <v>5</v>
      </c>
      <c r="C58" s="4">
        <v>1</v>
      </c>
      <c r="D58" s="5">
        <f t="shared" si="0"/>
        <v>6</v>
      </c>
      <c r="E58" s="6">
        <v>40</v>
      </c>
      <c r="F58" s="4">
        <v>0</v>
      </c>
      <c r="G58" s="5">
        <f t="shared" si="1"/>
        <v>40</v>
      </c>
      <c r="H58" s="9">
        <f t="shared" si="2"/>
        <v>46</v>
      </c>
    </row>
    <row r="59" spans="1:8" x14ac:dyDescent="0.25">
      <c r="A59" s="14" t="s">
        <v>42</v>
      </c>
      <c r="B59" s="6">
        <v>1</v>
      </c>
      <c r="C59" s="4">
        <v>0</v>
      </c>
      <c r="D59" s="5">
        <f t="shared" si="0"/>
        <v>1</v>
      </c>
      <c r="E59" s="6">
        <v>5</v>
      </c>
      <c r="F59" s="4">
        <v>0</v>
      </c>
      <c r="G59" s="5">
        <f t="shared" si="1"/>
        <v>5</v>
      </c>
      <c r="H59" s="9">
        <f t="shared" si="2"/>
        <v>6</v>
      </c>
    </row>
    <row r="60" spans="1:8" x14ac:dyDescent="0.25">
      <c r="A60" s="14" t="s">
        <v>43</v>
      </c>
      <c r="B60" s="6">
        <v>0</v>
      </c>
      <c r="C60" s="4">
        <v>0</v>
      </c>
      <c r="D60" s="5">
        <f t="shared" si="0"/>
        <v>0</v>
      </c>
      <c r="E60" s="6">
        <v>2</v>
      </c>
      <c r="F60" s="4">
        <v>0</v>
      </c>
      <c r="G60" s="5">
        <f t="shared" si="1"/>
        <v>2</v>
      </c>
      <c r="H60" s="9">
        <f t="shared" si="2"/>
        <v>2</v>
      </c>
    </row>
    <row r="61" spans="1:8" x14ac:dyDescent="0.25">
      <c r="A61" s="14" t="s">
        <v>44</v>
      </c>
      <c r="B61" s="6">
        <v>0</v>
      </c>
      <c r="C61" s="4">
        <v>0</v>
      </c>
      <c r="D61" s="5">
        <f t="shared" si="0"/>
        <v>0</v>
      </c>
      <c r="E61" s="6">
        <v>7</v>
      </c>
      <c r="F61" s="4">
        <v>0</v>
      </c>
      <c r="G61" s="5">
        <f t="shared" si="1"/>
        <v>7</v>
      </c>
      <c r="H61" s="9">
        <f t="shared" si="2"/>
        <v>7</v>
      </c>
    </row>
    <row r="62" spans="1:8" x14ac:dyDescent="0.25">
      <c r="A62" s="14" t="s">
        <v>45</v>
      </c>
      <c r="B62" s="6">
        <v>3</v>
      </c>
      <c r="C62" s="4">
        <v>2</v>
      </c>
      <c r="D62" s="5">
        <f t="shared" si="0"/>
        <v>5</v>
      </c>
      <c r="E62" s="6">
        <v>5</v>
      </c>
      <c r="F62" s="4">
        <v>0</v>
      </c>
      <c r="G62" s="5">
        <f t="shared" si="1"/>
        <v>5</v>
      </c>
      <c r="H62" s="9">
        <f t="shared" si="2"/>
        <v>10</v>
      </c>
    </row>
    <row r="63" spans="1:8" x14ac:dyDescent="0.25">
      <c r="A63" s="14" t="s">
        <v>48</v>
      </c>
      <c r="B63" s="6">
        <v>0</v>
      </c>
      <c r="C63" s="4">
        <v>0</v>
      </c>
      <c r="D63" s="5">
        <f t="shared" si="0"/>
        <v>0</v>
      </c>
      <c r="E63" s="6">
        <v>0</v>
      </c>
      <c r="F63" s="4">
        <v>0</v>
      </c>
      <c r="G63" s="5">
        <f t="shared" si="1"/>
        <v>0</v>
      </c>
      <c r="H63" s="9">
        <f t="shared" si="2"/>
        <v>0</v>
      </c>
    </row>
    <row r="64" spans="1:8" x14ac:dyDescent="0.25">
      <c r="A64" s="14" t="s">
        <v>49</v>
      </c>
      <c r="B64" s="6">
        <v>0</v>
      </c>
      <c r="C64" s="4">
        <v>1</v>
      </c>
      <c r="D64" s="5">
        <f t="shared" si="0"/>
        <v>1</v>
      </c>
      <c r="E64" s="6">
        <v>25</v>
      </c>
      <c r="F64" s="4">
        <v>3</v>
      </c>
      <c r="G64" s="5">
        <f t="shared" si="1"/>
        <v>28</v>
      </c>
      <c r="H64" s="9">
        <f t="shared" si="2"/>
        <v>29</v>
      </c>
    </row>
    <row r="65" spans="1:8" x14ac:dyDescent="0.25">
      <c r="A65" s="14" t="s">
        <v>122</v>
      </c>
      <c r="B65" s="6">
        <v>0</v>
      </c>
      <c r="C65" s="4">
        <v>0</v>
      </c>
      <c r="D65" s="5">
        <f t="shared" si="0"/>
        <v>0</v>
      </c>
      <c r="E65" s="6">
        <v>4</v>
      </c>
      <c r="F65" s="4">
        <v>2</v>
      </c>
      <c r="G65" s="5">
        <f t="shared" si="1"/>
        <v>6</v>
      </c>
      <c r="H65" s="9">
        <f t="shared" si="2"/>
        <v>6</v>
      </c>
    </row>
    <row r="66" spans="1:8" x14ac:dyDescent="0.25">
      <c r="A66" s="14" t="s">
        <v>92</v>
      </c>
      <c r="B66" s="6">
        <v>0</v>
      </c>
      <c r="C66" s="4">
        <v>0</v>
      </c>
      <c r="D66" s="5">
        <f t="shared" si="0"/>
        <v>0</v>
      </c>
      <c r="E66" s="6">
        <v>112</v>
      </c>
      <c r="F66" s="4">
        <v>12</v>
      </c>
      <c r="G66" s="5">
        <f t="shared" si="1"/>
        <v>124</v>
      </c>
      <c r="H66" s="9">
        <f t="shared" si="2"/>
        <v>124</v>
      </c>
    </row>
    <row r="67" spans="1:8" x14ac:dyDescent="0.25">
      <c r="A67" s="14" t="s">
        <v>96</v>
      </c>
      <c r="B67" s="6">
        <v>0</v>
      </c>
      <c r="C67" s="4">
        <v>0</v>
      </c>
      <c r="D67" s="5">
        <f t="shared" si="0"/>
        <v>0</v>
      </c>
      <c r="E67" s="6">
        <v>70</v>
      </c>
      <c r="F67" s="4">
        <v>8</v>
      </c>
      <c r="G67" s="5">
        <f t="shared" si="1"/>
        <v>78</v>
      </c>
      <c r="H67" s="9">
        <f t="shared" si="2"/>
        <v>78</v>
      </c>
    </row>
    <row r="68" spans="1:8" x14ac:dyDescent="0.25">
      <c r="A68" s="14" t="s">
        <v>112</v>
      </c>
      <c r="B68" s="6">
        <v>0</v>
      </c>
      <c r="C68" s="4">
        <v>0</v>
      </c>
      <c r="D68" s="5">
        <f t="shared" si="0"/>
        <v>0</v>
      </c>
      <c r="E68" s="6">
        <v>2</v>
      </c>
      <c r="F68" s="4">
        <v>0</v>
      </c>
      <c r="G68" s="5">
        <f t="shared" si="1"/>
        <v>2</v>
      </c>
      <c r="H68" s="9">
        <f t="shared" si="2"/>
        <v>2</v>
      </c>
    </row>
    <row r="69" spans="1:8" x14ac:dyDescent="0.25">
      <c r="A69" s="14" t="s">
        <v>142</v>
      </c>
      <c r="B69" s="6">
        <v>1</v>
      </c>
      <c r="C69" s="4">
        <v>0</v>
      </c>
      <c r="D69" s="5">
        <f t="shared" si="0"/>
        <v>1</v>
      </c>
      <c r="E69" s="6">
        <v>42</v>
      </c>
      <c r="F69" s="4">
        <v>2</v>
      </c>
      <c r="G69" s="5">
        <f t="shared" si="1"/>
        <v>44</v>
      </c>
      <c r="H69" s="9">
        <f t="shared" si="2"/>
        <v>45</v>
      </c>
    </row>
    <row r="70" spans="1:8" x14ac:dyDescent="0.25">
      <c r="A70" s="14" t="s">
        <v>107</v>
      </c>
      <c r="B70" s="6">
        <v>0</v>
      </c>
      <c r="C70" s="4">
        <v>0</v>
      </c>
      <c r="D70" s="5">
        <f t="shared" si="0"/>
        <v>0</v>
      </c>
      <c r="E70" s="6">
        <v>210</v>
      </c>
      <c r="F70" s="4">
        <v>15</v>
      </c>
      <c r="G70" s="5">
        <f t="shared" si="1"/>
        <v>225</v>
      </c>
      <c r="H70" s="9">
        <f t="shared" si="2"/>
        <v>225</v>
      </c>
    </row>
    <row r="71" spans="1:8" x14ac:dyDescent="0.25">
      <c r="A71" s="14" t="s">
        <v>51</v>
      </c>
      <c r="B71" s="6">
        <v>0</v>
      </c>
      <c r="C71" s="4">
        <v>0</v>
      </c>
      <c r="D71" s="5">
        <f t="shared" ref="D71:D76" si="3">SUM(B71:C71)</f>
        <v>0</v>
      </c>
      <c r="E71" s="6">
        <v>12</v>
      </c>
      <c r="F71" s="4">
        <v>2</v>
      </c>
      <c r="G71" s="5">
        <f t="shared" ref="G71:G76" si="4">SUM(E71:F71)</f>
        <v>14</v>
      </c>
      <c r="H71" s="9">
        <f t="shared" ref="H71:H76" si="5">D71+G71</f>
        <v>14</v>
      </c>
    </row>
    <row r="72" spans="1:8" x14ac:dyDescent="0.25">
      <c r="A72" s="14" t="s">
        <v>136</v>
      </c>
      <c r="B72" s="6">
        <v>0</v>
      </c>
      <c r="C72" s="4">
        <v>0</v>
      </c>
      <c r="D72" s="5">
        <f t="shared" si="3"/>
        <v>0</v>
      </c>
      <c r="E72" s="6">
        <v>0</v>
      </c>
      <c r="F72" s="4">
        <v>0</v>
      </c>
      <c r="G72" s="5">
        <f t="shared" si="4"/>
        <v>0</v>
      </c>
      <c r="H72" s="9">
        <f t="shared" si="5"/>
        <v>0</v>
      </c>
    </row>
    <row r="73" spans="1:8" x14ac:dyDescent="0.25">
      <c r="A73" s="14" t="s">
        <v>52</v>
      </c>
      <c r="B73" s="6">
        <v>0</v>
      </c>
      <c r="C73" s="4">
        <v>0</v>
      </c>
      <c r="D73" s="5">
        <f t="shared" si="3"/>
        <v>0</v>
      </c>
      <c r="E73" s="6">
        <v>9</v>
      </c>
      <c r="F73" s="4">
        <v>1</v>
      </c>
      <c r="G73" s="5">
        <f t="shared" si="4"/>
        <v>10</v>
      </c>
      <c r="H73" s="9">
        <f t="shared" si="5"/>
        <v>10</v>
      </c>
    </row>
    <row r="74" spans="1:8" x14ac:dyDescent="0.25">
      <c r="A74" s="14" t="s">
        <v>113</v>
      </c>
      <c r="B74" s="6">
        <v>0</v>
      </c>
      <c r="C74" s="4">
        <v>0</v>
      </c>
      <c r="D74" s="5">
        <f t="shared" si="3"/>
        <v>0</v>
      </c>
      <c r="E74" s="6">
        <v>23</v>
      </c>
      <c r="F74" s="4">
        <v>0</v>
      </c>
      <c r="G74" s="5">
        <f t="shared" si="4"/>
        <v>23</v>
      </c>
      <c r="H74" s="9">
        <f t="shared" si="5"/>
        <v>23</v>
      </c>
    </row>
    <row r="75" spans="1:8" x14ac:dyDescent="0.25">
      <c r="A75" s="14" t="s">
        <v>134</v>
      </c>
      <c r="B75" s="6">
        <v>0</v>
      </c>
      <c r="C75" s="4">
        <v>0</v>
      </c>
      <c r="D75" s="5">
        <f t="shared" si="3"/>
        <v>0</v>
      </c>
      <c r="E75" s="6">
        <v>35</v>
      </c>
      <c r="F75" s="4">
        <v>2</v>
      </c>
      <c r="G75" s="5">
        <f t="shared" si="4"/>
        <v>37</v>
      </c>
      <c r="H75" s="9">
        <f t="shared" si="5"/>
        <v>37</v>
      </c>
    </row>
    <row r="76" spans="1:8" x14ac:dyDescent="0.25">
      <c r="A76" s="14" t="s">
        <v>56</v>
      </c>
      <c r="B76" s="6">
        <v>0</v>
      </c>
      <c r="C76" s="4">
        <v>0</v>
      </c>
      <c r="D76" s="5">
        <f t="shared" si="3"/>
        <v>0</v>
      </c>
      <c r="E76" s="6">
        <v>57</v>
      </c>
      <c r="F76" s="4">
        <v>3</v>
      </c>
      <c r="G76" s="5">
        <f t="shared" si="4"/>
        <v>60</v>
      </c>
      <c r="H76" s="9">
        <f t="shared" si="5"/>
        <v>60</v>
      </c>
    </row>
    <row r="77" spans="1:8" x14ac:dyDescent="0.25">
      <c r="A77" s="14" t="s">
        <v>137</v>
      </c>
      <c r="B77" s="6">
        <v>0</v>
      </c>
      <c r="C77" s="4">
        <v>0</v>
      </c>
      <c r="D77" s="5">
        <f t="shared" si="0"/>
        <v>0</v>
      </c>
      <c r="E77" s="6">
        <v>43</v>
      </c>
      <c r="F77" s="4">
        <v>6</v>
      </c>
      <c r="G77" s="5">
        <f t="shared" si="1"/>
        <v>49</v>
      </c>
      <c r="H77" s="9">
        <f t="shared" si="2"/>
        <v>49</v>
      </c>
    </row>
    <row r="78" spans="1:8" x14ac:dyDescent="0.25">
      <c r="A78" s="14" t="s">
        <v>115</v>
      </c>
      <c r="B78" s="6">
        <v>0</v>
      </c>
      <c r="C78" s="4">
        <v>0</v>
      </c>
      <c r="D78" s="5">
        <f t="shared" si="0"/>
        <v>0</v>
      </c>
      <c r="E78" s="6">
        <v>1</v>
      </c>
      <c r="F78" s="4">
        <v>1</v>
      </c>
      <c r="G78" s="5">
        <f t="shared" si="1"/>
        <v>2</v>
      </c>
      <c r="H78" s="9">
        <f t="shared" si="2"/>
        <v>2</v>
      </c>
    </row>
    <row r="79" spans="1:8" x14ac:dyDescent="0.25">
      <c r="A79" s="14" t="s">
        <v>99</v>
      </c>
      <c r="B79" s="6">
        <v>0</v>
      </c>
      <c r="C79" s="4">
        <v>0</v>
      </c>
      <c r="D79" s="5">
        <f t="shared" si="0"/>
        <v>0</v>
      </c>
      <c r="E79" s="6">
        <v>56</v>
      </c>
      <c r="F79" s="4">
        <v>7</v>
      </c>
      <c r="G79" s="5">
        <f t="shared" si="1"/>
        <v>63</v>
      </c>
      <c r="H79" s="9">
        <f t="shared" si="2"/>
        <v>63</v>
      </c>
    </row>
    <row r="80" spans="1:8" x14ac:dyDescent="0.25">
      <c r="A80" s="14" t="s">
        <v>59</v>
      </c>
      <c r="B80" s="6">
        <v>0</v>
      </c>
      <c r="C80" s="4">
        <v>0</v>
      </c>
      <c r="D80" s="5">
        <f t="shared" si="0"/>
        <v>0</v>
      </c>
      <c r="E80" s="6">
        <v>0</v>
      </c>
      <c r="F80" s="4">
        <v>0</v>
      </c>
      <c r="G80" s="5">
        <f t="shared" si="1"/>
        <v>0</v>
      </c>
      <c r="H80" s="9">
        <f t="shared" si="2"/>
        <v>0</v>
      </c>
    </row>
    <row r="81" spans="1:8" x14ac:dyDescent="0.25">
      <c r="A81" s="14" t="s">
        <v>60</v>
      </c>
      <c r="B81" s="6">
        <v>0</v>
      </c>
      <c r="C81" s="4">
        <v>0</v>
      </c>
      <c r="D81" s="5">
        <f t="shared" si="0"/>
        <v>0</v>
      </c>
      <c r="E81" s="6">
        <v>12</v>
      </c>
      <c r="F81" s="4">
        <v>1</v>
      </c>
      <c r="G81" s="5">
        <f t="shared" si="1"/>
        <v>13</v>
      </c>
      <c r="H81" s="9">
        <f t="shared" si="2"/>
        <v>13</v>
      </c>
    </row>
    <row r="82" spans="1:8" x14ac:dyDescent="0.25">
      <c r="A82" s="14" t="s">
        <v>61</v>
      </c>
      <c r="B82" s="6">
        <v>0</v>
      </c>
      <c r="C82" s="4">
        <v>0</v>
      </c>
      <c r="D82" s="5">
        <f t="shared" si="0"/>
        <v>0</v>
      </c>
      <c r="E82" s="6">
        <v>3</v>
      </c>
      <c r="F82" s="4">
        <v>0</v>
      </c>
      <c r="G82" s="5">
        <f t="shared" si="1"/>
        <v>3</v>
      </c>
      <c r="H82" s="9">
        <f t="shared" si="2"/>
        <v>3</v>
      </c>
    </row>
    <row r="83" spans="1:8" x14ac:dyDescent="0.25">
      <c r="A83" s="14" t="s">
        <v>70</v>
      </c>
      <c r="B83" s="6">
        <v>0</v>
      </c>
      <c r="C83" s="4">
        <v>0</v>
      </c>
      <c r="D83" s="5">
        <f t="shared" si="0"/>
        <v>0</v>
      </c>
      <c r="E83" s="6">
        <v>16</v>
      </c>
      <c r="F83" s="4">
        <v>3</v>
      </c>
      <c r="G83" s="5">
        <f t="shared" si="1"/>
        <v>19</v>
      </c>
      <c r="H83" s="9">
        <f t="shared" si="2"/>
        <v>19</v>
      </c>
    </row>
    <row r="84" spans="1:8" x14ac:dyDescent="0.25">
      <c r="A84" s="14" t="s">
        <v>143</v>
      </c>
      <c r="B84" s="6">
        <v>0</v>
      </c>
      <c r="C84" s="4">
        <v>0</v>
      </c>
      <c r="D84" s="5">
        <f t="shared" si="0"/>
        <v>0</v>
      </c>
      <c r="E84" s="6">
        <v>9</v>
      </c>
      <c r="F84" s="4">
        <v>1</v>
      </c>
      <c r="G84" s="5">
        <f t="shared" si="1"/>
        <v>10</v>
      </c>
      <c r="H84" s="9">
        <f t="shared" si="2"/>
        <v>10</v>
      </c>
    </row>
    <row r="85" spans="1:8" x14ac:dyDescent="0.25">
      <c r="A85" s="14" t="s">
        <v>116</v>
      </c>
      <c r="B85" s="6">
        <v>0</v>
      </c>
      <c r="C85" s="4">
        <v>0</v>
      </c>
      <c r="D85" s="5">
        <f t="shared" si="0"/>
        <v>0</v>
      </c>
      <c r="E85" s="6">
        <v>2</v>
      </c>
      <c r="F85" s="4">
        <v>1</v>
      </c>
      <c r="G85" s="5">
        <f t="shared" si="1"/>
        <v>3</v>
      </c>
      <c r="H85" s="9">
        <f t="shared" si="2"/>
        <v>3</v>
      </c>
    </row>
    <row r="86" spans="1:8" x14ac:dyDescent="0.25">
      <c r="A86" s="14" t="s">
        <v>138</v>
      </c>
      <c r="B86" s="6">
        <v>0</v>
      </c>
      <c r="C86" s="4">
        <v>0</v>
      </c>
      <c r="D86" s="5">
        <f t="shared" ref="D86:D90" si="6">SUM(B86:C86)</f>
        <v>0</v>
      </c>
      <c r="E86" s="6">
        <v>3</v>
      </c>
      <c r="F86" s="4">
        <v>1</v>
      </c>
      <c r="G86" s="5">
        <f t="shared" ref="G86:G90" si="7">SUM(E86:F86)</f>
        <v>4</v>
      </c>
      <c r="H86" s="9">
        <f t="shared" ref="H86:H90" si="8">D86+G86</f>
        <v>4</v>
      </c>
    </row>
    <row r="87" spans="1:8" x14ac:dyDescent="0.25">
      <c r="A87" s="14" t="s">
        <v>124</v>
      </c>
      <c r="B87" s="6">
        <v>3</v>
      </c>
      <c r="C87" s="4">
        <v>0</v>
      </c>
      <c r="D87" s="5">
        <f t="shared" si="6"/>
        <v>3</v>
      </c>
      <c r="E87" s="6">
        <v>0</v>
      </c>
      <c r="F87" s="4">
        <v>0</v>
      </c>
      <c r="G87" s="5">
        <f t="shared" si="7"/>
        <v>0</v>
      </c>
      <c r="H87" s="9">
        <f t="shared" si="8"/>
        <v>3</v>
      </c>
    </row>
    <row r="88" spans="1:8" x14ac:dyDescent="0.25">
      <c r="A88" s="14" t="s">
        <v>117</v>
      </c>
      <c r="B88" s="6">
        <v>0</v>
      </c>
      <c r="C88" s="4">
        <v>0</v>
      </c>
      <c r="D88" s="5">
        <f t="shared" si="6"/>
        <v>0</v>
      </c>
      <c r="E88" s="6">
        <v>31</v>
      </c>
      <c r="F88" s="4">
        <v>2</v>
      </c>
      <c r="G88" s="5">
        <f t="shared" si="7"/>
        <v>33</v>
      </c>
      <c r="H88" s="9">
        <f t="shared" si="8"/>
        <v>33</v>
      </c>
    </row>
    <row r="89" spans="1:8" x14ac:dyDescent="0.25">
      <c r="A89" s="14" t="s">
        <v>67</v>
      </c>
      <c r="B89" s="6">
        <v>0</v>
      </c>
      <c r="C89" s="4">
        <v>0</v>
      </c>
      <c r="D89" s="5">
        <f t="shared" si="6"/>
        <v>0</v>
      </c>
      <c r="E89" s="6">
        <v>31</v>
      </c>
      <c r="F89" s="4">
        <v>12</v>
      </c>
      <c r="G89" s="5">
        <f t="shared" si="7"/>
        <v>43</v>
      </c>
      <c r="H89" s="9">
        <f t="shared" si="8"/>
        <v>43</v>
      </c>
    </row>
    <row r="90" spans="1:8" ht="15.75" thickBot="1" x14ac:dyDescent="0.3">
      <c r="A90" s="15" t="s">
        <v>144</v>
      </c>
      <c r="B90" s="11">
        <v>0</v>
      </c>
      <c r="C90" s="12">
        <v>0</v>
      </c>
      <c r="D90" s="23">
        <f t="shared" si="6"/>
        <v>0</v>
      </c>
      <c r="E90" s="11">
        <v>24</v>
      </c>
      <c r="F90" s="12">
        <v>14</v>
      </c>
      <c r="G90" s="23">
        <f t="shared" si="7"/>
        <v>38</v>
      </c>
      <c r="H90" s="16">
        <f t="shared" si="8"/>
        <v>38</v>
      </c>
    </row>
    <row r="91" spans="1:8" ht="16.5" thickTop="1" thickBot="1" x14ac:dyDescent="0.3">
      <c r="A91" s="8" t="s">
        <v>0</v>
      </c>
      <c r="B91" s="7">
        <f t="shared" ref="B91:H91" si="9">SUM(B7:B90)</f>
        <v>160</v>
      </c>
      <c r="C91" s="7">
        <f t="shared" si="9"/>
        <v>30</v>
      </c>
      <c r="D91" s="7">
        <f t="shared" si="9"/>
        <v>190</v>
      </c>
      <c r="E91" s="7">
        <f t="shared" si="9"/>
        <v>2189</v>
      </c>
      <c r="F91" s="7">
        <f t="shared" si="9"/>
        <v>289</v>
      </c>
      <c r="G91" s="7">
        <f t="shared" si="9"/>
        <v>2478</v>
      </c>
      <c r="H91" s="7">
        <f t="shared" si="9"/>
        <v>2668</v>
      </c>
    </row>
    <row r="92" spans="1:8" ht="15.75" thickBot="1" x14ac:dyDescent="0.3"/>
    <row r="93" spans="1:8" x14ac:dyDescent="0.25">
      <c r="A93" s="26" t="s">
        <v>74</v>
      </c>
      <c r="B93" s="28" t="s">
        <v>3</v>
      </c>
      <c r="C93" s="29"/>
      <c r="D93" s="29"/>
      <c r="E93" s="28" t="s">
        <v>4</v>
      </c>
      <c r="F93" s="29"/>
      <c r="G93" s="29"/>
      <c r="H93" s="26" t="s">
        <v>0</v>
      </c>
    </row>
    <row r="94" spans="1:8" x14ac:dyDescent="0.25">
      <c r="A94" s="27"/>
      <c r="B94" s="20" t="s">
        <v>82</v>
      </c>
      <c r="C94" s="21" t="s">
        <v>83</v>
      </c>
      <c r="D94" s="22" t="s">
        <v>0</v>
      </c>
      <c r="E94" s="20" t="s">
        <v>82</v>
      </c>
      <c r="F94" s="21" t="s">
        <v>83</v>
      </c>
      <c r="G94" s="22" t="s">
        <v>0</v>
      </c>
      <c r="H94" s="27"/>
    </row>
    <row r="95" spans="1:8" x14ac:dyDescent="0.25">
      <c r="A95" s="14" t="s">
        <v>75</v>
      </c>
      <c r="B95" s="6">
        <v>28</v>
      </c>
      <c r="C95" s="4">
        <v>1</v>
      </c>
      <c r="D95" s="5">
        <f t="shared" ref="D95:D103" si="10">SUM(B95:C95)</f>
        <v>29</v>
      </c>
      <c r="E95" s="6">
        <v>193</v>
      </c>
      <c r="F95" s="4">
        <v>9</v>
      </c>
      <c r="G95" s="5">
        <f t="shared" ref="G95:G103" si="11">SUM(E95:F95)</f>
        <v>202</v>
      </c>
      <c r="H95" s="9">
        <f t="shared" ref="H95:H103" si="12">D95+G95</f>
        <v>231</v>
      </c>
    </row>
    <row r="96" spans="1:8" x14ac:dyDescent="0.25">
      <c r="A96" s="14" t="s">
        <v>76</v>
      </c>
      <c r="B96" s="6">
        <v>7</v>
      </c>
      <c r="C96" s="4">
        <v>1</v>
      </c>
      <c r="D96" s="5">
        <f t="shared" si="10"/>
        <v>8</v>
      </c>
      <c r="E96" s="6">
        <v>270</v>
      </c>
      <c r="F96" s="4">
        <v>18</v>
      </c>
      <c r="G96" s="5">
        <f t="shared" si="11"/>
        <v>288</v>
      </c>
      <c r="H96" s="9">
        <f t="shared" si="12"/>
        <v>296</v>
      </c>
    </row>
    <row r="97" spans="1:8" x14ac:dyDescent="0.25">
      <c r="A97" s="14" t="s">
        <v>77</v>
      </c>
      <c r="B97" s="6">
        <v>4</v>
      </c>
      <c r="C97" s="4">
        <v>1</v>
      </c>
      <c r="D97" s="5">
        <f t="shared" ref="D97" si="13">SUM(B97:C97)</f>
        <v>5</v>
      </c>
      <c r="E97" s="6">
        <v>621</v>
      </c>
      <c r="F97" s="4">
        <v>83</v>
      </c>
      <c r="G97" s="5">
        <f t="shared" ref="G97" si="14">SUM(E97:F97)</f>
        <v>704</v>
      </c>
      <c r="H97" s="9">
        <f t="shared" ref="H97" si="15">D97+G97</f>
        <v>709</v>
      </c>
    </row>
    <row r="98" spans="1:8" x14ac:dyDescent="0.25">
      <c r="A98" s="14" t="s">
        <v>107</v>
      </c>
      <c r="B98" s="6">
        <v>0</v>
      </c>
      <c r="C98" s="4">
        <v>0</v>
      </c>
      <c r="D98" s="5">
        <f t="shared" si="10"/>
        <v>0</v>
      </c>
      <c r="E98" s="6">
        <v>210</v>
      </c>
      <c r="F98" s="4">
        <v>15</v>
      </c>
      <c r="G98" s="5">
        <f t="shared" si="11"/>
        <v>225</v>
      </c>
      <c r="H98" s="9">
        <f t="shared" si="12"/>
        <v>225</v>
      </c>
    </row>
    <row r="99" spans="1:8" x14ac:dyDescent="0.25">
      <c r="A99" s="14" t="s">
        <v>129</v>
      </c>
      <c r="B99" s="6">
        <v>8</v>
      </c>
      <c r="C99" s="4">
        <v>7</v>
      </c>
      <c r="D99" s="5">
        <f t="shared" si="10"/>
        <v>15</v>
      </c>
      <c r="E99" s="6">
        <v>231</v>
      </c>
      <c r="F99" s="4">
        <v>114</v>
      </c>
      <c r="G99" s="5">
        <f t="shared" si="11"/>
        <v>345</v>
      </c>
      <c r="H99" s="9">
        <f t="shared" si="12"/>
        <v>360</v>
      </c>
    </row>
    <row r="100" spans="1:8" x14ac:dyDescent="0.25">
      <c r="A100" s="14" t="s">
        <v>1</v>
      </c>
      <c r="B100" s="6">
        <v>0</v>
      </c>
      <c r="C100" s="4">
        <v>0</v>
      </c>
      <c r="D100" s="5">
        <f t="shared" si="10"/>
        <v>0</v>
      </c>
      <c r="E100" s="6">
        <v>43</v>
      </c>
      <c r="F100" s="4">
        <v>1</v>
      </c>
      <c r="G100" s="5">
        <f t="shared" si="11"/>
        <v>44</v>
      </c>
      <c r="H100" s="9">
        <f t="shared" si="12"/>
        <v>44</v>
      </c>
    </row>
    <row r="101" spans="1:8" x14ac:dyDescent="0.25">
      <c r="A101" s="14" t="s">
        <v>79</v>
      </c>
      <c r="B101" s="6">
        <v>17</v>
      </c>
      <c r="C101" s="4">
        <v>6</v>
      </c>
      <c r="D101" s="5">
        <f t="shared" si="10"/>
        <v>23</v>
      </c>
      <c r="E101" s="6">
        <v>260</v>
      </c>
      <c r="F101" s="4">
        <v>14</v>
      </c>
      <c r="G101" s="5">
        <f t="shared" si="11"/>
        <v>274</v>
      </c>
      <c r="H101" s="9">
        <f t="shared" si="12"/>
        <v>297</v>
      </c>
    </row>
    <row r="102" spans="1:8" x14ac:dyDescent="0.25">
      <c r="A102" s="14" t="s">
        <v>80</v>
      </c>
      <c r="B102" s="6">
        <v>83</v>
      </c>
      <c r="C102" s="4">
        <v>8</v>
      </c>
      <c r="D102" s="5">
        <f t="shared" si="10"/>
        <v>91</v>
      </c>
      <c r="E102" s="6">
        <v>41</v>
      </c>
      <c r="F102" s="4">
        <v>3</v>
      </c>
      <c r="G102" s="5">
        <f t="shared" si="11"/>
        <v>44</v>
      </c>
      <c r="H102" s="9">
        <f t="shared" si="12"/>
        <v>135</v>
      </c>
    </row>
    <row r="103" spans="1:8" ht="15.75" thickBot="1" x14ac:dyDescent="0.3">
      <c r="A103" s="15" t="s">
        <v>81</v>
      </c>
      <c r="B103" s="11">
        <v>13</v>
      </c>
      <c r="C103" s="12">
        <v>6</v>
      </c>
      <c r="D103" s="12">
        <f t="shared" si="10"/>
        <v>19</v>
      </c>
      <c r="E103" s="11">
        <v>320</v>
      </c>
      <c r="F103" s="12">
        <v>32</v>
      </c>
      <c r="G103" s="13">
        <f t="shared" si="11"/>
        <v>352</v>
      </c>
      <c r="H103" s="16">
        <f t="shared" si="12"/>
        <v>371</v>
      </c>
    </row>
    <row r="104" spans="1:8" ht="16.5" thickTop="1" thickBot="1" x14ac:dyDescent="0.3">
      <c r="A104" s="8" t="s">
        <v>0</v>
      </c>
      <c r="B104" s="7">
        <f>SUM(B95:B103)</f>
        <v>160</v>
      </c>
      <c r="C104" s="7">
        <f>SUM(C95:C103)</f>
        <v>30</v>
      </c>
      <c r="D104" s="7">
        <f t="shared" ref="D104:H104" si="16">SUM(D95:D103)</f>
        <v>190</v>
      </c>
      <c r="E104" s="7">
        <f t="shared" si="16"/>
        <v>2189</v>
      </c>
      <c r="F104" s="7">
        <f t="shared" si="16"/>
        <v>289</v>
      </c>
      <c r="G104" s="7">
        <f t="shared" si="16"/>
        <v>2478</v>
      </c>
      <c r="H104" s="7">
        <f t="shared" si="16"/>
        <v>2668</v>
      </c>
    </row>
    <row r="106" spans="1:8" x14ac:dyDescent="0.25">
      <c r="A106" s="33" t="s">
        <v>86</v>
      </c>
      <c r="B106" s="33"/>
      <c r="C106" s="33"/>
      <c r="D106" s="33"/>
      <c r="E106" s="33"/>
      <c r="F106" s="33"/>
      <c r="G106" s="33"/>
      <c r="H106" s="33"/>
    </row>
    <row r="107" spans="1:8" x14ac:dyDescent="0.25">
      <c r="A107" s="33"/>
      <c r="B107" s="33"/>
      <c r="C107" s="33"/>
      <c r="D107" s="33"/>
      <c r="E107" s="33"/>
      <c r="F107" s="33"/>
      <c r="G107" s="33"/>
      <c r="H107" s="33"/>
    </row>
    <row r="108" spans="1:8" x14ac:dyDescent="0.25">
      <c r="A108" s="33"/>
      <c r="B108" s="33"/>
      <c r="C108" s="33"/>
      <c r="D108" s="33"/>
      <c r="E108" s="33"/>
      <c r="F108" s="33"/>
      <c r="G108" s="33"/>
      <c r="H108" s="33"/>
    </row>
    <row r="110" spans="1:8" x14ac:dyDescent="0.25">
      <c r="A110" s="34"/>
      <c r="B110" s="34"/>
      <c r="C110" s="34"/>
      <c r="D110" s="34"/>
      <c r="E110" s="34"/>
      <c r="F110" s="34"/>
      <c r="G110" s="34"/>
      <c r="H110" s="34"/>
    </row>
  </sheetData>
  <mergeCells count="11">
    <mergeCell ref="A2:H2"/>
    <mergeCell ref="A5:A6"/>
    <mergeCell ref="B5:D5"/>
    <mergeCell ref="E5:G5"/>
    <mergeCell ref="H5:H6"/>
    <mergeCell ref="A106:H108"/>
    <mergeCell ref="A110:H110"/>
    <mergeCell ref="A93:A94"/>
    <mergeCell ref="B93:D93"/>
    <mergeCell ref="E93:G93"/>
    <mergeCell ref="H93:H94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view="pageLayout" topLeftCell="A88" zoomScale="70" zoomScaleNormal="100" zoomScalePageLayoutView="70" workbookViewId="0">
      <selection activeCell="A96" sqref="A96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2004-05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0</v>
      </c>
      <c r="C7" s="4">
        <v>0</v>
      </c>
      <c r="D7" s="5">
        <f>SUM(B7:C7)</f>
        <v>0</v>
      </c>
      <c r="E7" s="6">
        <v>14</v>
      </c>
      <c r="F7" s="4">
        <v>2</v>
      </c>
      <c r="G7" s="5">
        <f>SUM(E7:F7)</f>
        <v>16</v>
      </c>
      <c r="H7" s="9">
        <f>D7+G7</f>
        <v>16</v>
      </c>
    </row>
    <row r="8" spans="1:8" x14ac:dyDescent="0.25">
      <c r="A8" s="14" t="s">
        <v>6</v>
      </c>
      <c r="B8" s="6">
        <v>2</v>
      </c>
      <c r="C8" s="4">
        <v>0</v>
      </c>
      <c r="D8" s="5">
        <f t="shared" ref="D8:D85" si="0">SUM(B8:C8)</f>
        <v>2</v>
      </c>
      <c r="E8" s="6">
        <v>19</v>
      </c>
      <c r="F8" s="4">
        <v>1</v>
      </c>
      <c r="G8" s="5">
        <f t="shared" ref="G8:G85" si="1">SUM(E8:F8)</f>
        <v>20</v>
      </c>
      <c r="H8" s="9">
        <f t="shared" ref="H8:H85" si="2">D8+G8</f>
        <v>22</v>
      </c>
    </row>
    <row r="9" spans="1:8" x14ac:dyDescent="0.25">
      <c r="A9" s="14" t="s">
        <v>7</v>
      </c>
      <c r="B9" s="6">
        <v>1</v>
      </c>
      <c r="C9" s="4">
        <v>0</v>
      </c>
      <c r="D9" s="5">
        <f t="shared" si="0"/>
        <v>1</v>
      </c>
      <c r="E9" s="6">
        <v>89</v>
      </c>
      <c r="F9" s="4">
        <v>0</v>
      </c>
      <c r="G9" s="5">
        <f t="shared" si="1"/>
        <v>89</v>
      </c>
      <c r="H9" s="9">
        <f t="shared" si="2"/>
        <v>90</v>
      </c>
    </row>
    <row r="10" spans="1:8" x14ac:dyDescent="0.25">
      <c r="A10" s="14" t="s">
        <v>8</v>
      </c>
      <c r="B10" s="6">
        <v>16</v>
      </c>
      <c r="C10" s="4">
        <v>2</v>
      </c>
      <c r="D10" s="5">
        <f t="shared" si="0"/>
        <v>18</v>
      </c>
      <c r="E10" s="6">
        <v>261</v>
      </c>
      <c r="F10" s="4">
        <v>11</v>
      </c>
      <c r="G10" s="5">
        <f t="shared" si="1"/>
        <v>272</v>
      </c>
      <c r="H10" s="9">
        <f t="shared" si="2"/>
        <v>290</v>
      </c>
    </row>
    <row r="11" spans="1:8" x14ac:dyDescent="0.25">
      <c r="A11" s="14" t="s">
        <v>100</v>
      </c>
      <c r="B11" s="6">
        <v>3</v>
      </c>
      <c r="C11" s="4">
        <v>0</v>
      </c>
      <c r="D11" s="5">
        <f t="shared" si="0"/>
        <v>3</v>
      </c>
      <c r="E11" s="6">
        <v>6</v>
      </c>
      <c r="F11" s="4">
        <v>1</v>
      </c>
      <c r="G11" s="5">
        <f t="shared" si="1"/>
        <v>7</v>
      </c>
      <c r="H11" s="9">
        <f t="shared" si="2"/>
        <v>10</v>
      </c>
    </row>
    <row r="12" spans="1:8" x14ac:dyDescent="0.25">
      <c r="A12" s="14" t="s">
        <v>9</v>
      </c>
      <c r="B12" s="6">
        <v>9</v>
      </c>
      <c r="C12" s="4">
        <v>1</v>
      </c>
      <c r="D12" s="5">
        <f t="shared" si="0"/>
        <v>10</v>
      </c>
      <c r="E12" s="6">
        <v>5</v>
      </c>
      <c r="F12" s="4">
        <v>1</v>
      </c>
      <c r="G12" s="5">
        <f t="shared" si="1"/>
        <v>6</v>
      </c>
      <c r="H12" s="9">
        <f t="shared" si="2"/>
        <v>16</v>
      </c>
    </row>
    <row r="13" spans="1:8" x14ac:dyDescent="0.25">
      <c r="A13" s="14" t="s">
        <v>10</v>
      </c>
      <c r="B13" s="6">
        <v>4</v>
      </c>
      <c r="C13" s="4">
        <v>0</v>
      </c>
      <c r="D13" s="5">
        <f t="shared" si="0"/>
        <v>4</v>
      </c>
      <c r="E13" s="6">
        <v>7</v>
      </c>
      <c r="F13" s="4">
        <v>0</v>
      </c>
      <c r="G13" s="5">
        <f t="shared" si="1"/>
        <v>7</v>
      </c>
      <c r="H13" s="9">
        <f t="shared" si="2"/>
        <v>11</v>
      </c>
    </row>
    <row r="14" spans="1:8" x14ac:dyDescent="0.25">
      <c r="A14" s="14" t="s">
        <v>120</v>
      </c>
      <c r="B14" s="6">
        <v>0</v>
      </c>
      <c r="C14" s="4">
        <v>0</v>
      </c>
      <c r="D14" s="5">
        <f t="shared" si="0"/>
        <v>0</v>
      </c>
      <c r="E14" s="6">
        <v>1</v>
      </c>
      <c r="F14" s="4">
        <v>0</v>
      </c>
      <c r="G14" s="5">
        <f t="shared" si="1"/>
        <v>1</v>
      </c>
      <c r="H14" s="9">
        <f t="shared" si="2"/>
        <v>1</v>
      </c>
    </row>
    <row r="15" spans="1:8" x14ac:dyDescent="0.25">
      <c r="A15" s="14" t="s">
        <v>130</v>
      </c>
      <c r="B15" s="6">
        <v>0</v>
      </c>
      <c r="C15" s="4">
        <v>0</v>
      </c>
      <c r="D15" s="5">
        <f t="shared" si="0"/>
        <v>0</v>
      </c>
      <c r="E15" s="6">
        <v>7</v>
      </c>
      <c r="F15" s="4">
        <v>0</v>
      </c>
      <c r="G15" s="5">
        <f t="shared" si="1"/>
        <v>7</v>
      </c>
      <c r="H15" s="9">
        <f t="shared" si="2"/>
        <v>7</v>
      </c>
    </row>
    <row r="16" spans="1:8" x14ac:dyDescent="0.25">
      <c r="A16" s="14" t="s">
        <v>106</v>
      </c>
      <c r="B16" s="6">
        <v>0</v>
      </c>
      <c r="C16" s="4">
        <v>0</v>
      </c>
      <c r="D16" s="5">
        <f t="shared" si="0"/>
        <v>0</v>
      </c>
      <c r="E16" s="6">
        <v>0</v>
      </c>
      <c r="F16" s="4">
        <v>0</v>
      </c>
      <c r="G16" s="5">
        <f t="shared" si="1"/>
        <v>0</v>
      </c>
      <c r="H16" s="9">
        <f t="shared" si="2"/>
        <v>0</v>
      </c>
    </row>
    <row r="17" spans="1:8" x14ac:dyDescent="0.25">
      <c r="A17" s="14" t="s">
        <v>135</v>
      </c>
      <c r="B17" s="6">
        <v>0</v>
      </c>
      <c r="C17" s="4">
        <v>0</v>
      </c>
      <c r="D17" s="5">
        <f t="shared" si="0"/>
        <v>0</v>
      </c>
      <c r="E17" s="6">
        <v>85</v>
      </c>
      <c r="F17" s="4">
        <v>15</v>
      </c>
      <c r="G17" s="5">
        <f t="shared" si="1"/>
        <v>100</v>
      </c>
      <c r="H17" s="9">
        <f t="shared" si="2"/>
        <v>100</v>
      </c>
    </row>
    <row r="18" spans="1:8" x14ac:dyDescent="0.25">
      <c r="A18" s="14" t="s">
        <v>101</v>
      </c>
      <c r="B18" s="6">
        <v>3</v>
      </c>
      <c r="C18" s="4">
        <v>3</v>
      </c>
      <c r="D18" s="5">
        <f t="shared" si="0"/>
        <v>6</v>
      </c>
      <c r="E18" s="6">
        <v>5</v>
      </c>
      <c r="F18" s="4">
        <v>2</v>
      </c>
      <c r="G18" s="5">
        <f t="shared" si="1"/>
        <v>7</v>
      </c>
      <c r="H18" s="9">
        <f t="shared" si="2"/>
        <v>13</v>
      </c>
    </row>
    <row r="19" spans="1:8" x14ac:dyDescent="0.25">
      <c r="A19" s="14" t="s">
        <v>12</v>
      </c>
      <c r="B19" s="6">
        <v>0</v>
      </c>
      <c r="C19" s="4">
        <v>0</v>
      </c>
      <c r="D19" s="5">
        <f t="shared" si="0"/>
        <v>0</v>
      </c>
      <c r="E19" s="6">
        <v>3</v>
      </c>
      <c r="F19" s="4">
        <v>0</v>
      </c>
      <c r="G19" s="5">
        <f t="shared" si="1"/>
        <v>3</v>
      </c>
      <c r="H19" s="9">
        <f t="shared" si="2"/>
        <v>3</v>
      </c>
    </row>
    <row r="20" spans="1:8" x14ac:dyDescent="0.25">
      <c r="A20" s="14" t="s">
        <v>13</v>
      </c>
      <c r="B20" s="6">
        <v>5</v>
      </c>
      <c r="C20" s="4">
        <v>3</v>
      </c>
      <c r="D20" s="5">
        <f t="shared" si="0"/>
        <v>8</v>
      </c>
      <c r="E20" s="6">
        <v>3</v>
      </c>
      <c r="F20" s="4">
        <v>3</v>
      </c>
      <c r="G20" s="5">
        <f t="shared" si="1"/>
        <v>6</v>
      </c>
      <c r="H20" s="9">
        <f t="shared" si="2"/>
        <v>14</v>
      </c>
    </row>
    <row r="21" spans="1:8" x14ac:dyDescent="0.25">
      <c r="A21" s="14" t="s">
        <v>14</v>
      </c>
      <c r="B21" s="6">
        <v>1</v>
      </c>
      <c r="C21" s="4">
        <v>1</v>
      </c>
      <c r="D21" s="5">
        <f t="shared" si="0"/>
        <v>2</v>
      </c>
      <c r="E21" s="6">
        <v>9</v>
      </c>
      <c r="F21" s="4">
        <v>7</v>
      </c>
      <c r="G21" s="5">
        <f t="shared" si="1"/>
        <v>16</v>
      </c>
      <c r="H21" s="9">
        <f t="shared" si="2"/>
        <v>18</v>
      </c>
    </row>
    <row r="22" spans="1:8" x14ac:dyDescent="0.25">
      <c r="A22" s="14" t="s">
        <v>15</v>
      </c>
      <c r="B22" s="6">
        <v>0</v>
      </c>
      <c r="C22" s="4">
        <v>0</v>
      </c>
      <c r="D22" s="5">
        <f t="shared" si="0"/>
        <v>0</v>
      </c>
      <c r="E22" s="6">
        <v>13</v>
      </c>
      <c r="F22" s="4">
        <v>4</v>
      </c>
      <c r="G22" s="5">
        <f t="shared" si="1"/>
        <v>17</v>
      </c>
      <c r="H22" s="9">
        <f t="shared" si="2"/>
        <v>17</v>
      </c>
    </row>
    <row r="23" spans="1:8" x14ac:dyDescent="0.25">
      <c r="A23" s="14" t="s">
        <v>16</v>
      </c>
      <c r="B23" s="6">
        <v>2</v>
      </c>
      <c r="C23" s="4">
        <v>0</v>
      </c>
      <c r="D23" s="5">
        <f t="shared" si="0"/>
        <v>2</v>
      </c>
      <c r="E23" s="6">
        <v>6</v>
      </c>
      <c r="F23" s="4">
        <v>2</v>
      </c>
      <c r="G23" s="5">
        <f t="shared" si="1"/>
        <v>8</v>
      </c>
      <c r="H23" s="9">
        <f t="shared" si="2"/>
        <v>10</v>
      </c>
    </row>
    <row r="24" spans="1:8" x14ac:dyDescent="0.25">
      <c r="A24" s="14" t="s">
        <v>126</v>
      </c>
      <c r="B24" s="6">
        <v>5</v>
      </c>
      <c r="C24" s="4">
        <v>0</v>
      </c>
      <c r="D24" s="5">
        <f t="shared" si="0"/>
        <v>5</v>
      </c>
      <c r="E24" s="6">
        <v>11</v>
      </c>
      <c r="F24" s="4">
        <v>0</v>
      </c>
      <c r="G24" s="5">
        <f t="shared" si="1"/>
        <v>11</v>
      </c>
      <c r="H24" s="9">
        <f t="shared" si="2"/>
        <v>16</v>
      </c>
    </row>
    <row r="25" spans="1:8" x14ac:dyDescent="0.25">
      <c r="A25" s="14" t="s">
        <v>17</v>
      </c>
      <c r="B25" s="6">
        <v>0</v>
      </c>
      <c r="C25" s="4">
        <v>2</v>
      </c>
      <c r="D25" s="5">
        <f t="shared" si="0"/>
        <v>2</v>
      </c>
      <c r="E25" s="6">
        <v>11</v>
      </c>
      <c r="F25" s="4">
        <v>1</v>
      </c>
      <c r="G25" s="5">
        <f t="shared" si="1"/>
        <v>12</v>
      </c>
      <c r="H25" s="9">
        <f t="shared" si="2"/>
        <v>14</v>
      </c>
    </row>
    <row r="26" spans="1:8" x14ac:dyDescent="0.25">
      <c r="A26" s="14" t="s">
        <v>18</v>
      </c>
      <c r="B26" s="6">
        <v>1</v>
      </c>
      <c r="C26" s="4">
        <v>0</v>
      </c>
      <c r="D26" s="5">
        <f t="shared" si="0"/>
        <v>1</v>
      </c>
      <c r="E26" s="6">
        <v>147</v>
      </c>
      <c r="F26" s="4">
        <v>92</v>
      </c>
      <c r="G26" s="5">
        <f t="shared" si="1"/>
        <v>239</v>
      </c>
      <c r="H26" s="9">
        <f t="shared" si="2"/>
        <v>240</v>
      </c>
    </row>
    <row r="27" spans="1:8" x14ac:dyDescent="0.25">
      <c r="A27" s="14" t="s">
        <v>19</v>
      </c>
      <c r="B27" s="6">
        <v>0</v>
      </c>
      <c r="C27" s="4">
        <v>0</v>
      </c>
      <c r="D27" s="5">
        <f t="shared" si="0"/>
        <v>0</v>
      </c>
      <c r="E27" s="6">
        <v>8</v>
      </c>
      <c r="F27" s="4">
        <v>0</v>
      </c>
      <c r="G27" s="5">
        <f t="shared" si="1"/>
        <v>8</v>
      </c>
      <c r="H27" s="9">
        <f t="shared" si="2"/>
        <v>8</v>
      </c>
    </row>
    <row r="28" spans="1:8" x14ac:dyDescent="0.25">
      <c r="A28" s="14" t="s">
        <v>131</v>
      </c>
      <c r="B28" s="6">
        <v>0</v>
      </c>
      <c r="C28" s="4">
        <v>0</v>
      </c>
      <c r="D28" s="5">
        <f t="shared" si="0"/>
        <v>0</v>
      </c>
      <c r="E28" s="6">
        <v>0</v>
      </c>
      <c r="F28" s="4">
        <v>0</v>
      </c>
      <c r="G28" s="5">
        <f t="shared" si="1"/>
        <v>0</v>
      </c>
      <c r="H28" s="9">
        <f t="shared" si="2"/>
        <v>0</v>
      </c>
    </row>
    <row r="29" spans="1:8" x14ac:dyDescent="0.25">
      <c r="A29" s="14" t="s">
        <v>20</v>
      </c>
      <c r="B29" s="6">
        <v>1</v>
      </c>
      <c r="C29" s="4">
        <v>1</v>
      </c>
      <c r="D29" s="5">
        <f t="shared" si="0"/>
        <v>2</v>
      </c>
      <c r="E29" s="6">
        <v>1</v>
      </c>
      <c r="F29" s="4">
        <v>0</v>
      </c>
      <c r="G29" s="5">
        <f t="shared" si="1"/>
        <v>1</v>
      </c>
      <c r="H29" s="9">
        <f t="shared" si="2"/>
        <v>3</v>
      </c>
    </row>
    <row r="30" spans="1:8" x14ac:dyDescent="0.25">
      <c r="A30" s="14" t="s">
        <v>21</v>
      </c>
      <c r="B30" s="6">
        <v>4</v>
      </c>
      <c r="C30" s="4">
        <v>0</v>
      </c>
      <c r="D30" s="5">
        <f t="shared" si="0"/>
        <v>4</v>
      </c>
      <c r="E30" s="6">
        <v>5</v>
      </c>
      <c r="F30" s="4">
        <v>0</v>
      </c>
      <c r="G30" s="5">
        <f t="shared" si="1"/>
        <v>5</v>
      </c>
      <c r="H30" s="9">
        <f t="shared" si="2"/>
        <v>9</v>
      </c>
    </row>
    <row r="31" spans="1:8" x14ac:dyDescent="0.25">
      <c r="A31" s="14" t="s">
        <v>102</v>
      </c>
      <c r="B31" s="6">
        <v>0</v>
      </c>
      <c r="C31" s="4">
        <v>0</v>
      </c>
      <c r="D31" s="5">
        <f t="shared" si="0"/>
        <v>0</v>
      </c>
      <c r="E31" s="6">
        <v>0</v>
      </c>
      <c r="F31" s="4">
        <v>0</v>
      </c>
      <c r="G31" s="5">
        <f t="shared" si="1"/>
        <v>0</v>
      </c>
      <c r="H31" s="9">
        <f t="shared" si="2"/>
        <v>0</v>
      </c>
    </row>
    <row r="32" spans="1:8" x14ac:dyDescent="0.25">
      <c r="A32" s="14" t="s">
        <v>22</v>
      </c>
      <c r="B32" s="6">
        <v>0</v>
      </c>
      <c r="C32" s="4">
        <v>0</v>
      </c>
      <c r="D32" s="5">
        <f t="shared" si="0"/>
        <v>0</v>
      </c>
      <c r="E32" s="6">
        <v>12</v>
      </c>
      <c r="F32" s="4">
        <v>4</v>
      </c>
      <c r="G32" s="5">
        <f t="shared" si="1"/>
        <v>16</v>
      </c>
      <c r="H32" s="9">
        <f t="shared" si="2"/>
        <v>16</v>
      </c>
    </row>
    <row r="33" spans="1:8" x14ac:dyDescent="0.25">
      <c r="A33" s="14" t="s">
        <v>94</v>
      </c>
      <c r="B33" s="6">
        <v>0</v>
      </c>
      <c r="C33" s="4">
        <v>0</v>
      </c>
      <c r="D33" s="5">
        <f t="shared" si="0"/>
        <v>0</v>
      </c>
      <c r="E33" s="6">
        <v>15</v>
      </c>
      <c r="F33" s="4">
        <v>2</v>
      </c>
      <c r="G33" s="5">
        <f t="shared" si="1"/>
        <v>17</v>
      </c>
      <c r="H33" s="9">
        <f t="shared" si="2"/>
        <v>17</v>
      </c>
    </row>
    <row r="34" spans="1:8" x14ac:dyDescent="0.25">
      <c r="A34" s="14" t="s">
        <v>24</v>
      </c>
      <c r="B34" s="6">
        <v>0</v>
      </c>
      <c r="C34" s="4">
        <v>0</v>
      </c>
      <c r="D34" s="5">
        <f t="shared" si="0"/>
        <v>0</v>
      </c>
      <c r="E34" s="6">
        <v>4</v>
      </c>
      <c r="F34" s="4">
        <v>0</v>
      </c>
      <c r="G34" s="5">
        <f t="shared" si="1"/>
        <v>4</v>
      </c>
      <c r="H34" s="9">
        <f t="shared" si="2"/>
        <v>4</v>
      </c>
    </row>
    <row r="35" spans="1:8" x14ac:dyDescent="0.25">
      <c r="A35" s="14" t="s">
        <v>71</v>
      </c>
      <c r="B35" s="6">
        <v>8</v>
      </c>
      <c r="C35" s="4">
        <v>0</v>
      </c>
      <c r="D35" s="5">
        <f t="shared" si="0"/>
        <v>8</v>
      </c>
      <c r="E35" s="6">
        <v>14</v>
      </c>
      <c r="F35" s="4">
        <v>0</v>
      </c>
      <c r="G35" s="5">
        <f t="shared" si="1"/>
        <v>14</v>
      </c>
      <c r="H35" s="9">
        <f t="shared" si="2"/>
        <v>22</v>
      </c>
    </row>
    <row r="36" spans="1:8" x14ac:dyDescent="0.25">
      <c r="A36" s="14" t="s">
        <v>72</v>
      </c>
      <c r="B36" s="6">
        <v>5</v>
      </c>
      <c r="C36" s="4">
        <v>0</v>
      </c>
      <c r="D36" s="5">
        <f t="shared" si="0"/>
        <v>5</v>
      </c>
      <c r="E36" s="6">
        <v>13</v>
      </c>
      <c r="F36" s="4">
        <v>0</v>
      </c>
      <c r="G36" s="5">
        <f t="shared" si="1"/>
        <v>13</v>
      </c>
      <c r="H36" s="9">
        <f t="shared" si="2"/>
        <v>18</v>
      </c>
    </row>
    <row r="37" spans="1:8" x14ac:dyDescent="0.25">
      <c r="A37" s="14" t="s">
        <v>26</v>
      </c>
      <c r="B37" s="6">
        <v>2</v>
      </c>
      <c r="C37" s="4">
        <v>0</v>
      </c>
      <c r="D37" s="5">
        <f t="shared" si="0"/>
        <v>2</v>
      </c>
      <c r="E37" s="6">
        <v>31</v>
      </c>
      <c r="F37" s="4">
        <v>1</v>
      </c>
      <c r="G37" s="5">
        <f t="shared" si="1"/>
        <v>32</v>
      </c>
      <c r="H37" s="9">
        <f t="shared" si="2"/>
        <v>34</v>
      </c>
    </row>
    <row r="38" spans="1:8" x14ac:dyDescent="0.25">
      <c r="A38" s="14" t="s">
        <v>73</v>
      </c>
      <c r="B38" s="6">
        <v>4</v>
      </c>
      <c r="C38" s="4">
        <v>1</v>
      </c>
      <c r="D38" s="5">
        <f t="shared" si="0"/>
        <v>5</v>
      </c>
      <c r="E38" s="6">
        <v>19</v>
      </c>
      <c r="F38" s="4">
        <v>0</v>
      </c>
      <c r="G38" s="5">
        <f t="shared" si="1"/>
        <v>19</v>
      </c>
      <c r="H38" s="9">
        <f t="shared" si="2"/>
        <v>24</v>
      </c>
    </row>
    <row r="39" spans="1:8" x14ac:dyDescent="0.25">
      <c r="A39" s="14" t="s">
        <v>27</v>
      </c>
      <c r="B39" s="6">
        <v>5</v>
      </c>
      <c r="C39" s="4">
        <v>0</v>
      </c>
      <c r="D39" s="5">
        <f t="shared" si="0"/>
        <v>5</v>
      </c>
      <c r="E39" s="6">
        <v>8</v>
      </c>
      <c r="F39" s="4">
        <v>0</v>
      </c>
      <c r="G39" s="5">
        <f t="shared" si="1"/>
        <v>8</v>
      </c>
      <c r="H39" s="9">
        <f t="shared" si="2"/>
        <v>13</v>
      </c>
    </row>
    <row r="40" spans="1:8" x14ac:dyDescent="0.25">
      <c r="A40" s="14" t="s">
        <v>132</v>
      </c>
      <c r="B40" s="6">
        <v>1</v>
      </c>
      <c r="C40" s="4">
        <v>0</v>
      </c>
      <c r="D40" s="5">
        <f t="shared" si="0"/>
        <v>1</v>
      </c>
      <c r="E40" s="6">
        <v>0</v>
      </c>
      <c r="F40" s="4">
        <v>0</v>
      </c>
      <c r="G40" s="5">
        <f t="shared" si="1"/>
        <v>0</v>
      </c>
      <c r="H40" s="9">
        <f t="shared" si="2"/>
        <v>1</v>
      </c>
    </row>
    <row r="41" spans="1:8" x14ac:dyDescent="0.25">
      <c r="A41" s="14" t="s">
        <v>28</v>
      </c>
      <c r="B41" s="6">
        <v>9</v>
      </c>
      <c r="C41" s="4">
        <v>0</v>
      </c>
      <c r="D41" s="5">
        <f t="shared" si="0"/>
        <v>9</v>
      </c>
      <c r="E41" s="6">
        <v>15</v>
      </c>
      <c r="F41" s="4">
        <v>0</v>
      </c>
      <c r="G41" s="5">
        <f t="shared" si="1"/>
        <v>15</v>
      </c>
      <c r="H41" s="9">
        <f t="shared" si="2"/>
        <v>24</v>
      </c>
    </row>
    <row r="42" spans="1:8" x14ac:dyDescent="0.25">
      <c r="A42" s="14" t="s">
        <v>133</v>
      </c>
      <c r="B42" s="6">
        <v>0</v>
      </c>
      <c r="C42" s="4">
        <v>0</v>
      </c>
      <c r="D42" s="5">
        <f t="shared" si="0"/>
        <v>0</v>
      </c>
      <c r="E42" s="6">
        <v>0</v>
      </c>
      <c r="F42" s="4">
        <v>0</v>
      </c>
      <c r="G42" s="5">
        <f t="shared" si="1"/>
        <v>0</v>
      </c>
      <c r="H42" s="9">
        <f t="shared" si="2"/>
        <v>0</v>
      </c>
    </row>
    <row r="43" spans="1:8" x14ac:dyDescent="0.25">
      <c r="A43" s="14" t="s">
        <v>1</v>
      </c>
      <c r="B43" s="6">
        <v>0</v>
      </c>
      <c r="C43" s="4">
        <v>0</v>
      </c>
      <c r="D43" s="5">
        <f t="shared" si="0"/>
        <v>0</v>
      </c>
      <c r="E43" s="6">
        <v>45</v>
      </c>
      <c r="F43" s="4">
        <v>2</v>
      </c>
      <c r="G43" s="5">
        <f t="shared" si="1"/>
        <v>47</v>
      </c>
      <c r="H43" s="9">
        <f t="shared" si="2"/>
        <v>47</v>
      </c>
    </row>
    <row r="44" spans="1:8" x14ac:dyDescent="0.25">
      <c r="A44" s="14" t="s">
        <v>29</v>
      </c>
      <c r="B44" s="6">
        <v>1</v>
      </c>
      <c r="C44" s="4">
        <v>1</v>
      </c>
      <c r="D44" s="5">
        <f t="shared" si="0"/>
        <v>2</v>
      </c>
      <c r="E44" s="6">
        <v>82</v>
      </c>
      <c r="F44" s="4">
        <v>4</v>
      </c>
      <c r="G44" s="5">
        <f t="shared" si="1"/>
        <v>86</v>
      </c>
      <c r="H44" s="9">
        <f t="shared" si="2"/>
        <v>88</v>
      </c>
    </row>
    <row r="45" spans="1:8" x14ac:dyDescent="0.25">
      <c r="A45" s="14" t="s">
        <v>30</v>
      </c>
      <c r="B45" s="6">
        <v>17</v>
      </c>
      <c r="C45" s="4">
        <v>2</v>
      </c>
      <c r="D45" s="5">
        <f t="shared" si="0"/>
        <v>19</v>
      </c>
      <c r="E45" s="6">
        <v>0</v>
      </c>
      <c r="F45" s="4">
        <v>0</v>
      </c>
      <c r="G45" s="5">
        <f t="shared" si="1"/>
        <v>0</v>
      </c>
      <c r="H45" s="9">
        <f t="shared" si="2"/>
        <v>19</v>
      </c>
    </row>
    <row r="46" spans="1:8" x14ac:dyDescent="0.25">
      <c r="A46" s="14" t="s">
        <v>31</v>
      </c>
      <c r="B46" s="6">
        <v>4</v>
      </c>
      <c r="C46" s="4">
        <v>3</v>
      </c>
      <c r="D46" s="5">
        <f t="shared" si="0"/>
        <v>7</v>
      </c>
      <c r="E46" s="6">
        <v>39</v>
      </c>
      <c r="F46" s="4">
        <v>2</v>
      </c>
      <c r="G46" s="5">
        <f t="shared" si="1"/>
        <v>41</v>
      </c>
      <c r="H46" s="9">
        <f t="shared" si="2"/>
        <v>48</v>
      </c>
    </row>
    <row r="47" spans="1:8" x14ac:dyDescent="0.25">
      <c r="A47" s="14" t="s">
        <v>32</v>
      </c>
      <c r="B47" s="6">
        <v>0</v>
      </c>
      <c r="C47" s="4">
        <v>0</v>
      </c>
      <c r="D47" s="5">
        <f t="shared" si="0"/>
        <v>0</v>
      </c>
      <c r="E47" s="6">
        <v>33</v>
      </c>
      <c r="F47" s="4">
        <v>6</v>
      </c>
      <c r="G47" s="5">
        <f t="shared" si="1"/>
        <v>39</v>
      </c>
      <c r="H47" s="9">
        <f t="shared" si="2"/>
        <v>39</v>
      </c>
    </row>
    <row r="48" spans="1:8" x14ac:dyDescent="0.25">
      <c r="A48" s="14" t="s">
        <v>34</v>
      </c>
      <c r="B48" s="6">
        <v>1</v>
      </c>
      <c r="C48" s="4">
        <v>0</v>
      </c>
      <c r="D48" s="5">
        <f t="shared" si="0"/>
        <v>1</v>
      </c>
      <c r="E48" s="6">
        <v>3</v>
      </c>
      <c r="F48" s="4">
        <v>0</v>
      </c>
      <c r="G48" s="5">
        <f t="shared" si="1"/>
        <v>3</v>
      </c>
      <c r="H48" s="9">
        <f t="shared" si="2"/>
        <v>4</v>
      </c>
    </row>
    <row r="49" spans="1:8" x14ac:dyDescent="0.25">
      <c r="A49" s="14" t="s">
        <v>35</v>
      </c>
      <c r="B49" s="6">
        <v>1</v>
      </c>
      <c r="C49" s="4">
        <v>0</v>
      </c>
      <c r="D49" s="5">
        <f t="shared" si="0"/>
        <v>1</v>
      </c>
      <c r="E49" s="6">
        <v>7</v>
      </c>
      <c r="F49" s="4">
        <v>0</v>
      </c>
      <c r="G49" s="5">
        <f t="shared" si="1"/>
        <v>7</v>
      </c>
      <c r="H49" s="9">
        <f t="shared" si="2"/>
        <v>8</v>
      </c>
    </row>
    <row r="50" spans="1:8" x14ac:dyDescent="0.25">
      <c r="A50" s="14" t="s">
        <v>36</v>
      </c>
      <c r="B50" s="6">
        <v>3</v>
      </c>
      <c r="C50" s="4">
        <v>0</v>
      </c>
      <c r="D50" s="5">
        <f t="shared" si="0"/>
        <v>3</v>
      </c>
      <c r="E50" s="6">
        <v>19</v>
      </c>
      <c r="F50" s="4">
        <v>1</v>
      </c>
      <c r="G50" s="5">
        <f t="shared" si="1"/>
        <v>20</v>
      </c>
      <c r="H50" s="9">
        <f t="shared" si="2"/>
        <v>23</v>
      </c>
    </row>
    <row r="51" spans="1:8" x14ac:dyDescent="0.25">
      <c r="A51" s="14" t="s">
        <v>128</v>
      </c>
      <c r="B51" s="6">
        <v>0</v>
      </c>
      <c r="C51" s="4">
        <v>0</v>
      </c>
      <c r="D51" s="5">
        <f t="shared" si="0"/>
        <v>0</v>
      </c>
      <c r="E51" s="6">
        <v>0</v>
      </c>
      <c r="F51" s="4">
        <v>0</v>
      </c>
      <c r="G51" s="5">
        <f t="shared" si="1"/>
        <v>0</v>
      </c>
      <c r="H51" s="9">
        <f t="shared" si="2"/>
        <v>0</v>
      </c>
    </row>
    <row r="52" spans="1:8" x14ac:dyDescent="0.25">
      <c r="A52" s="14" t="s">
        <v>38</v>
      </c>
      <c r="B52" s="6">
        <v>71</v>
      </c>
      <c r="C52" s="4">
        <v>1</v>
      </c>
      <c r="D52" s="5">
        <f t="shared" si="0"/>
        <v>72</v>
      </c>
      <c r="E52" s="6">
        <v>2</v>
      </c>
      <c r="F52" s="4">
        <v>1</v>
      </c>
      <c r="G52" s="5">
        <f t="shared" si="1"/>
        <v>3</v>
      </c>
      <c r="H52" s="9">
        <f t="shared" si="2"/>
        <v>75</v>
      </c>
    </row>
    <row r="53" spans="1:8" x14ac:dyDescent="0.25">
      <c r="A53" s="14" t="s">
        <v>39</v>
      </c>
      <c r="B53" s="6">
        <v>11</v>
      </c>
      <c r="C53" s="4">
        <v>3</v>
      </c>
      <c r="D53" s="5">
        <f t="shared" si="0"/>
        <v>14</v>
      </c>
      <c r="E53" s="6">
        <v>60</v>
      </c>
      <c r="F53" s="4">
        <v>5</v>
      </c>
      <c r="G53" s="5">
        <f t="shared" si="1"/>
        <v>65</v>
      </c>
      <c r="H53" s="9">
        <f t="shared" si="2"/>
        <v>79</v>
      </c>
    </row>
    <row r="54" spans="1:8" x14ac:dyDescent="0.25">
      <c r="A54" s="14" t="s">
        <v>40</v>
      </c>
      <c r="B54" s="6">
        <v>0</v>
      </c>
      <c r="C54" s="4">
        <v>1</v>
      </c>
      <c r="D54" s="5">
        <f t="shared" si="0"/>
        <v>1</v>
      </c>
      <c r="E54" s="6">
        <v>115</v>
      </c>
      <c r="F54" s="4">
        <v>6</v>
      </c>
      <c r="G54" s="5">
        <f t="shared" si="1"/>
        <v>121</v>
      </c>
      <c r="H54" s="9">
        <f t="shared" si="2"/>
        <v>122</v>
      </c>
    </row>
    <row r="55" spans="1:8" x14ac:dyDescent="0.25">
      <c r="A55" s="14" t="s">
        <v>103</v>
      </c>
      <c r="B55" s="6">
        <v>0</v>
      </c>
      <c r="C55" s="4">
        <v>0</v>
      </c>
      <c r="D55" s="5">
        <f t="shared" si="0"/>
        <v>0</v>
      </c>
      <c r="E55" s="6">
        <v>53</v>
      </c>
      <c r="F55" s="4">
        <v>1</v>
      </c>
      <c r="G55" s="5">
        <f t="shared" si="1"/>
        <v>54</v>
      </c>
      <c r="H55" s="9">
        <f t="shared" si="2"/>
        <v>54</v>
      </c>
    </row>
    <row r="56" spans="1:8" x14ac:dyDescent="0.25">
      <c r="A56" s="14" t="s">
        <v>41</v>
      </c>
      <c r="B56" s="6">
        <v>3</v>
      </c>
      <c r="C56" s="4">
        <v>0</v>
      </c>
      <c r="D56" s="5">
        <f t="shared" si="0"/>
        <v>3</v>
      </c>
      <c r="E56" s="6">
        <v>4</v>
      </c>
      <c r="F56" s="4">
        <v>0</v>
      </c>
      <c r="G56" s="5">
        <f t="shared" si="1"/>
        <v>4</v>
      </c>
      <c r="H56" s="9">
        <f t="shared" si="2"/>
        <v>7</v>
      </c>
    </row>
    <row r="57" spans="1:8" x14ac:dyDescent="0.25">
      <c r="A57" s="14" t="s">
        <v>121</v>
      </c>
      <c r="B57" s="6">
        <v>8</v>
      </c>
      <c r="C57" s="4">
        <v>1</v>
      </c>
      <c r="D57" s="5">
        <f t="shared" si="0"/>
        <v>9</v>
      </c>
      <c r="E57" s="6">
        <v>40</v>
      </c>
      <c r="F57" s="4">
        <v>1</v>
      </c>
      <c r="G57" s="5">
        <f t="shared" si="1"/>
        <v>41</v>
      </c>
      <c r="H57" s="9">
        <f t="shared" si="2"/>
        <v>50</v>
      </c>
    </row>
    <row r="58" spans="1:8" x14ac:dyDescent="0.25">
      <c r="A58" s="14" t="s">
        <v>42</v>
      </c>
      <c r="B58" s="6">
        <v>4</v>
      </c>
      <c r="C58" s="4">
        <v>0</v>
      </c>
      <c r="D58" s="5">
        <f t="shared" si="0"/>
        <v>4</v>
      </c>
      <c r="E58" s="6">
        <v>7</v>
      </c>
      <c r="F58" s="4">
        <v>0</v>
      </c>
      <c r="G58" s="5">
        <f t="shared" si="1"/>
        <v>7</v>
      </c>
      <c r="H58" s="9">
        <f t="shared" si="2"/>
        <v>11</v>
      </c>
    </row>
    <row r="59" spans="1:8" x14ac:dyDescent="0.25">
      <c r="A59" s="14" t="s">
        <v>43</v>
      </c>
      <c r="B59" s="6">
        <v>0</v>
      </c>
      <c r="C59" s="4">
        <v>0</v>
      </c>
      <c r="D59" s="5">
        <f t="shared" si="0"/>
        <v>0</v>
      </c>
      <c r="E59" s="6">
        <v>3</v>
      </c>
      <c r="F59" s="4">
        <v>1</v>
      </c>
      <c r="G59" s="5">
        <f t="shared" si="1"/>
        <v>4</v>
      </c>
      <c r="H59" s="9">
        <f t="shared" si="2"/>
        <v>4</v>
      </c>
    </row>
    <row r="60" spans="1:8" x14ac:dyDescent="0.25">
      <c r="A60" s="14" t="s">
        <v>44</v>
      </c>
      <c r="B60" s="6">
        <v>0</v>
      </c>
      <c r="C60" s="4">
        <v>0</v>
      </c>
      <c r="D60" s="5">
        <f t="shared" si="0"/>
        <v>0</v>
      </c>
      <c r="E60" s="6">
        <v>6</v>
      </c>
      <c r="F60" s="4">
        <v>0</v>
      </c>
      <c r="G60" s="5">
        <f t="shared" si="1"/>
        <v>6</v>
      </c>
      <c r="H60" s="9">
        <f t="shared" si="2"/>
        <v>6</v>
      </c>
    </row>
    <row r="61" spans="1:8" x14ac:dyDescent="0.25">
      <c r="A61" s="14" t="s">
        <v>45</v>
      </c>
      <c r="B61" s="6">
        <v>5</v>
      </c>
      <c r="C61" s="4">
        <v>2</v>
      </c>
      <c r="D61" s="5">
        <f t="shared" si="0"/>
        <v>7</v>
      </c>
      <c r="E61" s="6">
        <v>5</v>
      </c>
      <c r="F61" s="4">
        <v>0</v>
      </c>
      <c r="G61" s="5">
        <f t="shared" si="1"/>
        <v>5</v>
      </c>
      <c r="H61" s="9">
        <f t="shared" si="2"/>
        <v>12</v>
      </c>
    </row>
    <row r="62" spans="1:8" x14ac:dyDescent="0.25">
      <c r="A62" s="14" t="s">
        <v>48</v>
      </c>
      <c r="B62" s="6">
        <v>1</v>
      </c>
      <c r="C62" s="4">
        <v>0</v>
      </c>
      <c r="D62" s="5">
        <f t="shared" si="0"/>
        <v>1</v>
      </c>
      <c r="E62" s="6">
        <v>0</v>
      </c>
      <c r="F62" s="4">
        <v>0</v>
      </c>
      <c r="G62" s="5">
        <f t="shared" si="1"/>
        <v>0</v>
      </c>
      <c r="H62" s="9">
        <f t="shared" si="2"/>
        <v>1</v>
      </c>
    </row>
    <row r="63" spans="1:8" x14ac:dyDescent="0.25">
      <c r="A63" s="14" t="s">
        <v>49</v>
      </c>
      <c r="B63" s="6">
        <v>0</v>
      </c>
      <c r="C63" s="4">
        <v>0</v>
      </c>
      <c r="D63" s="5">
        <f t="shared" si="0"/>
        <v>0</v>
      </c>
      <c r="E63" s="6">
        <v>41</v>
      </c>
      <c r="F63" s="4">
        <v>3</v>
      </c>
      <c r="G63" s="5">
        <f t="shared" si="1"/>
        <v>44</v>
      </c>
      <c r="H63" s="9">
        <f t="shared" si="2"/>
        <v>44</v>
      </c>
    </row>
    <row r="64" spans="1:8" x14ac:dyDescent="0.25">
      <c r="A64" s="14" t="s">
        <v>122</v>
      </c>
      <c r="B64" s="6">
        <v>0</v>
      </c>
      <c r="C64" s="4">
        <v>0</v>
      </c>
      <c r="D64" s="5">
        <f t="shared" si="0"/>
        <v>0</v>
      </c>
      <c r="E64" s="6">
        <v>6</v>
      </c>
      <c r="F64" s="4">
        <v>2</v>
      </c>
      <c r="G64" s="5">
        <f t="shared" si="1"/>
        <v>8</v>
      </c>
      <c r="H64" s="9">
        <f t="shared" si="2"/>
        <v>8</v>
      </c>
    </row>
    <row r="65" spans="1:8" x14ac:dyDescent="0.25">
      <c r="A65" s="14" t="s">
        <v>92</v>
      </c>
      <c r="B65" s="6">
        <v>0</v>
      </c>
      <c r="C65" s="4">
        <v>0</v>
      </c>
      <c r="D65" s="5">
        <f t="shared" si="0"/>
        <v>0</v>
      </c>
      <c r="E65" s="6">
        <v>117</v>
      </c>
      <c r="F65" s="4">
        <v>15</v>
      </c>
      <c r="G65" s="5">
        <f t="shared" si="1"/>
        <v>132</v>
      </c>
      <c r="H65" s="9">
        <f t="shared" si="2"/>
        <v>132</v>
      </c>
    </row>
    <row r="66" spans="1:8" x14ac:dyDescent="0.25">
      <c r="A66" s="14" t="s">
        <v>96</v>
      </c>
      <c r="B66" s="6">
        <v>0</v>
      </c>
      <c r="C66" s="4">
        <v>0</v>
      </c>
      <c r="D66" s="5">
        <f t="shared" si="0"/>
        <v>0</v>
      </c>
      <c r="E66" s="6">
        <v>86</v>
      </c>
      <c r="F66" s="4">
        <v>11</v>
      </c>
      <c r="G66" s="5">
        <f t="shared" si="1"/>
        <v>97</v>
      </c>
      <c r="H66" s="9">
        <f t="shared" si="2"/>
        <v>97</v>
      </c>
    </row>
    <row r="67" spans="1:8" x14ac:dyDescent="0.25">
      <c r="A67" s="14" t="s">
        <v>112</v>
      </c>
      <c r="B67" s="6">
        <v>0</v>
      </c>
      <c r="C67" s="4">
        <v>0</v>
      </c>
      <c r="D67" s="5">
        <f t="shared" si="0"/>
        <v>0</v>
      </c>
      <c r="E67" s="6">
        <v>2</v>
      </c>
      <c r="F67" s="4">
        <v>0</v>
      </c>
      <c r="G67" s="5">
        <f t="shared" si="1"/>
        <v>2</v>
      </c>
      <c r="H67" s="9">
        <f t="shared" si="2"/>
        <v>2</v>
      </c>
    </row>
    <row r="68" spans="1:8" x14ac:dyDescent="0.25">
      <c r="A68" s="14" t="s">
        <v>107</v>
      </c>
      <c r="B68" s="6">
        <v>0</v>
      </c>
      <c r="C68" s="4">
        <v>0</v>
      </c>
      <c r="D68" s="5">
        <f t="shared" si="0"/>
        <v>0</v>
      </c>
      <c r="E68" s="6">
        <v>172</v>
      </c>
      <c r="F68" s="4">
        <v>20</v>
      </c>
      <c r="G68" s="5">
        <f t="shared" si="1"/>
        <v>192</v>
      </c>
      <c r="H68" s="9">
        <f t="shared" si="2"/>
        <v>192</v>
      </c>
    </row>
    <row r="69" spans="1:8" x14ac:dyDescent="0.25">
      <c r="A69" s="14" t="s">
        <v>51</v>
      </c>
      <c r="B69" s="6">
        <v>0</v>
      </c>
      <c r="C69" s="4">
        <v>0</v>
      </c>
      <c r="D69" s="5">
        <f t="shared" si="0"/>
        <v>0</v>
      </c>
      <c r="E69" s="6">
        <v>8</v>
      </c>
      <c r="F69" s="4">
        <v>0</v>
      </c>
      <c r="G69" s="5">
        <f t="shared" si="1"/>
        <v>8</v>
      </c>
      <c r="H69" s="9">
        <f t="shared" si="2"/>
        <v>8</v>
      </c>
    </row>
    <row r="70" spans="1:8" x14ac:dyDescent="0.25">
      <c r="A70" s="14" t="s">
        <v>136</v>
      </c>
      <c r="B70" s="6">
        <v>0</v>
      </c>
      <c r="C70" s="4">
        <v>0</v>
      </c>
      <c r="D70" s="5">
        <f t="shared" ref="D70:D75" si="3">SUM(B70:C70)</f>
        <v>0</v>
      </c>
      <c r="E70" s="6">
        <v>0</v>
      </c>
      <c r="F70" s="4">
        <v>0</v>
      </c>
      <c r="G70" s="5">
        <f t="shared" ref="G70:G75" si="4">SUM(E70:F70)</f>
        <v>0</v>
      </c>
      <c r="H70" s="9">
        <f t="shared" ref="H70:H75" si="5">D70+G70</f>
        <v>0</v>
      </c>
    </row>
    <row r="71" spans="1:8" x14ac:dyDescent="0.25">
      <c r="A71" s="14" t="s">
        <v>52</v>
      </c>
      <c r="B71" s="6">
        <v>0</v>
      </c>
      <c r="C71" s="4">
        <v>0</v>
      </c>
      <c r="D71" s="5">
        <f t="shared" si="3"/>
        <v>0</v>
      </c>
      <c r="E71" s="6">
        <v>8</v>
      </c>
      <c r="F71" s="4">
        <v>0</v>
      </c>
      <c r="G71" s="5">
        <f t="shared" si="4"/>
        <v>8</v>
      </c>
      <c r="H71" s="9">
        <f t="shared" si="5"/>
        <v>8</v>
      </c>
    </row>
    <row r="72" spans="1:8" x14ac:dyDescent="0.25">
      <c r="A72" s="14" t="s">
        <v>113</v>
      </c>
      <c r="B72" s="6">
        <v>0</v>
      </c>
      <c r="C72" s="4">
        <v>0</v>
      </c>
      <c r="D72" s="5">
        <f t="shared" si="3"/>
        <v>0</v>
      </c>
      <c r="E72" s="6">
        <v>22</v>
      </c>
      <c r="F72" s="4">
        <v>0</v>
      </c>
      <c r="G72" s="5">
        <f t="shared" si="4"/>
        <v>22</v>
      </c>
      <c r="H72" s="9">
        <f t="shared" si="5"/>
        <v>22</v>
      </c>
    </row>
    <row r="73" spans="1:8" x14ac:dyDescent="0.25">
      <c r="A73" s="14" t="s">
        <v>134</v>
      </c>
      <c r="B73" s="6">
        <v>0</v>
      </c>
      <c r="C73" s="4">
        <v>0</v>
      </c>
      <c r="D73" s="5">
        <f t="shared" si="3"/>
        <v>0</v>
      </c>
      <c r="E73" s="6">
        <v>22</v>
      </c>
      <c r="F73" s="4">
        <v>5</v>
      </c>
      <c r="G73" s="5">
        <f t="shared" si="4"/>
        <v>27</v>
      </c>
      <c r="H73" s="9">
        <f t="shared" si="5"/>
        <v>27</v>
      </c>
    </row>
    <row r="74" spans="1:8" x14ac:dyDescent="0.25">
      <c r="A74" s="14" t="s">
        <v>123</v>
      </c>
      <c r="B74" s="6">
        <v>0</v>
      </c>
      <c r="C74" s="4">
        <v>0</v>
      </c>
      <c r="D74" s="5">
        <f t="shared" si="3"/>
        <v>0</v>
      </c>
      <c r="E74" s="6">
        <v>47</v>
      </c>
      <c r="F74" s="4">
        <v>1</v>
      </c>
      <c r="G74" s="5">
        <f t="shared" si="4"/>
        <v>48</v>
      </c>
      <c r="H74" s="9">
        <f t="shared" si="5"/>
        <v>48</v>
      </c>
    </row>
    <row r="75" spans="1:8" x14ac:dyDescent="0.25">
      <c r="A75" s="14" t="s">
        <v>56</v>
      </c>
      <c r="B75" s="6">
        <v>0</v>
      </c>
      <c r="C75" s="4">
        <v>0</v>
      </c>
      <c r="D75" s="5">
        <f t="shared" si="3"/>
        <v>0</v>
      </c>
      <c r="E75" s="6">
        <v>61</v>
      </c>
      <c r="F75" s="4">
        <v>9</v>
      </c>
      <c r="G75" s="5">
        <f t="shared" si="4"/>
        <v>70</v>
      </c>
      <c r="H75" s="9">
        <f t="shared" si="5"/>
        <v>70</v>
      </c>
    </row>
    <row r="76" spans="1:8" x14ac:dyDescent="0.25">
      <c r="A76" s="14" t="s">
        <v>137</v>
      </c>
      <c r="B76" s="6">
        <v>0</v>
      </c>
      <c r="C76" s="4">
        <v>0</v>
      </c>
      <c r="D76" s="5">
        <f t="shared" si="0"/>
        <v>0</v>
      </c>
      <c r="E76" s="6">
        <v>43</v>
      </c>
      <c r="F76" s="4">
        <v>0</v>
      </c>
      <c r="G76" s="5">
        <f t="shared" si="1"/>
        <v>43</v>
      </c>
      <c r="H76" s="9">
        <f t="shared" si="2"/>
        <v>43</v>
      </c>
    </row>
    <row r="77" spans="1:8" x14ac:dyDescent="0.25">
      <c r="A77" s="14" t="s">
        <v>115</v>
      </c>
      <c r="B77" s="6">
        <v>0</v>
      </c>
      <c r="C77" s="4">
        <v>0</v>
      </c>
      <c r="D77" s="5">
        <f t="shared" si="0"/>
        <v>0</v>
      </c>
      <c r="E77" s="6">
        <v>1</v>
      </c>
      <c r="F77" s="4">
        <v>0</v>
      </c>
      <c r="G77" s="5">
        <f t="shared" si="1"/>
        <v>1</v>
      </c>
      <c r="H77" s="9">
        <f t="shared" si="2"/>
        <v>1</v>
      </c>
    </row>
    <row r="78" spans="1:8" x14ac:dyDescent="0.25">
      <c r="A78" s="14" t="s">
        <v>99</v>
      </c>
      <c r="B78" s="6">
        <v>0</v>
      </c>
      <c r="C78" s="4">
        <v>0</v>
      </c>
      <c r="D78" s="5">
        <f t="shared" si="0"/>
        <v>0</v>
      </c>
      <c r="E78" s="6">
        <v>40</v>
      </c>
      <c r="F78" s="4">
        <v>2</v>
      </c>
      <c r="G78" s="5">
        <f t="shared" si="1"/>
        <v>42</v>
      </c>
      <c r="H78" s="9">
        <f t="shared" si="2"/>
        <v>42</v>
      </c>
    </row>
    <row r="79" spans="1:8" x14ac:dyDescent="0.25">
      <c r="A79" s="14" t="s">
        <v>59</v>
      </c>
      <c r="B79" s="6">
        <v>0</v>
      </c>
      <c r="C79" s="4">
        <v>0</v>
      </c>
      <c r="D79" s="5">
        <f t="shared" si="0"/>
        <v>0</v>
      </c>
      <c r="E79" s="6">
        <v>1</v>
      </c>
      <c r="F79" s="4">
        <v>0</v>
      </c>
      <c r="G79" s="5">
        <f t="shared" si="1"/>
        <v>1</v>
      </c>
      <c r="H79" s="9">
        <f t="shared" si="2"/>
        <v>1</v>
      </c>
    </row>
    <row r="80" spans="1:8" x14ac:dyDescent="0.25">
      <c r="A80" s="14" t="s">
        <v>60</v>
      </c>
      <c r="B80" s="6">
        <v>0</v>
      </c>
      <c r="C80" s="4">
        <v>0</v>
      </c>
      <c r="D80" s="5">
        <f t="shared" si="0"/>
        <v>0</v>
      </c>
      <c r="E80" s="6">
        <v>13</v>
      </c>
      <c r="F80" s="4">
        <v>3</v>
      </c>
      <c r="G80" s="5">
        <f t="shared" si="1"/>
        <v>16</v>
      </c>
      <c r="H80" s="9">
        <f t="shared" si="2"/>
        <v>16</v>
      </c>
    </row>
    <row r="81" spans="1:8" x14ac:dyDescent="0.25">
      <c r="A81" s="14" t="s">
        <v>61</v>
      </c>
      <c r="B81" s="6">
        <v>0</v>
      </c>
      <c r="C81" s="4">
        <v>0</v>
      </c>
      <c r="D81" s="5">
        <f t="shared" si="0"/>
        <v>0</v>
      </c>
      <c r="E81" s="6">
        <v>5</v>
      </c>
      <c r="F81" s="4">
        <v>0</v>
      </c>
      <c r="G81" s="5">
        <f t="shared" si="1"/>
        <v>5</v>
      </c>
      <c r="H81" s="9">
        <f t="shared" si="2"/>
        <v>5</v>
      </c>
    </row>
    <row r="82" spans="1:8" x14ac:dyDescent="0.25">
      <c r="A82" s="14" t="s">
        <v>70</v>
      </c>
      <c r="B82" s="6">
        <v>0</v>
      </c>
      <c r="C82" s="4">
        <v>0</v>
      </c>
      <c r="D82" s="5">
        <f t="shared" si="0"/>
        <v>0</v>
      </c>
      <c r="E82" s="6">
        <v>16</v>
      </c>
      <c r="F82" s="4">
        <v>3</v>
      </c>
      <c r="G82" s="5">
        <f t="shared" si="1"/>
        <v>19</v>
      </c>
      <c r="H82" s="9">
        <f t="shared" si="2"/>
        <v>19</v>
      </c>
    </row>
    <row r="83" spans="1:8" x14ac:dyDescent="0.25">
      <c r="A83" s="14" t="s">
        <v>62</v>
      </c>
      <c r="B83" s="6">
        <v>0</v>
      </c>
      <c r="C83" s="4">
        <v>0</v>
      </c>
      <c r="D83" s="5">
        <f t="shared" si="0"/>
        <v>0</v>
      </c>
      <c r="E83" s="6">
        <v>13</v>
      </c>
      <c r="F83" s="4">
        <v>4</v>
      </c>
      <c r="G83" s="5">
        <f t="shared" si="1"/>
        <v>17</v>
      </c>
      <c r="H83" s="9">
        <f t="shared" si="2"/>
        <v>17</v>
      </c>
    </row>
    <row r="84" spans="1:8" x14ac:dyDescent="0.25">
      <c r="A84" s="14" t="s">
        <v>116</v>
      </c>
      <c r="B84" s="6">
        <v>0</v>
      </c>
      <c r="C84" s="4">
        <v>0</v>
      </c>
      <c r="D84" s="5">
        <f t="shared" si="0"/>
        <v>0</v>
      </c>
      <c r="E84" s="6">
        <v>3</v>
      </c>
      <c r="F84" s="4">
        <v>1</v>
      </c>
      <c r="G84" s="5">
        <f t="shared" si="1"/>
        <v>4</v>
      </c>
      <c r="H84" s="9">
        <f t="shared" si="2"/>
        <v>4</v>
      </c>
    </row>
    <row r="85" spans="1:8" x14ac:dyDescent="0.25">
      <c r="A85" s="14" t="s">
        <v>138</v>
      </c>
      <c r="B85" s="6">
        <v>0</v>
      </c>
      <c r="C85" s="4">
        <v>0</v>
      </c>
      <c r="D85" s="5">
        <f t="shared" si="0"/>
        <v>0</v>
      </c>
      <c r="E85" s="6">
        <v>1</v>
      </c>
      <c r="F85" s="4">
        <v>2</v>
      </c>
      <c r="G85" s="5">
        <f t="shared" si="1"/>
        <v>3</v>
      </c>
      <c r="H85" s="9">
        <f t="shared" si="2"/>
        <v>3</v>
      </c>
    </row>
    <row r="86" spans="1:8" x14ac:dyDescent="0.25">
      <c r="A86" s="14" t="s">
        <v>124</v>
      </c>
      <c r="B86" s="6">
        <v>3</v>
      </c>
      <c r="C86" s="4">
        <v>1</v>
      </c>
      <c r="D86" s="5">
        <f t="shared" ref="D86:D89" si="6">SUM(B86:C86)</f>
        <v>4</v>
      </c>
      <c r="E86" s="6">
        <v>0</v>
      </c>
      <c r="F86" s="4">
        <v>0</v>
      </c>
      <c r="G86" s="5">
        <f t="shared" ref="G86:G89" si="7">SUM(E86:F86)</f>
        <v>0</v>
      </c>
      <c r="H86" s="9">
        <f t="shared" ref="H86:H89" si="8">D86+G86</f>
        <v>4</v>
      </c>
    </row>
    <row r="87" spans="1:8" x14ac:dyDescent="0.25">
      <c r="A87" s="14" t="s">
        <v>117</v>
      </c>
      <c r="B87" s="6">
        <v>0</v>
      </c>
      <c r="C87" s="4">
        <v>0</v>
      </c>
      <c r="D87" s="5">
        <f t="shared" si="6"/>
        <v>0</v>
      </c>
      <c r="E87" s="6">
        <v>33</v>
      </c>
      <c r="F87" s="4">
        <v>1</v>
      </c>
      <c r="G87" s="5">
        <f t="shared" si="7"/>
        <v>34</v>
      </c>
      <c r="H87" s="9">
        <f t="shared" si="8"/>
        <v>34</v>
      </c>
    </row>
    <row r="88" spans="1:8" x14ac:dyDescent="0.25">
      <c r="A88" s="14" t="s">
        <v>67</v>
      </c>
      <c r="B88" s="6">
        <v>0</v>
      </c>
      <c r="C88" s="4">
        <v>0</v>
      </c>
      <c r="D88" s="5">
        <f t="shared" si="6"/>
        <v>0</v>
      </c>
      <c r="E88" s="6">
        <v>27</v>
      </c>
      <c r="F88" s="4">
        <v>8</v>
      </c>
      <c r="G88" s="5">
        <f t="shared" si="7"/>
        <v>35</v>
      </c>
      <c r="H88" s="9">
        <f t="shared" si="8"/>
        <v>35</v>
      </c>
    </row>
    <row r="89" spans="1:8" ht="15.75" thickBot="1" x14ac:dyDescent="0.3">
      <c r="A89" s="15" t="s">
        <v>125</v>
      </c>
      <c r="B89" s="11">
        <v>0</v>
      </c>
      <c r="C89" s="12">
        <v>0</v>
      </c>
      <c r="D89" s="12">
        <f t="shared" si="6"/>
        <v>0</v>
      </c>
      <c r="E89" s="11">
        <v>30</v>
      </c>
      <c r="F89" s="12">
        <v>20</v>
      </c>
      <c r="G89" s="13">
        <f t="shared" si="7"/>
        <v>50</v>
      </c>
      <c r="H89" s="16">
        <f t="shared" si="8"/>
        <v>50</v>
      </c>
    </row>
    <row r="90" spans="1:8" ht="16.5" thickTop="1" thickBot="1" x14ac:dyDescent="0.3">
      <c r="A90" s="8" t="s">
        <v>0</v>
      </c>
      <c r="B90" s="7">
        <f t="shared" ref="B90:H90" si="9">SUM(B7:B89)</f>
        <v>224</v>
      </c>
      <c r="C90" s="7">
        <f t="shared" si="9"/>
        <v>29</v>
      </c>
      <c r="D90" s="7">
        <f t="shared" si="9"/>
        <v>253</v>
      </c>
      <c r="E90" s="7">
        <f t="shared" si="9"/>
        <v>2188</v>
      </c>
      <c r="F90" s="7">
        <f t="shared" si="9"/>
        <v>289</v>
      </c>
      <c r="G90" s="8">
        <f t="shared" si="9"/>
        <v>2477</v>
      </c>
      <c r="H90" s="10">
        <f t="shared" si="9"/>
        <v>2730</v>
      </c>
    </row>
    <row r="91" spans="1:8" ht="15.75" thickBot="1" x14ac:dyDescent="0.3"/>
    <row r="92" spans="1:8" x14ac:dyDescent="0.25">
      <c r="A92" s="26" t="s">
        <v>74</v>
      </c>
      <c r="B92" s="28" t="s">
        <v>3</v>
      </c>
      <c r="C92" s="29"/>
      <c r="D92" s="29"/>
      <c r="E92" s="28" t="s">
        <v>4</v>
      </c>
      <c r="F92" s="29"/>
      <c r="G92" s="29"/>
      <c r="H92" s="26" t="s">
        <v>0</v>
      </c>
    </row>
    <row r="93" spans="1:8" x14ac:dyDescent="0.25">
      <c r="A93" s="27"/>
      <c r="B93" s="20" t="s">
        <v>82</v>
      </c>
      <c r="C93" s="21" t="s">
        <v>83</v>
      </c>
      <c r="D93" s="22" t="s">
        <v>0</v>
      </c>
      <c r="E93" s="20" t="s">
        <v>82</v>
      </c>
      <c r="F93" s="21" t="s">
        <v>83</v>
      </c>
      <c r="G93" s="22" t="s">
        <v>0</v>
      </c>
      <c r="H93" s="27"/>
    </row>
    <row r="94" spans="1:8" x14ac:dyDescent="0.25">
      <c r="A94" s="14" t="s">
        <v>75</v>
      </c>
      <c r="B94" s="6">
        <v>39</v>
      </c>
      <c r="C94" s="4">
        <v>1</v>
      </c>
      <c r="D94" s="5">
        <f t="shared" ref="D94:D102" si="10">SUM(B94:C94)</f>
        <v>40</v>
      </c>
      <c r="E94" s="6">
        <v>187</v>
      </c>
      <c r="F94" s="4">
        <v>7</v>
      </c>
      <c r="G94" s="5">
        <f t="shared" ref="G94:G102" si="11">SUM(E94:F94)</f>
        <v>194</v>
      </c>
      <c r="H94" s="9">
        <f t="shared" ref="H94:H102" si="12">D94+G94</f>
        <v>234</v>
      </c>
    </row>
    <row r="95" spans="1:8" x14ac:dyDescent="0.25">
      <c r="A95" s="14" t="s">
        <v>76</v>
      </c>
      <c r="B95" s="6">
        <v>16</v>
      </c>
      <c r="C95" s="4">
        <v>2</v>
      </c>
      <c r="D95" s="5">
        <f t="shared" ref="D95" si="13">SUM(B95:C95)</f>
        <v>18</v>
      </c>
      <c r="E95" s="6">
        <v>274</v>
      </c>
      <c r="F95" s="4">
        <v>15</v>
      </c>
      <c r="G95" s="5">
        <f t="shared" ref="G95" si="14">SUM(E95:F95)</f>
        <v>289</v>
      </c>
      <c r="H95" s="9">
        <f t="shared" ref="H95" si="15">D95+G95</f>
        <v>307</v>
      </c>
    </row>
    <row r="96" spans="1:8" x14ac:dyDescent="0.25">
      <c r="A96" s="14" t="s">
        <v>77</v>
      </c>
      <c r="B96" s="6">
        <v>3</v>
      </c>
      <c r="C96" s="4">
        <v>1</v>
      </c>
      <c r="D96" s="5">
        <f t="shared" si="10"/>
        <v>4</v>
      </c>
      <c r="E96" s="6">
        <v>644</v>
      </c>
      <c r="F96" s="4">
        <v>88</v>
      </c>
      <c r="G96" s="5">
        <f t="shared" si="11"/>
        <v>732</v>
      </c>
      <c r="H96" s="9">
        <f t="shared" si="12"/>
        <v>736</v>
      </c>
    </row>
    <row r="97" spans="1:8" x14ac:dyDescent="0.25">
      <c r="A97" s="14" t="s">
        <v>107</v>
      </c>
      <c r="B97" s="6">
        <v>0</v>
      </c>
      <c r="C97" s="4">
        <v>0</v>
      </c>
      <c r="D97" s="5">
        <f t="shared" si="10"/>
        <v>0</v>
      </c>
      <c r="E97" s="6">
        <v>172</v>
      </c>
      <c r="F97" s="4">
        <v>20</v>
      </c>
      <c r="G97" s="5">
        <f t="shared" si="11"/>
        <v>192</v>
      </c>
      <c r="H97" s="9">
        <f t="shared" si="12"/>
        <v>192</v>
      </c>
    </row>
    <row r="98" spans="1:8" x14ac:dyDescent="0.25">
      <c r="A98" s="14" t="s">
        <v>129</v>
      </c>
      <c r="B98" s="6">
        <v>17</v>
      </c>
      <c r="C98" s="4">
        <v>10</v>
      </c>
      <c r="D98" s="5">
        <f t="shared" si="10"/>
        <v>27</v>
      </c>
      <c r="E98" s="6">
        <v>257</v>
      </c>
      <c r="F98" s="4">
        <v>115</v>
      </c>
      <c r="G98" s="5">
        <f t="shared" si="11"/>
        <v>372</v>
      </c>
      <c r="H98" s="9">
        <f t="shared" si="12"/>
        <v>399</v>
      </c>
    </row>
    <row r="99" spans="1:8" x14ac:dyDescent="0.25">
      <c r="A99" s="14" t="s">
        <v>1</v>
      </c>
      <c r="B99" s="6">
        <v>0</v>
      </c>
      <c r="C99" s="4">
        <v>0</v>
      </c>
      <c r="D99" s="5">
        <f t="shared" si="10"/>
        <v>0</v>
      </c>
      <c r="E99" s="6">
        <v>44</v>
      </c>
      <c r="F99" s="4">
        <v>2</v>
      </c>
      <c r="G99" s="5">
        <f t="shared" si="11"/>
        <v>46</v>
      </c>
      <c r="H99" s="9">
        <f t="shared" si="12"/>
        <v>46</v>
      </c>
    </row>
    <row r="100" spans="1:8" x14ac:dyDescent="0.25">
      <c r="A100" s="14" t="s">
        <v>79</v>
      </c>
      <c r="B100" s="6">
        <v>35</v>
      </c>
      <c r="C100" s="4">
        <v>5</v>
      </c>
      <c r="D100" s="5">
        <f t="shared" si="10"/>
        <v>40</v>
      </c>
      <c r="E100" s="6">
        <v>233</v>
      </c>
      <c r="F100" s="4">
        <v>17</v>
      </c>
      <c r="G100" s="5">
        <f t="shared" si="11"/>
        <v>250</v>
      </c>
      <c r="H100" s="9">
        <f t="shared" si="12"/>
        <v>290</v>
      </c>
    </row>
    <row r="101" spans="1:8" x14ac:dyDescent="0.25">
      <c r="A101" s="14" t="s">
        <v>80</v>
      </c>
      <c r="B101" s="6">
        <v>103</v>
      </c>
      <c r="C101" s="4">
        <v>6</v>
      </c>
      <c r="D101" s="5">
        <f t="shared" si="10"/>
        <v>109</v>
      </c>
      <c r="E101" s="6">
        <v>32</v>
      </c>
      <c r="F101" s="4">
        <v>2</v>
      </c>
      <c r="G101" s="5">
        <f t="shared" si="11"/>
        <v>34</v>
      </c>
      <c r="H101" s="9">
        <f t="shared" si="12"/>
        <v>143</v>
      </c>
    </row>
    <row r="102" spans="1:8" ht="15.75" thickBot="1" x14ac:dyDescent="0.3">
      <c r="A102" s="15" t="s">
        <v>81</v>
      </c>
      <c r="B102" s="11">
        <v>11</v>
      </c>
      <c r="C102" s="12">
        <v>4</v>
      </c>
      <c r="D102" s="12">
        <f t="shared" si="10"/>
        <v>15</v>
      </c>
      <c r="E102" s="11">
        <v>345</v>
      </c>
      <c r="F102" s="12">
        <v>23</v>
      </c>
      <c r="G102" s="13">
        <f t="shared" si="11"/>
        <v>368</v>
      </c>
      <c r="H102" s="16">
        <f t="shared" si="12"/>
        <v>383</v>
      </c>
    </row>
    <row r="103" spans="1:8" ht="16.5" thickTop="1" thickBot="1" x14ac:dyDescent="0.3">
      <c r="A103" s="8" t="s">
        <v>0</v>
      </c>
      <c r="B103" s="7">
        <f>SUM(B94:B102)</f>
        <v>224</v>
      </c>
      <c r="C103" s="7">
        <f>SUM(C94:C102)</f>
        <v>29</v>
      </c>
      <c r="D103" s="7">
        <f t="shared" ref="D103:H103" si="16">SUM(D94:D102)</f>
        <v>253</v>
      </c>
      <c r="E103" s="7">
        <f t="shared" si="16"/>
        <v>2188</v>
      </c>
      <c r="F103" s="7">
        <f t="shared" si="16"/>
        <v>289</v>
      </c>
      <c r="G103" s="7">
        <f t="shared" si="16"/>
        <v>2477</v>
      </c>
      <c r="H103" s="7">
        <f t="shared" si="16"/>
        <v>2730</v>
      </c>
    </row>
    <row r="105" spans="1:8" x14ac:dyDescent="0.25">
      <c r="A105" s="33" t="s">
        <v>86</v>
      </c>
      <c r="B105" s="33"/>
      <c r="C105" s="33"/>
      <c r="D105" s="33"/>
      <c r="E105" s="33"/>
      <c r="F105" s="33"/>
      <c r="G105" s="33"/>
      <c r="H105" s="33"/>
    </row>
    <row r="106" spans="1:8" x14ac:dyDescent="0.25">
      <c r="A106" s="33"/>
      <c r="B106" s="33"/>
      <c r="C106" s="33"/>
      <c r="D106" s="33"/>
      <c r="E106" s="33"/>
      <c r="F106" s="33"/>
      <c r="G106" s="33"/>
      <c r="H106" s="33"/>
    </row>
    <row r="107" spans="1:8" x14ac:dyDescent="0.25">
      <c r="A107" s="33"/>
      <c r="B107" s="33"/>
      <c r="C107" s="33"/>
      <c r="D107" s="33"/>
      <c r="E107" s="33"/>
      <c r="F107" s="33"/>
      <c r="G107" s="33"/>
      <c r="H107" s="33"/>
    </row>
    <row r="109" spans="1:8" x14ac:dyDescent="0.25">
      <c r="A109" s="34"/>
      <c r="B109" s="34"/>
      <c r="C109" s="34"/>
      <c r="D109" s="34"/>
      <c r="E109" s="34"/>
      <c r="F109" s="34"/>
      <c r="G109" s="34"/>
      <c r="H109" s="34"/>
    </row>
  </sheetData>
  <mergeCells count="11">
    <mergeCell ref="A2:H2"/>
    <mergeCell ref="A5:A6"/>
    <mergeCell ref="B5:D5"/>
    <mergeCell ref="E5:G5"/>
    <mergeCell ref="H5:H6"/>
    <mergeCell ref="A105:H107"/>
    <mergeCell ref="A109:H109"/>
    <mergeCell ref="A92:A93"/>
    <mergeCell ref="B92:D92"/>
    <mergeCell ref="E92:G92"/>
    <mergeCell ref="H92:H9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view="pageLayout" topLeftCell="A82" zoomScale="70" zoomScaleNormal="100" zoomScalePageLayoutView="70" workbookViewId="0">
      <selection activeCell="A95" sqref="A95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2003-04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1</v>
      </c>
      <c r="C7" s="4">
        <v>0</v>
      </c>
      <c r="D7" s="5">
        <f>SUM(B7:C7)</f>
        <v>1</v>
      </c>
      <c r="E7" s="6">
        <v>21</v>
      </c>
      <c r="F7" s="4">
        <v>3</v>
      </c>
      <c r="G7" s="5">
        <f>SUM(E7:F7)</f>
        <v>24</v>
      </c>
      <c r="H7" s="9">
        <f>D7+G7</f>
        <v>25</v>
      </c>
    </row>
    <row r="8" spans="1:8" x14ac:dyDescent="0.25">
      <c r="A8" s="14" t="s">
        <v>6</v>
      </c>
      <c r="B8" s="6">
        <v>0</v>
      </c>
      <c r="C8" s="4">
        <v>0</v>
      </c>
      <c r="D8" s="5">
        <f t="shared" ref="D8:D84" si="0">SUM(B8:C8)</f>
        <v>0</v>
      </c>
      <c r="E8" s="6">
        <v>10</v>
      </c>
      <c r="F8" s="4">
        <v>3</v>
      </c>
      <c r="G8" s="5">
        <f t="shared" ref="G8:G84" si="1">SUM(E8:F8)</f>
        <v>13</v>
      </c>
      <c r="H8" s="9">
        <f t="shared" ref="H8:H84" si="2">D8+G8</f>
        <v>13</v>
      </c>
    </row>
    <row r="9" spans="1:8" x14ac:dyDescent="0.25">
      <c r="A9" s="14" t="s">
        <v>7</v>
      </c>
      <c r="B9" s="6">
        <v>3</v>
      </c>
      <c r="C9" s="4">
        <v>0</v>
      </c>
      <c r="D9" s="5">
        <f t="shared" si="0"/>
        <v>3</v>
      </c>
      <c r="E9" s="6">
        <v>86</v>
      </c>
      <c r="F9" s="4">
        <v>1</v>
      </c>
      <c r="G9" s="5">
        <f t="shared" si="1"/>
        <v>87</v>
      </c>
      <c r="H9" s="9">
        <f t="shared" si="2"/>
        <v>90</v>
      </c>
    </row>
    <row r="10" spans="1:8" x14ac:dyDescent="0.25">
      <c r="A10" s="14" t="s">
        <v>8</v>
      </c>
      <c r="B10" s="6">
        <v>11</v>
      </c>
      <c r="C10" s="4">
        <v>2</v>
      </c>
      <c r="D10" s="5">
        <f t="shared" si="0"/>
        <v>13</v>
      </c>
      <c r="E10" s="6">
        <v>195</v>
      </c>
      <c r="F10" s="4">
        <v>15</v>
      </c>
      <c r="G10" s="5">
        <f t="shared" si="1"/>
        <v>210</v>
      </c>
      <c r="H10" s="9">
        <f t="shared" si="2"/>
        <v>223</v>
      </c>
    </row>
    <row r="11" spans="1:8" x14ac:dyDescent="0.25">
      <c r="A11" s="14" t="s">
        <v>100</v>
      </c>
      <c r="B11" s="6">
        <v>1</v>
      </c>
      <c r="C11" s="4">
        <v>0</v>
      </c>
      <c r="D11" s="5">
        <f t="shared" si="0"/>
        <v>1</v>
      </c>
      <c r="E11" s="6">
        <v>4</v>
      </c>
      <c r="F11" s="4">
        <v>2</v>
      </c>
      <c r="G11" s="5">
        <f t="shared" si="1"/>
        <v>6</v>
      </c>
      <c r="H11" s="9">
        <f t="shared" si="2"/>
        <v>7</v>
      </c>
    </row>
    <row r="12" spans="1:8" x14ac:dyDescent="0.25">
      <c r="A12" s="14" t="s">
        <v>9</v>
      </c>
      <c r="B12" s="6">
        <v>5</v>
      </c>
      <c r="C12" s="4">
        <v>2</v>
      </c>
      <c r="D12" s="5">
        <f t="shared" si="0"/>
        <v>7</v>
      </c>
      <c r="E12" s="6">
        <v>5</v>
      </c>
      <c r="F12" s="4">
        <v>1</v>
      </c>
      <c r="G12" s="5">
        <f t="shared" si="1"/>
        <v>6</v>
      </c>
      <c r="H12" s="9">
        <f t="shared" si="2"/>
        <v>13</v>
      </c>
    </row>
    <row r="13" spans="1:8" x14ac:dyDescent="0.25">
      <c r="A13" s="14" t="s">
        <v>10</v>
      </c>
      <c r="B13" s="6">
        <v>1</v>
      </c>
      <c r="C13" s="4">
        <v>0</v>
      </c>
      <c r="D13" s="5">
        <f t="shared" si="0"/>
        <v>1</v>
      </c>
      <c r="E13" s="6">
        <v>6</v>
      </c>
      <c r="F13" s="4">
        <v>1</v>
      </c>
      <c r="G13" s="5">
        <f t="shared" si="1"/>
        <v>7</v>
      </c>
      <c r="H13" s="9">
        <f t="shared" si="2"/>
        <v>8</v>
      </c>
    </row>
    <row r="14" spans="1:8" x14ac:dyDescent="0.25">
      <c r="A14" s="14" t="s">
        <v>120</v>
      </c>
      <c r="B14" s="6">
        <v>0</v>
      </c>
      <c r="C14" s="4">
        <v>0</v>
      </c>
      <c r="D14" s="5">
        <f t="shared" si="0"/>
        <v>0</v>
      </c>
      <c r="E14" s="6">
        <v>0</v>
      </c>
      <c r="F14" s="4">
        <v>0</v>
      </c>
      <c r="G14" s="5">
        <f t="shared" si="1"/>
        <v>0</v>
      </c>
      <c r="H14" s="9">
        <f t="shared" si="2"/>
        <v>0</v>
      </c>
    </row>
    <row r="15" spans="1:8" x14ac:dyDescent="0.25">
      <c r="A15" s="14" t="s">
        <v>130</v>
      </c>
      <c r="B15" s="6">
        <v>0</v>
      </c>
      <c r="C15" s="4">
        <v>0</v>
      </c>
      <c r="D15" s="5">
        <f t="shared" si="0"/>
        <v>0</v>
      </c>
      <c r="E15" s="6">
        <v>4</v>
      </c>
      <c r="F15" s="4">
        <v>0</v>
      </c>
      <c r="G15" s="5">
        <f t="shared" si="1"/>
        <v>4</v>
      </c>
      <c r="H15" s="9">
        <f t="shared" si="2"/>
        <v>4</v>
      </c>
    </row>
    <row r="16" spans="1:8" x14ac:dyDescent="0.25">
      <c r="A16" s="14" t="s">
        <v>106</v>
      </c>
      <c r="B16" s="6">
        <v>0</v>
      </c>
      <c r="C16" s="4">
        <v>0</v>
      </c>
      <c r="D16" s="5">
        <f t="shared" si="0"/>
        <v>0</v>
      </c>
      <c r="E16" s="6">
        <v>0</v>
      </c>
      <c r="F16" s="4">
        <v>0</v>
      </c>
      <c r="G16" s="5">
        <f t="shared" si="1"/>
        <v>0</v>
      </c>
      <c r="H16" s="9">
        <f t="shared" si="2"/>
        <v>0</v>
      </c>
    </row>
    <row r="17" spans="1:8" x14ac:dyDescent="0.25">
      <c r="A17" s="14" t="s">
        <v>101</v>
      </c>
      <c r="B17" s="6">
        <v>2</v>
      </c>
      <c r="C17" s="4">
        <v>1</v>
      </c>
      <c r="D17" s="5">
        <f t="shared" si="0"/>
        <v>3</v>
      </c>
      <c r="E17" s="6">
        <v>5</v>
      </c>
      <c r="F17" s="4">
        <v>3</v>
      </c>
      <c r="G17" s="5">
        <f t="shared" si="1"/>
        <v>8</v>
      </c>
      <c r="H17" s="9">
        <f t="shared" si="2"/>
        <v>11</v>
      </c>
    </row>
    <row r="18" spans="1:8" x14ac:dyDescent="0.25">
      <c r="A18" s="14" t="s">
        <v>12</v>
      </c>
      <c r="B18" s="6">
        <v>0</v>
      </c>
      <c r="C18" s="4">
        <v>0</v>
      </c>
      <c r="D18" s="5">
        <f t="shared" si="0"/>
        <v>0</v>
      </c>
      <c r="E18" s="6">
        <v>3</v>
      </c>
      <c r="F18" s="4">
        <v>1</v>
      </c>
      <c r="G18" s="5">
        <f t="shared" si="1"/>
        <v>4</v>
      </c>
      <c r="H18" s="9">
        <f t="shared" si="2"/>
        <v>4</v>
      </c>
    </row>
    <row r="19" spans="1:8" x14ac:dyDescent="0.25">
      <c r="A19" s="14" t="s">
        <v>13</v>
      </c>
      <c r="B19" s="6">
        <v>1</v>
      </c>
      <c r="C19" s="4">
        <v>2</v>
      </c>
      <c r="D19" s="5">
        <f t="shared" si="0"/>
        <v>3</v>
      </c>
      <c r="E19" s="6">
        <v>3</v>
      </c>
      <c r="F19" s="4">
        <v>1</v>
      </c>
      <c r="G19" s="5">
        <f t="shared" si="1"/>
        <v>4</v>
      </c>
      <c r="H19" s="9">
        <f t="shared" si="2"/>
        <v>7</v>
      </c>
    </row>
    <row r="20" spans="1:8" x14ac:dyDescent="0.25">
      <c r="A20" s="14" t="s">
        <v>14</v>
      </c>
      <c r="B20" s="6">
        <v>3</v>
      </c>
      <c r="C20" s="4">
        <v>1</v>
      </c>
      <c r="D20" s="5">
        <f t="shared" si="0"/>
        <v>4</v>
      </c>
      <c r="E20" s="6">
        <v>10</v>
      </c>
      <c r="F20" s="4">
        <v>6</v>
      </c>
      <c r="G20" s="5">
        <f t="shared" si="1"/>
        <v>16</v>
      </c>
      <c r="H20" s="9">
        <f t="shared" si="2"/>
        <v>20</v>
      </c>
    </row>
    <row r="21" spans="1:8" x14ac:dyDescent="0.25">
      <c r="A21" s="14" t="s">
        <v>15</v>
      </c>
      <c r="B21" s="6">
        <v>0</v>
      </c>
      <c r="C21" s="4">
        <v>0</v>
      </c>
      <c r="D21" s="5">
        <f t="shared" si="0"/>
        <v>0</v>
      </c>
      <c r="E21" s="6">
        <v>9</v>
      </c>
      <c r="F21" s="4">
        <v>2</v>
      </c>
      <c r="G21" s="5">
        <f t="shared" si="1"/>
        <v>11</v>
      </c>
      <c r="H21" s="9">
        <f t="shared" si="2"/>
        <v>11</v>
      </c>
    </row>
    <row r="22" spans="1:8" x14ac:dyDescent="0.25">
      <c r="A22" s="14" t="s">
        <v>16</v>
      </c>
      <c r="B22" s="6">
        <v>1</v>
      </c>
      <c r="C22" s="4">
        <v>0</v>
      </c>
      <c r="D22" s="5">
        <f t="shared" si="0"/>
        <v>1</v>
      </c>
      <c r="E22" s="6">
        <v>6</v>
      </c>
      <c r="F22" s="4">
        <v>1</v>
      </c>
      <c r="G22" s="5">
        <f t="shared" si="1"/>
        <v>7</v>
      </c>
      <c r="H22" s="9">
        <f t="shared" si="2"/>
        <v>8</v>
      </c>
    </row>
    <row r="23" spans="1:8" x14ac:dyDescent="0.25">
      <c r="A23" s="14" t="s">
        <v>126</v>
      </c>
      <c r="B23" s="6">
        <v>0</v>
      </c>
      <c r="C23" s="4">
        <v>0</v>
      </c>
      <c r="D23" s="5">
        <f t="shared" si="0"/>
        <v>0</v>
      </c>
      <c r="E23" s="6">
        <v>9</v>
      </c>
      <c r="F23" s="4">
        <v>1</v>
      </c>
      <c r="G23" s="5">
        <f t="shared" si="1"/>
        <v>10</v>
      </c>
      <c r="H23" s="9">
        <f t="shared" si="2"/>
        <v>10</v>
      </c>
    </row>
    <row r="24" spans="1:8" x14ac:dyDescent="0.25">
      <c r="A24" s="14" t="s">
        <v>17</v>
      </c>
      <c r="B24" s="6">
        <v>6</v>
      </c>
      <c r="C24" s="4">
        <v>3</v>
      </c>
      <c r="D24" s="5">
        <f t="shared" si="0"/>
        <v>9</v>
      </c>
      <c r="E24" s="6">
        <v>11</v>
      </c>
      <c r="F24" s="4">
        <v>1</v>
      </c>
      <c r="G24" s="5">
        <f t="shared" si="1"/>
        <v>12</v>
      </c>
      <c r="H24" s="9">
        <f t="shared" si="2"/>
        <v>21</v>
      </c>
    </row>
    <row r="25" spans="1:8" x14ac:dyDescent="0.25">
      <c r="A25" s="14" t="s">
        <v>127</v>
      </c>
      <c r="B25" s="6">
        <v>0</v>
      </c>
      <c r="C25" s="4">
        <v>0</v>
      </c>
      <c r="D25" s="5">
        <f t="shared" si="0"/>
        <v>0</v>
      </c>
      <c r="E25" s="6">
        <v>72</v>
      </c>
      <c r="F25" s="4">
        <v>5</v>
      </c>
      <c r="G25" s="5">
        <f t="shared" si="1"/>
        <v>77</v>
      </c>
      <c r="H25" s="9">
        <f t="shared" si="2"/>
        <v>77</v>
      </c>
    </row>
    <row r="26" spans="1:8" x14ac:dyDescent="0.25">
      <c r="A26" s="14" t="s">
        <v>18</v>
      </c>
      <c r="B26" s="6">
        <v>2</v>
      </c>
      <c r="C26" s="4">
        <v>0</v>
      </c>
      <c r="D26" s="5">
        <f t="shared" si="0"/>
        <v>2</v>
      </c>
      <c r="E26" s="6">
        <v>156</v>
      </c>
      <c r="F26" s="4">
        <v>66</v>
      </c>
      <c r="G26" s="5">
        <f t="shared" si="1"/>
        <v>222</v>
      </c>
      <c r="H26" s="9">
        <f t="shared" si="2"/>
        <v>224</v>
      </c>
    </row>
    <row r="27" spans="1:8" x14ac:dyDescent="0.25">
      <c r="A27" s="14" t="s">
        <v>19</v>
      </c>
      <c r="B27" s="6">
        <v>0</v>
      </c>
      <c r="C27" s="4">
        <v>0</v>
      </c>
      <c r="D27" s="5">
        <f t="shared" si="0"/>
        <v>0</v>
      </c>
      <c r="E27" s="6">
        <v>9</v>
      </c>
      <c r="F27" s="4">
        <v>1</v>
      </c>
      <c r="G27" s="5">
        <f t="shared" si="1"/>
        <v>10</v>
      </c>
      <c r="H27" s="9">
        <f t="shared" si="2"/>
        <v>10</v>
      </c>
    </row>
    <row r="28" spans="1:8" x14ac:dyDescent="0.25">
      <c r="A28" s="14" t="s">
        <v>131</v>
      </c>
      <c r="B28" s="6">
        <v>1</v>
      </c>
      <c r="C28" s="4">
        <v>0</v>
      </c>
      <c r="D28" s="5">
        <f t="shared" si="0"/>
        <v>1</v>
      </c>
      <c r="E28" s="6">
        <v>0</v>
      </c>
      <c r="F28" s="4">
        <v>0</v>
      </c>
      <c r="G28" s="5">
        <f t="shared" si="1"/>
        <v>0</v>
      </c>
      <c r="H28" s="9">
        <f t="shared" si="2"/>
        <v>1</v>
      </c>
    </row>
    <row r="29" spans="1:8" x14ac:dyDescent="0.25">
      <c r="A29" s="14" t="s">
        <v>20</v>
      </c>
      <c r="B29" s="6">
        <v>0</v>
      </c>
      <c r="C29" s="4">
        <v>2</v>
      </c>
      <c r="D29" s="5">
        <f t="shared" si="0"/>
        <v>2</v>
      </c>
      <c r="E29" s="6">
        <v>1</v>
      </c>
      <c r="F29" s="4">
        <v>0</v>
      </c>
      <c r="G29" s="5">
        <f t="shared" si="1"/>
        <v>1</v>
      </c>
      <c r="H29" s="9">
        <f t="shared" si="2"/>
        <v>3</v>
      </c>
    </row>
    <row r="30" spans="1:8" x14ac:dyDescent="0.25">
      <c r="A30" s="14" t="s">
        <v>21</v>
      </c>
      <c r="B30" s="6">
        <v>4</v>
      </c>
      <c r="C30" s="4">
        <v>0</v>
      </c>
      <c r="D30" s="5">
        <f t="shared" si="0"/>
        <v>4</v>
      </c>
      <c r="E30" s="6">
        <v>3</v>
      </c>
      <c r="F30" s="4">
        <v>0</v>
      </c>
      <c r="G30" s="5">
        <f t="shared" si="1"/>
        <v>3</v>
      </c>
      <c r="H30" s="9">
        <f t="shared" si="2"/>
        <v>7</v>
      </c>
    </row>
    <row r="31" spans="1:8" x14ac:dyDescent="0.25">
      <c r="A31" s="14" t="s">
        <v>102</v>
      </c>
      <c r="B31" s="6">
        <v>0</v>
      </c>
      <c r="C31" s="4">
        <v>0</v>
      </c>
      <c r="D31" s="5">
        <f t="shared" si="0"/>
        <v>0</v>
      </c>
      <c r="E31" s="6">
        <v>0</v>
      </c>
      <c r="F31" s="4">
        <v>0</v>
      </c>
      <c r="G31" s="5">
        <f t="shared" si="1"/>
        <v>0</v>
      </c>
      <c r="H31" s="9">
        <f t="shared" si="2"/>
        <v>0</v>
      </c>
    </row>
    <row r="32" spans="1:8" x14ac:dyDescent="0.25">
      <c r="A32" s="14" t="s">
        <v>22</v>
      </c>
      <c r="B32" s="6">
        <v>0</v>
      </c>
      <c r="C32" s="4">
        <v>0</v>
      </c>
      <c r="D32" s="5">
        <f t="shared" si="0"/>
        <v>0</v>
      </c>
      <c r="E32" s="6">
        <v>7</v>
      </c>
      <c r="F32" s="4">
        <v>2</v>
      </c>
      <c r="G32" s="5">
        <f t="shared" si="1"/>
        <v>9</v>
      </c>
      <c r="H32" s="9">
        <f t="shared" si="2"/>
        <v>9</v>
      </c>
    </row>
    <row r="33" spans="1:8" x14ac:dyDescent="0.25">
      <c r="A33" s="14" t="s">
        <v>94</v>
      </c>
      <c r="B33" s="6">
        <v>0</v>
      </c>
      <c r="C33" s="4">
        <v>0</v>
      </c>
      <c r="D33" s="5">
        <f t="shared" si="0"/>
        <v>0</v>
      </c>
      <c r="E33" s="6">
        <v>14</v>
      </c>
      <c r="F33" s="4">
        <v>1</v>
      </c>
      <c r="G33" s="5">
        <f t="shared" si="1"/>
        <v>15</v>
      </c>
      <c r="H33" s="9">
        <f t="shared" si="2"/>
        <v>15</v>
      </c>
    </row>
    <row r="34" spans="1:8" x14ac:dyDescent="0.25">
      <c r="A34" s="14" t="s">
        <v>24</v>
      </c>
      <c r="B34" s="6">
        <v>0</v>
      </c>
      <c r="C34" s="4">
        <v>0</v>
      </c>
      <c r="D34" s="5">
        <f t="shared" si="0"/>
        <v>0</v>
      </c>
      <c r="E34" s="6">
        <v>6</v>
      </c>
      <c r="F34" s="4">
        <v>0</v>
      </c>
      <c r="G34" s="5">
        <f t="shared" si="1"/>
        <v>6</v>
      </c>
      <c r="H34" s="9">
        <f t="shared" si="2"/>
        <v>6</v>
      </c>
    </row>
    <row r="35" spans="1:8" x14ac:dyDescent="0.25">
      <c r="A35" s="14" t="s">
        <v>71</v>
      </c>
      <c r="B35" s="6">
        <v>9</v>
      </c>
      <c r="C35" s="4">
        <v>0</v>
      </c>
      <c r="D35" s="5">
        <f t="shared" si="0"/>
        <v>9</v>
      </c>
      <c r="E35" s="6">
        <v>17</v>
      </c>
      <c r="F35" s="4">
        <v>0</v>
      </c>
      <c r="G35" s="5">
        <f t="shared" si="1"/>
        <v>17</v>
      </c>
      <c r="H35" s="9">
        <f t="shared" si="2"/>
        <v>26</v>
      </c>
    </row>
    <row r="36" spans="1:8" x14ac:dyDescent="0.25">
      <c r="A36" s="14" t="s">
        <v>72</v>
      </c>
      <c r="B36" s="6">
        <v>6</v>
      </c>
      <c r="C36" s="4">
        <v>0</v>
      </c>
      <c r="D36" s="5">
        <f t="shared" si="0"/>
        <v>6</v>
      </c>
      <c r="E36" s="6">
        <v>18</v>
      </c>
      <c r="F36" s="4">
        <v>0</v>
      </c>
      <c r="G36" s="5">
        <f t="shared" si="1"/>
        <v>18</v>
      </c>
      <c r="H36" s="9">
        <f t="shared" si="2"/>
        <v>24</v>
      </c>
    </row>
    <row r="37" spans="1:8" x14ac:dyDescent="0.25">
      <c r="A37" s="14" t="s">
        <v>26</v>
      </c>
      <c r="B37" s="6">
        <v>1</v>
      </c>
      <c r="C37" s="4">
        <v>0</v>
      </c>
      <c r="D37" s="5">
        <f t="shared" si="0"/>
        <v>1</v>
      </c>
      <c r="E37" s="6">
        <v>29</v>
      </c>
      <c r="F37" s="4">
        <v>2</v>
      </c>
      <c r="G37" s="5">
        <f t="shared" si="1"/>
        <v>31</v>
      </c>
      <c r="H37" s="9">
        <f t="shared" si="2"/>
        <v>32</v>
      </c>
    </row>
    <row r="38" spans="1:8" x14ac:dyDescent="0.25">
      <c r="A38" s="14" t="s">
        <v>73</v>
      </c>
      <c r="B38" s="6">
        <v>4</v>
      </c>
      <c r="C38" s="4">
        <v>0</v>
      </c>
      <c r="D38" s="5">
        <f t="shared" si="0"/>
        <v>4</v>
      </c>
      <c r="E38" s="6">
        <v>18</v>
      </c>
      <c r="F38" s="4">
        <v>1</v>
      </c>
      <c r="G38" s="5">
        <f t="shared" si="1"/>
        <v>19</v>
      </c>
      <c r="H38" s="9">
        <f t="shared" si="2"/>
        <v>23</v>
      </c>
    </row>
    <row r="39" spans="1:8" x14ac:dyDescent="0.25">
      <c r="A39" s="14" t="s">
        <v>27</v>
      </c>
      <c r="B39" s="6">
        <v>4</v>
      </c>
      <c r="C39" s="4">
        <v>2</v>
      </c>
      <c r="D39" s="5">
        <f t="shared" si="0"/>
        <v>6</v>
      </c>
      <c r="E39" s="6">
        <v>9</v>
      </c>
      <c r="F39" s="4">
        <v>0</v>
      </c>
      <c r="G39" s="5">
        <f t="shared" si="1"/>
        <v>9</v>
      </c>
      <c r="H39" s="9">
        <f t="shared" si="2"/>
        <v>15</v>
      </c>
    </row>
    <row r="40" spans="1:8" x14ac:dyDescent="0.25">
      <c r="A40" s="14" t="s">
        <v>132</v>
      </c>
      <c r="B40" s="6">
        <v>0</v>
      </c>
      <c r="C40" s="4">
        <v>0</v>
      </c>
      <c r="D40" s="5">
        <f t="shared" si="0"/>
        <v>0</v>
      </c>
      <c r="E40" s="6">
        <v>0</v>
      </c>
      <c r="F40" s="4">
        <v>0</v>
      </c>
      <c r="G40" s="5">
        <f t="shared" si="1"/>
        <v>0</v>
      </c>
      <c r="H40" s="9">
        <f t="shared" si="2"/>
        <v>0</v>
      </c>
    </row>
    <row r="41" spans="1:8" x14ac:dyDescent="0.25">
      <c r="A41" s="14" t="s">
        <v>28</v>
      </c>
      <c r="B41" s="6">
        <v>7</v>
      </c>
      <c r="C41" s="4">
        <v>0</v>
      </c>
      <c r="D41" s="5">
        <f t="shared" si="0"/>
        <v>7</v>
      </c>
      <c r="E41" s="6">
        <v>15</v>
      </c>
      <c r="F41" s="4">
        <v>0</v>
      </c>
      <c r="G41" s="5">
        <f t="shared" si="1"/>
        <v>15</v>
      </c>
      <c r="H41" s="9">
        <f t="shared" si="2"/>
        <v>22</v>
      </c>
    </row>
    <row r="42" spans="1:8" x14ac:dyDescent="0.25">
      <c r="A42" s="14" t="s">
        <v>133</v>
      </c>
      <c r="B42" s="6">
        <v>0</v>
      </c>
      <c r="C42" s="4">
        <v>0</v>
      </c>
      <c r="D42" s="5">
        <f t="shared" si="0"/>
        <v>0</v>
      </c>
      <c r="E42" s="6">
        <v>0</v>
      </c>
      <c r="F42" s="4">
        <v>0</v>
      </c>
      <c r="G42" s="5">
        <f t="shared" si="1"/>
        <v>0</v>
      </c>
      <c r="H42" s="9">
        <f t="shared" si="2"/>
        <v>0</v>
      </c>
    </row>
    <row r="43" spans="1:8" x14ac:dyDescent="0.25">
      <c r="A43" s="14" t="s">
        <v>1</v>
      </c>
      <c r="B43" s="6">
        <v>1</v>
      </c>
      <c r="C43" s="4">
        <v>0</v>
      </c>
      <c r="D43" s="5">
        <f t="shared" si="0"/>
        <v>1</v>
      </c>
      <c r="E43" s="6">
        <v>40</v>
      </c>
      <c r="F43" s="4">
        <v>3</v>
      </c>
      <c r="G43" s="5">
        <f t="shared" si="1"/>
        <v>43</v>
      </c>
      <c r="H43" s="9">
        <f t="shared" si="2"/>
        <v>44</v>
      </c>
    </row>
    <row r="44" spans="1:8" x14ac:dyDescent="0.25">
      <c r="A44" s="14" t="s">
        <v>29</v>
      </c>
      <c r="B44" s="6">
        <v>1</v>
      </c>
      <c r="C44" s="4">
        <v>0</v>
      </c>
      <c r="D44" s="5">
        <f t="shared" si="0"/>
        <v>1</v>
      </c>
      <c r="E44" s="6">
        <v>80</v>
      </c>
      <c r="F44" s="4">
        <v>4</v>
      </c>
      <c r="G44" s="5">
        <f t="shared" si="1"/>
        <v>84</v>
      </c>
      <c r="H44" s="9">
        <f t="shared" si="2"/>
        <v>85</v>
      </c>
    </row>
    <row r="45" spans="1:8" x14ac:dyDescent="0.25">
      <c r="A45" s="14" t="s">
        <v>30</v>
      </c>
      <c r="B45" s="6">
        <v>8</v>
      </c>
      <c r="C45" s="4">
        <v>1</v>
      </c>
      <c r="D45" s="5">
        <f t="shared" si="0"/>
        <v>9</v>
      </c>
      <c r="E45" s="6">
        <v>0</v>
      </c>
      <c r="F45" s="4">
        <v>0</v>
      </c>
      <c r="G45" s="5">
        <f t="shared" si="1"/>
        <v>0</v>
      </c>
      <c r="H45" s="9">
        <f t="shared" si="2"/>
        <v>9</v>
      </c>
    </row>
    <row r="46" spans="1:8" x14ac:dyDescent="0.25">
      <c r="A46" s="14" t="s">
        <v>31</v>
      </c>
      <c r="B46" s="6">
        <v>7</v>
      </c>
      <c r="C46" s="4">
        <v>3</v>
      </c>
      <c r="D46" s="5">
        <f t="shared" si="0"/>
        <v>10</v>
      </c>
      <c r="E46" s="6">
        <v>48</v>
      </c>
      <c r="F46" s="4">
        <v>1</v>
      </c>
      <c r="G46" s="5">
        <f t="shared" si="1"/>
        <v>49</v>
      </c>
      <c r="H46" s="9">
        <f t="shared" si="2"/>
        <v>59</v>
      </c>
    </row>
    <row r="47" spans="1:8" x14ac:dyDescent="0.25">
      <c r="A47" s="14" t="s">
        <v>32</v>
      </c>
      <c r="B47" s="6">
        <v>0</v>
      </c>
      <c r="C47" s="4">
        <v>0</v>
      </c>
      <c r="D47" s="5">
        <f t="shared" si="0"/>
        <v>0</v>
      </c>
      <c r="E47" s="6">
        <v>34</v>
      </c>
      <c r="F47" s="4">
        <v>4</v>
      </c>
      <c r="G47" s="5">
        <f t="shared" si="1"/>
        <v>38</v>
      </c>
      <c r="H47" s="9">
        <f t="shared" si="2"/>
        <v>38</v>
      </c>
    </row>
    <row r="48" spans="1:8" x14ac:dyDescent="0.25">
      <c r="A48" s="14" t="s">
        <v>34</v>
      </c>
      <c r="B48" s="6">
        <v>2</v>
      </c>
      <c r="C48" s="4">
        <v>0</v>
      </c>
      <c r="D48" s="5">
        <f t="shared" si="0"/>
        <v>2</v>
      </c>
      <c r="E48" s="6">
        <v>3</v>
      </c>
      <c r="F48" s="4">
        <v>0</v>
      </c>
      <c r="G48" s="5">
        <f t="shared" si="1"/>
        <v>3</v>
      </c>
      <c r="H48" s="9">
        <f t="shared" si="2"/>
        <v>5</v>
      </c>
    </row>
    <row r="49" spans="1:8" x14ac:dyDescent="0.25">
      <c r="A49" s="14" t="s">
        <v>35</v>
      </c>
      <c r="B49" s="6">
        <v>0</v>
      </c>
      <c r="C49" s="4">
        <v>0</v>
      </c>
      <c r="D49" s="5">
        <f t="shared" si="0"/>
        <v>0</v>
      </c>
      <c r="E49" s="6">
        <v>9</v>
      </c>
      <c r="F49" s="4">
        <v>0</v>
      </c>
      <c r="G49" s="5">
        <f t="shared" si="1"/>
        <v>9</v>
      </c>
      <c r="H49" s="9">
        <f t="shared" si="2"/>
        <v>9</v>
      </c>
    </row>
    <row r="50" spans="1:8" x14ac:dyDescent="0.25">
      <c r="A50" s="14" t="s">
        <v>36</v>
      </c>
      <c r="B50" s="6">
        <v>2</v>
      </c>
      <c r="C50" s="4">
        <v>0</v>
      </c>
      <c r="D50" s="5">
        <f t="shared" si="0"/>
        <v>2</v>
      </c>
      <c r="E50" s="6">
        <v>16</v>
      </c>
      <c r="F50" s="4">
        <v>1</v>
      </c>
      <c r="G50" s="5">
        <f t="shared" si="1"/>
        <v>17</v>
      </c>
      <c r="H50" s="9">
        <f t="shared" si="2"/>
        <v>19</v>
      </c>
    </row>
    <row r="51" spans="1:8" x14ac:dyDescent="0.25">
      <c r="A51" s="14" t="s">
        <v>128</v>
      </c>
      <c r="B51" s="6">
        <v>1</v>
      </c>
      <c r="C51" s="4">
        <v>0</v>
      </c>
      <c r="D51" s="5">
        <f t="shared" si="0"/>
        <v>1</v>
      </c>
      <c r="E51" s="6">
        <v>0</v>
      </c>
      <c r="F51" s="4">
        <v>0</v>
      </c>
      <c r="G51" s="5">
        <f t="shared" si="1"/>
        <v>0</v>
      </c>
      <c r="H51" s="9">
        <f t="shared" si="2"/>
        <v>1</v>
      </c>
    </row>
    <row r="52" spans="1:8" x14ac:dyDescent="0.25">
      <c r="A52" s="14" t="s">
        <v>38</v>
      </c>
      <c r="B52" s="6">
        <v>87</v>
      </c>
      <c r="C52" s="4">
        <v>0</v>
      </c>
      <c r="D52" s="5">
        <f t="shared" si="0"/>
        <v>87</v>
      </c>
      <c r="E52" s="6">
        <v>2</v>
      </c>
      <c r="F52" s="4">
        <v>0</v>
      </c>
      <c r="G52" s="5">
        <f t="shared" si="1"/>
        <v>2</v>
      </c>
      <c r="H52" s="9">
        <f t="shared" si="2"/>
        <v>89</v>
      </c>
    </row>
    <row r="53" spans="1:8" x14ac:dyDescent="0.25">
      <c r="A53" s="14" t="s">
        <v>39</v>
      </c>
      <c r="B53" s="6">
        <v>3</v>
      </c>
      <c r="C53" s="4">
        <v>0</v>
      </c>
      <c r="D53" s="5">
        <f t="shared" si="0"/>
        <v>3</v>
      </c>
      <c r="E53" s="6">
        <v>41</v>
      </c>
      <c r="F53" s="4">
        <v>3</v>
      </c>
      <c r="G53" s="5">
        <f t="shared" si="1"/>
        <v>44</v>
      </c>
      <c r="H53" s="9">
        <f t="shared" si="2"/>
        <v>47</v>
      </c>
    </row>
    <row r="54" spans="1:8" x14ac:dyDescent="0.25">
      <c r="A54" s="14" t="s">
        <v>40</v>
      </c>
      <c r="B54" s="6">
        <v>1</v>
      </c>
      <c r="C54" s="4">
        <v>0</v>
      </c>
      <c r="D54" s="5">
        <f t="shared" si="0"/>
        <v>1</v>
      </c>
      <c r="E54" s="6">
        <v>99</v>
      </c>
      <c r="F54" s="4">
        <v>14</v>
      </c>
      <c r="G54" s="5">
        <f t="shared" si="1"/>
        <v>113</v>
      </c>
      <c r="H54" s="9">
        <f t="shared" si="2"/>
        <v>114</v>
      </c>
    </row>
    <row r="55" spans="1:8" x14ac:dyDescent="0.25">
      <c r="A55" s="14" t="s">
        <v>103</v>
      </c>
      <c r="B55" s="6">
        <v>0</v>
      </c>
      <c r="C55" s="4">
        <v>0</v>
      </c>
      <c r="D55" s="5">
        <f t="shared" si="0"/>
        <v>0</v>
      </c>
      <c r="E55" s="6">
        <v>28</v>
      </c>
      <c r="F55" s="4">
        <v>2</v>
      </c>
      <c r="G55" s="5">
        <f t="shared" si="1"/>
        <v>30</v>
      </c>
      <c r="H55" s="9">
        <f t="shared" si="2"/>
        <v>30</v>
      </c>
    </row>
    <row r="56" spans="1:8" x14ac:dyDescent="0.25">
      <c r="A56" s="14" t="s">
        <v>41</v>
      </c>
      <c r="B56" s="6">
        <v>2</v>
      </c>
      <c r="C56" s="4">
        <v>0</v>
      </c>
      <c r="D56" s="5">
        <f t="shared" si="0"/>
        <v>2</v>
      </c>
      <c r="E56" s="6">
        <v>4</v>
      </c>
      <c r="F56" s="4">
        <v>0</v>
      </c>
      <c r="G56" s="5">
        <f t="shared" si="1"/>
        <v>4</v>
      </c>
      <c r="H56" s="9">
        <f t="shared" si="2"/>
        <v>6</v>
      </c>
    </row>
    <row r="57" spans="1:8" x14ac:dyDescent="0.25">
      <c r="A57" s="14" t="s">
        <v>121</v>
      </c>
      <c r="B57" s="6">
        <v>13</v>
      </c>
      <c r="C57" s="4">
        <v>0</v>
      </c>
      <c r="D57" s="5">
        <f t="shared" si="0"/>
        <v>13</v>
      </c>
      <c r="E57" s="6">
        <v>41</v>
      </c>
      <c r="F57" s="4">
        <v>1</v>
      </c>
      <c r="G57" s="5">
        <f t="shared" si="1"/>
        <v>42</v>
      </c>
      <c r="H57" s="9">
        <f t="shared" si="2"/>
        <v>55</v>
      </c>
    </row>
    <row r="58" spans="1:8" x14ac:dyDescent="0.25">
      <c r="A58" s="14" t="s">
        <v>42</v>
      </c>
      <c r="B58" s="6">
        <v>3</v>
      </c>
      <c r="C58" s="4">
        <v>1</v>
      </c>
      <c r="D58" s="5">
        <f t="shared" si="0"/>
        <v>4</v>
      </c>
      <c r="E58" s="6">
        <v>4</v>
      </c>
      <c r="F58" s="4">
        <v>0</v>
      </c>
      <c r="G58" s="5">
        <f t="shared" si="1"/>
        <v>4</v>
      </c>
      <c r="H58" s="9">
        <f t="shared" si="2"/>
        <v>8</v>
      </c>
    </row>
    <row r="59" spans="1:8" x14ac:dyDescent="0.25">
      <c r="A59" s="14" t="s">
        <v>43</v>
      </c>
      <c r="B59" s="6">
        <v>0</v>
      </c>
      <c r="C59" s="4">
        <v>0</v>
      </c>
      <c r="D59" s="5">
        <f t="shared" si="0"/>
        <v>0</v>
      </c>
      <c r="E59" s="6">
        <v>4</v>
      </c>
      <c r="F59" s="4">
        <v>1</v>
      </c>
      <c r="G59" s="5">
        <f t="shared" si="1"/>
        <v>5</v>
      </c>
      <c r="H59" s="9">
        <f t="shared" si="2"/>
        <v>5</v>
      </c>
    </row>
    <row r="60" spans="1:8" x14ac:dyDescent="0.25">
      <c r="A60" s="14" t="s">
        <v>44</v>
      </c>
      <c r="B60" s="6">
        <v>0</v>
      </c>
      <c r="C60" s="4">
        <v>0</v>
      </c>
      <c r="D60" s="5">
        <f t="shared" si="0"/>
        <v>0</v>
      </c>
      <c r="E60" s="6">
        <v>5</v>
      </c>
      <c r="F60" s="4">
        <v>0</v>
      </c>
      <c r="G60" s="5">
        <f t="shared" si="1"/>
        <v>5</v>
      </c>
      <c r="H60" s="9">
        <f t="shared" si="2"/>
        <v>5</v>
      </c>
    </row>
    <row r="61" spans="1:8" x14ac:dyDescent="0.25">
      <c r="A61" s="14" t="s">
        <v>45</v>
      </c>
      <c r="B61" s="6">
        <v>3</v>
      </c>
      <c r="C61" s="4">
        <v>2</v>
      </c>
      <c r="D61" s="5">
        <f t="shared" si="0"/>
        <v>5</v>
      </c>
      <c r="E61" s="6">
        <v>6</v>
      </c>
      <c r="F61" s="4">
        <v>0</v>
      </c>
      <c r="G61" s="5">
        <f t="shared" si="1"/>
        <v>6</v>
      </c>
      <c r="H61" s="9">
        <f t="shared" si="2"/>
        <v>11</v>
      </c>
    </row>
    <row r="62" spans="1:8" x14ac:dyDescent="0.25">
      <c r="A62" s="14" t="s">
        <v>47</v>
      </c>
      <c r="B62" s="6">
        <v>0</v>
      </c>
      <c r="C62" s="4">
        <v>0</v>
      </c>
      <c r="D62" s="5">
        <f t="shared" si="0"/>
        <v>0</v>
      </c>
      <c r="E62" s="6">
        <v>0</v>
      </c>
      <c r="F62" s="4">
        <v>0</v>
      </c>
      <c r="G62" s="5">
        <f t="shared" si="1"/>
        <v>0</v>
      </c>
      <c r="H62" s="9">
        <f t="shared" si="2"/>
        <v>0</v>
      </c>
    </row>
    <row r="63" spans="1:8" x14ac:dyDescent="0.25">
      <c r="A63" s="14" t="s">
        <v>48</v>
      </c>
      <c r="B63" s="6">
        <v>0</v>
      </c>
      <c r="C63" s="4">
        <v>0</v>
      </c>
      <c r="D63" s="5">
        <f t="shared" si="0"/>
        <v>0</v>
      </c>
      <c r="E63" s="6">
        <v>0</v>
      </c>
      <c r="F63" s="4">
        <v>0</v>
      </c>
      <c r="G63" s="5">
        <f t="shared" si="1"/>
        <v>0</v>
      </c>
      <c r="H63" s="9">
        <f t="shared" si="2"/>
        <v>0</v>
      </c>
    </row>
    <row r="64" spans="1:8" x14ac:dyDescent="0.25">
      <c r="A64" s="14" t="s">
        <v>49</v>
      </c>
      <c r="B64" s="6">
        <v>16</v>
      </c>
      <c r="C64" s="4">
        <v>1</v>
      </c>
      <c r="D64" s="5">
        <f t="shared" si="0"/>
        <v>17</v>
      </c>
      <c r="E64" s="6">
        <v>23</v>
      </c>
      <c r="F64" s="4">
        <v>0</v>
      </c>
      <c r="G64" s="5">
        <f t="shared" si="1"/>
        <v>23</v>
      </c>
      <c r="H64" s="9">
        <f t="shared" si="2"/>
        <v>40</v>
      </c>
    </row>
    <row r="65" spans="1:8" x14ac:dyDescent="0.25">
      <c r="A65" s="14" t="s">
        <v>122</v>
      </c>
      <c r="B65" s="6">
        <v>0</v>
      </c>
      <c r="C65" s="4">
        <v>0</v>
      </c>
      <c r="D65" s="5">
        <f t="shared" si="0"/>
        <v>0</v>
      </c>
      <c r="E65" s="6">
        <v>9</v>
      </c>
      <c r="F65" s="4">
        <v>1</v>
      </c>
      <c r="G65" s="5">
        <f t="shared" si="1"/>
        <v>10</v>
      </c>
      <c r="H65" s="9">
        <f t="shared" si="2"/>
        <v>10</v>
      </c>
    </row>
    <row r="66" spans="1:8" x14ac:dyDescent="0.25">
      <c r="A66" s="14" t="s">
        <v>92</v>
      </c>
      <c r="B66" s="6">
        <v>0</v>
      </c>
      <c r="C66" s="4">
        <v>0</v>
      </c>
      <c r="D66" s="5">
        <f t="shared" si="0"/>
        <v>0</v>
      </c>
      <c r="E66" s="6">
        <v>121</v>
      </c>
      <c r="F66" s="4">
        <v>19</v>
      </c>
      <c r="G66" s="5">
        <f t="shared" si="1"/>
        <v>140</v>
      </c>
      <c r="H66" s="9">
        <f t="shared" si="2"/>
        <v>140</v>
      </c>
    </row>
    <row r="67" spans="1:8" x14ac:dyDescent="0.25">
      <c r="A67" s="14" t="s">
        <v>96</v>
      </c>
      <c r="B67" s="6">
        <v>0</v>
      </c>
      <c r="C67" s="4">
        <v>0</v>
      </c>
      <c r="D67" s="5">
        <f t="shared" si="0"/>
        <v>0</v>
      </c>
      <c r="E67" s="6">
        <v>99</v>
      </c>
      <c r="F67" s="4">
        <v>9</v>
      </c>
      <c r="G67" s="5">
        <f t="shared" si="1"/>
        <v>108</v>
      </c>
      <c r="H67" s="9">
        <f t="shared" si="2"/>
        <v>108</v>
      </c>
    </row>
    <row r="68" spans="1:8" x14ac:dyDescent="0.25">
      <c r="A68" s="14" t="s">
        <v>112</v>
      </c>
      <c r="B68" s="6">
        <v>0</v>
      </c>
      <c r="C68" s="4">
        <v>0</v>
      </c>
      <c r="D68" s="5">
        <f t="shared" si="0"/>
        <v>0</v>
      </c>
      <c r="E68" s="6">
        <v>3</v>
      </c>
      <c r="F68" s="4">
        <v>0</v>
      </c>
      <c r="G68" s="5">
        <f t="shared" si="1"/>
        <v>3</v>
      </c>
      <c r="H68" s="9">
        <f t="shared" si="2"/>
        <v>3</v>
      </c>
    </row>
    <row r="69" spans="1:8" x14ac:dyDescent="0.25">
      <c r="A69" s="14" t="s">
        <v>107</v>
      </c>
      <c r="B69" s="6">
        <v>0</v>
      </c>
      <c r="C69" s="4">
        <v>0</v>
      </c>
      <c r="D69" s="5">
        <f t="shared" ref="D69:D73" si="3">SUM(B69:C69)</f>
        <v>0</v>
      </c>
      <c r="E69" s="6">
        <v>192</v>
      </c>
      <c r="F69" s="4">
        <v>16</v>
      </c>
      <c r="G69" s="5">
        <f t="shared" ref="G69:G73" si="4">SUM(E69:F69)</f>
        <v>208</v>
      </c>
      <c r="H69" s="9">
        <f t="shared" ref="H69:H73" si="5">D69+G69</f>
        <v>208</v>
      </c>
    </row>
    <row r="70" spans="1:8" x14ac:dyDescent="0.25">
      <c r="A70" s="14" t="s">
        <v>51</v>
      </c>
      <c r="B70" s="6">
        <v>0</v>
      </c>
      <c r="C70" s="4">
        <v>0</v>
      </c>
      <c r="D70" s="5">
        <f t="shared" si="3"/>
        <v>0</v>
      </c>
      <c r="E70" s="6">
        <v>12</v>
      </c>
      <c r="F70" s="4">
        <v>0</v>
      </c>
      <c r="G70" s="5">
        <f t="shared" si="4"/>
        <v>12</v>
      </c>
      <c r="H70" s="9">
        <f t="shared" si="5"/>
        <v>12</v>
      </c>
    </row>
    <row r="71" spans="1:8" x14ac:dyDescent="0.25">
      <c r="A71" s="14" t="s">
        <v>52</v>
      </c>
      <c r="B71" s="6">
        <v>0</v>
      </c>
      <c r="C71" s="4">
        <v>0</v>
      </c>
      <c r="D71" s="5">
        <f t="shared" si="3"/>
        <v>0</v>
      </c>
      <c r="E71" s="6">
        <v>15</v>
      </c>
      <c r="F71" s="4">
        <v>1</v>
      </c>
      <c r="G71" s="5">
        <f t="shared" si="4"/>
        <v>16</v>
      </c>
      <c r="H71" s="9">
        <f t="shared" si="5"/>
        <v>16</v>
      </c>
    </row>
    <row r="72" spans="1:8" x14ac:dyDescent="0.25">
      <c r="A72" s="14" t="s">
        <v>53</v>
      </c>
      <c r="B72" s="6">
        <v>0</v>
      </c>
      <c r="C72" s="4">
        <v>0</v>
      </c>
      <c r="D72" s="5">
        <f t="shared" si="3"/>
        <v>0</v>
      </c>
      <c r="E72" s="6">
        <v>1</v>
      </c>
      <c r="F72" s="4">
        <v>0</v>
      </c>
      <c r="G72" s="5">
        <f t="shared" si="4"/>
        <v>1</v>
      </c>
      <c r="H72" s="9">
        <f t="shared" si="5"/>
        <v>1</v>
      </c>
    </row>
    <row r="73" spans="1:8" x14ac:dyDescent="0.25">
      <c r="A73" s="14" t="s">
        <v>113</v>
      </c>
      <c r="B73" s="6">
        <v>0</v>
      </c>
      <c r="C73" s="4">
        <v>0</v>
      </c>
      <c r="D73" s="5">
        <f t="shared" si="3"/>
        <v>0</v>
      </c>
      <c r="E73" s="6">
        <v>19</v>
      </c>
      <c r="F73" s="4">
        <v>2</v>
      </c>
      <c r="G73" s="5">
        <f t="shared" si="4"/>
        <v>21</v>
      </c>
      <c r="H73" s="9">
        <f t="shared" si="5"/>
        <v>21</v>
      </c>
    </row>
    <row r="74" spans="1:8" x14ac:dyDescent="0.25">
      <c r="A74" s="14" t="s">
        <v>134</v>
      </c>
      <c r="B74" s="6">
        <v>0</v>
      </c>
      <c r="C74" s="4">
        <v>0</v>
      </c>
      <c r="D74" s="5">
        <f t="shared" si="0"/>
        <v>0</v>
      </c>
      <c r="E74" s="6">
        <v>8</v>
      </c>
      <c r="F74" s="4">
        <v>3</v>
      </c>
      <c r="G74" s="5">
        <f t="shared" si="1"/>
        <v>11</v>
      </c>
      <c r="H74" s="9">
        <f t="shared" si="2"/>
        <v>11</v>
      </c>
    </row>
    <row r="75" spans="1:8" x14ac:dyDescent="0.25">
      <c r="A75" s="14" t="s">
        <v>123</v>
      </c>
      <c r="B75" s="6">
        <v>0</v>
      </c>
      <c r="C75" s="4">
        <v>0</v>
      </c>
      <c r="D75" s="5">
        <f t="shared" si="0"/>
        <v>0</v>
      </c>
      <c r="E75" s="6">
        <v>49</v>
      </c>
      <c r="F75" s="4">
        <v>0</v>
      </c>
      <c r="G75" s="5">
        <f t="shared" si="1"/>
        <v>49</v>
      </c>
      <c r="H75" s="9">
        <f t="shared" si="2"/>
        <v>49</v>
      </c>
    </row>
    <row r="76" spans="1:8" x14ac:dyDescent="0.25">
      <c r="A76" s="14" t="s">
        <v>56</v>
      </c>
      <c r="B76" s="6">
        <v>0</v>
      </c>
      <c r="C76" s="4">
        <v>0</v>
      </c>
      <c r="D76" s="5">
        <f t="shared" si="0"/>
        <v>0</v>
      </c>
      <c r="E76" s="6">
        <v>34</v>
      </c>
      <c r="F76" s="4">
        <v>6</v>
      </c>
      <c r="G76" s="5">
        <f t="shared" si="1"/>
        <v>40</v>
      </c>
      <c r="H76" s="9">
        <f t="shared" si="2"/>
        <v>40</v>
      </c>
    </row>
    <row r="77" spans="1:8" x14ac:dyDescent="0.25">
      <c r="A77" s="14" t="s">
        <v>115</v>
      </c>
      <c r="B77" s="6">
        <v>0</v>
      </c>
      <c r="C77" s="4">
        <v>0</v>
      </c>
      <c r="D77" s="5">
        <f t="shared" si="0"/>
        <v>0</v>
      </c>
      <c r="E77" s="6">
        <v>0</v>
      </c>
      <c r="F77" s="4">
        <v>0</v>
      </c>
      <c r="G77" s="5">
        <f t="shared" si="1"/>
        <v>0</v>
      </c>
      <c r="H77" s="9">
        <f t="shared" si="2"/>
        <v>0</v>
      </c>
    </row>
    <row r="78" spans="1:8" x14ac:dyDescent="0.25">
      <c r="A78" s="14" t="s">
        <v>99</v>
      </c>
      <c r="B78" s="6">
        <v>0</v>
      </c>
      <c r="C78" s="4">
        <v>0</v>
      </c>
      <c r="D78" s="5">
        <f t="shared" si="0"/>
        <v>0</v>
      </c>
      <c r="E78" s="6">
        <v>41</v>
      </c>
      <c r="F78" s="4">
        <v>4</v>
      </c>
      <c r="G78" s="5">
        <f t="shared" si="1"/>
        <v>45</v>
      </c>
      <c r="H78" s="9">
        <f t="shared" si="2"/>
        <v>45</v>
      </c>
    </row>
    <row r="79" spans="1:8" x14ac:dyDescent="0.25">
      <c r="A79" s="14" t="s">
        <v>60</v>
      </c>
      <c r="B79" s="6">
        <v>0</v>
      </c>
      <c r="C79" s="4">
        <v>0</v>
      </c>
      <c r="D79" s="5">
        <f t="shared" si="0"/>
        <v>0</v>
      </c>
      <c r="E79" s="6">
        <v>12</v>
      </c>
      <c r="F79" s="4">
        <v>3</v>
      </c>
      <c r="G79" s="5">
        <f t="shared" si="1"/>
        <v>15</v>
      </c>
      <c r="H79" s="9">
        <f t="shared" si="2"/>
        <v>15</v>
      </c>
    </row>
    <row r="80" spans="1:8" x14ac:dyDescent="0.25">
      <c r="A80" s="14" t="s">
        <v>61</v>
      </c>
      <c r="B80" s="6">
        <v>0</v>
      </c>
      <c r="C80" s="4">
        <v>0</v>
      </c>
      <c r="D80" s="5">
        <f t="shared" si="0"/>
        <v>0</v>
      </c>
      <c r="E80" s="6">
        <v>5</v>
      </c>
      <c r="F80" s="4">
        <v>0</v>
      </c>
      <c r="G80" s="5">
        <f t="shared" si="1"/>
        <v>5</v>
      </c>
      <c r="H80" s="9">
        <f t="shared" si="2"/>
        <v>5</v>
      </c>
    </row>
    <row r="81" spans="1:8" x14ac:dyDescent="0.25">
      <c r="A81" s="14" t="s">
        <v>70</v>
      </c>
      <c r="B81" s="6">
        <v>0</v>
      </c>
      <c r="C81" s="4">
        <v>0</v>
      </c>
      <c r="D81" s="5">
        <f t="shared" si="0"/>
        <v>0</v>
      </c>
      <c r="E81" s="6">
        <v>19</v>
      </c>
      <c r="F81" s="4">
        <v>2</v>
      </c>
      <c r="G81" s="5">
        <f t="shared" si="1"/>
        <v>21</v>
      </c>
      <c r="H81" s="9">
        <f t="shared" si="2"/>
        <v>21</v>
      </c>
    </row>
    <row r="82" spans="1:8" x14ac:dyDescent="0.25">
      <c r="A82" s="14" t="s">
        <v>62</v>
      </c>
      <c r="B82" s="6">
        <v>0</v>
      </c>
      <c r="C82" s="4">
        <v>0</v>
      </c>
      <c r="D82" s="5">
        <f t="shared" si="0"/>
        <v>0</v>
      </c>
      <c r="E82" s="6">
        <v>10</v>
      </c>
      <c r="F82" s="4">
        <v>3</v>
      </c>
      <c r="G82" s="5">
        <f t="shared" si="1"/>
        <v>13</v>
      </c>
      <c r="H82" s="9">
        <f t="shared" si="2"/>
        <v>13</v>
      </c>
    </row>
    <row r="83" spans="1:8" x14ac:dyDescent="0.25">
      <c r="A83" s="14" t="s">
        <v>116</v>
      </c>
      <c r="B83" s="6">
        <v>0</v>
      </c>
      <c r="C83" s="4">
        <v>0</v>
      </c>
      <c r="D83" s="5">
        <f t="shared" si="0"/>
        <v>0</v>
      </c>
      <c r="E83" s="6">
        <v>4</v>
      </c>
      <c r="F83" s="4">
        <v>1</v>
      </c>
      <c r="G83" s="5">
        <f t="shared" si="1"/>
        <v>5</v>
      </c>
      <c r="H83" s="9">
        <f t="shared" si="2"/>
        <v>5</v>
      </c>
    </row>
    <row r="84" spans="1:8" x14ac:dyDescent="0.25">
      <c r="A84" s="14" t="s">
        <v>124</v>
      </c>
      <c r="B84" s="6">
        <v>4</v>
      </c>
      <c r="C84" s="4">
        <v>0</v>
      </c>
      <c r="D84" s="5">
        <f t="shared" si="0"/>
        <v>4</v>
      </c>
      <c r="E84" s="6">
        <v>0</v>
      </c>
      <c r="F84" s="4">
        <v>0</v>
      </c>
      <c r="G84" s="5">
        <f t="shared" si="1"/>
        <v>0</v>
      </c>
      <c r="H84" s="9">
        <f t="shared" si="2"/>
        <v>4</v>
      </c>
    </row>
    <row r="85" spans="1:8" x14ac:dyDescent="0.25">
      <c r="A85" s="14" t="s">
        <v>117</v>
      </c>
      <c r="B85" s="6">
        <v>0</v>
      </c>
      <c r="C85" s="4">
        <v>0</v>
      </c>
      <c r="D85" s="5">
        <f t="shared" ref="D85:D89" si="6">SUM(B85:C85)</f>
        <v>0</v>
      </c>
      <c r="E85" s="6">
        <v>32</v>
      </c>
      <c r="F85" s="4">
        <v>1</v>
      </c>
      <c r="G85" s="5">
        <f t="shared" ref="G85:G89" si="7">SUM(E85:F85)</f>
        <v>33</v>
      </c>
      <c r="H85" s="9">
        <f t="shared" ref="H85:H89" si="8">D85+G85</f>
        <v>33</v>
      </c>
    </row>
    <row r="86" spans="1:8" x14ac:dyDescent="0.25">
      <c r="A86" s="14" t="s">
        <v>118</v>
      </c>
      <c r="B86" s="6">
        <v>0</v>
      </c>
      <c r="C86" s="4">
        <v>0</v>
      </c>
      <c r="D86" s="5">
        <f t="shared" si="6"/>
        <v>0</v>
      </c>
      <c r="E86" s="6">
        <v>63</v>
      </c>
      <c r="F86" s="4">
        <v>3</v>
      </c>
      <c r="G86" s="5">
        <f t="shared" si="7"/>
        <v>66</v>
      </c>
      <c r="H86" s="9">
        <f t="shared" si="8"/>
        <v>66</v>
      </c>
    </row>
    <row r="87" spans="1:8" x14ac:dyDescent="0.25">
      <c r="A87" s="14" t="s">
        <v>66</v>
      </c>
      <c r="B87" s="6">
        <v>0</v>
      </c>
      <c r="C87" s="4">
        <v>0</v>
      </c>
      <c r="D87" s="5">
        <f t="shared" si="6"/>
        <v>0</v>
      </c>
      <c r="E87" s="6">
        <v>8</v>
      </c>
      <c r="F87" s="4">
        <v>0</v>
      </c>
      <c r="G87" s="5">
        <f t="shared" si="7"/>
        <v>8</v>
      </c>
      <c r="H87" s="9">
        <f t="shared" si="8"/>
        <v>8</v>
      </c>
    </row>
    <row r="88" spans="1:8" x14ac:dyDescent="0.25">
      <c r="A88" s="14" t="s">
        <v>67</v>
      </c>
      <c r="B88" s="6">
        <v>0</v>
      </c>
      <c r="C88" s="4">
        <v>0</v>
      </c>
      <c r="D88" s="5">
        <f t="shared" si="6"/>
        <v>0</v>
      </c>
      <c r="E88" s="6">
        <v>30</v>
      </c>
      <c r="F88" s="4">
        <v>4</v>
      </c>
      <c r="G88" s="5">
        <f t="shared" si="7"/>
        <v>34</v>
      </c>
      <c r="H88" s="9">
        <f t="shared" si="8"/>
        <v>34</v>
      </c>
    </row>
    <row r="89" spans="1:8" ht="15.75" thickBot="1" x14ac:dyDescent="0.3">
      <c r="A89" s="15" t="s">
        <v>125</v>
      </c>
      <c r="B89" s="11">
        <v>0</v>
      </c>
      <c r="C89" s="12">
        <v>0</v>
      </c>
      <c r="D89" s="23">
        <f t="shared" si="6"/>
        <v>0</v>
      </c>
      <c r="E89" s="11">
        <v>34</v>
      </c>
      <c r="F89" s="12">
        <v>26</v>
      </c>
      <c r="G89" s="23">
        <f t="shared" si="7"/>
        <v>60</v>
      </c>
      <c r="H89" s="16">
        <f t="shared" si="8"/>
        <v>60</v>
      </c>
    </row>
    <row r="90" spans="1:8" ht="16.5" thickTop="1" thickBot="1" x14ac:dyDescent="0.3">
      <c r="A90" s="8" t="s">
        <v>0</v>
      </c>
      <c r="B90" s="7">
        <f t="shared" ref="B90:H90" si="9">SUM(B7:B89)</f>
        <v>227</v>
      </c>
      <c r="C90" s="7">
        <f t="shared" si="9"/>
        <v>23</v>
      </c>
      <c r="D90" s="7">
        <f t="shared" si="9"/>
        <v>250</v>
      </c>
      <c r="E90" s="7">
        <f t="shared" si="9"/>
        <v>2068</v>
      </c>
      <c r="F90" s="7">
        <f t="shared" si="9"/>
        <v>258</v>
      </c>
      <c r="G90" s="7">
        <f t="shared" si="9"/>
        <v>2326</v>
      </c>
      <c r="H90" s="7">
        <f t="shared" si="9"/>
        <v>2576</v>
      </c>
    </row>
    <row r="91" spans="1:8" ht="15.75" thickBot="1" x14ac:dyDescent="0.3"/>
    <row r="92" spans="1:8" x14ac:dyDescent="0.25">
      <c r="A92" s="26" t="s">
        <v>74</v>
      </c>
      <c r="B92" s="28" t="s">
        <v>3</v>
      </c>
      <c r="C92" s="29"/>
      <c r="D92" s="29"/>
      <c r="E92" s="28" t="s">
        <v>4</v>
      </c>
      <c r="F92" s="29"/>
      <c r="G92" s="29"/>
      <c r="H92" s="26" t="s">
        <v>0</v>
      </c>
    </row>
    <row r="93" spans="1:8" x14ac:dyDescent="0.25">
      <c r="A93" s="27"/>
      <c r="B93" s="20" t="s">
        <v>82</v>
      </c>
      <c r="C93" s="21" t="s">
        <v>83</v>
      </c>
      <c r="D93" s="22" t="s">
        <v>0</v>
      </c>
      <c r="E93" s="20" t="s">
        <v>82</v>
      </c>
      <c r="F93" s="21" t="s">
        <v>83</v>
      </c>
      <c r="G93" s="22" t="s">
        <v>0</v>
      </c>
      <c r="H93" s="27"/>
    </row>
    <row r="94" spans="1:8" x14ac:dyDescent="0.25">
      <c r="A94" s="14" t="s">
        <v>75</v>
      </c>
      <c r="B94" s="6">
        <v>34</v>
      </c>
      <c r="C94" s="4">
        <v>2</v>
      </c>
      <c r="D94" s="5">
        <f t="shared" ref="D94:D102" si="10">SUM(B94:C94)</f>
        <v>36</v>
      </c>
      <c r="E94" s="6">
        <v>187</v>
      </c>
      <c r="F94" s="4">
        <v>4</v>
      </c>
      <c r="G94" s="5">
        <f t="shared" ref="G94:G102" si="11">SUM(E94:F94)</f>
        <v>191</v>
      </c>
      <c r="H94" s="9">
        <f t="shared" ref="H94:H102" si="12">D94+G94</f>
        <v>227</v>
      </c>
    </row>
    <row r="95" spans="1:8" x14ac:dyDescent="0.25">
      <c r="A95" s="14" t="s">
        <v>76</v>
      </c>
      <c r="B95" s="6">
        <v>11</v>
      </c>
      <c r="C95" s="4">
        <v>2</v>
      </c>
      <c r="D95" s="5">
        <f t="shared" si="10"/>
        <v>13</v>
      </c>
      <c r="E95" s="6">
        <v>204</v>
      </c>
      <c r="F95" s="4">
        <v>17</v>
      </c>
      <c r="G95" s="5">
        <f t="shared" si="11"/>
        <v>221</v>
      </c>
      <c r="H95" s="9">
        <f t="shared" si="12"/>
        <v>234</v>
      </c>
    </row>
    <row r="96" spans="1:8" x14ac:dyDescent="0.25">
      <c r="A96" s="14" t="s">
        <v>77</v>
      </c>
      <c r="B96" s="6">
        <v>20</v>
      </c>
      <c r="C96" s="4">
        <v>1</v>
      </c>
      <c r="D96" s="5">
        <f t="shared" ref="D96" si="13">SUM(B96:C96)</f>
        <v>21</v>
      </c>
      <c r="E96" s="6">
        <v>651</v>
      </c>
      <c r="F96" s="4">
        <v>86</v>
      </c>
      <c r="G96" s="5">
        <f t="shared" ref="G96" si="14">SUM(E96:F96)</f>
        <v>737</v>
      </c>
      <c r="H96" s="9">
        <f t="shared" ref="H96" si="15">D96+G96</f>
        <v>758</v>
      </c>
    </row>
    <row r="97" spans="1:8" x14ac:dyDescent="0.25">
      <c r="A97" s="14" t="s">
        <v>107</v>
      </c>
      <c r="B97" s="6">
        <v>0</v>
      </c>
      <c r="C97" s="4">
        <v>0</v>
      </c>
      <c r="D97" s="5">
        <f t="shared" si="10"/>
        <v>0</v>
      </c>
      <c r="E97" s="6">
        <v>192</v>
      </c>
      <c r="F97" s="4">
        <v>16</v>
      </c>
      <c r="G97" s="5">
        <f t="shared" si="11"/>
        <v>208</v>
      </c>
      <c r="H97" s="9">
        <f t="shared" si="12"/>
        <v>208</v>
      </c>
    </row>
    <row r="98" spans="1:8" x14ac:dyDescent="0.25">
      <c r="A98" s="14" t="s">
        <v>129</v>
      </c>
      <c r="B98" s="6">
        <v>16</v>
      </c>
      <c r="C98" s="4">
        <v>7</v>
      </c>
      <c r="D98" s="5">
        <f t="shared" si="10"/>
        <v>23</v>
      </c>
      <c r="E98" s="6">
        <v>274</v>
      </c>
      <c r="F98" s="4">
        <v>84</v>
      </c>
      <c r="G98" s="5">
        <f t="shared" si="11"/>
        <v>358</v>
      </c>
      <c r="H98" s="9">
        <f t="shared" si="12"/>
        <v>381</v>
      </c>
    </row>
    <row r="99" spans="1:8" x14ac:dyDescent="0.25">
      <c r="A99" s="14" t="s">
        <v>1</v>
      </c>
      <c r="B99" s="6">
        <v>1</v>
      </c>
      <c r="C99" s="4">
        <v>0</v>
      </c>
      <c r="D99" s="5">
        <f t="shared" si="10"/>
        <v>1</v>
      </c>
      <c r="E99" s="6">
        <v>39</v>
      </c>
      <c r="F99" s="4">
        <v>3</v>
      </c>
      <c r="G99" s="5">
        <f t="shared" si="11"/>
        <v>42</v>
      </c>
      <c r="H99" s="9">
        <f t="shared" si="12"/>
        <v>43</v>
      </c>
    </row>
    <row r="100" spans="1:8" x14ac:dyDescent="0.25">
      <c r="A100" s="14" t="s">
        <v>79</v>
      </c>
      <c r="B100" s="6">
        <v>19</v>
      </c>
      <c r="C100" s="4">
        <v>4</v>
      </c>
      <c r="D100" s="5">
        <f t="shared" si="10"/>
        <v>23</v>
      </c>
      <c r="E100" s="6">
        <v>200</v>
      </c>
      <c r="F100" s="4">
        <v>25</v>
      </c>
      <c r="G100" s="5">
        <f t="shared" si="11"/>
        <v>225</v>
      </c>
      <c r="H100" s="9">
        <f t="shared" si="12"/>
        <v>248</v>
      </c>
    </row>
    <row r="101" spans="1:8" x14ac:dyDescent="0.25">
      <c r="A101" s="14" t="s">
        <v>80</v>
      </c>
      <c r="B101" s="6">
        <v>103</v>
      </c>
      <c r="C101" s="4">
        <v>4</v>
      </c>
      <c r="D101" s="5">
        <f t="shared" si="10"/>
        <v>107</v>
      </c>
      <c r="E101" s="6">
        <v>36</v>
      </c>
      <c r="F101" s="4">
        <v>5</v>
      </c>
      <c r="G101" s="5">
        <f t="shared" si="11"/>
        <v>41</v>
      </c>
      <c r="H101" s="9">
        <f t="shared" si="12"/>
        <v>148</v>
      </c>
    </row>
    <row r="102" spans="1:8" ht="15.75" thickBot="1" x14ac:dyDescent="0.3">
      <c r="A102" s="15" t="s">
        <v>81</v>
      </c>
      <c r="B102" s="11">
        <v>23</v>
      </c>
      <c r="C102" s="12">
        <v>3</v>
      </c>
      <c r="D102" s="12">
        <f t="shared" si="10"/>
        <v>26</v>
      </c>
      <c r="E102" s="11">
        <v>285</v>
      </c>
      <c r="F102" s="12">
        <v>18</v>
      </c>
      <c r="G102" s="13">
        <f t="shared" si="11"/>
        <v>303</v>
      </c>
      <c r="H102" s="16">
        <f t="shared" si="12"/>
        <v>329</v>
      </c>
    </row>
    <row r="103" spans="1:8" ht="16.5" thickTop="1" thickBot="1" x14ac:dyDescent="0.3">
      <c r="A103" s="8" t="s">
        <v>0</v>
      </c>
      <c r="B103" s="7">
        <f>SUM(B94:B102)</f>
        <v>227</v>
      </c>
      <c r="C103" s="7">
        <f t="shared" ref="C103:H103" si="16">SUM(C94:C102)</f>
        <v>23</v>
      </c>
      <c r="D103" s="7">
        <f t="shared" si="16"/>
        <v>250</v>
      </c>
      <c r="E103" s="7">
        <f t="shared" si="16"/>
        <v>2068</v>
      </c>
      <c r="F103" s="7">
        <f t="shared" si="16"/>
        <v>258</v>
      </c>
      <c r="G103" s="7">
        <f t="shared" si="16"/>
        <v>2326</v>
      </c>
      <c r="H103" s="7">
        <f t="shared" si="16"/>
        <v>2576</v>
      </c>
    </row>
    <row r="105" spans="1:8" x14ac:dyDescent="0.25">
      <c r="A105" s="33" t="s">
        <v>86</v>
      </c>
      <c r="B105" s="33"/>
      <c r="C105" s="33"/>
      <c r="D105" s="33"/>
      <c r="E105" s="33"/>
      <c r="F105" s="33"/>
      <c r="G105" s="33"/>
      <c r="H105" s="33"/>
    </row>
    <row r="106" spans="1:8" x14ac:dyDescent="0.25">
      <c r="A106" s="33"/>
      <c r="B106" s="33"/>
      <c r="C106" s="33"/>
      <c r="D106" s="33"/>
      <c r="E106" s="33"/>
      <c r="F106" s="33"/>
      <c r="G106" s="33"/>
      <c r="H106" s="33"/>
    </row>
    <row r="107" spans="1:8" x14ac:dyDescent="0.25">
      <c r="A107" s="33"/>
      <c r="B107" s="33"/>
      <c r="C107" s="33"/>
      <c r="D107" s="33"/>
      <c r="E107" s="33"/>
      <c r="F107" s="33"/>
      <c r="G107" s="33"/>
      <c r="H107" s="33"/>
    </row>
    <row r="109" spans="1:8" x14ac:dyDescent="0.25">
      <c r="A109" s="34"/>
      <c r="B109" s="34"/>
      <c r="C109" s="34"/>
      <c r="D109" s="34"/>
      <c r="E109" s="34"/>
      <c r="F109" s="34"/>
      <c r="G109" s="34"/>
      <c r="H109" s="34"/>
    </row>
  </sheetData>
  <mergeCells count="11">
    <mergeCell ref="A2:H2"/>
    <mergeCell ref="A5:A6"/>
    <mergeCell ref="B5:D5"/>
    <mergeCell ref="E5:G5"/>
    <mergeCell ref="H5:H6"/>
    <mergeCell ref="A105:H107"/>
    <mergeCell ref="A109:H109"/>
    <mergeCell ref="A92:A93"/>
    <mergeCell ref="B92:D92"/>
    <mergeCell ref="E92:G92"/>
    <mergeCell ref="H92:H9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view="pageLayout" topLeftCell="A85" zoomScale="70" zoomScaleNormal="100" zoomScalePageLayoutView="70" workbookViewId="0">
      <selection activeCell="A95" sqref="A95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2002-03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1</v>
      </c>
      <c r="C7" s="4">
        <v>0</v>
      </c>
      <c r="D7" s="5">
        <f>SUM(B7:C7)</f>
        <v>1</v>
      </c>
      <c r="E7" s="6">
        <v>18</v>
      </c>
      <c r="F7" s="4">
        <v>2</v>
      </c>
      <c r="G7" s="5">
        <f>SUM(E7:F7)</f>
        <v>20</v>
      </c>
      <c r="H7" s="9">
        <f>D7+G7</f>
        <v>21</v>
      </c>
    </row>
    <row r="8" spans="1:8" x14ac:dyDescent="0.25">
      <c r="A8" s="14" t="s">
        <v>6</v>
      </c>
      <c r="B8" s="6">
        <v>3</v>
      </c>
      <c r="C8" s="4">
        <v>0</v>
      </c>
      <c r="D8" s="5">
        <f t="shared" ref="D8:D83" si="0">SUM(B8:C8)</f>
        <v>3</v>
      </c>
      <c r="E8" s="6">
        <v>15</v>
      </c>
      <c r="F8" s="4">
        <v>6</v>
      </c>
      <c r="G8" s="5">
        <f t="shared" ref="G8:G83" si="1">SUM(E8:F8)</f>
        <v>21</v>
      </c>
      <c r="H8" s="9">
        <f t="shared" ref="H8:H83" si="2">D8+G8</f>
        <v>24</v>
      </c>
    </row>
    <row r="9" spans="1:8" x14ac:dyDescent="0.25">
      <c r="A9" s="14" t="s">
        <v>7</v>
      </c>
      <c r="B9" s="6">
        <v>2</v>
      </c>
      <c r="C9" s="4">
        <v>0</v>
      </c>
      <c r="D9" s="5">
        <f t="shared" si="0"/>
        <v>2</v>
      </c>
      <c r="E9" s="6">
        <v>61</v>
      </c>
      <c r="F9" s="4">
        <v>2</v>
      </c>
      <c r="G9" s="5">
        <f t="shared" si="1"/>
        <v>63</v>
      </c>
      <c r="H9" s="9">
        <f t="shared" si="2"/>
        <v>65</v>
      </c>
    </row>
    <row r="10" spans="1:8" x14ac:dyDescent="0.25">
      <c r="A10" s="14" t="s">
        <v>8</v>
      </c>
      <c r="B10" s="6">
        <v>2</v>
      </c>
      <c r="C10" s="4">
        <v>0</v>
      </c>
      <c r="D10" s="5">
        <f t="shared" si="0"/>
        <v>2</v>
      </c>
      <c r="E10" s="6">
        <v>160</v>
      </c>
      <c r="F10" s="4">
        <v>7</v>
      </c>
      <c r="G10" s="5">
        <f t="shared" si="1"/>
        <v>167</v>
      </c>
      <c r="H10" s="9">
        <f t="shared" si="2"/>
        <v>169</v>
      </c>
    </row>
    <row r="11" spans="1:8" x14ac:dyDescent="0.25">
      <c r="A11" s="14" t="s">
        <v>100</v>
      </c>
      <c r="B11" s="6">
        <v>0</v>
      </c>
      <c r="C11" s="4">
        <v>0</v>
      </c>
      <c r="D11" s="5">
        <f t="shared" si="0"/>
        <v>0</v>
      </c>
      <c r="E11" s="6">
        <v>4</v>
      </c>
      <c r="F11" s="4">
        <v>3</v>
      </c>
      <c r="G11" s="5">
        <f t="shared" si="1"/>
        <v>7</v>
      </c>
      <c r="H11" s="9">
        <f t="shared" si="2"/>
        <v>7</v>
      </c>
    </row>
    <row r="12" spans="1:8" x14ac:dyDescent="0.25">
      <c r="A12" s="14" t="s">
        <v>9</v>
      </c>
      <c r="B12" s="6">
        <v>4</v>
      </c>
      <c r="C12" s="4">
        <v>0</v>
      </c>
      <c r="D12" s="5">
        <f t="shared" si="0"/>
        <v>4</v>
      </c>
      <c r="E12" s="6">
        <v>4</v>
      </c>
      <c r="F12" s="4">
        <v>2</v>
      </c>
      <c r="G12" s="5">
        <f t="shared" si="1"/>
        <v>6</v>
      </c>
      <c r="H12" s="9">
        <f t="shared" si="2"/>
        <v>10</v>
      </c>
    </row>
    <row r="13" spans="1:8" x14ac:dyDescent="0.25">
      <c r="A13" s="14" t="s">
        <v>10</v>
      </c>
      <c r="B13" s="6">
        <v>4</v>
      </c>
      <c r="C13" s="4">
        <v>0</v>
      </c>
      <c r="D13" s="5">
        <f t="shared" si="0"/>
        <v>4</v>
      </c>
      <c r="E13" s="6">
        <v>4</v>
      </c>
      <c r="F13" s="4">
        <v>3</v>
      </c>
      <c r="G13" s="5">
        <f t="shared" si="1"/>
        <v>7</v>
      </c>
      <c r="H13" s="9">
        <f t="shared" si="2"/>
        <v>11</v>
      </c>
    </row>
    <row r="14" spans="1:8" x14ac:dyDescent="0.25">
      <c r="A14" s="14" t="s">
        <v>120</v>
      </c>
      <c r="B14" s="6">
        <v>0</v>
      </c>
      <c r="C14" s="4">
        <v>0</v>
      </c>
      <c r="D14" s="5">
        <f t="shared" si="0"/>
        <v>0</v>
      </c>
      <c r="E14" s="6">
        <v>0</v>
      </c>
      <c r="F14" s="4">
        <v>0</v>
      </c>
      <c r="G14" s="5">
        <f t="shared" si="1"/>
        <v>0</v>
      </c>
      <c r="H14" s="9">
        <f t="shared" si="2"/>
        <v>0</v>
      </c>
    </row>
    <row r="15" spans="1:8" x14ac:dyDescent="0.25">
      <c r="A15" s="14" t="s">
        <v>106</v>
      </c>
      <c r="B15" s="6">
        <v>0</v>
      </c>
      <c r="C15" s="4">
        <v>0</v>
      </c>
      <c r="D15" s="5">
        <f t="shared" si="0"/>
        <v>0</v>
      </c>
      <c r="E15" s="6">
        <v>0</v>
      </c>
      <c r="F15" s="4">
        <v>0</v>
      </c>
      <c r="G15" s="5">
        <f t="shared" si="1"/>
        <v>0</v>
      </c>
      <c r="H15" s="9">
        <f t="shared" si="2"/>
        <v>0</v>
      </c>
    </row>
    <row r="16" spans="1:8" x14ac:dyDescent="0.25">
      <c r="A16" s="14" t="s">
        <v>101</v>
      </c>
      <c r="B16" s="6">
        <v>0</v>
      </c>
      <c r="C16" s="4">
        <v>0</v>
      </c>
      <c r="D16" s="5">
        <f t="shared" si="0"/>
        <v>0</v>
      </c>
      <c r="E16" s="6">
        <v>7</v>
      </c>
      <c r="F16" s="4">
        <v>2</v>
      </c>
      <c r="G16" s="5">
        <f t="shared" si="1"/>
        <v>9</v>
      </c>
      <c r="H16" s="9">
        <f t="shared" si="2"/>
        <v>9</v>
      </c>
    </row>
    <row r="17" spans="1:8" x14ac:dyDescent="0.25">
      <c r="A17" s="14" t="s">
        <v>12</v>
      </c>
      <c r="B17" s="6">
        <v>1</v>
      </c>
      <c r="C17" s="4">
        <v>0</v>
      </c>
      <c r="D17" s="5">
        <f t="shared" si="0"/>
        <v>1</v>
      </c>
      <c r="E17" s="6">
        <v>4</v>
      </c>
      <c r="F17" s="4">
        <v>0</v>
      </c>
      <c r="G17" s="5">
        <f t="shared" si="1"/>
        <v>4</v>
      </c>
      <c r="H17" s="9">
        <f t="shared" si="2"/>
        <v>5</v>
      </c>
    </row>
    <row r="18" spans="1:8" x14ac:dyDescent="0.25">
      <c r="A18" s="14" t="s">
        <v>13</v>
      </c>
      <c r="B18" s="6">
        <v>2</v>
      </c>
      <c r="C18" s="4">
        <v>1</v>
      </c>
      <c r="D18" s="5">
        <f t="shared" si="0"/>
        <v>3</v>
      </c>
      <c r="E18" s="6">
        <v>3</v>
      </c>
      <c r="F18" s="4">
        <v>0</v>
      </c>
      <c r="G18" s="5">
        <f t="shared" si="1"/>
        <v>3</v>
      </c>
      <c r="H18" s="9">
        <f t="shared" si="2"/>
        <v>6</v>
      </c>
    </row>
    <row r="19" spans="1:8" x14ac:dyDescent="0.25">
      <c r="A19" s="14" t="s">
        <v>14</v>
      </c>
      <c r="B19" s="6">
        <v>3</v>
      </c>
      <c r="C19" s="4">
        <v>0</v>
      </c>
      <c r="D19" s="5">
        <f t="shared" si="0"/>
        <v>3</v>
      </c>
      <c r="E19" s="6">
        <v>12</v>
      </c>
      <c r="F19" s="4">
        <v>3</v>
      </c>
      <c r="G19" s="5">
        <f t="shared" si="1"/>
        <v>15</v>
      </c>
      <c r="H19" s="9">
        <f t="shared" si="2"/>
        <v>18</v>
      </c>
    </row>
    <row r="20" spans="1:8" x14ac:dyDescent="0.25">
      <c r="A20" s="14" t="s">
        <v>15</v>
      </c>
      <c r="B20" s="6">
        <v>0</v>
      </c>
      <c r="C20" s="4">
        <v>0</v>
      </c>
      <c r="D20" s="5">
        <f t="shared" si="0"/>
        <v>0</v>
      </c>
      <c r="E20" s="6">
        <v>13</v>
      </c>
      <c r="F20" s="4">
        <v>1</v>
      </c>
      <c r="G20" s="5">
        <f t="shared" si="1"/>
        <v>14</v>
      </c>
      <c r="H20" s="9">
        <f t="shared" si="2"/>
        <v>14</v>
      </c>
    </row>
    <row r="21" spans="1:8" x14ac:dyDescent="0.25">
      <c r="A21" s="14" t="s">
        <v>16</v>
      </c>
      <c r="B21" s="6">
        <v>1</v>
      </c>
      <c r="C21" s="4">
        <v>1</v>
      </c>
      <c r="D21" s="5">
        <f t="shared" si="0"/>
        <v>2</v>
      </c>
      <c r="E21" s="6">
        <v>6</v>
      </c>
      <c r="F21" s="4">
        <v>0</v>
      </c>
      <c r="G21" s="5">
        <f t="shared" si="1"/>
        <v>6</v>
      </c>
      <c r="H21" s="9">
        <f t="shared" si="2"/>
        <v>8</v>
      </c>
    </row>
    <row r="22" spans="1:8" x14ac:dyDescent="0.25">
      <c r="A22" s="14" t="s">
        <v>126</v>
      </c>
      <c r="B22" s="6">
        <v>0</v>
      </c>
      <c r="C22" s="4">
        <v>0</v>
      </c>
      <c r="D22" s="5">
        <f t="shared" si="0"/>
        <v>0</v>
      </c>
      <c r="E22" s="6">
        <v>15</v>
      </c>
      <c r="F22" s="4">
        <v>2</v>
      </c>
      <c r="G22" s="5">
        <f t="shared" si="1"/>
        <v>17</v>
      </c>
      <c r="H22" s="9">
        <f t="shared" si="2"/>
        <v>17</v>
      </c>
    </row>
    <row r="23" spans="1:8" x14ac:dyDescent="0.25">
      <c r="A23" s="14" t="s">
        <v>17</v>
      </c>
      <c r="B23" s="6">
        <v>14</v>
      </c>
      <c r="C23" s="4">
        <v>8</v>
      </c>
      <c r="D23" s="5">
        <f t="shared" si="0"/>
        <v>22</v>
      </c>
      <c r="E23" s="6">
        <v>10</v>
      </c>
      <c r="F23" s="4">
        <v>1</v>
      </c>
      <c r="G23" s="5">
        <f t="shared" si="1"/>
        <v>11</v>
      </c>
      <c r="H23" s="9">
        <f t="shared" si="2"/>
        <v>33</v>
      </c>
    </row>
    <row r="24" spans="1:8" x14ac:dyDescent="0.25">
      <c r="A24" s="14" t="s">
        <v>127</v>
      </c>
      <c r="B24" s="6">
        <v>0</v>
      </c>
      <c r="C24" s="4">
        <v>0</v>
      </c>
      <c r="D24" s="5">
        <f t="shared" si="0"/>
        <v>0</v>
      </c>
      <c r="E24" s="6">
        <v>37</v>
      </c>
      <c r="F24" s="4">
        <v>2</v>
      </c>
      <c r="G24" s="5">
        <f t="shared" si="1"/>
        <v>39</v>
      </c>
      <c r="H24" s="9">
        <f t="shared" si="2"/>
        <v>39</v>
      </c>
    </row>
    <row r="25" spans="1:8" x14ac:dyDescent="0.25">
      <c r="A25" s="14" t="s">
        <v>18</v>
      </c>
      <c r="B25" s="6">
        <v>3</v>
      </c>
      <c r="C25" s="4">
        <v>1</v>
      </c>
      <c r="D25" s="5">
        <f t="shared" si="0"/>
        <v>4</v>
      </c>
      <c r="E25" s="6">
        <v>200</v>
      </c>
      <c r="F25" s="4">
        <v>25</v>
      </c>
      <c r="G25" s="5">
        <f t="shared" si="1"/>
        <v>225</v>
      </c>
      <c r="H25" s="9">
        <f t="shared" si="2"/>
        <v>229</v>
      </c>
    </row>
    <row r="26" spans="1:8" x14ac:dyDescent="0.25">
      <c r="A26" s="14" t="s">
        <v>19</v>
      </c>
      <c r="B26" s="6">
        <v>0</v>
      </c>
      <c r="C26" s="4">
        <v>0</v>
      </c>
      <c r="D26" s="5">
        <f t="shared" si="0"/>
        <v>0</v>
      </c>
      <c r="E26" s="6">
        <v>8</v>
      </c>
      <c r="F26" s="4">
        <v>0</v>
      </c>
      <c r="G26" s="5">
        <f t="shared" si="1"/>
        <v>8</v>
      </c>
      <c r="H26" s="9">
        <f t="shared" si="2"/>
        <v>8</v>
      </c>
    </row>
    <row r="27" spans="1:8" x14ac:dyDescent="0.25">
      <c r="A27" s="14" t="s">
        <v>20</v>
      </c>
      <c r="B27" s="6">
        <v>0</v>
      </c>
      <c r="C27" s="4">
        <v>3</v>
      </c>
      <c r="D27" s="5">
        <f t="shared" si="0"/>
        <v>3</v>
      </c>
      <c r="E27" s="6">
        <v>1</v>
      </c>
      <c r="F27" s="4">
        <v>0</v>
      </c>
      <c r="G27" s="5">
        <f t="shared" si="1"/>
        <v>1</v>
      </c>
      <c r="H27" s="9">
        <f t="shared" si="2"/>
        <v>4</v>
      </c>
    </row>
    <row r="28" spans="1:8" x14ac:dyDescent="0.25">
      <c r="A28" s="14" t="s">
        <v>21</v>
      </c>
      <c r="B28" s="6">
        <v>2</v>
      </c>
      <c r="C28" s="4">
        <v>0</v>
      </c>
      <c r="D28" s="5">
        <f t="shared" si="0"/>
        <v>2</v>
      </c>
      <c r="E28" s="6">
        <v>4</v>
      </c>
      <c r="F28" s="4">
        <v>0</v>
      </c>
      <c r="G28" s="5">
        <f t="shared" si="1"/>
        <v>4</v>
      </c>
      <c r="H28" s="9">
        <f t="shared" si="2"/>
        <v>6</v>
      </c>
    </row>
    <row r="29" spans="1:8" x14ac:dyDescent="0.25">
      <c r="A29" s="14" t="s">
        <v>102</v>
      </c>
      <c r="B29" s="6">
        <v>0</v>
      </c>
      <c r="C29" s="4">
        <v>0</v>
      </c>
      <c r="D29" s="5">
        <f t="shared" si="0"/>
        <v>0</v>
      </c>
      <c r="E29" s="6">
        <v>0</v>
      </c>
      <c r="F29" s="4">
        <v>0</v>
      </c>
      <c r="G29" s="5">
        <f t="shared" si="1"/>
        <v>0</v>
      </c>
      <c r="H29" s="9">
        <f t="shared" si="2"/>
        <v>0</v>
      </c>
    </row>
    <row r="30" spans="1:8" x14ac:dyDescent="0.25">
      <c r="A30" s="14" t="s">
        <v>22</v>
      </c>
      <c r="B30" s="6">
        <v>2</v>
      </c>
      <c r="C30" s="4">
        <v>0</v>
      </c>
      <c r="D30" s="5">
        <f t="shared" si="0"/>
        <v>2</v>
      </c>
      <c r="E30" s="6">
        <v>9</v>
      </c>
      <c r="F30" s="4">
        <v>3</v>
      </c>
      <c r="G30" s="5">
        <f t="shared" si="1"/>
        <v>12</v>
      </c>
      <c r="H30" s="9">
        <f t="shared" si="2"/>
        <v>14</v>
      </c>
    </row>
    <row r="31" spans="1:8" x14ac:dyDescent="0.25">
      <c r="A31" s="14" t="s">
        <v>94</v>
      </c>
      <c r="B31" s="6">
        <v>0</v>
      </c>
      <c r="C31" s="4">
        <v>0</v>
      </c>
      <c r="D31" s="5">
        <f t="shared" si="0"/>
        <v>0</v>
      </c>
      <c r="E31" s="6">
        <v>15</v>
      </c>
      <c r="F31" s="4">
        <v>1</v>
      </c>
      <c r="G31" s="5">
        <f t="shared" si="1"/>
        <v>16</v>
      </c>
      <c r="H31" s="9">
        <f t="shared" si="2"/>
        <v>16</v>
      </c>
    </row>
    <row r="32" spans="1:8" x14ac:dyDescent="0.25">
      <c r="A32" s="14" t="s">
        <v>24</v>
      </c>
      <c r="B32" s="6">
        <v>0</v>
      </c>
      <c r="C32" s="4">
        <v>0</v>
      </c>
      <c r="D32" s="5">
        <f t="shared" si="0"/>
        <v>0</v>
      </c>
      <c r="E32" s="6">
        <v>5</v>
      </c>
      <c r="F32" s="4">
        <v>0</v>
      </c>
      <c r="G32" s="5">
        <f t="shared" si="1"/>
        <v>5</v>
      </c>
      <c r="H32" s="9">
        <f t="shared" si="2"/>
        <v>5</v>
      </c>
    </row>
    <row r="33" spans="1:8" x14ac:dyDescent="0.25">
      <c r="A33" s="14" t="s">
        <v>71</v>
      </c>
      <c r="B33" s="6">
        <v>11</v>
      </c>
      <c r="C33" s="4">
        <v>0</v>
      </c>
      <c r="D33" s="5">
        <f t="shared" si="0"/>
        <v>11</v>
      </c>
      <c r="E33" s="6">
        <v>12</v>
      </c>
      <c r="F33" s="4">
        <v>0</v>
      </c>
      <c r="G33" s="5">
        <f t="shared" si="1"/>
        <v>12</v>
      </c>
      <c r="H33" s="9">
        <f t="shared" si="2"/>
        <v>23</v>
      </c>
    </row>
    <row r="34" spans="1:8" x14ac:dyDescent="0.25">
      <c r="A34" s="14" t="s">
        <v>72</v>
      </c>
      <c r="B34" s="6">
        <v>4</v>
      </c>
      <c r="C34" s="4">
        <v>0</v>
      </c>
      <c r="D34" s="5">
        <f t="shared" si="0"/>
        <v>4</v>
      </c>
      <c r="E34" s="6">
        <v>30</v>
      </c>
      <c r="F34" s="4">
        <v>0</v>
      </c>
      <c r="G34" s="5">
        <f t="shared" si="1"/>
        <v>30</v>
      </c>
      <c r="H34" s="9">
        <f t="shared" si="2"/>
        <v>34</v>
      </c>
    </row>
    <row r="35" spans="1:8" x14ac:dyDescent="0.25">
      <c r="A35" s="14" t="s">
        <v>26</v>
      </c>
      <c r="B35" s="6">
        <v>8</v>
      </c>
      <c r="C35" s="4">
        <v>0</v>
      </c>
      <c r="D35" s="5">
        <f t="shared" si="0"/>
        <v>8</v>
      </c>
      <c r="E35" s="6">
        <v>30</v>
      </c>
      <c r="F35" s="4">
        <v>1</v>
      </c>
      <c r="G35" s="5">
        <f t="shared" si="1"/>
        <v>31</v>
      </c>
      <c r="H35" s="9">
        <f t="shared" si="2"/>
        <v>39</v>
      </c>
    </row>
    <row r="36" spans="1:8" x14ac:dyDescent="0.25">
      <c r="A36" s="14" t="s">
        <v>73</v>
      </c>
      <c r="B36" s="6">
        <v>3</v>
      </c>
      <c r="C36" s="4">
        <v>0</v>
      </c>
      <c r="D36" s="5">
        <f t="shared" si="0"/>
        <v>3</v>
      </c>
      <c r="E36" s="6">
        <v>14</v>
      </c>
      <c r="F36" s="4">
        <v>0</v>
      </c>
      <c r="G36" s="5">
        <f t="shared" si="1"/>
        <v>14</v>
      </c>
      <c r="H36" s="9">
        <f t="shared" si="2"/>
        <v>17</v>
      </c>
    </row>
    <row r="37" spans="1:8" x14ac:dyDescent="0.25">
      <c r="A37" s="14" t="s">
        <v>27</v>
      </c>
      <c r="B37" s="6">
        <v>3</v>
      </c>
      <c r="C37" s="4">
        <v>0</v>
      </c>
      <c r="D37" s="5">
        <f t="shared" si="0"/>
        <v>3</v>
      </c>
      <c r="E37" s="6">
        <v>11</v>
      </c>
      <c r="F37" s="4">
        <v>0</v>
      </c>
      <c r="G37" s="5">
        <f t="shared" si="1"/>
        <v>11</v>
      </c>
      <c r="H37" s="9">
        <f t="shared" si="2"/>
        <v>14</v>
      </c>
    </row>
    <row r="38" spans="1:8" x14ac:dyDescent="0.25">
      <c r="A38" s="14" t="s">
        <v>28</v>
      </c>
      <c r="B38" s="6">
        <v>4</v>
      </c>
      <c r="C38" s="4">
        <v>0</v>
      </c>
      <c r="D38" s="5">
        <f t="shared" si="0"/>
        <v>4</v>
      </c>
      <c r="E38" s="6">
        <v>20</v>
      </c>
      <c r="F38" s="4">
        <v>0</v>
      </c>
      <c r="G38" s="5">
        <f t="shared" si="1"/>
        <v>20</v>
      </c>
      <c r="H38" s="9">
        <f t="shared" si="2"/>
        <v>24</v>
      </c>
    </row>
    <row r="39" spans="1:8" x14ac:dyDescent="0.25">
      <c r="A39" s="14" t="s">
        <v>1</v>
      </c>
      <c r="B39" s="6">
        <v>0</v>
      </c>
      <c r="C39" s="4">
        <v>0</v>
      </c>
      <c r="D39" s="5">
        <f t="shared" si="0"/>
        <v>0</v>
      </c>
      <c r="E39" s="6">
        <v>28</v>
      </c>
      <c r="F39" s="4">
        <v>2</v>
      </c>
      <c r="G39" s="5">
        <f t="shared" si="1"/>
        <v>30</v>
      </c>
      <c r="H39" s="9">
        <f t="shared" si="2"/>
        <v>30</v>
      </c>
    </row>
    <row r="40" spans="1:8" x14ac:dyDescent="0.25">
      <c r="A40" s="14" t="s">
        <v>29</v>
      </c>
      <c r="B40" s="6">
        <v>0</v>
      </c>
      <c r="C40" s="4">
        <v>0</v>
      </c>
      <c r="D40" s="5">
        <f t="shared" si="0"/>
        <v>0</v>
      </c>
      <c r="E40" s="6">
        <v>56</v>
      </c>
      <c r="F40" s="4">
        <v>3</v>
      </c>
      <c r="G40" s="5">
        <f t="shared" si="1"/>
        <v>59</v>
      </c>
      <c r="H40" s="9">
        <f t="shared" si="2"/>
        <v>59</v>
      </c>
    </row>
    <row r="41" spans="1:8" x14ac:dyDescent="0.25">
      <c r="A41" s="14" t="s">
        <v>30</v>
      </c>
      <c r="B41" s="6">
        <v>6</v>
      </c>
      <c r="C41" s="4">
        <v>2</v>
      </c>
      <c r="D41" s="5">
        <f t="shared" si="0"/>
        <v>8</v>
      </c>
      <c r="E41" s="6">
        <v>0</v>
      </c>
      <c r="F41" s="4">
        <v>0</v>
      </c>
      <c r="G41" s="5">
        <f t="shared" si="1"/>
        <v>0</v>
      </c>
      <c r="H41" s="9">
        <f t="shared" si="2"/>
        <v>8</v>
      </c>
    </row>
    <row r="42" spans="1:8" x14ac:dyDescent="0.25">
      <c r="A42" s="14" t="s">
        <v>31</v>
      </c>
      <c r="B42" s="6">
        <v>14</v>
      </c>
      <c r="C42" s="4">
        <v>7</v>
      </c>
      <c r="D42" s="5">
        <f t="shared" si="0"/>
        <v>21</v>
      </c>
      <c r="E42" s="6">
        <v>49</v>
      </c>
      <c r="F42" s="4">
        <v>1</v>
      </c>
      <c r="G42" s="5">
        <f t="shared" si="1"/>
        <v>50</v>
      </c>
      <c r="H42" s="9">
        <f t="shared" si="2"/>
        <v>71</v>
      </c>
    </row>
    <row r="43" spans="1:8" x14ac:dyDescent="0.25">
      <c r="A43" s="14" t="s">
        <v>32</v>
      </c>
      <c r="B43" s="6">
        <v>0</v>
      </c>
      <c r="C43" s="4">
        <v>0</v>
      </c>
      <c r="D43" s="5">
        <f t="shared" si="0"/>
        <v>0</v>
      </c>
      <c r="E43" s="6">
        <v>34</v>
      </c>
      <c r="F43" s="4">
        <v>3</v>
      </c>
      <c r="G43" s="5">
        <f t="shared" si="1"/>
        <v>37</v>
      </c>
      <c r="H43" s="9">
        <f t="shared" si="2"/>
        <v>37</v>
      </c>
    </row>
    <row r="44" spans="1:8" x14ac:dyDescent="0.25">
      <c r="A44" s="14" t="s">
        <v>33</v>
      </c>
      <c r="B44" s="6">
        <v>0</v>
      </c>
      <c r="C44" s="4">
        <v>0</v>
      </c>
      <c r="D44" s="5">
        <f t="shared" si="0"/>
        <v>0</v>
      </c>
      <c r="E44" s="6">
        <v>0</v>
      </c>
      <c r="F44" s="4">
        <v>0</v>
      </c>
      <c r="G44" s="5">
        <f t="shared" si="1"/>
        <v>0</v>
      </c>
      <c r="H44" s="9">
        <f t="shared" si="2"/>
        <v>0</v>
      </c>
    </row>
    <row r="45" spans="1:8" x14ac:dyDescent="0.25">
      <c r="A45" s="14" t="s">
        <v>34</v>
      </c>
      <c r="B45" s="6">
        <v>1</v>
      </c>
      <c r="C45" s="4">
        <v>0</v>
      </c>
      <c r="D45" s="5">
        <f t="shared" si="0"/>
        <v>1</v>
      </c>
      <c r="E45" s="6">
        <v>5</v>
      </c>
      <c r="F45" s="4">
        <v>0</v>
      </c>
      <c r="G45" s="5">
        <f t="shared" si="1"/>
        <v>5</v>
      </c>
      <c r="H45" s="9">
        <f t="shared" si="2"/>
        <v>6</v>
      </c>
    </row>
    <row r="46" spans="1:8" x14ac:dyDescent="0.25">
      <c r="A46" s="14" t="s">
        <v>35</v>
      </c>
      <c r="B46" s="6">
        <v>0</v>
      </c>
      <c r="C46" s="4">
        <v>0</v>
      </c>
      <c r="D46" s="5">
        <f t="shared" si="0"/>
        <v>0</v>
      </c>
      <c r="E46" s="6">
        <v>10</v>
      </c>
      <c r="F46" s="4">
        <v>2</v>
      </c>
      <c r="G46" s="5">
        <f t="shared" si="1"/>
        <v>12</v>
      </c>
      <c r="H46" s="9">
        <f t="shared" si="2"/>
        <v>12</v>
      </c>
    </row>
    <row r="47" spans="1:8" x14ac:dyDescent="0.25">
      <c r="A47" s="14" t="s">
        <v>36</v>
      </c>
      <c r="B47" s="6">
        <v>1</v>
      </c>
      <c r="C47" s="4">
        <v>0</v>
      </c>
      <c r="D47" s="5">
        <f t="shared" si="0"/>
        <v>1</v>
      </c>
      <c r="E47" s="6">
        <v>13</v>
      </c>
      <c r="F47" s="4">
        <v>0</v>
      </c>
      <c r="G47" s="5">
        <f t="shared" si="1"/>
        <v>13</v>
      </c>
      <c r="H47" s="9">
        <f t="shared" si="2"/>
        <v>14</v>
      </c>
    </row>
    <row r="48" spans="1:8" x14ac:dyDescent="0.25">
      <c r="A48" s="14" t="s">
        <v>128</v>
      </c>
      <c r="B48" s="6">
        <v>1</v>
      </c>
      <c r="C48" s="4">
        <v>0</v>
      </c>
      <c r="D48" s="5">
        <f t="shared" si="0"/>
        <v>1</v>
      </c>
      <c r="E48" s="6">
        <v>0</v>
      </c>
      <c r="F48" s="4">
        <v>0</v>
      </c>
      <c r="G48" s="5">
        <f t="shared" si="1"/>
        <v>0</v>
      </c>
      <c r="H48" s="9">
        <f t="shared" si="2"/>
        <v>1</v>
      </c>
    </row>
    <row r="49" spans="1:8" x14ac:dyDescent="0.25">
      <c r="A49" s="14" t="s">
        <v>38</v>
      </c>
      <c r="B49" s="6">
        <v>90</v>
      </c>
      <c r="C49" s="4">
        <v>0</v>
      </c>
      <c r="D49" s="5">
        <f t="shared" si="0"/>
        <v>90</v>
      </c>
      <c r="E49" s="6">
        <v>2</v>
      </c>
      <c r="F49" s="4">
        <v>0</v>
      </c>
      <c r="G49" s="5">
        <f t="shared" si="1"/>
        <v>2</v>
      </c>
      <c r="H49" s="9">
        <f t="shared" si="2"/>
        <v>92</v>
      </c>
    </row>
    <row r="50" spans="1:8" x14ac:dyDescent="0.25">
      <c r="A50" s="14" t="s">
        <v>39</v>
      </c>
      <c r="B50" s="6">
        <v>5</v>
      </c>
      <c r="C50" s="4">
        <v>0</v>
      </c>
      <c r="D50" s="5">
        <f t="shared" si="0"/>
        <v>5</v>
      </c>
      <c r="E50" s="6">
        <v>41</v>
      </c>
      <c r="F50" s="4">
        <v>2</v>
      </c>
      <c r="G50" s="5">
        <f t="shared" si="1"/>
        <v>43</v>
      </c>
      <c r="H50" s="9">
        <f t="shared" si="2"/>
        <v>48</v>
      </c>
    </row>
    <row r="51" spans="1:8" x14ac:dyDescent="0.25">
      <c r="A51" s="14" t="s">
        <v>40</v>
      </c>
      <c r="B51" s="6">
        <v>3</v>
      </c>
      <c r="C51" s="4">
        <v>0</v>
      </c>
      <c r="D51" s="5">
        <f t="shared" si="0"/>
        <v>3</v>
      </c>
      <c r="E51" s="6">
        <v>116</v>
      </c>
      <c r="F51" s="4">
        <v>11</v>
      </c>
      <c r="G51" s="5">
        <f t="shared" si="1"/>
        <v>127</v>
      </c>
      <c r="H51" s="9">
        <f t="shared" si="2"/>
        <v>130</v>
      </c>
    </row>
    <row r="52" spans="1:8" x14ac:dyDescent="0.25">
      <c r="A52" s="14" t="s">
        <v>103</v>
      </c>
      <c r="B52" s="6">
        <v>0</v>
      </c>
      <c r="C52" s="4">
        <v>0</v>
      </c>
      <c r="D52" s="5">
        <f t="shared" si="0"/>
        <v>0</v>
      </c>
      <c r="E52" s="6">
        <v>13</v>
      </c>
      <c r="F52" s="4">
        <v>2</v>
      </c>
      <c r="G52" s="5">
        <f t="shared" si="1"/>
        <v>15</v>
      </c>
      <c r="H52" s="9">
        <f t="shared" si="2"/>
        <v>15</v>
      </c>
    </row>
    <row r="53" spans="1:8" x14ac:dyDescent="0.25">
      <c r="A53" s="14" t="s">
        <v>121</v>
      </c>
      <c r="B53" s="6">
        <v>5</v>
      </c>
      <c r="C53" s="4">
        <v>0</v>
      </c>
      <c r="D53" s="5">
        <f t="shared" si="0"/>
        <v>5</v>
      </c>
      <c r="E53" s="6">
        <v>38</v>
      </c>
      <c r="F53" s="4">
        <v>2</v>
      </c>
      <c r="G53" s="5">
        <f t="shared" si="1"/>
        <v>40</v>
      </c>
      <c r="H53" s="9">
        <f t="shared" si="2"/>
        <v>45</v>
      </c>
    </row>
    <row r="54" spans="1:8" x14ac:dyDescent="0.25">
      <c r="A54" s="14" t="s">
        <v>41</v>
      </c>
      <c r="B54" s="6">
        <v>4</v>
      </c>
      <c r="C54" s="4">
        <v>0</v>
      </c>
      <c r="D54" s="5">
        <f t="shared" si="0"/>
        <v>4</v>
      </c>
      <c r="E54" s="6">
        <v>5</v>
      </c>
      <c r="F54" s="4">
        <v>0</v>
      </c>
      <c r="G54" s="5">
        <f t="shared" si="1"/>
        <v>5</v>
      </c>
      <c r="H54" s="9">
        <f t="shared" si="2"/>
        <v>9</v>
      </c>
    </row>
    <row r="55" spans="1:8" x14ac:dyDescent="0.25">
      <c r="A55" s="14" t="s">
        <v>42</v>
      </c>
      <c r="B55" s="6">
        <v>1</v>
      </c>
      <c r="C55" s="4">
        <v>0</v>
      </c>
      <c r="D55" s="5">
        <f t="shared" si="0"/>
        <v>1</v>
      </c>
      <c r="E55" s="6">
        <v>2</v>
      </c>
      <c r="F55" s="4">
        <v>0</v>
      </c>
      <c r="G55" s="5">
        <f t="shared" si="1"/>
        <v>2</v>
      </c>
      <c r="H55" s="9">
        <f t="shared" si="2"/>
        <v>3</v>
      </c>
    </row>
    <row r="56" spans="1:8" x14ac:dyDescent="0.25">
      <c r="A56" s="14" t="s">
        <v>43</v>
      </c>
      <c r="B56" s="6">
        <v>0</v>
      </c>
      <c r="C56" s="4">
        <v>0</v>
      </c>
      <c r="D56" s="5">
        <f t="shared" si="0"/>
        <v>0</v>
      </c>
      <c r="E56" s="6">
        <v>4</v>
      </c>
      <c r="F56" s="4">
        <v>2</v>
      </c>
      <c r="G56" s="5">
        <f t="shared" si="1"/>
        <v>6</v>
      </c>
      <c r="H56" s="9">
        <f t="shared" si="2"/>
        <v>6</v>
      </c>
    </row>
    <row r="57" spans="1:8" x14ac:dyDescent="0.25">
      <c r="A57" s="14" t="s">
        <v>44</v>
      </c>
      <c r="B57" s="6">
        <v>2</v>
      </c>
      <c r="C57" s="4">
        <v>0</v>
      </c>
      <c r="D57" s="5">
        <f t="shared" si="0"/>
        <v>2</v>
      </c>
      <c r="E57" s="6">
        <v>3</v>
      </c>
      <c r="F57" s="4">
        <v>0</v>
      </c>
      <c r="G57" s="5">
        <f t="shared" si="1"/>
        <v>3</v>
      </c>
      <c r="H57" s="9">
        <f t="shared" si="2"/>
        <v>5</v>
      </c>
    </row>
    <row r="58" spans="1:8" x14ac:dyDescent="0.25">
      <c r="A58" s="14" t="s">
        <v>45</v>
      </c>
      <c r="B58" s="6">
        <v>3</v>
      </c>
      <c r="C58" s="4">
        <v>1</v>
      </c>
      <c r="D58" s="5">
        <f t="shared" si="0"/>
        <v>4</v>
      </c>
      <c r="E58" s="6">
        <v>4</v>
      </c>
      <c r="F58" s="4">
        <v>1</v>
      </c>
      <c r="G58" s="5">
        <f t="shared" si="1"/>
        <v>5</v>
      </c>
      <c r="H58" s="9">
        <f t="shared" si="2"/>
        <v>9</v>
      </c>
    </row>
    <row r="59" spans="1:8" x14ac:dyDescent="0.25">
      <c r="A59" s="14" t="s">
        <v>47</v>
      </c>
      <c r="B59" s="6">
        <v>0</v>
      </c>
      <c r="C59" s="4">
        <v>0</v>
      </c>
      <c r="D59" s="5">
        <f t="shared" si="0"/>
        <v>0</v>
      </c>
      <c r="E59" s="6">
        <v>0</v>
      </c>
      <c r="F59" s="4">
        <v>0</v>
      </c>
      <c r="G59" s="5">
        <f t="shared" si="1"/>
        <v>0</v>
      </c>
      <c r="H59" s="9">
        <f t="shared" si="2"/>
        <v>0</v>
      </c>
    </row>
    <row r="60" spans="1:8" x14ac:dyDescent="0.25">
      <c r="A60" s="14" t="s">
        <v>48</v>
      </c>
      <c r="B60" s="6">
        <v>0</v>
      </c>
      <c r="C60" s="4">
        <v>0</v>
      </c>
      <c r="D60" s="5">
        <f t="shared" si="0"/>
        <v>0</v>
      </c>
      <c r="E60" s="6">
        <v>0</v>
      </c>
      <c r="F60" s="4">
        <v>0</v>
      </c>
      <c r="G60" s="5">
        <f t="shared" si="1"/>
        <v>0</v>
      </c>
      <c r="H60" s="9">
        <f t="shared" si="2"/>
        <v>0</v>
      </c>
    </row>
    <row r="61" spans="1:8" x14ac:dyDescent="0.25">
      <c r="A61" s="14" t="s">
        <v>49</v>
      </c>
      <c r="B61" s="6">
        <v>13</v>
      </c>
      <c r="C61" s="4">
        <v>3</v>
      </c>
      <c r="D61" s="5">
        <f t="shared" si="0"/>
        <v>16</v>
      </c>
      <c r="E61" s="6">
        <v>0</v>
      </c>
      <c r="F61" s="4">
        <v>0</v>
      </c>
      <c r="G61" s="5">
        <f t="shared" si="1"/>
        <v>0</v>
      </c>
      <c r="H61" s="9">
        <f t="shared" si="2"/>
        <v>16</v>
      </c>
    </row>
    <row r="62" spans="1:8" x14ac:dyDescent="0.25">
      <c r="A62" s="14" t="s">
        <v>122</v>
      </c>
      <c r="B62" s="6">
        <v>0</v>
      </c>
      <c r="C62" s="4">
        <v>0</v>
      </c>
      <c r="D62" s="5">
        <f t="shared" si="0"/>
        <v>0</v>
      </c>
      <c r="E62" s="6">
        <v>11</v>
      </c>
      <c r="F62" s="4">
        <v>0</v>
      </c>
      <c r="G62" s="5">
        <f t="shared" si="1"/>
        <v>11</v>
      </c>
      <c r="H62" s="9">
        <f t="shared" si="2"/>
        <v>11</v>
      </c>
    </row>
    <row r="63" spans="1:8" x14ac:dyDescent="0.25">
      <c r="A63" s="14" t="s">
        <v>92</v>
      </c>
      <c r="B63" s="6">
        <v>0</v>
      </c>
      <c r="C63" s="4">
        <v>0</v>
      </c>
      <c r="D63" s="5">
        <f t="shared" si="0"/>
        <v>0</v>
      </c>
      <c r="E63" s="6">
        <v>114</v>
      </c>
      <c r="F63" s="4">
        <v>13</v>
      </c>
      <c r="G63" s="5">
        <f t="shared" si="1"/>
        <v>127</v>
      </c>
      <c r="H63" s="9">
        <f t="shared" si="2"/>
        <v>127</v>
      </c>
    </row>
    <row r="64" spans="1:8" x14ac:dyDescent="0.25">
      <c r="A64" s="14" t="s">
        <v>96</v>
      </c>
      <c r="B64" s="6">
        <v>0</v>
      </c>
      <c r="C64" s="4">
        <v>0</v>
      </c>
      <c r="D64" s="5">
        <f t="shared" si="0"/>
        <v>0</v>
      </c>
      <c r="E64" s="6">
        <v>94</v>
      </c>
      <c r="F64" s="4">
        <v>13</v>
      </c>
      <c r="G64" s="5">
        <f t="shared" si="1"/>
        <v>107</v>
      </c>
      <c r="H64" s="9">
        <f t="shared" si="2"/>
        <v>107</v>
      </c>
    </row>
    <row r="65" spans="1:8" x14ac:dyDescent="0.25">
      <c r="A65" s="14" t="s">
        <v>112</v>
      </c>
      <c r="B65" s="6">
        <v>0</v>
      </c>
      <c r="C65" s="4">
        <v>0</v>
      </c>
      <c r="D65" s="5">
        <f t="shared" si="0"/>
        <v>0</v>
      </c>
      <c r="E65" s="6">
        <v>7</v>
      </c>
      <c r="F65" s="4">
        <v>0</v>
      </c>
      <c r="G65" s="5">
        <f t="shared" si="1"/>
        <v>7</v>
      </c>
      <c r="H65" s="9">
        <f t="shared" si="2"/>
        <v>7</v>
      </c>
    </row>
    <row r="66" spans="1:8" x14ac:dyDescent="0.25">
      <c r="A66" s="14" t="s">
        <v>107</v>
      </c>
      <c r="B66" s="6">
        <v>0</v>
      </c>
      <c r="C66" s="4">
        <v>0</v>
      </c>
      <c r="D66" s="5">
        <f t="shared" si="0"/>
        <v>0</v>
      </c>
      <c r="E66" s="6">
        <v>193</v>
      </c>
      <c r="F66" s="4">
        <v>17</v>
      </c>
      <c r="G66" s="5">
        <f t="shared" si="1"/>
        <v>210</v>
      </c>
      <c r="H66" s="9">
        <f t="shared" si="2"/>
        <v>210</v>
      </c>
    </row>
    <row r="67" spans="1:8" x14ac:dyDescent="0.25">
      <c r="A67" s="14" t="s">
        <v>51</v>
      </c>
      <c r="B67" s="6">
        <v>0</v>
      </c>
      <c r="C67" s="4">
        <v>0</v>
      </c>
      <c r="D67" s="5">
        <f t="shared" si="0"/>
        <v>0</v>
      </c>
      <c r="E67" s="6">
        <v>10</v>
      </c>
      <c r="F67" s="4">
        <v>0</v>
      </c>
      <c r="G67" s="5">
        <f t="shared" si="1"/>
        <v>10</v>
      </c>
      <c r="H67" s="9">
        <f t="shared" si="2"/>
        <v>10</v>
      </c>
    </row>
    <row r="68" spans="1:8" x14ac:dyDescent="0.25">
      <c r="A68" s="14" t="s">
        <v>52</v>
      </c>
      <c r="B68" s="6">
        <v>0</v>
      </c>
      <c r="C68" s="4">
        <v>0</v>
      </c>
      <c r="D68" s="5">
        <f t="shared" si="0"/>
        <v>0</v>
      </c>
      <c r="E68" s="6">
        <v>19</v>
      </c>
      <c r="F68" s="4">
        <v>1</v>
      </c>
      <c r="G68" s="5">
        <f t="shared" si="1"/>
        <v>20</v>
      </c>
      <c r="H68" s="9">
        <f t="shared" si="2"/>
        <v>20</v>
      </c>
    </row>
    <row r="69" spans="1:8" x14ac:dyDescent="0.25">
      <c r="A69" s="14" t="s">
        <v>53</v>
      </c>
      <c r="B69" s="6">
        <v>0</v>
      </c>
      <c r="C69" s="4">
        <v>0</v>
      </c>
      <c r="D69" s="5">
        <f t="shared" si="0"/>
        <v>0</v>
      </c>
      <c r="E69" s="6">
        <v>1</v>
      </c>
      <c r="F69" s="4">
        <v>1</v>
      </c>
      <c r="G69" s="5">
        <f t="shared" si="1"/>
        <v>2</v>
      </c>
      <c r="H69" s="9">
        <f t="shared" si="2"/>
        <v>2</v>
      </c>
    </row>
    <row r="70" spans="1:8" x14ac:dyDescent="0.25">
      <c r="A70" s="14" t="s">
        <v>113</v>
      </c>
      <c r="B70" s="6">
        <v>0</v>
      </c>
      <c r="C70" s="4">
        <v>0</v>
      </c>
      <c r="D70" s="5">
        <f t="shared" si="0"/>
        <v>0</v>
      </c>
      <c r="E70" s="6">
        <v>21</v>
      </c>
      <c r="F70" s="4">
        <v>2</v>
      </c>
      <c r="G70" s="5">
        <f t="shared" si="1"/>
        <v>23</v>
      </c>
      <c r="H70" s="9">
        <f t="shared" si="2"/>
        <v>23</v>
      </c>
    </row>
    <row r="71" spans="1:8" x14ac:dyDescent="0.25">
      <c r="A71" s="14" t="s">
        <v>123</v>
      </c>
      <c r="B71" s="6">
        <v>0</v>
      </c>
      <c r="C71" s="4">
        <v>0</v>
      </c>
      <c r="D71" s="5">
        <f t="shared" si="0"/>
        <v>0</v>
      </c>
      <c r="E71" s="6">
        <v>52</v>
      </c>
      <c r="F71" s="4">
        <v>0</v>
      </c>
      <c r="G71" s="5">
        <f t="shared" si="1"/>
        <v>52</v>
      </c>
      <c r="H71" s="9">
        <f t="shared" si="2"/>
        <v>52</v>
      </c>
    </row>
    <row r="72" spans="1:8" x14ac:dyDescent="0.25">
      <c r="A72" s="14" t="s">
        <v>114</v>
      </c>
      <c r="B72" s="6">
        <v>0</v>
      </c>
      <c r="C72" s="4">
        <v>0</v>
      </c>
      <c r="D72" s="5">
        <f t="shared" ref="D72:D75" si="3">SUM(B72:C72)</f>
        <v>0</v>
      </c>
      <c r="E72" s="6">
        <v>5</v>
      </c>
      <c r="F72" s="4">
        <v>1</v>
      </c>
      <c r="G72" s="5">
        <f t="shared" ref="G72:G75" si="4">SUM(E72:F72)</f>
        <v>6</v>
      </c>
      <c r="H72" s="9">
        <f t="shared" ref="H72:H75" si="5">D72+G72</f>
        <v>6</v>
      </c>
    </row>
    <row r="73" spans="1:8" x14ac:dyDescent="0.25">
      <c r="A73" s="14" t="s">
        <v>56</v>
      </c>
      <c r="B73" s="6">
        <v>0</v>
      </c>
      <c r="C73" s="4">
        <v>0</v>
      </c>
      <c r="D73" s="5">
        <f t="shared" si="3"/>
        <v>0</v>
      </c>
      <c r="E73" s="6">
        <v>37</v>
      </c>
      <c r="F73" s="4">
        <v>5</v>
      </c>
      <c r="G73" s="5">
        <f t="shared" si="4"/>
        <v>42</v>
      </c>
      <c r="H73" s="9">
        <f t="shared" si="5"/>
        <v>42</v>
      </c>
    </row>
    <row r="74" spans="1:8" x14ac:dyDescent="0.25">
      <c r="A74" s="14" t="s">
        <v>115</v>
      </c>
      <c r="B74" s="6">
        <v>0</v>
      </c>
      <c r="C74" s="4">
        <v>0</v>
      </c>
      <c r="D74" s="5">
        <f t="shared" si="3"/>
        <v>0</v>
      </c>
      <c r="E74" s="6">
        <v>1</v>
      </c>
      <c r="F74" s="4">
        <v>0</v>
      </c>
      <c r="G74" s="5">
        <f t="shared" si="4"/>
        <v>1</v>
      </c>
      <c r="H74" s="9">
        <f t="shared" si="5"/>
        <v>1</v>
      </c>
    </row>
    <row r="75" spans="1:8" x14ac:dyDescent="0.25">
      <c r="A75" s="14" t="s">
        <v>99</v>
      </c>
      <c r="B75" s="6">
        <v>0</v>
      </c>
      <c r="C75" s="4">
        <v>0</v>
      </c>
      <c r="D75" s="5">
        <f t="shared" si="3"/>
        <v>0</v>
      </c>
      <c r="E75" s="6">
        <v>41</v>
      </c>
      <c r="F75" s="4">
        <v>4</v>
      </c>
      <c r="G75" s="5">
        <f t="shared" si="4"/>
        <v>45</v>
      </c>
      <c r="H75" s="9">
        <f t="shared" si="5"/>
        <v>45</v>
      </c>
    </row>
    <row r="76" spans="1:8" x14ac:dyDescent="0.25">
      <c r="A76" s="14" t="s">
        <v>59</v>
      </c>
      <c r="B76" s="6">
        <v>0</v>
      </c>
      <c r="C76" s="4">
        <v>0</v>
      </c>
      <c r="D76" s="5">
        <f t="shared" si="0"/>
        <v>0</v>
      </c>
      <c r="E76" s="6">
        <v>2</v>
      </c>
      <c r="F76" s="4">
        <v>0</v>
      </c>
      <c r="G76" s="5">
        <f t="shared" si="1"/>
        <v>2</v>
      </c>
      <c r="H76" s="9">
        <f t="shared" si="2"/>
        <v>2</v>
      </c>
    </row>
    <row r="77" spans="1:8" x14ac:dyDescent="0.25">
      <c r="A77" s="14" t="s">
        <v>60</v>
      </c>
      <c r="B77" s="6">
        <v>0</v>
      </c>
      <c r="C77" s="4">
        <v>0</v>
      </c>
      <c r="D77" s="5">
        <f t="shared" si="0"/>
        <v>0</v>
      </c>
      <c r="E77" s="6">
        <v>7</v>
      </c>
      <c r="F77" s="4">
        <v>5</v>
      </c>
      <c r="G77" s="5">
        <f t="shared" si="1"/>
        <v>12</v>
      </c>
      <c r="H77" s="9">
        <f t="shared" si="2"/>
        <v>12</v>
      </c>
    </row>
    <row r="78" spans="1:8" x14ac:dyDescent="0.25">
      <c r="A78" s="14" t="s">
        <v>61</v>
      </c>
      <c r="B78" s="6">
        <v>0</v>
      </c>
      <c r="C78" s="4">
        <v>0</v>
      </c>
      <c r="D78" s="5">
        <f t="shared" si="0"/>
        <v>0</v>
      </c>
      <c r="E78" s="6">
        <v>5</v>
      </c>
      <c r="F78" s="4">
        <v>0</v>
      </c>
      <c r="G78" s="5">
        <f t="shared" si="1"/>
        <v>5</v>
      </c>
      <c r="H78" s="9">
        <f t="shared" si="2"/>
        <v>5</v>
      </c>
    </row>
    <row r="79" spans="1:8" x14ac:dyDescent="0.25">
      <c r="A79" s="14" t="s">
        <v>70</v>
      </c>
      <c r="B79" s="6">
        <v>0</v>
      </c>
      <c r="C79" s="4">
        <v>0</v>
      </c>
      <c r="D79" s="5">
        <f t="shared" si="0"/>
        <v>0</v>
      </c>
      <c r="E79" s="6">
        <v>22</v>
      </c>
      <c r="F79" s="4">
        <v>0</v>
      </c>
      <c r="G79" s="5">
        <f t="shared" si="1"/>
        <v>22</v>
      </c>
      <c r="H79" s="9">
        <f t="shared" si="2"/>
        <v>22</v>
      </c>
    </row>
    <row r="80" spans="1:8" x14ac:dyDescent="0.25">
      <c r="A80" s="14" t="s">
        <v>62</v>
      </c>
      <c r="B80" s="6">
        <v>0</v>
      </c>
      <c r="C80" s="4">
        <v>0</v>
      </c>
      <c r="D80" s="5">
        <f t="shared" si="0"/>
        <v>0</v>
      </c>
      <c r="E80" s="6">
        <v>6</v>
      </c>
      <c r="F80" s="4">
        <v>1</v>
      </c>
      <c r="G80" s="5">
        <f t="shared" si="1"/>
        <v>7</v>
      </c>
      <c r="H80" s="9">
        <f t="shared" si="2"/>
        <v>7</v>
      </c>
    </row>
    <row r="81" spans="1:8" x14ac:dyDescent="0.25">
      <c r="A81" s="14" t="s">
        <v>116</v>
      </c>
      <c r="B81" s="6">
        <v>0</v>
      </c>
      <c r="C81" s="4">
        <v>0</v>
      </c>
      <c r="D81" s="5">
        <f t="shared" si="0"/>
        <v>0</v>
      </c>
      <c r="E81" s="6">
        <v>3</v>
      </c>
      <c r="F81" s="4">
        <v>0</v>
      </c>
      <c r="G81" s="5">
        <f t="shared" si="1"/>
        <v>3</v>
      </c>
      <c r="H81" s="9">
        <f t="shared" si="2"/>
        <v>3</v>
      </c>
    </row>
    <row r="82" spans="1:8" x14ac:dyDescent="0.25">
      <c r="A82" s="14" t="s">
        <v>124</v>
      </c>
      <c r="B82" s="6">
        <v>13</v>
      </c>
      <c r="C82" s="4">
        <v>1</v>
      </c>
      <c r="D82" s="5">
        <f t="shared" si="0"/>
        <v>14</v>
      </c>
      <c r="E82" s="6">
        <v>0</v>
      </c>
      <c r="F82" s="4">
        <v>0</v>
      </c>
      <c r="G82" s="5">
        <f t="shared" si="1"/>
        <v>0</v>
      </c>
      <c r="H82" s="9">
        <f t="shared" si="2"/>
        <v>14</v>
      </c>
    </row>
    <row r="83" spans="1:8" x14ac:dyDescent="0.25">
      <c r="A83" s="14" t="s">
        <v>117</v>
      </c>
      <c r="B83" s="6">
        <v>0</v>
      </c>
      <c r="C83" s="4">
        <v>0</v>
      </c>
      <c r="D83" s="5">
        <f t="shared" si="0"/>
        <v>0</v>
      </c>
      <c r="E83" s="6">
        <v>37</v>
      </c>
      <c r="F83" s="4">
        <v>1</v>
      </c>
      <c r="G83" s="5">
        <f t="shared" si="1"/>
        <v>38</v>
      </c>
      <c r="H83" s="9">
        <f t="shared" si="2"/>
        <v>38</v>
      </c>
    </row>
    <row r="84" spans="1:8" x14ac:dyDescent="0.25">
      <c r="A84" s="14" t="s">
        <v>118</v>
      </c>
      <c r="B84" s="6">
        <v>0</v>
      </c>
      <c r="C84" s="4">
        <v>0</v>
      </c>
      <c r="D84" s="5">
        <f t="shared" ref="D84:D88" si="6">SUM(B84:C84)</f>
        <v>0</v>
      </c>
      <c r="E84" s="6">
        <v>54</v>
      </c>
      <c r="F84" s="4">
        <v>6</v>
      </c>
      <c r="G84" s="5">
        <f t="shared" ref="G84:G88" si="7">SUM(E84:F84)</f>
        <v>60</v>
      </c>
      <c r="H84" s="9">
        <f t="shared" ref="H84:H88" si="8">D84+G84</f>
        <v>60</v>
      </c>
    </row>
    <row r="85" spans="1:8" x14ac:dyDescent="0.25">
      <c r="A85" s="14" t="s">
        <v>66</v>
      </c>
      <c r="B85" s="6">
        <v>0</v>
      </c>
      <c r="C85" s="4">
        <v>0</v>
      </c>
      <c r="D85" s="5">
        <f t="shared" si="6"/>
        <v>0</v>
      </c>
      <c r="E85" s="6">
        <v>4</v>
      </c>
      <c r="F85" s="4">
        <v>0</v>
      </c>
      <c r="G85" s="5">
        <f t="shared" si="7"/>
        <v>4</v>
      </c>
      <c r="H85" s="9">
        <f t="shared" si="8"/>
        <v>4</v>
      </c>
    </row>
    <row r="86" spans="1:8" x14ac:dyDescent="0.25">
      <c r="A86" s="14" t="s">
        <v>67</v>
      </c>
      <c r="B86" s="6">
        <v>0</v>
      </c>
      <c r="C86" s="4">
        <v>0</v>
      </c>
      <c r="D86" s="5">
        <f t="shared" si="6"/>
        <v>0</v>
      </c>
      <c r="E86" s="6">
        <v>31</v>
      </c>
      <c r="F86" s="4">
        <v>6</v>
      </c>
      <c r="G86" s="5">
        <f t="shared" si="7"/>
        <v>37</v>
      </c>
      <c r="H86" s="9">
        <f t="shared" si="8"/>
        <v>37</v>
      </c>
    </row>
    <row r="87" spans="1:8" x14ac:dyDescent="0.25">
      <c r="A87" s="14" t="s">
        <v>125</v>
      </c>
      <c r="B87" s="6">
        <v>0</v>
      </c>
      <c r="C87" s="4">
        <v>0</v>
      </c>
      <c r="D87" s="5">
        <f t="shared" si="6"/>
        <v>0</v>
      </c>
      <c r="E87" s="6">
        <v>23</v>
      </c>
      <c r="F87" s="4">
        <v>13</v>
      </c>
      <c r="G87" s="5">
        <f t="shared" si="7"/>
        <v>36</v>
      </c>
      <c r="H87" s="9">
        <f t="shared" si="8"/>
        <v>36</v>
      </c>
    </row>
    <row r="88" spans="1:8" ht="15.75" thickBot="1" x14ac:dyDescent="0.3">
      <c r="A88" s="15" t="s">
        <v>69</v>
      </c>
      <c r="B88" s="11">
        <v>0</v>
      </c>
      <c r="C88" s="12">
        <v>0</v>
      </c>
      <c r="D88" s="23">
        <f t="shared" si="6"/>
        <v>0</v>
      </c>
      <c r="E88" s="11">
        <v>5</v>
      </c>
      <c r="F88" s="12">
        <v>1</v>
      </c>
      <c r="G88" s="23">
        <f t="shared" si="7"/>
        <v>6</v>
      </c>
      <c r="H88" s="16">
        <f t="shared" si="8"/>
        <v>6</v>
      </c>
    </row>
    <row r="89" spans="1:8" ht="16.5" thickTop="1" thickBot="1" x14ac:dyDescent="0.3">
      <c r="A89" s="8" t="s">
        <v>0</v>
      </c>
      <c r="B89" s="7">
        <f t="shared" ref="B89:H89" si="9">SUM(B7:B88)</f>
        <v>239</v>
      </c>
      <c r="C89" s="7">
        <f t="shared" si="9"/>
        <v>28</v>
      </c>
      <c r="D89" s="7">
        <f t="shared" si="9"/>
        <v>267</v>
      </c>
      <c r="E89" s="7">
        <f t="shared" si="9"/>
        <v>1960</v>
      </c>
      <c r="F89" s="7">
        <f t="shared" si="9"/>
        <v>187</v>
      </c>
      <c r="G89" s="7">
        <f t="shared" si="9"/>
        <v>2147</v>
      </c>
      <c r="H89" s="7">
        <f t="shared" si="9"/>
        <v>2414</v>
      </c>
    </row>
    <row r="90" spans="1:8" ht="15.75" thickBot="1" x14ac:dyDescent="0.3"/>
    <row r="91" spans="1:8" x14ac:dyDescent="0.25">
      <c r="A91" s="26" t="s">
        <v>74</v>
      </c>
      <c r="B91" s="28" t="s">
        <v>3</v>
      </c>
      <c r="C91" s="29"/>
      <c r="D91" s="29"/>
      <c r="E91" s="28" t="s">
        <v>4</v>
      </c>
      <c r="F91" s="29"/>
      <c r="G91" s="29"/>
      <c r="H91" s="26" t="s">
        <v>0</v>
      </c>
    </row>
    <row r="92" spans="1:8" x14ac:dyDescent="0.25">
      <c r="A92" s="27"/>
      <c r="B92" s="20" t="s">
        <v>82</v>
      </c>
      <c r="C92" s="21" t="s">
        <v>83</v>
      </c>
      <c r="D92" s="22" t="s">
        <v>0</v>
      </c>
      <c r="E92" s="20" t="s">
        <v>82</v>
      </c>
      <c r="F92" s="21" t="s">
        <v>83</v>
      </c>
      <c r="G92" s="22" t="s">
        <v>0</v>
      </c>
      <c r="H92" s="27"/>
    </row>
    <row r="93" spans="1:8" x14ac:dyDescent="0.25">
      <c r="A93" s="14" t="s">
        <v>75</v>
      </c>
      <c r="B93" s="6">
        <v>30</v>
      </c>
      <c r="C93" s="4">
        <v>4</v>
      </c>
      <c r="D93" s="5">
        <f t="shared" ref="D93:D101" si="10">SUM(B93:C93)</f>
        <v>34</v>
      </c>
      <c r="E93" s="6">
        <v>184</v>
      </c>
      <c r="F93" s="4">
        <v>3</v>
      </c>
      <c r="G93" s="5">
        <f t="shared" ref="G93:G101" si="11">SUM(E93:F93)</f>
        <v>187</v>
      </c>
      <c r="H93" s="9">
        <f t="shared" ref="H93:H101" si="12">D93+G93</f>
        <v>221</v>
      </c>
    </row>
    <row r="94" spans="1:8" x14ac:dyDescent="0.25">
      <c r="A94" s="14" t="s">
        <v>76</v>
      </c>
      <c r="B94" s="6">
        <v>2</v>
      </c>
      <c r="C94" s="4">
        <v>0</v>
      </c>
      <c r="D94" s="5">
        <f t="shared" si="10"/>
        <v>2</v>
      </c>
      <c r="E94" s="6">
        <v>173</v>
      </c>
      <c r="F94" s="4">
        <v>8</v>
      </c>
      <c r="G94" s="5">
        <f t="shared" si="11"/>
        <v>181</v>
      </c>
      <c r="H94" s="9">
        <f t="shared" si="12"/>
        <v>183</v>
      </c>
    </row>
    <row r="95" spans="1:8" x14ac:dyDescent="0.25">
      <c r="A95" s="14" t="s">
        <v>77</v>
      </c>
      <c r="B95" s="6">
        <v>26</v>
      </c>
      <c r="C95" s="4">
        <v>4</v>
      </c>
      <c r="D95" s="5">
        <f t="shared" ref="D95" si="13">SUM(B95:C95)</f>
        <v>30</v>
      </c>
      <c r="E95" s="6">
        <v>611</v>
      </c>
      <c r="F95" s="4">
        <v>73</v>
      </c>
      <c r="G95" s="5">
        <f t="shared" ref="G95" si="14">SUM(E95:F95)</f>
        <v>684</v>
      </c>
      <c r="H95" s="9">
        <f t="shared" ref="H95" si="15">D95+G95</f>
        <v>714</v>
      </c>
    </row>
    <row r="96" spans="1:8" x14ac:dyDescent="0.25">
      <c r="A96" s="14" t="s">
        <v>107</v>
      </c>
      <c r="B96" s="6">
        <v>0</v>
      </c>
      <c r="C96" s="4">
        <v>0</v>
      </c>
      <c r="D96" s="5">
        <f t="shared" si="10"/>
        <v>0</v>
      </c>
      <c r="E96" s="6">
        <v>193</v>
      </c>
      <c r="F96" s="4">
        <v>17</v>
      </c>
      <c r="G96" s="5">
        <f t="shared" si="11"/>
        <v>210</v>
      </c>
      <c r="H96" s="9">
        <f t="shared" si="12"/>
        <v>210</v>
      </c>
    </row>
    <row r="97" spans="1:8" x14ac:dyDescent="0.25">
      <c r="A97" s="14" t="s">
        <v>129</v>
      </c>
      <c r="B97" s="6">
        <v>22</v>
      </c>
      <c r="C97" s="4">
        <v>9</v>
      </c>
      <c r="D97" s="5">
        <f t="shared" si="10"/>
        <v>31</v>
      </c>
      <c r="E97" s="6">
        <v>324</v>
      </c>
      <c r="F97" s="4">
        <v>38</v>
      </c>
      <c r="G97" s="5">
        <f t="shared" si="11"/>
        <v>362</v>
      </c>
      <c r="H97" s="9">
        <f t="shared" si="12"/>
        <v>393</v>
      </c>
    </row>
    <row r="98" spans="1:8" x14ac:dyDescent="0.25">
      <c r="A98" s="14" t="s">
        <v>1</v>
      </c>
      <c r="B98" s="6">
        <v>0</v>
      </c>
      <c r="C98" s="4">
        <v>0</v>
      </c>
      <c r="D98" s="5">
        <f t="shared" si="10"/>
        <v>0</v>
      </c>
      <c r="E98" s="6">
        <v>28</v>
      </c>
      <c r="F98" s="4">
        <v>2</v>
      </c>
      <c r="G98" s="5">
        <f t="shared" si="11"/>
        <v>30</v>
      </c>
      <c r="H98" s="9">
        <f t="shared" si="12"/>
        <v>30</v>
      </c>
    </row>
    <row r="99" spans="1:8" x14ac:dyDescent="0.25">
      <c r="A99" s="14" t="s">
        <v>79</v>
      </c>
      <c r="B99" s="6">
        <v>21</v>
      </c>
      <c r="C99" s="4">
        <v>0</v>
      </c>
      <c r="D99" s="5">
        <f t="shared" si="10"/>
        <v>21</v>
      </c>
      <c r="E99" s="6">
        <v>200</v>
      </c>
      <c r="F99" s="4">
        <v>20</v>
      </c>
      <c r="G99" s="5">
        <f t="shared" si="11"/>
        <v>220</v>
      </c>
      <c r="H99" s="9">
        <f t="shared" si="12"/>
        <v>241</v>
      </c>
    </row>
    <row r="100" spans="1:8" x14ac:dyDescent="0.25">
      <c r="A100" s="14" t="s">
        <v>80</v>
      </c>
      <c r="B100" s="6">
        <v>102</v>
      </c>
      <c r="C100" s="4">
        <v>3</v>
      </c>
      <c r="D100" s="5">
        <f t="shared" si="10"/>
        <v>105</v>
      </c>
      <c r="E100" s="6">
        <v>36</v>
      </c>
      <c r="F100" s="4">
        <v>7</v>
      </c>
      <c r="G100" s="5">
        <f t="shared" si="11"/>
        <v>43</v>
      </c>
      <c r="H100" s="9">
        <f t="shared" si="12"/>
        <v>148</v>
      </c>
    </row>
    <row r="101" spans="1:8" ht="15.75" thickBot="1" x14ac:dyDescent="0.3">
      <c r="A101" s="15" t="s">
        <v>81</v>
      </c>
      <c r="B101" s="11">
        <v>36</v>
      </c>
      <c r="C101" s="12">
        <v>8</v>
      </c>
      <c r="D101" s="12">
        <f t="shared" si="10"/>
        <v>44</v>
      </c>
      <c r="E101" s="11">
        <v>211</v>
      </c>
      <c r="F101" s="12">
        <v>19</v>
      </c>
      <c r="G101" s="13">
        <f t="shared" si="11"/>
        <v>230</v>
      </c>
      <c r="H101" s="16">
        <f t="shared" si="12"/>
        <v>274</v>
      </c>
    </row>
    <row r="102" spans="1:8" ht="16.5" thickTop="1" thickBot="1" x14ac:dyDescent="0.3">
      <c r="A102" s="8" t="s">
        <v>0</v>
      </c>
      <c r="B102" s="7">
        <f>SUM(B93:B101)</f>
        <v>239</v>
      </c>
      <c r="C102" s="7">
        <f>SUM(C93:C101)</f>
        <v>28</v>
      </c>
      <c r="D102" s="7">
        <f t="shared" ref="D102:H102" si="16">SUM(D93:D101)</f>
        <v>267</v>
      </c>
      <c r="E102" s="7">
        <f t="shared" si="16"/>
        <v>1960</v>
      </c>
      <c r="F102" s="7">
        <f t="shared" si="16"/>
        <v>187</v>
      </c>
      <c r="G102" s="7">
        <f t="shared" si="16"/>
        <v>2147</v>
      </c>
      <c r="H102" s="7">
        <f t="shared" si="16"/>
        <v>2414</v>
      </c>
    </row>
    <row r="104" spans="1:8" x14ac:dyDescent="0.25">
      <c r="A104" s="33" t="s">
        <v>86</v>
      </c>
      <c r="B104" s="33"/>
      <c r="C104" s="33"/>
      <c r="D104" s="33"/>
      <c r="E104" s="33"/>
      <c r="F104" s="33"/>
      <c r="G104" s="33"/>
      <c r="H104" s="33"/>
    </row>
    <row r="105" spans="1:8" x14ac:dyDescent="0.25">
      <c r="A105" s="33"/>
      <c r="B105" s="33"/>
      <c r="C105" s="33"/>
      <c r="D105" s="33"/>
      <c r="E105" s="33"/>
      <c r="F105" s="33"/>
      <c r="G105" s="33"/>
      <c r="H105" s="33"/>
    </row>
    <row r="106" spans="1:8" x14ac:dyDescent="0.25">
      <c r="A106" s="33"/>
      <c r="B106" s="33"/>
      <c r="C106" s="33"/>
      <c r="D106" s="33"/>
      <c r="E106" s="33"/>
      <c r="F106" s="33"/>
      <c r="G106" s="33"/>
      <c r="H106" s="33"/>
    </row>
    <row r="108" spans="1:8" x14ac:dyDescent="0.25">
      <c r="A108" s="34"/>
      <c r="B108" s="34"/>
      <c r="C108" s="34"/>
      <c r="D108" s="34"/>
      <c r="E108" s="34"/>
      <c r="F108" s="34"/>
      <c r="G108" s="34"/>
      <c r="H108" s="34"/>
    </row>
  </sheetData>
  <mergeCells count="11">
    <mergeCell ref="A2:H2"/>
    <mergeCell ref="A5:A6"/>
    <mergeCell ref="B5:D5"/>
    <mergeCell ref="E5:G5"/>
    <mergeCell ref="H5:H6"/>
    <mergeCell ref="A104:H106"/>
    <mergeCell ref="A108:H108"/>
    <mergeCell ref="A91:A92"/>
    <mergeCell ref="B91:D91"/>
    <mergeCell ref="E91:G91"/>
    <mergeCell ref="H91:H92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Layout" topLeftCell="A91" zoomScale="70" zoomScaleNormal="100" zoomScalePageLayoutView="70" workbookViewId="0">
      <selection activeCell="A108" sqref="A108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2001-02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2</v>
      </c>
      <c r="C7" s="4">
        <v>0</v>
      </c>
      <c r="D7" s="5">
        <f>SUM(B7:C7)</f>
        <v>2</v>
      </c>
      <c r="E7" s="6">
        <v>14</v>
      </c>
      <c r="F7" s="4">
        <v>3</v>
      </c>
      <c r="G7" s="5">
        <f>SUM(E7:F7)</f>
        <v>17</v>
      </c>
      <c r="H7" s="9">
        <f>D7+G7</f>
        <v>19</v>
      </c>
    </row>
    <row r="8" spans="1:8" x14ac:dyDescent="0.25">
      <c r="A8" s="14" t="s">
        <v>6</v>
      </c>
      <c r="B8" s="6">
        <v>0</v>
      </c>
      <c r="C8" s="4">
        <v>0</v>
      </c>
      <c r="D8" s="5">
        <f t="shared" ref="D8:D82" si="0">SUM(B8:C8)</f>
        <v>0</v>
      </c>
      <c r="E8" s="6">
        <v>20</v>
      </c>
      <c r="F8" s="4">
        <v>1</v>
      </c>
      <c r="G8" s="5">
        <f t="shared" ref="G8:G82" si="1">SUM(E8:F8)</f>
        <v>21</v>
      </c>
      <c r="H8" s="9">
        <f t="shared" ref="H8:H82" si="2">D8+G8</f>
        <v>21</v>
      </c>
    </row>
    <row r="9" spans="1:8" x14ac:dyDescent="0.25">
      <c r="A9" s="14" t="s">
        <v>7</v>
      </c>
      <c r="B9" s="6">
        <v>3</v>
      </c>
      <c r="C9" s="4">
        <v>1</v>
      </c>
      <c r="D9" s="5">
        <f t="shared" si="0"/>
        <v>4</v>
      </c>
      <c r="E9" s="6">
        <v>65</v>
      </c>
      <c r="F9" s="4">
        <v>2</v>
      </c>
      <c r="G9" s="5">
        <f t="shared" si="1"/>
        <v>67</v>
      </c>
      <c r="H9" s="9">
        <f t="shared" si="2"/>
        <v>71</v>
      </c>
    </row>
    <row r="10" spans="1:8" x14ac:dyDescent="0.25">
      <c r="A10" s="14" t="s">
        <v>8</v>
      </c>
      <c r="B10" s="6">
        <v>3</v>
      </c>
      <c r="C10" s="4">
        <v>1</v>
      </c>
      <c r="D10" s="5">
        <f t="shared" si="0"/>
        <v>4</v>
      </c>
      <c r="E10" s="6">
        <v>124</v>
      </c>
      <c r="F10" s="4">
        <v>6</v>
      </c>
      <c r="G10" s="5">
        <f t="shared" si="1"/>
        <v>130</v>
      </c>
      <c r="H10" s="9">
        <f t="shared" si="2"/>
        <v>134</v>
      </c>
    </row>
    <row r="11" spans="1:8" x14ac:dyDescent="0.25">
      <c r="A11" s="14" t="s">
        <v>100</v>
      </c>
      <c r="B11" s="6">
        <v>2</v>
      </c>
      <c r="C11" s="4">
        <v>0</v>
      </c>
      <c r="D11" s="5">
        <f t="shared" si="0"/>
        <v>2</v>
      </c>
      <c r="E11" s="6">
        <v>5</v>
      </c>
      <c r="F11" s="4">
        <v>1</v>
      </c>
      <c r="G11" s="5">
        <f t="shared" si="1"/>
        <v>6</v>
      </c>
      <c r="H11" s="9">
        <f t="shared" si="2"/>
        <v>8</v>
      </c>
    </row>
    <row r="12" spans="1:8" x14ac:dyDescent="0.25">
      <c r="A12" s="14" t="s">
        <v>9</v>
      </c>
      <c r="B12" s="6">
        <v>4</v>
      </c>
      <c r="C12" s="4">
        <v>0</v>
      </c>
      <c r="D12" s="5">
        <f t="shared" si="0"/>
        <v>4</v>
      </c>
      <c r="E12" s="6">
        <v>6</v>
      </c>
      <c r="F12" s="4">
        <v>2</v>
      </c>
      <c r="G12" s="5">
        <f t="shared" si="1"/>
        <v>8</v>
      </c>
      <c r="H12" s="9">
        <f t="shared" si="2"/>
        <v>12</v>
      </c>
    </row>
    <row r="13" spans="1:8" x14ac:dyDescent="0.25">
      <c r="A13" s="14" t="s">
        <v>10</v>
      </c>
      <c r="B13" s="6">
        <v>2</v>
      </c>
      <c r="C13" s="4">
        <v>0</v>
      </c>
      <c r="D13" s="5">
        <f t="shared" si="0"/>
        <v>2</v>
      </c>
      <c r="E13" s="6">
        <v>4</v>
      </c>
      <c r="F13" s="4">
        <v>3</v>
      </c>
      <c r="G13" s="5">
        <f t="shared" si="1"/>
        <v>7</v>
      </c>
      <c r="H13" s="9">
        <f t="shared" si="2"/>
        <v>9</v>
      </c>
    </row>
    <row r="14" spans="1:8" x14ac:dyDescent="0.25">
      <c r="A14" s="14" t="s">
        <v>120</v>
      </c>
      <c r="B14" s="6">
        <v>0</v>
      </c>
      <c r="C14" s="4">
        <v>0</v>
      </c>
      <c r="D14" s="5">
        <f t="shared" si="0"/>
        <v>0</v>
      </c>
      <c r="E14" s="6">
        <v>0</v>
      </c>
      <c r="F14" s="4">
        <v>0</v>
      </c>
      <c r="G14" s="5">
        <f t="shared" si="1"/>
        <v>0</v>
      </c>
      <c r="H14" s="9">
        <f t="shared" si="2"/>
        <v>0</v>
      </c>
    </row>
    <row r="15" spans="1:8" x14ac:dyDescent="0.25">
      <c r="A15" s="14" t="s">
        <v>106</v>
      </c>
      <c r="B15" s="6">
        <v>0</v>
      </c>
      <c r="C15" s="4">
        <v>0</v>
      </c>
      <c r="D15" s="5">
        <f t="shared" si="0"/>
        <v>0</v>
      </c>
      <c r="E15" s="6">
        <v>0</v>
      </c>
      <c r="F15" s="4">
        <v>0</v>
      </c>
      <c r="G15" s="5">
        <f t="shared" si="1"/>
        <v>0</v>
      </c>
      <c r="H15" s="9">
        <f t="shared" si="2"/>
        <v>0</v>
      </c>
    </row>
    <row r="16" spans="1:8" x14ac:dyDescent="0.25">
      <c r="A16" s="14" t="s">
        <v>101</v>
      </c>
      <c r="B16" s="6">
        <v>0</v>
      </c>
      <c r="C16" s="4">
        <v>2</v>
      </c>
      <c r="D16" s="5">
        <f t="shared" si="0"/>
        <v>2</v>
      </c>
      <c r="E16" s="6">
        <v>5</v>
      </c>
      <c r="F16" s="4">
        <v>5</v>
      </c>
      <c r="G16" s="5">
        <f t="shared" si="1"/>
        <v>10</v>
      </c>
      <c r="H16" s="9">
        <f t="shared" si="2"/>
        <v>12</v>
      </c>
    </row>
    <row r="17" spans="1:8" x14ac:dyDescent="0.25">
      <c r="A17" s="14" t="s">
        <v>12</v>
      </c>
      <c r="B17" s="6">
        <v>0</v>
      </c>
      <c r="C17" s="4">
        <v>0</v>
      </c>
      <c r="D17" s="5">
        <f t="shared" si="0"/>
        <v>0</v>
      </c>
      <c r="E17" s="6">
        <v>4</v>
      </c>
      <c r="F17" s="4">
        <v>0</v>
      </c>
      <c r="G17" s="5">
        <f t="shared" si="1"/>
        <v>4</v>
      </c>
      <c r="H17" s="9">
        <f t="shared" si="2"/>
        <v>4</v>
      </c>
    </row>
    <row r="18" spans="1:8" x14ac:dyDescent="0.25">
      <c r="A18" s="14" t="s">
        <v>13</v>
      </c>
      <c r="B18" s="6">
        <v>3</v>
      </c>
      <c r="C18" s="4">
        <v>1</v>
      </c>
      <c r="D18" s="5">
        <f t="shared" si="0"/>
        <v>4</v>
      </c>
      <c r="E18" s="6">
        <v>3</v>
      </c>
      <c r="F18" s="4">
        <v>0</v>
      </c>
      <c r="G18" s="5">
        <f t="shared" si="1"/>
        <v>3</v>
      </c>
      <c r="H18" s="9">
        <f t="shared" si="2"/>
        <v>7</v>
      </c>
    </row>
    <row r="19" spans="1:8" x14ac:dyDescent="0.25">
      <c r="A19" s="14" t="s">
        <v>14</v>
      </c>
      <c r="B19" s="6">
        <v>1</v>
      </c>
      <c r="C19" s="4">
        <v>3</v>
      </c>
      <c r="D19" s="5">
        <f t="shared" si="0"/>
        <v>4</v>
      </c>
      <c r="E19" s="6">
        <v>10</v>
      </c>
      <c r="F19" s="4">
        <v>3</v>
      </c>
      <c r="G19" s="5">
        <f t="shared" si="1"/>
        <v>13</v>
      </c>
      <c r="H19" s="9">
        <f t="shared" si="2"/>
        <v>17</v>
      </c>
    </row>
    <row r="20" spans="1:8" x14ac:dyDescent="0.25">
      <c r="A20" s="14" t="s">
        <v>15</v>
      </c>
      <c r="B20" s="6">
        <v>0</v>
      </c>
      <c r="C20" s="4">
        <v>0</v>
      </c>
      <c r="D20" s="5">
        <f t="shared" si="0"/>
        <v>0</v>
      </c>
      <c r="E20" s="6">
        <v>14</v>
      </c>
      <c r="F20" s="4">
        <v>0</v>
      </c>
      <c r="G20" s="5">
        <f t="shared" si="1"/>
        <v>14</v>
      </c>
      <c r="H20" s="9">
        <f t="shared" si="2"/>
        <v>14</v>
      </c>
    </row>
    <row r="21" spans="1:8" x14ac:dyDescent="0.25">
      <c r="A21" s="14" t="s">
        <v>16</v>
      </c>
      <c r="B21" s="6">
        <v>2</v>
      </c>
      <c r="C21" s="4">
        <v>0</v>
      </c>
      <c r="D21" s="5">
        <f t="shared" si="0"/>
        <v>2</v>
      </c>
      <c r="E21" s="6">
        <v>7</v>
      </c>
      <c r="F21" s="4">
        <v>0</v>
      </c>
      <c r="G21" s="5">
        <f t="shared" si="1"/>
        <v>7</v>
      </c>
      <c r="H21" s="9">
        <f t="shared" si="2"/>
        <v>9</v>
      </c>
    </row>
    <row r="22" spans="1:8" x14ac:dyDescent="0.25">
      <c r="A22" s="14" t="s">
        <v>17</v>
      </c>
      <c r="B22" s="6">
        <v>4</v>
      </c>
      <c r="C22" s="4">
        <v>2</v>
      </c>
      <c r="D22" s="5">
        <f t="shared" si="0"/>
        <v>6</v>
      </c>
      <c r="E22" s="6">
        <v>7</v>
      </c>
      <c r="F22" s="4">
        <v>0</v>
      </c>
      <c r="G22" s="5">
        <f t="shared" si="1"/>
        <v>7</v>
      </c>
      <c r="H22" s="9">
        <f t="shared" si="2"/>
        <v>13</v>
      </c>
    </row>
    <row r="23" spans="1:8" x14ac:dyDescent="0.25">
      <c r="A23" s="14" t="s">
        <v>18</v>
      </c>
      <c r="B23" s="6">
        <v>2</v>
      </c>
      <c r="C23" s="4">
        <v>0</v>
      </c>
      <c r="D23" s="5">
        <f t="shared" si="0"/>
        <v>2</v>
      </c>
      <c r="E23" s="6">
        <v>192</v>
      </c>
      <c r="F23" s="4">
        <v>17</v>
      </c>
      <c r="G23" s="5">
        <f t="shared" si="1"/>
        <v>209</v>
      </c>
      <c r="H23" s="9">
        <f t="shared" si="2"/>
        <v>211</v>
      </c>
    </row>
    <row r="24" spans="1:8" x14ac:dyDescent="0.25">
      <c r="A24" s="14" t="s">
        <v>19</v>
      </c>
      <c r="B24" s="6">
        <v>1</v>
      </c>
      <c r="C24" s="4">
        <v>0</v>
      </c>
      <c r="D24" s="5">
        <f t="shared" si="0"/>
        <v>1</v>
      </c>
      <c r="E24" s="6">
        <v>8</v>
      </c>
      <c r="F24" s="4">
        <v>1</v>
      </c>
      <c r="G24" s="5">
        <f t="shared" si="1"/>
        <v>9</v>
      </c>
      <c r="H24" s="9">
        <f t="shared" si="2"/>
        <v>10</v>
      </c>
    </row>
    <row r="25" spans="1:8" x14ac:dyDescent="0.25">
      <c r="A25" s="14" t="s">
        <v>20</v>
      </c>
      <c r="B25" s="6">
        <v>0</v>
      </c>
      <c r="C25" s="4">
        <v>6</v>
      </c>
      <c r="D25" s="5">
        <f t="shared" si="0"/>
        <v>6</v>
      </c>
      <c r="E25" s="6">
        <v>0</v>
      </c>
      <c r="F25" s="4">
        <v>0</v>
      </c>
      <c r="G25" s="5">
        <f t="shared" si="1"/>
        <v>0</v>
      </c>
      <c r="H25" s="9">
        <f t="shared" si="2"/>
        <v>6</v>
      </c>
    </row>
    <row r="26" spans="1:8" x14ac:dyDescent="0.25">
      <c r="A26" s="14" t="s">
        <v>21</v>
      </c>
      <c r="B26" s="6">
        <v>3</v>
      </c>
      <c r="C26" s="4">
        <v>0</v>
      </c>
      <c r="D26" s="5">
        <f t="shared" si="0"/>
        <v>3</v>
      </c>
      <c r="E26" s="6">
        <v>6</v>
      </c>
      <c r="F26" s="4">
        <v>0</v>
      </c>
      <c r="G26" s="5">
        <f t="shared" si="1"/>
        <v>6</v>
      </c>
      <c r="H26" s="9">
        <f t="shared" si="2"/>
        <v>9</v>
      </c>
    </row>
    <row r="27" spans="1:8" x14ac:dyDescent="0.25">
      <c r="A27" s="14" t="s">
        <v>102</v>
      </c>
      <c r="B27" s="6">
        <v>0</v>
      </c>
      <c r="C27" s="4">
        <v>0</v>
      </c>
      <c r="D27" s="5">
        <f t="shared" si="0"/>
        <v>0</v>
      </c>
      <c r="E27" s="6">
        <v>0</v>
      </c>
      <c r="F27" s="4">
        <v>0</v>
      </c>
      <c r="G27" s="5">
        <f t="shared" si="1"/>
        <v>0</v>
      </c>
      <c r="H27" s="9">
        <f t="shared" si="2"/>
        <v>0</v>
      </c>
    </row>
    <row r="28" spans="1:8" x14ac:dyDescent="0.25">
      <c r="A28" s="14" t="s">
        <v>22</v>
      </c>
      <c r="B28" s="6">
        <v>0</v>
      </c>
      <c r="C28" s="4">
        <v>0</v>
      </c>
      <c r="D28" s="5">
        <f t="shared" si="0"/>
        <v>0</v>
      </c>
      <c r="E28" s="6">
        <v>11</v>
      </c>
      <c r="F28" s="4">
        <v>3</v>
      </c>
      <c r="G28" s="5">
        <f t="shared" si="1"/>
        <v>14</v>
      </c>
      <c r="H28" s="9">
        <f t="shared" si="2"/>
        <v>14</v>
      </c>
    </row>
    <row r="29" spans="1:8" x14ac:dyDescent="0.25">
      <c r="A29" s="14" t="s">
        <v>23</v>
      </c>
      <c r="B29" s="6">
        <v>3</v>
      </c>
      <c r="C29" s="4">
        <v>0</v>
      </c>
      <c r="D29" s="5">
        <f t="shared" si="0"/>
        <v>3</v>
      </c>
      <c r="E29" s="6">
        <v>4</v>
      </c>
      <c r="F29" s="4">
        <v>1</v>
      </c>
      <c r="G29" s="5">
        <f t="shared" si="1"/>
        <v>5</v>
      </c>
      <c r="H29" s="9">
        <f t="shared" si="2"/>
        <v>8</v>
      </c>
    </row>
    <row r="30" spans="1:8" x14ac:dyDescent="0.25">
      <c r="A30" s="14" t="s">
        <v>94</v>
      </c>
      <c r="B30" s="6">
        <v>0</v>
      </c>
      <c r="C30" s="4">
        <v>0</v>
      </c>
      <c r="D30" s="5">
        <f t="shared" si="0"/>
        <v>0</v>
      </c>
      <c r="E30" s="6">
        <v>13</v>
      </c>
      <c r="F30" s="4">
        <v>1</v>
      </c>
      <c r="G30" s="5">
        <f t="shared" si="1"/>
        <v>14</v>
      </c>
      <c r="H30" s="9">
        <f t="shared" si="2"/>
        <v>14</v>
      </c>
    </row>
    <row r="31" spans="1:8" x14ac:dyDescent="0.25">
      <c r="A31" s="14" t="s">
        <v>24</v>
      </c>
      <c r="B31" s="6">
        <v>1</v>
      </c>
      <c r="C31" s="4">
        <v>0</v>
      </c>
      <c r="D31" s="5">
        <f t="shared" si="0"/>
        <v>1</v>
      </c>
      <c r="E31" s="6">
        <v>8</v>
      </c>
      <c r="F31" s="4">
        <v>0</v>
      </c>
      <c r="G31" s="5">
        <f t="shared" si="1"/>
        <v>8</v>
      </c>
      <c r="H31" s="9">
        <f t="shared" si="2"/>
        <v>9</v>
      </c>
    </row>
    <row r="32" spans="1:8" x14ac:dyDescent="0.25">
      <c r="A32" s="14" t="s">
        <v>71</v>
      </c>
      <c r="B32" s="6">
        <v>11</v>
      </c>
      <c r="C32" s="4">
        <v>0</v>
      </c>
      <c r="D32" s="5">
        <f t="shared" si="0"/>
        <v>11</v>
      </c>
      <c r="E32" s="6">
        <v>13</v>
      </c>
      <c r="F32" s="4">
        <v>0</v>
      </c>
      <c r="G32" s="5">
        <f t="shared" si="1"/>
        <v>13</v>
      </c>
      <c r="H32" s="9">
        <f t="shared" si="2"/>
        <v>24</v>
      </c>
    </row>
    <row r="33" spans="1:8" x14ac:dyDescent="0.25">
      <c r="A33" s="14" t="s">
        <v>72</v>
      </c>
      <c r="B33" s="6">
        <v>7</v>
      </c>
      <c r="C33" s="4">
        <v>0</v>
      </c>
      <c r="D33" s="5">
        <f t="shared" si="0"/>
        <v>7</v>
      </c>
      <c r="E33" s="6">
        <v>25</v>
      </c>
      <c r="F33" s="4">
        <v>0</v>
      </c>
      <c r="G33" s="5">
        <f t="shared" si="1"/>
        <v>25</v>
      </c>
      <c r="H33" s="9">
        <f t="shared" si="2"/>
        <v>32</v>
      </c>
    </row>
    <row r="34" spans="1:8" x14ac:dyDescent="0.25">
      <c r="A34" s="14" t="s">
        <v>25</v>
      </c>
      <c r="B34" s="6">
        <v>0</v>
      </c>
      <c r="C34" s="4">
        <v>0</v>
      </c>
      <c r="D34" s="5">
        <f t="shared" si="0"/>
        <v>0</v>
      </c>
      <c r="E34" s="6">
        <v>5</v>
      </c>
      <c r="F34" s="4">
        <v>1</v>
      </c>
      <c r="G34" s="5">
        <f t="shared" si="1"/>
        <v>6</v>
      </c>
      <c r="H34" s="9">
        <f t="shared" si="2"/>
        <v>6</v>
      </c>
    </row>
    <row r="35" spans="1:8" x14ac:dyDescent="0.25">
      <c r="A35" s="14" t="s">
        <v>26</v>
      </c>
      <c r="B35" s="6">
        <v>7</v>
      </c>
      <c r="C35" s="4">
        <v>0</v>
      </c>
      <c r="D35" s="5">
        <f t="shared" si="0"/>
        <v>7</v>
      </c>
      <c r="E35" s="6">
        <v>34</v>
      </c>
      <c r="F35" s="4">
        <v>0</v>
      </c>
      <c r="G35" s="5">
        <f t="shared" si="1"/>
        <v>34</v>
      </c>
      <c r="H35" s="9">
        <f t="shared" si="2"/>
        <v>41</v>
      </c>
    </row>
    <row r="36" spans="1:8" x14ac:dyDescent="0.25">
      <c r="A36" s="14" t="s">
        <v>73</v>
      </c>
      <c r="B36" s="6">
        <v>0</v>
      </c>
      <c r="C36" s="4">
        <v>0</v>
      </c>
      <c r="D36" s="5">
        <f t="shared" si="0"/>
        <v>0</v>
      </c>
      <c r="E36" s="6">
        <v>10</v>
      </c>
      <c r="F36" s="4">
        <v>1</v>
      </c>
      <c r="G36" s="5">
        <f t="shared" si="1"/>
        <v>11</v>
      </c>
      <c r="H36" s="9">
        <f t="shared" si="2"/>
        <v>11</v>
      </c>
    </row>
    <row r="37" spans="1:8" x14ac:dyDescent="0.25">
      <c r="A37" s="14" t="s">
        <v>27</v>
      </c>
      <c r="B37" s="6">
        <v>2</v>
      </c>
      <c r="C37" s="4">
        <v>0</v>
      </c>
      <c r="D37" s="5">
        <f t="shared" si="0"/>
        <v>2</v>
      </c>
      <c r="E37" s="6">
        <v>18</v>
      </c>
      <c r="F37" s="4">
        <v>0</v>
      </c>
      <c r="G37" s="5">
        <f t="shared" si="1"/>
        <v>18</v>
      </c>
      <c r="H37" s="9">
        <f t="shared" si="2"/>
        <v>20</v>
      </c>
    </row>
    <row r="38" spans="1:8" x14ac:dyDescent="0.25">
      <c r="A38" s="14" t="s">
        <v>28</v>
      </c>
      <c r="B38" s="6">
        <v>6</v>
      </c>
      <c r="C38" s="4">
        <v>0</v>
      </c>
      <c r="D38" s="5">
        <f t="shared" si="0"/>
        <v>6</v>
      </c>
      <c r="E38" s="6">
        <v>13</v>
      </c>
      <c r="F38" s="4">
        <v>0</v>
      </c>
      <c r="G38" s="5">
        <f t="shared" si="1"/>
        <v>13</v>
      </c>
      <c r="H38" s="9">
        <f t="shared" si="2"/>
        <v>19</v>
      </c>
    </row>
    <row r="39" spans="1:8" x14ac:dyDescent="0.25">
      <c r="A39" s="14" t="s">
        <v>1</v>
      </c>
      <c r="B39" s="6">
        <v>0</v>
      </c>
      <c r="C39" s="4">
        <v>0</v>
      </c>
      <c r="D39" s="5">
        <f t="shared" si="0"/>
        <v>0</v>
      </c>
      <c r="E39" s="6">
        <v>30</v>
      </c>
      <c r="F39" s="4">
        <v>3</v>
      </c>
      <c r="G39" s="5">
        <f t="shared" si="1"/>
        <v>33</v>
      </c>
      <c r="H39" s="9">
        <f t="shared" si="2"/>
        <v>33</v>
      </c>
    </row>
    <row r="40" spans="1:8" x14ac:dyDescent="0.25">
      <c r="A40" s="14" t="s">
        <v>29</v>
      </c>
      <c r="B40" s="6">
        <v>0</v>
      </c>
      <c r="C40" s="4">
        <v>0</v>
      </c>
      <c r="D40" s="5">
        <f t="shared" si="0"/>
        <v>0</v>
      </c>
      <c r="E40" s="6">
        <v>65</v>
      </c>
      <c r="F40" s="4">
        <v>5</v>
      </c>
      <c r="G40" s="5">
        <f t="shared" si="1"/>
        <v>70</v>
      </c>
      <c r="H40" s="9">
        <f t="shared" si="2"/>
        <v>70</v>
      </c>
    </row>
    <row r="41" spans="1:8" x14ac:dyDescent="0.25">
      <c r="A41" s="14" t="s">
        <v>30</v>
      </c>
      <c r="B41" s="6">
        <v>11</v>
      </c>
      <c r="C41" s="4">
        <v>2</v>
      </c>
      <c r="D41" s="5">
        <f t="shared" si="0"/>
        <v>13</v>
      </c>
      <c r="E41" s="6">
        <v>0</v>
      </c>
      <c r="F41" s="4">
        <v>0</v>
      </c>
      <c r="G41" s="5">
        <f t="shared" si="1"/>
        <v>0</v>
      </c>
      <c r="H41" s="9">
        <f t="shared" si="2"/>
        <v>13</v>
      </c>
    </row>
    <row r="42" spans="1:8" x14ac:dyDescent="0.25">
      <c r="A42" s="14" t="s">
        <v>31</v>
      </c>
      <c r="B42" s="6">
        <v>8</v>
      </c>
      <c r="C42" s="4">
        <v>4</v>
      </c>
      <c r="D42" s="5">
        <f t="shared" si="0"/>
        <v>12</v>
      </c>
      <c r="E42" s="6">
        <v>46</v>
      </c>
      <c r="F42" s="4">
        <v>1</v>
      </c>
      <c r="G42" s="5">
        <f t="shared" si="1"/>
        <v>47</v>
      </c>
      <c r="H42" s="9">
        <f t="shared" si="2"/>
        <v>59</v>
      </c>
    </row>
    <row r="43" spans="1:8" x14ac:dyDescent="0.25">
      <c r="A43" s="14" t="s">
        <v>32</v>
      </c>
      <c r="B43" s="6">
        <v>0</v>
      </c>
      <c r="C43" s="4">
        <v>0</v>
      </c>
      <c r="D43" s="5">
        <f t="shared" si="0"/>
        <v>0</v>
      </c>
      <c r="E43" s="6">
        <v>25</v>
      </c>
      <c r="F43" s="4">
        <v>1</v>
      </c>
      <c r="G43" s="5">
        <f t="shared" si="1"/>
        <v>26</v>
      </c>
      <c r="H43" s="9">
        <f t="shared" si="2"/>
        <v>26</v>
      </c>
    </row>
    <row r="44" spans="1:8" x14ac:dyDescent="0.25">
      <c r="A44" s="14" t="s">
        <v>33</v>
      </c>
      <c r="B44" s="6">
        <v>0</v>
      </c>
      <c r="C44" s="4">
        <v>0</v>
      </c>
      <c r="D44" s="5">
        <f t="shared" si="0"/>
        <v>0</v>
      </c>
      <c r="E44" s="6">
        <v>0</v>
      </c>
      <c r="F44" s="4">
        <v>0</v>
      </c>
      <c r="G44" s="5">
        <f t="shared" si="1"/>
        <v>0</v>
      </c>
      <c r="H44" s="9">
        <f t="shared" si="2"/>
        <v>0</v>
      </c>
    </row>
    <row r="45" spans="1:8" x14ac:dyDescent="0.25">
      <c r="A45" s="14" t="s">
        <v>34</v>
      </c>
      <c r="B45" s="6">
        <v>0</v>
      </c>
      <c r="C45" s="4">
        <v>0</v>
      </c>
      <c r="D45" s="5">
        <f t="shared" si="0"/>
        <v>0</v>
      </c>
      <c r="E45" s="6">
        <v>4</v>
      </c>
      <c r="F45" s="4">
        <v>0</v>
      </c>
      <c r="G45" s="5">
        <f t="shared" si="1"/>
        <v>4</v>
      </c>
      <c r="H45" s="9">
        <f t="shared" si="2"/>
        <v>4</v>
      </c>
    </row>
    <row r="46" spans="1:8" x14ac:dyDescent="0.25">
      <c r="A46" s="14" t="s">
        <v>35</v>
      </c>
      <c r="B46" s="6">
        <v>1</v>
      </c>
      <c r="C46" s="4">
        <v>0</v>
      </c>
      <c r="D46" s="5">
        <f t="shared" si="0"/>
        <v>1</v>
      </c>
      <c r="E46" s="6">
        <v>5</v>
      </c>
      <c r="F46" s="4">
        <v>1</v>
      </c>
      <c r="G46" s="5">
        <f t="shared" si="1"/>
        <v>6</v>
      </c>
      <c r="H46" s="9">
        <f t="shared" si="2"/>
        <v>7</v>
      </c>
    </row>
    <row r="47" spans="1:8" x14ac:dyDescent="0.25">
      <c r="A47" s="14" t="s">
        <v>36</v>
      </c>
      <c r="B47" s="6">
        <v>1</v>
      </c>
      <c r="C47" s="4">
        <v>0</v>
      </c>
      <c r="D47" s="5">
        <f t="shared" si="0"/>
        <v>1</v>
      </c>
      <c r="E47" s="6">
        <v>9</v>
      </c>
      <c r="F47" s="4">
        <v>1</v>
      </c>
      <c r="G47" s="5">
        <f t="shared" si="1"/>
        <v>10</v>
      </c>
      <c r="H47" s="9">
        <f t="shared" si="2"/>
        <v>11</v>
      </c>
    </row>
    <row r="48" spans="1:8" x14ac:dyDescent="0.25">
      <c r="A48" s="14" t="s">
        <v>38</v>
      </c>
      <c r="B48" s="6">
        <v>52</v>
      </c>
      <c r="C48" s="4">
        <v>0</v>
      </c>
      <c r="D48" s="5">
        <f t="shared" si="0"/>
        <v>52</v>
      </c>
      <c r="E48" s="6">
        <v>1</v>
      </c>
      <c r="F48" s="4">
        <v>0</v>
      </c>
      <c r="G48" s="5">
        <f t="shared" si="1"/>
        <v>1</v>
      </c>
      <c r="H48" s="9">
        <f t="shared" si="2"/>
        <v>53</v>
      </c>
    </row>
    <row r="49" spans="1:8" x14ac:dyDescent="0.25">
      <c r="A49" s="14" t="s">
        <v>39</v>
      </c>
      <c r="B49" s="6">
        <v>3</v>
      </c>
      <c r="C49" s="4">
        <v>0</v>
      </c>
      <c r="D49" s="5">
        <f t="shared" si="0"/>
        <v>3</v>
      </c>
      <c r="E49" s="6">
        <v>34</v>
      </c>
      <c r="F49" s="4">
        <v>1</v>
      </c>
      <c r="G49" s="5">
        <f t="shared" si="1"/>
        <v>35</v>
      </c>
      <c r="H49" s="9">
        <f t="shared" si="2"/>
        <v>38</v>
      </c>
    </row>
    <row r="50" spans="1:8" x14ac:dyDescent="0.25">
      <c r="A50" s="14" t="s">
        <v>40</v>
      </c>
      <c r="B50" s="6">
        <v>1</v>
      </c>
      <c r="C50" s="4">
        <v>0</v>
      </c>
      <c r="D50" s="5">
        <f t="shared" si="0"/>
        <v>1</v>
      </c>
      <c r="E50" s="6">
        <v>94</v>
      </c>
      <c r="F50" s="4">
        <v>13</v>
      </c>
      <c r="G50" s="5">
        <f t="shared" si="1"/>
        <v>107</v>
      </c>
      <c r="H50" s="9">
        <f t="shared" si="2"/>
        <v>108</v>
      </c>
    </row>
    <row r="51" spans="1:8" x14ac:dyDescent="0.25">
      <c r="A51" s="14" t="s">
        <v>103</v>
      </c>
      <c r="B51" s="6">
        <v>0</v>
      </c>
      <c r="C51" s="4">
        <v>0</v>
      </c>
      <c r="D51" s="5">
        <f t="shared" si="0"/>
        <v>0</v>
      </c>
      <c r="E51" s="6">
        <v>9</v>
      </c>
      <c r="F51" s="4">
        <v>4</v>
      </c>
      <c r="G51" s="5">
        <f t="shared" si="1"/>
        <v>13</v>
      </c>
      <c r="H51" s="9">
        <f t="shared" si="2"/>
        <v>13</v>
      </c>
    </row>
    <row r="52" spans="1:8" x14ac:dyDescent="0.25">
      <c r="A52" s="14" t="s">
        <v>121</v>
      </c>
      <c r="B52" s="6">
        <v>2</v>
      </c>
      <c r="C52" s="4">
        <v>1</v>
      </c>
      <c r="D52" s="5">
        <f t="shared" si="0"/>
        <v>3</v>
      </c>
      <c r="E52" s="6">
        <v>45</v>
      </c>
      <c r="F52" s="4">
        <v>0</v>
      </c>
      <c r="G52" s="5">
        <f t="shared" si="1"/>
        <v>45</v>
      </c>
      <c r="H52" s="9">
        <f t="shared" si="2"/>
        <v>48</v>
      </c>
    </row>
    <row r="53" spans="1:8" x14ac:dyDescent="0.25">
      <c r="A53" s="14" t="s">
        <v>41</v>
      </c>
      <c r="B53" s="6">
        <v>2</v>
      </c>
      <c r="C53" s="4">
        <v>0</v>
      </c>
      <c r="D53" s="5">
        <f t="shared" si="0"/>
        <v>2</v>
      </c>
      <c r="E53" s="6">
        <v>3</v>
      </c>
      <c r="F53" s="4">
        <v>0</v>
      </c>
      <c r="G53" s="5">
        <f t="shared" si="1"/>
        <v>3</v>
      </c>
      <c r="H53" s="9">
        <f t="shared" si="2"/>
        <v>5</v>
      </c>
    </row>
    <row r="54" spans="1:8" x14ac:dyDescent="0.25">
      <c r="A54" s="14" t="s">
        <v>42</v>
      </c>
      <c r="B54" s="6">
        <v>3</v>
      </c>
      <c r="C54" s="4">
        <v>0</v>
      </c>
      <c r="D54" s="5">
        <f t="shared" si="0"/>
        <v>3</v>
      </c>
      <c r="E54" s="6">
        <v>2</v>
      </c>
      <c r="F54" s="4">
        <v>0</v>
      </c>
      <c r="G54" s="5">
        <f t="shared" si="1"/>
        <v>2</v>
      </c>
      <c r="H54" s="9">
        <f t="shared" si="2"/>
        <v>5</v>
      </c>
    </row>
    <row r="55" spans="1:8" x14ac:dyDescent="0.25">
      <c r="A55" s="14" t="s">
        <v>43</v>
      </c>
      <c r="B55" s="6">
        <v>0</v>
      </c>
      <c r="C55" s="4">
        <v>0</v>
      </c>
      <c r="D55" s="5">
        <f t="shared" si="0"/>
        <v>0</v>
      </c>
      <c r="E55" s="6">
        <v>4</v>
      </c>
      <c r="F55" s="4">
        <v>0</v>
      </c>
      <c r="G55" s="5">
        <f t="shared" si="1"/>
        <v>4</v>
      </c>
      <c r="H55" s="9">
        <f t="shared" si="2"/>
        <v>4</v>
      </c>
    </row>
    <row r="56" spans="1:8" x14ac:dyDescent="0.25">
      <c r="A56" s="14" t="s">
        <v>44</v>
      </c>
      <c r="B56" s="6">
        <v>1</v>
      </c>
      <c r="C56" s="4">
        <v>0</v>
      </c>
      <c r="D56" s="5">
        <f t="shared" si="0"/>
        <v>1</v>
      </c>
      <c r="E56" s="6">
        <v>5</v>
      </c>
      <c r="F56" s="4">
        <v>0</v>
      </c>
      <c r="G56" s="5">
        <f t="shared" si="1"/>
        <v>5</v>
      </c>
      <c r="H56" s="9">
        <f t="shared" si="2"/>
        <v>6</v>
      </c>
    </row>
    <row r="57" spans="1:8" x14ac:dyDescent="0.25">
      <c r="A57" s="14" t="s">
        <v>45</v>
      </c>
      <c r="B57" s="6">
        <v>6</v>
      </c>
      <c r="C57" s="4">
        <v>5</v>
      </c>
      <c r="D57" s="5">
        <f t="shared" si="0"/>
        <v>11</v>
      </c>
      <c r="E57" s="6">
        <v>2</v>
      </c>
      <c r="F57" s="4">
        <v>1</v>
      </c>
      <c r="G57" s="5">
        <f t="shared" si="1"/>
        <v>3</v>
      </c>
      <c r="H57" s="9">
        <f t="shared" si="2"/>
        <v>14</v>
      </c>
    </row>
    <row r="58" spans="1:8" x14ac:dyDescent="0.25">
      <c r="A58" s="14" t="s">
        <v>47</v>
      </c>
      <c r="B58" s="6">
        <v>0</v>
      </c>
      <c r="C58" s="4">
        <v>0</v>
      </c>
      <c r="D58" s="5">
        <f t="shared" si="0"/>
        <v>0</v>
      </c>
      <c r="E58" s="6">
        <v>2</v>
      </c>
      <c r="F58" s="4">
        <v>0</v>
      </c>
      <c r="G58" s="5">
        <f t="shared" si="1"/>
        <v>2</v>
      </c>
      <c r="H58" s="9">
        <f t="shared" si="2"/>
        <v>2</v>
      </c>
    </row>
    <row r="59" spans="1:8" x14ac:dyDescent="0.25">
      <c r="A59" s="14" t="s">
        <v>48</v>
      </c>
      <c r="B59" s="6">
        <v>6</v>
      </c>
      <c r="C59" s="4">
        <v>1</v>
      </c>
      <c r="D59" s="5">
        <f t="shared" si="0"/>
        <v>7</v>
      </c>
      <c r="E59" s="6">
        <v>0</v>
      </c>
      <c r="F59" s="4">
        <v>0</v>
      </c>
      <c r="G59" s="5">
        <f t="shared" si="1"/>
        <v>0</v>
      </c>
      <c r="H59" s="9">
        <f t="shared" si="2"/>
        <v>7</v>
      </c>
    </row>
    <row r="60" spans="1:8" x14ac:dyDescent="0.25">
      <c r="A60" s="14" t="s">
        <v>49</v>
      </c>
      <c r="B60" s="6">
        <v>7</v>
      </c>
      <c r="C60" s="4">
        <v>2</v>
      </c>
      <c r="D60" s="5">
        <f t="shared" si="0"/>
        <v>9</v>
      </c>
      <c r="E60" s="6">
        <v>6</v>
      </c>
      <c r="F60" s="4">
        <v>0</v>
      </c>
      <c r="G60" s="5">
        <f t="shared" si="1"/>
        <v>6</v>
      </c>
      <c r="H60" s="9">
        <f t="shared" si="2"/>
        <v>15</v>
      </c>
    </row>
    <row r="61" spans="1:8" x14ac:dyDescent="0.25">
      <c r="A61" s="14" t="s">
        <v>122</v>
      </c>
      <c r="B61" s="6">
        <v>0</v>
      </c>
      <c r="C61" s="4">
        <v>0</v>
      </c>
      <c r="D61" s="5">
        <f t="shared" si="0"/>
        <v>0</v>
      </c>
      <c r="E61" s="6">
        <v>4</v>
      </c>
      <c r="F61" s="4">
        <v>0</v>
      </c>
      <c r="G61" s="5">
        <f t="shared" si="1"/>
        <v>4</v>
      </c>
      <c r="H61" s="9">
        <f t="shared" si="2"/>
        <v>4</v>
      </c>
    </row>
    <row r="62" spans="1:8" x14ac:dyDescent="0.25">
      <c r="A62" s="14" t="s">
        <v>92</v>
      </c>
      <c r="B62" s="6">
        <v>0</v>
      </c>
      <c r="C62" s="4">
        <v>0</v>
      </c>
      <c r="D62" s="5">
        <f t="shared" si="0"/>
        <v>0</v>
      </c>
      <c r="E62" s="6">
        <v>111</v>
      </c>
      <c r="F62" s="4">
        <v>7</v>
      </c>
      <c r="G62" s="5">
        <f t="shared" si="1"/>
        <v>118</v>
      </c>
      <c r="H62" s="9">
        <f t="shared" si="2"/>
        <v>118</v>
      </c>
    </row>
    <row r="63" spans="1:8" x14ac:dyDescent="0.25">
      <c r="A63" s="14" t="s">
        <v>96</v>
      </c>
      <c r="B63" s="6">
        <v>0</v>
      </c>
      <c r="C63" s="4">
        <v>0</v>
      </c>
      <c r="D63" s="5">
        <f t="shared" si="0"/>
        <v>0</v>
      </c>
      <c r="E63" s="6">
        <v>71</v>
      </c>
      <c r="F63" s="4">
        <v>5</v>
      </c>
      <c r="G63" s="5">
        <f t="shared" si="1"/>
        <v>76</v>
      </c>
      <c r="H63" s="9">
        <f t="shared" si="2"/>
        <v>76</v>
      </c>
    </row>
    <row r="64" spans="1:8" x14ac:dyDescent="0.25">
      <c r="A64" s="14" t="s">
        <v>112</v>
      </c>
      <c r="B64" s="6">
        <v>0</v>
      </c>
      <c r="C64" s="4">
        <v>0</v>
      </c>
      <c r="D64" s="5">
        <f t="shared" si="0"/>
        <v>0</v>
      </c>
      <c r="E64" s="6">
        <v>9</v>
      </c>
      <c r="F64" s="4">
        <v>0</v>
      </c>
      <c r="G64" s="5">
        <f t="shared" si="1"/>
        <v>9</v>
      </c>
      <c r="H64" s="9">
        <f t="shared" si="2"/>
        <v>9</v>
      </c>
    </row>
    <row r="65" spans="1:8" x14ac:dyDescent="0.25">
      <c r="A65" s="14" t="s">
        <v>107</v>
      </c>
      <c r="B65" s="6">
        <v>0</v>
      </c>
      <c r="C65" s="4">
        <v>0</v>
      </c>
      <c r="D65" s="5">
        <f t="shared" si="0"/>
        <v>0</v>
      </c>
      <c r="E65" s="6">
        <v>212</v>
      </c>
      <c r="F65" s="4">
        <v>11</v>
      </c>
      <c r="G65" s="5">
        <f t="shared" si="1"/>
        <v>223</v>
      </c>
      <c r="H65" s="9">
        <f t="shared" si="2"/>
        <v>223</v>
      </c>
    </row>
    <row r="66" spans="1:8" x14ac:dyDescent="0.25">
      <c r="A66" s="14" t="s">
        <v>51</v>
      </c>
      <c r="B66" s="6">
        <v>0</v>
      </c>
      <c r="C66" s="4">
        <v>0</v>
      </c>
      <c r="D66" s="5">
        <f t="shared" si="0"/>
        <v>0</v>
      </c>
      <c r="E66" s="6">
        <v>8</v>
      </c>
      <c r="F66" s="4">
        <v>0</v>
      </c>
      <c r="G66" s="5">
        <f t="shared" si="1"/>
        <v>8</v>
      </c>
      <c r="H66" s="9">
        <f t="shared" si="2"/>
        <v>8</v>
      </c>
    </row>
    <row r="67" spans="1:8" x14ac:dyDescent="0.25">
      <c r="A67" s="14" t="s">
        <v>52</v>
      </c>
      <c r="B67" s="6">
        <v>0</v>
      </c>
      <c r="C67" s="4">
        <v>0</v>
      </c>
      <c r="D67" s="5">
        <f t="shared" si="0"/>
        <v>0</v>
      </c>
      <c r="E67" s="6">
        <v>16</v>
      </c>
      <c r="F67" s="4">
        <v>1</v>
      </c>
      <c r="G67" s="5">
        <f t="shared" si="1"/>
        <v>17</v>
      </c>
      <c r="H67" s="9">
        <f t="shared" si="2"/>
        <v>17</v>
      </c>
    </row>
    <row r="68" spans="1:8" x14ac:dyDescent="0.25">
      <c r="A68" s="14" t="s">
        <v>53</v>
      </c>
      <c r="B68" s="6">
        <v>0</v>
      </c>
      <c r="C68" s="4">
        <v>0</v>
      </c>
      <c r="D68" s="5">
        <f t="shared" si="0"/>
        <v>0</v>
      </c>
      <c r="E68" s="6">
        <v>1</v>
      </c>
      <c r="F68" s="4">
        <v>1</v>
      </c>
      <c r="G68" s="5">
        <f t="shared" si="1"/>
        <v>2</v>
      </c>
      <c r="H68" s="9">
        <f t="shared" si="2"/>
        <v>2</v>
      </c>
    </row>
    <row r="69" spans="1:8" x14ac:dyDescent="0.25">
      <c r="A69" s="14" t="s">
        <v>113</v>
      </c>
      <c r="B69" s="6">
        <v>0</v>
      </c>
      <c r="C69" s="4">
        <v>0</v>
      </c>
      <c r="D69" s="5">
        <f t="shared" si="0"/>
        <v>0</v>
      </c>
      <c r="E69" s="6">
        <v>16</v>
      </c>
      <c r="F69" s="4">
        <v>1</v>
      </c>
      <c r="G69" s="5">
        <f t="shared" si="1"/>
        <v>17</v>
      </c>
      <c r="H69" s="9">
        <f t="shared" si="2"/>
        <v>17</v>
      </c>
    </row>
    <row r="70" spans="1:8" x14ac:dyDescent="0.25">
      <c r="A70" s="14" t="s">
        <v>123</v>
      </c>
      <c r="B70" s="6">
        <v>0</v>
      </c>
      <c r="C70" s="4">
        <v>0</v>
      </c>
      <c r="D70" s="5">
        <f t="shared" si="0"/>
        <v>0</v>
      </c>
      <c r="E70" s="6">
        <v>39</v>
      </c>
      <c r="F70" s="4">
        <v>1</v>
      </c>
      <c r="G70" s="5">
        <f t="shared" si="1"/>
        <v>40</v>
      </c>
      <c r="H70" s="9">
        <f t="shared" si="2"/>
        <v>40</v>
      </c>
    </row>
    <row r="71" spans="1:8" x14ac:dyDescent="0.25">
      <c r="A71" s="14" t="s">
        <v>114</v>
      </c>
      <c r="B71" s="6">
        <v>0</v>
      </c>
      <c r="C71" s="4">
        <v>0</v>
      </c>
      <c r="D71" s="5">
        <f t="shared" si="0"/>
        <v>0</v>
      </c>
      <c r="E71" s="6">
        <v>11</v>
      </c>
      <c r="F71" s="4">
        <v>0</v>
      </c>
      <c r="G71" s="5">
        <f t="shared" si="1"/>
        <v>11</v>
      </c>
      <c r="H71" s="9">
        <f t="shared" si="2"/>
        <v>11</v>
      </c>
    </row>
    <row r="72" spans="1:8" x14ac:dyDescent="0.25">
      <c r="A72" s="14" t="s">
        <v>56</v>
      </c>
      <c r="B72" s="6">
        <v>0</v>
      </c>
      <c r="C72" s="4">
        <v>0</v>
      </c>
      <c r="D72" s="5">
        <f t="shared" si="0"/>
        <v>0</v>
      </c>
      <c r="E72" s="6">
        <v>38</v>
      </c>
      <c r="F72" s="4">
        <v>8</v>
      </c>
      <c r="G72" s="5">
        <f t="shared" si="1"/>
        <v>46</v>
      </c>
      <c r="H72" s="9">
        <f t="shared" si="2"/>
        <v>46</v>
      </c>
    </row>
    <row r="73" spans="1:8" x14ac:dyDescent="0.25">
      <c r="A73" s="14" t="s">
        <v>115</v>
      </c>
      <c r="B73" s="6">
        <v>0</v>
      </c>
      <c r="C73" s="4">
        <v>0</v>
      </c>
      <c r="D73" s="5">
        <f t="shared" si="0"/>
        <v>0</v>
      </c>
      <c r="E73" s="6">
        <v>2</v>
      </c>
      <c r="F73" s="4">
        <v>0</v>
      </c>
      <c r="G73" s="5">
        <f t="shared" si="1"/>
        <v>2</v>
      </c>
      <c r="H73" s="9">
        <f t="shared" si="2"/>
        <v>2</v>
      </c>
    </row>
    <row r="74" spans="1:8" x14ac:dyDescent="0.25">
      <c r="A74" s="14" t="s">
        <v>99</v>
      </c>
      <c r="B74" s="6">
        <v>0</v>
      </c>
      <c r="C74" s="4">
        <v>0</v>
      </c>
      <c r="D74" s="5">
        <f t="shared" ref="D74:D76" si="3">SUM(B74:C74)</f>
        <v>0</v>
      </c>
      <c r="E74" s="6">
        <v>47</v>
      </c>
      <c r="F74" s="4">
        <v>3</v>
      </c>
      <c r="G74" s="5">
        <f t="shared" ref="G74:G76" si="4">SUM(E74:F74)</f>
        <v>50</v>
      </c>
      <c r="H74" s="9">
        <f t="shared" ref="H74:H76" si="5">D74+G74</f>
        <v>50</v>
      </c>
    </row>
    <row r="75" spans="1:8" x14ac:dyDescent="0.25">
      <c r="A75" s="14" t="s">
        <v>59</v>
      </c>
      <c r="B75" s="6">
        <v>0</v>
      </c>
      <c r="C75" s="4">
        <v>0</v>
      </c>
      <c r="D75" s="5">
        <f t="shared" si="3"/>
        <v>0</v>
      </c>
      <c r="E75" s="6">
        <v>0</v>
      </c>
      <c r="F75" s="4">
        <v>0</v>
      </c>
      <c r="G75" s="5">
        <f t="shared" si="4"/>
        <v>0</v>
      </c>
      <c r="H75" s="9">
        <f t="shared" si="5"/>
        <v>0</v>
      </c>
    </row>
    <row r="76" spans="1:8" x14ac:dyDescent="0.25">
      <c r="A76" s="14" t="s">
        <v>60</v>
      </c>
      <c r="B76" s="6">
        <v>0</v>
      </c>
      <c r="C76" s="4">
        <v>0</v>
      </c>
      <c r="D76" s="5">
        <f t="shared" si="3"/>
        <v>0</v>
      </c>
      <c r="E76" s="6">
        <v>9</v>
      </c>
      <c r="F76" s="4">
        <v>4</v>
      </c>
      <c r="G76" s="5">
        <f t="shared" si="4"/>
        <v>13</v>
      </c>
      <c r="H76" s="9">
        <f t="shared" si="5"/>
        <v>13</v>
      </c>
    </row>
    <row r="77" spans="1:8" x14ac:dyDescent="0.25">
      <c r="A77" s="14" t="s">
        <v>61</v>
      </c>
      <c r="B77" s="6">
        <v>0</v>
      </c>
      <c r="C77" s="4">
        <v>0</v>
      </c>
      <c r="D77" s="5">
        <f t="shared" si="0"/>
        <v>0</v>
      </c>
      <c r="E77" s="6">
        <v>7</v>
      </c>
      <c r="F77" s="4">
        <v>0</v>
      </c>
      <c r="G77" s="5">
        <f t="shared" si="1"/>
        <v>7</v>
      </c>
      <c r="H77" s="9">
        <f t="shared" si="2"/>
        <v>7</v>
      </c>
    </row>
    <row r="78" spans="1:8" x14ac:dyDescent="0.25">
      <c r="A78" s="14" t="s">
        <v>70</v>
      </c>
      <c r="B78" s="6">
        <v>0</v>
      </c>
      <c r="C78" s="4">
        <v>0</v>
      </c>
      <c r="D78" s="5">
        <f t="shared" si="0"/>
        <v>0</v>
      </c>
      <c r="E78" s="6">
        <v>26</v>
      </c>
      <c r="F78" s="4">
        <v>4</v>
      </c>
      <c r="G78" s="5">
        <f t="shared" si="1"/>
        <v>30</v>
      </c>
      <c r="H78" s="9">
        <f t="shared" si="2"/>
        <v>30</v>
      </c>
    </row>
    <row r="79" spans="1:8" x14ac:dyDescent="0.25">
      <c r="A79" s="14" t="s">
        <v>62</v>
      </c>
      <c r="B79" s="6">
        <v>0</v>
      </c>
      <c r="C79" s="4">
        <v>0</v>
      </c>
      <c r="D79" s="5">
        <f t="shared" si="0"/>
        <v>0</v>
      </c>
      <c r="E79" s="6">
        <v>5</v>
      </c>
      <c r="F79" s="4">
        <v>0</v>
      </c>
      <c r="G79" s="5">
        <f t="shared" si="1"/>
        <v>5</v>
      </c>
      <c r="H79" s="9">
        <f t="shared" si="2"/>
        <v>5</v>
      </c>
    </row>
    <row r="80" spans="1:8" x14ac:dyDescent="0.25">
      <c r="A80" s="14" t="s">
        <v>116</v>
      </c>
      <c r="B80" s="6">
        <v>0</v>
      </c>
      <c r="C80" s="4">
        <v>0</v>
      </c>
      <c r="D80" s="5">
        <f t="shared" si="0"/>
        <v>0</v>
      </c>
      <c r="E80" s="6">
        <v>4</v>
      </c>
      <c r="F80" s="4">
        <v>0</v>
      </c>
      <c r="G80" s="5">
        <f t="shared" si="1"/>
        <v>4</v>
      </c>
      <c r="H80" s="9">
        <f t="shared" si="2"/>
        <v>4</v>
      </c>
    </row>
    <row r="81" spans="1:8" x14ac:dyDescent="0.25">
      <c r="A81" s="14" t="s">
        <v>124</v>
      </c>
      <c r="B81" s="6">
        <v>3</v>
      </c>
      <c r="C81" s="4">
        <v>1</v>
      </c>
      <c r="D81" s="5">
        <f t="shared" si="0"/>
        <v>4</v>
      </c>
      <c r="E81" s="6">
        <v>0</v>
      </c>
      <c r="F81" s="4">
        <v>0</v>
      </c>
      <c r="G81" s="5">
        <f t="shared" si="1"/>
        <v>0</v>
      </c>
      <c r="H81" s="9">
        <f t="shared" si="2"/>
        <v>4</v>
      </c>
    </row>
    <row r="82" spans="1:8" x14ac:dyDescent="0.25">
      <c r="A82" s="14" t="s">
        <v>117</v>
      </c>
      <c r="B82" s="6">
        <v>0</v>
      </c>
      <c r="C82" s="4">
        <v>0</v>
      </c>
      <c r="D82" s="5">
        <f t="shared" si="0"/>
        <v>0</v>
      </c>
      <c r="E82" s="6">
        <v>33</v>
      </c>
      <c r="F82" s="4">
        <v>1</v>
      </c>
      <c r="G82" s="5">
        <f t="shared" si="1"/>
        <v>34</v>
      </c>
      <c r="H82" s="9">
        <f t="shared" si="2"/>
        <v>34</v>
      </c>
    </row>
    <row r="83" spans="1:8" x14ac:dyDescent="0.25">
      <c r="A83" s="14" t="s">
        <v>118</v>
      </c>
      <c r="B83" s="6">
        <v>0</v>
      </c>
      <c r="C83" s="4">
        <v>0</v>
      </c>
      <c r="D83" s="5">
        <f t="shared" ref="D83:D87" si="6">SUM(B83:C83)</f>
        <v>0</v>
      </c>
      <c r="E83" s="6">
        <v>53</v>
      </c>
      <c r="F83" s="4">
        <v>3</v>
      </c>
      <c r="G83" s="5">
        <f t="shared" ref="G83:G87" si="7">SUM(E83:F83)</f>
        <v>56</v>
      </c>
      <c r="H83" s="9">
        <f t="shared" ref="H83:H87" si="8">D83+G83</f>
        <v>56</v>
      </c>
    </row>
    <row r="84" spans="1:8" x14ac:dyDescent="0.25">
      <c r="A84" s="14" t="s">
        <v>66</v>
      </c>
      <c r="B84" s="6">
        <v>0</v>
      </c>
      <c r="C84" s="4">
        <v>0</v>
      </c>
      <c r="D84" s="5">
        <f t="shared" si="6"/>
        <v>0</v>
      </c>
      <c r="E84" s="6">
        <v>11</v>
      </c>
      <c r="F84" s="4">
        <v>0</v>
      </c>
      <c r="G84" s="5">
        <f t="shared" si="7"/>
        <v>11</v>
      </c>
      <c r="H84" s="9">
        <f t="shared" si="8"/>
        <v>11</v>
      </c>
    </row>
    <row r="85" spans="1:8" x14ac:dyDescent="0.25">
      <c r="A85" s="14" t="s">
        <v>67</v>
      </c>
      <c r="B85" s="6">
        <v>0</v>
      </c>
      <c r="C85" s="4">
        <v>0</v>
      </c>
      <c r="D85" s="5">
        <f t="shared" si="6"/>
        <v>0</v>
      </c>
      <c r="E85" s="6">
        <v>36</v>
      </c>
      <c r="F85" s="4">
        <v>5</v>
      </c>
      <c r="G85" s="5">
        <f t="shared" si="7"/>
        <v>41</v>
      </c>
      <c r="H85" s="9">
        <f t="shared" si="8"/>
        <v>41</v>
      </c>
    </row>
    <row r="86" spans="1:8" x14ac:dyDescent="0.25">
      <c r="A86" s="14" t="s">
        <v>125</v>
      </c>
      <c r="B86" s="6">
        <v>0</v>
      </c>
      <c r="C86" s="4">
        <v>0</v>
      </c>
      <c r="D86" s="5">
        <f t="shared" si="6"/>
        <v>0</v>
      </c>
      <c r="E86" s="6">
        <v>30</v>
      </c>
      <c r="F86" s="4">
        <v>11</v>
      </c>
      <c r="G86" s="5">
        <f t="shared" si="7"/>
        <v>41</v>
      </c>
      <c r="H86" s="9">
        <f t="shared" si="8"/>
        <v>41</v>
      </c>
    </row>
    <row r="87" spans="1:8" ht="15.75" thickBot="1" x14ac:dyDescent="0.3">
      <c r="A87" s="15" t="s">
        <v>69</v>
      </c>
      <c r="B87" s="11">
        <v>0</v>
      </c>
      <c r="C87" s="12">
        <v>0</v>
      </c>
      <c r="D87" s="23">
        <f t="shared" si="6"/>
        <v>0</v>
      </c>
      <c r="E87" s="11">
        <v>5</v>
      </c>
      <c r="F87" s="12">
        <v>0</v>
      </c>
      <c r="G87" s="23">
        <f t="shared" si="7"/>
        <v>5</v>
      </c>
      <c r="H87" s="16">
        <f t="shared" si="8"/>
        <v>5</v>
      </c>
    </row>
    <row r="88" spans="1:8" ht="16.5" thickTop="1" thickBot="1" x14ac:dyDescent="0.3">
      <c r="A88" s="8" t="s">
        <v>0</v>
      </c>
      <c r="B88" s="7">
        <f t="shared" ref="B88:H88" si="9">SUM(B7:B87)</f>
        <v>176</v>
      </c>
      <c r="C88" s="7">
        <f t="shared" si="9"/>
        <v>32</v>
      </c>
      <c r="D88" s="7">
        <f t="shared" si="9"/>
        <v>208</v>
      </c>
      <c r="E88" s="7">
        <f t="shared" si="9"/>
        <v>1843</v>
      </c>
      <c r="F88" s="7">
        <f t="shared" si="9"/>
        <v>148</v>
      </c>
      <c r="G88" s="7">
        <f t="shared" si="9"/>
        <v>1991</v>
      </c>
      <c r="H88" s="7">
        <f t="shared" si="9"/>
        <v>2199</v>
      </c>
    </row>
    <row r="89" spans="1:8" ht="15.75" thickBot="1" x14ac:dyDescent="0.3"/>
    <row r="90" spans="1:8" x14ac:dyDescent="0.25">
      <c r="A90" s="26" t="s">
        <v>74</v>
      </c>
      <c r="B90" s="28" t="s">
        <v>3</v>
      </c>
      <c r="C90" s="29"/>
      <c r="D90" s="29"/>
      <c r="E90" s="28" t="s">
        <v>4</v>
      </c>
      <c r="F90" s="29"/>
      <c r="G90" s="29"/>
      <c r="H90" s="26" t="s">
        <v>0</v>
      </c>
    </row>
    <row r="91" spans="1:8" x14ac:dyDescent="0.25">
      <c r="A91" s="27"/>
      <c r="B91" s="20" t="s">
        <v>82</v>
      </c>
      <c r="C91" s="21" t="s">
        <v>83</v>
      </c>
      <c r="D91" s="22" t="s">
        <v>0</v>
      </c>
      <c r="E91" s="20" t="s">
        <v>82</v>
      </c>
      <c r="F91" s="21" t="s">
        <v>83</v>
      </c>
      <c r="G91" s="22" t="s">
        <v>0</v>
      </c>
      <c r="H91" s="27"/>
    </row>
    <row r="92" spans="1:8" x14ac:dyDescent="0.25">
      <c r="A92" s="14" t="s">
        <v>75</v>
      </c>
      <c r="B92" s="6">
        <v>36</v>
      </c>
      <c r="C92" s="4">
        <v>6</v>
      </c>
      <c r="D92" s="5">
        <f t="shared" ref="D92:D100" si="10">SUM(B92:C92)</f>
        <v>42</v>
      </c>
      <c r="E92" s="6">
        <v>173</v>
      </c>
      <c r="F92" s="4">
        <v>6</v>
      </c>
      <c r="G92" s="5">
        <f t="shared" ref="G92:G100" si="11">SUM(E92:F92)</f>
        <v>179</v>
      </c>
      <c r="H92" s="9">
        <f t="shared" ref="H92:H100" si="12">D92+G92</f>
        <v>221</v>
      </c>
    </row>
    <row r="93" spans="1:8" x14ac:dyDescent="0.25">
      <c r="A93" s="14" t="s">
        <v>76</v>
      </c>
      <c r="B93" s="6">
        <v>3</v>
      </c>
      <c r="C93" s="4">
        <v>1</v>
      </c>
      <c r="D93" s="5">
        <f t="shared" si="10"/>
        <v>4</v>
      </c>
      <c r="E93" s="6">
        <v>138</v>
      </c>
      <c r="F93" s="4">
        <v>6</v>
      </c>
      <c r="G93" s="5">
        <f t="shared" si="11"/>
        <v>144</v>
      </c>
      <c r="H93" s="9">
        <f t="shared" si="12"/>
        <v>148</v>
      </c>
    </row>
    <row r="94" spans="1:8" x14ac:dyDescent="0.25">
      <c r="A94" s="14" t="s">
        <v>77</v>
      </c>
      <c r="B94" s="6">
        <v>10</v>
      </c>
      <c r="C94" s="4">
        <v>3</v>
      </c>
      <c r="D94" s="5">
        <f t="shared" si="10"/>
        <v>13</v>
      </c>
      <c r="E94" s="6">
        <v>598</v>
      </c>
      <c r="F94" s="4">
        <v>55</v>
      </c>
      <c r="G94" s="5">
        <f t="shared" si="11"/>
        <v>653</v>
      </c>
      <c r="H94" s="9">
        <f t="shared" si="12"/>
        <v>666</v>
      </c>
    </row>
    <row r="95" spans="1:8" x14ac:dyDescent="0.25">
      <c r="A95" s="14" t="s">
        <v>107</v>
      </c>
      <c r="B95" s="6">
        <v>0</v>
      </c>
      <c r="C95" s="4">
        <v>0</v>
      </c>
      <c r="D95" s="5">
        <f t="shared" ref="D95" si="13">SUM(B95:C95)</f>
        <v>0</v>
      </c>
      <c r="E95" s="6">
        <v>212</v>
      </c>
      <c r="F95" s="4">
        <v>11</v>
      </c>
      <c r="G95" s="5">
        <f t="shared" ref="G95" si="14">SUM(E95:F95)</f>
        <v>223</v>
      </c>
      <c r="H95" s="9">
        <f t="shared" ref="H95" si="15">D95+G95</f>
        <v>223</v>
      </c>
    </row>
    <row r="96" spans="1:8" x14ac:dyDescent="0.25">
      <c r="A96" s="14" t="s">
        <v>78</v>
      </c>
      <c r="B96" s="6">
        <v>15</v>
      </c>
      <c r="C96" s="4">
        <v>7</v>
      </c>
      <c r="D96" s="5">
        <f t="shared" si="10"/>
        <v>22</v>
      </c>
      <c r="E96" s="6">
        <v>264</v>
      </c>
      <c r="F96" s="4">
        <v>25</v>
      </c>
      <c r="G96" s="5">
        <f t="shared" si="11"/>
        <v>289</v>
      </c>
      <c r="H96" s="9">
        <f t="shared" si="12"/>
        <v>311</v>
      </c>
    </row>
    <row r="97" spans="1:8" x14ac:dyDescent="0.25">
      <c r="A97" s="14" t="s">
        <v>1</v>
      </c>
      <c r="B97" s="6">
        <v>0</v>
      </c>
      <c r="C97" s="4">
        <v>0</v>
      </c>
      <c r="D97" s="5">
        <f t="shared" si="10"/>
        <v>0</v>
      </c>
      <c r="E97" s="6">
        <v>30</v>
      </c>
      <c r="F97" s="4">
        <v>3</v>
      </c>
      <c r="G97" s="5">
        <f t="shared" si="11"/>
        <v>33</v>
      </c>
      <c r="H97" s="9">
        <f t="shared" si="12"/>
        <v>33</v>
      </c>
    </row>
    <row r="98" spans="1:8" x14ac:dyDescent="0.25">
      <c r="A98" s="14" t="s">
        <v>79</v>
      </c>
      <c r="B98" s="6">
        <v>20</v>
      </c>
      <c r="C98" s="4">
        <v>1</v>
      </c>
      <c r="D98" s="5">
        <f t="shared" si="10"/>
        <v>21</v>
      </c>
      <c r="E98" s="6">
        <v>175</v>
      </c>
      <c r="F98" s="4">
        <v>22</v>
      </c>
      <c r="G98" s="5">
        <f t="shared" si="11"/>
        <v>197</v>
      </c>
      <c r="H98" s="9">
        <f t="shared" si="12"/>
        <v>218</v>
      </c>
    </row>
    <row r="99" spans="1:8" x14ac:dyDescent="0.25">
      <c r="A99" s="14" t="s">
        <v>80</v>
      </c>
      <c r="B99" s="6">
        <v>76</v>
      </c>
      <c r="C99" s="4">
        <v>10</v>
      </c>
      <c r="D99" s="5">
        <f t="shared" si="10"/>
        <v>86</v>
      </c>
      <c r="E99" s="6">
        <v>59</v>
      </c>
      <c r="F99" s="4">
        <v>8</v>
      </c>
      <c r="G99" s="5">
        <f t="shared" si="11"/>
        <v>67</v>
      </c>
      <c r="H99" s="9">
        <f t="shared" si="12"/>
        <v>153</v>
      </c>
    </row>
    <row r="100" spans="1:8" ht="15.75" thickBot="1" x14ac:dyDescent="0.3">
      <c r="A100" s="15" t="s">
        <v>81</v>
      </c>
      <c r="B100" s="11">
        <v>16</v>
      </c>
      <c r="C100" s="12">
        <v>4</v>
      </c>
      <c r="D100" s="12">
        <f t="shared" si="10"/>
        <v>20</v>
      </c>
      <c r="E100" s="11">
        <v>194</v>
      </c>
      <c r="F100" s="12">
        <v>12</v>
      </c>
      <c r="G100" s="13">
        <f t="shared" si="11"/>
        <v>206</v>
      </c>
      <c r="H100" s="16">
        <f t="shared" si="12"/>
        <v>226</v>
      </c>
    </row>
    <row r="101" spans="1:8" ht="16.5" thickTop="1" thickBot="1" x14ac:dyDescent="0.3">
      <c r="A101" s="8" t="s">
        <v>0</v>
      </c>
      <c r="B101" s="7">
        <f>SUM(B92:B100)</f>
        <v>176</v>
      </c>
      <c r="C101" s="7">
        <f>SUM(C92:C100)</f>
        <v>32</v>
      </c>
      <c r="D101" s="7">
        <f t="shared" ref="D101:H101" si="16">SUM(D92:D100)</f>
        <v>208</v>
      </c>
      <c r="E101" s="7">
        <f t="shared" si="16"/>
        <v>1843</v>
      </c>
      <c r="F101" s="7">
        <f t="shared" si="16"/>
        <v>148</v>
      </c>
      <c r="G101" s="7">
        <f t="shared" si="16"/>
        <v>1991</v>
      </c>
      <c r="H101" s="7">
        <f t="shared" si="16"/>
        <v>2199</v>
      </c>
    </row>
    <row r="103" spans="1:8" x14ac:dyDescent="0.25">
      <c r="A103" s="33" t="s">
        <v>86</v>
      </c>
      <c r="B103" s="33"/>
      <c r="C103" s="33"/>
      <c r="D103" s="33"/>
      <c r="E103" s="33"/>
      <c r="F103" s="33"/>
      <c r="G103" s="33"/>
      <c r="H103" s="33"/>
    </row>
    <row r="104" spans="1:8" x14ac:dyDescent="0.25">
      <c r="A104" s="33"/>
      <c r="B104" s="33"/>
      <c r="C104" s="33"/>
      <c r="D104" s="33"/>
      <c r="E104" s="33"/>
      <c r="F104" s="33"/>
      <c r="G104" s="33"/>
      <c r="H104" s="33"/>
    </row>
    <row r="105" spans="1:8" x14ac:dyDescent="0.25">
      <c r="A105" s="33"/>
      <c r="B105" s="33"/>
      <c r="C105" s="33"/>
      <c r="D105" s="33"/>
      <c r="E105" s="33"/>
      <c r="F105" s="33"/>
      <c r="G105" s="33"/>
      <c r="H105" s="33"/>
    </row>
    <row r="107" spans="1:8" x14ac:dyDescent="0.25">
      <c r="A107" s="34"/>
      <c r="B107" s="34"/>
      <c r="C107" s="34"/>
      <c r="D107" s="34"/>
      <c r="E107" s="34"/>
      <c r="F107" s="34"/>
      <c r="G107" s="34"/>
      <c r="H107" s="34"/>
    </row>
  </sheetData>
  <mergeCells count="11">
    <mergeCell ref="A2:H2"/>
    <mergeCell ref="A5:A6"/>
    <mergeCell ref="B5:D5"/>
    <mergeCell ref="E5:G5"/>
    <mergeCell ref="H5:H6"/>
    <mergeCell ref="A103:H105"/>
    <mergeCell ref="A107:H107"/>
    <mergeCell ref="A90:A91"/>
    <mergeCell ref="B90:D90"/>
    <mergeCell ref="E90:G90"/>
    <mergeCell ref="H90:H91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view="pageLayout" topLeftCell="A91" zoomScale="70" zoomScaleNormal="100" zoomScalePageLayoutView="70" workbookViewId="0">
      <selection activeCell="A97" sqref="A97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2000-01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1</v>
      </c>
      <c r="C7" s="4">
        <v>0</v>
      </c>
      <c r="D7" s="5">
        <f>SUM(B7:C7)</f>
        <v>1</v>
      </c>
      <c r="E7" s="6">
        <v>10</v>
      </c>
      <c r="F7" s="4">
        <v>2</v>
      </c>
      <c r="G7" s="5">
        <f>SUM(E7:F7)</f>
        <v>12</v>
      </c>
      <c r="H7" s="9">
        <f>D7+G7</f>
        <v>13</v>
      </c>
    </row>
    <row r="8" spans="1:8" x14ac:dyDescent="0.25">
      <c r="A8" s="14" t="s">
        <v>6</v>
      </c>
      <c r="B8" s="6">
        <v>0</v>
      </c>
      <c r="C8" s="4">
        <v>0</v>
      </c>
      <c r="D8" s="5">
        <f t="shared" ref="D8:D83" si="0">SUM(B8:C8)</f>
        <v>0</v>
      </c>
      <c r="E8" s="6">
        <v>24</v>
      </c>
      <c r="F8" s="4">
        <v>1</v>
      </c>
      <c r="G8" s="5">
        <f t="shared" ref="G8:G83" si="1">SUM(E8:F8)</f>
        <v>25</v>
      </c>
      <c r="H8" s="9">
        <f t="shared" ref="H8:H83" si="2">D8+G8</f>
        <v>25</v>
      </c>
    </row>
    <row r="9" spans="1:8" x14ac:dyDescent="0.25">
      <c r="A9" s="14" t="s">
        <v>7</v>
      </c>
      <c r="B9" s="6">
        <v>11</v>
      </c>
      <c r="C9" s="4">
        <v>0</v>
      </c>
      <c r="D9" s="5">
        <f t="shared" si="0"/>
        <v>11</v>
      </c>
      <c r="E9" s="6">
        <v>52</v>
      </c>
      <c r="F9" s="4">
        <v>2</v>
      </c>
      <c r="G9" s="5">
        <f t="shared" si="1"/>
        <v>54</v>
      </c>
      <c r="H9" s="9">
        <f t="shared" si="2"/>
        <v>65</v>
      </c>
    </row>
    <row r="10" spans="1:8" x14ac:dyDescent="0.25">
      <c r="A10" s="14" t="s">
        <v>87</v>
      </c>
      <c r="B10" s="6">
        <v>3</v>
      </c>
      <c r="C10" s="4">
        <v>0</v>
      </c>
      <c r="D10" s="5">
        <f t="shared" si="0"/>
        <v>3</v>
      </c>
      <c r="E10" s="6">
        <v>108</v>
      </c>
      <c r="F10" s="4">
        <v>7</v>
      </c>
      <c r="G10" s="5">
        <f t="shared" si="1"/>
        <v>115</v>
      </c>
      <c r="H10" s="9">
        <f t="shared" si="2"/>
        <v>118</v>
      </c>
    </row>
    <row r="11" spans="1:8" x14ac:dyDescent="0.25">
      <c r="A11" s="14" t="s">
        <v>100</v>
      </c>
      <c r="B11" s="6">
        <v>1</v>
      </c>
      <c r="C11" s="4">
        <v>0</v>
      </c>
      <c r="D11" s="5">
        <f t="shared" si="0"/>
        <v>1</v>
      </c>
      <c r="E11" s="6">
        <v>6</v>
      </c>
      <c r="F11" s="4">
        <v>0</v>
      </c>
      <c r="G11" s="5">
        <f t="shared" si="1"/>
        <v>6</v>
      </c>
      <c r="H11" s="9">
        <f t="shared" si="2"/>
        <v>7</v>
      </c>
    </row>
    <row r="12" spans="1:8" x14ac:dyDescent="0.25">
      <c r="A12" s="14" t="s">
        <v>9</v>
      </c>
      <c r="B12" s="6">
        <v>2</v>
      </c>
      <c r="C12" s="4">
        <v>0</v>
      </c>
      <c r="D12" s="5">
        <f t="shared" si="0"/>
        <v>2</v>
      </c>
      <c r="E12" s="6">
        <v>5</v>
      </c>
      <c r="F12" s="4">
        <v>2</v>
      </c>
      <c r="G12" s="5">
        <f t="shared" si="1"/>
        <v>7</v>
      </c>
      <c r="H12" s="9">
        <f t="shared" si="2"/>
        <v>9</v>
      </c>
    </row>
    <row r="13" spans="1:8" x14ac:dyDescent="0.25">
      <c r="A13" s="14" t="s">
        <v>10</v>
      </c>
      <c r="B13" s="6">
        <v>3</v>
      </c>
      <c r="C13" s="4">
        <v>0</v>
      </c>
      <c r="D13" s="5">
        <f t="shared" si="0"/>
        <v>3</v>
      </c>
      <c r="E13" s="6">
        <v>6</v>
      </c>
      <c r="F13" s="4">
        <v>1</v>
      </c>
      <c r="G13" s="5">
        <f t="shared" si="1"/>
        <v>7</v>
      </c>
      <c r="H13" s="9">
        <f t="shared" si="2"/>
        <v>10</v>
      </c>
    </row>
    <row r="14" spans="1:8" x14ac:dyDescent="0.25">
      <c r="A14" s="14" t="s">
        <v>88</v>
      </c>
      <c r="B14" s="6">
        <v>0</v>
      </c>
      <c r="C14" s="4">
        <v>0</v>
      </c>
      <c r="D14" s="5">
        <f t="shared" si="0"/>
        <v>0</v>
      </c>
      <c r="E14" s="6">
        <v>0</v>
      </c>
      <c r="F14" s="4">
        <v>0</v>
      </c>
      <c r="G14" s="5">
        <f t="shared" si="1"/>
        <v>0</v>
      </c>
      <c r="H14" s="9">
        <f t="shared" si="2"/>
        <v>0</v>
      </c>
    </row>
    <row r="15" spans="1:8" x14ac:dyDescent="0.25">
      <c r="A15" s="14" t="s">
        <v>106</v>
      </c>
      <c r="B15" s="6">
        <v>0</v>
      </c>
      <c r="C15" s="4">
        <v>0</v>
      </c>
      <c r="D15" s="5">
        <f t="shared" si="0"/>
        <v>0</v>
      </c>
      <c r="E15" s="6">
        <v>0</v>
      </c>
      <c r="F15" s="4">
        <v>0</v>
      </c>
      <c r="G15" s="5">
        <f t="shared" si="1"/>
        <v>0</v>
      </c>
      <c r="H15" s="9">
        <f t="shared" si="2"/>
        <v>0</v>
      </c>
    </row>
    <row r="16" spans="1:8" x14ac:dyDescent="0.25">
      <c r="A16" s="14" t="s">
        <v>101</v>
      </c>
      <c r="B16" s="6">
        <v>1</v>
      </c>
      <c r="C16" s="4">
        <v>1</v>
      </c>
      <c r="D16" s="5">
        <f t="shared" si="0"/>
        <v>2</v>
      </c>
      <c r="E16" s="6">
        <v>4</v>
      </c>
      <c r="F16" s="4">
        <v>3</v>
      </c>
      <c r="G16" s="5">
        <f t="shared" si="1"/>
        <v>7</v>
      </c>
      <c r="H16" s="9">
        <f t="shared" si="2"/>
        <v>9</v>
      </c>
    </row>
    <row r="17" spans="1:8" x14ac:dyDescent="0.25">
      <c r="A17" s="14" t="s">
        <v>12</v>
      </c>
      <c r="B17" s="6">
        <v>0</v>
      </c>
      <c r="C17" s="4">
        <v>0</v>
      </c>
      <c r="D17" s="5">
        <f t="shared" si="0"/>
        <v>0</v>
      </c>
      <c r="E17" s="6">
        <v>5</v>
      </c>
      <c r="F17" s="4">
        <v>0</v>
      </c>
      <c r="G17" s="5">
        <f t="shared" si="1"/>
        <v>5</v>
      </c>
      <c r="H17" s="9">
        <f t="shared" si="2"/>
        <v>5</v>
      </c>
    </row>
    <row r="18" spans="1:8" x14ac:dyDescent="0.25">
      <c r="A18" s="14" t="s">
        <v>13</v>
      </c>
      <c r="B18" s="6">
        <v>1</v>
      </c>
      <c r="C18" s="4">
        <v>4</v>
      </c>
      <c r="D18" s="5">
        <f t="shared" si="0"/>
        <v>5</v>
      </c>
      <c r="E18" s="6">
        <v>3</v>
      </c>
      <c r="F18" s="4">
        <v>1</v>
      </c>
      <c r="G18" s="5">
        <f t="shared" si="1"/>
        <v>4</v>
      </c>
      <c r="H18" s="9">
        <f t="shared" si="2"/>
        <v>9</v>
      </c>
    </row>
    <row r="19" spans="1:8" x14ac:dyDescent="0.25">
      <c r="A19" s="14" t="s">
        <v>14</v>
      </c>
      <c r="B19" s="6">
        <v>3</v>
      </c>
      <c r="C19" s="4">
        <v>2</v>
      </c>
      <c r="D19" s="5">
        <f t="shared" si="0"/>
        <v>5</v>
      </c>
      <c r="E19" s="6">
        <v>10</v>
      </c>
      <c r="F19" s="4">
        <v>0</v>
      </c>
      <c r="G19" s="5">
        <f t="shared" si="1"/>
        <v>10</v>
      </c>
      <c r="H19" s="9">
        <f t="shared" si="2"/>
        <v>15</v>
      </c>
    </row>
    <row r="20" spans="1:8" x14ac:dyDescent="0.25">
      <c r="A20" s="14" t="s">
        <v>15</v>
      </c>
      <c r="B20" s="6">
        <v>0</v>
      </c>
      <c r="C20" s="4">
        <v>0</v>
      </c>
      <c r="D20" s="5">
        <f t="shared" si="0"/>
        <v>0</v>
      </c>
      <c r="E20" s="6">
        <v>16</v>
      </c>
      <c r="F20" s="4">
        <v>0</v>
      </c>
      <c r="G20" s="5">
        <f t="shared" si="1"/>
        <v>16</v>
      </c>
      <c r="H20" s="9">
        <f t="shared" si="2"/>
        <v>16</v>
      </c>
    </row>
    <row r="21" spans="1:8" x14ac:dyDescent="0.25">
      <c r="A21" s="14" t="s">
        <v>16</v>
      </c>
      <c r="B21" s="6">
        <v>3</v>
      </c>
      <c r="C21" s="4">
        <v>0</v>
      </c>
      <c r="D21" s="5">
        <f t="shared" ref="D21:D24" si="3">SUM(B21:C21)</f>
        <v>3</v>
      </c>
      <c r="E21" s="6">
        <v>7</v>
      </c>
      <c r="F21" s="4">
        <v>1</v>
      </c>
      <c r="G21" s="5">
        <f t="shared" ref="G21:G24" si="4">SUM(E21:F21)</f>
        <v>8</v>
      </c>
      <c r="H21" s="9">
        <f t="shared" ref="H21:H24" si="5">D21+G21</f>
        <v>11</v>
      </c>
    </row>
    <row r="22" spans="1:8" x14ac:dyDescent="0.25">
      <c r="A22" s="14" t="s">
        <v>17</v>
      </c>
      <c r="B22" s="6">
        <v>8</v>
      </c>
      <c r="C22" s="4">
        <v>4</v>
      </c>
      <c r="D22" s="5">
        <f t="shared" si="3"/>
        <v>12</v>
      </c>
      <c r="E22" s="6">
        <v>12</v>
      </c>
      <c r="F22" s="4">
        <v>0</v>
      </c>
      <c r="G22" s="5">
        <f t="shared" si="4"/>
        <v>12</v>
      </c>
      <c r="H22" s="9">
        <f t="shared" si="5"/>
        <v>24</v>
      </c>
    </row>
    <row r="23" spans="1:8" x14ac:dyDescent="0.25">
      <c r="A23" s="14" t="s">
        <v>18</v>
      </c>
      <c r="B23" s="6">
        <v>1</v>
      </c>
      <c r="C23" s="4">
        <v>0</v>
      </c>
      <c r="D23" s="5">
        <f t="shared" si="3"/>
        <v>1</v>
      </c>
      <c r="E23" s="6">
        <v>218</v>
      </c>
      <c r="F23" s="4">
        <v>11</v>
      </c>
      <c r="G23" s="5">
        <f t="shared" si="4"/>
        <v>229</v>
      </c>
      <c r="H23" s="9">
        <f t="shared" si="5"/>
        <v>230</v>
      </c>
    </row>
    <row r="24" spans="1:8" x14ac:dyDescent="0.25">
      <c r="A24" s="14" t="s">
        <v>19</v>
      </c>
      <c r="B24" s="6">
        <v>1</v>
      </c>
      <c r="C24" s="4">
        <v>0</v>
      </c>
      <c r="D24" s="5">
        <f t="shared" si="3"/>
        <v>1</v>
      </c>
      <c r="E24" s="6">
        <v>9</v>
      </c>
      <c r="F24" s="4">
        <v>0</v>
      </c>
      <c r="G24" s="5">
        <f t="shared" si="4"/>
        <v>9</v>
      </c>
      <c r="H24" s="9">
        <f t="shared" si="5"/>
        <v>10</v>
      </c>
    </row>
    <row r="25" spans="1:8" x14ac:dyDescent="0.25">
      <c r="A25" s="14" t="s">
        <v>20</v>
      </c>
      <c r="B25" s="6">
        <v>0</v>
      </c>
      <c r="C25" s="4">
        <v>3</v>
      </c>
      <c r="D25" s="5">
        <f t="shared" si="0"/>
        <v>3</v>
      </c>
      <c r="E25" s="6">
        <v>1</v>
      </c>
      <c r="F25" s="4">
        <v>0</v>
      </c>
      <c r="G25" s="5">
        <f t="shared" si="1"/>
        <v>1</v>
      </c>
      <c r="H25" s="9">
        <f t="shared" si="2"/>
        <v>4</v>
      </c>
    </row>
    <row r="26" spans="1:8" x14ac:dyDescent="0.25">
      <c r="A26" s="14" t="s">
        <v>21</v>
      </c>
      <c r="B26" s="6">
        <v>3</v>
      </c>
      <c r="C26" s="4">
        <v>0</v>
      </c>
      <c r="D26" s="5">
        <f t="shared" si="0"/>
        <v>3</v>
      </c>
      <c r="E26" s="6">
        <v>8</v>
      </c>
      <c r="F26" s="4">
        <v>0</v>
      </c>
      <c r="G26" s="5">
        <f t="shared" si="1"/>
        <v>8</v>
      </c>
      <c r="H26" s="9">
        <f t="shared" si="2"/>
        <v>11</v>
      </c>
    </row>
    <row r="27" spans="1:8" x14ac:dyDescent="0.25">
      <c r="A27" s="14" t="s">
        <v>102</v>
      </c>
      <c r="B27" s="6">
        <v>0</v>
      </c>
      <c r="C27" s="4">
        <v>0</v>
      </c>
      <c r="D27" s="5">
        <f t="shared" si="0"/>
        <v>0</v>
      </c>
      <c r="E27" s="6">
        <v>0</v>
      </c>
      <c r="F27" s="4">
        <v>0</v>
      </c>
      <c r="G27" s="5">
        <f t="shared" si="1"/>
        <v>0</v>
      </c>
      <c r="H27" s="9">
        <f t="shared" si="2"/>
        <v>0</v>
      </c>
    </row>
    <row r="28" spans="1:8" x14ac:dyDescent="0.25">
      <c r="A28" s="14" t="s">
        <v>22</v>
      </c>
      <c r="B28" s="6">
        <v>1</v>
      </c>
      <c r="C28" s="4">
        <v>0</v>
      </c>
      <c r="D28" s="5">
        <f t="shared" si="0"/>
        <v>1</v>
      </c>
      <c r="E28" s="6">
        <v>8</v>
      </c>
      <c r="F28" s="4">
        <v>1</v>
      </c>
      <c r="G28" s="5">
        <f t="shared" si="1"/>
        <v>9</v>
      </c>
      <c r="H28" s="9">
        <f t="shared" si="2"/>
        <v>10</v>
      </c>
    </row>
    <row r="29" spans="1:8" x14ac:dyDescent="0.25">
      <c r="A29" s="14" t="s">
        <v>23</v>
      </c>
      <c r="B29" s="6">
        <v>7</v>
      </c>
      <c r="C29" s="4">
        <v>0</v>
      </c>
      <c r="D29" s="5">
        <f t="shared" si="0"/>
        <v>7</v>
      </c>
      <c r="E29" s="6">
        <v>8</v>
      </c>
      <c r="F29" s="4">
        <v>0</v>
      </c>
      <c r="G29" s="5">
        <f t="shared" si="1"/>
        <v>8</v>
      </c>
      <c r="H29" s="9">
        <f t="shared" si="2"/>
        <v>15</v>
      </c>
    </row>
    <row r="30" spans="1:8" x14ac:dyDescent="0.25">
      <c r="A30" s="14" t="s">
        <v>94</v>
      </c>
      <c r="B30" s="6">
        <v>0</v>
      </c>
      <c r="C30" s="4">
        <v>0</v>
      </c>
      <c r="D30" s="5">
        <f t="shared" si="0"/>
        <v>0</v>
      </c>
      <c r="E30" s="6">
        <v>7</v>
      </c>
      <c r="F30" s="4">
        <v>0</v>
      </c>
      <c r="G30" s="5">
        <f t="shared" si="1"/>
        <v>7</v>
      </c>
      <c r="H30" s="9">
        <f t="shared" si="2"/>
        <v>7</v>
      </c>
    </row>
    <row r="31" spans="1:8" x14ac:dyDescent="0.25">
      <c r="A31" s="14" t="s">
        <v>24</v>
      </c>
      <c r="B31" s="6">
        <v>1</v>
      </c>
      <c r="C31" s="4">
        <v>0</v>
      </c>
      <c r="D31" s="5">
        <f t="shared" si="0"/>
        <v>1</v>
      </c>
      <c r="E31" s="6">
        <v>7</v>
      </c>
      <c r="F31" s="4">
        <v>0</v>
      </c>
      <c r="G31" s="5">
        <f t="shared" si="1"/>
        <v>7</v>
      </c>
      <c r="H31" s="9">
        <f t="shared" si="2"/>
        <v>8</v>
      </c>
    </row>
    <row r="32" spans="1:8" x14ac:dyDescent="0.25">
      <c r="A32" s="14" t="s">
        <v>71</v>
      </c>
      <c r="B32" s="6">
        <v>17</v>
      </c>
      <c r="C32" s="4">
        <v>0</v>
      </c>
      <c r="D32" s="5">
        <f t="shared" si="0"/>
        <v>17</v>
      </c>
      <c r="E32" s="6">
        <v>5</v>
      </c>
      <c r="F32" s="4">
        <v>0</v>
      </c>
      <c r="G32" s="5">
        <f t="shared" si="1"/>
        <v>5</v>
      </c>
      <c r="H32" s="9">
        <f t="shared" si="2"/>
        <v>22</v>
      </c>
    </row>
    <row r="33" spans="1:8" x14ac:dyDescent="0.25">
      <c r="A33" s="14" t="s">
        <v>72</v>
      </c>
      <c r="B33" s="6">
        <v>3</v>
      </c>
      <c r="C33" s="4">
        <v>0</v>
      </c>
      <c r="D33" s="5">
        <f t="shared" si="0"/>
        <v>3</v>
      </c>
      <c r="E33" s="6">
        <v>13</v>
      </c>
      <c r="F33" s="4">
        <v>0</v>
      </c>
      <c r="G33" s="5">
        <f t="shared" si="1"/>
        <v>13</v>
      </c>
      <c r="H33" s="9">
        <f t="shared" si="2"/>
        <v>16</v>
      </c>
    </row>
    <row r="34" spans="1:8" x14ac:dyDescent="0.25">
      <c r="A34" s="14" t="s">
        <v>25</v>
      </c>
      <c r="B34" s="6">
        <v>0</v>
      </c>
      <c r="C34" s="4">
        <v>0</v>
      </c>
      <c r="D34" s="5">
        <f t="shared" si="0"/>
        <v>0</v>
      </c>
      <c r="E34" s="6">
        <v>3</v>
      </c>
      <c r="F34" s="4">
        <v>0</v>
      </c>
      <c r="G34" s="5">
        <f t="shared" si="1"/>
        <v>3</v>
      </c>
      <c r="H34" s="9">
        <f t="shared" si="2"/>
        <v>3</v>
      </c>
    </row>
    <row r="35" spans="1:8" x14ac:dyDescent="0.25">
      <c r="A35" s="14" t="s">
        <v>26</v>
      </c>
      <c r="B35" s="6">
        <v>5</v>
      </c>
      <c r="C35" s="4">
        <v>0</v>
      </c>
      <c r="D35" s="5">
        <f t="shared" si="0"/>
        <v>5</v>
      </c>
      <c r="E35" s="6">
        <v>35</v>
      </c>
      <c r="F35" s="4">
        <v>0</v>
      </c>
      <c r="G35" s="5">
        <f t="shared" si="1"/>
        <v>35</v>
      </c>
      <c r="H35" s="9">
        <f t="shared" si="2"/>
        <v>40</v>
      </c>
    </row>
    <row r="36" spans="1:8" x14ac:dyDescent="0.25">
      <c r="A36" s="14" t="s">
        <v>73</v>
      </c>
      <c r="B36" s="6">
        <v>0</v>
      </c>
      <c r="C36" s="4">
        <v>0</v>
      </c>
      <c r="D36" s="5">
        <f t="shared" si="0"/>
        <v>0</v>
      </c>
      <c r="E36" s="6">
        <v>11</v>
      </c>
      <c r="F36" s="4">
        <v>0</v>
      </c>
      <c r="G36" s="5">
        <f t="shared" si="1"/>
        <v>11</v>
      </c>
      <c r="H36" s="9">
        <f t="shared" si="2"/>
        <v>11</v>
      </c>
    </row>
    <row r="37" spans="1:8" x14ac:dyDescent="0.25">
      <c r="A37" s="14" t="s">
        <v>27</v>
      </c>
      <c r="B37" s="6">
        <v>2</v>
      </c>
      <c r="C37" s="4">
        <v>0</v>
      </c>
      <c r="D37" s="5">
        <f t="shared" si="0"/>
        <v>2</v>
      </c>
      <c r="E37" s="6">
        <v>21</v>
      </c>
      <c r="F37" s="4">
        <v>0</v>
      </c>
      <c r="G37" s="5">
        <f t="shared" si="1"/>
        <v>21</v>
      </c>
      <c r="H37" s="9">
        <f t="shared" si="2"/>
        <v>23</v>
      </c>
    </row>
    <row r="38" spans="1:8" x14ac:dyDescent="0.25">
      <c r="A38" s="14" t="s">
        <v>28</v>
      </c>
      <c r="B38" s="6">
        <v>4</v>
      </c>
      <c r="C38" s="4">
        <v>0</v>
      </c>
      <c r="D38" s="5">
        <f t="shared" si="0"/>
        <v>4</v>
      </c>
      <c r="E38" s="6">
        <v>4</v>
      </c>
      <c r="F38" s="4">
        <v>0</v>
      </c>
      <c r="G38" s="5">
        <f t="shared" si="1"/>
        <v>4</v>
      </c>
      <c r="H38" s="9">
        <f t="shared" si="2"/>
        <v>8</v>
      </c>
    </row>
    <row r="39" spans="1:8" x14ac:dyDescent="0.25">
      <c r="A39" s="14" t="s">
        <v>1</v>
      </c>
      <c r="B39" s="6">
        <v>0</v>
      </c>
      <c r="C39" s="4">
        <v>0</v>
      </c>
      <c r="D39" s="5">
        <f t="shared" si="0"/>
        <v>0</v>
      </c>
      <c r="E39" s="6">
        <v>40</v>
      </c>
      <c r="F39" s="4">
        <v>1</v>
      </c>
      <c r="G39" s="5">
        <f t="shared" si="1"/>
        <v>41</v>
      </c>
      <c r="H39" s="9">
        <f t="shared" si="2"/>
        <v>41</v>
      </c>
    </row>
    <row r="40" spans="1:8" x14ac:dyDescent="0.25">
      <c r="A40" s="14" t="s">
        <v>29</v>
      </c>
      <c r="B40" s="6">
        <v>0</v>
      </c>
      <c r="C40" s="4">
        <v>0</v>
      </c>
      <c r="D40" s="5">
        <f t="shared" si="0"/>
        <v>0</v>
      </c>
      <c r="E40" s="6">
        <v>80</v>
      </c>
      <c r="F40" s="4">
        <v>3</v>
      </c>
      <c r="G40" s="5">
        <f t="shared" si="1"/>
        <v>83</v>
      </c>
      <c r="H40" s="9">
        <f t="shared" si="2"/>
        <v>83</v>
      </c>
    </row>
    <row r="41" spans="1:8" x14ac:dyDescent="0.25">
      <c r="A41" s="14" t="s">
        <v>30</v>
      </c>
      <c r="B41" s="6">
        <v>4</v>
      </c>
      <c r="C41" s="4">
        <v>1</v>
      </c>
      <c r="D41" s="5">
        <f t="shared" si="0"/>
        <v>5</v>
      </c>
      <c r="E41" s="6">
        <v>0</v>
      </c>
      <c r="F41" s="4">
        <v>0</v>
      </c>
      <c r="G41" s="5">
        <f t="shared" si="1"/>
        <v>0</v>
      </c>
      <c r="H41" s="9">
        <f t="shared" si="2"/>
        <v>5</v>
      </c>
    </row>
    <row r="42" spans="1:8" x14ac:dyDescent="0.25">
      <c r="A42" s="14" t="s">
        <v>31</v>
      </c>
      <c r="B42" s="6">
        <v>5</v>
      </c>
      <c r="C42" s="4">
        <v>2</v>
      </c>
      <c r="D42" s="5">
        <f t="shared" si="0"/>
        <v>7</v>
      </c>
      <c r="E42" s="6">
        <v>52</v>
      </c>
      <c r="F42" s="4">
        <v>1</v>
      </c>
      <c r="G42" s="5">
        <f t="shared" si="1"/>
        <v>53</v>
      </c>
      <c r="H42" s="9">
        <f t="shared" si="2"/>
        <v>60</v>
      </c>
    </row>
    <row r="43" spans="1:8" x14ac:dyDescent="0.25">
      <c r="A43" s="14" t="s">
        <v>32</v>
      </c>
      <c r="B43" s="6">
        <v>0</v>
      </c>
      <c r="C43" s="4">
        <v>0</v>
      </c>
      <c r="D43" s="5">
        <f t="shared" si="0"/>
        <v>0</v>
      </c>
      <c r="E43" s="6">
        <v>24</v>
      </c>
      <c r="F43" s="4">
        <v>2</v>
      </c>
      <c r="G43" s="5">
        <f t="shared" si="1"/>
        <v>26</v>
      </c>
      <c r="H43" s="9">
        <f t="shared" si="2"/>
        <v>26</v>
      </c>
    </row>
    <row r="44" spans="1:8" x14ac:dyDescent="0.25">
      <c r="A44" s="14" t="s">
        <v>33</v>
      </c>
      <c r="B44" s="6">
        <v>0</v>
      </c>
      <c r="C44" s="4">
        <v>0</v>
      </c>
      <c r="D44" s="5">
        <f t="shared" si="0"/>
        <v>0</v>
      </c>
      <c r="E44" s="6">
        <v>0</v>
      </c>
      <c r="F44" s="4">
        <v>0</v>
      </c>
      <c r="G44" s="5">
        <f t="shared" si="1"/>
        <v>0</v>
      </c>
      <c r="H44" s="9">
        <f t="shared" si="2"/>
        <v>0</v>
      </c>
    </row>
    <row r="45" spans="1:8" x14ac:dyDescent="0.25">
      <c r="A45" s="14" t="s">
        <v>34</v>
      </c>
      <c r="B45" s="6">
        <v>0</v>
      </c>
      <c r="C45" s="4">
        <v>0</v>
      </c>
      <c r="D45" s="5">
        <f t="shared" si="0"/>
        <v>0</v>
      </c>
      <c r="E45" s="6">
        <v>6</v>
      </c>
      <c r="F45" s="4">
        <v>0</v>
      </c>
      <c r="G45" s="5">
        <f t="shared" si="1"/>
        <v>6</v>
      </c>
      <c r="H45" s="9">
        <f t="shared" si="2"/>
        <v>6</v>
      </c>
    </row>
    <row r="46" spans="1:8" x14ac:dyDescent="0.25">
      <c r="A46" s="14" t="s">
        <v>35</v>
      </c>
      <c r="B46" s="6">
        <v>0</v>
      </c>
      <c r="C46" s="4">
        <v>0</v>
      </c>
      <c r="D46" s="5">
        <f t="shared" si="0"/>
        <v>0</v>
      </c>
      <c r="E46" s="6">
        <v>7</v>
      </c>
      <c r="F46" s="4">
        <v>0</v>
      </c>
      <c r="G46" s="5">
        <f t="shared" si="1"/>
        <v>7</v>
      </c>
      <c r="H46" s="9">
        <f t="shared" si="2"/>
        <v>7</v>
      </c>
    </row>
    <row r="47" spans="1:8" x14ac:dyDescent="0.25">
      <c r="A47" s="14" t="s">
        <v>36</v>
      </c>
      <c r="B47" s="6">
        <v>3</v>
      </c>
      <c r="C47" s="4">
        <v>0</v>
      </c>
      <c r="D47" s="5">
        <f t="shared" si="0"/>
        <v>3</v>
      </c>
      <c r="E47" s="6">
        <v>7</v>
      </c>
      <c r="F47" s="4">
        <v>0</v>
      </c>
      <c r="G47" s="5">
        <f t="shared" si="1"/>
        <v>7</v>
      </c>
      <c r="H47" s="9">
        <f t="shared" si="2"/>
        <v>10</v>
      </c>
    </row>
    <row r="48" spans="1:8" x14ac:dyDescent="0.25">
      <c r="A48" s="14" t="s">
        <v>38</v>
      </c>
      <c r="B48" s="6">
        <v>45</v>
      </c>
      <c r="C48" s="4">
        <v>0</v>
      </c>
      <c r="D48" s="5">
        <f t="shared" si="0"/>
        <v>45</v>
      </c>
      <c r="E48" s="6">
        <v>3</v>
      </c>
      <c r="F48" s="4">
        <v>0</v>
      </c>
      <c r="G48" s="5">
        <f t="shared" si="1"/>
        <v>3</v>
      </c>
      <c r="H48" s="9">
        <f t="shared" si="2"/>
        <v>48</v>
      </c>
    </row>
    <row r="49" spans="1:8" x14ac:dyDescent="0.25">
      <c r="A49" s="14" t="s">
        <v>39</v>
      </c>
      <c r="B49" s="6">
        <v>1</v>
      </c>
      <c r="C49" s="4">
        <v>0</v>
      </c>
      <c r="D49" s="5">
        <f t="shared" si="0"/>
        <v>1</v>
      </c>
      <c r="E49" s="6">
        <v>24</v>
      </c>
      <c r="F49" s="4">
        <v>0</v>
      </c>
      <c r="G49" s="5">
        <f t="shared" si="1"/>
        <v>24</v>
      </c>
      <c r="H49" s="9">
        <f t="shared" si="2"/>
        <v>25</v>
      </c>
    </row>
    <row r="50" spans="1:8" x14ac:dyDescent="0.25">
      <c r="A50" s="14" t="s">
        <v>40</v>
      </c>
      <c r="B50" s="6">
        <v>2</v>
      </c>
      <c r="C50" s="4">
        <v>1</v>
      </c>
      <c r="D50" s="5">
        <f t="shared" si="0"/>
        <v>3</v>
      </c>
      <c r="E50" s="6">
        <v>84</v>
      </c>
      <c r="F50" s="4">
        <v>8</v>
      </c>
      <c r="G50" s="5">
        <f t="shared" si="1"/>
        <v>92</v>
      </c>
      <c r="H50" s="9">
        <f t="shared" si="2"/>
        <v>95</v>
      </c>
    </row>
    <row r="51" spans="1:8" x14ac:dyDescent="0.25">
      <c r="A51" s="14" t="s">
        <v>103</v>
      </c>
      <c r="B51" s="6">
        <v>0</v>
      </c>
      <c r="C51" s="4">
        <v>0</v>
      </c>
      <c r="D51" s="5">
        <f t="shared" si="0"/>
        <v>0</v>
      </c>
      <c r="E51" s="6">
        <v>22</v>
      </c>
      <c r="F51" s="4">
        <v>2</v>
      </c>
      <c r="G51" s="5">
        <f t="shared" si="1"/>
        <v>24</v>
      </c>
      <c r="H51" s="9">
        <f t="shared" si="2"/>
        <v>24</v>
      </c>
    </row>
    <row r="52" spans="1:8" x14ac:dyDescent="0.25">
      <c r="A52" s="14" t="s">
        <v>41</v>
      </c>
      <c r="B52" s="6">
        <v>0</v>
      </c>
      <c r="C52" s="4">
        <v>0</v>
      </c>
      <c r="D52" s="5">
        <f t="shared" si="0"/>
        <v>0</v>
      </c>
      <c r="E52" s="6">
        <v>3</v>
      </c>
      <c r="F52" s="4">
        <v>0</v>
      </c>
      <c r="G52" s="5">
        <f t="shared" si="1"/>
        <v>3</v>
      </c>
      <c r="H52" s="9">
        <f t="shared" si="2"/>
        <v>3</v>
      </c>
    </row>
    <row r="53" spans="1:8" x14ac:dyDescent="0.25">
      <c r="A53" s="14" t="s">
        <v>42</v>
      </c>
      <c r="B53" s="6">
        <v>2</v>
      </c>
      <c r="C53" s="4">
        <v>0</v>
      </c>
      <c r="D53" s="5">
        <f t="shared" si="0"/>
        <v>2</v>
      </c>
      <c r="E53" s="6">
        <v>1</v>
      </c>
      <c r="F53" s="4">
        <v>0</v>
      </c>
      <c r="G53" s="5">
        <f t="shared" si="1"/>
        <v>1</v>
      </c>
      <c r="H53" s="9">
        <f t="shared" si="2"/>
        <v>3</v>
      </c>
    </row>
    <row r="54" spans="1:8" x14ac:dyDescent="0.25">
      <c r="A54" s="14" t="s">
        <v>43</v>
      </c>
      <c r="B54" s="6">
        <v>0</v>
      </c>
      <c r="C54" s="4">
        <v>0</v>
      </c>
      <c r="D54" s="5">
        <f t="shared" si="0"/>
        <v>0</v>
      </c>
      <c r="E54" s="6">
        <v>4</v>
      </c>
      <c r="F54" s="4">
        <v>0</v>
      </c>
      <c r="G54" s="5">
        <f t="shared" si="1"/>
        <v>4</v>
      </c>
      <c r="H54" s="9">
        <f t="shared" si="2"/>
        <v>4</v>
      </c>
    </row>
    <row r="55" spans="1:8" x14ac:dyDescent="0.25">
      <c r="A55" s="14" t="s">
        <v>44</v>
      </c>
      <c r="B55" s="6">
        <v>0</v>
      </c>
      <c r="C55" s="4">
        <v>0</v>
      </c>
      <c r="D55" s="5">
        <f t="shared" si="0"/>
        <v>0</v>
      </c>
      <c r="E55" s="6">
        <v>7</v>
      </c>
      <c r="F55" s="4">
        <v>0</v>
      </c>
      <c r="G55" s="5">
        <f t="shared" si="1"/>
        <v>7</v>
      </c>
      <c r="H55" s="9">
        <f t="shared" si="2"/>
        <v>7</v>
      </c>
    </row>
    <row r="56" spans="1:8" x14ac:dyDescent="0.25">
      <c r="A56" s="14" t="s">
        <v>45</v>
      </c>
      <c r="B56" s="6">
        <v>2</v>
      </c>
      <c r="C56" s="4">
        <v>1</v>
      </c>
      <c r="D56" s="5">
        <f t="shared" si="0"/>
        <v>3</v>
      </c>
      <c r="E56" s="6">
        <v>3</v>
      </c>
      <c r="F56" s="4">
        <v>1</v>
      </c>
      <c r="G56" s="5">
        <f t="shared" si="1"/>
        <v>4</v>
      </c>
      <c r="H56" s="9">
        <f t="shared" si="2"/>
        <v>7</v>
      </c>
    </row>
    <row r="57" spans="1:8" x14ac:dyDescent="0.25">
      <c r="A57" s="14" t="s">
        <v>47</v>
      </c>
      <c r="B57" s="6">
        <v>0</v>
      </c>
      <c r="C57" s="4">
        <v>0</v>
      </c>
      <c r="D57" s="5">
        <f t="shared" si="0"/>
        <v>0</v>
      </c>
      <c r="E57" s="6">
        <v>1</v>
      </c>
      <c r="F57" s="4">
        <v>0</v>
      </c>
      <c r="G57" s="5">
        <f t="shared" si="1"/>
        <v>1</v>
      </c>
      <c r="H57" s="9">
        <f t="shared" si="2"/>
        <v>1</v>
      </c>
    </row>
    <row r="58" spans="1:8" x14ac:dyDescent="0.25">
      <c r="A58" s="14" t="s">
        <v>48</v>
      </c>
      <c r="B58" s="6">
        <v>5</v>
      </c>
      <c r="C58" s="4">
        <v>0</v>
      </c>
      <c r="D58" s="5">
        <f t="shared" si="0"/>
        <v>5</v>
      </c>
      <c r="E58" s="6">
        <v>0</v>
      </c>
      <c r="F58" s="4">
        <v>0</v>
      </c>
      <c r="G58" s="5">
        <f t="shared" si="1"/>
        <v>0</v>
      </c>
      <c r="H58" s="9">
        <f t="shared" si="2"/>
        <v>5</v>
      </c>
    </row>
    <row r="59" spans="1:8" x14ac:dyDescent="0.25">
      <c r="A59" s="14" t="s">
        <v>49</v>
      </c>
      <c r="B59" s="6">
        <v>20</v>
      </c>
      <c r="C59" s="4">
        <v>0</v>
      </c>
      <c r="D59" s="5">
        <f t="shared" si="0"/>
        <v>20</v>
      </c>
      <c r="E59" s="6">
        <v>0</v>
      </c>
      <c r="F59" s="4">
        <v>1</v>
      </c>
      <c r="G59" s="5">
        <f t="shared" si="1"/>
        <v>1</v>
      </c>
      <c r="H59" s="9">
        <f t="shared" si="2"/>
        <v>21</v>
      </c>
    </row>
    <row r="60" spans="1:8" x14ac:dyDescent="0.25">
      <c r="A60" s="14" t="s">
        <v>104</v>
      </c>
      <c r="B60" s="6">
        <v>0</v>
      </c>
      <c r="C60" s="4">
        <v>0</v>
      </c>
      <c r="D60" s="5">
        <f t="shared" si="0"/>
        <v>0</v>
      </c>
      <c r="E60" s="6">
        <v>2</v>
      </c>
      <c r="F60" s="4">
        <v>0</v>
      </c>
      <c r="G60" s="5">
        <f t="shared" si="1"/>
        <v>2</v>
      </c>
      <c r="H60" s="9">
        <f t="shared" si="2"/>
        <v>2</v>
      </c>
    </row>
    <row r="61" spans="1:8" x14ac:dyDescent="0.25">
      <c r="A61" s="14" t="s">
        <v>92</v>
      </c>
      <c r="B61" s="6">
        <v>0</v>
      </c>
      <c r="C61" s="4">
        <v>0</v>
      </c>
      <c r="D61" s="5">
        <f t="shared" si="0"/>
        <v>0</v>
      </c>
      <c r="E61" s="6">
        <v>131</v>
      </c>
      <c r="F61" s="4">
        <v>6</v>
      </c>
      <c r="G61" s="5">
        <f t="shared" si="1"/>
        <v>137</v>
      </c>
      <c r="H61" s="9">
        <f t="shared" si="2"/>
        <v>137</v>
      </c>
    </row>
    <row r="62" spans="1:8" x14ac:dyDescent="0.25">
      <c r="A62" s="14" t="s">
        <v>96</v>
      </c>
      <c r="B62" s="6">
        <v>0</v>
      </c>
      <c r="C62" s="4">
        <v>0</v>
      </c>
      <c r="D62" s="5">
        <f t="shared" si="0"/>
        <v>0</v>
      </c>
      <c r="E62" s="6">
        <v>51</v>
      </c>
      <c r="F62" s="4">
        <v>2</v>
      </c>
      <c r="G62" s="5">
        <f t="shared" si="1"/>
        <v>53</v>
      </c>
      <c r="H62" s="9">
        <f t="shared" si="2"/>
        <v>53</v>
      </c>
    </row>
    <row r="63" spans="1:8" x14ac:dyDescent="0.25">
      <c r="A63" s="14" t="s">
        <v>112</v>
      </c>
      <c r="B63" s="6">
        <v>0</v>
      </c>
      <c r="C63" s="4">
        <v>0</v>
      </c>
      <c r="D63" s="5">
        <f t="shared" si="0"/>
        <v>0</v>
      </c>
      <c r="E63" s="6">
        <v>9</v>
      </c>
      <c r="F63" s="4">
        <v>0</v>
      </c>
      <c r="G63" s="5">
        <f t="shared" si="1"/>
        <v>9</v>
      </c>
      <c r="H63" s="9">
        <f t="shared" si="2"/>
        <v>9</v>
      </c>
    </row>
    <row r="64" spans="1:8" x14ac:dyDescent="0.25">
      <c r="A64" s="14" t="s">
        <v>107</v>
      </c>
      <c r="B64" s="6">
        <v>0</v>
      </c>
      <c r="C64" s="4">
        <v>0</v>
      </c>
      <c r="D64" s="5">
        <f t="shared" si="0"/>
        <v>0</v>
      </c>
      <c r="E64" s="6">
        <v>180</v>
      </c>
      <c r="F64" s="4">
        <v>4</v>
      </c>
      <c r="G64" s="5">
        <f t="shared" si="1"/>
        <v>184</v>
      </c>
      <c r="H64" s="9">
        <f t="shared" si="2"/>
        <v>184</v>
      </c>
    </row>
    <row r="65" spans="1:8" x14ac:dyDescent="0.25">
      <c r="A65" s="14" t="s">
        <v>89</v>
      </c>
      <c r="B65" s="6">
        <v>0</v>
      </c>
      <c r="C65" s="4">
        <v>0</v>
      </c>
      <c r="D65" s="5">
        <f t="shared" si="0"/>
        <v>0</v>
      </c>
      <c r="E65" s="6">
        <v>6</v>
      </c>
      <c r="F65" s="4">
        <v>0</v>
      </c>
      <c r="G65" s="5">
        <f t="shared" si="1"/>
        <v>6</v>
      </c>
      <c r="H65" s="9">
        <f t="shared" si="2"/>
        <v>6</v>
      </c>
    </row>
    <row r="66" spans="1:8" x14ac:dyDescent="0.25">
      <c r="A66" s="14" t="s">
        <v>52</v>
      </c>
      <c r="B66" s="6">
        <v>0</v>
      </c>
      <c r="C66" s="4">
        <v>0</v>
      </c>
      <c r="D66" s="5">
        <f t="shared" si="0"/>
        <v>0</v>
      </c>
      <c r="E66" s="6">
        <v>18</v>
      </c>
      <c r="F66" s="4">
        <v>1</v>
      </c>
      <c r="G66" s="5">
        <f t="shared" si="1"/>
        <v>19</v>
      </c>
      <c r="H66" s="9">
        <f t="shared" si="2"/>
        <v>19</v>
      </c>
    </row>
    <row r="67" spans="1:8" x14ac:dyDescent="0.25">
      <c r="A67" s="14" t="s">
        <v>53</v>
      </c>
      <c r="B67" s="6">
        <v>0</v>
      </c>
      <c r="C67" s="4">
        <v>0</v>
      </c>
      <c r="D67" s="5">
        <f t="shared" si="0"/>
        <v>0</v>
      </c>
      <c r="E67" s="6">
        <v>1</v>
      </c>
      <c r="F67" s="4">
        <v>1</v>
      </c>
      <c r="G67" s="5">
        <f t="shared" si="1"/>
        <v>2</v>
      </c>
      <c r="H67" s="9">
        <f t="shared" si="2"/>
        <v>2</v>
      </c>
    </row>
    <row r="68" spans="1:8" x14ac:dyDescent="0.25">
      <c r="A68" s="14" t="s">
        <v>113</v>
      </c>
      <c r="B68" s="6">
        <v>1</v>
      </c>
      <c r="C68" s="4">
        <v>0</v>
      </c>
      <c r="D68" s="5">
        <f t="shared" si="0"/>
        <v>1</v>
      </c>
      <c r="E68" s="6">
        <v>11</v>
      </c>
      <c r="F68" s="4">
        <v>2</v>
      </c>
      <c r="G68" s="5">
        <f t="shared" si="1"/>
        <v>13</v>
      </c>
      <c r="H68" s="9">
        <f t="shared" si="2"/>
        <v>14</v>
      </c>
    </row>
    <row r="69" spans="1:8" x14ac:dyDescent="0.25">
      <c r="A69" s="14" t="s">
        <v>55</v>
      </c>
      <c r="B69" s="6">
        <v>0</v>
      </c>
      <c r="C69" s="4">
        <v>0</v>
      </c>
      <c r="D69" s="5">
        <f t="shared" si="0"/>
        <v>0</v>
      </c>
      <c r="E69" s="6">
        <v>19</v>
      </c>
      <c r="F69" s="4">
        <v>0</v>
      </c>
      <c r="G69" s="5">
        <f t="shared" si="1"/>
        <v>19</v>
      </c>
      <c r="H69" s="9">
        <f t="shared" si="2"/>
        <v>19</v>
      </c>
    </row>
    <row r="70" spans="1:8" x14ac:dyDescent="0.25">
      <c r="A70" s="14" t="s">
        <v>114</v>
      </c>
      <c r="B70" s="6">
        <v>0</v>
      </c>
      <c r="C70" s="4">
        <v>0</v>
      </c>
      <c r="D70" s="5">
        <f t="shared" si="0"/>
        <v>0</v>
      </c>
      <c r="E70" s="6">
        <v>12</v>
      </c>
      <c r="F70" s="4">
        <v>3</v>
      </c>
      <c r="G70" s="5">
        <f t="shared" si="1"/>
        <v>15</v>
      </c>
      <c r="H70" s="9">
        <f t="shared" si="2"/>
        <v>15</v>
      </c>
    </row>
    <row r="71" spans="1:8" x14ac:dyDescent="0.25">
      <c r="A71" s="14" t="s">
        <v>56</v>
      </c>
      <c r="B71" s="6">
        <v>0</v>
      </c>
      <c r="C71" s="4">
        <v>0</v>
      </c>
      <c r="D71" s="5">
        <f t="shared" si="0"/>
        <v>0</v>
      </c>
      <c r="E71" s="6">
        <v>47</v>
      </c>
      <c r="F71" s="4">
        <v>7</v>
      </c>
      <c r="G71" s="5">
        <f t="shared" si="1"/>
        <v>54</v>
      </c>
      <c r="H71" s="9">
        <f t="shared" si="2"/>
        <v>54</v>
      </c>
    </row>
    <row r="72" spans="1:8" x14ac:dyDescent="0.25">
      <c r="A72" s="14" t="s">
        <v>91</v>
      </c>
      <c r="B72" s="6">
        <v>0</v>
      </c>
      <c r="C72" s="4">
        <v>0</v>
      </c>
      <c r="D72" s="5">
        <f t="shared" si="0"/>
        <v>0</v>
      </c>
      <c r="E72" s="6">
        <v>0</v>
      </c>
      <c r="F72" s="4">
        <v>0</v>
      </c>
      <c r="G72" s="5">
        <f t="shared" si="1"/>
        <v>0</v>
      </c>
      <c r="H72" s="9">
        <f t="shared" si="2"/>
        <v>0</v>
      </c>
    </row>
    <row r="73" spans="1:8" x14ac:dyDescent="0.25">
      <c r="A73" s="14" t="s">
        <v>115</v>
      </c>
      <c r="B73" s="6">
        <v>0</v>
      </c>
      <c r="C73" s="4">
        <v>0</v>
      </c>
      <c r="D73" s="5">
        <f t="shared" si="0"/>
        <v>0</v>
      </c>
      <c r="E73" s="6">
        <v>1</v>
      </c>
      <c r="F73" s="4">
        <v>0</v>
      </c>
      <c r="G73" s="5">
        <f t="shared" si="1"/>
        <v>1</v>
      </c>
      <c r="H73" s="9">
        <f t="shared" si="2"/>
        <v>1</v>
      </c>
    </row>
    <row r="74" spans="1:8" x14ac:dyDescent="0.25">
      <c r="A74" s="14" t="s">
        <v>99</v>
      </c>
      <c r="B74" s="6">
        <v>0</v>
      </c>
      <c r="C74" s="4">
        <v>0</v>
      </c>
      <c r="D74" s="5">
        <f t="shared" si="0"/>
        <v>0</v>
      </c>
      <c r="E74" s="6">
        <v>49</v>
      </c>
      <c r="F74" s="4">
        <v>5</v>
      </c>
      <c r="G74" s="5">
        <f t="shared" si="1"/>
        <v>54</v>
      </c>
      <c r="H74" s="9">
        <f t="shared" si="2"/>
        <v>54</v>
      </c>
    </row>
    <row r="75" spans="1:8" x14ac:dyDescent="0.25">
      <c r="A75" s="14" t="s">
        <v>59</v>
      </c>
      <c r="B75" s="6">
        <v>0</v>
      </c>
      <c r="C75" s="4">
        <v>0</v>
      </c>
      <c r="D75" s="5">
        <f t="shared" si="0"/>
        <v>0</v>
      </c>
      <c r="E75" s="6">
        <v>0</v>
      </c>
      <c r="F75" s="4">
        <v>0</v>
      </c>
      <c r="G75" s="5">
        <f t="shared" si="1"/>
        <v>0</v>
      </c>
      <c r="H75" s="9">
        <f t="shared" si="2"/>
        <v>0</v>
      </c>
    </row>
    <row r="76" spans="1:8" x14ac:dyDescent="0.25">
      <c r="A76" s="14" t="s">
        <v>60</v>
      </c>
      <c r="B76" s="6">
        <v>0</v>
      </c>
      <c r="C76" s="4">
        <v>0</v>
      </c>
      <c r="D76" s="5">
        <f t="shared" si="0"/>
        <v>0</v>
      </c>
      <c r="E76" s="6">
        <v>13</v>
      </c>
      <c r="F76" s="4">
        <v>2</v>
      </c>
      <c r="G76" s="5">
        <f t="shared" si="1"/>
        <v>15</v>
      </c>
      <c r="H76" s="9">
        <f t="shared" si="2"/>
        <v>15</v>
      </c>
    </row>
    <row r="77" spans="1:8" x14ac:dyDescent="0.25">
      <c r="A77" s="14" t="s">
        <v>61</v>
      </c>
      <c r="B77" s="6">
        <v>0</v>
      </c>
      <c r="C77" s="4">
        <v>0</v>
      </c>
      <c r="D77" s="5">
        <f t="shared" si="0"/>
        <v>0</v>
      </c>
      <c r="E77" s="6">
        <v>6</v>
      </c>
      <c r="F77" s="4">
        <v>0</v>
      </c>
      <c r="G77" s="5">
        <f t="shared" si="1"/>
        <v>6</v>
      </c>
      <c r="H77" s="9">
        <f t="shared" si="2"/>
        <v>6</v>
      </c>
    </row>
    <row r="78" spans="1:8" x14ac:dyDescent="0.25">
      <c r="A78" s="14" t="s">
        <v>70</v>
      </c>
      <c r="B78" s="6">
        <v>0</v>
      </c>
      <c r="C78" s="4">
        <v>0</v>
      </c>
      <c r="D78" s="5">
        <f t="shared" si="0"/>
        <v>0</v>
      </c>
      <c r="E78" s="6">
        <v>28</v>
      </c>
      <c r="F78" s="4">
        <v>4</v>
      </c>
      <c r="G78" s="5">
        <f t="shared" si="1"/>
        <v>32</v>
      </c>
      <c r="H78" s="9">
        <f t="shared" si="2"/>
        <v>32</v>
      </c>
    </row>
    <row r="79" spans="1:8" x14ac:dyDescent="0.25">
      <c r="A79" s="14" t="s">
        <v>62</v>
      </c>
      <c r="B79" s="6">
        <v>0</v>
      </c>
      <c r="C79" s="4">
        <v>0</v>
      </c>
      <c r="D79" s="5">
        <f t="shared" si="0"/>
        <v>0</v>
      </c>
      <c r="E79" s="6">
        <v>1</v>
      </c>
      <c r="F79" s="4">
        <v>0</v>
      </c>
      <c r="G79" s="5">
        <f t="shared" si="1"/>
        <v>1</v>
      </c>
      <c r="H79" s="9">
        <f t="shared" si="2"/>
        <v>1</v>
      </c>
    </row>
    <row r="80" spans="1:8" x14ac:dyDescent="0.25">
      <c r="A80" s="14" t="s">
        <v>116</v>
      </c>
      <c r="B80" s="6">
        <v>0</v>
      </c>
      <c r="C80" s="4">
        <v>0</v>
      </c>
      <c r="D80" s="5">
        <f t="shared" si="0"/>
        <v>0</v>
      </c>
      <c r="E80" s="6">
        <v>3</v>
      </c>
      <c r="F80" s="4">
        <v>0</v>
      </c>
      <c r="G80" s="5">
        <f t="shared" si="1"/>
        <v>3</v>
      </c>
      <c r="H80" s="9">
        <f t="shared" si="2"/>
        <v>3</v>
      </c>
    </row>
    <row r="81" spans="1:8" x14ac:dyDescent="0.25">
      <c r="A81" s="14" t="s">
        <v>97</v>
      </c>
      <c r="B81" s="6">
        <v>7</v>
      </c>
      <c r="C81" s="4">
        <v>0</v>
      </c>
      <c r="D81" s="5">
        <f t="shared" si="0"/>
        <v>7</v>
      </c>
      <c r="E81" s="6">
        <v>0</v>
      </c>
      <c r="F81" s="4">
        <v>0</v>
      </c>
      <c r="G81" s="5">
        <f t="shared" si="1"/>
        <v>0</v>
      </c>
      <c r="H81" s="9">
        <f t="shared" si="2"/>
        <v>7</v>
      </c>
    </row>
    <row r="82" spans="1:8" x14ac:dyDescent="0.25">
      <c r="A82" s="14" t="s">
        <v>117</v>
      </c>
      <c r="B82" s="6">
        <v>1</v>
      </c>
      <c r="C82" s="4">
        <v>0</v>
      </c>
      <c r="D82" s="5">
        <f t="shared" si="0"/>
        <v>1</v>
      </c>
      <c r="E82" s="6">
        <v>21</v>
      </c>
      <c r="F82" s="4">
        <v>1</v>
      </c>
      <c r="G82" s="5">
        <f t="shared" si="1"/>
        <v>22</v>
      </c>
      <c r="H82" s="9">
        <f t="shared" si="2"/>
        <v>23</v>
      </c>
    </row>
    <row r="83" spans="1:8" x14ac:dyDescent="0.25">
      <c r="A83" s="14" t="s">
        <v>118</v>
      </c>
      <c r="B83" s="6">
        <v>0</v>
      </c>
      <c r="C83" s="4">
        <v>0</v>
      </c>
      <c r="D83" s="5">
        <f t="shared" si="0"/>
        <v>0</v>
      </c>
      <c r="E83" s="6">
        <v>69</v>
      </c>
      <c r="F83" s="4">
        <v>2</v>
      </c>
      <c r="G83" s="5">
        <f t="shared" si="1"/>
        <v>71</v>
      </c>
      <c r="H83" s="9">
        <f t="shared" si="2"/>
        <v>71</v>
      </c>
    </row>
    <row r="84" spans="1:8" x14ac:dyDescent="0.25">
      <c r="A84" s="14" t="s">
        <v>66</v>
      </c>
      <c r="B84" s="6">
        <v>0</v>
      </c>
      <c r="C84" s="4">
        <v>0</v>
      </c>
      <c r="D84" s="5">
        <f t="shared" ref="D84:D88" si="6">SUM(B84:C84)</f>
        <v>0</v>
      </c>
      <c r="E84" s="6">
        <v>15</v>
      </c>
      <c r="F84" s="4">
        <v>0</v>
      </c>
      <c r="G84" s="5">
        <f t="shared" ref="G84:G88" si="7">SUM(E84:F84)</f>
        <v>15</v>
      </c>
      <c r="H84" s="9">
        <f t="shared" ref="H84:H88" si="8">D84+G84</f>
        <v>15</v>
      </c>
    </row>
    <row r="85" spans="1:8" x14ac:dyDescent="0.25">
      <c r="A85" s="14" t="s">
        <v>67</v>
      </c>
      <c r="B85" s="6">
        <v>0</v>
      </c>
      <c r="C85" s="4">
        <v>0</v>
      </c>
      <c r="D85" s="5">
        <f t="shared" si="6"/>
        <v>0</v>
      </c>
      <c r="E85" s="6">
        <v>29</v>
      </c>
      <c r="F85" s="4">
        <v>4</v>
      </c>
      <c r="G85" s="5">
        <f t="shared" si="7"/>
        <v>33</v>
      </c>
      <c r="H85" s="9">
        <f t="shared" si="8"/>
        <v>33</v>
      </c>
    </row>
    <row r="86" spans="1:8" x14ac:dyDescent="0.25">
      <c r="A86" s="14" t="s">
        <v>68</v>
      </c>
      <c r="B86" s="6">
        <v>0</v>
      </c>
      <c r="C86" s="4">
        <v>0</v>
      </c>
      <c r="D86" s="5">
        <f t="shared" si="6"/>
        <v>0</v>
      </c>
      <c r="E86" s="6">
        <v>23</v>
      </c>
      <c r="F86" s="4">
        <v>15</v>
      </c>
      <c r="G86" s="5">
        <f t="shared" si="7"/>
        <v>38</v>
      </c>
      <c r="H86" s="9">
        <f t="shared" si="8"/>
        <v>38</v>
      </c>
    </row>
    <row r="87" spans="1:8" x14ac:dyDescent="0.25">
      <c r="A87" s="14" t="s">
        <v>69</v>
      </c>
      <c r="B87" s="6">
        <v>0</v>
      </c>
      <c r="C87" s="4">
        <v>0</v>
      </c>
      <c r="D87" s="5">
        <f t="shared" si="6"/>
        <v>0</v>
      </c>
      <c r="E87" s="6">
        <v>7</v>
      </c>
      <c r="F87" s="4">
        <v>0</v>
      </c>
      <c r="G87" s="5">
        <f t="shared" si="7"/>
        <v>7</v>
      </c>
      <c r="H87" s="9">
        <f t="shared" si="8"/>
        <v>7</v>
      </c>
    </row>
    <row r="88" spans="1:8" ht="15.75" thickBot="1" x14ac:dyDescent="0.3">
      <c r="A88" s="15" t="s">
        <v>119</v>
      </c>
      <c r="B88" s="11">
        <v>4</v>
      </c>
      <c r="C88" s="12">
        <v>0</v>
      </c>
      <c r="D88" s="23">
        <f t="shared" si="6"/>
        <v>4</v>
      </c>
      <c r="E88" s="11">
        <v>34</v>
      </c>
      <c r="F88" s="12">
        <v>3</v>
      </c>
      <c r="G88" s="23">
        <f t="shared" si="7"/>
        <v>37</v>
      </c>
      <c r="H88" s="16">
        <f t="shared" si="8"/>
        <v>41</v>
      </c>
    </row>
    <row r="89" spans="1:8" ht="16.5" thickTop="1" thickBot="1" x14ac:dyDescent="0.3">
      <c r="A89" s="8" t="s">
        <v>0</v>
      </c>
      <c r="B89" s="7">
        <f t="shared" ref="B89:H89" si="9">SUM(B7:B88)</f>
        <v>184</v>
      </c>
      <c r="C89" s="7">
        <f t="shared" si="9"/>
        <v>19</v>
      </c>
      <c r="D89" s="7">
        <f t="shared" si="9"/>
        <v>203</v>
      </c>
      <c r="E89" s="7">
        <f t="shared" si="9"/>
        <v>1780</v>
      </c>
      <c r="F89" s="7">
        <f t="shared" si="9"/>
        <v>113</v>
      </c>
      <c r="G89" s="7">
        <f t="shared" si="9"/>
        <v>1893</v>
      </c>
      <c r="H89" s="7">
        <f t="shared" si="9"/>
        <v>2096</v>
      </c>
    </row>
    <row r="90" spans="1:8" ht="15.75" thickBot="1" x14ac:dyDescent="0.3"/>
    <row r="91" spans="1:8" x14ac:dyDescent="0.25">
      <c r="A91" s="26" t="s">
        <v>74</v>
      </c>
      <c r="B91" s="28" t="s">
        <v>3</v>
      </c>
      <c r="C91" s="29"/>
      <c r="D91" s="29"/>
      <c r="E91" s="28" t="s">
        <v>4</v>
      </c>
      <c r="F91" s="29"/>
      <c r="G91" s="29"/>
      <c r="H91" s="26" t="s">
        <v>0</v>
      </c>
    </row>
    <row r="92" spans="1:8" x14ac:dyDescent="0.25">
      <c r="A92" s="27"/>
      <c r="B92" s="20" t="s">
        <v>82</v>
      </c>
      <c r="C92" s="21" t="s">
        <v>83</v>
      </c>
      <c r="D92" s="22" t="s">
        <v>0</v>
      </c>
      <c r="E92" s="20" t="s">
        <v>82</v>
      </c>
      <c r="F92" s="21" t="s">
        <v>83</v>
      </c>
      <c r="G92" s="22" t="s">
        <v>0</v>
      </c>
      <c r="H92" s="27"/>
    </row>
    <row r="93" spans="1:8" x14ac:dyDescent="0.25">
      <c r="A93" s="14" t="s">
        <v>75</v>
      </c>
      <c r="B93" s="6">
        <v>35</v>
      </c>
      <c r="C93" s="4">
        <v>3</v>
      </c>
      <c r="D93" s="5">
        <f t="shared" ref="D93:D101" si="10">SUM(B93:C93)</f>
        <v>38</v>
      </c>
      <c r="E93" s="6">
        <v>160</v>
      </c>
      <c r="F93" s="4">
        <v>3</v>
      </c>
      <c r="G93" s="5">
        <f t="shared" ref="G93:G101" si="11">SUM(E93:F93)</f>
        <v>163</v>
      </c>
      <c r="H93" s="9">
        <f t="shared" ref="H93:H101" si="12">D93+G93</f>
        <v>201</v>
      </c>
    </row>
    <row r="94" spans="1:8" x14ac:dyDescent="0.25">
      <c r="A94" s="14" t="s">
        <v>76</v>
      </c>
      <c r="B94" s="6">
        <v>3</v>
      </c>
      <c r="C94" s="4">
        <v>0</v>
      </c>
      <c r="D94" s="5">
        <f t="shared" si="10"/>
        <v>3</v>
      </c>
      <c r="E94" s="6">
        <v>124</v>
      </c>
      <c r="F94" s="4">
        <v>7</v>
      </c>
      <c r="G94" s="5">
        <f t="shared" si="11"/>
        <v>131</v>
      </c>
      <c r="H94" s="9">
        <f t="shared" si="12"/>
        <v>134</v>
      </c>
    </row>
    <row r="95" spans="1:8" x14ac:dyDescent="0.25">
      <c r="A95" s="14" t="s">
        <v>77</v>
      </c>
      <c r="B95" s="6">
        <v>28</v>
      </c>
      <c r="C95" s="4">
        <v>0</v>
      </c>
      <c r="D95" s="5">
        <f t="shared" si="10"/>
        <v>28</v>
      </c>
      <c r="E95" s="6">
        <v>589</v>
      </c>
      <c r="F95" s="4">
        <v>56</v>
      </c>
      <c r="G95" s="5">
        <f t="shared" si="11"/>
        <v>645</v>
      </c>
      <c r="H95" s="9">
        <f t="shared" si="12"/>
        <v>673</v>
      </c>
    </row>
    <row r="96" spans="1:8" x14ac:dyDescent="0.25">
      <c r="A96" s="14" t="s">
        <v>107</v>
      </c>
      <c r="B96" s="6">
        <v>0</v>
      </c>
      <c r="C96" s="4">
        <v>0</v>
      </c>
      <c r="D96" s="5">
        <f t="shared" si="10"/>
        <v>0</v>
      </c>
      <c r="E96" s="6">
        <v>180</v>
      </c>
      <c r="F96" s="4">
        <v>4</v>
      </c>
      <c r="G96" s="5">
        <f t="shared" si="11"/>
        <v>184</v>
      </c>
      <c r="H96" s="9">
        <f t="shared" si="12"/>
        <v>184</v>
      </c>
    </row>
    <row r="97" spans="1:8" x14ac:dyDescent="0.25">
      <c r="A97" s="14" t="s">
        <v>78</v>
      </c>
      <c r="B97" s="6">
        <v>9</v>
      </c>
      <c r="C97" s="4">
        <v>7</v>
      </c>
      <c r="D97" s="5">
        <f t="shared" ref="D97" si="13">SUM(B97:C97)</f>
        <v>16</v>
      </c>
      <c r="E97" s="6">
        <v>290</v>
      </c>
      <c r="F97" s="4">
        <v>16</v>
      </c>
      <c r="G97" s="5">
        <f t="shared" ref="G97" si="14">SUM(E97:F97)</f>
        <v>306</v>
      </c>
      <c r="H97" s="9">
        <f t="shared" ref="H97" si="15">D97+G97</f>
        <v>322</v>
      </c>
    </row>
    <row r="98" spans="1:8" x14ac:dyDescent="0.25">
      <c r="A98" s="14" t="s">
        <v>1</v>
      </c>
      <c r="B98" s="6">
        <v>0</v>
      </c>
      <c r="C98" s="4">
        <v>0</v>
      </c>
      <c r="D98" s="5">
        <f t="shared" si="10"/>
        <v>0</v>
      </c>
      <c r="E98" s="6">
        <v>40</v>
      </c>
      <c r="F98" s="4">
        <v>1</v>
      </c>
      <c r="G98" s="5">
        <f t="shared" si="11"/>
        <v>41</v>
      </c>
      <c r="H98" s="9">
        <f t="shared" si="12"/>
        <v>41</v>
      </c>
    </row>
    <row r="99" spans="1:8" x14ac:dyDescent="0.25">
      <c r="A99" s="14" t="s">
        <v>79</v>
      </c>
      <c r="B99" s="6">
        <v>17</v>
      </c>
      <c r="C99" s="4">
        <v>1</v>
      </c>
      <c r="D99" s="5">
        <f t="shared" si="10"/>
        <v>18</v>
      </c>
      <c r="E99" s="6">
        <v>154</v>
      </c>
      <c r="F99" s="4">
        <v>13</v>
      </c>
      <c r="G99" s="5">
        <f t="shared" si="11"/>
        <v>167</v>
      </c>
      <c r="H99" s="9">
        <f t="shared" si="12"/>
        <v>185</v>
      </c>
    </row>
    <row r="100" spans="1:8" x14ac:dyDescent="0.25">
      <c r="A100" s="14" t="s">
        <v>80</v>
      </c>
      <c r="B100" s="6">
        <v>63</v>
      </c>
      <c r="C100" s="4">
        <v>4</v>
      </c>
      <c r="D100" s="5">
        <f t="shared" si="10"/>
        <v>67</v>
      </c>
      <c r="E100" s="6">
        <v>65</v>
      </c>
      <c r="F100" s="4">
        <v>4</v>
      </c>
      <c r="G100" s="5">
        <f t="shared" si="11"/>
        <v>69</v>
      </c>
      <c r="H100" s="9">
        <f t="shared" si="12"/>
        <v>136</v>
      </c>
    </row>
    <row r="101" spans="1:8" ht="15.75" thickBot="1" x14ac:dyDescent="0.3">
      <c r="A101" s="15" t="s">
        <v>81</v>
      </c>
      <c r="B101" s="11">
        <v>29</v>
      </c>
      <c r="C101" s="12">
        <v>4</v>
      </c>
      <c r="D101" s="12">
        <f t="shared" si="10"/>
        <v>33</v>
      </c>
      <c r="E101" s="11">
        <v>178</v>
      </c>
      <c r="F101" s="12">
        <v>9</v>
      </c>
      <c r="G101" s="13">
        <f t="shared" si="11"/>
        <v>187</v>
      </c>
      <c r="H101" s="16">
        <f t="shared" si="12"/>
        <v>220</v>
      </c>
    </row>
    <row r="102" spans="1:8" ht="16.5" thickTop="1" thickBot="1" x14ac:dyDescent="0.3">
      <c r="A102" s="8" t="s">
        <v>0</v>
      </c>
      <c r="B102" s="7">
        <f>SUM(B93:B101)</f>
        <v>184</v>
      </c>
      <c r="C102" s="7">
        <f>SUM(C93:C101)</f>
        <v>19</v>
      </c>
      <c r="D102" s="7">
        <f t="shared" ref="D102:H102" si="16">SUM(D93:D101)</f>
        <v>203</v>
      </c>
      <c r="E102" s="7">
        <f t="shared" si="16"/>
        <v>1780</v>
      </c>
      <c r="F102" s="7">
        <f t="shared" si="16"/>
        <v>113</v>
      </c>
      <c r="G102" s="7">
        <f t="shared" si="16"/>
        <v>1893</v>
      </c>
      <c r="H102" s="7">
        <f t="shared" si="16"/>
        <v>2096</v>
      </c>
    </row>
    <row r="104" spans="1:8" x14ac:dyDescent="0.25">
      <c r="A104" s="33" t="s">
        <v>86</v>
      </c>
      <c r="B104" s="33"/>
      <c r="C104" s="33"/>
      <c r="D104" s="33"/>
      <c r="E104" s="33"/>
      <c r="F104" s="33"/>
      <c r="G104" s="33"/>
      <c r="H104" s="33"/>
    </row>
    <row r="105" spans="1:8" x14ac:dyDescent="0.25">
      <c r="A105" s="33"/>
      <c r="B105" s="33"/>
      <c r="C105" s="33"/>
      <c r="D105" s="33"/>
      <c r="E105" s="33"/>
      <c r="F105" s="33"/>
      <c r="G105" s="33"/>
      <c r="H105" s="33"/>
    </row>
    <row r="106" spans="1:8" x14ac:dyDescent="0.25">
      <c r="A106" s="33"/>
      <c r="B106" s="33"/>
      <c r="C106" s="33"/>
      <c r="D106" s="33"/>
      <c r="E106" s="33"/>
      <c r="F106" s="33"/>
      <c r="G106" s="33"/>
      <c r="H106" s="33"/>
    </row>
    <row r="108" spans="1:8" x14ac:dyDescent="0.25">
      <c r="A108" s="34"/>
      <c r="B108" s="34"/>
      <c r="C108" s="34"/>
      <c r="D108" s="34"/>
      <c r="E108" s="34"/>
      <c r="F108" s="34"/>
      <c r="G108" s="34"/>
      <c r="H108" s="34"/>
    </row>
  </sheetData>
  <mergeCells count="11">
    <mergeCell ref="A2:H2"/>
    <mergeCell ref="A5:A6"/>
    <mergeCell ref="B5:D5"/>
    <mergeCell ref="E5:G5"/>
    <mergeCell ref="H5:H6"/>
    <mergeCell ref="A104:H106"/>
    <mergeCell ref="A108:H108"/>
    <mergeCell ref="A91:A92"/>
    <mergeCell ref="B91:D91"/>
    <mergeCell ref="E91:G91"/>
    <mergeCell ref="H91:H92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8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view="pageLayout" topLeftCell="A94" zoomScale="70" zoomScaleNormal="100" zoomScalePageLayoutView="70" workbookViewId="0">
      <selection activeCell="A115" sqref="A115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1999-00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2</v>
      </c>
      <c r="C7" s="4">
        <v>0</v>
      </c>
      <c r="D7" s="5">
        <f>SUM(B7:C7)</f>
        <v>2</v>
      </c>
      <c r="E7" s="6">
        <v>14</v>
      </c>
      <c r="F7" s="4">
        <v>4</v>
      </c>
      <c r="G7" s="5">
        <f>SUM(E7:F7)</f>
        <v>18</v>
      </c>
      <c r="H7" s="9">
        <f>D7+G7</f>
        <v>20</v>
      </c>
    </row>
    <row r="8" spans="1:8" x14ac:dyDescent="0.25">
      <c r="A8" s="14" t="s">
        <v>6</v>
      </c>
      <c r="B8" s="6">
        <v>0</v>
      </c>
      <c r="C8" s="4">
        <v>0</v>
      </c>
      <c r="D8" s="5">
        <f t="shared" ref="D8:D88" si="0">SUM(B8:C8)</f>
        <v>0</v>
      </c>
      <c r="E8" s="6">
        <v>24</v>
      </c>
      <c r="F8" s="4">
        <v>2</v>
      </c>
      <c r="G8" s="5">
        <f t="shared" ref="G8:G88" si="1">SUM(E8:F8)</f>
        <v>26</v>
      </c>
      <c r="H8" s="9">
        <f t="shared" ref="H8:H88" si="2">D8+G8</f>
        <v>26</v>
      </c>
    </row>
    <row r="9" spans="1:8" x14ac:dyDescent="0.25">
      <c r="A9" s="14" t="s">
        <v>7</v>
      </c>
      <c r="B9" s="6">
        <v>8</v>
      </c>
      <c r="C9" s="4">
        <v>0</v>
      </c>
      <c r="D9" s="5">
        <f t="shared" si="0"/>
        <v>8</v>
      </c>
      <c r="E9" s="6">
        <v>44</v>
      </c>
      <c r="F9" s="4">
        <v>3</v>
      </c>
      <c r="G9" s="5">
        <f t="shared" si="1"/>
        <v>47</v>
      </c>
      <c r="H9" s="9">
        <f t="shared" si="2"/>
        <v>55</v>
      </c>
    </row>
    <row r="10" spans="1:8" x14ac:dyDescent="0.25">
      <c r="A10" s="14" t="s">
        <v>87</v>
      </c>
      <c r="B10" s="6">
        <v>3</v>
      </c>
      <c r="C10" s="4">
        <v>0</v>
      </c>
      <c r="D10" s="5">
        <f t="shared" si="0"/>
        <v>3</v>
      </c>
      <c r="E10" s="6">
        <v>98</v>
      </c>
      <c r="F10" s="4">
        <v>9</v>
      </c>
      <c r="G10" s="5">
        <f t="shared" si="1"/>
        <v>107</v>
      </c>
      <c r="H10" s="9">
        <f t="shared" si="2"/>
        <v>110</v>
      </c>
    </row>
    <row r="11" spans="1:8" x14ac:dyDescent="0.25">
      <c r="A11" s="14" t="s">
        <v>100</v>
      </c>
      <c r="B11" s="6">
        <v>0</v>
      </c>
      <c r="C11" s="4">
        <v>1</v>
      </c>
      <c r="D11" s="5">
        <f t="shared" si="0"/>
        <v>1</v>
      </c>
      <c r="E11" s="6">
        <v>8</v>
      </c>
      <c r="F11" s="4">
        <v>0</v>
      </c>
      <c r="G11" s="5">
        <f t="shared" si="1"/>
        <v>8</v>
      </c>
      <c r="H11" s="9">
        <f t="shared" si="2"/>
        <v>9</v>
      </c>
    </row>
    <row r="12" spans="1:8" x14ac:dyDescent="0.25">
      <c r="A12" s="14" t="s">
        <v>9</v>
      </c>
      <c r="B12" s="6">
        <v>1</v>
      </c>
      <c r="C12" s="4">
        <v>2</v>
      </c>
      <c r="D12" s="5">
        <f t="shared" si="0"/>
        <v>3</v>
      </c>
      <c r="E12" s="6">
        <v>3</v>
      </c>
      <c r="F12" s="4">
        <v>0</v>
      </c>
      <c r="G12" s="5">
        <f t="shared" si="1"/>
        <v>3</v>
      </c>
      <c r="H12" s="9">
        <f t="shared" si="2"/>
        <v>6</v>
      </c>
    </row>
    <row r="13" spans="1:8" x14ac:dyDescent="0.25">
      <c r="A13" s="14" t="s">
        <v>10</v>
      </c>
      <c r="B13" s="6">
        <v>1</v>
      </c>
      <c r="C13" s="4">
        <v>1</v>
      </c>
      <c r="D13" s="5">
        <f t="shared" si="0"/>
        <v>2</v>
      </c>
      <c r="E13" s="6">
        <v>7</v>
      </c>
      <c r="F13" s="4">
        <v>1</v>
      </c>
      <c r="G13" s="5">
        <f t="shared" si="1"/>
        <v>8</v>
      </c>
      <c r="H13" s="9">
        <f t="shared" si="2"/>
        <v>10</v>
      </c>
    </row>
    <row r="14" spans="1:8" x14ac:dyDescent="0.25">
      <c r="A14" s="14" t="s">
        <v>88</v>
      </c>
      <c r="B14" s="6">
        <v>0</v>
      </c>
      <c r="C14" s="4">
        <v>0</v>
      </c>
      <c r="D14" s="5">
        <f t="shared" si="0"/>
        <v>0</v>
      </c>
      <c r="E14" s="6">
        <v>0</v>
      </c>
      <c r="F14" s="4">
        <v>0</v>
      </c>
      <c r="G14" s="5">
        <f t="shared" si="1"/>
        <v>0</v>
      </c>
      <c r="H14" s="9">
        <f t="shared" si="2"/>
        <v>0</v>
      </c>
    </row>
    <row r="15" spans="1:8" x14ac:dyDescent="0.25">
      <c r="A15" s="14" t="s">
        <v>106</v>
      </c>
      <c r="B15" s="6">
        <v>0</v>
      </c>
      <c r="C15" s="4">
        <v>0</v>
      </c>
      <c r="D15" s="5">
        <f t="shared" si="0"/>
        <v>0</v>
      </c>
      <c r="E15" s="6">
        <v>0</v>
      </c>
      <c r="F15" s="4">
        <v>0</v>
      </c>
      <c r="G15" s="5">
        <f t="shared" si="1"/>
        <v>0</v>
      </c>
      <c r="H15" s="9">
        <f t="shared" si="2"/>
        <v>0</v>
      </c>
    </row>
    <row r="16" spans="1:8" x14ac:dyDescent="0.25">
      <c r="A16" s="14" t="s">
        <v>101</v>
      </c>
      <c r="B16" s="6">
        <v>1</v>
      </c>
      <c r="C16" s="4">
        <v>0</v>
      </c>
      <c r="D16" s="5">
        <f t="shared" si="0"/>
        <v>1</v>
      </c>
      <c r="E16" s="6">
        <v>1</v>
      </c>
      <c r="F16" s="4">
        <v>3</v>
      </c>
      <c r="G16" s="5">
        <f t="shared" si="1"/>
        <v>4</v>
      </c>
      <c r="H16" s="9">
        <f t="shared" si="2"/>
        <v>5</v>
      </c>
    </row>
    <row r="17" spans="1:8" x14ac:dyDescent="0.25">
      <c r="A17" s="14" t="s">
        <v>12</v>
      </c>
      <c r="B17" s="6">
        <v>1</v>
      </c>
      <c r="C17" s="4">
        <v>0</v>
      </c>
      <c r="D17" s="5">
        <f t="shared" si="0"/>
        <v>1</v>
      </c>
      <c r="E17" s="6">
        <v>5</v>
      </c>
      <c r="F17" s="4">
        <v>0</v>
      </c>
      <c r="G17" s="5">
        <f t="shared" si="1"/>
        <v>5</v>
      </c>
      <c r="H17" s="9">
        <f t="shared" si="2"/>
        <v>6</v>
      </c>
    </row>
    <row r="18" spans="1:8" x14ac:dyDescent="0.25">
      <c r="A18" s="14" t="s">
        <v>13</v>
      </c>
      <c r="B18" s="6">
        <v>2</v>
      </c>
      <c r="C18" s="4">
        <v>1</v>
      </c>
      <c r="D18" s="5">
        <f t="shared" si="0"/>
        <v>3</v>
      </c>
      <c r="E18" s="6">
        <v>4</v>
      </c>
      <c r="F18" s="4">
        <v>2</v>
      </c>
      <c r="G18" s="5">
        <f t="shared" si="1"/>
        <v>6</v>
      </c>
      <c r="H18" s="9">
        <f t="shared" si="2"/>
        <v>9</v>
      </c>
    </row>
    <row r="19" spans="1:8" x14ac:dyDescent="0.25">
      <c r="A19" s="14" t="s">
        <v>14</v>
      </c>
      <c r="B19" s="6">
        <v>2</v>
      </c>
      <c r="C19" s="4">
        <v>0</v>
      </c>
      <c r="D19" s="5">
        <f t="shared" si="0"/>
        <v>2</v>
      </c>
      <c r="E19" s="6">
        <v>13</v>
      </c>
      <c r="F19" s="4">
        <v>3</v>
      </c>
      <c r="G19" s="5">
        <f t="shared" si="1"/>
        <v>16</v>
      </c>
      <c r="H19" s="9">
        <f t="shared" si="2"/>
        <v>18</v>
      </c>
    </row>
    <row r="20" spans="1:8" x14ac:dyDescent="0.25">
      <c r="A20" s="14" t="s">
        <v>15</v>
      </c>
      <c r="B20" s="6">
        <v>0</v>
      </c>
      <c r="C20" s="4">
        <v>0</v>
      </c>
      <c r="D20" s="5">
        <f t="shared" ref="D20:D28" si="3">SUM(B20:C20)</f>
        <v>0</v>
      </c>
      <c r="E20" s="6">
        <v>3</v>
      </c>
      <c r="F20" s="4">
        <v>2</v>
      </c>
      <c r="G20" s="5">
        <f t="shared" ref="G20:G28" si="4">SUM(E20:F20)</f>
        <v>5</v>
      </c>
      <c r="H20" s="9">
        <f t="shared" ref="H20:H28" si="5">D20+G20</f>
        <v>5</v>
      </c>
    </row>
    <row r="21" spans="1:8" x14ac:dyDescent="0.25">
      <c r="A21" s="14" t="s">
        <v>16</v>
      </c>
      <c r="B21" s="6">
        <v>0</v>
      </c>
      <c r="C21" s="4">
        <v>0</v>
      </c>
      <c r="D21" s="5">
        <f t="shared" si="3"/>
        <v>0</v>
      </c>
      <c r="E21" s="6">
        <v>4</v>
      </c>
      <c r="F21" s="4">
        <v>1</v>
      </c>
      <c r="G21" s="5">
        <f t="shared" si="4"/>
        <v>5</v>
      </c>
      <c r="H21" s="9">
        <f t="shared" si="5"/>
        <v>5</v>
      </c>
    </row>
    <row r="22" spans="1:8" x14ac:dyDescent="0.25">
      <c r="A22" s="14" t="s">
        <v>17</v>
      </c>
      <c r="B22" s="6">
        <v>5</v>
      </c>
      <c r="C22" s="4">
        <v>1</v>
      </c>
      <c r="D22" s="5">
        <f t="shared" si="3"/>
        <v>6</v>
      </c>
      <c r="E22" s="6">
        <v>15</v>
      </c>
      <c r="F22" s="4">
        <v>0</v>
      </c>
      <c r="G22" s="5">
        <f t="shared" si="4"/>
        <v>15</v>
      </c>
      <c r="H22" s="9">
        <f t="shared" si="5"/>
        <v>21</v>
      </c>
    </row>
    <row r="23" spans="1:8" x14ac:dyDescent="0.25">
      <c r="A23" s="14" t="s">
        <v>18</v>
      </c>
      <c r="B23" s="6">
        <v>2</v>
      </c>
      <c r="C23" s="4">
        <v>0</v>
      </c>
      <c r="D23" s="5">
        <f t="shared" si="3"/>
        <v>2</v>
      </c>
      <c r="E23" s="6">
        <v>215</v>
      </c>
      <c r="F23" s="4">
        <v>3</v>
      </c>
      <c r="G23" s="5">
        <f t="shared" si="4"/>
        <v>218</v>
      </c>
      <c r="H23" s="9">
        <f t="shared" si="5"/>
        <v>220</v>
      </c>
    </row>
    <row r="24" spans="1:8" x14ac:dyDescent="0.25">
      <c r="A24" s="14" t="s">
        <v>19</v>
      </c>
      <c r="B24" s="6">
        <v>0</v>
      </c>
      <c r="C24" s="4">
        <v>0</v>
      </c>
      <c r="D24" s="5">
        <f t="shared" si="3"/>
        <v>0</v>
      </c>
      <c r="E24" s="6">
        <v>5</v>
      </c>
      <c r="F24" s="4">
        <v>0</v>
      </c>
      <c r="G24" s="5">
        <f t="shared" si="4"/>
        <v>5</v>
      </c>
      <c r="H24" s="9">
        <f t="shared" si="5"/>
        <v>5</v>
      </c>
    </row>
    <row r="25" spans="1:8" x14ac:dyDescent="0.25">
      <c r="A25" s="14" t="s">
        <v>20</v>
      </c>
      <c r="B25" s="6">
        <v>0</v>
      </c>
      <c r="C25" s="4">
        <v>4</v>
      </c>
      <c r="D25" s="5">
        <f t="shared" si="3"/>
        <v>4</v>
      </c>
      <c r="E25" s="6">
        <v>3</v>
      </c>
      <c r="F25" s="4">
        <v>0</v>
      </c>
      <c r="G25" s="5">
        <f t="shared" si="4"/>
        <v>3</v>
      </c>
      <c r="H25" s="9">
        <f t="shared" si="5"/>
        <v>7</v>
      </c>
    </row>
    <row r="26" spans="1:8" x14ac:dyDescent="0.25">
      <c r="A26" s="14" t="s">
        <v>21</v>
      </c>
      <c r="B26" s="6">
        <v>3</v>
      </c>
      <c r="C26" s="4">
        <v>0</v>
      </c>
      <c r="D26" s="5">
        <f t="shared" si="3"/>
        <v>3</v>
      </c>
      <c r="E26" s="6">
        <v>5</v>
      </c>
      <c r="F26" s="4">
        <v>1</v>
      </c>
      <c r="G26" s="5">
        <f t="shared" si="4"/>
        <v>6</v>
      </c>
      <c r="H26" s="9">
        <f t="shared" si="5"/>
        <v>9</v>
      </c>
    </row>
    <row r="27" spans="1:8" x14ac:dyDescent="0.25">
      <c r="A27" s="14" t="s">
        <v>102</v>
      </c>
      <c r="B27" s="6">
        <v>0</v>
      </c>
      <c r="C27" s="4">
        <v>0</v>
      </c>
      <c r="D27" s="5">
        <f t="shared" si="3"/>
        <v>0</v>
      </c>
      <c r="E27" s="6">
        <v>0</v>
      </c>
      <c r="F27" s="4">
        <v>0</v>
      </c>
      <c r="G27" s="5">
        <f t="shared" si="4"/>
        <v>0</v>
      </c>
      <c r="H27" s="9">
        <f t="shared" si="5"/>
        <v>0</v>
      </c>
    </row>
    <row r="28" spans="1:8" x14ac:dyDescent="0.25">
      <c r="A28" s="14" t="s">
        <v>22</v>
      </c>
      <c r="B28" s="6">
        <v>2</v>
      </c>
      <c r="C28" s="4">
        <v>0</v>
      </c>
      <c r="D28" s="5">
        <f t="shared" si="3"/>
        <v>2</v>
      </c>
      <c r="E28" s="6">
        <v>6</v>
      </c>
      <c r="F28" s="4">
        <v>0</v>
      </c>
      <c r="G28" s="5">
        <f t="shared" si="4"/>
        <v>6</v>
      </c>
      <c r="H28" s="9">
        <f t="shared" si="5"/>
        <v>8</v>
      </c>
    </row>
    <row r="29" spans="1:8" x14ac:dyDescent="0.25">
      <c r="A29" s="14" t="s">
        <v>23</v>
      </c>
      <c r="B29" s="6">
        <v>11</v>
      </c>
      <c r="C29" s="4">
        <v>0</v>
      </c>
      <c r="D29" s="5">
        <f t="shared" si="0"/>
        <v>11</v>
      </c>
      <c r="E29" s="6">
        <v>9</v>
      </c>
      <c r="F29" s="4">
        <v>0</v>
      </c>
      <c r="G29" s="5">
        <f t="shared" si="1"/>
        <v>9</v>
      </c>
      <c r="H29" s="9">
        <f t="shared" si="2"/>
        <v>20</v>
      </c>
    </row>
    <row r="30" spans="1:8" x14ac:dyDescent="0.25">
      <c r="A30" s="14" t="s">
        <v>94</v>
      </c>
      <c r="B30" s="6">
        <v>0</v>
      </c>
      <c r="C30" s="4">
        <v>0</v>
      </c>
      <c r="D30" s="5">
        <f t="shared" si="0"/>
        <v>0</v>
      </c>
      <c r="E30" s="6">
        <v>4</v>
      </c>
      <c r="F30" s="4">
        <v>0</v>
      </c>
      <c r="G30" s="5">
        <f t="shared" si="1"/>
        <v>4</v>
      </c>
      <c r="H30" s="9">
        <f t="shared" si="2"/>
        <v>4</v>
      </c>
    </row>
    <row r="31" spans="1:8" x14ac:dyDescent="0.25">
      <c r="A31" s="14" t="s">
        <v>24</v>
      </c>
      <c r="B31" s="6">
        <v>1</v>
      </c>
      <c r="C31" s="4">
        <v>0</v>
      </c>
      <c r="D31" s="5">
        <f t="shared" si="0"/>
        <v>1</v>
      </c>
      <c r="E31" s="6">
        <v>7</v>
      </c>
      <c r="F31" s="4">
        <v>0</v>
      </c>
      <c r="G31" s="5">
        <f t="shared" si="1"/>
        <v>7</v>
      </c>
      <c r="H31" s="9">
        <f t="shared" si="2"/>
        <v>8</v>
      </c>
    </row>
    <row r="32" spans="1:8" x14ac:dyDescent="0.25">
      <c r="A32" s="14" t="s">
        <v>71</v>
      </c>
      <c r="B32" s="6">
        <v>11</v>
      </c>
      <c r="C32" s="4">
        <v>0</v>
      </c>
      <c r="D32" s="5">
        <f t="shared" si="0"/>
        <v>11</v>
      </c>
      <c r="E32" s="6">
        <v>7</v>
      </c>
      <c r="F32" s="4">
        <v>0</v>
      </c>
      <c r="G32" s="5">
        <f t="shared" si="1"/>
        <v>7</v>
      </c>
      <c r="H32" s="9">
        <f t="shared" si="2"/>
        <v>18</v>
      </c>
    </row>
    <row r="33" spans="1:8" x14ac:dyDescent="0.25">
      <c r="A33" s="14" t="s">
        <v>72</v>
      </c>
      <c r="B33" s="6">
        <v>6</v>
      </c>
      <c r="C33" s="4">
        <v>0</v>
      </c>
      <c r="D33" s="5">
        <f t="shared" si="0"/>
        <v>6</v>
      </c>
      <c r="E33" s="6">
        <v>11</v>
      </c>
      <c r="F33" s="4">
        <v>0</v>
      </c>
      <c r="G33" s="5">
        <f t="shared" si="1"/>
        <v>11</v>
      </c>
      <c r="H33" s="9">
        <f t="shared" si="2"/>
        <v>17</v>
      </c>
    </row>
    <row r="34" spans="1:8" x14ac:dyDescent="0.25">
      <c r="A34" s="14" t="s">
        <v>25</v>
      </c>
      <c r="B34" s="6">
        <v>0</v>
      </c>
      <c r="C34" s="4">
        <v>0</v>
      </c>
      <c r="D34" s="5">
        <f t="shared" si="0"/>
        <v>0</v>
      </c>
      <c r="E34" s="6">
        <v>8</v>
      </c>
      <c r="F34" s="4">
        <v>1</v>
      </c>
      <c r="G34" s="5">
        <f t="shared" si="1"/>
        <v>9</v>
      </c>
      <c r="H34" s="9">
        <f t="shared" si="2"/>
        <v>9</v>
      </c>
    </row>
    <row r="35" spans="1:8" x14ac:dyDescent="0.25">
      <c r="A35" s="14" t="s">
        <v>26</v>
      </c>
      <c r="B35" s="6">
        <v>4</v>
      </c>
      <c r="C35" s="4">
        <v>0</v>
      </c>
      <c r="D35" s="5">
        <f t="shared" si="0"/>
        <v>4</v>
      </c>
      <c r="E35" s="6">
        <v>39</v>
      </c>
      <c r="F35" s="4">
        <v>0</v>
      </c>
      <c r="G35" s="5">
        <f t="shared" si="1"/>
        <v>39</v>
      </c>
      <c r="H35" s="9">
        <f t="shared" si="2"/>
        <v>43</v>
      </c>
    </row>
    <row r="36" spans="1:8" x14ac:dyDescent="0.25">
      <c r="A36" s="14" t="s">
        <v>73</v>
      </c>
      <c r="B36" s="6">
        <v>0</v>
      </c>
      <c r="C36" s="4">
        <v>0</v>
      </c>
      <c r="D36" s="5">
        <f t="shared" si="0"/>
        <v>0</v>
      </c>
      <c r="E36" s="6">
        <v>14</v>
      </c>
      <c r="F36" s="4">
        <v>0</v>
      </c>
      <c r="G36" s="5">
        <f t="shared" si="1"/>
        <v>14</v>
      </c>
      <c r="H36" s="9">
        <f t="shared" si="2"/>
        <v>14</v>
      </c>
    </row>
    <row r="37" spans="1:8" x14ac:dyDescent="0.25">
      <c r="A37" s="14" t="s">
        <v>27</v>
      </c>
      <c r="B37" s="6">
        <v>5</v>
      </c>
      <c r="C37" s="4">
        <v>0</v>
      </c>
      <c r="D37" s="5">
        <f t="shared" si="0"/>
        <v>5</v>
      </c>
      <c r="E37" s="6">
        <v>18</v>
      </c>
      <c r="F37" s="4">
        <v>0</v>
      </c>
      <c r="G37" s="5">
        <f t="shared" si="1"/>
        <v>18</v>
      </c>
      <c r="H37" s="9">
        <f t="shared" si="2"/>
        <v>23</v>
      </c>
    </row>
    <row r="38" spans="1:8" x14ac:dyDescent="0.25">
      <c r="A38" s="14" t="s">
        <v>28</v>
      </c>
      <c r="B38" s="6">
        <v>6</v>
      </c>
      <c r="C38" s="4">
        <v>0</v>
      </c>
      <c r="D38" s="5">
        <f t="shared" si="0"/>
        <v>6</v>
      </c>
      <c r="E38" s="6">
        <v>1</v>
      </c>
      <c r="F38" s="4">
        <v>0</v>
      </c>
      <c r="G38" s="5">
        <f t="shared" si="1"/>
        <v>1</v>
      </c>
      <c r="H38" s="9">
        <f t="shared" si="2"/>
        <v>7</v>
      </c>
    </row>
    <row r="39" spans="1:8" x14ac:dyDescent="0.25">
      <c r="A39" s="14" t="s">
        <v>1</v>
      </c>
      <c r="B39" s="6">
        <v>0</v>
      </c>
      <c r="C39" s="4">
        <v>0</v>
      </c>
      <c r="D39" s="5">
        <f t="shared" si="0"/>
        <v>0</v>
      </c>
      <c r="E39" s="6">
        <v>49</v>
      </c>
      <c r="F39" s="4">
        <v>1</v>
      </c>
      <c r="G39" s="5">
        <f t="shared" si="1"/>
        <v>50</v>
      </c>
      <c r="H39" s="9">
        <f t="shared" si="2"/>
        <v>50</v>
      </c>
    </row>
    <row r="40" spans="1:8" x14ac:dyDescent="0.25">
      <c r="A40" s="14" t="s">
        <v>29</v>
      </c>
      <c r="B40" s="6">
        <v>0</v>
      </c>
      <c r="C40" s="4">
        <v>0</v>
      </c>
      <c r="D40" s="5">
        <f t="shared" si="0"/>
        <v>0</v>
      </c>
      <c r="E40" s="6">
        <v>74</v>
      </c>
      <c r="F40" s="4">
        <v>3</v>
      </c>
      <c r="G40" s="5">
        <f t="shared" si="1"/>
        <v>77</v>
      </c>
      <c r="H40" s="9">
        <f t="shared" si="2"/>
        <v>77</v>
      </c>
    </row>
    <row r="41" spans="1:8" x14ac:dyDescent="0.25">
      <c r="A41" s="14" t="s">
        <v>30</v>
      </c>
      <c r="B41" s="6">
        <v>8</v>
      </c>
      <c r="C41" s="4">
        <v>4</v>
      </c>
      <c r="D41" s="5">
        <f t="shared" si="0"/>
        <v>12</v>
      </c>
      <c r="E41" s="6">
        <v>2</v>
      </c>
      <c r="F41" s="4">
        <v>1</v>
      </c>
      <c r="G41" s="5">
        <f t="shared" si="1"/>
        <v>3</v>
      </c>
      <c r="H41" s="9">
        <f t="shared" si="2"/>
        <v>15</v>
      </c>
    </row>
    <row r="42" spans="1:8" x14ac:dyDescent="0.25">
      <c r="A42" s="14" t="s">
        <v>31</v>
      </c>
      <c r="B42" s="6">
        <v>5</v>
      </c>
      <c r="C42" s="4">
        <v>2</v>
      </c>
      <c r="D42" s="5">
        <f t="shared" si="0"/>
        <v>7</v>
      </c>
      <c r="E42" s="6">
        <v>46</v>
      </c>
      <c r="F42" s="4">
        <v>1</v>
      </c>
      <c r="G42" s="5">
        <f t="shared" si="1"/>
        <v>47</v>
      </c>
      <c r="H42" s="9">
        <f t="shared" si="2"/>
        <v>54</v>
      </c>
    </row>
    <row r="43" spans="1:8" x14ac:dyDescent="0.25">
      <c r="A43" s="14" t="s">
        <v>32</v>
      </c>
      <c r="B43" s="6">
        <v>0</v>
      </c>
      <c r="C43" s="4">
        <v>0</v>
      </c>
      <c r="D43" s="5">
        <f t="shared" si="0"/>
        <v>0</v>
      </c>
      <c r="E43" s="6">
        <v>25</v>
      </c>
      <c r="F43" s="4">
        <v>3</v>
      </c>
      <c r="G43" s="5">
        <f t="shared" si="1"/>
        <v>28</v>
      </c>
      <c r="H43" s="9">
        <f t="shared" si="2"/>
        <v>28</v>
      </c>
    </row>
    <row r="44" spans="1:8" x14ac:dyDescent="0.25">
      <c r="A44" s="14" t="s">
        <v>33</v>
      </c>
      <c r="B44" s="6">
        <v>0</v>
      </c>
      <c r="C44" s="4">
        <v>0</v>
      </c>
      <c r="D44" s="5">
        <f t="shared" si="0"/>
        <v>0</v>
      </c>
      <c r="E44" s="6">
        <v>0</v>
      </c>
      <c r="F44" s="4">
        <v>0</v>
      </c>
      <c r="G44" s="5">
        <f t="shared" si="1"/>
        <v>0</v>
      </c>
      <c r="H44" s="9">
        <f t="shared" si="2"/>
        <v>0</v>
      </c>
    </row>
    <row r="45" spans="1:8" x14ac:dyDescent="0.25">
      <c r="A45" s="14" t="s">
        <v>34</v>
      </c>
      <c r="B45" s="6">
        <v>1</v>
      </c>
      <c r="C45" s="4">
        <v>0</v>
      </c>
      <c r="D45" s="5">
        <f t="shared" si="0"/>
        <v>1</v>
      </c>
      <c r="E45" s="6">
        <v>3</v>
      </c>
      <c r="F45" s="4">
        <v>0</v>
      </c>
      <c r="G45" s="5">
        <f t="shared" si="1"/>
        <v>3</v>
      </c>
      <c r="H45" s="9">
        <f t="shared" si="2"/>
        <v>4</v>
      </c>
    </row>
    <row r="46" spans="1:8" x14ac:dyDescent="0.25">
      <c r="A46" s="14" t="s">
        <v>35</v>
      </c>
      <c r="B46" s="6">
        <v>0</v>
      </c>
      <c r="C46" s="4">
        <v>0</v>
      </c>
      <c r="D46" s="5">
        <f t="shared" si="0"/>
        <v>0</v>
      </c>
      <c r="E46" s="6">
        <v>3</v>
      </c>
      <c r="F46" s="4">
        <v>0</v>
      </c>
      <c r="G46" s="5">
        <f t="shared" si="1"/>
        <v>3</v>
      </c>
      <c r="H46" s="9">
        <f t="shared" si="2"/>
        <v>3</v>
      </c>
    </row>
    <row r="47" spans="1:8" x14ac:dyDescent="0.25">
      <c r="A47" s="14" t="s">
        <v>36</v>
      </c>
      <c r="B47" s="6">
        <v>1</v>
      </c>
      <c r="C47" s="4">
        <v>0</v>
      </c>
      <c r="D47" s="5">
        <f t="shared" si="0"/>
        <v>1</v>
      </c>
      <c r="E47" s="6">
        <v>7</v>
      </c>
      <c r="F47" s="4">
        <v>1</v>
      </c>
      <c r="G47" s="5">
        <f t="shared" si="1"/>
        <v>8</v>
      </c>
      <c r="H47" s="9">
        <f t="shared" si="2"/>
        <v>9</v>
      </c>
    </row>
    <row r="48" spans="1:8" x14ac:dyDescent="0.25">
      <c r="A48" s="14" t="s">
        <v>38</v>
      </c>
      <c r="B48" s="6">
        <v>50</v>
      </c>
      <c r="C48" s="4">
        <v>2</v>
      </c>
      <c r="D48" s="5">
        <f t="shared" si="0"/>
        <v>52</v>
      </c>
      <c r="E48" s="6">
        <v>1</v>
      </c>
      <c r="F48" s="4">
        <v>0</v>
      </c>
      <c r="G48" s="5">
        <f t="shared" si="1"/>
        <v>1</v>
      </c>
      <c r="H48" s="9">
        <f t="shared" si="2"/>
        <v>53</v>
      </c>
    </row>
    <row r="49" spans="1:8" x14ac:dyDescent="0.25">
      <c r="A49" s="14" t="s">
        <v>39</v>
      </c>
      <c r="B49" s="6">
        <v>0</v>
      </c>
      <c r="C49" s="4">
        <v>0</v>
      </c>
      <c r="D49" s="5">
        <f t="shared" si="0"/>
        <v>0</v>
      </c>
      <c r="E49" s="6">
        <v>13</v>
      </c>
      <c r="F49" s="4">
        <v>0</v>
      </c>
      <c r="G49" s="5">
        <f t="shared" si="1"/>
        <v>13</v>
      </c>
      <c r="H49" s="9">
        <f t="shared" si="2"/>
        <v>13</v>
      </c>
    </row>
    <row r="50" spans="1:8" x14ac:dyDescent="0.25">
      <c r="A50" s="14" t="s">
        <v>40</v>
      </c>
      <c r="B50" s="6">
        <v>3</v>
      </c>
      <c r="C50" s="4">
        <v>0</v>
      </c>
      <c r="D50" s="5">
        <f t="shared" si="0"/>
        <v>3</v>
      </c>
      <c r="E50" s="6">
        <v>48</v>
      </c>
      <c r="F50" s="4">
        <v>5</v>
      </c>
      <c r="G50" s="5">
        <f t="shared" si="1"/>
        <v>53</v>
      </c>
      <c r="H50" s="9">
        <f t="shared" si="2"/>
        <v>56</v>
      </c>
    </row>
    <row r="51" spans="1:8" x14ac:dyDescent="0.25">
      <c r="A51" s="14" t="s">
        <v>103</v>
      </c>
      <c r="B51" s="6">
        <v>0</v>
      </c>
      <c r="C51" s="4">
        <v>0</v>
      </c>
      <c r="D51" s="5">
        <f t="shared" si="0"/>
        <v>0</v>
      </c>
      <c r="E51" s="6">
        <v>17</v>
      </c>
      <c r="F51" s="4">
        <v>1</v>
      </c>
      <c r="G51" s="5">
        <f t="shared" si="1"/>
        <v>18</v>
      </c>
      <c r="H51" s="9">
        <f t="shared" si="2"/>
        <v>18</v>
      </c>
    </row>
    <row r="52" spans="1:8" x14ac:dyDescent="0.25">
      <c r="A52" s="14" t="s">
        <v>41</v>
      </c>
      <c r="B52" s="6">
        <v>1</v>
      </c>
      <c r="C52" s="4">
        <v>0</v>
      </c>
      <c r="D52" s="5">
        <f t="shared" si="0"/>
        <v>1</v>
      </c>
      <c r="E52" s="6">
        <v>2</v>
      </c>
      <c r="F52" s="4">
        <v>0</v>
      </c>
      <c r="G52" s="5">
        <f t="shared" si="1"/>
        <v>2</v>
      </c>
      <c r="H52" s="9">
        <f t="shared" si="2"/>
        <v>3</v>
      </c>
    </row>
    <row r="53" spans="1:8" x14ac:dyDescent="0.25">
      <c r="A53" s="14" t="s">
        <v>42</v>
      </c>
      <c r="B53" s="6">
        <v>2</v>
      </c>
      <c r="C53" s="4">
        <v>0</v>
      </c>
      <c r="D53" s="5">
        <f t="shared" si="0"/>
        <v>2</v>
      </c>
      <c r="E53" s="6">
        <v>0</v>
      </c>
      <c r="F53" s="4">
        <v>0</v>
      </c>
      <c r="G53" s="5">
        <f t="shared" si="1"/>
        <v>0</v>
      </c>
      <c r="H53" s="9">
        <f t="shared" si="2"/>
        <v>2</v>
      </c>
    </row>
    <row r="54" spans="1:8" x14ac:dyDescent="0.25">
      <c r="A54" s="14" t="s">
        <v>43</v>
      </c>
      <c r="B54" s="6">
        <v>0</v>
      </c>
      <c r="C54" s="4">
        <v>0</v>
      </c>
      <c r="D54" s="5">
        <f t="shared" si="0"/>
        <v>0</v>
      </c>
      <c r="E54" s="6">
        <v>4</v>
      </c>
      <c r="F54" s="4">
        <v>0</v>
      </c>
      <c r="G54" s="5">
        <f t="shared" si="1"/>
        <v>4</v>
      </c>
      <c r="H54" s="9">
        <f t="shared" si="2"/>
        <v>4</v>
      </c>
    </row>
    <row r="55" spans="1:8" x14ac:dyDescent="0.25">
      <c r="A55" s="14" t="s">
        <v>44</v>
      </c>
      <c r="B55" s="6">
        <v>0</v>
      </c>
      <c r="C55" s="4">
        <v>0</v>
      </c>
      <c r="D55" s="5">
        <f t="shared" si="0"/>
        <v>0</v>
      </c>
      <c r="E55" s="6">
        <v>4</v>
      </c>
      <c r="F55" s="4">
        <v>0</v>
      </c>
      <c r="G55" s="5">
        <f t="shared" si="1"/>
        <v>4</v>
      </c>
      <c r="H55" s="9">
        <f t="shared" si="2"/>
        <v>4</v>
      </c>
    </row>
    <row r="56" spans="1:8" x14ac:dyDescent="0.25">
      <c r="A56" s="14" t="s">
        <v>45</v>
      </c>
      <c r="B56" s="6">
        <v>0</v>
      </c>
      <c r="C56" s="4">
        <v>0</v>
      </c>
      <c r="D56" s="5">
        <f t="shared" si="0"/>
        <v>0</v>
      </c>
      <c r="E56" s="6">
        <v>1</v>
      </c>
      <c r="F56" s="4">
        <v>0</v>
      </c>
      <c r="G56" s="5">
        <f t="shared" si="1"/>
        <v>1</v>
      </c>
      <c r="H56" s="9">
        <f t="shared" si="2"/>
        <v>1</v>
      </c>
    </row>
    <row r="57" spans="1:8" x14ac:dyDescent="0.25">
      <c r="A57" s="14" t="s">
        <v>46</v>
      </c>
      <c r="B57" s="6">
        <v>0</v>
      </c>
      <c r="C57" s="4">
        <v>0</v>
      </c>
      <c r="D57" s="5">
        <f t="shared" si="0"/>
        <v>0</v>
      </c>
      <c r="E57" s="6">
        <v>0</v>
      </c>
      <c r="F57" s="4">
        <v>0</v>
      </c>
      <c r="G57" s="5">
        <f t="shared" si="1"/>
        <v>0</v>
      </c>
      <c r="H57" s="9">
        <f t="shared" si="2"/>
        <v>0</v>
      </c>
    </row>
    <row r="58" spans="1:8" x14ac:dyDescent="0.25">
      <c r="A58" s="14" t="s">
        <v>47</v>
      </c>
      <c r="B58" s="6">
        <v>0</v>
      </c>
      <c r="C58" s="4">
        <v>0</v>
      </c>
      <c r="D58" s="5">
        <f t="shared" si="0"/>
        <v>0</v>
      </c>
      <c r="E58" s="6">
        <v>3</v>
      </c>
      <c r="F58" s="4">
        <v>0</v>
      </c>
      <c r="G58" s="5">
        <f t="shared" si="1"/>
        <v>3</v>
      </c>
      <c r="H58" s="9">
        <f t="shared" si="2"/>
        <v>3</v>
      </c>
    </row>
    <row r="59" spans="1:8" x14ac:dyDescent="0.25">
      <c r="A59" s="14" t="s">
        <v>48</v>
      </c>
      <c r="B59" s="6">
        <v>5</v>
      </c>
      <c r="C59" s="4">
        <v>0</v>
      </c>
      <c r="D59" s="5">
        <f t="shared" si="0"/>
        <v>5</v>
      </c>
      <c r="E59" s="6">
        <v>0</v>
      </c>
      <c r="F59" s="4">
        <v>0</v>
      </c>
      <c r="G59" s="5">
        <f t="shared" si="1"/>
        <v>0</v>
      </c>
      <c r="H59" s="9">
        <f t="shared" si="2"/>
        <v>5</v>
      </c>
    </row>
    <row r="60" spans="1:8" x14ac:dyDescent="0.25">
      <c r="A60" s="14" t="s">
        <v>49</v>
      </c>
      <c r="B60" s="6">
        <v>14</v>
      </c>
      <c r="C60" s="4">
        <v>1</v>
      </c>
      <c r="D60" s="5">
        <f t="shared" si="0"/>
        <v>15</v>
      </c>
      <c r="E60" s="6">
        <v>0</v>
      </c>
      <c r="F60" s="4">
        <v>0</v>
      </c>
      <c r="G60" s="5">
        <f t="shared" si="1"/>
        <v>0</v>
      </c>
      <c r="H60" s="9">
        <f t="shared" si="2"/>
        <v>15</v>
      </c>
    </row>
    <row r="61" spans="1:8" x14ac:dyDescent="0.25">
      <c r="A61" s="14" t="s">
        <v>50</v>
      </c>
      <c r="B61" s="6">
        <v>0</v>
      </c>
      <c r="C61" s="4">
        <v>0</v>
      </c>
      <c r="D61" s="5">
        <f t="shared" si="0"/>
        <v>0</v>
      </c>
      <c r="E61" s="6">
        <v>0</v>
      </c>
      <c r="F61" s="4">
        <v>0</v>
      </c>
      <c r="G61" s="5">
        <f t="shared" si="1"/>
        <v>0</v>
      </c>
      <c r="H61" s="9">
        <f t="shared" si="2"/>
        <v>0</v>
      </c>
    </row>
    <row r="62" spans="1:8" x14ac:dyDescent="0.25">
      <c r="A62" s="14" t="s">
        <v>104</v>
      </c>
      <c r="B62" s="6">
        <v>0</v>
      </c>
      <c r="C62" s="4">
        <v>0</v>
      </c>
      <c r="D62" s="5">
        <f t="shared" si="0"/>
        <v>0</v>
      </c>
      <c r="E62" s="6">
        <v>1</v>
      </c>
      <c r="F62" s="4">
        <v>0</v>
      </c>
      <c r="G62" s="5">
        <f t="shared" si="1"/>
        <v>1</v>
      </c>
      <c r="H62" s="9">
        <f t="shared" si="2"/>
        <v>1</v>
      </c>
    </row>
    <row r="63" spans="1:8" x14ac:dyDescent="0.25">
      <c r="A63" s="14" t="s">
        <v>95</v>
      </c>
      <c r="B63" s="6">
        <v>0</v>
      </c>
      <c r="C63" s="4">
        <v>0</v>
      </c>
      <c r="D63" s="5">
        <f t="shared" si="0"/>
        <v>0</v>
      </c>
      <c r="E63" s="6">
        <v>4</v>
      </c>
      <c r="F63" s="4">
        <v>1</v>
      </c>
      <c r="G63" s="5">
        <f t="shared" si="1"/>
        <v>5</v>
      </c>
      <c r="H63" s="9">
        <f t="shared" si="2"/>
        <v>5</v>
      </c>
    </row>
    <row r="64" spans="1:8" x14ac:dyDescent="0.25">
      <c r="A64" s="14" t="s">
        <v>96</v>
      </c>
      <c r="B64" s="6">
        <v>0</v>
      </c>
      <c r="C64" s="4">
        <v>0</v>
      </c>
      <c r="D64" s="5">
        <f t="shared" si="0"/>
        <v>0</v>
      </c>
      <c r="E64" s="6">
        <v>36</v>
      </c>
      <c r="F64" s="4">
        <v>1</v>
      </c>
      <c r="G64" s="5">
        <f t="shared" si="1"/>
        <v>37</v>
      </c>
      <c r="H64" s="9">
        <f t="shared" si="2"/>
        <v>37</v>
      </c>
    </row>
    <row r="65" spans="1:8" x14ac:dyDescent="0.25">
      <c r="A65" s="14" t="s">
        <v>107</v>
      </c>
      <c r="B65" s="6">
        <v>0</v>
      </c>
      <c r="C65" s="4">
        <v>0</v>
      </c>
      <c r="D65" s="5">
        <f t="shared" si="0"/>
        <v>0</v>
      </c>
      <c r="E65" s="6">
        <v>137</v>
      </c>
      <c r="F65" s="4">
        <v>2</v>
      </c>
      <c r="G65" s="5">
        <f t="shared" si="1"/>
        <v>139</v>
      </c>
      <c r="H65" s="9">
        <f t="shared" si="2"/>
        <v>139</v>
      </c>
    </row>
    <row r="66" spans="1:8" x14ac:dyDescent="0.25">
      <c r="A66" s="14" t="s">
        <v>89</v>
      </c>
      <c r="B66" s="6">
        <v>0</v>
      </c>
      <c r="C66" s="4">
        <v>0</v>
      </c>
      <c r="D66" s="5">
        <f t="shared" si="0"/>
        <v>0</v>
      </c>
      <c r="E66" s="6">
        <v>8</v>
      </c>
      <c r="F66" s="4">
        <v>0</v>
      </c>
      <c r="G66" s="5">
        <f t="shared" si="1"/>
        <v>8</v>
      </c>
      <c r="H66" s="9">
        <f t="shared" si="2"/>
        <v>8</v>
      </c>
    </row>
    <row r="67" spans="1:8" x14ac:dyDescent="0.25">
      <c r="A67" s="14" t="s">
        <v>52</v>
      </c>
      <c r="B67" s="6">
        <v>0</v>
      </c>
      <c r="C67" s="4">
        <v>0</v>
      </c>
      <c r="D67" s="5">
        <f t="shared" si="0"/>
        <v>0</v>
      </c>
      <c r="E67" s="6">
        <v>7</v>
      </c>
      <c r="F67" s="4">
        <v>1</v>
      </c>
      <c r="G67" s="5">
        <f t="shared" si="1"/>
        <v>8</v>
      </c>
      <c r="H67" s="9">
        <f t="shared" si="2"/>
        <v>8</v>
      </c>
    </row>
    <row r="68" spans="1:8" x14ac:dyDescent="0.25">
      <c r="A68" s="14" t="s">
        <v>53</v>
      </c>
      <c r="B68" s="6">
        <v>0</v>
      </c>
      <c r="C68" s="4">
        <v>0</v>
      </c>
      <c r="D68" s="5">
        <f t="shared" si="0"/>
        <v>0</v>
      </c>
      <c r="E68" s="6">
        <v>0</v>
      </c>
      <c r="F68" s="4">
        <v>1</v>
      </c>
      <c r="G68" s="5">
        <f t="shared" si="1"/>
        <v>1</v>
      </c>
      <c r="H68" s="9">
        <f t="shared" si="2"/>
        <v>1</v>
      </c>
    </row>
    <row r="69" spans="1:8" x14ac:dyDescent="0.25">
      <c r="A69" s="14" t="s">
        <v>54</v>
      </c>
      <c r="B69" s="6">
        <v>0</v>
      </c>
      <c r="C69" s="4">
        <v>0</v>
      </c>
      <c r="D69" s="5">
        <f t="shared" si="0"/>
        <v>0</v>
      </c>
      <c r="E69" s="6">
        <v>4</v>
      </c>
      <c r="F69" s="4">
        <v>0</v>
      </c>
      <c r="G69" s="5">
        <f t="shared" si="1"/>
        <v>4</v>
      </c>
      <c r="H69" s="9">
        <f t="shared" si="2"/>
        <v>4</v>
      </c>
    </row>
    <row r="70" spans="1:8" x14ac:dyDescent="0.25">
      <c r="A70" s="14" t="s">
        <v>55</v>
      </c>
      <c r="B70" s="6">
        <v>0</v>
      </c>
      <c r="C70" s="4">
        <v>0</v>
      </c>
      <c r="D70" s="5">
        <f t="shared" si="0"/>
        <v>0</v>
      </c>
      <c r="E70" s="6">
        <v>23</v>
      </c>
      <c r="F70" s="4">
        <v>1</v>
      </c>
      <c r="G70" s="5">
        <f t="shared" si="1"/>
        <v>24</v>
      </c>
      <c r="H70" s="9">
        <f t="shared" si="2"/>
        <v>24</v>
      </c>
    </row>
    <row r="71" spans="1:8" x14ac:dyDescent="0.25">
      <c r="A71" s="14" t="s">
        <v>56</v>
      </c>
      <c r="B71" s="6">
        <v>0</v>
      </c>
      <c r="C71" s="4">
        <v>0</v>
      </c>
      <c r="D71" s="5">
        <f t="shared" si="0"/>
        <v>0</v>
      </c>
      <c r="E71" s="6">
        <v>35</v>
      </c>
      <c r="F71" s="4">
        <v>0</v>
      </c>
      <c r="G71" s="5">
        <f t="shared" si="1"/>
        <v>35</v>
      </c>
      <c r="H71" s="9">
        <f t="shared" si="2"/>
        <v>35</v>
      </c>
    </row>
    <row r="72" spans="1:8" x14ac:dyDescent="0.25">
      <c r="A72" s="14" t="s">
        <v>106</v>
      </c>
      <c r="B72" s="6">
        <v>0</v>
      </c>
      <c r="C72" s="4">
        <v>0</v>
      </c>
      <c r="D72" s="5">
        <f t="shared" si="0"/>
        <v>0</v>
      </c>
      <c r="E72" s="6">
        <v>1</v>
      </c>
      <c r="F72" s="4">
        <v>0</v>
      </c>
      <c r="G72" s="5">
        <f t="shared" si="1"/>
        <v>1</v>
      </c>
      <c r="H72" s="9">
        <f t="shared" si="2"/>
        <v>1</v>
      </c>
    </row>
    <row r="73" spans="1:8" x14ac:dyDescent="0.25">
      <c r="A73" s="14" t="s">
        <v>108</v>
      </c>
      <c r="B73" s="6">
        <v>0</v>
      </c>
      <c r="C73" s="4">
        <v>0</v>
      </c>
      <c r="D73" s="5">
        <f t="shared" si="0"/>
        <v>0</v>
      </c>
      <c r="E73" s="6">
        <v>8</v>
      </c>
      <c r="F73" s="4">
        <v>3</v>
      </c>
      <c r="G73" s="5">
        <f t="shared" si="1"/>
        <v>11</v>
      </c>
      <c r="H73" s="9">
        <f t="shared" si="2"/>
        <v>11</v>
      </c>
    </row>
    <row r="74" spans="1:8" x14ac:dyDescent="0.25">
      <c r="A74" s="14" t="s">
        <v>109</v>
      </c>
      <c r="B74" s="6">
        <v>0</v>
      </c>
      <c r="C74" s="4">
        <v>0</v>
      </c>
      <c r="D74" s="5">
        <f t="shared" si="0"/>
        <v>0</v>
      </c>
      <c r="E74" s="6">
        <v>0</v>
      </c>
      <c r="F74" s="4">
        <v>0</v>
      </c>
      <c r="G74" s="5">
        <f t="shared" si="1"/>
        <v>0</v>
      </c>
      <c r="H74" s="9">
        <f t="shared" si="2"/>
        <v>0</v>
      </c>
    </row>
    <row r="75" spans="1:8" x14ac:dyDescent="0.25">
      <c r="A75" s="14" t="s">
        <v>59</v>
      </c>
      <c r="B75" s="6">
        <v>0</v>
      </c>
      <c r="C75" s="4">
        <v>0</v>
      </c>
      <c r="D75" s="5">
        <f t="shared" si="0"/>
        <v>0</v>
      </c>
      <c r="E75" s="6">
        <v>1</v>
      </c>
      <c r="F75" s="4">
        <v>1</v>
      </c>
      <c r="G75" s="5">
        <f t="shared" si="1"/>
        <v>2</v>
      </c>
      <c r="H75" s="9">
        <f t="shared" si="2"/>
        <v>2</v>
      </c>
    </row>
    <row r="76" spans="1:8" x14ac:dyDescent="0.25">
      <c r="A76" s="14" t="s">
        <v>60</v>
      </c>
      <c r="B76" s="6">
        <v>0</v>
      </c>
      <c r="C76" s="4">
        <v>0</v>
      </c>
      <c r="D76" s="5">
        <f t="shared" si="0"/>
        <v>0</v>
      </c>
      <c r="E76" s="6">
        <v>8</v>
      </c>
      <c r="F76" s="4">
        <v>0</v>
      </c>
      <c r="G76" s="5">
        <f t="shared" si="1"/>
        <v>8</v>
      </c>
      <c r="H76" s="9">
        <f t="shared" si="2"/>
        <v>8</v>
      </c>
    </row>
    <row r="77" spans="1:8" x14ac:dyDescent="0.25">
      <c r="A77" s="14" t="s">
        <v>61</v>
      </c>
      <c r="B77" s="6">
        <v>0</v>
      </c>
      <c r="C77" s="4">
        <v>0</v>
      </c>
      <c r="D77" s="5">
        <f t="shared" si="0"/>
        <v>0</v>
      </c>
      <c r="E77" s="6">
        <v>4</v>
      </c>
      <c r="F77" s="4">
        <v>0</v>
      </c>
      <c r="G77" s="5">
        <f t="shared" si="1"/>
        <v>4</v>
      </c>
      <c r="H77" s="9">
        <f t="shared" si="2"/>
        <v>4</v>
      </c>
    </row>
    <row r="78" spans="1:8" x14ac:dyDescent="0.25">
      <c r="A78" s="14" t="s">
        <v>62</v>
      </c>
      <c r="B78" s="6">
        <v>0</v>
      </c>
      <c r="C78" s="4">
        <v>0</v>
      </c>
      <c r="D78" s="5">
        <f t="shared" si="0"/>
        <v>0</v>
      </c>
      <c r="E78" s="6">
        <v>0</v>
      </c>
      <c r="F78" s="4">
        <v>0</v>
      </c>
      <c r="G78" s="5">
        <f t="shared" si="1"/>
        <v>0</v>
      </c>
      <c r="H78" s="9">
        <f t="shared" si="2"/>
        <v>0</v>
      </c>
    </row>
    <row r="79" spans="1:8" x14ac:dyDescent="0.25">
      <c r="A79" s="14" t="s">
        <v>63</v>
      </c>
      <c r="B79" s="6">
        <v>0</v>
      </c>
      <c r="C79" s="4">
        <v>0</v>
      </c>
      <c r="D79" s="5">
        <f t="shared" si="0"/>
        <v>0</v>
      </c>
      <c r="E79" s="6">
        <v>3</v>
      </c>
      <c r="F79" s="4">
        <v>0</v>
      </c>
      <c r="G79" s="5">
        <f t="shared" si="1"/>
        <v>3</v>
      </c>
      <c r="H79" s="9">
        <f t="shared" si="2"/>
        <v>3</v>
      </c>
    </row>
    <row r="80" spans="1:8" x14ac:dyDescent="0.25">
      <c r="A80" s="14" t="s">
        <v>97</v>
      </c>
      <c r="B80" s="6">
        <v>3</v>
      </c>
      <c r="C80" s="4">
        <v>0</v>
      </c>
      <c r="D80" s="5">
        <f t="shared" si="0"/>
        <v>3</v>
      </c>
      <c r="E80" s="6">
        <v>0</v>
      </c>
      <c r="F80" s="4">
        <v>0</v>
      </c>
      <c r="G80" s="5">
        <f t="shared" si="1"/>
        <v>0</v>
      </c>
      <c r="H80" s="9">
        <f t="shared" si="2"/>
        <v>3</v>
      </c>
    </row>
    <row r="81" spans="1:8" x14ac:dyDescent="0.25">
      <c r="A81" s="14" t="s">
        <v>110</v>
      </c>
      <c r="B81" s="6">
        <v>0</v>
      </c>
      <c r="C81" s="4">
        <v>0</v>
      </c>
      <c r="D81" s="5">
        <f t="shared" si="0"/>
        <v>0</v>
      </c>
      <c r="E81" s="6">
        <v>9</v>
      </c>
      <c r="F81" s="4">
        <v>0</v>
      </c>
      <c r="G81" s="5">
        <f t="shared" si="1"/>
        <v>9</v>
      </c>
      <c r="H81" s="9">
        <f t="shared" si="2"/>
        <v>9</v>
      </c>
    </row>
    <row r="82" spans="1:8" x14ac:dyDescent="0.25">
      <c r="A82" s="14" t="s">
        <v>65</v>
      </c>
      <c r="B82" s="6">
        <v>0</v>
      </c>
      <c r="C82" s="4">
        <v>0</v>
      </c>
      <c r="D82" s="5">
        <f t="shared" si="0"/>
        <v>0</v>
      </c>
      <c r="E82" s="6">
        <v>73</v>
      </c>
      <c r="F82" s="4">
        <v>1</v>
      </c>
      <c r="G82" s="5">
        <f t="shared" si="1"/>
        <v>74</v>
      </c>
      <c r="H82" s="9">
        <f t="shared" si="2"/>
        <v>74</v>
      </c>
    </row>
    <row r="83" spans="1:8" x14ac:dyDescent="0.25">
      <c r="A83" s="14" t="s">
        <v>66</v>
      </c>
      <c r="B83" s="6">
        <v>0</v>
      </c>
      <c r="C83" s="4">
        <v>0</v>
      </c>
      <c r="D83" s="5">
        <f t="shared" si="0"/>
        <v>0</v>
      </c>
      <c r="E83" s="6">
        <v>15</v>
      </c>
      <c r="F83" s="4">
        <v>0</v>
      </c>
      <c r="G83" s="5">
        <f t="shared" si="1"/>
        <v>15</v>
      </c>
      <c r="H83" s="9">
        <f t="shared" si="2"/>
        <v>15</v>
      </c>
    </row>
    <row r="84" spans="1:8" x14ac:dyDescent="0.25">
      <c r="A84" s="14" t="s">
        <v>67</v>
      </c>
      <c r="B84" s="6">
        <v>0</v>
      </c>
      <c r="C84" s="4">
        <v>0</v>
      </c>
      <c r="D84" s="5">
        <f t="shared" si="0"/>
        <v>0</v>
      </c>
      <c r="E84" s="6">
        <v>4</v>
      </c>
      <c r="F84" s="4">
        <v>1</v>
      </c>
      <c r="G84" s="5">
        <f t="shared" si="1"/>
        <v>5</v>
      </c>
      <c r="H84" s="9">
        <f t="shared" si="2"/>
        <v>5</v>
      </c>
    </row>
    <row r="85" spans="1:8" x14ac:dyDescent="0.25">
      <c r="A85" s="14" t="s">
        <v>68</v>
      </c>
      <c r="B85" s="6">
        <v>0</v>
      </c>
      <c r="C85" s="4">
        <v>0</v>
      </c>
      <c r="D85" s="5">
        <f t="shared" si="0"/>
        <v>0</v>
      </c>
      <c r="E85" s="6">
        <v>25</v>
      </c>
      <c r="F85" s="4">
        <v>6</v>
      </c>
      <c r="G85" s="5">
        <f t="shared" si="1"/>
        <v>31</v>
      </c>
      <c r="H85" s="9">
        <f t="shared" si="2"/>
        <v>31</v>
      </c>
    </row>
    <row r="86" spans="1:8" x14ac:dyDescent="0.25">
      <c r="A86" s="14" t="s">
        <v>69</v>
      </c>
      <c r="B86" s="6">
        <v>0</v>
      </c>
      <c r="C86" s="4">
        <v>0</v>
      </c>
      <c r="D86" s="5">
        <f t="shared" si="0"/>
        <v>0</v>
      </c>
      <c r="E86" s="6">
        <v>3</v>
      </c>
      <c r="F86" s="4">
        <v>0</v>
      </c>
      <c r="G86" s="5">
        <f t="shared" si="1"/>
        <v>3</v>
      </c>
      <c r="H86" s="9">
        <f t="shared" si="2"/>
        <v>3</v>
      </c>
    </row>
    <row r="87" spans="1:8" x14ac:dyDescent="0.25">
      <c r="A87" s="14" t="s">
        <v>92</v>
      </c>
      <c r="B87" s="6">
        <v>0</v>
      </c>
      <c r="C87" s="4">
        <v>0</v>
      </c>
      <c r="D87" s="5">
        <f t="shared" si="0"/>
        <v>0</v>
      </c>
      <c r="E87" s="6">
        <v>106</v>
      </c>
      <c r="F87" s="4">
        <v>6</v>
      </c>
      <c r="G87" s="5">
        <f t="shared" si="1"/>
        <v>112</v>
      </c>
      <c r="H87" s="9">
        <f t="shared" si="2"/>
        <v>112</v>
      </c>
    </row>
    <row r="88" spans="1:8" x14ac:dyDescent="0.25">
      <c r="A88" s="14" t="s">
        <v>99</v>
      </c>
      <c r="B88" s="6">
        <v>0</v>
      </c>
      <c r="C88" s="4">
        <v>0</v>
      </c>
      <c r="D88" s="5">
        <f t="shared" si="0"/>
        <v>0</v>
      </c>
      <c r="E88" s="6">
        <v>45</v>
      </c>
      <c r="F88" s="4">
        <v>4</v>
      </c>
      <c r="G88" s="5">
        <f t="shared" si="1"/>
        <v>49</v>
      </c>
      <c r="H88" s="9">
        <f t="shared" si="2"/>
        <v>49</v>
      </c>
    </row>
    <row r="89" spans="1:8" x14ac:dyDescent="0.25">
      <c r="A89" s="14" t="s">
        <v>70</v>
      </c>
      <c r="B89" s="6">
        <v>0</v>
      </c>
      <c r="C89" s="4">
        <v>0</v>
      </c>
      <c r="D89" s="5">
        <f t="shared" ref="D89:D91" si="6">SUM(B89:C89)</f>
        <v>0</v>
      </c>
      <c r="E89" s="6">
        <v>19</v>
      </c>
      <c r="F89" s="4">
        <v>5</v>
      </c>
      <c r="G89" s="5">
        <f t="shared" ref="G89:G91" si="7">SUM(E89:F89)</f>
        <v>24</v>
      </c>
      <c r="H89" s="9">
        <f t="shared" ref="H89:H91" si="8">D89+G89</f>
        <v>24</v>
      </c>
    </row>
    <row r="90" spans="1:8" x14ac:dyDescent="0.25">
      <c r="A90" s="14" t="s">
        <v>105</v>
      </c>
      <c r="B90" s="6">
        <v>0</v>
      </c>
      <c r="C90" s="4">
        <v>0</v>
      </c>
      <c r="D90" s="5">
        <f t="shared" si="6"/>
        <v>0</v>
      </c>
      <c r="E90" s="6">
        <v>73</v>
      </c>
      <c r="F90" s="4">
        <v>7</v>
      </c>
      <c r="G90" s="5">
        <f t="shared" si="7"/>
        <v>80</v>
      </c>
      <c r="H90" s="9">
        <f t="shared" si="8"/>
        <v>80</v>
      </c>
    </row>
    <row r="91" spans="1:8" ht="15.75" thickBot="1" x14ac:dyDescent="0.3">
      <c r="A91" s="15" t="s">
        <v>111</v>
      </c>
      <c r="B91" s="15">
        <v>2</v>
      </c>
      <c r="C91" s="15">
        <v>0</v>
      </c>
      <c r="D91" s="15">
        <f t="shared" si="6"/>
        <v>2</v>
      </c>
      <c r="E91" s="15">
        <v>45</v>
      </c>
      <c r="F91" s="15">
        <v>4</v>
      </c>
      <c r="G91" s="15">
        <f t="shared" si="7"/>
        <v>49</v>
      </c>
      <c r="H91" s="15">
        <f t="shared" si="8"/>
        <v>51</v>
      </c>
    </row>
    <row r="92" spans="1:8" ht="16.5" thickTop="1" thickBot="1" x14ac:dyDescent="0.3">
      <c r="A92" s="8" t="s">
        <v>0</v>
      </c>
      <c r="B92" s="8">
        <f t="shared" ref="B92:H92" si="9">SUM(B7:B91)</f>
        <v>172</v>
      </c>
      <c r="C92" s="8">
        <f t="shared" si="9"/>
        <v>19</v>
      </c>
      <c r="D92" s="8">
        <f t="shared" si="9"/>
        <v>191</v>
      </c>
      <c r="E92" s="8">
        <f t="shared" si="9"/>
        <v>1594</v>
      </c>
      <c r="F92" s="8">
        <f t="shared" si="9"/>
        <v>96</v>
      </c>
      <c r="G92" s="8">
        <f t="shared" si="9"/>
        <v>1690</v>
      </c>
      <c r="H92" s="8">
        <f t="shared" si="9"/>
        <v>1881</v>
      </c>
    </row>
    <row r="93" spans="1:8" ht="15.75" thickBot="1" x14ac:dyDescent="0.3"/>
    <row r="94" spans="1:8" x14ac:dyDescent="0.25">
      <c r="A94" s="26" t="s">
        <v>74</v>
      </c>
      <c r="B94" s="28" t="s">
        <v>3</v>
      </c>
      <c r="C94" s="29"/>
      <c r="D94" s="29"/>
      <c r="E94" s="28" t="s">
        <v>4</v>
      </c>
      <c r="F94" s="29"/>
      <c r="G94" s="29"/>
      <c r="H94" s="26" t="s">
        <v>0</v>
      </c>
    </row>
    <row r="95" spans="1:8" x14ac:dyDescent="0.25">
      <c r="A95" s="27"/>
      <c r="B95" s="20" t="s">
        <v>82</v>
      </c>
      <c r="C95" s="21" t="s">
        <v>83</v>
      </c>
      <c r="D95" s="22" t="s">
        <v>0</v>
      </c>
      <c r="E95" s="20" t="s">
        <v>82</v>
      </c>
      <c r="F95" s="21" t="s">
        <v>83</v>
      </c>
      <c r="G95" s="22" t="s">
        <v>0</v>
      </c>
      <c r="H95" s="27"/>
    </row>
    <row r="96" spans="1:8" x14ac:dyDescent="0.25">
      <c r="A96" s="14" t="s">
        <v>75</v>
      </c>
      <c r="B96" s="6">
        <v>29</v>
      </c>
      <c r="C96" s="4">
        <v>4</v>
      </c>
      <c r="D96" s="5">
        <f t="shared" ref="D96:D106" si="10">SUM(B96:C96)</f>
        <v>33</v>
      </c>
      <c r="E96" s="6">
        <v>131</v>
      </c>
      <c r="F96" s="4">
        <v>6</v>
      </c>
      <c r="G96" s="5">
        <f t="shared" ref="G96:G106" si="11">SUM(E96:F96)</f>
        <v>137</v>
      </c>
      <c r="H96" s="9">
        <f t="shared" ref="H96:H106" si="12">D96+G96</f>
        <v>170</v>
      </c>
    </row>
    <row r="97" spans="1:8" x14ac:dyDescent="0.25">
      <c r="A97" s="14" t="s">
        <v>76</v>
      </c>
      <c r="B97" s="6">
        <v>3</v>
      </c>
      <c r="C97" s="4">
        <v>0</v>
      </c>
      <c r="D97" s="5">
        <f t="shared" si="10"/>
        <v>3</v>
      </c>
      <c r="E97" s="6">
        <v>101</v>
      </c>
      <c r="F97" s="4">
        <v>11</v>
      </c>
      <c r="G97" s="5">
        <f t="shared" si="11"/>
        <v>112</v>
      </c>
      <c r="H97" s="9">
        <f t="shared" si="12"/>
        <v>115</v>
      </c>
    </row>
    <row r="98" spans="1:8" x14ac:dyDescent="0.25">
      <c r="A98" s="14" t="s">
        <v>77</v>
      </c>
      <c r="B98" s="6">
        <v>17</v>
      </c>
      <c r="C98" s="4">
        <v>1</v>
      </c>
      <c r="D98" s="5">
        <f t="shared" si="10"/>
        <v>18</v>
      </c>
      <c r="E98" s="6">
        <v>451</v>
      </c>
      <c r="F98" s="4">
        <v>32</v>
      </c>
      <c r="G98" s="5">
        <f t="shared" si="11"/>
        <v>483</v>
      </c>
      <c r="H98" s="9">
        <f t="shared" si="12"/>
        <v>501</v>
      </c>
    </row>
    <row r="99" spans="1:8" x14ac:dyDescent="0.25">
      <c r="A99" s="14" t="s">
        <v>78</v>
      </c>
      <c r="B99" s="6">
        <v>10</v>
      </c>
      <c r="C99" s="4">
        <v>4</v>
      </c>
      <c r="D99" s="5">
        <f t="shared" si="10"/>
        <v>14</v>
      </c>
      <c r="E99" s="6">
        <v>278</v>
      </c>
      <c r="F99" s="4">
        <v>9</v>
      </c>
      <c r="G99" s="5">
        <f t="shared" ref="G99:G102" si="13">SUM(E99:F99)</f>
        <v>287</v>
      </c>
      <c r="H99" s="9">
        <f t="shared" ref="H99:H102" si="14">D99+G99</f>
        <v>301</v>
      </c>
    </row>
    <row r="100" spans="1:8" x14ac:dyDescent="0.25">
      <c r="A100" s="14" t="s">
        <v>1</v>
      </c>
      <c r="B100" s="6">
        <v>0</v>
      </c>
      <c r="C100" s="4">
        <v>0</v>
      </c>
      <c r="D100" s="5">
        <f t="shared" si="10"/>
        <v>0</v>
      </c>
      <c r="E100" s="6">
        <v>49</v>
      </c>
      <c r="F100" s="4">
        <v>1</v>
      </c>
      <c r="G100" s="5">
        <f t="shared" si="13"/>
        <v>50</v>
      </c>
      <c r="H100" s="9">
        <f t="shared" si="14"/>
        <v>50</v>
      </c>
    </row>
    <row r="101" spans="1:8" x14ac:dyDescent="0.25">
      <c r="A101" s="14" t="s">
        <v>79</v>
      </c>
      <c r="B101" s="6">
        <v>18</v>
      </c>
      <c r="C101" s="4">
        <v>3</v>
      </c>
      <c r="D101" s="5">
        <f t="shared" si="10"/>
        <v>21</v>
      </c>
      <c r="E101" s="6">
        <v>105</v>
      </c>
      <c r="F101" s="4">
        <v>10</v>
      </c>
      <c r="G101" s="5">
        <f t="shared" si="13"/>
        <v>115</v>
      </c>
      <c r="H101" s="9">
        <f t="shared" si="14"/>
        <v>136</v>
      </c>
    </row>
    <row r="102" spans="1:8" x14ac:dyDescent="0.25">
      <c r="A102" s="14" t="s">
        <v>80</v>
      </c>
      <c r="B102" s="6">
        <v>74</v>
      </c>
      <c r="C102" s="4">
        <v>6</v>
      </c>
      <c r="D102" s="5">
        <f t="shared" si="10"/>
        <v>80</v>
      </c>
      <c r="E102" s="6">
        <v>64</v>
      </c>
      <c r="F102" s="4">
        <v>7</v>
      </c>
      <c r="G102" s="5">
        <f t="shared" si="13"/>
        <v>71</v>
      </c>
      <c r="H102" s="9">
        <f t="shared" si="14"/>
        <v>151</v>
      </c>
    </row>
    <row r="103" spans="1:8" x14ac:dyDescent="0.25">
      <c r="A103" s="14" t="s">
        <v>81</v>
      </c>
      <c r="B103" s="6">
        <v>19</v>
      </c>
      <c r="C103" s="4">
        <v>1</v>
      </c>
      <c r="D103" s="5">
        <f t="shared" si="10"/>
        <v>20</v>
      </c>
      <c r="E103" s="6">
        <v>160</v>
      </c>
      <c r="F103" s="4">
        <v>7</v>
      </c>
      <c r="G103" s="5">
        <f t="shared" si="11"/>
        <v>167</v>
      </c>
      <c r="H103" s="9">
        <f t="shared" si="12"/>
        <v>187</v>
      </c>
    </row>
    <row r="104" spans="1:8" x14ac:dyDescent="0.25">
      <c r="A104" s="14" t="s">
        <v>107</v>
      </c>
      <c r="B104" s="6">
        <v>0</v>
      </c>
      <c r="C104" s="4">
        <v>0</v>
      </c>
      <c r="D104" s="5">
        <f t="shared" si="10"/>
        <v>0</v>
      </c>
      <c r="E104" s="6">
        <v>137</v>
      </c>
      <c r="F104" s="4">
        <v>2</v>
      </c>
      <c r="G104" s="5">
        <f t="shared" si="11"/>
        <v>139</v>
      </c>
      <c r="H104" s="9">
        <f t="shared" si="12"/>
        <v>139</v>
      </c>
    </row>
    <row r="105" spans="1:8" x14ac:dyDescent="0.25">
      <c r="A105" s="14" t="s">
        <v>111</v>
      </c>
      <c r="B105" s="6">
        <v>2</v>
      </c>
      <c r="C105" s="4">
        <v>0</v>
      </c>
      <c r="D105" s="5">
        <f t="shared" si="10"/>
        <v>2</v>
      </c>
      <c r="E105" s="6">
        <v>45</v>
      </c>
      <c r="F105" s="4">
        <v>4</v>
      </c>
      <c r="G105" s="5">
        <f t="shared" si="11"/>
        <v>49</v>
      </c>
      <c r="H105" s="9">
        <f t="shared" si="12"/>
        <v>51</v>
      </c>
    </row>
    <row r="106" spans="1:8" ht="15.75" thickBot="1" x14ac:dyDescent="0.3">
      <c r="A106" s="15" t="s">
        <v>105</v>
      </c>
      <c r="B106" s="11">
        <v>0</v>
      </c>
      <c r="C106" s="12">
        <v>0</v>
      </c>
      <c r="D106" s="12">
        <f t="shared" si="10"/>
        <v>0</v>
      </c>
      <c r="E106" s="11">
        <v>73</v>
      </c>
      <c r="F106" s="12">
        <v>7</v>
      </c>
      <c r="G106" s="13">
        <f t="shared" si="11"/>
        <v>80</v>
      </c>
      <c r="H106" s="16">
        <f t="shared" si="12"/>
        <v>80</v>
      </c>
    </row>
    <row r="107" spans="1:8" ht="16.5" thickTop="1" thickBot="1" x14ac:dyDescent="0.3">
      <c r="A107" s="8" t="s">
        <v>0</v>
      </c>
      <c r="B107" s="7">
        <f t="shared" ref="B107:H107" si="15">SUM(B96:B106)</f>
        <v>172</v>
      </c>
      <c r="C107" s="7">
        <f t="shared" si="15"/>
        <v>19</v>
      </c>
      <c r="D107" s="7">
        <f t="shared" si="15"/>
        <v>191</v>
      </c>
      <c r="E107" s="7">
        <f t="shared" si="15"/>
        <v>1594</v>
      </c>
      <c r="F107" s="7">
        <f t="shared" si="15"/>
        <v>96</v>
      </c>
      <c r="G107" s="7">
        <f t="shared" si="15"/>
        <v>1690</v>
      </c>
      <c r="H107" s="7">
        <f t="shared" si="15"/>
        <v>1881</v>
      </c>
    </row>
    <row r="109" spans="1:8" x14ac:dyDescent="0.25">
      <c r="A109" s="33" t="s">
        <v>86</v>
      </c>
      <c r="B109" s="33"/>
      <c r="C109" s="33"/>
      <c r="D109" s="33"/>
      <c r="E109" s="33"/>
      <c r="F109" s="33"/>
      <c r="G109" s="33"/>
      <c r="H109" s="33"/>
    </row>
    <row r="110" spans="1:8" x14ac:dyDescent="0.25">
      <c r="A110" s="33"/>
      <c r="B110" s="33"/>
      <c r="C110" s="33"/>
      <c r="D110" s="33"/>
      <c r="E110" s="33"/>
      <c r="F110" s="33"/>
      <c r="G110" s="33"/>
      <c r="H110" s="33"/>
    </row>
    <row r="111" spans="1:8" x14ac:dyDescent="0.25">
      <c r="A111" s="33"/>
      <c r="B111" s="33"/>
      <c r="C111" s="33"/>
      <c r="D111" s="33"/>
      <c r="E111" s="33"/>
      <c r="F111" s="33"/>
      <c r="G111" s="33"/>
      <c r="H111" s="33"/>
    </row>
    <row r="113" spans="1:8" x14ac:dyDescent="0.25">
      <c r="A113" s="34"/>
      <c r="B113" s="34"/>
      <c r="C113" s="34"/>
      <c r="D113" s="34"/>
      <c r="E113" s="34"/>
      <c r="F113" s="34"/>
      <c r="G113" s="34"/>
      <c r="H113" s="34"/>
    </row>
  </sheetData>
  <mergeCells count="11">
    <mergeCell ref="A2:H2"/>
    <mergeCell ref="A5:A6"/>
    <mergeCell ref="B5:D5"/>
    <mergeCell ref="E5:G5"/>
    <mergeCell ref="H5:H6"/>
    <mergeCell ref="A109:H111"/>
    <mergeCell ref="A113:H113"/>
    <mergeCell ref="A94:A95"/>
    <mergeCell ref="B94:D94"/>
    <mergeCell ref="E94:G94"/>
    <mergeCell ref="H94:H9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2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view="pageLayout" topLeftCell="A82" zoomScale="70" zoomScaleNormal="100" zoomScalePageLayoutView="70" workbookViewId="0">
      <selection activeCell="A97" sqref="A96:A97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1998-99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0</v>
      </c>
      <c r="C7" s="4">
        <v>0</v>
      </c>
      <c r="D7" s="5">
        <f>SUM(B7:C7)</f>
        <v>0</v>
      </c>
      <c r="E7" s="6">
        <v>21</v>
      </c>
      <c r="F7" s="4">
        <v>2</v>
      </c>
      <c r="G7" s="5">
        <f>SUM(E7:F7)</f>
        <v>23</v>
      </c>
      <c r="H7" s="9">
        <f>D7+G7</f>
        <v>23</v>
      </c>
    </row>
    <row r="8" spans="1:8" x14ac:dyDescent="0.25">
      <c r="A8" s="14" t="s">
        <v>6</v>
      </c>
      <c r="B8" s="6">
        <v>1</v>
      </c>
      <c r="C8" s="4">
        <v>0</v>
      </c>
      <c r="D8" s="5">
        <f t="shared" ref="D8:D81" si="0">SUM(B8:C8)</f>
        <v>1</v>
      </c>
      <c r="E8" s="6">
        <v>23</v>
      </c>
      <c r="F8" s="4">
        <v>3</v>
      </c>
      <c r="G8" s="5">
        <f t="shared" ref="G8:G81" si="1">SUM(E8:F8)</f>
        <v>26</v>
      </c>
      <c r="H8" s="9">
        <f t="shared" ref="H8:H81" si="2">D8+G8</f>
        <v>27</v>
      </c>
    </row>
    <row r="9" spans="1:8" x14ac:dyDescent="0.25">
      <c r="A9" s="14" t="s">
        <v>7</v>
      </c>
      <c r="B9" s="6">
        <v>10</v>
      </c>
      <c r="C9" s="4">
        <v>0</v>
      </c>
      <c r="D9" s="5">
        <f t="shared" si="0"/>
        <v>10</v>
      </c>
      <c r="E9" s="6">
        <v>50</v>
      </c>
      <c r="F9" s="4">
        <v>0</v>
      </c>
      <c r="G9" s="5">
        <f t="shared" si="1"/>
        <v>50</v>
      </c>
      <c r="H9" s="9">
        <f t="shared" si="2"/>
        <v>60</v>
      </c>
    </row>
    <row r="10" spans="1:8" x14ac:dyDescent="0.25">
      <c r="A10" s="14" t="s">
        <v>87</v>
      </c>
      <c r="B10" s="6">
        <v>11</v>
      </c>
      <c r="C10" s="4">
        <v>0</v>
      </c>
      <c r="D10" s="5">
        <f t="shared" si="0"/>
        <v>11</v>
      </c>
      <c r="E10" s="6">
        <v>100</v>
      </c>
      <c r="F10" s="4">
        <v>10</v>
      </c>
      <c r="G10" s="5">
        <f t="shared" si="1"/>
        <v>110</v>
      </c>
      <c r="H10" s="9">
        <f t="shared" si="2"/>
        <v>121</v>
      </c>
    </row>
    <row r="11" spans="1:8" x14ac:dyDescent="0.25">
      <c r="A11" s="14" t="s">
        <v>100</v>
      </c>
      <c r="B11" s="6">
        <v>0</v>
      </c>
      <c r="C11" s="4">
        <v>0</v>
      </c>
      <c r="D11" s="5">
        <f t="shared" ref="D11:D12" si="3">SUM(B11:C11)</f>
        <v>0</v>
      </c>
      <c r="E11" s="6">
        <v>19</v>
      </c>
      <c r="F11" s="4">
        <v>1</v>
      </c>
      <c r="G11" s="5">
        <f t="shared" ref="G11:G12" si="4">SUM(E11:F11)</f>
        <v>20</v>
      </c>
      <c r="H11" s="9">
        <f t="shared" ref="H11:H12" si="5">D11+G11</f>
        <v>20</v>
      </c>
    </row>
    <row r="12" spans="1:8" x14ac:dyDescent="0.25">
      <c r="A12" s="14" t="s">
        <v>9</v>
      </c>
      <c r="B12" s="6">
        <v>1</v>
      </c>
      <c r="C12" s="4">
        <v>0</v>
      </c>
      <c r="D12" s="5">
        <f t="shared" si="3"/>
        <v>1</v>
      </c>
      <c r="E12" s="6">
        <v>5</v>
      </c>
      <c r="F12" s="4">
        <v>0</v>
      </c>
      <c r="G12" s="5">
        <f t="shared" si="4"/>
        <v>5</v>
      </c>
      <c r="H12" s="9">
        <f t="shared" si="5"/>
        <v>6</v>
      </c>
    </row>
    <row r="13" spans="1:8" x14ac:dyDescent="0.25">
      <c r="A13" s="14" t="s">
        <v>10</v>
      </c>
      <c r="B13" s="6">
        <v>2</v>
      </c>
      <c r="C13" s="4">
        <v>1</v>
      </c>
      <c r="D13" s="5">
        <f t="shared" si="0"/>
        <v>3</v>
      </c>
      <c r="E13" s="6">
        <v>9</v>
      </c>
      <c r="F13" s="4">
        <v>1</v>
      </c>
      <c r="G13" s="5">
        <f t="shared" si="1"/>
        <v>10</v>
      </c>
      <c r="H13" s="9">
        <f t="shared" si="2"/>
        <v>13</v>
      </c>
    </row>
    <row r="14" spans="1:8" x14ac:dyDescent="0.25">
      <c r="A14" s="14" t="s">
        <v>88</v>
      </c>
      <c r="B14" s="6">
        <v>0</v>
      </c>
      <c r="C14" s="4">
        <v>0</v>
      </c>
      <c r="D14" s="5">
        <f t="shared" si="0"/>
        <v>0</v>
      </c>
      <c r="E14" s="6">
        <v>0</v>
      </c>
      <c r="F14" s="4">
        <v>0</v>
      </c>
      <c r="G14" s="5">
        <f t="shared" si="1"/>
        <v>0</v>
      </c>
      <c r="H14" s="9">
        <f t="shared" si="2"/>
        <v>0</v>
      </c>
    </row>
    <row r="15" spans="1:8" x14ac:dyDescent="0.25">
      <c r="A15" s="14" t="s">
        <v>101</v>
      </c>
      <c r="B15" s="6">
        <v>0</v>
      </c>
      <c r="C15" s="4">
        <v>1</v>
      </c>
      <c r="D15" s="5">
        <f t="shared" si="0"/>
        <v>1</v>
      </c>
      <c r="E15" s="6">
        <v>0</v>
      </c>
      <c r="F15" s="4">
        <v>2</v>
      </c>
      <c r="G15" s="5">
        <f t="shared" si="1"/>
        <v>2</v>
      </c>
      <c r="H15" s="9">
        <f t="shared" si="2"/>
        <v>3</v>
      </c>
    </row>
    <row r="16" spans="1:8" x14ac:dyDescent="0.25">
      <c r="A16" s="14" t="s">
        <v>12</v>
      </c>
      <c r="B16" s="6">
        <v>4</v>
      </c>
      <c r="C16" s="4">
        <v>0</v>
      </c>
      <c r="D16" s="5">
        <f t="shared" si="0"/>
        <v>4</v>
      </c>
      <c r="E16" s="6">
        <v>3</v>
      </c>
      <c r="F16" s="4">
        <v>0</v>
      </c>
      <c r="G16" s="5">
        <f t="shared" si="1"/>
        <v>3</v>
      </c>
      <c r="H16" s="9">
        <f t="shared" si="2"/>
        <v>7</v>
      </c>
    </row>
    <row r="17" spans="1:8" x14ac:dyDescent="0.25">
      <c r="A17" s="14" t="s">
        <v>13</v>
      </c>
      <c r="B17" s="6">
        <v>3</v>
      </c>
      <c r="C17" s="4">
        <v>4</v>
      </c>
      <c r="D17" s="5">
        <f t="shared" si="0"/>
        <v>7</v>
      </c>
      <c r="E17" s="6">
        <v>6</v>
      </c>
      <c r="F17" s="4">
        <v>1</v>
      </c>
      <c r="G17" s="5">
        <f t="shared" si="1"/>
        <v>7</v>
      </c>
      <c r="H17" s="9">
        <f t="shared" si="2"/>
        <v>14</v>
      </c>
    </row>
    <row r="18" spans="1:8" x14ac:dyDescent="0.25">
      <c r="A18" s="14" t="s">
        <v>14</v>
      </c>
      <c r="B18" s="6">
        <v>0</v>
      </c>
      <c r="C18" s="4">
        <v>0</v>
      </c>
      <c r="D18" s="5">
        <f t="shared" si="0"/>
        <v>0</v>
      </c>
      <c r="E18" s="6">
        <v>9</v>
      </c>
      <c r="F18" s="4">
        <v>3</v>
      </c>
      <c r="G18" s="5">
        <f t="shared" si="1"/>
        <v>12</v>
      </c>
      <c r="H18" s="9">
        <f t="shared" si="2"/>
        <v>12</v>
      </c>
    </row>
    <row r="19" spans="1:8" x14ac:dyDescent="0.25">
      <c r="A19" s="14" t="s">
        <v>15</v>
      </c>
      <c r="B19" s="6">
        <v>0</v>
      </c>
      <c r="C19" s="4">
        <v>0</v>
      </c>
      <c r="D19" s="5">
        <f t="shared" si="0"/>
        <v>0</v>
      </c>
      <c r="E19" s="6">
        <v>2</v>
      </c>
      <c r="F19" s="4">
        <v>2</v>
      </c>
      <c r="G19" s="5">
        <f t="shared" si="1"/>
        <v>4</v>
      </c>
      <c r="H19" s="9">
        <f t="shared" si="2"/>
        <v>4</v>
      </c>
    </row>
    <row r="20" spans="1:8" x14ac:dyDescent="0.25">
      <c r="A20" s="14" t="s">
        <v>16</v>
      </c>
      <c r="B20" s="6">
        <v>0</v>
      </c>
      <c r="C20" s="4">
        <v>0</v>
      </c>
      <c r="D20" s="5">
        <f t="shared" si="0"/>
        <v>0</v>
      </c>
      <c r="E20" s="6">
        <v>2</v>
      </c>
      <c r="F20" s="4">
        <v>1</v>
      </c>
      <c r="G20" s="5">
        <f t="shared" si="1"/>
        <v>3</v>
      </c>
      <c r="H20" s="9">
        <f t="shared" si="2"/>
        <v>3</v>
      </c>
    </row>
    <row r="21" spans="1:8" x14ac:dyDescent="0.25">
      <c r="A21" s="14" t="s">
        <v>17</v>
      </c>
      <c r="B21" s="6">
        <v>6</v>
      </c>
      <c r="C21" s="4">
        <v>6</v>
      </c>
      <c r="D21" s="5">
        <f t="shared" si="0"/>
        <v>12</v>
      </c>
      <c r="E21" s="6">
        <v>14</v>
      </c>
      <c r="F21" s="4">
        <v>5</v>
      </c>
      <c r="G21" s="5">
        <f t="shared" si="1"/>
        <v>19</v>
      </c>
      <c r="H21" s="9">
        <f t="shared" si="2"/>
        <v>31</v>
      </c>
    </row>
    <row r="22" spans="1:8" x14ac:dyDescent="0.25">
      <c r="A22" s="14" t="s">
        <v>18</v>
      </c>
      <c r="B22" s="6">
        <v>1</v>
      </c>
      <c r="C22" s="4">
        <v>1</v>
      </c>
      <c r="D22" s="5">
        <f t="shared" si="0"/>
        <v>2</v>
      </c>
      <c r="E22" s="6">
        <v>159</v>
      </c>
      <c r="F22" s="4">
        <v>3</v>
      </c>
      <c r="G22" s="5">
        <f t="shared" si="1"/>
        <v>162</v>
      </c>
      <c r="H22" s="9">
        <f t="shared" si="2"/>
        <v>164</v>
      </c>
    </row>
    <row r="23" spans="1:8" x14ac:dyDescent="0.25">
      <c r="A23" s="14" t="s">
        <v>19</v>
      </c>
      <c r="B23" s="6">
        <v>1</v>
      </c>
      <c r="C23" s="4">
        <v>0</v>
      </c>
      <c r="D23" s="5">
        <f t="shared" si="0"/>
        <v>1</v>
      </c>
      <c r="E23" s="6">
        <v>5</v>
      </c>
      <c r="F23" s="4">
        <v>1</v>
      </c>
      <c r="G23" s="5">
        <f t="shared" si="1"/>
        <v>6</v>
      </c>
      <c r="H23" s="9">
        <f t="shared" si="2"/>
        <v>7</v>
      </c>
    </row>
    <row r="24" spans="1:8" x14ac:dyDescent="0.25">
      <c r="A24" s="14" t="s">
        <v>20</v>
      </c>
      <c r="B24" s="6">
        <v>0</v>
      </c>
      <c r="C24" s="4">
        <v>0</v>
      </c>
      <c r="D24" s="5">
        <f t="shared" si="0"/>
        <v>0</v>
      </c>
      <c r="E24" s="6">
        <v>2</v>
      </c>
      <c r="F24" s="4">
        <v>1</v>
      </c>
      <c r="G24" s="5">
        <f t="shared" si="1"/>
        <v>3</v>
      </c>
      <c r="H24" s="9">
        <f t="shared" si="2"/>
        <v>3</v>
      </c>
    </row>
    <row r="25" spans="1:8" x14ac:dyDescent="0.25">
      <c r="A25" s="14" t="s">
        <v>21</v>
      </c>
      <c r="B25" s="6">
        <v>3</v>
      </c>
      <c r="C25" s="4">
        <v>0</v>
      </c>
      <c r="D25" s="5">
        <f t="shared" si="0"/>
        <v>3</v>
      </c>
      <c r="E25" s="6">
        <v>6</v>
      </c>
      <c r="F25" s="4">
        <v>1</v>
      </c>
      <c r="G25" s="5">
        <f t="shared" si="1"/>
        <v>7</v>
      </c>
      <c r="H25" s="9">
        <f t="shared" si="2"/>
        <v>10</v>
      </c>
    </row>
    <row r="26" spans="1:8" x14ac:dyDescent="0.25">
      <c r="A26" s="14" t="s">
        <v>102</v>
      </c>
      <c r="B26" s="6">
        <v>0</v>
      </c>
      <c r="C26" s="4">
        <v>0</v>
      </c>
      <c r="D26" s="5">
        <f t="shared" si="0"/>
        <v>0</v>
      </c>
      <c r="E26" s="6">
        <v>0</v>
      </c>
      <c r="F26" s="4">
        <v>0</v>
      </c>
      <c r="G26" s="5">
        <f t="shared" si="1"/>
        <v>0</v>
      </c>
      <c r="H26" s="9">
        <f t="shared" si="2"/>
        <v>0</v>
      </c>
    </row>
    <row r="27" spans="1:8" x14ac:dyDescent="0.25">
      <c r="A27" s="14" t="s">
        <v>22</v>
      </c>
      <c r="B27" s="6">
        <v>0</v>
      </c>
      <c r="C27" s="4">
        <v>0</v>
      </c>
      <c r="D27" s="5">
        <f t="shared" si="0"/>
        <v>0</v>
      </c>
      <c r="E27" s="6">
        <v>8</v>
      </c>
      <c r="F27" s="4">
        <v>0</v>
      </c>
      <c r="G27" s="5">
        <f t="shared" si="1"/>
        <v>8</v>
      </c>
      <c r="H27" s="9">
        <f t="shared" si="2"/>
        <v>8</v>
      </c>
    </row>
    <row r="28" spans="1:8" x14ac:dyDescent="0.25">
      <c r="A28" s="14" t="s">
        <v>23</v>
      </c>
      <c r="B28" s="6">
        <v>2</v>
      </c>
      <c r="C28" s="4">
        <v>0</v>
      </c>
      <c r="D28" s="5">
        <f t="shared" si="0"/>
        <v>2</v>
      </c>
      <c r="E28" s="6">
        <v>8</v>
      </c>
      <c r="F28" s="4">
        <v>0</v>
      </c>
      <c r="G28" s="5">
        <f t="shared" si="1"/>
        <v>8</v>
      </c>
      <c r="H28" s="9">
        <f t="shared" si="2"/>
        <v>10</v>
      </c>
    </row>
    <row r="29" spans="1:8" x14ac:dyDescent="0.25">
      <c r="A29" s="14" t="s">
        <v>94</v>
      </c>
      <c r="B29" s="6">
        <v>0</v>
      </c>
      <c r="C29" s="4">
        <v>0</v>
      </c>
      <c r="D29" s="5">
        <f t="shared" si="0"/>
        <v>0</v>
      </c>
      <c r="E29" s="6">
        <v>2</v>
      </c>
      <c r="F29" s="4">
        <v>0</v>
      </c>
      <c r="G29" s="5">
        <f t="shared" si="1"/>
        <v>2</v>
      </c>
      <c r="H29" s="9">
        <f t="shared" si="2"/>
        <v>2</v>
      </c>
    </row>
    <row r="30" spans="1:8" x14ac:dyDescent="0.25">
      <c r="A30" s="14" t="s">
        <v>24</v>
      </c>
      <c r="B30" s="6">
        <v>2</v>
      </c>
      <c r="C30" s="4">
        <v>0</v>
      </c>
      <c r="D30" s="5">
        <f t="shared" si="0"/>
        <v>2</v>
      </c>
      <c r="E30" s="6">
        <v>8</v>
      </c>
      <c r="F30" s="4">
        <v>0</v>
      </c>
      <c r="G30" s="5">
        <f t="shared" si="1"/>
        <v>8</v>
      </c>
      <c r="H30" s="9">
        <f t="shared" si="2"/>
        <v>10</v>
      </c>
    </row>
    <row r="31" spans="1:8" x14ac:dyDescent="0.25">
      <c r="A31" s="14" t="s">
        <v>71</v>
      </c>
      <c r="B31" s="6">
        <v>16</v>
      </c>
      <c r="C31" s="4">
        <v>0</v>
      </c>
      <c r="D31" s="5">
        <f t="shared" si="0"/>
        <v>16</v>
      </c>
      <c r="E31" s="6">
        <v>9</v>
      </c>
      <c r="F31" s="4">
        <v>0</v>
      </c>
      <c r="G31" s="5">
        <f t="shared" si="1"/>
        <v>9</v>
      </c>
      <c r="H31" s="9">
        <f t="shared" si="2"/>
        <v>25</v>
      </c>
    </row>
    <row r="32" spans="1:8" x14ac:dyDescent="0.25">
      <c r="A32" s="14" t="s">
        <v>72</v>
      </c>
      <c r="B32" s="6">
        <v>5</v>
      </c>
      <c r="C32" s="4">
        <v>1</v>
      </c>
      <c r="D32" s="5">
        <f t="shared" si="0"/>
        <v>6</v>
      </c>
      <c r="E32" s="6">
        <v>13</v>
      </c>
      <c r="F32" s="4">
        <v>1</v>
      </c>
      <c r="G32" s="5">
        <f t="shared" si="1"/>
        <v>14</v>
      </c>
      <c r="H32" s="9">
        <f t="shared" si="2"/>
        <v>20</v>
      </c>
    </row>
    <row r="33" spans="1:8" x14ac:dyDescent="0.25">
      <c r="A33" s="14" t="s">
        <v>25</v>
      </c>
      <c r="B33" s="6">
        <v>0</v>
      </c>
      <c r="C33" s="4">
        <v>0</v>
      </c>
      <c r="D33" s="5">
        <f t="shared" si="0"/>
        <v>0</v>
      </c>
      <c r="E33" s="6">
        <v>8</v>
      </c>
      <c r="F33" s="4">
        <v>1</v>
      </c>
      <c r="G33" s="5">
        <f t="shared" si="1"/>
        <v>9</v>
      </c>
      <c r="H33" s="9">
        <f t="shared" si="2"/>
        <v>9</v>
      </c>
    </row>
    <row r="34" spans="1:8" x14ac:dyDescent="0.25">
      <c r="A34" s="14" t="s">
        <v>26</v>
      </c>
      <c r="B34" s="6">
        <v>7</v>
      </c>
      <c r="C34" s="4">
        <v>0</v>
      </c>
      <c r="D34" s="5">
        <f t="shared" si="0"/>
        <v>7</v>
      </c>
      <c r="E34" s="6">
        <v>45</v>
      </c>
      <c r="F34" s="4">
        <v>0</v>
      </c>
      <c r="G34" s="5">
        <f t="shared" si="1"/>
        <v>45</v>
      </c>
      <c r="H34" s="9">
        <f t="shared" si="2"/>
        <v>52</v>
      </c>
    </row>
    <row r="35" spans="1:8" x14ac:dyDescent="0.25">
      <c r="A35" s="14" t="s">
        <v>73</v>
      </c>
      <c r="B35" s="6">
        <v>0</v>
      </c>
      <c r="C35" s="4">
        <v>0</v>
      </c>
      <c r="D35" s="5">
        <f t="shared" si="0"/>
        <v>0</v>
      </c>
      <c r="E35" s="6">
        <v>17</v>
      </c>
      <c r="F35" s="4">
        <v>1</v>
      </c>
      <c r="G35" s="5">
        <f t="shared" si="1"/>
        <v>18</v>
      </c>
      <c r="H35" s="9">
        <f t="shared" si="2"/>
        <v>18</v>
      </c>
    </row>
    <row r="36" spans="1:8" x14ac:dyDescent="0.25">
      <c r="A36" s="14" t="s">
        <v>27</v>
      </c>
      <c r="B36" s="6">
        <v>3</v>
      </c>
      <c r="C36" s="4">
        <v>0</v>
      </c>
      <c r="D36" s="5">
        <f t="shared" si="0"/>
        <v>3</v>
      </c>
      <c r="E36" s="6">
        <v>14</v>
      </c>
      <c r="F36" s="4">
        <v>0</v>
      </c>
      <c r="G36" s="5">
        <f t="shared" si="1"/>
        <v>14</v>
      </c>
      <c r="H36" s="9">
        <f t="shared" si="2"/>
        <v>17</v>
      </c>
    </row>
    <row r="37" spans="1:8" x14ac:dyDescent="0.25">
      <c r="A37" s="14" t="s">
        <v>28</v>
      </c>
      <c r="B37" s="6">
        <v>3</v>
      </c>
      <c r="C37" s="4">
        <v>0</v>
      </c>
      <c r="D37" s="5">
        <f t="shared" si="0"/>
        <v>3</v>
      </c>
      <c r="E37" s="6">
        <v>3</v>
      </c>
      <c r="F37" s="4">
        <v>0</v>
      </c>
      <c r="G37" s="5">
        <f t="shared" si="1"/>
        <v>3</v>
      </c>
      <c r="H37" s="9">
        <f t="shared" si="2"/>
        <v>6</v>
      </c>
    </row>
    <row r="38" spans="1:8" x14ac:dyDescent="0.25">
      <c r="A38" s="14" t="s">
        <v>1</v>
      </c>
      <c r="B38" s="6">
        <v>1</v>
      </c>
      <c r="C38" s="4">
        <v>0</v>
      </c>
      <c r="D38" s="5">
        <f t="shared" si="0"/>
        <v>1</v>
      </c>
      <c r="E38" s="6">
        <v>53</v>
      </c>
      <c r="F38" s="4">
        <v>5</v>
      </c>
      <c r="G38" s="5">
        <f t="shared" si="1"/>
        <v>58</v>
      </c>
      <c r="H38" s="9">
        <f t="shared" si="2"/>
        <v>59</v>
      </c>
    </row>
    <row r="39" spans="1:8" x14ac:dyDescent="0.25">
      <c r="A39" s="14" t="s">
        <v>29</v>
      </c>
      <c r="B39" s="6">
        <v>1</v>
      </c>
      <c r="C39" s="4">
        <v>0</v>
      </c>
      <c r="D39" s="5">
        <f t="shared" si="0"/>
        <v>1</v>
      </c>
      <c r="E39" s="6">
        <v>63</v>
      </c>
      <c r="F39" s="4">
        <v>3</v>
      </c>
      <c r="G39" s="5">
        <f t="shared" si="1"/>
        <v>66</v>
      </c>
      <c r="H39" s="9">
        <f t="shared" si="2"/>
        <v>67</v>
      </c>
    </row>
    <row r="40" spans="1:8" x14ac:dyDescent="0.25">
      <c r="A40" s="14" t="s">
        <v>30</v>
      </c>
      <c r="B40" s="6">
        <v>8</v>
      </c>
      <c r="C40" s="4">
        <v>0</v>
      </c>
      <c r="D40" s="5">
        <f t="shared" si="0"/>
        <v>8</v>
      </c>
      <c r="E40" s="6">
        <v>0</v>
      </c>
      <c r="F40" s="4">
        <v>2</v>
      </c>
      <c r="G40" s="5">
        <f t="shared" si="1"/>
        <v>2</v>
      </c>
      <c r="H40" s="9">
        <f t="shared" si="2"/>
        <v>10</v>
      </c>
    </row>
    <row r="41" spans="1:8" x14ac:dyDescent="0.25">
      <c r="A41" s="14" t="s">
        <v>31</v>
      </c>
      <c r="B41" s="6">
        <v>6</v>
      </c>
      <c r="C41" s="4">
        <v>1</v>
      </c>
      <c r="D41" s="5">
        <f t="shared" si="0"/>
        <v>7</v>
      </c>
      <c r="E41" s="6">
        <v>29</v>
      </c>
      <c r="F41" s="4">
        <v>3</v>
      </c>
      <c r="G41" s="5">
        <f t="shared" si="1"/>
        <v>32</v>
      </c>
      <c r="H41" s="9">
        <f t="shared" si="2"/>
        <v>39</v>
      </c>
    </row>
    <row r="42" spans="1:8" x14ac:dyDescent="0.25">
      <c r="A42" s="14" t="s">
        <v>32</v>
      </c>
      <c r="B42" s="6">
        <v>0</v>
      </c>
      <c r="C42" s="4">
        <v>0</v>
      </c>
      <c r="D42" s="5">
        <f t="shared" si="0"/>
        <v>0</v>
      </c>
      <c r="E42" s="6">
        <v>19</v>
      </c>
      <c r="F42" s="4">
        <v>1</v>
      </c>
      <c r="G42" s="5">
        <f t="shared" si="1"/>
        <v>20</v>
      </c>
      <c r="H42" s="9">
        <f t="shared" si="2"/>
        <v>20</v>
      </c>
    </row>
    <row r="43" spans="1:8" x14ac:dyDescent="0.25">
      <c r="A43" s="14" t="s">
        <v>33</v>
      </c>
      <c r="B43" s="6">
        <v>1</v>
      </c>
      <c r="C43" s="4">
        <v>0</v>
      </c>
      <c r="D43" s="5">
        <f t="shared" si="0"/>
        <v>1</v>
      </c>
      <c r="E43" s="6">
        <v>0</v>
      </c>
      <c r="F43" s="4">
        <v>0</v>
      </c>
      <c r="G43" s="5">
        <f t="shared" si="1"/>
        <v>0</v>
      </c>
      <c r="H43" s="9">
        <f t="shared" si="2"/>
        <v>1</v>
      </c>
    </row>
    <row r="44" spans="1:8" x14ac:dyDescent="0.25">
      <c r="A44" s="14" t="s">
        <v>34</v>
      </c>
      <c r="B44" s="6">
        <v>0</v>
      </c>
      <c r="C44" s="4">
        <v>0</v>
      </c>
      <c r="D44" s="5">
        <f t="shared" si="0"/>
        <v>0</v>
      </c>
      <c r="E44" s="6">
        <v>5</v>
      </c>
      <c r="F44" s="4">
        <v>0</v>
      </c>
      <c r="G44" s="5">
        <f t="shared" si="1"/>
        <v>5</v>
      </c>
      <c r="H44" s="9">
        <f t="shared" si="2"/>
        <v>5</v>
      </c>
    </row>
    <row r="45" spans="1:8" x14ac:dyDescent="0.25">
      <c r="A45" s="14" t="s">
        <v>35</v>
      </c>
      <c r="B45" s="6">
        <v>0</v>
      </c>
      <c r="C45" s="4">
        <v>0</v>
      </c>
      <c r="D45" s="5">
        <f t="shared" si="0"/>
        <v>0</v>
      </c>
      <c r="E45" s="6">
        <v>10</v>
      </c>
      <c r="F45" s="4">
        <v>0</v>
      </c>
      <c r="G45" s="5">
        <f t="shared" si="1"/>
        <v>10</v>
      </c>
      <c r="H45" s="9">
        <f t="shared" si="2"/>
        <v>10</v>
      </c>
    </row>
    <row r="46" spans="1:8" x14ac:dyDescent="0.25">
      <c r="A46" s="14" t="s">
        <v>36</v>
      </c>
      <c r="B46" s="6">
        <v>0</v>
      </c>
      <c r="C46" s="4">
        <v>0</v>
      </c>
      <c r="D46" s="5">
        <f t="shared" si="0"/>
        <v>0</v>
      </c>
      <c r="E46" s="6">
        <v>10</v>
      </c>
      <c r="F46" s="4">
        <v>0</v>
      </c>
      <c r="G46" s="5">
        <f t="shared" si="1"/>
        <v>10</v>
      </c>
      <c r="H46" s="9">
        <f t="shared" si="2"/>
        <v>10</v>
      </c>
    </row>
    <row r="47" spans="1:8" x14ac:dyDescent="0.25">
      <c r="A47" s="14" t="s">
        <v>38</v>
      </c>
      <c r="B47" s="6">
        <v>67</v>
      </c>
      <c r="C47" s="4">
        <v>1</v>
      </c>
      <c r="D47" s="5">
        <f t="shared" si="0"/>
        <v>68</v>
      </c>
      <c r="E47" s="6">
        <v>4</v>
      </c>
      <c r="F47" s="4">
        <v>0</v>
      </c>
      <c r="G47" s="5">
        <f t="shared" si="1"/>
        <v>4</v>
      </c>
      <c r="H47" s="9">
        <f t="shared" si="2"/>
        <v>72</v>
      </c>
    </row>
    <row r="48" spans="1:8" x14ac:dyDescent="0.25">
      <c r="A48" s="14" t="s">
        <v>39</v>
      </c>
      <c r="B48" s="6">
        <v>2</v>
      </c>
      <c r="C48" s="4">
        <v>0</v>
      </c>
      <c r="D48" s="5">
        <f t="shared" si="0"/>
        <v>2</v>
      </c>
      <c r="E48" s="6">
        <v>22</v>
      </c>
      <c r="F48" s="4">
        <v>0</v>
      </c>
      <c r="G48" s="5">
        <f t="shared" si="1"/>
        <v>22</v>
      </c>
      <c r="H48" s="9">
        <f t="shared" si="2"/>
        <v>24</v>
      </c>
    </row>
    <row r="49" spans="1:8" x14ac:dyDescent="0.25">
      <c r="A49" s="14" t="s">
        <v>40</v>
      </c>
      <c r="B49" s="6">
        <v>0</v>
      </c>
      <c r="C49" s="4">
        <v>0</v>
      </c>
      <c r="D49" s="5">
        <f t="shared" si="0"/>
        <v>0</v>
      </c>
      <c r="E49" s="6">
        <v>47</v>
      </c>
      <c r="F49" s="4">
        <v>2</v>
      </c>
      <c r="G49" s="5">
        <f t="shared" si="1"/>
        <v>49</v>
      </c>
      <c r="H49" s="9">
        <f t="shared" si="2"/>
        <v>49</v>
      </c>
    </row>
    <row r="50" spans="1:8" x14ac:dyDescent="0.25">
      <c r="A50" s="14" t="s">
        <v>103</v>
      </c>
      <c r="B50" s="6">
        <v>0</v>
      </c>
      <c r="C50" s="4">
        <v>0</v>
      </c>
      <c r="D50" s="5">
        <f t="shared" si="0"/>
        <v>0</v>
      </c>
      <c r="E50" s="6">
        <v>8</v>
      </c>
      <c r="F50" s="4">
        <v>1</v>
      </c>
      <c r="G50" s="5">
        <f t="shared" si="1"/>
        <v>9</v>
      </c>
      <c r="H50" s="9">
        <f t="shared" si="2"/>
        <v>9</v>
      </c>
    </row>
    <row r="51" spans="1:8" x14ac:dyDescent="0.25">
      <c r="A51" s="14" t="s">
        <v>41</v>
      </c>
      <c r="B51" s="6">
        <v>2</v>
      </c>
      <c r="C51" s="4">
        <v>0</v>
      </c>
      <c r="D51" s="5">
        <f t="shared" si="0"/>
        <v>2</v>
      </c>
      <c r="E51" s="6">
        <v>3</v>
      </c>
      <c r="F51" s="4">
        <v>0</v>
      </c>
      <c r="G51" s="5">
        <f t="shared" si="1"/>
        <v>3</v>
      </c>
      <c r="H51" s="9">
        <f t="shared" si="2"/>
        <v>5</v>
      </c>
    </row>
    <row r="52" spans="1:8" x14ac:dyDescent="0.25">
      <c r="A52" s="14" t="s">
        <v>42</v>
      </c>
      <c r="B52" s="6">
        <v>0</v>
      </c>
      <c r="C52" s="4">
        <v>0</v>
      </c>
      <c r="D52" s="5">
        <f t="shared" si="0"/>
        <v>0</v>
      </c>
      <c r="E52" s="6">
        <v>0</v>
      </c>
      <c r="F52" s="4">
        <v>0</v>
      </c>
      <c r="G52" s="5">
        <f t="shared" si="1"/>
        <v>0</v>
      </c>
      <c r="H52" s="9">
        <f t="shared" si="2"/>
        <v>0</v>
      </c>
    </row>
    <row r="53" spans="1:8" x14ac:dyDescent="0.25">
      <c r="A53" s="14" t="s">
        <v>43</v>
      </c>
      <c r="B53" s="6">
        <v>0</v>
      </c>
      <c r="C53" s="4">
        <v>0</v>
      </c>
      <c r="D53" s="5">
        <f t="shared" si="0"/>
        <v>0</v>
      </c>
      <c r="E53" s="6">
        <v>6</v>
      </c>
      <c r="F53" s="4">
        <v>0</v>
      </c>
      <c r="G53" s="5">
        <f t="shared" si="1"/>
        <v>6</v>
      </c>
      <c r="H53" s="9">
        <f t="shared" si="2"/>
        <v>6</v>
      </c>
    </row>
    <row r="54" spans="1:8" x14ac:dyDescent="0.25">
      <c r="A54" s="14" t="s">
        <v>44</v>
      </c>
      <c r="B54" s="6">
        <v>0</v>
      </c>
      <c r="C54" s="4">
        <v>0</v>
      </c>
      <c r="D54" s="5">
        <f t="shared" si="0"/>
        <v>0</v>
      </c>
      <c r="E54" s="6">
        <v>5</v>
      </c>
      <c r="F54" s="4">
        <v>0</v>
      </c>
      <c r="G54" s="5">
        <f t="shared" si="1"/>
        <v>5</v>
      </c>
      <c r="H54" s="9">
        <f t="shared" si="2"/>
        <v>5</v>
      </c>
    </row>
    <row r="55" spans="1:8" x14ac:dyDescent="0.25">
      <c r="A55" s="14" t="s">
        <v>45</v>
      </c>
      <c r="B55" s="6">
        <v>1</v>
      </c>
      <c r="C55" s="4">
        <v>2</v>
      </c>
      <c r="D55" s="5">
        <f t="shared" si="0"/>
        <v>3</v>
      </c>
      <c r="E55" s="6">
        <v>1</v>
      </c>
      <c r="F55" s="4">
        <v>0</v>
      </c>
      <c r="G55" s="5">
        <f t="shared" si="1"/>
        <v>1</v>
      </c>
      <c r="H55" s="9">
        <f t="shared" si="2"/>
        <v>4</v>
      </c>
    </row>
    <row r="56" spans="1:8" x14ac:dyDescent="0.25">
      <c r="A56" s="14" t="s">
        <v>46</v>
      </c>
      <c r="B56" s="6">
        <v>0</v>
      </c>
      <c r="C56" s="4">
        <v>0</v>
      </c>
      <c r="D56" s="5">
        <f t="shared" si="0"/>
        <v>0</v>
      </c>
      <c r="E56" s="6">
        <v>0</v>
      </c>
      <c r="F56" s="4">
        <v>0</v>
      </c>
      <c r="G56" s="5">
        <f t="shared" si="1"/>
        <v>0</v>
      </c>
      <c r="H56" s="9">
        <f t="shared" si="2"/>
        <v>0</v>
      </c>
    </row>
    <row r="57" spans="1:8" x14ac:dyDescent="0.25">
      <c r="A57" s="14" t="s">
        <v>47</v>
      </c>
      <c r="B57" s="6">
        <v>1</v>
      </c>
      <c r="C57" s="4">
        <v>0</v>
      </c>
      <c r="D57" s="5">
        <f t="shared" si="0"/>
        <v>1</v>
      </c>
      <c r="E57" s="6">
        <v>5</v>
      </c>
      <c r="F57" s="4">
        <v>1</v>
      </c>
      <c r="G57" s="5">
        <f t="shared" si="1"/>
        <v>6</v>
      </c>
      <c r="H57" s="9">
        <f t="shared" si="2"/>
        <v>7</v>
      </c>
    </row>
    <row r="58" spans="1:8" x14ac:dyDescent="0.25">
      <c r="A58" s="14" t="s">
        <v>48</v>
      </c>
      <c r="B58" s="6">
        <v>0</v>
      </c>
      <c r="C58" s="4">
        <v>0</v>
      </c>
      <c r="D58" s="5">
        <f t="shared" si="0"/>
        <v>0</v>
      </c>
      <c r="E58" s="6">
        <v>0</v>
      </c>
      <c r="F58" s="4">
        <v>0</v>
      </c>
      <c r="G58" s="5">
        <f t="shared" si="1"/>
        <v>0</v>
      </c>
      <c r="H58" s="9">
        <f t="shared" si="2"/>
        <v>0</v>
      </c>
    </row>
    <row r="59" spans="1:8" x14ac:dyDescent="0.25">
      <c r="A59" s="14" t="s">
        <v>49</v>
      </c>
      <c r="B59" s="6">
        <v>14</v>
      </c>
      <c r="C59" s="4">
        <v>1</v>
      </c>
      <c r="D59" s="5">
        <f t="shared" si="0"/>
        <v>15</v>
      </c>
      <c r="E59" s="6">
        <v>0</v>
      </c>
      <c r="F59" s="4">
        <v>0</v>
      </c>
      <c r="G59" s="5">
        <f t="shared" si="1"/>
        <v>0</v>
      </c>
      <c r="H59" s="9">
        <f t="shared" si="2"/>
        <v>15</v>
      </c>
    </row>
    <row r="60" spans="1:8" x14ac:dyDescent="0.25">
      <c r="A60" s="14" t="s">
        <v>50</v>
      </c>
      <c r="B60" s="6">
        <v>0</v>
      </c>
      <c r="C60" s="4">
        <v>0</v>
      </c>
      <c r="D60" s="5">
        <f t="shared" si="0"/>
        <v>0</v>
      </c>
      <c r="E60" s="6">
        <v>1</v>
      </c>
      <c r="F60" s="4">
        <v>0</v>
      </c>
      <c r="G60" s="5">
        <f t="shared" si="1"/>
        <v>1</v>
      </c>
      <c r="H60" s="9">
        <f t="shared" si="2"/>
        <v>1</v>
      </c>
    </row>
    <row r="61" spans="1:8" x14ac:dyDescent="0.25">
      <c r="A61" s="14" t="s">
        <v>104</v>
      </c>
      <c r="B61" s="6">
        <v>0</v>
      </c>
      <c r="C61" s="4">
        <v>0</v>
      </c>
      <c r="D61" s="5">
        <f t="shared" si="0"/>
        <v>0</v>
      </c>
      <c r="E61" s="6">
        <v>4</v>
      </c>
      <c r="F61" s="4">
        <v>0</v>
      </c>
      <c r="G61" s="5">
        <f t="shared" si="1"/>
        <v>4</v>
      </c>
      <c r="H61" s="9">
        <f t="shared" si="2"/>
        <v>4</v>
      </c>
    </row>
    <row r="62" spans="1:8" x14ac:dyDescent="0.25">
      <c r="A62" s="14" t="s">
        <v>95</v>
      </c>
      <c r="B62" s="6">
        <v>0</v>
      </c>
      <c r="C62" s="4">
        <v>0</v>
      </c>
      <c r="D62" s="5">
        <f t="shared" si="0"/>
        <v>0</v>
      </c>
      <c r="E62" s="6">
        <v>7</v>
      </c>
      <c r="F62" s="4">
        <v>0</v>
      </c>
      <c r="G62" s="5">
        <f t="shared" si="1"/>
        <v>7</v>
      </c>
      <c r="H62" s="9">
        <f t="shared" si="2"/>
        <v>7</v>
      </c>
    </row>
    <row r="63" spans="1:8" x14ac:dyDescent="0.25">
      <c r="A63" s="14" t="s">
        <v>96</v>
      </c>
      <c r="B63" s="6">
        <v>0</v>
      </c>
      <c r="C63" s="4">
        <v>0</v>
      </c>
      <c r="D63" s="5">
        <f t="shared" si="0"/>
        <v>0</v>
      </c>
      <c r="E63" s="6">
        <v>2</v>
      </c>
      <c r="F63" s="4">
        <v>0</v>
      </c>
      <c r="G63" s="5">
        <f t="shared" si="1"/>
        <v>2</v>
      </c>
      <c r="H63" s="9">
        <f t="shared" si="2"/>
        <v>2</v>
      </c>
    </row>
    <row r="64" spans="1:8" x14ac:dyDescent="0.25">
      <c r="A64" s="14" t="s">
        <v>89</v>
      </c>
      <c r="B64" s="6">
        <v>0</v>
      </c>
      <c r="C64" s="4">
        <v>0</v>
      </c>
      <c r="D64" s="5">
        <f t="shared" si="0"/>
        <v>0</v>
      </c>
      <c r="E64" s="6">
        <v>7</v>
      </c>
      <c r="F64" s="4">
        <v>1</v>
      </c>
      <c r="G64" s="5">
        <f t="shared" si="1"/>
        <v>8</v>
      </c>
      <c r="H64" s="9">
        <f t="shared" si="2"/>
        <v>8</v>
      </c>
    </row>
    <row r="65" spans="1:8" x14ac:dyDescent="0.25">
      <c r="A65" s="14" t="s">
        <v>52</v>
      </c>
      <c r="B65" s="6">
        <v>0</v>
      </c>
      <c r="C65" s="4">
        <v>0</v>
      </c>
      <c r="D65" s="5">
        <f t="shared" si="0"/>
        <v>0</v>
      </c>
      <c r="E65" s="6">
        <v>4</v>
      </c>
      <c r="F65" s="4">
        <v>1</v>
      </c>
      <c r="G65" s="5">
        <f t="shared" si="1"/>
        <v>5</v>
      </c>
      <c r="H65" s="9">
        <f t="shared" si="2"/>
        <v>5</v>
      </c>
    </row>
    <row r="66" spans="1:8" x14ac:dyDescent="0.25">
      <c r="A66" s="14" t="s">
        <v>53</v>
      </c>
      <c r="B66" s="6">
        <v>0</v>
      </c>
      <c r="C66" s="4">
        <v>0</v>
      </c>
      <c r="D66" s="5">
        <f t="shared" si="0"/>
        <v>0</v>
      </c>
      <c r="E66" s="6">
        <v>1</v>
      </c>
      <c r="F66" s="4">
        <v>0</v>
      </c>
      <c r="G66" s="5">
        <f t="shared" si="1"/>
        <v>1</v>
      </c>
      <c r="H66" s="9">
        <f t="shared" si="2"/>
        <v>1</v>
      </c>
    </row>
    <row r="67" spans="1:8" x14ac:dyDescent="0.25">
      <c r="A67" s="14" t="s">
        <v>54</v>
      </c>
      <c r="B67" s="6">
        <v>3</v>
      </c>
      <c r="C67" s="4">
        <v>0</v>
      </c>
      <c r="D67" s="5">
        <f t="shared" si="0"/>
        <v>3</v>
      </c>
      <c r="E67" s="6">
        <v>0</v>
      </c>
      <c r="F67" s="4">
        <v>0</v>
      </c>
      <c r="G67" s="5">
        <f t="shared" si="1"/>
        <v>0</v>
      </c>
      <c r="H67" s="9">
        <f t="shared" si="2"/>
        <v>3</v>
      </c>
    </row>
    <row r="68" spans="1:8" x14ac:dyDescent="0.25">
      <c r="A68" s="14" t="s">
        <v>55</v>
      </c>
      <c r="B68" s="6">
        <v>0</v>
      </c>
      <c r="C68" s="4">
        <v>0</v>
      </c>
      <c r="D68" s="5">
        <f t="shared" si="0"/>
        <v>0</v>
      </c>
      <c r="E68" s="6">
        <v>27</v>
      </c>
      <c r="F68" s="4">
        <v>2</v>
      </c>
      <c r="G68" s="5">
        <f t="shared" si="1"/>
        <v>29</v>
      </c>
      <c r="H68" s="9">
        <f t="shared" si="2"/>
        <v>29</v>
      </c>
    </row>
    <row r="69" spans="1:8" x14ac:dyDescent="0.25">
      <c r="A69" s="14" t="s">
        <v>56</v>
      </c>
      <c r="B69" s="6">
        <v>0</v>
      </c>
      <c r="C69" s="4">
        <v>0</v>
      </c>
      <c r="D69" s="5">
        <f t="shared" si="0"/>
        <v>0</v>
      </c>
      <c r="E69" s="6">
        <v>26</v>
      </c>
      <c r="F69" s="4">
        <v>0</v>
      </c>
      <c r="G69" s="5">
        <f t="shared" si="1"/>
        <v>26</v>
      </c>
      <c r="H69" s="9">
        <f t="shared" si="2"/>
        <v>26</v>
      </c>
    </row>
    <row r="70" spans="1:8" x14ac:dyDescent="0.25">
      <c r="A70" s="14" t="s">
        <v>91</v>
      </c>
      <c r="B70" s="6">
        <v>0</v>
      </c>
      <c r="C70" s="4">
        <v>0</v>
      </c>
      <c r="D70" s="5">
        <f t="shared" si="0"/>
        <v>0</v>
      </c>
      <c r="E70" s="6">
        <v>1</v>
      </c>
      <c r="F70" s="4">
        <v>0</v>
      </c>
      <c r="G70" s="5">
        <f t="shared" si="1"/>
        <v>1</v>
      </c>
      <c r="H70" s="9">
        <f t="shared" si="2"/>
        <v>1</v>
      </c>
    </row>
    <row r="71" spans="1:8" x14ac:dyDescent="0.25">
      <c r="A71" s="14" t="s">
        <v>57</v>
      </c>
      <c r="B71" s="6">
        <v>0</v>
      </c>
      <c r="C71" s="4">
        <v>0</v>
      </c>
      <c r="D71" s="5">
        <f t="shared" si="0"/>
        <v>0</v>
      </c>
      <c r="E71" s="6">
        <v>12</v>
      </c>
      <c r="F71" s="4">
        <v>2</v>
      </c>
      <c r="G71" s="5">
        <f t="shared" si="1"/>
        <v>14</v>
      </c>
      <c r="H71" s="9">
        <f t="shared" si="2"/>
        <v>14</v>
      </c>
    </row>
    <row r="72" spans="1:8" x14ac:dyDescent="0.25">
      <c r="A72" s="14" t="s">
        <v>59</v>
      </c>
      <c r="B72" s="6">
        <v>0</v>
      </c>
      <c r="C72" s="4">
        <v>0</v>
      </c>
      <c r="D72" s="5">
        <f t="shared" si="0"/>
        <v>0</v>
      </c>
      <c r="E72" s="6">
        <v>2</v>
      </c>
      <c r="F72" s="4">
        <v>0</v>
      </c>
      <c r="G72" s="5">
        <f t="shared" si="1"/>
        <v>2</v>
      </c>
      <c r="H72" s="9">
        <f t="shared" si="2"/>
        <v>2</v>
      </c>
    </row>
    <row r="73" spans="1:8" x14ac:dyDescent="0.25">
      <c r="A73" s="14" t="s">
        <v>60</v>
      </c>
      <c r="B73" s="6">
        <v>0</v>
      </c>
      <c r="C73" s="4">
        <v>0</v>
      </c>
      <c r="D73" s="5">
        <f t="shared" si="0"/>
        <v>0</v>
      </c>
      <c r="E73" s="6">
        <v>10</v>
      </c>
      <c r="F73" s="4">
        <v>2</v>
      </c>
      <c r="G73" s="5">
        <f t="shared" si="1"/>
        <v>12</v>
      </c>
      <c r="H73" s="9">
        <f t="shared" si="2"/>
        <v>12</v>
      </c>
    </row>
    <row r="74" spans="1:8" x14ac:dyDescent="0.25">
      <c r="A74" s="14" t="s">
        <v>61</v>
      </c>
      <c r="B74" s="6">
        <v>0</v>
      </c>
      <c r="C74" s="4">
        <v>0</v>
      </c>
      <c r="D74" s="5">
        <f t="shared" si="0"/>
        <v>0</v>
      </c>
      <c r="E74" s="6">
        <v>2</v>
      </c>
      <c r="F74" s="4">
        <v>0</v>
      </c>
      <c r="G74" s="5">
        <f t="shared" si="1"/>
        <v>2</v>
      </c>
      <c r="H74" s="9">
        <f t="shared" si="2"/>
        <v>2</v>
      </c>
    </row>
    <row r="75" spans="1:8" x14ac:dyDescent="0.25">
      <c r="A75" s="14" t="s">
        <v>62</v>
      </c>
      <c r="B75" s="6">
        <v>0</v>
      </c>
      <c r="C75" s="4">
        <v>0</v>
      </c>
      <c r="D75" s="5">
        <f t="shared" si="0"/>
        <v>0</v>
      </c>
      <c r="E75" s="6">
        <v>0</v>
      </c>
      <c r="F75" s="4">
        <v>0</v>
      </c>
      <c r="G75" s="5">
        <f t="shared" si="1"/>
        <v>0</v>
      </c>
      <c r="H75" s="9">
        <f t="shared" si="2"/>
        <v>0</v>
      </c>
    </row>
    <row r="76" spans="1:8" x14ac:dyDescent="0.25">
      <c r="A76" s="14" t="s">
        <v>63</v>
      </c>
      <c r="B76" s="6">
        <v>0</v>
      </c>
      <c r="C76" s="4">
        <v>0</v>
      </c>
      <c r="D76" s="5">
        <f t="shared" si="0"/>
        <v>0</v>
      </c>
      <c r="E76" s="6">
        <v>2</v>
      </c>
      <c r="F76" s="4">
        <v>0</v>
      </c>
      <c r="G76" s="5">
        <f t="shared" si="1"/>
        <v>2</v>
      </c>
      <c r="H76" s="9">
        <f t="shared" si="2"/>
        <v>2</v>
      </c>
    </row>
    <row r="77" spans="1:8" x14ac:dyDescent="0.25">
      <c r="A77" s="14" t="s">
        <v>97</v>
      </c>
      <c r="B77" s="6">
        <v>1</v>
      </c>
      <c r="C77" s="4">
        <v>0</v>
      </c>
      <c r="D77" s="5">
        <f t="shared" si="0"/>
        <v>1</v>
      </c>
      <c r="E77" s="6">
        <v>0</v>
      </c>
      <c r="F77" s="4">
        <v>0</v>
      </c>
      <c r="G77" s="5">
        <f t="shared" si="1"/>
        <v>0</v>
      </c>
      <c r="H77" s="9">
        <f t="shared" si="2"/>
        <v>1</v>
      </c>
    </row>
    <row r="78" spans="1:8" x14ac:dyDescent="0.25">
      <c r="A78" s="14" t="s">
        <v>65</v>
      </c>
      <c r="B78" s="6">
        <v>0</v>
      </c>
      <c r="C78" s="4">
        <v>0</v>
      </c>
      <c r="D78" s="5">
        <f t="shared" si="0"/>
        <v>0</v>
      </c>
      <c r="E78" s="6">
        <v>74</v>
      </c>
      <c r="F78" s="4">
        <v>0</v>
      </c>
      <c r="G78" s="5">
        <f t="shared" si="1"/>
        <v>74</v>
      </c>
      <c r="H78" s="9">
        <f t="shared" si="2"/>
        <v>74</v>
      </c>
    </row>
    <row r="79" spans="1:8" x14ac:dyDescent="0.25">
      <c r="A79" s="14" t="s">
        <v>66</v>
      </c>
      <c r="B79" s="6">
        <v>0</v>
      </c>
      <c r="C79" s="4">
        <v>0</v>
      </c>
      <c r="D79" s="5">
        <f t="shared" si="0"/>
        <v>0</v>
      </c>
      <c r="E79" s="6">
        <v>17</v>
      </c>
      <c r="F79" s="4">
        <v>0</v>
      </c>
      <c r="G79" s="5">
        <f t="shared" si="1"/>
        <v>17</v>
      </c>
      <c r="H79" s="9">
        <f t="shared" si="2"/>
        <v>17</v>
      </c>
    </row>
    <row r="80" spans="1:8" x14ac:dyDescent="0.25">
      <c r="A80" s="14" t="s">
        <v>67</v>
      </c>
      <c r="B80" s="6">
        <v>0</v>
      </c>
      <c r="C80" s="4">
        <v>0</v>
      </c>
      <c r="D80" s="5">
        <f t="shared" si="0"/>
        <v>0</v>
      </c>
      <c r="E80" s="6">
        <v>8</v>
      </c>
      <c r="F80" s="4">
        <v>3</v>
      </c>
      <c r="G80" s="5">
        <f t="shared" si="1"/>
        <v>11</v>
      </c>
      <c r="H80" s="9">
        <f t="shared" si="2"/>
        <v>11</v>
      </c>
    </row>
    <row r="81" spans="1:8" x14ac:dyDescent="0.25">
      <c r="A81" s="14" t="s">
        <v>68</v>
      </c>
      <c r="B81" s="6">
        <v>0</v>
      </c>
      <c r="C81" s="4">
        <v>0</v>
      </c>
      <c r="D81" s="5">
        <f t="shared" si="0"/>
        <v>0</v>
      </c>
      <c r="E81" s="6">
        <v>30</v>
      </c>
      <c r="F81" s="4">
        <v>7</v>
      </c>
      <c r="G81" s="5">
        <f t="shared" si="1"/>
        <v>37</v>
      </c>
      <c r="H81" s="9">
        <f t="shared" si="2"/>
        <v>37</v>
      </c>
    </row>
    <row r="82" spans="1:8" x14ac:dyDescent="0.25">
      <c r="A82" s="14" t="s">
        <v>69</v>
      </c>
      <c r="B82" s="6">
        <v>0</v>
      </c>
      <c r="C82" s="4">
        <v>0</v>
      </c>
      <c r="D82" s="5">
        <f t="shared" ref="D82:D86" si="6">SUM(B82:C82)</f>
        <v>0</v>
      </c>
      <c r="E82" s="6">
        <v>2</v>
      </c>
      <c r="F82" s="4">
        <v>0</v>
      </c>
      <c r="G82" s="5">
        <f t="shared" ref="G82:G86" si="7">SUM(E82:F82)</f>
        <v>2</v>
      </c>
      <c r="H82" s="9">
        <f t="shared" ref="H82:H86" si="8">D82+G82</f>
        <v>2</v>
      </c>
    </row>
    <row r="83" spans="1:8" x14ac:dyDescent="0.25">
      <c r="A83" s="14" t="s">
        <v>92</v>
      </c>
      <c r="B83" s="6">
        <v>0</v>
      </c>
      <c r="C83" s="4">
        <v>0</v>
      </c>
      <c r="D83" s="5">
        <f t="shared" si="6"/>
        <v>0</v>
      </c>
      <c r="E83" s="6">
        <v>103</v>
      </c>
      <c r="F83" s="4">
        <v>10</v>
      </c>
      <c r="G83" s="5">
        <f t="shared" si="7"/>
        <v>113</v>
      </c>
      <c r="H83" s="9">
        <f t="shared" si="8"/>
        <v>113</v>
      </c>
    </row>
    <row r="84" spans="1:8" x14ac:dyDescent="0.25">
      <c r="A84" s="14" t="s">
        <v>99</v>
      </c>
      <c r="B84" s="6">
        <v>0</v>
      </c>
      <c r="C84" s="4">
        <v>0</v>
      </c>
      <c r="D84" s="5">
        <f t="shared" si="6"/>
        <v>0</v>
      </c>
      <c r="E84" s="6">
        <v>39</v>
      </c>
      <c r="F84" s="4">
        <v>0</v>
      </c>
      <c r="G84" s="5">
        <f t="shared" si="7"/>
        <v>39</v>
      </c>
      <c r="H84" s="9">
        <f t="shared" si="8"/>
        <v>39</v>
      </c>
    </row>
    <row r="85" spans="1:8" x14ac:dyDescent="0.25">
      <c r="A85" s="14" t="s">
        <v>70</v>
      </c>
      <c r="B85" s="6">
        <v>0</v>
      </c>
      <c r="C85" s="4">
        <v>0</v>
      </c>
      <c r="D85" s="5">
        <f t="shared" si="6"/>
        <v>0</v>
      </c>
      <c r="E85" s="6">
        <v>22</v>
      </c>
      <c r="F85" s="4">
        <v>5</v>
      </c>
      <c r="G85" s="5">
        <f t="shared" si="7"/>
        <v>27</v>
      </c>
      <c r="H85" s="9">
        <f t="shared" si="8"/>
        <v>27</v>
      </c>
    </row>
    <row r="86" spans="1:8" ht="15.75" thickBot="1" x14ac:dyDescent="0.3">
      <c r="A86" s="15" t="s">
        <v>105</v>
      </c>
      <c r="B86" s="11">
        <v>0</v>
      </c>
      <c r="C86" s="12">
        <v>0</v>
      </c>
      <c r="D86" s="23">
        <f t="shared" si="6"/>
        <v>0</v>
      </c>
      <c r="E86" s="11">
        <v>97</v>
      </c>
      <c r="F86" s="12">
        <v>9</v>
      </c>
      <c r="G86" s="23">
        <f t="shared" si="7"/>
        <v>106</v>
      </c>
      <c r="H86" s="16">
        <f t="shared" si="8"/>
        <v>106</v>
      </c>
    </row>
    <row r="87" spans="1:8" ht="16.5" thickTop="1" thickBot="1" x14ac:dyDescent="0.3">
      <c r="A87" s="8" t="s">
        <v>0</v>
      </c>
      <c r="B87" s="7">
        <f t="shared" ref="B87:H87" si="9">SUM(B7:B86)</f>
        <v>189</v>
      </c>
      <c r="C87" s="7">
        <f t="shared" si="9"/>
        <v>19</v>
      </c>
      <c r="D87" s="7">
        <f t="shared" si="9"/>
        <v>208</v>
      </c>
      <c r="E87" s="7">
        <f t="shared" si="9"/>
        <v>1360</v>
      </c>
      <c r="F87" s="7">
        <f t="shared" si="9"/>
        <v>100</v>
      </c>
      <c r="G87" s="7">
        <f t="shared" si="9"/>
        <v>1460</v>
      </c>
      <c r="H87" s="7">
        <f t="shared" si="9"/>
        <v>1668</v>
      </c>
    </row>
    <row r="88" spans="1:8" ht="15.75" thickBot="1" x14ac:dyDescent="0.3"/>
    <row r="89" spans="1:8" x14ac:dyDescent="0.25">
      <c r="A89" s="26" t="s">
        <v>74</v>
      </c>
      <c r="B89" s="28" t="s">
        <v>3</v>
      </c>
      <c r="C89" s="29"/>
      <c r="D89" s="29"/>
      <c r="E89" s="28" t="s">
        <v>4</v>
      </c>
      <c r="F89" s="29"/>
      <c r="G89" s="29"/>
      <c r="H89" s="26" t="s">
        <v>0</v>
      </c>
    </row>
    <row r="90" spans="1:8" x14ac:dyDescent="0.25">
      <c r="A90" s="27"/>
      <c r="B90" s="20" t="s">
        <v>82</v>
      </c>
      <c r="C90" s="21" t="s">
        <v>83</v>
      </c>
      <c r="D90" s="22" t="s">
        <v>0</v>
      </c>
      <c r="E90" s="20" t="s">
        <v>82</v>
      </c>
      <c r="F90" s="21" t="s">
        <v>83</v>
      </c>
      <c r="G90" s="22" t="s">
        <v>0</v>
      </c>
      <c r="H90" s="27"/>
    </row>
    <row r="91" spans="1:8" x14ac:dyDescent="0.25">
      <c r="A91" s="14" t="s">
        <v>75</v>
      </c>
      <c r="B91" s="6">
        <v>34</v>
      </c>
      <c r="C91" s="4">
        <v>1</v>
      </c>
      <c r="D91" s="5">
        <f t="shared" ref="D91:D99" si="10">SUM(B91:C91)</f>
        <v>35</v>
      </c>
      <c r="E91" s="6">
        <v>137</v>
      </c>
      <c r="F91" s="4">
        <v>9</v>
      </c>
      <c r="G91" s="5">
        <f t="shared" ref="G91:G99" si="11">SUM(E91:F91)</f>
        <v>146</v>
      </c>
      <c r="H91" s="9">
        <f t="shared" ref="H91:H99" si="12">D91+G91</f>
        <v>181</v>
      </c>
    </row>
    <row r="92" spans="1:8" x14ac:dyDescent="0.25">
      <c r="A92" s="14" t="s">
        <v>76</v>
      </c>
      <c r="B92" s="6">
        <v>11</v>
      </c>
      <c r="C92" s="4">
        <v>0</v>
      </c>
      <c r="D92" s="5">
        <f t="shared" si="10"/>
        <v>11</v>
      </c>
      <c r="E92" s="6">
        <v>102</v>
      </c>
      <c r="F92" s="4">
        <v>12</v>
      </c>
      <c r="G92" s="5">
        <f t="shared" si="11"/>
        <v>114</v>
      </c>
      <c r="H92" s="9">
        <f t="shared" si="12"/>
        <v>125</v>
      </c>
    </row>
    <row r="93" spans="1:8" x14ac:dyDescent="0.25">
      <c r="A93" s="14" t="s">
        <v>77</v>
      </c>
      <c r="B93" s="6">
        <v>15</v>
      </c>
      <c r="C93" s="4">
        <v>1</v>
      </c>
      <c r="D93" s="5">
        <f t="shared" si="10"/>
        <v>16</v>
      </c>
      <c r="E93" s="6">
        <v>405</v>
      </c>
      <c r="F93" s="4">
        <v>33</v>
      </c>
      <c r="G93" s="5">
        <f t="shared" si="11"/>
        <v>438</v>
      </c>
      <c r="H93" s="9">
        <f t="shared" si="12"/>
        <v>454</v>
      </c>
    </row>
    <row r="94" spans="1:8" x14ac:dyDescent="0.25">
      <c r="A94" s="14" t="s">
        <v>78</v>
      </c>
      <c r="B94" s="6">
        <v>10</v>
      </c>
      <c r="C94" s="4">
        <v>7</v>
      </c>
      <c r="D94" s="5">
        <f t="shared" ref="D94" si="13">SUM(B94:C94)</f>
        <v>17</v>
      </c>
      <c r="E94" s="6">
        <v>215</v>
      </c>
      <c r="F94" s="4">
        <v>10</v>
      </c>
      <c r="G94" s="5">
        <f t="shared" ref="G94" si="14">SUM(E94:F94)</f>
        <v>225</v>
      </c>
      <c r="H94" s="9">
        <f t="shared" ref="H94" si="15">D94+G94</f>
        <v>242</v>
      </c>
    </row>
    <row r="95" spans="1:8" x14ac:dyDescent="0.25">
      <c r="A95" s="14" t="s">
        <v>1</v>
      </c>
      <c r="B95" s="6">
        <v>1</v>
      </c>
      <c r="C95" s="4">
        <v>0</v>
      </c>
      <c r="D95" s="5">
        <f t="shared" si="10"/>
        <v>1</v>
      </c>
      <c r="E95" s="6">
        <v>53</v>
      </c>
      <c r="F95" s="4">
        <v>5</v>
      </c>
      <c r="G95" s="5">
        <f t="shared" si="11"/>
        <v>58</v>
      </c>
      <c r="H95" s="9">
        <f t="shared" si="12"/>
        <v>59</v>
      </c>
    </row>
    <row r="96" spans="1:8" x14ac:dyDescent="0.25">
      <c r="A96" s="14" t="s">
        <v>79</v>
      </c>
      <c r="B96" s="6">
        <v>11</v>
      </c>
      <c r="C96" s="4">
        <v>1</v>
      </c>
      <c r="D96" s="5">
        <f t="shared" si="10"/>
        <v>12</v>
      </c>
      <c r="E96" s="6">
        <v>122</v>
      </c>
      <c r="F96" s="4">
        <v>5</v>
      </c>
      <c r="G96" s="5">
        <f t="shared" si="11"/>
        <v>127</v>
      </c>
      <c r="H96" s="9">
        <f t="shared" si="12"/>
        <v>139</v>
      </c>
    </row>
    <row r="97" spans="1:8" x14ac:dyDescent="0.25">
      <c r="A97" s="14" t="s">
        <v>80</v>
      </c>
      <c r="B97" s="6">
        <v>83</v>
      </c>
      <c r="C97" s="4">
        <v>3</v>
      </c>
      <c r="D97" s="5">
        <f t="shared" si="10"/>
        <v>86</v>
      </c>
      <c r="E97" s="6">
        <v>55</v>
      </c>
      <c r="F97" s="4">
        <v>6</v>
      </c>
      <c r="G97" s="5">
        <f t="shared" si="11"/>
        <v>61</v>
      </c>
      <c r="H97" s="9">
        <f t="shared" si="12"/>
        <v>147</v>
      </c>
    </row>
    <row r="98" spans="1:8" x14ac:dyDescent="0.25">
      <c r="A98" s="14" t="s">
        <v>81</v>
      </c>
      <c r="B98" s="6">
        <v>24</v>
      </c>
      <c r="C98" s="4">
        <v>6</v>
      </c>
      <c r="D98" s="5">
        <f t="shared" si="10"/>
        <v>30</v>
      </c>
      <c r="E98" s="6">
        <v>174</v>
      </c>
      <c r="F98" s="4">
        <v>11</v>
      </c>
      <c r="G98" s="5">
        <f t="shared" si="11"/>
        <v>185</v>
      </c>
      <c r="H98" s="9">
        <f t="shared" si="12"/>
        <v>215</v>
      </c>
    </row>
    <row r="99" spans="1:8" ht="15.75" thickBot="1" x14ac:dyDescent="0.3">
      <c r="A99" s="15" t="s">
        <v>105</v>
      </c>
      <c r="B99" s="11">
        <v>0</v>
      </c>
      <c r="C99" s="12">
        <v>0</v>
      </c>
      <c r="D99" s="12">
        <f t="shared" si="10"/>
        <v>0</v>
      </c>
      <c r="E99" s="11">
        <v>97</v>
      </c>
      <c r="F99" s="12">
        <v>9</v>
      </c>
      <c r="G99" s="13">
        <f t="shared" si="11"/>
        <v>106</v>
      </c>
      <c r="H99" s="16">
        <f t="shared" si="12"/>
        <v>106</v>
      </c>
    </row>
    <row r="100" spans="1:8" ht="16.5" thickTop="1" thickBot="1" x14ac:dyDescent="0.3">
      <c r="A100" s="8" t="s">
        <v>0</v>
      </c>
      <c r="B100" s="7">
        <f>SUM(B91:B99)</f>
        <v>189</v>
      </c>
      <c r="C100" s="7">
        <f t="shared" ref="C100:H100" si="16">SUM(C91:C99)</f>
        <v>19</v>
      </c>
      <c r="D100" s="7">
        <f t="shared" si="16"/>
        <v>208</v>
      </c>
      <c r="E100" s="7">
        <f t="shared" si="16"/>
        <v>1360</v>
      </c>
      <c r="F100" s="7">
        <f t="shared" si="16"/>
        <v>100</v>
      </c>
      <c r="G100" s="7">
        <f t="shared" si="16"/>
        <v>1460</v>
      </c>
      <c r="H100" s="7">
        <f t="shared" si="16"/>
        <v>1668</v>
      </c>
    </row>
    <row r="102" spans="1:8" x14ac:dyDescent="0.25">
      <c r="A102" s="33" t="s">
        <v>86</v>
      </c>
      <c r="B102" s="33"/>
      <c r="C102" s="33"/>
      <c r="D102" s="33"/>
      <c r="E102" s="33"/>
      <c r="F102" s="33"/>
      <c r="G102" s="33"/>
      <c r="H102" s="33"/>
    </row>
    <row r="103" spans="1:8" x14ac:dyDescent="0.25">
      <c r="A103" s="33"/>
      <c r="B103" s="33"/>
      <c r="C103" s="33"/>
      <c r="D103" s="33"/>
      <c r="E103" s="33"/>
      <c r="F103" s="33"/>
      <c r="G103" s="33"/>
      <c r="H103" s="33"/>
    </row>
    <row r="104" spans="1:8" x14ac:dyDescent="0.25">
      <c r="A104" s="33"/>
      <c r="B104" s="33"/>
      <c r="C104" s="33"/>
      <c r="D104" s="33"/>
      <c r="E104" s="33"/>
      <c r="F104" s="33"/>
      <c r="G104" s="33"/>
      <c r="H104" s="33"/>
    </row>
    <row r="106" spans="1:8" x14ac:dyDescent="0.25">
      <c r="A106" s="34"/>
      <c r="B106" s="34"/>
      <c r="C106" s="34"/>
      <c r="D106" s="34"/>
      <c r="E106" s="34"/>
      <c r="F106" s="34"/>
      <c r="G106" s="34"/>
      <c r="H106" s="34"/>
    </row>
  </sheetData>
  <mergeCells count="11">
    <mergeCell ref="A2:H2"/>
    <mergeCell ref="A5:A6"/>
    <mergeCell ref="B5:D5"/>
    <mergeCell ref="E5:G5"/>
    <mergeCell ref="H5:H6"/>
    <mergeCell ref="A102:H104"/>
    <mergeCell ref="A106:H106"/>
    <mergeCell ref="A89:A90"/>
    <mergeCell ref="B89:D89"/>
    <mergeCell ref="E89:G89"/>
    <mergeCell ref="H89:H90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view="pageLayout" topLeftCell="B73" zoomScale="70" zoomScaleNormal="100" zoomScalePageLayoutView="70" workbookViewId="0">
      <selection activeCell="A99" sqref="A99:H101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1997-98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4</v>
      </c>
      <c r="C7" s="4">
        <v>1</v>
      </c>
      <c r="D7" s="5">
        <f>SUM(B7:C7)</f>
        <v>5</v>
      </c>
      <c r="E7" s="6">
        <v>24</v>
      </c>
      <c r="F7" s="4">
        <v>2</v>
      </c>
      <c r="G7" s="5">
        <f>SUM(E7:F7)</f>
        <v>26</v>
      </c>
      <c r="H7" s="9">
        <f>D7+G7</f>
        <v>31</v>
      </c>
    </row>
    <row r="8" spans="1:8" x14ac:dyDescent="0.25">
      <c r="A8" s="14" t="s">
        <v>6</v>
      </c>
      <c r="B8" s="6">
        <v>2</v>
      </c>
      <c r="C8" s="4">
        <v>0</v>
      </c>
      <c r="D8" s="5">
        <f t="shared" ref="D8:D79" si="0">SUM(B8:C8)</f>
        <v>2</v>
      </c>
      <c r="E8" s="6">
        <v>26</v>
      </c>
      <c r="F8" s="4">
        <v>3</v>
      </c>
      <c r="G8" s="5">
        <f t="shared" ref="G8:G79" si="1">SUM(E8:F8)</f>
        <v>29</v>
      </c>
      <c r="H8" s="9">
        <f t="shared" ref="H8:H79" si="2">D8+G8</f>
        <v>31</v>
      </c>
    </row>
    <row r="9" spans="1:8" x14ac:dyDescent="0.25">
      <c r="A9" s="14" t="s">
        <v>7</v>
      </c>
      <c r="B9" s="6">
        <v>10</v>
      </c>
      <c r="C9" s="4">
        <v>1</v>
      </c>
      <c r="D9" s="5">
        <f t="shared" si="0"/>
        <v>11</v>
      </c>
      <c r="E9" s="6">
        <v>49</v>
      </c>
      <c r="F9" s="4">
        <v>1</v>
      </c>
      <c r="G9" s="5">
        <f t="shared" si="1"/>
        <v>50</v>
      </c>
      <c r="H9" s="9">
        <f t="shared" si="2"/>
        <v>61</v>
      </c>
    </row>
    <row r="10" spans="1:8" x14ac:dyDescent="0.25">
      <c r="A10" s="14" t="s">
        <v>87</v>
      </c>
      <c r="B10" s="6">
        <v>4</v>
      </c>
      <c r="C10" s="4">
        <v>0</v>
      </c>
      <c r="D10" s="5">
        <f t="shared" si="0"/>
        <v>4</v>
      </c>
      <c r="E10" s="6">
        <v>95</v>
      </c>
      <c r="F10" s="4">
        <v>7</v>
      </c>
      <c r="G10" s="5">
        <f t="shared" si="1"/>
        <v>102</v>
      </c>
      <c r="H10" s="9">
        <f t="shared" si="2"/>
        <v>106</v>
      </c>
    </row>
    <row r="11" spans="1:8" x14ac:dyDescent="0.25">
      <c r="A11" s="14" t="s">
        <v>9</v>
      </c>
      <c r="B11" s="6">
        <v>0</v>
      </c>
      <c r="C11" s="4">
        <v>0</v>
      </c>
      <c r="D11" s="5">
        <f t="shared" si="0"/>
        <v>0</v>
      </c>
      <c r="E11" s="6">
        <v>12</v>
      </c>
      <c r="F11" s="4">
        <v>0</v>
      </c>
      <c r="G11" s="5">
        <f t="shared" si="1"/>
        <v>12</v>
      </c>
      <c r="H11" s="9">
        <f t="shared" si="2"/>
        <v>12</v>
      </c>
    </row>
    <row r="12" spans="1:8" x14ac:dyDescent="0.25">
      <c r="A12" s="14" t="s">
        <v>10</v>
      </c>
      <c r="B12" s="6">
        <v>3</v>
      </c>
      <c r="C12" s="4">
        <v>0</v>
      </c>
      <c r="D12" s="5">
        <f t="shared" si="0"/>
        <v>3</v>
      </c>
      <c r="E12" s="6">
        <v>18</v>
      </c>
      <c r="F12" s="4">
        <v>2</v>
      </c>
      <c r="G12" s="5">
        <f t="shared" si="1"/>
        <v>20</v>
      </c>
      <c r="H12" s="9">
        <f t="shared" si="2"/>
        <v>23</v>
      </c>
    </row>
    <row r="13" spans="1:8" x14ac:dyDescent="0.25">
      <c r="A13" s="14" t="s">
        <v>88</v>
      </c>
      <c r="B13" s="6">
        <v>0</v>
      </c>
      <c r="C13" s="4">
        <v>0</v>
      </c>
      <c r="D13" s="5">
        <f t="shared" si="0"/>
        <v>0</v>
      </c>
      <c r="E13" s="6">
        <v>0</v>
      </c>
      <c r="F13" s="4">
        <v>0</v>
      </c>
      <c r="G13" s="5">
        <f t="shared" si="1"/>
        <v>0</v>
      </c>
      <c r="H13" s="9">
        <f t="shared" si="2"/>
        <v>0</v>
      </c>
    </row>
    <row r="14" spans="1:8" x14ac:dyDescent="0.25">
      <c r="A14" s="14" t="s">
        <v>11</v>
      </c>
      <c r="B14" s="6">
        <v>0</v>
      </c>
      <c r="C14" s="4">
        <v>1</v>
      </c>
      <c r="D14" s="5">
        <f t="shared" si="0"/>
        <v>1</v>
      </c>
      <c r="E14" s="6">
        <v>13</v>
      </c>
      <c r="F14" s="4">
        <v>2</v>
      </c>
      <c r="G14" s="5">
        <f t="shared" si="1"/>
        <v>15</v>
      </c>
      <c r="H14" s="9">
        <f t="shared" si="2"/>
        <v>16</v>
      </c>
    </row>
    <row r="15" spans="1:8" x14ac:dyDescent="0.25">
      <c r="A15" s="14" t="s">
        <v>12</v>
      </c>
      <c r="B15" s="6">
        <v>1</v>
      </c>
      <c r="C15" s="4">
        <v>0</v>
      </c>
      <c r="D15" s="5">
        <f t="shared" si="0"/>
        <v>1</v>
      </c>
      <c r="E15" s="6">
        <v>5</v>
      </c>
      <c r="F15" s="4">
        <v>0</v>
      </c>
      <c r="G15" s="5">
        <f t="shared" si="1"/>
        <v>5</v>
      </c>
      <c r="H15" s="9">
        <f t="shared" si="2"/>
        <v>6</v>
      </c>
    </row>
    <row r="16" spans="1:8" x14ac:dyDescent="0.25">
      <c r="A16" s="14" t="s">
        <v>13</v>
      </c>
      <c r="B16" s="6">
        <v>2</v>
      </c>
      <c r="C16" s="4">
        <v>0</v>
      </c>
      <c r="D16" s="5">
        <f t="shared" si="0"/>
        <v>2</v>
      </c>
      <c r="E16" s="6">
        <v>4</v>
      </c>
      <c r="F16" s="4">
        <v>3</v>
      </c>
      <c r="G16" s="5">
        <f t="shared" si="1"/>
        <v>7</v>
      </c>
      <c r="H16" s="9">
        <f t="shared" si="2"/>
        <v>9</v>
      </c>
    </row>
    <row r="17" spans="1:8" x14ac:dyDescent="0.25">
      <c r="A17" s="14" t="s">
        <v>14</v>
      </c>
      <c r="B17" s="6">
        <v>2</v>
      </c>
      <c r="C17" s="4">
        <v>0</v>
      </c>
      <c r="D17" s="5">
        <f t="shared" si="0"/>
        <v>2</v>
      </c>
      <c r="E17" s="6">
        <v>15</v>
      </c>
      <c r="F17" s="4">
        <v>3</v>
      </c>
      <c r="G17" s="5">
        <f t="shared" si="1"/>
        <v>18</v>
      </c>
      <c r="H17" s="9">
        <f t="shared" si="2"/>
        <v>20</v>
      </c>
    </row>
    <row r="18" spans="1:8" x14ac:dyDescent="0.25">
      <c r="A18" s="14" t="s">
        <v>15</v>
      </c>
      <c r="B18" s="6">
        <v>0</v>
      </c>
      <c r="C18" s="4">
        <v>0</v>
      </c>
      <c r="D18" s="5">
        <f t="shared" si="0"/>
        <v>0</v>
      </c>
      <c r="E18" s="6">
        <v>1</v>
      </c>
      <c r="F18" s="4">
        <v>1</v>
      </c>
      <c r="G18" s="5">
        <f t="shared" si="1"/>
        <v>2</v>
      </c>
      <c r="H18" s="9">
        <f t="shared" si="2"/>
        <v>2</v>
      </c>
    </row>
    <row r="19" spans="1:8" x14ac:dyDescent="0.25">
      <c r="A19" s="14" t="s">
        <v>16</v>
      </c>
      <c r="B19" s="6">
        <v>1</v>
      </c>
      <c r="C19" s="4">
        <v>0</v>
      </c>
      <c r="D19" s="5">
        <f t="shared" si="0"/>
        <v>1</v>
      </c>
      <c r="E19" s="6">
        <v>3</v>
      </c>
      <c r="F19" s="4">
        <v>1</v>
      </c>
      <c r="G19" s="5">
        <f t="shared" si="1"/>
        <v>4</v>
      </c>
      <c r="H19" s="9">
        <f t="shared" si="2"/>
        <v>5</v>
      </c>
    </row>
    <row r="20" spans="1:8" x14ac:dyDescent="0.25">
      <c r="A20" s="14" t="s">
        <v>17</v>
      </c>
      <c r="B20" s="6">
        <v>11</v>
      </c>
      <c r="C20" s="4">
        <v>3</v>
      </c>
      <c r="D20" s="5">
        <f t="shared" si="0"/>
        <v>14</v>
      </c>
      <c r="E20" s="6">
        <v>14</v>
      </c>
      <c r="F20" s="4">
        <v>1</v>
      </c>
      <c r="G20" s="5">
        <f t="shared" si="1"/>
        <v>15</v>
      </c>
      <c r="H20" s="9">
        <f t="shared" si="2"/>
        <v>29</v>
      </c>
    </row>
    <row r="21" spans="1:8" x14ac:dyDescent="0.25">
      <c r="A21" s="14" t="s">
        <v>18</v>
      </c>
      <c r="B21" s="6">
        <v>3</v>
      </c>
      <c r="C21" s="4">
        <v>0</v>
      </c>
      <c r="D21" s="5">
        <f t="shared" si="0"/>
        <v>3</v>
      </c>
      <c r="E21" s="6">
        <v>151</v>
      </c>
      <c r="F21" s="4">
        <v>2</v>
      </c>
      <c r="G21" s="5">
        <f t="shared" si="1"/>
        <v>153</v>
      </c>
      <c r="H21" s="9">
        <f t="shared" si="2"/>
        <v>156</v>
      </c>
    </row>
    <row r="22" spans="1:8" x14ac:dyDescent="0.25">
      <c r="A22" s="14" t="s">
        <v>19</v>
      </c>
      <c r="B22" s="6">
        <v>0</v>
      </c>
      <c r="C22" s="4">
        <v>0</v>
      </c>
      <c r="D22" s="5">
        <f t="shared" si="0"/>
        <v>0</v>
      </c>
      <c r="E22" s="6">
        <v>6</v>
      </c>
      <c r="F22" s="4">
        <v>1</v>
      </c>
      <c r="G22" s="5">
        <f t="shared" si="1"/>
        <v>7</v>
      </c>
      <c r="H22" s="9">
        <f t="shared" si="2"/>
        <v>7</v>
      </c>
    </row>
    <row r="23" spans="1:8" x14ac:dyDescent="0.25">
      <c r="A23" s="14" t="s">
        <v>20</v>
      </c>
      <c r="B23" s="6">
        <v>0</v>
      </c>
      <c r="C23" s="4">
        <v>0</v>
      </c>
      <c r="D23" s="5">
        <f t="shared" si="0"/>
        <v>0</v>
      </c>
      <c r="E23" s="6">
        <v>3</v>
      </c>
      <c r="F23" s="4">
        <v>0</v>
      </c>
      <c r="G23" s="5">
        <f t="shared" si="1"/>
        <v>3</v>
      </c>
      <c r="H23" s="9">
        <f t="shared" si="2"/>
        <v>3</v>
      </c>
    </row>
    <row r="24" spans="1:8" x14ac:dyDescent="0.25">
      <c r="A24" s="14" t="s">
        <v>21</v>
      </c>
      <c r="B24" s="6">
        <v>2</v>
      </c>
      <c r="C24" s="4">
        <v>0</v>
      </c>
      <c r="D24" s="5">
        <f t="shared" si="0"/>
        <v>2</v>
      </c>
      <c r="E24" s="6">
        <v>10</v>
      </c>
      <c r="F24" s="4">
        <v>1</v>
      </c>
      <c r="G24" s="5">
        <f t="shared" si="1"/>
        <v>11</v>
      </c>
      <c r="H24" s="9">
        <f t="shared" si="2"/>
        <v>13</v>
      </c>
    </row>
    <row r="25" spans="1:8" x14ac:dyDescent="0.25">
      <c r="A25" s="14" t="s">
        <v>22</v>
      </c>
      <c r="B25" s="6">
        <v>0</v>
      </c>
      <c r="C25" s="4">
        <v>0</v>
      </c>
      <c r="D25" s="5">
        <f t="shared" si="0"/>
        <v>0</v>
      </c>
      <c r="E25" s="6">
        <v>9</v>
      </c>
      <c r="F25" s="4">
        <v>0</v>
      </c>
      <c r="G25" s="5">
        <f t="shared" si="1"/>
        <v>9</v>
      </c>
      <c r="H25" s="9">
        <f t="shared" si="2"/>
        <v>9</v>
      </c>
    </row>
    <row r="26" spans="1:8" x14ac:dyDescent="0.25">
      <c r="A26" s="14" t="s">
        <v>23</v>
      </c>
      <c r="B26" s="6">
        <v>2</v>
      </c>
      <c r="C26" s="4">
        <v>0</v>
      </c>
      <c r="D26" s="5">
        <f t="shared" si="0"/>
        <v>2</v>
      </c>
      <c r="E26" s="6">
        <v>6</v>
      </c>
      <c r="F26" s="4">
        <v>0</v>
      </c>
      <c r="G26" s="5">
        <f t="shared" si="1"/>
        <v>6</v>
      </c>
      <c r="H26" s="9">
        <f t="shared" si="2"/>
        <v>8</v>
      </c>
    </row>
    <row r="27" spans="1:8" x14ac:dyDescent="0.25">
      <c r="A27" s="14" t="s">
        <v>94</v>
      </c>
      <c r="B27" s="6">
        <v>0</v>
      </c>
      <c r="C27" s="4">
        <v>0</v>
      </c>
      <c r="D27" s="5">
        <f t="shared" si="0"/>
        <v>0</v>
      </c>
      <c r="E27" s="6">
        <v>5</v>
      </c>
      <c r="F27" s="4">
        <v>2</v>
      </c>
      <c r="G27" s="5">
        <f t="shared" si="1"/>
        <v>7</v>
      </c>
      <c r="H27" s="9">
        <f t="shared" si="2"/>
        <v>7</v>
      </c>
    </row>
    <row r="28" spans="1:8" x14ac:dyDescent="0.25">
      <c r="A28" s="14" t="s">
        <v>24</v>
      </c>
      <c r="B28" s="6">
        <v>0</v>
      </c>
      <c r="C28" s="4">
        <v>0</v>
      </c>
      <c r="D28" s="5">
        <f t="shared" si="0"/>
        <v>0</v>
      </c>
      <c r="E28" s="6">
        <v>4</v>
      </c>
      <c r="F28" s="4">
        <v>0</v>
      </c>
      <c r="G28" s="5">
        <f t="shared" si="1"/>
        <v>4</v>
      </c>
      <c r="H28" s="9">
        <f t="shared" si="2"/>
        <v>4</v>
      </c>
    </row>
    <row r="29" spans="1:8" x14ac:dyDescent="0.25">
      <c r="A29" s="14" t="s">
        <v>71</v>
      </c>
      <c r="B29" s="6">
        <v>23</v>
      </c>
      <c r="C29" s="4">
        <v>0</v>
      </c>
      <c r="D29" s="5">
        <f t="shared" si="0"/>
        <v>23</v>
      </c>
      <c r="E29" s="6">
        <v>8</v>
      </c>
      <c r="F29" s="4">
        <v>0</v>
      </c>
      <c r="G29" s="5">
        <f t="shared" si="1"/>
        <v>8</v>
      </c>
      <c r="H29" s="9">
        <f t="shared" si="2"/>
        <v>31</v>
      </c>
    </row>
    <row r="30" spans="1:8" x14ac:dyDescent="0.25">
      <c r="A30" s="14" t="s">
        <v>72</v>
      </c>
      <c r="B30" s="6">
        <v>8</v>
      </c>
      <c r="C30" s="4">
        <v>1</v>
      </c>
      <c r="D30" s="5">
        <f t="shared" si="0"/>
        <v>9</v>
      </c>
      <c r="E30" s="6">
        <v>19</v>
      </c>
      <c r="F30" s="4">
        <v>1</v>
      </c>
      <c r="G30" s="5">
        <f t="shared" si="1"/>
        <v>20</v>
      </c>
      <c r="H30" s="9">
        <f t="shared" si="2"/>
        <v>29</v>
      </c>
    </row>
    <row r="31" spans="1:8" x14ac:dyDescent="0.25">
      <c r="A31" s="14" t="s">
        <v>25</v>
      </c>
      <c r="B31" s="6">
        <v>0</v>
      </c>
      <c r="C31" s="4">
        <v>0</v>
      </c>
      <c r="D31" s="5">
        <f t="shared" si="0"/>
        <v>0</v>
      </c>
      <c r="E31" s="6">
        <v>10</v>
      </c>
      <c r="F31" s="4">
        <v>0</v>
      </c>
      <c r="G31" s="5">
        <f t="shared" si="1"/>
        <v>10</v>
      </c>
      <c r="H31" s="9">
        <f t="shared" si="2"/>
        <v>10</v>
      </c>
    </row>
    <row r="32" spans="1:8" x14ac:dyDescent="0.25">
      <c r="A32" s="14" t="s">
        <v>26</v>
      </c>
      <c r="B32" s="6">
        <v>8</v>
      </c>
      <c r="C32" s="4">
        <v>0</v>
      </c>
      <c r="D32" s="5">
        <f t="shared" si="0"/>
        <v>8</v>
      </c>
      <c r="E32" s="6">
        <v>36</v>
      </c>
      <c r="F32" s="4">
        <v>4</v>
      </c>
      <c r="G32" s="5">
        <f t="shared" si="1"/>
        <v>40</v>
      </c>
      <c r="H32" s="9">
        <f t="shared" si="2"/>
        <v>48</v>
      </c>
    </row>
    <row r="33" spans="1:8" x14ac:dyDescent="0.25">
      <c r="A33" s="14" t="s">
        <v>73</v>
      </c>
      <c r="B33" s="6">
        <v>0</v>
      </c>
      <c r="C33" s="4">
        <v>0</v>
      </c>
      <c r="D33" s="5">
        <f t="shared" si="0"/>
        <v>0</v>
      </c>
      <c r="E33" s="6">
        <v>22</v>
      </c>
      <c r="F33" s="4">
        <v>0</v>
      </c>
      <c r="G33" s="5">
        <f t="shared" si="1"/>
        <v>22</v>
      </c>
      <c r="H33" s="9">
        <f t="shared" si="2"/>
        <v>22</v>
      </c>
    </row>
    <row r="34" spans="1:8" x14ac:dyDescent="0.25">
      <c r="A34" s="14" t="s">
        <v>27</v>
      </c>
      <c r="B34" s="6">
        <v>3</v>
      </c>
      <c r="C34" s="4">
        <v>0</v>
      </c>
      <c r="D34" s="5">
        <f t="shared" si="0"/>
        <v>3</v>
      </c>
      <c r="E34" s="6">
        <v>16</v>
      </c>
      <c r="F34" s="4">
        <v>0</v>
      </c>
      <c r="G34" s="5">
        <f t="shared" si="1"/>
        <v>16</v>
      </c>
      <c r="H34" s="9">
        <f t="shared" si="2"/>
        <v>19</v>
      </c>
    </row>
    <row r="35" spans="1:8" x14ac:dyDescent="0.25">
      <c r="A35" s="14" t="s">
        <v>28</v>
      </c>
      <c r="B35" s="6">
        <v>1</v>
      </c>
      <c r="C35" s="4">
        <v>0</v>
      </c>
      <c r="D35" s="5">
        <f t="shared" si="0"/>
        <v>1</v>
      </c>
      <c r="E35" s="6">
        <v>9</v>
      </c>
      <c r="F35" s="4">
        <v>0</v>
      </c>
      <c r="G35" s="5">
        <f t="shared" si="1"/>
        <v>9</v>
      </c>
      <c r="H35" s="9">
        <f t="shared" si="2"/>
        <v>10</v>
      </c>
    </row>
    <row r="36" spans="1:8" x14ac:dyDescent="0.25">
      <c r="A36" s="14" t="s">
        <v>1</v>
      </c>
      <c r="B36" s="6">
        <v>1</v>
      </c>
      <c r="C36" s="4">
        <v>0</v>
      </c>
      <c r="D36" s="5">
        <f t="shared" si="0"/>
        <v>1</v>
      </c>
      <c r="E36" s="6">
        <v>65</v>
      </c>
      <c r="F36" s="4">
        <v>6</v>
      </c>
      <c r="G36" s="5">
        <f t="shared" si="1"/>
        <v>71</v>
      </c>
      <c r="H36" s="9">
        <f t="shared" si="2"/>
        <v>72</v>
      </c>
    </row>
    <row r="37" spans="1:8" x14ac:dyDescent="0.25">
      <c r="A37" s="14" t="s">
        <v>29</v>
      </c>
      <c r="B37" s="6">
        <v>0</v>
      </c>
      <c r="C37" s="4">
        <v>0</v>
      </c>
      <c r="D37" s="5">
        <f t="shared" si="0"/>
        <v>0</v>
      </c>
      <c r="E37" s="6">
        <v>69</v>
      </c>
      <c r="F37" s="4">
        <v>2</v>
      </c>
      <c r="G37" s="5">
        <f t="shared" si="1"/>
        <v>71</v>
      </c>
      <c r="H37" s="9">
        <f t="shared" si="2"/>
        <v>71</v>
      </c>
    </row>
    <row r="38" spans="1:8" x14ac:dyDescent="0.25">
      <c r="A38" s="14" t="s">
        <v>30</v>
      </c>
      <c r="B38" s="6">
        <v>9</v>
      </c>
      <c r="C38" s="4">
        <v>4</v>
      </c>
      <c r="D38" s="5">
        <f t="shared" si="0"/>
        <v>13</v>
      </c>
      <c r="E38" s="6">
        <v>1</v>
      </c>
      <c r="F38" s="4">
        <v>0</v>
      </c>
      <c r="G38" s="5">
        <f t="shared" si="1"/>
        <v>1</v>
      </c>
      <c r="H38" s="9">
        <f t="shared" si="2"/>
        <v>14</v>
      </c>
    </row>
    <row r="39" spans="1:8" x14ac:dyDescent="0.25">
      <c r="A39" s="14" t="s">
        <v>31</v>
      </c>
      <c r="B39" s="6">
        <v>0</v>
      </c>
      <c r="C39" s="4">
        <v>1</v>
      </c>
      <c r="D39" s="5">
        <f t="shared" si="0"/>
        <v>1</v>
      </c>
      <c r="E39" s="6">
        <v>15</v>
      </c>
      <c r="F39" s="4">
        <v>2</v>
      </c>
      <c r="G39" s="5">
        <f t="shared" si="1"/>
        <v>17</v>
      </c>
      <c r="H39" s="9">
        <f t="shared" si="2"/>
        <v>18</v>
      </c>
    </row>
    <row r="40" spans="1:8" x14ac:dyDescent="0.25">
      <c r="A40" s="14" t="s">
        <v>32</v>
      </c>
      <c r="B40" s="6">
        <v>0</v>
      </c>
      <c r="C40" s="4">
        <v>0</v>
      </c>
      <c r="D40" s="5">
        <f t="shared" si="0"/>
        <v>0</v>
      </c>
      <c r="E40" s="6">
        <v>15</v>
      </c>
      <c r="F40" s="4">
        <v>5</v>
      </c>
      <c r="G40" s="5">
        <f t="shared" si="1"/>
        <v>20</v>
      </c>
      <c r="H40" s="9">
        <f t="shared" si="2"/>
        <v>20</v>
      </c>
    </row>
    <row r="41" spans="1:8" x14ac:dyDescent="0.25">
      <c r="A41" s="14" t="s">
        <v>33</v>
      </c>
      <c r="B41" s="6">
        <v>0</v>
      </c>
      <c r="C41" s="4">
        <v>0</v>
      </c>
      <c r="D41" s="5">
        <f t="shared" si="0"/>
        <v>0</v>
      </c>
      <c r="E41" s="6">
        <v>0</v>
      </c>
      <c r="F41" s="4">
        <v>0</v>
      </c>
      <c r="G41" s="5">
        <f t="shared" si="1"/>
        <v>0</v>
      </c>
      <c r="H41" s="9">
        <f t="shared" si="2"/>
        <v>0</v>
      </c>
    </row>
    <row r="42" spans="1:8" x14ac:dyDescent="0.25">
      <c r="A42" s="14" t="s">
        <v>34</v>
      </c>
      <c r="B42" s="6">
        <v>1</v>
      </c>
      <c r="C42" s="4">
        <v>0</v>
      </c>
      <c r="D42" s="5">
        <f t="shared" si="0"/>
        <v>1</v>
      </c>
      <c r="E42" s="6">
        <v>8</v>
      </c>
      <c r="F42" s="4">
        <v>0</v>
      </c>
      <c r="G42" s="5">
        <f t="shared" si="1"/>
        <v>8</v>
      </c>
      <c r="H42" s="9">
        <f t="shared" si="2"/>
        <v>9</v>
      </c>
    </row>
    <row r="43" spans="1:8" x14ac:dyDescent="0.25">
      <c r="A43" s="14" t="s">
        <v>35</v>
      </c>
      <c r="B43" s="6">
        <v>1</v>
      </c>
      <c r="C43" s="4">
        <v>2</v>
      </c>
      <c r="D43" s="5">
        <f t="shared" si="0"/>
        <v>3</v>
      </c>
      <c r="E43" s="6">
        <v>6</v>
      </c>
      <c r="F43" s="4">
        <v>0</v>
      </c>
      <c r="G43" s="5">
        <f t="shared" si="1"/>
        <v>6</v>
      </c>
      <c r="H43" s="9">
        <f t="shared" si="2"/>
        <v>9</v>
      </c>
    </row>
    <row r="44" spans="1:8" x14ac:dyDescent="0.25">
      <c r="A44" s="14" t="s">
        <v>36</v>
      </c>
      <c r="B44" s="6">
        <v>1</v>
      </c>
      <c r="C44" s="4">
        <v>0</v>
      </c>
      <c r="D44" s="5">
        <f t="shared" si="0"/>
        <v>1</v>
      </c>
      <c r="E44" s="6">
        <v>7</v>
      </c>
      <c r="F44" s="4">
        <v>0</v>
      </c>
      <c r="G44" s="5">
        <f t="shared" si="1"/>
        <v>7</v>
      </c>
      <c r="H44" s="9">
        <f t="shared" si="2"/>
        <v>8</v>
      </c>
    </row>
    <row r="45" spans="1:8" x14ac:dyDescent="0.25">
      <c r="A45" s="14" t="s">
        <v>38</v>
      </c>
      <c r="B45" s="6">
        <v>88</v>
      </c>
      <c r="C45" s="4">
        <v>1</v>
      </c>
      <c r="D45" s="5">
        <f t="shared" si="0"/>
        <v>89</v>
      </c>
      <c r="E45" s="6">
        <v>4</v>
      </c>
      <c r="F45" s="4">
        <v>0</v>
      </c>
      <c r="G45" s="5">
        <f t="shared" si="1"/>
        <v>4</v>
      </c>
      <c r="H45" s="9">
        <f t="shared" si="2"/>
        <v>93</v>
      </c>
    </row>
    <row r="46" spans="1:8" x14ac:dyDescent="0.25">
      <c r="A46" s="14" t="s">
        <v>39</v>
      </c>
      <c r="B46" s="6">
        <v>0</v>
      </c>
      <c r="C46" s="4">
        <v>0</v>
      </c>
      <c r="D46" s="5">
        <f t="shared" si="0"/>
        <v>0</v>
      </c>
      <c r="E46" s="6">
        <v>15</v>
      </c>
      <c r="F46" s="4">
        <v>2</v>
      </c>
      <c r="G46" s="5">
        <f t="shared" si="1"/>
        <v>17</v>
      </c>
      <c r="H46" s="9">
        <f t="shared" si="2"/>
        <v>17</v>
      </c>
    </row>
    <row r="47" spans="1:8" x14ac:dyDescent="0.25">
      <c r="A47" s="14" t="s">
        <v>40</v>
      </c>
      <c r="B47" s="6">
        <v>1</v>
      </c>
      <c r="C47" s="4">
        <v>1</v>
      </c>
      <c r="D47" s="5">
        <f t="shared" si="0"/>
        <v>2</v>
      </c>
      <c r="E47" s="6">
        <v>49</v>
      </c>
      <c r="F47" s="4">
        <v>6</v>
      </c>
      <c r="G47" s="5">
        <f t="shared" si="1"/>
        <v>55</v>
      </c>
      <c r="H47" s="9">
        <f t="shared" si="2"/>
        <v>57</v>
      </c>
    </row>
    <row r="48" spans="1:8" x14ac:dyDescent="0.25">
      <c r="A48" s="14" t="s">
        <v>41</v>
      </c>
      <c r="B48" s="6">
        <v>3</v>
      </c>
      <c r="C48" s="4">
        <v>0</v>
      </c>
      <c r="D48" s="5">
        <f t="shared" si="0"/>
        <v>3</v>
      </c>
      <c r="E48" s="6">
        <v>2</v>
      </c>
      <c r="F48" s="4">
        <v>1</v>
      </c>
      <c r="G48" s="5">
        <f t="shared" si="1"/>
        <v>3</v>
      </c>
      <c r="H48" s="9">
        <f t="shared" si="2"/>
        <v>6</v>
      </c>
    </row>
    <row r="49" spans="1:8" x14ac:dyDescent="0.25">
      <c r="A49" s="14" t="s">
        <v>42</v>
      </c>
      <c r="B49" s="6">
        <v>3</v>
      </c>
      <c r="C49" s="4">
        <v>0</v>
      </c>
      <c r="D49" s="5">
        <f t="shared" si="0"/>
        <v>3</v>
      </c>
      <c r="E49" s="6">
        <v>1</v>
      </c>
      <c r="F49" s="4">
        <v>0</v>
      </c>
      <c r="G49" s="5">
        <f t="shared" si="1"/>
        <v>1</v>
      </c>
      <c r="H49" s="9">
        <f t="shared" si="2"/>
        <v>4</v>
      </c>
    </row>
    <row r="50" spans="1:8" x14ac:dyDescent="0.25">
      <c r="A50" s="14" t="s">
        <v>43</v>
      </c>
      <c r="B50" s="6">
        <v>0</v>
      </c>
      <c r="C50" s="4">
        <v>0</v>
      </c>
      <c r="D50" s="5">
        <f t="shared" si="0"/>
        <v>0</v>
      </c>
      <c r="E50" s="6">
        <v>5</v>
      </c>
      <c r="F50" s="4">
        <v>0</v>
      </c>
      <c r="G50" s="5">
        <f t="shared" si="1"/>
        <v>5</v>
      </c>
      <c r="H50" s="9">
        <f t="shared" si="2"/>
        <v>5</v>
      </c>
    </row>
    <row r="51" spans="1:8" x14ac:dyDescent="0.25">
      <c r="A51" s="14" t="s">
        <v>44</v>
      </c>
      <c r="B51" s="6">
        <v>1</v>
      </c>
      <c r="C51" s="4">
        <v>0</v>
      </c>
      <c r="D51" s="5">
        <f t="shared" si="0"/>
        <v>1</v>
      </c>
      <c r="E51" s="6">
        <v>8</v>
      </c>
      <c r="F51" s="4">
        <v>0</v>
      </c>
      <c r="G51" s="5">
        <f t="shared" si="1"/>
        <v>8</v>
      </c>
      <c r="H51" s="9">
        <f t="shared" si="2"/>
        <v>9</v>
      </c>
    </row>
    <row r="52" spans="1:8" x14ac:dyDescent="0.25">
      <c r="A52" s="14" t="s">
        <v>45</v>
      </c>
      <c r="B52" s="6">
        <v>1</v>
      </c>
      <c r="C52" s="4">
        <v>0</v>
      </c>
      <c r="D52" s="5">
        <f t="shared" si="0"/>
        <v>1</v>
      </c>
      <c r="E52" s="6">
        <v>2</v>
      </c>
      <c r="F52" s="4">
        <v>0</v>
      </c>
      <c r="G52" s="5">
        <f t="shared" si="1"/>
        <v>2</v>
      </c>
      <c r="H52" s="9">
        <f t="shared" si="2"/>
        <v>3</v>
      </c>
    </row>
    <row r="53" spans="1:8" x14ac:dyDescent="0.25">
      <c r="A53" s="14" t="s">
        <v>46</v>
      </c>
      <c r="B53" s="6">
        <v>0</v>
      </c>
      <c r="C53" s="4">
        <v>0</v>
      </c>
      <c r="D53" s="5">
        <f t="shared" si="0"/>
        <v>0</v>
      </c>
      <c r="E53" s="6">
        <v>0</v>
      </c>
      <c r="F53" s="4">
        <v>0</v>
      </c>
      <c r="G53" s="5">
        <f t="shared" si="1"/>
        <v>0</v>
      </c>
      <c r="H53" s="9">
        <f t="shared" si="2"/>
        <v>0</v>
      </c>
    </row>
    <row r="54" spans="1:8" x14ac:dyDescent="0.25">
      <c r="A54" s="14" t="s">
        <v>47</v>
      </c>
      <c r="B54" s="6">
        <v>0</v>
      </c>
      <c r="C54" s="4">
        <v>0</v>
      </c>
      <c r="D54" s="5">
        <f t="shared" si="0"/>
        <v>0</v>
      </c>
      <c r="E54" s="6">
        <v>5</v>
      </c>
      <c r="F54" s="4">
        <v>0</v>
      </c>
      <c r="G54" s="5">
        <f t="shared" si="1"/>
        <v>5</v>
      </c>
      <c r="H54" s="9">
        <f t="shared" si="2"/>
        <v>5</v>
      </c>
    </row>
    <row r="55" spans="1:8" x14ac:dyDescent="0.25">
      <c r="A55" s="14" t="s">
        <v>48</v>
      </c>
      <c r="B55" s="6">
        <v>11</v>
      </c>
      <c r="C55" s="4">
        <v>0</v>
      </c>
      <c r="D55" s="5">
        <f t="shared" si="0"/>
        <v>11</v>
      </c>
      <c r="E55" s="6">
        <v>0</v>
      </c>
      <c r="F55" s="4">
        <v>0</v>
      </c>
      <c r="G55" s="5">
        <f t="shared" si="1"/>
        <v>0</v>
      </c>
      <c r="H55" s="9">
        <f t="shared" si="2"/>
        <v>11</v>
      </c>
    </row>
    <row r="56" spans="1:8" x14ac:dyDescent="0.25">
      <c r="A56" s="14" t="s">
        <v>49</v>
      </c>
      <c r="B56" s="6">
        <v>18</v>
      </c>
      <c r="C56" s="4">
        <v>1</v>
      </c>
      <c r="D56" s="5">
        <f t="shared" si="0"/>
        <v>19</v>
      </c>
      <c r="E56" s="6">
        <v>0</v>
      </c>
      <c r="F56" s="4">
        <v>0</v>
      </c>
      <c r="G56" s="5">
        <f t="shared" si="1"/>
        <v>0</v>
      </c>
      <c r="H56" s="9">
        <f t="shared" si="2"/>
        <v>19</v>
      </c>
    </row>
    <row r="57" spans="1:8" x14ac:dyDescent="0.25">
      <c r="A57" s="14" t="s">
        <v>50</v>
      </c>
      <c r="B57" s="6">
        <v>0</v>
      </c>
      <c r="C57" s="4">
        <v>0</v>
      </c>
      <c r="D57" s="5">
        <f t="shared" si="0"/>
        <v>0</v>
      </c>
      <c r="E57" s="6">
        <v>1</v>
      </c>
      <c r="F57" s="4">
        <v>0</v>
      </c>
      <c r="G57" s="5">
        <f t="shared" si="1"/>
        <v>1</v>
      </c>
      <c r="H57" s="9">
        <f t="shared" si="2"/>
        <v>1</v>
      </c>
    </row>
    <row r="58" spans="1:8" x14ac:dyDescent="0.25">
      <c r="A58" s="14" t="s">
        <v>95</v>
      </c>
      <c r="B58" s="6">
        <v>0</v>
      </c>
      <c r="C58" s="4">
        <v>0</v>
      </c>
      <c r="D58" s="5">
        <f t="shared" si="0"/>
        <v>0</v>
      </c>
      <c r="E58" s="6">
        <v>22</v>
      </c>
      <c r="F58" s="4">
        <v>1</v>
      </c>
      <c r="G58" s="5">
        <f t="shared" si="1"/>
        <v>23</v>
      </c>
      <c r="H58" s="9">
        <f t="shared" si="2"/>
        <v>23</v>
      </c>
    </row>
    <row r="59" spans="1:8" x14ac:dyDescent="0.25">
      <c r="A59" s="14" t="s">
        <v>96</v>
      </c>
      <c r="B59" s="6">
        <v>0</v>
      </c>
      <c r="C59" s="4">
        <v>0</v>
      </c>
      <c r="D59" s="5">
        <f t="shared" si="0"/>
        <v>0</v>
      </c>
      <c r="E59" s="6">
        <v>1</v>
      </c>
      <c r="F59" s="4">
        <v>0</v>
      </c>
      <c r="G59" s="5">
        <f t="shared" si="1"/>
        <v>1</v>
      </c>
      <c r="H59" s="9">
        <f t="shared" si="2"/>
        <v>1</v>
      </c>
    </row>
    <row r="60" spans="1:8" x14ac:dyDescent="0.25">
      <c r="A60" s="14" t="s">
        <v>89</v>
      </c>
      <c r="B60" s="6">
        <v>0</v>
      </c>
      <c r="C60" s="4">
        <v>0</v>
      </c>
      <c r="D60" s="5">
        <f t="shared" si="0"/>
        <v>0</v>
      </c>
      <c r="E60" s="6">
        <v>4</v>
      </c>
      <c r="F60" s="4">
        <v>1</v>
      </c>
      <c r="G60" s="5">
        <f t="shared" si="1"/>
        <v>5</v>
      </c>
      <c r="H60" s="9">
        <f t="shared" si="2"/>
        <v>5</v>
      </c>
    </row>
    <row r="61" spans="1:8" x14ac:dyDescent="0.25">
      <c r="A61" s="14" t="s">
        <v>52</v>
      </c>
      <c r="B61" s="6">
        <v>0</v>
      </c>
      <c r="C61" s="4">
        <v>0</v>
      </c>
      <c r="D61" s="5">
        <f t="shared" ref="D61:D68" si="3">SUM(B61:C61)</f>
        <v>0</v>
      </c>
      <c r="E61" s="6">
        <v>4</v>
      </c>
      <c r="F61" s="4">
        <v>0</v>
      </c>
      <c r="G61" s="5">
        <f t="shared" ref="G61:G68" si="4">SUM(E61:F61)</f>
        <v>4</v>
      </c>
      <c r="H61" s="9">
        <f t="shared" ref="H61:H68" si="5">D61+G61</f>
        <v>4</v>
      </c>
    </row>
    <row r="62" spans="1:8" x14ac:dyDescent="0.25">
      <c r="A62" s="14" t="s">
        <v>53</v>
      </c>
      <c r="B62" s="6">
        <v>0</v>
      </c>
      <c r="C62" s="4">
        <v>0</v>
      </c>
      <c r="D62" s="5">
        <f t="shared" si="3"/>
        <v>0</v>
      </c>
      <c r="E62" s="6">
        <v>1</v>
      </c>
      <c r="F62" s="4">
        <v>1</v>
      </c>
      <c r="G62" s="5">
        <f t="shared" si="4"/>
        <v>2</v>
      </c>
      <c r="H62" s="9">
        <f t="shared" si="5"/>
        <v>2</v>
      </c>
    </row>
    <row r="63" spans="1:8" x14ac:dyDescent="0.25">
      <c r="A63" s="14" t="s">
        <v>54</v>
      </c>
      <c r="B63" s="6">
        <v>0</v>
      </c>
      <c r="C63" s="4">
        <v>0</v>
      </c>
      <c r="D63" s="5">
        <f t="shared" si="3"/>
        <v>0</v>
      </c>
      <c r="E63" s="6">
        <v>6</v>
      </c>
      <c r="F63" s="4">
        <v>1</v>
      </c>
      <c r="G63" s="5">
        <f t="shared" si="4"/>
        <v>7</v>
      </c>
      <c r="H63" s="9">
        <f t="shared" si="5"/>
        <v>7</v>
      </c>
    </row>
    <row r="64" spans="1:8" x14ac:dyDescent="0.25">
      <c r="A64" s="14" t="s">
        <v>55</v>
      </c>
      <c r="B64" s="6">
        <v>0</v>
      </c>
      <c r="C64" s="4">
        <v>0</v>
      </c>
      <c r="D64" s="5">
        <f t="shared" si="3"/>
        <v>0</v>
      </c>
      <c r="E64" s="6">
        <v>23</v>
      </c>
      <c r="F64" s="4">
        <v>1</v>
      </c>
      <c r="G64" s="5">
        <f t="shared" si="4"/>
        <v>24</v>
      </c>
      <c r="H64" s="9">
        <f t="shared" si="5"/>
        <v>24</v>
      </c>
    </row>
    <row r="65" spans="1:8" x14ac:dyDescent="0.25">
      <c r="A65" s="14" t="s">
        <v>56</v>
      </c>
      <c r="B65" s="6">
        <v>0</v>
      </c>
      <c r="C65" s="4">
        <v>0</v>
      </c>
      <c r="D65" s="5">
        <f t="shared" si="3"/>
        <v>0</v>
      </c>
      <c r="E65" s="6">
        <v>20</v>
      </c>
      <c r="F65" s="4">
        <v>0</v>
      </c>
      <c r="G65" s="5">
        <f t="shared" si="4"/>
        <v>20</v>
      </c>
      <c r="H65" s="9">
        <f t="shared" si="5"/>
        <v>20</v>
      </c>
    </row>
    <row r="66" spans="1:8" x14ac:dyDescent="0.25">
      <c r="A66" s="14" t="s">
        <v>90</v>
      </c>
      <c r="B66" s="6">
        <v>0</v>
      </c>
      <c r="C66" s="4">
        <v>0</v>
      </c>
      <c r="D66" s="5">
        <f t="shared" si="3"/>
        <v>0</v>
      </c>
      <c r="E66" s="6">
        <v>3</v>
      </c>
      <c r="F66" s="4">
        <v>0</v>
      </c>
      <c r="G66" s="5">
        <f t="shared" si="4"/>
        <v>3</v>
      </c>
      <c r="H66" s="9">
        <f t="shared" si="5"/>
        <v>3</v>
      </c>
    </row>
    <row r="67" spans="1:8" x14ac:dyDescent="0.25">
      <c r="A67" s="14" t="s">
        <v>91</v>
      </c>
      <c r="B67" s="6">
        <v>0</v>
      </c>
      <c r="C67" s="4">
        <v>0</v>
      </c>
      <c r="D67" s="5">
        <f t="shared" si="3"/>
        <v>0</v>
      </c>
      <c r="E67" s="6">
        <v>1</v>
      </c>
      <c r="F67" s="4">
        <v>0</v>
      </c>
      <c r="G67" s="5">
        <f t="shared" si="4"/>
        <v>1</v>
      </c>
      <c r="H67" s="9">
        <f t="shared" si="5"/>
        <v>1</v>
      </c>
    </row>
    <row r="68" spans="1:8" x14ac:dyDescent="0.25">
      <c r="A68" s="14" t="s">
        <v>57</v>
      </c>
      <c r="B68" s="6">
        <v>0</v>
      </c>
      <c r="C68" s="4">
        <v>0</v>
      </c>
      <c r="D68" s="5">
        <f t="shared" si="3"/>
        <v>0</v>
      </c>
      <c r="E68" s="6">
        <v>17</v>
      </c>
      <c r="F68" s="4">
        <v>2</v>
      </c>
      <c r="G68" s="5">
        <f t="shared" si="4"/>
        <v>19</v>
      </c>
      <c r="H68" s="9">
        <f t="shared" si="5"/>
        <v>19</v>
      </c>
    </row>
    <row r="69" spans="1:8" x14ac:dyDescent="0.25">
      <c r="A69" s="14" t="s">
        <v>58</v>
      </c>
      <c r="B69" s="6">
        <v>0</v>
      </c>
      <c r="C69" s="4">
        <v>0</v>
      </c>
      <c r="D69" s="5">
        <f t="shared" si="0"/>
        <v>0</v>
      </c>
      <c r="E69" s="6">
        <v>1</v>
      </c>
      <c r="F69" s="4">
        <v>0</v>
      </c>
      <c r="G69" s="5">
        <f t="shared" si="1"/>
        <v>1</v>
      </c>
      <c r="H69" s="9">
        <f t="shared" si="2"/>
        <v>1</v>
      </c>
    </row>
    <row r="70" spans="1:8" x14ac:dyDescent="0.25">
      <c r="A70" s="14" t="s">
        <v>59</v>
      </c>
      <c r="B70" s="6">
        <v>0</v>
      </c>
      <c r="C70" s="4">
        <v>0</v>
      </c>
      <c r="D70" s="5">
        <f t="shared" si="0"/>
        <v>0</v>
      </c>
      <c r="E70" s="6">
        <v>4</v>
      </c>
      <c r="F70" s="4">
        <v>0</v>
      </c>
      <c r="G70" s="5">
        <f t="shared" si="1"/>
        <v>4</v>
      </c>
      <c r="H70" s="9">
        <f t="shared" si="2"/>
        <v>4</v>
      </c>
    </row>
    <row r="71" spans="1:8" x14ac:dyDescent="0.25">
      <c r="A71" s="14" t="s">
        <v>60</v>
      </c>
      <c r="B71" s="6">
        <v>0</v>
      </c>
      <c r="C71" s="4">
        <v>0</v>
      </c>
      <c r="D71" s="5">
        <f t="shared" si="0"/>
        <v>0</v>
      </c>
      <c r="E71" s="6">
        <v>8</v>
      </c>
      <c r="F71" s="4">
        <v>3</v>
      </c>
      <c r="G71" s="5">
        <f t="shared" si="1"/>
        <v>11</v>
      </c>
      <c r="H71" s="9">
        <f t="shared" si="2"/>
        <v>11</v>
      </c>
    </row>
    <row r="72" spans="1:8" x14ac:dyDescent="0.25">
      <c r="A72" s="14" t="s">
        <v>61</v>
      </c>
      <c r="B72" s="6">
        <v>0</v>
      </c>
      <c r="C72" s="4">
        <v>0</v>
      </c>
      <c r="D72" s="5">
        <f t="shared" si="0"/>
        <v>0</v>
      </c>
      <c r="E72" s="6">
        <v>2</v>
      </c>
      <c r="F72" s="4">
        <v>0</v>
      </c>
      <c r="G72" s="5">
        <f t="shared" si="1"/>
        <v>2</v>
      </c>
      <c r="H72" s="9">
        <f t="shared" si="2"/>
        <v>2</v>
      </c>
    </row>
    <row r="73" spans="1:8" x14ac:dyDescent="0.25">
      <c r="A73" s="14" t="s">
        <v>62</v>
      </c>
      <c r="B73" s="6">
        <v>0</v>
      </c>
      <c r="C73" s="4">
        <v>0</v>
      </c>
      <c r="D73" s="5">
        <f t="shared" si="0"/>
        <v>0</v>
      </c>
      <c r="E73" s="6">
        <v>0</v>
      </c>
      <c r="F73" s="4">
        <v>0</v>
      </c>
      <c r="G73" s="5">
        <f t="shared" si="1"/>
        <v>0</v>
      </c>
      <c r="H73" s="9">
        <f t="shared" si="2"/>
        <v>0</v>
      </c>
    </row>
    <row r="74" spans="1:8" x14ac:dyDescent="0.25">
      <c r="A74" s="14" t="s">
        <v>63</v>
      </c>
      <c r="B74" s="6">
        <v>0</v>
      </c>
      <c r="C74" s="4">
        <v>0</v>
      </c>
      <c r="D74" s="5">
        <f t="shared" si="0"/>
        <v>0</v>
      </c>
      <c r="E74" s="6">
        <v>1</v>
      </c>
      <c r="F74" s="4">
        <v>0</v>
      </c>
      <c r="G74" s="5">
        <f t="shared" si="1"/>
        <v>1</v>
      </c>
      <c r="H74" s="9">
        <f t="shared" si="2"/>
        <v>1</v>
      </c>
    </row>
    <row r="75" spans="1:8" x14ac:dyDescent="0.25">
      <c r="A75" s="14" t="s">
        <v>97</v>
      </c>
      <c r="B75" s="6">
        <v>0</v>
      </c>
      <c r="C75" s="4">
        <v>0</v>
      </c>
      <c r="D75" s="5">
        <f t="shared" si="0"/>
        <v>0</v>
      </c>
      <c r="E75" s="6">
        <v>0</v>
      </c>
      <c r="F75" s="4">
        <v>0</v>
      </c>
      <c r="G75" s="5">
        <f t="shared" si="1"/>
        <v>0</v>
      </c>
      <c r="H75" s="9">
        <f t="shared" si="2"/>
        <v>0</v>
      </c>
    </row>
    <row r="76" spans="1:8" x14ac:dyDescent="0.25">
      <c r="A76" s="14" t="s">
        <v>98</v>
      </c>
      <c r="B76" s="6">
        <v>0</v>
      </c>
      <c r="C76" s="4">
        <v>0</v>
      </c>
      <c r="D76" s="5">
        <f t="shared" si="0"/>
        <v>0</v>
      </c>
      <c r="E76" s="6">
        <v>1</v>
      </c>
      <c r="F76" s="4">
        <v>0</v>
      </c>
      <c r="G76" s="5">
        <f t="shared" si="1"/>
        <v>1</v>
      </c>
      <c r="H76" s="9">
        <f t="shared" si="2"/>
        <v>1</v>
      </c>
    </row>
    <row r="77" spans="1:8" x14ac:dyDescent="0.25">
      <c r="A77" s="14" t="s">
        <v>65</v>
      </c>
      <c r="B77" s="6">
        <v>0</v>
      </c>
      <c r="C77" s="4">
        <v>0</v>
      </c>
      <c r="D77" s="5">
        <f t="shared" si="0"/>
        <v>0</v>
      </c>
      <c r="E77" s="6">
        <v>72</v>
      </c>
      <c r="F77" s="4">
        <v>1</v>
      </c>
      <c r="G77" s="5">
        <f t="shared" si="1"/>
        <v>73</v>
      </c>
      <c r="H77" s="9">
        <f t="shared" si="2"/>
        <v>73</v>
      </c>
    </row>
    <row r="78" spans="1:8" x14ac:dyDescent="0.25">
      <c r="A78" s="14" t="s">
        <v>66</v>
      </c>
      <c r="B78" s="6">
        <v>0</v>
      </c>
      <c r="C78" s="4">
        <v>0</v>
      </c>
      <c r="D78" s="5">
        <f t="shared" si="0"/>
        <v>0</v>
      </c>
      <c r="E78" s="6">
        <v>13</v>
      </c>
      <c r="F78" s="4">
        <v>0</v>
      </c>
      <c r="G78" s="5">
        <f t="shared" si="1"/>
        <v>13</v>
      </c>
      <c r="H78" s="9">
        <f t="shared" si="2"/>
        <v>13</v>
      </c>
    </row>
    <row r="79" spans="1:8" x14ac:dyDescent="0.25">
      <c r="A79" s="14" t="s">
        <v>67</v>
      </c>
      <c r="B79" s="6">
        <v>0</v>
      </c>
      <c r="C79" s="4">
        <v>0</v>
      </c>
      <c r="D79" s="5">
        <f t="shared" si="0"/>
        <v>0</v>
      </c>
      <c r="E79" s="6">
        <v>16</v>
      </c>
      <c r="F79" s="4">
        <v>3</v>
      </c>
      <c r="G79" s="5">
        <f t="shared" si="1"/>
        <v>19</v>
      </c>
      <c r="H79" s="9">
        <f t="shared" si="2"/>
        <v>19</v>
      </c>
    </row>
    <row r="80" spans="1:8" x14ac:dyDescent="0.25">
      <c r="A80" s="14" t="s">
        <v>68</v>
      </c>
      <c r="B80" s="6">
        <v>0</v>
      </c>
      <c r="C80" s="4">
        <v>0</v>
      </c>
      <c r="D80" s="5">
        <f t="shared" ref="D80:D84" si="6">SUM(B80:C80)</f>
        <v>0</v>
      </c>
      <c r="E80" s="6">
        <v>28</v>
      </c>
      <c r="F80" s="4">
        <v>3</v>
      </c>
      <c r="G80" s="5">
        <f t="shared" ref="G80:G84" si="7">SUM(E80:F80)</f>
        <v>31</v>
      </c>
      <c r="H80" s="9">
        <f t="shared" ref="H80:H84" si="8">D80+G80</f>
        <v>31</v>
      </c>
    </row>
    <row r="81" spans="1:8" x14ac:dyDescent="0.25">
      <c r="A81" s="14" t="s">
        <v>69</v>
      </c>
      <c r="B81" s="6">
        <v>0</v>
      </c>
      <c r="C81" s="4">
        <v>0</v>
      </c>
      <c r="D81" s="5">
        <f t="shared" si="6"/>
        <v>0</v>
      </c>
      <c r="E81" s="6">
        <v>2</v>
      </c>
      <c r="F81" s="4">
        <v>0</v>
      </c>
      <c r="G81" s="5">
        <f t="shared" si="7"/>
        <v>2</v>
      </c>
      <c r="H81" s="9">
        <f t="shared" si="8"/>
        <v>2</v>
      </c>
    </row>
    <row r="82" spans="1:8" x14ac:dyDescent="0.25">
      <c r="A82" s="14" t="s">
        <v>92</v>
      </c>
      <c r="B82" s="6">
        <v>0</v>
      </c>
      <c r="C82" s="4">
        <v>0</v>
      </c>
      <c r="D82" s="5">
        <f t="shared" si="6"/>
        <v>0</v>
      </c>
      <c r="E82" s="6">
        <v>109</v>
      </c>
      <c r="F82" s="4">
        <v>7</v>
      </c>
      <c r="G82" s="5">
        <f t="shared" si="7"/>
        <v>116</v>
      </c>
      <c r="H82" s="9">
        <f t="shared" si="8"/>
        <v>116</v>
      </c>
    </row>
    <row r="83" spans="1:8" x14ac:dyDescent="0.25">
      <c r="A83" s="14" t="s">
        <v>99</v>
      </c>
      <c r="B83" s="6">
        <v>0</v>
      </c>
      <c r="C83" s="4">
        <v>0</v>
      </c>
      <c r="D83" s="5">
        <f t="shared" si="6"/>
        <v>0</v>
      </c>
      <c r="E83" s="6">
        <v>39</v>
      </c>
      <c r="F83" s="4">
        <v>0</v>
      </c>
      <c r="G83" s="5">
        <f t="shared" si="7"/>
        <v>39</v>
      </c>
      <c r="H83" s="9">
        <f t="shared" si="8"/>
        <v>39</v>
      </c>
    </row>
    <row r="84" spans="1:8" ht="15.75" thickBot="1" x14ac:dyDescent="0.3">
      <c r="A84" s="15" t="s">
        <v>70</v>
      </c>
      <c r="B84" s="11">
        <v>0</v>
      </c>
      <c r="C84" s="12">
        <v>0</v>
      </c>
      <c r="D84" s="23">
        <f t="shared" si="6"/>
        <v>0</v>
      </c>
      <c r="E84" s="11">
        <v>19</v>
      </c>
      <c r="F84" s="12">
        <v>3</v>
      </c>
      <c r="G84" s="23">
        <f t="shared" si="7"/>
        <v>22</v>
      </c>
      <c r="H84" s="16">
        <f t="shared" si="8"/>
        <v>22</v>
      </c>
    </row>
    <row r="85" spans="1:8" ht="16.5" thickTop="1" thickBot="1" x14ac:dyDescent="0.3">
      <c r="A85" s="8" t="s">
        <v>0</v>
      </c>
      <c r="B85" s="7">
        <f>SUM(B7:B84)</f>
        <v>229</v>
      </c>
      <c r="C85" s="7">
        <f t="shared" ref="C85:H85" si="9">SUM(C7:C84)</f>
        <v>17</v>
      </c>
      <c r="D85" s="7">
        <f t="shared" si="9"/>
        <v>246</v>
      </c>
      <c r="E85" s="7">
        <f t="shared" si="9"/>
        <v>1288</v>
      </c>
      <c r="F85" s="7">
        <f t="shared" si="9"/>
        <v>88</v>
      </c>
      <c r="G85" s="7">
        <f t="shared" si="9"/>
        <v>1376</v>
      </c>
      <c r="H85" s="7">
        <f t="shared" si="9"/>
        <v>1622</v>
      </c>
    </row>
    <row r="86" spans="1:8" ht="15.75" thickBot="1" x14ac:dyDescent="0.3"/>
    <row r="87" spans="1:8" x14ac:dyDescent="0.25">
      <c r="A87" s="26" t="s">
        <v>74</v>
      </c>
      <c r="B87" s="28" t="s">
        <v>3</v>
      </c>
      <c r="C87" s="29"/>
      <c r="D87" s="29"/>
      <c r="E87" s="28" t="s">
        <v>4</v>
      </c>
      <c r="F87" s="29"/>
      <c r="G87" s="29"/>
      <c r="H87" s="26" t="s">
        <v>0</v>
      </c>
    </row>
    <row r="88" spans="1:8" x14ac:dyDescent="0.25">
      <c r="A88" s="27"/>
      <c r="B88" s="20" t="s">
        <v>82</v>
      </c>
      <c r="C88" s="21" t="s">
        <v>83</v>
      </c>
      <c r="D88" s="22" t="s">
        <v>0</v>
      </c>
      <c r="E88" s="20" t="s">
        <v>82</v>
      </c>
      <c r="F88" s="21" t="s">
        <v>83</v>
      </c>
      <c r="G88" s="22" t="s">
        <v>0</v>
      </c>
      <c r="H88" s="27"/>
    </row>
    <row r="89" spans="1:8" x14ac:dyDescent="0.25">
      <c r="A89" s="14" t="s">
        <v>75</v>
      </c>
      <c r="B89" s="6">
        <v>41</v>
      </c>
      <c r="C89" s="4">
        <v>3</v>
      </c>
      <c r="D89" s="5">
        <f t="shared" ref="D89:D96" si="10">SUM(B89:C89)</f>
        <v>44</v>
      </c>
      <c r="E89" s="6">
        <v>146</v>
      </c>
      <c r="F89" s="4">
        <v>7</v>
      </c>
      <c r="G89" s="5">
        <f t="shared" ref="G89:G96" si="11">SUM(E89:F89)</f>
        <v>153</v>
      </c>
      <c r="H89" s="9">
        <f t="shared" ref="H89:H96" si="12">D89+G89</f>
        <v>197</v>
      </c>
    </row>
    <row r="90" spans="1:8" x14ac:dyDescent="0.25">
      <c r="A90" s="14" t="s">
        <v>76</v>
      </c>
      <c r="B90" s="6">
        <v>4</v>
      </c>
      <c r="C90" s="4">
        <v>0</v>
      </c>
      <c r="D90" s="5">
        <f t="shared" si="10"/>
        <v>4</v>
      </c>
      <c r="E90" s="6">
        <v>96</v>
      </c>
      <c r="F90" s="4">
        <v>8</v>
      </c>
      <c r="G90" s="5">
        <f t="shared" si="11"/>
        <v>104</v>
      </c>
      <c r="H90" s="9">
        <f t="shared" si="12"/>
        <v>108</v>
      </c>
    </row>
    <row r="91" spans="1:8" x14ac:dyDescent="0.25">
      <c r="A91" s="14" t="s">
        <v>93</v>
      </c>
      <c r="B91" s="6">
        <v>18</v>
      </c>
      <c r="C91" s="4">
        <v>1</v>
      </c>
      <c r="D91" s="5">
        <f t="shared" si="10"/>
        <v>19</v>
      </c>
      <c r="E91" s="6">
        <v>419</v>
      </c>
      <c r="F91" s="4">
        <v>28</v>
      </c>
      <c r="G91" s="5">
        <f t="shared" si="11"/>
        <v>447</v>
      </c>
      <c r="H91" s="9">
        <f t="shared" si="12"/>
        <v>466</v>
      </c>
    </row>
    <row r="92" spans="1:8" x14ac:dyDescent="0.25">
      <c r="A92" s="14" t="s">
        <v>78</v>
      </c>
      <c r="B92" s="6">
        <v>5</v>
      </c>
      <c r="C92" s="4">
        <v>2</v>
      </c>
      <c r="D92" s="5">
        <f t="shared" si="10"/>
        <v>7</v>
      </c>
      <c r="E92" s="6">
        <v>188</v>
      </c>
      <c r="F92" s="4">
        <v>11</v>
      </c>
      <c r="G92" s="5">
        <f t="shared" si="11"/>
        <v>199</v>
      </c>
      <c r="H92" s="9">
        <f t="shared" si="12"/>
        <v>206</v>
      </c>
    </row>
    <row r="93" spans="1:8" x14ac:dyDescent="0.25">
      <c r="A93" s="14" t="s">
        <v>1</v>
      </c>
      <c r="B93" s="6">
        <v>1</v>
      </c>
      <c r="C93" s="4">
        <v>0</v>
      </c>
      <c r="D93" s="5">
        <f t="shared" si="10"/>
        <v>1</v>
      </c>
      <c r="E93" s="6">
        <v>65</v>
      </c>
      <c r="F93" s="4">
        <v>6</v>
      </c>
      <c r="G93" s="5">
        <f t="shared" si="11"/>
        <v>71</v>
      </c>
      <c r="H93" s="9">
        <f t="shared" si="12"/>
        <v>72</v>
      </c>
    </row>
    <row r="94" spans="1:8" x14ac:dyDescent="0.25">
      <c r="A94" s="14" t="s">
        <v>79</v>
      </c>
      <c r="B94" s="6">
        <v>23</v>
      </c>
      <c r="C94" s="4">
        <v>2</v>
      </c>
      <c r="D94" s="5">
        <f t="shared" si="10"/>
        <v>25</v>
      </c>
      <c r="E94" s="6">
        <v>142</v>
      </c>
      <c r="F94" s="4">
        <v>11</v>
      </c>
      <c r="G94" s="5">
        <f t="shared" si="11"/>
        <v>153</v>
      </c>
      <c r="H94" s="9">
        <f t="shared" si="12"/>
        <v>178</v>
      </c>
    </row>
    <row r="95" spans="1:8" x14ac:dyDescent="0.25">
      <c r="A95" s="14" t="s">
        <v>80</v>
      </c>
      <c r="B95" s="6">
        <v>106</v>
      </c>
      <c r="C95" s="4">
        <v>5</v>
      </c>
      <c r="D95" s="5">
        <f t="shared" si="10"/>
        <v>111</v>
      </c>
      <c r="E95" s="6">
        <v>67</v>
      </c>
      <c r="F95" s="4">
        <v>8</v>
      </c>
      <c r="G95" s="5">
        <f t="shared" si="11"/>
        <v>75</v>
      </c>
      <c r="H95" s="9">
        <f t="shared" si="12"/>
        <v>186</v>
      </c>
    </row>
    <row r="96" spans="1:8" ht="15.75" thickBot="1" x14ac:dyDescent="0.3">
      <c r="A96" s="15" t="s">
        <v>81</v>
      </c>
      <c r="B96" s="11">
        <v>31</v>
      </c>
      <c r="C96" s="12">
        <v>4</v>
      </c>
      <c r="D96" s="12">
        <f t="shared" si="10"/>
        <v>35</v>
      </c>
      <c r="E96" s="11">
        <v>165</v>
      </c>
      <c r="F96" s="12">
        <v>9</v>
      </c>
      <c r="G96" s="13">
        <f t="shared" si="11"/>
        <v>174</v>
      </c>
      <c r="H96" s="16">
        <f t="shared" si="12"/>
        <v>209</v>
      </c>
    </row>
    <row r="97" spans="1:8" ht="16.5" thickTop="1" thickBot="1" x14ac:dyDescent="0.3">
      <c r="A97" s="8" t="s">
        <v>0</v>
      </c>
      <c r="B97" s="7">
        <f t="shared" ref="B97:H97" si="13">SUM(B89:B96)</f>
        <v>229</v>
      </c>
      <c r="C97" s="7">
        <f t="shared" si="13"/>
        <v>17</v>
      </c>
      <c r="D97" s="7">
        <f t="shared" si="13"/>
        <v>246</v>
      </c>
      <c r="E97" s="7">
        <f t="shared" si="13"/>
        <v>1288</v>
      </c>
      <c r="F97" s="7">
        <f t="shared" si="13"/>
        <v>88</v>
      </c>
      <c r="G97" s="7">
        <f t="shared" si="13"/>
        <v>1376</v>
      </c>
      <c r="H97" s="7">
        <f t="shared" si="13"/>
        <v>1622</v>
      </c>
    </row>
    <row r="99" spans="1:8" x14ac:dyDescent="0.25">
      <c r="A99" s="33" t="s">
        <v>86</v>
      </c>
      <c r="B99" s="33"/>
      <c r="C99" s="33"/>
      <c r="D99" s="33"/>
      <c r="E99" s="33"/>
      <c r="F99" s="33"/>
      <c r="G99" s="33"/>
      <c r="H99" s="33"/>
    </row>
    <row r="100" spans="1:8" x14ac:dyDescent="0.25">
      <c r="A100" s="33"/>
      <c r="B100" s="33"/>
      <c r="C100" s="33"/>
      <c r="D100" s="33"/>
      <c r="E100" s="33"/>
      <c r="F100" s="33"/>
      <c r="G100" s="33"/>
      <c r="H100" s="33"/>
    </row>
    <row r="101" spans="1:8" x14ac:dyDescent="0.25">
      <c r="A101" s="33"/>
      <c r="B101" s="33"/>
      <c r="C101" s="33"/>
      <c r="D101" s="33"/>
      <c r="E101" s="33"/>
      <c r="F101" s="33"/>
      <c r="G101" s="33"/>
      <c r="H101" s="33"/>
    </row>
    <row r="103" spans="1:8" x14ac:dyDescent="0.25">
      <c r="A103" s="34"/>
      <c r="B103" s="34"/>
      <c r="C103" s="34"/>
      <c r="D103" s="34"/>
      <c r="E103" s="34"/>
      <c r="F103" s="34"/>
      <c r="G103" s="34"/>
      <c r="H103" s="34"/>
    </row>
  </sheetData>
  <mergeCells count="11">
    <mergeCell ref="A99:H101"/>
    <mergeCell ref="A103:H103"/>
    <mergeCell ref="A2:H2"/>
    <mergeCell ref="A5:A6"/>
    <mergeCell ref="B5:D5"/>
    <mergeCell ref="E5:G5"/>
    <mergeCell ref="H5:H6"/>
    <mergeCell ref="A87:A88"/>
    <mergeCell ref="B87:D87"/>
    <mergeCell ref="E87:G87"/>
    <mergeCell ref="H87:H88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view="pageLayout" topLeftCell="A64" zoomScale="70" zoomScaleNormal="100" zoomScalePageLayoutView="70" workbookViewId="0">
      <selection activeCell="A90" sqref="A90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1996-97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4</v>
      </c>
      <c r="C7" s="4">
        <v>0</v>
      </c>
      <c r="D7" s="5">
        <f>SUM(B7:C7)</f>
        <v>4</v>
      </c>
      <c r="E7" s="6">
        <v>25</v>
      </c>
      <c r="F7" s="4">
        <v>4</v>
      </c>
      <c r="G7" s="5">
        <f>SUM(E7:F7)</f>
        <v>29</v>
      </c>
      <c r="H7" s="9">
        <f>D7+G7</f>
        <v>33</v>
      </c>
    </row>
    <row r="8" spans="1:8" x14ac:dyDescent="0.25">
      <c r="A8" s="14" t="s">
        <v>6</v>
      </c>
      <c r="B8" s="6">
        <v>4</v>
      </c>
      <c r="C8" s="4">
        <v>0</v>
      </c>
      <c r="D8" s="5">
        <f t="shared" ref="D8:D71" si="0">SUM(B8:C8)</f>
        <v>4</v>
      </c>
      <c r="E8" s="6">
        <v>51</v>
      </c>
      <c r="F8" s="4">
        <v>7</v>
      </c>
      <c r="G8" s="5">
        <f t="shared" ref="G8:G71" si="1">SUM(E8:F8)</f>
        <v>58</v>
      </c>
      <c r="H8" s="9">
        <f t="shared" ref="H8:H71" si="2">D8+G8</f>
        <v>62</v>
      </c>
    </row>
    <row r="9" spans="1:8" x14ac:dyDescent="0.25">
      <c r="A9" s="14" t="s">
        <v>7</v>
      </c>
      <c r="B9" s="6">
        <v>15</v>
      </c>
      <c r="C9" s="4">
        <v>1</v>
      </c>
      <c r="D9" s="5">
        <f t="shared" si="0"/>
        <v>16</v>
      </c>
      <c r="E9" s="6">
        <v>43</v>
      </c>
      <c r="F9" s="4">
        <v>3</v>
      </c>
      <c r="G9" s="5">
        <f t="shared" si="1"/>
        <v>46</v>
      </c>
      <c r="H9" s="9">
        <f t="shared" si="2"/>
        <v>62</v>
      </c>
    </row>
    <row r="10" spans="1:8" x14ac:dyDescent="0.25">
      <c r="A10" s="14" t="s">
        <v>87</v>
      </c>
      <c r="B10" s="6">
        <v>2</v>
      </c>
      <c r="C10" s="4">
        <v>0</v>
      </c>
      <c r="D10" s="5">
        <f t="shared" si="0"/>
        <v>2</v>
      </c>
      <c r="E10" s="6">
        <v>112</v>
      </c>
      <c r="F10" s="4">
        <v>17</v>
      </c>
      <c r="G10" s="5">
        <f t="shared" si="1"/>
        <v>129</v>
      </c>
      <c r="H10" s="9">
        <f t="shared" si="2"/>
        <v>131</v>
      </c>
    </row>
    <row r="11" spans="1:8" x14ac:dyDescent="0.25">
      <c r="A11" s="14" t="s">
        <v>9</v>
      </c>
      <c r="B11" s="6">
        <v>3</v>
      </c>
      <c r="C11" s="4">
        <v>0</v>
      </c>
      <c r="D11" s="5">
        <f t="shared" si="0"/>
        <v>3</v>
      </c>
      <c r="E11" s="6">
        <v>20</v>
      </c>
      <c r="F11" s="4">
        <v>1</v>
      </c>
      <c r="G11" s="5">
        <f t="shared" si="1"/>
        <v>21</v>
      </c>
      <c r="H11" s="9">
        <f t="shared" si="2"/>
        <v>24</v>
      </c>
    </row>
    <row r="12" spans="1:8" x14ac:dyDescent="0.25">
      <c r="A12" s="14" t="s">
        <v>10</v>
      </c>
      <c r="B12" s="6">
        <v>3</v>
      </c>
      <c r="C12" s="4">
        <v>2</v>
      </c>
      <c r="D12" s="5">
        <f t="shared" si="0"/>
        <v>5</v>
      </c>
      <c r="E12" s="6">
        <v>41</v>
      </c>
      <c r="F12" s="4">
        <v>2</v>
      </c>
      <c r="G12" s="5">
        <f t="shared" si="1"/>
        <v>43</v>
      </c>
      <c r="H12" s="9">
        <f t="shared" si="2"/>
        <v>48</v>
      </c>
    </row>
    <row r="13" spans="1:8" x14ac:dyDescent="0.25">
      <c r="A13" s="14" t="s">
        <v>88</v>
      </c>
      <c r="B13" s="6">
        <v>0</v>
      </c>
      <c r="C13" s="4">
        <v>0</v>
      </c>
      <c r="D13" s="5">
        <f t="shared" si="0"/>
        <v>0</v>
      </c>
      <c r="E13" s="6">
        <v>0</v>
      </c>
      <c r="F13" s="4">
        <v>0</v>
      </c>
      <c r="G13" s="5">
        <f t="shared" si="1"/>
        <v>0</v>
      </c>
      <c r="H13" s="9">
        <f t="shared" si="2"/>
        <v>0</v>
      </c>
    </row>
    <row r="14" spans="1:8" x14ac:dyDescent="0.25">
      <c r="A14" s="14" t="s">
        <v>11</v>
      </c>
      <c r="B14" s="6">
        <v>0</v>
      </c>
      <c r="C14" s="4">
        <v>0</v>
      </c>
      <c r="D14" s="5">
        <f t="shared" si="0"/>
        <v>0</v>
      </c>
      <c r="E14" s="6">
        <v>17</v>
      </c>
      <c r="F14" s="4">
        <v>2</v>
      </c>
      <c r="G14" s="5">
        <f t="shared" si="1"/>
        <v>19</v>
      </c>
      <c r="H14" s="9">
        <f t="shared" si="2"/>
        <v>19</v>
      </c>
    </row>
    <row r="15" spans="1:8" x14ac:dyDescent="0.25">
      <c r="A15" s="14" t="s">
        <v>12</v>
      </c>
      <c r="B15" s="6">
        <v>0</v>
      </c>
      <c r="C15" s="4">
        <v>0</v>
      </c>
      <c r="D15" s="5">
        <f t="shared" si="0"/>
        <v>0</v>
      </c>
      <c r="E15" s="6">
        <v>6</v>
      </c>
      <c r="F15" s="4">
        <v>0</v>
      </c>
      <c r="G15" s="5">
        <f t="shared" si="1"/>
        <v>6</v>
      </c>
      <c r="H15" s="9">
        <f t="shared" si="2"/>
        <v>6</v>
      </c>
    </row>
    <row r="16" spans="1:8" x14ac:dyDescent="0.25">
      <c r="A16" s="14" t="s">
        <v>13</v>
      </c>
      <c r="B16" s="6">
        <v>4</v>
      </c>
      <c r="C16" s="4">
        <v>2</v>
      </c>
      <c r="D16" s="5">
        <f t="shared" si="0"/>
        <v>6</v>
      </c>
      <c r="E16" s="6">
        <v>5</v>
      </c>
      <c r="F16" s="4">
        <v>3</v>
      </c>
      <c r="G16" s="5">
        <f t="shared" si="1"/>
        <v>8</v>
      </c>
      <c r="H16" s="9">
        <f t="shared" si="2"/>
        <v>14</v>
      </c>
    </row>
    <row r="17" spans="1:8" x14ac:dyDescent="0.25">
      <c r="A17" s="14" t="s">
        <v>14</v>
      </c>
      <c r="B17" s="6">
        <v>4</v>
      </c>
      <c r="C17" s="4">
        <v>3</v>
      </c>
      <c r="D17" s="5">
        <f t="shared" si="0"/>
        <v>7</v>
      </c>
      <c r="E17" s="6">
        <v>16</v>
      </c>
      <c r="F17" s="4">
        <v>4</v>
      </c>
      <c r="G17" s="5">
        <f t="shared" si="1"/>
        <v>20</v>
      </c>
      <c r="H17" s="9">
        <f t="shared" si="2"/>
        <v>27</v>
      </c>
    </row>
    <row r="18" spans="1:8" x14ac:dyDescent="0.25">
      <c r="A18" s="14" t="s">
        <v>15</v>
      </c>
      <c r="B18" s="6">
        <v>0</v>
      </c>
      <c r="C18" s="4">
        <v>0</v>
      </c>
      <c r="D18" s="5">
        <f t="shared" si="0"/>
        <v>0</v>
      </c>
      <c r="E18" s="6">
        <v>2</v>
      </c>
      <c r="F18" s="4">
        <v>6</v>
      </c>
      <c r="G18" s="5">
        <f t="shared" si="1"/>
        <v>8</v>
      </c>
      <c r="H18" s="9">
        <f t="shared" si="2"/>
        <v>8</v>
      </c>
    </row>
    <row r="19" spans="1:8" x14ac:dyDescent="0.25">
      <c r="A19" s="14" t="s">
        <v>16</v>
      </c>
      <c r="B19" s="6">
        <v>1</v>
      </c>
      <c r="C19" s="4">
        <v>0</v>
      </c>
      <c r="D19" s="5">
        <f t="shared" si="0"/>
        <v>1</v>
      </c>
      <c r="E19" s="6">
        <v>3</v>
      </c>
      <c r="F19" s="4">
        <v>1</v>
      </c>
      <c r="G19" s="5">
        <f t="shared" si="1"/>
        <v>4</v>
      </c>
      <c r="H19" s="9">
        <f t="shared" si="2"/>
        <v>5</v>
      </c>
    </row>
    <row r="20" spans="1:8" x14ac:dyDescent="0.25">
      <c r="A20" s="14" t="s">
        <v>17</v>
      </c>
      <c r="B20" s="6">
        <v>9</v>
      </c>
      <c r="C20" s="4">
        <v>0</v>
      </c>
      <c r="D20" s="5">
        <f t="shared" si="0"/>
        <v>9</v>
      </c>
      <c r="E20" s="6">
        <v>15</v>
      </c>
      <c r="F20" s="4">
        <v>1</v>
      </c>
      <c r="G20" s="5">
        <f t="shared" si="1"/>
        <v>16</v>
      </c>
      <c r="H20" s="9">
        <f t="shared" si="2"/>
        <v>25</v>
      </c>
    </row>
    <row r="21" spans="1:8" x14ac:dyDescent="0.25">
      <c r="A21" s="14" t="s">
        <v>18</v>
      </c>
      <c r="B21" s="6">
        <v>3</v>
      </c>
      <c r="C21" s="4">
        <v>0</v>
      </c>
      <c r="D21" s="5">
        <f t="shared" si="0"/>
        <v>3</v>
      </c>
      <c r="E21" s="6">
        <v>62</v>
      </c>
      <c r="F21" s="4">
        <v>1</v>
      </c>
      <c r="G21" s="5">
        <f t="shared" si="1"/>
        <v>63</v>
      </c>
      <c r="H21" s="9">
        <f t="shared" si="2"/>
        <v>66</v>
      </c>
    </row>
    <row r="22" spans="1:8" x14ac:dyDescent="0.25">
      <c r="A22" s="14" t="s">
        <v>19</v>
      </c>
      <c r="B22" s="6">
        <v>0</v>
      </c>
      <c r="C22" s="4">
        <v>0</v>
      </c>
      <c r="D22" s="5">
        <f t="shared" si="0"/>
        <v>0</v>
      </c>
      <c r="E22" s="6">
        <v>2</v>
      </c>
      <c r="F22" s="4">
        <v>0</v>
      </c>
      <c r="G22" s="5">
        <f t="shared" si="1"/>
        <v>2</v>
      </c>
      <c r="H22" s="9">
        <f t="shared" si="2"/>
        <v>2</v>
      </c>
    </row>
    <row r="23" spans="1:8" x14ac:dyDescent="0.25">
      <c r="A23" s="14" t="s">
        <v>20</v>
      </c>
      <c r="B23" s="6">
        <v>1</v>
      </c>
      <c r="C23" s="4">
        <v>0</v>
      </c>
      <c r="D23" s="5">
        <f t="shared" si="0"/>
        <v>1</v>
      </c>
      <c r="E23" s="6">
        <v>4</v>
      </c>
      <c r="F23" s="4">
        <v>0</v>
      </c>
      <c r="G23" s="5">
        <f t="shared" si="1"/>
        <v>4</v>
      </c>
      <c r="H23" s="9">
        <f t="shared" si="2"/>
        <v>5</v>
      </c>
    </row>
    <row r="24" spans="1:8" x14ac:dyDescent="0.25">
      <c r="A24" s="14" t="s">
        <v>21</v>
      </c>
      <c r="B24" s="6">
        <v>6</v>
      </c>
      <c r="C24" s="4">
        <v>0</v>
      </c>
      <c r="D24" s="5">
        <f t="shared" si="0"/>
        <v>6</v>
      </c>
      <c r="E24" s="6">
        <v>9</v>
      </c>
      <c r="F24" s="4">
        <v>0</v>
      </c>
      <c r="G24" s="5">
        <f t="shared" si="1"/>
        <v>9</v>
      </c>
      <c r="H24" s="9">
        <f t="shared" si="2"/>
        <v>15</v>
      </c>
    </row>
    <row r="25" spans="1:8" x14ac:dyDescent="0.25">
      <c r="A25" s="14" t="s">
        <v>22</v>
      </c>
      <c r="B25" s="6">
        <v>2</v>
      </c>
      <c r="C25" s="4">
        <v>0</v>
      </c>
      <c r="D25" s="5">
        <f t="shared" si="0"/>
        <v>2</v>
      </c>
      <c r="E25" s="6">
        <v>8</v>
      </c>
      <c r="F25" s="4">
        <v>3</v>
      </c>
      <c r="G25" s="5">
        <f t="shared" si="1"/>
        <v>11</v>
      </c>
      <c r="H25" s="9">
        <f t="shared" si="2"/>
        <v>13</v>
      </c>
    </row>
    <row r="26" spans="1:8" x14ac:dyDescent="0.25">
      <c r="A26" s="14" t="s">
        <v>23</v>
      </c>
      <c r="B26" s="6">
        <v>2</v>
      </c>
      <c r="C26" s="4">
        <v>0</v>
      </c>
      <c r="D26" s="5">
        <f t="shared" si="0"/>
        <v>2</v>
      </c>
      <c r="E26" s="6">
        <v>7</v>
      </c>
      <c r="F26" s="4">
        <v>0</v>
      </c>
      <c r="G26" s="5">
        <f t="shared" si="1"/>
        <v>7</v>
      </c>
      <c r="H26" s="9">
        <f t="shared" si="2"/>
        <v>9</v>
      </c>
    </row>
    <row r="27" spans="1:8" x14ac:dyDescent="0.25">
      <c r="A27" s="14" t="s">
        <v>24</v>
      </c>
      <c r="B27" s="6">
        <v>1</v>
      </c>
      <c r="C27" s="4">
        <v>0</v>
      </c>
      <c r="D27" s="5">
        <f t="shared" si="0"/>
        <v>1</v>
      </c>
      <c r="E27" s="6">
        <v>6</v>
      </c>
      <c r="F27" s="4">
        <v>0</v>
      </c>
      <c r="G27" s="5">
        <f t="shared" si="1"/>
        <v>6</v>
      </c>
      <c r="H27" s="9">
        <f t="shared" si="2"/>
        <v>7</v>
      </c>
    </row>
    <row r="28" spans="1:8" x14ac:dyDescent="0.25">
      <c r="A28" s="14" t="s">
        <v>71</v>
      </c>
      <c r="B28" s="6">
        <v>14</v>
      </c>
      <c r="C28" s="4">
        <v>1</v>
      </c>
      <c r="D28" s="5">
        <f t="shared" si="0"/>
        <v>15</v>
      </c>
      <c r="E28" s="6">
        <v>8</v>
      </c>
      <c r="F28" s="4">
        <v>0</v>
      </c>
      <c r="G28" s="5">
        <f t="shared" si="1"/>
        <v>8</v>
      </c>
      <c r="H28" s="9">
        <f t="shared" si="2"/>
        <v>23</v>
      </c>
    </row>
    <row r="29" spans="1:8" x14ac:dyDescent="0.25">
      <c r="A29" s="14" t="s">
        <v>72</v>
      </c>
      <c r="B29" s="6">
        <v>4</v>
      </c>
      <c r="C29" s="4">
        <v>0</v>
      </c>
      <c r="D29" s="5">
        <f t="shared" si="0"/>
        <v>4</v>
      </c>
      <c r="E29" s="6">
        <v>19</v>
      </c>
      <c r="F29" s="4">
        <v>0</v>
      </c>
      <c r="G29" s="5">
        <f t="shared" si="1"/>
        <v>19</v>
      </c>
      <c r="H29" s="9">
        <f t="shared" si="2"/>
        <v>23</v>
      </c>
    </row>
    <row r="30" spans="1:8" x14ac:dyDescent="0.25">
      <c r="A30" s="14" t="s">
        <v>25</v>
      </c>
      <c r="B30" s="6">
        <v>0</v>
      </c>
      <c r="C30" s="4">
        <v>0</v>
      </c>
      <c r="D30" s="5">
        <f t="shared" si="0"/>
        <v>0</v>
      </c>
      <c r="E30" s="6">
        <v>6</v>
      </c>
      <c r="F30" s="4">
        <v>0</v>
      </c>
      <c r="G30" s="5">
        <f t="shared" si="1"/>
        <v>6</v>
      </c>
      <c r="H30" s="9">
        <f t="shared" si="2"/>
        <v>6</v>
      </c>
    </row>
    <row r="31" spans="1:8" x14ac:dyDescent="0.25">
      <c r="A31" s="14" t="s">
        <v>26</v>
      </c>
      <c r="B31" s="6">
        <v>6</v>
      </c>
      <c r="C31" s="4">
        <v>0</v>
      </c>
      <c r="D31" s="5">
        <f t="shared" si="0"/>
        <v>6</v>
      </c>
      <c r="E31" s="6">
        <v>27</v>
      </c>
      <c r="F31" s="4">
        <v>1</v>
      </c>
      <c r="G31" s="5">
        <f t="shared" si="1"/>
        <v>28</v>
      </c>
      <c r="H31" s="9">
        <f t="shared" si="2"/>
        <v>34</v>
      </c>
    </row>
    <row r="32" spans="1:8" x14ac:dyDescent="0.25">
      <c r="A32" s="14" t="s">
        <v>73</v>
      </c>
      <c r="B32" s="6">
        <v>1</v>
      </c>
      <c r="C32" s="4">
        <v>0</v>
      </c>
      <c r="D32" s="5">
        <f t="shared" si="0"/>
        <v>1</v>
      </c>
      <c r="E32" s="6">
        <v>19</v>
      </c>
      <c r="F32" s="4">
        <v>0</v>
      </c>
      <c r="G32" s="5">
        <f t="shared" si="1"/>
        <v>19</v>
      </c>
      <c r="H32" s="9">
        <f t="shared" si="2"/>
        <v>20</v>
      </c>
    </row>
    <row r="33" spans="1:8" x14ac:dyDescent="0.25">
      <c r="A33" s="14" t="s">
        <v>27</v>
      </c>
      <c r="B33" s="6">
        <v>0</v>
      </c>
      <c r="C33" s="4">
        <v>0</v>
      </c>
      <c r="D33" s="5">
        <f t="shared" si="0"/>
        <v>0</v>
      </c>
      <c r="E33" s="6">
        <v>20</v>
      </c>
      <c r="F33" s="4">
        <v>0</v>
      </c>
      <c r="G33" s="5">
        <f t="shared" si="1"/>
        <v>20</v>
      </c>
      <c r="H33" s="9">
        <f t="shared" si="2"/>
        <v>20</v>
      </c>
    </row>
    <row r="34" spans="1:8" x14ac:dyDescent="0.25">
      <c r="A34" s="14" t="s">
        <v>28</v>
      </c>
      <c r="B34" s="6">
        <v>3</v>
      </c>
      <c r="C34" s="4">
        <v>0</v>
      </c>
      <c r="D34" s="5">
        <f t="shared" si="0"/>
        <v>3</v>
      </c>
      <c r="E34" s="6">
        <v>10</v>
      </c>
      <c r="F34" s="4">
        <v>0</v>
      </c>
      <c r="G34" s="5">
        <f t="shared" si="1"/>
        <v>10</v>
      </c>
      <c r="H34" s="9">
        <f t="shared" si="2"/>
        <v>13</v>
      </c>
    </row>
    <row r="35" spans="1:8" x14ac:dyDescent="0.25">
      <c r="A35" s="14" t="s">
        <v>1</v>
      </c>
      <c r="B35" s="6">
        <v>0</v>
      </c>
      <c r="C35" s="4">
        <v>0</v>
      </c>
      <c r="D35" s="5">
        <f t="shared" si="0"/>
        <v>0</v>
      </c>
      <c r="E35" s="6">
        <v>69</v>
      </c>
      <c r="F35" s="4">
        <v>4</v>
      </c>
      <c r="G35" s="5">
        <f t="shared" si="1"/>
        <v>73</v>
      </c>
      <c r="H35" s="9">
        <f t="shared" si="2"/>
        <v>73</v>
      </c>
    </row>
    <row r="36" spans="1:8" x14ac:dyDescent="0.25">
      <c r="A36" s="14" t="s">
        <v>29</v>
      </c>
      <c r="B36" s="6">
        <v>0</v>
      </c>
      <c r="C36" s="4">
        <v>0</v>
      </c>
      <c r="D36" s="5">
        <f t="shared" si="0"/>
        <v>0</v>
      </c>
      <c r="E36" s="6">
        <v>81</v>
      </c>
      <c r="F36" s="4">
        <v>6</v>
      </c>
      <c r="G36" s="5">
        <f t="shared" si="1"/>
        <v>87</v>
      </c>
      <c r="H36" s="9">
        <f t="shared" si="2"/>
        <v>87</v>
      </c>
    </row>
    <row r="37" spans="1:8" x14ac:dyDescent="0.25">
      <c r="A37" s="14" t="s">
        <v>30</v>
      </c>
      <c r="B37" s="6">
        <v>13</v>
      </c>
      <c r="C37" s="4">
        <v>5</v>
      </c>
      <c r="D37" s="5">
        <f t="shared" si="0"/>
        <v>18</v>
      </c>
      <c r="E37" s="6">
        <v>0</v>
      </c>
      <c r="F37" s="4">
        <v>0</v>
      </c>
      <c r="G37" s="5">
        <f t="shared" si="1"/>
        <v>0</v>
      </c>
      <c r="H37" s="9">
        <f t="shared" si="2"/>
        <v>18</v>
      </c>
    </row>
    <row r="38" spans="1:8" x14ac:dyDescent="0.25">
      <c r="A38" s="14" t="s">
        <v>31</v>
      </c>
      <c r="B38" s="6">
        <v>1</v>
      </c>
      <c r="C38" s="4">
        <v>1</v>
      </c>
      <c r="D38" s="5">
        <f t="shared" si="0"/>
        <v>2</v>
      </c>
      <c r="E38" s="6">
        <v>11</v>
      </c>
      <c r="F38" s="4">
        <v>1</v>
      </c>
      <c r="G38" s="5">
        <f t="shared" si="1"/>
        <v>12</v>
      </c>
      <c r="H38" s="9">
        <f t="shared" si="2"/>
        <v>14</v>
      </c>
    </row>
    <row r="39" spans="1:8" x14ac:dyDescent="0.25">
      <c r="A39" s="14" t="s">
        <v>32</v>
      </c>
      <c r="B39" s="6">
        <v>0</v>
      </c>
      <c r="C39" s="4">
        <v>0</v>
      </c>
      <c r="D39" s="5">
        <f t="shared" si="0"/>
        <v>0</v>
      </c>
      <c r="E39" s="6">
        <v>12</v>
      </c>
      <c r="F39" s="4">
        <v>5</v>
      </c>
      <c r="G39" s="5">
        <f t="shared" si="1"/>
        <v>17</v>
      </c>
      <c r="H39" s="9">
        <f t="shared" si="2"/>
        <v>17</v>
      </c>
    </row>
    <row r="40" spans="1:8" x14ac:dyDescent="0.25">
      <c r="A40" s="14" t="s">
        <v>33</v>
      </c>
      <c r="B40" s="6">
        <v>0</v>
      </c>
      <c r="C40" s="4">
        <v>0</v>
      </c>
      <c r="D40" s="5">
        <f t="shared" si="0"/>
        <v>0</v>
      </c>
      <c r="E40" s="6">
        <v>0</v>
      </c>
      <c r="F40" s="4">
        <v>0</v>
      </c>
      <c r="G40" s="5">
        <f t="shared" si="1"/>
        <v>0</v>
      </c>
      <c r="H40" s="9">
        <f t="shared" si="2"/>
        <v>0</v>
      </c>
    </row>
    <row r="41" spans="1:8" x14ac:dyDescent="0.25">
      <c r="A41" s="14" t="s">
        <v>34</v>
      </c>
      <c r="B41" s="6">
        <v>0</v>
      </c>
      <c r="C41" s="4">
        <v>0</v>
      </c>
      <c r="D41" s="5">
        <f t="shared" si="0"/>
        <v>0</v>
      </c>
      <c r="E41" s="6">
        <v>7</v>
      </c>
      <c r="F41" s="4">
        <v>1</v>
      </c>
      <c r="G41" s="5">
        <f t="shared" si="1"/>
        <v>8</v>
      </c>
      <c r="H41" s="9">
        <f t="shared" si="2"/>
        <v>8</v>
      </c>
    </row>
    <row r="42" spans="1:8" x14ac:dyDescent="0.25">
      <c r="A42" s="14" t="s">
        <v>35</v>
      </c>
      <c r="B42" s="6">
        <v>1</v>
      </c>
      <c r="C42" s="4">
        <v>0</v>
      </c>
      <c r="D42" s="5">
        <f t="shared" si="0"/>
        <v>1</v>
      </c>
      <c r="E42" s="6">
        <v>9</v>
      </c>
      <c r="F42" s="4">
        <v>0</v>
      </c>
      <c r="G42" s="5">
        <f t="shared" si="1"/>
        <v>9</v>
      </c>
      <c r="H42" s="9">
        <f t="shared" si="2"/>
        <v>10</v>
      </c>
    </row>
    <row r="43" spans="1:8" x14ac:dyDescent="0.25">
      <c r="A43" s="14" t="s">
        <v>36</v>
      </c>
      <c r="B43" s="6">
        <v>1</v>
      </c>
      <c r="C43" s="4">
        <v>0</v>
      </c>
      <c r="D43" s="5">
        <f t="shared" si="0"/>
        <v>1</v>
      </c>
      <c r="E43" s="6">
        <v>6</v>
      </c>
      <c r="F43" s="4">
        <v>1</v>
      </c>
      <c r="G43" s="5">
        <f t="shared" si="1"/>
        <v>7</v>
      </c>
      <c r="H43" s="9">
        <f t="shared" si="2"/>
        <v>8</v>
      </c>
    </row>
    <row r="44" spans="1:8" x14ac:dyDescent="0.25">
      <c r="A44" s="14" t="s">
        <v>37</v>
      </c>
      <c r="B44" s="6">
        <v>0</v>
      </c>
      <c r="C44" s="4">
        <v>0</v>
      </c>
      <c r="D44" s="5">
        <f t="shared" si="0"/>
        <v>0</v>
      </c>
      <c r="E44" s="6">
        <v>4</v>
      </c>
      <c r="F44" s="4">
        <v>0</v>
      </c>
      <c r="G44" s="5">
        <f t="shared" si="1"/>
        <v>4</v>
      </c>
      <c r="H44" s="9">
        <f t="shared" si="2"/>
        <v>4</v>
      </c>
    </row>
    <row r="45" spans="1:8" x14ac:dyDescent="0.25">
      <c r="A45" s="14" t="s">
        <v>38</v>
      </c>
      <c r="B45" s="6">
        <v>8</v>
      </c>
      <c r="C45" s="4">
        <v>1</v>
      </c>
      <c r="D45" s="5">
        <f t="shared" si="0"/>
        <v>9</v>
      </c>
      <c r="E45" s="6">
        <v>3</v>
      </c>
      <c r="F45" s="4">
        <v>1</v>
      </c>
      <c r="G45" s="5">
        <f t="shared" si="1"/>
        <v>4</v>
      </c>
      <c r="H45" s="9">
        <f t="shared" si="2"/>
        <v>13</v>
      </c>
    </row>
    <row r="46" spans="1:8" x14ac:dyDescent="0.25">
      <c r="A46" s="14" t="s">
        <v>39</v>
      </c>
      <c r="B46" s="6">
        <v>1</v>
      </c>
      <c r="C46" s="4">
        <v>0</v>
      </c>
      <c r="D46" s="5">
        <f t="shared" si="0"/>
        <v>1</v>
      </c>
      <c r="E46" s="6">
        <v>18</v>
      </c>
      <c r="F46" s="4">
        <v>3</v>
      </c>
      <c r="G46" s="5">
        <f t="shared" si="1"/>
        <v>21</v>
      </c>
      <c r="H46" s="9">
        <f t="shared" si="2"/>
        <v>22</v>
      </c>
    </row>
    <row r="47" spans="1:8" x14ac:dyDescent="0.25">
      <c r="A47" s="14" t="s">
        <v>40</v>
      </c>
      <c r="B47" s="6">
        <v>1</v>
      </c>
      <c r="C47" s="4">
        <v>0</v>
      </c>
      <c r="D47" s="5">
        <f t="shared" si="0"/>
        <v>1</v>
      </c>
      <c r="E47" s="6">
        <v>53</v>
      </c>
      <c r="F47" s="4">
        <v>6</v>
      </c>
      <c r="G47" s="5">
        <f t="shared" si="1"/>
        <v>59</v>
      </c>
      <c r="H47" s="9">
        <f t="shared" si="2"/>
        <v>60</v>
      </c>
    </row>
    <row r="48" spans="1:8" x14ac:dyDescent="0.25">
      <c r="A48" s="14" t="s">
        <v>41</v>
      </c>
      <c r="B48" s="6">
        <v>7</v>
      </c>
      <c r="C48" s="4">
        <v>0</v>
      </c>
      <c r="D48" s="5">
        <f t="shared" si="0"/>
        <v>7</v>
      </c>
      <c r="E48" s="6">
        <v>1</v>
      </c>
      <c r="F48" s="4">
        <v>1</v>
      </c>
      <c r="G48" s="5">
        <f t="shared" si="1"/>
        <v>2</v>
      </c>
      <c r="H48" s="9">
        <f t="shared" si="2"/>
        <v>9</v>
      </c>
    </row>
    <row r="49" spans="1:8" x14ac:dyDescent="0.25">
      <c r="A49" s="14" t="s">
        <v>42</v>
      </c>
      <c r="B49" s="6">
        <v>2</v>
      </c>
      <c r="C49" s="4">
        <v>0</v>
      </c>
      <c r="D49" s="5">
        <f t="shared" si="0"/>
        <v>2</v>
      </c>
      <c r="E49" s="6">
        <v>1</v>
      </c>
      <c r="F49" s="4">
        <v>0</v>
      </c>
      <c r="G49" s="5">
        <f t="shared" si="1"/>
        <v>1</v>
      </c>
      <c r="H49" s="9">
        <f t="shared" si="2"/>
        <v>3</v>
      </c>
    </row>
    <row r="50" spans="1:8" x14ac:dyDescent="0.25">
      <c r="A50" s="14" t="s">
        <v>43</v>
      </c>
      <c r="B50" s="6">
        <v>0</v>
      </c>
      <c r="C50" s="4">
        <v>0</v>
      </c>
      <c r="D50" s="5">
        <f t="shared" si="0"/>
        <v>0</v>
      </c>
      <c r="E50" s="6">
        <v>5</v>
      </c>
      <c r="F50" s="4">
        <v>0</v>
      </c>
      <c r="G50" s="5">
        <f t="shared" si="1"/>
        <v>5</v>
      </c>
      <c r="H50" s="9">
        <f t="shared" si="2"/>
        <v>5</v>
      </c>
    </row>
    <row r="51" spans="1:8" x14ac:dyDescent="0.25">
      <c r="A51" s="14" t="s">
        <v>44</v>
      </c>
      <c r="B51" s="6">
        <v>0</v>
      </c>
      <c r="C51" s="4">
        <v>0</v>
      </c>
      <c r="D51" s="5">
        <f t="shared" si="0"/>
        <v>0</v>
      </c>
      <c r="E51" s="6">
        <v>10</v>
      </c>
      <c r="F51" s="4">
        <v>0</v>
      </c>
      <c r="G51" s="5">
        <f t="shared" si="1"/>
        <v>10</v>
      </c>
      <c r="H51" s="9">
        <f t="shared" si="2"/>
        <v>10</v>
      </c>
    </row>
    <row r="52" spans="1:8" x14ac:dyDescent="0.25">
      <c r="A52" s="14" t="s">
        <v>45</v>
      </c>
      <c r="B52" s="6">
        <v>0</v>
      </c>
      <c r="C52" s="4">
        <v>1</v>
      </c>
      <c r="D52" s="5">
        <f t="shared" si="0"/>
        <v>1</v>
      </c>
      <c r="E52" s="6">
        <v>3</v>
      </c>
      <c r="F52" s="4">
        <v>0</v>
      </c>
      <c r="G52" s="5">
        <f t="shared" si="1"/>
        <v>3</v>
      </c>
      <c r="H52" s="9">
        <f t="shared" si="2"/>
        <v>4</v>
      </c>
    </row>
    <row r="53" spans="1:8" x14ac:dyDescent="0.25">
      <c r="A53" s="14" t="s">
        <v>46</v>
      </c>
      <c r="B53" s="6">
        <v>0</v>
      </c>
      <c r="C53" s="4">
        <v>0</v>
      </c>
      <c r="D53" s="5">
        <f t="shared" si="0"/>
        <v>0</v>
      </c>
      <c r="E53" s="6">
        <v>0</v>
      </c>
      <c r="F53" s="4">
        <v>0</v>
      </c>
      <c r="G53" s="5">
        <f t="shared" si="1"/>
        <v>0</v>
      </c>
      <c r="H53" s="9">
        <f t="shared" si="2"/>
        <v>0</v>
      </c>
    </row>
    <row r="54" spans="1:8" x14ac:dyDescent="0.25">
      <c r="A54" s="14" t="s">
        <v>47</v>
      </c>
      <c r="B54" s="6">
        <v>0</v>
      </c>
      <c r="C54" s="4">
        <v>0</v>
      </c>
      <c r="D54" s="5">
        <f t="shared" si="0"/>
        <v>0</v>
      </c>
      <c r="E54" s="6">
        <v>2</v>
      </c>
      <c r="F54" s="4">
        <v>0</v>
      </c>
      <c r="G54" s="5">
        <f t="shared" si="1"/>
        <v>2</v>
      </c>
      <c r="H54" s="9">
        <f t="shared" si="2"/>
        <v>2</v>
      </c>
    </row>
    <row r="55" spans="1:8" x14ac:dyDescent="0.25">
      <c r="A55" s="14" t="s">
        <v>48</v>
      </c>
      <c r="B55" s="6">
        <v>9</v>
      </c>
      <c r="C55" s="4">
        <v>1</v>
      </c>
      <c r="D55" s="5">
        <f t="shared" si="0"/>
        <v>10</v>
      </c>
      <c r="E55" s="6">
        <v>0</v>
      </c>
      <c r="F55" s="4">
        <v>0</v>
      </c>
      <c r="G55" s="5">
        <f t="shared" si="1"/>
        <v>0</v>
      </c>
      <c r="H55" s="9">
        <f t="shared" si="2"/>
        <v>10</v>
      </c>
    </row>
    <row r="56" spans="1:8" x14ac:dyDescent="0.25">
      <c r="A56" s="14" t="s">
        <v>49</v>
      </c>
      <c r="B56" s="6">
        <v>11</v>
      </c>
      <c r="C56" s="4">
        <v>0</v>
      </c>
      <c r="D56" s="5">
        <f t="shared" si="0"/>
        <v>11</v>
      </c>
      <c r="E56" s="6">
        <v>6</v>
      </c>
      <c r="F56" s="4">
        <v>0</v>
      </c>
      <c r="G56" s="5">
        <f t="shared" si="1"/>
        <v>6</v>
      </c>
      <c r="H56" s="9">
        <f t="shared" si="2"/>
        <v>17</v>
      </c>
    </row>
    <row r="57" spans="1:8" x14ac:dyDescent="0.25">
      <c r="A57" s="14" t="s">
        <v>50</v>
      </c>
      <c r="B57" s="6">
        <v>0</v>
      </c>
      <c r="C57" s="4">
        <v>0</v>
      </c>
      <c r="D57" s="5">
        <f t="shared" si="0"/>
        <v>0</v>
      </c>
      <c r="E57" s="6">
        <v>2</v>
      </c>
      <c r="F57" s="4">
        <v>0</v>
      </c>
      <c r="G57" s="5">
        <f t="shared" si="1"/>
        <v>2</v>
      </c>
      <c r="H57" s="9">
        <f t="shared" si="2"/>
        <v>2</v>
      </c>
    </row>
    <row r="58" spans="1:8" x14ac:dyDescent="0.25">
      <c r="A58" s="14" t="s">
        <v>89</v>
      </c>
      <c r="B58" s="6">
        <v>0</v>
      </c>
      <c r="C58" s="4">
        <v>0</v>
      </c>
      <c r="D58" s="5">
        <f t="shared" si="0"/>
        <v>0</v>
      </c>
      <c r="E58" s="6">
        <v>4</v>
      </c>
      <c r="F58" s="4">
        <v>1</v>
      </c>
      <c r="G58" s="5">
        <f t="shared" si="1"/>
        <v>5</v>
      </c>
      <c r="H58" s="9">
        <f t="shared" si="2"/>
        <v>5</v>
      </c>
    </row>
    <row r="59" spans="1:8" x14ac:dyDescent="0.25">
      <c r="A59" s="14" t="s">
        <v>52</v>
      </c>
      <c r="B59" s="6">
        <v>0</v>
      </c>
      <c r="C59" s="4">
        <v>0</v>
      </c>
      <c r="D59" s="5">
        <f t="shared" si="0"/>
        <v>0</v>
      </c>
      <c r="E59" s="6">
        <v>6</v>
      </c>
      <c r="F59" s="4">
        <v>1</v>
      </c>
      <c r="G59" s="5">
        <f t="shared" si="1"/>
        <v>7</v>
      </c>
      <c r="H59" s="9">
        <f t="shared" si="2"/>
        <v>7</v>
      </c>
    </row>
    <row r="60" spans="1:8" x14ac:dyDescent="0.25">
      <c r="A60" s="14" t="s">
        <v>53</v>
      </c>
      <c r="B60" s="6">
        <v>0</v>
      </c>
      <c r="C60" s="4">
        <v>0</v>
      </c>
      <c r="D60" s="5">
        <f t="shared" si="0"/>
        <v>0</v>
      </c>
      <c r="E60" s="6">
        <v>0</v>
      </c>
      <c r="F60" s="4">
        <v>1</v>
      </c>
      <c r="G60" s="5">
        <f t="shared" si="1"/>
        <v>1</v>
      </c>
      <c r="H60" s="9">
        <f t="shared" si="2"/>
        <v>1</v>
      </c>
    </row>
    <row r="61" spans="1:8" x14ac:dyDescent="0.25">
      <c r="A61" s="14" t="s">
        <v>54</v>
      </c>
      <c r="B61" s="6">
        <v>0</v>
      </c>
      <c r="C61" s="4">
        <v>0</v>
      </c>
      <c r="D61" s="5">
        <f t="shared" si="0"/>
        <v>0</v>
      </c>
      <c r="E61" s="6">
        <v>10</v>
      </c>
      <c r="F61" s="4">
        <v>2</v>
      </c>
      <c r="G61" s="5">
        <f t="shared" si="1"/>
        <v>12</v>
      </c>
      <c r="H61" s="9">
        <f t="shared" si="2"/>
        <v>12</v>
      </c>
    </row>
    <row r="62" spans="1:8" x14ac:dyDescent="0.25">
      <c r="A62" s="14" t="s">
        <v>55</v>
      </c>
      <c r="B62" s="6">
        <v>0</v>
      </c>
      <c r="C62" s="4">
        <v>0</v>
      </c>
      <c r="D62" s="5">
        <f t="shared" si="0"/>
        <v>0</v>
      </c>
      <c r="E62" s="6">
        <v>22</v>
      </c>
      <c r="F62" s="4">
        <v>2</v>
      </c>
      <c r="G62" s="5">
        <f t="shared" si="1"/>
        <v>24</v>
      </c>
      <c r="H62" s="9">
        <f t="shared" si="2"/>
        <v>24</v>
      </c>
    </row>
    <row r="63" spans="1:8" x14ac:dyDescent="0.25">
      <c r="A63" s="14" t="s">
        <v>56</v>
      </c>
      <c r="B63" s="6">
        <v>0</v>
      </c>
      <c r="C63" s="4">
        <v>0</v>
      </c>
      <c r="D63" s="5">
        <f t="shared" si="0"/>
        <v>0</v>
      </c>
      <c r="E63" s="6">
        <v>16</v>
      </c>
      <c r="F63" s="4">
        <v>1</v>
      </c>
      <c r="G63" s="5">
        <f t="shared" si="1"/>
        <v>17</v>
      </c>
      <c r="H63" s="9">
        <f t="shared" si="2"/>
        <v>17</v>
      </c>
    </row>
    <row r="64" spans="1:8" x14ac:dyDescent="0.25">
      <c r="A64" s="14" t="s">
        <v>90</v>
      </c>
      <c r="B64" s="6">
        <v>0</v>
      </c>
      <c r="C64" s="4">
        <v>0</v>
      </c>
      <c r="D64" s="5">
        <f t="shared" si="0"/>
        <v>0</v>
      </c>
      <c r="E64" s="6">
        <v>0</v>
      </c>
      <c r="F64" s="4">
        <v>0</v>
      </c>
      <c r="G64" s="5">
        <f t="shared" si="1"/>
        <v>0</v>
      </c>
      <c r="H64" s="9">
        <f t="shared" si="2"/>
        <v>0</v>
      </c>
    </row>
    <row r="65" spans="1:8" x14ac:dyDescent="0.25">
      <c r="A65" s="14" t="s">
        <v>91</v>
      </c>
      <c r="B65" s="6">
        <v>0</v>
      </c>
      <c r="C65" s="4">
        <v>0</v>
      </c>
      <c r="D65" s="5">
        <f t="shared" si="0"/>
        <v>0</v>
      </c>
      <c r="E65" s="6">
        <v>0</v>
      </c>
      <c r="F65" s="4">
        <v>0</v>
      </c>
      <c r="G65" s="5">
        <f t="shared" si="1"/>
        <v>0</v>
      </c>
      <c r="H65" s="9">
        <f t="shared" si="2"/>
        <v>0</v>
      </c>
    </row>
    <row r="66" spans="1:8" x14ac:dyDescent="0.25">
      <c r="A66" s="14" t="s">
        <v>57</v>
      </c>
      <c r="B66" s="6">
        <v>0</v>
      </c>
      <c r="C66" s="4">
        <v>0</v>
      </c>
      <c r="D66" s="5">
        <f t="shared" si="0"/>
        <v>0</v>
      </c>
      <c r="E66" s="6">
        <v>25</v>
      </c>
      <c r="F66" s="4">
        <v>2</v>
      </c>
      <c r="G66" s="5">
        <f t="shared" si="1"/>
        <v>27</v>
      </c>
      <c r="H66" s="9">
        <f t="shared" si="2"/>
        <v>27</v>
      </c>
    </row>
    <row r="67" spans="1:8" x14ac:dyDescent="0.25">
      <c r="A67" s="14" t="s">
        <v>58</v>
      </c>
      <c r="B67" s="6">
        <v>0</v>
      </c>
      <c r="C67" s="4">
        <v>0</v>
      </c>
      <c r="D67" s="5">
        <f t="shared" si="0"/>
        <v>0</v>
      </c>
      <c r="E67" s="6">
        <v>2</v>
      </c>
      <c r="F67" s="4">
        <v>0</v>
      </c>
      <c r="G67" s="5">
        <f t="shared" si="1"/>
        <v>2</v>
      </c>
      <c r="H67" s="9">
        <f t="shared" si="2"/>
        <v>2</v>
      </c>
    </row>
    <row r="68" spans="1:8" x14ac:dyDescent="0.25">
      <c r="A68" s="14" t="s">
        <v>59</v>
      </c>
      <c r="B68" s="6">
        <v>0</v>
      </c>
      <c r="C68" s="4">
        <v>0</v>
      </c>
      <c r="D68" s="5">
        <f t="shared" si="0"/>
        <v>0</v>
      </c>
      <c r="E68" s="6">
        <v>3</v>
      </c>
      <c r="F68" s="4">
        <v>0</v>
      </c>
      <c r="G68" s="5">
        <f t="shared" si="1"/>
        <v>3</v>
      </c>
      <c r="H68" s="9">
        <f t="shared" si="2"/>
        <v>3</v>
      </c>
    </row>
    <row r="69" spans="1:8" x14ac:dyDescent="0.25">
      <c r="A69" s="14" t="s">
        <v>60</v>
      </c>
      <c r="B69" s="6">
        <v>0</v>
      </c>
      <c r="C69" s="4">
        <v>0</v>
      </c>
      <c r="D69" s="5">
        <f t="shared" si="0"/>
        <v>0</v>
      </c>
      <c r="E69" s="6">
        <v>6</v>
      </c>
      <c r="F69" s="4">
        <v>0</v>
      </c>
      <c r="G69" s="5">
        <f t="shared" si="1"/>
        <v>6</v>
      </c>
      <c r="H69" s="9">
        <f t="shared" si="2"/>
        <v>6</v>
      </c>
    </row>
    <row r="70" spans="1:8" x14ac:dyDescent="0.25">
      <c r="A70" s="14" t="s">
        <v>61</v>
      </c>
      <c r="B70" s="6">
        <v>0</v>
      </c>
      <c r="C70" s="4">
        <v>0</v>
      </c>
      <c r="D70" s="5">
        <f t="shared" si="0"/>
        <v>0</v>
      </c>
      <c r="E70" s="6">
        <v>14</v>
      </c>
      <c r="F70" s="4">
        <v>0</v>
      </c>
      <c r="G70" s="5">
        <f t="shared" si="1"/>
        <v>14</v>
      </c>
      <c r="H70" s="9">
        <f t="shared" si="2"/>
        <v>14</v>
      </c>
    </row>
    <row r="71" spans="1:8" x14ac:dyDescent="0.25">
      <c r="A71" s="14" t="s">
        <v>62</v>
      </c>
      <c r="B71" s="6">
        <v>0</v>
      </c>
      <c r="C71" s="4">
        <v>0</v>
      </c>
      <c r="D71" s="5">
        <f t="shared" si="0"/>
        <v>0</v>
      </c>
      <c r="E71" s="6">
        <v>3</v>
      </c>
      <c r="F71" s="4">
        <v>1</v>
      </c>
      <c r="G71" s="5">
        <f t="shared" si="1"/>
        <v>4</v>
      </c>
      <c r="H71" s="9">
        <f t="shared" si="2"/>
        <v>4</v>
      </c>
    </row>
    <row r="72" spans="1:8" x14ac:dyDescent="0.25">
      <c r="A72" s="14" t="s">
        <v>63</v>
      </c>
      <c r="B72" s="6">
        <v>0</v>
      </c>
      <c r="C72" s="4">
        <v>0</v>
      </c>
      <c r="D72" s="5">
        <f t="shared" ref="D72:D81" si="3">SUM(B72:C72)</f>
        <v>0</v>
      </c>
      <c r="E72" s="6">
        <v>1</v>
      </c>
      <c r="F72" s="4">
        <v>0</v>
      </c>
      <c r="G72" s="5">
        <f t="shared" ref="G72:G81" si="4">SUM(E72:F72)</f>
        <v>1</v>
      </c>
      <c r="H72" s="9">
        <f t="shared" ref="H72:H81" si="5">D72+G72</f>
        <v>1</v>
      </c>
    </row>
    <row r="73" spans="1:8" x14ac:dyDescent="0.25">
      <c r="A73" s="14" t="s">
        <v>64</v>
      </c>
      <c r="B73" s="6">
        <v>0</v>
      </c>
      <c r="C73" s="4">
        <v>0</v>
      </c>
      <c r="D73" s="5">
        <f t="shared" ref="D73:D75" si="6">SUM(B73:C73)</f>
        <v>0</v>
      </c>
      <c r="E73" s="6">
        <v>1</v>
      </c>
      <c r="F73" s="4">
        <v>1</v>
      </c>
      <c r="G73" s="5">
        <f t="shared" ref="G73:G75" si="7">SUM(E73:F73)</f>
        <v>2</v>
      </c>
      <c r="H73" s="9">
        <f t="shared" ref="H73:H75" si="8">D73+G73</f>
        <v>2</v>
      </c>
    </row>
    <row r="74" spans="1:8" x14ac:dyDescent="0.25">
      <c r="A74" s="14" t="s">
        <v>65</v>
      </c>
      <c r="B74" s="6">
        <v>0</v>
      </c>
      <c r="C74" s="4">
        <v>0</v>
      </c>
      <c r="D74" s="5">
        <f t="shared" si="6"/>
        <v>0</v>
      </c>
      <c r="E74" s="6">
        <v>63</v>
      </c>
      <c r="F74" s="4">
        <v>6</v>
      </c>
      <c r="G74" s="5">
        <f t="shared" si="7"/>
        <v>69</v>
      </c>
      <c r="H74" s="9">
        <f t="shared" si="8"/>
        <v>69</v>
      </c>
    </row>
    <row r="75" spans="1:8" x14ac:dyDescent="0.25">
      <c r="A75" s="14" t="s">
        <v>66</v>
      </c>
      <c r="B75" s="6">
        <v>0</v>
      </c>
      <c r="C75" s="4">
        <v>0</v>
      </c>
      <c r="D75" s="5">
        <f t="shared" si="6"/>
        <v>0</v>
      </c>
      <c r="E75" s="6">
        <v>10</v>
      </c>
      <c r="F75" s="4">
        <v>1</v>
      </c>
      <c r="G75" s="5">
        <f t="shared" si="7"/>
        <v>11</v>
      </c>
      <c r="H75" s="9">
        <f t="shared" si="8"/>
        <v>11</v>
      </c>
    </row>
    <row r="76" spans="1:8" x14ac:dyDescent="0.25">
      <c r="A76" s="14" t="s">
        <v>67</v>
      </c>
      <c r="B76" s="6">
        <v>0</v>
      </c>
      <c r="C76" s="4">
        <v>0</v>
      </c>
      <c r="D76" s="5">
        <f t="shared" si="3"/>
        <v>0</v>
      </c>
      <c r="E76" s="6">
        <v>13</v>
      </c>
      <c r="F76" s="4">
        <v>2</v>
      </c>
      <c r="G76" s="5">
        <f t="shared" si="4"/>
        <v>15</v>
      </c>
      <c r="H76" s="9">
        <f t="shared" si="5"/>
        <v>15</v>
      </c>
    </row>
    <row r="77" spans="1:8" x14ac:dyDescent="0.25">
      <c r="A77" s="14" t="s">
        <v>68</v>
      </c>
      <c r="B77" s="6">
        <v>0</v>
      </c>
      <c r="C77" s="4">
        <v>0</v>
      </c>
      <c r="D77" s="5">
        <f t="shared" si="3"/>
        <v>0</v>
      </c>
      <c r="E77" s="6">
        <v>25</v>
      </c>
      <c r="F77" s="4">
        <v>8</v>
      </c>
      <c r="G77" s="5">
        <f t="shared" si="4"/>
        <v>33</v>
      </c>
      <c r="H77" s="9">
        <f t="shared" si="5"/>
        <v>33</v>
      </c>
    </row>
    <row r="78" spans="1:8" x14ac:dyDescent="0.25">
      <c r="A78" s="14" t="s">
        <v>69</v>
      </c>
      <c r="B78" s="6">
        <v>0</v>
      </c>
      <c r="C78" s="4">
        <v>0</v>
      </c>
      <c r="D78" s="5">
        <f>SUM(B78:C78)</f>
        <v>0</v>
      </c>
      <c r="E78" s="6">
        <v>4</v>
      </c>
      <c r="F78" s="4">
        <v>1</v>
      </c>
      <c r="G78" s="5">
        <f t="shared" si="4"/>
        <v>5</v>
      </c>
      <c r="H78" s="9">
        <f t="shared" si="5"/>
        <v>5</v>
      </c>
    </row>
    <row r="79" spans="1:8" x14ac:dyDescent="0.25">
      <c r="A79" s="14" t="s">
        <v>92</v>
      </c>
      <c r="B79" s="6">
        <v>0</v>
      </c>
      <c r="C79" s="4">
        <v>0</v>
      </c>
      <c r="D79" s="5">
        <f>SUM(B79:C79)</f>
        <v>0</v>
      </c>
      <c r="E79" s="6">
        <v>99</v>
      </c>
      <c r="F79" s="4">
        <v>2</v>
      </c>
      <c r="G79" s="5">
        <f t="shared" si="4"/>
        <v>101</v>
      </c>
      <c r="H79" s="9">
        <f t="shared" si="5"/>
        <v>101</v>
      </c>
    </row>
    <row r="80" spans="1:8" ht="15.75" thickBot="1" x14ac:dyDescent="0.3">
      <c r="A80" s="15" t="s">
        <v>70</v>
      </c>
      <c r="B80" s="11">
        <v>0</v>
      </c>
      <c r="C80" s="12">
        <v>0</v>
      </c>
      <c r="D80" s="23">
        <f>SUM(B80:C80)</f>
        <v>0</v>
      </c>
      <c r="E80" s="11">
        <v>15</v>
      </c>
      <c r="F80" s="12">
        <v>2</v>
      </c>
      <c r="G80" s="23">
        <f t="shared" si="4"/>
        <v>17</v>
      </c>
      <c r="H80" s="16">
        <f t="shared" si="5"/>
        <v>17</v>
      </c>
    </row>
    <row r="81" spans="1:8" ht="16.5" thickTop="1" thickBot="1" x14ac:dyDescent="0.3">
      <c r="A81" s="8" t="s">
        <v>0</v>
      </c>
      <c r="B81" s="7">
        <f>SUM(B7:B80)</f>
        <v>147</v>
      </c>
      <c r="C81" s="7">
        <f>SUM(C7:C80)</f>
        <v>18</v>
      </c>
      <c r="D81" s="24">
        <f t="shared" si="3"/>
        <v>165</v>
      </c>
      <c r="E81" s="7">
        <f t="shared" ref="E81:F81" si="9">SUM(E7:E80)</f>
        <v>1208</v>
      </c>
      <c r="F81" s="7">
        <f t="shared" si="9"/>
        <v>119</v>
      </c>
      <c r="G81" s="24">
        <f t="shared" si="4"/>
        <v>1327</v>
      </c>
      <c r="H81" s="25">
        <f t="shared" si="5"/>
        <v>1492</v>
      </c>
    </row>
    <row r="82" spans="1:8" ht="15.75" thickBot="1" x14ac:dyDescent="0.3"/>
    <row r="83" spans="1:8" x14ac:dyDescent="0.25">
      <c r="A83" s="26" t="s">
        <v>74</v>
      </c>
      <c r="B83" s="28" t="s">
        <v>3</v>
      </c>
      <c r="C83" s="29"/>
      <c r="D83" s="29"/>
      <c r="E83" s="28" t="s">
        <v>4</v>
      </c>
      <c r="F83" s="29"/>
      <c r="G83" s="29"/>
      <c r="H83" s="26" t="s">
        <v>0</v>
      </c>
    </row>
    <row r="84" spans="1:8" x14ac:dyDescent="0.25">
      <c r="A84" s="27"/>
      <c r="B84" s="20" t="s">
        <v>82</v>
      </c>
      <c r="C84" s="21" t="s">
        <v>83</v>
      </c>
      <c r="D84" s="22" t="s">
        <v>0</v>
      </c>
      <c r="E84" s="20" t="s">
        <v>82</v>
      </c>
      <c r="F84" s="21" t="s">
        <v>83</v>
      </c>
      <c r="G84" s="22" t="s">
        <v>0</v>
      </c>
      <c r="H84" s="27"/>
    </row>
    <row r="85" spans="1:8" x14ac:dyDescent="0.25">
      <c r="A85" s="14" t="s">
        <v>75</v>
      </c>
      <c r="B85" s="6">
        <v>39</v>
      </c>
      <c r="C85" s="4">
        <v>1</v>
      </c>
      <c r="D85" s="5">
        <f t="shared" ref="D85" si="10">SUM(B85:C85)</f>
        <v>40</v>
      </c>
      <c r="E85" s="6">
        <v>160</v>
      </c>
      <c r="F85" s="4">
        <v>9</v>
      </c>
      <c r="G85" s="5">
        <f t="shared" ref="G85" si="11">SUM(E85:F85)</f>
        <v>169</v>
      </c>
      <c r="H85" s="9">
        <f t="shared" ref="H85" si="12">D85+G85</f>
        <v>209</v>
      </c>
    </row>
    <row r="86" spans="1:8" x14ac:dyDescent="0.25">
      <c r="A86" s="14" t="s">
        <v>76</v>
      </c>
      <c r="B86" s="6">
        <v>2</v>
      </c>
      <c r="C86" s="4">
        <v>0</v>
      </c>
      <c r="D86" s="5">
        <f t="shared" ref="D86:D93" si="13">SUM(B86:C86)</f>
        <v>2</v>
      </c>
      <c r="E86" s="6">
        <v>114</v>
      </c>
      <c r="F86" s="4">
        <v>23</v>
      </c>
      <c r="G86" s="5">
        <f t="shared" ref="G86:G93" si="14">SUM(E86:F86)</f>
        <v>137</v>
      </c>
      <c r="H86" s="9">
        <f t="shared" ref="H86:H93" si="15">D86+G86</f>
        <v>139</v>
      </c>
    </row>
    <row r="87" spans="1:8" x14ac:dyDescent="0.25">
      <c r="A87" s="14" t="s">
        <v>77</v>
      </c>
      <c r="B87" s="6">
        <v>11</v>
      </c>
      <c r="C87" s="4">
        <v>0</v>
      </c>
      <c r="D87" s="5">
        <f t="shared" si="13"/>
        <v>11</v>
      </c>
      <c r="E87" s="6">
        <v>356</v>
      </c>
      <c r="F87" s="4">
        <v>34</v>
      </c>
      <c r="G87" s="5">
        <f t="shared" si="14"/>
        <v>390</v>
      </c>
      <c r="H87" s="9">
        <f t="shared" si="15"/>
        <v>401</v>
      </c>
    </row>
    <row r="88" spans="1:8" x14ac:dyDescent="0.25">
      <c r="A88" s="14" t="s">
        <v>78</v>
      </c>
      <c r="B88" s="6">
        <v>8</v>
      </c>
      <c r="C88" s="4">
        <v>3</v>
      </c>
      <c r="D88" s="5">
        <f t="shared" si="13"/>
        <v>11</v>
      </c>
      <c r="E88" s="6">
        <v>99</v>
      </c>
      <c r="F88" s="4">
        <v>7</v>
      </c>
      <c r="G88" s="5">
        <f t="shared" si="14"/>
        <v>106</v>
      </c>
      <c r="H88" s="9">
        <f t="shared" si="15"/>
        <v>117</v>
      </c>
    </row>
    <row r="89" spans="1:8" x14ac:dyDescent="0.25">
      <c r="A89" s="14" t="s">
        <v>1</v>
      </c>
      <c r="B89" s="6">
        <v>0</v>
      </c>
      <c r="C89" s="4">
        <v>0</v>
      </c>
      <c r="D89" s="5">
        <f t="shared" si="13"/>
        <v>0</v>
      </c>
      <c r="E89" s="6">
        <v>69</v>
      </c>
      <c r="F89" s="4">
        <v>4</v>
      </c>
      <c r="G89" s="5">
        <f t="shared" si="14"/>
        <v>73</v>
      </c>
      <c r="H89" s="9">
        <f t="shared" si="15"/>
        <v>73</v>
      </c>
    </row>
    <row r="90" spans="1:8" x14ac:dyDescent="0.25">
      <c r="A90" s="14" t="s">
        <v>79</v>
      </c>
      <c r="B90" s="6">
        <v>21</v>
      </c>
      <c r="C90" s="4">
        <v>3</v>
      </c>
      <c r="D90" s="5">
        <f t="shared" si="13"/>
        <v>24</v>
      </c>
      <c r="E90" s="6">
        <v>188</v>
      </c>
      <c r="F90" s="4">
        <v>17</v>
      </c>
      <c r="G90" s="5">
        <f t="shared" si="14"/>
        <v>205</v>
      </c>
      <c r="H90" s="9">
        <f t="shared" si="15"/>
        <v>229</v>
      </c>
    </row>
    <row r="91" spans="1:8" x14ac:dyDescent="0.25">
      <c r="A91" s="14" t="s">
        <v>80</v>
      </c>
      <c r="B91" s="6">
        <v>29</v>
      </c>
      <c r="C91" s="4">
        <v>10</v>
      </c>
      <c r="D91" s="5">
        <f t="shared" si="13"/>
        <v>39</v>
      </c>
      <c r="E91" s="6">
        <v>63</v>
      </c>
      <c r="F91" s="4">
        <v>11</v>
      </c>
      <c r="G91" s="5">
        <f t="shared" si="14"/>
        <v>74</v>
      </c>
      <c r="H91" s="9">
        <f t="shared" si="15"/>
        <v>113</v>
      </c>
    </row>
    <row r="92" spans="1:8" ht="15.75" thickBot="1" x14ac:dyDescent="0.3">
      <c r="A92" s="15" t="s">
        <v>81</v>
      </c>
      <c r="B92" s="11">
        <v>37</v>
      </c>
      <c r="C92" s="12">
        <v>1</v>
      </c>
      <c r="D92" s="12">
        <f t="shared" si="13"/>
        <v>38</v>
      </c>
      <c r="E92" s="11">
        <v>159</v>
      </c>
      <c r="F92" s="12">
        <v>14</v>
      </c>
      <c r="G92" s="13">
        <f t="shared" si="14"/>
        <v>173</v>
      </c>
      <c r="H92" s="16">
        <f t="shared" si="15"/>
        <v>211</v>
      </c>
    </row>
    <row r="93" spans="1:8" ht="16.5" thickTop="1" thickBot="1" x14ac:dyDescent="0.3">
      <c r="A93" s="8" t="s">
        <v>0</v>
      </c>
      <c r="B93" s="7">
        <f t="shared" ref="B93:F93" si="16">SUM(B85:B92)</f>
        <v>147</v>
      </c>
      <c r="C93" s="7">
        <f t="shared" si="16"/>
        <v>18</v>
      </c>
      <c r="D93" s="7">
        <f t="shared" si="13"/>
        <v>165</v>
      </c>
      <c r="E93" s="7">
        <f t="shared" si="16"/>
        <v>1208</v>
      </c>
      <c r="F93" s="7">
        <f t="shared" si="16"/>
        <v>119</v>
      </c>
      <c r="G93" s="8">
        <f t="shared" si="14"/>
        <v>1327</v>
      </c>
      <c r="H93" s="10">
        <f t="shared" si="15"/>
        <v>1492</v>
      </c>
    </row>
    <row r="95" spans="1:8" x14ac:dyDescent="0.25">
      <c r="A95" s="33" t="s">
        <v>86</v>
      </c>
      <c r="B95" s="33"/>
      <c r="C95" s="33"/>
      <c r="D95" s="33"/>
      <c r="E95" s="33"/>
      <c r="F95" s="33"/>
      <c r="G95" s="33"/>
      <c r="H95" s="33"/>
    </row>
    <row r="96" spans="1:8" x14ac:dyDescent="0.25">
      <c r="A96" s="33"/>
      <c r="B96" s="33"/>
      <c r="C96" s="33"/>
      <c r="D96" s="33"/>
      <c r="E96" s="33"/>
      <c r="F96" s="33"/>
      <c r="G96" s="33"/>
      <c r="H96" s="33"/>
    </row>
    <row r="97" spans="1:8" x14ac:dyDescent="0.25">
      <c r="A97" s="33"/>
      <c r="B97" s="33"/>
      <c r="C97" s="33"/>
      <c r="D97" s="33"/>
      <c r="E97" s="33"/>
      <c r="F97" s="33"/>
      <c r="G97" s="33"/>
      <c r="H97" s="33"/>
    </row>
    <row r="99" spans="1:8" x14ac:dyDescent="0.25">
      <c r="A99" s="34"/>
      <c r="B99" s="34"/>
      <c r="C99" s="34"/>
      <c r="D99" s="34"/>
      <c r="E99" s="34"/>
      <c r="F99" s="34"/>
      <c r="G99" s="34"/>
      <c r="H99" s="34"/>
    </row>
  </sheetData>
  <mergeCells count="11">
    <mergeCell ref="A95:H97"/>
    <mergeCell ref="A99:H99"/>
    <mergeCell ref="A2:H2"/>
    <mergeCell ref="A5:A6"/>
    <mergeCell ref="B5:D5"/>
    <mergeCell ref="E5:G5"/>
    <mergeCell ref="H5:H6"/>
    <mergeCell ref="A83:A84"/>
    <mergeCell ref="B83:D83"/>
    <mergeCell ref="E83:G83"/>
    <mergeCell ref="H83:H84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view="pageLayout" topLeftCell="A55" zoomScale="70" zoomScaleNormal="100" zoomScalePageLayoutView="70" workbookViewId="0">
      <selection activeCell="H55" sqref="H55"/>
    </sheetView>
  </sheetViews>
  <sheetFormatPr defaultRowHeight="15" x14ac:dyDescent="0.25"/>
  <cols>
    <col min="1" max="1" width="28.42578125" customWidth="1"/>
    <col min="2" max="8" width="8.140625" customWidth="1"/>
  </cols>
  <sheetData>
    <row r="1" spans="1:8" ht="18" x14ac:dyDescent="0.25">
      <c r="A1" s="1" t="s">
        <v>84</v>
      </c>
      <c r="B1" s="3"/>
    </row>
    <row r="2" spans="1:8" x14ac:dyDescent="0.25">
      <c r="A2" s="30" t="s">
        <v>85</v>
      </c>
      <c r="B2" s="30"/>
      <c r="C2" s="30"/>
      <c r="D2" s="30"/>
      <c r="E2" s="30"/>
      <c r="F2" s="30"/>
      <c r="G2" s="30"/>
      <c r="H2" s="30"/>
    </row>
    <row r="3" spans="1:8" x14ac:dyDescent="0.25">
      <c r="A3" s="2" t="str">
        <f ca="1">RIGHT(CELL("filename",A1),LEN(CELL("filename",A1))-FIND("]",CELL("filename",A1)))</f>
        <v>1995-96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1" t="s">
        <v>2</v>
      </c>
      <c r="B5" s="28" t="s">
        <v>3</v>
      </c>
      <c r="C5" s="29"/>
      <c r="D5" s="29"/>
      <c r="E5" s="28" t="s">
        <v>4</v>
      </c>
      <c r="F5" s="29"/>
      <c r="G5" s="29"/>
      <c r="H5" s="26" t="s">
        <v>0</v>
      </c>
    </row>
    <row r="6" spans="1:8" x14ac:dyDescent="0.25">
      <c r="A6" s="32"/>
      <c r="B6" s="17" t="s">
        <v>82</v>
      </c>
      <c r="C6" s="18" t="s">
        <v>83</v>
      </c>
      <c r="D6" s="19" t="s">
        <v>0</v>
      </c>
      <c r="E6" s="17" t="s">
        <v>82</v>
      </c>
      <c r="F6" s="18" t="s">
        <v>83</v>
      </c>
      <c r="G6" s="19" t="s">
        <v>0</v>
      </c>
      <c r="H6" s="27"/>
    </row>
    <row r="7" spans="1:8" x14ac:dyDescent="0.25">
      <c r="A7" s="14" t="s">
        <v>5</v>
      </c>
      <c r="B7" s="6">
        <v>2</v>
      </c>
      <c r="C7" s="4">
        <v>1</v>
      </c>
      <c r="D7" s="5">
        <f>B7+C7</f>
        <v>3</v>
      </c>
      <c r="E7" s="6">
        <v>29</v>
      </c>
      <c r="F7" s="4">
        <v>11</v>
      </c>
      <c r="G7" s="5">
        <f t="shared" ref="G7:G70" si="0">E7+F7</f>
        <v>40</v>
      </c>
      <c r="H7" s="9">
        <f>D7+G7</f>
        <v>43</v>
      </c>
    </row>
    <row r="8" spans="1:8" x14ac:dyDescent="0.25">
      <c r="A8" s="14" t="s">
        <v>6</v>
      </c>
      <c r="B8" s="6">
        <v>2</v>
      </c>
      <c r="C8" s="4">
        <v>0</v>
      </c>
      <c r="D8" s="5">
        <f t="shared" ref="D8:D71" si="1">B8+C8</f>
        <v>2</v>
      </c>
      <c r="E8" s="6">
        <v>46</v>
      </c>
      <c r="F8" s="4">
        <v>4</v>
      </c>
      <c r="G8" s="5">
        <f t="shared" si="0"/>
        <v>50</v>
      </c>
      <c r="H8" s="9">
        <f t="shared" ref="H8:H71" si="2">D8+G8</f>
        <v>52</v>
      </c>
    </row>
    <row r="9" spans="1:8" x14ac:dyDescent="0.25">
      <c r="A9" s="14" t="s">
        <v>7</v>
      </c>
      <c r="B9" s="6">
        <v>13</v>
      </c>
      <c r="C9" s="4">
        <v>1</v>
      </c>
      <c r="D9" s="5">
        <f t="shared" si="1"/>
        <v>14</v>
      </c>
      <c r="E9" s="6">
        <v>47</v>
      </c>
      <c r="F9" s="4">
        <v>10</v>
      </c>
      <c r="G9" s="5">
        <f t="shared" si="0"/>
        <v>57</v>
      </c>
      <c r="H9" s="9">
        <f t="shared" si="2"/>
        <v>71</v>
      </c>
    </row>
    <row r="10" spans="1:8" x14ac:dyDescent="0.25">
      <c r="A10" s="14" t="s">
        <v>8</v>
      </c>
      <c r="B10" s="6">
        <v>2</v>
      </c>
      <c r="C10" s="4">
        <v>0</v>
      </c>
      <c r="D10" s="5">
        <f t="shared" si="1"/>
        <v>2</v>
      </c>
      <c r="E10" s="6">
        <v>122</v>
      </c>
      <c r="F10" s="4">
        <v>21</v>
      </c>
      <c r="G10" s="5">
        <f t="shared" si="0"/>
        <v>143</v>
      </c>
      <c r="H10" s="9">
        <f t="shared" si="2"/>
        <v>145</v>
      </c>
    </row>
    <row r="11" spans="1:8" x14ac:dyDescent="0.25">
      <c r="A11" s="14" t="s">
        <v>9</v>
      </c>
      <c r="B11" s="6">
        <v>5</v>
      </c>
      <c r="C11" s="4">
        <v>0</v>
      </c>
      <c r="D11" s="5">
        <f t="shared" si="1"/>
        <v>5</v>
      </c>
      <c r="E11" s="6">
        <v>24</v>
      </c>
      <c r="F11" s="4">
        <v>1</v>
      </c>
      <c r="G11" s="5">
        <f t="shared" si="0"/>
        <v>25</v>
      </c>
      <c r="H11" s="9">
        <f t="shared" si="2"/>
        <v>30</v>
      </c>
    </row>
    <row r="12" spans="1:8" x14ac:dyDescent="0.25">
      <c r="A12" s="14" t="s">
        <v>10</v>
      </c>
      <c r="B12" s="6">
        <v>1</v>
      </c>
      <c r="C12" s="4">
        <v>0</v>
      </c>
      <c r="D12" s="5">
        <f t="shared" si="1"/>
        <v>1</v>
      </c>
      <c r="E12" s="6">
        <v>50</v>
      </c>
      <c r="F12" s="4">
        <v>4</v>
      </c>
      <c r="G12" s="5">
        <f t="shared" si="0"/>
        <v>54</v>
      </c>
      <c r="H12" s="9">
        <f t="shared" si="2"/>
        <v>55</v>
      </c>
    </row>
    <row r="13" spans="1:8" x14ac:dyDescent="0.25">
      <c r="A13" s="14" t="s">
        <v>11</v>
      </c>
      <c r="B13" s="6">
        <v>0</v>
      </c>
      <c r="C13" s="4">
        <v>0</v>
      </c>
      <c r="D13" s="5">
        <f t="shared" si="1"/>
        <v>0</v>
      </c>
      <c r="E13" s="6">
        <v>17</v>
      </c>
      <c r="F13" s="4">
        <v>0</v>
      </c>
      <c r="G13" s="5">
        <f t="shared" si="0"/>
        <v>17</v>
      </c>
      <c r="H13" s="9">
        <f t="shared" si="2"/>
        <v>17</v>
      </c>
    </row>
    <row r="14" spans="1:8" x14ac:dyDescent="0.25">
      <c r="A14" s="14" t="s">
        <v>12</v>
      </c>
      <c r="B14" s="6">
        <v>2</v>
      </c>
      <c r="C14" s="4">
        <v>0</v>
      </c>
      <c r="D14" s="5">
        <f t="shared" si="1"/>
        <v>2</v>
      </c>
      <c r="E14" s="6">
        <v>4</v>
      </c>
      <c r="F14" s="4">
        <v>2</v>
      </c>
      <c r="G14" s="5">
        <f t="shared" si="0"/>
        <v>6</v>
      </c>
      <c r="H14" s="9">
        <f t="shared" si="2"/>
        <v>8</v>
      </c>
    </row>
    <row r="15" spans="1:8" x14ac:dyDescent="0.25">
      <c r="A15" s="14" t="s">
        <v>13</v>
      </c>
      <c r="B15" s="6">
        <v>2</v>
      </c>
      <c r="C15" s="4">
        <v>2</v>
      </c>
      <c r="D15" s="5">
        <f t="shared" si="1"/>
        <v>4</v>
      </c>
      <c r="E15" s="6">
        <v>7</v>
      </c>
      <c r="F15" s="4">
        <v>3</v>
      </c>
      <c r="G15" s="5">
        <f t="shared" si="0"/>
        <v>10</v>
      </c>
      <c r="H15" s="9">
        <f t="shared" si="2"/>
        <v>14</v>
      </c>
    </row>
    <row r="16" spans="1:8" x14ac:dyDescent="0.25">
      <c r="A16" s="14" t="s">
        <v>14</v>
      </c>
      <c r="B16" s="6">
        <v>2</v>
      </c>
      <c r="C16" s="4">
        <v>0</v>
      </c>
      <c r="D16" s="5">
        <f t="shared" si="1"/>
        <v>2</v>
      </c>
      <c r="E16" s="6">
        <v>19</v>
      </c>
      <c r="F16" s="4">
        <v>1</v>
      </c>
      <c r="G16" s="5">
        <f t="shared" si="0"/>
        <v>20</v>
      </c>
      <c r="H16" s="9">
        <f t="shared" si="2"/>
        <v>22</v>
      </c>
    </row>
    <row r="17" spans="1:8" x14ac:dyDescent="0.25">
      <c r="A17" s="14" t="s">
        <v>15</v>
      </c>
      <c r="B17" s="6">
        <v>0</v>
      </c>
      <c r="C17" s="4">
        <v>0</v>
      </c>
      <c r="D17" s="5">
        <f t="shared" si="1"/>
        <v>0</v>
      </c>
      <c r="E17" s="6">
        <v>1</v>
      </c>
      <c r="F17" s="4">
        <v>5</v>
      </c>
      <c r="G17" s="5">
        <f t="shared" si="0"/>
        <v>6</v>
      </c>
      <c r="H17" s="9">
        <f t="shared" si="2"/>
        <v>6</v>
      </c>
    </row>
    <row r="18" spans="1:8" x14ac:dyDescent="0.25">
      <c r="A18" s="14" t="s">
        <v>16</v>
      </c>
      <c r="B18" s="6">
        <v>0</v>
      </c>
      <c r="C18" s="4">
        <v>0</v>
      </c>
      <c r="D18" s="5">
        <f t="shared" si="1"/>
        <v>0</v>
      </c>
      <c r="E18" s="6">
        <v>2</v>
      </c>
      <c r="F18" s="4">
        <v>0</v>
      </c>
      <c r="G18" s="5">
        <f t="shared" si="0"/>
        <v>2</v>
      </c>
      <c r="H18" s="9">
        <f t="shared" si="2"/>
        <v>2</v>
      </c>
    </row>
    <row r="19" spans="1:8" x14ac:dyDescent="0.25">
      <c r="A19" s="14" t="s">
        <v>17</v>
      </c>
      <c r="B19" s="6">
        <v>4</v>
      </c>
      <c r="C19" s="4">
        <v>1</v>
      </c>
      <c r="D19" s="5">
        <f t="shared" si="1"/>
        <v>5</v>
      </c>
      <c r="E19" s="6">
        <v>16</v>
      </c>
      <c r="F19" s="4">
        <v>1</v>
      </c>
      <c r="G19" s="5">
        <f t="shared" si="0"/>
        <v>17</v>
      </c>
      <c r="H19" s="9">
        <f t="shared" si="2"/>
        <v>22</v>
      </c>
    </row>
    <row r="20" spans="1:8" x14ac:dyDescent="0.25">
      <c r="A20" s="14" t="s">
        <v>18</v>
      </c>
      <c r="B20" s="6">
        <v>2</v>
      </c>
      <c r="C20" s="4">
        <v>0</v>
      </c>
      <c r="D20" s="5">
        <f t="shared" si="1"/>
        <v>2</v>
      </c>
      <c r="E20" s="6">
        <v>19</v>
      </c>
      <c r="F20" s="4">
        <v>0</v>
      </c>
      <c r="G20" s="5">
        <f t="shared" si="0"/>
        <v>19</v>
      </c>
      <c r="H20" s="9">
        <f t="shared" si="2"/>
        <v>21</v>
      </c>
    </row>
    <row r="21" spans="1:8" x14ac:dyDescent="0.25">
      <c r="A21" s="14" t="s">
        <v>19</v>
      </c>
      <c r="B21" s="6">
        <v>0</v>
      </c>
      <c r="C21" s="4">
        <v>0</v>
      </c>
      <c r="D21" s="5">
        <f t="shared" si="1"/>
        <v>0</v>
      </c>
      <c r="E21" s="6">
        <v>9</v>
      </c>
      <c r="F21" s="4">
        <v>1</v>
      </c>
      <c r="G21" s="5">
        <f t="shared" si="0"/>
        <v>10</v>
      </c>
      <c r="H21" s="9">
        <f t="shared" si="2"/>
        <v>10</v>
      </c>
    </row>
    <row r="22" spans="1:8" x14ac:dyDescent="0.25">
      <c r="A22" s="14" t="s">
        <v>20</v>
      </c>
      <c r="B22" s="6">
        <v>2</v>
      </c>
      <c r="C22" s="4">
        <v>3</v>
      </c>
      <c r="D22" s="5">
        <f t="shared" si="1"/>
        <v>5</v>
      </c>
      <c r="E22" s="6">
        <v>3</v>
      </c>
      <c r="F22" s="4">
        <v>0</v>
      </c>
      <c r="G22" s="5">
        <f t="shared" si="0"/>
        <v>3</v>
      </c>
      <c r="H22" s="9">
        <f t="shared" si="2"/>
        <v>8</v>
      </c>
    </row>
    <row r="23" spans="1:8" x14ac:dyDescent="0.25">
      <c r="A23" s="14" t="s">
        <v>21</v>
      </c>
      <c r="B23" s="6">
        <v>2</v>
      </c>
      <c r="C23" s="4">
        <v>0</v>
      </c>
      <c r="D23" s="5">
        <f t="shared" si="1"/>
        <v>2</v>
      </c>
      <c r="E23" s="6">
        <v>6</v>
      </c>
      <c r="F23" s="4">
        <v>0</v>
      </c>
      <c r="G23" s="5">
        <f t="shared" si="0"/>
        <v>6</v>
      </c>
      <c r="H23" s="9">
        <f t="shared" si="2"/>
        <v>8</v>
      </c>
    </row>
    <row r="24" spans="1:8" x14ac:dyDescent="0.25">
      <c r="A24" s="14" t="s">
        <v>22</v>
      </c>
      <c r="B24" s="6">
        <v>2</v>
      </c>
      <c r="C24" s="4">
        <v>0</v>
      </c>
      <c r="D24" s="5">
        <f t="shared" si="1"/>
        <v>2</v>
      </c>
      <c r="E24" s="6">
        <v>8</v>
      </c>
      <c r="F24" s="4">
        <v>2</v>
      </c>
      <c r="G24" s="5">
        <f t="shared" si="0"/>
        <v>10</v>
      </c>
      <c r="H24" s="9">
        <f t="shared" si="2"/>
        <v>12</v>
      </c>
    </row>
    <row r="25" spans="1:8" x14ac:dyDescent="0.25">
      <c r="A25" s="14" t="s">
        <v>23</v>
      </c>
      <c r="B25" s="6">
        <v>0</v>
      </c>
      <c r="C25" s="4">
        <v>0</v>
      </c>
      <c r="D25" s="5">
        <f t="shared" si="1"/>
        <v>0</v>
      </c>
      <c r="E25" s="6">
        <v>10</v>
      </c>
      <c r="F25" s="4">
        <v>1</v>
      </c>
      <c r="G25" s="5">
        <f t="shared" si="0"/>
        <v>11</v>
      </c>
      <c r="H25" s="9">
        <f t="shared" si="2"/>
        <v>11</v>
      </c>
    </row>
    <row r="26" spans="1:8" x14ac:dyDescent="0.25">
      <c r="A26" s="14" t="s">
        <v>24</v>
      </c>
      <c r="B26" s="6">
        <v>1</v>
      </c>
      <c r="C26" s="4">
        <v>0</v>
      </c>
      <c r="D26" s="5">
        <f t="shared" si="1"/>
        <v>1</v>
      </c>
      <c r="E26" s="6">
        <v>6</v>
      </c>
      <c r="F26" s="4">
        <v>0</v>
      </c>
      <c r="G26" s="5">
        <f t="shared" si="0"/>
        <v>6</v>
      </c>
      <c r="H26" s="9">
        <f t="shared" si="2"/>
        <v>7</v>
      </c>
    </row>
    <row r="27" spans="1:8" x14ac:dyDescent="0.25">
      <c r="A27" s="14" t="s">
        <v>71</v>
      </c>
      <c r="B27" s="6">
        <v>14</v>
      </c>
      <c r="C27" s="4">
        <v>3</v>
      </c>
      <c r="D27" s="5">
        <f t="shared" si="1"/>
        <v>17</v>
      </c>
      <c r="E27" s="6">
        <v>6</v>
      </c>
      <c r="F27" s="4">
        <v>0</v>
      </c>
      <c r="G27" s="5">
        <f t="shared" si="0"/>
        <v>6</v>
      </c>
      <c r="H27" s="9">
        <f t="shared" si="2"/>
        <v>23</v>
      </c>
    </row>
    <row r="28" spans="1:8" x14ac:dyDescent="0.25">
      <c r="A28" s="14" t="s">
        <v>72</v>
      </c>
      <c r="B28" s="6">
        <v>4</v>
      </c>
      <c r="C28" s="4">
        <v>0</v>
      </c>
      <c r="D28" s="5">
        <f t="shared" si="1"/>
        <v>4</v>
      </c>
      <c r="E28" s="6">
        <v>19</v>
      </c>
      <c r="F28" s="4">
        <v>1</v>
      </c>
      <c r="G28" s="5">
        <f t="shared" si="0"/>
        <v>20</v>
      </c>
      <c r="H28" s="9">
        <f t="shared" si="2"/>
        <v>24</v>
      </c>
    </row>
    <row r="29" spans="1:8" x14ac:dyDescent="0.25">
      <c r="A29" s="14" t="s">
        <v>25</v>
      </c>
      <c r="B29" s="6">
        <v>0</v>
      </c>
      <c r="C29" s="4">
        <v>0</v>
      </c>
      <c r="D29" s="5">
        <f t="shared" si="1"/>
        <v>0</v>
      </c>
      <c r="E29" s="6">
        <v>3</v>
      </c>
      <c r="F29" s="4">
        <v>0</v>
      </c>
      <c r="G29" s="5">
        <f t="shared" si="0"/>
        <v>3</v>
      </c>
      <c r="H29" s="9">
        <f t="shared" si="2"/>
        <v>3</v>
      </c>
    </row>
    <row r="30" spans="1:8" x14ac:dyDescent="0.25">
      <c r="A30" s="14" t="s">
        <v>26</v>
      </c>
      <c r="B30" s="6">
        <v>3</v>
      </c>
      <c r="C30" s="4">
        <v>0</v>
      </c>
      <c r="D30" s="5">
        <f t="shared" si="1"/>
        <v>3</v>
      </c>
      <c r="E30" s="6">
        <v>28</v>
      </c>
      <c r="F30" s="4">
        <v>1</v>
      </c>
      <c r="G30" s="5">
        <f t="shared" si="0"/>
        <v>29</v>
      </c>
      <c r="H30" s="9">
        <f t="shared" si="2"/>
        <v>32</v>
      </c>
    </row>
    <row r="31" spans="1:8" x14ac:dyDescent="0.25">
      <c r="A31" s="14" t="s">
        <v>73</v>
      </c>
      <c r="B31" s="6">
        <v>0</v>
      </c>
      <c r="C31" s="4">
        <v>0</v>
      </c>
      <c r="D31" s="5">
        <f t="shared" si="1"/>
        <v>0</v>
      </c>
      <c r="E31" s="6">
        <v>15</v>
      </c>
      <c r="F31" s="4">
        <v>1</v>
      </c>
      <c r="G31" s="5">
        <f t="shared" si="0"/>
        <v>16</v>
      </c>
      <c r="H31" s="9">
        <f t="shared" si="2"/>
        <v>16</v>
      </c>
    </row>
    <row r="32" spans="1:8" x14ac:dyDescent="0.25">
      <c r="A32" s="14" t="s">
        <v>27</v>
      </c>
      <c r="B32" s="6">
        <v>0</v>
      </c>
      <c r="C32" s="4">
        <v>0</v>
      </c>
      <c r="D32" s="5">
        <f t="shared" si="1"/>
        <v>0</v>
      </c>
      <c r="E32" s="6">
        <v>24</v>
      </c>
      <c r="F32" s="4">
        <v>0</v>
      </c>
      <c r="G32" s="5">
        <f t="shared" si="0"/>
        <v>24</v>
      </c>
      <c r="H32" s="9">
        <f t="shared" si="2"/>
        <v>24</v>
      </c>
    </row>
    <row r="33" spans="1:8" x14ac:dyDescent="0.25">
      <c r="A33" s="14" t="s">
        <v>28</v>
      </c>
      <c r="B33" s="6">
        <v>1</v>
      </c>
      <c r="C33" s="4">
        <v>0</v>
      </c>
      <c r="D33" s="5">
        <f t="shared" si="1"/>
        <v>1</v>
      </c>
      <c r="E33" s="6">
        <v>5</v>
      </c>
      <c r="F33" s="4">
        <v>0</v>
      </c>
      <c r="G33" s="5">
        <f t="shared" si="0"/>
        <v>5</v>
      </c>
      <c r="H33" s="9">
        <f t="shared" si="2"/>
        <v>6</v>
      </c>
    </row>
    <row r="34" spans="1:8" x14ac:dyDescent="0.25">
      <c r="A34" s="14" t="s">
        <v>1</v>
      </c>
      <c r="B34" s="6">
        <v>0</v>
      </c>
      <c r="C34" s="4">
        <v>0</v>
      </c>
      <c r="D34" s="5">
        <f t="shared" si="1"/>
        <v>0</v>
      </c>
      <c r="E34" s="6">
        <v>62</v>
      </c>
      <c r="F34" s="4">
        <v>11</v>
      </c>
      <c r="G34" s="5">
        <f t="shared" si="0"/>
        <v>73</v>
      </c>
      <c r="H34" s="9">
        <f t="shared" si="2"/>
        <v>73</v>
      </c>
    </row>
    <row r="35" spans="1:8" x14ac:dyDescent="0.25">
      <c r="A35" s="14" t="s">
        <v>29</v>
      </c>
      <c r="B35" s="6">
        <v>0</v>
      </c>
      <c r="C35" s="4">
        <v>0</v>
      </c>
      <c r="D35" s="5">
        <f t="shared" si="1"/>
        <v>0</v>
      </c>
      <c r="E35" s="6">
        <v>78</v>
      </c>
      <c r="F35" s="4">
        <v>6</v>
      </c>
      <c r="G35" s="5">
        <f t="shared" si="0"/>
        <v>84</v>
      </c>
      <c r="H35" s="9">
        <f t="shared" si="2"/>
        <v>84</v>
      </c>
    </row>
    <row r="36" spans="1:8" x14ac:dyDescent="0.25">
      <c r="A36" s="14" t="s">
        <v>30</v>
      </c>
      <c r="B36" s="6">
        <v>5</v>
      </c>
      <c r="C36" s="4">
        <v>7</v>
      </c>
      <c r="D36" s="5">
        <f t="shared" si="1"/>
        <v>12</v>
      </c>
      <c r="E36" s="6">
        <v>0</v>
      </c>
      <c r="F36" s="4">
        <v>1</v>
      </c>
      <c r="G36" s="5">
        <f t="shared" si="0"/>
        <v>1</v>
      </c>
      <c r="H36" s="9">
        <f t="shared" si="2"/>
        <v>13</v>
      </c>
    </row>
    <row r="37" spans="1:8" x14ac:dyDescent="0.25">
      <c r="A37" s="14" t="s">
        <v>31</v>
      </c>
      <c r="B37" s="6">
        <v>1</v>
      </c>
      <c r="C37" s="4">
        <v>0</v>
      </c>
      <c r="D37" s="5">
        <f t="shared" si="1"/>
        <v>1</v>
      </c>
      <c r="E37" s="6">
        <v>15</v>
      </c>
      <c r="F37" s="4">
        <v>2</v>
      </c>
      <c r="G37" s="5">
        <f t="shared" si="0"/>
        <v>17</v>
      </c>
      <c r="H37" s="9">
        <f t="shared" si="2"/>
        <v>18</v>
      </c>
    </row>
    <row r="38" spans="1:8" x14ac:dyDescent="0.25">
      <c r="A38" s="14" t="s">
        <v>32</v>
      </c>
      <c r="B38" s="6">
        <v>0</v>
      </c>
      <c r="C38" s="4">
        <v>0</v>
      </c>
      <c r="D38" s="5">
        <f t="shared" si="1"/>
        <v>0</v>
      </c>
      <c r="E38" s="6">
        <v>17</v>
      </c>
      <c r="F38" s="4">
        <v>4</v>
      </c>
      <c r="G38" s="5">
        <f t="shared" si="0"/>
        <v>21</v>
      </c>
      <c r="H38" s="9">
        <f t="shared" si="2"/>
        <v>21</v>
      </c>
    </row>
    <row r="39" spans="1:8" x14ac:dyDescent="0.25">
      <c r="A39" s="14" t="s">
        <v>33</v>
      </c>
      <c r="B39" s="6">
        <v>0</v>
      </c>
      <c r="C39" s="4">
        <v>0</v>
      </c>
      <c r="D39" s="5">
        <f t="shared" si="1"/>
        <v>0</v>
      </c>
      <c r="E39" s="6">
        <v>0</v>
      </c>
      <c r="F39" s="4">
        <v>0</v>
      </c>
      <c r="G39" s="5">
        <f t="shared" si="0"/>
        <v>0</v>
      </c>
      <c r="H39" s="9">
        <f t="shared" si="2"/>
        <v>0</v>
      </c>
    </row>
    <row r="40" spans="1:8" x14ac:dyDescent="0.25">
      <c r="A40" s="14" t="s">
        <v>34</v>
      </c>
      <c r="B40" s="6">
        <v>0</v>
      </c>
      <c r="C40" s="4">
        <v>0</v>
      </c>
      <c r="D40" s="5">
        <f t="shared" si="1"/>
        <v>0</v>
      </c>
      <c r="E40" s="6">
        <v>11</v>
      </c>
      <c r="F40" s="4">
        <v>1</v>
      </c>
      <c r="G40" s="5">
        <f t="shared" si="0"/>
        <v>12</v>
      </c>
      <c r="H40" s="9">
        <f t="shared" si="2"/>
        <v>12</v>
      </c>
    </row>
    <row r="41" spans="1:8" x14ac:dyDescent="0.25">
      <c r="A41" s="14" t="s">
        <v>35</v>
      </c>
      <c r="B41" s="6">
        <v>1</v>
      </c>
      <c r="C41" s="4">
        <v>0</v>
      </c>
      <c r="D41" s="5">
        <f t="shared" si="1"/>
        <v>1</v>
      </c>
      <c r="E41" s="6">
        <v>13</v>
      </c>
      <c r="F41" s="4">
        <v>2</v>
      </c>
      <c r="G41" s="5">
        <f t="shared" si="0"/>
        <v>15</v>
      </c>
      <c r="H41" s="9">
        <f t="shared" si="2"/>
        <v>16</v>
      </c>
    </row>
    <row r="42" spans="1:8" x14ac:dyDescent="0.25">
      <c r="A42" s="14" t="s">
        <v>36</v>
      </c>
      <c r="B42" s="6">
        <v>2</v>
      </c>
      <c r="C42" s="4">
        <v>0</v>
      </c>
      <c r="D42" s="5">
        <f t="shared" si="1"/>
        <v>2</v>
      </c>
      <c r="E42" s="6">
        <v>8</v>
      </c>
      <c r="F42" s="4">
        <v>2</v>
      </c>
      <c r="G42" s="5">
        <f t="shared" si="0"/>
        <v>10</v>
      </c>
      <c r="H42" s="9">
        <f t="shared" si="2"/>
        <v>12</v>
      </c>
    </row>
    <row r="43" spans="1:8" x14ac:dyDescent="0.25">
      <c r="A43" s="14" t="s">
        <v>37</v>
      </c>
      <c r="B43" s="6">
        <v>0</v>
      </c>
      <c r="C43" s="4">
        <v>0</v>
      </c>
      <c r="D43" s="5">
        <f t="shared" si="1"/>
        <v>0</v>
      </c>
      <c r="E43" s="6">
        <v>2</v>
      </c>
      <c r="F43" s="4">
        <v>1</v>
      </c>
      <c r="G43" s="5">
        <f t="shared" si="0"/>
        <v>3</v>
      </c>
      <c r="H43" s="9">
        <f t="shared" si="2"/>
        <v>3</v>
      </c>
    </row>
    <row r="44" spans="1:8" x14ac:dyDescent="0.25">
      <c r="A44" s="14" t="s">
        <v>38</v>
      </c>
      <c r="B44" s="6">
        <v>8</v>
      </c>
      <c r="C44" s="4">
        <v>1</v>
      </c>
      <c r="D44" s="5">
        <f t="shared" si="1"/>
        <v>9</v>
      </c>
      <c r="E44" s="6">
        <v>11</v>
      </c>
      <c r="F44" s="4">
        <v>4</v>
      </c>
      <c r="G44" s="5">
        <f t="shared" si="0"/>
        <v>15</v>
      </c>
      <c r="H44" s="9">
        <f t="shared" si="2"/>
        <v>24</v>
      </c>
    </row>
    <row r="45" spans="1:8" x14ac:dyDescent="0.25">
      <c r="A45" s="14" t="s">
        <v>39</v>
      </c>
      <c r="B45" s="6">
        <v>0</v>
      </c>
      <c r="C45" s="4">
        <v>0</v>
      </c>
      <c r="D45" s="5">
        <f t="shared" si="1"/>
        <v>0</v>
      </c>
      <c r="E45" s="6">
        <v>19</v>
      </c>
      <c r="F45" s="4">
        <v>3</v>
      </c>
      <c r="G45" s="5">
        <f t="shared" si="0"/>
        <v>22</v>
      </c>
      <c r="H45" s="9">
        <f t="shared" si="2"/>
        <v>22</v>
      </c>
    </row>
    <row r="46" spans="1:8" x14ac:dyDescent="0.25">
      <c r="A46" s="14" t="s">
        <v>40</v>
      </c>
      <c r="B46" s="6">
        <v>1</v>
      </c>
      <c r="C46" s="4">
        <v>1</v>
      </c>
      <c r="D46" s="5">
        <f t="shared" si="1"/>
        <v>2</v>
      </c>
      <c r="E46" s="6">
        <v>48</v>
      </c>
      <c r="F46" s="4">
        <v>5</v>
      </c>
      <c r="G46" s="5">
        <f t="shared" si="0"/>
        <v>53</v>
      </c>
      <c r="H46" s="9">
        <f t="shared" si="2"/>
        <v>55</v>
      </c>
    </row>
    <row r="47" spans="1:8" x14ac:dyDescent="0.25">
      <c r="A47" s="14" t="s">
        <v>41</v>
      </c>
      <c r="B47" s="6">
        <v>8</v>
      </c>
      <c r="C47" s="4">
        <v>1</v>
      </c>
      <c r="D47" s="5">
        <f t="shared" si="1"/>
        <v>9</v>
      </c>
      <c r="E47" s="6">
        <v>1</v>
      </c>
      <c r="F47" s="4">
        <v>1</v>
      </c>
      <c r="G47" s="5">
        <f t="shared" si="0"/>
        <v>2</v>
      </c>
      <c r="H47" s="9">
        <f t="shared" si="2"/>
        <v>11</v>
      </c>
    </row>
    <row r="48" spans="1:8" x14ac:dyDescent="0.25">
      <c r="A48" s="14" t="s">
        <v>42</v>
      </c>
      <c r="B48" s="6">
        <v>3</v>
      </c>
      <c r="C48" s="4">
        <v>0</v>
      </c>
      <c r="D48" s="5">
        <f t="shared" si="1"/>
        <v>3</v>
      </c>
      <c r="E48" s="6">
        <v>0</v>
      </c>
      <c r="F48" s="4">
        <v>0</v>
      </c>
      <c r="G48" s="5">
        <f t="shared" si="0"/>
        <v>0</v>
      </c>
      <c r="H48" s="9">
        <f t="shared" si="2"/>
        <v>3</v>
      </c>
    </row>
    <row r="49" spans="1:8" x14ac:dyDescent="0.25">
      <c r="A49" s="14" t="s">
        <v>43</v>
      </c>
      <c r="B49" s="6">
        <v>0</v>
      </c>
      <c r="C49" s="4">
        <v>0</v>
      </c>
      <c r="D49" s="5">
        <f t="shared" si="1"/>
        <v>0</v>
      </c>
      <c r="E49" s="6">
        <v>8</v>
      </c>
      <c r="F49" s="4">
        <v>1</v>
      </c>
      <c r="G49" s="5">
        <f t="shared" si="0"/>
        <v>9</v>
      </c>
      <c r="H49" s="9">
        <f t="shared" si="2"/>
        <v>9</v>
      </c>
    </row>
    <row r="50" spans="1:8" x14ac:dyDescent="0.25">
      <c r="A50" s="14" t="s">
        <v>44</v>
      </c>
      <c r="B50" s="6">
        <v>0</v>
      </c>
      <c r="C50" s="4">
        <v>0</v>
      </c>
      <c r="D50" s="5">
        <f t="shared" si="1"/>
        <v>0</v>
      </c>
      <c r="E50" s="6">
        <v>6</v>
      </c>
      <c r="F50" s="4">
        <v>0</v>
      </c>
      <c r="G50" s="5">
        <f t="shared" si="0"/>
        <v>6</v>
      </c>
      <c r="H50" s="9">
        <f t="shared" si="2"/>
        <v>6</v>
      </c>
    </row>
    <row r="51" spans="1:8" x14ac:dyDescent="0.25">
      <c r="A51" s="14" t="s">
        <v>45</v>
      </c>
      <c r="B51" s="6">
        <v>1</v>
      </c>
      <c r="C51" s="4">
        <v>1</v>
      </c>
      <c r="D51" s="5">
        <f t="shared" si="1"/>
        <v>2</v>
      </c>
      <c r="E51" s="6">
        <v>6</v>
      </c>
      <c r="F51" s="4">
        <v>1</v>
      </c>
      <c r="G51" s="5">
        <f t="shared" si="0"/>
        <v>7</v>
      </c>
      <c r="H51" s="9">
        <f t="shared" si="2"/>
        <v>9</v>
      </c>
    </row>
    <row r="52" spans="1:8" x14ac:dyDescent="0.25">
      <c r="A52" s="14" t="s">
        <v>46</v>
      </c>
      <c r="B52" s="6">
        <v>0</v>
      </c>
      <c r="C52" s="4">
        <v>0</v>
      </c>
      <c r="D52" s="5">
        <f t="shared" si="1"/>
        <v>0</v>
      </c>
      <c r="E52" s="6">
        <v>0</v>
      </c>
      <c r="F52" s="4">
        <v>0</v>
      </c>
      <c r="G52" s="5">
        <f t="shared" si="0"/>
        <v>0</v>
      </c>
      <c r="H52" s="9">
        <f t="shared" si="2"/>
        <v>0</v>
      </c>
    </row>
    <row r="53" spans="1:8" x14ac:dyDescent="0.25">
      <c r="A53" s="14" t="s">
        <v>47</v>
      </c>
      <c r="B53" s="6">
        <v>0</v>
      </c>
      <c r="C53" s="4">
        <v>0</v>
      </c>
      <c r="D53" s="5">
        <f t="shared" si="1"/>
        <v>0</v>
      </c>
      <c r="E53" s="6">
        <v>2</v>
      </c>
      <c r="F53" s="4">
        <v>0</v>
      </c>
      <c r="G53" s="5">
        <f t="shared" si="0"/>
        <v>2</v>
      </c>
      <c r="H53" s="9">
        <f t="shared" si="2"/>
        <v>2</v>
      </c>
    </row>
    <row r="54" spans="1:8" x14ac:dyDescent="0.25">
      <c r="A54" s="14" t="s">
        <v>48</v>
      </c>
      <c r="B54" s="6">
        <v>11</v>
      </c>
      <c r="C54" s="4">
        <v>0</v>
      </c>
      <c r="D54" s="5">
        <f t="shared" si="1"/>
        <v>11</v>
      </c>
      <c r="E54" s="6">
        <v>0</v>
      </c>
      <c r="F54" s="4">
        <v>0</v>
      </c>
      <c r="G54" s="5">
        <f t="shared" si="0"/>
        <v>0</v>
      </c>
      <c r="H54" s="9">
        <f t="shared" si="2"/>
        <v>11</v>
      </c>
    </row>
    <row r="55" spans="1:8" x14ac:dyDescent="0.25">
      <c r="A55" s="14" t="s">
        <v>49</v>
      </c>
      <c r="B55" s="6">
        <v>13</v>
      </c>
      <c r="C55" s="4">
        <v>1</v>
      </c>
      <c r="D55" s="5">
        <f t="shared" si="1"/>
        <v>14</v>
      </c>
      <c r="E55" s="6">
        <v>0</v>
      </c>
      <c r="F55" s="4">
        <v>0</v>
      </c>
      <c r="G55" s="5">
        <f t="shared" si="0"/>
        <v>0</v>
      </c>
      <c r="H55" s="9">
        <f t="shared" si="2"/>
        <v>14</v>
      </c>
    </row>
    <row r="56" spans="1:8" x14ac:dyDescent="0.25">
      <c r="A56" s="14" t="s">
        <v>50</v>
      </c>
      <c r="B56" s="6">
        <v>0</v>
      </c>
      <c r="C56" s="4">
        <v>0</v>
      </c>
      <c r="D56" s="5">
        <f t="shared" si="1"/>
        <v>0</v>
      </c>
      <c r="E56" s="6">
        <v>1</v>
      </c>
      <c r="F56" s="4">
        <v>2</v>
      </c>
      <c r="G56" s="5">
        <f t="shared" si="0"/>
        <v>3</v>
      </c>
      <c r="H56" s="9">
        <f t="shared" si="2"/>
        <v>3</v>
      </c>
    </row>
    <row r="57" spans="1:8" x14ac:dyDescent="0.25">
      <c r="A57" s="14" t="s">
        <v>51</v>
      </c>
      <c r="B57" s="6">
        <v>0</v>
      </c>
      <c r="C57" s="4">
        <v>0</v>
      </c>
      <c r="D57" s="5">
        <f t="shared" si="1"/>
        <v>0</v>
      </c>
      <c r="E57" s="6">
        <v>7</v>
      </c>
      <c r="F57" s="4">
        <v>3</v>
      </c>
      <c r="G57" s="5">
        <f t="shared" si="0"/>
        <v>10</v>
      </c>
      <c r="H57" s="9">
        <f t="shared" si="2"/>
        <v>10</v>
      </c>
    </row>
    <row r="58" spans="1:8" x14ac:dyDescent="0.25">
      <c r="A58" s="14" t="s">
        <v>52</v>
      </c>
      <c r="B58" s="6">
        <v>0</v>
      </c>
      <c r="C58" s="4">
        <v>0</v>
      </c>
      <c r="D58" s="5">
        <f t="shared" si="1"/>
        <v>0</v>
      </c>
      <c r="E58" s="6">
        <v>10</v>
      </c>
      <c r="F58" s="4">
        <v>1</v>
      </c>
      <c r="G58" s="5">
        <f t="shared" si="0"/>
        <v>11</v>
      </c>
      <c r="H58" s="9">
        <f t="shared" si="2"/>
        <v>11</v>
      </c>
    </row>
    <row r="59" spans="1:8" x14ac:dyDescent="0.25">
      <c r="A59" s="14" t="s">
        <v>53</v>
      </c>
      <c r="B59" s="6">
        <v>0</v>
      </c>
      <c r="C59" s="4">
        <v>0</v>
      </c>
      <c r="D59" s="5">
        <f t="shared" si="1"/>
        <v>0</v>
      </c>
      <c r="E59" s="6">
        <v>2</v>
      </c>
      <c r="F59" s="4">
        <v>1</v>
      </c>
      <c r="G59" s="5">
        <f t="shared" si="0"/>
        <v>3</v>
      </c>
      <c r="H59" s="9">
        <f t="shared" si="2"/>
        <v>3</v>
      </c>
    </row>
    <row r="60" spans="1:8" x14ac:dyDescent="0.25">
      <c r="A60" s="14" t="s">
        <v>54</v>
      </c>
      <c r="B60" s="6">
        <v>0</v>
      </c>
      <c r="C60" s="4">
        <v>0</v>
      </c>
      <c r="D60" s="5">
        <f t="shared" si="1"/>
        <v>0</v>
      </c>
      <c r="E60" s="6">
        <v>13</v>
      </c>
      <c r="F60" s="4">
        <v>2</v>
      </c>
      <c r="G60" s="5">
        <f t="shared" si="0"/>
        <v>15</v>
      </c>
      <c r="H60" s="9">
        <f t="shared" si="2"/>
        <v>15</v>
      </c>
    </row>
    <row r="61" spans="1:8" x14ac:dyDescent="0.25">
      <c r="A61" s="14" t="s">
        <v>55</v>
      </c>
      <c r="B61" s="6">
        <v>0</v>
      </c>
      <c r="C61" s="4">
        <v>0</v>
      </c>
      <c r="D61" s="5">
        <f t="shared" si="1"/>
        <v>0</v>
      </c>
      <c r="E61" s="6">
        <v>27</v>
      </c>
      <c r="F61" s="4">
        <v>0</v>
      </c>
      <c r="G61" s="5">
        <f t="shared" si="0"/>
        <v>27</v>
      </c>
      <c r="H61" s="9">
        <f t="shared" si="2"/>
        <v>27</v>
      </c>
    </row>
    <row r="62" spans="1:8" x14ac:dyDescent="0.25">
      <c r="A62" s="14" t="s">
        <v>56</v>
      </c>
      <c r="B62" s="6">
        <v>0</v>
      </c>
      <c r="C62" s="4">
        <v>0</v>
      </c>
      <c r="D62" s="5">
        <f t="shared" si="1"/>
        <v>0</v>
      </c>
      <c r="E62" s="6">
        <v>12</v>
      </c>
      <c r="F62" s="4">
        <v>1</v>
      </c>
      <c r="G62" s="5">
        <f t="shared" si="0"/>
        <v>13</v>
      </c>
      <c r="H62" s="9">
        <f t="shared" si="2"/>
        <v>13</v>
      </c>
    </row>
    <row r="63" spans="1:8" x14ac:dyDescent="0.25">
      <c r="A63" s="14" t="s">
        <v>57</v>
      </c>
      <c r="B63" s="6">
        <v>0</v>
      </c>
      <c r="C63" s="4">
        <v>0</v>
      </c>
      <c r="D63" s="5">
        <f t="shared" si="1"/>
        <v>0</v>
      </c>
      <c r="E63" s="6">
        <v>29</v>
      </c>
      <c r="F63" s="4">
        <v>1</v>
      </c>
      <c r="G63" s="5">
        <f t="shared" si="0"/>
        <v>30</v>
      </c>
      <c r="H63" s="9">
        <f t="shared" si="2"/>
        <v>30</v>
      </c>
    </row>
    <row r="64" spans="1:8" x14ac:dyDescent="0.25">
      <c r="A64" s="14" t="s">
        <v>58</v>
      </c>
      <c r="B64" s="6">
        <v>0</v>
      </c>
      <c r="C64" s="4">
        <v>0</v>
      </c>
      <c r="D64" s="5">
        <f t="shared" si="1"/>
        <v>0</v>
      </c>
      <c r="E64" s="6">
        <v>2</v>
      </c>
      <c r="F64" s="4">
        <v>0</v>
      </c>
      <c r="G64" s="5">
        <f t="shared" si="0"/>
        <v>2</v>
      </c>
      <c r="H64" s="9">
        <f t="shared" si="2"/>
        <v>2</v>
      </c>
    </row>
    <row r="65" spans="1:8" x14ac:dyDescent="0.25">
      <c r="A65" s="14" t="s">
        <v>59</v>
      </c>
      <c r="B65" s="6">
        <v>0</v>
      </c>
      <c r="C65" s="4">
        <v>0</v>
      </c>
      <c r="D65" s="5">
        <f t="shared" si="1"/>
        <v>0</v>
      </c>
      <c r="E65" s="6">
        <v>3</v>
      </c>
      <c r="F65" s="4">
        <v>0</v>
      </c>
      <c r="G65" s="5">
        <f t="shared" si="0"/>
        <v>3</v>
      </c>
      <c r="H65" s="9">
        <f t="shared" si="2"/>
        <v>3</v>
      </c>
    </row>
    <row r="66" spans="1:8" x14ac:dyDescent="0.25">
      <c r="A66" s="14" t="s">
        <v>60</v>
      </c>
      <c r="B66" s="6">
        <v>0</v>
      </c>
      <c r="C66" s="4">
        <v>0</v>
      </c>
      <c r="D66" s="5">
        <f t="shared" si="1"/>
        <v>0</v>
      </c>
      <c r="E66" s="6">
        <v>2</v>
      </c>
      <c r="F66" s="4">
        <v>0</v>
      </c>
      <c r="G66" s="5">
        <f t="shared" si="0"/>
        <v>2</v>
      </c>
      <c r="H66" s="9">
        <f t="shared" si="2"/>
        <v>2</v>
      </c>
    </row>
    <row r="67" spans="1:8" x14ac:dyDescent="0.25">
      <c r="A67" s="14" t="s">
        <v>61</v>
      </c>
      <c r="B67" s="6">
        <v>0</v>
      </c>
      <c r="C67" s="4">
        <v>0</v>
      </c>
      <c r="D67" s="5">
        <f t="shared" si="1"/>
        <v>0</v>
      </c>
      <c r="E67" s="6">
        <v>20</v>
      </c>
      <c r="F67" s="4">
        <v>2</v>
      </c>
      <c r="G67" s="5">
        <f t="shared" si="0"/>
        <v>22</v>
      </c>
      <c r="H67" s="9">
        <f t="shared" si="2"/>
        <v>22</v>
      </c>
    </row>
    <row r="68" spans="1:8" x14ac:dyDescent="0.25">
      <c r="A68" s="14" t="s">
        <v>62</v>
      </c>
      <c r="B68" s="6">
        <v>0</v>
      </c>
      <c r="C68" s="4">
        <v>0</v>
      </c>
      <c r="D68" s="5">
        <f t="shared" si="1"/>
        <v>0</v>
      </c>
      <c r="E68" s="6">
        <v>6</v>
      </c>
      <c r="F68" s="4">
        <v>0</v>
      </c>
      <c r="G68" s="5">
        <f t="shared" si="0"/>
        <v>6</v>
      </c>
      <c r="H68" s="9">
        <f t="shared" si="2"/>
        <v>6</v>
      </c>
    </row>
    <row r="69" spans="1:8" x14ac:dyDescent="0.25">
      <c r="A69" s="14" t="s">
        <v>63</v>
      </c>
      <c r="B69" s="6">
        <v>0</v>
      </c>
      <c r="C69" s="4">
        <v>0</v>
      </c>
      <c r="D69" s="5">
        <f t="shared" si="1"/>
        <v>0</v>
      </c>
      <c r="E69" s="6">
        <v>2</v>
      </c>
      <c r="F69" s="4">
        <v>0</v>
      </c>
      <c r="G69" s="5">
        <f t="shared" si="0"/>
        <v>2</v>
      </c>
      <c r="H69" s="9">
        <f t="shared" si="2"/>
        <v>2</v>
      </c>
    </row>
    <row r="70" spans="1:8" x14ac:dyDescent="0.25">
      <c r="A70" s="14" t="s">
        <v>64</v>
      </c>
      <c r="B70" s="6">
        <v>0</v>
      </c>
      <c r="C70" s="4">
        <v>0</v>
      </c>
      <c r="D70" s="5">
        <f t="shared" si="1"/>
        <v>0</v>
      </c>
      <c r="E70" s="6">
        <v>0</v>
      </c>
      <c r="F70" s="4">
        <v>1</v>
      </c>
      <c r="G70" s="5">
        <f t="shared" si="0"/>
        <v>1</v>
      </c>
      <c r="H70" s="9">
        <f t="shared" si="2"/>
        <v>1</v>
      </c>
    </row>
    <row r="71" spans="1:8" x14ac:dyDescent="0.25">
      <c r="A71" s="14" t="s">
        <v>65</v>
      </c>
      <c r="B71" s="6">
        <v>0</v>
      </c>
      <c r="C71" s="4">
        <v>0</v>
      </c>
      <c r="D71" s="5">
        <f t="shared" si="1"/>
        <v>0</v>
      </c>
      <c r="E71" s="6">
        <v>35</v>
      </c>
      <c r="F71" s="4">
        <v>6</v>
      </c>
      <c r="G71" s="5">
        <f t="shared" ref="G71:G74" si="3">E71+F71</f>
        <v>41</v>
      </c>
      <c r="H71" s="9">
        <f t="shared" si="2"/>
        <v>41</v>
      </c>
    </row>
    <row r="72" spans="1:8" x14ac:dyDescent="0.25">
      <c r="A72" s="14" t="s">
        <v>66</v>
      </c>
      <c r="B72" s="6">
        <v>0</v>
      </c>
      <c r="C72" s="4">
        <v>0</v>
      </c>
      <c r="D72" s="5">
        <f t="shared" ref="D72:D76" si="4">B72+C72</f>
        <v>0</v>
      </c>
      <c r="E72" s="6">
        <v>1</v>
      </c>
      <c r="F72" s="4">
        <v>0</v>
      </c>
      <c r="G72" s="5">
        <f t="shared" si="3"/>
        <v>1</v>
      </c>
      <c r="H72" s="9">
        <f t="shared" ref="H72:H76" si="5">D72+G72</f>
        <v>1</v>
      </c>
    </row>
    <row r="73" spans="1:8" x14ac:dyDescent="0.25">
      <c r="A73" s="14" t="s">
        <v>67</v>
      </c>
      <c r="B73" s="6">
        <v>0</v>
      </c>
      <c r="C73" s="4">
        <v>0</v>
      </c>
      <c r="D73" s="5">
        <f t="shared" si="4"/>
        <v>0</v>
      </c>
      <c r="E73" s="6">
        <v>11</v>
      </c>
      <c r="F73" s="4">
        <v>0</v>
      </c>
      <c r="G73" s="5">
        <f t="shared" si="3"/>
        <v>11</v>
      </c>
      <c r="H73" s="9">
        <f t="shared" si="5"/>
        <v>11</v>
      </c>
    </row>
    <row r="74" spans="1:8" x14ac:dyDescent="0.25">
      <c r="A74" s="14" t="s">
        <v>68</v>
      </c>
      <c r="B74" s="6">
        <v>0</v>
      </c>
      <c r="C74" s="4">
        <v>0</v>
      </c>
      <c r="D74" s="5">
        <f t="shared" si="4"/>
        <v>0</v>
      </c>
      <c r="E74" s="6">
        <v>18</v>
      </c>
      <c r="F74" s="4">
        <v>13</v>
      </c>
      <c r="G74" s="5">
        <f t="shared" si="3"/>
        <v>31</v>
      </c>
      <c r="H74" s="9">
        <f t="shared" si="5"/>
        <v>31</v>
      </c>
    </row>
    <row r="75" spans="1:8" x14ac:dyDescent="0.25">
      <c r="A75" s="14" t="s">
        <v>69</v>
      </c>
      <c r="B75" s="6">
        <v>0</v>
      </c>
      <c r="C75" s="4">
        <v>0</v>
      </c>
      <c r="D75" s="5">
        <f t="shared" si="4"/>
        <v>0</v>
      </c>
      <c r="E75" s="6">
        <v>4</v>
      </c>
      <c r="F75" s="4">
        <v>1</v>
      </c>
      <c r="G75" s="5">
        <f>E75+F75</f>
        <v>5</v>
      </c>
      <c r="H75" s="9">
        <f t="shared" si="5"/>
        <v>5</v>
      </c>
    </row>
    <row r="76" spans="1:8" ht="15.75" thickBot="1" x14ac:dyDescent="0.3">
      <c r="A76" s="15" t="s">
        <v>70</v>
      </c>
      <c r="B76" s="11">
        <v>0</v>
      </c>
      <c r="C76" s="12">
        <v>0</v>
      </c>
      <c r="D76" s="12">
        <f t="shared" si="4"/>
        <v>0</v>
      </c>
      <c r="E76" s="11">
        <v>22</v>
      </c>
      <c r="F76" s="12">
        <v>1</v>
      </c>
      <c r="G76" s="13">
        <f>E76+F76</f>
        <v>23</v>
      </c>
      <c r="H76" s="16">
        <f t="shared" si="5"/>
        <v>23</v>
      </c>
    </row>
    <row r="77" spans="1:8" ht="16.5" thickTop="1" thickBot="1" x14ac:dyDescent="0.3">
      <c r="A77" s="8" t="s">
        <v>0</v>
      </c>
      <c r="B77" s="7">
        <f t="shared" ref="B77:H77" si="6">SUM(B7:B76)</f>
        <v>120</v>
      </c>
      <c r="C77" s="7">
        <f t="shared" si="6"/>
        <v>23</v>
      </c>
      <c r="D77" s="7">
        <f t="shared" si="6"/>
        <v>143</v>
      </c>
      <c r="E77" s="7">
        <f t="shared" si="6"/>
        <v>1079</v>
      </c>
      <c r="F77" s="7">
        <f t="shared" si="6"/>
        <v>150</v>
      </c>
      <c r="G77" s="8">
        <f t="shared" si="6"/>
        <v>1229</v>
      </c>
      <c r="H77" s="10">
        <f t="shared" si="6"/>
        <v>1372</v>
      </c>
    </row>
    <row r="78" spans="1:8" ht="15.75" thickBot="1" x14ac:dyDescent="0.3"/>
    <row r="79" spans="1:8" x14ac:dyDescent="0.25">
      <c r="A79" s="26" t="s">
        <v>74</v>
      </c>
      <c r="B79" s="28" t="s">
        <v>3</v>
      </c>
      <c r="C79" s="29"/>
      <c r="D79" s="29"/>
      <c r="E79" s="28" t="s">
        <v>4</v>
      </c>
      <c r="F79" s="29"/>
      <c r="G79" s="29"/>
      <c r="H79" s="26" t="s">
        <v>0</v>
      </c>
    </row>
    <row r="80" spans="1:8" x14ac:dyDescent="0.25">
      <c r="A80" s="27"/>
      <c r="B80" s="20" t="s">
        <v>82</v>
      </c>
      <c r="C80" s="21" t="s">
        <v>83</v>
      </c>
      <c r="D80" s="22" t="s">
        <v>0</v>
      </c>
      <c r="E80" s="20" t="s">
        <v>82</v>
      </c>
      <c r="F80" s="21" t="s">
        <v>83</v>
      </c>
      <c r="G80" s="22" t="s">
        <v>0</v>
      </c>
      <c r="H80" s="27"/>
    </row>
    <row r="81" spans="1:8" x14ac:dyDescent="0.25">
      <c r="A81" s="14" t="s">
        <v>75</v>
      </c>
      <c r="B81" s="6">
        <v>33</v>
      </c>
      <c r="C81" s="4">
        <v>7</v>
      </c>
      <c r="D81" s="5">
        <f>SUM(B81+C81)</f>
        <v>40</v>
      </c>
      <c r="E81" s="6">
        <v>154</v>
      </c>
      <c r="F81" s="4">
        <v>12</v>
      </c>
      <c r="G81" s="5">
        <f>F81+E81</f>
        <v>166</v>
      </c>
      <c r="H81" s="9">
        <f>D81+G81</f>
        <v>206</v>
      </c>
    </row>
    <row r="82" spans="1:8" x14ac:dyDescent="0.25">
      <c r="A82" s="14" t="s">
        <v>76</v>
      </c>
      <c r="B82" s="6">
        <v>2</v>
      </c>
      <c r="C82" s="4">
        <v>0</v>
      </c>
      <c r="D82" s="5">
        <f t="shared" ref="D82:D88" si="7">SUM(B82+C82)</f>
        <v>2</v>
      </c>
      <c r="E82" s="6">
        <v>123</v>
      </c>
      <c r="F82" s="4">
        <v>26</v>
      </c>
      <c r="G82" s="5">
        <f t="shared" ref="G82:G88" si="8">F82+E82</f>
        <v>149</v>
      </c>
      <c r="H82" s="9">
        <f t="shared" ref="H82:H88" si="9">D82+G82</f>
        <v>151</v>
      </c>
    </row>
    <row r="83" spans="1:8" x14ac:dyDescent="0.25">
      <c r="A83" s="14" t="s">
        <v>77</v>
      </c>
      <c r="B83" s="6">
        <v>13</v>
      </c>
      <c r="C83" s="4">
        <v>1</v>
      </c>
      <c r="D83" s="5">
        <f t="shared" si="7"/>
        <v>14</v>
      </c>
      <c r="E83" s="6">
        <v>224</v>
      </c>
      <c r="F83" s="4">
        <v>35</v>
      </c>
      <c r="G83" s="5">
        <f t="shared" si="8"/>
        <v>259</v>
      </c>
      <c r="H83" s="9">
        <f t="shared" si="9"/>
        <v>273</v>
      </c>
    </row>
    <row r="84" spans="1:8" x14ac:dyDescent="0.25">
      <c r="A84" s="14" t="s">
        <v>78</v>
      </c>
      <c r="B84" s="6">
        <v>5</v>
      </c>
      <c r="C84" s="4">
        <v>2</v>
      </c>
      <c r="D84" s="5">
        <f t="shared" si="7"/>
        <v>7</v>
      </c>
      <c r="E84" s="6">
        <v>60</v>
      </c>
      <c r="F84" s="4">
        <v>6</v>
      </c>
      <c r="G84" s="5">
        <f t="shared" si="8"/>
        <v>66</v>
      </c>
      <c r="H84" s="9">
        <f t="shared" si="9"/>
        <v>73</v>
      </c>
    </row>
    <row r="85" spans="1:8" x14ac:dyDescent="0.25">
      <c r="A85" s="14" t="s">
        <v>1</v>
      </c>
      <c r="B85" s="6">
        <v>0</v>
      </c>
      <c r="C85" s="4">
        <v>0</v>
      </c>
      <c r="D85" s="5">
        <f t="shared" si="7"/>
        <v>0</v>
      </c>
      <c r="E85" s="6">
        <v>62</v>
      </c>
      <c r="F85" s="4">
        <v>11</v>
      </c>
      <c r="G85" s="5">
        <f t="shared" si="8"/>
        <v>73</v>
      </c>
      <c r="H85" s="9">
        <f t="shared" si="9"/>
        <v>73</v>
      </c>
    </row>
    <row r="86" spans="1:8" x14ac:dyDescent="0.25">
      <c r="A86" s="14" t="s">
        <v>79</v>
      </c>
      <c r="B86" s="6">
        <v>21</v>
      </c>
      <c r="C86" s="4">
        <v>2</v>
      </c>
      <c r="D86" s="5">
        <f t="shared" si="7"/>
        <v>23</v>
      </c>
      <c r="E86" s="6">
        <v>210</v>
      </c>
      <c r="F86" s="4">
        <v>24</v>
      </c>
      <c r="G86" s="5">
        <f t="shared" si="8"/>
        <v>234</v>
      </c>
      <c r="H86" s="9">
        <f t="shared" si="9"/>
        <v>257</v>
      </c>
    </row>
    <row r="87" spans="1:8" x14ac:dyDescent="0.25">
      <c r="A87" s="14" t="s">
        <v>80</v>
      </c>
      <c r="B87" s="6">
        <v>21</v>
      </c>
      <c r="C87" s="4">
        <v>9</v>
      </c>
      <c r="D87" s="5">
        <f t="shared" si="7"/>
        <v>30</v>
      </c>
      <c r="E87" s="6">
        <v>92</v>
      </c>
      <c r="F87" s="4">
        <v>19</v>
      </c>
      <c r="G87" s="5">
        <f t="shared" si="8"/>
        <v>111</v>
      </c>
      <c r="H87" s="9">
        <f t="shared" si="9"/>
        <v>141</v>
      </c>
    </row>
    <row r="88" spans="1:8" ht="15.75" thickBot="1" x14ac:dyDescent="0.3">
      <c r="A88" s="15" t="s">
        <v>81</v>
      </c>
      <c r="B88" s="11">
        <v>25</v>
      </c>
      <c r="C88" s="12">
        <v>2</v>
      </c>
      <c r="D88" s="12">
        <f t="shared" si="7"/>
        <v>27</v>
      </c>
      <c r="E88" s="11">
        <v>154</v>
      </c>
      <c r="F88" s="12">
        <v>17</v>
      </c>
      <c r="G88" s="13">
        <f t="shared" si="8"/>
        <v>171</v>
      </c>
      <c r="H88" s="16">
        <f t="shared" si="9"/>
        <v>198</v>
      </c>
    </row>
    <row r="89" spans="1:8" ht="16.5" thickTop="1" thickBot="1" x14ac:dyDescent="0.3">
      <c r="A89" s="8" t="s">
        <v>0</v>
      </c>
      <c r="B89" s="7">
        <f t="shared" ref="B89:H89" si="10">SUM(B81:B88)</f>
        <v>120</v>
      </c>
      <c r="C89" s="7">
        <f t="shared" si="10"/>
        <v>23</v>
      </c>
      <c r="D89" s="7">
        <f t="shared" si="10"/>
        <v>143</v>
      </c>
      <c r="E89" s="7">
        <f t="shared" si="10"/>
        <v>1079</v>
      </c>
      <c r="F89" s="7">
        <f t="shared" si="10"/>
        <v>150</v>
      </c>
      <c r="G89" s="8">
        <f t="shared" si="10"/>
        <v>1229</v>
      </c>
      <c r="H89" s="10">
        <f t="shared" si="10"/>
        <v>1372</v>
      </c>
    </row>
    <row r="91" spans="1:8" x14ac:dyDescent="0.25">
      <c r="A91" s="33" t="s">
        <v>86</v>
      </c>
      <c r="B91" s="33"/>
      <c r="C91" s="33"/>
      <c r="D91" s="33"/>
      <c r="E91" s="33"/>
      <c r="F91" s="33"/>
      <c r="G91" s="33"/>
      <c r="H91" s="33"/>
    </row>
    <row r="92" spans="1:8" x14ac:dyDescent="0.25">
      <c r="A92" s="33"/>
      <c r="B92" s="33"/>
      <c r="C92" s="33"/>
      <c r="D92" s="33"/>
      <c r="E92" s="33"/>
      <c r="F92" s="33"/>
      <c r="G92" s="33"/>
      <c r="H92" s="33"/>
    </row>
    <row r="93" spans="1:8" x14ac:dyDescent="0.25">
      <c r="A93" s="33"/>
      <c r="B93" s="33"/>
      <c r="C93" s="33"/>
      <c r="D93" s="33"/>
      <c r="E93" s="33"/>
      <c r="F93" s="33"/>
      <c r="G93" s="33"/>
      <c r="H93" s="33"/>
    </row>
    <row r="95" spans="1:8" x14ac:dyDescent="0.25">
      <c r="A95" s="34"/>
      <c r="B95" s="34"/>
      <c r="C95" s="34"/>
      <c r="D95" s="34"/>
      <c r="E95" s="34"/>
      <c r="F95" s="34"/>
      <c r="G95" s="34"/>
      <c r="H95" s="34"/>
    </row>
  </sheetData>
  <mergeCells count="11">
    <mergeCell ref="A91:H93"/>
    <mergeCell ref="H79:H80"/>
    <mergeCell ref="A79:A80"/>
    <mergeCell ref="A2:H2"/>
    <mergeCell ref="A95:H95"/>
    <mergeCell ref="B5:D5"/>
    <mergeCell ref="A5:A6"/>
    <mergeCell ref="H5:H6"/>
    <mergeCell ref="E5:G5"/>
    <mergeCell ref="B79:D79"/>
    <mergeCell ref="E79:G79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1998-99</vt:lpstr>
      <vt:lpstr>1997-98</vt:lpstr>
      <vt:lpstr>1996-97</vt:lpstr>
      <vt:lpstr>1995-96</vt:lpstr>
      <vt:lpstr>'1995-96'!Print_Titles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2013-06-18T14:32:17Z</cp:lastPrinted>
  <dcterms:created xsi:type="dcterms:W3CDTF">2013-05-17T14:02:41Z</dcterms:created>
  <dcterms:modified xsi:type="dcterms:W3CDTF">2013-06-18T14:33:52Z</dcterms:modified>
</cp:coreProperties>
</file>