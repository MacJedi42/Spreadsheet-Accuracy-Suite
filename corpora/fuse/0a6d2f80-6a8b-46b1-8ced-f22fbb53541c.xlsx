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showInkAnnotation="0" autoCompressPictures="0"/>
  <bookViews>
    <workbookView xWindow="-456" yWindow="156" windowWidth="19416" windowHeight="11016" tabRatio="500"/>
  </bookViews>
  <sheets>
    <sheet name="General" sheetId="2" r:id="rId1"/>
    <sheet name="Nd isotopes 1" sheetId="3" r:id="rId2"/>
    <sheet name="Nd isotopes 2" sheetId="4" r:id="rId3"/>
    <sheet name="Zircon ages" sheetId="5" r:id="rId4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53" i="2"/>
  <c r="E48"/>
  <c r="K48"/>
  <c r="E7"/>
  <c r="K7"/>
  <c r="E8"/>
  <c r="K8"/>
  <c r="E9"/>
  <c r="K9"/>
  <c r="E10"/>
  <c r="K10"/>
  <c r="E11"/>
  <c r="K11"/>
  <c r="E12"/>
  <c r="K12"/>
  <c r="E13"/>
  <c r="K13"/>
  <c r="E14"/>
  <c r="K14"/>
  <c r="E15"/>
  <c r="K15"/>
  <c r="E16"/>
  <c r="K16"/>
  <c r="E17"/>
  <c r="K17"/>
  <c r="E18"/>
  <c r="K18"/>
  <c r="E19"/>
  <c r="K19"/>
  <c r="E20"/>
  <c r="K20"/>
  <c r="E21"/>
  <c r="K21"/>
  <c r="E22"/>
  <c r="K22"/>
  <c r="E23"/>
  <c r="K23"/>
  <c r="E24"/>
  <c r="K24"/>
  <c r="E25"/>
  <c r="K25"/>
  <c r="E26"/>
  <c r="K26"/>
  <c r="E27"/>
  <c r="K27"/>
  <c r="E28"/>
  <c r="K28"/>
  <c r="E29"/>
  <c r="K29"/>
  <c r="E30"/>
  <c r="K30"/>
  <c r="E31"/>
  <c r="K31"/>
  <c r="E32"/>
  <c r="K32"/>
  <c r="E33"/>
  <c r="K33"/>
  <c r="E34"/>
  <c r="K34"/>
  <c r="E35"/>
  <c r="K35"/>
  <c r="E36"/>
  <c r="K36"/>
  <c r="E37"/>
  <c r="K37"/>
  <c r="E38"/>
  <c r="K38"/>
  <c r="E39"/>
  <c r="K39"/>
  <c r="E40"/>
  <c r="K40"/>
  <c r="E41"/>
  <c r="K41"/>
  <c r="E42"/>
  <c r="K42"/>
  <c r="E43"/>
  <c r="K43"/>
  <c r="E44"/>
  <c r="K44"/>
  <c r="E45"/>
  <c r="K45"/>
  <c r="E46"/>
  <c r="K46"/>
  <c r="E47"/>
  <c r="K47"/>
  <c r="E49"/>
  <c r="K49"/>
  <c r="E50"/>
  <c r="K50"/>
  <c r="E51"/>
  <c r="K51"/>
  <c r="E52"/>
  <c r="K52"/>
  <c r="E53"/>
  <c r="K53"/>
  <c r="E54"/>
  <c r="K54"/>
  <c r="E55"/>
  <c r="K55"/>
  <c r="K56"/>
  <c r="K58"/>
  <c r="R56"/>
  <c r="S56"/>
  <c r="V56"/>
  <c r="W56"/>
  <c r="X56"/>
  <c r="AA56"/>
  <c r="R55"/>
  <c r="S55"/>
  <c r="V55"/>
  <c r="W55"/>
  <c r="X55"/>
  <c r="AA55"/>
  <c r="R54"/>
  <c r="S54"/>
  <c r="V54"/>
  <c r="W54"/>
  <c r="X54"/>
  <c r="AA54"/>
  <c r="R53"/>
  <c r="S53"/>
  <c r="V53"/>
  <c r="W53"/>
  <c r="X53"/>
  <c r="AA53"/>
  <c r="R52"/>
  <c r="S52"/>
  <c r="V52"/>
  <c r="W52"/>
  <c r="X52"/>
  <c r="AA52"/>
  <c r="R51"/>
  <c r="S51"/>
  <c r="V51"/>
  <c r="W51"/>
  <c r="X51"/>
  <c r="AA51"/>
  <c r="R50"/>
  <c r="S50"/>
  <c r="V50"/>
  <c r="W50"/>
  <c r="X50"/>
  <c r="AA50"/>
  <c r="R49"/>
  <c r="S49"/>
  <c r="V49"/>
  <c r="W49"/>
  <c r="X49"/>
  <c r="AA49"/>
  <c r="R48"/>
  <c r="S48"/>
  <c r="V48"/>
  <c r="W48"/>
  <c r="X48"/>
  <c r="AA48"/>
  <c r="R47"/>
  <c r="S47"/>
  <c r="V47"/>
  <c r="W47"/>
  <c r="X47"/>
  <c r="AA47"/>
  <c r="R46"/>
  <c r="S46"/>
  <c r="V46"/>
  <c r="W46"/>
  <c r="X46"/>
  <c r="AA46"/>
  <c r="R45"/>
  <c r="S45"/>
  <c r="V45"/>
  <c r="W45"/>
  <c r="X45"/>
  <c r="AA45"/>
  <c r="R44"/>
  <c r="S44"/>
  <c r="V44"/>
  <c r="W44"/>
  <c r="X44"/>
  <c r="AA44"/>
  <c r="R43"/>
  <c r="S43"/>
  <c r="V43"/>
  <c r="W43"/>
  <c r="X43"/>
  <c r="AA43"/>
  <c r="R42"/>
  <c r="S42"/>
  <c r="V42"/>
  <c r="W42"/>
  <c r="X42"/>
  <c r="AA42"/>
  <c r="R41"/>
  <c r="S41"/>
  <c r="V41"/>
  <c r="W41"/>
  <c r="X41"/>
  <c r="AA41"/>
  <c r="R40"/>
  <c r="S40"/>
  <c r="V40"/>
  <c r="W40"/>
  <c r="X40"/>
  <c r="AA40"/>
  <c r="R39"/>
  <c r="S39"/>
  <c r="V39"/>
  <c r="W39"/>
  <c r="X39"/>
  <c r="AA39"/>
  <c r="R38"/>
  <c r="S38"/>
  <c r="V38"/>
  <c r="W38"/>
  <c r="X38"/>
  <c r="AA38"/>
  <c r="R37"/>
  <c r="S37"/>
  <c r="V37"/>
  <c r="W37"/>
  <c r="X37"/>
  <c r="AA37"/>
  <c r="R36"/>
  <c r="S36"/>
  <c r="V36"/>
  <c r="W36"/>
  <c r="X36"/>
  <c r="AA36"/>
  <c r="R35"/>
  <c r="S35"/>
  <c r="V35"/>
  <c r="W35"/>
  <c r="X35"/>
  <c r="AA35"/>
  <c r="R34"/>
  <c r="S34"/>
  <c r="V34"/>
  <c r="W34"/>
  <c r="X34"/>
  <c r="AA34"/>
  <c r="R33"/>
  <c r="S33"/>
  <c r="V33"/>
  <c r="W33"/>
  <c r="X33"/>
  <c r="AA33"/>
  <c r="R32"/>
  <c r="S32"/>
  <c r="V32"/>
  <c r="W32"/>
  <c r="X32"/>
  <c r="AA32"/>
  <c r="R31"/>
  <c r="S31"/>
  <c r="V31"/>
  <c r="W31"/>
  <c r="X31"/>
  <c r="AA31"/>
  <c r="R30"/>
  <c r="S30"/>
  <c r="V30"/>
  <c r="W30"/>
  <c r="X30"/>
  <c r="AA30"/>
  <c r="R29"/>
  <c r="S29"/>
  <c r="V29"/>
  <c r="W29"/>
  <c r="X29"/>
  <c r="AA29"/>
  <c r="R28"/>
  <c r="S28"/>
  <c r="V28"/>
  <c r="W28"/>
  <c r="X28"/>
  <c r="AA28"/>
  <c r="R27"/>
  <c r="S27"/>
  <c r="V27"/>
  <c r="W27"/>
  <c r="X27"/>
  <c r="AA27"/>
  <c r="R26"/>
  <c r="S26"/>
  <c r="V26"/>
  <c r="W26"/>
  <c r="X26"/>
  <c r="AA26"/>
  <c r="R25"/>
  <c r="S25"/>
  <c r="V25"/>
  <c r="W25"/>
  <c r="X25"/>
  <c r="AA25"/>
  <c r="R24"/>
  <c r="S24"/>
  <c r="V24"/>
  <c r="W24"/>
  <c r="X24"/>
  <c r="AA24"/>
  <c r="R23"/>
  <c r="S23"/>
  <c r="V23"/>
  <c r="W23"/>
  <c r="X23"/>
  <c r="AA23"/>
  <c r="R22"/>
  <c r="S22"/>
  <c r="V22"/>
  <c r="W22"/>
  <c r="X22"/>
  <c r="AA22"/>
  <c r="R21"/>
  <c r="S21"/>
  <c r="V21"/>
  <c r="W21"/>
  <c r="X21"/>
  <c r="AA21"/>
  <c r="R20"/>
  <c r="S20"/>
  <c r="V20"/>
  <c r="W20"/>
  <c r="X20"/>
  <c r="AA20"/>
  <c r="R19"/>
  <c r="S19"/>
  <c r="V19"/>
  <c r="W19"/>
  <c r="X19"/>
  <c r="AA19"/>
  <c r="R18"/>
  <c r="S18"/>
  <c r="V18"/>
  <c r="W18"/>
  <c r="X18"/>
  <c r="AA18"/>
  <c r="R17"/>
  <c r="S17"/>
  <c r="V17"/>
  <c r="W17"/>
  <c r="X17"/>
  <c r="AA17"/>
  <c r="R16"/>
  <c r="S16"/>
  <c r="V16"/>
  <c r="W16"/>
  <c r="X16"/>
  <c r="AA16"/>
  <c r="R15"/>
  <c r="S15"/>
  <c r="V15"/>
  <c r="W15"/>
  <c r="X15"/>
  <c r="AA15"/>
  <c r="R14"/>
  <c r="S14"/>
  <c r="V14"/>
  <c r="W14"/>
  <c r="X14"/>
  <c r="AA14"/>
  <c r="R13"/>
  <c r="S13"/>
  <c r="V13"/>
  <c r="W13"/>
  <c r="X13"/>
  <c r="AA13"/>
  <c r="R12"/>
  <c r="S12"/>
  <c r="V12"/>
  <c r="W12"/>
  <c r="X12"/>
  <c r="AA12"/>
  <c r="R11"/>
  <c r="S11"/>
  <c r="V11"/>
  <c r="W11"/>
  <c r="X11"/>
  <c r="AA11"/>
  <c r="R10"/>
  <c r="S10"/>
  <c r="V10"/>
  <c r="W10"/>
  <c r="X10"/>
  <c r="AA10"/>
  <c r="R9"/>
  <c r="S9"/>
  <c r="V9"/>
  <c r="W9"/>
  <c r="X9"/>
  <c r="AA9"/>
  <c r="R8"/>
  <c r="S8"/>
  <c r="V8"/>
  <c r="W8"/>
  <c r="X8"/>
  <c r="AA8"/>
  <c r="R7"/>
  <c r="S7"/>
  <c r="V7"/>
  <c r="W7"/>
  <c r="X7"/>
  <c r="AA7"/>
  <c r="F56"/>
  <c r="AH56"/>
  <c r="AG56"/>
  <c r="F55"/>
  <c r="AH55"/>
  <c r="AG55"/>
  <c r="F54"/>
  <c r="AH54"/>
  <c r="AG54"/>
  <c r="AH53"/>
  <c r="AG53"/>
  <c r="F52"/>
  <c r="AH52"/>
  <c r="AG52"/>
  <c r="F51"/>
  <c r="AH51"/>
  <c r="AG51"/>
  <c r="F50"/>
  <c r="AH50"/>
  <c r="AG50"/>
  <c r="F49"/>
  <c r="AH49"/>
  <c r="AG49"/>
  <c r="F48"/>
  <c r="AH48"/>
  <c r="AG48"/>
  <c r="F47"/>
  <c r="AH47"/>
  <c r="AG47"/>
  <c r="F46"/>
  <c r="AH46"/>
  <c r="AG46"/>
  <c r="F45"/>
  <c r="AH45"/>
  <c r="AG45"/>
  <c r="F44"/>
  <c r="AH44"/>
  <c r="AG44"/>
  <c r="F43"/>
  <c r="AH43"/>
  <c r="AG43"/>
  <c r="F42"/>
  <c r="AH42"/>
  <c r="AG42"/>
  <c r="F41"/>
  <c r="AH41"/>
  <c r="AG41"/>
  <c r="F40"/>
  <c r="AH40"/>
  <c r="AG40"/>
  <c r="F39"/>
  <c r="AH39"/>
  <c r="AG39"/>
  <c r="F38"/>
  <c r="AH38"/>
  <c r="AG38"/>
  <c r="F37"/>
  <c r="AH37"/>
  <c r="AG37"/>
  <c r="F36"/>
  <c r="AH36"/>
  <c r="AG36"/>
  <c r="F35"/>
  <c r="AH35"/>
  <c r="AG35"/>
  <c r="F34"/>
  <c r="AH34"/>
  <c r="AG34"/>
  <c r="F33"/>
  <c r="AH33"/>
  <c r="AG33"/>
  <c r="F32"/>
  <c r="AH32"/>
  <c r="AG32"/>
  <c r="F31"/>
  <c r="AH31"/>
  <c r="AG31"/>
  <c r="F30"/>
  <c r="AH30"/>
  <c r="AG30"/>
  <c r="F29"/>
  <c r="AH29"/>
  <c r="AG29"/>
  <c r="F28"/>
  <c r="AH28"/>
  <c r="AG28"/>
  <c r="F27"/>
  <c r="AH27"/>
  <c r="AG27"/>
  <c r="F26"/>
  <c r="AH26"/>
  <c r="AG26"/>
  <c r="F25"/>
  <c r="AH25"/>
  <c r="AG25"/>
  <c r="F24"/>
  <c r="AH24"/>
  <c r="AG24"/>
  <c r="F23"/>
  <c r="AH23"/>
  <c r="AG23"/>
  <c r="F22"/>
  <c r="AH22"/>
  <c r="AG22"/>
  <c r="F21"/>
  <c r="AH21"/>
  <c r="AG21"/>
  <c r="F20"/>
  <c r="AH20"/>
  <c r="AG20"/>
  <c r="F19"/>
  <c r="AH19"/>
  <c r="AG19"/>
  <c r="F18"/>
  <c r="AH18"/>
  <c r="AG18"/>
  <c r="F17"/>
  <c r="AH17"/>
  <c r="AG17"/>
  <c r="F16"/>
  <c r="AH16"/>
  <c r="AG16"/>
  <c r="F15"/>
  <c r="AH15"/>
  <c r="AG15"/>
  <c r="F14"/>
  <c r="AH14"/>
  <c r="AG14"/>
  <c r="F13"/>
  <c r="AH13"/>
  <c r="AG13"/>
  <c r="F12"/>
  <c r="AH12"/>
  <c r="AG12"/>
  <c r="F11"/>
  <c r="AH11"/>
  <c r="AG11"/>
  <c r="F10"/>
  <c r="AH10"/>
  <c r="AG10"/>
  <c r="F9"/>
  <c r="AH9"/>
  <c r="AG9"/>
  <c r="F8"/>
  <c r="AH8"/>
  <c r="AG8"/>
  <c r="F7"/>
  <c r="AH7"/>
  <c r="AG7"/>
  <c r="J7"/>
  <c r="Y7"/>
  <c r="AE7"/>
  <c r="J56"/>
  <c r="Y56"/>
  <c r="AF56"/>
  <c r="AE56"/>
  <c r="J55"/>
  <c r="Y55"/>
  <c r="AF55"/>
  <c r="AE55"/>
  <c r="J54"/>
  <c r="Y54"/>
  <c r="AF54"/>
  <c r="AE54"/>
  <c r="J53"/>
  <c r="Y53"/>
  <c r="AF53"/>
  <c r="AE53"/>
  <c r="J52"/>
  <c r="Y52"/>
  <c r="AF52"/>
  <c r="AE52"/>
  <c r="J51"/>
  <c r="Y51"/>
  <c r="AF51"/>
  <c r="AE51"/>
  <c r="J50"/>
  <c r="Y50"/>
  <c r="AF50"/>
  <c r="AE50"/>
  <c r="J49"/>
  <c r="Y49"/>
  <c r="AF49"/>
  <c r="AE49"/>
  <c r="J48"/>
  <c r="Y48"/>
  <c r="AF48"/>
  <c r="AE48"/>
  <c r="J47"/>
  <c r="Y47"/>
  <c r="AF47"/>
  <c r="AE47"/>
  <c r="J46"/>
  <c r="Y46"/>
  <c r="AF46"/>
  <c r="AE46"/>
  <c r="J45"/>
  <c r="Y45"/>
  <c r="AF45"/>
  <c r="AE45"/>
  <c r="J44"/>
  <c r="Y44"/>
  <c r="AF44"/>
  <c r="AE44"/>
  <c r="J43"/>
  <c r="Y43"/>
  <c r="AF43"/>
  <c r="AE43"/>
  <c r="J42"/>
  <c r="Y42"/>
  <c r="AF42"/>
  <c r="AE42"/>
  <c r="J41"/>
  <c r="Y41"/>
  <c r="AF41"/>
  <c r="AE41"/>
  <c r="J40"/>
  <c r="Y40"/>
  <c r="AF40"/>
  <c r="AE40"/>
  <c r="J39"/>
  <c r="Y39"/>
  <c r="AF39"/>
  <c r="AE39"/>
  <c r="J38"/>
  <c r="Y38"/>
  <c r="AF38"/>
  <c r="AE38"/>
  <c r="J37"/>
  <c r="Y37"/>
  <c r="AF37"/>
  <c r="AE37"/>
  <c r="J36"/>
  <c r="Y36"/>
  <c r="AF36"/>
  <c r="AE36"/>
  <c r="J35"/>
  <c r="Y35"/>
  <c r="AF35"/>
  <c r="AE35"/>
  <c r="J34"/>
  <c r="Y34"/>
  <c r="AF34"/>
  <c r="AE34"/>
  <c r="J33"/>
  <c r="Y33"/>
  <c r="AF33"/>
  <c r="AE33"/>
  <c r="J32"/>
  <c r="Y32"/>
  <c r="AF32"/>
  <c r="AE32"/>
  <c r="J31"/>
  <c r="Y31"/>
  <c r="AF31"/>
  <c r="AE31"/>
  <c r="J30"/>
  <c r="Y30"/>
  <c r="AF30"/>
  <c r="AE30"/>
  <c r="J29"/>
  <c r="Y29"/>
  <c r="AF29"/>
  <c r="AE29"/>
  <c r="J28"/>
  <c r="Y28"/>
  <c r="AF28"/>
  <c r="AE28"/>
  <c r="J27"/>
  <c r="Y27"/>
  <c r="AF27"/>
  <c r="AE27"/>
  <c r="J26"/>
  <c r="Y26"/>
  <c r="AF26"/>
  <c r="AE26"/>
  <c r="J25"/>
  <c r="Y25"/>
  <c r="AF25"/>
  <c r="AE25"/>
  <c r="J24"/>
  <c r="Y24"/>
  <c r="AF24"/>
  <c r="AE24"/>
  <c r="J23"/>
  <c r="Y23"/>
  <c r="AF23"/>
  <c r="AE23"/>
  <c r="J22"/>
  <c r="Y22"/>
  <c r="AF22"/>
  <c r="AE22"/>
  <c r="J21"/>
  <c r="Y21"/>
  <c r="AF21"/>
  <c r="AE21"/>
  <c r="J20"/>
  <c r="Y20"/>
  <c r="AF20"/>
  <c r="AE20"/>
  <c r="J19"/>
  <c r="Y19"/>
  <c r="AF19"/>
  <c r="AE19"/>
  <c r="J18"/>
  <c r="Y18"/>
  <c r="AF18"/>
  <c r="AE18"/>
  <c r="J17"/>
  <c r="Y17"/>
  <c r="AF17"/>
  <c r="AE17"/>
  <c r="J16"/>
  <c r="Y16"/>
  <c r="AF16"/>
  <c r="AE16"/>
  <c r="J15"/>
  <c r="Y15"/>
  <c r="AF15"/>
  <c r="AE15"/>
  <c r="J14"/>
  <c r="Y14"/>
  <c r="AF14"/>
  <c r="AE14"/>
  <c r="J13"/>
  <c r="Y13"/>
  <c r="AF13"/>
  <c r="AE13"/>
  <c r="J12"/>
  <c r="Y12"/>
  <c r="AF12"/>
  <c r="AE12"/>
  <c r="J11"/>
  <c r="Y11"/>
  <c r="AF11"/>
  <c r="AE11"/>
  <c r="J10"/>
  <c r="Y10"/>
  <c r="AF10"/>
  <c r="AE10"/>
  <c r="J9"/>
  <c r="Y9"/>
  <c r="AF9"/>
  <c r="AE9"/>
  <c r="J8"/>
  <c r="Y8"/>
  <c r="AF8"/>
  <c r="AE8"/>
  <c r="AF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Z56"/>
  <c r="Z45"/>
  <c r="Z7"/>
  <c r="Z46"/>
  <c r="Z43"/>
  <c r="Z34"/>
  <c r="Z28"/>
  <c r="Z39"/>
  <c r="Z37"/>
  <c r="Z54"/>
  <c r="Z55"/>
  <c r="Z44"/>
  <c r="Z42"/>
  <c r="Z14"/>
  <c r="Z24"/>
  <c r="Z27"/>
  <c r="Z21"/>
  <c r="Z20"/>
  <c r="Z53"/>
  <c r="Z48"/>
  <c r="Z49"/>
  <c r="Z51"/>
  <c r="Z9"/>
  <c r="Z8"/>
  <c r="Z26"/>
  <c r="Z52"/>
  <c r="Z15"/>
  <c r="Z50"/>
  <c r="Z11"/>
  <c r="Z41"/>
  <c r="Z38"/>
  <c r="Z36"/>
  <c r="Z17"/>
  <c r="Z32"/>
  <c r="Z23"/>
  <c r="Z22"/>
  <c r="Z25"/>
  <c r="Z10"/>
  <c r="Z13"/>
  <c r="Z12"/>
  <c r="Z40"/>
  <c r="Z19"/>
  <c r="Z31"/>
  <c r="Z30"/>
  <c r="Z33"/>
  <c r="Z29"/>
  <c r="Z18"/>
  <c r="Z16"/>
  <c r="Z35"/>
  <c r="Z47"/>
  <c r="D809" i="3"/>
  <c r="E825"/>
  <c r="D825"/>
  <c r="E810"/>
  <c r="D810"/>
  <c r="D134"/>
  <c r="E768"/>
  <c r="D768"/>
  <c r="E742"/>
  <c r="D742"/>
  <c r="E719"/>
  <c r="D719"/>
  <c r="E680"/>
  <c r="D680"/>
  <c r="E670"/>
  <c r="D670"/>
  <c r="E644"/>
  <c r="D644"/>
  <c r="E599"/>
  <c r="D599"/>
  <c r="E572"/>
  <c r="D572"/>
  <c r="E550"/>
  <c r="D550"/>
  <c r="E537"/>
  <c r="D537"/>
  <c r="E455"/>
  <c r="D455"/>
  <c r="E425"/>
  <c r="D425"/>
  <c r="E403"/>
  <c r="D403"/>
  <c r="E344"/>
  <c r="D344"/>
  <c r="E330"/>
  <c r="D330"/>
  <c r="E249"/>
  <c r="D249"/>
  <c r="E220"/>
  <c r="D220"/>
  <c r="E134"/>
  <c r="E24"/>
  <c r="E87"/>
  <c r="E109"/>
  <c r="D109"/>
  <c r="D87"/>
  <c r="D24"/>
  <c r="D478" i="4"/>
  <c r="C478"/>
  <c r="D458"/>
  <c r="C458"/>
  <c r="D433"/>
  <c r="C433"/>
  <c r="D403"/>
  <c r="C403"/>
  <c r="D370"/>
  <c r="D359"/>
  <c r="C359"/>
  <c r="D290"/>
  <c r="C290"/>
  <c r="D280"/>
  <c r="C280"/>
  <c r="D260"/>
  <c r="C260"/>
  <c r="D218"/>
  <c r="C218"/>
  <c r="D200"/>
  <c r="C200"/>
  <c r="D168"/>
  <c r="C168"/>
  <c r="D134"/>
  <c r="C134"/>
  <c r="D104"/>
  <c r="C104"/>
  <c r="D79"/>
  <c r="C79"/>
  <c r="D47"/>
  <c r="C47"/>
  <c r="F48" i="5"/>
  <c r="D48"/>
  <c r="E48"/>
  <c r="F49"/>
  <c r="E49"/>
  <c r="D49"/>
  <c r="F46"/>
  <c r="D46"/>
  <c r="E46"/>
  <c r="F47"/>
  <c r="E47"/>
  <c r="D47"/>
</calcChain>
</file>

<file path=xl/sharedStrings.xml><?xml version="1.0" encoding="utf-8"?>
<sst xmlns="http://schemas.openxmlformats.org/spreadsheetml/2006/main" count="518" uniqueCount="358">
  <si>
    <t>Bettencourt et al 2010 Jour South American Earth Sci 29: 28-46</t>
  </si>
  <si>
    <t>2700-2500</t>
    <phoneticPr fontId="12" type="noConversion"/>
  </si>
  <si>
    <t>Most action between 2000 and 1555</t>
    <phoneticPr fontId="12" type="noConversion"/>
  </si>
  <si>
    <t xml:space="preserve">Strachan et al 1995 Jour Geol Society London 152: 779-784; Krane 2002 Precamb Res 113: 19-42;  Lorenz et al 2012 Geological Magazine 149: 875-891 </t>
    <phoneticPr fontId="12" type="noConversion"/>
  </si>
  <si>
    <t>Arctic</t>
    <phoneticPr fontId="12" type="noConversion"/>
  </si>
  <si>
    <t>Santos et al 2000 Gondwana Res 3: 453-488</t>
    <phoneticPr fontId="11" type="noConversion"/>
  </si>
  <si>
    <t>Amazonia</t>
    <phoneticPr fontId="11" type="noConversion"/>
  </si>
  <si>
    <t>Bowring/Podosek 1989 Earth Planet Sci Lettrs 94: 217-230; Hildebrand et al 1987 Jour Volcanology Geotherm Research 32: 99-118; Hildebrand et al 2010 Geol Soc America Bull 122: 794-814</t>
    <phoneticPr fontId="11" type="noConversion"/>
  </si>
  <si>
    <t>Geol Soc America Bull 101: 333-338</t>
    <phoneticPr fontId="11" type="noConversion"/>
  </si>
  <si>
    <t>Xiong'er</t>
    <phoneticPr fontId="12" type="noConversion"/>
  </si>
  <si>
    <t>Northeast Greenland</t>
    <phoneticPr fontId="12" type="noConversion"/>
  </si>
  <si>
    <t>Wodlcka et al 2002 Geol Surv Canad Current Res 2002-F7</t>
    <phoneticPr fontId="11" type="noConversion"/>
  </si>
  <si>
    <t>Chauvel et al 1987 Canad Jour Earth Sci 24: 396-406</t>
    <phoneticPr fontId="11" type="noConversion"/>
  </si>
  <si>
    <t>Eastern domains</t>
    <phoneticPr fontId="11" type="noConversion"/>
  </si>
  <si>
    <t>Taltson-Thelon</t>
    <phoneticPr fontId="11" type="noConversion"/>
  </si>
  <si>
    <t>Taltson</t>
    <phoneticPr fontId="11" type="noConversion"/>
  </si>
  <si>
    <t>the whole area overprinted with Neoproteroz event</t>
    <phoneticPr fontId="12" type="noConversion"/>
  </si>
  <si>
    <t>Yapungku</t>
    <phoneticPr fontId="11" type="noConversion"/>
  </si>
  <si>
    <t>Bagas 2004 Precamb Res 128: 475-496</t>
    <phoneticPr fontId="11" type="noConversion"/>
  </si>
  <si>
    <t>Halilovic et al 2004 Precamb Res 128: 343-366</t>
    <phoneticPr fontId="11" type="noConversion"/>
  </si>
  <si>
    <t>Kimban</t>
    <phoneticPr fontId="11" type="noConversion"/>
  </si>
  <si>
    <t>Bagas et al 2010 Precamb Res 177: 212-226</t>
    <phoneticPr fontId="11" type="noConversion"/>
  </si>
  <si>
    <t>Reworked margins</t>
    <phoneticPr fontId="11" type="noConversion"/>
  </si>
  <si>
    <t>excluding monazite, Ar cooling ages, also excludes Sask craton since it is not exposed at surface</t>
    <phoneticPr fontId="11" type="noConversion"/>
  </si>
  <si>
    <t>weighted mean</t>
    <phoneticPr fontId="11" type="noConversion"/>
  </si>
  <si>
    <t>Rayner et al 2005 Canad Jour Earth Sci 42: 635-657</t>
    <phoneticPr fontId="11" type="noConversion"/>
  </si>
  <si>
    <t>Borborema</t>
    <phoneticPr fontId="12" type="noConversion"/>
  </si>
  <si>
    <t>Lapland</t>
    <phoneticPr fontId="11" type="noConversion"/>
  </si>
  <si>
    <t>most of the action between 1800 and 1400</t>
    <phoneticPr fontId="12" type="noConversion"/>
  </si>
  <si>
    <t>Telemark SG Norway</t>
    <phoneticPr fontId="11" type="noConversion"/>
  </si>
  <si>
    <t>Brewer/Menuge 1998 Chem Geol 145: 1-16</t>
    <phoneticPr fontId="11" type="noConversion"/>
  </si>
  <si>
    <t>felsic/mafic volcanics</t>
    <phoneticPr fontId="11" type="noConversion"/>
  </si>
  <si>
    <t>2830-2700</t>
    <phoneticPr fontId="12" type="noConversion"/>
  </si>
  <si>
    <t>Zhao et al 2007 Geol Magazine 144: 753-775</t>
    <phoneticPr fontId="11" type="noConversion"/>
  </si>
  <si>
    <t>Sutam (Central Aldan)</t>
  </si>
  <si>
    <t>Scott/Machado 1995 Precamb Res 70: 169-190</t>
    <phoneticPr fontId="11" type="noConversion"/>
  </si>
  <si>
    <t>Maboko/Nakamura 1996 Precamb Res 77: 105-115</t>
    <phoneticPr fontId="11" type="noConversion"/>
  </si>
  <si>
    <t>Eburnean</t>
    <phoneticPr fontId="11" type="noConversion"/>
  </si>
  <si>
    <t>Lerouge et al 2006 Jour African Earth Sci 44: 413-427</t>
    <phoneticPr fontId="11" type="noConversion"/>
  </si>
  <si>
    <t>Birimian-Transamazonian</t>
    <phoneticPr fontId="11" type="noConversion"/>
  </si>
  <si>
    <t>Barbosa/Sabate 2002 Anais da Academia Baasileira de Cienacias 74: 343-359</t>
    <phoneticPr fontId="11" type="noConversion"/>
  </si>
  <si>
    <t>Hirdes et al 1996 Precamb Res 80: 173-191</t>
    <phoneticPr fontId="11" type="noConversion"/>
  </si>
  <si>
    <t>Trans-North China</t>
    <phoneticPr fontId="11" type="noConversion"/>
  </si>
  <si>
    <t xml:space="preserve">TransHudson </t>
    <phoneticPr fontId="11" type="noConversion"/>
  </si>
  <si>
    <t>Age</t>
    <phoneticPr fontId="11" type="noConversion"/>
  </si>
  <si>
    <t>ENd</t>
    <phoneticPr fontId="11" type="noConversion"/>
  </si>
  <si>
    <t>References</t>
    <phoneticPr fontId="11" type="noConversion"/>
  </si>
  <si>
    <t>Machado et al Canad Jour Earth Sci 34: 716-723</t>
    <phoneticPr fontId="11" type="noConversion"/>
  </si>
  <si>
    <t>Hynes/Rivers 2010 Canadian Jour Earth Sciences 47: 591-620; Fisher et al 2010 Geol Soc America Bull 122: 1646-1659</t>
    <phoneticPr fontId="12" type="noConversion"/>
  </si>
  <si>
    <t xml:space="preserve">Bogdanova et al 1996 Tectonophysics 268: 1-21; Bibikova et al 2009 Statigraphy &amp; Geological Correlation 17: 561-573; Shchipansky et al 2007 Geotectonics 41: 38-62  </t>
    <phoneticPr fontId="12" type="noConversion"/>
  </si>
  <si>
    <t>Lapland Granulite belt</t>
    <phoneticPr fontId="12" type="noConversion"/>
  </si>
  <si>
    <t>3000-2700</t>
    <phoneticPr fontId="11" type="noConversion"/>
  </si>
  <si>
    <t>3700-2700</t>
    <phoneticPr fontId="11" type="noConversion"/>
  </si>
  <si>
    <t>Nagssugtoqidian</t>
    <phoneticPr fontId="11" type="noConversion"/>
  </si>
  <si>
    <t>Mojave (?)</t>
    <phoneticPr fontId="12" type="noConversion"/>
  </si>
  <si>
    <t>New Quebec</t>
    <phoneticPr fontId="11" type="noConversion"/>
  </si>
  <si>
    <t>Torngat</t>
    <phoneticPr fontId="11" type="noConversion"/>
  </si>
  <si>
    <t>3000-2500</t>
    <phoneticPr fontId="12" type="noConversion"/>
  </si>
  <si>
    <t>Huhma 1986 Geol Survey Finland Bull. 337: 1-48</t>
    <phoneticPr fontId="11" type="noConversion"/>
  </si>
  <si>
    <t>Kalsbeek et al 1993 Precamb Res 63: 163-178</t>
    <phoneticPr fontId="11" type="noConversion"/>
  </si>
  <si>
    <t>Bettencourt et al 2010 Jour South American Earth Sci 29: 28-46; Teixeira et al 2010 Jour South American Earth Sci 29: 47-60; Lamarao et al 2005 Jour South American Earth Sci 18: 277-292</t>
    <phoneticPr fontId="12" type="noConversion"/>
  </si>
  <si>
    <t>Santos et al 2000 Gondwana Res 3: 453-488; Lerouge et al 2006 Jour African Earth Sciences 44: 413-427</t>
    <phoneticPr fontId="11" type="noConversion"/>
  </si>
  <si>
    <t>Usagaran-Ubendian</t>
    <phoneticPr fontId="11" type="noConversion"/>
  </si>
  <si>
    <t>mean &amp; Std</t>
    <phoneticPr fontId="11" type="noConversion"/>
  </si>
  <si>
    <t>mean &amp; std</t>
  </si>
  <si>
    <t>mean &amp; std</t>
    <phoneticPr fontId="11" type="noConversion"/>
  </si>
  <si>
    <t>Sutam (Central Aldan)</t>
    <phoneticPr fontId="11" type="noConversion"/>
  </si>
  <si>
    <t>Akitkan</t>
    <phoneticPr fontId="11" type="noConversion"/>
  </si>
  <si>
    <t>Rosen et al 1994 in Condie KC, Archean Crustal Evolutuon p 411-459</t>
    <phoneticPr fontId="11" type="noConversion"/>
  </si>
  <si>
    <t>&gt; 1920 Ma</t>
    <phoneticPr fontId="11" type="noConversion"/>
  </si>
  <si>
    <t xml:space="preserve">TransHudson </t>
    <phoneticPr fontId="11" type="noConversion"/>
  </si>
  <si>
    <t>Cornian</t>
    <phoneticPr fontId="12" type="noConversion"/>
  </si>
  <si>
    <t>Albany-Fraser</t>
    <phoneticPr fontId="12" type="noConversion"/>
  </si>
  <si>
    <t>3000-2500</t>
    <phoneticPr fontId="12" type="noConversion"/>
  </si>
  <si>
    <t xml:space="preserve">major cont arc collision 1340-1320; </t>
    <phoneticPr fontId="12" type="noConversion"/>
  </si>
  <si>
    <t>Yapungku</t>
    <phoneticPr fontId="11" type="noConversion"/>
  </si>
  <si>
    <t>Others</t>
    <phoneticPr fontId="11" type="noConversion"/>
  </si>
  <si>
    <t>Totue et al 2001 Precamb Res 108: 45-73</t>
    <phoneticPr fontId="11" type="noConversion"/>
  </si>
  <si>
    <t>Lahtinen/Huhma 1997 Precamb Res 82: 13-34</t>
    <phoneticPr fontId="11" type="noConversion"/>
  </si>
  <si>
    <t>Andersen/Sundvoll 1995 Lithos 35: 235-243</t>
    <phoneticPr fontId="11" type="noConversion"/>
  </si>
  <si>
    <t>Cawood/Korsch 2008 Precamb Res 166: 1-38; Betts/Giles 2006 Precamb Res 144: 92-125; Black et al 2005 Austral Jour Earth Sciences 52: 385-401</t>
    <phoneticPr fontId="12" type="noConversion"/>
  </si>
  <si>
    <t>rifting began 1800-1760</t>
    <phoneticPr fontId="12" type="noConversion"/>
  </si>
  <si>
    <t>normalized to 100%</t>
    <phoneticPr fontId="11" type="noConversion"/>
  </si>
  <si>
    <t>Cawood/Korsch 2008 Precamb Res 166: 1-38; Betts/Giles 2006 Precamb Res 144: 92-125; Fitzsimons 2000 Geology 28: 879-882</t>
    <phoneticPr fontId="12" type="noConversion"/>
  </si>
  <si>
    <t>Nimrod-Ross</t>
    <phoneticPr fontId="12" type="noConversion"/>
  </si>
  <si>
    <t>3100-2900</t>
    <phoneticPr fontId="12" type="noConversion"/>
  </si>
  <si>
    <t>Olarian</t>
    <phoneticPr fontId="11" type="noConversion"/>
  </si>
  <si>
    <t>Makkovikian-Labradorian</t>
    <phoneticPr fontId="12" type="noConversion"/>
  </si>
  <si>
    <t>includes projection into Antarctica</t>
    <phoneticPr fontId="12" type="noConversion"/>
  </si>
  <si>
    <t>Skulski et al 1993 Canad Jour Earth Sci 30: 1505-1520</t>
    <phoneticPr fontId="11" type="noConversion"/>
  </si>
  <si>
    <t>Olarian</t>
    <phoneticPr fontId="12" type="noConversion"/>
  </si>
  <si>
    <t>Musgrave (Mt West)</t>
    <phoneticPr fontId="12" type="noConversion"/>
  </si>
  <si>
    <t>Bowring/Podosek 1989 Earth Planet Sci Lettrs 94: 217-230</t>
    <phoneticPr fontId="11" type="noConversion"/>
  </si>
  <si>
    <t>Donskaya et al 2009 Precambrian Res 170: 61-72</t>
    <phoneticPr fontId="11" type="noConversion"/>
  </si>
  <si>
    <t>Larin et al 2006 Stratigraphy &amp; Geological Correlation 14: 463-474</t>
    <phoneticPr fontId="11" type="noConversion"/>
  </si>
  <si>
    <t xml:space="preserve">De Waele et al 2009 Amer Jour Science 309: 132-187; de Waele et al 2006 Precambrian Res 148: 225-256 </t>
    <phoneticPr fontId="12" type="noConversion"/>
  </si>
  <si>
    <t>He et al 2008 Lithos 102: 158-178</t>
    <phoneticPr fontId="12" type="noConversion"/>
  </si>
  <si>
    <t>Rickers et al 2001 Precamb Res 112: 183-210</t>
    <phoneticPr fontId="11" type="noConversion"/>
  </si>
  <si>
    <t>after 1840 continental margin changed to rift/passive margin</t>
    <phoneticPr fontId="12" type="noConversion"/>
  </si>
  <si>
    <t>3390-2600</t>
    <phoneticPr fontId="12" type="noConversion"/>
  </si>
  <si>
    <t>Domain areal percents from maps</t>
    <phoneticPr fontId="11" type="noConversion"/>
  </si>
  <si>
    <t>1850-1800</t>
    <phoneticPr fontId="11" type="noConversion"/>
  </si>
  <si>
    <t>1920-1850</t>
    <phoneticPr fontId="11" type="noConversion"/>
  </si>
  <si>
    <t>&gt; 1920</t>
    <phoneticPr fontId="11" type="noConversion"/>
  </si>
  <si>
    <t>Funck et al 2000 Jour Geophys Res 105: 23403-420; Connelly 2001 Jour of Geology 109: 57-77</t>
    <phoneticPr fontId="12" type="noConversion"/>
  </si>
  <si>
    <t xml:space="preserve">Betts et al 2008 Precambrian Res 166: 81-92 </t>
    <phoneticPr fontId="12" type="noConversion"/>
  </si>
  <si>
    <t>Whitehouse et al 1998 Precamb Res 91: 365-381</t>
    <phoneticPr fontId="11" type="noConversion"/>
  </si>
  <si>
    <t>Cawood/Korsch 2008 Precamb Res 166: 1-38; Betts/Giles 2006 Precamb Res 144: 92-125; Hoek/Schaefer 1998 Austral Jour Earth Sciences 45: 305-313</t>
    <phoneticPr fontId="12" type="noConversion"/>
  </si>
  <si>
    <t>New Quebec</t>
    <phoneticPr fontId="11" type="noConversion"/>
  </si>
  <si>
    <t>Ring et al 1997 Precamb Res 85: 27-51</t>
    <phoneticPr fontId="11" type="noConversion"/>
  </si>
  <si>
    <t>Bibikova et al 2009 Statigraphy &amp; Geological Correlation 17: 561-573</t>
    <phoneticPr fontId="11" type="noConversion"/>
  </si>
  <si>
    <t>Shchipansky et al 2007 Geotectonics 41: 38-62</t>
    <phoneticPr fontId="11" type="noConversion"/>
  </si>
  <si>
    <t>Juvenile Continental Crust</t>
    <phoneticPr fontId="11" type="noConversion"/>
  </si>
  <si>
    <t>Nagssugtoqidian</t>
    <phoneticPr fontId="11" type="noConversion"/>
  </si>
  <si>
    <t>Gasquet et al 2003 Precamb Res 127: 329-543</t>
    <phoneticPr fontId="11" type="noConversion"/>
  </si>
  <si>
    <t>Foxe</t>
    <phoneticPr fontId="11" type="noConversion"/>
  </si>
  <si>
    <t>closure at 2 Ga collision with Sao Franciso craton</t>
    <phoneticPr fontId="12" type="noConversion"/>
  </si>
  <si>
    <t>Kohn et al 2010 Geol Society America Bull 122: 323-335</t>
    <phoneticPr fontId="12" type="noConversion"/>
  </si>
  <si>
    <t>Tanami</t>
    <phoneticPr fontId="12" type="noConversion"/>
  </si>
  <si>
    <t>Lamarao et al 2005 Jour South American Earth Sci 18: 277-292</t>
    <phoneticPr fontId="11" type="noConversion"/>
  </si>
  <si>
    <t>crustal thickness (km)</t>
    <phoneticPr fontId="12" type="noConversion"/>
  </si>
  <si>
    <t>cont arc</t>
    <phoneticPr fontId="11" type="noConversion"/>
  </si>
  <si>
    <t>oceanic arc</t>
    <phoneticPr fontId="11" type="noConversion"/>
  </si>
  <si>
    <t>Torngat</t>
    <phoneticPr fontId="11" type="noConversion"/>
  </si>
  <si>
    <t>Volga-Don (Pachelma)</t>
    <phoneticPr fontId="11" type="noConversion"/>
  </si>
  <si>
    <t>Eburnean</t>
    <phoneticPr fontId="11" type="noConversion"/>
  </si>
  <si>
    <t>3035-2740</t>
    <phoneticPr fontId="12" type="noConversion"/>
  </si>
  <si>
    <t>Volyn Central Russian</t>
    <phoneticPr fontId="11" type="noConversion"/>
  </si>
  <si>
    <t>Irumides</t>
    <phoneticPr fontId="11" type="noConversion"/>
  </si>
  <si>
    <t>Angara</t>
    <phoneticPr fontId="11" type="noConversion"/>
  </si>
  <si>
    <t>3000-2700</t>
    <phoneticPr fontId="12" type="noConversion"/>
  </si>
  <si>
    <t>Boher et al 1992 Jour Geophys Res 97: 345-369</t>
    <phoneticPr fontId="11" type="noConversion"/>
  </si>
  <si>
    <t>fraction subduction stage</t>
    <phoneticPr fontId="12" type="noConversion"/>
  </si>
  <si>
    <t>Majaule et al 2001 Jour African Earth Sciences 32: 257-267; Mapeo et al 2001 Geol Magazine 138: 299-308; Singletary et al 2003 Precamb Res 121: 47-71</t>
    <phoneticPr fontId="12" type="noConversion"/>
  </si>
  <si>
    <t>McNicoll et al 2000 Canadian Jour Earth Sciences 37: 1575-1596; De et al 2000 Precamb Research 102: 221-249</t>
    <phoneticPr fontId="12" type="noConversion"/>
  </si>
  <si>
    <t>Ganne et al 2012 Nature Geoscience 5: 60-65; Boher et al 1992 Jour Geophys Research 97: 345-369; Gasquet et al 2003 Precamb Res 127: 329-543</t>
    <phoneticPr fontId="12" type="noConversion"/>
  </si>
  <si>
    <t>Zeh et al 2007 Jour Petrology 48: 1605-1639; Kramers/Mouri 2011 Geol Soc America Memoir 207: 85-106</t>
    <phoneticPr fontId="11" type="noConversion"/>
  </si>
  <si>
    <t>Machado et al 1997 Canadian Jour Earth Sciences 34: 716-723; Skulski et al 1993 Canad Jour Earth Sci 30: 1505-1520</t>
    <phoneticPr fontId="12" type="noConversion"/>
  </si>
  <si>
    <t>Theriault/Ermanovics 1997 Precamb Res 81: 15-35</t>
    <phoneticPr fontId="11" type="noConversion"/>
  </si>
  <si>
    <t>3400-2400</t>
    <phoneticPr fontId="12" type="noConversion"/>
  </si>
  <si>
    <t>Birimian-Transamazonian</t>
    <phoneticPr fontId="11" type="noConversion"/>
  </si>
  <si>
    <t>Trans-North China</t>
    <phoneticPr fontId="11" type="noConversion"/>
  </si>
  <si>
    <t>3400-2630</t>
    <phoneticPr fontId="12" type="noConversion"/>
  </si>
  <si>
    <t>2700-2500</t>
    <phoneticPr fontId="12" type="noConversion"/>
  </si>
  <si>
    <t>2530-2400</t>
    <phoneticPr fontId="12" type="noConversion"/>
  </si>
  <si>
    <t>de Waele et al 2006 Precambrian Res 148: 225-256</t>
  </si>
  <si>
    <t>Connelly/Mengel 2000 GSA Bulletin 112: 747-763</t>
    <phoneticPr fontId="11" type="noConversion"/>
  </si>
  <si>
    <t>Foxe</t>
    <phoneticPr fontId="11" type="noConversion"/>
  </si>
  <si>
    <t>Johnson et al 2011 Precambrian Res 189: 239-262</t>
    <phoneticPr fontId="11" type="noConversion"/>
  </si>
  <si>
    <t>Halls Creek</t>
    <phoneticPr fontId="11" type="noConversion"/>
  </si>
  <si>
    <t>Sheppard et al 1999 Austral Jour Earth Sci 46: 679-690</t>
    <phoneticPr fontId="11" type="noConversion"/>
  </si>
  <si>
    <t>Makkovikian-Labradorian</t>
    <phoneticPr fontId="12" type="noConversion"/>
  </si>
  <si>
    <t>McNicoll et al 2000 Canad Jour Earth Sci 37: 1575-1596</t>
    <phoneticPr fontId="11" type="noConversion"/>
  </si>
  <si>
    <t>McDonough et al 2000 Canad Jour Earth Sci 37: 1549-1573</t>
    <phoneticPr fontId="11" type="noConversion"/>
  </si>
  <si>
    <t>1950-1880 collision is Bangweula block</t>
    <phoneticPr fontId="12" type="noConversion"/>
  </si>
  <si>
    <t>Kibaran</t>
    <phoneticPr fontId="11" type="noConversion"/>
  </si>
  <si>
    <t>Buchwaldt et al 2008 Jour African Earth Sci 51: 4-20</t>
    <phoneticPr fontId="11" type="noConversion"/>
  </si>
  <si>
    <t>Halls Creek</t>
    <phoneticPr fontId="11" type="noConversion"/>
  </si>
  <si>
    <t>Nd isotopic data long-lived orogens (&gt; 500 My)</t>
    <phoneticPr fontId="11" type="noConversion"/>
  </si>
  <si>
    <t>Namaqua-Natal</t>
    <phoneticPr fontId="12" type="noConversion"/>
  </si>
  <si>
    <t>Musgrave</t>
    <phoneticPr fontId="11" type="noConversion"/>
  </si>
  <si>
    <t>New Quebec</t>
    <phoneticPr fontId="11" type="noConversion"/>
  </si>
  <si>
    <t>Wathaman, Rottenstone, LaRonge, Glennie</t>
    <phoneticPr fontId="11" type="noConversion"/>
  </si>
  <si>
    <t>David/Syme 1994 Canad Jour Earth Sci 31: 1785-1790</t>
    <phoneticPr fontId="11" type="noConversion"/>
  </si>
  <si>
    <t>Preiss 2000 Precamb Res 100: 21-63</t>
    <phoneticPr fontId="11" type="noConversion"/>
  </si>
  <si>
    <t>Yu et al 2009 Precamb Res 174: 347-363</t>
    <phoneticPr fontId="12" type="noConversion"/>
  </si>
  <si>
    <t>normalized to 100%</t>
    <phoneticPr fontId="11" type="noConversion"/>
  </si>
  <si>
    <t>Aravalli</t>
    <phoneticPr fontId="11" type="noConversion"/>
  </si>
  <si>
    <t>Roy/Kroner 1996 Geol Magazine 133: 333-342</t>
    <phoneticPr fontId="11" type="noConversion"/>
  </si>
  <si>
    <t>Wiedenbeck et al 1996 Chem Geology 129: 325-340</t>
    <phoneticPr fontId="11" type="noConversion"/>
  </si>
  <si>
    <t>Remnants of Archean crust (Ma)</t>
    <phoneticPr fontId="12" type="noConversion"/>
  </si>
  <si>
    <t xml:space="preserve">Connelly/Mengel 2000 Geol Soc America Bull 112: 747-763; van Gool et al 2002 Canadian Jour Earth Sciences 39: 665-686 </t>
    <phoneticPr fontId="12" type="noConversion"/>
  </si>
  <si>
    <t>Jackson/Berman 2000 Canadian Mineralogist 38: 399-421; Corrigan et al 2001 Geol Survey Canada Current Research 2001-C23</t>
    <phoneticPr fontId="12" type="noConversion"/>
  </si>
  <si>
    <t>Kaur et al 2011 Precambrian Res 187: 155-164; Kaur et al 2009 Gondwana Res 16: 56-71; Buick et al 2010 Lithos 120: 511-528</t>
    <phoneticPr fontId="12" type="noConversion"/>
  </si>
  <si>
    <t>Cawood/Korsch 2008 Precamb Res 166: 1-38; Betts/Giles 2006 Precamb Res 144: 92-125; Bagas et al 2008 Precambrian Res 166: 168-184</t>
    <phoneticPr fontId="12" type="noConversion"/>
  </si>
  <si>
    <t>Zhao et al 2010 Precamb Res 177: 266-276</t>
    <phoneticPr fontId="11" type="noConversion"/>
  </si>
  <si>
    <t>Trap et al 2011 Precambrian Res doi:10.1016/j.precamres.2011.09.008; Zhao et al 2007 Geological Mag 144: 753-775</t>
    <phoneticPr fontId="12" type="noConversion"/>
  </si>
  <si>
    <t>Barovich/Hand 2008 Precamb Res 166: 318-337</t>
    <phoneticPr fontId="11" type="noConversion"/>
  </si>
  <si>
    <t>Zeh et al 2007 Jour Petrology 48: 1605-1639</t>
    <phoneticPr fontId="11" type="noConversion"/>
  </si>
  <si>
    <t>references</t>
    <phoneticPr fontId="11" type="noConversion"/>
  </si>
  <si>
    <t xml:space="preserve">Goscombe et al 1994 Jour. African Earth Sciences 19: 199-224; Feybesse et al 1998 Precambrian Res. 87: 161-216 </t>
    <phoneticPr fontId="11" type="noConversion"/>
  </si>
  <si>
    <t>2600-2500</t>
    <phoneticPr fontId="12" type="noConversion"/>
  </si>
  <si>
    <t>Makkovik province, Canada</t>
  </si>
  <si>
    <t>Mezger/Cosca 1999 Precamb Res 94: 251-271; Collins/Pisarevsky 2005 Earth-Science Revs 71: 229-270;  Fitzsimons 2000 Geology 28: 879-882; Dasgupta et al 2012 Precamb Res doi:10.1016/j.precamres.2012.04.005</t>
    <phoneticPr fontId="12" type="noConversion"/>
  </si>
  <si>
    <t>Reworked Components (incl sediments)</t>
    <phoneticPr fontId="11" type="noConversion"/>
  </si>
  <si>
    <t>microcraton</t>
    <phoneticPr fontId="11" type="noConversion"/>
  </si>
  <si>
    <t>LIP and OIB</t>
    <phoneticPr fontId="11" type="noConversion"/>
  </si>
  <si>
    <t>oceanic crust (incl. serpentinites, pelagic sediments)</t>
    <phoneticPr fontId="11" type="noConversion"/>
  </si>
  <si>
    <t>Reworked Components</t>
    <phoneticPr fontId="11" type="noConversion"/>
  </si>
  <si>
    <t>Total Fraction Juvenile</t>
    <phoneticPr fontId="12" type="noConversion"/>
  </si>
  <si>
    <t>3500-2500</t>
    <phoneticPr fontId="12" type="noConversion"/>
  </si>
  <si>
    <t>Gladkochub et al 2009 Geol Soc Lond Spec Public 323: 127-143</t>
    <phoneticPr fontId="11" type="noConversion"/>
  </si>
  <si>
    <t>Kaur et al 2011 Precambrian Res 187: 155-164 (also has Hf isotopic data)</t>
    <phoneticPr fontId="11" type="noConversion"/>
  </si>
  <si>
    <t>Glenburgh</t>
    <phoneticPr fontId="11" type="noConversion"/>
  </si>
  <si>
    <t>3100-2500</t>
    <phoneticPr fontId="12" type="noConversion"/>
  </si>
  <si>
    <t>3100-2500</t>
    <phoneticPr fontId="12" type="noConversion"/>
  </si>
  <si>
    <t>Aravalli</t>
    <phoneticPr fontId="11" type="noConversion"/>
  </si>
  <si>
    <t>Glenburgh</t>
    <phoneticPr fontId="11" type="noConversion"/>
  </si>
  <si>
    <t>3300-2500</t>
    <phoneticPr fontId="11" type="noConversion"/>
  </si>
  <si>
    <t>3500-2430</t>
    <phoneticPr fontId="11" type="noConversion"/>
  </si>
  <si>
    <t xml:space="preserve">Johnson et al 2011 Precambrian Res 189: 239-262  </t>
    <phoneticPr fontId="11" type="noConversion"/>
  </si>
  <si>
    <t>Daly et al 2001 Precambrian Res 105: 289-314; Daly et al 2006 Geol Soc London Memoir 32: 579-598</t>
    <phoneticPr fontId="12" type="noConversion"/>
  </si>
  <si>
    <t>Badredinov et al 2009 Doklady Earth Sciences 2009, 425: 235-238</t>
    <phoneticPr fontId="12" type="noConversion"/>
  </si>
  <si>
    <t>Donskaya et al 2009 Precambrian Res 170: 61-72; Larin et al 2006 Stratigraphy &amp; Geol Correlation 14: 463-474</t>
    <phoneticPr fontId="12" type="noConversion"/>
  </si>
  <si>
    <t>de Waele et al 2006 Precambrian Res 148: 225-256; Collins et al 2004 Earth Planet. Sci. Lettr. 224: 175-192; Lenoir et al 1994 Jour. African Earth Sciences 19: 169-184</t>
    <phoneticPr fontId="12" type="noConversion"/>
  </si>
  <si>
    <t xml:space="preserve">Schneider et al 2007 Precamb Res 153: 65-95; Rayner et al 2005 Canad Jour Earth Sci 42: 635-657; Hollings/Ansdell 2002 GSA Bulletin 114: 153-168; Corrigan et al 2005 Canad Jour Earth Sci 42: 421-434; Machado et l 1990 Canad Jour Earth Sci 27: 794-802 </t>
    <phoneticPr fontId="11" type="noConversion"/>
  </si>
  <si>
    <t>Western domains</t>
    <phoneticPr fontId="11" type="noConversion"/>
  </si>
  <si>
    <t>Orrell et al 1999 Precamb Res 95: 187-223</t>
    <phoneticPr fontId="11" type="noConversion"/>
  </si>
  <si>
    <t>age (Ma)</t>
  </si>
  <si>
    <t>Error</t>
  </si>
  <si>
    <t>3500-2500</t>
    <phoneticPr fontId="11" type="noConversion"/>
  </si>
  <si>
    <t>Kimban</t>
    <phoneticPr fontId="11" type="noConversion"/>
  </si>
  <si>
    <t>Olarian</t>
    <phoneticPr fontId="11" type="noConversion"/>
  </si>
  <si>
    <t>He et al 2008 Lithos 102: 158-178; Huang et al. 2012 Lithos 134-135: 236-252</t>
    <phoneticPr fontId="12" type="noConversion"/>
  </si>
  <si>
    <t>including Sask craton total assumed = to 27%</t>
    <phoneticPr fontId="11" type="noConversion"/>
  </si>
  <si>
    <t>Taltson</t>
    <phoneticPr fontId="11" type="noConversion"/>
  </si>
  <si>
    <t>Limpopo</t>
    <phoneticPr fontId="11" type="noConversion"/>
  </si>
  <si>
    <t>3300-2555</t>
    <phoneticPr fontId="12" type="noConversion"/>
  </si>
  <si>
    <t>Irumides</t>
    <phoneticPr fontId="12" type="noConversion"/>
  </si>
  <si>
    <t>Ages from reworked components</t>
    <phoneticPr fontId="11" type="noConversion"/>
  </si>
  <si>
    <t>Nd isotopic data short-lived orogens (≤ 500 My)</t>
    <phoneticPr fontId="11" type="noConversion"/>
  </si>
  <si>
    <r>
      <t>Area (km</t>
    </r>
    <r>
      <rPr>
        <b/>
        <vertAlign val="superscript"/>
        <sz val="12"/>
        <rFont val="Geneva"/>
      </rPr>
      <t>2</t>
    </r>
    <r>
      <rPr>
        <b/>
        <sz val="12"/>
        <rFont val="Geneva"/>
      </rPr>
      <t>)</t>
    </r>
    <phoneticPr fontId="12" type="noConversion"/>
  </si>
  <si>
    <t>most juvenile components in Natal domain</t>
    <phoneticPr fontId="12" type="noConversion"/>
  </si>
  <si>
    <t>Namaqua segment</t>
    <phoneticPr fontId="11" type="noConversion"/>
  </si>
  <si>
    <t>Natal segment</t>
    <phoneticPr fontId="11" type="noConversion"/>
  </si>
  <si>
    <t>Cawood/Korsch 2008 Precamb Res 166: 1-38; Betts/Giles 2006 Precamb Res 144: 92-125; Black et al 2005 Austral Jour Earth Sciences 52: 385-401</t>
    <phoneticPr fontId="12" type="noConversion"/>
  </si>
  <si>
    <t>Limpopo</t>
    <phoneticPr fontId="11" type="noConversion"/>
  </si>
  <si>
    <t>Grenville Eastern Quebec</t>
    <phoneticPr fontId="11" type="noConversion"/>
  </si>
  <si>
    <t>Grenville Virginia</t>
    <phoneticPr fontId="11" type="noConversion"/>
  </si>
  <si>
    <t>percents by number of ages</t>
    <phoneticPr fontId="11" type="noConversion"/>
  </si>
  <si>
    <t xml:space="preserve">Domain volume percents </t>
    <phoneticPr fontId="11" type="noConversion"/>
  </si>
  <si>
    <t>Daly et al 2001 Precamb Res 105: 289-314</t>
    <phoneticPr fontId="11" type="noConversion"/>
  </si>
  <si>
    <t>Lapland</t>
    <phoneticPr fontId="11" type="noConversion"/>
  </si>
  <si>
    <t>Daly et al 2001 Precamb Res 105: 289-314</t>
    <phoneticPr fontId="11" type="noConversion"/>
  </si>
  <si>
    <t>Bingen et al 2005 Norwegian Jour Geology 85: 87-116; Lahtinen et al 2008 Episodes March 2008: 20-28; Mints 2011 Geotectonics 45: 267-290; Bingen et al 2008 Norwegian Jour Geology 88: 43-72</t>
    <phoneticPr fontId="12" type="noConversion"/>
  </si>
  <si>
    <t>Luizian</t>
    <phoneticPr fontId="12" type="noConversion"/>
  </si>
  <si>
    <t>Ibanez-Mejia et al 2011 Precamb Res 191: 58-77; Karlstrom et al 2001 Precamb Res 111: 5-30</t>
    <phoneticPr fontId="12" type="noConversion"/>
  </si>
  <si>
    <t xml:space="preserve"> Teixeira et al 2010 Jour South American Earth Sci 29: 47-60</t>
  </si>
  <si>
    <t>Payne et al 2006 Precamb Res 148: 275-291</t>
    <phoneticPr fontId="11" type="noConversion"/>
  </si>
  <si>
    <r>
      <t>juvenile volume preserved per subduction duration window (km</t>
    </r>
    <r>
      <rPr>
        <b/>
        <vertAlign val="superscript"/>
        <sz val="12"/>
        <rFont val="Geneva"/>
      </rPr>
      <t>3</t>
    </r>
    <r>
      <rPr>
        <b/>
        <sz val="12"/>
        <rFont val="Geneva"/>
      </rPr>
      <t>/y)</t>
    </r>
    <phoneticPr fontId="12" type="noConversion"/>
  </si>
  <si>
    <r>
      <t>volume of juvenile with age ≤ 200 My of collision age (km</t>
    </r>
    <r>
      <rPr>
        <b/>
        <vertAlign val="superscript"/>
        <sz val="12"/>
        <rFont val="Geneva"/>
      </rPr>
      <t>3</t>
    </r>
    <r>
      <rPr>
        <b/>
        <sz val="12"/>
        <rFont val="Geneva"/>
      </rPr>
      <t>)</t>
    </r>
    <phoneticPr fontId="12" type="noConversion"/>
  </si>
  <si>
    <r>
      <t>volume juvenile (km</t>
    </r>
    <r>
      <rPr>
        <b/>
        <vertAlign val="superscript"/>
        <sz val="12"/>
        <rFont val="Geneva"/>
      </rPr>
      <t>3</t>
    </r>
    <r>
      <rPr>
        <b/>
        <sz val="12"/>
        <rFont val="Geneva"/>
      </rPr>
      <t>)</t>
    </r>
    <phoneticPr fontId="12" type="noConversion"/>
  </si>
  <si>
    <t xml:space="preserve">fraction of juvenile crust with age ≤ 200 My of collision age </t>
    <phoneticPr fontId="12" type="noConversion"/>
  </si>
  <si>
    <r>
      <t>juvenile crust ocean basin closing stage (km</t>
    </r>
    <r>
      <rPr>
        <b/>
        <vertAlign val="superscript"/>
        <sz val="12"/>
        <rFont val="Geneva"/>
      </rPr>
      <t>3</t>
    </r>
    <r>
      <rPr>
        <b/>
        <sz val="12"/>
        <rFont val="Geneva"/>
      </rPr>
      <t>)</t>
    </r>
    <phoneticPr fontId="12" type="noConversion"/>
  </si>
  <si>
    <t>Eburnean</t>
    <phoneticPr fontId="11" type="noConversion"/>
  </si>
  <si>
    <t>Cameroon</t>
  </si>
  <si>
    <t xml:space="preserve">Baltica </t>
    <phoneticPr fontId="12" type="noConversion"/>
  </si>
  <si>
    <t>Svecofennian Finland</t>
  </si>
  <si>
    <t>Penokean, Lake Superior region</t>
  </si>
  <si>
    <t xml:space="preserve">Eastern Ghats </t>
    <phoneticPr fontId="12" type="noConversion"/>
  </si>
  <si>
    <t>Cathaysia</t>
    <phoneticPr fontId="12" type="noConversion"/>
  </si>
  <si>
    <t>Kararan</t>
    <phoneticPr fontId="12" type="noConversion"/>
  </si>
  <si>
    <t>3200-2700</t>
    <phoneticPr fontId="12" type="noConversion"/>
  </si>
  <si>
    <t>McNicoll et al 2000 Canad Jour Earth Sci 37: 1575-1596</t>
  </si>
  <si>
    <t>Whalen et al 1999 Canad Jour Earth Sci 36: 227-250</t>
    <phoneticPr fontId="11" type="noConversion"/>
  </si>
  <si>
    <t>Mt Isa</t>
    <phoneticPr fontId="12" type="noConversion"/>
  </si>
  <si>
    <t>Fetter (1994) PhD Thesis Univ Kansas, p. 42-55</t>
    <phoneticPr fontId="11" type="noConversion"/>
  </si>
  <si>
    <t>Nagssugtoqidian</t>
    <phoneticPr fontId="11" type="noConversion"/>
  </si>
  <si>
    <t>Nutman et al 2008 Amer Jour Sci 308: 529-572</t>
    <phoneticPr fontId="11" type="noConversion"/>
  </si>
  <si>
    <t>Wade et al 2008 Precamb Res 166: 370-386</t>
    <phoneticPr fontId="11" type="noConversion"/>
  </si>
  <si>
    <t>Magondi-Kheis</t>
    <phoneticPr fontId="12" type="noConversion"/>
  </si>
  <si>
    <t>merges with Limpopo in N Botswana</t>
    <phoneticPr fontId="12" type="noConversion"/>
  </si>
  <si>
    <t>3015-2700</t>
    <phoneticPr fontId="12" type="noConversion"/>
  </si>
  <si>
    <t>Johnson et al 2011 Precambrian Res 189: 239-262  (Hf isotopic data)</t>
    <phoneticPr fontId="11" type="noConversion"/>
  </si>
  <si>
    <t>3000-2700</t>
    <phoneticPr fontId="12" type="noConversion"/>
  </si>
  <si>
    <t>area assumes Austral + Antarctica; Laurentia collision 1540; extension 1490-1370</t>
    <phoneticPr fontId="12" type="noConversion"/>
  </si>
  <si>
    <t xml:space="preserve">Kokonyangi et al 2005 Geol Magazine 142: 109-130; Kokonyangi et al 2006 Jour African Earth Sci 46: 1-35; Buchwaldt et al 2008 Jour African Earth Sci 51: 4-20 </t>
    <phoneticPr fontId="12" type="noConversion"/>
  </si>
  <si>
    <t>earlier granulite facies metamorphism at 2350 Ma (?)</t>
    <phoneticPr fontId="11" type="noConversion"/>
  </si>
  <si>
    <t>Reddy et al 2003 Tectonophys 375: 101-123; Lenoir et al 1994 Jour. African Earth Sciences 19: 169-184; de Waele et al 2006 Precambrian Res 148: 225-256</t>
    <phoneticPr fontId="12" type="noConversion"/>
  </si>
  <si>
    <t>Frost et al 1998 Precamb Res 89: 1-23</t>
    <phoneticPr fontId="11" type="noConversion"/>
  </si>
  <si>
    <t>Akitkan</t>
    <phoneticPr fontId="11" type="noConversion"/>
  </si>
  <si>
    <t>Kaur et al 2011 Precambrian Res 187: 155-164</t>
    <phoneticPr fontId="11" type="noConversion"/>
  </si>
  <si>
    <t>Glenburgh</t>
    <phoneticPr fontId="11" type="noConversion"/>
  </si>
  <si>
    <t>Lewry et al 1987 Geol Soc London Spec Publ 33: 147-166</t>
    <phoneticPr fontId="11" type="noConversion"/>
  </si>
  <si>
    <t>Tonalites, Taos Range</t>
    <phoneticPr fontId="11" type="noConversion"/>
  </si>
  <si>
    <t>Onset subduction (Ma)</t>
    <phoneticPr fontId="12" type="noConversion"/>
  </si>
  <si>
    <t>Onset collision (Ma)</t>
    <phoneticPr fontId="12" type="noConversion"/>
  </si>
  <si>
    <t>Subduction Duration (My)</t>
    <phoneticPr fontId="12" type="noConversion"/>
  </si>
  <si>
    <t>Collision duration (My)</t>
    <phoneticPr fontId="12" type="noConversion"/>
  </si>
  <si>
    <t>Zeh et al 2007 Jour Petrology 48: 1605-1639</t>
    <phoneticPr fontId="11" type="noConversion"/>
  </si>
  <si>
    <t>2740-2030</t>
    <phoneticPr fontId="12" type="noConversion"/>
  </si>
  <si>
    <t>Thelon</t>
    <phoneticPr fontId="12" type="noConversion"/>
  </si>
  <si>
    <t>2700-2500</t>
    <phoneticPr fontId="11" type="noConversion"/>
  </si>
  <si>
    <t>2700-2500</t>
    <phoneticPr fontId="11" type="noConversion"/>
  </si>
  <si>
    <t>TransHudson</t>
    <phoneticPr fontId="11" type="noConversion"/>
  </si>
  <si>
    <t>Macambira et al 2009 Jour S American Earth Sciences 27: 235-246; Santos et al 2009 Geol Society London Spec Public 323: 271-281</t>
    <phoneticPr fontId="12" type="noConversion"/>
  </si>
  <si>
    <t>Ubendian</t>
    <phoneticPr fontId="12" type="noConversion"/>
  </si>
  <si>
    <t>Kibaran</t>
    <phoneticPr fontId="12" type="noConversion"/>
  </si>
  <si>
    <t>West Congo</t>
    <phoneticPr fontId="12" type="noConversion"/>
  </si>
  <si>
    <t>2525-2425</t>
    <phoneticPr fontId="11" type="noConversion"/>
  </si>
  <si>
    <t>Penokean-Yavapai-Mazatzal</t>
    <phoneticPr fontId="12" type="noConversion"/>
  </si>
  <si>
    <t>Paleoproterozoic SW USA</t>
  </si>
  <si>
    <r>
      <t>juvenile crust collision stage (km</t>
    </r>
    <r>
      <rPr>
        <b/>
        <vertAlign val="superscript"/>
        <sz val="12"/>
        <rFont val="Geneva"/>
      </rPr>
      <t>3</t>
    </r>
    <r>
      <rPr>
        <b/>
        <sz val="12"/>
        <rFont val="Geneva"/>
      </rPr>
      <t>)</t>
    </r>
    <phoneticPr fontId="12" type="noConversion"/>
  </si>
  <si>
    <t xml:space="preserve">Baltica (Svecofennian, Gothian) </t>
    <phoneticPr fontId="12" type="noConversion"/>
  </si>
  <si>
    <t xml:space="preserve">Amazonia (Rio Negro-Juruena, Ventuari-Tapajos) </t>
    <phoneticPr fontId="12" type="noConversion"/>
  </si>
  <si>
    <t>Termination collision (Ma)</t>
    <phoneticPr fontId="12" type="noConversion"/>
  </si>
  <si>
    <t>APPENDIX 1.  CHARACTERISTICS of MAJOR PALEO and MESOPROTEROZOIC OROGENS</t>
    <phoneticPr fontId="12" type="noConversion"/>
  </si>
  <si>
    <r>
      <t>volume preserved (km</t>
    </r>
    <r>
      <rPr>
        <b/>
        <vertAlign val="superscript"/>
        <sz val="12"/>
        <rFont val="Geneva"/>
      </rPr>
      <t>3</t>
    </r>
    <r>
      <rPr>
        <b/>
        <sz val="12"/>
        <rFont val="Geneva"/>
      </rPr>
      <t>)</t>
    </r>
    <phoneticPr fontId="12" type="noConversion"/>
  </si>
  <si>
    <r>
      <t>volume preserved per subduction duration window (km</t>
    </r>
    <r>
      <rPr>
        <b/>
        <vertAlign val="superscript"/>
        <sz val="12"/>
        <rFont val="Geneva"/>
      </rPr>
      <t>3</t>
    </r>
    <r>
      <rPr>
        <b/>
        <sz val="12"/>
        <rFont val="Geneva"/>
      </rPr>
      <t>/y)</t>
    </r>
    <phoneticPr fontId="11" type="noConversion"/>
  </si>
  <si>
    <t>continental arc</t>
    <phoneticPr fontId="11" type="noConversion"/>
  </si>
  <si>
    <t xml:space="preserve">Fraction recycled </t>
    <phoneticPr fontId="12" type="noConversion"/>
  </si>
  <si>
    <t>Notes</t>
    <phoneticPr fontId="12" type="noConversion"/>
  </si>
  <si>
    <t>Eastern domains</t>
    <phoneticPr fontId="11" type="noConversion"/>
  </si>
  <si>
    <t>De Waele/Fitsimons 2007 Precamb Res 159: 95-116</t>
    <phoneticPr fontId="11" type="noConversion"/>
  </si>
  <si>
    <t>Lenoir et al 1994 Jour African Earth Sci 19: 169-184</t>
    <phoneticPr fontId="11" type="noConversion"/>
  </si>
  <si>
    <t>McNutt/Dickin 2012 Terra Nova 24: 7-15</t>
    <phoneticPr fontId="11" type="noConversion"/>
  </si>
  <si>
    <t>Eglington 2006 Jour African Earth Sciences 46: 93-111</t>
    <phoneticPr fontId="11" type="noConversion"/>
  </si>
  <si>
    <t>Volyn Central Russian</t>
    <phoneticPr fontId="11" type="noConversion"/>
  </si>
  <si>
    <t>Volyn Central Russian</t>
    <phoneticPr fontId="11" type="noConversion"/>
  </si>
  <si>
    <t>Claesson et al 2001 Tectonophys 339: 1-18</t>
    <phoneticPr fontId="11" type="noConversion"/>
  </si>
  <si>
    <t>Volga-Don (Pachelma)</t>
    <phoneticPr fontId="11" type="noConversion"/>
  </si>
  <si>
    <t>Bibikova et al 2009 Statigraphy &amp; Geological Correlation 17: 561-573</t>
    <phoneticPr fontId="11" type="noConversion"/>
  </si>
  <si>
    <t>Shchipansky et al 2007 Geotectonics 41: 38-62</t>
    <phoneticPr fontId="11" type="noConversion"/>
  </si>
  <si>
    <t>Abouchami et al 1990 Jour Geophys Res 95: 17605-629</t>
    <phoneticPr fontId="11" type="noConversion"/>
  </si>
  <si>
    <t xml:space="preserve">Tectonic Settings Represented  </t>
    <phoneticPr fontId="11" type="noConversion"/>
  </si>
  <si>
    <t>Li et al 2011 Jour Geol Society London 168: 1215-1224</t>
    <phoneticPr fontId="11" type="noConversion"/>
  </si>
  <si>
    <t>Wilde et al 2001 Chinese Science Bull 49: 83-90</t>
    <phoneticPr fontId="11" type="noConversion"/>
  </si>
  <si>
    <t>Kalsbeek/Nutman 1996 Geology 24: 515-518</t>
    <phoneticPr fontId="11" type="noConversion"/>
  </si>
  <si>
    <t>fraction collision stage</t>
    <phoneticPr fontId="12" type="noConversion"/>
  </si>
  <si>
    <t>References</t>
    <phoneticPr fontId="12" type="noConversion"/>
  </si>
  <si>
    <t>Syncollisional age</t>
    <phoneticPr fontId="11" type="noConversion"/>
  </si>
  <si>
    <t>Subduction stage age</t>
    <phoneticPr fontId="11" type="noConversion"/>
  </si>
  <si>
    <t>Syncollisional age</t>
    <phoneticPr fontId="11" type="noConversion"/>
  </si>
  <si>
    <t>Ansdell/Norman 1995 Precamb Res 72: 147-167</t>
    <phoneticPr fontId="11" type="noConversion"/>
  </si>
  <si>
    <t>ENd (T)</t>
  </si>
  <si>
    <t>TDM</t>
  </si>
  <si>
    <t xml:space="preserve">Borborema </t>
  </si>
  <si>
    <t>NE Brazil</t>
  </si>
  <si>
    <t>Ivory Coast</t>
  </si>
  <si>
    <t>Dabakala area</t>
  </si>
  <si>
    <t xml:space="preserve">Kaur et al 2009 Gondwana Res 16: 56-71 </t>
    <phoneticPr fontId="11" type="noConversion"/>
  </si>
  <si>
    <t>Wopmay</t>
    <phoneticPr fontId="12" type="noConversion"/>
  </si>
  <si>
    <t>Angara</t>
    <phoneticPr fontId="12" type="noConversion"/>
  </si>
  <si>
    <t>Cawood/Korsch 2008 Precamb Res 166: 1-38; Betts/Giles 2006 Precamb Res 144: 92-125</t>
    <phoneticPr fontId="12" type="noConversion"/>
  </si>
  <si>
    <t>Tennant</t>
    <phoneticPr fontId="12" type="noConversion"/>
  </si>
  <si>
    <t>Gerdes/Zeh 2009 Chemical Geol 261: 230-243</t>
    <phoneticPr fontId="11" type="noConversion"/>
  </si>
  <si>
    <t>Connelly 2001 Jour Geology 109: 57-77</t>
    <phoneticPr fontId="11" type="noConversion"/>
  </si>
  <si>
    <t>Laurentia collision 1540; extension 1490-1370</t>
    <phoneticPr fontId="12" type="noConversion"/>
  </si>
  <si>
    <t>Singletary et al 2003 Precamb Res 121: 47-71</t>
    <phoneticPr fontId="11" type="noConversion"/>
  </si>
  <si>
    <t>Reworked + Sask</t>
    <phoneticPr fontId="11" type="noConversion"/>
  </si>
  <si>
    <t>Claesson et al 2001 Tectonophys 339: 1-18</t>
    <phoneticPr fontId="11" type="noConversion"/>
  </si>
  <si>
    <t>Volga-Don (Pachelma)</t>
    <phoneticPr fontId="11" type="noConversion"/>
  </si>
  <si>
    <t>Li et al 2011 Jour Geol Society London 168: 1215-1224</t>
    <phoneticPr fontId="11" type="noConversion"/>
  </si>
  <si>
    <t>Bickford et al 1994 Precamb Res 68: 1-21</t>
    <phoneticPr fontId="11" type="noConversion"/>
  </si>
  <si>
    <t xml:space="preserve">Fitzsimons 2000 Geology 28: 879-882; Goodge/Fanning 1999 Geology 27: 1007-1010; Goodge et al 2001 Precamb Res 112: 261-288 </t>
    <phoneticPr fontId="12" type="noConversion"/>
  </si>
  <si>
    <t>Howard et al 2010 Precamb Res 184: 43-62</t>
    <phoneticPr fontId="11" type="noConversion"/>
  </si>
  <si>
    <t>Fraser et al 2010 Precamb Res 179: 1-21</t>
    <phoneticPr fontId="11" type="noConversion"/>
  </si>
  <si>
    <t>onset of collision is uncertain because of Caledonian overprinting</t>
    <phoneticPr fontId="12" type="noConversion"/>
  </si>
  <si>
    <t>Thelon</t>
    <phoneticPr fontId="11" type="noConversion"/>
  </si>
  <si>
    <t>Taltson</t>
    <phoneticPr fontId="12" type="noConversion"/>
  </si>
  <si>
    <t>Gladkochub et al 2006 Episodes 29: 169-174; Poller et al 2005 Precamb Res 136: 353-368</t>
    <phoneticPr fontId="12" type="noConversion"/>
  </si>
  <si>
    <t>could be a continuation of Wopmay; accretionary events in Neoproterozoic</t>
    <phoneticPr fontId="12" type="noConversion"/>
  </si>
  <si>
    <t>Lesser Himalaya</t>
    <phoneticPr fontId="12" type="noConversion"/>
  </si>
  <si>
    <t>Kerr and Fryer 1994 Earth Planet Sci Lettrs 125: 71-88</t>
    <phoneticPr fontId="11" type="noConversion"/>
  </si>
  <si>
    <t>EHf is most between 0 and+5 (at 1665-1630); three samples plot just below DM; a second population at 1600 Ma is between -2 and -8 (fig 4 De Waele et al 09)</t>
    <phoneticPr fontId="12" type="noConversion"/>
  </si>
  <si>
    <t>Gladkochub et al 2009 Geol Soc London 323: 127-143</t>
    <phoneticPr fontId="11" type="noConversion"/>
  </si>
  <si>
    <t>ZIRCON AGES COLLISIONAL OROGENS</t>
    <phoneticPr fontId="11" type="noConversion"/>
  </si>
  <si>
    <t>Usagaran-Tanzania</t>
    <phoneticPr fontId="12" type="noConversion"/>
  </si>
</sst>
</file>

<file path=xl/styles.xml><?xml version="1.0" encoding="utf-8"?>
<styleSheet xmlns="http://schemas.openxmlformats.org/spreadsheetml/2006/main">
  <numFmts count="3">
    <numFmt numFmtId="168" formatCode="0.000"/>
    <numFmt numFmtId="169" formatCode="0.0000"/>
    <numFmt numFmtId="170" formatCode="0.0"/>
  </numFmts>
  <fonts count="17">
    <font>
      <sz val="12"/>
      <name val="Geneva"/>
    </font>
    <font>
      <b/>
      <sz val="12"/>
      <name val="Geneva"/>
    </font>
    <font>
      <b/>
      <sz val="12"/>
      <name val="Geneva"/>
    </font>
    <font>
      <b/>
      <sz val="12"/>
      <name val="Geneva"/>
    </font>
    <font>
      <b/>
      <sz val="12"/>
      <name val="Geneva"/>
    </font>
    <font>
      <b/>
      <sz val="12"/>
      <name val="Geneva"/>
    </font>
    <font>
      <sz val="12"/>
      <name val="Geneva"/>
    </font>
    <font>
      <b/>
      <sz val="12"/>
      <name val="Geneva"/>
    </font>
    <font>
      <b/>
      <sz val="12"/>
      <name val="Geneva"/>
    </font>
    <font>
      <sz val="12"/>
      <name val="Geneva"/>
    </font>
    <font>
      <b/>
      <sz val="12"/>
      <name val="Geneva"/>
    </font>
    <font>
      <sz val="8"/>
      <name val="Geneva"/>
    </font>
    <font>
      <sz val="8"/>
      <name val="Verdana"/>
    </font>
    <font>
      <b/>
      <sz val="14"/>
      <name val="Geneva"/>
    </font>
    <font>
      <b/>
      <sz val="12"/>
      <name val="Geneva CE"/>
    </font>
    <font>
      <b/>
      <sz val="16"/>
      <name val="Geneva"/>
    </font>
    <font>
      <b/>
      <vertAlign val="superscript"/>
      <sz val="12"/>
      <name val="Geneva"/>
    </font>
  </fonts>
  <fills count="7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0" fillId="2" borderId="0" xfId="0" applyFont="1" applyFill="1"/>
    <xf numFmtId="0" fontId="0" fillId="3" borderId="0" xfId="0" applyFill="1"/>
    <xf numFmtId="0" fontId="13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Fill="1" applyAlignment="1">
      <alignment horizontal="center"/>
    </xf>
    <xf numFmtId="168" fontId="13" fillId="0" borderId="0" xfId="0" applyNumberFormat="1" applyFont="1" applyAlignment="1">
      <alignment horizontal="center"/>
    </xf>
    <xf numFmtId="168" fontId="0" fillId="0" borderId="0" xfId="0" applyNumberForma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0" fontId="13" fillId="4" borderId="0" xfId="0" applyFont="1" applyFill="1" applyAlignment="1">
      <alignment horizontal="right"/>
    </xf>
    <xf numFmtId="0" fontId="13" fillId="0" borderId="0" xfId="0" applyFont="1" applyFill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8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  <xf numFmtId="0" fontId="14" fillId="0" borderId="0" xfId="0" applyFont="1"/>
    <xf numFmtId="2" fontId="0" fillId="0" borderId="0" xfId="0" applyNumberFormat="1"/>
    <xf numFmtId="0" fontId="14" fillId="3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5" fillId="4" borderId="0" xfId="0" applyFont="1" applyFill="1"/>
    <xf numFmtId="0" fontId="5" fillId="2" borderId="0" xfId="0" applyFont="1" applyFill="1"/>
    <xf numFmtId="0" fontId="5" fillId="3" borderId="0" xfId="0" applyFont="1" applyFill="1"/>
    <xf numFmtId="0" fontId="5" fillId="0" borderId="0" xfId="0" applyFont="1" applyFill="1"/>
    <xf numFmtId="0" fontId="5" fillId="6" borderId="1" xfId="0" applyFont="1" applyFill="1" applyBorder="1"/>
    <xf numFmtId="0" fontId="0" fillId="0" borderId="2" xfId="0" applyFill="1" applyBorder="1" applyAlignment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5" fillId="6" borderId="0" xfId="0" applyFont="1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6" borderId="0" xfId="0" applyFill="1"/>
    <xf numFmtId="0" fontId="5" fillId="2" borderId="0" xfId="0" applyFont="1" applyFill="1" applyAlignment="1">
      <alignment horizontal="right"/>
    </xf>
    <xf numFmtId="0" fontId="1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9" fillId="0" borderId="0" xfId="0" applyFont="1" applyAlignment="1">
      <alignment horizontal="right"/>
    </xf>
    <xf numFmtId="2" fontId="9" fillId="0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0" fontId="13" fillId="0" borderId="0" xfId="0" applyFont="1" applyAlignment="1">
      <alignment horizontal="right" wrapText="1"/>
    </xf>
    <xf numFmtId="170" fontId="0" fillId="0" borderId="0" xfId="0" applyNumberFormat="1"/>
    <xf numFmtId="0" fontId="14" fillId="2" borderId="0" xfId="0" applyFont="1" applyFill="1"/>
    <xf numFmtId="0" fontId="3" fillId="2" borderId="0" xfId="0" applyFont="1" applyFill="1" applyAlignment="1">
      <alignment horizontal="right"/>
    </xf>
    <xf numFmtId="11" fontId="13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horizontal="right"/>
    </xf>
    <xf numFmtId="11" fontId="13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 applyAlignment="1">
      <alignment horizontal="right"/>
    </xf>
    <xf numFmtId="11" fontId="0" fillId="0" borderId="0" xfId="0" applyNumberFormat="1" applyAlignment="1">
      <alignment horizontal="right" wrapText="1"/>
    </xf>
    <xf numFmtId="168" fontId="13" fillId="0" borderId="0" xfId="0" applyNumberFormat="1" applyFont="1" applyAlignment="1">
      <alignment horizontal="left" wrapText="1"/>
    </xf>
    <xf numFmtId="168" fontId="0" fillId="0" borderId="0" xfId="0" applyNumberFormat="1" applyAlignment="1">
      <alignment horizontal="left" wrapText="1"/>
    </xf>
    <xf numFmtId="168" fontId="0" fillId="0" borderId="0" xfId="0" applyNumberFormat="1" applyAlignment="1">
      <alignment horizontal="right" wrapText="1"/>
    </xf>
    <xf numFmtId="168" fontId="13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right"/>
    </xf>
    <xf numFmtId="0" fontId="2" fillId="5" borderId="1" xfId="0" applyFont="1" applyFill="1" applyBorder="1" applyAlignment="1">
      <alignment horizontal="center" wrapText="1"/>
    </xf>
    <xf numFmtId="11" fontId="2" fillId="5" borderId="1" xfId="0" applyNumberFormat="1" applyFont="1" applyFill="1" applyBorder="1" applyAlignment="1">
      <alignment horizontal="center"/>
    </xf>
    <xf numFmtId="168" fontId="2" fillId="5" borderId="1" xfId="0" applyNumberFormat="1" applyFont="1" applyFill="1" applyBorder="1" applyAlignment="1">
      <alignment horizontal="center" wrapText="1"/>
    </xf>
    <xf numFmtId="2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 wrapText="1"/>
    </xf>
    <xf numFmtId="0" fontId="2" fillId="5" borderId="1" xfId="0" applyNumberFormat="1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  <xf numFmtId="0" fontId="2" fillId="2" borderId="4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8" fontId="2" fillId="2" borderId="1" xfId="0" applyNumberFormat="1" applyFont="1" applyFill="1" applyBorder="1" applyAlignment="1">
      <alignment horizontal="center" wrapText="1"/>
    </xf>
    <xf numFmtId="11" fontId="2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0" fillId="2" borderId="5" xfId="0" applyFill="1" applyBorder="1" applyAlignment="1">
      <alignment horizontal="center"/>
    </xf>
    <xf numFmtId="168" fontId="2" fillId="2" borderId="4" xfId="0" applyNumberFormat="1" applyFont="1" applyFill="1" applyBorder="1" applyAlignment="1">
      <alignment horizontal="center" wrapText="1"/>
    </xf>
    <xf numFmtId="11" fontId="0" fillId="2" borderId="3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2" fontId="10" fillId="5" borderId="1" xfId="0" applyNumberFormat="1" applyFont="1" applyFill="1" applyBorder="1" applyAlignment="1">
      <alignment horizontal="center"/>
    </xf>
    <xf numFmtId="1" fontId="10" fillId="2" borderId="3" xfId="0" applyNumberFormat="1" applyFont="1" applyFill="1" applyBorder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1" fontId="10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N77"/>
  <sheetViews>
    <sheetView tabSelected="1" zoomScaleNormal="100" workbookViewId="0">
      <selection activeCell="A2" sqref="A2"/>
    </sheetView>
  </sheetViews>
  <sheetFormatPr defaultColWidth="10.61328125" defaultRowHeight="15.6"/>
  <cols>
    <col min="1" max="1" width="38.3828125" style="13" customWidth="1"/>
    <col min="2" max="2" width="14" style="5" customWidth="1"/>
    <col min="3" max="3" width="11.61328125" style="5" customWidth="1"/>
    <col min="4" max="4" width="11.15234375" style="5" customWidth="1"/>
    <col min="5" max="6" width="10.61328125" style="5"/>
    <col min="7" max="7" width="14.3828125" style="5" customWidth="1"/>
    <col min="8" max="8" width="14.3828125" style="53" customWidth="1"/>
    <col min="9" max="10" width="14.3828125" style="5" customWidth="1"/>
    <col min="11" max="11" width="16" style="9" customWidth="1"/>
    <col min="12" max="25" width="10.61328125" style="5"/>
    <col min="26" max="26" width="13.765625" style="5" customWidth="1"/>
    <col min="27" max="28" width="10.4609375" style="5" customWidth="1"/>
    <col min="29" max="29" width="10.4609375" style="56" customWidth="1"/>
    <col min="30" max="30" width="40.23046875" style="40" customWidth="1"/>
    <col min="31" max="31" width="14" style="12" customWidth="1"/>
    <col min="32" max="32" width="13.4609375" style="40" customWidth="1"/>
    <col min="33" max="33" width="11.3828125" style="60" customWidth="1"/>
    <col min="34" max="34" width="12.3828125" style="60" customWidth="1"/>
    <col min="35" max="35" width="112.61328125" style="17" customWidth="1"/>
    <col min="36" max="38" width="10.61328125" style="5"/>
    <col min="39" max="40" width="10.61328125" style="63"/>
    <col min="41" max="16384" width="10.61328125" style="5"/>
  </cols>
  <sheetData>
    <row r="2" spans="1:40" s="4" customFormat="1" ht="17.399999999999999">
      <c r="A2" s="10"/>
      <c r="B2" s="3"/>
      <c r="C2" s="3"/>
      <c r="D2" s="3" t="s">
        <v>296</v>
      </c>
      <c r="E2" s="3"/>
      <c r="F2" s="3"/>
      <c r="G2" s="3"/>
      <c r="H2" s="52"/>
      <c r="K2" s="7"/>
      <c r="AC2" s="55"/>
      <c r="AD2" s="39"/>
      <c r="AE2" s="48"/>
      <c r="AF2" s="39"/>
      <c r="AG2" s="59"/>
      <c r="AH2" s="59"/>
      <c r="AI2" s="16"/>
      <c r="AM2" s="62"/>
      <c r="AN2" s="62"/>
    </row>
    <row r="3" spans="1:40" s="4" customFormat="1" ht="17.399999999999999">
      <c r="A3" s="11"/>
      <c r="B3" s="6"/>
      <c r="C3" s="6"/>
      <c r="D3" s="6"/>
      <c r="E3" s="6"/>
      <c r="F3" s="6"/>
      <c r="H3" s="52"/>
      <c r="K3" s="7"/>
      <c r="AC3" s="55"/>
      <c r="AD3" s="39"/>
      <c r="AE3" s="48"/>
      <c r="AF3" s="39"/>
      <c r="AG3" s="59"/>
      <c r="AH3" s="59"/>
      <c r="AI3" s="16"/>
      <c r="AM3" s="62"/>
      <c r="AN3" s="62"/>
    </row>
    <row r="4" spans="1:40">
      <c r="K4" s="8"/>
      <c r="L4" s="87" t="s">
        <v>314</v>
      </c>
      <c r="M4" s="87"/>
      <c r="N4" s="87"/>
      <c r="O4" s="87"/>
      <c r="P4" s="87"/>
      <c r="Q4" s="87"/>
      <c r="R4" s="88" t="s">
        <v>112</v>
      </c>
      <c r="S4" s="89"/>
      <c r="T4" s="89"/>
      <c r="U4" s="89"/>
      <c r="V4" s="89"/>
      <c r="W4" s="90"/>
      <c r="X4" s="83"/>
      <c r="Y4" s="83"/>
      <c r="Z4" s="83"/>
      <c r="AA4" s="83"/>
      <c r="AB4" s="83"/>
      <c r="AC4" s="85"/>
    </row>
    <row r="5" spans="1:40" s="81" customFormat="1" ht="100.05" customHeight="1">
      <c r="A5" s="65"/>
      <c r="B5" s="66" t="s">
        <v>275</v>
      </c>
      <c r="C5" s="66" t="s">
        <v>276</v>
      </c>
      <c r="D5" s="66" t="s">
        <v>295</v>
      </c>
      <c r="E5" s="66" t="s">
        <v>277</v>
      </c>
      <c r="F5" s="66" t="s">
        <v>278</v>
      </c>
      <c r="G5" s="66" t="s">
        <v>170</v>
      </c>
      <c r="H5" s="67" t="s">
        <v>221</v>
      </c>
      <c r="I5" s="66" t="s">
        <v>120</v>
      </c>
      <c r="J5" s="66" t="s">
        <v>297</v>
      </c>
      <c r="K5" s="68" t="s">
        <v>298</v>
      </c>
      <c r="L5" s="69" t="s">
        <v>121</v>
      </c>
      <c r="M5" s="70" t="s">
        <v>122</v>
      </c>
      <c r="N5" s="66" t="s">
        <v>184</v>
      </c>
      <c r="O5" s="71" t="s">
        <v>185</v>
      </c>
      <c r="P5" s="71" t="s">
        <v>186</v>
      </c>
      <c r="Q5" s="72" t="s">
        <v>187</v>
      </c>
      <c r="R5" s="73" t="s">
        <v>299</v>
      </c>
      <c r="S5" s="74" t="s">
        <v>122</v>
      </c>
      <c r="T5" s="75" t="s">
        <v>188</v>
      </c>
      <c r="U5" s="76" t="s">
        <v>185</v>
      </c>
      <c r="V5" s="76" t="s">
        <v>186</v>
      </c>
      <c r="W5" s="77" t="s">
        <v>187</v>
      </c>
      <c r="X5" s="78" t="s">
        <v>189</v>
      </c>
      <c r="Y5" s="75" t="s">
        <v>241</v>
      </c>
      <c r="Z5" s="84" t="s">
        <v>239</v>
      </c>
      <c r="AA5" s="79" t="s">
        <v>300</v>
      </c>
      <c r="AB5" s="79" t="s">
        <v>242</v>
      </c>
      <c r="AC5" s="80" t="s">
        <v>240</v>
      </c>
      <c r="AD5" s="78" t="s">
        <v>301</v>
      </c>
      <c r="AE5" s="78" t="s">
        <v>243</v>
      </c>
      <c r="AF5" s="78" t="s">
        <v>292</v>
      </c>
      <c r="AG5" s="79" t="s">
        <v>132</v>
      </c>
      <c r="AH5" s="79" t="s">
        <v>318</v>
      </c>
      <c r="AI5" s="86" t="s">
        <v>319</v>
      </c>
      <c r="AM5" s="82"/>
      <c r="AN5" s="82"/>
    </row>
    <row r="7" spans="1:40">
      <c r="A7" s="14" t="s">
        <v>26</v>
      </c>
      <c r="B7" s="13">
        <v>2450</v>
      </c>
      <c r="C7" s="13">
        <v>2350</v>
      </c>
      <c r="D7" s="13">
        <v>2300</v>
      </c>
      <c r="E7" s="13">
        <f t="shared" ref="E7:E38" si="0">B7-C7</f>
        <v>100</v>
      </c>
      <c r="F7" s="13">
        <f t="shared" ref="F7:F38" si="1">C7-D7</f>
        <v>50</v>
      </c>
      <c r="G7" s="13"/>
      <c r="H7" s="54">
        <v>50000</v>
      </c>
      <c r="I7" s="13">
        <v>40</v>
      </c>
      <c r="J7" s="54">
        <f>H7*I7</f>
        <v>2000000</v>
      </c>
      <c r="K7" s="43">
        <f>((H7*I7)/(E7*1000000))</f>
        <v>0.02</v>
      </c>
      <c r="L7" s="13">
        <v>0.7</v>
      </c>
      <c r="M7" s="13">
        <v>0.1</v>
      </c>
      <c r="N7" s="13">
        <v>0.2</v>
      </c>
      <c r="O7" s="13">
        <v>0</v>
      </c>
      <c r="P7" s="13">
        <v>0</v>
      </c>
      <c r="Q7" s="13">
        <v>0</v>
      </c>
      <c r="R7" s="13">
        <f t="shared" ref="R7:R38" si="2">L7*0.5</f>
        <v>0.35</v>
      </c>
      <c r="S7" s="13">
        <f t="shared" ref="S7:S38" si="3">M7*0.9</f>
        <v>9.0000000000000011E-2</v>
      </c>
      <c r="T7" s="13">
        <v>0</v>
      </c>
      <c r="U7" s="13">
        <v>0</v>
      </c>
      <c r="V7" s="13">
        <f t="shared" ref="V7:V38" si="4">P7*0.9</f>
        <v>0</v>
      </c>
      <c r="W7" s="13">
        <f t="shared" ref="W7:W38" si="5">Q7*0.9</f>
        <v>0</v>
      </c>
      <c r="X7" s="13">
        <f t="shared" ref="X7:X38" si="6">SUM(R7:W7)</f>
        <v>0.44</v>
      </c>
      <c r="Y7" s="54">
        <f>X7*J7</f>
        <v>880000</v>
      </c>
      <c r="Z7" s="43">
        <f t="shared" ref="Z7:Z38" si="7">K7*(X7)</f>
        <v>8.8000000000000005E-3</v>
      </c>
      <c r="AA7" s="43">
        <f t="shared" ref="AA7:AA38" si="8">1-X7</f>
        <v>0.56000000000000005</v>
      </c>
      <c r="AB7" s="43">
        <v>0.7</v>
      </c>
      <c r="AC7" s="57">
        <f>Y7*AB7</f>
        <v>616000</v>
      </c>
      <c r="AE7" s="58">
        <f>(E7/(E7+F7))*Y7</f>
        <v>586666.66666666663</v>
      </c>
      <c r="AF7" s="58">
        <f>(F7/(F7+E7))*Y7</f>
        <v>293333.33333333331</v>
      </c>
      <c r="AG7" s="61">
        <f>(E7/(E7+F7))*X7</f>
        <v>0.29333333333333333</v>
      </c>
      <c r="AH7" s="61">
        <f>(F7/(F7+E7))*X7</f>
        <v>0.14666666666666667</v>
      </c>
      <c r="AI7" s="17" t="s">
        <v>285</v>
      </c>
    </row>
    <row r="8" spans="1:40" ht="31.2">
      <c r="A8" s="14" t="s">
        <v>235</v>
      </c>
      <c r="B8" s="13">
        <v>2350</v>
      </c>
      <c r="C8" s="13">
        <v>2100</v>
      </c>
      <c r="D8" s="13">
        <v>2000</v>
      </c>
      <c r="E8" s="13">
        <f t="shared" si="0"/>
        <v>250</v>
      </c>
      <c r="F8" s="13">
        <f t="shared" si="1"/>
        <v>100</v>
      </c>
      <c r="G8" s="13"/>
      <c r="H8" s="54">
        <v>110000</v>
      </c>
      <c r="I8" s="13">
        <v>40</v>
      </c>
      <c r="J8" s="54">
        <f t="shared" ref="J8:J56" si="9">H8*I8</f>
        <v>4400000</v>
      </c>
      <c r="K8" s="43">
        <f t="shared" ref="K8:K46" si="10">((H8*I8)/(E8*1000000))</f>
        <v>1.7600000000000001E-2</v>
      </c>
      <c r="L8" s="13">
        <v>0.8</v>
      </c>
      <c r="M8" s="13">
        <v>0</v>
      </c>
      <c r="N8" s="13">
        <v>0.2</v>
      </c>
      <c r="O8" s="13">
        <v>0</v>
      </c>
      <c r="P8" s="13">
        <v>0</v>
      </c>
      <c r="Q8" s="13">
        <v>0</v>
      </c>
      <c r="R8" s="13">
        <f t="shared" si="2"/>
        <v>0.4</v>
      </c>
      <c r="S8" s="13">
        <f t="shared" si="3"/>
        <v>0</v>
      </c>
      <c r="T8" s="13">
        <v>0</v>
      </c>
      <c r="U8" s="13">
        <v>0</v>
      </c>
      <c r="V8" s="13">
        <f t="shared" si="4"/>
        <v>0</v>
      </c>
      <c r="W8" s="13">
        <f t="shared" si="5"/>
        <v>0</v>
      </c>
      <c r="X8" s="13">
        <f t="shared" si="6"/>
        <v>0.4</v>
      </c>
      <c r="Y8" s="54">
        <f t="shared" ref="Y8:Y56" si="11">X8*J8</f>
        <v>1760000</v>
      </c>
      <c r="Z8" s="43">
        <f t="shared" si="7"/>
        <v>7.0400000000000011E-3</v>
      </c>
      <c r="AA8" s="43">
        <f t="shared" si="8"/>
        <v>0.6</v>
      </c>
      <c r="AB8" s="43">
        <v>0.9</v>
      </c>
      <c r="AC8" s="57">
        <f>Y8*AB8</f>
        <v>1584000</v>
      </c>
      <c r="AD8" s="40" t="s">
        <v>267</v>
      </c>
      <c r="AE8" s="58">
        <f t="shared" ref="AE8:AE56" si="12">(E8/(E8+F8))*Y8</f>
        <v>1257142.8571428573</v>
      </c>
      <c r="AF8" s="58">
        <f t="shared" ref="AF8:AF56" si="13">(F8/(F8+E8))*Y8</f>
        <v>502857.14285714284</v>
      </c>
      <c r="AG8" s="61">
        <f t="shared" ref="AG8:AG56" si="14">(E8/(E8+F8))*X8</f>
        <v>0.28571428571428575</v>
      </c>
      <c r="AH8" s="61">
        <f t="shared" ref="AH8:AH56" si="15">(F8/(F8+E8))*X8</f>
        <v>0.11428571428571428</v>
      </c>
      <c r="AI8" t="s">
        <v>180</v>
      </c>
    </row>
    <row r="9" spans="1:40">
      <c r="A9" s="14" t="s">
        <v>288</v>
      </c>
      <c r="B9" s="13">
        <v>2335</v>
      </c>
      <c r="C9" s="13">
        <v>2100</v>
      </c>
      <c r="D9" s="13">
        <v>2000</v>
      </c>
      <c r="E9" s="13">
        <f t="shared" si="0"/>
        <v>235</v>
      </c>
      <c r="F9" s="13">
        <f t="shared" si="1"/>
        <v>100</v>
      </c>
      <c r="G9" s="13" t="s">
        <v>181</v>
      </c>
      <c r="H9" s="54">
        <v>129900</v>
      </c>
      <c r="I9" s="13">
        <v>40</v>
      </c>
      <c r="J9" s="54">
        <f t="shared" si="9"/>
        <v>5196000</v>
      </c>
      <c r="K9" s="43">
        <f t="shared" si="10"/>
        <v>2.211063829787234E-2</v>
      </c>
      <c r="L9" s="13">
        <v>0.8</v>
      </c>
      <c r="M9" s="13">
        <v>0</v>
      </c>
      <c r="N9" s="13">
        <v>0.2</v>
      </c>
      <c r="O9" s="13">
        <v>0</v>
      </c>
      <c r="P9" s="13">
        <v>0</v>
      </c>
      <c r="Q9" s="13">
        <v>0</v>
      </c>
      <c r="R9" s="13">
        <f t="shared" si="2"/>
        <v>0.4</v>
      </c>
      <c r="S9" s="13">
        <f t="shared" si="3"/>
        <v>0</v>
      </c>
      <c r="T9" s="13">
        <v>0</v>
      </c>
      <c r="U9" s="13">
        <v>0</v>
      </c>
      <c r="V9" s="13">
        <f t="shared" si="4"/>
        <v>0</v>
      </c>
      <c r="W9" s="13">
        <f t="shared" si="5"/>
        <v>0</v>
      </c>
      <c r="X9" s="13">
        <f t="shared" si="6"/>
        <v>0.4</v>
      </c>
      <c r="Y9" s="54">
        <f t="shared" si="11"/>
        <v>2078400</v>
      </c>
      <c r="Z9" s="43">
        <f t="shared" si="7"/>
        <v>8.844255319148937E-3</v>
      </c>
      <c r="AA9" s="43">
        <f t="shared" si="8"/>
        <v>0.6</v>
      </c>
      <c r="AB9" s="43">
        <v>0.9</v>
      </c>
      <c r="AC9" s="57">
        <f>Y9*AB9</f>
        <v>1870560</v>
      </c>
      <c r="AD9" s="40" t="s">
        <v>116</v>
      </c>
      <c r="AE9" s="58">
        <f t="shared" si="12"/>
        <v>1457982.0895522388</v>
      </c>
      <c r="AF9" s="58">
        <f t="shared" si="13"/>
        <v>620417.91044776118</v>
      </c>
      <c r="AG9" s="61">
        <f t="shared" si="14"/>
        <v>0.28059701492537314</v>
      </c>
      <c r="AH9" s="61">
        <f t="shared" si="15"/>
        <v>0.11940298507462686</v>
      </c>
      <c r="AI9" t="s">
        <v>180</v>
      </c>
    </row>
    <row r="10" spans="1:40">
      <c r="A10" s="15" t="s">
        <v>140</v>
      </c>
      <c r="B10" s="13">
        <v>2200</v>
      </c>
      <c r="C10" s="13">
        <v>2100</v>
      </c>
      <c r="D10" s="13">
        <v>2050</v>
      </c>
      <c r="E10" s="13">
        <f t="shared" si="0"/>
        <v>100</v>
      </c>
      <c r="F10" s="13">
        <f t="shared" si="1"/>
        <v>50</v>
      </c>
      <c r="G10" s="13" t="s">
        <v>142</v>
      </c>
      <c r="H10" s="54">
        <v>1000000</v>
      </c>
      <c r="I10" s="13">
        <v>40</v>
      </c>
      <c r="J10" s="54">
        <f t="shared" si="9"/>
        <v>40000000</v>
      </c>
      <c r="K10" s="44">
        <f t="shared" si="10"/>
        <v>0.4</v>
      </c>
      <c r="L10" s="13">
        <v>0.55000000000000004</v>
      </c>
      <c r="M10" s="13">
        <v>0.1</v>
      </c>
      <c r="N10" s="13">
        <v>0.15</v>
      </c>
      <c r="O10" s="13">
        <v>0</v>
      </c>
      <c r="P10" s="13">
        <v>0.1</v>
      </c>
      <c r="Q10" s="13">
        <v>0.1</v>
      </c>
      <c r="R10" s="13">
        <f t="shared" si="2"/>
        <v>0.27500000000000002</v>
      </c>
      <c r="S10" s="13">
        <f t="shared" si="3"/>
        <v>9.0000000000000011E-2</v>
      </c>
      <c r="T10" s="13">
        <v>0</v>
      </c>
      <c r="U10" s="13">
        <v>0</v>
      </c>
      <c r="V10" s="13">
        <f t="shared" si="4"/>
        <v>9.0000000000000011E-2</v>
      </c>
      <c r="W10" s="13">
        <f t="shared" si="5"/>
        <v>9.0000000000000011E-2</v>
      </c>
      <c r="X10" s="13">
        <f t="shared" si="6"/>
        <v>0.54500000000000004</v>
      </c>
      <c r="Y10" s="54">
        <f t="shared" si="11"/>
        <v>21800000</v>
      </c>
      <c r="Z10" s="43">
        <f t="shared" si="7"/>
        <v>0.21800000000000003</v>
      </c>
      <c r="AA10" s="43">
        <f t="shared" si="8"/>
        <v>0.45499999999999996</v>
      </c>
      <c r="AB10" s="43">
        <v>1</v>
      </c>
      <c r="AC10" s="57">
        <f t="shared" ref="AC10:AC56" si="16">Y10*AB10</f>
        <v>21800000</v>
      </c>
      <c r="AE10" s="58">
        <f t="shared" si="12"/>
        <v>14533333.333333332</v>
      </c>
      <c r="AF10" s="58">
        <f t="shared" si="13"/>
        <v>7266666.666666666</v>
      </c>
      <c r="AG10" s="61">
        <f t="shared" si="14"/>
        <v>0.36333333333333334</v>
      </c>
      <c r="AH10" s="61">
        <f t="shared" si="15"/>
        <v>0.18166666666666667</v>
      </c>
      <c r="AI10" s="17" t="s">
        <v>135</v>
      </c>
    </row>
    <row r="11" spans="1:40">
      <c r="A11" s="15" t="s">
        <v>216</v>
      </c>
      <c r="B11" s="13">
        <v>2080</v>
      </c>
      <c r="C11" s="13">
        <v>2060</v>
      </c>
      <c r="D11" s="13">
        <v>1940</v>
      </c>
      <c r="E11" s="13">
        <f t="shared" si="0"/>
        <v>20</v>
      </c>
      <c r="F11" s="13">
        <f t="shared" si="1"/>
        <v>120</v>
      </c>
      <c r="G11" s="13" t="s">
        <v>217</v>
      </c>
      <c r="H11" s="54">
        <v>200000</v>
      </c>
      <c r="I11" s="13">
        <v>40</v>
      </c>
      <c r="J11" s="54">
        <f t="shared" si="9"/>
        <v>8000000</v>
      </c>
      <c r="K11" s="44">
        <f t="shared" si="10"/>
        <v>0.4</v>
      </c>
      <c r="L11" s="13">
        <v>0.1</v>
      </c>
      <c r="M11" s="13">
        <v>0</v>
      </c>
      <c r="N11" s="13">
        <v>0.8</v>
      </c>
      <c r="O11" s="13">
        <v>0</v>
      </c>
      <c r="P11" s="13">
        <v>0</v>
      </c>
      <c r="Q11" s="13">
        <v>0</v>
      </c>
      <c r="R11" s="13">
        <f t="shared" si="2"/>
        <v>0.05</v>
      </c>
      <c r="S11" s="13">
        <f t="shared" si="3"/>
        <v>0</v>
      </c>
      <c r="T11" s="13">
        <v>0</v>
      </c>
      <c r="U11" s="13">
        <v>0</v>
      </c>
      <c r="V11" s="13">
        <f t="shared" si="4"/>
        <v>0</v>
      </c>
      <c r="W11" s="13">
        <f t="shared" si="5"/>
        <v>0</v>
      </c>
      <c r="X11" s="13">
        <f t="shared" si="6"/>
        <v>0.05</v>
      </c>
      <c r="Y11" s="54">
        <f t="shared" si="11"/>
        <v>400000</v>
      </c>
      <c r="Z11" s="43">
        <f t="shared" si="7"/>
        <v>2.0000000000000004E-2</v>
      </c>
      <c r="AA11" s="43">
        <f t="shared" si="8"/>
        <v>0.95</v>
      </c>
      <c r="AB11" s="43">
        <v>1</v>
      </c>
      <c r="AC11" s="57">
        <f t="shared" si="16"/>
        <v>400000</v>
      </c>
      <c r="AE11" s="58">
        <f t="shared" si="12"/>
        <v>57142.857142857138</v>
      </c>
      <c r="AF11" s="58">
        <f t="shared" si="13"/>
        <v>342857.14285714284</v>
      </c>
      <c r="AG11" s="61">
        <f t="shared" si="14"/>
        <v>7.1428571428571426E-3</v>
      </c>
      <c r="AH11" s="61">
        <f t="shared" si="15"/>
        <v>4.2857142857142858E-2</v>
      </c>
      <c r="AI11" t="s">
        <v>136</v>
      </c>
    </row>
    <row r="12" spans="1:40">
      <c r="A12" s="15" t="s">
        <v>124</v>
      </c>
      <c r="B12" s="13">
        <v>2100</v>
      </c>
      <c r="C12" s="13">
        <v>2050</v>
      </c>
      <c r="D12" s="13">
        <v>2000</v>
      </c>
      <c r="E12" s="13">
        <f t="shared" si="0"/>
        <v>50</v>
      </c>
      <c r="F12" s="13">
        <f t="shared" si="1"/>
        <v>50</v>
      </c>
      <c r="G12" s="13"/>
      <c r="H12" s="54">
        <v>300000</v>
      </c>
      <c r="I12" s="13">
        <v>35</v>
      </c>
      <c r="J12" s="54">
        <f t="shared" si="9"/>
        <v>10500000</v>
      </c>
      <c r="K12" s="44">
        <f t="shared" si="10"/>
        <v>0.21</v>
      </c>
      <c r="L12" s="13">
        <v>0.8</v>
      </c>
      <c r="M12" s="13">
        <v>0</v>
      </c>
      <c r="N12" s="13">
        <v>0.2</v>
      </c>
      <c r="O12" s="13">
        <v>0</v>
      </c>
      <c r="P12" s="13">
        <v>0</v>
      </c>
      <c r="Q12" s="13">
        <v>0</v>
      </c>
      <c r="R12" s="13">
        <f t="shared" si="2"/>
        <v>0.4</v>
      </c>
      <c r="S12" s="13">
        <f t="shared" si="3"/>
        <v>0</v>
      </c>
      <c r="T12" s="13">
        <v>0</v>
      </c>
      <c r="U12" s="13">
        <v>0</v>
      </c>
      <c r="V12" s="13">
        <f t="shared" si="4"/>
        <v>0</v>
      </c>
      <c r="W12" s="13">
        <f t="shared" si="5"/>
        <v>0</v>
      </c>
      <c r="X12" s="13">
        <f t="shared" si="6"/>
        <v>0.4</v>
      </c>
      <c r="Y12" s="54">
        <f t="shared" si="11"/>
        <v>4200000</v>
      </c>
      <c r="Z12" s="43">
        <f t="shared" si="7"/>
        <v>8.4000000000000005E-2</v>
      </c>
      <c r="AA12" s="43">
        <f t="shared" si="8"/>
        <v>0.6</v>
      </c>
      <c r="AB12" s="43">
        <v>0.6</v>
      </c>
      <c r="AC12" s="57">
        <f t="shared" si="16"/>
        <v>2520000</v>
      </c>
      <c r="AE12" s="58">
        <f t="shared" si="12"/>
        <v>2100000</v>
      </c>
      <c r="AF12" s="58">
        <f t="shared" si="13"/>
        <v>2100000</v>
      </c>
      <c r="AG12" s="61">
        <f t="shared" si="14"/>
        <v>0.2</v>
      </c>
      <c r="AH12" s="61">
        <f t="shared" si="15"/>
        <v>0.2</v>
      </c>
      <c r="AI12" s="17" t="s">
        <v>49</v>
      </c>
    </row>
    <row r="13" spans="1:40">
      <c r="A13" s="15" t="s">
        <v>125</v>
      </c>
      <c r="B13" s="13">
        <v>2100</v>
      </c>
      <c r="C13" s="13">
        <v>2050</v>
      </c>
      <c r="D13" s="13">
        <v>1990</v>
      </c>
      <c r="E13" s="13">
        <f t="shared" si="0"/>
        <v>50</v>
      </c>
      <c r="F13" s="13">
        <f t="shared" si="1"/>
        <v>60</v>
      </c>
      <c r="G13" s="13" t="s">
        <v>139</v>
      </c>
      <c r="H13" s="54">
        <v>925000</v>
      </c>
      <c r="I13" s="13">
        <v>40</v>
      </c>
      <c r="J13" s="54">
        <f t="shared" si="9"/>
        <v>37000000</v>
      </c>
      <c r="K13" s="44">
        <f t="shared" si="10"/>
        <v>0.74</v>
      </c>
      <c r="L13" s="13">
        <v>0.3</v>
      </c>
      <c r="M13" s="13">
        <v>0</v>
      </c>
      <c r="N13" s="13">
        <v>0.4</v>
      </c>
      <c r="O13" s="13">
        <v>0.3</v>
      </c>
      <c r="P13" s="13">
        <v>0</v>
      </c>
      <c r="Q13" s="13">
        <v>0</v>
      </c>
      <c r="R13" s="13">
        <f t="shared" si="2"/>
        <v>0.15</v>
      </c>
      <c r="S13" s="13">
        <f t="shared" si="3"/>
        <v>0</v>
      </c>
      <c r="T13" s="13">
        <v>0</v>
      </c>
      <c r="U13" s="13">
        <v>0</v>
      </c>
      <c r="V13" s="13">
        <f t="shared" si="4"/>
        <v>0</v>
      </c>
      <c r="W13" s="13">
        <f t="shared" si="5"/>
        <v>0</v>
      </c>
      <c r="X13" s="13">
        <f t="shared" si="6"/>
        <v>0.15</v>
      </c>
      <c r="Y13" s="54">
        <f t="shared" si="11"/>
        <v>5550000</v>
      </c>
      <c r="Z13" s="43">
        <f t="shared" si="7"/>
        <v>0.111</v>
      </c>
      <c r="AA13" s="43">
        <f t="shared" si="8"/>
        <v>0.85</v>
      </c>
      <c r="AB13" s="43">
        <v>0.9</v>
      </c>
      <c r="AC13" s="57">
        <f t="shared" si="16"/>
        <v>4995000</v>
      </c>
      <c r="AE13" s="58">
        <f t="shared" si="12"/>
        <v>2522727.2727272725</v>
      </c>
      <c r="AF13" s="58">
        <f t="shared" si="13"/>
        <v>3027272.7272727271</v>
      </c>
      <c r="AG13" s="61">
        <f t="shared" si="14"/>
        <v>6.8181818181818177E-2</v>
      </c>
      <c r="AH13" s="61">
        <f t="shared" si="15"/>
        <v>8.1818181818181804E-2</v>
      </c>
      <c r="AI13" t="s">
        <v>61</v>
      </c>
    </row>
    <row r="14" spans="1:40">
      <c r="A14" s="14" t="s">
        <v>260</v>
      </c>
      <c r="B14" s="13">
        <v>2200</v>
      </c>
      <c r="C14" s="13">
        <v>2040</v>
      </c>
      <c r="D14" s="13">
        <v>1960</v>
      </c>
      <c r="E14" s="13">
        <f t="shared" si="0"/>
        <v>160</v>
      </c>
      <c r="F14" s="13">
        <f t="shared" si="1"/>
        <v>80</v>
      </c>
      <c r="G14" s="13" t="s">
        <v>262</v>
      </c>
      <c r="H14" s="54">
        <v>409530</v>
      </c>
      <c r="I14" s="13">
        <v>40</v>
      </c>
      <c r="J14" s="54">
        <f t="shared" si="9"/>
        <v>16381200</v>
      </c>
      <c r="K14" s="43">
        <f t="shared" si="10"/>
        <v>0.1023825</v>
      </c>
      <c r="L14" s="13">
        <v>0.75</v>
      </c>
      <c r="M14" s="13">
        <v>0</v>
      </c>
      <c r="N14" s="13">
        <v>0.25</v>
      </c>
      <c r="O14" s="13">
        <v>0</v>
      </c>
      <c r="P14" s="13">
        <v>0</v>
      </c>
      <c r="Q14" s="13">
        <v>0</v>
      </c>
      <c r="R14" s="13">
        <f t="shared" si="2"/>
        <v>0.375</v>
      </c>
      <c r="S14" s="13">
        <f t="shared" si="3"/>
        <v>0</v>
      </c>
      <c r="T14" s="13">
        <v>0</v>
      </c>
      <c r="U14" s="13">
        <v>0</v>
      </c>
      <c r="V14" s="13">
        <f t="shared" si="4"/>
        <v>0</v>
      </c>
      <c r="W14" s="13">
        <f t="shared" si="5"/>
        <v>0</v>
      </c>
      <c r="X14" s="13">
        <f t="shared" si="6"/>
        <v>0.375</v>
      </c>
      <c r="Y14" s="54">
        <f t="shared" si="11"/>
        <v>6142950</v>
      </c>
      <c r="Z14" s="43">
        <f t="shared" si="7"/>
        <v>3.8393437500000002E-2</v>
      </c>
      <c r="AA14" s="43">
        <f t="shared" si="8"/>
        <v>0.625</v>
      </c>
      <c r="AB14" s="43">
        <v>0.85</v>
      </c>
      <c r="AC14" s="57">
        <f t="shared" si="16"/>
        <v>5221507.5</v>
      </c>
      <c r="AD14" s="40" t="s">
        <v>261</v>
      </c>
      <c r="AE14" s="58">
        <f t="shared" si="12"/>
        <v>4095300</v>
      </c>
      <c r="AF14" s="58">
        <f t="shared" si="13"/>
        <v>2047650</v>
      </c>
      <c r="AG14" s="61">
        <f t="shared" si="14"/>
        <v>0.25</v>
      </c>
      <c r="AH14" s="61">
        <f t="shared" si="15"/>
        <v>0.125</v>
      </c>
      <c r="AI14" s="17" t="s">
        <v>133</v>
      </c>
    </row>
    <row r="15" spans="1:40">
      <c r="A15" s="14" t="s">
        <v>357</v>
      </c>
      <c r="B15" s="13">
        <v>2050</v>
      </c>
      <c r="C15" s="13">
        <v>1980</v>
      </c>
      <c r="D15" s="13">
        <v>1930</v>
      </c>
      <c r="E15" s="13">
        <f t="shared" si="0"/>
        <v>70</v>
      </c>
      <c r="F15" s="13">
        <f t="shared" si="1"/>
        <v>50</v>
      </c>
      <c r="G15" s="13" t="s">
        <v>280</v>
      </c>
      <c r="H15" s="54">
        <v>2050</v>
      </c>
      <c r="I15" s="13">
        <v>40</v>
      </c>
      <c r="J15" s="54">
        <f t="shared" si="9"/>
        <v>82000</v>
      </c>
      <c r="K15" s="43">
        <f t="shared" si="10"/>
        <v>1.1714285714285715E-3</v>
      </c>
      <c r="L15" s="13">
        <v>0.15</v>
      </c>
      <c r="M15" s="13">
        <v>0</v>
      </c>
      <c r="N15" s="13">
        <v>0.8</v>
      </c>
      <c r="O15" s="13">
        <v>0</v>
      </c>
      <c r="P15" s="13">
        <v>0</v>
      </c>
      <c r="Q15" s="13">
        <v>0.05</v>
      </c>
      <c r="R15" s="13">
        <f t="shared" si="2"/>
        <v>7.4999999999999997E-2</v>
      </c>
      <c r="S15" s="13">
        <f t="shared" si="3"/>
        <v>0</v>
      </c>
      <c r="T15" s="13">
        <v>0</v>
      </c>
      <c r="U15" s="13">
        <v>0</v>
      </c>
      <c r="V15" s="13">
        <f t="shared" si="4"/>
        <v>0</v>
      </c>
      <c r="W15" s="13">
        <f t="shared" si="5"/>
        <v>4.5000000000000005E-2</v>
      </c>
      <c r="X15" s="13">
        <f t="shared" si="6"/>
        <v>0.12</v>
      </c>
      <c r="Y15" s="54">
        <f t="shared" si="11"/>
        <v>9840</v>
      </c>
      <c r="Z15" s="43">
        <f t="shared" si="7"/>
        <v>1.4057142857142857E-4</v>
      </c>
      <c r="AA15" s="43">
        <f t="shared" si="8"/>
        <v>0.88</v>
      </c>
      <c r="AB15" s="43">
        <v>1</v>
      </c>
      <c r="AC15" s="57">
        <f t="shared" si="16"/>
        <v>9840</v>
      </c>
      <c r="AD15" s="40" t="s">
        <v>154</v>
      </c>
      <c r="AE15" s="58">
        <f t="shared" si="12"/>
        <v>5740</v>
      </c>
      <c r="AF15" s="58">
        <f t="shared" si="13"/>
        <v>4100</v>
      </c>
      <c r="AG15" s="61">
        <f t="shared" si="14"/>
        <v>7.0000000000000007E-2</v>
      </c>
      <c r="AH15" s="61">
        <f t="shared" si="15"/>
        <v>0.05</v>
      </c>
      <c r="AI15" s="17" t="s">
        <v>268</v>
      </c>
    </row>
    <row r="16" spans="1:40">
      <c r="A16" s="14" t="s">
        <v>349</v>
      </c>
      <c r="B16" s="13">
        <v>2100</v>
      </c>
      <c r="C16" s="13">
        <v>1970</v>
      </c>
      <c r="D16" s="13">
        <v>1930</v>
      </c>
      <c r="E16" s="13">
        <f t="shared" si="0"/>
        <v>130</v>
      </c>
      <c r="F16" s="13">
        <f t="shared" si="1"/>
        <v>40</v>
      </c>
      <c r="G16" s="13" t="s">
        <v>282</v>
      </c>
      <c r="H16" s="54">
        <v>240000</v>
      </c>
      <c r="I16" s="13">
        <v>40</v>
      </c>
      <c r="J16" s="54">
        <f t="shared" si="9"/>
        <v>9600000</v>
      </c>
      <c r="K16" s="43">
        <f t="shared" si="10"/>
        <v>7.3846153846153853E-2</v>
      </c>
      <c r="L16" s="47">
        <v>0.8</v>
      </c>
      <c r="M16" s="47">
        <v>0</v>
      </c>
      <c r="N16" s="47">
        <v>0.2</v>
      </c>
      <c r="O16" s="47">
        <v>0</v>
      </c>
      <c r="P16" s="47">
        <v>0</v>
      </c>
      <c r="Q16" s="47">
        <v>0</v>
      </c>
      <c r="R16" s="13">
        <f t="shared" si="2"/>
        <v>0.4</v>
      </c>
      <c r="S16" s="13">
        <f t="shared" si="3"/>
        <v>0</v>
      </c>
      <c r="T16" s="13">
        <v>0</v>
      </c>
      <c r="U16" s="13">
        <v>0</v>
      </c>
      <c r="V16" s="13">
        <f t="shared" si="4"/>
        <v>0</v>
      </c>
      <c r="W16" s="13">
        <f t="shared" si="5"/>
        <v>0</v>
      </c>
      <c r="X16" s="13">
        <f t="shared" si="6"/>
        <v>0.4</v>
      </c>
      <c r="Y16" s="54">
        <f t="shared" si="11"/>
        <v>3840000</v>
      </c>
      <c r="Z16" s="43">
        <f t="shared" si="7"/>
        <v>2.9538461538461541E-2</v>
      </c>
      <c r="AA16" s="43">
        <f t="shared" si="8"/>
        <v>0.6</v>
      </c>
      <c r="AB16" s="43">
        <v>0.95</v>
      </c>
      <c r="AC16" s="57">
        <f t="shared" si="16"/>
        <v>3648000</v>
      </c>
      <c r="AE16" s="58">
        <f t="shared" si="12"/>
        <v>2936470.588235294</v>
      </c>
      <c r="AF16" s="58">
        <f t="shared" si="13"/>
        <v>903529.4117647059</v>
      </c>
      <c r="AG16" s="61">
        <f t="shared" si="14"/>
        <v>0.30588235294117649</v>
      </c>
      <c r="AH16" s="61">
        <f t="shared" si="15"/>
        <v>9.4117647058823528E-2</v>
      </c>
      <c r="AI16" s="17" t="s">
        <v>134</v>
      </c>
    </row>
    <row r="17" spans="1:35">
      <c r="A17" s="15" t="s">
        <v>197</v>
      </c>
      <c r="B17" s="13">
        <v>2100</v>
      </c>
      <c r="C17" s="13">
        <v>1965</v>
      </c>
      <c r="D17" s="13">
        <v>1940</v>
      </c>
      <c r="E17" s="13">
        <f t="shared" si="0"/>
        <v>135</v>
      </c>
      <c r="F17" s="13">
        <f t="shared" si="1"/>
        <v>25</v>
      </c>
      <c r="G17" s="13" t="s">
        <v>199</v>
      </c>
      <c r="H17" s="54">
        <v>400000</v>
      </c>
      <c r="I17" s="13">
        <v>40</v>
      </c>
      <c r="J17" s="54">
        <f t="shared" si="9"/>
        <v>16000000</v>
      </c>
      <c r="K17" s="44">
        <f t="shared" si="10"/>
        <v>0.11851851851851852</v>
      </c>
      <c r="L17" s="13">
        <v>0.7</v>
      </c>
      <c r="M17" s="13">
        <v>0</v>
      </c>
      <c r="N17" s="13">
        <v>0.3</v>
      </c>
      <c r="O17" s="13">
        <v>0</v>
      </c>
      <c r="P17" s="13">
        <v>0</v>
      </c>
      <c r="Q17" s="13">
        <v>0</v>
      </c>
      <c r="R17" s="13">
        <f t="shared" si="2"/>
        <v>0.35</v>
      </c>
      <c r="S17" s="13">
        <f t="shared" si="3"/>
        <v>0</v>
      </c>
      <c r="T17" s="13">
        <v>0</v>
      </c>
      <c r="U17" s="13">
        <v>0</v>
      </c>
      <c r="V17" s="13">
        <f t="shared" si="4"/>
        <v>0</v>
      </c>
      <c r="W17" s="13">
        <f t="shared" si="5"/>
        <v>0</v>
      </c>
      <c r="X17" s="13">
        <f t="shared" si="6"/>
        <v>0.35</v>
      </c>
      <c r="Y17" s="54">
        <f t="shared" si="11"/>
        <v>5600000</v>
      </c>
      <c r="Z17" s="43">
        <f t="shared" si="7"/>
        <v>4.148148148148148E-2</v>
      </c>
      <c r="AA17" s="43">
        <f t="shared" si="8"/>
        <v>0.65</v>
      </c>
      <c r="AB17" s="43">
        <v>0.85</v>
      </c>
      <c r="AC17" s="57">
        <f t="shared" si="16"/>
        <v>4760000</v>
      </c>
      <c r="AE17" s="58">
        <f t="shared" si="12"/>
        <v>4725000</v>
      </c>
      <c r="AF17" s="58">
        <f t="shared" si="13"/>
        <v>875000</v>
      </c>
      <c r="AG17" s="61">
        <f t="shared" si="14"/>
        <v>0.29531249999999998</v>
      </c>
      <c r="AH17" s="61">
        <f t="shared" si="15"/>
        <v>5.46875E-2</v>
      </c>
      <c r="AI17" t="s">
        <v>200</v>
      </c>
    </row>
    <row r="18" spans="1:35">
      <c r="A18" s="14" t="s">
        <v>281</v>
      </c>
      <c r="B18" s="13">
        <v>2050</v>
      </c>
      <c r="C18" s="13">
        <v>1960</v>
      </c>
      <c r="D18" s="13">
        <v>1910</v>
      </c>
      <c r="E18" s="13">
        <f t="shared" si="0"/>
        <v>90</v>
      </c>
      <c r="F18" s="13">
        <f t="shared" si="1"/>
        <v>50</v>
      </c>
      <c r="G18" s="13" t="s">
        <v>283</v>
      </c>
      <c r="H18" s="54">
        <v>110000</v>
      </c>
      <c r="I18" s="13">
        <v>40</v>
      </c>
      <c r="J18" s="54">
        <f t="shared" si="9"/>
        <v>4400000</v>
      </c>
      <c r="K18" s="43">
        <f t="shared" si="10"/>
        <v>4.8888888888888891E-2</v>
      </c>
      <c r="L18" s="13">
        <v>0.5</v>
      </c>
      <c r="M18" s="13">
        <v>0</v>
      </c>
      <c r="N18" s="13">
        <v>0.5</v>
      </c>
      <c r="O18" s="13">
        <v>0</v>
      </c>
      <c r="P18" s="13">
        <v>0</v>
      </c>
      <c r="Q18" s="13">
        <v>0</v>
      </c>
      <c r="R18" s="13">
        <f t="shared" si="2"/>
        <v>0.25</v>
      </c>
      <c r="S18" s="13">
        <f t="shared" si="3"/>
        <v>0</v>
      </c>
      <c r="T18" s="13">
        <v>0</v>
      </c>
      <c r="U18" s="13">
        <v>0</v>
      </c>
      <c r="V18" s="13">
        <f t="shared" si="4"/>
        <v>0</v>
      </c>
      <c r="W18" s="13">
        <f t="shared" si="5"/>
        <v>0</v>
      </c>
      <c r="X18" s="13">
        <f t="shared" si="6"/>
        <v>0.25</v>
      </c>
      <c r="Y18" s="54">
        <f t="shared" si="11"/>
        <v>1100000</v>
      </c>
      <c r="Z18" s="43">
        <f t="shared" si="7"/>
        <v>1.2222222222222223E-2</v>
      </c>
      <c r="AA18" s="43">
        <f t="shared" si="8"/>
        <v>0.75</v>
      </c>
      <c r="AB18" s="43">
        <v>0.95</v>
      </c>
      <c r="AC18" s="57">
        <f t="shared" si="16"/>
        <v>1045000</v>
      </c>
      <c r="AE18" s="58">
        <f t="shared" si="12"/>
        <v>707142.85714285716</v>
      </c>
      <c r="AF18" s="58">
        <f t="shared" si="13"/>
        <v>392857.14285714284</v>
      </c>
      <c r="AG18" s="61">
        <f t="shared" si="14"/>
        <v>0.16071428571428573</v>
      </c>
      <c r="AH18" s="61">
        <f t="shared" si="15"/>
        <v>8.9285714285714288E-2</v>
      </c>
      <c r="AI18" t="s">
        <v>253</v>
      </c>
    </row>
    <row r="19" spans="1:35">
      <c r="A19" s="14" t="s">
        <v>50</v>
      </c>
      <c r="B19" s="13">
        <v>2000</v>
      </c>
      <c r="C19" s="13">
        <v>1920</v>
      </c>
      <c r="D19" s="13">
        <v>1870</v>
      </c>
      <c r="E19" s="13">
        <f t="shared" si="0"/>
        <v>80</v>
      </c>
      <c r="F19" s="13">
        <f t="shared" si="1"/>
        <v>50</v>
      </c>
      <c r="G19" s="13" t="s">
        <v>51</v>
      </c>
      <c r="H19" s="54">
        <v>472500</v>
      </c>
      <c r="I19" s="13">
        <v>40</v>
      </c>
      <c r="J19" s="54">
        <f t="shared" si="9"/>
        <v>18900000</v>
      </c>
      <c r="K19" s="44">
        <f t="shared" si="10"/>
        <v>0.23624999999999999</v>
      </c>
      <c r="L19" s="13">
        <v>0.5</v>
      </c>
      <c r="M19" s="13">
        <v>0.2</v>
      </c>
      <c r="N19" s="13">
        <v>0.3</v>
      </c>
      <c r="O19" s="13">
        <v>0</v>
      </c>
      <c r="P19" s="13">
        <v>0</v>
      </c>
      <c r="Q19" s="13">
        <v>0</v>
      </c>
      <c r="R19" s="13">
        <f t="shared" si="2"/>
        <v>0.25</v>
      </c>
      <c r="S19" s="13">
        <f t="shared" si="3"/>
        <v>0.18000000000000002</v>
      </c>
      <c r="T19" s="13">
        <v>0</v>
      </c>
      <c r="U19" s="13">
        <v>0</v>
      </c>
      <c r="V19" s="13">
        <f t="shared" si="4"/>
        <v>0</v>
      </c>
      <c r="W19" s="13">
        <f t="shared" si="5"/>
        <v>0</v>
      </c>
      <c r="X19" s="13">
        <f t="shared" si="6"/>
        <v>0.43000000000000005</v>
      </c>
      <c r="Y19" s="54">
        <f t="shared" si="11"/>
        <v>8127000.0000000009</v>
      </c>
      <c r="Z19" s="43">
        <f t="shared" si="7"/>
        <v>0.10158750000000001</v>
      </c>
      <c r="AA19" s="43">
        <f t="shared" si="8"/>
        <v>0.56999999999999995</v>
      </c>
      <c r="AB19" s="43">
        <v>1</v>
      </c>
      <c r="AC19" s="57">
        <f t="shared" si="16"/>
        <v>8127000.0000000009</v>
      </c>
      <c r="AE19" s="58">
        <f t="shared" si="12"/>
        <v>5001230.7692307699</v>
      </c>
      <c r="AF19" s="58">
        <f t="shared" si="13"/>
        <v>3125769.2307692314</v>
      </c>
      <c r="AG19" s="61">
        <f t="shared" si="14"/>
        <v>0.26461538461538464</v>
      </c>
      <c r="AH19" s="61">
        <f t="shared" si="15"/>
        <v>0.16538461538461541</v>
      </c>
      <c r="AI19" s="17" t="s">
        <v>201</v>
      </c>
    </row>
    <row r="20" spans="1:35" ht="31.2">
      <c r="A20" s="14" t="s">
        <v>331</v>
      </c>
      <c r="B20" s="13">
        <v>2000</v>
      </c>
      <c r="C20" s="13">
        <v>1900</v>
      </c>
      <c r="D20" s="13">
        <v>1840</v>
      </c>
      <c r="E20" s="13">
        <f t="shared" si="0"/>
        <v>100</v>
      </c>
      <c r="F20" s="13">
        <f t="shared" si="1"/>
        <v>60</v>
      </c>
      <c r="G20" s="13"/>
      <c r="H20" s="54">
        <v>192700</v>
      </c>
      <c r="I20" s="13">
        <v>40</v>
      </c>
      <c r="J20" s="54">
        <f t="shared" si="9"/>
        <v>7708000</v>
      </c>
      <c r="K20" s="43">
        <f t="shared" si="10"/>
        <v>7.7079999999999996E-2</v>
      </c>
      <c r="L20" s="13">
        <v>0.9</v>
      </c>
      <c r="M20" s="13">
        <v>0.1</v>
      </c>
      <c r="N20" s="13">
        <v>0</v>
      </c>
      <c r="O20" s="13">
        <v>0</v>
      </c>
      <c r="P20" s="13">
        <v>0</v>
      </c>
      <c r="Q20" s="13">
        <v>0</v>
      </c>
      <c r="R20" s="13">
        <f t="shared" si="2"/>
        <v>0.45</v>
      </c>
      <c r="S20" s="13">
        <f t="shared" si="3"/>
        <v>9.0000000000000011E-2</v>
      </c>
      <c r="T20" s="13">
        <v>0</v>
      </c>
      <c r="U20" s="13">
        <v>0</v>
      </c>
      <c r="V20" s="13">
        <f t="shared" si="4"/>
        <v>0</v>
      </c>
      <c r="W20" s="13">
        <f t="shared" si="5"/>
        <v>0</v>
      </c>
      <c r="X20" s="13">
        <f t="shared" si="6"/>
        <v>0.54</v>
      </c>
      <c r="Y20" s="54">
        <f t="shared" si="11"/>
        <v>4162320.0000000005</v>
      </c>
      <c r="Z20" s="43">
        <f t="shared" si="7"/>
        <v>4.1623199999999999E-2</v>
      </c>
      <c r="AA20" s="43">
        <f t="shared" si="8"/>
        <v>0.45999999999999996</v>
      </c>
      <c r="AB20" s="43">
        <v>0.9</v>
      </c>
      <c r="AC20" s="57">
        <f t="shared" si="16"/>
        <v>3746088.0000000005</v>
      </c>
      <c r="AD20" s="40" t="s">
        <v>98</v>
      </c>
      <c r="AE20" s="58">
        <f t="shared" si="12"/>
        <v>2601450.0000000005</v>
      </c>
      <c r="AF20" s="58">
        <f t="shared" si="13"/>
        <v>1560870.0000000002</v>
      </c>
      <c r="AG20" s="61">
        <f t="shared" si="14"/>
        <v>0.33750000000000002</v>
      </c>
      <c r="AH20" s="61">
        <f t="shared" si="15"/>
        <v>0.20250000000000001</v>
      </c>
      <c r="AI20" t="s">
        <v>7</v>
      </c>
    </row>
    <row r="21" spans="1:35" ht="31.2">
      <c r="A21" s="14" t="s">
        <v>332</v>
      </c>
      <c r="B21" s="13">
        <v>2000</v>
      </c>
      <c r="C21" s="13">
        <v>1900</v>
      </c>
      <c r="D21" s="13">
        <v>1850</v>
      </c>
      <c r="E21" s="13">
        <f t="shared" si="0"/>
        <v>100</v>
      </c>
      <c r="F21" s="13">
        <f t="shared" si="1"/>
        <v>50</v>
      </c>
      <c r="G21" s="13" t="s">
        <v>99</v>
      </c>
      <c r="H21" s="54">
        <v>537485</v>
      </c>
      <c r="I21" s="13">
        <v>35</v>
      </c>
      <c r="J21" s="54">
        <f t="shared" si="9"/>
        <v>18811975</v>
      </c>
      <c r="K21" s="43">
        <f t="shared" si="10"/>
        <v>0.18811975</v>
      </c>
      <c r="L21" s="13">
        <v>0.2</v>
      </c>
      <c r="M21" s="13">
        <v>0</v>
      </c>
      <c r="N21" s="13">
        <v>0.8</v>
      </c>
      <c r="O21" s="13">
        <v>0</v>
      </c>
      <c r="P21" s="13">
        <v>0</v>
      </c>
      <c r="Q21" s="13">
        <v>0</v>
      </c>
      <c r="R21" s="13">
        <f t="shared" si="2"/>
        <v>0.1</v>
      </c>
      <c r="S21" s="13">
        <f t="shared" si="3"/>
        <v>0</v>
      </c>
      <c r="T21" s="13">
        <v>0</v>
      </c>
      <c r="U21" s="13">
        <v>0</v>
      </c>
      <c r="V21" s="13">
        <f t="shared" si="4"/>
        <v>0</v>
      </c>
      <c r="W21" s="13">
        <f t="shared" si="5"/>
        <v>0</v>
      </c>
      <c r="X21" s="13">
        <f t="shared" si="6"/>
        <v>0.1</v>
      </c>
      <c r="Y21" s="54">
        <f t="shared" si="11"/>
        <v>1881197.5</v>
      </c>
      <c r="Z21" s="43">
        <f t="shared" si="7"/>
        <v>1.8811975000000002E-2</v>
      </c>
      <c r="AA21" s="43">
        <f t="shared" si="8"/>
        <v>0.9</v>
      </c>
      <c r="AB21" s="43">
        <v>0.92</v>
      </c>
      <c r="AC21" s="57">
        <f t="shared" si="16"/>
        <v>1730701.7000000002</v>
      </c>
      <c r="AD21" s="40" t="s">
        <v>351</v>
      </c>
      <c r="AE21" s="58">
        <f t="shared" si="12"/>
        <v>1254131.6666666665</v>
      </c>
      <c r="AF21" s="58">
        <f t="shared" si="13"/>
        <v>627065.83333333326</v>
      </c>
      <c r="AG21" s="61">
        <f t="shared" si="14"/>
        <v>6.6666666666666666E-2</v>
      </c>
      <c r="AH21" s="61">
        <f t="shared" si="15"/>
        <v>3.3333333333333333E-2</v>
      </c>
      <c r="AI21" s="17" t="s">
        <v>350</v>
      </c>
    </row>
    <row r="22" spans="1:35">
      <c r="A22" s="15" t="s">
        <v>66</v>
      </c>
      <c r="B22" s="13">
        <v>2200</v>
      </c>
      <c r="C22" s="13">
        <v>1900</v>
      </c>
      <c r="D22" s="13">
        <v>1850</v>
      </c>
      <c r="E22" s="13">
        <f t="shared" si="0"/>
        <v>300</v>
      </c>
      <c r="F22" s="13">
        <f t="shared" si="1"/>
        <v>50</v>
      </c>
      <c r="G22" s="13" t="s">
        <v>194</v>
      </c>
      <c r="H22" s="54">
        <v>112000</v>
      </c>
      <c r="I22" s="13">
        <v>40</v>
      </c>
      <c r="J22" s="54">
        <f t="shared" si="9"/>
        <v>4480000</v>
      </c>
      <c r="K22" s="44">
        <f t="shared" si="10"/>
        <v>1.4933333333333333E-2</v>
      </c>
      <c r="L22" s="13">
        <v>0.7</v>
      </c>
      <c r="M22" s="13">
        <v>0</v>
      </c>
      <c r="N22" s="13">
        <v>0.2</v>
      </c>
      <c r="O22" s="13">
        <v>0</v>
      </c>
      <c r="P22" s="13">
        <v>0</v>
      </c>
      <c r="Q22" s="13">
        <v>0.1</v>
      </c>
      <c r="R22" s="13">
        <f t="shared" si="2"/>
        <v>0.35</v>
      </c>
      <c r="S22" s="13">
        <f t="shared" si="3"/>
        <v>0</v>
      </c>
      <c r="T22" s="13">
        <v>0</v>
      </c>
      <c r="U22" s="13">
        <v>0</v>
      </c>
      <c r="V22" s="13">
        <f t="shared" si="4"/>
        <v>0</v>
      </c>
      <c r="W22" s="13">
        <f t="shared" si="5"/>
        <v>9.0000000000000011E-2</v>
      </c>
      <c r="X22" s="13">
        <f t="shared" si="6"/>
        <v>0.44</v>
      </c>
      <c r="Y22" s="54">
        <f t="shared" si="11"/>
        <v>1971200</v>
      </c>
      <c r="Z22" s="43">
        <f t="shared" si="7"/>
        <v>6.5706666666666665E-3</v>
      </c>
      <c r="AA22" s="43">
        <f t="shared" si="8"/>
        <v>0.56000000000000005</v>
      </c>
      <c r="AB22" s="43">
        <v>0.78</v>
      </c>
      <c r="AC22" s="57">
        <f t="shared" si="16"/>
        <v>1537536</v>
      </c>
      <c r="AE22" s="58">
        <f t="shared" si="12"/>
        <v>1689600</v>
      </c>
      <c r="AF22" s="58">
        <f t="shared" si="13"/>
        <v>281600</v>
      </c>
      <c r="AG22" s="61">
        <f t="shared" si="14"/>
        <v>0.37714285714285711</v>
      </c>
      <c r="AH22" s="61">
        <f t="shared" si="15"/>
        <v>6.2857142857142848E-2</v>
      </c>
      <c r="AI22" s="17" t="s">
        <v>202</v>
      </c>
    </row>
    <row r="23" spans="1:35">
      <c r="A23" s="15" t="s">
        <v>67</v>
      </c>
      <c r="B23" s="13">
        <v>2060</v>
      </c>
      <c r="C23" s="13">
        <v>1900</v>
      </c>
      <c r="D23" s="13">
        <v>1870</v>
      </c>
      <c r="E23" s="13">
        <f t="shared" si="0"/>
        <v>160</v>
      </c>
      <c r="F23" s="13">
        <f t="shared" si="1"/>
        <v>30</v>
      </c>
      <c r="G23" s="13" t="s">
        <v>195</v>
      </c>
      <c r="H23" s="54">
        <v>224000</v>
      </c>
      <c r="I23" s="13">
        <v>40</v>
      </c>
      <c r="J23" s="54">
        <f t="shared" si="9"/>
        <v>8960000</v>
      </c>
      <c r="K23" s="44">
        <f t="shared" si="10"/>
        <v>5.6000000000000001E-2</v>
      </c>
      <c r="L23" s="13">
        <v>0.5</v>
      </c>
      <c r="M23" s="13">
        <v>0.1</v>
      </c>
      <c r="N23" s="13">
        <v>0.4</v>
      </c>
      <c r="O23" s="13">
        <v>0</v>
      </c>
      <c r="P23" s="13">
        <v>0</v>
      </c>
      <c r="Q23" s="13">
        <v>0</v>
      </c>
      <c r="R23" s="13">
        <f t="shared" si="2"/>
        <v>0.25</v>
      </c>
      <c r="S23" s="13">
        <f t="shared" si="3"/>
        <v>9.0000000000000011E-2</v>
      </c>
      <c r="T23" s="13">
        <v>0</v>
      </c>
      <c r="U23" s="13">
        <v>0</v>
      </c>
      <c r="V23" s="13">
        <f t="shared" si="4"/>
        <v>0</v>
      </c>
      <c r="W23" s="13">
        <f t="shared" si="5"/>
        <v>0</v>
      </c>
      <c r="X23" s="13">
        <f t="shared" si="6"/>
        <v>0.34</v>
      </c>
      <c r="Y23" s="54">
        <f t="shared" si="11"/>
        <v>3046400</v>
      </c>
      <c r="Z23" s="43">
        <f t="shared" si="7"/>
        <v>1.9040000000000001E-2</v>
      </c>
      <c r="AA23" s="43">
        <f t="shared" si="8"/>
        <v>0.65999999999999992</v>
      </c>
      <c r="AB23" s="43">
        <v>0.97</v>
      </c>
      <c r="AC23" s="57">
        <f t="shared" si="16"/>
        <v>2955008</v>
      </c>
      <c r="AE23" s="58">
        <f t="shared" si="12"/>
        <v>2565389.4736842103</v>
      </c>
      <c r="AF23" s="58">
        <f t="shared" si="13"/>
        <v>481010.52631578944</v>
      </c>
      <c r="AG23" s="61">
        <f t="shared" si="14"/>
        <v>0.28631578947368419</v>
      </c>
      <c r="AH23" s="61">
        <f t="shared" si="15"/>
        <v>5.3684210526315793E-2</v>
      </c>
      <c r="AI23" s="17" t="s">
        <v>203</v>
      </c>
    </row>
    <row r="24" spans="1:35">
      <c r="A24" s="14" t="s">
        <v>250</v>
      </c>
      <c r="B24" s="13">
        <v>1950</v>
      </c>
      <c r="C24" s="13">
        <v>1890</v>
      </c>
      <c r="D24" s="13">
        <v>1830</v>
      </c>
      <c r="E24" s="13">
        <f t="shared" si="0"/>
        <v>60</v>
      </c>
      <c r="F24" s="13">
        <f t="shared" si="1"/>
        <v>60</v>
      </c>
      <c r="G24" s="13" t="s">
        <v>73</v>
      </c>
      <c r="H24" s="54">
        <v>507500</v>
      </c>
      <c r="I24" s="13">
        <v>40</v>
      </c>
      <c r="J24" s="54">
        <f t="shared" si="9"/>
        <v>20300000</v>
      </c>
      <c r="K24" s="43">
        <f t="shared" si="10"/>
        <v>0.33833333333333332</v>
      </c>
      <c r="L24" s="13">
        <v>0.7</v>
      </c>
      <c r="M24" s="13">
        <v>0.1</v>
      </c>
      <c r="N24" s="13">
        <v>0.2</v>
      </c>
      <c r="O24" s="13">
        <v>0</v>
      </c>
      <c r="P24" s="13">
        <v>0</v>
      </c>
      <c r="Q24" s="13">
        <v>0</v>
      </c>
      <c r="R24" s="13">
        <f t="shared" si="2"/>
        <v>0.35</v>
      </c>
      <c r="S24" s="13">
        <f t="shared" si="3"/>
        <v>9.0000000000000011E-2</v>
      </c>
      <c r="T24" s="13">
        <v>0</v>
      </c>
      <c r="U24" s="13">
        <v>0</v>
      </c>
      <c r="V24" s="13">
        <f t="shared" si="4"/>
        <v>0</v>
      </c>
      <c r="W24" s="13">
        <f t="shared" si="5"/>
        <v>0</v>
      </c>
      <c r="X24" s="13">
        <f t="shared" si="6"/>
        <v>0.44</v>
      </c>
      <c r="Y24" s="54">
        <f t="shared" si="11"/>
        <v>8932000</v>
      </c>
      <c r="Z24" s="43">
        <f t="shared" si="7"/>
        <v>0.14886666666666667</v>
      </c>
      <c r="AA24" s="43">
        <f t="shared" si="8"/>
        <v>0.56000000000000005</v>
      </c>
      <c r="AB24" s="43">
        <v>1</v>
      </c>
      <c r="AC24" s="57">
        <f t="shared" si="16"/>
        <v>8932000</v>
      </c>
      <c r="AD24" s="40" t="s">
        <v>81</v>
      </c>
      <c r="AE24" s="58">
        <f t="shared" si="12"/>
        <v>4466000</v>
      </c>
      <c r="AF24" s="58">
        <f t="shared" si="13"/>
        <v>4466000</v>
      </c>
      <c r="AG24" s="61">
        <f t="shared" si="14"/>
        <v>0.22</v>
      </c>
      <c r="AH24" s="61">
        <f t="shared" si="15"/>
        <v>0.22</v>
      </c>
      <c r="AI24" s="17" t="s">
        <v>165</v>
      </c>
    </row>
    <row r="25" spans="1:35">
      <c r="A25" s="15" t="s">
        <v>141</v>
      </c>
      <c r="B25" s="13">
        <v>2200</v>
      </c>
      <c r="C25" s="13">
        <v>1890</v>
      </c>
      <c r="D25" s="13">
        <v>1850</v>
      </c>
      <c r="E25" s="13">
        <f t="shared" si="0"/>
        <v>310</v>
      </c>
      <c r="F25" s="13">
        <f t="shared" si="1"/>
        <v>40</v>
      </c>
      <c r="G25" s="13" t="s">
        <v>143</v>
      </c>
      <c r="H25" s="54">
        <v>308000</v>
      </c>
      <c r="I25" s="13">
        <v>40</v>
      </c>
      <c r="J25" s="54">
        <f t="shared" si="9"/>
        <v>12320000</v>
      </c>
      <c r="K25" s="44">
        <f t="shared" si="10"/>
        <v>3.974193548387097E-2</v>
      </c>
      <c r="L25" s="13">
        <v>0.35</v>
      </c>
      <c r="M25" s="13">
        <v>0.1</v>
      </c>
      <c r="N25" s="13">
        <v>0.45</v>
      </c>
      <c r="O25" s="13">
        <v>0</v>
      </c>
      <c r="P25" s="13">
        <v>0</v>
      </c>
      <c r="Q25" s="13">
        <v>0.1</v>
      </c>
      <c r="R25" s="13">
        <f t="shared" si="2"/>
        <v>0.17499999999999999</v>
      </c>
      <c r="S25" s="13">
        <f t="shared" si="3"/>
        <v>9.0000000000000011E-2</v>
      </c>
      <c r="T25" s="13">
        <v>0</v>
      </c>
      <c r="U25" s="13">
        <v>0</v>
      </c>
      <c r="V25" s="13">
        <f t="shared" si="4"/>
        <v>0</v>
      </c>
      <c r="W25" s="13">
        <f t="shared" si="5"/>
        <v>9.0000000000000011E-2</v>
      </c>
      <c r="X25" s="13">
        <f t="shared" si="6"/>
        <v>0.35500000000000004</v>
      </c>
      <c r="Y25" s="54">
        <f t="shared" si="11"/>
        <v>4373600</v>
      </c>
      <c r="Z25" s="43">
        <f t="shared" si="7"/>
        <v>1.4108387096774196E-2</v>
      </c>
      <c r="AA25" s="43">
        <f t="shared" si="8"/>
        <v>0.64500000000000002</v>
      </c>
      <c r="AB25" s="43">
        <v>0.7</v>
      </c>
      <c r="AC25" s="57">
        <f t="shared" si="16"/>
        <v>3061520</v>
      </c>
      <c r="AE25" s="58">
        <f t="shared" si="12"/>
        <v>3873760</v>
      </c>
      <c r="AF25" s="58">
        <f t="shared" si="13"/>
        <v>499840</v>
      </c>
      <c r="AG25" s="61">
        <f t="shared" si="14"/>
        <v>0.31442857142857145</v>
      </c>
      <c r="AH25" s="61">
        <f t="shared" si="15"/>
        <v>4.0571428571428578E-2</v>
      </c>
      <c r="AI25" s="17" t="s">
        <v>176</v>
      </c>
    </row>
    <row r="26" spans="1:35">
      <c r="A26" s="14" t="s">
        <v>286</v>
      </c>
      <c r="B26" s="13">
        <v>2000</v>
      </c>
      <c r="C26" s="13">
        <v>1880</v>
      </c>
      <c r="D26" s="13">
        <v>1850</v>
      </c>
      <c r="E26" s="13">
        <f t="shared" si="0"/>
        <v>120</v>
      </c>
      <c r="F26" s="13">
        <f t="shared" si="1"/>
        <v>30</v>
      </c>
      <c r="G26" s="13" t="s">
        <v>143</v>
      </c>
      <c r="H26" s="54">
        <v>100000</v>
      </c>
      <c r="I26" s="13">
        <v>40</v>
      </c>
      <c r="J26" s="54">
        <f t="shared" si="9"/>
        <v>4000000</v>
      </c>
      <c r="K26" s="43">
        <f t="shared" si="10"/>
        <v>3.3333333333333333E-2</v>
      </c>
      <c r="L26" s="13">
        <v>0.1</v>
      </c>
      <c r="M26" s="13">
        <v>0</v>
      </c>
      <c r="N26" s="13">
        <v>0.8</v>
      </c>
      <c r="O26" s="13">
        <v>0</v>
      </c>
      <c r="P26" s="13">
        <v>0</v>
      </c>
      <c r="Q26" s="13">
        <v>0.1</v>
      </c>
      <c r="R26" s="13">
        <f t="shared" si="2"/>
        <v>0.05</v>
      </c>
      <c r="S26" s="13">
        <f t="shared" si="3"/>
        <v>0</v>
      </c>
      <c r="T26" s="13">
        <v>0</v>
      </c>
      <c r="U26" s="13">
        <v>0</v>
      </c>
      <c r="V26" s="13">
        <f t="shared" si="4"/>
        <v>0</v>
      </c>
      <c r="W26" s="13">
        <f t="shared" si="5"/>
        <v>9.0000000000000011E-2</v>
      </c>
      <c r="X26" s="13">
        <f t="shared" si="6"/>
        <v>0.14000000000000001</v>
      </c>
      <c r="Y26" s="54">
        <f t="shared" si="11"/>
        <v>560000</v>
      </c>
      <c r="Z26" s="43">
        <f t="shared" si="7"/>
        <v>4.6666666666666671E-3</v>
      </c>
      <c r="AA26" s="43">
        <f t="shared" si="8"/>
        <v>0.86</v>
      </c>
      <c r="AB26" s="43">
        <v>1</v>
      </c>
      <c r="AC26" s="57">
        <f t="shared" si="16"/>
        <v>560000</v>
      </c>
      <c r="AE26" s="58">
        <f t="shared" si="12"/>
        <v>448000</v>
      </c>
      <c r="AF26" s="58">
        <f t="shared" si="13"/>
        <v>112000</v>
      </c>
      <c r="AG26" s="61">
        <f t="shared" si="14"/>
        <v>0.11200000000000002</v>
      </c>
      <c r="AH26" s="61">
        <f t="shared" si="15"/>
        <v>2.8000000000000004E-2</v>
      </c>
      <c r="AI26" s="17" t="s">
        <v>204</v>
      </c>
    </row>
    <row r="27" spans="1:35">
      <c r="A27" s="14" t="s">
        <v>352</v>
      </c>
      <c r="B27" s="13">
        <v>1950</v>
      </c>
      <c r="C27" s="13">
        <v>1880</v>
      </c>
      <c r="D27" s="13">
        <v>1780</v>
      </c>
      <c r="E27" s="13">
        <f t="shared" si="0"/>
        <v>70</v>
      </c>
      <c r="F27" s="13">
        <f t="shared" si="1"/>
        <v>100</v>
      </c>
      <c r="G27" s="13"/>
      <c r="H27" s="54">
        <v>303400</v>
      </c>
      <c r="I27" s="13">
        <v>40</v>
      </c>
      <c r="J27" s="54">
        <f t="shared" si="9"/>
        <v>12136000</v>
      </c>
      <c r="K27" s="43">
        <f t="shared" si="10"/>
        <v>0.17337142857142857</v>
      </c>
      <c r="L27" s="13">
        <v>0.8</v>
      </c>
      <c r="M27" s="13">
        <v>0</v>
      </c>
      <c r="N27" s="13">
        <v>0.2</v>
      </c>
      <c r="O27" s="13">
        <v>0</v>
      </c>
      <c r="P27" s="13">
        <v>0</v>
      </c>
      <c r="Q27" s="13">
        <v>0</v>
      </c>
      <c r="R27" s="13">
        <f t="shared" si="2"/>
        <v>0.4</v>
      </c>
      <c r="S27" s="13">
        <f t="shared" si="3"/>
        <v>0</v>
      </c>
      <c r="T27" s="13">
        <v>0</v>
      </c>
      <c r="U27" s="13">
        <v>0</v>
      </c>
      <c r="V27" s="13">
        <f t="shared" si="4"/>
        <v>0</v>
      </c>
      <c r="W27" s="13">
        <f t="shared" si="5"/>
        <v>0</v>
      </c>
      <c r="X27" s="13">
        <f t="shared" si="6"/>
        <v>0.4</v>
      </c>
      <c r="Y27" s="54">
        <f t="shared" si="11"/>
        <v>4854400</v>
      </c>
      <c r="Z27" s="43">
        <f t="shared" si="7"/>
        <v>6.9348571428571426E-2</v>
      </c>
      <c r="AA27" s="43">
        <f t="shared" si="8"/>
        <v>0.6</v>
      </c>
      <c r="AB27" s="43">
        <v>1</v>
      </c>
      <c r="AC27" s="57">
        <f t="shared" si="16"/>
        <v>4854400</v>
      </c>
      <c r="AE27" s="58">
        <f t="shared" si="12"/>
        <v>1998870.588235294</v>
      </c>
      <c r="AF27" s="58">
        <f t="shared" si="13"/>
        <v>2855529.411764706</v>
      </c>
      <c r="AG27" s="61">
        <f t="shared" si="14"/>
        <v>0.16470588235294117</v>
      </c>
      <c r="AH27" s="61">
        <f t="shared" si="15"/>
        <v>0.23529411764705885</v>
      </c>
      <c r="AI27" s="17" t="s">
        <v>117</v>
      </c>
    </row>
    <row r="28" spans="1:35">
      <c r="A28" s="41" t="s">
        <v>255</v>
      </c>
      <c r="B28" s="13">
        <v>1900</v>
      </c>
      <c r="C28" s="13">
        <v>1875</v>
      </c>
      <c r="D28" s="13">
        <v>1845</v>
      </c>
      <c r="E28" s="13">
        <f t="shared" si="0"/>
        <v>25</v>
      </c>
      <c r="F28" s="13">
        <f t="shared" si="1"/>
        <v>30</v>
      </c>
      <c r="G28" s="13" t="s">
        <v>144</v>
      </c>
      <c r="H28" s="54">
        <v>110000</v>
      </c>
      <c r="I28" s="13">
        <v>40</v>
      </c>
      <c r="J28" s="54">
        <f t="shared" si="9"/>
        <v>4400000</v>
      </c>
      <c r="K28" s="44">
        <f t="shared" si="10"/>
        <v>0.17599999999999999</v>
      </c>
      <c r="L28" s="13">
        <v>0.8</v>
      </c>
      <c r="M28" s="13">
        <v>0</v>
      </c>
      <c r="N28" s="13">
        <v>0.2</v>
      </c>
      <c r="O28" s="13">
        <v>0</v>
      </c>
      <c r="P28" s="13">
        <v>0</v>
      </c>
      <c r="Q28" s="13">
        <v>0</v>
      </c>
      <c r="R28" s="13">
        <f t="shared" si="2"/>
        <v>0.4</v>
      </c>
      <c r="S28" s="13">
        <f t="shared" si="3"/>
        <v>0</v>
      </c>
      <c r="T28" s="13">
        <v>0</v>
      </c>
      <c r="U28" s="13">
        <v>0</v>
      </c>
      <c r="V28" s="13">
        <f t="shared" si="4"/>
        <v>0</v>
      </c>
      <c r="W28" s="13">
        <f t="shared" si="5"/>
        <v>0</v>
      </c>
      <c r="X28" s="13">
        <f t="shared" si="6"/>
        <v>0.4</v>
      </c>
      <c r="Y28" s="54">
        <f t="shared" si="11"/>
        <v>1760000</v>
      </c>
      <c r="Z28" s="43">
        <f t="shared" si="7"/>
        <v>7.0400000000000004E-2</v>
      </c>
      <c r="AA28" s="43">
        <f t="shared" si="8"/>
        <v>0.6</v>
      </c>
      <c r="AB28" s="43">
        <v>0.95</v>
      </c>
      <c r="AC28" s="57">
        <f t="shared" si="16"/>
        <v>1672000</v>
      </c>
      <c r="AE28" s="58">
        <f t="shared" si="12"/>
        <v>800000</v>
      </c>
      <c r="AF28" s="58">
        <f t="shared" si="13"/>
        <v>959999.99999999988</v>
      </c>
      <c r="AG28" s="61">
        <f t="shared" si="14"/>
        <v>0.18181818181818182</v>
      </c>
      <c r="AH28" s="61">
        <f t="shared" si="15"/>
        <v>0.21818181818181817</v>
      </c>
      <c r="AI28" s="40" t="s">
        <v>333</v>
      </c>
    </row>
    <row r="29" spans="1:35">
      <c r="A29" s="14" t="s">
        <v>55</v>
      </c>
      <c r="B29" s="13">
        <v>2170</v>
      </c>
      <c r="C29" s="13">
        <v>1870</v>
      </c>
      <c r="D29" s="13">
        <v>1815</v>
      </c>
      <c r="E29" s="13">
        <f t="shared" si="0"/>
        <v>300</v>
      </c>
      <c r="F29" s="13">
        <f t="shared" si="1"/>
        <v>55</v>
      </c>
      <c r="G29" s="13" t="s">
        <v>57</v>
      </c>
      <c r="H29" s="54">
        <v>160000</v>
      </c>
      <c r="I29" s="13">
        <v>35</v>
      </c>
      <c r="J29" s="54">
        <f t="shared" si="9"/>
        <v>5600000</v>
      </c>
      <c r="K29" s="43">
        <f t="shared" si="10"/>
        <v>1.8666666666666668E-2</v>
      </c>
      <c r="L29" s="13">
        <v>0.2</v>
      </c>
      <c r="M29" s="13">
        <v>0</v>
      </c>
      <c r="N29" s="13">
        <v>0.6</v>
      </c>
      <c r="O29" s="13">
        <v>0</v>
      </c>
      <c r="P29" s="13">
        <v>0</v>
      </c>
      <c r="Q29" s="13">
        <v>0.2</v>
      </c>
      <c r="R29" s="13">
        <f t="shared" si="2"/>
        <v>0.1</v>
      </c>
      <c r="S29" s="13">
        <f t="shared" si="3"/>
        <v>0</v>
      </c>
      <c r="T29" s="13">
        <v>0</v>
      </c>
      <c r="U29" s="13">
        <v>0</v>
      </c>
      <c r="V29" s="13">
        <f t="shared" si="4"/>
        <v>0</v>
      </c>
      <c r="W29" s="13">
        <f t="shared" si="5"/>
        <v>0.18000000000000002</v>
      </c>
      <c r="X29" s="13">
        <f t="shared" si="6"/>
        <v>0.28000000000000003</v>
      </c>
      <c r="Y29" s="54">
        <f t="shared" si="11"/>
        <v>1568000.0000000002</v>
      </c>
      <c r="Z29" s="43">
        <f t="shared" si="7"/>
        <v>5.2266666666666677E-3</v>
      </c>
      <c r="AA29" s="43">
        <f t="shared" si="8"/>
        <v>0.72</v>
      </c>
      <c r="AB29" s="43">
        <v>0.75</v>
      </c>
      <c r="AC29" s="57">
        <f t="shared" si="16"/>
        <v>1176000.0000000002</v>
      </c>
      <c r="AE29" s="58">
        <f t="shared" si="12"/>
        <v>1325070.4225352115</v>
      </c>
      <c r="AF29" s="58">
        <f t="shared" si="13"/>
        <v>242929.57746478874</v>
      </c>
      <c r="AG29" s="61">
        <f t="shared" si="14"/>
        <v>0.23661971830985917</v>
      </c>
      <c r="AH29" s="61">
        <f t="shared" si="15"/>
        <v>4.3380281690140847E-2</v>
      </c>
      <c r="AI29" s="17" t="s">
        <v>137</v>
      </c>
    </row>
    <row r="30" spans="1:35">
      <c r="A30" s="14" t="s">
        <v>53</v>
      </c>
      <c r="B30" s="13">
        <v>1920</v>
      </c>
      <c r="C30" s="13">
        <v>1870</v>
      </c>
      <c r="D30" s="13">
        <v>1840</v>
      </c>
      <c r="E30" s="13">
        <f t="shared" si="0"/>
        <v>50</v>
      </c>
      <c r="F30" s="13">
        <f t="shared" si="1"/>
        <v>30</v>
      </c>
      <c r="G30" s="13" t="s">
        <v>126</v>
      </c>
      <c r="H30" s="54">
        <v>25000</v>
      </c>
      <c r="I30" s="13">
        <v>40</v>
      </c>
      <c r="J30" s="54">
        <f t="shared" si="9"/>
        <v>1000000</v>
      </c>
      <c r="K30" s="43">
        <f t="shared" si="10"/>
        <v>0.02</v>
      </c>
      <c r="L30" s="13">
        <v>0.3</v>
      </c>
      <c r="M30" s="13">
        <v>0</v>
      </c>
      <c r="N30" s="13">
        <v>0.7</v>
      </c>
      <c r="O30" s="13">
        <v>0</v>
      </c>
      <c r="P30" s="13">
        <v>0</v>
      </c>
      <c r="Q30" s="13">
        <v>0</v>
      </c>
      <c r="R30" s="13">
        <f t="shared" si="2"/>
        <v>0.15</v>
      </c>
      <c r="S30" s="13">
        <f t="shared" si="3"/>
        <v>0</v>
      </c>
      <c r="T30" s="13">
        <v>0</v>
      </c>
      <c r="U30" s="13">
        <v>0</v>
      </c>
      <c r="V30" s="13">
        <f t="shared" si="4"/>
        <v>0</v>
      </c>
      <c r="W30" s="13">
        <f t="shared" si="5"/>
        <v>0</v>
      </c>
      <c r="X30" s="13">
        <f t="shared" si="6"/>
        <v>0.15</v>
      </c>
      <c r="Y30" s="54">
        <f t="shared" si="11"/>
        <v>150000</v>
      </c>
      <c r="Z30" s="43">
        <f t="shared" si="7"/>
        <v>3.0000000000000001E-3</v>
      </c>
      <c r="AA30" s="43">
        <f t="shared" si="8"/>
        <v>0.85</v>
      </c>
      <c r="AB30" s="43">
        <v>0.95</v>
      </c>
      <c r="AC30" s="57">
        <f t="shared" si="16"/>
        <v>142500</v>
      </c>
      <c r="AE30" s="58">
        <f t="shared" si="12"/>
        <v>93750</v>
      </c>
      <c r="AF30" s="58">
        <f t="shared" si="13"/>
        <v>56250</v>
      </c>
      <c r="AG30" s="61">
        <f t="shared" si="14"/>
        <v>9.375E-2</v>
      </c>
      <c r="AH30" s="61">
        <f t="shared" si="15"/>
        <v>5.6249999999999994E-2</v>
      </c>
      <c r="AI30" s="17" t="s">
        <v>171</v>
      </c>
    </row>
    <row r="31" spans="1:35">
      <c r="A31" s="14" t="s">
        <v>115</v>
      </c>
      <c r="B31" s="13">
        <v>1900</v>
      </c>
      <c r="C31" s="13">
        <v>1870</v>
      </c>
      <c r="D31" s="13">
        <v>1850</v>
      </c>
      <c r="E31" s="13">
        <f t="shared" si="0"/>
        <v>30</v>
      </c>
      <c r="F31" s="13">
        <f t="shared" si="1"/>
        <v>20</v>
      </c>
      <c r="G31" s="13" t="s">
        <v>32</v>
      </c>
      <c r="H31" s="54">
        <v>250000</v>
      </c>
      <c r="I31" s="13">
        <v>40</v>
      </c>
      <c r="J31" s="54">
        <f t="shared" si="9"/>
        <v>10000000</v>
      </c>
      <c r="K31" s="43">
        <f t="shared" si="10"/>
        <v>0.33333333333333331</v>
      </c>
      <c r="L31" s="13">
        <v>0.45</v>
      </c>
      <c r="M31" s="13">
        <v>0</v>
      </c>
      <c r="N31" s="13">
        <v>0.5</v>
      </c>
      <c r="O31" s="13">
        <v>0</v>
      </c>
      <c r="P31" s="13">
        <v>0</v>
      </c>
      <c r="Q31" s="13">
        <v>0.05</v>
      </c>
      <c r="R31" s="13">
        <f t="shared" si="2"/>
        <v>0.22500000000000001</v>
      </c>
      <c r="S31" s="13">
        <f t="shared" si="3"/>
        <v>0</v>
      </c>
      <c r="T31" s="13">
        <v>0</v>
      </c>
      <c r="U31" s="13">
        <v>0</v>
      </c>
      <c r="V31" s="13">
        <f t="shared" si="4"/>
        <v>0</v>
      </c>
      <c r="W31" s="13">
        <f t="shared" si="5"/>
        <v>4.5000000000000005E-2</v>
      </c>
      <c r="X31" s="13">
        <f t="shared" si="6"/>
        <v>0.27</v>
      </c>
      <c r="Y31" s="54">
        <f t="shared" si="11"/>
        <v>2700000</v>
      </c>
      <c r="Z31" s="43">
        <f t="shared" si="7"/>
        <v>0.09</v>
      </c>
      <c r="AA31" s="43">
        <f t="shared" si="8"/>
        <v>0.73</v>
      </c>
      <c r="AB31" s="43">
        <v>1</v>
      </c>
      <c r="AC31" s="57">
        <f t="shared" si="16"/>
        <v>2700000</v>
      </c>
      <c r="AE31" s="58">
        <f t="shared" si="12"/>
        <v>1620000</v>
      </c>
      <c r="AF31" s="58">
        <f t="shared" si="13"/>
        <v>1080000</v>
      </c>
      <c r="AG31" s="61">
        <f t="shared" si="14"/>
        <v>0.16200000000000001</v>
      </c>
      <c r="AH31" s="61">
        <f t="shared" si="15"/>
        <v>0.10800000000000001</v>
      </c>
      <c r="AI31" s="17" t="s">
        <v>172</v>
      </c>
    </row>
    <row r="32" spans="1:35">
      <c r="A32" s="15" t="s">
        <v>196</v>
      </c>
      <c r="B32" s="13">
        <v>2200</v>
      </c>
      <c r="C32" s="13">
        <v>1870</v>
      </c>
      <c r="D32" s="13">
        <v>1850</v>
      </c>
      <c r="E32" s="13">
        <f t="shared" si="0"/>
        <v>330</v>
      </c>
      <c r="F32" s="13">
        <f t="shared" si="1"/>
        <v>20</v>
      </c>
      <c r="G32" s="13" t="s">
        <v>198</v>
      </c>
      <c r="H32" s="54">
        <v>96000</v>
      </c>
      <c r="I32" s="13">
        <v>40</v>
      </c>
      <c r="J32" s="54">
        <f t="shared" si="9"/>
        <v>3840000</v>
      </c>
      <c r="K32" s="44">
        <f t="shared" si="10"/>
        <v>1.1636363636363636E-2</v>
      </c>
      <c r="L32" s="13">
        <v>0.6</v>
      </c>
      <c r="M32" s="13">
        <v>0</v>
      </c>
      <c r="N32" s="13">
        <v>0.4</v>
      </c>
      <c r="O32" s="13">
        <v>0</v>
      </c>
      <c r="P32" s="13">
        <v>0</v>
      </c>
      <c r="Q32" s="13">
        <v>0</v>
      </c>
      <c r="R32" s="13">
        <f t="shared" si="2"/>
        <v>0.3</v>
      </c>
      <c r="S32" s="13">
        <f t="shared" si="3"/>
        <v>0</v>
      </c>
      <c r="T32" s="13">
        <v>0</v>
      </c>
      <c r="U32" s="13">
        <v>0</v>
      </c>
      <c r="V32" s="13">
        <f t="shared" si="4"/>
        <v>0</v>
      </c>
      <c r="W32" s="13">
        <f t="shared" si="5"/>
        <v>0</v>
      </c>
      <c r="X32" s="13">
        <f t="shared" si="6"/>
        <v>0.3</v>
      </c>
      <c r="Y32" s="54">
        <f t="shared" si="11"/>
        <v>1152000</v>
      </c>
      <c r="Z32" s="43">
        <f t="shared" si="7"/>
        <v>3.4909090909090905E-3</v>
      </c>
      <c r="AA32" s="43">
        <f t="shared" si="8"/>
        <v>0.7</v>
      </c>
      <c r="AB32" s="43">
        <v>0.65</v>
      </c>
      <c r="AC32" s="57">
        <f t="shared" si="16"/>
        <v>748800</v>
      </c>
      <c r="AE32" s="58">
        <f t="shared" si="12"/>
        <v>1086171.4285714286</v>
      </c>
      <c r="AF32" s="58">
        <f t="shared" si="13"/>
        <v>65828.57142857142</v>
      </c>
      <c r="AG32" s="61">
        <f t="shared" si="14"/>
        <v>0.28285714285714286</v>
      </c>
      <c r="AH32" s="61">
        <f t="shared" si="15"/>
        <v>1.714285714285714E-2</v>
      </c>
      <c r="AI32" s="17" t="s">
        <v>173</v>
      </c>
    </row>
    <row r="33" spans="1:35">
      <c r="A33" s="14" t="s">
        <v>56</v>
      </c>
      <c r="B33" s="13">
        <v>1940</v>
      </c>
      <c r="C33" s="13">
        <v>1869</v>
      </c>
      <c r="D33" s="13">
        <v>1844</v>
      </c>
      <c r="E33" s="13">
        <f t="shared" si="0"/>
        <v>71</v>
      </c>
      <c r="F33" s="13">
        <f t="shared" si="1"/>
        <v>25</v>
      </c>
      <c r="G33" s="13" t="s">
        <v>57</v>
      </c>
      <c r="H33" s="54">
        <v>75000</v>
      </c>
      <c r="I33" s="13">
        <v>35</v>
      </c>
      <c r="J33" s="54">
        <f t="shared" si="9"/>
        <v>2625000</v>
      </c>
      <c r="K33" s="43">
        <f t="shared" si="10"/>
        <v>3.6971830985915492E-2</v>
      </c>
      <c r="L33" s="13">
        <v>0.8</v>
      </c>
      <c r="M33" s="13">
        <v>0</v>
      </c>
      <c r="N33" s="13">
        <v>0.2</v>
      </c>
      <c r="O33" s="13">
        <v>0</v>
      </c>
      <c r="P33" s="13">
        <v>0</v>
      </c>
      <c r="Q33" s="13">
        <v>0</v>
      </c>
      <c r="R33" s="13">
        <f t="shared" si="2"/>
        <v>0.4</v>
      </c>
      <c r="S33" s="13">
        <f t="shared" si="3"/>
        <v>0</v>
      </c>
      <c r="T33" s="13">
        <v>0</v>
      </c>
      <c r="U33" s="13">
        <v>0</v>
      </c>
      <c r="V33" s="13">
        <f t="shared" si="4"/>
        <v>0</v>
      </c>
      <c r="W33" s="13">
        <f t="shared" si="5"/>
        <v>0</v>
      </c>
      <c r="X33" s="13">
        <f t="shared" si="6"/>
        <v>0.4</v>
      </c>
      <c r="Y33" s="54">
        <f t="shared" si="11"/>
        <v>1050000</v>
      </c>
      <c r="Z33" s="43">
        <f t="shared" si="7"/>
        <v>1.4788732394366198E-2</v>
      </c>
      <c r="AA33" s="43">
        <f t="shared" si="8"/>
        <v>0.6</v>
      </c>
      <c r="AB33" s="43">
        <v>0.95</v>
      </c>
      <c r="AC33" s="57">
        <f t="shared" si="16"/>
        <v>997500</v>
      </c>
      <c r="AE33" s="58">
        <f t="shared" si="12"/>
        <v>776562.5</v>
      </c>
      <c r="AF33" s="58">
        <f t="shared" si="13"/>
        <v>273437.5</v>
      </c>
      <c r="AG33" s="61">
        <f t="shared" si="14"/>
        <v>0.29583333333333334</v>
      </c>
      <c r="AH33" s="61">
        <f t="shared" si="15"/>
        <v>0.10416666666666669</v>
      </c>
      <c r="AI33" s="17" t="s">
        <v>104</v>
      </c>
    </row>
    <row r="34" spans="1:35" ht="31.2">
      <c r="A34" s="41" t="s">
        <v>71</v>
      </c>
      <c r="B34" s="13">
        <v>2000</v>
      </c>
      <c r="C34" s="13">
        <v>1865</v>
      </c>
      <c r="D34" s="13">
        <v>1845</v>
      </c>
      <c r="E34" s="13">
        <f t="shared" si="0"/>
        <v>135</v>
      </c>
      <c r="F34" s="13">
        <f t="shared" si="1"/>
        <v>20</v>
      </c>
      <c r="G34" s="13"/>
      <c r="H34" s="54">
        <v>78000</v>
      </c>
      <c r="I34" s="13">
        <v>40</v>
      </c>
      <c r="J34" s="54">
        <f t="shared" si="9"/>
        <v>3120000</v>
      </c>
      <c r="K34" s="44">
        <f t="shared" si="10"/>
        <v>2.311111111111111E-2</v>
      </c>
      <c r="L34" s="13">
        <v>0.6</v>
      </c>
      <c r="M34" s="13">
        <v>0</v>
      </c>
      <c r="N34" s="13">
        <v>0.4</v>
      </c>
      <c r="O34" s="13">
        <v>0</v>
      </c>
      <c r="P34" s="13">
        <v>0</v>
      </c>
      <c r="Q34" s="13">
        <v>0</v>
      </c>
      <c r="R34" s="13">
        <f t="shared" si="2"/>
        <v>0.3</v>
      </c>
      <c r="S34" s="13">
        <f t="shared" si="3"/>
        <v>0</v>
      </c>
      <c r="T34" s="13">
        <v>0</v>
      </c>
      <c r="U34" s="13">
        <v>0</v>
      </c>
      <c r="V34" s="13">
        <f t="shared" si="4"/>
        <v>0</v>
      </c>
      <c r="W34" s="13">
        <f t="shared" si="5"/>
        <v>0</v>
      </c>
      <c r="X34" s="13">
        <f t="shared" si="6"/>
        <v>0.3</v>
      </c>
      <c r="Y34" s="54">
        <f t="shared" si="11"/>
        <v>936000</v>
      </c>
      <c r="Z34" s="43">
        <f t="shared" si="7"/>
        <v>6.933333333333333E-3</v>
      </c>
      <c r="AA34" s="43">
        <f t="shared" si="8"/>
        <v>0.7</v>
      </c>
      <c r="AB34" s="43">
        <v>0.93</v>
      </c>
      <c r="AC34" s="57">
        <f t="shared" si="16"/>
        <v>870480</v>
      </c>
      <c r="AD34" s="40" t="s">
        <v>337</v>
      </c>
      <c r="AE34" s="58">
        <f t="shared" si="12"/>
        <v>815225.80645161285</v>
      </c>
      <c r="AF34" s="58">
        <f t="shared" si="13"/>
        <v>120774.19354838709</v>
      </c>
      <c r="AG34" s="61">
        <f t="shared" si="14"/>
        <v>0.26129032258064516</v>
      </c>
      <c r="AH34" s="61">
        <f t="shared" si="15"/>
        <v>3.8709677419354833E-2</v>
      </c>
      <c r="AI34" s="40" t="s">
        <v>225</v>
      </c>
    </row>
    <row r="35" spans="1:35">
      <c r="A35" s="14" t="s">
        <v>284</v>
      </c>
      <c r="B35" s="13">
        <v>1980</v>
      </c>
      <c r="C35" s="13">
        <v>1850</v>
      </c>
      <c r="D35" s="13">
        <v>1800</v>
      </c>
      <c r="E35" s="13">
        <f t="shared" si="0"/>
        <v>130</v>
      </c>
      <c r="F35" s="13">
        <f t="shared" si="1"/>
        <v>50</v>
      </c>
      <c r="G35" s="45" t="s">
        <v>289</v>
      </c>
      <c r="H35" s="54">
        <v>983400</v>
      </c>
      <c r="I35" s="13">
        <v>40</v>
      </c>
      <c r="J35" s="54">
        <f t="shared" si="9"/>
        <v>39336000</v>
      </c>
      <c r="K35" s="43">
        <f t="shared" si="10"/>
        <v>0.3025846153846154</v>
      </c>
      <c r="L35" s="46">
        <v>0.4</v>
      </c>
      <c r="M35" s="46">
        <v>0.18</v>
      </c>
      <c r="N35" s="46">
        <v>0.12</v>
      </c>
      <c r="O35" s="46">
        <v>0.1</v>
      </c>
      <c r="P35" s="46">
        <v>0.05</v>
      </c>
      <c r="Q35" s="46">
        <v>0.15</v>
      </c>
      <c r="R35" s="13">
        <f t="shared" si="2"/>
        <v>0.2</v>
      </c>
      <c r="S35" s="13">
        <f t="shared" si="3"/>
        <v>0.16200000000000001</v>
      </c>
      <c r="T35" s="13">
        <v>0</v>
      </c>
      <c r="U35" s="13">
        <v>0</v>
      </c>
      <c r="V35" s="13">
        <f t="shared" si="4"/>
        <v>4.5000000000000005E-2</v>
      </c>
      <c r="W35" s="13">
        <f t="shared" si="5"/>
        <v>0.13500000000000001</v>
      </c>
      <c r="X35" s="13">
        <f t="shared" si="6"/>
        <v>0.54200000000000004</v>
      </c>
      <c r="Y35" s="54">
        <f t="shared" si="11"/>
        <v>21320112</v>
      </c>
      <c r="Z35" s="43">
        <f t="shared" si="7"/>
        <v>0.16400086153846155</v>
      </c>
      <c r="AA35" s="43">
        <f t="shared" si="8"/>
        <v>0.45799999999999996</v>
      </c>
      <c r="AB35" s="43">
        <v>0.98</v>
      </c>
      <c r="AC35" s="57">
        <f t="shared" si="16"/>
        <v>20893709.759999998</v>
      </c>
      <c r="AE35" s="58">
        <f t="shared" si="12"/>
        <v>15397858.666666666</v>
      </c>
      <c r="AF35" s="58">
        <f t="shared" si="13"/>
        <v>5922253.333333334</v>
      </c>
      <c r="AG35" s="61">
        <f t="shared" si="14"/>
        <v>0.39144444444444448</v>
      </c>
      <c r="AH35" s="61">
        <f t="shared" si="15"/>
        <v>0.15055555555555558</v>
      </c>
      <c r="AI35" t="s">
        <v>205</v>
      </c>
    </row>
    <row r="36" spans="1:35">
      <c r="A36" s="15" t="s">
        <v>157</v>
      </c>
      <c r="B36" s="13">
        <v>1900</v>
      </c>
      <c r="C36" s="13">
        <v>1850</v>
      </c>
      <c r="D36" s="13">
        <v>1820</v>
      </c>
      <c r="E36" s="13">
        <f t="shared" si="0"/>
        <v>50</v>
      </c>
      <c r="F36" s="13">
        <f t="shared" si="1"/>
        <v>30</v>
      </c>
      <c r="G36" s="13"/>
      <c r="H36" s="54">
        <v>105000</v>
      </c>
      <c r="I36" s="13">
        <v>40</v>
      </c>
      <c r="J36" s="54">
        <f t="shared" si="9"/>
        <v>4200000</v>
      </c>
      <c r="K36" s="44">
        <f t="shared" si="10"/>
        <v>8.4000000000000005E-2</v>
      </c>
      <c r="L36" s="13">
        <v>0.6</v>
      </c>
      <c r="M36" s="13">
        <v>0.1</v>
      </c>
      <c r="N36" s="13">
        <v>0.2</v>
      </c>
      <c r="O36" s="13">
        <v>0</v>
      </c>
      <c r="P36" s="13">
        <v>0</v>
      </c>
      <c r="Q36" s="13">
        <v>0.1</v>
      </c>
      <c r="R36" s="13">
        <f t="shared" si="2"/>
        <v>0.3</v>
      </c>
      <c r="S36" s="13">
        <f t="shared" si="3"/>
        <v>9.0000000000000011E-2</v>
      </c>
      <c r="T36" s="13">
        <v>0</v>
      </c>
      <c r="U36" s="13">
        <v>0</v>
      </c>
      <c r="V36" s="13">
        <f t="shared" si="4"/>
        <v>0</v>
      </c>
      <c r="W36" s="13">
        <f t="shared" si="5"/>
        <v>9.0000000000000011E-2</v>
      </c>
      <c r="X36" s="13">
        <f t="shared" si="6"/>
        <v>0.48000000000000004</v>
      </c>
      <c r="Y36" s="54">
        <f t="shared" si="11"/>
        <v>2016000.0000000002</v>
      </c>
      <c r="Z36" s="43">
        <f t="shared" si="7"/>
        <v>4.0320000000000009E-2</v>
      </c>
      <c r="AA36" s="43">
        <f t="shared" si="8"/>
        <v>0.52</v>
      </c>
      <c r="AB36" s="43">
        <v>1</v>
      </c>
      <c r="AC36" s="57">
        <f t="shared" si="16"/>
        <v>2016000.0000000002</v>
      </c>
      <c r="AE36" s="58">
        <f t="shared" si="12"/>
        <v>1260000.0000000002</v>
      </c>
      <c r="AF36" s="58">
        <f t="shared" si="13"/>
        <v>756000.00000000012</v>
      </c>
      <c r="AG36" s="61">
        <f t="shared" si="14"/>
        <v>0.30000000000000004</v>
      </c>
      <c r="AH36" s="61">
        <f t="shared" si="15"/>
        <v>0.18000000000000002</v>
      </c>
      <c r="AI36" s="17" t="s">
        <v>105</v>
      </c>
    </row>
    <row r="37" spans="1:35">
      <c r="A37" s="41" t="s">
        <v>118</v>
      </c>
      <c r="B37" s="13">
        <v>1870</v>
      </c>
      <c r="C37" s="13">
        <v>1850</v>
      </c>
      <c r="D37" s="13">
        <v>1830</v>
      </c>
      <c r="E37" s="13">
        <f t="shared" si="0"/>
        <v>20</v>
      </c>
      <c r="F37" s="13">
        <f t="shared" si="1"/>
        <v>20</v>
      </c>
      <c r="G37" s="13"/>
      <c r="H37" s="54">
        <v>55000</v>
      </c>
      <c r="I37" s="13">
        <v>40</v>
      </c>
      <c r="J37" s="54">
        <f t="shared" si="9"/>
        <v>2200000</v>
      </c>
      <c r="K37" s="44">
        <f t="shared" si="10"/>
        <v>0.11</v>
      </c>
      <c r="L37" s="13">
        <v>0.9</v>
      </c>
      <c r="M37" s="13">
        <v>0</v>
      </c>
      <c r="N37" s="13">
        <v>0.1</v>
      </c>
      <c r="O37" s="13">
        <v>0</v>
      </c>
      <c r="P37" s="13">
        <v>0</v>
      </c>
      <c r="Q37" s="13">
        <v>0</v>
      </c>
      <c r="R37" s="13">
        <f t="shared" si="2"/>
        <v>0.45</v>
      </c>
      <c r="S37" s="13">
        <f t="shared" si="3"/>
        <v>0</v>
      </c>
      <c r="T37" s="13">
        <v>0</v>
      </c>
      <c r="U37" s="13">
        <v>0</v>
      </c>
      <c r="V37" s="13">
        <f t="shared" si="4"/>
        <v>0</v>
      </c>
      <c r="W37" s="13">
        <f t="shared" si="5"/>
        <v>0</v>
      </c>
      <c r="X37" s="13">
        <f t="shared" si="6"/>
        <v>0.45</v>
      </c>
      <c r="Y37" s="54">
        <f t="shared" si="11"/>
        <v>990000</v>
      </c>
      <c r="Z37" s="43">
        <f t="shared" si="7"/>
        <v>4.9500000000000002E-2</v>
      </c>
      <c r="AA37" s="43">
        <f t="shared" si="8"/>
        <v>0.55000000000000004</v>
      </c>
      <c r="AB37" s="43">
        <v>1</v>
      </c>
      <c r="AC37" s="57">
        <f t="shared" si="16"/>
        <v>990000</v>
      </c>
      <c r="AE37" s="58">
        <f t="shared" si="12"/>
        <v>495000</v>
      </c>
      <c r="AF37" s="58">
        <f t="shared" si="13"/>
        <v>495000</v>
      </c>
      <c r="AG37" s="61">
        <f t="shared" si="14"/>
        <v>0.22500000000000001</v>
      </c>
      <c r="AH37" s="61">
        <f t="shared" si="15"/>
        <v>0.22500000000000001</v>
      </c>
      <c r="AI37" s="40" t="s">
        <v>174</v>
      </c>
    </row>
    <row r="38" spans="1:35">
      <c r="A38" s="15" t="s">
        <v>75</v>
      </c>
      <c r="B38" s="13">
        <v>1860</v>
      </c>
      <c r="C38" s="13">
        <v>1830</v>
      </c>
      <c r="D38" s="13">
        <v>1760</v>
      </c>
      <c r="E38" s="13">
        <f t="shared" si="0"/>
        <v>30</v>
      </c>
      <c r="F38" s="13">
        <f t="shared" si="1"/>
        <v>70</v>
      </c>
      <c r="G38" s="13" t="s">
        <v>210</v>
      </c>
      <c r="H38" s="54">
        <v>500000</v>
      </c>
      <c r="I38" s="13">
        <v>40</v>
      </c>
      <c r="J38" s="54">
        <f t="shared" si="9"/>
        <v>20000000</v>
      </c>
      <c r="K38" s="44">
        <f t="shared" si="10"/>
        <v>0.66666666666666663</v>
      </c>
      <c r="L38" s="13">
        <v>0.5</v>
      </c>
      <c r="M38" s="13">
        <v>0</v>
      </c>
      <c r="N38" s="13">
        <v>0.5</v>
      </c>
      <c r="O38" s="13">
        <v>0</v>
      </c>
      <c r="P38" s="13">
        <v>0</v>
      </c>
      <c r="Q38" s="13">
        <v>0</v>
      </c>
      <c r="R38" s="13">
        <f t="shared" si="2"/>
        <v>0.25</v>
      </c>
      <c r="S38" s="13">
        <f t="shared" si="3"/>
        <v>0</v>
      </c>
      <c r="T38" s="13">
        <v>0</v>
      </c>
      <c r="U38" s="13">
        <v>0</v>
      </c>
      <c r="V38" s="13">
        <f t="shared" si="4"/>
        <v>0</v>
      </c>
      <c r="W38" s="13">
        <f t="shared" si="5"/>
        <v>0</v>
      </c>
      <c r="X38" s="13">
        <f t="shared" si="6"/>
        <v>0.25</v>
      </c>
      <c r="Y38" s="54">
        <f t="shared" si="11"/>
        <v>5000000</v>
      </c>
      <c r="Z38" s="43">
        <f t="shared" si="7"/>
        <v>0.16666666666666666</v>
      </c>
      <c r="AA38" s="43">
        <f t="shared" si="8"/>
        <v>0.75</v>
      </c>
      <c r="AB38" s="43">
        <v>0.96</v>
      </c>
      <c r="AC38" s="57">
        <f t="shared" si="16"/>
        <v>4800000</v>
      </c>
      <c r="AE38" s="58">
        <f t="shared" si="12"/>
        <v>1500000</v>
      </c>
      <c r="AF38" s="58">
        <f t="shared" si="13"/>
        <v>3500000</v>
      </c>
      <c r="AG38" s="61">
        <f t="shared" si="14"/>
        <v>7.4999999999999997E-2</v>
      </c>
      <c r="AH38" s="61">
        <f t="shared" si="15"/>
        <v>0.17499999999999999</v>
      </c>
      <c r="AI38" s="40" t="s">
        <v>333</v>
      </c>
    </row>
    <row r="39" spans="1:35">
      <c r="A39" s="41" t="s">
        <v>334</v>
      </c>
      <c r="B39" s="13">
        <v>1862</v>
      </c>
      <c r="C39" s="13">
        <v>1825</v>
      </c>
      <c r="D39" s="13">
        <v>1800</v>
      </c>
      <c r="E39" s="13">
        <f t="shared" ref="E39:E55" si="17">B39-C39</f>
        <v>37</v>
      </c>
      <c r="F39" s="13">
        <f t="shared" ref="F39:F56" si="18">C39-D39</f>
        <v>25</v>
      </c>
      <c r="G39" s="13"/>
      <c r="H39" s="54">
        <v>72000</v>
      </c>
      <c r="I39" s="13">
        <v>40</v>
      </c>
      <c r="J39" s="54">
        <f t="shared" si="9"/>
        <v>2880000</v>
      </c>
      <c r="K39" s="44">
        <f t="shared" si="10"/>
        <v>7.7837837837837834E-2</v>
      </c>
      <c r="L39" s="13">
        <v>0.8</v>
      </c>
      <c r="M39" s="13">
        <v>0</v>
      </c>
      <c r="N39" s="13">
        <v>0.2</v>
      </c>
      <c r="O39" s="13">
        <v>0</v>
      </c>
      <c r="P39" s="13">
        <v>0</v>
      </c>
      <c r="Q39" s="13">
        <v>0</v>
      </c>
      <c r="R39" s="13">
        <f t="shared" ref="R39:R56" si="19">L39*0.5</f>
        <v>0.4</v>
      </c>
      <c r="S39" s="13">
        <f t="shared" ref="S39:S56" si="20">M39*0.9</f>
        <v>0</v>
      </c>
      <c r="T39" s="13">
        <v>0</v>
      </c>
      <c r="U39" s="13">
        <v>0</v>
      </c>
      <c r="V39" s="13">
        <f t="shared" ref="V39:V56" si="21">P39*0.9</f>
        <v>0</v>
      </c>
      <c r="W39" s="13">
        <f t="shared" ref="W39:W56" si="22">Q39*0.9</f>
        <v>0</v>
      </c>
      <c r="X39" s="13">
        <f t="shared" ref="X39:X56" si="23">SUM(R39:W39)</f>
        <v>0.4</v>
      </c>
      <c r="Y39" s="54">
        <f t="shared" si="11"/>
        <v>1152000</v>
      </c>
      <c r="Z39" s="43">
        <f t="shared" ref="Z39:Z56" si="24">K39*(X39)</f>
        <v>3.1135135135135134E-2</v>
      </c>
      <c r="AA39" s="43">
        <f t="shared" ref="AA39:AA56" si="25">1-X39</f>
        <v>0.6</v>
      </c>
      <c r="AB39" s="43">
        <v>0.89</v>
      </c>
      <c r="AC39" s="57">
        <f t="shared" si="16"/>
        <v>1025280</v>
      </c>
      <c r="AE39" s="58">
        <f t="shared" si="12"/>
        <v>687483.87096774194</v>
      </c>
      <c r="AF39" s="58">
        <f t="shared" si="13"/>
        <v>464516.12903225806</v>
      </c>
      <c r="AG39" s="61">
        <f t="shared" si="14"/>
        <v>0.23870967741935487</v>
      </c>
      <c r="AH39" s="61">
        <f t="shared" si="15"/>
        <v>0.16129032258064516</v>
      </c>
      <c r="AI39" s="40" t="s">
        <v>333</v>
      </c>
    </row>
    <row r="40" spans="1:35">
      <c r="A40" s="14" t="s">
        <v>127</v>
      </c>
      <c r="B40" s="13">
        <v>1900</v>
      </c>
      <c r="C40" s="13">
        <v>1800</v>
      </c>
      <c r="D40" s="13">
        <v>1780</v>
      </c>
      <c r="E40" s="13">
        <f t="shared" si="17"/>
        <v>100</v>
      </c>
      <c r="F40" s="13">
        <f t="shared" si="18"/>
        <v>20</v>
      </c>
      <c r="G40" s="13" t="s">
        <v>52</v>
      </c>
      <c r="H40" s="54">
        <v>165000</v>
      </c>
      <c r="I40" s="13">
        <v>40</v>
      </c>
      <c r="J40" s="54">
        <f t="shared" si="9"/>
        <v>6600000</v>
      </c>
      <c r="K40" s="44">
        <f t="shared" si="10"/>
        <v>6.6000000000000003E-2</v>
      </c>
      <c r="L40" s="13">
        <v>0.8</v>
      </c>
      <c r="M40" s="13">
        <v>0.1</v>
      </c>
      <c r="N40" s="13">
        <v>0.1</v>
      </c>
      <c r="O40" s="13">
        <v>0</v>
      </c>
      <c r="P40" s="13">
        <v>0</v>
      </c>
      <c r="Q40" s="13">
        <v>0</v>
      </c>
      <c r="R40" s="13">
        <f t="shared" si="19"/>
        <v>0.4</v>
      </c>
      <c r="S40" s="13">
        <f t="shared" si="20"/>
        <v>9.0000000000000011E-2</v>
      </c>
      <c r="T40" s="13">
        <v>0</v>
      </c>
      <c r="U40" s="13">
        <v>0</v>
      </c>
      <c r="V40" s="13">
        <f t="shared" si="21"/>
        <v>0</v>
      </c>
      <c r="W40" s="13">
        <f t="shared" si="22"/>
        <v>0</v>
      </c>
      <c r="X40" s="13">
        <f t="shared" si="23"/>
        <v>0.49000000000000005</v>
      </c>
      <c r="Y40" s="54">
        <f t="shared" si="11"/>
        <v>3234000.0000000005</v>
      </c>
      <c r="Z40" s="43">
        <f t="shared" si="24"/>
        <v>3.2340000000000008E-2</v>
      </c>
      <c r="AA40" s="43">
        <f t="shared" si="25"/>
        <v>0.51</v>
      </c>
      <c r="AB40" s="43">
        <v>0.85</v>
      </c>
      <c r="AC40" s="57">
        <f t="shared" si="16"/>
        <v>2748900.0000000005</v>
      </c>
      <c r="AE40" s="58">
        <f t="shared" si="12"/>
        <v>2695000.0000000005</v>
      </c>
      <c r="AF40" s="58">
        <f t="shared" si="13"/>
        <v>539000</v>
      </c>
      <c r="AG40" s="61">
        <f t="shared" si="14"/>
        <v>0.40833333333333338</v>
      </c>
      <c r="AH40" s="61">
        <f t="shared" si="15"/>
        <v>8.1666666666666665E-2</v>
      </c>
    </row>
    <row r="41" spans="1:35" ht="31.2">
      <c r="A41" s="15" t="s">
        <v>211</v>
      </c>
      <c r="B41" s="13">
        <v>1850</v>
      </c>
      <c r="C41" s="13">
        <v>1740</v>
      </c>
      <c r="D41" s="13">
        <v>1700</v>
      </c>
      <c r="E41" s="13">
        <f t="shared" si="17"/>
        <v>110</v>
      </c>
      <c r="F41" s="13">
        <f t="shared" si="18"/>
        <v>40</v>
      </c>
      <c r="G41" s="13" t="s">
        <v>190</v>
      </c>
      <c r="H41" s="54">
        <v>345000</v>
      </c>
      <c r="I41" s="13">
        <v>40</v>
      </c>
      <c r="J41" s="54">
        <f t="shared" si="9"/>
        <v>13800000</v>
      </c>
      <c r="K41" s="44">
        <f t="shared" si="10"/>
        <v>0.12545454545454546</v>
      </c>
      <c r="L41" s="13">
        <v>0.4</v>
      </c>
      <c r="M41" s="13">
        <v>0.1</v>
      </c>
      <c r="N41" s="13">
        <v>0.5</v>
      </c>
      <c r="O41" s="13">
        <v>0</v>
      </c>
      <c r="P41" s="13">
        <v>0</v>
      </c>
      <c r="Q41" s="13">
        <v>0</v>
      </c>
      <c r="R41" s="13">
        <f t="shared" si="19"/>
        <v>0.2</v>
      </c>
      <c r="S41" s="13">
        <f t="shared" si="20"/>
        <v>9.0000000000000011E-2</v>
      </c>
      <c r="T41" s="13">
        <v>0</v>
      </c>
      <c r="U41" s="13">
        <v>0</v>
      </c>
      <c r="V41" s="13">
        <f t="shared" si="21"/>
        <v>0</v>
      </c>
      <c r="W41" s="13">
        <f t="shared" si="22"/>
        <v>0</v>
      </c>
      <c r="X41" s="13">
        <f t="shared" si="23"/>
        <v>0.29000000000000004</v>
      </c>
      <c r="Y41" s="54">
        <f t="shared" si="11"/>
        <v>4002000.0000000005</v>
      </c>
      <c r="Z41" s="43">
        <f t="shared" si="24"/>
        <v>3.6381818181818189E-2</v>
      </c>
      <c r="AA41" s="43">
        <f t="shared" si="25"/>
        <v>0.71</v>
      </c>
      <c r="AB41" s="43">
        <v>0.85</v>
      </c>
      <c r="AC41" s="57">
        <f t="shared" si="16"/>
        <v>3401700.0000000005</v>
      </c>
      <c r="AE41" s="58">
        <f t="shared" si="12"/>
        <v>2934800</v>
      </c>
      <c r="AF41" s="58">
        <f t="shared" si="13"/>
        <v>1067200</v>
      </c>
      <c r="AG41" s="61">
        <f t="shared" si="14"/>
        <v>0.21266666666666667</v>
      </c>
      <c r="AH41" s="61">
        <f t="shared" si="15"/>
        <v>7.7333333333333337E-2</v>
      </c>
      <c r="AI41" s="40" t="s">
        <v>107</v>
      </c>
    </row>
    <row r="42" spans="1:35">
      <c r="A42" s="14" t="s">
        <v>84</v>
      </c>
      <c r="B42" s="13">
        <v>1840</v>
      </c>
      <c r="C42" s="13">
        <v>1730</v>
      </c>
      <c r="D42" s="13">
        <v>1700</v>
      </c>
      <c r="E42" s="13">
        <f t="shared" si="17"/>
        <v>110</v>
      </c>
      <c r="F42" s="13">
        <f t="shared" si="18"/>
        <v>30</v>
      </c>
      <c r="G42" s="13" t="s">
        <v>85</v>
      </c>
      <c r="H42" s="54">
        <v>500000</v>
      </c>
      <c r="I42" s="13">
        <v>40</v>
      </c>
      <c r="J42" s="54">
        <f t="shared" si="9"/>
        <v>20000000</v>
      </c>
      <c r="K42" s="43">
        <f t="shared" si="10"/>
        <v>0.18181818181818182</v>
      </c>
      <c r="L42" s="13">
        <v>0.5</v>
      </c>
      <c r="M42" s="13">
        <v>0</v>
      </c>
      <c r="N42" s="13">
        <v>0.5</v>
      </c>
      <c r="O42" s="13">
        <v>0</v>
      </c>
      <c r="P42" s="13">
        <v>0</v>
      </c>
      <c r="Q42" s="13">
        <v>0</v>
      </c>
      <c r="R42" s="13">
        <f t="shared" si="19"/>
        <v>0.25</v>
      </c>
      <c r="S42" s="13">
        <f t="shared" si="20"/>
        <v>0</v>
      </c>
      <c r="T42" s="13">
        <v>0</v>
      </c>
      <c r="U42" s="13">
        <v>0</v>
      </c>
      <c r="V42" s="13">
        <f t="shared" si="21"/>
        <v>0</v>
      </c>
      <c r="W42" s="13">
        <f t="shared" si="22"/>
        <v>0</v>
      </c>
      <c r="X42" s="13">
        <f t="shared" si="23"/>
        <v>0.25</v>
      </c>
      <c r="Y42" s="54">
        <f t="shared" si="11"/>
        <v>5000000</v>
      </c>
      <c r="Z42" s="43">
        <f t="shared" si="24"/>
        <v>4.5454545454545456E-2</v>
      </c>
      <c r="AA42" s="43">
        <f t="shared" si="25"/>
        <v>0.75</v>
      </c>
      <c r="AB42" s="43">
        <v>0.85</v>
      </c>
      <c r="AC42" s="57">
        <f t="shared" si="16"/>
        <v>4250000</v>
      </c>
      <c r="AE42" s="58">
        <f t="shared" si="12"/>
        <v>3928571.4285714286</v>
      </c>
      <c r="AF42" s="58">
        <f t="shared" si="13"/>
        <v>1071428.5714285714</v>
      </c>
      <c r="AG42" s="61">
        <f t="shared" si="14"/>
        <v>0.19642857142857142</v>
      </c>
      <c r="AH42" s="61">
        <f t="shared" si="15"/>
        <v>5.3571428571428568E-2</v>
      </c>
      <c r="AI42" s="17" t="s">
        <v>344</v>
      </c>
    </row>
    <row r="43" spans="1:35" ht="31.2">
      <c r="A43" s="41" t="s">
        <v>90</v>
      </c>
      <c r="B43" s="13">
        <v>1700</v>
      </c>
      <c r="C43" s="13">
        <v>1580</v>
      </c>
      <c r="D43" s="13">
        <v>1540</v>
      </c>
      <c r="E43" s="13">
        <f t="shared" si="17"/>
        <v>120</v>
      </c>
      <c r="F43" s="13">
        <f t="shared" si="18"/>
        <v>40</v>
      </c>
      <c r="G43" s="13"/>
      <c r="H43" s="54">
        <v>500000</v>
      </c>
      <c r="I43" s="13">
        <v>40</v>
      </c>
      <c r="J43" s="54">
        <f t="shared" si="9"/>
        <v>20000000</v>
      </c>
      <c r="K43" s="44">
        <f t="shared" si="10"/>
        <v>0.16666666666666666</v>
      </c>
      <c r="L43" s="13">
        <v>0.5</v>
      </c>
      <c r="M43" s="13">
        <v>0.05</v>
      </c>
      <c r="N43" s="13">
        <v>0.4</v>
      </c>
      <c r="O43" s="13">
        <v>0</v>
      </c>
      <c r="P43" s="13">
        <v>0</v>
      </c>
      <c r="Q43" s="13">
        <v>0.05</v>
      </c>
      <c r="R43" s="13">
        <f t="shared" si="19"/>
        <v>0.25</v>
      </c>
      <c r="S43" s="13">
        <f t="shared" si="20"/>
        <v>4.5000000000000005E-2</v>
      </c>
      <c r="T43" s="13">
        <v>0</v>
      </c>
      <c r="U43" s="13">
        <v>0</v>
      </c>
      <c r="V43" s="13">
        <f t="shared" si="21"/>
        <v>0</v>
      </c>
      <c r="W43" s="13">
        <f t="shared" si="22"/>
        <v>4.5000000000000005E-2</v>
      </c>
      <c r="X43" s="13">
        <f t="shared" si="23"/>
        <v>0.33999999999999997</v>
      </c>
      <c r="Y43" s="54">
        <f t="shared" si="11"/>
        <v>6799999.9999999991</v>
      </c>
      <c r="Z43" s="43">
        <f t="shared" si="24"/>
        <v>5.6666666666666657E-2</v>
      </c>
      <c r="AA43" s="43">
        <f t="shared" si="25"/>
        <v>0.66</v>
      </c>
      <c r="AB43" s="43">
        <v>0.9</v>
      </c>
      <c r="AC43" s="57">
        <f t="shared" si="16"/>
        <v>6119999.9999999991</v>
      </c>
      <c r="AD43" s="40" t="s">
        <v>337</v>
      </c>
      <c r="AE43" s="58">
        <f t="shared" si="12"/>
        <v>5099999.9999999991</v>
      </c>
      <c r="AF43" s="58">
        <f t="shared" si="13"/>
        <v>1699999.9999999998</v>
      </c>
      <c r="AG43" s="61">
        <f t="shared" si="14"/>
        <v>0.255</v>
      </c>
      <c r="AH43" s="61">
        <f t="shared" si="15"/>
        <v>8.4999999999999992E-2</v>
      </c>
      <c r="AI43" s="40" t="s">
        <v>80</v>
      </c>
    </row>
    <row r="44" spans="1:35" ht="31.2">
      <c r="A44" s="14" t="s">
        <v>251</v>
      </c>
      <c r="B44" s="13">
        <v>1690</v>
      </c>
      <c r="C44" s="13">
        <v>1570</v>
      </c>
      <c r="D44" s="13">
        <v>1540</v>
      </c>
      <c r="E44" s="13">
        <f t="shared" si="17"/>
        <v>120</v>
      </c>
      <c r="F44" s="13">
        <f t="shared" si="18"/>
        <v>30</v>
      </c>
      <c r="G44" s="13"/>
      <c r="H44" s="54">
        <v>250500</v>
      </c>
      <c r="I44" s="13">
        <v>40</v>
      </c>
      <c r="J44" s="54">
        <f t="shared" si="9"/>
        <v>10020000</v>
      </c>
      <c r="K44" s="43">
        <f t="shared" si="10"/>
        <v>8.3500000000000005E-2</v>
      </c>
      <c r="L44" s="13">
        <v>0.8</v>
      </c>
      <c r="M44" s="13">
        <v>0</v>
      </c>
      <c r="N44" s="13">
        <v>0.2</v>
      </c>
      <c r="O44" s="13">
        <v>0</v>
      </c>
      <c r="P44" s="13">
        <v>0</v>
      </c>
      <c r="Q44" s="13">
        <v>0</v>
      </c>
      <c r="R44" s="13">
        <f t="shared" si="19"/>
        <v>0.4</v>
      </c>
      <c r="S44" s="13">
        <f t="shared" si="20"/>
        <v>0</v>
      </c>
      <c r="T44" s="13">
        <v>0</v>
      </c>
      <c r="U44" s="13">
        <v>0</v>
      </c>
      <c r="V44" s="13">
        <f t="shared" si="21"/>
        <v>0</v>
      </c>
      <c r="W44" s="13">
        <f t="shared" si="22"/>
        <v>0</v>
      </c>
      <c r="X44" s="13">
        <f t="shared" si="23"/>
        <v>0.4</v>
      </c>
      <c r="Y44" s="54">
        <f t="shared" si="11"/>
        <v>4008000</v>
      </c>
      <c r="Z44" s="43">
        <f t="shared" si="24"/>
        <v>3.3400000000000006E-2</v>
      </c>
      <c r="AA44" s="43">
        <f t="shared" si="25"/>
        <v>0.6</v>
      </c>
      <c r="AB44" s="43">
        <v>0.8</v>
      </c>
      <c r="AC44" s="57">
        <f t="shared" si="16"/>
        <v>3206400</v>
      </c>
      <c r="AD44" s="40" t="s">
        <v>265</v>
      </c>
      <c r="AE44" s="58">
        <f t="shared" si="12"/>
        <v>3206400</v>
      </c>
      <c r="AF44" s="58">
        <f t="shared" si="13"/>
        <v>801600</v>
      </c>
      <c r="AG44" s="61">
        <f t="shared" si="14"/>
        <v>0.32000000000000006</v>
      </c>
      <c r="AH44" s="61">
        <f t="shared" si="15"/>
        <v>8.0000000000000016E-2</v>
      </c>
      <c r="AI44" s="40" t="s">
        <v>333</v>
      </c>
    </row>
    <row r="45" spans="1:35">
      <c r="A45" s="41" t="s">
        <v>72</v>
      </c>
      <c r="B45" s="13">
        <v>1400</v>
      </c>
      <c r="C45" s="13">
        <v>1330</v>
      </c>
      <c r="D45" s="13">
        <v>1260</v>
      </c>
      <c r="E45" s="13">
        <f t="shared" si="17"/>
        <v>70</v>
      </c>
      <c r="F45" s="13">
        <f t="shared" si="18"/>
        <v>70</v>
      </c>
      <c r="G45" s="13" t="s">
        <v>73</v>
      </c>
      <c r="H45" s="54">
        <v>458700</v>
      </c>
      <c r="I45" s="13">
        <v>40</v>
      </c>
      <c r="J45" s="54">
        <f t="shared" si="9"/>
        <v>18348000</v>
      </c>
      <c r="K45" s="43">
        <f t="shared" si="10"/>
        <v>0.26211428571428569</v>
      </c>
      <c r="L45" s="13">
        <v>0.4</v>
      </c>
      <c r="M45" s="13">
        <v>0</v>
      </c>
      <c r="N45" s="13">
        <v>0.6</v>
      </c>
      <c r="O45" s="13">
        <v>0</v>
      </c>
      <c r="P45" s="13">
        <v>0</v>
      </c>
      <c r="Q45" s="13">
        <v>0</v>
      </c>
      <c r="R45" s="13">
        <f t="shared" si="19"/>
        <v>0.2</v>
      </c>
      <c r="S45" s="13">
        <f t="shared" si="20"/>
        <v>0</v>
      </c>
      <c r="T45" s="13">
        <v>0</v>
      </c>
      <c r="U45" s="13">
        <v>0</v>
      </c>
      <c r="V45" s="13">
        <f t="shared" si="21"/>
        <v>0</v>
      </c>
      <c r="W45" s="13">
        <f t="shared" si="22"/>
        <v>0</v>
      </c>
      <c r="X45" s="13">
        <f t="shared" si="23"/>
        <v>0.2</v>
      </c>
      <c r="Y45" s="54">
        <f t="shared" si="11"/>
        <v>3669600</v>
      </c>
      <c r="Z45" s="43">
        <f t="shared" si="24"/>
        <v>5.2422857142857139E-2</v>
      </c>
      <c r="AA45" s="43">
        <f t="shared" si="25"/>
        <v>0.8</v>
      </c>
      <c r="AB45" s="43">
        <v>0.9</v>
      </c>
      <c r="AC45" s="57">
        <f t="shared" si="16"/>
        <v>3302640</v>
      </c>
      <c r="AD45" s="40" t="s">
        <v>88</v>
      </c>
      <c r="AE45" s="58">
        <f t="shared" si="12"/>
        <v>1834800</v>
      </c>
      <c r="AF45" s="58">
        <f t="shared" si="13"/>
        <v>1834800</v>
      </c>
      <c r="AG45" s="61">
        <f t="shared" si="14"/>
        <v>0.1</v>
      </c>
      <c r="AH45" s="61">
        <f t="shared" si="15"/>
        <v>0.1</v>
      </c>
      <c r="AI45" s="40" t="s">
        <v>83</v>
      </c>
    </row>
    <row r="46" spans="1:35">
      <c r="A46" s="41" t="s">
        <v>91</v>
      </c>
      <c r="B46" s="13">
        <v>1380</v>
      </c>
      <c r="C46" s="13">
        <v>1345</v>
      </c>
      <c r="D46" s="13">
        <v>1293</v>
      </c>
      <c r="E46" s="13">
        <f t="shared" si="17"/>
        <v>35</v>
      </c>
      <c r="F46" s="13">
        <f t="shared" si="18"/>
        <v>52</v>
      </c>
      <c r="G46" s="13"/>
      <c r="H46" s="54">
        <v>288300</v>
      </c>
      <c r="I46" s="13">
        <v>40</v>
      </c>
      <c r="J46" s="54">
        <f t="shared" si="9"/>
        <v>11532000</v>
      </c>
      <c r="K46" s="44">
        <f t="shared" si="10"/>
        <v>0.32948571428571427</v>
      </c>
      <c r="L46" s="13">
        <v>0.4</v>
      </c>
      <c r="M46" s="13">
        <v>0</v>
      </c>
      <c r="N46" s="13">
        <v>0.6</v>
      </c>
      <c r="O46" s="13">
        <v>0</v>
      </c>
      <c r="P46" s="13">
        <v>0</v>
      </c>
      <c r="Q46" s="13">
        <v>0</v>
      </c>
      <c r="R46" s="13">
        <f t="shared" si="19"/>
        <v>0.2</v>
      </c>
      <c r="S46" s="13">
        <f t="shared" si="20"/>
        <v>0</v>
      </c>
      <c r="T46" s="13">
        <v>0</v>
      </c>
      <c r="U46" s="13">
        <v>0</v>
      </c>
      <c r="V46" s="13">
        <f t="shared" si="21"/>
        <v>0</v>
      </c>
      <c r="W46" s="13">
        <f t="shared" si="22"/>
        <v>0</v>
      </c>
      <c r="X46" s="13">
        <f t="shared" si="23"/>
        <v>0.2</v>
      </c>
      <c r="Y46" s="54">
        <f t="shared" si="11"/>
        <v>2306400</v>
      </c>
      <c r="Z46" s="43">
        <f t="shared" si="24"/>
        <v>6.5897142857142862E-2</v>
      </c>
      <c r="AA46" s="43">
        <f t="shared" si="25"/>
        <v>0.8</v>
      </c>
      <c r="AB46" s="43">
        <v>0.9</v>
      </c>
      <c r="AC46" s="57">
        <f t="shared" si="16"/>
        <v>2075760</v>
      </c>
      <c r="AE46" s="58">
        <f t="shared" si="12"/>
        <v>927862.06896551722</v>
      </c>
      <c r="AF46" s="58">
        <f t="shared" si="13"/>
        <v>1378537.9310344828</v>
      </c>
      <c r="AG46" s="61">
        <f t="shared" si="14"/>
        <v>8.0459770114942541E-2</v>
      </c>
      <c r="AH46" s="61">
        <f t="shared" si="15"/>
        <v>0.11954022988505748</v>
      </c>
      <c r="AI46" s="40" t="s">
        <v>333</v>
      </c>
    </row>
    <row r="47" spans="1:35">
      <c r="A47" s="14" t="s">
        <v>290</v>
      </c>
      <c r="B47" s="13">
        <v>1900</v>
      </c>
      <c r="C47" s="13">
        <v>1200</v>
      </c>
      <c r="D47" s="13">
        <v>1150</v>
      </c>
      <c r="E47" s="13">
        <f t="shared" si="17"/>
        <v>700</v>
      </c>
      <c r="F47" s="13">
        <f t="shared" si="18"/>
        <v>50</v>
      </c>
      <c r="G47" s="13" t="s">
        <v>54</v>
      </c>
      <c r="H47" s="54">
        <v>2862400</v>
      </c>
      <c r="I47" s="13">
        <v>40</v>
      </c>
      <c r="J47" s="54">
        <f t="shared" si="9"/>
        <v>114496000</v>
      </c>
      <c r="K47" s="43">
        <f>((H47*I47)/(E47*1000000))</f>
        <v>0.16356571428571429</v>
      </c>
      <c r="L47" s="13">
        <v>0.71</v>
      </c>
      <c r="M47" s="13">
        <v>0.05</v>
      </c>
      <c r="N47" s="13">
        <v>0.11</v>
      </c>
      <c r="O47" s="13">
        <v>0</v>
      </c>
      <c r="P47" s="13">
        <v>0.05</v>
      </c>
      <c r="Q47" s="13">
        <v>0.08</v>
      </c>
      <c r="R47" s="13">
        <f t="shared" si="19"/>
        <v>0.35499999999999998</v>
      </c>
      <c r="S47" s="13">
        <f t="shared" si="20"/>
        <v>4.5000000000000005E-2</v>
      </c>
      <c r="T47" s="13">
        <v>0</v>
      </c>
      <c r="U47" s="13">
        <v>0</v>
      </c>
      <c r="V47" s="13">
        <f t="shared" si="21"/>
        <v>4.5000000000000005E-2</v>
      </c>
      <c r="W47" s="13">
        <f t="shared" si="22"/>
        <v>7.2000000000000008E-2</v>
      </c>
      <c r="X47" s="13">
        <f t="shared" si="23"/>
        <v>0.5169999999999999</v>
      </c>
      <c r="Y47" s="54">
        <f t="shared" si="11"/>
        <v>59194431.999999993</v>
      </c>
      <c r="Z47" s="43">
        <f t="shared" si="24"/>
        <v>8.4563474285714271E-2</v>
      </c>
      <c r="AA47" s="43">
        <f t="shared" si="25"/>
        <v>0.4830000000000001</v>
      </c>
      <c r="AB47" s="43">
        <v>0.15</v>
      </c>
      <c r="AC47" s="57">
        <f t="shared" si="16"/>
        <v>8879164.7999999989</v>
      </c>
      <c r="AE47" s="58">
        <f t="shared" si="12"/>
        <v>55248136.533333324</v>
      </c>
      <c r="AF47" s="58">
        <f t="shared" si="13"/>
        <v>3946295.4666666663</v>
      </c>
      <c r="AG47" s="61">
        <f t="shared" si="14"/>
        <v>0.48253333333333326</v>
      </c>
      <c r="AH47" s="61">
        <f t="shared" si="15"/>
        <v>3.4466666666666659E-2</v>
      </c>
      <c r="AI47" s="17" t="s">
        <v>236</v>
      </c>
    </row>
    <row r="48" spans="1:35">
      <c r="A48" s="14" t="s">
        <v>293</v>
      </c>
      <c r="B48" s="13">
        <v>1900</v>
      </c>
      <c r="C48" s="13">
        <v>1140</v>
      </c>
      <c r="D48" s="13">
        <v>970</v>
      </c>
      <c r="E48" s="13">
        <f t="shared" si="17"/>
        <v>760</v>
      </c>
      <c r="F48" s="13">
        <f t="shared" si="18"/>
        <v>170</v>
      </c>
      <c r="G48" s="13" t="s">
        <v>130</v>
      </c>
      <c r="H48" s="54">
        <v>2053669</v>
      </c>
      <c r="I48" s="13">
        <v>40</v>
      </c>
      <c r="J48" s="54">
        <f t="shared" si="9"/>
        <v>82146760</v>
      </c>
      <c r="K48" s="43">
        <f t="shared" ref="K48:K56" si="26">((H48*I48)/(E48*1000000))</f>
        <v>0.10808784210526316</v>
      </c>
      <c r="L48" s="13">
        <v>0.8</v>
      </c>
      <c r="M48" s="13">
        <v>0</v>
      </c>
      <c r="N48" s="13">
        <v>0.1</v>
      </c>
      <c r="O48" s="13">
        <v>0</v>
      </c>
      <c r="P48" s="13">
        <v>0.05</v>
      </c>
      <c r="Q48" s="13">
        <v>0.05</v>
      </c>
      <c r="R48" s="13">
        <f t="shared" si="19"/>
        <v>0.4</v>
      </c>
      <c r="S48" s="13">
        <f t="shared" si="20"/>
        <v>0</v>
      </c>
      <c r="T48" s="13">
        <v>0</v>
      </c>
      <c r="U48" s="13">
        <v>0</v>
      </c>
      <c r="V48" s="13">
        <f t="shared" si="21"/>
        <v>4.5000000000000005E-2</v>
      </c>
      <c r="W48" s="13">
        <f t="shared" si="22"/>
        <v>4.5000000000000005E-2</v>
      </c>
      <c r="X48" s="13">
        <f t="shared" si="23"/>
        <v>0.49</v>
      </c>
      <c r="Y48" s="54">
        <f t="shared" si="11"/>
        <v>40251912.399999999</v>
      </c>
      <c r="Z48" s="43">
        <f t="shared" si="24"/>
        <v>5.2963042631578951E-2</v>
      </c>
      <c r="AA48" s="43">
        <f t="shared" si="25"/>
        <v>0.51</v>
      </c>
      <c r="AB48" s="43">
        <v>0.2</v>
      </c>
      <c r="AC48" s="57">
        <f t="shared" si="16"/>
        <v>8050382.4800000004</v>
      </c>
      <c r="AD48" s="40" t="s">
        <v>2</v>
      </c>
      <c r="AE48" s="58">
        <f t="shared" si="12"/>
        <v>32894035.939784948</v>
      </c>
      <c r="AF48" s="58">
        <f t="shared" si="13"/>
        <v>7357876.4602150535</v>
      </c>
      <c r="AG48" s="61">
        <f t="shared" si="14"/>
        <v>0.40043010752688174</v>
      </c>
      <c r="AH48" s="61">
        <f t="shared" si="15"/>
        <v>8.9569892473118279E-2</v>
      </c>
      <c r="AI48" s="17" t="s">
        <v>234</v>
      </c>
    </row>
    <row r="49" spans="1:35">
      <c r="A49" s="14" t="s">
        <v>9</v>
      </c>
      <c r="B49" s="13">
        <v>1800</v>
      </c>
      <c r="C49" s="13">
        <v>1125</v>
      </c>
      <c r="D49" s="13">
        <v>1050</v>
      </c>
      <c r="E49" s="13">
        <f t="shared" si="17"/>
        <v>675</v>
      </c>
      <c r="F49" s="13">
        <f t="shared" si="18"/>
        <v>75</v>
      </c>
      <c r="G49" s="13"/>
      <c r="H49" s="54">
        <v>79250</v>
      </c>
      <c r="I49" s="13">
        <v>40</v>
      </c>
      <c r="J49" s="54">
        <f t="shared" si="9"/>
        <v>3170000</v>
      </c>
      <c r="K49" s="43">
        <f t="shared" si="26"/>
        <v>4.6962962962962965E-3</v>
      </c>
      <c r="L49" s="13">
        <v>0.8</v>
      </c>
      <c r="M49" s="13">
        <v>0.1</v>
      </c>
      <c r="N49" s="13">
        <v>0.15</v>
      </c>
      <c r="O49" s="13">
        <v>0</v>
      </c>
      <c r="P49" s="13">
        <v>0</v>
      </c>
      <c r="Q49" s="13">
        <v>0</v>
      </c>
      <c r="R49" s="13">
        <f t="shared" si="19"/>
        <v>0.4</v>
      </c>
      <c r="S49" s="13">
        <f t="shared" si="20"/>
        <v>9.0000000000000011E-2</v>
      </c>
      <c r="T49" s="13">
        <v>0</v>
      </c>
      <c r="U49" s="13">
        <v>0</v>
      </c>
      <c r="V49" s="13">
        <f t="shared" si="21"/>
        <v>0</v>
      </c>
      <c r="W49" s="13">
        <f t="shared" si="22"/>
        <v>0</v>
      </c>
      <c r="X49" s="13">
        <f t="shared" si="23"/>
        <v>0.49000000000000005</v>
      </c>
      <c r="Y49" s="54">
        <f t="shared" si="11"/>
        <v>1553300.0000000002</v>
      </c>
      <c r="Z49" s="43">
        <f t="shared" si="24"/>
        <v>2.3011851851851856E-3</v>
      </c>
      <c r="AA49" s="43">
        <f t="shared" si="25"/>
        <v>0.51</v>
      </c>
      <c r="AB49" s="43">
        <v>0.2</v>
      </c>
      <c r="AC49" s="57">
        <f t="shared" si="16"/>
        <v>310660.00000000006</v>
      </c>
      <c r="AD49" s="40" t="s">
        <v>28</v>
      </c>
      <c r="AE49" s="58">
        <f t="shared" si="12"/>
        <v>1397970.0000000002</v>
      </c>
      <c r="AF49" s="58">
        <f t="shared" si="13"/>
        <v>155330.00000000003</v>
      </c>
      <c r="AG49" s="61">
        <f t="shared" si="14"/>
        <v>0.44100000000000006</v>
      </c>
      <c r="AH49" s="61">
        <f t="shared" si="15"/>
        <v>4.9000000000000009E-2</v>
      </c>
      <c r="AI49" s="17" t="s">
        <v>213</v>
      </c>
    </row>
    <row r="50" spans="1:35">
      <c r="A50" s="14" t="s">
        <v>151</v>
      </c>
      <c r="B50" s="13">
        <v>1750</v>
      </c>
      <c r="C50" s="13">
        <v>1100</v>
      </c>
      <c r="D50" s="13">
        <v>980</v>
      </c>
      <c r="E50" s="13">
        <f t="shared" si="17"/>
        <v>650</v>
      </c>
      <c r="F50" s="13">
        <f t="shared" si="18"/>
        <v>120</v>
      </c>
      <c r="G50" s="13" t="s">
        <v>252</v>
      </c>
      <c r="H50" s="54">
        <v>2037600</v>
      </c>
      <c r="I50" s="13">
        <v>40</v>
      </c>
      <c r="J50" s="54">
        <f t="shared" si="9"/>
        <v>81504000</v>
      </c>
      <c r="K50" s="43">
        <f t="shared" si="26"/>
        <v>0.12539076923076922</v>
      </c>
      <c r="L50" s="13">
        <v>0.8</v>
      </c>
      <c r="M50" s="13">
        <v>0</v>
      </c>
      <c r="N50" s="13">
        <v>0.15</v>
      </c>
      <c r="O50" s="13">
        <v>0</v>
      </c>
      <c r="P50" s="13">
        <v>0</v>
      </c>
      <c r="Q50" s="13">
        <v>0.1</v>
      </c>
      <c r="R50" s="13">
        <f t="shared" si="19"/>
        <v>0.4</v>
      </c>
      <c r="S50" s="13">
        <f t="shared" si="20"/>
        <v>0</v>
      </c>
      <c r="T50" s="13">
        <v>0</v>
      </c>
      <c r="U50" s="13">
        <v>0</v>
      </c>
      <c r="V50" s="13">
        <f t="shared" si="21"/>
        <v>0</v>
      </c>
      <c r="W50" s="13">
        <f t="shared" si="22"/>
        <v>9.0000000000000011E-2</v>
      </c>
      <c r="X50" s="13">
        <f t="shared" si="23"/>
        <v>0.49000000000000005</v>
      </c>
      <c r="Y50" s="54">
        <f t="shared" si="11"/>
        <v>39936960.000000007</v>
      </c>
      <c r="Z50" s="43">
        <f t="shared" si="24"/>
        <v>6.1441476923076922E-2</v>
      </c>
      <c r="AA50" s="43">
        <f t="shared" si="25"/>
        <v>0.51</v>
      </c>
      <c r="AB50" s="43">
        <v>0.1</v>
      </c>
      <c r="AC50" s="57">
        <f t="shared" si="16"/>
        <v>3993696.0000000009</v>
      </c>
      <c r="AE50" s="58">
        <f t="shared" si="12"/>
        <v>33713018.181818187</v>
      </c>
      <c r="AF50" s="58">
        <f t="shared" si="13"/>
        <v>6223941.8181818193</v>
      </c>
      <c r="AG50" s="61">
        <f t="shared" si="14"/>
        <v>0.41363636363636364</v>
      </c>
      <c r="AH50" s="61">
        <f t="shared" si="15"/>
        <v>7.636363636363637E-2</v>
      </c>
      <c r="AI50" s="17" t="s">
        <v>48</v>
      </c>
    </row>
    <row r="51" spans="1:35">
      <c r="A51" s="14" t="s">
        <v>294</v>
      </c>
      <c r="B51" s="13">
        <v>2030</v>
      </c>
      <c r="C51" s="13">
        <v>1100</v>
      </c>
      <c r="D51" s="13">
        <v>1000</v>
      </c>
      <c r="E51" s="13">
        <f t="shared" si="17"/>
        <v>930</v>
      </c>
      <c r="F51" s="13">
        <f t="shared" si="18"/>
        <v>100</v>
      </c>
      <c r="G51" s="13" t="s">
        <v>181</v>
      </c>
      <c r="H51" s="54">
        <v>2263770</v>
      </c>
      <c r="I51" s="13">
        <v>40</v>
      </c>
      <c r="J51" s="54">
        <f t="shared" si="9"/>
        <v>90550800</v>
      </c>
      <c r="K51" s="43">
        <f t="shared" si="26"/>
        <v>9.7366451612903221E-2</v>
      </c>
      <c r="L51" s="13">
        <v>0.5</v>
      </c>
      <c r="M51" s="13">
        <v>0</v>
      </c>
      <c r="N51" s="13">
        <v>0.5</v>
      </c>
      <c r="O51" s="13">
        <v>0</v>
      </c>
      <c r="P51" s="13">
        <v>0</v>
      </c>
      <c r="Q51" s="13">
        <v>0</v>
      </c>
      <c r="R51" s="13">
        <f t="shared" si="19"/>
        <v>0.25</v>
      </c>
      <c r="S51" s="13">
        <f t="shared" si="20"/>
        <v>0</v>
      </c>
      <c r="T51" s="13">
        <v>0</v>
      </c>
      <c r="U51" s="13">
        <v>0</v>
      </c>
      <c r="V51" s="13">
        <f t="shared" si="21"/>
        <v>0</v>
      </c>
      <c r="W51" s="13">
        <f t="shared" si="22"/>
        <v>0</v>
      </c>
      <c r="X51" s="13">
        <f t="shared" si="23"/>
        <v>0.25</v>
      </c>
      <c r="Y51" s="54">
        <f t="shared" si="11"/>
        <v>22637700</v>
      </c>
      <c r="Z51" s="43">
        <f t="shared" si="24"/>
        <v>2.4341612903225805E-2</v>
      </c>
      <c r="AA51" s="43">
        <f t="shared" si="25"/>
        <v>0.75</v>
      </c>
      <c r="AB51" s="43">
        <v>0.15</v>
      </c>
      <c r="AC51" s="57">
        <f t="shared" si="16"/>
        <v>3395655</v>
      </c>
      <c r="AD51" s="40" t="s">
        <v>74</v>
      </c>
      <c r="AE51" s="58">
        <f t="shared" si="12"/>
        <v>20439865.048543692</v>
      </c>
      <c r="AF51" s="58">
        <f t="shared" si="13"/>
        <v>2197834.9514563107</v>
      </c>
      <c r="AG51" s="61">
        <f t="shared" si="14"/>
        <v>0.22572815533980584</v>
      </c>
      <c r="AH51" s="61">
        <f t="shared" si="15"/>
        <v>2.4271844660194174E-2</v>
      </c>
      <c r="AI51" s="17" t="s">
        <v>60</v>
      </c>
    </row>
    <row r="52" spans="1:35" ht="62.4">
      <c r="A52" s="14" t="s">
        <v>218</v>
      </c>
      <c r="B52" s="13">
        <v>1100</v>
      </c>
      <c r="C52" s="13">
        <v>1050</v>
      </c>
      <c r="D52" s="13">
        <v>1000</v>
      </c>
      <c r="E52" s="13">
        <f t="shared" si="17"/>
        <v>50</v>
      </c>
      <c r="F52" s="13">
        <f t="shared" si="18"/>
        <v>50</v>
      </c>
      <c r="G52" s="13" t="s">
        <v>1</v>
      </c>
      <c r="H52" s="54">
        <v>111100</v>
      </c>
      <c r="I52" s="13">
        <v>40</v>
      </c>
      <c r="J52" s="54">
        <f t="shared" si="9"/>
        <v>4444000</v>
      </c>
      <c r="K52" s="43">
        <f t="shared" si="26"/>
        <v>8.8880000000000001E-2</v>
      </c>
      <c r="L52" s="13">
        <v>0.75</v>
      </c>
      <c r="M52" s="13">
        <v>0.05</v>
      </c>
      <c r="N52" s="13">
        <v>0.2</v>
      </c>
      <c r="O52" s="13">
        <v>0</v>
      </c>
      <c r="P52" s="13">
        <v>0</v>
      </c>
      <c r="Q52" s="13">
        <v>0</v>
      </c>
      <c r="R52" s="13">
        <f t="shared" si="19"/>
        <v>0.375</v>
      </c>
      <c r="S52" s="13">
        <f t="shared" si="20"/>
        <v>4.5000000000000005E-2</v>
      </c>
      <c r="T52" s="13">
        <v>0</v>
      </c>
      <c r="U52" s="13">
        <v>0</v>
      </c>
      <c r="V52" s="13">
        <f t="shared" si="21"/>
        <v>0</v>
      </c>
      <c r="W52" s="13">
        <f t="shared" si="22"/>
        <v>0</v>
      </c>
      <c r="X52" s="13">
        <f t="shared" si="23"/>
        <v>0.42</v>
      </c>
      <c r="Y52" s="54">
        <f t="shared" si="11"/>
        <v>1866480</v>
      </c>
      <c r="Z52" s="43">
        <f t="shared" si="24"/>
        <v>3.7329599999999998E-2</v>
      </c>
      <c r="AA52" s="43">
        <f t="shared" si="25"/>
        <v>0.58000000000000007</v>
      </c>
      <c r="AB52" s="43">
        <v>0.95</v>
      </c>
      <c r="AC52" s="57">
        <f t="shared" si="16"/>
        <v>1773156</v>
      </c>
      <c r="AD52" s="40" t="s">
        <v>354</v>
      </c>
      <c r="AE52" s="58">
        <f t="shared" si="12"/>
        <v>933240</v>
      </c>
      <c r="AF52" s="58">
        <f t="shared" si="13"/>
        <v>933240</v>
      </c>
      <c r="AG52" s="61">
        <f t="shared" si="14"/>
        <v>0.21</v>
      </c>
      <c r="AH52" s="61">
        <f t="shared" si="15"/>
        <v>0.21</v>
      </c>
      <c r="AI52" s="17" t="s">
        <v>95</v>
      </c>
    </row>
    <row r="53" spans="1:35" ht="31.2">
      <c r="A53" s="14" t="s">
        <v>4</v>
      </c>
      <c r="B53" s="13">
        <v>1250</v>
      </c>
      <c r="C53" s="13">
        <v>960</v>
      </c>
      <c r="D53" s="13">
        <v>930</v>
      </c>
      <c r="E53" s="13">
        <f t="shared" si="17"/>
        <v>290</v>
      </c>
      <c r="F53" s="13">
        <f t="shared" si="18"/>
        <v>30</v>
      </c>
      <c r="G53" s="13" t="s">
        <v>264</v>
      </c>
      <c r="H53" s="54">
        <v>484750</v>
      </c>
      <c r="I53" s="13">
        <v>40</v>
      </c>
      <c r="J53" s="54">
        <f t="shared" si="9"/>
        <v>19390000</v>
      </c>
      <c r="K53" s="43">
        <f t="shared" si="26"/>
        <v>6.6862068965517246E-2</v>
      </c>
      <c r="L53" s="13">
        <v>0.4</v>
      </c>
      <c r="M53" s="13">
        <v>0</v>
      </c>
      <c r="N53" s="13">
        <v>0.5</v>
      </c>
      <c r="O53" s="13">
        <v>0.1</v>
      </c>
      <c r="P53" s="13">
        <v>0</v>
      </c>
      <c r="Q53" s="13">
        <v>0</v>
      </c>
      <c r="R53" s="13">
        <f t="shared" si="19"/>
        <v>0.2</v>
      </c>
      <c r="S53" s="13">
        <f t="shared" si="20"/>
        <v>0</v>
      </c>
      <c r="T53" s="13">
        <v>0</v>
      </c>
      <c r="U53" s="13">
        <v>0</v>
      </c>
      <c r="V53" s="13">
        <f t="shared" si="21"/>
        <v>0</v>
      </c>
      <c r="W53" s="13">
        <f t="shared" si="22"/>
        <v>0</v>
      </c>
      <c r="X53" s="13">
        <f t="shared" si="23"/>
        <v>0.2</v>
      </c>
      <c r="Y53" s="54">
        <f t="shared" si="11"/>
        <v>3878000</v>
      </c>
      <c r="Z53" s="43">
        <f t="shared" si="24"/>
        <v>1.3372413793103451E-2</v>
      </c>
      <c r="AA53" s="43">
        <f t="shared" si="25"/>
        <v>0.8</v>
      </c>
      <c r="AB53" s="43">
        <v>0.65</v>
      </c>
      <c r="AC53" s="57">
        <f t="shared" si="16"/>
        <v>2520700</v>
      </c>
      <c r="AD53" s="40" t="s">
        <v>347</v>
      </c>
      <c r="AE53" s="58">
        <f t="shared" si="12"/>
        <v>3514437.5</v>
      </c>
      <c r="AF53" s="58">
        <f t="shared" si="13"/>
        <v>363562.5</v>
      </c>
      <c r="AG53" s="61">
        <f t="shared" si="14"/>
        <v>0.18125000000000002</v>
      </c>
      <c r="AH53" s="61">
        <f t="shared" si="15"/>
        <v>1.8750000000000003E-2</v>
      </c>
      <c r="AI53" s="17" t="s">
        <v>3</v>
      </c>
    </row>
    <row r="54" spans="1:35">
      <c r="A54" s="14" t="s">
        <v>159</v>
      </c>
      <c r="B54" s="13">
        <v>1300</v>
      </c>
      <c r="C54" s="13">
        <v>1050</v>
      </c>
      <c r="D54" s="13">
        <v>1000</v>
      </c>
      <c r="E54" s="13">
        <f t="shared" si="17"/>
        <v>250</v>
      </c>
      <c r="F54" s="13">
        <f t="shared" si="18"/>
        <v>50</v>
      </c>
      <c r="G54" s="13"/>
      <c r="H54" s="54">
        <v>687490</v>
      </c>
      <c r="I54" s="13">
        <v>40</v>
      </c>
      <c r="J54" s="54">
        <f t="shared" si="9"/>
        <v>27499600</v>
      </c>
      <c r="K54" s="43">
        <f t="shared" si="26"/>
        <v>0.1099984</v>
      </c>
      <c r="L54" s="13">
        <v>0.7</v>
      </c>
      <c r="M54" s="13">
        <v>0.1</v>
      </c>
      <c r="N54" s="13">
        <v>0.15</v>
      </c>
      <c r="O54" s="13">
        <v>0</v>
      </c>
      <c r="P54" s="13">
        <v>0</v>
      </c>
      <c r="Q54" s="13">
        <v>0.05</v>
      </c>
      <c r="R54" s="13">
        <f t="shared" si="19"/>
        <v>0.35</v>
      </c>
      <c r="S54" s="13">
        <f t="shared" si="20"/>
        <v>9.0000000000000011E-2</v>
      </c>
      <c r="T54" s="13">
        <v>0</v>
      </c>
      <c r="U54" s="13">
        <v>0</v>
      </c>
      <c r="V54" s="13">
        <f t="shared" si="21"/>
        <v>0</v>
      </c>
      <c r="W54" s="13">
        <f t="shared" si="22"/>
        <v>4.5000000000000005E-2</v>
      </c>
      <c r="X54" s="13">
        <f t="shared" si="23"/>
        <v>0.48499999999999999</v>
      </c>
      <c r="Y54" s="54">
        <f t="shared" si="11"/>
        <v>13337306</v>
      </c>
      <c r="Z54" s="43">
        <f t="shared" si="24"/>
        <v>5.3349223999999994E-2</v>
      </c>
      <c r="AA54" s="43">
        <f t="shared" si="25"/>
        <v>0.51500000000000001</v>
      </c>
      <c r="AB54" s="43">
        <v>0.8</v>
      </c>
      <c r="AC54" s="57">
        <f t="shared" si="16"/>
        <v>10669844.800000001</v>
      </c>
      <c r="AD54" s="40" t="s">
        <v>222</v>
      </c>
      <c r="AE54" s="58">
        <f t="shared" si="12"/>
        <v>11114421.666666668</v>
      </c>
      <c r="AF54" s="58">
        <f t="shared" si="13"/>
        <v>2222884.333333333</v>
      </c>
      <c r="AG54" s="61">
        <f t="shared" si="14"/>
        <v>0.40416666666666667</v>
      </c>
      <c r="AH54" s="61">
        <f t="shared" si="15"/>
        <v>8.0833333333333326E-2</v>
      </c>
      <c r="AI54" t="s">
        <v>306</v>
      </c>
    </row>
    <row r="55" spans="1:35">
      <c r="A55" s="14" t="s">
        <v>287</v>
      </c>
      <c r="B55" s="13">
        <v>1420</v>
      </c>
      <c r="C55" s="13">
        <v>1000</v>
      </c>
      <c r="D55" s="13">
        <v>950</v>
      </c>
      <c r="E55" s="13">
        <f t="shared" si="17"/>
        <v>420</v>
      </c>
      <c r="F55" s="13">
        <f t="shared" si="18"/>
        <v>50</v>
      </c>
      <c r="G55" s="13"/>
      <c r="H55" s="54">
        <v>290400</v>
      </c>
      <c r="I55" s="13">
        <v>40</v>
      </c>
      <c r="J55" s="54">
        <f t="shared" si="9"/>
        <v>11616000</v>
      </c>
      <c r="K55" s="43">
        <f t="shared" si="26"/>
        <v>2.7657142857142856E-2</v>
      </c>
      <c r="L55" s="13">
        <v>0.75</v>
      </c>
      <c r="M55" s="13">
        <v>0</v>
      </c>
      <c r="N55" s="13">
        <v>0.25</v>
      </c>
      <c r="O55" s="13">
        <v>0</v>
      </c>
      <c r="P55" s="13">
        <v>0</v>
      </c>
      <c r="Q55" s="13">
        <v>0</v>
      </c>
      <c r="R55" s="13">
        <f t="shared" si="19"/>
        <v>0.375</v>
      </c>
      <c r="S55" s="13">
        <f t="shared" si="20"/>
        <v>0</v>
      </c>
      <c r="T55" s="13">
        <v>0</v>
      </c>
      <c r="U55" s="13">
        <v>0</v>
      </c>
      <c r="V55" s="13">
        <f t="shared" si="21"/>
        <v>0</v>
      </c>
      <c r="W55" s="13">
        <f t="shared" si="22"/>
        <v>0</v>
      </c>
      <c r="X55" s="13">
        <f t="shared" si="23"/>
        <v>0.375</v>
      </c>
      <c r="Y55" s="54">
        <f t="shared" si="11"/>
        <v>4356000</v>
      </c>
      <c r="Z55" s="43">
        <f t="shared" si="24"/>
        <v>1.0371428571428571E-2</v>
      </c>
      <c r="AA55" s="43">
        <f t="shared" si="25"/>
        <v>0.625</v>
      </c>
      <c r="AB55" s="43">
        <v>0.5</v>
      </c>
      <c r="AC55" s="57">
        <f t="shared" si="16"/>
        <v>2178000</v>
      </c>
      <c r="AE55" s="58">
        <f t="shared" si="12"/>
        <v>3892595.7446808508</v>
      </c>
      <c r="AF55" s="58">
        <f t="shared" si="13"/>
        <v>463404.25531914894</v>
      </c>
      <c r="AG55" s="61">
        <f t="shared" si="14"/>
        <v>0.33510638297872342</v>
      </c>
      <c r="AH55" s="61">
        <f t="shared" si="15"/>
        <v>3.9893617021276598E-2</v>
      </c>
      <c r="AI55" s="17" t="s">
        <v>266</v>
      </c>
    </row>
    <row r="56" spans="1:35" ht="31.2">
      <c r="A56" s="14" t="s">
        <v>249</v>
      </c>
      <c r="B56" s="13">
        <v>1100</v>
      </c>
      <c r="C56" s="13">
        <v>1085</v>
      </c>
      <c r="D56" s="13">
        <v>950</v>
      </c>
      <c r="E56" s="13">
        <v>300</v>
      </c>
      <c r="F56" s="13">
        <f t="shared" si="18"/>
        <v>135</v>
      </c>
      <c r="G56" s="13"/>
      <c r="H56" s="54">
        <v>142300</v>
      </c>
      <c r="I56" s="13">
        <v>35</v>
      </c>
      <c r="J56" s="54">
        <f t="shared" si="9"/>
        <v>4980500</v>
      </c>
      <c r="K56" s="43">
        <f t="shared" si="26"/>
        <v>1.6601666666666667E-2</v>
      </c>
      <c r="L56" s="13">
        <v>0.6</v>
      </c>
      <c r="M56" s="13">
        <v>0</v>
      </c>
      <c r="N56" s="13">
        <v>0.4</v>
      </c>
      <c r="O56" s="13">
        <v>0</v>
      </c>
      <c r="P56" s="13">
        <v>0</v>
      </c>
      <c r="Q56" s="13">
        <v>0</v>
      </c>
      <c r="R56" s="13">
        <f t="shared" si="19"/>
        <v>0.3</v>
      </c>
      <c r="S56" s="13">
        <f t="shared" si="20"/>
        <v>0</v>
      </c>
      <c r="T56" s="13">
        <v>0</v>
      </c>
      <c r="U56" s="13">
        <v>0</v>
      </c>
      <c r="V56" s="13">
        <f t="shared" si="21"/>
        <v>0</v>
      </c>
      <c r="W56" s="13">
        <f t="shared" si="22"/>
        <v>0</v>
      </c>
      <c r="X56" s="13">
        <f t="shared" si="23"/>
        <v>0.3</v>
      </c>
      <c r="Y56" s="54">
        <f t="shared" si="11"/>
        <v>1494150</v>
      </c>
      <c r="Z56" s="43">
        <f t="shared" si="24"/>
        <v>4.9804999999999997E-3</v>
      </c>
      <c r="AA56" s="43">
        <f t="shared" si="25"/>
        <v>0.7</v>
      </c>
      <c r="AB56" s="43">
        <v>0.6</v>
      </c>
      <c r="AC56" s="57">
        <f t="shared" si="16"/>
        <v>896490</v>
      </c>
      <c r="AD56" s="40" t="s">
        <v>16</v>
      </c>
      <c r="AE56" s="58">
        <f t="shared" si="12"/>
        <v>1030448.275862069</v>
      </c>
      <c r="AF56" s="58">
        <f t="shared" si="13"/>
        <v>463701.72413793107</v>
      </c>
      <c r="AG56" s="61">
        <f t="shared" si="14"/>
        <v>0.20689655172413793</v>
      </c>
      <c r="AH56" s="61">
        <f t="shared" si="15"/>
        <v>9.3103448275862075E-2</v>
      </c>
      <c r="AI56" s="17" t="s">
        <v>183</v>
      </c>
    </row>
    <row r="57" spans="1:35">
      <c r="B57" s="13"/>
      <c r="C57" s="13"/>
      <c r="D57" s="13"/>
      <c r="E57" s="13"/>
      <c r="F57" s="13"/>
      <c r="G57" s="13"/>
      <c r="H57" s="54"/>
      <c r="I57" s="13"/>
      <c r="J57" s="13"/>
      <c r="K57" s="44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57"/>
    </row>
    <row r="58" spans="1:35">
      <c r="B58" s="13"/>
      <c r="C58" s="13"/>
      <c r="D58" s="13"/>
      <c r="E58" s="13"/>
      <c r="F58" s="13"/>
      <c r="G58" s="13"/>
      <c r="H58" s="54"/>
      <c r="I58" s="13"/>
      <c r="J58" s="13"/>
      <c r="K58" s="44">
        <f>AVERAGE(K7:K56)</f>
        <v>0.14393270827520677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57"/>
    </row>
    <row r="59" spans="1:35">
      <c r="B59" s="13"/>
      <c r="C59" s="13"/>
      <c r="D59" s="13"/>
      <c r="E59" s="13"/>
      <c r="F59" s="13"/>
      <c r="G59" s="13"/>
      <c r="H59" s="54"/>
      <c r="I59" s="13"/>
      <c r="J59" s="13"/>
      <c r="K59" s="44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57"/>
    </row>
    <row r="60" spans="1:35">
      <c r="B60" s="13"/>
      <c r="C60" s="13"/>
      <c r="D60" s="13"/>
      <c r="E60" s="13"/>
      <c r="F60" s="13"/>
      <c r="G60" s="13"/>
      <c r="H60" s="54"/>
      <c r="I60" s="13"/>
      <c r="J60" s="13"/>
      <c r="K60" s="44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57"/>
    </row>
    <row r="61" spans="1:35">
      <c r="B61" s="13"/>
      <c r="C61" s="13"/>
      <c r="D61" s="13"/>
      <c r="E61" s="13"/>
      <c r="F61" s="13"/>
      <c r="G61" s="13"/>
      <c r="H61" s="54"/>
      <c r="I61" s="13"/>
      <c r="J61" s="13"/>
      <c r="K61" s="44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57"/>
    </row>
    <row r="62" spans="1:35">
      <c r="B62" s="13"/>
      <c r="C62" s="13"/>
      <c r="D62" s="13"/>
      <c r="E62" s="13"/>
      <c r="F62" s="13"/>
      <c r="G62" s="13"/>
      <c r="H62" s="54"/>
      <c r="I62" s="13"/>
      <c r="J62" s="13"/>
      <c r="K62" s="44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57"/>
    </row>
    <row r="63" spans="1:35">
      <c r="B63" s="13"/>
      <c r="C63" s="13"/>
      <c r="D63" s="13"/>
      <c r="E63" s="13"/>
      <c r="F63" s="13"/>
      <c r="G63" s="13"/>
      <c r="H63" s="54"/>
      <c r="I63" s="13"/>
      <c r="J63" s="13"/>
      <c r="K63" s="44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57"/>
    </row>
    <row r="64" spans="1:35">
      <c r="B64" s="13"/>
      <c r="C64" s="13"/>
      <c r="D64" s="13"/>
      <c r="E64" s="13"/>
      <c r="F64" s="13"/>
      <c r="G64" s="13"/>
      <c r="H64" s="54"/>
      <c r="I64" s="13"/>
      <c r="J64" s="13"/>
      <c r="K64" s="44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57"/>
    </row>
    <row r="65" spans="2:29">
      <c r="B65" s="13"/>
      <c r="C65" s="13"/>
      <c r="D65" s="13"/>
      <c r="E65" s="13"/>
      <c r="F65" s="13"/>
      <c r="G65" s="13"/>
      <c r="H65" s="54"/>
      <c r="I65" s="13"/>
      <c r="J65" s="13"/>
      <c r="K65" s="44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57"/>
    </row>
    <row r="66" spans="2:29">
      <c r="B66" s="13"/>
      <c r="C66" s="13"/>
      <c r="D66" s="13"/>
      <c r="E66" s="13"/>
      <c r="F66" s="13"/>
      <c r="G66" s="13"/>
      <c r="H66" s="54"/>
      <c r="I66" s="13"/>
      <c r="J66" s="13"/>
      <c r="K66" s="44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57"/>
    </row>
    <row r="67" spans="2:29">
      <c r="B67" s="13"/>
      <c r="C67" s="13"/>
      <c r="D67" s="13"/>
      <c r="E67" s="13"/>
      <c r="F67" s="13"/>
      <c r="G67" s="13"/>
      <c r="H67" s="54"/>
      <c r="I67" s="13"/>
      <c r="J67" s="13"/>
      <c r="K67" s="44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57"/>
    </row>
    <row r="68" spans="2:29">
      <c r="B68" s="13"/>
      <c r="C68" s="13"/>
      <c r="D68" s="13"/>
      <c r="E68" s="13"/>
      <c r="F68" s="13"/>
      <c r="G68" s="13"/>
      <c r="H68" s="54"/>
      <c r="I68" s="13"/>
      <c r="J68" s="13"/>
      <c r="K68" s="44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57"/>
    </row>
    <row r="69" spans="2:29">
      <c r="B69" s="13"/>
      <c r="C69" s="13"/>
      <c r="D69" s="13"/>
      <c r="E69" s="13"/>
      <c r="F69" s="13"/>
      <c r="G69" s="13"/>
      <c r="H69" s="54"/>
      <c r="I69" s="13"/>
      <c r="J69" s="13"/>
      <c r="K69" s="44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57"/>
    </row>
    <row r="70" spans="2:29">
      <c r="B70" s="13"/>
      <c r="C70" s="13"/>
      <c r="D70" s="13"/>
      <c r="E70" s="13"/>
      <c r="F70" s="13"/>
      <c r="G70" s="13"/>
      <c r="H70" s="54"/>
      <c r="I70" s="13"/>
      <c r="J70" s="13"/>
      <c r="K70" s="44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57"/>
    </row>
    <row r="71" spans="2:29">
      <c r="B71" s="13"/>
      <c r="C71" s="13"/>
      <c r="D71" s="13"/>
      <c r="E71" s="13"/>
      <c r="F71" s="13"/>
      <c r="G71" s="13"/>
      <c r="H71" s="54"/>
      <c r="I71" s="13"/>
      <c r="J71" s="13"/>
      <c r="K71" s="44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57"/>
    </row>
    <row r="72" spans="2:29">
      <c r="B72" s="13"/>
      <c r="C72" s="13"/>
      <c r="D72" s="13"/>
      <c r="E72" s="13"/>
      <c r="F72" s="13"/>
      <c r="G72" s="13"/>
      <c r="H72" s="54"/>
      <c r="I72" s="13"/>
      <c r="J72" s="13"/>
      <c r="K72" s="44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57"/>
    </row>
    <row r="73" spans="2:29">
      <c r="B73" s="13"/>
      <c r="C73" s="13"/>
      <c r="D73" s="13"/>
      <c r="E73" s="13"/>
      <c r="F73" s="13"/>
      <c r="G73" s="13"/>
      <c r="H73" s="54"/>
      <c r="I73" s="13"/>
      <c r="J73" s="13"/>
      <c r="K73" s="44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57"/>
    </row>
    <row r="74" spans="2:29">
      <c r="B74" s="13"/>
      <c r="C74" s="13"/>
      <c r="D74" s="13"/>
      <c r="E74" s="13"/>
      <c r="F74" s="13"/>
      <c r="G74" s="13"/>
      <c r="H74" s="54"/>
      <c r="I74" s="13"/>
      <c r="J74" s="13"/>
      <c r="K74" s="44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57"/>
    </row>
    <row r="75" spans="2:29">
      <c r="B75" s="13"/>
      <c r="C75" s="13"/>
      <c r="D75" s="13"/>
      <c r="E75" s="13"/>
      <c r="F75" s="13"/>
      <c r="G75" s="13"/>
      <c r="H75" s="54"/>
      <c r="I75" s="13"/>
      <c r="J75" s="13"/>
      <c r="K75" s="44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57"/>
    </row>
    <row r="76" spans="2:29">
      <c r="B76" s="13"/>
      <c r="C76" s="13"/>
      <c r="D76" s="13"/>
      <c r="E76" s="13"/>
      <c r="F76" s="13"/>
      <c r="G76" s="13"/>
      <c r="H76" s="54"/>
      <c r="I76" s="13"/>
      <c r="J76" s="13"/>
      <c r="K76" s="44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57"/>
    </row>
    <row r="77" spans="2:29">
      <c r="B77" s="13"/>
      <c r="C77" s="13"/>
      <c r="D77" s="13"/>
      <c r="E77" s="13"/>
      <c r="F77" s="13"/>
      <c r="G77" s="13"/>
      <c r="H77" s="54"/>
      <c r="I77" s="13"/>
      <c r="J77" s="13"/>
      <c r="K77" s="44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57"/>
    </row>
  </sheetData>
  <sortState ref="A11:AE63">
    <sortCondition descending="1" ref="C11:C63"/>
  </sortState>
  <mergeCells count="2">
    <mergeCell ref="L4:Q4"/>
    <mergeCell ref="R4:W4"/>
  </mergeCells>
  <phoneticPr fontId="1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2:F825"/>
  <sheetViews>
    <sheetView workbookViewId="0">
      <pane xSplit="12036" ySplit="2184" activePane="bottomRight"/>
      <selection activeCell="A3" sqref="A3"/>
      <selection pane="topRight" activeCell="F1" sqref="F1:F1048576"/>
      <selection pane="bottomLeft" activeCell="C832" sqref="C832"/>
      <selection pane="bottomRight" activeCell="F17" sqref="F17"/>
    </sheetView>
  </sheetViews>
  <sheetFormatPr defaultColWidth="11.07421875" defaultRowHeight="15.6"/>
  <cols>
    <col min="1" max="1" width="25.15234375" customWidth="1"/>
    <col min="6" max="6" width="57.23046875" customWidth="1"/>
  </cols>
  <sheetData>
    <row r="2" spans="1:6" ht="20.399999999999999">
      <c r="A2" s="26" t="s">
        <v>158</v>
      </c>
      <c r="B2" s="18"/>
      <c r="C2" s="18"/>
    </row>
    <row r="3" spans="1:6">
      <c r="A3" s="29"/>
    </row>
    <row r="5" spans="1:6">
      <c r="B5" s="21" t="s">
        <v>208</v>
      </c>
      <c r="C5" s="21" t="s">
        <v>209</v>
      </c>
      <c r="D5" s="21" t="s">
        <v>324</v>
      </c>
      <c r="E5" s="21" t="s">
        <v>325</v>
      </c>
      <c r="F5" s="21" t="s">
        <v>179</v>
      </c>
    </row>
    <row r="7" spans="1:6">
      <c r="D7" s="20"/>
    </row>
    <row r="8" spans="1:6">
      <c r="A8" s="50" t="s">
        <v>326</v>
      </c>
      <c r="B8">
        <v>2330</v>
      </c>
      <c r="C8">
        <v>10</v>
      </c>
      <c r="D8" s="20">
        <v>0.4</v>
      </c>
      <c r="E8">
        <v>2540</v>
      </c>
      <c r="F8" t="s">
        <v>256</v>
      </c>
    </row>
    <row r="9" spans="1:6">
      <c r="A9" t="s">
        <v>327</v>
      </c>
      <c r="B9">
        <v>2350</v>
      </c>
      <c r="C9">
        <v>10</v>
      </c>
      <c r="D9" s="20">
        <v>0.5</v>
      </c>
      <c r="E9">
        <v>2460</v>
      </c>
    </row>
    <row r="10" spans="1:6">
      <c r="B10">
        <v>2300</v>
      </c>
      <c r="C10">
        <v>20</v>
      </c>
      <c r="D10" s="20">
        <v>1.5</v>
      </c>
      <c r="E10">
        <v>2400</v>
      </c>
    </row>
    <row r="11" spans="1:6">
      <c r="B11">
        <v>2350</v>
      </c>
      <c r="C11">
        <v>15</v>
      </c>
      <c r="D11" s="20">
        <v>1.9</v>
      </c>
      <c r="E11">
        <v>2380</v>
      </c>
    </row>
    <row r="12" spans="1:6">
      <c r="B12">
        <v>2350</v>
      </c>
      <c r="C12">
        <v>10</v>
      </c>
      <c r="D12" s="20">
        <v>1.5</v>
      </c>
      <c r="E12">
        <v>2450</v>
      </c>
    </row>
    <row r="13" spans="1:6">
      <c r="B13">
        <v>2350</v>
      </c>
      <c r="C13">
        <v>10</v>
      </c>
      <c r="D13" s="20">
        <v>0.7</v>
      </c>
      <c r="E13">
        <v>2470</v>
      </c>
    </row>
    <row r="14" spans="1:6">
      <c r="B14">
        <v>2110</v>
      </c>
      <c r="C14">
        <v>12</v>
      </c>
      <c r="D14" s="20">
        <v>0.7</v>
      </c>
      <c r="E14">
        <v>2300</v>
      </c>
    </row>
    <row r="15" spans="1:6">
      <c r="B15">
        <v>2130</v>
      </c>
      <c r="C15">
        <v>12</v>
      </c>
      <c r="D15" s="20">
        <v>-0.6</v>
      </c>
      <c r="E15">
        <v>2440</v>
      </c>
    </row>
    <row r="16" spans="1:6">
      <c r="B16">
        <v>2140</v>
      </c>
      <c r="C16">
        <v>10</v>
      </c>
      <c r="D16" s="20">
        <v>1.9</v>
      </c>
      <c r="E16">
        <v>2270</v>
      </c>
    </row>
    <row r="17" spans="1:6">
      <c r="B17">
        <v>2100</v>
      </c>
      <c r="C17">
        <v>8</v>
      </c>
      <c r="D17" s="20">
        <v>1.9</v>
      </c>
      <c r="E17">
        <v>2230</v>
      </c>
    </row>
    <row r="18" spans="1:6">
      <c r="B18">
        <v>2100</v>
      </c>
      <c r="C18">
        <v>10</v>
      </c>
      <c r="D18" s="20">
        <v>1.9</v>
      </c>
      <c r="E18">
        <v>2220</v>
      </c>
    </row>
    <row r="19" spans="1:6">
      <c r="B19">
        <v>2100</v>
      </c>
      <c r="C19">
        <v>10</v>
      </c>
      <c r="D19" s="20">
        <v>0.2</v>
      </c>
      <c r="E19">
        <v>2310</v>
      </c>
    </row>
    <row r="20" spans="1:6">
      <c r="B20">
        <v>2150</v>
      </c>
      <c r="C20">
        <v>15</v>
      </c>
      <c r="D20" s="20">
        <v>2.5</v>
      </c>
      <c r="E20">
        <v>2220</v>
      </c>
    </row>
    <row r="21" spans="1:6">
      <c r="B21">
        <v>2100</v>
      </c>
      <c r="C21">
        <v>10</v>
      </c>
      <c r="D21" s="20">
        <v>-3</v>
      </c>
      <c r="E21">
        <v>2540</v>
      </c>
    </row>
    <row r="22" spans="1:6">
      <c r="B22">
        <v>2200</v>
      </c>
      <c r="C22">
        <v>10</v>
      </c>
      <c r="D22" s="20">
        <v>1.2</v>
      </c>
      <c r="E22">
        <v>2610</v>
      </c>
    </row>
    <row r="23" spans="1:6">
      <c r="D23" s="20"/>
    </row>
    <row r="24" spans="1:6">
      <c r="C24" t="s">
        <v>64</v>
      </c>
      <c r="D24" s="49">
        <f>AVERAGE(D8:D22)</f>
        <v>0.88</v>
      </c>
      <c r="E24" s="49">
        <f>STDEV(D8:D22)</f>
        <v>1.3576239748703824</v>
      </c>
    </row>
    <row r="25" spans="1:6">
      <c r="D25" s="20"/>
    </row>
    <row r="27" spans="1:6">
      <c r="A27" s="15" t="s">
        <v>140</v>
      </c>
      <c r="B27">
        <v>2312</v>
      </c>
      <c r="C27">
        <v>1</v>
      </c>
      <c r="D27" s="20">
        <v>-2.9</v>
      </c>
      <c r="E27">
        <v>2471</v>
      </c>
      <c r="F27" t="s">
        <v>114</v>
      </c>
    </row>
    <row r="28" spans="1:6">
      <c r="A28" s="19" t="s">
        <v>328</v>
      </c>
      <c r="B28">
        <v>2103</v>
      </c>
      <c r="C28">
        <v>1</v>
      </c>
      <c r="D28" s="20">
        <v>2.6</v>
      </c>
      <c r="E28">
        <v>2109</v>
      </c>
      <c r="F28" t="s">
        <v>313</v>
      </c>
    </row>
    <row r="29" spans="1:6">
      <c r="A29" t="s">
        <v>329</v>
      </c>
      <c r="B29">
        <v>2100</v>
      </c>
      <c r="C29">
        <v>2</v>
      </c>
      <c r="D29" s="20">
        <v>3.5</v>
      </c>
      <c r="E29">
        <v>2047</v>
      </c>
      <c r="F29" t="s">
        <v>131</v>
      </c>
    </row>
    <row r="30" spans="1:6">
      <c r="B30">
        <v>2118</v>
      </c>
      <c r="C30">
        <v>2</v>
      </c>
      <c r="D30" s="20">
        <v>3.7</v>
      </c>
      <c r="E30">
        <v>2039</v>
      </c>
    </row>
    <row r="31" spans="1:6">
      <c r="B31">
        <v>2100</v>
      </c>
      <c r="C31">
        <v>2</v>
      </c>
      <c r="D31" s="20">
        <v>2.2999999999999998</v>
      </c>
      <c r="E31">
        <v>2123</v>
      </c>
    </row>
    <row r="32" spans="1:6">
      <c r="B32">
        <v>2100</v>
      </c>
      <c r="C32">
        <v>2</v>
      </c>
      <c r="D32" s="20">
        <v>2.8</v>
      </c>
      <c r="E32">
        <v>2094</v>
      </c>
    </row>
    <row r="33" spans="1:5">
      <c r="B33">
        <v>2110</v>
      </c>
      <c r="C33">
        <v>2</v>
      </c>
      <c r="D33" s="20">
        <v>2.6</v>
      </c>
      <c r="E33">
        <v>2110</v>
      </c>
    </row>
    <row r="34" spans="1:5">
      <c r="B34">
        <v>2108</v>
      </c>
      <c r="C34">
        <v>2</v>
      </c>
      <c r="D34" s="20">
        <v>2.9</v>
      </c>
      <c r="E34">
        <v>2090</v>
      </c>
    </row>
    <row r="35" spans="1:5">
      <c r="B35">
        <v>2100</v>
      </c>
      <c r="C35">
        <v>1</v>
      </c>
      <c r="D35" s="20">
        <v>3.4</v>
      </c>
      <c r="E35">
        <v>2053</v>
      </c>
    </row>
    <row r="36" spans="1:5">
      <c r="B36">
        <v>2162</v>
      </c>
      <c r="C36">
        <v>32</v>
      </c>
      <c r="D36" s="20">
        <v>1.8</v>
      </c>
      <c r="E36">
        <v>2148</v>
      </c>
    </row>
    <row r="37" spans="1:5">
      <c r="B37">
        <v>2118</v>
      </c>
      <c r="C37">
        <v>2</v>
      </c>
      <c r="D37" s="20">
        <v>2.8</v>
      </c>
      <c r="E37">
        <v>2091</v>
      </c>
    </row>
    <row r="38" spans="1:5">
      <c r="B38">
        <v>2102</v>
      </c>
      <c r="C38">
        <v>11</v>
      </c>
      <c r="D38" s="20">
        <v>3.4</v>
      </c>
      <c r="E38">
        <v>2062</v>
      </c>
    </row>
    <row r="39" spans="1:5">
      <c r="A39" s="19"/>
      <c r="B39">
        <v>2300</v>
      </c>
      <c r="C39">
        <v>2</v>
      </c>
      <c r="D39" s="20">
        <v>3.5</v>
      </c>
      <c r="E39">
        <v>2047</v>
      </c>
    </row>
    <row r="40" spans="1:5">
      <c r="B40">
        <v>2103</v>
      </c>
      <c r="C40">
        <v>1</v>
      </c>
      <c r="D40" s="20">
        <v>2.7</v>
      </c>
      <c r="E40">
        <v>2100</v>
      </c>
    </row>
    <row r="41" spans="1:5">
      <c r="B41">
        <v>2162</v>
      </c>
      <c r="C41">
        <v>32</v>
      </c>
      <c r="D41" s="20">
        <v>2.5</v>
      </c>
      <c r="E41">
        <v>2150</v>
      </c>
    </row>
    <row r="42" spans="1:5">
      <c r="A42" t="s">
        <v>76</v>
      </c>
      <c r="B42">
        <v>2100</v>
      </c>
      <c r="D42" s="20">
        <v>3.1</v>
      </c>
    </row>
    <row r="43" spans="1:5">
      <c r="B43">
        <v>2100</v>
      </c>
      <c r="D43" s="20">
        <v>2.2999999999999998</v>
      </c>
    </row>
    <row r="44" spans="1:5">
      <c r="B44">
        <v>2100</v>
      </c>
      <c r="D44" s="20">
        <v>2.6</v>
      </c>
    </row>
    <row r="45" spans="1:5">
      <c r="B45">
        <v>2105</v>
      </c>
      <c r="D45" s="20">
        <v>3.2</v>
      </c>
    </row>
    <row r="46" spans="1:5">
      <c r="B46">
        <v>2110</v>
      </c>
      <c r="D46" s="20">
        <v>2.9</v>
      </c>
    </row>
    <row r="47" spans="1:5">
      <c r="B47">
        <v>2090</v>
      </c>
      <c r="D47" s="20">
        <v>3.4</v>
      </c>
    </row>
    <row r="48" spans="1:5">
      <c r="B48">
        <v>2085</v>
      </c>
      <c r="D48" s="20">
        <v>2.8</v>
      </c>
    </row>
    <row r="49" spans="2:4">
      <c r="B49">
        <v>2075</v>
      </c>
      <c r="D49" s="20">
        <v>3</v>
      </c>
    </row>
    <row r="50" spans="2:4">
      <c r="B50">
        <v>2086</v>
      </c>
      <c r="D50" s="20">
        <v>2.9</v>
      </c>
    </row>
    <row r="51" spans="2:4">
      <c r="B51">
        <v>2092</v>
      </c>
      <c r="D51" s="20">
        <v>2.9</v>
      </c>
    </row>
    <row r="52" spans="2:4">
      <c r="B52">
        <v>2084</v>
      </c>
      <c r="D52" s="20">
        <v>3.8</v>
      </c>
    </row>
    <row r="53" spans="2:4">
      <c r="B53">
        <v>2100</v>
      </c>
      <c r="D53" s="20">
        <v>3.6</v>
      </c>
    </row>
    <row r="54" spans="2:4">
      <c r="B54">
        <v>2142</v>
      </c>
      <c r="D54" s="20">
        <v>3.3</v>
      </c>
    </row>
    <row r="55" spans="2:4">
      <c r="B55">
        <v>2116</v>
      </c>
      <c r="D55" s="20">
        <v>4.0999999999999996</v>
      </c>
    </row>
    <row r="56" spans="2:4">
      <c r="B56">
        <v>2115</v>
      </c>
      <c r="D56" s="20">
        <v>3.4</v>
      </c>
    </row>
    <row r="57" spans="2:4">
      <c r="B57">
        <v>2109</v>
      </c>
      <c r="D57" s="20">
        <v>2.7</v>
      </c>
    </row>
    <row r="58" spans="2:4">
      <c r="B58">
        <v>2113</v>
      </c>
      <c r="D58" s="20">
        <v>2.4</v>
      </c>
    </row>
    <row r="59" spans="2:4">
      <c r="B59">
        <v>2104</v>
      </c>
      <c r="D59" s="20">
        <v>3.2</v>
      </c>
    </row>
    <row r="60" spans="2:4">
      <c r="B60">
        <v>2087</v>
      </c>
      <c r="D60" s="20">
        <v>2.4</v>
      </c>
    </row>
    <row r="61" spans="2:4">
      <c r="B61">
        <v>2096</v>
      </c>
      <c r="D61" s="20">
        <v>2.2000000000000002</v>
      </c>
    </row>
    <row r="62" spans="2:4">
      <c r="B62">
        <v>2099</v>
      </c>
      <c r="D62" s="20">
        <v>3.3</v>
      </c>
    </row>
    <row r="63" spans="2:4">
      <c r="B63">
        <v>2108</v>
      </c>
      <c r="D63" s="20">
        <v>3.9</v>
      </c>
    </row>
    <row r="64" spans="2:4">
      <c r="B64">
        <v>2108</v>
      </c>
      <c r="D64">
        <v>3.4</v>
      </c>
    </row>
    <row r="65" spans="2:4">
      <c r="B65">
        <v>2105</v>
      </c>
      <c r="D65">
        <v>2</v>
      </c>
    </row>
    <row r="66" spans="2:4">
      <c r="B66">
        <v>2110</v>
      </c>
      <c r="D66">
        <v>1</v>
      </c>
    </row>
    <row r="67" spans="2:4">
      <c r="B67">
        <v>2095</v>
      </c>
      <c r="D67">
        <v>2.6</v>
      </c>
    </row>
    <row r="68" spans="2:4">
      <c r="B68">
        <v>2084</v>
      </c>
      <c r="D68">
        <v>0.9</v>
      </c>
    </row>
    <row r="69" spans="2:4">
      <c r="B69">
        <v>2077</v>
      </c>
      <c r="D69">
        <v>1.7</v>
      </c>
    </row>
    <row r="70" spans="2:4">
      <c r="B70">
        <v>2089</v>
      </c>
      <c r="D70">
        <v>2.6</v>
      </c>
    </row>
    <row r="71" spans="2:4">
      <c r="B71">
        <v>2092</v>
      </c>
      <c r="D71">
        <v>1.5</v>
      </c>
    </row>
    <row r="72" spans="2:4">
      <c r="B72">
        <v>2092</v>
      </c>
      <c r="D72">
        <v>3.2</v>
      </c>
    </row>
    <row r="73" spans="2:4">
      <c r="B73">
        <v>2100</v>
      </c>
      <c r="D73">
        <v>4.0999999999999996</v>
      </c>
    </row>
    <row r="74" spans="2:4">
      <c r="B74">
        <v>2132</v>
      </c>
      <c r="D74">
        <v>1.8</v>
      </c>
    </row>
    <row r="75" spans="2:4">
      <c r="B75">
        <v>2116</v>
      </c>
      <c r="D75">
        <v>2.6</v>
      </c>
    </row>
    <row r="76" spans="2:4">
      <c r="B76">
        <v>2115</v>
      </c>
      <c r="D76">
        <v>2.2000000000000002</v>
      </c>
    </row>
    <row r="77" spans="2:4">
      <c r="B77">
        <v>2108</v>
      </c>
      <c r="D77">
        <v>0.5</v>
      </c>
    </row>
    <row r="78" spans="2:4">
      <c r="B78">
        <v>2104</v>
      </c>
      <c r="D78">
        <v>2.8</v>
      </c>
    </row>
    <row r="79" spans="2:4">
      <c r="B79">
        <v>2133</v>
      </c>
      <c r="D79">
        <v>2.1</v>
      </c>
    </row>
    <row r="80" spans="2:4">
      <c r="B80">
        <v>2152</v>
      </c>
      <c r="D80">
        <v>2</v>
      </c>
    </row>
    <row r="81" spans="1:6">
      <c r="B81">
        <v>2088</v>
      </c>
      <c r="D81">
        <v>1.7</v>
      </c>
    </row>
    <row r="82" spans="1:6">
      <c r="B82">
        <v>2075</v>
      </c>
      <c r="D82">
        <v>2.2999999999999998</v>
      </c>
    </row>
    <row r="83" spans="1:6">
      <c r="B83">
        <v>2069</v>
      </c>
      <c r="D83">
        <v>2.4</v>
      </c>
    </row>
    <row r="84" spans="1:6">
      <c r="B84">
        <v>2058</v>
      </c>
      <c r="D84">
        <v>-2</v>
      </c>
    </row>
    <row r="85" spans="1:6">
      <c r="B85">
        <v>2039</v>
      </c>
      <c r="D85">
        <v>3.7</v>
      </c>
    </row>
    <row r="86" spans="1:6">
      <c r="D86" s="20"/>
    </row>
    <row r="87" spans="1:6">
      <c r="C87" t="s">
        <v>64</v>
      </c>
      <c r="D87" s="49">
        <f>AVERAGE(D27:D85)</f>
        <v>2.5440677966101699</v>
      </c>
      <c r="E87" s="49">
        <f>STDEV(D27:D85)</f>
        <v>1.2160239315987658</v>
      </c>
    </row>
    <row r="88" spans="1:6">
      <c r="D88" s="20"/>
    </row>
    <row r="89" spans="1:6">
      <c r="B89">
        <v>2094</v>
      </c>
      <c r="C89">
        <v>10</v>
      </c>
      <c r="D89">
        <v>0.2</v>
      </c>
      <c r="E89">
        <v>2325</v>
      </c>
      <c r="F89" t="s">
        <v>5</v>
      </c>
    </row>
    <row r="90" spans="1:6">
      <c r="A90" s="23" t="s">
        <v>244</v>
      </c>
      <c r="B90">
        <v>2094</v>
      </c>
      <c r="C90">
        <v>15</v>
      </c>
      <c r="D90">
        <v>1.92</v>
      </c>
      <c r="E90">
        <v>2202</v>
      </c>
    </row>
    <row r="91" spans="1:6">
      <c r="B91">
        <v>2096</v>
      </c>
      <c r="C91">
        <v>12</v>
      </c>
      <c r="D91">
        <v>1.94</v>
      </c>
      <c r="E91">
        <v>2201</v>
      </c>
    </row>
    <row r="92" spans="1:6">
      <c r="A92" s="19" t="s">
        <v>245</v>
      </c>
      <c r="B92">
        <v>2089</v>
      </c>
      <c r="C92">
        <v>15</v>
      </c>
      <c r="D92">
        <v>1.87</v>
      </c>
      <c r="E92">
        <v>2202</v>
      </c>
    </row>
    <row r="93" spans="1:6">
      <c r="B93">
        <v>2095</v>
      </c>
      <c r="C93">
        <v>12</v>
      </c>
      <c r="D93">
        <v>0.98</v>
      </c>
      <c r="E93">
        <v>2313</v>
      </c>
    </row>
    <row r="94" spans="1:6">
      <c r="B94">
        <v>2090</v>
      </c>
      <c r="C94">
        <v>14</v>
      </c>
      <c r="D94">
        <v>1.9</v>
      </c>
      <c r="E94">
        <v>2262</v>
      </c>
    </row>
    <row r="95" spans="1:6">
      <c r="B95">
        <v>2120</v>
      </c>
      <c r="C95">
        <v>2</v>
      </c>
      <c r="D95">
        <v>3.62</v>
      </c>
      <c r="E95">
        <v>2073</v>
      </c>
    </row>
    <row r="96" spans="1:6">
      <c r="B96">
        <v>2120</v>
      </c>
      <c r="C96">
        <v>12</v>
      </c>
      <c r="D96">
        <v>1.2</v>
      </c>
      <c r="E96">
        <v>2486</v>
      </c>
    </row>
    <row r="97" spans="2:6">
      <c r="B97">
        <v>2125</v>
      </c>
      <c r="C97">
        <v>8</v>
      </c>
      <c r="D97">
        <v>2.39</v>
      </c>
      <c r="E97">
        <v>2207</v>
      </c>
    </row>
    <row r="98" spans="2:6">
      <c r="B98">
        <v>2130</v>
      </c>
      <c r="C98">
        <v>20</v>
      </c>
      <c r="D98">
        <v>1.82</v>
      </c>
      <c r="E98">
        <v>2264</v>
      </c>
    </row>
    <row r="99" spans="2:6">
      <c r="B99">
        <v>2264</v>
      </c>
      <c r="C99">
        <v>14</v>
      </c>
      <c r="D99">
        <v>2.2000000000000002</v>
      </c>
      <c r="E99">
        <v>2382</v>
      </c>
    </row>
    <row r="100" spans="2:6">
      <c r="B100">
        <v>2110</v>
      </c>
      <c r="C100">
        <v>12</v>
      </c>
      <c r="D100">
        <v>2.65</v>
      </c>
      <c r="E100">
        <v>2200</v>
      </c>
    </row>
    <row r="101" spans="2:6">
      <c r="B101">
        <v>2115</v>
      </c>
      <c r="C101">
        <v>5</v>
      </c>
      <c r="D101">
        <v>2.4500000000000002</v>
      </c>
      <c r="E101">
        <v>2226</v>
      </c>
    </row>
    <row r="102" spans="2:6">
      <c r="B102">
        <v>2114</v>
      </c>
      <c r="C102">
        <v>6</v>
      </c>
      <c r="D102">
        <v>3.08</v>
      </c>
      <c r="E102">
        <v>2147</v>
      </c>
    </row>
    <row r="103" spans="2:6">
      <c r="B103">
        <v>2118</v>
      </c>
      <c r="C103">
        <v>6</v>
      </c>
      <c r="D103">
        <v>2.48</v>
      </c>
      <c r="E103">
        <v>2212</v>
      </c>
    </row>
    <row r="104" spans="2:6">
      <c r="B104">
        <v>2115</v>
      </c>
      <c r="C104">
        <v>10</v>
      </c>
      <c r="D104">
        <v>2.12</v>
      </c>
      <c r="E104">
        <v>2198</v>
      </c>
    </row>
    <row r="105" spans="2:6">
      <c r="B105">
        <v>2060</v>
      </c>
      <c r="C105">
        <v>5</v>
      </c>
      <c r="D105">
        <v>1.74</v>
      </c>
      <c r="E105">
        <v>2227</v>
      </c>
    </row>
    <row r="106" spans="2:6">
      <c r="B106">
        <v>2065</v>
      </c>
      <c r="C106">
        <v>6</v>
      </c>
      <c r="D106" s="20">
        <v>-0.63</v>
      </c>
      <c r="E106">
        <v>3054</v>
      </c>
    </row>
    <row r="107" spans="2:6">
      <c r="B107">
        <v>2062</v>
      </c>
      <c r="C107">
        <v>8</v>
      </c>
      <c r="D107" s="20">
        <v>-3.05</v>
      </c>
      <c r="E107">
        <v>3213</v>
      </c>
    </row>
    <row r="109" spans="2:6">
      <c r="C109" t="s">
        <v>64</v>
      </c>
      <c r="D109" s="49">
        <f>AVERAGE(D89:D107)</f>
        <v>1.6252631578947367</v>
      </c>
      <c r="E109" s="49">
        <f>STDEV(D89:D107)</f>
        <v>1.4843867735759615</v>
      </c>
    </row>
    <row r="111" spans="2:6">
      <c r="B111">
        <v>2100</v>
      </c>
      <c r="C111">
        <v>5</v>
      </c>
      <c r="D111" s="20">
        <v>-0.9</v>
      </c>
      <c r="E111">
        <v>2440</v>
      </c>
      <c r="F111" t="s">
        <v>77</v>
      </c>
    </row>
    <row r="112" spans="2:6">
      <c r="B112">
        <v>2110</v>
      </c>
      <c r="C112">
        <v>8</v>
      </c>
      <c r="D112" s="20">
        <v>5.9</v>
      </c>
      <c r="E112">
        <v>1830</v>
      </c>
    </row>
    <row r="113" spans="1:5">
      <c r="B113">
        <v>2105</v>
      </c>
      <c r="C113">
        <v>9</v>
      </c>
      <c r="D113" s="20">
        <v>0</v>
      </c>
      <c r="E113">
        <v>2260</v>
      </c>
    </row>
    <row r="114" spans="1:5">
      <c r="B114">
        <v>2100</v>
      </c>
      <c r="C114">
        <v>5</v>
      </c>
      <c r="D114" s="20">
        <v>0</v>
      </c>
      <c r="E114">
        <v>2260</v>
      </c>
    </row>
    <row r="115" spans="1:5">
      <c r="A115" s="14" t="s">
        <v>246</v>
      </c>
      <c r="B115">
        <v>2108</v>
      </c>
      <c r="C115">
        <v>4</v>
      </c>
      <c r="D115" s="20">
        <v>-8.4</v>
      </c>
      <c r="E115">
        <v>3150</v>
      </c>
    </row>
    <row r="116" spans="1:5">
      <c r="B116">
        <v>2110</v>
      </c>
      <c r="C116">
        <v>8</v>
      </c>
      <c r="D116" s="20">
        <v>-9.3000000000000007</v>
      </c>
      <c r="E116">
        <v>3020</v>
      </c>
    </row>
    <row r="117" spans="1:5">
      <c r="A117" s="19" t="s">
        <v>247</v>
      </c>
      <c r="B117">
        <v>2085</v>
      </c>
      <c r="C117">
        <v>10</v>
      </c>
      <c r="D117" s="20">
        <v>-10.4</v>
      </c>
      <c r="E117">
        <v>3040</v>
      </c>
    </row>
    <row r="118" spans="1:5">
      <c r="B118">
        <v>2089</v>
      </c>
      <c r="C118">
        <v>11</v>
      </c>
      <c r="D118" s="20">
        <v>-12.4</v>
      </c>
      <c r="E118">
        <v>3070</v>
      </c>
    </row>
    <row r="119" spans="1:5">
      <c r="B119">
        <v>2100</v>
      </c>
      <c r="C119">
        <v>6</v>
      </c>
      <c r="D119" s="20">
        <v>-5.4</v>
      </c>
      <c r="E119">
        <v>2730</v>
      </c>
    </row>
    <row r="120" spans="1:5">
      <c r="B120">
        <v>2096</v>
      </c>
      <c r="C120">
        <v>7</v>
      </c>
      <c r="D120" s="20">
        <v>-0.5</v>
      </c>
      <c r="E120">
        <v>2480</v>
      </c>
    </row>
    <row r="121" spans="1:5">
      <c r="B121">
        <v>2087</v>
      </c>
      <c r="C121">
        <v>15</v>
      </c>
      <c r="D121" s="20">
        <v>-7.2</v>
      </c>
      <c r="E121">
        <v>2880</v>
      </c>
    </row>
    <row r="122" spans="1:5">
      <c r="B122">
        <v>2100</v>
      </c>
      <c r="C122">
        <v>5</v>
      </c>
      <c r="D122" s="20">
        <v>0.9</v>
      </c>
      <c r="E122">
        <v>2370</v>
      </c>
    </row>
    <row r="123" spans="1:5">
      <c r="B123">
        <v>2105</v>
      </c>
      <c r="C123">
        <v>18</v>
      </c>
      <c r="D123" s="20">
        <v>4.0999999999999996</v>
      </c>
      <c r="E123">
        <v>2050</v>
      </c>
    </row>
    <row r="124" spans="1:5">
      <c r="B124">
        <v>2076</v>
      </c>
      <c r="C124">
        <v>13</v>
      </c>
      <c r="D124" s="20">
        <v>-4.9000000000000004</v>
      </c>
      <c r="E124">
        <v>2740</v>
      </c>
    </row>
    <row r="125" spans="1:5">
      <c r="B125">
        <v>2100</v>
      </c>
      <c r="C125">
        <v>6</v>
      </c>
      <c r="D125" s="20">
        <v>-4.8</v>
      </c>
      <c r="E125">
        <v>2720</v>
      </c>
    </row>
    <row r="126" spans="1:5">
      <c r="B126">
        <v>2108</v>
      </c>
      <c r="C126">
        <v>10</v>
      </c>
      <c r="D126" s="20">
        <v>-4.9000000000000004</v>
      </c>
      <c r="E126">
        <v>2560</v>
      </c>
    </row>
    <row r="127" spans="1:5">
      <c r="B127">
        <v>2079</v>
      </c>
      <c r="C127">
        <v>5</v>
      </c>
      <c r="D127" s="20">
        <v>1.3</v>
      </c>
      <c r="E127">
        <v>2190</v>
      </c>
    </row>
    <row r="128" spans="1:5">
      <c r="B128">
        <v>2100</v>
      </c>
      <c r="C128">
        <v>5</v>
      </c>
      <c r="D128" s="20">
        <v>-1.3</v>
      </c>
      <c r="E128">
        <v>2360</v>
      </c>
    </row>
    <row r="129" spans="1:6">
      <c r="B129">
        <v>2096</v>
      </c>
      <c r="C129">
        <v>26</v>
      </c>
      <c r="D129" s="20">
        <v>-4.0999999999999996</v>
      </c>
      <c r="E129">
        <v>2550</v>
      </c>
    </row>
    <row r="130" spans="1:6">
      <c r="B130">
        <v>2114</v>
      </c>
      <c r="C130">
        <v>12</v>
      </c>
      <c r="D130" s="20">
        <v>-1.8</v>
      </c>
      <c r="E130">
        <v>2600</v>
      </c>
    </row>
    <row r="131" spans="1:6">
      <c r="B131">
        <v>2115</v>
      </c>
      <c r="C131">
        <v>21</v>
      </c>
      <c r="D131" s="20">
        <v>6.9</v>
      </c>
      <c r="E131">
        <v>1780</v>
      </c>
    </row>
    <row r="132" spans="1:6">
      <c r="A132" s="19"/>
      <c r="B132">
        <v>2106</v>
      </c>
      <c r="C132">
        <v>8</v>
      </c>
      <c r="D132" s="20">
        <v>-3.2</v>
      </c>
      <c r="E132">
        <v>2550</v>
      </c>
    </row>
    <row r="134" spans="1:6">
      <c r="C134" t="s">
        <v>64</v>
      </c>
      <c r="D134" s="49">
        <f>AVERAGE(D111:D132)</f>
        <v>-2.7454545454545456</v>
      </c>
      <c r="E134" s="49">
        <f>STDEV(D111:D132)</f>
        <v>5.0708060101993251</v>
      </c>
    </row>
    <row r="136" spans="1:6">
      <c r="B136">
        <v>1922</v>
      </c>
      <c r="C136">
        <v>12</v>
      </c>
      <c r="D136" s="20">
        <v>2.6</v>
      </c>
      <c r="E136">
        <v>2044</v>
      </c>
      <c r="F136" t="s">
        <v>78</v>
      </c>
    </row>
    <row r="137" spans="1:6">
      <c r="B137">
        <v>1923</v>
      </c>
      <c r="C137">
        <v>12</v>
      </c>
      <c r="D137" s="20">
        <v>1.2</v>
      </c>
      <c r="E137">
        <v>2257</v>
      </c>
      <c r="F137" t="s">
        <v>58</v>
      </c>
    </row>
    <row r="138" spans="1:6">
      <c r="B138">
        <v>1920</v>
      </c>
      <c r="C138">
        <v>12</v>
      </c>
      <c r="D138" s="20">
        <v>1.1000000000000001</v>
      </c>
      <c r="E138">
        <v>2331</v>
      </c>
      <c r="F138" t="s">
        <v>79</v>
      </c>
    </row>
    <row r="139" spans="1:6">
      <c r="B139">
        <v>1925</v>
      </c>
      <c r="C139">
        <v>10</v>
      </c>
      <c r="D139" s="20">
        <v>1.4</v>
      </c>
      <c r="E139">
        <v>2191</v>
      </c>
    </row>
    <row r="140" spans="1:6">
      <c r="B140">
        <v>1922</v>
      </c>
      <c r="C140">
        <v>12</v>
      </c>
      <c r="D140" s="20">
        <v>1.9</v>
      </c>
      <c r="E140">
        <v>2131</v>
      </c>
    </row>
    <row r="141" spans="1:6">
      <c r="B141">
        <v>1914</v>
      </c>
      <c r="C141">
        <v>4</v>
      </c>
      <c r="D141" s="20">
        <v>3.1</v>
      </c>
      <c r="E141">
        <v>1985</v>
      </c>
    </row>
    <row r="142" spans="1:6">
      <c r="B142">
        <v>1930</v>
      </c>
      <c r="C142">
        <v>15</v>
      </c>
      <c r="D142" s="20">
        <v>3</v>
      </c>
      <c r="E142">
        <v>1976</v>
      </c>
    </row>
    <row r="143" spans="1:6">
      <c r="B143">
        <v>1932</v>
      </c>
      <c r="C143">
        <v>12</v>
      </c>
      <c r="D143" s="20">
        <v>2.7</v>
      </c>
      <c r="E143">
        <v>1996</v>
      </c>
    </row>
    <row r="144" spans="1:6">
      <c r="B144">
        <v>1932</v>
      </c>
      <c r="C144">
        <v>15</v>
      </c>
      <c r="D144" s="20">
        <v>3.2</v>
      </c>
      <c r="E144">
        <v>1977</v>
      </c>
    </row>
    <row r="145" spans="1:5">
      <c r="B145">
        <v>1930</v>
      </c>
      <c r="C145">
        <v>15</v>
      </c>
      <c r="D145" s="20">
        <v>2.6</v>
      </c>
      <c r="E145">
        <v>2022</v>
      </c>
    </row>
    <row r="146" spans="1:5">
      <c r="B146">
        <v>1925</v>
      </c>
      <c r="C146">
        <v>10</v>
      </c>
      <c r="D146" s="20">
        <v>1.9</v>
      </c>
      <c r="E146">
        <v>2214</v>
      </c>
    </row>
    <row r="147" spans="1:5">
      <c r="A147" s="19"/>
      <c r="B147">
        <v>1921</v>
      </c>
      <c r="C147">
        <v>2</v>
      </c>
      <c r="D147" s="20">
        <v>3.4</v>
      </c>
      <c r="E147">
        <v>1939</v>
      </c>
    </row>
    <row r="148" spans="1:5">
      <c r="B148">
        <v>1906</v>
      </c>
      <c r="C148">
        <v>4</v>
      </c>
      <c r="D148" s="20">
        <v>3.4</v>
      </c>
      <c r="E148">
        <v>1936</v>
      </c>
    </row>
    <row r="149" spans="1:5">
      <c r="B149">
        <v>1882</v>
      </c>
      <c r="C149">
        <v>2</v>
      </c>
      <c r="D149" s="20">
        <v>-0.3</v>
      </c>
      <c r="E149">
        <v>2310</v>
      </c>
    </row>
    <row r="150" spans="1:5">
      <c r="B150">
        <v>1886</v>
      </c>
      <c r="C150">
        <v>5</v>
      </c>
      <c r="D150" s="20">
        <v>2.9</v>
      </c>
      <c r="E150">
        <v>1947</v>
      </c>
    </row>
    <row r="151" spans="1:5">
      <c r="B151">
        <v>1815</v>
      </c>
      <c r="C151">
        <v>7</v>
      </c>
      <c r="D151" s="20">
        <v>0.9</v>
      </c>
      <c r="E151">
        <v>1973</v>
      </c>
    </row>
    <row r="152" spans="1:5">
      <c r="B152">
        <v>1816</v>
      </c>
      <c r="C152">
        <v>10</v>
      </c>
      <c r="D152" s="20">
        <v>0.8</v>
      </c>
      <c r="E152">
        <v>1982</v>
      </c>
    </row>
    <row r="153" spans="1:5">
      <c r="B153">
        <v>1800</v>
      </c>
      <c r="D153" s="20">
        <v>-6.9</v>
      </c>
    </row>
    <row r="154" spans="1:5">
      <c r="B154">
        <v>1880</v>
      </c>
      <c r="D154" s="20">
        <v>-1.2</v>
      </c>
    </row>
    <row r="155" spans="1:5">
      <c r="B155">
        <v>1870</v>
      </c>
      <c r="D155" s="20">
        <v>-3.4</v>
      </c>
    </row>
    <row r="156" spans="1:5">
      <c r="B156">
        <v>1870</v>
      </c>
      <c r="D156" s="20">
        <v>-3.6</v>
      </c>
    </row>
    <row r="157" spans="1:5">
      <c r="B157">
        <v>1870</v>
      </c>
      <c r="D157" s="20">
        <v>-2.1</v>
      </c>
    </row>
    <row r="158" spans="1:5">
      <c r="B158">
        <v>1880</v>
      </c>
      <c r="D158" s="20">
        <v>-1.4</v>
      </c>
    </row>
    <row r="159" spans="1:5">
      <c r="B159">
        <v>1860</v>
      </c>
      <c r="D159" s="20">
        <v>-6</v>
      </c>
    </row>
    <row r="160" spans="1:5">
      <c r="B160">
        <v>1830</v>
      </c>
      <c r="D160" s="20">
        <v>0.1</v>
      </c>
    </row>
    <row r="161" spans="2:4">
      <c r="B161">
        <v>1890</v>
      </c>
      <c r="D161" s="20">
        <v>-0.7</v>
      </c>
    </row>
    <row r="162" spans="2:4">
      <c r="B162">
        <v>1890</v>
      </c>
      <c r="D162" s="20">
        <v>0.7</v>
      </c>
    </row>
    <row r="163" spans="2:4">
      <c r="B163">
        <v>1880</v>
      </c>
      <c r="D163" s="20">
        <v>1.2</v>
      </c>
    </row>
    <row r="164" spans="2:4">
      <c r="B164">
        <v>1880</v>
      </c>
      <c r="D164" s="20">
        <v>-0.2</v>
      </c>
    </row>
    <row r="165" spans="2:4">
      <c r="B165">
        <v>1890</v>
      </c>
      <c r="D165" s="20">
        <v>-0.9</v>
      </c>
    </row>
    <row r="166" spans="2:4">
      <c r="B166">
        <v>1900</v>
      </c>
      <c r="D166" s="20">
        <v>3.3</v>
      </c>
    </row>
    <row r="167" spans="2:4">
      <c r="B167">
        <v>1880</v>
      </c>
      <c r="D167" s="20">
        <v>3</v>
      </c>
    </row>
    <row r="168" spans="2:4">
      <c r="B168">
        <v>1200</v>
      </c>
      <c r="D168">
        <v>0.8</v>
      </c>
    </row>
    <row r="169" spans="2:4">
      <c r="B169">
        <v>1190</v>
      </c>
      <c r="D169">
        <v>1.3</v>
      </c>
    </row>
    <row r="170" spans="2:4">
      <c r="B170">
        <v>1205</v>
      </c>
      <c r="D170">
        <v>1.1000000000000001</v>
      </c>
    </row>
    <row r="171" spans="2:4">
      <c r="B171">
        <v>1185</v>
      </c>
      <c r="D171">
        <v>2</v>
      </c>
    </row>
    <row r="172" spans="2:4">
      <c r="B172">
        <v>1195</v>
      </c>
      <c r="D172">
        <v>2.6</v>
      </c>
    </row>
    <row r="173" spans="2:4">
      <c r="B173">
        <v>1190</v>
      </c>
      <c r="D173">
        <v>3.8</v>
      </c>
    </row>
    <row r="174" spans="2:4">
      <c r="B174">
        <v>1200</v>
      </c>
      <c r="D174">
        <v>5.2</v>
      </c>
    </row>
    <row r="175" spans="2:4">
      <c r="B175">
        <v>1186</v>
      </c>
      <c r="D175">
        <v>5.9</v>
      </c>
    </row>
    <row r="176" spans="2:4">
      <c r="B176">
        <v>1190</v>
      </c>
      <c r="D176">
        <v>6.2</v>
      </c>
    </row>
    <row r="177" spans="2:4">
      <c r="B177">
        <v>1300</v>
      </c>
      <c r="D177">
        <v>0.2</v>
      </c>
    </row>
    <row r="178" spans="2:4">
      <c r="B178">
        <v>1305</v>
      </c>
      <c r="D178">
        <v>1.2</v>
      </c>
    </row>
    <row r="179" spans="2:4">
      <c r="B179">
        <v>1312</v>
      </c>
      <c r="D179">
        <v>2</v>
      </c>
    </row>
    <row r="180" spans="2:4">
      <c r="B180">
        <v>1309</v>
      </c>
      <c r="D180">
        <v>2.8</v>
      </c>
    </row>
    <row r="181" spans="2:4">
      <c r="B181">
        <v>1305</v>
      </c>
      <c r="D181">
        <v>3.8</v>
      </c>
    </row>
    <row r="182" spans="2:4">
      <c r="B182">
        <v>1500</v>
      </c>
      <c r="D182">
        <v>1</v>
      </c>
    </row>
    <row r="183" spans="2:4">
      <c r="B183">
        <v>1508</v>
      </c>
      <c r="D183">
        <v>1.2</v>
      </c>
    </row>
    <row r="184" spans="2:4">
      <c r="B184">
        <v>1509</v>
      </c>
      <c r="D184">
        <v>3</v>
      </c>
    </row>
    <row r="185" spans="2:4">
      <c r="B185">
        <v>1510</v>
      </c>
      <c r="D185">
        <v>3.8</v>
      </c>
    </row>
    <row r="186" spans="2:4">
      <c r="B186">
        <v>1504</v>
      </c>
      <c r="D186">
        <v>4.0999999999999996</v>
      </c>
    </row>
    <row r="187" spans="2:4">
      <c r="B187">
        <v>1506</v>
      </c>
      <c r="D187">
        <v>4.3</v>
      </c>
    </row>
    <row r="188" spans="2:4">
      <c r="B188">
        <v>1500</v>
      </c>
      <c r="D188">
        <v>4.8</v>
      </c>
    </row>
    <row r="189" spans="2:4">
      <c r="B189">
        <v>1508</v>
      </c>
      <c r="D189">
        <v>5.0999999999999996</v>
      </c>
    </row>
    <row r="190" spans="2:4">
      <c r="B190">
        <v>1510</v>
      </c>
      <c r="D190">
        <v>6</v>
      </c>
    </row>
    <row r="191" spans="2:4">
      <c r="B191">
        <v>1500</v>
      </c>
      <c r="D191">
        <v>6.5</v>
      </c>
    </row>
    <row r="192" spans="2:4">
      <c r="B192">
        <v>1750</v>
      </c>
      <c r="D192">
        <v>2.2999999999999998</v>
      </c>
    </row>
    <row r="193" spans="2:4">
      <c r="B193">
        <v>1780</v>
      </c>
      <c r="D193">
        <v>2.8</v>
      </c>
    </row>
    <row r="194" spans="2:4">
      <c r="B194">
        <v>1790</v>
      </c>
      <c r="D194">
        <v>3</v>
      </c>
    </row>
    <row r="195" spans="2:4">
      <c r="B195">
        <v>1800</v>
      </c>
      <c r="D195">
        <v>3.1</v>
      </c>
    </row>
    <row r="196" spans="2:4">
      <c r="B196">
        <v>1775</v>
      </c>
      <c r="D196">
        <v>3.2</v>
      </c>
    </row>
    <row r="197" spans="2:4">
      <c r="B197">
        <v>1738</v>
      </c>
      <c r="D197">
        <v>3.2</v>
      </c>
    </row>
    <row r="198" spans="2:4">
      <c r="B198">
        <v>1745</v>
      </c>
      <c r="D198">
        <v>3.9</v>
      </c>
    </row>
    <row r="199" spans="2:4">
      <c r="B199">
        <v>1756</v>
      </c>
      <c r="D199">
        <v>4</v>
      </c>
    </row>
    <row r="200" spans="2:4">
      <c r="B200">
        <v>1756</v>
      </c>
      <c r="D200">
        <v>4.8</v>
      </c>
    </row>
    <row r="201" spans="2:4">
      <c r="B201">
        <v>1758</v>
      </c>
      <c r="D201">
        <v>4.5999999999999996</v>
      </c>
    </row>
    <row r="202" spans="2:4">
      <c r="B202">
        <v>1778</v>
      </c>
      <c r="D202">
        <v>5</v>
      </c>
    </row>
    <row r="203" spans="2:4">
      <c r="B203">
        <v>1743</v>
      </c>
      <c r="D203">
        <v>5.0999999999999996</v>
      </c>
    </row>
    <row r="204" spans="2:4">
      <c r="B204">
        <v>1770</v>
      </c>
      <c r="D204">
        <v>5.9</v>
      </c>
    </row>
    <row r="205" spans="2:4">
      <c r="B205">
        <v>1775</v>
      </c>
      <c r="D205">
        <v>7.2</v>
      </c>
    </row>
    <row r="206" spans="2:4">
      <c r="B206">
        <v>1840</v>
      </c>
      <c r="D206">
        <v>-0.1</v>
      </c>
    </row>
    <row r="207" spans="2:4">
      <c r="B207">
        <v>1845</v>
      </c>
      <c r="D207">
        <v>-0.5</v>
      </c>
    </row>
    <row r="208" spans="2:4">
      <c r="B208">
        <v>1850</v>
      </c>
      <c r="D208">
        <v>-0.6</v>
      </c>
    </row>
    <row r="209" spans="1:6">
      <c r="B209">
        <v>1873</v>
      </c>
      <c r="D209">
        <v>-0.4</v>
      </c>
    </row>
    <row r="210" spans="1:6">
      <c r="B210">
        <v>1875</v>
      </c>
      <c r="D210">
        <v>1.1000000000000001</v>
      </c>
    </row>
    <row r="211" spans="1:6">
      <c r="B211">
        <v>1888</v>
      </c>
      <c r="D211">
        <v>1.2</v>
      </c>
    </row>
    <row r="212" spans="1:6">
      <c r="B212">
        <v>1890</v>
      </c>
      <c r="D212">
        <v>1.3</v>
      </c>
    </row>
    <row r="213" spans="1:6">
      <c r="B213">
        <v>1895</v>
      </c>
      <c r="D213">
        <v>2.2999999999999998</v>
      </c>
    </row>
    <row r="214" spans="1:6">
      <c r="B214">
        <v>1896</v>
      </c>
      <c r="D214">
        <v>2.8</v>
      </c>
    </row>
    <row r="215" spans="1:6">
      <c r="B215">
        <v>1879</v>
      </c>
      <c r="D215">
        <v>2.8</v>
      </c>
    </row>
    <row r="216" spans="1:6">
      <c r="B216">
        <v>1892</v>
      </c>
      <c r="D216">
        <v>2.9</v>
      </c>
    </row>
    <row r="217" spans="1:6">
      <c r="B217">
        <v>1881</v>
      </c>
      <c r="D217">
        <v>2.9</v>
      </c>
    </row>
    <row r="218" spans="1:6">
      <c r="B218">
        <v>1880</v>
      </c>
      <c r="D218">
        <v>3.1</v>
      </c>
    </row>
    <row r="220" spans="1:6">
      <c r="C220" t="s">
        <v>64</v>
      </c>
      <c r="D220" s="49">
        <f>AVERAGE(D136:D218)</f>
        <v>2.0879518072289156</v>
      </c>
      <c r="E220" s="49">
        <f>STDEV(D136:D218)</f>
        <v>2.5540688528240989</v>
      </c>
    </row>
    <row r="222" spans="1:6">
      <c r="D222" s="20"/>
    </row>
    <row r="223" spans="1:6">
      <c r="A223" t="s">
        <v>29</v>
      </c>
      <c r="B223">
        <v>1190</v>
      </c>
      <c r="D223" s="20">
        <v>1.7</v>
      </c>
      <c r="F223" t="s">
        <v>30</v>
      </c>
    </row>
    <row r="224" spans="1:6">
      <c r="A224" t="s">
        <v>31</v>
      </c>
      <c r="B224">
        <v>1180</v>
      </c>
      <c r="D224" s="20">
        <v>1.7</v>
      </c>
    </row>
    <row r="225" spans="2:4">
      <c r="B225">
        <v>1185</v>
      </c>
      <c r="D225" s="20">
        <v>1.7</v>
      </c>
    </row>
    <row r="226" spans="2:4">
      <c r="B226">
        <v>1195</v>
      </c>
      <c r="D226" s="20">
        <v>1.7</v>
      </c>
    </row>
    <row r="227" spans="2:4">
      <c r="B227">
        <v>1196</v>
      </c>
      <c r="D227" s="20">
        <v>1.6</v>
      </c>
    </row>
    <row r="228" spans="2:4">
      <c r="B228">
        <v>1191</v>
      </c>
      <c r="D228" s="20">
        <v>1.5</v>
      </c>
    </row>
    <row r="229" spans="2:4">
      <c r="B229">
        <v>1185</v>
      </c>
      <c r="D229" s="20">
        <v>1.2</v>
      </c>
    </row>
    <row r="230" spans="2:4">
      <c r="B230">
        <v>1174</v>
      </c>
      <c r="D230" s="20">
        <v>1.4</v>
      </c>
    </row>
    <row r="231" spans="2:4">
      <c r="B231">
        <v>1175</v>
      </c>
      <c r="D231" s="20">
        <v>-1.9</v>
      </c>
    </row>
    <row r="232" spans="2:4">
      <c r="B232">
        <v>1165</v>
      </c>
      <c r="D232" s="20">
        <v>1</v>
      </c>
    </row>
    <row r="233" spans="2:4">
      <c r="B233">
        <v>1168</v>
      </c>
      <c r="D233" s="20">
        <v>1.1000000000000001</v>
      </c>
    </row>
    <row r="234" spans="2:4">
      <c r="B234">
        <v>1192</v>
      </c>
      <c r="D234" s="20">
        <v>-0.8</v>
      </c>
    </row>
    <row r="235" spans="2:4">
      <c r="B235">
        <v>1198</v>
      </c>
      <c r="D235" s="20">
        <v>1.1000000000000001</v>
      </c>
    </row>
    <row r="236" spans="2:4">
      <c r="B236">
        <v>1191</v>
      </c>
      <c r="D236" s="20">
        <v>-0.5</v>
      </c>
    </row>
    <row r="237" spans="2:4">
      <c r="B237">
        <v>1193</v>
      </c>
      <c r="D237" s="20">
        <v>1.8</v>
      </c>
    </row>
    <row r="238" spans="2:4">
      <c r="B238">
        <v>1194</v>
      </c>
      <c r="D238" s="20">
        <v>1.6</v>
      </c>
    </row>
    <row r="239" spans="2:4">
      <c r="B239">
        <v>1184</v>
      </c>
      <c r="D239" s="20">
        <v>1.6</v>
      </c>
    </row>
    <row r="240" spans="2:4">
      <c r="B240">
        <v>1186</v>
      </c>
      <c r="D240" s="20">
        <v>0.9</v>
      </c>
    </row>
    <row r="241" spans="1:6">
      <c r="B241">
        <v>1184</v>
      </c>
      <c r="D241" s="20">
        <v>1.2</v>
      </c>
    </row>
    <row r="242" spans="1:6">
      <c r="B242">
        <v>1186</v>
      </c>
      <c r="D242" s="20">
        <v>1.5</v>
      </c>
    </row>
    <row r="243" spans="1:6">
      <c r="B243">
        <v>1175</v>
      </c>
      <c r="D243" s="20">
        <v>1.6</v>
      </c>
    </row>
    <row r="244" spans="1:6">
      <c r="B244">
        <v>1176</v>
      </c>
      <c r="D244" s="20">
        <v>1.7</v>
      </c>
    </row>
    <row r="245" spans="1:6">
      <c r="B245">
        <v>1177</v>
      </c>
      <c r="D245" s="20">
        <v>2</v>
      </c>
    </row>
    <row r="246" spans="1:6">
      <c r="B246">
        <v>1179</v>
      </c>
      <c r="D246" s="20">
        <v>1.7</v>
      </c>
    </row>
    <row r="247" spans="1:6">
      <c r="B247">
        <v>1182</v>
      </c>
      <c r="D247" s="20">
        <v>1</v>
      </c>
    </row>
    <row r="248" spans="1:6">
      <c r="D248" s="20"/>
    </row>
    <row r="249" spans="1:6">
      <c r="C249" t="s">
        <v>64</v>
      </c>
      <c r="D249" s="49">
        <f>AVERAGE(D223:D247)</f>
        <v>1.1639999999999999</v>
      </c>
      <c r="E249" s="49">
        <f>STDEV(D223:D247)</f>
        <v>0.91327250405706795</v>
      </c>
    </row>
    <row r="250" spans="1:6">
      <c r="D250" s="20"/>
    </row>
    <row r="251" spans="1:6">
      <c r="D251" s="20"/>
    </row>
    <row r="252" spans="1:6">
      <c r="D252" s="20"/>
    </row>
    <row r="254" spans="1:6">
      <c r="A254" s="14" t="s">
        <v>290</v>
      </c>
      <c r="B254">
        <v>2000</v>
      </c>
      <c r="C254">
        <v>10</v>
      </c>
      <c r="D254" s="20">
        <v>-6.7</v>
      </c>
      <c r="E254">
        <v>2680</v>
      </c>
      <c r="F254" t="s">
        <v>8</v>
      </c>
    </row>
    <row r="255" spans="1:6">
      <c r="B255">
        <v>1950</v>
      </c>
      <c r="C255">
        <v>5</v>
      </c>
      <c r="D255" s="20">
        <v>-8.6</v>
      </c>
      <c r="E255">
        <v>2870</v>
      </c>
    </row>
    <row r="256" spans="1:6">
      <c r="A256" s="19" t="s">
        <v>248</v>
      </c>
      <c r="B256">
        <v>1960</v>
      </c>
      <c r="C256">
        <v>6</v>
      </c>
      <c r="D256" s="20">
        <v>-8.6</v>
      </c>
      <c r="E256">
        <v>2760</v>
      </c>
    </row>
    <row r="257" spans="1:5">
      <c r="B257">
        <v>2005</v>
      </c>
      <c r="C257">
        <v>14</v>
      </c>
      <c r="D257" s="20">
        <v>-11.7</v>
      </c>
      <c r="E257">
        <v>3020</v>
      </c>
    </row>
    <row r="258" spans="1:5">
      <c r="B258">
        <v>1850</v>
      </c>
      <c r="C258">
        <v>10</v>
      </c>
      <c r="D258" s="20">
        <v>-10.8</v>
      </c>
      <c r="E258">
        <v>3070</v>
      </c>
    </row>
    <row r="259" spans="1:5">
      <c r="B259">
        <v>1865</v>
      </c>
      <c r="C259">
        <v>8</v>
      </c>
      <c r="D259" s="20">
        <v>-8</v>
      </c>
      <c r="E259">
        <v>3111</v>
      </c>
    </row>
    <row r="260" spans="1:5">
      <c r="B260">
        <v>1880</v>
      </c>
      <c r="C260">
        <v>9</v>
      </c>
      <c r="D260" s="20">
        <v>-7.9</v>
      </c>
      <c r="E260">
        <v>3090</v>
      </c>
    </row>
    <row r="261" spans="1:5">
      <c r="B261">
        <v>1845</v>
      </c>
      <c r="C261">
        <v>6</v>
      </c>
      <c r="D261" s="20">
        <v>-6.6</v>
      </c>
      <c r="E261">
        <v>2700</v>
      </c>
    </row>
    <row r="262" spans="1:5">
      <c r="A262" s="24" t="s">
        <v>274</v>
      </c>
      <c r="B262">
        <v>1869</v>
      </c>
      <c r="C262">
        <v>8</v>
      </c>
      <c r="D262" s="20">
        <v>1.3</v>
      </c>
      <c r="E262">
        <v>2040</v>
      </c>
    </row>
    <row r="263" spans="1:5">
      <c r="B263">
        <v>1863</v>
      </c>
      <c r="C263">
        <v>6</v>
      </c>
      <c r="D263" s="20">
        <v>-0.9</v>
      </c>
      <c r="E263">
        <v>2290</v>
      </c>
    </row>
    <row r="264" spans="1:5">
      <c r="B264">
        <v>1880</v>
      </c>
      <c r="C264">
        <v>10</v>
      </c>
      <c r="D264" s="20">
        <v>0.6</v>
      </c>
      <c r="E264">
        <v>2040</v>
      </c>
    </row>
    <row r="265" spans="1:5">
      <c r="B265">
        <v>1890</v>
      </c>
      <c r="C265">
        <v>5</v>
      </c>
      <c r="D265" s="20">
        <v>0.5</v>
      </c>
      <c r="E265">
        <v>2040</v>
      </c>
    </row>
    <row r="266" spans="1:5">
      <c r="B266">
        <v>1865</v>
      </c>
      <c r="C266">
        <v>9</v>
      </c>
      <c r="D266" s="20">
        <v>0.1</v>
      </c>
      <c r="E266">
        <v>2140</v>
      </c>
    </row>
    <row r="267" spans="1:5">
      <c r="B267">
        <v>1880</v>
      </c>
      <c r="C267">
        <v>10</v>
      </c>
      <c r="D267" s="20">
        <v>0</v>
      </c>
      <c r="E267">
        <v>2220</v>
      </c>
    </row>
    <row r="268" spans="1:5">
      <c r="B268">
        <v>1879</v>
      </c>
      <c r="C268">
        <v>5</v>
      </c>
      <c r="D268" s="20">
        <v>2.4</v>
      </c>
      <c r="E268">
        <v>1980</v>
      </c>
    </row>
    <row r="269" spans="1:5">
      <c r="B269">
        <v>1890</v>
      </c>
      <c r="C269">
        <v>9</v>
      </c>
      <c r="D269" s="20">
        <v>3.3</v>
      </c>
      <c r="E269">
        <v>1910</v>
      </c>
    </row>
    <row r="270" spans="1:5">
      <c r="A270" s="19" t="s">
        <v>291</v>
      </c>
      <c r="B270">
        <v>1860</v>
      </c>
      <c r="C270">
        <v>7</v>
      </c>
      <c r="D270" s="20">
        <v>0.8</v>
      </c>
      <c r="E270">
        <v>2160</v>
      </c>
    </row>
    <row r="271" spans="1:5">
      <c r="B271">
        <v>1840</v>
      </c>
      <c r="C271">
        <v>6</v>
      </c>
      <c r="D271" s="20">
        <v>2.1</v>
      </c>
      <c r="E271">
        <v>2110</v>
      </c>
    </row>
    <row r="272" spans="1:5">
      <c r="B272">
        <v>1900</v>
      </c>
      <c r="C272">
        <v>12</v>
      </c>
      <c r="D272" s="20">
        <v>0.4</v>
      </c>
      <c r="E272">
        <v>2100</v>
      </c>
    </row>
    <row r="273" spans="2:5">
      <c r="B273">
        <v>1910</v>
      </c>
      <c r="C273">
        <v>10</v>
      </c>
      <c r="D273" s="20">
        <v>-2.2000000000000002</v>
      </c>
      <c r="E273">
        <v>2260</v>
      </c>
    </row>
    <row r="274" spans="2:5">
      <c r="B274">
        <v>1880</v>
      </c>
      <c r="C274">
        <v>10</v>
      </c>
      <c r="D274" s="20">
        <v>-2.4</v>
      </c>
      <c r="E274">
        <v>2270</v>
      </c>
    </row>
    <row r="275" spans="2:5">
      <c r="B275">
        <v>1840</v>
      </c>
      <c r="C275">
        <v>5</v>
      </c>
      <c r="D275" s="20">
        <v>1.3</v>
      </c>
      <c r="E275">
        <v>2010</v>
      </c>
    </row>
    <row r="276" spans="2:5">
      <c r="B276">
        <v>1860</v>
      </c>
      <c r="C276">
        <v>6</v>
      </c>
      <c r="D276" s="20">
        <v>0.7</v>
      </c>
      <c r="E276">
        <v>2060</v>
      </c>
    </row>
    <row r="277" spans="2:5">
      <c r="B277">
        <v>1875</v>
      </c>
      <c r="C277">
        <v>12</v>
      </c>
      <c r="D277" s="20">
        <v>4</v>
      </c>
      <c r="E277">
        <v>1850</v>
      </c>
    </row>
    <row r="278" spans="2:5">
      <c r="B278">
        <v>1860</v>
      </c>
      <c r="C278">
        <v>6</v>
      </c>
      <c r="D278" s="20">
        <v>3.9</v>
      </c>
      <c r="E278">
        <v>1850</v>
      </c>
    </row>
    <row r="279" spans="2:5">
      <c r="B279">
        <v>1760</v>
      </c>
      <c r="C279">
        <v>8</v>
      </c>
      <c r="D279" s="20">
        <v>0.4</v>
      </c>
      <c r="E279">
        <v>2090</v>
      </c>
    </row>
    <row r="280" spans="2:5">
      <c r="B280">
        <v>1889</v>
      </c>
      <c r="C280">
        <v>9</v>
      </c>
      <c r="D280" s="20">
        <v>-4.5</v>
      </c>
      <c r="E280">
        <v>2470</v>
      </c>
    </row>
    <row r="281" spans="2:5">
      <c r="B281">
        <v>1846</v>
      </c>
      <c r="C281">
        <v>7</v>
      </c>
      <c r="D281" s="20">
        <v>1.1000000000000001</v>
      </c>
      <c r="E281">
        <v>2070</v>
      </c>
    </row>
    <row r="282" spans="2:5">
      <c r="B282">
        <v>1850</v>
      </c>
      <c r="C282">
        <v>6</v>
      </c>
      <c r="D282" s="20">
        <v>-2.2000000000000002</v>
      </c>
      <c r="E282">
        <v>2280</v>
      </c>
    </row>
    <row r="283" spans="2:5">
      <c r="B283">
        <v>1750</v>
      </c>
      <c r="D283" s="25">
        <v>1.9</v>
      </c>
    </row>
    <row r="284" spans="2:5">
      <c r="B284">
        <v>1750</v>
      </c>
      <c r="D284" s="25">
        <v>2.2000000000000002</v>
      </c>
    </row>
    <row r="285" spans="2:5">
      <c r="B285">
        <v>1750</v>
      </c>
      <c r="D285" s="25">
        <v>1.8</v>
      </c>
    </row>
    <row r="286" spans="2:5">
      <c r="B286">
        <v>1750</v>
      </c>
      <c r="D286" s="25">
        <v>1.6</v>
      </c>
    </row>
    <row r="287" spans="2:5">
      <c r="B287">
        <v>1750</v>
      </c>
      <c r="D287" s="25">
        <v>1.8</v>
      </c>
    </row>
    <row r="288" spans="2:5">
      <c r="B288">
        <v>1750</v>
      </c>
      <c r="D288" s="25">
        <v>2.7</v>
      </c>
    </row>
    <row r="289" spans="2:4">
      <c r="B289">
        <v>1750</v>
      </c>
      <c r="D289" s="25">
        <v>1.5</v>
      </c>
    </row>
    <row r="290" spans="2:4">
      <c r="B290">
        <v>1750</v>
      </c>
      <c r="D290" s="25">
        <v>2.4</v>
      </c>
    </row>
    <row r="291" spans="2:4">
      <c r="B291">
        <v>1680</v>
      </c>
      <c r="D291">
        <v>5.6</v>
      </c>
    </row>
    <row r="292" spans="2:4">
      <c r="B292">
        <v>1680</v>
      </c>
      <c r="D292">
        <v>6.4</v>
      </c>
    </row>
    <row r="293" spans="2:4">
      <c r="B293">
        <v>1680</v>
      </c>
      <c r="D293">
        <v>6</v>
      </c>
    </row>
    <row r="294" spans="2:4">
      <c r="B294">
        <v>1680</v>
      </c>
      <c r="D294">
        <v>5.5</v>
      </c>
    </row>
    <row r="295" spans="2:4">
      <c r="B295">
        <v>1680</v>
      </c>
      <c r="D295">
        <v>4.8</v>
      </c>
    </row>
    <row r="296" spans="2:4">
      <c r="B296">
        <v>1720</v>
      </c>
      <c r="D296">
        <v>3.9</v>
      </c>
    </row>
    <row r="297" spans="2:4">
      <c r="B297">
        <v>1720</v>
      </c>
      <c r="D297">
        <v>3.8</v>
      </c>
    </row>
    <row r="298" spans="2:4">
      <c r="B298">
        <v>1720</v>
      </c>
      <c r="D298">
        <v>6.9</v>
      </c>
    </row>
    <row r="299" spans="2:4">
      <c r="B299">
        <v>1720</v>
      </c>
      <c r="D299">
        <v>6.7</v>
      </c>
    </row>
    <row r="300" spans="2:4">
      <c r="B300">
        <v>1720</v>
      </c>
      <c r="D300">
        <v>4.5999999999999996</v>
      </c>
    </row>
    <row r="301" spans="2:4">
      <c r="B301">
        <v>1740</v>
      </c>
      <c r="D301">
        <v>4.9000000000000004</v>
      </c>
    </row>
    <row r="302" spans="2:4">
      <c r="B302">
        <v>1740</v>
      </c>
      <c r="D302">
        <v>5.2</v>
      </c>
    </row>
    <row r="303" spans="2:4">
      <c r="B303">
        <v>1740</v>
      </c>
      <c r="D303">
        <v>4.9000000000000004</v>
      </c>
    </row>
    <row r="304" spans="2:4">
      <c r="B304">
        <v>1740</v>
      </c>
      <c r="D304">
        <v>4.5999999999999996</v>
      </c>
    </row>
    <row r="305" spans="2:4">
      <c r="B305">
        <v>1740</v>
      </c>
      <c r="D305">
        <v>4.8</v>
      </c>
    </row>
    <row r="306" spans="2:4">
      <c r="B306">
        <v>1740</v>
      </c>
      <c r="D306">
        <v>5.2</v>
      </c>
    </row>
    <row r="307" spans="2:4">
      <c r="B307">
        <v>1780</v>
      </c>
      <c r="D307">
        <v>3.7</v>
      </c>
    </row>
    <row r="308" spans="2:4">
      <c r="B308">
        <v>1780</v>
      </c>
      <c r="D308">
        <v>4.3</v>
      </c>
    </row>
    <row r="309" spans="2:4">
      <c r="B309">
        <v>1780</v>
      </c>
      <c r="D309">
        <v>3.4</v>
      </c>
    </row>
    <row r="310" spans="2:4">
      <c r="B310">
        <v>1780</v>
      </c>
      <c r="D310">
        <v>3.6</v>
      </c>
    </row>
    <row r="311" spans="2:4">
      <c r="B311">
        <v>1780</v>
      </c>
      <c r="D311">
        <v>3.7</v>
      </c>
    </row>
    <row r="312" spans="2:4">
      <c r="B312">
        <v>1780</v>
      </c>
      <c r="D312">
        <v>3.7</v>
      </c>
    </row>
    <row r="313" spans="2:4">
      <c r="B313">
        <v>1780</v>
      </c>
      <c r="D313">
        <v>4.0999999999999996</v>
      </c>
    </row>
    <row r="314" spans="2:4">
      <c r="B314">
        <v>1780</v>
      </c>
      <c r="D314">
        <v>3.5</v>
      </c>
    </row>
    <row r="315" spans="2:4">
      <c r="B315">
        <v>1780</v>
      </c>
      <c r="D315">
        <v>4.0999999999999996</v>
      </c>
    </row>
    <row r="316" spans="2:4">
      <c r="B316">
        <v>1800</v>
      </c>
      <c r="D316">
        <v>3.8</v>
      </c>
    </row>
    <row r="317" spans="2:4">
      <c r="B317">
        <v>1800</v>
      </c>
      <c r="D317">
        <v>4.2</v>
      </c>
    </row>
    <row r="318" spans="2:4">
      <c r="B318">
        <v>1800</v>
      </c>
      <c r="D318">
        <v>3.2</v>
      </c>
    </row>
    <row r="319" spans="2:4">
      <c r="B319">
        <v>1800</v>
      </c>
      <c r="D319">
        <v>3.9</v>
      </c>
    </row>
    <row r="320" spans="2:4">
      <c r="B320">
        <v>1800</v>
      </c>
      <c r="D320">
        <v>3.2</v>
      </c>
    </row>
    <row r="321" spans="1:6">
      <c r="B321">
        <v>1800</v>
      </c>
      <c r="D321">
        <v>3.7</v>
      </c>
    </row>
    <row r="322" spans="1:6">
      <c r="B322">
        <v>1670</v>
      </c>
      <c r="D322">
        <v>3.5</v>
      </c>
    </row>
    <row r="323" spans="1:6">
      <c r="B323">
        <v>1670</v>
      </c>
      <c r="D323">
        <v>1.3</v>
      </c>
    </row>
    <row r="324" spans="1:6">
      <c r="B324">
        <v>1670</v>
      </c>
      <c r="D324">
        <v>1.7</v>
      </c>
    </row>
    <row r="325" spans="1:6">
      <c r="B325">
        <v>1670</v>
      </c>
      <c r="D325">
        <v>3.4</v>
      </c>
    </row>
    <row r="326" spans="1:6">
      <c r="B326">
        <v>1730</v>
      </c>
      <c r="D326">
        <v>4</v>
      </c>
    </row>
    <row r="327" spans="1:6">
      <c r="B327">
        <v>1730</v>
      </c>
      <c r="D327">
        <v>4.0999999999999996</v>
      </c>
    </row>
    <row r="328" spans="1:6">
      <c r="B328">
        <v>1730</v>
      </c>
      <c r="D328">
        <v>4.2</v>
      </c>
    </row>
    <row r="330" spans="1:6">
      <c r="C330" t="s">
        <v>64</v>
      </c>
      <c r="D330" s="49">
        <f>AVERAGE(D254:D328)</f>
        <v>1.5973333333333333</v>
      </c>
      <c r="E330" s="49">
        <f>STDEV(D254:D328)</f>
        <v>4.182717768141659</v>
      </c>
    </row>
    <row r="332" spans="1:6">
      <c r="D332" s="25"/>
    </row>
    <row r="333" spans="1:6">
      <c r="A333" s="14" t="s">
        <v>357</v>
      </c>
      <c r="B333">
        <v>1920</v>
      </c>
      <c r="D333" s="25">
        <v>-2.2000000000000002</v>
      </c>
      <c r="F333" t="s">
        <v>36</v>
      </c>
    </row>
    <row r="334" spans="1:6">
      <c r="B334">
        <v>1900</v>
      </c>
      <c r="D334" s="25">
        <v>-4.2</v>
      </c>
    </row>
    <row r="335" spans="1:6">
      <c r="B335">
        <v>1910</v>
      </c>
      <c r="D335" s="25">
        <v>-2.5</v>
      </c>
    </row>
    <row r="336" spans="1:6">
      <c r="B336">
        <v>1890</v>
      </c>
      <c r="D336" s="25">
        <v>-4.2</v>
      </c>
    </row>
    <row r="337" spans="1:5">
      <c r="B337">
        <v>1895</v>
      </c>
      <c r="D337" s="25">
        <v>-3.6</v>
      </c>
    </row>
    <row r="338" spans="1:5">
      <c r="B338">
        <v>1915</v>
      </c>
      <c r="D338" s="25">
        <v>-3.3</v>
      </c>
    </row>
    <row r="339" spans="1:5">
      <c r="B339">
        <v>1910</v>
      </c>
      <c r="D339" s="25">
        <v>-2.2000000000000002</v>
      </c>
    </row>
    <row r="340" spans="1:5">
      <c r="B340">
        <v>1900</v>
      </c>
      <c r="D340" s="25">
        <v>-2.7</v>
      </c>
    </row>
    <row r="341" spans="1:5">
      <c r="B341">
        <v>1923</v>
      </c>
      <c r="D341" s="25">
        <v>-6.2</v>
      </c>
    </row>
    <row r="342" spans="1:5">
      <c r="B342">
        <v>1935</v>
      </c>
      <c r="D342" s="25">
        <v>-5.3</v>
      </c>
    </row>
    <row r="344" spans="1:5">
      <c r="C344" t="s">
        <v>64</v>
      </c>
      <c r="D344" s="49">
        <f>AVERAGE(D333:D342)</f>
        <v>-3.6399999999999997</v>
      </c>
      <c r="E344" s="49">
        <f>STDEV(D333:D342)</f>
        <v>1.3492384683385104</v>
      </c>
    </row>
    <row r="352" spans="1:5">
      <c r="A352" s="14" t="s">
        <v>87</v>
      </c>
    </row>
    <row r="353" spans="1:6">
      <c r="B353">
        <v>1860</v>
      </c>
      <c r="C353">
        <v>10</v>
      </c>
      <c r="D353" s="20">
        <v>-6.3</v>
      </c>
      <c r="E353">
        <v>2560</v>
      </c>
      <c r="F353" t="s">
        <v>353</v>
      </c>
    </row>
    <row r="354" spans="1:6">
      <c r="A354" s="19" t="s">
        <v>182</v>
      </c>
      <c r="B354">
        <v>1865</v>
      </c>
      <c r="C354">
        <v>14</v>
      </c>
      <c r="D354" s="20">
        <v>-0.6</v>
      </c>
      <c r="E354">
        <v>2380</v>
      </c>
    </row>
    <row r="355" spans="1:6">
      <c r="B355">
        <v>1810</v>
      </c>
      <c r="C355">
        <v>9</v>
      </c>
      <c r="D355" s="20">
        <v>0.1</v>
      </c>
      <c r="E355">
        <v>2150</v>
      </c>
    </row>
    <row r="356" spans="1:6">
      <c r="B356">
        <v>1810</v>
      </c>
      <c r="C356">
        <v>8</v>
      </c>
      <c r="D356" s="20">
        <v>3.5</v>
      </c>
      <c r="E356">
        <v>1940</v>
      </c>
    </row>
    <row r="357" spans="1:6">
      <c r="B357">
        <v>1800</v>
      </c>
      <c r="C357">
        <v>4</v>
      </c>
      <c r="D357" s="20">
        <v>-7.1</v>
      </c>
      <c r="E357">
        <v>2710</v>
      </c>
    </row>
    <row r="358" spans="1:6">
      <c r="B358">
        <v>1810</v>
      </c>
      <c r="C358">
        <v>15</v>
      </c>
      <c r="D358" s="20">
        <v>-4.2</v>
      </c>
      <c r="E358">
        <v>2390</v>
      </c>
    </row>
    <row r="359" spans="1:6">
      <c r="B359">
        <v>1785</v>
      </c>
      <c r="C359">
        <v>6</v>
      </c>
      <c r="D359" s="20">
        <v>-5.5</v>
      </c>
      <c r="E359">
        <v>2850</v>
      </c>
    </row>
    <row r="360" spans="1:6">
      <c r="B360">
        <v>1825</v>
      </c>
      <c r="C360">
        <v>11</v>
      </c>
      <c r="D360" s="20">
        <v>-14.7</v>
      </c>
      <c r="E360">
        <v>3170</v>
      </c>
    </row>
    <row r="361" spans="1:6">
      <c r="B361">
        <v>1785</v>
      </c>
      <c r="C361">
        <v>6</v>
      </c>
      <c r="D361" s="20">
        <v>-2.9</v>
      </c>
      <c r="E361">
        <v>2350</v>
      </c>
    </row>
    <row r="362" spans="1:6">
      <c r="B362">
        <v>1800</v>
      </c>
      <c r="C362">
        <v>10</v>
      </c>
      <c r="D362" s="20">
        <v>-3.9</v>
      </c>
      <c r="E362">
        <v>2560</v>
      </c>
    </row>
    <row r="363" spans="1:6">
      <c r="B363">
        <v>1750</v>
      </c>
      <c r="C363">
        <v>11</v>
      </c>
      <c r="D363" s="20">
        <v>-3.7</v>
      </c>
      <c r="E363">
        <v>2390</v>
      </c>
    </row>
    <row r="364" spans="1:6">
      <c r="B364">
        <v>1820</v>
      </c>
      <c r="C364">
        <v>10</v>
      </c>
      <c r="D364" s="20">
        <v>2</v>
      </c>
      <c r="E364">
        <v>2000</v>
      </c>
    </row>
    <row r="365" spans="1:6">
      <c r="B365">
        <v>1786</v>
      </c>
      <c r="C365">
        <v>7</v>
      </c>
      <c r="D365" s="20">
        <v>-3.5</v>
      </c>
      <c r="E365">
        <v>2460</v>
      </c>
    </row>
    <row r="366" spans="1:6">
      <c r="B366">
        <v>1845</v>
      </c>
      <c r="C366">
        <v>6</v>
      </c>
      <c r="D366" s="20">
        <v>1.4</v>
      </c>
      <c r="E366">
        <v>2020</v>
      </c>
    </row>
    <row r="367" spans="1:6">
      <c r="B367">
        <v>1840</v>
      </c>
      <c r="C367">
        <v>9</v>
      </c>
      <c r="D367" s="20">
        <v>2.7</v>
      </c>
      <c r="E367">
        <v>2000</v>
      </c>
    </row>
    <row r="368" spans="1:6">
      <c r="B368">
        <v>1850</v>
      </c>
      <c r="C368">
        <v>10</v>
      </c>
      <c r="D368" s="20">
        <v>2.2999999999999998</v>
      </c>
      <c r="E368">
        <v>2010</v>
      </c>
    </row>
    <row r="369" spans="2:5">
      <c r="B369">
        <v>1855</v>
      </c>
      <c r="C369">
        <v>8</v>
      </c>
      <c r="D369" s="20">
        <v>1.2</v>
      </c>
      <c r="E369">
        <v>2095</v>
      </c>
    </row>
    <row r="370" spans="2:5">
      <c r="B370">
        <v>1800</v>
      </c>
      <c r="C370">
        <v>10</v>
      </c>
      <c r="D370" s="20">
        <v>-2.2999999999999998</v>
      </c>
      <c r="E370">
        <v>2320</v>
      </c>
    </row>
    <row r="371" spans="2:5">
      <c r="B371">
        <v>1780</v>
      </c>
      <c r="C371">
        <v>9</v>
      </c>
      <c r="D371" s="20">
        <v>0.3</v>
      </c>
      <c r="E371">
        <v>2140</v>
      </c>
    </row>
    <row r="372" spans="2:5">
      <c r="B372">
        <v>1814</v>
      </c>
      <c r="C372">
        <v>6</v>
      </c>
      <c r="D372" s="20">
        <v>-1.6</v>
      </c>
      <c r="E372">
        <v>2260</v>
      </c>
    </row>
    <row r="373" spans="2:5">
      <c r="B373">
        <v>1849</v>
      </c>
      <c r="C373">
        <v>12</v>
      </c>
      <c r="D373" s="20">
        <v>0.5</v>
      </c>
      <c r="E373">
        <v>2110</v>
      </c>
    </row>
    <row r="374" spans="2:5">
      <c r="B374">
        <v>1800</v>
      </c>
      <c r="C374">
        <v>5</v>
      </c>
      <c r="D374" s="20">
        <v>-4.9000000000000004</v>
      </c>
      <c r="E374">
        <v>2450</v>
      </c>
    </row>
    <row r="375" spans="2:5">
      <c r="B375">
        <v>1863</v>
      </c>
      <c r="C375">
        <v>8</v>
      </c>
      <c r="D375" s="20">
        <v>0.7</v>
      </c>
      <c r="E375">
        <v>2080</v>
      </c>
    </row>
    <row r="376" spans="2:5">
      <c r="B376">
        <v>1823</v>
      </c>
      <c r="C376">
        <v>9</v>
      </c>
      <c r="D376" s="20">
        <v>0.5</v>
      </c>
      <c r="E376">
        <v>2080</v>
      </c>
    </row>
    <row r="377" spans="2:5">
      <c r="B377">
        <v>1720</v>
      </c>
      <c r="C377">
        <v>8</v>
      </c>
      <c r="D377" s="20">
        <v>-4.7</v>
      </c>
      <c r="E377">
        <v>2330</v>
      </c>
    </row>
    <row r="378" spans="2:5">
      <c r="B378">
        <v>1750</v>
      </c>
      <c r="C378">
        <v>10</v>
      </c>
      <c r="D378" s="20">
        <v>-2.5</v>
      </c>
      <c r="E378">
        <v>2205</v>
      </c>
    </row>
    <row r="379" spans="2:5">
      <c r="B379">
        <v>1725</v>
      </c>
      <c r="C379">
        <v>8</v>
      </c>
      <c r="D379" s="20">
        <v>-3.8</v>
      </c>
      <c r="E379">
        <v>2315</v>
      </c>
    </row>
    <row r="380" spans="2:5">
      <c r="B380">
        <v>1763</v>
      </c>
      <c r="C380">
        <v>9</v>
      </c>
      <c r="D380" s="20">
        <v>-7.8</v>
      </c>
      <c r="E380">
        <v>2550</v>
      </c>
    </row>
    <row r="381" spans="2:5">
      <c r="B381">
        <v>1720</v>
      </c>
      <c r="C381">
        <v>10</v>
      </c>
      <c r="D381" s="20">
        <v>-5</v>
      </c>
      <c r="E381">
        <v>2325</v>
      </c>
    </row>
    <row r="382" spans="2:5">
      <c r="B382">
        <v>1730</v>
      </c>
      <c r="C382">
        <v>5</v>
      </c>
      <c r="D382" s="20">
        <v>-1.1000000000000001</v>
      </c>
      <c r="E382">
        <v>2135</v>
      </c>
    </row>
    <row r="383" spans="2:5">
      <c r="B383">
        <v>1728</v>
      </c>
      <c r="C383">
        <v>9</v>
      </c>
      <c r="D383" s="20">
        <v>4.3</v>
      </c>
      <c r="E383">
        <v>1775</v>
      </c>
    </row>
    <row r="384" spans="2:5">
      <c r="B384">
        <v>1757</v>
      </c>
      <c r="C384">
        <v>5</v>
      </c>
      <c r="D384" s="20">
        <v>4</v>
      </c>
      <c r="E384">
        <v>1805</v>
      </c>
    </row>
    <row r="385" spans="2:5">
      <c r="B385">
        <v>1726</v>
      </c>
      <c r="C385">
        <v>9</v>
      </c>
      <c r="D385" s="20">
        <v>-0.3</v>
      </c>
      <c r="E385">
        <v>2085</v>
      </c>
    </row>
    <row r="386" spans="2:5">
      <c r="B386">
        <v>1650</v>
      </c>
      <c r="C386">
        <v>8</v>
      </c>
      <c r="D386" s="20">
        <v>-0.3</v>
      </c>
      <c r="E386">
        <v>2070</v>
      </c>
    </row>
    <row r="387" spans="2:5">
      <c r="B387">
        <v>1655</v>
      </c>
      <c r="C387">
        <v>5</v>
      </c>
      <c r="D387" s="20">
        <v>-0.1</v>
      </c>
      <c r="E387">
        <v>1990</v>
      </c>
    </row>
    <row r="388" spans="2:5">
      <c r="B388">
        <v>1635</v>
      </c>
      <c r="C388">
        <v>8</v>
      </c>
      <c r="D388" s="20">
        <v>-1.5</v>
      </c>
      <c r="E388">
        <v>2100</v>
      </c>
    </row>
    <row r="389" spans="2:5">
      <c r="B389">
        <v>1650</v>
      </c>
      <c r="C389">
        <v>6</v>
      </c>
      <c r="D389" s="20">
        <v>-7.1</v>
      </c>
      <c r="E389">
        <v>2470</v>
      </c>
    </row>
    <row r="390" spans="2:5">
      <c r="B390">
        <v>1635</v>
      </c>
      <c r="C390">
        <v>9</v>
      </c>
      <c r="D390" s="20">
        <v>-1</v>
      </c>
      <c r="E390">
        <v>2070</v>
      </c>
    </row>
    <row r="391" spans="2:5">
      <c r="B391">
        <v>1640</v>
      </c>
      <c r="C391">
        <v>10</v>
      </c>
      <c r="D391" s="20">
        <v>-5</v>
      </c>
      <c r="E391">
        <v>2280</v>
      </c>
    </row>
    <row r="392" spans="2:5">
      <c r="B392">
        <v>1652</v>
      </c>
      <c r="C392">
        <v>8</v>
      </c>
      <c r="D392" s="20">
        <v>-4.3</v>
      </c>
      <c r="E392">
        <v>2330</v>
      </c>
    </row>
    <row r="393" spans="2:5">
      <c r="B393">
        <v>1650</v>
      </c>
      <c r="C393">
        <v>9</v>
      </c>
      <c r="D393" s="20">
        <v>-1.4</v>
      </c>
      <c r="E393">
        <v>2110</v>
      </c>
    </row>
    <row r="394" spans="2:5">
      <c r="B394">
        <v>1683</v>
      </c>
      <c r="C394">
        <v>6</v>
      </c>
      <c r="D394" s="20">
        <v>-2.4</v>
      </c>
      <c r="E394">
        <v>2190</v>
      </c>
    </row>
    <row r="395" spans="2:5">
      <c r="B395">
        <v>1655</v>
      </c>
      <c r="C395">
        <v>4</v>
      </c>
      <c r="D395" s="20">
        <v>0.2</v>
      </c>
      <c r="E395">
        <v>2190</v>
      </c>
    </row>
    <row r="396" spans="2:5">
      <c r="B396">
        <v>1647</v>
      </c>
      <c r="C396">
        <v>6</v>
      </c>
      <c r="D396" s="20">
        <v>-1.2</v>
      </c>
      <c r="E396">
        <v>2110</v>
      </c>
    </row>
    <row r="397" spans="2:5">
      <c r="B397">
        <v>1673</v>
      </c>
      <c r="C397">
        <v>10</v>
      </c>
      <c r="D397" s="20">
        <v>-1.7</v>
      </c>
      <c r="E397">
        <v>2140</v>
      </c>
    </row>
    <row r="398" spans="2:5">
      <c r="B398">
        <v>1653</v>
      </c>
      <c r="C398">
        <v>10</v>
      </c>
      <c r="D398" s="20">
        <v>0.1</v>
      </c>
      <c r="E398">
        <v>2040</v>
      </c>
    </row>
    <row r="399" spans="2:5">
      <c r="B399">
        <v>1649</v>
      </c>
      <c r="C399">
        <v>5</v>
      </c>
      <c r="D399" s="20">
        <v>-3.9</v>
      </c>
      <c r="E399">
        <v>2220</v>
      </c>
    </row>
    <row r="400" spans="2:5">
      <c r="B400">
        <v>1668</v>
      </c>
      <c r="C400">
        <v>9</v>
      </c>
      <c r="D400" s="20">
        <v>-1.4</v>
      </c>
      <c r="E400">
        <v>2120</v>
      </c>
    </row>
    <row r="401" spans="1:6">
      <c r="B401">
        <v>1650</v>
      </c>
      <c r="C401">
        <v>9</v>
      </c>
      <c r="D401" s="20">
        <v>-2</v>
      </c>
      <c r="E401">
        <v>2140</v>
      </c>
    </row>
    <row r="402" spans="1:6">
      <c r="D402" s="20"/>
    </row>
    <row r="403" spans="1:6">
      <c r="C403" t="s">
        <v>64</v>
      </c>
      <c r="D403" s="49">
        <f>AVERAGE(D353:D401)</f>
        <v>-1.9571428571428573</v>
      </c>
      <c r="E403" s="49">
        <f>STDEV(D353:D401)</f>
        <v>3.4653643387095681</v>
      </c>
    </row>
    <row r="404" spans="1:6">
      <c r="D404" s="20"/>
    </row>
    <row r="406" spans="1:6">
      <c r="A406" s="38" t="s">
        <v>128</v>
      </c>
      <c r="B406">
        <v>2042</v>
      </c>
      <c r="D406" s="20">
        <v>-9.1999999999999993</v>
      </c>
      <c r="F406" t="s">
        <v>145</v>
      </c>
    </row>
    <row r="407" spans="1:6">
      <c r="B407">
        <v>1942</v>
      </c>
      <c r="D407" s="20">
        <v>-7.8</v>
      </c>
    </row>
    <row r="408" spans="1:6">
      <c r="B408">
        <v>1871</v>
      </c>
      <c r="D408" s="20">
        <v>-2.6</v>
      </c>
    </row>
    <row r="409" spans="1:6">
      <c r="B409">
        <v>1871</v>
      </c>
      <c r="D409" s="20">
        <v>-0.8</v>
      </c>
    </row>
    <row r="410" spans="1:6">
      <c r="B410">
        <v>1875</v>
      </c>
      <c r="D410" s="20">
        <v>0</v>
      </c>
    </row>
    <row r="411" spans="1:6">
      <c r="B411">
        <v>1870</v>
      </c>
      <c r="D411" s="20">
        <v>-3.1</v>
      </c>
    </row>
    <row r="412" spans="1:6">
      <c r="B412">
        <v>1856</v>
      </c>
      <c r="D412" s="20">
        <v>-5</v>
      </c>
    </row>
    <row r="413" spans="1:6">
      <c r="B413">
        <v>1867</v>
      </c>
      <c r="D413" s="20">
        <v>-4.4000000000000004</v>
      </c>
    </row>
    <row r="414" spans="1:6">
      <c r="B414">
        <v>1879</v>
      </c>
      <c r="D414" s="20">
        <v>-2.1</v>
      </c>
    </row>
    <row r="415" spans="1:6">
      <c r="B415">
        <v>1867</v>
      </c>
      <c r="D415" s="20">
        <v>-3.4</v>
      </c>
    </row>
    <row r="416" spans="1:6">
      <c r="B416">
        <v>1860</v>
      </c>
      <c r="D416" s="20">
        <v>-2.2999999999999998</v>
      </c>
    </row>
    <row r="417" spans="1:6">
      <c r="B417">
        <v>1862</v>
      </c>
      <c r="D417" s="20">
        <v>-5.9</v>
      </c>
    </row>
    <row r="418" spans="1:6">
      <c r="B418">
        <v>1872</v>
      </c>
      <c r="D418" s="20">
        <v>-7</v>
      </c>
    </row>
    <row r="419" spans="1:6">
      <c r="B419">
        <v>1876</v>
      </c>
      <c r="D419" s="20">
        <v>-4.3</v>
      </c>
    </row>
    <row r="420" spans="1:6">
      <c r="B420">
        <v>1638</v>
      </c>
      <c r="D420" s="20">
        <v>-10</v>
      </c>
    </row>
    <row r="421" spans="1:6">
      <c r="B421">
        <v>1639</v>
      </c>
      <c r="D421" s="20">
        <v>-8.8000000000000007</v>
      </c>
    </row>
    <row r="422" spans="1:6">
      <c r="B422">
        <v>1030</v>
      </c>
      <c r="D422" s="20">
        <v>-14.4</v>
      </c>
    </row>
    <row r="423" spans="1:6">
      <c r="B423">
        <v>1027</v>
      </c>
      <c r="D423" s="20">
        <v>-15.2</v>
      </c>
    </row>
    <row r="424" spans="1:6">
      <c r="D424" s="20"/>
    </row>
    <row r="425" spans="1:6">
      <c r="C425" t="s">
        <v>64</v>
      </c>
      <c r="D425" s="49">
        <f>AVERAGE(D406:D423)</f>
        <v>-5.9055555555555559</v>
      </c>
      <c r="E425" s="49">
        <f>STDEV(D406:D423)</f>
        <v>4.3283568709863065</v>
      </c>
    </row>
    <row r="426" spans="1:6">
      <c r="D426" s="20"/>
    </row>
    <row r="428" spans="1:6">
      <c r="A428" s="38" t="s">
        <v>155</v>
      </c>
      <c r="B428">
        <v>1329</v>
      </c>
      <c r="D428" s="20">
        <v>-20.2</v>
      </c>
      <c r="F428" t="s">
        <v>156</v>
      </c>
    </row>
    <row r="429" spans="1:6">
      <c r="B429">
        <v>1328</v>
      </c>
      <c r="D429" s="20">
        <v>-20.7</v>
      </c>
    </row>
    <row r="430" spans="1:6">
      <c r="B430">
        <v>1328</v>
      </c>
      <c r="D430" s="20">
        <v>-20.3</v>
      </c>
    </row>
    <row r="431" spans="1:6">
      <c r="B431">
        <v>1322</v>
      </c>
      <c r="D431" s="20">
        <v>-19.600000000000001</v>
      </c>
    </row>
    <row r="432" spans="1:6">
      <c r="B432">
        <v>1327</v>
      </c>
      <c r="D432" s="20">
        <v>-20.2</v>
      </c>
    </row>
    <row r="433" spans="2:4">
      <c r="B433">
        <v>1363</v>
      </c>
      <c r="D433" s="20">
        <v>-23</v>
      </c>
    </row>
    <row r="434" spans="2:4">
      <c r="B434">
        <v>1365</v>
      </c>
      <c r="D434" s="20">
        <v>-22.2</v>
      </c>
    </row>
    <row r="435" spans="2:4">
      <c r="B435">
        <v>1360</v>
      </c>
      <c r="D435" s="20">
        <v>-22.6</v>
      </c>
    </row>
    <row r="436" spans="2:4">
      <c r="B436">
        <v>1362</v>
      </c>
      <c r="D436" s="20">
        <v>-2.31</v>
      </c>
    </row>
    <row r="437" spans="2:4">
      <c r="B437">
        <v>1364</v>
      </c>
      <c r="D437" s="20">
        <v>-22.1</v>
      </c>
    </row>
    <row r="438" spans="2:4">
      <c r="B438">
        <v>1360</v>
      </c>
      <c r="D438" s="20">
        <v>-22.6</v>
      </c>
    </row>
    <row r="439" spans="2:4">
      <c r="B439">
        <v>1444</v>
      </c>
      <c r="D439" s="20">
        <v>-10.4</v>
      </c>
    </row>
    <row r="440" spans="2:4">
      <c r="B440">
        <v>1446</v>
      </c>
      <c r="D440" s="20">
        <v>-1.4</v>
      </c>
    </row>
    <row r="441" spans="2:4">
      <c r="B441">
        <v>1443</v>
      </c>
      <c r="D441" s="20">
        <v>-10.9</v>
      </c>
    </row>
    <row r="442" spans="2:4">
      <c r="B442">
        <v>1440</v>
      </c>
      <c r="D442" s="20">
        <v>-10.1</v>
      </c>
    </row>
    <row r="443" spans="2:4">
      <c r="B443">
        <v>1447</v>
      </c>
      <c r="D443" s="20">
        <v>-13.2</v>
      </c>
    </row>
    <row r="444" spans="2:4">
      <c r="B444">
        <v>1440</v>
      </c>
      <c r="D444" s="20">
        <v>-10.5</v>
      </c>
    </row>
    <row r="445" spans="2:4">
      <c r="B445">
        <v>1395</v>
      </c>
      <c r="D445" s="20">
        <v>-11.7</v>
      </c>
    </row>
    <row r="446" spans="2:4">
      <c r="B446">
        <v>1566</v>
      </c>
      <c r="D446" s="20">
        <v>-10.4</v>
      </c>
    </row>
    <row r="447" spans="2:4">
      <c r="B447">
        <v>1565</v>
      </c>
      <c r="D447" s="20">
        <v>-1.5</v>
      </c>
    </row>
    <row r="448" spans="2:4">
      <c r="B448">
        <v>1560</v>
      </c>
      <c r="D448" s="20">
        <v>-11.6</v>
      </c>
    </row>
    <row r="449" spans="1:6">
      <c r="B449">
        <v>1562</v>
      </c>
      <c r="D449" s="20">
        <v>-11.1</v>
      </c>
    </row>
    <row r="450" spans="1:6">
      <c r="B450">
        <v>1567</v>
      </c>
      <c r="D450" s="20">
        <v>-10.9</v>
      </c>
    </row>
    <row r="451" spans="1:6">
      <c r="B451">
        <v>1560</v>
      </c>
      <c r="D451" s="20">
        <v>-10.3</v>
      </c>
    </row>
    <row r="452" spans="1:6">
      <c r="B452">
        <v>1560</v>
      </c>
      <c r="D452" s="20">
        <v>-10.1</v>
      </c>
    </row>
    <row r="453" spans="1:6">
      <c r="B453">
        <v>1566</v>
      </c>
      <c r="D453" s="20">
        <v>-11.6</v>
      </c>
    </row>
    <row r="454" spans="1:6">
      <c r="D454" s="20"/>
    </row>
    <row r="455" spans="1:6">
      <c r="C455" t="s">
        <v>64</v>
      </c>
      <c r="D455" s="49">
        <f>AVERAGE(D428:D453)</f>
        <v>-13.904230769230772</v>
      </c>
      <c r="E455" s="49">
        <f>STDEV(D428:D453)</f>
        <v>6.7331348853721513</v>
      </c>
    </row>
    <row r="456" spans="1:6">
      <c r="D456" s="20"/>
    </row>
    <row r="458" spans="1:6">
      <c r="A458" s="38" t="s">
        <v>6</v>
      </c>
      <c r="B458">
        <v>1092</v>
      </c>
      <c r="D458" s="20">
        <v>-3.9</v>
      </c>
      <c r="F458" t="s">
        <v>237</v>
      </c>
    </row>
    <row r="459" spans="1:6">
      <c r="B459">
        <v>1095</v>
      </c>
      <c r="D459" s="20">
        <v>-4.5</v>
      </c>
      <c r="F459" t="s">
        <v>119</v>
      </c>
    </row>
    <row r="460" spans="1:6">
      <c r="B460">
        <v>1015</v>
      </c>
      <c r="D460" s="20">
        <v>-4</v>
      </c>
      <c r="F460" t="s">
        <v>0</v>
      </c>
    </row>
    <row r="461" spans="1:6">
      <c r="B461">
        <v>1014</v>
      </c>
      <c r="D461" s="20">
        <v>-3.1</v>
      </c>
    </row>
    <row r="462" spans="1:6">
      <c r="B462">
        <v>1076</v>
      </c>
      <c r="D462" s="20">
        <v>-3.4</v>
      </c>
    </row>
    <row r="463" spans="1:6">
      <c r="B463">
        <v>1047</v>
      </c>
      <c r="D463" s="20">
        <v>-4.4000000000000004</v>
      </c>
    </row>
    <row r="464" spans="1:6">
      <c r="B464">
        <v>1070</v>
      </c>
      <c r="D464" s="20">
        <v>-2.5</v>
      </c>
    </row>
    <row r="465" spans="2:4">
      <c r="B465">
        <v>1090</v>
      </c>
      <c r="D465" s="20">
        <v>-0.5</v>
      </c>
    </row>
    <row r="466" spans="2:4">
      <c r="B466">
        <v>1110</v>
      </c>
      <c r="D466" s="20">
        <v>4.3</v>
      </c>
    </row>
    <row r="467" spans="2:4">
      <c r="B467">
        <v>1115</v>
      </c>
      <c r="D467" s="20">
        <v>2.2999999999999998</v>
      </c>
    </row>
    <row r="468" spans="2:4">
      <c r="B468">
        <v>1098</v>
      </c>
      <c r="D468" s="20">
        <v>-0.4</v>
      </c>
    </row>
    <row r="469" spans="2:4">
      <c r="B469">
        <v>1113</v>
      </c>
      <c r="D469" s="20">
        <v>5</v>
      </c>
    </row>
    <row r="470" spans="2:4">
      <c r="B470">
        <v>1115</v>
      </c>
      <c r="D470" s="20">
        <v>3.1</v>
      </c>
    </row>
    <row r="471" spans="2:4">
      <c r="B471">
        <v>1111</v>
      </c>
      <c r="D471" s="20">
        <v>-1.5</v>
      </c>
    </row>
    <row r="472" spans="2:4">
      <c r="B472">
        <v>1114</v>
      </c>
      <c r="D472" s="20">
        <v>-4.3</v>
      </c>
    </row>
    <row r="473" spans="2:4">
      <c r="B473">
        <v>1110</v>
      </c>
      <c r="D473" s="20">
        <v>-3.9</v>
      </c>
    </row>
    <row r="474" spans="2:4">
      <c r="B474">
        <v>995</v>
      </c>
      <c r="D474" s="20">
        <v>0.5</v>
      </c>
    </row>
    <row r="475" spans="2:4">
      <c r="B475">
        <v>993</v>
      </c>
      <c r="D475" s="20">
        <v>-2.9</v>
      </c>
    </row>
    <row r="476" spans="2:4">
      <c r="B476">
        <v>989</v>
      </c>
      <c r="D476" s="20">
        <v>-4.5999999999999996</v>
      </c>
    </row>
    <row r="477" spans="2:4">
      <c r="B477">
        <v>978</v>
      </c>
      <c r="D477" s="20">
        <v>1.3</v>
      </c>
    </row>
    <row r="478" spans="2:4">
      <c r="B478">
        <v>939</v>
      </c>
      <c r="D478" s="20">
        <v>-7.1</v>
      </c>
    </row>
    <row r="479" spans="2:4">
      <c r="B479">
        <v>914</v>
      </c>
      <c r="D479" s="20">
        <v>-7.6</v>
      </c>
    </row>
    <row r="480" spans="2:4">
      <c r="B480">
        <v>917</v>
      </c>
      <c r="D480" s="20">
        <v>-5</v>
      </c>
    </row>
    <row r="481" spans="2:4">
      <c r="B481">
        <v>1880</v>
      </c>
      <c r="D481" s="20">
        <v>-1.82</v>
      </c>
    </row>
    <row r="482" spans="2:4">
      <c r="B482">
        <v>1885</v>
      </c>
      <c r="D482" s="20">
        <v>-2.4500000000000002</v>
      </c>
    </row>
    <row r="483" spans="2:4">
      <c r="B483">
        <v>1882</v>
      </c>
      <c r="D483" s="20">
        <v>-1.64</v>
      </c>
    </row>
    <row r="484" spans="2:4">
      <c r="B484">
        <v>1880</v>
      </c>
      <c r="D484" s="20">
        <v>-0.72</v>
      </c>
    </row>
    <row r="485" spans="2:4">
      <c r="B485">
        <v>1890</v>
      </c>
      <c r="D485" s="20">
        <v>-3.05</v>
      </c>
    </row>
    <row r="486" spans="2:4">
      <c r="B486">
        <v>1888</v>
      </c>
      <c r="D486" s="20">
        <v>-2.4700000000000002</v>
      </c>
    </row>
    <row r="487" spans="2:4">
      <c r="B487">
        <v>1889</v>
      </c>
      <c r="D487" s="20">
        <v>-2.83</v>
      </c>
    </row>
    <row r="488" spans="2:4">
      <c r="B488">
        <v>1875</v>
      </c>
      <c r="D488" s="20">
        <v>-2.2599999999999998</v>
      </c>
    </row>
    <row r="489" spans="2:4">
      <c r="B489">
        <v>1881</v>
      </c>
      <c r="D489" s="20">
        <v>-1.98</v>
      </c>
    </row>
    <row r="490" spans="2:4">
      <c r="B490">
        <v>1891</v>
      </c>
      <c r="D490" s="20">
        <v>-5.21</v>
      </c>
    </row>
    <row r="491" spans="2:4">
      <c r="B491">
        <v>1895</v>
      </c>
      <c r="D491" s="20">
        <v>-3.42</v>
      </c>
    </row>
    <row r="492" spans="2:4">
      <c r="B492">
        <v>1981</v>
      </c>
      <c r="D492" s="20">
        <v>-2.35</v>
      </c>
    </row>
    <row r="493" spans="2:4">
      <c r="B493">
        <v>1983</v>
      </c>
      <c r="D493" s="20">
        <v>-2.68</v>
      </c>
    </row>
    <row r="494" spans="2:4">
      <c r="B494">
        <v>1981</v>
      </c>
      <c r="D494" s="20">
        <v>-1.76</v>
      </c>
    </row>
    <row r="495" spans="2:4">
      <c r="B495">
        <v>1988</v>
      </c>
      <c r="D495" s="20">
        <v>-1.71</v>
      </c>
    </row>
    <row r="496" spans="2:4">
      <c r="B496">
        <v>1984</v>
      </c>
      <c r="D496" s="20">
        <v>-1.03</v>
      </c>
    </row>
    <row r="497" spans="2:4">
      <c r="B497">
        <v>1998</v>
      </c>
      <c r="D497" s="20">
        <v>-3.71</v>
      </c>
    </row>
    <row r="498" spans="2:4">
      <c r="B498">
        <v>2000</v>
      </c>
      <c r="D498" s="20">
        <v>-2.21</v>
      </c>
    </row>
    <row r="499" spans="2:4">
      <c r="B499">
        <v>2021</v>
      </c>
      <c r="D499" s="20">
        <v>-2.11</v>
      </c>
    </row>
    <row r="500" spans="2:4">
      <c r="B500">
        <v>2050</v>
      </c>
      <c r="D500" s="20">
        <v>-1.1000000000000001</v>
      </c>
    </row>
    <row r="501" spans="2:4">
      <c r="B501">
        <v>2010</v>
      </c>
      <c r="D501" s="20">
        <v>-1.0900000000000001</v>
      </c>
    </row>
    <row r="502" spans="2:4">
      <c r="B502">
        <v>1870</v>
      </c>
      <c r="D502" s="20">
        <v>-6.57</v>
      </c>
    </row>
    <row r="503" spans="2:4">
      <c r="B503">
        <v>1875</v>
      </c>
      <c r="D503" s="20">
        <v>-6.67</v>
      </c>
    </row>
    <row r="504" spans="2:4">
      <c r="B504">
        <v>1877</v>
      </c>
      <c r="D504" s="20">
        <v>-5.73</v>
      </c>
    </row>
    <row r="505" spans="2:4">
      <c r="B505">
        <v>1872</v>
      </c>
      <c r="D505" s="20">
        <v>-2.84</v>
      </c>
    </row>
    <row r="506" spans="2:4">
      <c r="B506">
        <v>1865</v>
      </c>
      <c r="D506" s="20">
        <v>-1.37</v>
      </c>
    </row>
    <row r="507" spans="2:4">
      <c r="B507">
        <v>1866</v>
      </c>
      <c r="D507" s="20">
        <v>-2.38</v>
      </c>
    </row>
    <row r="508" spans="2:4">
      <c r="B508">
        <v>1874</v>
      </c>
      <c r="D508" s="20">
        <v>-2.04</v>
      </c>
    </row>
    <row r="509" spans="2:4">
      <c r="B509">
        <v>1900</v>
      </c>
      <c r="D509" s="20">
        <v>-0.87</v>
      </c>
    </row>
    <row r="510" spans="2:4">
      <c r="B510">
        <v>1996</v>
      </c>
      <c r="D510" s="20">
        <v>1.08</v>
      </c>
    </row>
    <row r="511" spans="2:4">
      <c r="B511">
        <v>1997</v>
      </c>
      <c r="D511" s="20">
        <v>1.83</v>
      </c>
    </row>
    <row r="512" spans="2:4">
      <c r="B512">
        <v>1870</v>
      </c>
      <c r="D512" s="20">
        <v>-12.1</v>
      </c>
    </row>
    <row r="513" spans="2:4">
      <c r="B513">
        <v>1875</v>
      </c>
      <c r="D513" s="20">
        <v>-11.6</v>
      </c>
    </row>
    <row r="514" spans="2:4">
      <c r="B514">
        <v>1872</v>
      </c>
      <c r="D514" s="20">
        <v>-10.1</v>
      </c>
    </row>
    <row r="515" spans="2:4">
      <c r="B515">
        <v>1886</v>
      </c>
      <c r="D515" s="20">
        <v>-12.2</v>
      </c>
    </row>
    <row r="516" spans="2:4">
      <c r="B516">
        <v>1884</v>
      </c>
      <c r="D516" s="20">
        <v>-9.6999999999999993</v>
      </c>
    </row>
    <row r="517" spans="2:4">
      <c r="B517">
        <v>1871</v>
      </c>
      <c r="D517" s="20">
        <v>-7.12</v>
      </c>
    </row>
    <row r="518" spans="2:4">
      <c r="B518">
        <v>1865</v>
      </c>
      <c r="D518" s="20">
        <v>-0.5</v>
      </c>
    </row>
    <row r="519" spans="2:4">
      <c r="B519">
        <v>1864</v>
      </c>
      <c r="D519" s="20">
        <v>-0.1</v>
      </c>
    </row>
    <row r="520" spans="2:4">
      <c r="B520">
        <v>1820</v>
      </c>
      <c r="D520" s="20">
        <v>-0.8</v>
      </c>
    </row>
    <row r="521" spans="2:4">
      <c r="B521">
        <v>1920</v>
      </c>
      <c r="D521" s="20">
        <v>1.37</v>
      </c>
    </row>
    <row r="522" spans="2:4">
      <c r="B522">
        <v>1925</v>
      </c>
      <c r="D522" s="20">
        <v>-0.2</v>
      </c>
    </row>
    <row r="523" spans="2:4">
      <c r="B523">
        <v>1340</v>
      </c>
      <c r="D523" s="20">
        <v>3.9</v>
      </c>
    </row>
    <row r="524" spans="2:4">
      <c r="B524">
        <v>1350</v>
      </c>
      <c r="D524" s="20">
        <v>2.2999999999999998</v>
      </c>
    </row>
    <row r="525" spans="2:4">
      <c r="B525">
        <v>1365</v>
      </c>
      <c r="D525" s="20">
        <v>2.6</v>
      </c>
    </row>
    <row r="526" spans="2:4">
      <c r="B526">
        <v>1341</v>
      </c>
      <c r="D526" s="20">
        <v>3.1</v>
      </c>
    </row>
    <row r="527" spans="2:4">
      <c r="B527">
        <v>1342</v>
      </c>
      <c r="D527" s="20">
        <v>3.3</v>
      </c>
    </row>
    <row r="528" spans="2:4">
      <c r="B528">
        <v>1373</v>
      </c>
      <c r="D528" s="20">
        <v>1.8</v>
      </c>
    </row>
    <row r="529" spans="1:6">
      <c r="B529">
        <v>1347</v>
      </c>
      <c r="D529" s="20">
        <v>-3.7</v>
      </c>
    </row>
    <row r="530" spans="1:6">
      <c r="B530">
        <v>1372</v>
      </c>
      <c r="D530" s="20">
        <v>1.2</v>
      </c>
    </row>
    <row r="531" spans="1:6">
      <c r="B531">
        <v>1365</v>
      </c>
      <c r="D531" s="20">
        <v>1.1000000000000001</v>
      </c>
    </row>
    <row r="532" spans="1:6">
      <c r="B532">
        <v>1364</v>
      </c>
      <c r="D532" s="20">
        <v>-3.2</v>
      </c>
    </row>
    <row r="533" spans="1:6">
      <c r="B533">
        <v>1348</v>
      </c>
      <c r="D533" s="20">
        <v>-3.5</v>
      </c>
    </row>
    <row r="534" spans="1:6">
      <c r="B534">
        <v>1356</v>
      </c>
      <c r="D534" s="20">
        <v>-2.1</v>
      </c>
    </row>
    <row r="535" spans="1:6">
      <c r="B535">
        <v>1366</v>
      </c>
      <c r="D535" s="20">
        <v>-1</v>
      </c>
    </row>
    <row r="536" spans="1:6">
      <c r="D536" s="20"/>
    </row>
    <row r="537" spans="1:6">
      <c r="C537" t="s">
        <v>64</v>
      </c>
      <c r="D537" s="49">
        <f>AVERAGE(D458:D535)</f>
        <v>-2.2757692307692299</v>
      </c>
      <c r="E537" s="49">
        <f>STDEV(D458:D535)</f>
        <v>3.6091091533949049</v>
      </c>
    </row>
    <row r="538" spans="1:6">
      <c r="D538" s="20"/>
    </row>
    <row r="540" spans="1:6">
      <c r="A540" s="14" t="s">
        <v>9</v>
      </c>
      <c r="B540">
        <v>1780</v>
      </c>
      <c r="D540" s="20">
        <v>-7.42</v>
      </c>
      <c r="F540" s="17" t="s">
        <v>96</v>
      </c>
    </row>
    <row r="541" spans="1:6">
      <c r="B541">
        <v>1785</v>
      </c>
      <c r="D541" s="20">
        <v>-7.78</v>
      </c>
    </row>
    <row r="542" spans="1:6">
      <c r="B542">
        <v>1789</v>
      </c>
      <c r="D542" s="20">
        <v>-7.45</v>
      </c>
    </row>
    <row r="543" spans="1:6">
      <c r="B543">
        <v>1775</v>
      </c>
      <c r="D543" s="20">
        <v>-6.8</v>
      </c>
    </row>
    <row r="544" spans="1:6">
      <c r="B544">
        <v>1784</v>
      </c>
      <c r="D544" s="20">
        <v>-7.25</v>
      </c>
    </row>
    <row r="545" spans="1:6">
      <c r="B545">
        <v>1790</v>
      </c>
      <c r="D545" s="20">
        <v>-7.23</v>
      </c>
    </row>
    <row r="546" spans="1:6">
      <c r="B546">
        <v>1776</v>
      </c>
      <c r="D546" s="20">
        <v>-8.2799999999999994</v>
      </c>
    </row>
    <row r="547" spans="1:6">
      <c r="B547">
        <v>1779</v>
      </c>
      <c r="D547" s="20">
        <v>-7.28</v>
      </c>
    </row>
    <row r="548" spans="1:6">
      <c r="B548">
        <v>1782</v>
      </c>
      <c r="D548" s="20">
        <v>-10</v>
      </c>
    </row>
    <row r="549" spans="1:6">
      <c r="D549" s="20"/>
    </row>
    <row r="550" spans="1:6">
      <c r="C550" t="s">
        <v>64</v>
      </c>
      <c r="D550" s="49">
        <f>AVERAGE(D540:D548)</f>
        <v>-7.7211111111111119</v>
      </c>
      <c r="E550" s="49">
        <f>STDEV(D540:D548)</f>
        <v>0.94733104620880904</v>
      </c>
    </row>
    <row r="551" spans="1:6">
      <c r="D551" s="20"/>
    </row>
    <row r="553" spans="1:6">
      <c r="A553" s="14" t="s">
        <v>10</v>
      </c>
      <c r="B553">
        <v>2000</v>
      </c>
      <c r="D553" s="20">
        <v>-1.5</v>
      </c>
      <c r="F553" t="s">
        <v>59</v>
      </c>
    </row>
    <row r="554" spans="1:6">
      <c r="B554">
        <v>2042</v>
      </c>
      <c r="D554" s="20">
        <v>-3.1</v>
      </c>
    </row>
    <row r="555" spans="1:6">
      <c r="B555">
        <v>2012</v>
      </c>
      <c r="D555" s="20">
        <v>1.6</v>
      </c>
    </row>
    <row r="556" spans="1:6">
      <c r="B556">
        <v>2015</v>
      </c>
      <c r="D556" s="20">
        <v>0.3</v>
      </c>
    </row>
    <row r="557" spans="1:6">
      <c r="B557">
        <v>2036</v>
      </c>
      <c r="D557" s="20">
        <v>0.1</v>
      </c>
    </row>
    <row r="558" spans="1:6">
      <c r="B558">
        <v>2019</v>
      </c>
      <c r="D558" s="20">
        <v>0.5</v>
      </c>
    </row>
    <row r="559" spans="1:6">
      <c r="B559">
        <v>2021</v>
      </c>
      <c r="D559" s="20">
        <v>-8.6999999999999993</v>
      </c>
    </row>
    <row r="560" spans="1:6">
      <c r="B560">
        <v>1995</v>
      </c>
      <c r="D560" s="20">
        <v>1</v>
      </c>
    </row>
    <row r="561" spans="1:6">
      <c r="B561">
        <v>1998</v>
      </c>
      <c r="D561" s="20">
        <v>-1.1000000000000001</v>
      </c>
    </row>
    <row r="562" spans="1:6">
      <c r="B562">
        <v>1980</v>
      </c>
      <c r="D562" s="20">
        <v>-0.5</v>
      </c>
    </row>
    <row r="563" spans="1:6">
      <c r="B563">
        <v>1985</v>
      </c>
      <c r="D563" s="20">
        <v>-4</v>
      </c>
    </row>
    <row r="564" spans="1:6">
      <c r="B564">
        <v>1990</v>
      </c>
      <c r="D564" s="20">
        <v>-2</v>
      </c>
    </row>
    <row r="565" spans="1:6">
      <c r="B565">
        <v>2001</v>
      </c>
      <c r="D565" s="20">
        <v>-3.7</v>
      </c>
    </row>
    <row r="566" spans="1:6">
      <c r="B566">
        <v>2000</v>
      </c>
      <c r="D566" s="20">
        <v>-0.2</v>
      </c>
    </row>
    <row r="567" spans="1:6">
      <c r="B567">
        <v>2014</v>
      </c>
      <c r="D567" s="20">
        <v>-2.9</v>
      </c>
    </row>
    <row r="568" spans="1:6">
      <c r="B568">
        <v>2015</v>
      </c>
      <c r="D568" s="20">
        <v>-1.3</v>
      </c>
    </row>
    <row r="569" spans="1:6">
      <c r="B569">
        <v>2010</v>
      </c>
      <c r="D569" s="20">
        <v>-8</v>
      </c>
    </row>
    <row r="570" spans="1:6">
      <c r="B570">
        <v>2006</v>
      </c>
      <c r="D570" s="20">
        <v>1.5</v>
      </c>
    </row>
    <row r="571" spans="1:6">
      <c r="D571" s="20"/>
    </row>
    <row r="572" spans="1:6">
      <c r="C572" t="s">
        <v>64</v>
      </c>
      <c r="D572" s="49">
        <f>AVERAGE(D553:D570)</f>
        <v>-1.7777777777777777</v>
      </c>
      <c r="E572" s="49">
        <f>STDEV(D553:D570)</f>
        <v>2.9316840283069494</v>
      </c>
    </row>
    <row r="573" spans="1:6">
      <c r="D573" s="20"/>
    </row>
    <row r="575" spans="1:6">
      <c r="A575" s="14" t="s">
        <v>331</v>
      </c>
      <c r="B575">
        <v>1885</v>
      </c>
      <c r="D575" s="20">
        <v>-1.07</v>
      </c>
      <c r="F575" t="s">
        <v>92</v>
      </c>
    </row>
    <row r="576" spans="1:6">
      <c r="B576">
        <v>1885</v>
      </c>
      <c r="D576" s="20">
        <v>-1.84</v>
      </c>
    </row>
    <row r="577" spans="2:4">
      <c r="B577">
        <v>1883</v>
      </c>
      <c r="D577" s="20">
        <v>-1.28</v>
      </c>
    </row>
    <row r="578" spans="2:4">
      <c r="B578">
        <v>1900</v>
      </c>
      <c r="D578" s="20">
        <v>0.31</v>
      </c>
    </row>
    <row r="579" spans="2:4">
      <c r="B579">
        <v>1900</v>
      </c>
      <c r="D579" s="20">
        <v>2.2599999999999998</v>
      </c>
    </row>
    <row r="580" spans="2:4">
      <c r="B580">
        <v>1870</v>
      </c>
      <c r="D580" s="20">
        <v>-0.19</v>
      </c>
    </row>
    <row r="581" spans="2:4">
      <c r="B581">
        <v>1870</v>
      </c>
      <c r="D581" s="20">
        <v>-1.35</v>
      </c>
    </row>
    <row r="582" spans="2:4">
      <c r="B582">
        <v>1870</v>
      </c>
      <c r="D582" s="20">
        <v>-0.23</v>
      </c>
    </row>
    <row r="583" spans="2:4">
      <c r="B583">
        <v>1870</v>
      </c>
      <c r="D583" s="20">
        <v>-0.78</v>
      </c>
    </row>
    <row r="584" spans="2:4">
      <c r="B584">
        <v>1870</v>
      </c>
      <c r="D584" s="20">
        <v>-0.83</v>
      </c>
    </row>
    <row r="585" spans="2:4">
      <c r="B585">
        <v>1865</v>
      </c>
      <c r="D585" s="20">
        <v>-1.41</v>
      </c>
    </row>
    <row r="586" spans="2:4">
      <c r="B586">
        <v>1870</v>
      </c>
      <c r="D586" s="20">
        <v>-1.63</v>
      </c>
    </row>
    <row r="587" spans="2:4">
      <c r="B587">
        <v>1870</v>
      </c>
      <c r="D587" s="20">
        <v>-0.1</v>
      </c>
    </row>
    <row r="588" spans="2:4">
      <c r="B588">
        <v>1870</v>
      </c>
      <c r="D588" s="20">
        <v>-1.1299999999999999</v>
      </c>
    </row>
    <row r="589" spans="2:4">
      <c r="B589">
        <v>1875</v>
      </c>
      <c r="D589" s="20">
        <v>-1.4</v>
      </c>
    </row>
    <row r="590" spans="2:4">
      <c r="B590">
        <v>1870</v>
      </c>
      <c r="D590" s="20">
        <v>-1.35</v>
      </c>
    </row>
    <row r="591" spans="2:4">
      <c r="B591">
        <v>1870</v>
      </c>
      <c r="D591" s="20">
        <v>0.09</v>
      </c>
    </row>
    <row r="592" spans="2:4">
      <c r="B592">
        <v>1870</v>
      </c>
      <c r="D592" s="20">
        <v>-0.01</v>
      </c>
    </row>
    <row r="593" spans="1:6">
      <c r="B593">
        <v>1865</v>
      </c>
      <c r="D593" s="20">
        <v>-8.59</v>
      </c>
    </row>
    <row r="594" spans="1:6">
      <c r="B594">
        <v>1865</v>
      </c>
      <c r="D594" s="20">
        <v>-5.93</v>
      </c>
    </row>
    <row r="595" spans="1:6">
      <c r="B595">
        <v>1920</v>
      </c>
      <c r="D595" s="20">
        <v>-1.67</v>
      </c>
    </row>
    <row r="596" spans="1:6">
      <c r="B596">
        <v>1920</v>
      </c>
      <c r="D596" s="20">
        <v>0.25</v>
      </c>
    </row>
    <row r="597" spans="1:6">
      <c r="B597">
        <v>1920</v>
      </c>
      <c r="D597" s="20">
        <v>2.81</v>
      </c>
    </row>
    <row r="598" spans="1:6">
      <c r="D598" s="20"/>
    </row>
    <row r="599" spans="1:6">
      <c r="C599" t="s">
        <v>64</v>
      </c>
      <c r="D599" s="49">
        <f>AVERAGE(D575:D597)</f>
        <v>-1.0900000000000001</v>
      </c>
      <c r="E599" s="49">
        <f>STDEV(D575:D597)</f>
        <v>2.3029447551894391</v>
      </c>
    </row>
    <row r="600" spans="1:6">
      <c r="D600" s="20"/>
    </row>
    <row r="602" spans="1:6">
      <c r="A602" s="14" t="s">
        <v>249</v>
      </c>
      <c r="B602">
        <v>2500</v>
      </c>
      <c r="D602" s="20">
        <v>-1.9</v>
      </c>
      <c r="F602" t="s">
        <v>97</v>
      </c>
    </row>
    <row r="603" spans="1:6">
      <c r="B603">
        <v>2550</v>
      </c>
      <c r="D603" s="20">
        <v>-4.9000000000000004</v>
      </c>
    </row>
    <row r="604" spans="1:6">
      <c r="B604">
        <v>1000</v>
      </c>
      <c r="D604" s="20">
        <v>-3.3</v>
      </c>
    </row>
    <row r="605" spans="1:6">
      <c r="B605">
        <v>2480</v>
      </c>
      <c r="D605" s="20">
        <v>-5.4</v>
      </c>
    </row>
    <row r="606" spans="1:6">
      <c r="B606">
        <v>500</v>
      </c>
      <c r="D606" s="20">
        <v>-16.2</v>
      </c>
    </row>
    <row r="607" spans="1:6">
      <c r="B607">
        <v>2490</v>
      </c>
      <c r="D607" s="20">
        <v>2.4</v>
      </c>
    </row>
    <row r="608" spans="1:6">
      <c r="B608">
        <v>1600</v>
      </c>
      <c r="D608" s="20">
        <v>-7.1</v>
      </c>
    </row>
    <row r="609" spans="2:4">
      <c r="B609">
        <v>1620</v>
      </c>
      <c r="D609" s="20">
        <v>-6.5</v>
      </c>
    </row>
    <row r="610" spans="2:4">
      <c r="B610">
        <v>1610</v>
      </c>
      <c r="D610" s="20">
        <v>-8.1999999999999993</v>
      </c>
    </row>
    <row r="611" spans="2:4">
      <c r="B611">
        <v>1630</v>
      </c>
      <c r="D611" s="20">
        <v>-7.9</v>
      </c>
    </row>
    <row r="612" spans="2:4">
      <c r="B612">
        <v>1625</v>
      </c>
      <c r="D612" s="20">
        <v>-8.3000000000000007</v>
      </c>
    </row>
    <row r="613" spans="2:4">
      <c r="B613">
        <v>1600</v>
      </c>
      <c r="D613" s="20">
        <v>-4.7</v>
      </c>
    </row>
    <row r="614" spans="2:4">
      <c r="B614">
        <v>1602</v>
      </c>
      <c r="D614" s="20">
        <v>-5.6</v>
      </c>
    </row>
    <row r="615" spans="2:4">
      <c r="B615">
        <v>1603</v>
      </c>
      <c r="D615" s="20">
        <v>-6.5</v>
      </c>
    </row>
    <row r="616" spans="2:4">
      <c r="B616">
        <v>1605</v>
      </c>
      <c r="D616" s="20">
        <v>-4.8</v>
      </c>
    </row>
    <row r="617" spans="2:4">
      <c r="B617">
        <v>1604</v>
      </c>
      <c r="D617" s="20">
        <v>-5.0999999999999996</v>
      </c>
    </row>
    <row r="618" spans="2:4">
      <c r="B618">
        <v>1614</v>
      </c>
      <c r="D618" s="20">
        <v>-6.6</v>
      </c>
    </row>
    <row r="619" spans="2:4">
      <c r="B619">
        <v>2500</v>
      </c>
      <c r="D619" s="20">
        <v>-3.6</v>
      </c>
    </row>
    <row r="620" spans="2:4">
      <c r="B620">
        <v>1000</v>
      </c>
      <c r="D620" s="20">
        <v>-10.199999999999999</v>
      </c>
    </row>
    <row r="621" spans="2:4">
      <c r="B621">
        <v>1010</v>
      </c>
      <c r="D621" s="20">
        <v>-9.6</v>
      </c>
    </row>
    <row r="622" spans="2:4">
      <c r="B622">
        <v>1012</v>
      </c>
      <c r="D622" s="20">
        <v>-14</v>
      </c>
    </row>
    <row r="623" spans="2:4">
      <c r="B623">
        <v>1015</v>
      </c>
      <c r="D623" s="20">
        <v>-10.8</v>
      </c>
    </row>
    <row r="624" spans="2:4">
      <c r="B624">
        <v>1035</v>
      </c>
      <c r="D624" s="20">
        <v>-17.3</v>
      </c>
    </row>
    <row r="625" spans="2:4">
      <c r="B625">
        <v>1026</v>
      </c>
      <c r="D625" s="20">
        <v>-16.5</v>
      </c>
    </row>
    <row r="626" spans="2:4">
      <c r="B626">
        <v>1024</v>
      </c>
      <c r="D626" s="20">
        <v>-12.7</v>
      </c>
    </row>
    <row r="627" spans="2:4">
      <c r="B627">
        <v>1028</v>
      </c>
      <c r="D627" s="20">
        <v>-12.4</v>
      </c>
    </row>
    <row r="628" spans="2:4">
      <c r="B628">
        <v>1039</v>
      </c>
      <c r="D628" s="20">
        <v>-12.5</v>
      </c>
    </row>
    <row r="629" spans="2:4">
      <c r="B629">
        <v>1027</v>
      </c>
      <c r="D629" s="20">
        <v>-9.9</v>
      </c>
    </row>
    <row r="630" spans="2:4">
      <c r="B630">
        <v>1100</v>
      </c>
      <c r="D630" s="20">
        <v>-8.1999999999999993</v>
      </c>
    </row>
    <row r="631" spans="2:4">
      <c r="B631">
        <v>1080</v>
      </c>
      <c r="D631" s="20">
        <v>-7.7</v>
      </c>
    </row>
    <row r="632" spans="2:4">
      <c r="B632">
        <v>1060</v>
      </c>
      <c r="D632" s="20">
        <v>-5.9</v>
      </c>
    </row>
    <row r="633" spans="2:4">
      <c r="B633">
        <v>1035</v>
      </c>
      <c r="D633" s="20">
        <v>-6</v>
      </c>
    </row>
    <row r="634" spans="2:4">
      <c r="B634">
        <v>980</v>
      </c>
      <c r="D634" s="20">
        <v>-5.2</v>
      </c>
    </row>
    <row r="635" spans="2:4">
      <c r="B635">
        <v>953</v>
      </c>
      <c r="D635" s="20">
        <v>-6.4</v>
      </c>
    </row>
    <row r="636" spans="2:4">
      <c r="B636">
        <v>968</v>
      </c>
      <c r="D636" s="20">
        <v>-4.2</v>
      </c>
    </row>
    <row r="637" spans="2:4">
      <c r="B637">
        <v>990</v>
      </c>
      <c r="D637" s="20">
        <v>-2.5</v>
      </c>
    </row>
    <row r="638" spans="2:4">
      <c r="B638">
        <v>987</v>
      </c>
      <c r="D638" s="20">
        <v>-5.5</v>
      </c>
    </row>
    <row r="639" spans="2:4">
      <c r="B639">
        <v>968</v>
      </c>
      <c r="D639" s="20">
        <v>-5.8</v>
      </c>
    </row>
    <row r="640" spans="2:4">
      <c r="B640">
        <v>948</v>
      </c>
      <c r="D640" s="20">
        <v>-8.1</v>
      </c>
    </row>
    <row r="641" spans="1:6">
      <c r="B641">
        <v>995</v>
      </c>
      <c r="D641" s="20">
        <v>-14.7</v>
      </c>
    </row>
    <row r="642" spans="1:6">
      <c r="B642">
        <v>992</v>
      </c>
      <c r="D642" s="20">
        <v>-17.3</v>
      </c>
    </row>
    <row r="643" spans="1:6">
      <c r="D643" s="20"/>
    </row>
    <row r="644" spans="1:6">
      <c r="C644" t="s">
        <v>64</v>
      </c>
      <c r="D644" s="49">
        <f>AVERAGE(D602:D642)</f>
        <v>-7.9902439024390235</v>
      </c>
      <c r="E644" s="49">
        <f>STDEV(D602:D642)</f>
        <v>4.4568377173758984</v>
      </c>
    </row>
    <row r="645" spans="1:6">
      <c r="D645" s="20"/>
    </row>
    <row r="647" spans="1:6">
      <c r="A647" s="42" t="s">
        <v>160</v>
      </c>
      <c r="B647">
        <v>1300</v>
      </c>
      <c r="D647" s="20">
        <v>-1</v>
      </c>
      <c r="F647" t="s">
        <v>259</v>
      </c>
    </row>
    <row r="648" spans="1:6">
      <c r="B648">
        <v>1350</v>
      </c>
      <c r="D648" s="20">
        <v>-1.5</v>
      </c>
    </row>
    <row r="649" spans="1:6">
      <c r="B649">
        <v>1324</v>
      </c>
      <c r="D649" s="20">
        <v>-2.2999999999999998</v>
      </c>
    </row>
    <row r="650" spans="1:6">
      <c r="B650">
        <v>1336</v>
      </c>
      <c r="D650" s="20">
        <v>-3</v>
      </c>
    </row>
    <row r="651" spans="1:6">
      <c r="B651">
        <v>1305</v>
      </c>
      <c r="D651" s="20">
        <v>-4.2</v>
      </c>
    </row>
    <row r="652" spans="1:6">
      <c r="B652">
        <v>1310</v>
      </c>
      <c r="D652" s="20">
        <v>-5</v>
      </c>
    </row>
    <row r="653" spans="1:6">
      <c r="B653">
        <v>1312</v>
      </c>
      <c r="D653" s="20">
        <v>-5.4</v>
      </c>
    </row>
    <row r="654" spans="1:6">
      <c r="B654">
        <v>1309</v>
      </c>
      <c r="D654" s="20">
        <v>-5.8</v>
      </c>
    </row>
    <row r="655" spans="1:6">
      <c r="B655">
        <v>1321</v>
      </c>
      <c r="D655" s="20">
        <v>-6</v>
      </c>
    </row>
    <row r="656" spans="1:6">
      <c r="B656">
        <v>1325</v>
      </c>
      <c r="D656" s="20">
        <v>-0.5</v>
      </c>
    </row>
    <row r="657" spans="2:5">
      <c r="B657">
        <v>1329</v>
      </c>
      <c r="D657" s="20">
        <v>-0.79</v>
      </c>
    </row>
    <row r="658" spans="2:5">
      <c r="B658">
        <v>1360</v>
      </c>
      <c r="D658" s="20">
        <v>-1.2</v>
      </c>
    </row>
    <row r="659" spans="2:5">
      <c r="B659">
        <v>1340</v>
      </c>
      <c r="D659" s="20">
        <v>-1.5</v>
      </c>
    </row>
    <row r="660" spans="2:5">
      <c r="B660">
        <v>1328</v>
      </c>
      <c r="D660" s="20">
        <v>-2.6</v>
      </c>
    </row>
    <row r="661" spans="2:5">
      <c r="B661">
        <v>1324</v>
      </c>
      <c r="D661" s="20">
        <v>-2.8</v>
      </c>
    </row>
    <row r="662" spans="2:5">
      <c r="B662">
        <v>1333</v>
      </c>
      <c r="D662" s="20">
        <v>-2.2000000000000002</v>
      </c>
    </row>
    <row r="663" spans="2:5">
      <c r="B663">
        <v>1342</v>
      </c>
      <c r="D663" s="20">
        <v>-3.1</v>
      </c>
    </row>
    <row r="664" spans="2:5">
      <c r="B664">
        <v>1350</v>
      </c>
      <c r="D664" s="20">
        <v>-3.5</v>
      </c>
    </row>
    <row r="665" spans="2:5">
      <c r="B665">
        <v>1328</v>
      </c>
      <c r="D665" s="20">
        <v>-3.6</v>
      </c>
    </row>
    <row r="666" spans="2:5">
      <c r="B666">
        <v>1305</v>
      </c>
      <c r="D666" s="20">
        <v>-3.8</v>
      </c>
    </row>
    <row r="667" spans="2:5">
      <c r="B667">
        <v>1341</v>
      </c>
      <c r="D667" s="20">
        <v>-4.0999999999999996</v>
      </c>
    </row>
    <row r="668" spans="2:5">
      <c r="B668">
        <v>1332</v>
      </c>
      <c r="D668" s="20">
        <v>-4.5</v>
      </c>
    </row>
    <row r="669" spans="2:5">
      <c r="D669" s="20"/>
    </row>
    <row r="670" spans="2:5">
      <c r="C670" t="s">
        <v>64</v>
      </c>
      <c r="D670" s="49">
        <f>AVERAGE(D647:D668)</f>
        <v>-3.1086363636363643</v>
      </c>
      <c r="E670" s="49">
        <f>STDEV(D647:D668)</f>
        <v>1.6432322835382516</v>
      </c>
    </row>
    <row r="671" spans="2:5">
      <c r="D671" s="20"/>
    </row>
    <row r="673" spans="1:6">
      <c r="A673" s="14" t="s">
        <v>260</v>
      </c>
      <c r="B673">
        <v>1875</v>
      </c>
      <c r="D673" s="20">
        <v>-2.2000000000000002</v>
      </c>
      <c r="F673" t="s">
        <v>338</v>
      </c>
    </row>
    <row r="674" spans="1:6">
      <c r="B674">
        <v>1950</v>
      </c>
      <c r="D674" s="20">
        <v>-3.7</v>
      </c>
    </row>
    <row r="675" spans="1:6">
      <c r="B675">
        <v>1920</v>
      </c>
      <c r="D675" s="20">
        <v>-1.1000000000000001</v>
      </c>
    </row>
    <row r="676" spans="1:6">
      <c r="B676">
        <v>2000</v>
      </c>
      <c r="D676" s="20">
        <v>2.2000000000000002</v>
      </c>
    </row>
    <row r="677" spans="1:6">
      <c r="B677">
        <v>1880</v>
      </c>
      <c r="D677" s="20">
        <v>-3.1</v>
      </c>
    </row>
    <row r="678" spans="1:6">
      <c r="B678">
        <v>1896</v>
      </c>
      <c r="D678" s="20">
        <v>-3.5</v>
      </c>
    </row>
    <row r="679" spans="1:6">
      <c r="D679" s="20"/>
    </row>
    <row r="680" spans="1:6">
      <c r="C680" t="s">
        <v>64</v>
      </c>
      <c r="D680" s="49">
        <f>AVERAGE(D673:D678)</f>
        <v>-1.9000000000000001</v>
      </c>
      <c r="E680" s="49">
        <f>STDEV(D673:D678)</f>
        <v>2.2262075374951009</v>
      </c>
    </row>
    <row r="681" spans="1:6">
      <c r="D681" s="20"/>
    </row>
    <row r="683" spans="1:6">
      <c r="F683" t="s">
        <v>306</v>
      </c>
    </row>
    <row r="684" spans="1:6">
      <c r="A684" s="14" t="s">
        <v>159</v>
      </c>
      <c r="B684">
        <v>1000</v>
      </c>
      <c r="D684" s="20">
        <v>1.8</v>
      </c>
    </row>
    <row r="685" spans="1:6">
      <c r="A685" s="13" t="s">
        <v>223</v>
      </c>
      <c r="B685">
        <v>1200</v>
      </c>
      <c r="D685" s="20">
        <v>0.01</v>
      </c>
    </row>
    <row r="686" spans="1:6">
      <c r="B686">
        <v>1152</v>
      </c>
      <c r="D686" s="20">
        <v>0.2</v>
      </c>
    </row>
    <row r="687" spans="1:6">
      <c r="B687">
        <v>1148</v>
      </c>
      <c r="D687" s="20">
        <v>0.03</v>
      </c>
    </row>
    <row r="688" spans="1:6">
      <c r="B688">
        <v>1050</v>
      </c>
      <c r="D688" s="20">
        <v>-0.1</v>
      </c>
    </row>
    <row r="689" spans="2:4">
      <c r="B689">
        <v>1067</v>
      </c>
      <c r="D689" s="20">
        <v>-0.2</v>
      </c>
    </row>
    <row r="690" spans="2:4">
      <c r="B690">
        <v>1054</v>
      </c>
      <c r="D690" s="20">
        <v>-0.15</v>
      </c>
    </row>
    <row r="691" spans="2:4">
      <c r="B691">
        <v>1102</v>
      </c>
      <c r="D691" s="20">
        <v>-1.2</v>
      </c>
    </row>
    <row r="692" spans="2:4">
      <c r="B692">
        <v>1152</v>
      </c>
      <c r="D692" s="20">
        <v>-1.5</v>
      </c>
    </row>
    <row r="693" spans="2:4">
      <c r="B693">
        <v>1184</v>
      </c>
      <c r="D693" s="20">
        <v>-2.2000000000000002</v>
      </c>
    </row>
    <row r="694" spans="2:4">
      <c r="B694">
        <v>1154</v>
      </c>
      <c r="D694" s="20">
        <v>-2.8</v>
      </c>
    </row>
    <row r="695" spans="2:4">
      <c r="B695">
        <v>1162</v>
      </c>
      <c r="D695" s="20">
        <v>-2.4</v>
      </c>
    </row>
    <row r="696" spans="2:4">
      <c r="B696">
        <v>1102</v>
      </c>
      <c r="D696" s="20">
        <v>-2.6</v>
      </c>
    </row>
    <row r="697" spans="2:4">
      <c r="B697">
        <v>1135</v>
      </c>
      <c r="D697" s="20">
        <v>-4.8</v>
      </c>
    </row>
    <row r="698" spans="2:4">
      <c r="B698">
        <v>1064</v>
      </c>
      <c r="D698" s="20">
        <v>-4.7</v>
      </c>
    </row>
    <row r="699" spans="2:4">
      <c r="B699">
        <v>1068</v>
      </c>
      <c r="D699" s="20">
        <v>-5.2</v>
      </c>
    </row>
    <row r="700" spans="2:4">
      <c r="B700">
        <v>1072</v>
      </c>
      <c r="D700" s="20">
        <v>-6.1</v>
      </c>
    </row>
    <row r="701" spans="2:4">
      <c r="B701">
        <v>1098</v>
      </c>
      <c r="D701" s="20">
        <v>-6.8</v>
      </c>
    </row>
    <row r="702" spans="2:4">
      <c r="B702">
        <v>1021</v>
      </c>
      <c r="D702" s="20">
        <v>-7</v>
      </c>
    </row>
    <row r="703" spans="2:4">
      <c r="B703">
        <v>1052</v>
      </c>
      <c r="D703" s="20">
        <v>-7.5</v>
      </c>
    </row>
    <row r="704" spans="2:4">
      <c r="B704">
        <v>1043</v>
      </c>
      <c r="D704" s="20">
        <v>-7.3</v>
      </c>
    </row>
    <row r="705" spans="2:5">
      <c r="B705">
        <v>1000</v>
      </c>
      <c r="D705" s="20">
        <v>-7.8</v>
      </c>
    </row>
    <row r="706" spans="2:5">
      <c r="B706">
        <v>1003</v>
      </c>
      <c r="D706" s="20">
        <v>-6.9</v>
      </c>
    </row>
    <row r="707" spans="2:5">
      <c r="B707">
        <v>1021</v>
      </c>
      <c r="D707" s="20">
        <v>-8.1999999999999993</v>
      </c>
    </row>
    <row r="708" spans="2:5">
      <c r="B708">
        <v>1009</v>
      </c>
      <c r="D708" s="20">
        <v>-8.5</v>
      </c>
    </row>
    <row r="709" spans="2:5">
      <c r="B709">
        <v>1065</v>
      </c>
      <c r="D709" s="20">
        <v>-9.1</v>
      </c>
    </row>
    <row r="710" spans="2:5">
      <c r="B710">
        <v>1101</v>
      </c>
      <c r="D710" s="20">
        <v>-8.8000000000000007</v>
      </c>
    </row>
    <row r="711" spans="2:5">
      <c r="B711">
        <v>1109</v>
      </c>
      <c r="D711" s="20">
        <v>-8.8000000000000007</v>
      </c>
    </row>
    <row r="712" spans="2:5">
      <c r="B712">
        <v>1112</v>
      </c>
      <c r="D712" s="20">
        <v>-8.4</v>
      </c>
    </row>
    <row r="713" spans="2:5">
      <c r="B713">
        <v>1115</v>
      </c>
      <c r="D713" s="20">
        <v>-9.3000000000000007</v>
      </c>
    </row>
    <row r="714" spans="2:5">
      <c r="B714">
        <v>1141</v>
      </c>
      <c r="D714" s="20">
        <v>-9.4</v>
      </c>
    </row>
    <row r="715" spans="2:5">
      <c r="B715">
        <v>1200</v>
      </c>
      <c r="D715" s="20">
        <v>-8.4</v>
      </c>
    </row>
    <row r="716" spans="2:5">
      <c r="B716">
        <v>1198</v>
      </c>
      <c r="D716" s="20">
        <v>-8.3000000000000007</v>
      </c>
    </row>
    <row r="717" spans="2:5">
      <c r="B717">
        <v>1101</v>
      </c>
      <c r="D717" s="20">
        <v>-8.25</v>
      </c>
    </row>
    <row r="718" spans="2:5">
      <c r="D718" s="20"/>
    </row>
    <row r="719" spans="2:5">
      <c r="C719" t="s">
        <v>64</v>
      </c>
      <c r="D719" s="49">
        <f>AVERAGE(D684:D717)</f>
        <v>-5.0194117647058833</v>
      </c>
      <c r="E719" s="49">
        <f>STDEV(D684:D717)</f>
        <v>3.6027901150623136</v>
      </c>
    </row>
    <row r="720" spans="2:5">
      <c r="D720" s="20"/>
    </row>
    <row r="721" spans="1:4">
      <c r="D721" s="20"/>
    </row>
    <row r="723" spans="1:4">
      <c r="A723" s="13" t="s">
        <v>224</v>
      </c>
      <c r="B723">
        <v>1000</v>
      </c>
      <c r="D723" s="20">
        <v>3</v>
      </c>
    </row>
    <row r="724" spans="1:4">
      <c r="B724">
        <v>1051</v>
      </c>
      <c r="D724" s="20">
        <v>3.2</v>
      </c>
    </row>
    <row r="725" spans="1:4">
      <c r="B725">
        <v>1048</v>
      </c>
      <c r="D725" s="20">
        <v>3.4</v>
      </c>
    </row>
    <row r="726" spans="1:4">
      <c r="B726">
        <v>1020</v>
      </c>
      <c r="D726" s="20">
        <v>2.5</v>
      </c>
    </row>
    <row r="727" spans="1:4">
      <c r="B727">
        <v>1028</v>
      </c>
      <c r="D727" s="20">
        <v>2.2000000000000002</v>
      </c>
    </row>
    <row r="728" spans="1:4">
      <c r="B728">
        <v>1035</v>
      </c>
      <c r="D728" s="20">
        <v>2.1</v>
      </c>
    </row>
    <row r="729" spans="1:4">
      <c r="B729">
        <v>1036</v>
      </c>
      <c r="D729" s="20">
        <v>2</v>
      </c>
    </row>
    <row r="730" spans="1:4">
      <c r="B730">
        <v>1025</v>
      </c>
      <c r="D730" s="20">
        <v>1.5</v>
      </c>
    </row>
    <row r="731" spans="1:4">
      <c r="B731">
        <v>1006</v>
      </c>
      <c r="D731" s="20">
        <v>1.8</v>
      </c>
    </row>
    <row r="732" spans="1:4">
      <c r="B732">
        <v>1015</v>
      </c>
      <c r="D732" s="20">
        <v>1.7</v>
      </c>
    </row>
    <row r="733" spans="1:4">
      <c r="B733">
        <v>1115</v>
      </c>
      <c r="D733" s="20">
        <v>1.4</v>
      </c>
    </row>
    <row r="734" spans="1:4">
      <c r="B734">
        <v>1100</v>
      </c>
      <c r="D734" s="20">
        <v>0.5</v>
      </c>
    </row>
    <row r="735" spans="1:4">
      <c r="B735">
        <v>1095</v>
      </c>
      <c r="D735" s="20">
        <v>0.6</v>
      </c>
    </row>
    <row r="736" spans="1:4">
      <c r="B736">
        <v>1087</v>
      </c>
      <c r="D736" s="20">
        <v>0.8</v>
      </c>
    </row>
    <row r="737" spans="1:6">
      <c r="B737">
        <v>1054</v>
      </c>
      <c r="D737" s="20">
        <v>0.01</v>
      </c>
    </row>
    <row r="738" spans="1:6">
      <c r="B738">
        <v>1023</v>
      </c>
      <c r="D738" s="20">
        <v>-0.1</v>
      </c>
    </row>
    <row r="739" spans="1:6">
      <c r="B739">
        <v>1020</v>
      </c>
      <c r="D739" s="20">
        <v>-0.2</v>
      </c>
    </row>
    <row r="740" spans="1:6">
      <c r="B740">
        <v>1009</v>
      </c>
      <c r="D740" s="20">
        <v>0.5</v>
      </c>
    </row>
    <row r="741" spans="1:6">
      <c r="D741" s="20"/>
    </row>
    <row r="742" spans="1:6">
      <c r="C742" t="s">
        <v>64</v>
      </c>
      <c r="D742" s="49">
        <f>AVERAGE(D723:D740)</f>
        <v>1.4950000000000001</v>
      </c>
      <c r="E742" s="49">
        <f>STDEV(D723:D740)</f>
        <v>1.1365492147932081</v>
      </c>
    </row>
    <row r="743" spans="1:6">
      <c r="D743" s="20"/>
    </row>
    <row r="745" spans="1:6">
      <c r="A745" s="41" t="s">
        <v>129</v>
      </c>
      <c r="B745">
        <v>1900</v>
      </c>
      <c r="D745" s="20">
        <v>-3.6</v>
      </c>
      <c r="F745" t="s">
        <v>191</v>
      </c>
    </row>
    <row r="746" spans="1:6">
      <c r="B746">
        <v>1910</v>
      </c>
      <c r="D746" s="20">
        <v>-3.9</v>
      </c>
    </row>
    <row r="747" spans="1:6">
      <c r="B747">
        <v>1905</v>
      </c>
      <c r="D747" s="20">
        <v>-6.5</v>
      </c>
    </row>
    <row r="748" spans="1:6">
      <c r="B748">
        <v>1870</v>
      </c>
      <c r="D748" s="20">
        <v>-5.4</v>
      </c>
    </row>
    <row r="749" spans="1:6">
      <c r="B749">
        <v>1875</v>
      </c>
      <c r="D749" s="20">
        <v>-6.4</v>
      </c>
    </row>
    <row r="750" spans="1:6">
      <c r="B750">
        <v>1876</v>
      </c>
      <c r="D750" s="20">
        <v>-3.1</v>
      </c>
    </row>
    <row r="751" spans="1:6">
      <c r="B751">
        <v>1868</v>
      </c>
      <c r="D751" s="20">
        <v>-3.2</v>
      </c>
    </row>
    <row r="752" spans="1:6">
      <c r="B752">
        <v>1860</v>
      </c>
      <c r="D752" s="20">
        <v>-1.5</v>
      </c>
    </row>
    <row r="753" spans="2:5">
      <c r="B753">
        <v>1750</v>
      </c>
      <c r="D753" s="20">
        <v>-5.2</v>
      </c>
    </row>
    <row r="754" spans="2:5">
      <c r="B754">
        <v>1755</v>
      </c>
      <c r="D754" s="20">
        <v>-4.7</v>
      </c>
    </row>
    <row r="755" spans="2:5">
      <c r="B755">
        <v>1860</v>
      </c>
      <c r="D755" s="20">
        <v>-2.4</v>
      </c>
    </row>
    <row r="756" spans="2:5">
      <c r="B756">
        <v>1553</v>
      </c>
      <c r="D756" s="20">
        <v>-5.6</v>
      </c>
    </row>
    <row r="757" spans="2:5">
      <c r="B757">
        <v>1965</v>
      </c>
      <c r="D757" s="20">
        <v>2.7</v>
      </c>
    </row>
    <row r="758" spans="2:5">
      <c r="B758">
        <v>1862</v>
      </c>
      <c r="D758" s="20">
        <v>-0.2</v>
      </c>
    </row>
    <row r="759" spans="2:5">
      <c r="B759">
        <v>1860</v>
      </c>
      <c r="D759" s="20">
        <v>-8.3000000000000007</v>
      </c>
    </row>
    <row r="760" spans="2:5">
      <c r="B760">
        <v>1866</v>
      </c>
      <c r="D760" s="20">
        <v>-7.5</v>
      </c>
    </row>
    <row r="761" spans="2:5">
      <c r="B761">
        <v>1871</v>
      </c>
      <c r="D761" s="20">
        <v>-7.4</v>
      </c>
    </row>
    <row r="762" spans="2:5">
      <c r="B762">
        <v>1855</v>
      </c>
      <c r="D762" s="20">
        <v>-7.4</v>
      </c>
    </row>
    <row r="763" spans="2:5">
      <c r="B763">
        <v>1892</v>
      </c>
      <c r="D763" s="20">
        <v>-9.8000000000000007</v>
      </c>
    </row>
    <row r="764" spans="2:5">
      <c r="B764">
        <v>1875</v>
      </c>
      <c r="D764" s="20">
        <v>-10.7</v>
      </c>
    </row>
    <row r="765" spans="2:5">
      <c r="B765">
        <v>1862</v>
      </c>
      <c r="D765" s="20">
        <v>-7.7</v>
      </c>
    </row>
    <row r="766" spans="2:5">
      <c r="B766">
        <v>1860</v>
      </c>
      <c r="D766" s="20">
        <v>-7</v>
      </c>
    </row>
    <row r="768" spans="2:5">
      <c r="C768" t="s">
        <v>64</v>
      </c>
      <c r="D768" s="49">
        <f>AVERAGE(D745:D766)</f>
        <v>-5.2181818181818196</v>
      </c>
      <c r="E768" s="49">
        <f>STDEV(D745:D766)</f>
        <v>3.1671883826324949</v>
      </c>
    </row>
    <row r="770" spans="1:6">
      <c r="A770" s="51" t="s">
        <v>227</v>
      </c>
      <c r="B770">
        <v>1227</v>
      </c>
      <c r="D770">
        <v>5</v>
      </c>
      <c r="F770" t="s">
        <v>305</v>
      </c>
    </row>
    <row r="771" spans="1:6">
      <c r="B771">
        <v>1250</v>
      </c>
      <c r="D771">
        <v>5.0999999999999996</v>
      </c>
    </row>
    <row r="772" spans="1:6">
      <c r="B772">
        <v>1230</v>
      </c>
      <c r="D772">
        <v>5.2</v>
      </c>
    </row>
    <row r="773" spans="1:6">
      <c r="B773">
        <v>1235</v>
      </c>
      <c r="D773">
        <v>5.0999999999999996</v>
      </c>
    </row>
    <row r="774" spans="1:6">
      <c r="B774">
        <v>1245</v>
      </c>
      <c r="D774">
        <v>4.7</v>
      </c>
    </row>
    <row r="775" spans="1:6">
      <c r="B775">
        <v>1220</v>
      </c>
      <c r="D775">
        <v>5.4</v>
      </c>
    </row>
    <row r="776" spans="1:6">
      <c r="B776">
        <v>1250</v>
      </c>
      <c r="D776">
        <v>5.2</v>
      </c>
    </row>
    <row r="777" spans="1:6">
      <c r="B777">
        <v>1337</v>
      </c>
      <c r="D777">
        <v>4.4000000000000004</v>
      </c>
    </row>
    <row r="778" spans="1:6">
      <c r="B778">
        <v>1200</v>
      </c>
      <c r="D778">
        <v>2.9</v>
      </c>
    </row>
    <row r="779" spans="1:6">
      <c r="B779">
        <v>1296</v>
      </c>
      <c r="D779">
        <v>2.1</v>
      </c>
    </row>
    <row r="780" spans="1:6">
      <c r="B780">
        <v>1298</v>
      </c>
      <c r="D780">
        <v>2.4</v>
      </c>
    </row>
    <row r="781" spans="1:6">
      <c r="B781">
        <v>1295</v>
      </c>
      <c r="D781">
        <v>2.2000000000000002</v>
      </c>
    </row>
    <row r="782" spans="1:6">
      <c r="B782">
        <v>1299</v>
      </c>
      <c r="D782">
        <v>2.1</v>
      </c>
    </row>
    <row r="783" spans="1:6">
      <c r="B783">
        <v>1276</v>
      </c>
      <c r="D783">
        <v>1.4</v>
      </c>
    </row>
    <row r="784" spans="1:6">
      <c r="B784">
        <v>1278</v>
      </c>
      <c r="D784">
        <v>2.4</v>
      </c>
    </row>
    <row r="785" spans="2:4">
      <c r="B785">
        <v>1170</v>
      </c>
      <c r="D785">
        <v>4.0999999999999996</v>
      </c>
    </row>
    <row r="786" spans="2:4">
      <c r="B786">
        <v>1090</v>
      </c>
      <c r="D786">
        <v>3.5</v>
      </c>
    </row>
    <row r="787" spans="2:4">
      <c r="B787">
        <v>1095</v>
      </c>
      <c r="D787">
        <v>3</v>
      </c>
    </row>
    <row r="788" spans="2:4">
      <c r="B788">
        <v>1096</v>
      </c>
      <c r="D788">
        <v>3.3</v>
      </c>
    </row>
    <row r="789" spans="2:4">
      <c r="B789">
        <v>1076</v>
      </c>
      <c r="D789">
        <v>2.7</v>
      </c>
    </row>
    <row r="790" spans="2:4">
      <c r="B790">
        <v>1165</v>
      </c>
      <c r="D790">
        <v>1.8</v>
      </c>
    </row>
    <row r="791" spans="2:4">
      <c r="B791">
        <v>1166</v>
      </c>
      <c r="D791">
        <v>1.8</v>
      </c>
    </row>
    <row r="792" spans="2:4">
      <c r="B792">
        <v>1167</v>
      </c>
      <c r="D792">
        <v>2.6</v>
      </c>
    </row>
    <row r="793" spans="2:4">
      <c r="B793">
        <v>1163</v>
      </c>
      <c r="D793">
        <v>2.2999999999999998</v>
      </c>
    </row>
    <row r="794" spans="2:4">
      <c r="B794">
        <v>1176</v>
      </c>
      <c r="D794">
        <v>1.5</v>
      </c>
    </row>
    <row r="795" spans="2:4">
      <c r="B795">
        <v>1400</v>
      </c>
      <c r="D795">
        <v>4.0999999999999996</v>
      </c>
    </row>
    <row r="796" spans="2:4">
      <c r="B796">
        <v>1398</v>
      </c>
      <c r="D796">
        <v>4</v>
      </c>
    </row>
    <row r="797" spans="2:4">
      <c r="B797">
        <v>1333</v>
      </c>
      <c r="D797">
        <v>3.9</v>
      </c>
    </row>
    <row r="798" spans="2:4">
      <c r="B798">
        <v>1310</v>
      </c>
      <c r="D798">
        <v>4.0999999999999996</v>
      </c>
    </row>
    <row r="799" spans="2:4">
      <c r="B799">
        <v>1160</v>
      </c>
      <c r="D799">
        <v>2.2000000000000002</v>
      </c>
    </row>
    <row r="800" spans="2:4">
      <c r="B800">
        <v>1150</v>
      </c>
      <c r="D800">
        <v>1.5</v>
      </c>
    </row>
    <row r="801" spans="1:6">
      <c r="B801">
        <v>1130</v>
      </c>
      <c r="D801">
        <v>2.8</v>
      </c>
    </row>
    <row r="802" spans="1:6">
      <c r="B802">
        <v>1160</v>
      </c>
      <c r="D802">
        <v>1.8</v>
      </c>
    </row>
    <row r="803" spans="1:6">
      <c r="B803">
        <v>1155</v>
      </c>
      <c r="D803">
        <v>3</v>
      </c>
    </row>
    <row r="804" spans="1:6">
      <c r="B804">
        <v>1100</v>
      </c>
      <c r="D804">
        <v>2.9</v>
      </c>
    </row>
    <row r="805" spans="1:6">
      <c r="B805">
        <v>1080</v>
      </c>
      <c r="D805">
        <v>0.9</v>
      </c>
    </row>
    <row r="806" spans="1:6">
      <c r="B806">
        <v>1360</v>
      </c>
      <c r="D806">
        <v>4</v>
      </c>
    </row>
    <row r="807" spans="1:6">
      <c r="B807">
        <v>1365</v>
      </c>
      <c r="D807">
        <v>3.1</v>
      </c>
    </row>
    <row r="808" spans="1:6">
      <c r="B808">
        <v>1355</v>
      </c>
      <c r="D808">
        <v>3.3</v>
      </c>
    </row>
    <row r="809" spans="1:6">
      <c r="D809">
        <f>MAX(D770:D808)</f>
        <v>5.4</v>
      </c>
    </row>
    <row r="810" spans="1:6">
      <c r="C810" t="s">
        <v>64</v>
      </c>
      <c r="D810" s="49">
        <f>AVERAGE(D770:D808)</f>
        <v>3.1743589743589737</v>
      </c>
      <c r="E810" s="49">
        <f>STDEV(D770:D808)</f>
        <v>1.2461979965854784</v>
      </c>
    </row>
    <row r="812" spans="1:6">
      <c r="A812" s="51" t="s">
        <v>228</v>
      </c>
      <c r="B812">
        <v>1030</v>
      </c>
      <c r="D812">
        <v>0.1</v>
      </c>
      <c r="F812" t="s">
        <v>305</v>
      </c>
    </row>
    <row r="813" spans="1:6">
      <c r="B813">
        <v>1050</v>
      </c>
      <c r="D813">
        <v>0</v>
      </c>
    </row>
    <row r="814" spans="1:6">
      <c r="B814">
        <v>1060</v>
      </c>
      <c r="D814">
        <v>-0.5</v>
      </c>
    </row>
    <row r="815" spans="1:6">
      <c r="B815">
        <v>1065</v>
      </c>
      <c r="D815">
        <v>-0.8</v>
      </c>
    </row>
    <row r="816" spans="1:6">
      <c r="B816">
        <v>1080</v>
      </c>
      <c r="D816">
        <v>0.6</v>
      </c>
    </row>
    <row r="817" spans="2:5">
      <c r="B817">
        <v>1120</v>
      </c>
      <c r="D817">
        <v>-0.2</v>
      </c>
    </row>
    <row r="818" spans="2:5">
      <c r="B818">
        <v>1125</v>
      </c>
      <c r="D818">
        <v>0</v>
      </c>
    </row>
    <row r="819" spans="2:5">
      <c r="B819">
        <v>1140</v>
      </c>
      <c r="D819">
        <v>0.1</v>
      </c>
    </row>
    <row r="820" spans="2:5">
      <c r="B820">
        <v>1160</v>
      </c>
      <c r="D820">
        <v>-0.1</v>
      </c>
    </row>
    <row r="821" spans="2:5">
      <c r="B821">
        <v>1180</v>
      </c>
      <c r="D821">
        <v>0.8</v>
      </c>
    </row>
    <row r="822" spans="2:5">
      <c r="B822">
        <v>1165</v>
      </c>
      <c r="D822">
        <v>2.2999999999999998</v>
      </c>
    </row>
    <row r="823" spans="2:5">
      <c r="B823">
        <v>1160</v>
      </c>
      <c r="D823">
        <v>1.1000000000000001</v>
      </c>
    </row>
    <row r="825" spans="2:5">
      <c r="C825" t="s">
        <v>64</v>
      </c>
      <c r="D825" s="49">
        <f>AVERAGE(D812:D823)</f>
        <v>0.28333333333333333</v>
      </c>
      <c r="E825" s="49">
        <f>STDEV(D812:D823)</f>
        <v>0.82553930949116627</v>
      </c>
    </row>
  </sheetData>
  <phoneticPr fontId="1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2:G478"/>
  <sheetViews>
    <sheetView workbookViewId="0">
      <selection activeCell="E3" sqref="E3"/>
    </sheetView>
  </sheetViews>
  <sheetFormatPr defaultColWidth="11.07421875" defaultRowHeight="15.6"/>
  <cols>
    <col min="1" max="1" width="19" customWidth="1"/>
    <col min="4" max="4" width="19.61328125" style="5" customWidth="1"/>
    <col min="5" max="5" width="43.765625" customWidth="1"/>
  </cols>
  <sheetData>
    <row r="2" spans="1:5" ht="20.399999999999999">
      <c r="A2" s="26" t="s">
        <v>220</v>
      </c>
      <c r="B2" s="18"/>
      <c r="C2" s="18"/>
      <c r="D2" s="64"/>
    </row>
    <row r="4" spans="1:5">
      <c r="A4" s="27" t="s">
        <v>43</v>
      </c>
    </row>
    <row r="5" spans="1:5">
      <c r="B5" s="2" t="s">
        <v>44</v>
      </c>
      <c r="C5" s="2" t="s">
        <v>45</v>
      </c>
      <c r="E5" s="28" t="s">
        <v>46</v>
      </c>
    </row>
    <row r="7" spans="1:5">
      <c r="B7">
        <v>1800</v>
      </c>
      <c r="C7">
        <v>-15.8</v>
      </c>
      <c r="D7" s="5" t="s">
        <v>206</v>
      </c>
      <c r="E7" t="s">
        <v>207</v>
      </c>
    </row>
    <row r="8" spans="1:5">
      <c r="B8">
        <v>1800</v>
      </c>
      <c r="C8">
        <v>-12.4</v>
      </c>
      <c r="D8" s="5" t="s">
        <v>206</v>
      </c>
      <c r="E8" t="s">
        <v>254</v>
      </c>
    </row>
    <row r="9" spans="1:5">
      <c r="B9">
        <v>1800</v>
      </c>
      <c r="C9">
        <v>-14.7</v>
      </c>
      <c r="D9" s="5" t="s">
        <v>206</v>
      </c>
      <c r="E9" t="s">
        <v>12</v>
      </c>
    </row>
    <row r="10" spans="1:5">
      <c r="B10">
        <v>1800</v>
      </c>
      <c r="C10">
        <v>-5.6</v>
      </c>
      <c r="D10" s="5" t="s">
        <v>206</v>
      </c>
    </row>
    <row r="11" spans="1:5">
      <c r="B11">
        <v>1800</v>
      </c>
      <c r="C11">
        <v>-3.2</v>
      </c>
      <c r="D11" s="5" t="s">
        <v>206</v>
      </c>
    </row>
    <row r="12" spans="1:5">
      <c r="B12">
        <v>1800</v>
      </c>
      <c r="C12">
        <v>-11.9</v>
      </c>
      <c r="D12" s="5" t="s">
        <v>206</v>
      </c>
    </row>
    <row r="13" spans="1:5">
      <c r="B13">
        <v>1876</v>
      </c>
      <c r="C13">
        <v>4.0999999999999996</v>
      </c>
      <c r="D13" s="5" t="s">
        <v>206</v>
      </c>
    </row>
    <row r="14" spans="1:5">
      <c r="B14">
        <v>1849</v>
      </c>
      <c r="C14">
        <v>4.2</v>
      </c>
      <c r="D14" s="5" t="s">
        <v>206</v>
      </c>
    </row>
    <row r="15" spans="1:5">
      <c r="B15">
        <v>1849</v>
      </c>
      <c r="C15">
        <v>4</v>
      </c>
      <c r="D15" s="5" t="s">
        <v>206</v>
      </c>
    </row>
    <row r="16" spans="1:5">
      <c r="B16">
        <v>1849</v>
      </c>
      <c r="C16">
        <v>4.9000000000000004</v>
      </c>
      <c r="D16" s="5" t="s">
        <v>206</v>
      </c>
    </row>
    <row r="17" spans="2:4">
      <c r="B17">
        <v>1851</v>
      </c>
      <c r="C17">
        <v>4.5999999999999996</v>
      </c>
      <c r="D17" s="5" t="s">
        <v>206</v>
      </c>
    </row>
    <row r="18" spans="2:4">
      <c r="B18">
        <v>1881</v>
      </c>
      <c r="C18">
        <v>2.2000000000000002</v>
      </c>
      <c r="D18" s="5" t="s">
        <v>206</v>
      </c>
    </row>
    <row r="19" spans="2:4">
      <c r="B19">
        <v>1880</v>
      </c>
      <c r="C19">
        <v>2</v>
      </c>
      <c r="D19" s="5" t="s">
        <v>206</v>
      </c>
    </row>
    <row r="20" spans="2:4">
      <c r="B20">
        <v>1893</v>
      </c>
      <c r="C20">
        <v>3.3</v>
      </c>
      <c r="D20" s="5" t="s">
        <v>206</v>
      </c>
    </row>
    <row r="21" spans="2:4">
      <c r="B21">
        <v>1852</v>
      </c>
      <c r="C21">
        <v>3.6</v>
      </c>
      <c r="D21" s="5" t="s">
        <v>206</v>
      </c>
    </row>
    <row r="22" spans="2:4">
      <c r="B22">
        <v>1863</v>
      </c>
      <c r="C22">
        <v>-1.1000000000000001</v>
      </c>
      <c r="D22" s="5" t="s">
        <v>206</v>
      </c>
    </row>
    <row r="23" spans="2:4">
      <c r="B23">
        <v>1870</v>
      </c>
      <c r="C23">
        <v>-1</v>
      </c>
      <c r="D23" s="5" t="s">
        <v>206</v>
      </c>
    </row>
    <row r="24" spans="2:4">
      <c r="B24">
        <v>1865</v>
      </c>
      <c r="C24">
        <v>-1.1000000000000001</v>
      </c>
      <c r="D24" s="5" t="s">
        <v>206</v>
      </c>
    </row>
    <row r="25" spans="2:4">
      <c r="B25">
        <v>1860</v>
      </c>
      <c r="C25">
        <v>-1.7</v>
      </c>
      <c r="D25" s="5" t="s">
        <v>206</v>
      </c>
    </row>
    <row r="26" spans="2:4">
      <c r="B26">
        <v>1863</v>
      </c>
      <c r="C26">
        <v>-1.5</v>
      </c>
      <c r="D26" s="5" t="s">
        <v>206</v>
      </c>
    </row>
    <row r="27" spans="2:4">
      <c r="B27">
        <v>1866</v>
      </c>
      <c r="C27">
        <v>-1.2</v>
      </c>
      <c r="D27" s="5" t="s">
        <v>206</v>
      </c>
    </row>
    <row r="28" spans="2:4">
      <c r="B28">
        <v>1852</v>
      </c>
      <c r="C28">
        <v>-3.7</v>
      </c>
      <c r="D28" s="5" t="s">
        <v>206</v>
      </c>
    </row>
    <row r="29" spans="2:4">
      <c r="B29">
        <v>1856</v>
      </c>
      <c r="C29">
        <v>-2.5</v>
      </c>
      <c r="D29" s="5" t="s">
        <v>206</v>
      </c>
    </row>
    <row r="30" spans="2:4">
      <c r="B30">
        <v>1885</v>
      </c>
      <c r="C30">
        <v>3.62</v>
      </c>
      <c r="D30" s="5" t="s">
        <v>13</v>
      </c>
    </row>
    <row r="31" spans="2:4">
      <c r="B31">
        <v>1864</v>
      </c>
      <c r="C31">
        <v>2.65</v>
      </c>
      <c r="D31" s="5" t="s">
        <v>13</v>
      </c>
    </row>
    <row r="32" spans="2:4">
      <c r="B32">
        <v>1858</v>
      </c>
      <c r="C32">
        <v>4.09</v>
      </c>
      <c r="D32" s="5" t="s">
        <v>13</v>
      </c>
    </row>
    <row r="33" spans="2:4">
      <c r="B33">
        <v>1842</v>
      </c>
      <c r="C33">
        <v>3.09</v>
      </c>
      <c r="D33" s="5" t="s">
        <v>13</v>
      </c>
    </row>
    <row r="34" spans="2:4">
      <c r="B34">
        <v>1880</v>
      </c>
      <c r="C34">
        <v>3.45</v>
      </c>
      <c r="D34" s="5" t="s">
        <v>13</v>
      </c>
    </row>
    <row r="35" spans="2:4">
      <c r="B35">
        <v>1864</v>
      </c>
      <c r="C35">
        <v>3.38</v>
      </c>
      <c r="D35" s="5" t="s">
        <v>13</v>
      </c>
    </row>
    <row r="36" spans="2:4">
      <c r="B36">
        <v>1847</v>
      </c>
      <c r="C36">
        <v>3.47</v>
      </c>
      <c r="D36" s="5" t="s">
        <v>13</v>
      </c>
    </row>
    <row r="37" spans="2:4">
      <c r="B37">
        <v>1842</v>
      </c>
      <c r="C37">
        <v>3.53</v>
      </c>
      <c r="D37" s="5" t="s">
        <v>13</v>
      </c>
    </row>
    <row r="38" spans="2:4">
      <c r="B38">
        <v>1906</v>
      </c>
      <c r="C38">
        <v>-3.86</v>
      </c>
      <c r="D38" s="5" t="s">
        <v>13</v>
      </c>
    </row>
    <row r="39" spans="2:4">
      <c r="B39">
        <v>1886</v>
      </c>
      <c r="C39">
        <v>4.5</v>
      </c>
      <c r="D39" s="5" t="s">
        <v>13</v>
      </c>
    </row>
    <row r="40" spans="2:4">
      <c r="B40">
        <v>1876</v>
      </c>
      <c r="C40">
        <v>1.03</v>
      </c>
      <c r="D40" s="5" t="s">
        <v>13</v>
      </c>
    </row>
    <row r="41" spans="2:4">
      <c r="B41">
        <v>1853</v>
      </c>
      <c r="C41">
        <v>3.77</v>
      </c>
      <c r="D41" s="5" t="s">
        <v>13</v>
      </c>
    </row>
    <row r="42" spans="2:4">
      <c r="B42">
        <v>1834</v>
      </c>
      <c r="C42">
        <v>3.59</v>
      </c>
      <c r="D42" s="5" t="s">
        <v>13</v>
      </c>
    </row>
    <row r="43" spans="2:4">
      <c r="B43">
        <v>1875</v>
      </c>
      <c r="C43">
        <v>4</v>
      </c>
      <c r="D43" s="5" t="s">
        <v>13</v>
      </c>
    </row>
    <row r="44" spans="2:4">
      <c r="B44">
        <v>1888</v>
      </c>
      <c r="C44">
        <v>4.9000000000000004</v>
      </c>
      <c r="D44" s="5" t="s">
        <v>13</v>
      </c>
    </row>
    <row r="45" spans="2:4">
      <c r="B45">
        <v>1876</v>
      </c>
      <c r="C45">
        <v>1.8</v>
      </c>
      <c r="D45" s="5" t="s">
        <v>13</v>
      </c>
    </row>
    <row r="47" spans="2:4">
      <c r="B47" t="s">
        <v>63</v>
      </c>
      <c r="C47" s="49">
        <f>AVERAGE(C7:C45)</f>
        <v>6.4358974358973919E-2</v>
      </c>
      <c r="D47" s="49">
        <f>STDEV(C7:C45)</f>
        <v>5.5288281783431312</v>
      </c>
    </row>
    <row r="51" spans="1:5">
      <c r="A51" s="27" t="s">
        <v>14</v>
      </c>
      <c r="B51">
        <v>2200</v>
      </c>
      <c r="C51">
        <v>-5.2</v>
      </c>
      <c r="D51" s="5" t="s">
        <v>15</v>
      </c>
      <c r="E51" t="s">
        <v>253</v>
      </c>
    </row>
    <row r="52" spans="1:5">
      <c r="B52">
        <v>2150</v>
      </c>
      <c r="C52">
        <v>-14.3</v>
      </c>
      <c r="D52" s="5" t="s">
        <v>15</v>
      </c>
    </row>
    <row r="53" spans="1:5">
      <c r="B53">
        <v>2160</v>
      </c>
      <c r="C53">
        <v>-5.0999999999999996</v>
      </c>
      <c r="D53" s="5" t="s">
        <v>15</v>
      </c>
    </row>
    <row r="54" spans="1:5">
      <c r="B54">
        <v>2300</v>
      </c>
      <c r="C54">
        <v>-5</v>
      </c>
      <c r="D54" s="5" t="s">
        <v>15</v>
      </c>
    </row>
    <row r="55" spans="1:5">
      <c r="B55">
        <v>2320</v>
      </c>
      <c r="C55">
        <v>-6</v>
      </c>
      <c r="D55" s="5" t="s">
        <v>15</v>
      </c>
    </row>
    <row r="56" spans="1:5">
      <c r="B56">
        <v>2301</v>
      </c>
      <c r="C56">
        <v>-0.3</v>
      </c>
      <c r="D56" s="5" t="s">
        <v>15</v>
      </c>
    </row>
    <row r="57" spans="1:5">
      <c r="B57">
        <v>2235</v>
      </c>
      <c r="C57">
        <v>-5.9</v>
      </c>
      <c r="D57" s="5" t="s">
        <v>15</v>
      </c>
    </row>
    <row r="58" spans="1:5">
      <c r="B58">
        <v>2248</v>
      </c>
      <c r="C58">
        <v>-3.3</v>
      </c>
      <c r="D58" s="5" t="s">
        <v>15</v>
      </c>
    </row>
    <row r="59" spans="1:5">
      <c r="B59">
        <v>2160</v>
      </c>
      <c r="C59">
        <v>-2.5</v>
      </c>
      <c r="D59" s="5" t="s">
        <v>15</v>
      </c>
    </row>
    <row r="60" spans="1:5">
      <c r="B60">
        <v>2340</v>
      </c>
      <c r="C60">
        <v>-9.1999999999999993</v>
      </c>
      <c r="D60" s="5" t="s">
        <v>15</v>
      </c>
    </row>
    <row r="61" spans="1:5">
      <c r="B61">
        <v>2380</v>
      </c>
      <c r="C61">
        <v>-11.3</v>
      </c>
      <c r="D61" s="5" t="s">
        <v>15</v>
      </c>
    </row>
    <row r="62" spans="1:5">
      <c r="B62">
        <v>2345</v>
      </c>
      <c r="C62">
        <v>-5</v>
      </c>
      <c r="D62" s="5" t="s">
        <v>15</v>
      </c>
    </row>
    <row r="63" spans="1:5">
      <c r="B63">
        <v>2210</v>
      </c>
      <c r="C63">
        <v>3.9</v>
      </c>
      <c r="D63" s="5" t="s">
        <v>15</v>
      </c>
    </row>
    <row r="64" spans="1:5">
      <c r="B64">
        <v>2252</v>
      </c>
      <c r="C64">
        <v>-12.5</v>
      </c>
      <c r="D64" s="5" t="s">
        <v>15</v>
      </c>
    </row>
    <row r="65" spans="2:4">
      <c r="B65">
        <v>2246</v>
      </c>
      <c r="C65">
        <v>-1.8</v>
      </c>
      <c r="D65" s="5" t="s">
        <v>15</v>
      </c>
    </row>
    <row r="66" spans="2:4">
      <c r="B66">
        <v>2215</v>
      </c>
      <c r="C66">
        <v>-4.2</v>
      </c>
      <c r="D66" s="5" t="s">
        <v>15</v>
      </c>
    </row>
    <row r="67" spans="2:4">
      <c r="B67">
        <v>2247</v>
      </c>
      <c r="C67">
        <v>-1.6</v>
      </c>
      <c r="D67" s="5" t="s">
        <v>15</v>
      </c>
    </row>
    <row r="68" spans="2:4">
      <c r="B68">
        <v>2220</v>
      </c>
      <c r="C68">
        <v>-4.3</v>
      </c>
      <c r="D68" s="5" t="s">
        <v>15</v>
      </c>
    </row>
    <row r="69" spans="2:4">
      <c r="B69">
        <v>2321</v>
      </c>
      <c r="C69">
        <v>-4.7</v>
      </c>
      <c r="D69" s="5" t="s">
        <v>15</v>
      </c>
    </row>
    <row r="70" spans="2:4">
      <c r="B70">
        <v>2324</v>
      </c>
      <c r="C70">
        <v>-1.7</v>
      </c>
      <c r="D70" s="5" t="s">
        <v>15</v>
      </c>
    </row>
    <row r="71" spans="2:4">
      <c r="B71">
        <v>2352</v>
      </c>
      <c r="C71">
        <v>-12.3</v>
      </c>
      <c r="D71" s="5" t="s">
        <v>15</v>
      </c>
    </row>
    <row r="72" spans="2:4">
      <c r="B72">
        <v>2310</v>
      </c>
      <c r="C72">
        <v>-5.7</v>
      </c>
      <c r="D72" s="5" t="s">
        <v>15</v>
      </c>
    </row>
    <row r="73" spans="2:4">
      <c r="B73">
        <v>2318</v>
      </c>
      <c r="C73">
        <v>-9.9</v>
      </c>
      <c r="D73" s="5" t="s">
        <v>15</v>
      </c>
    </row>
    <row r="74" spans="2:4">
      <c r="B74">
        <v>2290</v>
      </c>
      <c r="C74">
        <v>-8.6</v>
      </c>
      <c r="D74" s="5" t="s">
        <v>15</v>
      </c>
    </row>
    <row r="75" spans="2:4">
      <c r="B75">
        <v>2284</v>
      </c>
      <c r="C75">
        <v>-0.9</v>
      </c>
      <c r="D75" s="5" t="s">
        <v>15</v>
      </c>
    </row>
    <row r="76" spans="2:4">
      <c r="B76">
        <v>2241</v>
      </c>
      <c r="C76">
        <v>0.7</v>
      </c>
      <c r="D76" s="5" t="s">
        <v>15</v>
      </c>
    </row>
    <row r="77" spans="2:4">
      <c r="B77">
        <v>2200</v>
      </c>
      <c r="C77">
        <v>-2.2000000000000002</v>
      </c>
      <c r="D77" s="5" t="s">
        <v>15</v>
      </c>
    </row>
    <row r="79" spans="2:4">
      <c r="B79" t="s">
        <v>63</v>
      </c>
      <c r="C79" s="49">
        <f>AVERAGE(C51:C77)</f>
        <v>-5.1444444444444448</v>
      </c>
      <c r="D79" s="49">
        <f>STDEV(C51:C77)</f>
        <v>4.3571632738367505</v>
      </c>
    </row>
    <row r="85" spans="1:5">
      <c r="A85" s="22" t="s">
        <v>161</v>
      </c>
      <c r="B85">
        <v>1875</v>
      </c>
      <c r="C85">
        <v>2.8</v>
      </c>
      <c r="D85" s="5" t="s">
        <v>161</v>
      </c>
      <c r="E85" t="s">
        <v>89</v>
      </c>
    </row>
    <row r="86" spans="1:5">
      <c r="B86">
        <v>1880</v>
      </c>
      <c r="C86">
        <v>4.5999999999999996</v>
      </c>
      <c r="D86" s="5" t="s">
        <v>161</v>
      </c>
    </row>
    <row r="87" spans="1:5">
      <c r="B87">
        <v>1850</v>
      </c>
      <c r="C87">
        <v>3.6</v>
      </c>
      <c r="D87" s="5" t="s">
        <v>161</v>
      </c>
    </row>
    <row r="88" spans="1:5">
      <c r="B88">
        <v>1874</v>
      </c>
      <c r="C88">
        <v>3.7</v>
      </c>
      <c r="D88" s="5" t="s">
        <v>161</v>
      </c>
    </row>
    <row r="89" spans="1:5">
      <c r="B89">
        <v>1895</v>
      </c>
      <c r="C89">
        <v>3.2</v>
      </c>
      <c r="D89" s="5" t="s">
        <v>161</v>
      </c>
    </row>
    <row r="90" spans="1:5">
      <c r="B90">
        <v>1876</v>
      </c>
      <c r="C90">
        <v>-3.1</v>
      </c>
      <c r="D90" s="5" t="s">
        <v>161</v>
      </c>
    </row>
    <row r="91" spans="1:5">
      <c r="B91">
        <v>1855</v>
      </c>
      <c r="C91">
        <v>3.4</v>
      </c>
      <c r="D91" s="5" t="s">
        <v>161</v>
      </c>
    </row>
    <row r="92" spans="1:5">
      <c r="B92">
        <v>1848</v>
      </c>
      <c r="C92">
        <v>4.0999999999999996</v>
      </c>
      <c r="D92" s="5" t="s">
        <v>161</v>
      </c>
    </row>
    <row r="93" spans="1:5">
      <c r="B93">
        <v>1886</v>
      </c>
      <c r="C93">
        <v>3.4</v>
      </c>
      <c r="D93" s="5" t="s">
        <v>161</v>
      </c>
    </row>
    <row r="94" spans="1:5">
      <c r="B94">
        <v>1894</v>
      </c>
      <c r="C94">
        <v>4.8</v>
      </c>
      <c r="D94" s="5" t="s">
        <v>161</v>
      </c>
    </row>
    <row r="95" spans="1:5">
      <c r="B95">
        <v>1885</v>
      </c>
      <c r="C95">
        <v>2.8</v>
      </c>
      <c r="D95" s="5" t="s">
        <v>161</v>
      </c>
    </row>
    <row r="96" spans="1:5">
      <c r="B96">
        <v>1896</v>
      </c>
      <c r="C96">
        <v>4</v>
      </c>
      <c r="D96" s="5" t="s">
        <v>161</v>
      </c>
    </row>
    <row r="97" spans="1:5">
      <c r="B97">
        <v>1864</v>
      </c>
      <c r="C97">
        <v>5.2</v>
      </c>
      <c r="D97" s="5" t="s">
        <v>161</v>
      </c>
    </row>
    <row r="98" spans="1:5">
      <c r="B98">
        <v>1867</v>
      </c>
      <c r="C98">
        <v>4.3</v>
      </c>
      <c r="D98" s="5" t="s">
        <v>161</v>
      </c>
    </row>
    <row r="99" spans="1:5">
      <c r="B99">
        <v>1894</v>
      </c>
      <c r="C99">
        <v>4.5999999999999996</v>
      </c>
      <c r="D99" s="5" t="s">
        <v>161</v>
      </c>
    </row>
    <row r="100" spans="1:5">
      <c r="B100">
        <v>1876</v>
      </c>
      <c r="C100">
        <v>3.8</v>
      </c>
      <c r="D100" s="5" t="s">
        <v>161</v>
      </c>
    </row>
    <row r="101" spans="1:5">
      <c r="B101">
        <v>1855</v>
      </c>
      <c r="C101">
        <v>2.1</v>
      </c>
      <c r="D101" s="5" t="s">
        <v>161</v>
      </c>
    </row>
    <row r="102" spans="1:5">
      <c r="B102">
        <v>1920</v>
      </c>
      <c r="C102">
        <v>-4.5999999999999996</v>
      </c>
      <c r="D102" s="5" t="s">
        <v>161</v>
      </c>
    </row>
    <row r="103" spans="1:5">
      <c r="B103">
        <v>1950</v>
      </c>
      <c r="C103">
        <v>-7.1</v>
      </c>
      <c r="D103" s="5" t="s">
        <v>161</v>
      </c>
    </row>
    <row r="104" spans="1:5">
      <c r="B104" t="s">
        <v>63</v>
      </c>
      <c r="C104" s="49">
        <f>AVERAGE(C85:C103)</f>
        <v>2.4</v>
      </c>
      <c r="D104" s="49">
        <f>STDEV(C85:C103)</f>
        <v>3.4154876014349038</v>
      </c>
    </row>
    <row r="106" spans="1:5">
      <c r="A106" s="22" t="s">
        <v>56</v>
      </c>
      <c r="B106">
        <v>1900</v>
      </c>
      <c r="C106">
        <v>-6.7</v>
      </c>
      <c r="E106" t="s">
        <v>138</v>
      </c>
    </row>
    <row r="107" spans="1:5">
      <c r="B107">
        <v>1906</v>
      </c>
      <c r="C107">
        <v>-4.5999999999999996</v>
      </c>
    </row>
    <row r="108" spans="1:5">
      <c r="B108">
        <v>1886</v>
      </c>
      <c r="C108">
        <v>-0.4</v>
      </c>
    </row>
    <row r="109" spans="1:5">
      <c r="B109">
        <v>1876</v>
      </c>
      <c r="C109">
        <v>3.8</v>
      </c>
    </row>
    <row r="110" spans="1:5">
      <c r="B110">
        <v>1853</v>
      </c>
      <c r="C110">
        <v>0.5</v>
      </c>
    </row>
    <row r="111" spans="1:5">
      <c r="B111">
        <v>1890</v>
      </c>
      <c r="C111">
        <v>2.8</v>
      </c>
    </row>
    <row r="112" spans="1:5">
      <c r="B112">
        <v>1875</v>
      </c>
      <c r="C112">
        <v>-1.5</v>
      </c>
    </row>
    <row r="113" spans="2:3">
      <c r="B113">
        <v>1888</v>
      </c>
      <c r="C113">
        <v>-0.2</v>
      </c>
    </row>
    <row r="114" spans="2:3">
      <c r="B114">
        <v>1880</v>
      </c>
      <c r="C114">
        <v>-6.8</v>
      </c>
    </row>
    <row r="115" spans="2:3">
      <c r="B115">
        <v>1925</v>
      </c>
      <c r="C115">
        <v>-1.5</v>
      </c>
    </row>
    <row r="116" spans="2:3">
      <c r="B116">
        <v>1935</v>
      </c>
      <c r="C116">
        <v>-7</v>
      </c>
    </row>
    <row r="117" spans="2:3">
      <c r="B117">
        <v>1950</v>
      </c>
      <c r="C117">
        <v>-8.5</v>
      </c>
    </row>
    <row r="118" spans="2:3">
      <c r="B118">
        <v>1944</v>
      </c>
      <c r="C118">
        <v>-5.2</v>
      </c>
    </row>
    <row r="119" spans="2:3">
      <c r="B119">
        <v>1923</v>
      </c>
      <c r="C119">
        <v>-6.1</v>
      </c>
    </row>
    <row r="120" spans="2:3">
      <c r="B120">
        <v>1908</v>
      </c>
      <c r="C120">
        <v>-2</v>
      </c>
    </row>
    <row r="121" spans="2:3">
      <c r="B121">
        <v>1907</v>
      </c>
      <c r="C121">
        <v>-2.2999999999999998</v>
      </c>
    </row>
    <row r="122" spans="2:3">
      <c r="B122">
        <v>1910</v>
      </c>
      <c r="C122">
        <v>-1.9</v>
      </c>
    </row>
    <row r="123" spans="2:3">
      <c r="B123">
        <v>1943</v>
      </c>
      <c r="C123">
        <v>-2.4</v>
      </c>
    </row>
    <row r="124" spans="2:3">
      <c r="B124">
        <v>1926</v>
      </c>
      <c r="C124">
        <v>-2.6</v>
      </c>
    </row>
    <row r="125" spans="2:3">
      <c r="B125">
        <v>1901</v>
      </c>
      <c r="C125">
        <v>-2.2000000000000002</v>
      </c>
    </row>
    <row r="126" spans="2:3">
      <c r="B126">
        <v>1885</v>
      </c>
      <c r="C126">
        <v>-1.8</v>
      </c>
    </row>
    <row r="127" spans="2:3">
      <c r="B127">
        <v>1875</v>
      </c>
      <c r="C127">
        <v>-7.2</v>
      </c>
    </row>
    <row r="128" spans="2:3">
      <c r="B128">
        <v>1883</v>
      </c>
      <c r="C128">
        <v>-2.9</v>
      </c>
    </row>
    <row r="129" spans="1:5">
      <c r="B129">
        <v>1884</v>
      </c>
      <c r="C129">
        <v>-7.8</v>
      </c>
    </row>
    <row r="130" spans="1:5">
      <c r="B130">
        <v>1905</v>
      </c>
      <c r="C130">
        <v>-6</v>
      </c>
    </row>
    <row r="131" spans="1:5">
      <c r="B131">
        <v>1900</v>
      </c>
      <c r="C131">
        <v>-4.5999999999999996</v>
      </c>
    </row>
    <row r="132" spans="1:5" ht="15" customHeight="1">
      <c r="B132">
        <v>1903</v>
      </c>
      <c r="C132">
        <v>-10.5</v>
      </c>
    </row>
    <row r="133" spans="1:5" ht="15" customHeight="1"/>
    <row r="134" spans="1:5" ht="15" customHeight="1">
      <c r="B134" t="s">
        <v>65</v>
      </c>
      <c r="C134" s="49">
        <f>AVERAGE(C106:C132)</f>
        <v>-3.5407407407407407</v>
      </c>
      <c r="D134" s="49">
        <f>STDEV(C106:C132)</f>
        <v>3.4447573610275191</v>
      </c>
    </row>
    <row r="135" spans="1:5" ht="15" customHeight="1"/>
    <row r="137" spans="1:5">
      <c r="A137" s="27" t="s">
        <v>113</v>
      </c>
      <c r="B137">
        <v>1920</v>
      </c>
      <c r="C137">
        <v>-1.3</v>
      </c>
      <c r="E137" t="s">
        <v>106</v>
      </c>
    </row>
    <row r="138" spans="1:5">
      <c r="B138">
        <v>1907</v>
      </c>
      <c r="C138">
        <v>0.1</v>
      </c>
    </row>
    <row r="139" spans="1:5">
      <c r="B139">
        <v>1910</v>
      </c>
      <c r="C139">
        <v>0.7</v>
      </c>
    </row>
    <row r="140" spans="1:5">
      <c r="B140">
        <v>1943</v>
      </c>
      <c r="C140">
        <v>0.7</v>
      </c>
    </row>
    <row r="141" spans="1:5">
      <c r="B141">
        <v>1926</v>
      </c>
      <c r="C141">
        <v>-3.4</v>
      </c>
    </row>
    <row r="142" spans="1:5">
      <c r="B142">
        <v>1925</v>
      </c>
      <c r="C142">
        <v>0.5</v>
      </c>
    </row>
    <row r="143" spans="1:5">
      <c r="B143">
        <v>1900</v>
      </c>
      <c r="C143">
        <v>-8.1</v>
      </c>
    </row>
    <row r="144" spans="1:5">
      <c r="B144">
        <v>1935</v>
      </c>
      <c r="C144">
        <v>1.1000000000000001</v>
      </c>
    </row>
    <row r="145" spans="2:3">
      <c r="B145">
        <v>1940</v>
      </c>
      <c r="C145">
        <v>0.8</v>
      </c>
    </row>
    <row r="146" spans="2:3">
      <c r="B146">
        <v>1920</v>
      </c>
      <c r="C146">
        <v>-2.5</v>
      </c>
    </row>
    <row r="147" spans="2:3">
      <c r="B147">
        <v>1922</v>
      </c>
      <c r="C147">
        <v>-0.6</v>
      </c>
    </row>
    <row r="148" spans="2:3">
      <c r="B148">
        <v>1780</v>
      </c>
      <c r="C148">
        <v>-8.6999999999999993</v>
      </c>
    </row>
    <row r="149" spans="2:3">
      <c r="B149">
        <v>1800</v>
      </c>
      <c r="C149">
        <v>-8.6999999999999993</v>
      </c>
    </row>
    <row r="150" spans="2:3">
      <c r="B150">
        <v>1840</v>
      </c>
      <c r="C150">
        <v>-6.1</v>
      </c>
    </row>
    <row r="151" spans="2:3">
      <c r="B151">
        <v>1770</v>
      </c>
      <c r="C151">
        <v>-11.3</v>
      </c>
    </row>
    <row r="152" spans="2:3">
      <c r="B152">
        <v>2700</v>
      </c>
      <c r="C152">
        <v>0.9</v>
      </c>
    </row>
    <row r="153" spans="2:3">
      <c r="B153">
        <v>2680</v>
      </c>
      <c r="C153">
        <v>0.7</v>
      </c>
    </row>
    <row r="154" spans="2:3">
      <c r="B154">
        <v>2800</v>
      </c>
      <c r="C154">
        <v>1</v>
      </c>
    </row>
    <row r="155" spans="2:3">
      <c r="B155">
        <v>2790</v>
      </c>
      <c r="C155">
        <v>0.4</v>
      </c>
    </row>
    <row r="156" spans="2:3">
      <c r="B156">
        <v>2690</v>
      </c>
      <c r="C156">
        <v>-1.6</v>
      </c>
    </row>
    <row r="157" spans="2:3">
      <c r="B157">
        <v>2700</v>
      </c>
      <c r="C157">
        <v>-2.5</v>
      </c>
    </row>
    <row r="158" spans="2:3">
      <c r="B158">
        <v>2820</v>
      </c>
      <c r="C158">
        <v>1.4</v>
      </c>
    </row>
    <row r="159" spans="2:3">
      <c r="B159">
        <v>2850</v>
      </c>
      <c r="C159">
        <v>2.2000000000000002</v>
      </c>
    </row>
    <row r="160" spans="2:3">
      <c r="B160">
        <v>2700</v>
      </c>
      <c r="C160">
        <v>-0.8</v>
      </c>
    </row>
    <row r="161" spans="1:5">
      <c r="B161">
        <v>2800</v>
      </c>
      <c r="C161">
        <v>-0.4</v>
      </c>
    </row>
    <row r="162" spans="1:5">
      <c r="B162">
        <v>2790</v>
      </c>
      <c r="C162">
        <v>2</v>
      </c>
    </row>
    <row r="163" spans="1:5">
      <c r="B163">
        <v>2810</v>
      </c>
      <c r="C163">
        <v>1.6</v>
      </c>
    </row>
    <row r="164" spans="1:5">
      <c r="B164">
        <v>2750</v>
      </c>
      <c r="C164">
        <v>0.7</v>
      </c>
    </row>
    <row r="165" spans="1:5">
      <c r="B165">
        <v>1800</v>
      </c>
      <c r="C165">
        <v>-9.5</v>
      </c>
    </row>
    <row r="166" spans="1:5">
      <c r="B166">
        <v>1840</v>
      </c>
      <c r="C166">
        <v>-9.1999999999999993</v>
      </c>
    </row>
    <row r="168" spans="1:5">
      <c r="B168" t="s">
        <v>64</v>
      </c>
      <c r="C168" s="49">
        <f>AVERAGE(C137:C166)</f>
        <v>-1.9966666666666664</v>
      </c>
      <c r="D168" s="49">
        <f>STDEV(C137:C166)</f>
        <v>4.0939386088867202</v>
      </c>
    </row>
    <row r="171" spans="1:5">
      <c r="A171" s="27" t="s">
        <v>27</v>
      </c>
      <c r="B171">
        <v>1920</v>
      </c>
      <c r="C171">
        <v>3.8</v>
      </c>
      <c r="E171" t="s">
        <v>231</v>
      </c>
    </row>
    <row r="172" spans="1:5">
      <c r="B172">
        <v>1918</v>
      </c>
      <c r="C172">
        <v>3.5</v>
      </c>
    </row>
    <row r="173" spans="1:5">
      <c r="B173">
        <v>1900</v>
      </c>
      <c r="C173">
        <v>0.09</v>
      </c>
    </row>
    <row r="174" spans="1:5">
      <c r="B174">
        <v>1920</v>
      </c>
      <c r="C174">
        <v>0.65</v>
      </c>
    </row>
    <row r="175" spans="1:5">
      <c r="B175">
        <v>1907</v>
      </c>
      <c r="C175">
        <v>0.1</v>
      </c>
    </row>
    <row r="176" spans="1:5">
      <c r="B176">
        <v>1910</v>
      </c>
      <c r="C176">
        <v>0.2</v>
      </c>
    </row>
    <row r="177" spans="2:3">
      <c r="B177">
        <v>1943</v>
      </c>
      <c r="C177">
        <v>0.01</v>
      </c>
    </row>
    <row r="178" spans="2:3">
      <c r="B178">
        <v>1926</v>
      </c>
      <c r="C178">
        <v>-1</v>
      </c>
    </row>
    <row r="179" spans="2:3">
      <c r="B179">
        <v>1925</v>
      </c>
      <c r="C179">
        <v>-1.3</v>
      </c>
    </row>
    <row r="180" spans="2:3">
      <c r="B180">
        <v>1900</v>
      </c>
      <c r="C180">
        <v>-1.8</v>
      </c>
    </row>
    <row r="181" spans="2:3">
      <c r="B181">
        <v>1935</v>
      </c>
      <c r="C181">
        <v>-2.2000000000000002</v>
      </c>
    </row>
    <row r="182" spans="2:3">
      <c r="B182">
        <v>1940</v>
      </c>
      <c r="C182">
        <v>-2.4</v>
      </c>
    </row>
    <row r="183" spans="2:3">
      <c r="B183">
        <v>1900</v>
      </c>
      <c r="C183">
        <v>-3</v>
      </c>
    </row>
    <row r="184" spans="2:3">
      <c r="B184">
        <v>1895</v>
      </c>
      <c r="C184">
        <v>-3.2</v>
      </c>
    </row>
    <row r="185" spans="2:3">
      <c r="B185">
        <v>1906</v>
      </c>
      <c r="C185">
        <v>-3.9</v>
      </c>
    </row>
    <row r="186" spans="2:3">
      <c r="B186">
        <v>1935</v>
      </c>
      <c r="C186">
        <v>3</v>
      </c>
    </row>
    <row r="187" spans="2:3">
      <c r="B187">
        <v>1950</v>
      </c>
      <c r="C187">
        <v>2.8</v>
      </c>
    </row>
    <row r="188" spans="2:3">
      <c r="B188">
        <v>1945</v>
      </c>
      <c r="C188">
        <v>1</v>
      </c>
    </row>
    <row r="189" spans="2:3">
      <c r="B189">
        <v>1930</v>
      </c>
      <c r="C189">
        <v>0.9</v>
      </c>
    </row>
    <row r="190" spans="2:3">
      <c r="B190">
        <v>1946</v>
      </c>
      <c r="C190">
        <v>0.8</v>
      </c>
    </row>
    <row r="191" spans="2:3">
      <c r="B191">
        <v>1948</v>
      </c>
      <c r="C191">
        <v>0.5</v>
      </c>
    </row>
    <row r="192" spans="2:3">
      <c r="B192">
        <v>1936</v>
      </c>
      <c r="C192">
        <v>0.1</v>
      </c>
    </row>
    <row r="193" spans="1:5">
      <c r="B193">
        <v>1938</v>
      </c>
      <c r="C193">
        <v>0.15</v>
      </c>
    </row>
    <row r="194" spans="1:5">
      <c r="B194">
        <v>1942</v>
      </c>
      <c r="C194">
        <v>-0.2</v>
      </c>
    </row>
    <row r="195" spans="1:5">
      <c r="B195">
        <v>1945</v>
      </c>
      <c r="C195">
        <v>-1.2</v>
      </c>
    </row>
    <row r="196" spans="1:5">
      <c r="B196">
        <v>1921</v>
      </c>
      <c r="C196">
        <v>-1.9</v>
      </c>
    </row>
    <row r="197" spans="1:5">
      <c r="B197">
        <v>1928</v>
      </c>
      <c r="C197">
        <v>-3</v>
      </c>
    </row>
    <row r="198" spans="1:5">
      <c r="B198">
        <v>1947</v>
      </c>
      <c r="C198">
        <v>-3.2</v>
      </c>
    </row>
    <row r="200" spans="1:5">
      <c r="B200" t="s">
        <v>64</v>
      </c>
      <c r="C200" s="49">
        <f>AVERAGE(C171:C198)</f>
        <v>-0.38214285714285723</v>
      </c>
      <c r="D200" s="49">
        <f>STDEV(C171:C198)</f>
        <v>2.0902265642621352</v>
      </c>
    </row>
    <row r="203" spans="1:5">
      <c r="A203" s="27" t="s">
        <v>308</v>
      </c>
      <c r="B203">
        <v>1900</v>
      </c>
      <c r="C203">
        <v>1.8</v>
      </c>
      <c r="E203" t="s">
        <v>309</v>
      </c>
    </row>
    <row r="204" spans="1:5">
      <c r="B204">
        <v>1900</v>
      </c>
      <c r="C204">
        <v>-1.3</v>
      </c>
    </row>
    <row r="205" spans="1:5">
      <c r="B205">
        <v>1800</v>
      </c>
      <c r="C205">
        <v>0.8</v>
      </c>
    </row>
    <row r="206" spans="1:5">
      <c r="B206">
        <v>1850</v>
      </c>
      <c r="C206">
        <v>-0.5</v>
      </c>
    </row>
    <row r="207" spans="1:5">
      <c r="B207">
        <v>1850</v>
      </c>
      <c r="C207">
        <v>0.9</v>
      </c>
    </row>
    <row r="208" spans="1:5">
      <c r="B208">
        <v>2000</v>
      </c>
      <c r="C208">
        <v>2.7</v>
      </c>
    </row>
    <row r="209" spans="1:5">
      <c r="B209">
        <v>2000</v>
      </c>
      <c r="C209">
        <v>3.3</v>
      </c>
    </row>
    <row r="210" spans="1:5">
      <c r="B210">
        <v>1900</v>
      </c>
      <c r="C210">
        <v>2.1</v>
      </c>
    </row>
    <row r="211" spans="1:5">
      <c r="B211">
        <v>1950</v>
      </c>
      <c r="C211">
        <v>-0.3</v>
      </c>
    </row>
    <row r="212" spans="1:5">
      <c r="B212">
        <v>1950</v>
      </c>
      <c r="C212">
        <v>-1.2</v>
      </c>
    </row>
    <row r="213" spans="1:5">
      <c r="B213">
        <v>2010</v>
      </c>
      <c r="C213">
        <v>1.5</v>
      </c>
    </row>
    <row r="214" spans="1:5">
      <c r="B214">
        <v>2023</v>
      </c>
      <c r="C214">
        <v>2.4</v>
      </c>
    </row>
    <row r="215" spans="1:5">
      <c r="B215">
        <v>2042</v>
      </c>
      <c r="C215">
        <v>1.8</v>
      </c>
    </row>
    <row r="216" spans="1:5">
      <c r="B216">
        <v>2010</v>
      </c>
      <c r="C216">
        <v>-1.9</v>
      </c>
    </row>
    <row r="218" spans="1:5">
      <c r="B218" t="s">
        <v>64</v>
      </c>
      <c r="C218" s="49">
        <f>AVERAGE(C203:C216)</f>
        <v>0.86428571428571443</v>
      </c>
      <c r="D218" s="49">
        <f>STDEV(C203:C216)</f>
        <v>1.6443877246595431</v>
      </c>
    </row>
    <row r="221" spans="1:5">
      <c r="A221" s="27" t="s">
        <v>310</v>
      </c>
      <c r="B221">
        <v>2096</v>
      </c>
      <c r="C221">
        <v>2</v>
      </c>
      <c r="E221" t="s">
        <v>311</v>
      </c>
    </row>
    <row r="222" spans="1:5">
      <c r="B222">
        <v>2100</v>
      </c>
      <c r="C222">
        <v>4</v>
      </c>
      <c r="E222" t="s">
        <v>312</v>
      </c>
    </row>
    <row r="223" spans="1:5">
      <c r="B223">
        <v>2086</v>
      </c>
      <c r="C223">
        <v>6</v>
      </c>
    </row>
    <row r="224" spans="1:5">
      <c r="B224">
        <v>2090</v>
      </c>
      <c r="C224">
        <v>5</v>
      </c>
    </row>
    <row r="225" spans="2:3">
      <c r="B225">
        <v>2077</v>
      </c>
      <c r="C225">
        <v>-1.4</v>
      </c>
    </row>
    <row r="226" spans="2:3">
      <c r="B226">
        <v>2080</v>
      </c>
      <c r="C226">
        <v>-0.52</v>
      </c>
    </row>
    <row r="227" spans="2:3">
      <c r="B227">
        <v>2060</v>
      </c>
      <c r="C227">
        <v>-0.68</v>
      </c>
    </row>
    <row r="228" spans="2:3">
      <c r="B228">
        <v>2090</v>
      </c>
      <c r="C228">
        <v>-1.1000000000000001</v>
      </c>
    </row>
    <row r="229" spans="2:3">
      <c r="B229">
        <v>2078</v>
      </c>
      <c r="C229">
        <v>-1.2</v>
      </c>
    </row>
    <row r="230" spans="2:3">
      <c r="B230">
        <v>2014</v>
      </c>
      <c r="C230">
        <v>0.48</v>
      </c>
    </row>
    <row r="231" spans="2:3">
      <c r="B231">
        <v>2022</v>
      </c>
      <c r="C231">
        <v>0.3</v>
      </c>
    </row>
    <row r="232" spans="2:3">
      <c r="B232">
        <v>2005</v>
      </c>
      <c r="C232">
        <v>0.8</v>
      </c>
    </row>
    <row r="233" spans="2:3">
      <c r="B233">
        <v>2017</v>
      </c>
      <c r="C233">
        <v>0.42</v>
      </c>
    </row>
    <row r="234" spans="2:3">
      <c r="B234">
        <v>2102</v>
      </c>
      <c r="C234">
        <v>5</v>
      </c>
    </row>
    <row r="235" spans="2:3">
      <c r="B235">
        <v>2109</v>
      </c>
      <c r="C235">
        <v>-5.2</v>
      </c>
    </row>
    <row r="236" spans="2:3">
      <c r="B236">
        <v>2100</v>
      </c>
      <c r="C236">
        <v>0.1</v>
      </c>
    </row>
    <row r="237" spans="2:3">
      <c r="B237">
        <v>2135</v>
      </c>
      <c r="C237">
        <v>0.7</v>
      </c>
    </row>
    <row r="238" spans="2:3">
      <c r="B238">
        <v>2123</v>
      </c>
      <c r="C238">
        <v>-4</v>
      </c>
    </row>
    <row r="239" spans="2:3">
      <c r="B239">
        <v>2096</v>
      </c>
      <c r="C239">
        <v>6</v>
      </c>
    </row>
    <row r="240" spans="2:3">
      <c r="B240">
        <v>2098</v>
      </c>
      <c r="C240">
        <v>3.6</v>
      </c>
    </row>
    <row r="241" spans="2:3">
      <c r="B241">
        <v>2097</v>
      </c>
      <c r="C241">
        <v>3.1</v>
      </c>
    </row>
    <row r="242" spans="2:3">
      <c r="B242">
        <v>2099</v>
      </c>
      <c r="C242">
        <v>2.4</v>
      </c>
    </row>
    <row r="243" spans="2:3">
      <c r="B243">
        <v>2100</v>
      </c>
      <c r="C243">
        <v>2.2000000000000002</v>
      </c>
    </row>
    <row r="244" spans="2:3">
      <c r="B244">
        <v>2102</v>
      </c>
      <c r="C244">
        <v>1.3</v>
      </c>
    </row>
    <row r="245" spans="2:3">
      <c r="B245">
        <v>2078</v>
      </c>
      <c r="C245">
        <v>-1</v>
      </c>
    </row>
    <row r="246" spans="2:3">
      <c r="B246">
        <v>2079</v>
      </c>
      <c r="C246">
        <v>-2.4</v>
      </c>
    </row>
    <row r="247" spans="2:3">
      <c r="B247">
        <v>2077</v>
      </c>
      <c r="C247">
        <v>-0.8</v>
      </c>
    </row>
    <row r="248" spans="2:3">
      <c r="B248">
        <v>2078</v>
      </c>
      <c r="C248">
        <v>-1.2</v>
      </c>
    </row>
    <row r="249" spans="2:3">
      <c r="B249">
        <v>2085</v>
      </c>
      <c r="C249">
        <v>-0.3</v>
      </c>
    </row>
    <row r="250" spans="2:3">
      <c r="B250">
        <v>2082</v>
      </c>
      <c r="C250">
        <v>-1.1000000000000001</v>
      </c>
    </row>
    <row r="251" spans="2:3">
      <c r="B251">
        <v>2800</v>
      </c>
      <c r="C251">
        <v>-2.8</v>
      </c>
    </row>
    <row r="252" spans="2:3">
      <c r="B252">
        <v>2798</v>
      </c>
      <c r="C252">
        <v>0.2</v>
      </c>
    </row>
    <row r="253" spans="2:3">
      <c r="B253">
        <v>2805</v>
      </c>
      <c r="C253">
        <v>-4</v>
      </c>
    </row>
    <row r="254" spans="2:3">
      <c r="B254">
        <v>2795</v>
      </c>
      <c r="C254">
        <v>-7.9</v>
      </c>
    </row>
    <row r="255" spans="2:3">
      <c r="B255">
        <v>2102</v>
      </c>
      <c r="C255">
        <v>2.2000000000000002</v>
      </c>
    </row>
    <row r="256" spans="2:3">
      <c r="B256">
        <v>2105</v>
      </c>
      <c r="C256">
        <v>5.2</v>
      </c>
    </row>
    <row r="257" spans="1:5">
      <c r="B257">
        <v>2106</v>
      </c>
      <c r="C257">
        <v>-5.3</v>
      </c>
    </row>
    <row r="258" spans="1:5">
      <c r="B258">
        <v>2111</v>
      </c>
      <c r="C258">
        <v>2.5</v>
      </c>
    </row>
    <row r="260" spans="1:5">
      <c r="B260" t="s">
        <v>64</v>
      </c>
      <c r="C260" s="49">
        <f>AVERAGE(C221:C258)</f>
        <v>0.33157894736842108</v>
      </c>
      <c r="D260" s="49">
        <f>STDEV(C221:C258)</f>
        <v>3.2272141163948698</v>
      </c>
    </row>
    <row r="262" spans="1:5">
      <c r="A262" s="27" t="s">
        <v>141</v>
      </c>
      <c r="B262">
        <v>2100</v>
      </c>
      <c r="C262">
        <v>-2.79</v>
      </c>
      <c r="E262" t="s">
        <v>342</v>
      </c>
    </row>
    <row r="263" spans="1:5">
      <c r="B263">
        <v>2105</v>
      </c>
      <c r="C263">
        <v>-2.95</v>
      </c>
    </row>
    <row r="264" spans="1:5">
      <c r="B264">
        <v>2135</v>
      </c>
      <c r="C264">
        <v>-3.89</v>
      </c>
    </row>
    <row r="265" spans="1:5">
      <c r="B265">
        <v>2124</v>
      </c>
      <c r="C265">
        <v>-2.2999999999999998</v>
      </c>
    </row>
    <row r="266" spans="1:5">
      <c r="B266">
        <v>2115</v>
      </c>
      <c r="C266">
        <v>-5.66</v>
      </c>
    </row>
    <row r="267" spans="1:5">
      <c r="B267">
        <v>2089</v>
      </c>
      <c r="C267">
        <v>-0.27</v>
      </c>
    </row>
    <row r="268" spans="1:5">
      <c r="B268">
        <v>2092</v>
      </c>
      <c r="C268">
        <v>-6.69</v>
      </c>
    </row>
    <row r="269" spans="1:5">
      <c r="B269">
        <v>2084</v>
      </c>
      <c r="C269">
        <v>-1.92</v>
      </c>
    </row>
    <row r="270" spans="1:5">
      <c r="B270">
        <v>2086</v>
      </c>
      <c r="C270">
        <v>-1.7</v>
      </c>
    </row>
    <row r="271" spans="1:5">
      <c r="B271">
        <v>2079</v>
      </c>
      <c r="C271">
        <v>-1.8</v>
      </c>
    </row>
    <row r="272" spans="1:5">
      <c r="B272">
        <v>2086</v>
      </c>
      <c r="C272">
        <v>-0.32</v>
      </c>
    </row>
    <row r="273" spans="1:4">
      <c r="B273">
        <v>2093</v>
      </c>
      <c r="C273">
        <v>-0.83</v>
      </c>
    </row>
    <row r="274" spans="1:4">
      <c r="B274">
        <v>2106</v>
      </c>
      <c r="C274">
        <v>-3.44</v>
      </c>
    </row>
    <row r="275" spans="1:4">
      <c r="B275">
        <v>2111</v>
      </c>
      <c r="C275">
        <v>-4.88</v>
      </c>
    </row>
    <row r="276" spans="1:4">
      <c r="B276">
        <v>2126</v>
      </c>
      <c r="C276">
        <v>-2.29</v>
      </c>
    </row>
    <row r="277" spans="1:4">
      <c r="B277">
        <v>2128</v>
      </c>
      <c r="C277">
        <v>-6.45</v>
      </c>
    </row>
    <row r="278" spans="1:4">
      <c r="B278">
        <v>2107</v>
      </c>
      <c r="C278">
        <v>-4.17</v>
      </c>
    </row>
    <row r="280" spans="1:4">
      <c r="B280" t="s">
        <v>64</v>
      </c>
      <c r="C280" s="49">
        <f>AVERAGE(C262:C278)</f>
        <v>-3.0794117647058825</v>
      </c>
      <c r="D280" s="49">
        <f>STDEV(C262:C278)</f>
        <v>1.9852155757884185</v>
      </c>
    </row>
    <row r="282" spans="1:4">
      <c r="A282" s="27" t="s">
        <v>66</v>
      </c>
      <c r="B282">
        <v>1900</v>
      </c>
      <c r="C282">
        <v>1.44</v>
      </c>
    </row>
    <row r="283" spans="1:4">
      <c r="B283">
        <v>1915</v>
      </c>
      <c r="C283">
        <v>-5.04</v>
      </c>
    </row>
    <row r="284" spans="1:4">
      <c r="B284">
        <v>1924</v>
      </c>
      <c r="C284">
        <v>-8.49</v>
      </c>
    </row>
    <row r="285" spans="1:4">
      <c r="B285">
        <v>1896</v>
      </c>
      <c r="C285">
        <v>-15.2</v>
      </c>
    </row>
    <row r="286" spans="1:4">
      <c r="B286">
        <v>1894</v>
      </c>
      <c r="C286">
        <v>-9.81</v>
      </c>
    </row>
    <row r="287" spans="1:4">
      <c r="B287">
        <v>1920</v>
      </c>
      <c r="C287">
        <v>2.16</v>
      </c>
    </row>
    <row r="288" spans="1:4">
      <c r="B288">
        <v>1888</v>
      </c>
      <c r="C288">
        <v>2.4</v>
      </c>
    </row>
    <row r="290" spans="1:7">
      <c r="B290" t="s">
        <v>64</v>
      </c>
      <c r="C290" s="49">
        <f>AVERAGE(C282:C288)</f>
        <v>-4.6485714285714286</v>
      </c>
      <c r="D290" s="49">
        <f>STDEV(C282:C288)</f>
        <v>6.9040143601903301</v>
      </c>
    </row>
    <row r="292" spans="1:7">
      <c r="A292" s="27" t="s">
        <v>67</v>
      </c>
      <c r="B292">
        <v>1880</v>
      </c>
      <c r="C292">
        <v>2.2000000000000002</v>
      </c>
      <c r="E292" t="s">
        <v>355</v>
      </c>
      <c r="G292" s="20"/>
    </row>
    <row r="293" spans="1:7">
      <c r="A293" s="29"/>
      <c r="B293">
        <v>1879</v>
      </c>
      <c r="C293">
        <v>-2</v>
      </c>
    </row>
    <row r="294" spans="1:7">
      <c r="A294" s="29"/>
      <c r="B294">
        <v>1885</v>
      </c>
      <c r="C294">
        <v>0.6</v>
      </c>
    </row>
    <row r="295" spans="1:7">
      <c r="A295" s="29"/>
      <c r="B295">
        <v>1877</v>
      </c>
      <c r="C295">
        <v>-3.3</v>
      </c>
    </row>
    <row r="296" spans="1:7">
      <c r="A296" s="29"/>
      <c r="B296">
        <v>1890</v>
      </c>
      <c r="C296">
        <v>-6.1</v>
      </c>
    </row>
    <row r="297" spans="1:7">
      <c r="A297" s="29"/>
      <c r="B297">
        <v>1886</v>
      </c>
      <c r="C297">
        <v>-7.6</v>
      </c>
    </row>
    <row r="298" spans="1:7">
      <c r="A298" s="29"/>
      <c r="B298">
        <v>1880</v>
      </c>
      <c r="C298">
        <v>-8.8000000000000007</v>
      </c>
    </row>
    <row r="299" spans="1:7">
      <c r="A299" s="29"/>
      <c r="B299">
        <v>1887</v>
      </c>
      <c r="C299">
        <v>-3.8</v>
      </c>
    </row>
    <row r="300" spans="1:7">
      <c r="A300" s="29"/>
      <c r="B300">
        <v>1850</v>
      </c>
      <c r="C300">
        <v>-1.5</v>
      </c>
    </row>
    <row r="301" spans="1:7">
      <c r="A301" s="29"/>
      <c r="B301">
        <v>1855</v>
      </c>
      <c r="C301">
        <v>-1.8</v>
      </c>
    </row>
    <row r="302" spans="1:7">
      <c r="A302" s="29"/>
      <c r="B302">
        <v>1856</v>
      </c>
      <c r="C302">
        <v>-4.3</v>
      </c>
    </row>
    <row r="303" spans="1:7">
      <c r="A303" s="29"/>
      <c r="B303">
        <v>1845</v>
      </c>
      <c r="C303">
        <v>-6.3</v>
      </c>
    </row>
    <row r="304" spans="1:7">
      <c r="A304" s="29"/>
      <c r="B304">
        <v>1859</v>
      </c>
      <c r="C304">
        <v>-3.2</v>
      </c>
    </row>
    <row r="305" spans="1:3">
      <c r="A305" s="29"/>
      <c r="B305">
        <v>1851</v>
      </c>
      <c r="C305">
        <v>-1.7</v>
      </c>
    </row>
    <row r="306" spans="1:3">
      <c r="A306" s="29"/>
      <c r="B306">
        <v>1855</v>
      </c>
      <c r="C306">
        <v>-8</v>
      </c>
    </row>
    <row r="307" spans="1:3">
      <c r="A307" s="29"/>
      <c r="B307">
        <v>1860</v>
      </c>
      <c r="C307">
        <v>-4.5999999999999996</v>
      </c>
    </row>
    <row r="308" spans="1:3">
      <c r="A308" s="29"/>
      <c r="B308">
        <v>1856</v>
      </c>
      <c r="C308">
        <v>-4.7</v>
      </c>
    </row>
    <row r="309" spans="1:3">
      <c r="A309" s="29"/>
      <c r="B309">
        <v>1858</v>
      </c>
      <c r="C309">
        <v>-4.9000000000000004</v>
      </c>
    </row>
    <row r="310" spans="1:3">
      <c r="A310" s="29"/>
      <c r="B310">
        <v>1860</v>
      </c>
      <c r="C310">
        <v>-5.0999999999999996</v>
      </c>
    </row>
    <row r="311" spans="1:3">
      <c r="A311" s="29"/>
      <c r="B311">
        <v>1850</v>
      </c>
      <c r="C311">
        <v>-1.6</v>
      </c>
    </row>
    <row r="312" spans="1:3">
      <c r="A312" s="29"/>
      <c r="B312">
        <v>1854</v>
      </c>
      <c r="C312">
        <v>-2</v>
      </c>
    </row>
    <row r="313" spans="1:3">
      <c r="A313" s="29"/>
      <c r="B313">
        <v>1856</v>
      </c>
      <c r="C313">
        <v>-7.1</v>
      </c>
    </row>
    <row r="314" spans="1:3">
      <c r="A314" s="29"/>
      <c r="B314">
        <v>1850</v>
      </c>
      <c r="C314">
        <v>-7.2</v>
      </c>
    </row>
    <row r="315" spans="1:3">
      <c r="A315" s="29"/>
      <c r="B315">
        <v>1847</v>
      </c>
      <c r="C315">
        <v>-2.4</v>
      </c>
    </row>
    <row r="316" spans="1:3">
      <c r="A316" s="29"/>
      <c r="B316">
        <v>1855</v>
      </c>
      <c r="C316">
        <v>-2.8</v>
      </c>
    </row>
    <row r="317" spans="1:3">
      <c r="A317" s="29"/>
      <c r="B317">
        <v>1881</v>
      </c>
      <c r="C317">
        <v>-4.8</v>
      </c>
    </row>
    <row r="318" spans="1:3">
      <c r="A318" s="29"/>
      <c r="B318">
        <v>1843</v>
      </c>
      <c r="C318">
        <v>-1</v>
      </c>
    </row>
    <row r="319" spans="1:3">
      <c r="A319" s="29"/>
      <c r="B319">
        <v>1855</v>
      </c>
      <c r="C319">
        <v>-3.2</v>
      </c>
    </row>
    <row r="320" spans="1:3">
      <c r="A320" s="29"/>
      <c r="B320">
        <v>2020</v>
      </c>
      <c r="C320">
        <v>1.8</v>
      </c>
    </row>
    <row r="321" spans="2:7">
      <c r="B321">
        <v>2021</v>
      </c>
      <c r="C321">
        <v>1.3</v>
      </c>
    </row>
    <row r="322" spans="2:7">
      <c r="B322">
        <v>1855</v>
      </c>
      <c r="C322">
        <v>-0.3</v>
      </c>
      <c r="G322" s="20"/>
    </row>
    <row r="323" spans="2:7">
      <c r="B323">
        <v>2000</v>
      </c>
      <c r="C323" s="20">
        <v>-1.1000000000000001</v>
      </c>
      <c r="G323" s="20"/>
    </row>
    <row r="324" spans="2:7">
      <c r="B324">
        <v>2050</v>
      </c>
      <c r="C324" s="20">
        <v>-2.1</v>
      </c>
      <c r="G324" s="20"/>
    </row>
    <row r="325" spans="2:7">
      <c r="B325">
        <v>1894</v>
      </c>
      <c r="C325" s="20">
        <v>-6</v>
      </c>
      <c r="G325" s="20"/>
    </row>
    <row r="326" spans="2:7">
      <c r="B326">
        <v>1860</v>
      </c>
      <c r="C326" s="20">
        <v>2.2000000000000002</v>
      </c>
      <c r="G326" s="20"/>
    </row>
    <row r="327" spans="2:7">
      <c r="B327">
        <v>1865</v>
      </c>
      <c r="C327" s="20">
        <v>-2</v>
      </c>
      <c r="G327" s="20"/>
    </row>
    <row r="328" spans="2:7">
      <c r="B328">
        <v>1882</v>
      </c>
      <c r="C328" s="20">
        <v>0.6</v>
      </c>
      <c r="G328" s="20"/>
    </row>
    <row r="329" spans="2:7">
      <c r="B329">
        <v>1875</v>
      </c>
      <c r="C329" s="20">
        <v>-3.3</v>
      </c>
      <c r="G329" s="20"/>
    </row>
    <row r="330" spans="2:7">
      <c r="B330">
        <v>1869</v>
      </c>
      <c r="C330" s="20">
        <v>-6.1</v>
      </c>
      <c r="G330" s="20"/>
    </row>
    <row r="331" spans="2:7">
      <c r="B331">
        <v>1854</v>
      </c>
      <c r="C331" s="20">
        <v>-7.6</v>
      </c>
      <c r="G331" s="20"/>
    </row>
    <row r="332" spans="2:7">
      <c r="B332">
        <v>1855</v>
      </c>
      <c r="C332" s="20">
        <v>-8.8000000000000007</v>
      </c>
      <c r="G332" s="20"/>
    </row>
    <row r="333" spans="2:7">
      <c r="B333">
        <v>1854</v>
      </c>
      <c r="C333" s="20">
        <v>-3.8</v>
      </c>
      <c r="G333" s="20"/>
    </row>
    <row r="334" spans="2:7">
      <c r="B334">
        <v>1848</v>
      </c>
      <c r="C334" s="20">
        <v>-1.5</v>
      </c>
      <c r="G334" s="20"/>
    </row>
    <row r="335" spans="2:7">
      <c r="B335">
        <v>1857</v>
      </c>
      <c r="C335" s="20">
        <v>-1.8</v>
      </c>
      <c r="G335" s="20"/>
    </row>
    <row r="336" spans="2:7">
      <c r="B336">
        <v>1850</v>
      </c>
      <c r="C336" s="20">
        <v>-4.3</v>
      </c>
      <c r="G336" s="20"/>
    </row>
    <row r="337" spans="2:7">
      <c r="B337">
        <v>1854</v>
      </c>
      <c r="C337" s="20">
        <v>-6.3</v>
      </c>
      <c r="G337" s="20"/>
    </row>
    <row r="338" spans="2:7">
      <c r="B338">
        <v>1847</v>
      </c>
      <c r="C338" s="20">
        <v>-3.2</v>
      </c>
      <c r="G338" s="20"/>
    </row>
    <row r="339" spans="2:7">
      <c r="B339">
        <v>1837</v>
      </c>
      <c r="C339" s="20">
        <v>-1.7</v>
      </c>
      <c r="G339" s="20"/>
    </row>
    <row r="340" spans="2:7">
      <c r="B340">
        <v>1839</v>
      </c>
      <c r="C340" s="20">
        <v>-8</v>
      </c>
      <c r="G340" s="20"/>
    </row>
    <row r="341" spans="2:7">
      <c r="B341">
        <v>1860</v>
      </c>
      <c r="C341" s="20">
        <v>-4.5999999999999996</v>
      </c>
      <c r="G341" s="20"/>
    </row>
    <row r="342" spans="2:7">
      <c r="B342">
        <v>1865</v>
      </c>
      <c r="C342" s="20">
        <v>-4.7</v>
      </c>
      <c r="G342" s="20"/>
    </row>
    <row r="343" spans="2:7">
      <c r="B343">
        <v>1854</v>
      </c>
      <c r="C343" s="20">
        <v>-4.9000000000000004</v>
      </c>
      <c r="G343" s="20"/>
    </row>
    <row r="344" spans="2:7">
      <c r="B344">
        <v>1872</v>
      </c>
      <c r="C344" s="20">
        <v>-5.0999999999999996</v>
      </c>
      <c r="G344" s="20"/>
    </row>
    <row r="345" spans="2:7">
      <c r="B345">
        <v>1869</v>
      </c>
      <c r="C345" s="20">
        <v>-5.0999999999999996</v>
      </c>
      <c r="G345" s="20"/>
    </row>
    <row r="346" spans="2:7">
      <c r="B346">
        <v>1842</v>
      </c>
      <c r="C346" s="20">
        <v>-5.5</v>
      </c>
      <c r="G346" s="20"/>
    </row>
    <row r="347" spans="2:7">
      <c r="B347">
        <v>1859</v>
      </c>
      <c r="C347" s="20">
        <v>-7.5</v>
      </c>
      <c r="G347" s="20"/>
    </row>
    <row r="348" spans="2:7">
      <c r="B348">
        <v>1855</v>
      </c>
      <c r="C348" s="20">
        <v>-6.9</v>
      </c>
      <c r="G348" s="20"/>
    </row>
    <row r="349" spans="2:7">
      <c r="B349">
        <v>1862</v>
      </c>
      <c r="C349" s="20">
        <v>-6.9</v>
      </c>
      <c r="G349" s="20"/>
    </row>
    <row r="350" spans="2:7">
      <c r="B350">
        <v>1855</v>
      </c>
      <c r="C350" s="20">
        <v>-1.6</v>
      </c>
      <c r="G350" s="20"/>
    </row>
    <row r="351" spans="2:7">
      <c r="B351">
        <v>1850</v>
      </c>
      <c r="C351" s="20">
        <v>-2</v>
      </c>
      <c r="G351" s="20"/>
    </row>
    <row r="352" spans="2:7">
      <c r="B352">
        <v>1856</v>
      </c>
      <c r="C352" s="20">
        <v>-3.7</v>
      </c>
      <c r="G352" s="20"/>
    </row>
    <row r="353" spans="1:7">
      <c r="B353">
        <v>1892</v>
      </c>
      <c r="C353" s="20">
        <v>-5.2</v>
      </c>
      <c r="G353" s="20"/>
    </row>
    <row r="354" spans="1:7">
      <c r="B354">
        <v>1823</v>
      </c>
      <c r="C354" s="20">
        <v>-5.9</v>
      </c>
      <c r="G354" s="20"/>
    </row>
    <row r="355" spans="1:7">
      <c r="B355">
        <v>1864</v>
      </c>
      <c r="C355" s="20">
        <v>-6.3</v>
      </c>
      <c r="G355" s="20"/>
    </row>
    <row r="356" spans="1:7">
      <c r="B356">
        <v>1857</v>
      </c>
      <c r="C356" s="20">
        <v>-6.3</v>
      </c>
      <c r="G356" s="20"/>
    </row>
    <row r="357" spans="1:7">
      <c r="B357">
        <v>1850</v>
      </c>
      <c r="C357" s="20">
        <v>-9.1999999999999993</v>
      </c>
      <c r="G357" s="20"/>
    </row>
    <row r="358" spans="1:7">
      <c r="C358" s="20"/>
      <c r="G358" s="20"/>
    </row>
    <row r="359" spans="1:7">
      <c r="B359" t="s">
        <v>64</v>
      </c>
      <c r="C359" s="49">
        <f>AVERAGE(C292:C357)</f>
        <v>-3.9454545454545458</v>
      </c>
      <c r="D359" s="49">
        <f>STDEV(C292:C357)</f>
        <v>2.8060474154764545</v>
      </c>
      <c r="G359" s="20"/>
    </row>
    <row r="360" spans="1:7">
      <c r="G360" s="20"/>
    </row>
    <row r="361" spans="1:7">
      <c r="G361" s="20"/>
    </row>
    <row r="362" spans="1:7">
      <c r="G362" s="20"/>
    </row>
    <row r="363" spans="1:7">
      <c r="A363" s="27" t="s">
        <v>196</v>
      </c>
      <c r="B363">
        <v>1822</v>
      </c>
      <c r="C363">
        <v>-5.0999999999999996</v>
      </c>
      <c r="E363" t="s">
        <v>330</v>
      </c>
      <c r="G363" s="20"/>
    </row>
    <row r="364" spans="1:7">
      <c r="B364">
        <v>1820</v>
      </c>
      <c r="C364">
        <v>-5.01</v>
      </c>
      <c r="E364" t="s">
        <v>192</v>
      </c>
      <c r="G364" s="20"/>
    </row>
    <row r="365" spans="1:7">
      <c r="B365">
        <v>1835</v>
      </c>
      <c r="C365">
        <v>-4.9800000000000004</v>
      </c>
    </row>
    <row r="366" spans="1:7">
      <c r="B366">
        <v>1800</v>
      </c>
      <c r="C366">
        <v>-5.12</v>
      </c>
    </row>
    <row r="367" spans="1:7">
      <c r="B367">
        <v>1815</v>
      </c>
      <c r="C367">
        <v>-4.8</v>
      </c>
    </row>
    <row r="368" spans="1:7">
      <c r="B368">
        <v>1820</v>
      </c>
      <c r="C368">
        <v>-7.89</v>
      </c>
    </row>
    <row r="370" spans="1:5">
      <c r="B370" t="s">
        <v>64</v>
      </c>
      <c r="C370" s="49">
        <v>-5.5</v>
      </c>
      <c r="D370" s="49">
        <f>STDEV(C363:C368)</f>
        <v>1.1845111509254214</v>
      </c>
    </row>
    <row r="372" spans="1:5">
      <c r="A372" s="27" t="s">
        <v>193</v>
      </c>
      <c r="E372" t="s">
        <v>263</v>
      </c>
    </row>
    <row r="375" spans="1:5">
      <c r="A375" s="27" t="s">
        <v>75</v>
      </c>
      <c r="B375">
        <v>1760</v>
      </c>
      <c r="C375">
        <v>-5</v>
      </c>
      <c r="E375" t="s">
        <v>345</v>
      </c>
    </row>
    <row r="376" spans="1:5">
      <c r="B376">
        <v>1765</v>
      </c>
      <c r="C376">
        <v>-4.2</v>
      </c>
    </row>
    <row r="377" spans="1:5">
      <c r="B377">
        <v>1762</v>
      </c>
      <c r="C377">
        <v>-4</v>
      </c>
    </row>
    <row r="378" spans="1:5">
      <c r="B378">
        <v>1755</v>
      </c>
      <c r="C378">
        <v>-3.7</v>
      </c>
    </row>
    <row r="379" spans="1:5">
      <c r="B379">
        <v>1758</v>
      </c>
      <c r="C379">
        <v>-3.6</v>
      </c>
    </row>
    <row r="380" spans="1:5">
      <c r="B380">
        <v>1769</v>
      </c>
      <c r="C380">
        <v>-3</v>
      </c>
    </row>
    <row r="381" spans="1:5">
      <c r="B381">
        <v>1754</v>
      </c>
      <c r="C381">
        <v>-2.8</v>
      </c>
    </row>
    <row r="382" spans="1:5">
      <c r="B382">
        <v>1763</v>
      </c>
      <c r="C382">
        <v>-2.2000000000000002</v>
      </c>
    </row>
    <row r="383" spans="1:5">
      <c r="B383">
        <v>1766</v>
      </c>
      <c r="C383">
        <v>-2.5</v>
      </c>
    </row>
    <row r="384" spans="1:5">
      <c r="B384">
        <v>1751</v>
      </c>
      <c r="C384">
        <v>-1.5</v>
      </c>
    </row>
    <row r="385" spans="2:3">
      <c r="B385">
        <v>1764</v>
      </c>
      <c r="C385">
        <v>-1.2</v>
      </c>
    </row>
    <row r="386" spans="2:3">
      <c r="B386">
        <v>1756</v>
      </c>
      <c r="C386">
        <v>-0.5</v>
      </c>
    </row>
    <row r="387" spans="2:3">
      <c r="B387">
        <v>1759</v>
      </c>
      <c r="C387">
        <v>-0.4</v>
      </c>
    </row>
    <row r="388" spans="2:3">
      <c r="B388">
        <v>1754</v>
      </c>
      <c r="C388">
        <v>-0.1</v>
      </c>
    </row>
    <row r="389" spans="2:3">
      <c r="B389">
        <v>1765</v>
      </c>
      <c r="C389">
        <v>0.5</v>
      </c>
    </row>
    <row r="390" spans="2:3">
      <c r="B390">
        <v>1780</v>
      </c>
      <c r="C390">
        <v>-4.9000000000000004</v>
      </c>
    </row>
    <row r="391" spans="2:3">
      <c r="B391">
        <v>1785</v>
      </c>
      <c r="C391">
        <v>-4.3</v>
      </c>
    </row>
    <row r="392" spans="2:3">
      <c r="B392">
        <v>1786</v>
      </c>
      <c r="C392">
        <v>-3.3</v>
      </c>
    </row>
    <row r="393" spans="2:3">
      <c r="B393">
        <v>1777</v>
      </c>
      <c r="C393">
        <v>-3.2</v>
      </c>
    </row>
    <row r="394" spans="2:3">
      <c r="B394">
        <v>1779</v>
      </c>
      <c r="C394">
        <v>-3</v>
      </c>
    </row>
    <row r="395" spans="2:3">
      <c r="B395">
        <v>1780</v>
      </c>
      <c r="C395">
        <v>-3.2</v>
      </c>
    </row>
    <row r="396" spans="2:3">
      <c r="B396">
        <v>1775</v>
      </c>
      <c r="C396">
        <v>-2.2000000000000002</v>
      </c>
    </row>
    <row r="397" spans="2:3">
      <c r="B397">
        <v>1779</v>
      </c>
      <c r="C397">
        <v>-2.1</v>
      </c>
    </row>
    <row r="398" spans="2:3">
      <c r="B398">
        <v>1785</v>
      </c>
      <c r="C398">
        <v>-1.5</v>
      </c>
    </row>
    <row r="399" spans="2:3">
      <c r="B399">
        <v>1786</v>
      </c>
      <c r="C399">
        <v>-1.3</v>
      </c>
    </row>
    <row r="400" spans="2:3">
      <c r="B400">
        <v>1792</v>
      </c>
      <c r="C400">
        <v>-1</v>
      </c>
    </row>
    <row r="401" spans="1:5">
      <c r="B401">
        <v>1795</v>
      </c>
      <c r="C401">
        <v>-0.9</v>
      </c>
    </row>
    <row r="403" spans="1:5">
      <c r="B403" t="s">
        <v>64</v>
      </c>
      <c r="C403" s="49">
        <f>AVERAGE(C375:C401)</f>
        <v>-2.4111111111111114</v>
      </c>
      <c r="D403" s="49">
        <f>STDEV(C375:C401)</f>
        <v>1.4998290500877687</v>
      </c>
    </row>
    <row r="405" spans="1:5">
      <c r="A405" s="27" t="s">
        <v>211</v>
      </c>
      <c r="B405">
        <v>1700</v>
      </c>
      <c r="C405">
        <v>-3.8</v>
      </c>
      <c r="E405" t="s">
        <v>345</v>
      </c>
    </row>
    <row r="406" spans="1:5">
      <c r="B406">
        <v>1710</v>
      </c>
      <c r="C406">
        <v>-3.8</v>
      </c>
      <c r="E406" t="s">
        <v>346</v>
      </c>
    </row>
    <row r="407" spans="1:5">
      <c r="B407">
        <v>1720</v>
      </c>
      <c r="C407">
        <v>-3.6</v>
      </c>
    </row>
    <row r="408" spans="1:5">
      <c r="B408">
        <v>1698</v>
      </c>
      <c r="C408">
        <v>-3.9</v>
      </c>
    </row>
    <row r="409" spans="1:5">
      <c r="B409">
        <v>1673</v>
      </c>
      <c r="C409">
        <v>-4.3</v>
      </c>
    </row>
    <row r="410" spans="1:5">
      <c r="B410">
        <v>1720</v>
      </c>
      <c r="C410">
        <v>-7</v>
      </c>
    </row>
    <row r="411" spans="1:5">
      <c r="B411">
        <v>1730</v>
      </c>
      <c r="C411">
        <v>-6.3</v>
      </c>
    </row>
    <row r="412" spans="1:5">
      <c r="B412">
        <v>1700</v>
      </c>
      <c r="C412">
        <v>-6.8</v>
      </c>
    </row>
    <row r="413" spans="1:5">
      <c r="B413">
        <v>1743</v>
      </c>
      <c r="C413">
        <v>-6.2</v>
      </c>
    </row>
    <row r="414" spans="1:5">
      <c r="B414">
        <v>1701</v>
      </c>
      <c r="C414">
        <v>-6.3</v>
      </c>
    </row>
    <row r="415" spans="1:5">
      <c r="B415">
        <v>1712</v>
      </c>
      <c r="C415">
        <v>-6</v>
      </c>
    </row>
    <row r="416" spans="1:5">
      <c r="B416">
        <v>1732</v>
      </c>
      <c r="C416">
        <v>-5.2</v>
      </c>
    </row>
    <row r="417" spans="2:3">
      <c r="B417">
        <v>1726</v>
      </c>
      <c r="C417">
        <v>-5.3</v>
      </c>
    </row>
    <row r="418" spans="2:3">
      <c r="B418">
        <v>1702</v>
      </c>
      <c r="C418">
        <v>-5</v>
      </c>
    </row>
    <row r="419" spans="2:3">
      <c r="B419">
        <v>1741</v>
      </c>
      <c r="C419">
        <v>-4.5</v>
      </c>
    </row>
    <row r="420" spans="2:3">
      <c r="B420">
        <v>1706</v>
      </c>
      <c r="C420">
        <v>-3.5</v>
      </c>
    </row>
    <row r="421" spans="2:3">
      <c r="B421">
        <v>1730</v>
      </c>
      <c r="C421">
        <v>-6.2</v>
      </c>
    </row>
    <row r="422" spans="2:3">
      <c r="B422">
        <v>1745</v>
      </c>
      <c r="C422">
        <v>-5.5</v>
      </c>
    </row>
    <row r="423" spans="2:3">
      <c r="B423">
        <v>1740</v>
      </c>
      <c r="C423">
        <v>-5</v>
      </c>
    </row>
    <row r="424" spans="2:3">
      <c r="B424">
        <v>1739</v>
      </c>
      <c r="C424">
        <v>-4.8</v>
      </c>
    </row>
    <row r="425" spans="2:3">
      <c r="B425">
        <v>1740</v>
      </c>
      <c r="C425">
        <v>-4</v>
      </c>
    </row>
    <row r="426" spans="2:3">
      <c r="B426">
        <v>1732</v>
      </c>
      <c r="C426">
        <v>-3.3</v>
      </c>
    </row>
    <row r="427" spans="2:3">
      <c r="B427">
        <v>1728</v>
      </c>
      <c r="C427">
        <v>-3</v>
      </c>
    </row>
    <row r="428" spans="2:3">
      <c r="B428">
        <v>1725</v>
      </c>
      <c r="C428">
        <v>-9</v>
      </c>
    </row>
    <row r="429" spans="2:3">
      <c r="B429">
        <v>1732</v>
      </c>
      <c r="C429">
        <v>-8.5</v>
      </c>
    </row>
    <row r="430" spans="2:3">
      <c r="B430">
        <v>1736</v>
      </c>
      <c r="C430">
        <v>-7</v>
      </c>
    </row>
    <row r="431" spans="2:3">
      <c r="B431">
        <v>1720</v>
      </c>
      <c r="C431">
        <v>-7.5</v>
      </c>
    </row>
    <row r="433" spans="1:5">
      <c r="B433" t="s">
        <v>64</v>
      </c>
      <c r="C433" s="49">
        <f>AVERAGE(C405:C431)</f>
        <v>-5.3814814814814822</v>
      </c>
      <c r="D433" s="49">
        <f>STDEV(C405:C431)</f>
        <v>1.598325334418456</v>
      </c>
    </row>
    <row r="436" spans="1:5">
      <c r="A436" s="27" t="s">
        <v>212</v>
      </c>
      <c r="B436">
        <v>1600</v>
      </c>
      <c r="C436">
        <v>-5.2</v>
      </c>
      <c r="E436" t="s">
        <v>238</v>
      </c>
    </row>
    <row r="437" spans="1:5">
      <c r="B437">
        <v>1650</v>
      </c>
      <c r="C437">
        <v>-6.1</v>
      </c>
      <c r="E437" t="s">
        <v>177</v>
      </c>
    </row>
    <row r="438" spans="1:5">
      <c r="B438">
        <v>1645</v>
      </c>
      <c r="C438">
        <v>-6</v>
      </c>
    </row>
    <row r="439" spans="1:5">
      <c r="B439">
        <v>1603</v>
      </c>
      <c r="C439">
        <v>-5.4</v>
      </c>
    </row>
    <row r="440" spans="1:5">
      <c r="B440">
        <v>1632</v>
      </c>
      <c r="C440">
        <v>-4.5</v>
      </c>
    </row>
    <row r="441" spans="1:5">
      <c r="B441">
        <v>1620</v>
      </c>
      <c r="C441">
        <v>-4.3</v>
      </c>
    </row>
    <row r="442" spans="1:5">
      <c r="B442">
        <v>1590</v>
      </c>
      <c r="C442">
        <v>-4.4000000000000004</v>
      </c>
    </row>
    <row r="443" spans="1:5">
      <c r="B443">
        <v>1587</v>
      </c>
      <c r="C443">
        <v>-3.8</v>
      </c>
    </row>
    <row r="444" spans="1:5">
      <c r="B444">
        <v>1530</v>
      </c>
      <c r="C444">
        <v>-4.5999999999999996</v>
      </c>
    </row>
    <row r="445" spans="1:5">
      <c r="B445">
        <v>1565</v>
      </c>
      <c r="C445">
        <v>-5.3</v>
      </c>
    </row>
    <row r="446" spans="1:5">
      <c r="B446">
        <v>1599</v>
      </c>
      <c r="C446">
        <v>-7</v>
      </c>
    </row>
    <row r="447" spans="1:5">
      <c r="B447">
        <v>1600</v>
      </c>
      <c r="C447">
        <v>-4.8</v>
      </c>
    </row>
    <row r="448" spans="1:5">
      <c r="B448">
        <v>1650</v>
      </c>
      <c r="C448">
        <v>-1.4</v>
      </c>
    </row>
    <row r="449" spans="1:5">
      <c r="B449">
        <v>1655</v>
      </c>
      <c r="C449">
        <v>-0.5</v>
      </c>
    </row>
    <row r="450" spans="1:5">
      <c r="B450">
        <v>1643</v>
      </c>
      <c r="C450">
        <v>0</v>
      </c>
    </row>
    <row r="451" spans="1:5">
      <c r="B451">
        <v>1648</v>
      </c>
      <c r="C451">
        <v>-1.8</v>
      </c>
    </row>
    <row r="452" spans="1:5">
      <c r="B452">
        <v>1659</v>
      </c>
      <c r="C452">
        <v>-0.7</v>
      </c>
    </row>
    <row r="453" spans="1:5">
      <c r="B453">
        <v>1690</v>
      </c>
      <c r="C453">
        <v>-4.9000000000000004</v>
      </c>
    </row>
    <row r="454" spans="1:5">
      <c r="B454">
        <v>1678</v>
      </c>
      <c r="C454">
        <v>-4.4000000000000004</v>
      </c>
    </row>
    <row r="455" spans="1:5">
      <c r="B455">
        <v>1687</v>
      </c>
      <c r="C455">
        <v>-3.9</v>
      </c>
    </row>
    <row r="456" spans="1:5">
      <c r="B456">
        <v>1695</v>
      </c>
      <c r="C456">
        <v>-4.2</v>
      </c>
    </row>
    <row r="458" spans="1:5">
      <c r="B458" t="s">
        <v>64</v>
      </c>
      <c r="C458" s="49">
        <f>AVERAGE(C436:C456)</f>
        <v>-3.9619047619047629</v>
      </c>
      <c r="D458" s="49">
        <f>STDEV(C436:C456)</f>
        <v>1.9464008298590982</v>
      </c>
    </row>
    <row r="460" spans="1:5">
      <c r="A460" s="27" t="s">
        <v>216</v>
      </c>
      <c r="B460">
        <v>2000</v>
      </c>
      <c r="C460">
        <v>-9.1999999999999993</v>
      </c>
      <c r="E460" t="s">
        <v>178</v>
      </c>
    </row>
    <row r="461" spans="1:5">
      <c r="B461">
        <v>2040</v>
      </c>
      <c r="C461">
        <v>-9.5</v>
      </c>
    </row>
    <row r="462" spans="1:5">
      <c r="B462">
        <v>2050</v>
      </c>
      <c r="C462">
        <v>-9</v>
      </c>
    </row>
    <row r="463" spans="1:5">
      <c r="B463">
        <v>2035</v>
      </c>
      <c r="C463">
        <v>-8.8000000000000007</v>
      </c>
    </row>
    <row r="464" spans="1:5">
      <c r="B464">
        <v>2036</v>
      </c>
      <c r="C464">
        <v>-8.6999999999999993</v>
      </c>
    </row>
    <row r="465" spans="2:4">
      <c r="B465">
        <v>2014</v>
      </c>
      <c r="C465">
        <v>-8.1999999999999993</v>
      </c>
    </row>
    <row r="466" spans="2:4">
      <c r="B466">
        <v>2018</v>
      </c>
      <c r="C466">
        <v>-8</v>
      </c>
    </row>
    <row r="467" spans="2:4">
      <c r="B467">
        <v>2068</v>
      </c>
      <c r="C467">
        <v>-7.6</v>
      </c>
    </row>
    <row r="468" spans="2:4">
      <c r="B468">
        <v>2054</v>
      </c>
      <c r="C468">
        <v>-7.2</v>
      </c>
    </row>
    <row r="469" spans="2:4">
      <c r="B469">
        <v>2059</v>
      </c>
      <c r="C469">
        <v>-7</v>
      </c>
    </row>
    <row r="470" spans="2:4">
      <c r="B470">
        <v>2034</v>
      </c>
      <c r="C470">
        <v>-6.8</v>
      </c>
    </row>
    <row r="471" spans="2:4">
      <c r="B471">
        <v>2015</v>
      </c>
      <c r="C471">
        <v>-6.4</v>
      </c>
    </row>
    <row r="472" spans="2:4">
      <c r="B472">
        <v>2001</v>
      </c>
      <c r="C472">
        <v>-6.3</v>
      </c>
    </row>
    <row r="473" spans="2:4">
      <c r="B473">
        <v>2014</v>
      </c>
      <c r="C473">
        <v>-6</v>
      </c>
    </row>
    <row r="474" spans="2:4">
      <c r="B474">
        <v>2026</v>
      </c>
      <c r="C474">
        <v>-5.8</v>
      </c>
    </row>
    <row r="475" spans="2:4">
      <c r="B475">
        <v>2046</v>
      </c>
      <c r="C475">
        <v>-5.2</v>
      </c>
    </row>
    <row r="476" spans="2:4">
      <c r="B476">
        <v>2089</v>
      </c>
      <c r="C476">
        <v>-5</v>
      </c>
    </row>
    <row r="478" spans="2:4">
      <c r="B478" t="s">
        <v>64</v>
      </c>
      <c r="C478" s="49">
        <f>AVERAGE(C460:C476)</f>
        <v>-7.3352941176470594</v>
      </c>
      <c r="D478" s="49">
        <f>STDEV(C460:C476)</f>
        <v>1.430009255420478</v>
      </c>
    </row>
  </sheetData>
  <phoneticPr fontId="1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3:G457"/>
  <sheetViews>
    <sheetView topLeftCell="A2" workbookViewId="0">
      <pane xSplit="5460" ySplit="2496" activePane="bottomRight"/>
      <selection activeCell="D329" sqref="D329"/>
      <selection pane="topRight" activeCell="G2" sqref="G1:G1048576"/>
      <selection pane="bottomLeft" activeCell="A40" sqref="A40"/>
      <selection pane="bottomRight" activeCell="G23" sqref="G23"/>
    </sheetView>
  </sheetViews>
  <sheetFormatPr defaultColWidth="11.07421875" defaultRowHeight="15.6"/>
  <cols>
    <col min="1" max="1" width="14" customWidth="1"/>
    <col min="2" max="2" width="14.84375" customWidth="1"/>
    <col min="3" max="3" width="16.15234375" customWidth="1"/>
    <col min="4" max="4" width="15.23046875" customWidth="1"/>
    <col min="5" max="5" width="15" customWidth="1"/>
    <col min="6" max="6" width="18" customWidth="1"/>
    <col min="7" max="7" width="49.23046875" customWidth="1"/>
  </cols>
  <sheetData>
    <row r="3" spans="1:7">
      <c r="A3" s="28" t="s">
        <v>356</v>
      </c>
      <c r="B3" s="2"/>
      <c r="C3" s="2"/>
    </row>
    <row r="6" spans="1:7">
      <c r="B6" s="30" t="s">
        <v>320</v>
      </c>
      <c r="C6" s="30" t="s">
        <v>321</v>
      </c>
      <c r="D6" s="30" t="s">
        <v>322</v>
      </c>
      <c r="E6" s="30" t="s">
        <v>321</v>
      </c>
      <c r="F6" s="30" t="s">
        <v>219</v>
      </c>
      <c r="G6" s="30" t="s">
        <v>46</v>
      </c>
    </row>
    <row r="8" spans="1:7">
      <c r="B8" s="31" t="s">
        <v>162</v>
      </c>
      <c r="C8" s="32"/>
      <c r="D8" s="32" t="s">
        <v>302</v>
      </c>
      <c r="E8" s="32"/>
      <c r="F8" s="33" t="s">
        <v>69</v>
      </c>
    </row>
    <row r="9" spans="1:7">
      <c r="A9" s="27" t="s">
        <v>70</v>
      </c>
      <c r="B9">
        <v>1860</v>
      </c>
      <c r="C9">
        <v>1922</v>
      </c>
      <c r="D9">
        <v>1906</v>
      </c>
      <c r="E9">
        <v>1845</v>
      </c>
      <c r="F9">
        <v>2615</v>
      </c>
      <c r="G9" t="s">
        <v>273</v>
      </c>
    </row>
    <row r="10" spans="1:7">
      <c r="B10">
        <v>1823</v>
      </c>
      <c r="C10">
        <v>1874</v>
      </c>
      <c r="D10">
        <v>1903</v>
      </c>
      <c r="E10">
        <v>1847</v>
      </c>
      <c r="F10">
        <v>2730</v>
      </c>
      <c r="G10" t="s">
        <v>207</v>
      </c>
    </row>
    <row r="11" spans="1:7">
      <c r="B11">
        <v>1848</v>
      </c>
      <c r="C11">
        <v>1876</v>
      </c>
      <c r="D11">
        <v>1901</v>
      </c>
      <c r="E11">
        <v>1858</v>
      </c>
      <c r="F11">
        <v>2620</v>
      </c>
      <c r="G11" t="s">
        <v>163</v>
      </c>
    </row>
    <row r="12" spans="1:7">
      <c r="B12">
        <v>1863</v>
      </c>
      <c r="C12">
        <v>1893</v>
      </c>
      <c r="D12">
        <v>1886</v>
      </c>
      <c r="E12">
        <v>1850</v>
      </c>
      <c r="F12">
        <v>2630</v>
      </c>
      <c r="G12" t="s">
        <v>343</v>
      </c>
    </row>
    <row r="13" spans="1:7">
      <c r="B13">
        <v>1850</v>
      </c>
      <c r="C13">
        <v>1881</v>
      </c>
      <c r="D13">
        <v>1880</v>
      </c>
      <c r="E13">
        <v>1856</v>
      </c>
      <c r="F13">
        <v>2518</v>
      </c>
      <c r="G13" t="s">
        <v>25</v>
      </c>
    </row>
    <row r="14" spans="1:7">
      <c r="B14">
        <v>1850</v>
      </c>
      <c r="C14">
        <v>1888</v>
      </c>
      <c r="D14">
        <v>1889</v>
      </c>
      <c r="E14">
        <v>1826</v>
      </c>
      <c r="F14">
        <v>2497</v>
      </c>
      <c r="G14" t="s">
        <v>323</v>
      </c>
    </row>
    <row r="15" spans="1:7">
      <c r="B15">
        <v>1859</v>
      </c>
      <c r="C15">
        <v>1885</v>
      </c>
      <c r="D15">
        <v>1886</v>
      </c>
      <c r="E15">
        <v>1837</v>
      </c>
      <c r="F15">
        <v>2006</v>
      </c>
    </row>
    <row r="16" spans="1:7">
      <c r="B16">
        <v>1836</v>
      </c>
      <c r="C16">
        <v>1867</v>
      </c>
      <c r="D16">
        <v>1880</v>
      </c>
      <c r="E16">
        <v>1842</v>
      </c>
      <c r="F16">
        <v>2460</v>
      </c>
    </row>
    <row r="17" spans="2:6">
      <c r="B17">
        <v>1852</v>
      </c>
      <c r="C17">
        <v>1879</v>
      </c>
      <c r="D17">
        <v>1864</v>
      </c>
      <c r="E17">
        <v>1838</v>
      </c>
      <c r="F17">
        <v>2263</v>
      </c>
    </row>
    <row r="18" spans="2:6">
      <c r="B18">
        <v>1852</v>
      </c>
      <c r="C18">
        <v>1882</v>
      </c>
      <c r="D18">
        <v>1864</v>
      </c>
      <c r="E18">
        <v>1834</v>
      </c>
      <c r="F18">
        <v>2431</v>
      </c>
    </row>
    <row r="19" spans="2:6">
      <c r="B19">
        <v>1848</v>
      </c>
      <c r="C19">
        <v>1879</v>
      </c>
      <c r="D19">
        <v>1876</v>
      </c>
      <c r="E19">
        <v>1831</v>
      </c>
      <c r="F19">
        <v>2422</v>
      </c>
    </row>
    <row r="20" spans="2:6">
      <c r="B20">
        <v>1848</v>
      </c>
      <c r="C20">
        <v>1880</v>
      </c>
      <c r="D20">
        <v>1870</v>
      </c>
      <c r="E20">
        <v>1837</v>
      </c>
      <c r="F20">
        <v>2443</v>
      </c>
    </row>
    <row r="21" spans="2:6">
      <c r="B21">
        <v>1852</v>
      </c>
      <c r="C21">
        <v>1849</v>
      </c>
      <c r="D21">
        <v>1866</v>
      </c>
      <c r="E21">
        <v>1807</v>
      </c>
      <c r="F21">
        <v>2455</v>
      </c>
    </row>
    <row r="22" spans="2:6">
      <c r="B22">
        <v>1856</v>
      </c>
      <c r="C22">
        <v>1852</v>
      </c>
      <c r="D22">
        <v>1869</v>
      </c>
      <c r="E22">
        <v>1819</v>
      </c>
      <c r="F22">
        <v>2434</v>
      </c>
    </row>
    <row r="23" spans="2:6">
      <c r="B23">
        <v>1855</v>
      </c>
      <c r="C23">
        <v>1876</v>
      </c>
      <c r="E23">
        <v>1799</v>
      </c>
      <c r="F23">
        <v>2580</v>
      </c>
    </row>
    <row r="24" spans="2:6">
      <c r="B24">
        <v>1830</v>
      </c>
      <c r="C24">
        <v>1888</v>
      </c>
      <c r="E24">
        <v>1801</v>
      </c>
      <c r="F24">
        <v>2580</v>
      </c>
    </row>
    <row r="25" spans="2:6">
      <c r="B25">
        <v>1855</v>
      </c>
      <c r="C25">
        <v>1881</v>
      </c>
      <c r="E25">
        <v>1799</v>
      </c>
      <c r="F25">
        <v>2587</v>
      </c>
    </row>
    <row r="26" spans="2:6">
      <c r="B26">
        <v>1853</v>
      </c>
      <c r="C26">
        <v>1893</v>
      </c>
      <c r="F26">
        <v>3117</v>
      </c>
    </row>
    <row r="27" spans="2:6">
      <c r="B27">
        <v>1837</v>
      </c>
      <c r="C27">
        <v>1862</v>
      </c>
    </row>
    <row r="28" spans="2:6">
      <c r="B28">
        <v>1859</v>
      </c>
      <c r="C28">
        <v>1866</v>
      </c>
    </row>
    <row r="29" spans="2:6">
      <c r="B29">
        <v>1855</v>
      </c>
    </row>
    <row r="30" spans="2:6">
      <c r="B30">
        <v>1834</v>
      </c>
    </row>
    <row r="31" spans="2:6">
      <c r="B31">
        <v>1853</v>
      </c>
    </row>
    <row r="32" spans="2:6">
      <c r="B32">
        <v>1825</v>
      </c>
    </row>
    <row r="33" spans="2:7">
      <c r="B33">
        <v>1825</v>
      </c>
    </row>
    <row r="34" spans="2:7">
      <c r="B34">
        <v>1808</v>
      </c>
    </row>
    <row r="42" spans="2:7">
      <c r="B42" s="34" t="s">
        <v>100</v>
      </c>
      <c r="C42" s="34"/>
      <c r="D42" s="5" t="s">
        <v>101</v>
      </c>
      <c r="E42" s="5" t="s">
        <v>102</v>
      </c>
      <c r="F42" s="5" t="s">
        <v>103</v>
      </c>
    </row>
    <row r="43" spans="2:7">
      <c r="B43" t="s">
        <v>206</v>
      </c>
      <c r="C43" s="5">
        <v>30</v>
      </c>
      <c r="D43" s="5">
        <v>25</v>
      </c>
      <c r="E43" s="5">
        <v>20</v>
      </c>
      <c r="F43" s="5">
        <v>0</v>
      </c>
    </row>
    <row r="44" spans="2:7">
      <c r="B44" t="s">
        <v>13</v>
      </c>
      <c r="C44" s="5">
        <v>60</v>
      </c>
      <c r="D44" s="5">
        <v>17</v>
      </c>
      <c r="E44" s="5">
        <v>17</v>
      </c>
      <c r="F44" s="5">
        <v>0</v>
      </c>
    </row>
    <row r="45" spans="2:7">
      <c r="B45" t="s">
        <v>22</v>
      </c>
      <c r="C45" s="5">
        <v>10</v>
      </c>
      <c r="D45" s="5">
        <v>3</v>
      </c>
      <c r="E45" s="5">
        <v>0</v>
      </c>
      <c r="F45" s="5">
        <v>18</v>
      </c>
      <c r="G45" t="s">
        <v>23</v>
      </c>
    </row>
    <row r="46" spans="2:7">
      <c r="B46" t="s">
        <v>24</v>
      </c>
      <c r="D46">
        <f>(0.3*D43)+(0.6*D44)+(0.1*D45)</f>
        <v>18</v>
      </c>
      <c r="E46">
        <f t="shared" ref="E46" si="0">(0.3*E43)+(0.6*E44)+(0.1*E45)</f>
        <v>16.2</v>
      </c>
      <c r="F46">
        <f>(0.3*F43)+(0.6*F44)+(0.1*F45)</f>
        <v>1.8</v>
      </c>
    </row>
    <row r="47" spans="2:7">
      <c r="B47" t="s">
        <v>166</v>
      </c>
      <c r="D47" s="35">
        <f>(D46/(D46+E46+F46))*100</f>
        <v>50</v>
      </c>
      <c r="E47" s="35">
        <f>(E46/(D46+E46+F46))*100</f>
        <v>44.999999999999993</v>
      </c>
      <c r="F47" s="35">
        <f>(F46/(D46+E46+F46))*100</f>
        <v>5</v>
      </c>
    </row>
    <row r="48" spans="2:7">
      <c r="D48" s="36">
        <f>SUM(D43:D45)</f>
        <v>45</v>
      </c>
      <c r="E48" s="36">
        <f t="shared" ref="E48:F48" si="1">SUM(E43:E45)</f>
        <v>37</v>
      </c>
      <c r="F48" s="36">
        <f t="shared" si="1"/>
        <v>18</v>
      </c>
    </row>
    <row r="49" spans="1:7">
      <c r="B49" t="s">
        <v>229</v>
      </c>
      <c r="D49" s="35">
        <f>(D48/($D48+$E48+$F48))*100</f>
        <v>45</v>
      </c>
      <c r="E49" s="35">
        <f t="shared" ref="E49:F49" si="2">(E48/($D48+$E48+$F48))*100</f>
        <v>37</v>
      </c>
      <c r="F49" s="35">
        <f t="shared" si="2"/>
        <v>18</v>
      </c>
    </row>
    <row r="50" spans="1:7">
      <c r="B50" s="34" t="s">
        <v>230</v>
      </c>
      <c r="C50" s="37"/>
    </row>
    <row r="51" spans="1:7">
      <c r="B51" t="s">
        <v>206</v>
      </c>
      <c r="C51" s="5">
        <v>25</v>
      </c>
    </row>
    <row r="52" spans="1:7">
      <c r="B52" t="s">
        <v>13</v>
      </c>
      <c r="C52" s="5">
        <v>48</v>
      </c>
    </row>
    <row r="53" spans="1:7">
      <c r="B53" t="s">
        <v>339</v>
      </c>
      <c r="C53" s="5">
        <v>27</v>
      </c>
    </row>
    <row r="54" spans="1:7">
      <c r="B54" t="s">
        <v>82</v>
      </c>
      <c r="D54" s="35">
        <v>40</v>
      </c>
      <c r="E54" s="35">
        <v>33</v>
      </c>
      <c r="F54" s="35">
        <v>27</v>
      </c>
      <c r="G54" t="s">
        <v>214</v>
      </c>
    </row>
    <row r="57" spans="1:7">
      <c r="A57" s="27" t="s">
        <v>215</v>
      </c>
      <c r="B57">
        <v>1971</v>
      </c>
      <c r="C57">
        <v>1986</v>
      </c>
      <c r="F57">
        <v>3076</v>
      </c>
      <c r="G57" t="s">
        <v>152</v>
      </c>
    </row>
    <row r="58" spans="1:7">
      <c r="B58">
        <v>1962</v>
      </c>
      <c r="C58">
        <v>1971</v>
      </c>
      <c r="F58">
        <v>2562</v>
      </c>
      <c r="G58" t="s">
        <v>153</v>
      </c>
    </row>
    <row r="59" spans="1:7">
      <c r="B59">
        <v>1959</v>
      </c>
      <c r="C59">
        <v>2140</v>
      </c>
      <c r="F59">
        <v>2335</v>
      </c>
    </row>
    <row r="60" spans="1:7">
      <c r="B60">
        <v>1963</v>
      </c>
      <c r="F60">
        <v>2295</v>
      </c>
    </row>
    <row r="61" spans="1:7">
      <c r="B61">
        <v>1938</v>
      </c>
      <c r="F61">
        <v>2393</v>
      </c>
    </row>
    <row r="62" spans="1:7">
      <c r="B62">
        <v>1934</v>
      </c>
      <c r="F62">
        <v>2138</v>
      </c>
    </row>
    <row r="63" spans="1:7">
      <c r="B63">
        <v>1933</v>
      </c>
      <c r="F63">
        <v>2330</v>
      </c>
    </row>
    <row r="64" spans="1:7">
      <c r="B64">
        <v>1936</v>
      </c>
      <c r="F64">
        <v>2382</v>
      </c>
    </row>
    <row r="65" spans="1:7">
      <c r="F65">
        <v>3186</v>
      </c>
    </row>
    <row r="76" spans="1:7">
      <c r="A76" s="27" t="s">
        <v>348</v>
      </c>
      <c r="F76">
        <v>2180</v>
      </c>
      <c r="G76" t="s">
        <v>152</v>
      </c>
    </row>
    <row r="77" spans="1:7">
      <c r="F77">
        <v>2300</v>
      </c>
    </row>
    <row r="78" spans="1:7">
      <c r="F78">
        <v>2333</v>
      </c>
    </row>
    <row r="79" spans="1:7">
      <c r="F79">
        <v>2490</v>
      </c>
    </row>
    <row r="81" spans="1:7">
      <c r="A81" s="27" t="s">
        <v>108</v>
      </c>
      <c r="B81">
        <v>1812</v>
      </c>
      <c r="C81">
        <v>1873</v>
      </c>
      <c r="F81">
        <v>2698</v>
      </c>
      <c r="G81" t="s">
        <v>47</v>
      </c>
    </row>
    <row r="82" spans="1:7">
      <c r="B82">
        <v>1813</v>
      </c>
      <c r="C82">
        <v>1876</v>
      </c>
      <c r="F82">
        <v>2707</v>
      </c>
    </row>
    <row r="83" spans="1:7">
      <c r="B83">
        <v>1819</v>
      </c>
      <c r="C83">
        <v>1887</v>
      </c>
      <c r="F83">
        <v>2690</v>
      </c>
    </row>
    <row r="84" spans="1:7">
      <c r="B84">
        <v>1806</v>
      </c>
      <c r="C84">
        <v>1870</v>
      </c>
    </row>
    <row r="85" spans="1:7">
      <c r="B85">
        <v>1799</v>
      </c>
      <c r="C85">
        <v>1883</v>
      </c>
    </row>
    <row r="86" spans="1:7">
      <c r="C86">
        <v>1870</v>
      </c>
    </row>
    <row r="87" spans="1:7">
      <c r="C87">
        <v>1940</v>
      </c>
    </row>
    <row r="89" spans="1:7">
      <c r="A89" s="27" t="s">
        <v>123</v>
      </c>
      <c r="C89">
        <v>1910</v>
      </c>
      <c r="F89">
        <v>2784</v>
      </c>
      <c r="G89" t="s">
        <v>35</v>
      </c>
    </row>
    <row r="90" spans="1:7">
      <c r="C90">
        <v>1895</v>
      </c>
      <c r="F90">
        <v>2761</v>
      </c>
      <c r="G90" t="s">
        <v>336</v>
      </c>
    </row>
    <row r="91" spans="1:7">
      <c r="C91">
        <v>1891</v>
      </c>
      <c r="F91">
        <v>2784</v>
      </c>
    </row>
    <row r="92" spans="1:7">
      <c r="C92">
        <v>1890</v>
      </c>
      <c r="F92">
        <v>2726</v>
      </c>
    </row>
    <row r="93" spans="1:7">
      <c r="C93">
        <v>1869</v>
      </c>
      <c r="F93">
        <v>2751</v>
      </c>
    </row>
    <row r="94" spans="1:7">
      <c r="C94">
        <v>1864</v>
      </c>
      <c r="F94">
        <v>2757</v>
      </c>
    </row>
    <row r="95" spans="1:7">
      <c r="C95">
        <v>1877</v>
      </c>
    </row>
    <row r="96" spans="1:7">
      <c r="C96">
        <v>1831</v>
      </c>
    </row>
    <row r="103" spans="1:7">
      <c r="A103" s="27" t="s">
        <v>257</v>
      </c>
      <c r="B103">
        <v>1850</v>
      </c>
      <c r="C103">
        <v>1900</v>
      </c>
      <c r="E103">
        <v>2100</v>
      </c>
      <c r="F103">
        <v>2740</v>
      </c>
      <c r="G103" t="s">
        <v>258</v>
      </c>
    </row>
    <row r="104" spans="1:7">
      <c r="B104">
        <v>1840</v>
      </c>
      <c r="C104">
        <v>1920</v>
      </c>
      <c r="E104">
        <v>2105</v>
      </c>
      <c r="F104">
        <v>2750</v>
      </c>
      <c r="G104" t="s">
        <v>317</v>
      </c>
    </row>
    <row r="105" spans="1:7">
      <c r="B105">
        <v>1867</v>
      </c>
      <c r="C105">
        <v>1890</v>
      </c>
      <c r="E105">
        <v>2005</v>
      </c>
      <c r="F105">
        <v>2800</v>
      </c>
      <c r="G105" t="s">
        <v>146</v>
      </c>
    </row>
    <row r="106" spans="1:7">
      <c r="B106">
        <v>1848</v>
      </c>
      <c r="C106">
        <v>1900</v>
      </c>
      <c r="F106">
        <v>2850</v>
      </c>
    </row>
    <row r="107" spans="1:7">
      <c r="B107">
        <v>1870</v>
      </c>
      <c r="C107">
        <v>1910</v>
      </c>
      <c r="F107">
        <v>3000</v>
      </c>
    </row>
    <row r="108" spans="1:7">
      <c r="C108">
        <v>1905</v>
      </c>
      <c r="F108">
        <v>2700</v>
      </c>
    </row>
    <row r="109" spans="1:7">
      <c r="C109">
        <v>1880</v>
      </c>
      <c r="F109">
        <v>2650</v>
      </c>
    </row>
    <row r="110" spans="1:7">
      <c r="C110">
        <v>1873</v>
      </c>
      <c r="F110">
        <v>2750</v>
      </c>
    </row>
    <row r="111" spans="1:7">
      <c r="C111">
        <v>1874</v>
      </c>
      <c r="F111">
        <v>3035</v>
      </c>
    </row>
    <row r="112" spans="1:7">
      <c r="C112">
        <v>1921</v>
      </c>
      <c r="F112">
        <v>2727</v>
      </c>
    </row>
    <row r="113" spans="3:6">
      <c r="C113">
        <v>1913</v>
      </c>
      <c r="F113">
        <v>2717</v>
      </c>
    </row>
    <row r="114" spans="3:6">
      <c r="C114">
        <v>1921</v>
      </c>
      <c r="F114">
        <v>2728</v>
      </c>
    </row>
    <row r="115" spans="3:6">
      <c r="F115">
        <v>2666</v>
      </c>
    </row>
    <row r="116" spans="3:6">
      <c r="F116">
        <v>2812</v>
      </c>
    </row>
    <row r="117" spans="3:6">
      <c r="F117">
        <v>2874</v>
      </c>
    </row>
    <row r="118" spans="3:6">
      <c r="F118">
        <v>2850</v>
      </c>
    </row>
    <row r="119" spans="3:6">
      <c r="F119">
        <v>2840</v>
      </c>
    </row>
    <row r="120" spans="3:6">
      <c r="F120">
        <v>2778</v>
      </c>
    </row>
    <row r="121" spans="3:6">
      <c r="F121">
        <v>2787</v>
      </c>
    </row>
    <row r="122" spans="3:6">
      <c r="F122">
        <v>2765</v>
      </c>
    </row>
    <row r="123" spans="3:6">
      <c r="F123">
        <v>2753</v>
      </c>
    </row>
    <row r="124" spans="3:6">
      <c r="F124">
        <v>2731</v>
      </c>
    </row>
    <row r="125" spans="3:6">
      <c r="F125">
        <v>2814</v>
      </c>
    </row>
    <row r="126" spans="3:6">
      <c r="F126">
        <v>2763</v>
      </c>
    </row>
    <row r="127" spans="3:6">
      <c r="F127">
        <v>2693</v>
      </c>
    </row>
    <row r="128" spans="3:6">
      <c r="F128">
        <v>2717</v>
      </c>
    </row>
    <row r="129" spans="1:7">
      <c r="F129">
        <v>2498</v>
      </c>
    </row>
    <row r="131" spans="1:7">
      <c r="A131" s="27" t="s">
        <v>147</v>
      </c>
      <c r="B131">
        <v>1897</v>
      </c>
    </row>
    <row r="132" spans="1:7">
      <c r="B132">
        <v>1869</v>
      </c>
      <c r="F132">
        <v>2827</v>
      </c>
      <c r="G132" t="s">
        <v>11</v>
      </c>
    </row>
    <row r="133" spans="1:7">
      <c r="B133">
        <v>1848</v>
      </c>
      <c r="F133">
        <v>2719</v>
      </c>
    </row>
    <row r="134" spans="1:7">
      <c r="F134">
        <v>2738</v>
      </c>
    </row>
    <row r="135" spans="1:7">
      <c r="F135">
        <v>2720</v>
      </c>
    </row>
    <row r="137" spans="1:7">
      <c r="A137" s="27" t="s">
        <v>232</v>
      </c>
      <c r="B137">
        <v>1910</v>
      </c>
      <c r="C137">
        <v>1961</v>
      </c>
      <c r="F137">
        <v>2722</v>
      </c>
      <c r="G137" t="s">
        <v>233</v>
      </c>
    </row>
    <row r="138" spans="1:7">
      <c r="B138">
        <v>1905</v>
      </c>
      <c r="C138">
        <v>1944</v>
      </c>
      <c r="F138">
        <v>2695</v>
      </c>
    </row>
    <row r="139" spans="1:7">
      <c r="B139">
        <v>1909</v>
      </c>
      <c r="C139">
        <v>2031</v>
      </c>
      <c r="F139">
        <v>2791</v>
      </c>
    </row>
    <row r="140" spans="1:7">
      <c r="B140">
        <v>1908</v>
      </c>
      <c r="C140">
        <v>1994</v>
      </c>
      <c r="F140">
        <v>2769</v>
      </c>
    </row>
    <row r="141" spans="1:7">
      <c r="B141">
        <v>1891</v>
      </c>
      <c r="C141">
        <v>1979</v>
      </c>
      <c r="F141">
        <v>2748</v>
      </c>
    </row>
    <row r="142" spans="1:7">
      <c r="B142">
        <v>1889</v>
      </c>
      <c r="C142">
        <v>1972</v>
      </c>
      <c r="F142">
        <v>2739</v>
      </c>
    </row>
    <row r="143" spans="1:7">
      <c r="B143">
        <v>1887</v>
      </c>
      <c r="C143">
        <v>1970</v>
      </c>
      <c r="F143">
        <v>2718</v>
      </c>
    </row>
    <row r="144" spans="1:7">
      <c r="B144">
        <v>1887</v>
      </c>
      <c r="C144">
        <v>1964</v>
      </c>
      <c r="F144">
        <v>2717</v>
      </c>
    </row>
    <row r="145" spans="1:7">
      <c r="B145">
        <v>1920</v>
      </c>
      <c r="C145">
        <v>1960</v>
      </c>
      <c r="F145">
        <v>2714</v>
      </c>
    </row>
    <row r="146" spans="1:7">
      <c r="B146">
        <v>1917</v>
      </c>
      <c r="C146">
        <v>1960</v>
      </c>
      <c r="F146">
        <v>2742</v>
      </c>
    </row>
    <row r="147" spans="1:7">
      <c r="B147">
        <v>1919</v>
      </c>
      <c r="C147">
        <v>1950</v>
      </c>
      <c r="F147">
        <v>2722</v>
      </c>
    </row>
    <row r="148" spans="1:7">
      <c r="B148">
        <v>1916</v>
      </c>
      <c r="C148">
        <v>1950</v>
      </c>
      <c r="F148">
        <v>2699</v>
      </c>
    </row>
    <row r="149" spans="1:7">
      <c r="C149">
        <v>1949</v>
      </c>
      <c r="F149">
        <v>2689</v>
      </c>
    </row>
    <row r="150" spans="1:7">
      <c r="C150">
        <v>1940</v>
      </c>
      <c r="F150">
        <v>2683</v>
      </c>
    </row>
    <row r="151" spans="1:7">
      <c r="C151">
        <v>1930</v>
      </c>
      <c r="F151">
        <v>2673</v>
      </c>
    </row>
    <row r="153" spans="1:7">
      <c r="A153" s="27" t="s">
        <v>307</v>
      </c>
      <c r="B153">
        <v>1790</v>
      </c>
      <c r="C153">
        <v>1935</v>
      </c>
      <c r="F153">
        <v>2455</v>
      </c>
      <c r="G153" t="s">
        <v>340</v>
      </c>
    </row>
    <row r="154" spans="1:7">
      <c r="B154">
        <v>1792</v>
      </c>
      <c r="C154">
        <v>1853</v>
      </c>
    </row>
    <row r="155" spans="1:7">
      <c r="B155">
        <v>1787</v>
      </c>
      <c r="C155">
        <v>1843</v>
      </c>
    </row>
    <row r="156" spans="1:7">
      <c r="B156">
        <v>1777</v>
      </c>
      <c r="C156">
        <v>1871</v>
      </c>
    </row>
    <row r="157" spans="1:7">
      <c r="C157">
        <v>1858</v>
      </c>
    </row>
    <row r="158" spans="1:7">
      <c r="C158">
        <v>1857</v>
      </c>
    </row>
    <row r="159" spans="1:7">
      <c r="C159">
        <v>1855</v>
      </c>
    </row>
    <row r="160" spans="1:7">
      <c r="C160">
        <v>1856</v>
      </c>
    </row>
    <row r="161" spans="1:7">
      <c r="C161">
        <v>1833</v>
      </c>
    </row>
    <row r="162" spans="1:7">
      <c r="C162">
        <v>1828</v>
      </c>
    </row>
    <row r="163" spans="1:7">
      <c r="C163">
        <v>1940</v>
      </c>
    </row>
    <row r="164" spans="1:7">
      <c r="C164">
        <v>1852</v>
      </c>
    </row>
    <row r="165" spans="1:7">
      <c r="C165">
        <v>1846</v>
      </c>
    </row>
    <row r="166" spans="1:7">
      <c r="C166">
        <v>1959</v>
      </c>
    </row>
    <row r="167" spans="1:7">
      <c r="C167">
        <v>1954</v>
      </c>
    </row>
    <row r="168" spans="1:7">
      <c r="C168">
        <v>2065</v>
      </c>
    </row>
    <row r="169" spans="1:7">
      <c r="C169">
        <v>2024</v>
      </c>
    </row>
    <row r="170" spans="1:7">
      <c r="C170">
        <v>1956</v>
      </c>
    </row>
    <row r="171" spans="1:7">
      <c r="C171">
        <v>2162</v>
      </c>
    </row>
    <row r="172" spans="1:7">
      <c r="C172">
        <v>1810</v>
      </c>
    </row>
    <row r="173" spans="1:7">
      <c r="C173">
        <v>1816</v>
      </c>
    </row>
    <row r="175" spans="1:7">
      <c r="A175" s="27" t="s">
        <v>341</v>
      </c>
      <c r="B175">
        <v>2021</v>
      </c>
      <c r="C175">
        <v>2096</v>
      </c>
      <c r="G175" t="s">
        <v>110</v>
      </c>
    </row>
    <row r="176" spans="1:7">
      <c r="B176">
        <v>2045</v>
      </c>
      <c r="C176">
        <v>2104</v>
      </c>
      <c r="G176" t="s">
        <v>111</v>
      </c>
    </row>
    <row r="177" spans="1:7">
      <c r="B177">
        <v>2022</v>
      </c>
      <c r="C177">
        <v>2076</v>
      </c>
    </row>
    <row r="178" spans="1:7">
      <c r="B178">
        <v>2050</v>
      </c>
      <c r="C178">
        <v>2060</v>
      </c>
    </row>
    <row r="179" spans="1:7">
      <c r="C179">
        <v>2080</v>
      </c>
    </row>
    <row r="180" spans="1:7">
      <c r="C180">
        <v>2078</v>
      </c>
    </row>
    <row r="181" spans="1:7">
      <c r="C181">
        <v>2096</v>
      </c>
    </row>
    <row r="182" spans="1:7">
      <c r="C182">
        <v>2102</v>
      </c>
    </row>
    <row r="185" spans="1:7">
      <c r="A185" s="27" t="s">
        <v>37</v>
      </c>
      <c r="B185">
        <v>2026</v>
      </c>
      <c r="C185">
        <v>2126</v>
      </c>
      <c r="F185">
        <v>2776</v>
      </c>
      <c r="G185" t="s">
        <v>38</v>
      </c>
    </row>
    <row r="186" spans="1:7">
      <c r="B186">
        <v>1985</v>
      </c>
      <c r="C186">
        <v>2066</v>
      </c>
      <c r="F186">
        <v>2800</v>
      </c>
    </row>
    <row r="187" spans="1:7">
      <c r="B187">
        <v>2016</v>
      </c>
      <c r="C187">
        <v>2055</v>
      </c>
      <c r="F187">
        <v>2836</v>
      </c>
    </row>
    <row r="188" spans="1:7">
      <c r="B188">
        <v>2044</v>
      </c>
      <c r="C188">
        <v>2071</v>
      </c>
      <c r="F188">
        <v>3113</v>
      </c>
    </row>
    <row r="189" spans="1:7">
      <c r="B189">
        <v>2045</v>
      </c>
      <c r="C189">
        <v>2058</v>
      </c>
      <c r="F189">
        <v>2576</v>
      </c>
    </row>
    <row r="190" spans="1:7">
      <c r="B190">
        <v>2015</v>
      </c>
      <c r="C190">
        <v>2060</v>
      </c>
      <c r="F190">
        <v>2483</v>
      </c>
    </row>
    <row r="191" spans="1:7">
      <c r="B191">
        <v>1987</v>
      </c>
      <c r="C191">
        <v>2054</v>
      </c>
      <c r="F191">
        <v>2753</v>
      </c>
    </row>
    <row r="192" spans="1:7">
      <c r="B192">
        <v>2004</v>
      </c>
      <c r="C192">
        <v>2072</v>
      </c>
      <c r="F192">
        <v>2789</v>
      </c>
    </row>
    <row r="193" spans="2:6">
      <c r="B193">
        <v>2035</v>
      </c>
      <c r="C193">
        <v>2078</v>
      </c>
      <c r="F193">
        <v>2833</v>
      </c>
    </row>
    <row r="194" spans="2:6">
      <c r="B194">
        <v>2028</v>
      </c>
      <c r="C194">
        <v>2062</v>
      </c>
      <c r="F194">
        <v>2752</v>
      </c>
    </row>
    <row r="195" spans="2:6">
      <c r="B195">
        <v>2019</v>
      </c>
      <c r="C195">
        <v>2076</v>
      </c>
      <c r="F195">
        <v>2538</v>
      </c>
    </row>
    <row r="196" spans="2:6">
      <c r="B196">
        <v>2007</v>
      </c>
      <c r="C196">
        <v>2056</v>
      </c>
      <c r="F196">
        <v>2761</v>
      </c>
    </row>
    <row r="197" spans="2:6">
      <c r="B197">
        <v>2017</v>
      </c>
      <c r="C197">
        <v>2060</v>
      </c>
    </row>
    <row r="198" spans="2:6">
      <c r="B198">
        <v>2036</v>
      </c>
      <c r="C198">
        <v>2050</v>
      </c>
    </row>
    <row r="199" spans="2:6">
      <c r="B199">
        <v>2017</v>
      </c>
      <c r="C199">
        <v>2066</v>
      </c>
    </row>
    <row r="200" spans="2:6">
      <c r="B200">
        <v>1981</v>
      </c>
      <c r="C200">
        <v>2073</v>
      </c>
    </row>
    <row r="201" spans="2:6">
      <c r="B201">
        <v>2016</v>
      </c>
      <c r="C201">
        <v>2069</v>
      </c>
    </row>
    <row r="202" spans="2:6">
      <c r="B202">
        <v>2040</v>
      </c>
      <c r="C202">
        <v>2059</v>
      </c>
    </row>
    <row r="203" spans="2:6">
      <c r="B203">
        <v>2043</v>
      </c>
      <c r="C203">
        <v>2051</v>
      </c>
    </row>
    <row r="204" spans="2:6">
      <c r="B204">
        <v>1993</v>
      </c>
      <c r="C204">
        <v>2062</v>
      </c>
    </row>
    <row r="205" spans="2:6">
      <c r="B205">
        <v>1986</v>
      </c>
      <c r="C205">
        <v>2068</v>
      </c>
    </row>
    <row r="206" spans="2:6">
      <c r="B206">
        <v>2047</v>
      </c>
    </row>
    <row r="207" spans="2:6">
      <c r="B207">
        <v>2011</v>
      </c>
    </row>
    <row r="210" spans="1:7">
      <c r="A210" s="27" t="s">
        <v>39</v>
      </c>
      <c r="B210">
        <v>2070</v>
      </c>
      <c r="C210">
        <v>2168</v>
      </c>
      <c r="F210">
        <v>3378</v>
      </c>
      <c r="G210" t="s">
        <v>40</v>
      </c>
    </row>
    <row r="211" spans="1:7">
      <c r="B211">
        <v>2000</v>
      </c>
      <c r="C211">
        <v>2126</v>
      </c>
      <c r="F211">
        <v>3384</v>
      </c>
      <c r="G211" t="s">
        <v>41</v>
      </c>
    </row>
    <row r="212" spans="1:7">
      <c r="B212">
        <v>2051</v>
      </c>
      <c r="C212">
        <v>2152</v>
      </c>
      <c r="F212">
        <v>3200</v>
      </c>
    </row>
    <row r="213" spans="1:7">
      <c r="B213">
        <v>2059</v>
      </c>
      <c r="C213">
        <v>2151</v>
      </c>
      <c r="F213">
        <v>3304</v>
      </c>
    </row>
    <row r="214" spans="1:7">
      <c r="C214">
        <v>2137</v>
      </c>
      <c r="F214">
        <v>3335</v>
      </c>
    </row>
    <row r="215" spans="1:7">
      <c r="C215">
        <v>2104</v>
      </c>
      <c r="F215">
        <v>3040</v>
      </c>
    </row>
    <row r="216" spans="1:7">
      <c r="C216">
        <v>2103</v>
      </c>
      <c r="F216">
        <v>2695</v>
      </c>
    </row>
    <row r="217" spans="1:7">
      <c r="C217">
        <v>2104</v>
      </c>
      <c r="F217">
        <v>2634</v>
      </c>
    </row>
    <row r="218" spans="1:7">
      <c r="C218">
        <v>2097</v>
      </c>
      <c r="F218">
        <v>2689</v>
      </c>
    </row>
    <row r="219" spans="1:7">
      <c r="C219">
        <v>2110</v>
      </c>
      <c r="F219">
        <v>2810</v>
      </c>
    </row>
    <row r="220" spans="1:7">
      <c r="F220">
        <v>2991</v>
      </c>
    </row>
    <row r="221" spans="1:7">
      <c r="F221">
        <v>3070</v>
      </c>
    </row>
    <row r="223" spans="1:7">
      <c r="A223" s="27" t="s">
        <v>42</v>
      </c>
      <c r="B223">
        <v>1881</v>
      </c>
      <c r="C223">
        <v>2132</v>
      </c>
      <c r="F223">
        <v>2624</v>
      </c>
      <c r="G223" t="s">
        <v>315</v>
      </c>
    </row>
    <row r="224" spans="1:7">
      <c r="B224">
        <v>1850</v>
      </c>
      <c r="C224">
        <v>2140</v>
      </c>
      <c r="F224">
        <v>2617</v>
      </c>
      <c r="G224" t="s">
        <v>316</v>
      </c>
    </row>
    <row r="225" spans="2:7">
      <c r="B225">
        <v>1867</v>
      </c>
      <c r="C225">
        <v>2076</v>
      </c>
      <c r="F225">
        <v>2784</v>
      </c>
      <c r="G225" t="s">
        <v>175</v>
      </c>
    </row>
    <row r="226" spans="2:7">
      <c r="B226">
        <v>1851</v>
      </c>
      <c r="C226">
        <v>2077</v>
      </c>
      <c r="G226" t="s">
        <v>33</v>
      </c>
    </row>
    <row r="227" spans="2:7">
      <c r="B227">
        <v>1856</v>
      </c>
      <c r="C227">
        <v>2138</v>
      </c>
      <c r="F227">
        <v>2475</v>
      </c>
    </row>
    <row r="228" spans="2:7">
      <c r="B228">
        <v>1872</v>
      </c>
      <c r="C228">
        <v>2084</v>
      </c>
      <c r="F228">
        <v>2521</v>
      </c>
    </row>
    <row r="229" spans="2:7">
      <c r="B229">
        <v>1881</v>
      </c>
      <c r="C229">
        <v>2178</v>
      </c>
      <c r="F229">
        <v>2640</v>
      </c>
    </row>
    <row r="230" spans="2:7">
      <c r="B230">
        <v>1860</v>
      </c>
      <c r="C230">
        <v>2184</v>
      </c>
      <c r="F230">
        <v>2635</v>
      </c>
    </row>
    <row r="231" spans="2:7">
      <c r="B231">
        <v>1859</v>
      </c>
      <c r="C231">
        <v>2154</v>
      </c>
      <c r="F231">
        <v>2540</v>
      </c>
    </row>
    <row r="232" spans="2:7">
      <c r="B232">
        <v>1885</v>
      </c>
      <c r="C232">
        <v>2097</v>
      </c>
      <c r="F232">
        <v>2615</v>
      </c>
    </row>
    <row r="233" spans="2:7">
      <c r="B233">
        <v>1851</v>
      </c>
      <c r="C233">
        <v>2051</v>
      </c>
      <c r="F233">
        <v>2571</v>
      </c>
    </row>
    <row r="234" spans="2:7">
      <c r="B234">
        <v>1847</v>
      </c>
      <c r="C234">
        <v>2184</v>
      </c>
      <c r="F234">
        <v>2533</v>
      </c>
    </row>
    <row r="235" spans="2:7">
      <c r="B235">
        <v>1850</v>
      </c>
      <c r="C235">
        <v>2135</v>
      </c>
      <c r="F235">
        <v>2559</v>
      </c>
    </row>
    <row r="236" spans="2:7">
      <c r="B236">
        <v>1947</v>
      </c>
      <c r="C236">
        <v>2095</v>
      </c>
      <c r="F236">
        <v>2448</v>
      </c>
    </row>
    <row r="237" spans="2:7">
      <c r="B237">
        <v>1857</v>
      </c>
      <c r="C237">
        <v>2179</v>
      </c>
      <c r="F237">
        <v>2531</v>
      </c>
    </row>
    <row r="238" spans="2:7">
      <c r="B238">
        <v>1875</v>
      </c>
      <c r="C238">
        <v>2100</v>
      </c>
      <c r="F238">
        <v>2635</v>
      </c>
    </row>
    <row r="239" spans="2:7">
      <c r="B239">
        <v>1891</v>
      </c>
      <c r="C239">
        <v>2358</v>
      </c>
      <c r="F239">
        <v>2632</v>
      </c>
    </row>
    <row r="240" spans="2:7">
      <c r="B240">
        <v>1826</v>
      </c>
      <c r="C240">
        <v>2330</v>
      </c>
      <c r="F240">
        <v>2683</v>
      </c>
    </row>
    <row r="241" spans="2:6">
      <c r="B241">
        <v>1850</v>
      </c>
      <c r="C241">
        <v>2113</v>
      </c>
      <c r="F241">
        <v>2599</v>
      </c>
    </row>
    <row r="242" spans="2:6">
      <c r="C242">
        <v>2176</v>
      </c>
      <c r="F242">
        <v>2560</v>
      </c>
    </row>
    <row r="243" spans="2:6">
      <c r="C243">
        <v>2117</v>
      </c>
      <c r="F243">
        <v>2532</v>
      </c>
    </row>
    <row r="244" spans="2:6">
      <c r="C244">
        <v>2116</v>
      </c>
      <c r="F244">
        <v>2756</v>
      </c>
    </row>
    <row r="245" spans="2:6">
      <c r="C245">
        <v>2084</v>
      </c>
      <c r="F245">
        <v>2647</v>
      </c>
    </row>
    <row r="246" spans="2:6">
      <c r="C246">
        <v>2077</v>
      </c>
      <c r="F246">
        <v>2511</v>
      </c>
    </row>
    <row r="247" spans="2:6">
      <c r="C247">
        <v>2045</v>
      </c>
      <c r="F247">
        <v>2539</v>
      </c>
    </row>
    <row r="248" spans="2:6">
      <c r="C248">
        <v>1915</v>
      </c>
      <c r="F248">
        <v>2545</v>
      </c>
    </row>
    <row r="249" spans="2:6">
      <c r="C249">
        <v>1914</v>
      </c>
      <c r="F249">
        <v>2516</v>
      </c>
    </row>
    <row r="250" spans="2:6">
      <c r="C250">
        <v>2147</v>
      </c>
      <c r="F250">
        <v>2556</v>
      </c>
    </row>
    <row r="251" spans="2:6">
      <c r="C251">
        <v>2180</v>
      </c>
      <c r="F251">
        <v>2540</v>
      </c>
    </row>
    <row r="252" spans="2:6">
      <c r="C252">
        <v>2087</v>
      </c>
      <c r="F252">
        <v>2635</v>
      </c>
    </row>
    <row r="253" spans="2:6">
      <c r="C253">
        <v>2097</v>
      </c>
      <c r="F253">
        <v>2740</v>
      </c>
    </row>
    <row r="254" spans="2:6">
      <c r="C254">
        <v>2109</v>
      </c>
      <c r="F254">
        <v>2540</v>
      </c>
    </row>
    <row r="255" spans="2:6">
      <c r="C255">
        <v>2097</v>
      </c>
      <c r="F255">
        <v>2511</v>
      </c>
    </row>
    <row r="256" spans="2:6">
      <c r="C256">
        <v>2110</v>
      </c>
      <c r="F256">
        <v>2522</v>
      </c>
    </row>
    <row r="257" spans="1:7">
      <c r="C257">
        <v>1946</v>
      </c>
      <c r="F257">
        <v>2507</v>
      </c>
    </row>
    <row r="258" spans="1:7">
      <c r="F258">
        <v>2505</v>
      </c>
    </row>
    <row r="259" spans="1:7">
      <c r="F259">
        <v>2737</v>
      </c>
    </row>
    <row r="260" spans="1:7">
      <c r="F260">
        <v>2531</v>
      </c>
    </row>
    <row r="261" spans="1:7">
      <c r="F261">
        <v>2533</v>
      </c>
    </row>
    <row r="262" spans="1:7">
      <c r="F262">
        <v>2608</v>
      </c>
    </row>
    <row r="265" spans="1:7">
      <c r="A265" s="27" t="s">
        <v>34</v>
      </c>
      <c r="B265">
        <v>1901</v>
      </c>
      <c r="C265">
        <v>2220</v>
      </c>
      <c r="F265">
        <v>3460</v>
      </c>
      <c r="G265" t="s">
        <v>269</v>
      </c>
    </row>
    <row r="266" spans="1:7">
      <c r="B266">
        <v>1918</v>
      </c>
      <c r="C266">
        <v>2200</v>
      </c>
      <c r="F266">
        <v>3100</v>
      </c>
    </row>
    <row r="267" spans="1:7">
      <c r="B267">
        <v>1850</v>
      </c>
      <c r="C267">
        <v>2150</v>
      </c>
      <c r="F267">
        <v>2950</v>
      </c>
    </row>
    <row r="268" spans="1:7">
      <c r="B268">
        <v>1875</v>
      </c>
      <c r="C268">
        <v>1950</v>
      </c>
      <c r="F268">
        <v>2660</v>
      </c>
    </row>
    <row r="269" spans="1:7">
      <c r="F269">
        <v>2540</v>
      </c>
    </row>
    <row r="275" spans="1:7">
      <c r="A275" s="27" t="s">
        <v>270</v>
      </c>
      <c r="B275">
        <v>1846</v>
      </c>
      <c r="F275">
        <v>2884</v>
      </c>
      <c r="G275" t="s">
        <v>68</v>
      </c>
    </row>
    <row r="276" spans="1:7">
      <c r="B276">
        <v>1908</v>
      </c>
      <c r="G276" t="s">
        <v>93</v>
      </c>
    </row>
    <row r="277" spans="1:7">
      <c r="B277">
        <v>1910</v>
      </c>
      <c r="G277" t="s">
        <v>94</v>
      </c>
    </row>
    <row r="278" spans="1:7">
      <c r="B278">
        <v>1890</v>
      </c>
    </row>
    <row r="279" spans="1:7">
      <c r="B279">
        <v>1866</v>
      </c>
    </row>
    <row r="280" spans="1:7">
      <c r="B280">
        <v>1861</v>
      </c>
    </row>
    <row r="281" spans="1:7">
      <c r="B281">
        <v>1863</v>
      </c>
    </row>
    <row r="282" spans="1:7">
      <c r="B282">
        <v>1835</v>
      </c>
    </row>
    <row r="283" spans="1:7">
      <c r="B283">
        <v>1880</v>
      </c>
    </row>
    <row r="284" spans="1:7">
      <c r="B284">
        <v>1854</v>
      </c>
    </row>
    <row r="290" spans="1:7">
      <c r="A290" s="27" t="s">
        <v>167</v>
      </c>
      <c r="B290">
        <v>1849</v>
      </c>
      <c r="C290">
        <v>1854</v>
      </c>
      <c r="F290">
        <v>2620</v>
      </c>
      <c r="G290" t="s">
        <v>168</v>
      </c>
    </row>
    <row r="291" spans="1:7">
      <c r="B291">
        <v>1840</v>
      </c>
      <c r="C291">
        <v>1822</v>
      </c>
      <c r="F291">
        <v>2666</v>
      </c>
      <c r="G291" t="s">
        <v>169</v>
      </c>
    </row>
    <row r="292" spans="1:7">
      <c r="B292">
        <v>1864</v>
      </c>
      <c r="C292">
        <v>2142</v>
      </c>
      <c r="F292">
        <v>2887</v>
      </c>
      <c r="G292" t="s">
        <v>271</v>
      </c>
    </row>
    <row r="293" spans="1:7">
      <c r="B293">
        <v>1859</v>
      </c>
      <c r="C293">
        <v>2179</v>
      </c>
      <c r="F293">
        <v>2659</v>
      </c>
    </row>
    <row r="294" spans="1:7">
      <c r="B294">
        <v>1849</v>
      </c>
      <c r="C294">
        <v>1899</v>
      </c>
      <c r="F294">
        <v>3230</v>
      </c>
    </row>
    <row r="295" spans="1:7">
      <c r="B295">
        <v>1846</v>
      </c>
      <c r="C295">
        <v>1890</v>
      </c>
      <c r="F295">
        <v>2562</v>
      </c>
    </row>
    <row r="296" spans="1:7">
      <c r="B296">
        <v>1908</v>
      </c>
      <c r="C296">
        <v>1893</v>
      </c>
      <c r="F296">
        <v>2532</v>
      </c>
    </row>
    <row r="297" spans="1:7">
      <c r="C297">
        <v>1891</v>
      </c>
      <c r="F297">
        <v>2505</v>
      </c>
    </row>
    <row r="298" spans="1:7">
      <c r="C298">
        <v>2212</v>
      </c>
      <c r="F298">
        <v>2440</v>
      </c>
    </row>
    <row r="299" spans="1:7">
      <c r="C299">
        <v>2181</v>
      </c>
      <c r="F299">
        <v>2506</v>
      </c>
    </row>
    <row r="300" spans="1:7">
      <c r="F300">
        <v>3281</v>
      </c>
    </row>
    <row r="301" spans="1:7">
      <c r="F301">
        <v>2795</v>
      </c>
    </row>
    <row r="302" spans="1:7">
      <c r="F302">
        <v>2675</v>
      </c>
    </row>
    <row r="303" spans="1:7">
      <c r="F303">
        <v>2503</v>
      </c>
    </row>
    <row r="304" spans="1:7">
      <c r="F304">
        <v>2521</v>
      </c>
    </row>
    <row r="305" spans="1:7">
      <c r="F305">
        <v>2663</v>
      </c>
    </row>
    <row r="306" spans="1:7">
      <c r="F306">
        <v>2668</v>
      </c>
    </row>
    <row r="307" spans="1:7">
      <c r="F307">
        <v>2530</v>
      </c>
    </row>
    <row r="308" spans="1:7">
      <c r="F308">
        <v>3234</v>
      </c>
    </row>
    <row r="309" spans="1:7">
      <c r="F309">
        <v>2625</v>
      </c>
    </row>
    <row r="310" spans="1:7">
      <c r="F310">
        <v>2465</v>
      </c>
    </row>
    <row r="312" spans="1:7">
      <c r="A312" s="27" t="s">
        <v>272</v>
      </c>
      <c r="B312">
        <v>1952</v>
      </c>
      <c r="C312">
        <v>1987</v>
      </c>
      <c r="F312">
        <v>2555</v>
      </c>
      <c r="G312" t="s">
        <v>148</v>
      </c>
    </row>
    <row r="313" spans="1:7">
      <c r="B313">
        <v>1966</v>
      </c>
      <c r="C313">
        <v>2002</v>
      </c>
      <c r="F313">
        <v>2518</v>
      </c>
    </row>
    <row r="314" spans="1:7">
      <c r="B314">
        <v>1927</v>
      </c>
      <c r="C314">
        <v>2001</v>
      </c>
      <c r="F314">
        <v>2508</v>
      </c>
    </row>
    <row r="315" spans="1:7">
      <c r="B315">
        <v>1947</v>
      </c>
      <c r="C315">
        <v>1999</v>
      </c>
      <c r="F315">
        <v>2552</v>
      </c>
    </row>
    <row r="316" spans="1:7">
      <c r="B316">
        <v>1934</v>
      </c>
      <c r="C316">
        <v>1994</v>
      </c>
      <c r="F316">
        <v>2429</v>
      </c>
    </row>
    <row r="317" spans="1:7">
      <c r="B317">
        <v>1952</v>
      </c>
      <c r="C317">
        <v>1989</v>
      </c>
      <c r="F317">
        <v>2527</v>
      </c>
    </row>
    <row r="318" spans="1:7">
      <c r="B318">
        <v>1955</v>
      </c>
      <c r="C318">
        <v>2006</v>
      </c>
    </row>
    <row r="319" spans="1:7">
      <c r="B319">
        <v>1944</v>
      </c>
      <c r="C319">
        <v>2005</v>
      </c>
    </row>
    <row r="320" spans="1:7">
      <c r="C320">
        <v>2006</v>
      </c>
    </row>
    <row r="321" spans="1:7">
      <c r="C321">
        <v>2008</v>
      </c>
    </row>
    <row r="322" spans="1:7">
      <c r="C322">
        <v>2002</v>
      </c>
    </row>
    <row r="323" spans="1:7">
      <c r="C323">
        <v>1985</v>
      </c>
    </row>
    <row r="324" spans="1:7">
      <c r="C324">
        <v>1997</v>
      </c>
    </row>
    <row r="325" spans="1:7">
      <c r="C325">
        <v>2003</v>
      </c>
    </row>
    <row r="326" spans="1:7">
      <c r="C326">
        <v>1974</v>
      </c>
    </row>
    <row r="327" spans="1:7">
      <c r="C327">
        <v>1977</v>
      </c>
    </row>
    <row r="328" spans="1:7">
      <c r="C328">
        <v>2125</v>
      </c>
    </row>
    <row r="329" spans="1:7">
      <c r="C329">
        <v>2126</v>
      </c>
    </row>
    <row r="331" spans="1:7">
      <c r="A331" s="27" t="s">
        <v>149</v>
      </c>
      <c r="B331">
        <v>1848</v>
      </c>
      <c r="C331">
        <v>1910</v>
      </c>
    </row>
    <row r="332" spans="1:7">
      <c r="B332">
        <v>1847</v>
      </c>
      <c r="C332">
        <v>1880</v>
      </c>
      <c r="G332" t="s">
        <v>150</v>
      </c>
    </row>
    <row r="333" spans="1:7">
      <c r="B333">
        <v>1863</v>
      </c>
      <c r="C333">
        <v>1857</v>
      </c>
    </row>
    <row r="334" spans="1:7">
      <c r="B334">
        <v>1865</v>
      </c>
      <c r="C334">
        <v>1870</v>
      </c>
    </row>
    <row r="335" spans="1:7">
      <c r="B335">
        <v>1856</v>
      </c>
    </row>
    <row r="336" spans="1:7">
      <c r="B336">
        <v>1850</v>
      </c>
    </row>
    <row r="337" spans="1:7">
      <c r="B337">
        <v>1845</v>
      </c>
    </row>
    <row r="340" spans="1:7">
      <c r="A340" s="27" t="s">
        <v>17</v>
      </c>
      <c r="B340">
        <v>1790</v>
      </c>
      <c r="C340">
        <v>2015</v>
      </c>
      <c r="F340">
        <v>2675</v>
      </c>
      <c r="G340" t="s">
        <v>18</v>
      </c>
    </row>
    <row r="341" spans="1:7">
      <c r="B341">
        <v>1789</v>
      </c>
      <c r="C341">
        <v>1972</v>
      </c>
      <c r="F341">
        <v>2650</v>
      </c>
      <c r="G341" t="s">
        <v>19</v>
      </c>
    </row>
    <row r="342" spans="1:7">
      <c r="B342">
        <v>1787</v>
      </c>
      <c r="C342">
        <v>1802</v>
      </c>
      <c r="F342">
        <v>2655</v>
      </c>
    </row>
    <row r="343" spans="1:7">
      <c r="B343">
        <v>1778</v>
      </c>
      <c r="C343">
        <v>1801</v>
      </c>
      <c r="F343">
        <v>2658</v>
      </c>
    </row>
    <row r="344" spans="1:7">
      <c r="B344">
        <v>1775</v>
      </c>
      <c r="C344">
        <v>1795</v>
      </c>
      <c r="F344">
        <v>2659</v>
      </c>
    </row>
    <row r="345" spans="1:7">
      <c r="B345">
        <v>1765</v>
      </c>
      <c r="C345">
        <v>1792</v>
      </c>
      <c r="F345">
        <v>2677</v>
      </c>
    </row>
    <row r="346" spans="1:7">
      <c r="B346">
        <v>1777</v>
      </c>
      <c r="C346">
        <v>1990</v>
      </c>
      <c r="F346">
        <v>2678</v>
      </c>
    </row>
    <row r="347" spans="1:7">
      <c r="B347">
        <v>1769</v>
      </c>
      <c r="C347">
        <v>2173</v>
      </c>
      <c r="F347">
        <v>2665</v>
      </c>
    </row>
    <row r="348" spans="1:7">
      <c r="B348">
        <v>1792</v>
      </c>
      <c r="C348">
        <v>1843</v>
      </c>
      <c r="F348">
        <v>2672</v>
      </c>
    </row>
    <row r="349" spans="1:7">
      <c r="C349">
        <v>1850</v>
      </c>
      <c r="F349">
        <v>3300</v>
      </c>
    </row>
    <row r="350" spans="1:7">
      <c r="C350">
        <v>2250</v>
      </c>
      <c r="F350">
        <v>2800</v>
      </c>
    </row>
    <row r="351" spans="1:7">
      <c r="C351">
        <v>2200</v>
      </c>
      <c r="F351">
        <v>2500</v>
      </c>
    </row>
    <row r="352" spans="1:7">
      <c r="C352">
        <v>2000</v>
      </c>
      <c r="F352">
        <v>2650</v>
      </c>
    </row>
    <row r="353" spans="1:7">
      <c r="C353">
        <v>2027</v>
      </c>
      <c r="F353">
        <v>2655</v>
      </c>
    </row>
    <row r="354" spans="1:7">
      <c r="C354">
        <v>2250</v>
      </c>
      <c r="F354">
        <v>2950</v>
      </c>
    </row>
    <row r="355" spans="1:7">
      <c r="C355">
        <v>2060</v>
      </c>
      <c r="F355">
        <v>2600</v>
      </c>
    </row>
    <row r="356" spans="1:7">
      <c r="C356">
        <v>1876</v>
      </c>
      <c r="F356">
        <v>2650</v>
      </c>
    </row>
    <row r="357" spans="1:7">
      <c r="C357">
        <v>1796</v>
      </c>
      <c r="F357">
        <v>2800</v>
      </c>
    </row>
    <row r="358" spans="1:7">
      <c r="F358">
        <v>2900</v>
      </c>
    </row>
    <row r="361" spans="1:7">
      <c r="A361" s="27" t="s">
        <v>20</v>
      </c>
      <c r="B361">
        <v>1679</v>
      </c>
      <c r="C361">
        <v>1745</v>
      </c>
      <c r="F361">
        <v>2521</v>
      </c>
      <c r="G361" t="s">
        <v>21</v>
      </c>
    </row>
    <row r="362" spans="1:7">
      <c r="B362">
        <v>1728</v>
      </c>
      <c r="C362">
        <v>1774</v>
      </c>
      <c r="F362">
        <v>2725</v>
      </c>
    </row>
    <row r="363" spans="1:7">
      <c r="B363">
        <v>1729</v>
      </c>
      <c r="C363">
        <v>1780</v>
      </c>
      <c r="F363">
        <v>2934</v>
      </c>
    </row>
    <row r="364" spans="1:7">
      <c r="B364">
        <v>1636</v>
      </c>
      <c r="C364">
        <v>1780</v>
      </c>
    </row>
    <row r="365" spans="1:7">
      <c r="B365">
        <v>1637</v>
      </c>
      <c r="C365">
        <v>1781</v>
      </c>
    </row>
    <row r="366" spans="1:7">
      <c r="B366">
        <v>1699</v>
      </c>
      <c r="C366">
        <v>1782</v>
      </c>
    </row>
    <row r="367" spans="1:7">
      <c r="B367">
        <v>1733</v>
      </c>
      <c r="C367">
        <v>1783</v>
      </c>
    </row>
    <row r="368" spans="1:7">
      <c r="B368">
        <v>1740</v>
      </c>
      <c r="C368">
        <v>1785</v>
      </c>
    </row>
    <row r="369" spans="3:3">
      <c r="C369">
        <v>1788</v>
      </c>
    </row>
    <row r="370" spans="3:3">
      <c r="C370">
        <v>1790</v>
      </c>
    </row>
    <row r="371" spans="3:3">
      <c r="C371">
        <v>1795</v>
      </c>
    </row>
    <row r="372" spans="3:3">
      <c r="C372">
        <v>1795</v>
      </c>
    </row>
    <row r="373" spans="3:3">
      <c r="C373">
        <v>1798</v>
      </c>
    </row>
    <row r="374" spans="3:3">
      <c r="C374">
        <v>1859</v>
      </c>
    </row>
    <row r="375" spans="3:3">
      <c r="C375">
        <v>1771</v>
      </c>
    </row>
    <row r="376" spans="3:3">
      <c r="C376">
        <v>1775</v>
      </c>
    </row>
    <row r="377" spans="3:3">
      <c r="C377">
        <v>1778</v>
      </c>
    </row>
    <row r="378" spans="3:3">
      <c r="C378">
        <v>1780</v>
      </c>
    </row>
    <row r="379" spans="3:3">
      <c r="C379">
        <v>1781</v>
      </c>
    </row>
    <row r="380" spans="3:3">
      <c r="C380">
        <v>1784</v>
      </c>
    </row>
    <row r="381" spans="3:3">
      <c r="C381">
        <v>1789</v>
      </c>
    </row>
    <row r="382" spans="3:3">
      <c r="C382">
        <v>1795</v>
      </c>
    </row>
    <row r="383" spans="3:3">
      <c r="C383">
        <v>1802</v>
      </c>
    </row>
    <row r="384" spans="3:3">
      <c r="C384">
        <v>1806</v>
      </c>
    </row>
    <row r="385" spans="1:7">
      <c r="C385">
        <v>1807</v>
      </c>
    </row>
    <row r="386" spans="1:7">
      <c r="C386">
        <v>1789</v>
      </c>
    </row>
    <row r="387" spans="1:7">
      <c r="C387">
        <v>1790</v>
      </c>
    </row>
    <row r="388" spans="1:7">
      <c r="C388">
        <v>1794</v>
      </c>
    </row>
    <row r="389" spans="1:7">
      <c r="C389">
        <v>1795</v>
      </c>
    </row>
    <row r="390" spans="1:7">
      <c r="C390">
        <v>1795</v>
      </c>
    </row>
    <row r="391" spans="1:7">
      <c r="C391">
        <v>1800</v>
      </c>
    </row>
    <row r="394" spans="1:7">
      <c r="A394" s="27" t="s">
        <v>86</v>
      </c>
      <c r="B394">
        <v>1555</v>
      </c>
      <c r="C394">
        <v>1580</v>
      </c>
      <c r="G394" t="s">
        <v>164</v>
      </c>
    </row>
    <row r="395" spans="1:7">
      <c r="B395">
        <v>1516</v>
      </c>
      <c r="C395">
        <v>1584</v>
      </c>
    </row>
    <row r="396" spans="1:7">
      <c r="B396">
        <v>1539</v>
      </c>
      <c r="C396">
        <v>1594</v>
      </c>
    </row>
    <row r="397" spans="1:7">
      <c r="B397">
        <v>1508</v>
      </c>
      <c r="C397">
        <v>1600</v>
      </c>
    </row>
    <row r="398" spans="1:7">
      <c r="B398">
        <v>1560</v>
      </c>
      <c r="C398">
        <v>1601</v>
      </c>
    </row>
    <row r="399" spans="1:7">
      <c r="B399">
        <v>1550</v>
      </c>
      <c r="C399">
        <v>1602</v>
      </c>
    </row>
    <row r="400" spans="1:7">
      <c r="B400">
        <v>1548</v>
      </c>
      <c r="C400">
        <v>1606</v>
      </c>
    </row>
    <row r="401" spans="3:3">
      <c r="C401">
        <v>1613</v>
      </c>
    </row>
    <row r="402" spans="3:3">
      <c r="C402">
        <v>1617</v>
      </c>
    </row>
    <row r="403" spans="3:3">
      <c r="C403">
        <v>1721</v>
      </c>
    </row>
    <row r="404" spans="3:3">
      <c r="C404">
        <v>1596</v>
      </c>
    </row>
    <row r="405" spans="3:3">
      <c r="C405">
        <v>1641</v>
      </c>
    </row>
    <row r="406" spans="3:3">
      <c r="C406">
        <v>1645</v>
      </c>
    </row>
    <row r="407" spans="3:3">
      <c r="C407">
        <v>1564</v>
      </c>
    </row>
    <row r="408" spans="3:3">
      <c r="C408">
        <v>1576</v>
      </c>
    </row>
    <row r="409" spans="3:3">
      <c r="C409">
        <v>1599</v>
      </c>
    </row>
    <row r="410" spans="3:3">
      <c r="C410">
        <v>1712</v>
      </c>
    </row>
    <row r="411" spans="3:3">
      <c r="C411">
        <v>1617</v>
      </c>
    </row>
    <row r="412" spans="3:3">
      <c r="C412">
        <v>1640</v>
      </c>
    </row>
    <row r="413" spans="3:3">
      <c r="C413">
        <v>1662</v>
      </c>
    </row>
    <row r="414" spans="3:3">
      <c r="C414">
        <v>1680</v>
      </c>
    </row>
    <row r="415" spans="3:3">
      <c r="C415">
        <v>1684</v>
      </c>
    </row>
    <row r="416" spans="3:3">
      <c r="C416">
        <v>1623</v>
      </c>
    </row>
    <row r="417" spans="1:7">
      <c r="C417">
        <v>1682</v>
      </c>
    </row>
    <row r="418" spans="1:7">
      <c r="C418">
        <v>1701</v>
      </c>
    </row>
    <row r="419" spans="1:7">
      <c r="C419">
        <v>1585</v>
      </c>
    </row>
    <row r="420" spans="1:7">
      <c r="C420">
        <v>1685</v>
      </c>
    </row>
    <row r="421" spans="1:7">
      <c r="C421">
        <v>1580</v>
      </c>
    </row>
    <row r="422" spans="1:7">
      <c r="C422">
        <v>1590</v>
      </c>
    </row>
    <row r="423" spans="1:7">
      <c r="C423">
        <v>1597</v>
      </c>
    </row>
    <row r="424" spans="1:7">
      <c r="C424">
        <v>1640</v>
      </c>
    </row>
    <row r="425" spans="1:7">
      <c r="C425">
        <v>1580</v>
      </c>
    </row>
    <row r="428" spans="1:7">
      <c r="A428" s="27" t="s">
        <v>226</v>
      </c>
      <c r="B428">
        <v>2014</v>
      </c>
      <c r="F428">
        <v>3143</v>
      </c>
      <c r="G428" t="s">
        <v>279</v>
      </c>
    </row>
    <row r="429" spans="1:7">
      <c r="B429">
        <v>1943</v>
      </c>
      <c r="F429">
        <v>2614</v>
      </c>
      <c r="G429" t="s">
        <v>335</v>
      </c>
    </row>
    <row r="430" spans="1:7">
      <c r="B430">
        <v>1989</v>
      </c>
      <c r="F430">
        <v>2601</v>
      </c>
    </row>
    <row r="431" spans="1:7">
      <c r="B431">
        <v>2026</v>
      </c>
      <c r="F431">
        <v>2651</v>
      </c>
    </row>
    <row r="432" spans="1:7">
      <c r="B432">
        <v>2019</v>
      </c>
      <c r="F432">
        <v>2649</v>
      </c>
    </row>
    <row r="433" spans="1:7">
      <c r="B433">
        <v>2061</v>
      </c>
      <c r="F433">
        <v>2612</v>
      </c>
    </row>
    <row r="434" spans="1:7">
      <c r="B434">
        <v>2058</v>
      </c>
      <c r="F434">
        <v>2607</v>
      </c>
    </row>
    <row r="435" spans="1:7">
      <c r="B435">
        <v>2031</v>
      </c>
      <c r="F435">
        <v>2612</v>
      </c>
    </row>
    <row r="436" spans="1:7">
      <c r="F436">
        <v>2647</v>
      </c>
    </row>
    <row r="437" spans="1:7">
      <c r="F437">
        <v>2614</v>
      </c>
    </row>
    <row r="438" spans="1:7">
      <c r="F438">
        <v>2929</v>
      </c>
    </row>
    <row r="439" spans="1:7">
      <c r="F439">
        <v>2711</v>
      </c>
    </row>
    <row r="441" spans="1:7">
      <c r="A441" s="1" t="s">
        <v>62</v>
      </c>
      <c r="B441">
        <v>2093</v>
      </c>
      <c r="C441">
        <v>1921</v>
      </c>
      <c r="G441" t="s">
        <v>303</v>
      </c>
    </row>
    <row r="442" spans="1:7">
      <c r="B442">
        <v>2048</v>
      </c>
      <c r="C442">
        <v>2000</v>
      </c>
      <c r="G442" t="s">
        <v>304</v>
      </c>
    </row>
    <row r="443" spans="1:7">
      <c r="B443">
        <v>2002</v>
      </c>
      <c r="C443">
        <v>2000</v>
      </c>
      <c r="G443" t="s">
        <v>109</v>
      </c>
    </row>
    <row r="444" spans="1:7">
      <c r="B444">
        <v>2026</v>
      </c>
      <c r="C444">
        <v>1999</v>
      </c>
    </row>
    <row r="445" spans="1:7">
      <c r="B445">
        <v>2084</v>
      </c>
      <c r="C445">
        <v>1996</v>
      </c>
    </row>
    <row r="446" spans="1:7">
      <c r="B446">
        <v>2093</v>
      </c>
      <c r="C446">
        <v>1991</v>
      </c>
    </row>
    <row r="447" spans="1:7">
      <c r="B447">
        <v>2002</v>
      </c>
      <c r="C447">
        <v>1995</v>
      </c>
    </row>
    <row r="448" spans="1:7">
      <c r="B448">
        <v>2048</v>
      </c>
      <c r="C448">
        <v>1998</v>
      </c>
    </row>
    <row r="449" spans="3:3">
      <c r="C449">
        <v>1961</v>
      </c>
    </row>
    <row r="450" spans="3:3">
      <c r="C450">
        <v>1979</v>
      </c>
    </row>
    <row r="451" spans="3:3">
      <c r="C451">
        <v>1949</v>
      </c>
    </row>
    <row r="452" spans="3:3">
      <c r="C452">
        <v>1942</v>
      </c>
    </row>
    <row r="453" spans="3:3">
      <c r="C453">
        <v>1927</v>
      </c>
    </row>
    <row r="454" spans="3:3">
      <c r="C454">
        <v>1902</v>
      </c>
    </row>
    <row r="455" spans="3:3">
      <c r="C455">
        <v>2009</v>
      </c>
    </row>
    <row r="456" spans="3:3">
      <c r="C456">
        <v>1988</v>
      </c>
    </row>
    <row r="457" spans="3:3">
      <c r="C457">
        <v>1995</v>
      </c>
    </row>
  </sheetData>
  <phoneticPr fontId="1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Nd isotopes 1</vt:lpstr>
      <vt:lpstr>Nd isotopes 2</vt:lpstr>
      <vt:lpstr>Zircon ages</vt:lpstr>
    </vt:vector>
  </TitlesOfParts>
  <Company>New Mexico 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Condie</dc:creator>
  <cp:lastModifiedBy>MDPI</cp:lastModifiedBy>
  <dcterms:created xsi:type="dcterms:W3CDTF">2011-12-12T18:41:16Z</dcterms:created>
  <dcterms:modified xsi:type="dcterms:W3CDTF">2013-05-25T04:41:36Z</dcterms:modified>
</cp:coreProperties>
</file>