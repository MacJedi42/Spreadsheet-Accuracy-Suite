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20" windowWidth="10275" windowHeight="5145" activeTab="1"/>
  </bookViews>
  <sheets>
    <sheet name="Recap C2I" sheetId="6" r:id="rId1"/>
    <sheet name="Recap UE" sheetId="5" r:id="rId2"/>
    <sheet name="QCM" sheetId="1" r:id="rId3"/>
    <sheet name="Word" sheetId="2" r:id="rId4"/>
    <sheet name="Excel" sheetId="3" r:id="rId5"/>
    <sheet name="PPT" sheetId="4" r:id="rId6"/>
  </sheets>
  <definedNames>
    <definedName name="_xlnm.Print_Titles" localSheetId="3">Word!$B:$C,Word!$2:$2</definedName>
    <definedName name="_xlnm.Print_Area" localSheetId="3">Word!$B$2:$F$41</definedName>
  </definedNames>
  <calcPr calcId="125725" fullCalcOnLoad="1"/>
</workbook>
</file>

<file path=xl/calcChain.xml><?xml version="1.0" encoding="utf-8"?>
<calcChain xmlns="http://schemas.openxmlformats.org/spreadsheetml/2006/main">
  <c r="G4" i="5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3"/>
  <c r="J47"/>
  <c r="I47"/>
  <c r="H47"/>
  <c r="D47"/>
  <c r="J46"/>
  <c r="I46"/>
  <c r="H46"/>
  <c r="D46"/>
  <c r="J45"/>
  <c r="I45"/>
  <c r="H45"/>
  <c r="D45"/>
  <c r="J47" i="6"/>
  <c r="J46"/>
  <c r="J45"/>
  <c r="I47"/>
  <c r="I46"/>
  <c r="I45"/>
  <c r="H47"/>
  <c r="H46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3"/>
  <c r="H45"/>
  <c r="D47"/>
  <c r="D46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3"/>
  <c r="D45"/>
  <c r="J4" i="5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3"/>
  <c r="J4" i="6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3"/>
  <c r="A3" i="4"/>
  <c r="B3"/>
  <c r="C3"/>
  <c r="A4"/>
  <c r="B4"/>
  <c r="C4"/>
  <c r="A5"/>
  <c r="B5"/>
  <c r="C5"/>
  <c r="A6"/>
  <c r="B6"/>
  <c r="C6"/>
  <c r="A7"/>
  <c r="B7"/>
  <c r="C7"/>
  <c r="A8"/>
  <c r="B8"/>
  <c r="C8"/>
  <c r="A9"/>
  <c r="B9"/>
  <c r="C9"/>
  <c r="A10"/>
  <c r="B10"/>
  <c r="C10"/>
  <c r="A11"/>
  <c r="B11"/>
  <c r="C11"/>
  <c r="A12"/>
  <c r="B12"/>
  <c r="C12"/>
  <c r="A13"/>
  <c r="B13"/>
  <c r="C13"/>
  <c r="A14"/>
  <c r="B14"/>
  <c r="C14"/>
  <c r="A15"/>
  <c r="B15"/>
  <c r="C15"/>
  <c r="A16"/>
  <c r="B16"/>
  <c r="C16"/>
  <c r="A17"/>
  <c r="B17"/>
  <c r="C17"/>
  <c r="A18"/>
  <c r="B18"/>
  <c r="C18"/>
  <c r="A19"/>
  <c r="B19"/>
  <c r="C19"/>
  <c r="A20"/>
  <c r="B20"/>
  <c r="C20"/>
  <c r="A21"/>
  <c r="B21"/>
  <c r="C21"/>
  <c r="A22"/>
  <c r="B22"/>
  <c r="C22"/>
  <c r="A23"/>
  <c r="B23"/>
  <c r="C23"/>
  <c r="A24"/>
  <c r="B24"/>
  <c r="C24"/>
  <c r="A25"/>
  <c r="B25"/>
  <c r="C25"/>
  <c r="A26"/>
  <c r="B26"/>
  <c r="C26"/>
  <c r="A27"/>
  <c r="B27"/>
  <c r="C27"/>
  <c r="A28"/>
  <c r="B28"/>
  <c r="C28"/>
  <c r="A29"/>
  <c r="B29"/>
  <c r="C29"/>
  <c r="A30"/>
  <c r="B30"/>
  <c r="C30"/>
  <c r="A31"/>
  <c r="B31"/>
  <c r="C31"/>
  <c r="A32"/>
  <c r="B32"/>
  <c r="C32"/>
  <c r="A33"/>
  <c r="B33"/>
  <c r="C33"/>
  <c r="A34"/>
  <c r="B34"/>
  <c r="C34"/>
  <c r="A35"/>
  <c r="B35"/>
  <c r="C35"/>
  <c r="A36"/>
  <c r="B36"/>
  <c r="C36"/>
  <c r="A37"/>
  <c r="B37"/>
  <c r="C37"/>
  <c r="A38"/>
  <c r="B38"/>
  <c r="C38"/>
  <c r="A39"/>
  <c r="B39"/>
  <c r="C39"/>
  <c r="A40"/>
  <c r="B40"/>
  <c r="C40"/>
  <c r="A41"/>
  <c r="B41"/>
  <c r="C41"/>
  <c r="A3" i="2"/>
  <c r="A3" i="3"/>
  <c r="B3" i="2"/>
  <c r="B3" i="3" s="1"/>
  <c r="C3" i="2"/>
  <c r="C3" i="3"/>
  <c r="A4" i="2"/>
  <c r="A4" i="3"/>
  <c r="B4" i="2"/>
  <c r="B4" i="3"/>
  <c r="C4" i="2"/>
  <c r="C4" i="3"/>
  <c r="A5" i="2"/>
  <c r="A5" i="3"/>
  <c r="B5" i="2"/>
  <c r="B5" i="3"/>
  <c r="C5" i="2"/>
  <c r="C5" i="3"/>
  <c r="A6" i="2"/>
  <c r="A6" i="3"/>
  <c r="B6" i="2"/>
  <c r="B6" i="3"/>
  <c r="C6" i="2"/>
  <c r="C6" i="3"/>
  <c r="A7" i="2"/>
  <c r="A7" i="3"/>
  <c r="B7" i="2"/>
  <c r="B7" i="3"/>
  <c r="C7" i="2"/>
  <c r="C7" i="3"/>
  <c r="A8" i="2"/>
  <c r="A8" i="3"/>
  <c r="B8" i="2"/>
  <c r="B8" i="3"/>
  <c r="C8" i="2"/>
  <c r="C8" i="3"/>
  <c r="A9" i="2"/>
  <c r="A9" i="3"/>
  <c r="B9" i="2"/>
  <c r="B9" i="3"/>
  <c r="C9" i="2"/>
  <c r="C9" i="3"/>
  <c r="A10" i="2"/>
  <c r="A10" i="3"/>
  <c r="B10" i="2"/>
  <c r="B10" i="3"/>
  <c r="C10" i="2"/>
  <c r="C10" i="3"/>
  <c r="A11" i="2"/>
  <c r="A11" i="3"/>
  <c r="B11" i="2"/>
  <c r="B11" i="3"/>
  <c r="C11" i="2"/>
  <c r="C11" i="3"/>
  <c r="A12" i="2"/>
  <c r="A12" i="3"/>
  <c r="B12" i="2"/>
  <c r="B12" i="3"/>
  <c r="C12" i="2"/>
  <c r="C12" i="3"/>
  <c r="A13" i="2"/>
  <c r="A13" i="3"/>
  <c r="B13" i="2"/>
  <c r="B13" i="3"/>
  <c r="C13" i="2"/>
  <c r="C13" i="3"/>
  <c r="A14" i="2"/>
  <c r="A14" i="3"/>
  <c r="B14" i="2"/>
  <c r="B14" i="3"/>
  <c r="C14" i="2"/>
  <c r="C14" i="3"/>
  <c r="A15" i="2"/>
  <c r="A15" i="3"/>
  <c r="B15" i="2"/>
  <c r="B15" i="3"/>
  <c r="C15" i="2"/>
  <c r="C15" i="3"/>
  <c r="A16" i="2"/>
  <c r="A16" i="3"/>
  <c r="B16" i="2"/>
  <c r="B16" i="3"/>
  <c r="C16" i="2"/>
  <c r="C16" i="3"/>
  <c r="A17" i="2"/>
  <c r="A17" i="3"/>
  <c r="B17" i="2"/>
  <c r="B17" i="3"/>
  <c r="C17" i="2"/>
  <c r="C17" i="3"/>
  <c r="A18" i="2"/>
  <c r="A18" i="3"/>
  <c r="B18" i="2"/>
  <c r="B18" i="3"/>
  <c r="C18" i="2"/>
  <c r="C18" i="3"/>
  <c r="A19" i="2"/>
  <c r="A19" i="3"/>
  <c r="B19" i="2"/>
  <c r="B19" i="3"/>
  <c r="C19" i="2"/>
  <c r="C19" i="3"/>
  <c r="A20" i="2"/>
  <c r="A20" i="3"/>
  <c r="B20" i="2"/>
  <c r="B20" i="3"/>
  <c r="C20" i="2"/>
  <c r="C20" i="3"/>
  <c r="A21" i="2"/>
  <c r="A21" i="3"/>
  <c r="B21" i="2"/>
  <c r="B21" i="3"/>
  <c r="C21" i="2"/>
  <c r="C21" i="3"/>
  <c r="A22" i="2"/>
  <c r="A22" i="3"/>
  <c r="B22" i="2"/>
  <c r="B22" i="3"/>
  <c r="C22" i="2"/>
  <c r="C22" i="3"/>
  <c r="A23" i="2"/>
  <c r="A23" i="3"/>
  <c r="B23" i="2"/>
  <c r="B23" i="3"/>
  <c r="C23" i="2"/>
  <c r="C23" i="3"/>
  <c r="A24" i="2"/>
  <c r="A24" i="3"/>
  <c r="B24" i="2"/>
  <c r="B24" i="3"/>
  <c r="C24" i="2"/>
  <c r="C24" i="3"/>
  <c r="A25" i="2"/>
  <c r="A25" i="3"/>
  <c r="B25" i="2"/>
  <c r="B25" i="3"/>
  <c r="C25" i="2"/>
  <c r="C25" i="3"/>
  <c r="A26" i="2"/>
  <c r="A26" i="3"/>
  <c r="B26" i="2"/>
  <c r="B26" i="3"/>
  <c r="C26" i="2"/>
  <c r="C26" i="3"/>
  <c r="A27" i="2"/>
  <c r="A27" i="3"/>
  <c r="B27" i="2"/>
  <c r="B27" i="3"/>
  <c r="C27" i="2"/>
  <c r="C27" i="3"/>
  <c r="A28" i="2"/>
  <c r="A28" i="3"/>
  <c r="B28" i="2"/>
  <c r="B28" i="3"/>
  <c r="C28" i="2"/>
  <c r="C28" i="3"/>
  <c r="A29" i="2"/>
  <c r="A29" i="3"/>
  <c r="B29" i="2"/>
  <c r="B29" i="3"/>
  <c r="C29" i="2"/>
  <c r="C29" i="3"/>
  <c r="A30" i="2"/>
  <c r="A30" i="3"/>
  <c r="B30" i="2"/>
  <c r="B30" i="3"/>
  <c r="C30" i="2"/>
  <c r="C30" i="3"/>
  <c r="A31" i="2"/>
  <c r="A31" i="3"/>
  <c r="B31" i="2"/>
  <c r="B31" i="3"/>
  <c r="C31" i="2"/>
  <c r="C31" i="3"/>
  <c r="A32" i="2"/>
  <c r="A32" i="3"/>
  <c r="B32" i="2"/>
  <c r="B32" i="3"/>
  <c r="C32" i="2"/>
  <c r="C32" i="3"/>
  <c r="A33" i="2"/>
  <c r="A33" i="3"/>
  <c r="B33" i="2"/>
  <c r="B33" i="3"/>
  <c r="C33" i="2"/>
  <c r="C33" i="3"/>
  <c r="A34" i="2"/>
  <c r="A34" i="3"/>
  <c r="B34" i="2"/>
  <c r="B34" i="3"/>
  <c r="C34" i="2"/>
  <c r="C34" i="3"/>
  <c r="A35" i="2"/>
  <c r="A35" i="3"/>
  <c r="B35" i="2"/>
  <c r="B35" i="3"/>
  <c r="C35" i="2"/>
  <c r="C35" i="3"/>
  <c r="A36" i="2"/>
  <c r="A36" i="3"/>
  <c r="B36" i="2"/>
  <c r="B36" i="3"/>
  <c r="C36" i="2"/>
  <c r="C36" i="3"/>
  <c r="A37" i="2"/>
  <c r="A37" i="3"/>
  <c r="B37" i="2"/>
  <c r="B37" i="3"/>
  <c r="C37" i="2"/>
  <c r="C37" i="3"/>
  <c r="A38" i="2"/>
  <c r="A38" i="3"/>
  <c r="B38" i="2"/>
  <c r="B38" i="3"/>
  <c r="C38" i="2"/>
  <c r="C38" i="3"/>
  <c r="A39" i="2"/>
  <c r="A39" i="3"/>
  <c r="B39" i="2"/>
  <c r="B39" i="3"/>
  <c r="C39" i="2"/>
  <c r="C39" i="3"/>
  <c r="A40" i="2"/>
  <c r="A40" i="3"/>
  <c r="B40" i="2"/>
  <c r="B40" i="3"/>
  <c r="C40" i="2"/>
  <c r="C40" i="3"/>
  <c r="A41" i="2"/>
  <c r="A41" i="3"/>
  <c r="B41" i="2"/>
  <c r="B41" i="3"/>
  <c r="C41" i="2"/>
  <c r="C41" i="3"/>
  <c r="E41" i="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38" i="4"/>
  <c r="E37"/>
  <c r="E36"/>
  <c r="E34"/>
  <c r="E25"/>
  <c r="E22"/>
  <c r="E19"/>
  <c r="E17"/>
  <c r="E13"/>
  <c r="E9"/>
  <c r="E8"/>
  <c r="E37" i="3"/>
  <c r="E36"/>
  <c r="E35"/>
  <c r="E33"/>
  <c r="E18"/>
  <c r="E18" i="2"/>
  <c r="E7"/>
  <c r="E5"/>
</calcChain>
</file>

<file path=xl/sharedStrings.xml><?xml version="1.0" encoding="utf-8"?>
<sst xmlns="http://schemas.openxmlformats.org/spreadsheetml/2006/main" count="407" uniqueCount="102">
  <si>
    <t>Nom de famille</t>
  </si>
  <si>
    <t>Prénom</t>
  </si>
  <si>
    <t>Bruno</t>
  </si>
  <si>
    <t>Virginie</t>
  </si>
  <si>
    <t>Cecile</t>
  </si>
  <si>
    <t>Loic</t>
  </si>
  <si>
    <t>Audrey</t>
  </si>
  <si>
    <t>Amelie</t>
  </si>
  <si>
    <t>Rendu</t>
  </si>
  <si>
    <t>N</t>
  </si>
  <si>
    <t>O</t>
  </si>
  <si>
    <t>BOUBRED -</t>
  </si>
  <si>
    <t>Sabine</t>
  </si>
  <si>
    <t>BENZOUGHARI</t>
  </si>
  <si>
    <t>Rachid</t>
  </si>
  <si>
    <t>BAUDOUIN</t>
  </si>
  <si>
    <t>Emeline</t>
  </si>
  <si>
    <t>BOURGEOIS</t>
  </si>
  <si>
    <t>Benjamin</t>
  </si>
  <si>
    <t>DJAMALIDINE</t>
  </si>
  <si>
    <t>Laylat</t>
  </si>
  <si>
    <t>HADJ-CHERIF</t>
  </si>
  <si>
    <t>L'aalia</t>
  </si>
  <si>
    <t>JEAN-CHARLES</t>
  </si>
  <si>
    <t>Fabien</t>
  </si>
  <si>
    <t>LAGORCE</t>
  </si>
  <si>
    <t>Capucine</t>
  </si>
  <si>
    <t>LE BORGNE</t>
  </si>
  <si>
    <t>Kevin</t>
  </si>
  <si>
    <t>NAJI</t>
  </si>
  <si>
    <t>Mounir</t>
  </si>
  <si>
    <t>NYOURI</t>
  </si>
  <si>
    <t>Sadame</t>
  </si>
  <si>
    <t>SAYARATH</t>
  </si>
  <si>
    <t>Oscar</t>
  </si>
  <si>
    <t>SINCLAIR</t>
  </si>
  <si>
    <t>Xavier</t>
  </si>
  <si>
    <t>TOUAGH</t>
  </si>
  <si>
    <t>Ali</t>
  </si>
  <si>
    <t>YAFU</t>
  </si>
  <si>
    <t>Ludovic</t>
  </si>
  <si>
    <t>TOUROUDE</t>
  </si>
  <si>
    <t>John</t>
  </si>
  <si>
    <t>TRIBOULT</t>
  </si>
  <si>
    <t>Pierre-Alain</t>
  </si>
  <si>
    <t>ALERTE</t>
  </si>
  <si>
    <t>AMRANI</t>
  </si>
  <si>
    <t>Maud</t>
  </si>
  <si>
    <t>BERNARD</t>
  </si>
  <si>
    <t>BOCHE</t>
  </si>
  <si>
    <t>Cedric</t>
  </si>
  <si>
    <t>BOULANGE</t>
  </si>
  <si>
    <t>Eve-aurore</t>
  </si>
  <si>
    <t>BOUSSALEM</t>
  </si>
  <si>
    <t>Ghizlane</t>
  </si>
  <si>
    <t>BUTRUILLE</t>
  </si>
  <si>
    <t>CHEDDAD</t>
  </si>
  <si>
    <t>COURROUX</t>
  </si>
  <si>
    <t>Nicolas</t>
  </si>
  <si>
    <t>DENARDOU</t>
  </si>
  <si>
    <t>DEPARIS</t>
  </si>
  <si>
    <t>Thibaud</t>
  </si>
  <si>
    <t>Tahiyat</t>
  </si>
  <si>
    <t>DUPUIS</t>
  </si>
  <si>
    <t>Antoine</t>
  </si>
  <si>
    <t>DUSSAIX</t>
  </si>
  <si>
    <t>Patrick</t>
  </si>
  <si>
    <t>GALLARD</t>
  </si>
  <si>
    <t>Jeremy</t>
  </si>
  <si>
    <t>GENRI</t>
  </si>
  <si>
    <t>Ariane</t>
  </si>
  <si>
    <t>GROSJEAN</t>
  </si>
  <si>
    <t>Ulric</t>
  </si>
  <si>
    <t>HAMILLE</t>
  </si>
  <si>
    <t>Julien</t>
  </si>
  <si>
    <t>JEAN</t>
  </si>
  <si>
    <t>Christiane</t>
  </si>
  <si>
    <t>KELI</t>
  </si>
  <si>
    <t>Hesna</t>
  </si>
  <si>
    <t>KOPTIENT</t>
  </si>
  <si>
    <t>LAMBEAU</t>
  </si>
  <si>
    <t>QCM</t>
  </si>
  <si>
    <t>Word</t>
  </si>
  <si>
    <t>Excel</t>
  </si>
  <si>
    <t>PPT</t>
  </si>
  <si>
    <t>Note Word</t>
  </si>
  <si>
    <t>Note Excel</t>
  </si>
  <si>
    <t>Note PPT</t>
  </si>
  <si>
    <t>Moyenne</t>
  </si>
  <si>
    <t>Acquis</t>
  </si>
  <si>
    <t>code 
utilisateur</t>
  </si>
  <si>
    <t>Note 
Totale</t>
  </si>
  <si>
    <t>Epreuve : Présentation Assitée par Ordinateur</t>
  </si>
  <si>
    <t>Epreuve : Tableur</t>
  </si>
  <si>
    <t>Epreuve : Traitement de Texte</t>
  </si>
  <si>
    <t>Epreuve : QCM</t>
  </si>
  <si>
    <t>Note QCM 
[/40]</t>
  </si>
  <si>
    <t>Note 
[/20]</t>
  </si>
  <si>
    <t>Recapitulatif UE</t>
  </si>
  <si>
    <t>Recapitulatif C2i</t>
  </si>
  <si>
    <t>Note Max</t>
  </si>
  <si>
    <t>Note Min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</si>
</sst>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textRotation="45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L47"/>
  <sheetViews>
    <sheetView workbookViewId="0">
      <selection activeCell="K3" sqref="K3"/>
    </sheetView>
  </sheetViews>
  <sheetFormatPr baseColWidth="10" defaultRowHeight="12.75"/>
  <cols>
    <col min="1" max="1" width="10" style="2" bestFit="1" customWidth="1"/>
    <col min="2" max="2" width="15" bestFit="1" customWidth="1"/>
    <col min="3" max="3" width="10.5703125" bestFit="1" customWidth="1"/>
  </cols>
  <sheetData>
    <row r="1" spans="1:12">
      <c r="A1" s="8" t="s">
        <v>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5.5">
      <c r="A2" s="4" t="s">
        <v>90</v>
      </c>
      <c r="B2" s="4" t="s">
        <v>0</v>
      </c>
      <c r="C2" s="4" t="s">
        <v>1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7" t="s">
        <v>86</v>
      </c>
      <c r="J2" s="7" t="s">
        <v>87</v>
      </c>
      <c r="K2" s="7" t="s">
        <v>88</v>
      </c>
      <c r="L2" s="7" t="s">
        <v>89</v>
      </c>
    </row>
    <row r="3" spans="1:12">
      <c r="A3" s="12">
        <v>3559</v>
      </c>
      <c r="B3" s="11" t="s">
        <v>11</v>
      </c>
      <c r="C3" s="11" t="s">
        <v>12</v>
      </c>
      <c r="D3" s="13">
        <f>QCM!E3</f>
        <v>17.297777777777778</v>
      </c>
      <c r="E3" s="11" t="str">
        <f>Word!D3</f>
        <v>O</v>
      </c>
      <c r="F3" s="11" t="str">
        <f>Excel!D3</f>
        <v>O</v>
      </c>
      <c r="G3" s="11" t="str">
        <f>PPT!D3</f>
        <v>O</v>
      </c>
      <c r="H3" s="11">
        <f>Word!E3</f>
        <v>14</v>
      </c>
      <c r="I3" s="11">
        <f>Excel!E3</f>
        <v>11</v>
      </c>
      <c r="J3" s="11">
        <f>PPT!E3</f>
        <v>10</v>
      </c>
      <c r="K3" s="11"/>
      <c r="L3" s="11"/>
    </row>
    <row r="4" spans="1:12">
      <c r="A4" s="12">
        <v>3769</v>
      </c>
      <c r="B4" s="11" t="s">
        <v>13</v>
      </c>
      <c r="C4" s="11" t="s">
        <v>14</v>
      </c>
      <c r="D4" s="13">
        <f>QCM!E4</f>
        <v>10.666666666666666</v>
      </c>
      <c r="E4" s="11" t="str">
        <f>Word!D4</f>
        <v>O</v>
      </c>
      <c r="F4" s="11" t="str">
        <f>Excel!D4</f>
        <v>O</v>
      </c>
      <c r="G4" s="11" t="str">
        <f>PPT!D4</f>
        <v>O</v>
      </c>
      <c r="H4" s="11">
        <f>Word!E4</f>
        <v>2</v>
      </c>
      <c r="I4" s="11">
        <f>Excel!E4</f>
        <v>4</v>
      </c>
      <c r="J4" s="11">
        <f>PPT!E4</f>
        <v>8</v>
      </c>
      <c r="K4" s="11"/>
      <c r="L4" s="11"/>
    </row>
    <row r="5" spans="1:12">
      <c r="A5" s="12">
        <v>3922</v>
      </c>
      <c r="B5" s="11" t="s">
        <v>15</v>
      </c>
      <c r="C5" s="11" t="s">
        <v>16</v>
      </c>
      <c r="D5" s="13">
        <f>QCM!E5</f>
        <v>12.737777777777776</v>
      </c>
      <c r="E5" s="11" t="str">
        <f>Word!D5</f>
        <v>N</v>
      </c>
      <c r="F5" s="11" t="str">
        <f>Excel!D5</f>
        <v>O</v>
      </c>
      <c r="G5" s="11" t="str">
        <f>PPT!D5</f>
        <v>N</v>
      </c>
      <c r="H5" s="11">
        <f>Word!E5</f>
        <v>0</v>
      </c>
      <c r="I5" s="11">
        <f>Excel!E5</f>
        <v>8</v>
      </c>
      <c r="J5" s="11">
        <f>PPT!E5</f>
        <v>12</v>
      </c>
      <c r="K5" s="11"/>
      <c r="L5" s="11"/>
    </row>
    <row r="6" spans="1:12">
      <c r="A6" s="12">
        <v>3936</v>
      </c>
      <c r="B6" s="11" t="s">
        <v>17</v>
      </c>
      <c r="C6" s="11" t="s">
        <v>18</v>
      </c>
      <c r="D6" s="13">
        <f>QCM!E6</f>
        <v>15.52</v>
      </c>
      <c r="E6" s="11" t="str">
        <f>Word!D6</f>
        <v>O</v>
      </c>
      <c r="F6" s="11" t="str">
        <f>Excel!D6</f>
        <v>O</v>
      </c>
      <c r="G6" s="11" t="str">
        <f>PPT!D6</f>
        <v>O</v>
      </c>
      <c r="H6" s="11">
        <f>Word!E6</f>
        <v>4</v>
      </c>
      <c r="I6" s="11">
        <f>Excel!E6</f>
        <v>11</v>
      </c>
      <c r="J6" s="11">
        <f>PPT!E6</f>
        <v>13</v>
      </c>
      <c r="K6" s="11"/>
      <c r="L6" s="11"/>
    </row>
    <row r="7" spans="1:12">
      <c r="A7" s="12">
        <v>3967</v>
      </c>
      <c r="B7" s="11" t="s">
        <v>19</v>
      </c>
      <c r="C7" s="11" t="s">
        <v>20</v>
      </c>
      <c r="D7" s="13">
        <f>QCM!E7</f>
        <v>13</v>
      </c>
      <c r="E7" s="11" t="str">
        <f>Word!D7</f>
        <v>N</v>
      </c>
      <c r="F7" s="11" t="str">
        <f>Excel!D7</f>
        <v>N</v>
      </c>
      <c r="G7" s="11" t="str">
        <f>PPT!D7</f>
        <v>O</v>
      </c>
      <c r="H7" s="11">
        <f>Word!E7</f>
        <v>0</v>
      </c>
      <c r="I7" s="11">
        <f>Excel!E7</f>
        <v>0</v>
      </c>
      <c r="J7" s="11">
        <f>PPT!E7</f>
        <v>11</v>
      </c>
      <c r="K7" s="11"/>
      <c r="L7" s="11"/>
    </row>
    <row r="8" spans="1:12">
      <c r="A8" s="12">
        <v>3991</v>
      </c>
      <c r="B8" s="11" t="s">
        <v>21</v>
      </c>
      <c r="C8" s="11" t="s">
        <v>22</v>
      </c>
      <c r="D8" s="13">
        <f>QCM!E8</f>
        <v>15.146666666666667</v>
      </c>
      <c r="E8" s="11" t="str">
        <f>Word!D8</f>
        <v>O</v>
      </c>
      <c r="F8" s="11" t="str">
        <f>Excel!D8</f>
        <v>O</v>
      </c>
      <c r="G8" s="11" t="str">
        <f>PPT!D8</f>
        <v>N</v>
      </c>
      <c r="H8" s="11">
        <f>Word!E8</f>
        <v>7</v>
      </c>
      <c r="I8" s="11">
        <f>Excel!E8</f>
        <v>15</v>
      </c>
      <c r="J8" s="11">
        <f>PPT!E8</f>
        <v>0</v>
      </c>
      <c r="K8" s="11"/>
      <c r="L8" s="11"/>
    </row>
    <row r="9" spans="1:12">
      <c r="A9" s="12">
        <v>3996</v>
      </c>
      <c r="B9" s="11" t="s">
        <v>23</v>
      </c>
      <c r="C9" s="11" t="s">
        <v>24</v>
      </c>
      <c r="D9" s="13">
        <f>QCM!E9</f>
        <v>17.333333333333336</v>
      </c>
      <c r="E9" s="11" t="str">
        <f>Word!D9</f>
        <v>O</v>
      </c>
      <c r="F9" s="11" t="str">
        <f>Excel!D9</f>
        <v>O</v>
      </c>
      <c r="G9" s="11" t="str">
        <f>PPT!D9</f>
        <v>N</v>
      </c>
      <c r="H9" s="11">
        <f>Word!E9</f>
        <v>12</v>
      </c>
      <c r="I9" s="11">
        <f>Excel!E9</f>
        <v>0</v>
      </c>
      <c r="J9" s="11">
        <f>PPT!E9</f>
        <v>0</v>
      </c>
      <c r="K9" s="11"/>
      <c r="L9" s="11"/>
    </row>
    <row r="10" spans="1:12">
      <c r="A10" s="12">
        <v>4002</v>
      </c>
      <c r="B10" s="11" t="s">
        <v>25</v>
      </c>
      <c r="C10" s="11" t="s">
        <v>26</v>
      </c>
      <c r="D10" s="13">
        <f>QCM!E10</f>
        <v>17.182222222222222</v>
      </c>
      <c r="E10" s="11" t="str">
        <f>Word!D10</f>
        <v>O</v>
      </c>
      <c r="F10" s="11" t="str">
        <f>Excel!D10</f>
        <v>O</v>
      </c>
      <c r="G10" s="11" t="str">
        <f>PPT!D10</f>
        <v>O</v>
      </c>
      <c r="H10" s="11">
        <f>Word!E10</f>
        <v>11</v>
      </c>
      <c r="I10" s="11">
        <f>Excel!E10</f>
        <v>12</v>
      </c>
      <c r="J10" s="11">
        <f>PPT!E10</f>
        <v>9</v>
      </c>
      <c r="K10" s="11"/>
      <c r="L10" s="11"/>
    </row>
    <row r="11" spans="1:12">
      <c r="A11" s="12">
        <v>4004</v>
      </c>
      <c r="B11" s="11" t="s">
        <v>27</v>
      </c>
      <c r="C11" s="11" t="s">
        <v>28</v>
      </c>
      <c r="D11" s="13">
        <f>QCM!E11</f>
        <v>13.333333333333332</v>
      </c>
      <c r="E11" s="11" t="str">
        <f>Word!D11</f>
        <v>O</v>
      </c>
      <c r="F11" s="11" t="str">
        <f>Excel!D11</f>
        <v>O</v>
      </c>
      <c r="G11" s="11" t="str">
        <f>PPT!D11</f>
        <v>O</v>
      </c>
      <c r="H11" s="11">
        <f>Word!E11</f>
        <v>8</v>
      </c>
      <c r="I11" s="11">
        <f>Excel!E11</f>
        <v>0</v>
      </c>
      <c r="J11" s="11">
        <f>PPT!E11</f>
        <v>4</v>
      </c>
      <c r="K11" s="11"/>
      <c r="L11" s="11"/>
    </row>
    <row r="12" spans="1:12">
      <c r="A12" s="12">
        <v>4025</v>
      </c>
      <c r="B12" s="11" t="s">
        <v>29</v>
      </c>
      <c r="C12" s="11" t="s">
        <v>30</v>
      </c>
      <c r="D12" s="13">
        <f>QCM!E12</f>
        <v>13.782222222222222</v>
      </c>
      <c r="E12" s="11" t="str">
        <f>Word!D12</f>
        <v>O</v>
      </c>
      <c r="F12" s="11" t="str">
        <f>Excel!D12</f>
        <v>O</v>
      </c>
      <c r="G12" s="11" t="str">
        <f>PPT!D12</f>
        <v>O</v>
      </c>
      <c r="H12" s="11">
        <f>Word!E12</f>
        <v>14</v>
      </c>
      <c r="I12" s="11">
        <f>Excel!E12</f>
        <v>0</v>
      </c>
      <c r="J12" s="11">
        <f>PPT!E12</f>
        <v>4</v>
      </c>
      <c r="K12" s="11"/>
      <c r="L12" s="11"/>
    </row>
    <row r="13" spans="1:12">
      <c r="A13" s="12">
        <v>4034</v>
      </c>
      <c r="B13" s="11" t="s">
        <v>31</v>
      </c>
      <c r="C13" s="11" t="s">
        <v>32</v>
      </c>
      <c r="D13" s="13">
        <f>QCM!E13</f>
        <v>10.222222222222221</v>
      </c>
      <c r="E13" s="11" t="str">
        <f>Word!D13</f>
        <v>O</v>
      </c>
      <c r="F13" s="11" t="str">
        <f>Excel!D13</f>
        <v>O</v>
      </c>
      <c r="G13" s="11" t="str">
        <f>PPT!D13</f>
        <v>N</v>
      </c>
      <c r="H13" s="11">
        <f>Word!E13</f>
        <v>6</v>
      </c>
      <c r="I13" s="11">
        <f>Excel!E13</f>
        <v>0</v>
      </c>
      <c r="J13" s="11">
        <f>PPT!E13</f>
        <v>0</v>
      </c>
      <c r="K13" s="11"/>
      <c r="L13" s="11"/>
    </row>
    <row r="14" spans="1:12">
      <c r="A14" s="12">
        <v>4049</v>
      </c>
      <c r="B14" s="11" t="s">
        <v>33</v>
      </c>
      <c r="C14" s="11" t="s">
        <v>34</v>
      </c>
      <c r="D14" s="13">
        <f>QCM!E14</f>
        <v>18.666666666666668</v>
      </c>
      <c r="E14" s="11" t="str">
        <f>Word!D14</f>
        <v>O</v>
      </c>
      <c r="F14" s="11" t="str">
        <f>Excel!D14</f>
        <v>O</v>
      </c>
      <c r="G14" s="11" t="str">
        <f>PPT!D14</f>
        <v>O</v>
      </c>
      <c r="H14" s="11">
        <f>Word!E14</f>
        <v>9</v>
      </c>
      <c r="I14" s="11">
        <f>Excel!E14</f>
        <v>0</v>
      </c>
      <c r="J14" s="11">
        <f>PPT!E14</f>
        <v>6</v>
      </c>
      <c r="K14" s="11"/>
      <c r="L14" s="11"/>
    </row>
    <row r="15" spans="1:12">
      <c r="A15" s="12">
        <v>4052</v>
      </c>
      <c r="B15" s="11" t="s">
        <v>35</v>
      </c>
      <c r="C15" s="11" t="s">
        <v>36</v>
      </c>
      <c r="D15" s="13">
        <f>QCM!E15</f>
        <v>13.035555555555556</v>
      </c>
      <c r="E15" s="11" t="str">
        <f>Word!D15</f>
        <v>O</v>
      </c>
      <c r="F15" s="11" t="str">
        <f>Excel!D15</f>
        <v>O</v>
      </c>
      <c r="G15" s="11" t="str">
        <f>PPT!D15</f>
        <v>O</v>
      </c>
      <c r="H15" s="11">
        <f>Word!E15</f>
        <v>15</v>
      </c>
      <c r="I15" s="11">
        <f>Excel!E15</f>
        <v>9</v>
      </c>
      <c r="J15" s="11">
        <f>PPT!E15</f>
        <v>8</v>
      </c>
      <c r="K15" s="11"/>
      <c r="L15" s="11"/>
    </row>
    <row r="16" spans="1:12">
      <c r="A16" s="12">
        <v>4062</v>
      </c>
      <c r="B16" s="11" t="s">
        <v>37</v>
      </c>
      <c r="C16" s="11" t="s">
        <v>38</v>
      </c>
      <c r="D16" s="13">
        <f>QCM!E16</f>
        <v>13.333333333333332</v>
      </c>
      <c r="E16" s="11" t="str">
        <f>Word!D16</f>
        <v>O</v>
      </c>
      <c r="F16" s="11" t="str">
        <f>Excel!D16</f>
        <v>O</v>
      </c>
      <c r="G16" s="11" t="str">
        <f>PPT!D16</f>
        <v>O</v>
      </c>
      <c r="H16" s="11">
        <f>Word!E16</f>
        <v>12</v>
      </c>
      <c r="I16" s="11">
        <f>Excel!E16</f>
        <v>12</v>
      </c>
      <c r="J16" s="11">
        <f>PPT!E16</f>
        <v>3</v>
      </c>
      <c r="K16" s="11"/>
      <c r="L16" s="11"/>
    </row>
    <row r="17" spans="1:12">
      <c r="A17" s="12">
        <v>4070</v>
      </c>
      <c r="B17" s="11" t="s">
        <v>39</v>
      </c>
      <c r="C17" s="11" t="s">
        <v>40</v>
      </c>
      <c r="D17" s="13">
        <f>QCM!E17</f>
        <v>16.666666666666668</v>
      </c>
      <c r="E17" s="11" t="str">
        <f>Word!D17</f>
        <v>O</v>
      </c>
      <c r="F17" s="11" t="str">
        <f>Excel!D17</f>
        <v>O</v>
      </c>
      <c r="G17" s="11" t="str">
        <f>PPT!D17</f>
        <v>N</v>
      </c>
      <c r="H17" s="11">
        <f>Word!E17</f>
        <v>11</v>
      </c>
      <c r="I17" s="11">
        <f>Excel!E17</f>
        <v>11</v>
      </c>
      <c r="J17" s="11">
        <f>PPT!E17</f>
        <v>0</v>
      </c>
      <c r="K17" s="11"/>
      <c r="L17" s="11"/>
    </row>
    <row r="18" spans="1:12">
      <c r="A18" s="12">
        <v>4176</v>
      </c>
      <c r="B18" s="11" t="s">
        <v>41</v>
      </c>
      <c r="C18" s="11" t="s">
        <v>42</v>
      </c>
      <c r="D18" s="13">
        <f>QCM!E18</f>
        <v>12.333333333333334</v>
      </c>
      <c r="E18" s="11" t="str">
        <f>Word!D18</f>
        <v>N</v>
      </c>
      <c r="F18" s="11" t="str">
        <f>Excel!D18</f>
        <v>N</v>
      </c>
      <c r="G18" s="11" t="str">
        <f>PPT!D18</f>
        <v>O</v>
      </c>
      <c r="H18" s="11">
        <f>Word!E18</f>
        <v>0</v>
      </c>
      <c r="I18" s="11">
        <f>Excel!E18</f>
        <v>0</v>
      </c>
      <c r="J18" s="11">
        <f>PPT!E18</f>
        <v>13</v>
      </c>
      <c r="K18" s="11"/>
      <c r="L18" s="11"/>
    </row>
    <row r="19" spans="1:12">
      <c r="A19" s="12">
        <v>4187</v>
      </c>
      <c r="B19" s="11" t="s">
        <v>43</v>
      </c>
      <c r="C19" s="11" t="s">
        <v>44</v>
      </c>
      <c r="D19" s="13">
        <f>QCM!E19</f>
        <v>14.373333333333335</v>
      </c>
      <c r="E19" s="11" t="str">
        <f>Word!D19</f>
        <v>O</v>
      </c>
      <c r="F19" s="11" t="str">
        <f>Excel!D19</f>
        <v>O</v>
      </c>
      <c r="G19" s="11" t="str">
        <f>PPT!D19</f>
        <v>N</v>
      </c>
      <c r="H19" s="11">
        <f>Word!E19</f>
        <v>4</v>
      </c>
      <c r="I19" s="11">
        <f>Excel!E19</f>
        <v>12</v>
      </c>
      <c r="J19" s="11">
        <f>PPT!E19</f>
        <v>0</v>
      </c>
      <c r="K19" s="11"/>
      <c r="L19" s="11"/>
    </row>
    <row r="20" spans="1:12">
      <c r="A20" s="12">
        <v>4289</v>
      </c>
      <c r="B20" s="11" t="s">
        <v>45</v>
      </c>
      <c r="C20" s="11" t="s">
        <v>3</v>
      </c>
      <c r="D20" s="13">
        <f>QCM!E20</f>
        <v>15.848888888888888</v>
      </c>
      <c r="E20" s="11" t="str">
        <f>Word!D20</f>
        <v>O</v>
      </c>
      <c r="F20" s="11" t="str">
        <f>Excel!D20</f>
        <v>O</v>
      </c>
      <c r="G20" s="11" t="str">
        <f>PPT!D20</f>
        <v>O</v>
      </c>
      <c r="H20" s="11">
        <f>Word!E20</f>
        <v>8</v>
      </c>
      <c r="I20" s="11">
        <f>Excel!E20</f>
        <v>11</v>
      </c>
      <c r="J20" s="11">
        <f>PPT!E20</f>
        <v>14</v>
      </c>
      <c r="K20" s="11"/>
      <c r="L20" s="11"/>
    </row>
    <row r="21" spans="1:12">
      <c r="A21" s="12">
        <v>4293</v>
      </c>
      <c r="B21" s="11" t="s">
        <v>46</v>
      </c>
      <c r="C21" s="11" t="s">
        <v>47</v>
      </c>
      <c r="D21" s="13">
        <f>QCM!E21</f>
        <v>13.408888888888891</v>
      </c>
      <c r="E21" s="11" t="str">
        <f>Word!D21</f>
        <v>O</v>
      </c>
      <c r="F21" s="11" t="str">
        <f>Excel!D21</f>
        <v>O</v>
      </c>
      <c r="G21" s="11" t="str">
        <f>PPT!D21</f>
        <v>O</v>
      </c>
      <c r="H21" s="11">
        <f>Word!E21</f>
        <v>9</v>
      </c>
      <c r="I21" s="11">
        <f>Excel!E21</f>
        <v>8</v>
      </c>
      <c r="J21" s="11">
        <f>PPT!E21</f>
        <v>11</v>
      </c>
      <c r="K21" s="11"/>
      <c r="L21" s="11"/>
    </row>
    <row r="22" spans="1:12">
      <c r="A22" s="12">
        <v>4302</v>
      </c>
      <c r="B22" s="11" t="s">
        <v>48</v>
      </c>
      <c r="C22" s="11" t="s">
        <v>4</v>
      </c>
      <c r="D22" s="13">
        <f>QCM!E22</f>
        <v>13.151111111111112</v>
      </c>
      <c r="E22" s="11" t="str">
        <f>Word!D22</f>
        <v>O</v>
      </c>
      <c r="F22" s="11" t="str">
        <f>Excel!D22</f>
        <v>O</v>
      </c>
      <c r="G22" s="11" t="str">
        <f>PPT!D22</f>
        <v>N</v>
      </c>
      <c r="H22" s="11">
        <f>Word!E22</f>
        <v>12</v>
      </c>
      <c r="I22" s="11">
        <f>Excel!E22</f>
        <v>14</v>
      </c>
      <c r="J22" s="11">
        <f>PPT!E22</f>
        <v>0</v>
      </c>
      <c r="K22" s="11"/>
      <c r="L22" s="11"/>
    </row>
    <row r="23" spans="1:12">
      <c r="A23" s="12">
        <v>4304</v>
      </c>
      <c r="B23" s="11" t="s">
        <v>49</v>
      </c>
      <c r="C23" s="11" t="s">
        <v>50</v>
      </c>
      <c r="D23" s="13">
        <f>QCM!E23</f>
        <v>15.52</v>
      </c>
      <c r="E23" s="11" t="str">
        <f>Word!D23</f>
        <v>O</v>
      </c>
      <c r="F23" s="11" t="str">
        <f>Excel!D23</f>
        <v>O</v>
      </c>
      <c r="G23" s="11" t="str">
        <f>PPT!D23</f>
        <v>O</v>
      </c>
      <c r="H23" s="11">
        <f>Word!E23</f>
        <v>17</v>
      </c>
      <c r="I23" s="11">
        <f>Excel!E23</f>
        <v>6</v>
      </c>
      <c r="J23" s="11">
        <f>PPT!E23</f>
        <v>10</v>
      </c>
      <c r="K23" s="11"/>
      <c r="L23" s="11"/>
    </row>
    <row r="24" spans="1:12">
      <c r="A24" s="12">
        <v>4307</v>
      </c>
      <c r="B24" s="11" t="s">
        <v>51</v>
      </c>
      <c r="C24" s="11" t="s">
        <v>52</v>
      </c>
      <c r="D24" s="13">
        <f>QCM!E24</f>
        <v>12.368888888888886</v>
      </c>
      <c r="E24" s="11" t="str">
        <f>Word!D24</f>
        <v>O</v>
      </c>
      <c r="F24" s="11" t="str">
        <f>Excel!D24</f>
        <v>O</v>
      </c>
      <c r="G24" s="11" t="str">
        <f>PPT!D24</f>
        <v>O</v>
      </c>
      <c r="H24" s="11">
        <f>Word!E24</f>
        <v>13</v>
      </c>
      <c r="I24" s="11">
        <f>Excel!E24</f>
        <v>9</v>
      </c>
      <c r="J24" s="11">
        <f>PPT!E24</f>
        <v>7</v>
      </c>
      <c r="K24" s="11"/>
      <c r="L24" s="11"/>
    </row>
    <row r="25" spans="1:12">
      <c r="A25" s="12">
        <v>4310</v>
      </c>
      <c r="B25" s="11" t="s">
        <v>53</v>
      </c>
      <c r="C25" s="11" t="s">
        <v>54</v>
      </c>
      <c r="D25" s="13">
        <f>QCM!E25</f>
        <v>16.333333333333332</v>
      </c>
      <c r="E25" s="11" t="str">
        <f>Word!D25</f>
        <v>O</v>
      </c>
      <c r="F25" s="11" t="str">
        <f>Excel!D25</f>
        <v>O</v>
      </c>
      <c r="G25" s="11" t="str">
        <f>PPT!D25</f>
        <v>N</v>
      </c>
      <c r="H25" s="11">
        <f>Word!E25</f>
        <v>13</v>
      </c>
      <c r="I25" s="11">
        <f>Excel!E25</f>
        <v>15</v>
      </c>
      <c r="J25" s="11">
        <f>PPT!E25</f>
        <v>0</v>
      </c>
      <c r="K25" s="11"/>
      <c r="L25" s="11"/>
    </row>
    <row r="26" spans="1:12">
      <c r="A26" s="12">
        <v>4313</v>
      </c>
      <c r="B26" s="11" t="s">
        <v>55</v>
      </c>
      <c r="C26" s="11" t="s">
        <v>7</v>
      </c>
      <c r="D26" s="13">
        <f>QCM!E26</f>
        <v>15.186666666666667</v>
      </c>
      <c r="E26" s="11" t="str">
        <f>Word!D26</f>
        <v>O</v>
      </c>
      <c r="F26" s="11" t="str">
        <f>Excel!D26</f>
        <v>O</v>
      </c>
      <c r="G26" s="11" t="str">
        <f>PPT!D26</f>
        <v>O</v>
      </c>
      <c r="H26" s="11">
        <f>Word!E26</f>
        <v>12</v>
      </c>
      <c r="I26" s="11">
        <f>Excel!E26</f>
        <v>12</v>
      </c>
      <c r="J26" s="11">
        <f>PPT!E26</f>
        <v>6</v>
      </c>
      <c r="K26" s="11"/>
      <c r="L26" s="11"/>
    </row>
    <row r="27" spans="1:12">
      <c r="A27" s="12">
        <v>4318</v>
      </c>
      <c r="B27" s="11" t="s">
        <v>56</v>
      </c>
      <c r="C27" s="11" t="s">
        <v>6</v>
      </c>
      <c r="D27" s="13">
        <f>QCM!E27</f>
        <v>14.964444444444444</v>
      </c>
      <c r="E27" s="11" t="str">
        <f>Word!D27</f>
        <v>O</v>
      </c>
      <c r="F27" s="11" t="str">
        <f>Excel!D27</f>
        <v>O</v>
      </c>
      <c r="G27" s="11" t="str">
        <f>PPT!D27</f>
        <v>O</v>
      </c>
      <c r="H27" s="11">
        <f>Word!E27</f>
        <v>7</v>
      </c>
      <c r="I27" s="11">
        <f>Excel!E27</f>
        <v>11</v>
      </c>
      <c r="J27" s="11">
        <f>PPT!E27</f>
        <v>9</v>
      </c>
      <c r="K27" s="11"/>
      <c r="L27" s="11"/>
    </row>
    <row r="28" spans="1:12">
      <c r="A28" s="12">
        <v>4325</v>
      </c>
      <c r="B28" s="11" t="s">
        <v>57</v>
      </c>
      <c r="C28" s="11" t="s">
        <v>58</v>
      </c>
      <c r="D28" s="13">
        <f>QCM!E28</f>
        <v>15.333333333333334</v>
      </c>
      <c r="E28" s="11" t="str">
        <f>Word!D28</f>
        <v>O</v>
      </c>
      <c r="F28" s="11" t="str">
        <f>Excel!D28</f>
        <v>O</v>
      </c>
      <c r="G28" s="11" t="str">
        <f>PPT!D28</f>
        <v>O</v>
      </c>
      <c r="H28" s="11">
        <f>Word!E28</f>
        <v>4</v>
      </c>
      <c r="I28" s="11">
        <f>Excel!E28</f>
        <v>5</v>
      </c>
      <c r="J28" s="11">
        <f>PPT!E28</f>
        <v>11</v>
      </c>
      <c r="K28" s="11"/>
      <c r="L28" s="11"/>
    </row>
    <row r="29" spans="1:12">
      <c r="A29" s="12">
        <v>4337</v>
      </c>
      <c r="B29" s="11" t="s">
        <v>59</v>
      </c>
      <c r="C29" s="11" t="s">
        <v>2</v>
      </c>
      <c r="D29" s="13">
        <f>QCM!E29</f>
        <v>15.333333333333334</v>
      </c>
      <c r="E29" s="11" t="str">
        <f>Word!D29</f>
        <v>O</v>
      </c>
      <c r="F29" s="11" t="str">
        <f>Excel!D29</f>
        <v>O</v>
      </c>
      <c r="G29" s="11" t="str">
        <f>PPT!D29</f>
        <v>O</v>
      </c>
      <c r="H29" s="11">
        <f>Word!E29</f>
        <v>8</v>
      </c>
      <c r="I29" s="11">
        <f>Excel!E29</f>
        <v>4</v>
      </c>
      <c r="J29" s="11">
        <f>PPT!E29</f>
        <v>14</v>
      </c>
      <c r="K29" s="11"/>
      <c r="L29" s="11"/>
    </row>
    <row r="30" spans="1:12">
      <c r="A30" s="12">
        <v>4339</v>
      </c>
      <c r="B30" s="11" t="s">
        <v>60</v>
      </c>
      <c r="C30" s="11" t="s">
        <v>61</v>
      </c>
      <c r="D30" s="13">
        <f>QCM!E30</f>
        <v>17.257777777777775</v>
      </c>
      <c r="E30" s="11" t="str">
        <f>Word!D30</f>
        <v>O</v>
      </c>
      <c r="F30" s="11" t="str">
        <f>Excel!D30</f>
        <v>O</v>
      </c>
      <c r="G30" s="11" t="str">
        <f>PPT!D30</f>
        <v>O</v>
      </c>
      <c r="H30" s="11">
        <f>Word!E30</f>
        <v>11</v>
      </c>
      <c r="I30" s="11">
        <f>Excel!E30</f>
        <v>8</v>
      </c>
      <c r="J30" s="11">
        <f>PPT!E30</f>
        <v>11</v>
      </c>
      <c r="K30" s="11"/>
      <c r="L30" s="11"/>
    </row>
    <row r="31" spans="1:12">
      <c r="A31" s="12">
        <v>4341</v>
      </c>
      <c r="B31" s="11" t="s">
        <v>19</v>
      </c>
      <c r="C31" s="11" t="s">
        <v>62</v>
      </c>
      <c r="D31" s="13">
        <f>QCM!E31</f>
        <v>17.368888888888886</v>
      </c>
      <c r="E31" s="11" t="str">
        <f>Word!D31</f>
        <v>O</v>
      </c>
      <c r="F31" s="11" t="str">
        <f>Excel!D31</f>
        <v>O</v>
      </c>
      <c r="G31" s="11" t="str">
        <f>PPT!D31</f>
        <v>O</v>
      </c>
      <c r="H31" s="11">
        <f>Word!E31</f>
        <v>12</v>
      </c>
      <c r="I31" s="11">
        <f>Excel!E31</f>
        <v>4</v>
      </c>
      <c r="J31" s="11">
        <f>PPT!E31</f>
        <v>10</v>
      </c>
      <c r="K31" s="11"/>
      <c r="L31" s="11"/>
    </row>
    <row r="32" spans="1:12">
      <c r="A32" s="12">
        <v>4349</v>
      </c>
      <c r="B32" s="11" t="s">
        <v>63</v>
      </c>
      <c r="C32" s="11" t="s">
        <v>64</v>
      </c>
      <c r="D32" s="13">
        <f>QCM!E32</f>
        <v>14.293333333333331</v>
      </c>
      <c r="E32" s="11" t="str">
        <f>Word!D32</f>
        <v>O</v>
      </c>
      <c r="F32" s="11" t="str">
        <f>Excel!D32</f>
        <v>O</v>
      </c>
      <c r="G32" s="11" t="str">
        <f>PPT!D32</f>
        <v>O</v>
      </c>
      <c r="H32" s="11">
        <f>Word!E32</f>
        <v>15</v>
      </c>
      <c r="I32" s="11">
        <f>Excel!E32</f>
        <v>4</v>
      </c>
      <c r="J32" s="11">
        <f>PPT!E32</f>
        <v>5</v>
      </c>
      <c r="K32" s="11"/>
      <c r="L32" s="11"/>
    </row>
    <row r="33" spans="1:12">
      <c r="A33" s="12">
        <v>4350</v>
      </c>
      <c r="B33" s="11" t="s">
        <v>65</v>
      </c>
      <c r="C33" s="11" t="s">
        <v>66</v>
      </c>
      <c r="D33" s="13" t="str">
        <f>QCM!E33</f>
        <v>A</v>
      </c>
      <c r="E33" s="11" t="str">
        <f>Word!D33</f>
        <v>N</v>
      </c>
      <c r="F33" s="11" t="str">
        <f>Excel!D33</f>
        <v>N</v>
      </c>
      <c r="G33" s="11" t="str">
        <f>PPT!D33</f>
        <v>O</v>
      </c>
      <c r="H33" s="11">
        <f>Word!E33</f>
        <v>0</v>
      </c>
      <c r="I33" s="11">
        <f>Excel!E33</f>
        <v>0</v>
      </c>
      <c r="J33" s="11">
        <f>PPT!E33</f>
        <v>8</v>
      </c>
      <c r="K33" s="11"/>
      <c r="L33" s="11"/>
    </row>
    <row r="34" spans="1:12">
      <c r="A34" s="12">
        <v>4362</v>
      </c>
      <c r="B34" s="11" t="s">
        <v>67</v>
      </c>
      <c r="C34" s="11" t="s">
        <v>68</v>
      </c>
      <c r="D34" s="13">
        <f>QCM!E34</f>
        <v>16.146666666666668</v>
      </c>
      <c r="E34" s="11" t="str">
        <f>Word!D34</f>
        <v>O</v>
      </c>
      <c r="F34" s="11" t="str">
        <f>Excel!D34</f>
        <v>O</v>
      </c>
      <c r="G34" s="11" t="str">
        <f>PPT!D34</f>
        <v>N</v>
      </c>
      <c r="H34" s="11">
        <f>Word!E34</f>
        <v>12</v>
      </c>
      <c r="I34" s="11">
        <f>Excel!E34</f>
        <v>8</v>
      </c>
      <c r="J34" s="11">
        <f>PPT!E34</f>
        <v>0</v>
      </c>
      <c r="K34" s="11"/>
      <c r="L34" s="11"/>
    </row>
    <row r="35" spans="1:12">
      <c r="A35" s="12">
        <v>4367</v>
      </c>
      <c r="B35" s="11" t="s">
        <v>69</v>
      </c>
      <c r="C35" s="11" t="s">
        <v>70</v>
      </c>
      <c r="D35" s="13" t="str">
        <f>QCM!E35</f>
        <v>A</v>
      </c>
      <c r="E35" s="11" t="str">
        <f>Word!D35</f>
        <v>N</v>
      </c>
      <c r="F35" s="11" t="str">
        <f>Excel!D35</f>
        <v>N</v>
      </c>
      <c r="G35" s="11" t="str">
        <f>PPT!D35</f>
        <v>O</v>
      </c>
      <c r="H35" s="11">
        <f>Word!E35</f>
        <v>0</v>
      </c>
      <c r="I35" s="11">
        <f>Excel!E35</f>
        <v>0</v>
      </c>
      <c r="J35" s="11">
        <f>PPT!E35</f>
        <v>9</v>
      </c>
      <c r="K35" s="11"/>
      <c r="L35" s="11"/>
    </row>
    <row r="36" spans="1:12">
      <c r="A36" s="12">
        <v>4375</v>
      </c>
      <c r="B36" s="11" t="s">
        <v>71</v>
      </c>
      <c r="C36" s="11" t="s">
        <v>72</v>
      </c>
      <c r="D36" s="13" t="str">
        <f>QCM!E36</f>
        <v>A</v>
      </c>
      <c r="E36" s="11" t="str">
        <f>Word!D36</f>
        <v>N</v>
      </c>
      <c r="F36" s="11" t="str">
        <f>Excel!D36</f>
        <v>N</v>
      </c>
      <c r="G36" s="11" t="str">
        <f>PPT!D36</f>
        <v>N</v>
      </c>
      <c r="H36" s="11">
        <f>Word!E36</f>
        <v>0</v>
      </c>
      <c r="I36" s="11">
        <f>Excel!E36</f>
        <v>0</v>
      </c>
      <c r="J36" s="11">
        <f>PPT!E36</f>
        <v>0</v>
      </c>
      <c r="K36" s="11"/>
      <c r="L36" s="11"/>
    </row>
    <row r="37" spans="1:12">
      <c r="A37" s="12">
        <v>4379</v>
      </c>
      <c r="B37" s="11" t="s">
        <v>73</v>
      </c>
      <c r="C37" s="11" t="s">
        <v>74</v>
      </c>
      <c r="D37" s="13">
        <f>QCM!E37</f>
        <v>14.293333333333331</v>
      </c>
      <c r="E37" s="11" t="str">
        <f>Word!D37</f>
        <v>N</v>
      </c>
      <c r="F37" s="11" t="str">
        <f>Excel!D37</f>
        <v>N</v>
      </c>
      <c r="G37" s="11" t="str">
        <f>PPT!D37</f>
        <v>N</v>
      </c>
      <c r="H37" s="11">
        <f>Word!E37</f>
        <v>0</v>
      </c>
      <c r="I37" s="11">
        <f>Excel!E37</f>
        <v>0</v>
      </c>
      <c r="J37" s="11">
        <f>PPT!E37</f>
        <v>0</v>
      </c>
      <c r="K37" s="11"/>
      <c r="L37" s="11"/>
    </row>
    <row r="38" spans="1:12">
      <c r="A38" s="12">
        <v>4381</v>
      </c>
      <c r="B38" s="11" t="s">
        <v>75</v>
      </c>
      <c r="C38" s="11" t="s">
        <v>76</v>
      </c>
      <c r="D38" s="13">
        <f>QCM!E38</f>
        <v>15.257777777777777</v>
      </c>
      <c r="E38" s="11" t="str">
        <f>Word!D38</f>
        <v>N</v>
      </c>
      <c r="F38" s="11" t="str">
        <f>Excel!D38</f>
        <v>O</v>
      </c>
      <c r="G38" s="11" t="str">
        <f>PPT!D38</f>
        <v>N</v>
      </c>
      <c r="H38" s="11">
        <f>Word!E38</f>
        <v>0</v>
      </c>
      <c r="I38" s="11">
        <f>Excel!E38</f>
        <v>9</v>
      </c>
      <c r="J38" s="11">
        <f>PPT!E38</f>
        <v>0</v>
      </c>
      <c r="K38" s="11"/>
      <c r="L38" s="11"/>
    </row>
    <row r="39" spans="1:12">
      <c r="A39" s="12">
        <v>4386</v>
      </c>
      <c r="B39" s="11" t="s">
        <v>77</v>
      </c>
      <c r="C39" s="11" t="s">
        <v>78</v>
      </c>
      <c r="D39" s="13">
        <f>QCM!E39</f>
        <v>13.777777777777779</v>
      </c>
      <c r="E39" s="11" t="str">
        <f>Word!D39</f>
        <v>O</v>
      </c>
      <c r="F39" s="11" t="str">
        <f>Excel!D39</f>
        <v>O</v>
      </c>
      <c r="G39" s="11" t="str">
        <f>PPT!D39</f>
        <v>O</v>
      </c>
      <c r="H39" s="11">
        <f>Word!E39</f>
        <v>9</v>
      </c>
      <c r="I39" s="11">
        <f>Excel!E39</f>
        <v>11</v>
      </c>
      <c r="J39" s="11">
        <f>PPT!E39</f>
        <v>10</v>
      </c>
      <c r="K39" s="11"/>
      <c r="L39" s="11"/>
    </row>
    <row r="40" spans="1:12">
      <c r="A40" s="12">
        <v>4388</v>
      </c>
      <c r="B40" s="11" t="s">
        <v>79</v>
      </c>
      <c r="C40" s="11" t="s">
        <v>7</v>
      </c>
      <c r="D40" s="13">
        <f>QCM!E40</f>
        <v>16.408888888888889</v>
      </c>
      <c r="E40" s="11" t="str">
        <f>Word!D40</f>
        <v>O</v>
      </c>
      <c r="F40" s="11" t="str">
        <f>Excel!D40</f>
        <v>O</v>
      </c>
      <c r="G40" s="11" t="str">
        <f>PPT!D40</f>
        <v>O</v>
      </c>
      <c r="H40" s="11">
        <f>Word!E40</f>
        <v>12</v>
      </c>
      <c r="I40" s="11">
        <f>Excel!E40</f>
        <v>7</v>
      </c>
      <c r="J40" s="11">
        <f>PPT!E40</f>
        <v>12</v>
      </c>
      <c r="K40" s="11"/>
      <c r="L40" s="11"/>
    </row>
    <row r="41" spans="1:12">
      <c r="A41" s="12">
        <v>4392</v>
      </c>
      <c r="B41" s="11" t="s">
        <v>80</v>
      </c>
      <c r="C41" s="11" t="s">
        <v>5</v>
      </c>
      <c r="D41" s="13">
        <f>QCM!E41</f>
        <v>11.924444444444443</v>
      </c>
      <c r="E41" s="11" t="str">
        <f>Word!D41</f>
        <v>O</v>
      </c>
      <c r="F41" s="11" t="str">
        <f>Excel!D41</f>
        <v>O</v>
      </c>
      <c r="G41" s="11" t="str">
        <f>PPT!D41</f>
        <v>O</v>
      </c>
      <c r="H41" s="11">
        <f>Word!E41</f>
        <v>11</v>
      </c>
      <c r="I41" s="11">
        <f>Excel!E41</f>
        <v>9</v>
      </c>
      <c r="J41" s="11">
        <f>PPT!E41</f>
        <v>14</v>
      </c>
      <c r="K41" s="11"/>
      <c r="L41" s="11"/>
    </row>
    <row r="45" spans="1:12">
      <c r="C45" s="12" t="s">
        <v>88</v>
      </c>
      <c r="D45" s="13">
        <f>AVERAGE(D3:D41)</f>
        <v>14.689135802469135</v>
      </c>
      <c r="E45" s="11"/>
      <c r="F45" s="11"/>
      <c r="G45" s="11"/>
      <c r="H45" s="13">
        <f>AVERAGE(H3:H41)</f>
        <v>8.0512820512820511</v>
      </c>
      <c r="I45" s="13">
        <f>AVERAGE(I3:I41)</f>
        <v>6.666666666666667</v>
      </c>
      <c r="J45" s="13">
        <f>AVERAGE(J3:J41)</f>
        <v>6.7179487179487181</v>
      </c>
      <c r="K45" s="11"/>
    </row>
    <row r="46" spans="1:12">
      <c r="C46" s="12" t="s">
        <v>100</v>
      </c>
      <c r="D46" s="13">
        <f>MAX(D3:D41)</f>
        <v>18.666666666666668</v>
      </c>
      <c r="E46" s="11"/>
      <c r="F46" s="11"/>
      <c r="G46" s="11"/>
      <c r="H46" s="13">
        <f>MAX(H3:H41)</f>
        <v>17</v>
      </c>
      <c r="I46" s="13">
        <f>MAX(I3:I41)</f>
        <v>15</v>
      </c>
      <c r="J46" s="13">
        <f>MAX(J3:J41)</f>
        <v>14</v>
      </c>
      <c r="K46" s="11"/>
    </row>
    <row r="47" spans="1:12">
      <c r="C47" s="12" t="s">
        <v>101</v>
      </c>
      <c r="D47" s="13">
        <f>MIN(D3:D41)</f>
        <v>10.222222222222221</v>
      </c>
      <c r="E47" s="11"/>
      <c r="F47" s="11"/>
      <c r="G47" s="11"/>
      <c r="H47" s="13">
        <f>MIN(H3:H41)</f>
        <v>0</v>
      </c>
      <c r="I47" s="13">
        <f>MIN(I3:I41)</f>
        <v>0</v>
      </c>
      <c r="J47" s="13">
        <f>MIN(J3:J41)</f>
        <v>0</v>
      </c>
      <c r="K47" s="11"/>
    </row>
  </sheetData>
  <mergeCells count="1">
    <mergeCell ref="A1:L1"/>
  </mergeCells>
  <phoneticPr fontId="2" type="noConversion"/>
  <pageMargins left="0.78740157499999996" right="0.78740157499999996" top="0.984251969" bottom="0.984251969" header="0.4921259845" footer="0.4921259845"/>
  <pageSetup paperSize="9" orientation="portrait" horizontalDpi="30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L47"/>
  <sheetViews>
    <sheetView tabSelected="1" workbookViewId="0">
      <selection activeCell="K3" sqref="K3"/>
    </sheetView>
  </sheetViews>
  <sheetFormatPr baseColWidth="10" defaultRowHeight="12.75"/>
  <cols>
    <col min="1" max="1" width="10" style="2" bestFit="1" customWidth="1"/>
    <col min="2" max="2" width="15" bestFit="1" customWidth="1"/>
    <col min="3" max="3" width="10.5703125" bestFit="1" customWidth="1"/>
  </cols>
  <sheetData>
    <row r="1" spans="1:12">
      <c r="A1" s="8" t="s">
        <v>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6" customFormat="1" ht="25.5">
      <c r="A2" s="4" t="s">
        <v>90</v>
      </c>
      <c r="B2" s="4" t="s">
        <v>0</v>
      </c>
      <c r="C2" s="4" t="s">
        <v>1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7" t="s">
        <v>86</v>
      </c>
      <c r="J2" s="7" t="s">
        <v>87</v>
      </c>
      <c r="K2" s="7" t="s">
        <v>88</v>
      </c>
      <c r="L2" s="7" t="s">
        <v>89</v>
      </c>
    </row>
    <row r="3" spans="1:12">
      <c r="A3" s="12">
        <v>3559</v>
      </c>
      <c r="B3" s="11" t="s">
        <v>11</v>
      </c>
      <c r="C3" s="11" t="s">
        <v>12</v>
      </c>
      <c r="D3" s="13">
        <f>QCM!E3</f>
        <v>17.297777777777778</v>
      </c>
      <c r="E3" s="11" t="str">
        <f>Word!D3</f>
        <v>O</v>
      </c>
      <c r="F3" s="11" t="str">
        <f>Excel!D3</f>
        <v>O</v>
      </c>
      <c r="G3" s="11" t="str">
        <f>PPT!D3</f>
        <v>O</v>
      </c>
      <c r="H3" s="11">
        <f>Word!E3</f>
        <v>14</v>
      </c>
      <c r="I3" s="11">
        <f>Excel!E3</f>
        <v>11</v>
      </c>
      <c r="J3" s="11">
        <f>PPT!E3</f>
        <v>10</v>
      </c>
      <c r="K3" s="11"/>
      <c r="L3" s="11"/>
    </row>
    <row r="4" spans="1:12">
      <c r="A4" s="12">
        <v>3769</v>
      </c>
      <c r="B4" s="11" t="s">
        <v>13</v>
      </c>
      <c r="C4" s="11" t="s">
        <v>14</v>
      </c>
      <c r="D4" s="13">
        <f>QCM!E4</f>
        <v>10.666666666666666</v>
      </c>
      <c r="E4" s="11" t="str">
        <f>Word!D4</f>
        <v>O</v>
      </c>
      <c r="F4" s="11" t="str">
        <f>Excel!D4</f>
        <v>O</v>
      </c>
      <c r="G4" s="11" t="str">
        <f>PPT!D4</f>
        <v>O</v>
      </c>
      <c r="H4" s="11">
        <f>Word!E4</f>
        <v>2</v>
      </c>
      <c r="I4" s="11">
        <f>Excel!E4</f>
        <v>4</v>
      </c>
      <c r="J4" s="11">
        <f>PPT!E4</f>
        <v>8</v>
      </c>
      <c r="K4" s="11"/>
      <c r="L4" s="11"/>
    </row>
    <row r="5" spans="1:12">
      <c r="A5" s="12">
        <v>3922</v>
      </c>
      <c r="B5" s="11" t="s">
        <v>15</v>
      </c>
      <c r="C5" s="11" t="s">
        <v>16</v>
      </c>
      <c r="D5" s="13">
        <f>QCM!E5</f>
        <v>12.737777777777776</v>
      </c>
      <c r="E5" s="11" t="str">
        <f>Word!D5</f>
        <v>N</v>
      </c>
      <c r="F5" s="11" t="str">
        <f>Excel!D5</f>
        <v>O</v>
      </c>
      <c r="G5" s="11" t="str">
        <f>PPT!D5</f>
        <v>N</v>
      </c>
      <c r="H5" s="11">
        <f>Word!E5</f>
        <v>0</v>
      </c>
      <c r="I5" s="11">
        <f>Excel!E5</f>
        <v>8</v>
      </c>
      <c r="J5" s="11">
        <f>PPT!E5</f>
        <v>12</v>
      </c>
      <c r="K5" s="11"/>
      <c r="L5" s="11"/>
    </row>
    <row r="6" spans="1:12">
      <c r="A6" s="12">
        <v>3936</v>
      </c>
      <c r="B6" s="11" t="s">
        <v>17</v>
      </c>
      <c r="C6" s="11" t="s">
        <v>18</v>
      </c>
      <c r="D6" s="13">
        <f>QCM!E6</f>
        <v>15.52</v>
      </c>
      <c r="E6" s="11" t="str">
        <f>Word!D6</f>
        <v>O</v>
      </c>
      <c r="F6" s="11" t="str">
        <f>Excel!D6</f>
        <v>O</v>
      </c>
      <c r="G6" s="11" t="str">
        <f>PPT!D6</f>
        <v>O</v>
      </c>
      <c r="H6" s="11">
        <f>Word!E6</f>
        <v>4</v>
      </c>
      <c r="I6" s="11">
        <f>Excel!E6</f>
        <v>11</v>
      </c>
      <c r="J6" s="11">
        <f>PPT!E6</f>
        <v>13</v>
      </c>
      <c r="K6" s="11"/>
      <c r="L6" s="11"/>
    </row>
    <row r="7" spans="1:12">
      <c r="A7" s="12">
        <v>3967</v>
      </c>
      <c r="B7" s="11" t="s">
        <v>19</v>
      </c>
      <c r="C7" s="11" t="s">
        <v>20</v>
      </c>
      <c r="D7" s="13">
        <f>QCM!E7</f>
        <v>13</v>
      </c>
      <c r="E7" s="11" t="str">
        <f>Word!D7</f>
        <v>N</v>
      </c>
      <c r="F7" s="11" t="str">
        <f>Excel!D7</f>
        <v>N</v>
      </c>
      <c r="G7" s="11" t="str">
        <f>PPT!D7</f>
        <v>O</v>
      </c>
      <c r="H7" s="11">
        <f>Word!E7</f>
        <v>0</v>
      </c>
      <c r="I7" s="11">
        <f>Excel!E7</f>
        <v>0</v>
      </c>
      <c r="J7" s="11">
        <f>PPT!E7</f>
        <v>11</v>
      </c>
      <c r="K7" s="11"/>
      <c r="L7" s="11"/>
    </row>
    <row r="8" spans="1:12">
      <c r="A8" s="12">
        <v>3991</v>
      </c>
      <c r="B8" s="11" t="s">
        <v>21</v>
      </c>
      <c r="C8" s="11" t="s">
        <v>22</v>
      </c>
      <c r="D8" s="13">
        <f>QCM!E8</f>
        <v>15.146666666666667</v>
      </c>
      <c r="E8" s="11" t="str">
        <f>Word!D8</f>
        <v>O</v>
      </c>
      <c r="F8" s="11" t="str">
        <f>Excel!D8</f>
        <v>O</v>
      </c>
      <c r="G8" s="11" t="str">
        <f>PPT!D8</f>
        <v>N</v>
      </c>
      <c r="H8" s="11">
        <f>Word!E8</f>
        <v>7</v>
      </c>
      <c r="I8" s="11">
        <f>Excel!E8</f>
        <v>15</v>
      </c>
      <c r="J8" s="11">
        <f>PPT!E8</f>
        <v>0</v>
      </c>
      <c r="K8" s="11"/>
      <c r="L8" s="11"/>
    </row>
    <row r="9" spans="1:12">
      <c r="A9" s="12">
        <v>3996</v>
      </c>
      <c r="B9" s="11" t="s">
        <v>23</v>
      </c>
      <c r="C9" s="11" t="s">
        <v>24</v>
      </c>
      <c r="D9" s="13">
        <f>QCM!E9</f>
        <v>17.333333333333336</v>
      </c>
      <c r="E9" s="11" t="str">
        <f>Word!D9</f>
        <v>O</v>
      </c>
      <c r="F9" s="11" t="str">
        <f>Excel!D9</f>
        <v>O</v>
      </c>
      <c r="G9" s="11" t="str">
        <f>PPT!D9</f>
        <v>N</v>
      </c>
      <c r="H9" s="11">
        <f>Word!E9</f>
        <v>12</v>
      </c>
      <c r="I9" s="11">
        <f>Excel!E9</f>
        <v>0</v>
      </c>
      <c r="J9" s="11">
        <f>PPT!E9</f>
        <v>0</v>
      </c>
      <c r="K9" s="11"/>
      <c r="L9" s="11"/>
    </row>
    <row r="10" spans="1:12">
      <c r="A10" s="12">
        <v>4002</v>
      </c>
      <c r="B10" s="11" t="s">
        <v>25</v>
      </c>
      <c r="C10" s="11" t="s">
        <v>26</v>
      </c>
      <c r="D10" s="13">
        <f>QCM!E10</f>
        <v>17.182222222222222</v>
      </c>
      <c r="E10" s="11" t="str">
        <f>Word!D10</f>
        <v>O</v>
      </c>
      <c r="F10" s="11" t="str">
        <f>Excel!D10</f>
        <v>O</v>
      </c>
      <c r="G10" s="11" t="str">
        <f>PPT!D10</f>
        <v>O</v>
      </c>
      <c r="H10" s="11">
        <f>Word!E10</f>
        <v>11</v>
      </c>
      <c r="I10" s="11">
        <f>Excel!E10</f>
        <v>12</v>
      </c>
      <c r="J10" s="11">
        <f>PPT!E10</f>
        <v>9</v>
      </c>
      <c r="K10" s="11"/>
      <c r="L10" s="11"/>
    </row>
    <row r="11" spans="1:12">
      <c r="A11" s="12">
        <v>4004</v>
      </c>
      <c r="B11" s="11" t="s">
        <v>27</v>
      </c>
      <c r="C11" s="11" t="s">
        <v>28</v>
      </c>
      <c r="D11" s="13">
        <f>QCM!E11</f>
        <v>13.333333333333332</v>
      </c>
      <c r="E11" s="11" t="str">
        <f>Word!D11</f>
        <v>O</v>
      </c>
      <c r="F11" s="11" t="str">
        <f>Excel!D11</f>
        <v>O</v>
      </c>
      <c r="G11" s="11" t="str">
        <f>PPT!D11</f>
        <v>O</v>
      </c>
      <c r="H11" s="11">
        <f>Word!E11</f>
        <v>8</v>
      </c>
      <c r="I11" s="11">
        <f>Excel!E11</f>
        <v>0</v>
      </c>
      <c r="J11" s="11">
        <f>PPT!E11</f>
        <v>4</v>
      </c>
      <c r="K11" s="11"/>
      <c r="L11" s="11"/>
    </row>
    <row r="12" spans="1:12">
      <c r="A12" s="12">
        <v>4025</v>
      </c>
      <c r="B12" s="11" t="s">
        <v>29</v>
      </c>
      <c r="C12" s="11" t="s">
        <v>30</v>
      </c>
      <c r="D12" s="13">
        <f>QCM!E12</f>
        <v>13.782222222222222</v>
      </c>
      <c r="E12" s="11" t="str">
        <f>Word!D12</f>
        <v>O</v>
      </c>
      <c r="F12" s="11" t="str">
        <f>Excel!D12</f>
        <v>O</v>
      </c>
      <c r="G12" s="11" t="str">
        <f>PPT!D12</f>
        <v>O</v>
      </c>
      <c r="H12" s="11">
        <f>Word!E12</f>
        <v>14</v>
      </c>
      <c r="I12" s="11">
        <f>Excel!E12</f>
        <v>0</v>
      </c>
      <c r="J12" s="11">
        <f>PPT!E12</f>
        <v>4</v>
      </c>
      <c r="K12" s="11"/>
      <c r="L12" s="11"/>
    </row>
    <row r="13" spans="1:12">
      <c r="A13" s="12">
        <v>4034</v>
      </c>
      <c r="B13" s="11" t="s">
        <v>31</v>
      </c>
      <c r="C13" s="11" t="s">
        <v>32</v>
      </c>
      <c r="D13" s="13">
        <f>QCM!E13</f>
        <v>10.222222222222221</v>
      </c>
      <c r="E13" s="11" t="str">
        <f>Word!D13</f>
        <v>O</v>
      </c>
      <c r="F13" s="11" t="str">
        <f>Excel!D13</f>
        <v>O</v>
      </c>
      <c r="G13" s="11" t="str">
        <f>PPT!D13</f>
        <v>N</v>
      </c>
      <c r="H13" s="11">
        <f>Word!E13</f>
        <v>6</v>
      </c>
      <c r="I13" s="11">
        <f>Excel!E13</f>
        <v>0</v>
      </c>
      <c r="J13" s="11">
        <f>PPT!E13</f>
        <v>0</v>
      </c>
      <c r="K13" s="11"/>
      <c r="L13" s="11"/>
    </row>
    <row r="14" spans="1:12">
      <c r="A14" s="12">
        <v>4049</v>
      </c>
      <c r="B14" s="11" t="s">
        <v>33</v>
      </c>
      <c r="C14" s="11" t="s">
        <v>34</v>
      </c>
      <c r="D14" s="13">
        <f>QCM!E14</f>
        <v>18.666666666666668</v>
      </c>
      <c r="E14" s="11" t="str">
        <f>Word!D14</f>
        <v>O</v>
      </c>
      <c r="F14" s="11" t="str">
        <f>Excel!D14</f>
        <v>O</v>
      </c>
      <c r="G14" s="11" t="str">
        <f>PPT!D14</f>
        <v>O</v>
      </c>
      <c r="H14" s="11">
        <f>Word!E14</f>
        <v>9</v>
      </c>
      <c r="I14" s="11">
        <f>Excel!E14</f>
        <v>0</v>
      </c>
      <c r="J14" s="11">
        <f>PPT!E14</f>
        <v>6</v>
      </c>
      <c r="K14" s="11"/>
      <c r="L14" s="11"/>
    </row>
    <row r="15" spans="1:12">
      <c r="A15" s="12">
        <v>4052</v>
      </c>
      <c r="B15" s="11" t="s">
        <v>35</v>
      </c>
      <c r="C15" s="11" t="s">
        <v>36</v>
      </c>
      <c r="D15" s="13">
        <f>QCM!E15</f>
        <v>13.035555555555556</v>
      </c>
      <c r="E15" s="11" t="str">
        <f>Word!D15</f>
        <v>O</v>
      </c>
      <c r="F15" s="11" t="str">
        <f>Excel!D15</f>
        <v>O</v>
      </c>
      <c r="G15" s="11" t="str">
        <f>PPT!D15</f>
        <v>O</v>
      </c>
      <c r="H15" s="11">
        <f>Word!E15</f>
        <v>15</v>
      </c>
      <c r="I15" s="11">
        <f>Excel!E15</f>
        <v>9</v>
      </c>
      <c r="J15" s="11">
        <f>PPT!E15</f>
        <v>8</v>
      </c>
      <c r="K15" s="11"/>
      <c r="L15" s="11"/>
    </row>
    <row r="16" spans="1:12">
      <c r="A16" s="12">
        <v>4062</v>
      </c>
      <c r="B16" s="11" t="s">
        <v>37</v>
      </c>
      <c r="C16" s="11" t="s">
        <v>38</v>
      </c>
      <c r="D16" s="13">
        <f>QCM!E16</f>
        <v>13.333333333333332</v>
      </c>
      <c r="E16" s="11" t="str">
        <f>Word!D16</f>
        <v>O</v>
      </c>
      <c r="F16" s="11" t="str">
        <f>Excel!D16</f>
        <v>O</v>
      </c>
      <c r="G16" s="11" t="str">
        <f>PPT!D16</f>
        <v>O</v>
      </c>
      <c r="H16" s="11">
        <f>Word!E16</f>
        <v>12</v>
      </c>
      <c r="I16" s="11">
        <f>Excel!E16</f>
        <v>12</v>
      </c>
      <c r="J16" s="11">
        <f>PPT!E16</f>
        <v>3</v>
      </c>
      <c r="K16" s="11"/>
      <c r="L16" s="11"/>
    </row>
    <row r="17" spans="1:12">
      <c r="A17" s="12">
        <v>4070</v>
      </c>
      <c r="B17" s="11" t="s">
        <v>39</v>
      </c>
      <c r="C17" s="11" t="s">
        <v>40</v>
      </c>
      <c r="D17" s="13">
        <f>QCM!E17</f>
        <v>16.666666666666668</v>
      </c>
      <c r="E17" s="11" t="str">
        <f>Word!D17</f>
        <v>O</v>
      </c>
      <c r="F17" s="11" t="str">
        <f>Excel!D17</f>
        <v>O</v>
      </c>
      <c r="G17" s="11" t="str">
        <f>PPT!D17</f>
        <v>N</v>
      </c>
      <c r="H17" s="11">
        <f>Word!E17</f>
        <v>11</v>
      </c>
      <c r="I17" s="11">
        <f>Excel!E17</f>
        <v>11</v>
      </c>
      <c r="J17" s="11">
        <f>PPT!E17</f>
        <v>0</v>
      </c>
      <c r="K17" s="11"/>
      <c r="L17" s="11"/>
    </row>
    <row r="18" spans="1:12">
      <c r="A18" s="12">
        <v>4176</v>
      </c>
      <c r="B18" s="11" t="s">
        <v>41</v>
      </c>
      <c r="C18" s="11" t="s">
        <v>42</v>
      </c>
      <c r="D18" s="13">
        <f>QCM!E18</f>
        <v>12.333333333333334</v>
      </c>
      <c r="E18" s="11" t="str">
        <f>Word!D18</f>
        <v>N</v>
      </c>
      <c r="F18" s="11" t="str">
        <f>Excel!D18</f>
        <v>N</v>
      </c>
      <c r="G18" s="11" t="str">
        <f>PPT!D18</f>
        <v>O</v>
      </c>
      <c r="H18" s="11">
        <f>Word!E18</f>
        <v>0</v>
      </c>
      <c r="I18" s="11">
        <f>Excel!E18</f>
        <v>0</v>
      </c>
      <c r="J18" s="11">
        <f>PPT!E18</f>
        <v>13</v>
      </c>
      <c r="K18" s="11"/>
      <c r="L18" s="11"/>
    </row>
    <row r="19" spans="1:12">
      <c r="A19" s="12">
        <v>4187</v>
      </c>
      <c r="B19" s="11" t="s">
        <v>43</v>
      </c>
      <c r="C19" s="11" t="s">
        <v>44</v>
      </c>
      <c r="D19" s="13">
        <f>QCM!E19</f>
        <v>14.373333333333335</v>
      </c>
      <c r="E19" s="11" t="str">
        <f>Word!D19</f>
        <v>O</v>
      </c>
      <c r="F19" s="11" t="str">
        <f>Excel!D19</f>
        <v>O</v>
      </c>
      <c r="G19" s="11" t="str">
        <f>PPT!D19</f>
        <v>N</v>
      </c>
      <c r="H19" s="11">
        <f>Word!E19</f>
        <v>4</v>
      </c>
      <c r="I19" s="11">
        <f>Excel!E19</f>
        <v>12</v>
      </c>
      <c r="J19" s="11">
        <f>PPT!E19</f>
        <v>0</v>
      </c>
      <c r="K19" s="11"/>
      <c r="L19" s="11"/>
    </row>
    <row r="20" spans="1:12">
      <c r="A20" s="12">
        <v>4289</v>
      </c>
      <c r="B20" s="11" t="s">
        <v>45</v>
      </c>
      <c r="C20" s="11" t="s">
        <v>3</v>
      </c>
      <c r="D20" s="13">
        <f>QCM!E20</f>
        <v>15.848888888888888</v>
      </c>
      <c r="E20" s="11" t="str">
        <f>Word!D20</f>
        <v>O</v>
      </c>
      <c r="F20" s="11" t="str">
        <f>Excel!D20</f>
        <v>O</v>
      </c>
      <c r="G20" s="11" t="str">
        <f>PPT!D20</f>
        <v>O</v>
      </c>
      <c r="H20" s="11">
        <f>Word!E20</f>
        <v>8</v>
      </c>
      <c r="I20" s="11">
        <f>Excel!E20</f>
        <v>11</v>
      </c>
      <c r="J20" s="11">
        <f>PPT!E20</f>
        <v>14</v>
      </c>
      <c r="K20" s="11"/>
      <c r="L20" s="11"/>
    </row>
    <row r="21" spans="1:12">
      <c r="A21" s="12">
        <v>4293</v>
      </c>
      <c r="B21" s="11" t="s">
        <v>46</v>
      </c>
      <c r="C21" s="11" t="s">
        <v>47</v>
      </c>
      <c r="D21" s="13">
        <f>QCM!E21</f>
        <v>13.408888888888891</v>
      </c>
      <c r="E21" s="11" t="str">
        <f>Word!D21</f>
        <v>O</v>
      </c>
      <c r="F21" s="11" t="str">
        <f>Excel!D21</f>
        <v>O</v>
      </c>
      <c r="G21" s="11" t="str">
        <f>PPT!D21</f>
        <v>O</v>
      </c>
      <c r="H21" s="11">
        <f>Word!E21</f>
        <v>9</v>
      </c>
      <c r="I21" s="11">
        <f>Excel!E21</f>
        <v>8</v>
      </c>
      <c r="J21" s="11">
        <f>PPT!E21</f>
        <v>11</v>
      </c>
      <c r="K21" s="11"/>
      <c r="L21" s="11"/>
    </row>
    <row r="22" spans="1:12">
      <c r="A22" s="12">
        <v>4302</v>
      </c>
      <c r="B22" s="11" t="s">
        <v>48</v>
      </c>
      <c r="C22" s="11" t="s">
        <v>4</v>
      </c>
      <c r="D22" s="13">
        <f>QCM!E22</f>
        <v>13.151111111111112</v>
      </c>
      <c r="E22" s="11" t="str">
        <f>Word!D22</f>
        <v>O</v>
      </c>
      <c r="F22" s="11" t="str">
        <f>Excel!D22</f>
        <v>O</v>
      </c>
      <c r="G22" s="11" t="str">
        <f>PPT!D22</f>
        <v>N</v>
      </c>
      <c r="H22" s="11">
        <f>Word!E22</f>
        <v>12</v>
      </c>
      <c r="I22" s="11">
        <f>Excel!E22</f>
        <v>14</v>
      </c>
      <c r="J22" s="11">
        <f>PPT!E22</f>
        <v>0</v>
      </c>
      <c r="K22" s="11"/>
      <c r="L22" s="11"/>
    </row>
    <row r="23" spans="1:12">
      <c r="A23" s="12">
        <v>4304</v>
      </c>
      <c r="B23" s="11" t="s">
        <v>49</v>
      </c>
      <c r="C23" s="11" t="s">
        <v>50</v>
      </c>
      <c r="D23" s="13">
        <f>QCM!E23</f>
        <v>15.52</v>
      </c>
      <c r="E23" s="11" t="str">
        <f>Word!D23</f>
        <v>O</v>
      </c>
      <c r="F23" s="11" t="str">
        <f>Excel!D23</f>
        <v>O</v>
      </c>
      <c r="G23" s="11" t="str">
        <f>PPT!D23</f>
        <v>O</v>
      </c>
      <c r="H23" s="11">
        <f>Word!E23</f>
        <v>17</v>
      </c>
      <c r="I23" s="11">
        <f>Excel!E23</f>
        <v>6</v>
      </c>
      <c r="J23" s="11">
        <f>PPT!E23</f>
        <v>10</v>
      </c>
      <c r="K23" s="11"/>
      <c r="L23" s="11"/>
    </row>
    <row r="24" spans="1:12">
      <c r="A24" s="12">
        <v>4307</v>
      </c>
      <c r="B24" s="11" t="s">
        <v>51</v>
      </c>
      <c r="C24" s="11" t="s">
        <v>52</v>
      </c>
      <c r="D24" s="13">
        <f>QCM!E24</f>
        <v>12.368888888888886</v>
      </c>
      <c r="E24" s="11" t="str">
        <f>Word!D24</f>
        <v>O</v>
      </c>
      <c r="F24" s="11" t="str">
        <f>Excel!D24</f>
        <v>O</v>
      </c>
      <c r="G24" s="11" t="str">
        <f>PPT!D24</f>
        <v>O</v>
      </c>
      <c r="H24" s="11">
        <f>Word!E24</f>
        <v>13</v>
      </c>
      <c r="I24" s="11">
        <f>Excel!E24</f>
        <v>9</v>
      </c>
      <c r="J24" s="11">
        <f>PPT!E24</f>
        <v>7</v>
      </c>
      <c r="K24" s="11"/>
      <c r="L24" s="11"/>
    </row>
    <row r="25" spans="1:12">
      <c r="A25" s="12">
        <v>4310</v>
      </c>
      <c r="B25" s="11" t="s">
        <v>53</v>
      </c>
      <c r="C25" s="11" t="s">
        <v>54</v>
      </c>
      <c r="D25" s="13">
        <f>QCM!E25</f>
        <v>16.333333333333332</v>
      </c>
      <c r="E25" s="11" t="str">
        <f>Word!D25</f>
        <v>O</v>
      </c>
      <c r="F25" s="11" t="str">
        <f>Excel!D25</f>
        <v>O</v>
      </c>
      <c r="G25" s="11" t="str">
        <f>PPT!D25</f>
        <v>N</v>
      </c>
      <c r="H25" s="11">
        <f>Word!E25</f>
        <v>13</v>
      </c>
      <c r="I25" s="11">
        <f>Excel!E25</f>
        <v>15</v>
      </c>
      <c r="J25" s="11">
        <f>PPT!E25</f>
        <v>0</v>
      </c>
      <c r="K25" s="11"/>
      <c r="L25" s="11"/>
    </row>
    <row r="26" spans="1:12">
      <c r="A26" s="12">
        <v>4313</v>
      </c>
      <c r="B26" s="11" t="s">
        <v>55</v>
      </c>
      <c r="C26" s="11" t="s">
        <v>7</v>
      </c>
      <c r="D26" s="13">
        <f>QCM!E26</f>
        <v>15.186666666666667</v>
      </c>
      <c r="E26" s="11" t="str">
        <f>Word!D26</f>
        <v>O</v>
      </c>
      <c r="F26" s="11" t="str">
        <f>Excel!D26</f>
        <v>O</v>
      </c>
      <c r="G26" s="11" t="str">
        <f>PPT!D26</f>
        <v>O</v>
      </c>
      <c r="H26" s="11">
        <f>Word!E26</f>
        <v>12</v>
      </c>
      <c r="I26" s="11">
        <f>Excel!E26</f>
        <v>12</v>
      </c>
      <c r="J26" s="11">
        <f>PPT!E26</f>
        <v>6</v>
      </c>
      <c r="K26" s="11"/>
      <c r="L26" s="11"/>
    </row>
    <row r="27" spans="1:12">
      <c r="A27" s="12">
        <v>4318</v>
      </c>
      <c r="B27" s="11" t="s">
        <v>56</v>
      </c>
      <c r="C27" s="11" t="s">
        <v>6</v>
      </c>
      <c r="D27" s="13">
        <f>QCM!E27</f>
        <v>14.964444444444444</v>
      </c>
      <c r="E27" s="11" t="str">
        <f>Word!D27</f>
        <v>O</v>
      </c>
      <c r="F27" s="11" t="str">
        <f>Excel!D27</f>
        <v>O</v>
      </c>
      <c r="G27" s="11" t="str">
        <f>PPT!D27</f>
        <v>O</v>
      </c>
      <c r="H27" s="11">
        <f>Word!E27</f>
        <v>7</v>
      </c>
      <c r="I27" s="11">
        <f>Excel!E27</f>
        <v>11</v>
      </c>
      <c r="J27" s="11">
        <f>PPT!E27</f>
        <v>9</v>
      </c>
      <c r="K27" s="11"/>
      <c r="L27" s="11"/>
    </row>
    <row r="28" spans="1:12">
      <c r="A28" s="12">
        <v>4325</v>
      </c>
      <c r="B28" s="11" t="s">
        <v>57</v>
      </c>
      <c r="C28" s="11" t="s">
        <v>58</v>
      </c>
      <c r="D28" s="13">
        <f>QCM!E28</f>
        <v>15.333333333333334</v>
      </c>
      <c r="E28" s="11" t="str">
        <f>Word!D28</f>
        <v>O</v>
      </c>
      <c r="F28" s="11" t="str">
        <f>Excel!D28</f>
        <v>O</v>
      </c>
      <c r="G28" s="11" t="str">
        <f>PPT!D28</f>
        <v>O</v>
      </c>
      <c r="H28" s="11">
        <f>Word!E28</f>
        <v>4</v>
      </c>
      <c r="I28" s="11">
        <f>Excel!E28</f>
        <v>5</v>
      </c>
      <c r="J28" s="11">
        <f>PPT!E28</f>
        <v>11</v>
      </c>
      <c r="K28" s="11"/>
      <c r="L28" s="11"/>
    </row>
    <row r="29" spans="1:12">
      <c r="A29" s="12">
        <v>4337</v>
      </c>
      <c r="B29" s="11" t="s">
        <v>59</v>
      </c>
      <c r="C29" s="11" t="s">
        <v>2</v>
      </c>
      <c r="D29" s="13">
        <f>QCM!E29</f>
        <v>15.333333333333334</v>
      </c>
      <c r="E29" s="11" t="str">
        <f>Word!D29</f>
        <v>O</v>
      </c>
      <c r="F29" s="11" t="str">
        <f>Excel!D29</f>
        <v>O</v>
      </c>
      <c r="G29" s="11" t="str">
        <f>PPT!D29</f>
        <v>O</v>
      </c>
      <c r="H29" s="11">
        <f>Word!E29</f>
        <v>8</v>
      </c>
      <c r="I29" s="11">
        <f>Excel!E29</f>
        <v>4</v>
      </c>
      <c r="J29" s="11">
        <f>PPT!E29</f>
        <v>14</v>
      </c>
      <c r="K29" s="11"/>
      <c r="L29" s="11"/>
    </row>
    <row r="30" spans="1:12">
      <c r="A30" s="12">
        <v>4339</v>
      </c>
      <c r="B30" s="11" t="s">
        <v>60</v>
      </c>
      <c r="C30" s="11" t="s">
        <v>61</v>
      </c>
      <c r="D30" s="13">
        <f>QCM!E30</f>
        <v>17.257777777777775</v>
      </c>
      <c r="E30" s="11" t="str">
        <f>Word!D30</f>
        <v>O</v>
      </c>
      <c r="F30" s="11" t="str">
        <f>Excel!D30</f>
        <v>O</v>
      </c>
      <c r="G30" s="11" t="str">
        <f>PPT!D30</f>
        <v>O</v>
      </c>
      <c r="H30" s="11">
        <f>Word!E30</f>
        <v>11</v>
      </c>
      <c r="I30" s="11">
        <f>Excel!E30</f>
        <v>8</v>
      </c>
      <c r="J30" s="11">
        <f>PPT!E30</f>
        <v>11</v>
      </c>
      <c r="K30" s="11"/>
      <c r="L30" s="11"/>
    </row>
    <row r="31" spans="1:12">
      <c r="A31" s="12">
        <v>4341</v>
      </c>
      <c r="B31" s="11" t="s">
        <v>19</v>
      </c>
      <c r="C31" s="11" t="s">
        <v>62</v>
      </c>
      <c r="D31" s="13">
        <f>QCM!E31</f>
        <v>17.368888888888886</v>
      </c>
      <c r="E31" s="11" t="str">
        <f>Word!D31</f>
        <v>O</v>
      </c>
      <c r="F31" s="11" t="str">
        <f>Excel!D31</f>
        <v>O</v>
      </c>
      <c r="G31" s="11" t="str">
        <f>PPT!D31</f>
        <v>O</v>
      </c>
      <c r="H31" s="11">
        <f>Word!E31</f>
        <v>12</v>
      </c>
      <c r="I31" s="11">
        <f>Excel!E31</f>
        <v>4</v>
      </c>
      <c r="J31" s="11">
        <f>PPT!E31</f>
        <v>10</v>
      </c>
      <c r="K31" s="11"/>
      <c r="L31" s="11"/>
    </row>
    <row r="32" spans="1:12">
      <c r="A32" s="12">
        <v>4349</v>
      </c>
      <c r="B32" s="11" t="s">
        <v>63</v>
      </c>
      <c r="C32" s="11" t="s">
        <v>64</v>
      </c>
      <c r="D32" s="13">
        <f>QCM!E32</f>
        <v>14.293333333333331</v>
      </c>
      <c r="E32" s="11" t="str">
        <f>Word!D32</f>
        <v>O</v>
      </c>
      <c r="F32" s="11" t="str">
        <f>Excel!D32</f>
        <v>O</v>
      </c>
      <c r="G32" s="11" t="str">
        <f>PPT!D32</f>
        <v>O</v>
      </c>
      <c r="H32" s="11">
        <f>Word!E32</f>
        <v>15</v>
      </c>
      <c r="I32" s="11">
        <f>Excel!E32</f>
        <v>4</v>
      </c>
      <c r="J32" s="11">
        <f>PPT!E32</f>
        <v>5</v>
      </c>
      <c r="K32" s="11"/>
      <c r="L32" s="11"/>
    </row>
    <row r="33" spans="1:12">
      <c r="A33" s="12">
        <v>4350</v>
      </c>
      <c r="B33" s="11" t="s">
        <v>65</v>
      </c>
      <c r="C33" s="11" t="s">
        <v>66</v>
      </c>
      <c r="D33" s="13" t="str">
        <f>QCM!E33</f>
        <v>A</v>
      </c>
      <c r="E33" s="11" t="str">
        <f>Word!D33</f>
        <v>N</v>
      </c>
      <c r="F33" s="11" t="str">
        <f>Excel!D33</f>
        <v>N</v>
      </c>
      <c r="G33" s="11" t="str">
        <f>PPT!D33</f>
        <v>O</v>
      </c>
      <c r="H33" s="11">
        <f>Word!E33</f>
        <v>0</v>
      </c>
      <c r="I33" s="11">
        <f>Excel!E33</f>
        <v>0</v>
      </c>
      <c r="J33" s="11">
        <f>PPT!E33</f>
        <v>8</v>
      </c>
      <c r="K33" s="11"/>
      <c r="L33" s="11"/>
    </row>
    <row r="34" spans="1:12">
      <c r="A34" s="12">
        <v>4362</v>
      </c>
      <c r="B34" s="11" t="s">
        <v>67</v>
      </c>
      <c r="C34" s="11" t="s">
        <v>68</v>
      </c>
      <c r="D34" s="13">
        <f>QCM!E34</f>
        <v>16.146666666666668</v>
      </c>
      <c r="E34" s="11" t="str">
        <f>Word!D34</f>
        <v>O</v>
      </c>
      <c r="F34" s="11" t="str">
        <f>Excel!D34</f>
        <v>O</v>
      </c>
      <c r="G34" s="11" t="str">
        <f>PPT!D34</f>
        <v>N</v>
      </c>
      <c r="H34" s="11">
        <f>Word!E34</f>
        <v>12</v>
      </c>
      <c r="I34" s="11">
        <f>Excel!E34</f>
        <v>8</v>
      </c>
      <c r="J34" s="11">
        <f>PPT!E34</f>
        <v>0</v>
      </c>
      <c r="K34" s="11"/>
      <c r="L34" s="11"/>
    </row>
    <row r="35" spans="1:12">
      <c r="A35" s="12">
        <v>4367</v>
      </c>
      <c r="B35" s="11" t="s">
        <v>69</v>
      </c>
      <c r="C35" s="11" t="s">
        <v>70</v>
      </c>
      <c r="D35" s="13" t="str">
        <f>QCM!E35</f>
        <v>A</v>
      </c>
      <c r="E35" s="11" t="str">
        <f>Word!D35</f>
        <v>N</v>
      </c>
      <c r="F35" s="11" t="str">
        <f>Excel!D35</f>
        <v>N</v>
      </c>
      <c r="G35" s="11" t="str">
        <f>PPT!D35</f>
        <v>O</v>
      </c>
      <c r="H35" s="11">
        <f>Word!E35</f>
        <v>0</v>
      </c>
      <c r="I35" s="11">
        <f>Excel!E35</f>
        <v>0</v>
      </c>
      <c r="J35" s="11">
        <f>PPT!E35</f>
        <v>9</v>
      </c>
      <c r="K35" s="11"/>
      <c r="L35" s="11"/>
    </row>
    <row r="36" spans="1:12">
      <c r="A36" s="12">
        <v>4375</v>
      </c>
      <c r="B36" s="11" t="s">
        <v>71</v>
      </c>
      <c r="C36" s="11" t="s">
        <v>72</v>
      </c>
      <c r="D36" s="13" t="str">
        <f>QCM!E36</f>
        <v>A</v>
      </c>
      <c r="E36" s="11" t="str">
        <f>Word!D36</f>
        <v>N</v>
      </c>
      <c r="F36" s="11" t="str">
        <f>Excel!D36</f>
        <v>N</v>
      </c>
      <c r="G36" s="11" t="str">
        <f>PPT!D36</f>
        <v>N</v>
      </c>
      <c r="H36" s="11">
        <f>Word!E36</f>
        <v>0</v>
      </c>
      <c r="I36" s="11">
        <f>Excel!E36</f>
        <v>0</v>
      </c>
      <c r="J36" s="11">
        <f>PPT!E36</f>
        <v>0</v>
      </c>
      <c r="K36" s="11"/>
      <c r="L36" s="11"/>
    </row>
    <row r="37" spans="1:12">
      <c r="A37" s="12">
        <v>4379</v>
      </c>
      <c r="B37" s="11" t="s">
        <v>73</v>
      </c>
      <c r="C37" s="11" t="s">
        <v>74</v>
      </c>
      <c r="D37" s="13">
        <f>QCM!E37</f>
        <v>14.293333333333331</v>
      </c>
      <c r="E37" s="11" t="str">
        <f>Word!D37</f>
        <v>N</v>
      </c>
      <c r="F37" s="11" t="str">
        <f>Excel!D37</f>
        <v>N</v>
      </c>
      <c r="G37" s="11" t="str">
        <f>PPT!D37</f>
        <v>N</v>
      </c>
      <c r="H37" s="11">
        <f>Word!E37</f>
        <v>0</v>
      </c>
      <c r="I37" s="11">
        <f>Excel!E37</f>
        <v>0</v>
      </c>
      <c r="J37" s="11">
        <f>PPT!E37</f>
        <v>0</v>
      </c>
      <c r="K37" s="11"/>
      <c r="L37" s="11"/>
    </row>
    <row r="38" spans="1:12">
      <c r="A38" s="12">
        <v>4381</v>
      </c>
      <c r="B38" s="11" t="s">
        <v>75</v>
      </c>
      <c r="C38" s="11" t="s">
        <v>76</v>
      </c>
      <c r="D38" s="13">
        <f>QCM!E38</f>
        <v>15.257777777777777</v>
      </c>
      <c r="E38" s="11" t="str">
        <f>Word!D38</f>
        <v>N</v>
      </c>
      <c r="F38" s="11" t="str">
        <f>Excel!D38</f>
        <v>O</v>
      </c>
      <c r="G38" s="11" t="str">
        <f>PPT!D38</f>
        <v>N</v>
      </c>
      <c r="H38" s="11">
        <f>Word!E38</f>
        <v>0</v>
      </c>
      <c r="I38" s="11">
        <f>Excel!E38</f>
        <v>9</v>
      </c>
      <c r="J38" s="11">
        <f>PPT!E38</f>
        <v>0</v>
      </c>
      <c r="K38" s="11"/>
      <c r="L38" s="11"/>
    </row>
    <row r="39" spans="1:12">
      <c r="A39" s="12">
        <v>4386</v>
      </c>
      <c r="B39" s="11" t="s">
        <v>77</v>
      </c>
      <c r="C39" s="11" t="s">
        <v>78</v>
      </c>
      <c r="D39" s="13">
        <f>QCM!E39</f>
        <v>13.777777777777779</v>
      </c>
      <c r="E39" s="11" t="str">
        <f>Word!D39</f>
        <v>O</v>
      </c>
      <c r="F39" s="11" t="str">
        <f>Excel!D39</f>
        <v>O</v>
      </c>
      <c r="G39" s="11" t="str">
        <f>PPT!D39</f>
        <v>O</v>
      </c>
      <c r="H39" s="11">
        <f>Word!E39</f>
        <v>9</v>
      </c>
      <c r="I39" s="11">
        <f>Excel!E39</f>
        <v>11</v>
      </c>
      <c r="J39" s="11">
        <f>PPT!E39</f>
        <v>10</v>
      </c>
      <c r="K39" s="11"/>
      <c r="L39" s="11"/>
    </row>
    <row r="40" spans="1:12">
      <c r="A40" s="12">
        <v>4388</v>
      </c>
      <c r="B40" s="11" t="s">
        <v>79</v>
      </c>
      <c r="C40" s="11" t="s">
        <v>7</v>
      </c>
      <c r="D40" s="13">
        <f>QCM!E40</f>
        <v>16.408888888888889</v>
      </c>
      <c r="E40" s="11" t="str">
        <f>Word!D40</f>
        <v>O</v>
      </c>
      <c r="F40" s="11" t="str">
        <f>Excel!D40</f>
        <v>O</v>
      </c>
      <c r="G40" s="11" t="str">
        <f>PPT!D40</f>
        <v>O</v>
      </c>
      <c r="H40" s="11">
        <f>Word!E40</f>
        <v>12</v>
      </c>
      <c r="I40" s="11">
        <f>Excel!E40</f>
        <v>7</v>
      </c>
      <c r="J40" s="11">
        <f>PPT!E40</f>
        <v>12</v>
      </c>
      <c r="K40" s="11"/>
      <c r="L40" s="11"/>
    </row>
    <row r="41" spans="1:12">
      <c r="A41" s="12">
        <v>4392</v>
      </c>
      <c r="B41" s="11" t="s">
        <v>80</v>
      </c>
      <c r="C41" s="11" t="s">
        <v>5</v>
      </c>
      <c r="D41" s="13">
        <f>QCM!E41</f>
        <v>11.924444444444443</v>
      </c>
      <c r="E41" s="11" t="str">
        <f>Word!D41</f>
        <v>O</v>
      </c>
      <c r="F41" s="11" t="str">
        <f>Excel!D41</f>
        <v>O</v>
      </c>
      <c r="G41" s="11" t="str">
        <f>PPT!D41</f>
        <v>O</v>
      </c>
      <c r="H41" s="11">
        <f>Word!E41</f>
        <v>11</v>
      </c>
      <c r="I41" s="11">
        <f>Excel!E41</f>
        <v>9</v>
      </c>
      <c r="J41" s="11">
        <f>PPT!E41</f>
        <v>14</v>
      </c>
      <c r="K41" s="11"/>
      <c r="L41" s="11"/>
    </row>
    <row r="45" spans="1:12">
      <c r="C45" s="12" t="s">
        <v>88</v>
      </c>
      <c r="D45" s="13">
        <f>AVERAGE(D3:D41)</f>
        <v>14.689135802469135</v>
      </c>
      <c r="E45" s="11"/>
      <c r="F45" s="11"/>
      <c r="G45" s="11"/>
      <c r="H45" s="13">
        <f>AVERAGE(H3:H41)</f>
        <v>8.0512820512820511</v>
      </c>
      <c r="I45" s="13">
        <f>AVERAGE(I3:I41)</f>
        <v>6.666666666666667</v>
      </c>
      <c r="J45" s="13">
        <f>AVERAGE(J3:J41)</f>
        <v>6.7179487179487181</v>
      </c>
      <c r="K45" s="11"/>
    </row>
    <row r="46" spans="1:12">
      <c r="C46" s="12" t="s">
        <v>100</v>
      </c>
      <c r="D46" s="13">
        <f>MAX(D3:D41)</f>
        <v>18.666666666666668</v>
      </c>
      <c r="E46" s="11"/>
      <c r="F46" s="11"/>
      <c r="G46" s="11"/>
      <c r="H46" s="13">
        <f>MAX(H3:H41)</f>
        <v>17</v>
      </c>
      <c r="I46" s="13">
        <f>MAX(I3:I41)</f>
        <v>15</v>
      </c>
      <c r="J46" s="13">
        <f>MAX(J3:J41)</f>
        <v>14</v>
      </c>
      <c r="K46" s="11"/>
    </row>
    <row r="47" spans="1:12">
      <c r="C47" s="12" t="s">
        <v>101</v>
      </c>
      <c r="D47" s="13">
        <f>MIN(D3:D41)</f>
        <v>10.222222222222221</v>
      </c>
      <c r="E47" s="11"/>
      <c r="F47" s="11"/>
      <c r="G47" s="11"/>
      <c r="H47" s="13">
        <f>MIN(H3:H41)</f>
        <v>0</v>
      </c>
      <c r="I47" s="13">
        <f>MIN(I3:I41)</f>
        <v>0</v>
      </c>
      <c r="J47" s="13">
        <f>MIN(J3:J41)</f>
        <v>0</v>
      </c>
      <c r="K47" s="11"/>
    </row>
  </sheetData>
  <mergeCells count="1">
    <mergeCell ref="A1:L1"/>
  </mergeCells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E101"/>
  <sheetViews>
    <sheetView zoomScale="75" workbookViewId="0">
      <selection activeCell="G10" sqref="G10"/>
    </sheetView>
  </sheetViews>
  <sheetFormatPr baseColWidth="10" defaultRowHeight="12.75"/>
  <cols>
    <col min="1" max="1" width="11.42578125" bestFit="1" customWidth="1"/>
    <col min="2" max="2" width="15.140625" bestFit="1" customWidth="1"/>
    <col min="3" max="3" width="10.5703125" bestFit="1" customWidth="1"/>
    <col min="4" max="4" width="12" bestFit="1" customWidth="1"/>
    <col min="5" max="5" width="6.42578125" bestFit="1" customWidth="1"/>
  </cols>
  <sheetData>
    <row r="1" spans="1:5" ht="15">
      <c r="A1" s="10" t="s">
        <v>95</v>
      </c>
      <c r="B1" s="10"/>
      <c r="C1" s="10"/>
      <c r="D1" s="10"/>
      <c r="E1" s="10"/>
    </row>
    <row r="2" spans="1:5" ht="25.5">
      <c r="A2" s="4" t="s">
        <v>90</v>
      </c>
      <c r="B2" s="4" t="s">
        <v>0</v>
      </c>
      <c r="C2" s="4" t="s">
        <v>1</v>
      </c>
      <c r="D2" s="4" t="s">
        <v>96</v>
      </c>
      <c r="E2" s="4" t="s">
        <v>97</v>
      </c>
    </row>
    <row r="3" spans="1:5">
      <c r="A3">
        <v>3559</v>
      </c>
      <c r="B3" t="s">
        <v>11</v>
      </c>
      <c r="C3" t="s">
        <v>12</v>
      </c>
      <c r="D3">
        <v>38.92</v>
      </c>
      <c r="E3" s="1">
        <f>IF(D3="","A",(D3/45)*20)</f>
        <v>17.297777777777778</v>
      </c>
    </row>
    <row r="4" spans="1:5">
      <c r="A4">
        <v>3769</v>
      </c>
      <c r="B4" t="s">
        <v>13</v>
      </c>
      <c r="C4" t="s">
        <v>14</v>
      </c>
      <c r="D4">
        <v>24</v>
      </c>
      <c r="E4" s="1">
        <f t="shared" ref="E4:E41" si="0">IF(D4="","A",(D4/45)*20)</f>
        <v>10.666666666666666</v>
      </c>
    </row>
    <row r="5" spans="1:5">
      <c r="A5">
        <v>3922</v>
      </c>
      <c r="B5" t="s">
        <v>15</v>
      </c>
      <c r="C5" t="s">
        <v>16</v>
      </c>
      <c r="D5">
        <v>28.66</v>
      </c>
      <c r="E5" s="1">
        <f t="shared" si="0"/>
        <v>12.737777777777776</v>
      </c>
    </row>
    <row r="6" spans="1:5">
      <c r="A6">
        <v>3936</v>
      </c>
      <c r="B6" t="s">
        <v>17</v>
      </c>
      <c r="C6" t="s">
        <v>18</v>
      </c>
      <c r="D6">
        <v>34.92</v>
      </c>
      <c r="E6" s="1">
        <f t="shared" si="0"/>
        <v>15.52</v>
      </c>
    </row>
    <row r="7" spans="1:5">
      <c r="A7">
        <v>3967</v>
      </c>
      <c r="B7" t="s">
        <v>19</v>
      </c>
      <c r="C7" t="s">
        <v>20</v>
      </c>
      <c r="D7">
        <v>29.25</v>
      </c>
      <c r="E7" s="1">
        <f t="shared" si="0"/>
        <v>13</v>
      </c>
    </row>
    <row r="8" spans="1:5">
      <c r="A8">
        <v>3991</v>
      </c>
      <c r="B8" t="s">
        <v>21</v>
      </c>
      <c r="C8" t="s">
        <v>22</v>
      </c>
      <c r="D8">
        <v>34.08</v>
      </c>
      <c r="E8" s="1">
        <f t="shared" si="0"/>
        <v>15.146666666666667</v>
      </c>
    </row>
    <row r="9" spans="1:5">
      <c r="A9">
        <v>3996</v>
      </c>
      <c r="B9" t="s">
        <v>23</v>
      </c>
      <c r="C9" t="s">
        <v>24</v>
      </c>
      <c r="D9">
        <v>39</v>
      </c>
      <c r="E9" s="1">
        <f t="shared" si="0"/>
        <v>17.333333333333336</v>
      </c>
    </row>
    <row r="10" spans="1:5">
      <c r="A10">
        <v>4002</v>
      </c>
      <c r="B10" t="s">
        <v>25</v>
      </c>
      <c r="C10" t="s">
        <v>26</v>
      </c>
      <c r="D10">
        <v>38.659999999999997</v>
      </c>
      <c r="E10" s="1">
        <f t="shared" si="0"/>
        <v>17.182222222222222</v>
      </c>
    </row>
    <row r="11" spans="1:5">
      <c r="A11">
        <v>4004</v>
      </c>
      <c r="B11" t="s">
        <v>27</v>
      </c>
      <c r="C11" t="s">
        <v>28</v>
      </c>
      <c r="D11">
        <v>30</v>
      </c>
      <c r="E11" s="1">
        <f t="shared" si="0"/>
        <v>13.333333333333332</v>
      </c>
    </row>
    <row r="12" spans="1:5">
      <c r="A12">
        <v>4025</v>
      </c>
      <c r="B12" t="s">
        <v>29</v>
      </c>
      <c r="C12" t="s">
        <v>30</v>
      </c>
      <c r="D12">
        <v>31.01</v>
      </c>
      <c r="E12" s="1">
        <f t="shared" si="0"/>
        <v>13.782222222222222</v>
      </c>
    </row>
    <row r="13" spans="1:5">
      <c r="A13">
        <v>4034</v>
      </c>
      <c r="B13" t="s">
        <v>31</v>
      </c>
      <c r="C13" t="s">
        <v>32</v>
      </c>
      <c r="D13">
        <v>23</v>
      </c>
      <c r="E13" s="1">
        <f t="shared" si="0"/>
        <v>10.222222222222221</v>
      </c>
    </row>
    <row r="14" spans="1:5">
      <c r="A14">
        <v>4049</v>
      </c>
      <c r="B14" t="s">
        <v>33</v>
      </c>
      <c r="C14" t="s">
        <v>34</v>
      </c>
      <c r="D14">
        <v>42</v>
      </c>
      <c r="E14" s="1">
        <f t="shared" si="0"/>
        <v>18.666666666666668</v>
      </c>
    </row>
    <row r="15" spans="1:5">
      <c r="A15">
        <v>4052</v>
      </c>
      <c r="B15" t="s">
        <v>35</v>
      </c>
      <c r="C15" t="s">
        <v>36</v>
      </c>
      <c r="D15">
        <v>29.33</v>
      </c>
      <c r="E15" s="1">
        <f t="shared" si="0"/>
        <v>13.035555555555556</v>
      </c>
    </row>
    <row r="16" spans="1:5">
      <c r="A16">
        <v>4062</v>
      </c>
      <c r="B16" t="s">
        <v>37</v>
      </c>
      <c r="C16" t="s">
        <v>38</v>
      </c>
      <c r="D16">
        <v>30</v>
      </c>
      <c r="E16" s="1">
        <f t="shared" si="0"/>
        <v>13.333333333333332</v>
      </c>
    </row>
    <row r="17" spans="1:5">
      <c r="A17">
        <v>4070</v>
      </c>
      <c r="B17" t="s">
        <v>39</v>
      </c>
      <c r="C17" t="s">
        <v>40</v>
      </c>
      <c r="D17">
        <v>37.5</v>
      </c>
      <c r="E17" s="1">
        <f t="shared" si="0"/>
        <v>16.666666666666668</v>
      </c>
    </row>
    <row r="18" spans="1:5">
      <c r="A18">
        <v>4176</v>
      </c>
      <c r="B18" t="s">
        <v>41</v>
      </c>
      <c r="C18" t="s">
        <v>42</v>
      </c>
      <c r="D18">
        <v>27.75</v>
      </c>
      <c r="E18" s="1">
        <f t="shared" si="0"/>
        <v>12.333333333333334</v>
      </c>
    </row>
    <row r="19" spans="1:5">
      <c r="A19">
        <v>4187</v>
      </c>
      <c r="B19" t="s">
        <v>43</v>
      </c>
      <c r="C19" t="s">
        <v>44</v>
      </c>
      <c r="D19">
        <v>32.340000000000003</v>
      </c>
      <c r="E19" s="1">
        <f t="shared" si="0"/>
        <v>14.373333333333335</v>
      </c>
    </row>
    <row r="20" spans="1:5">
      <c r="A20">
        <v>4289</v>
      </c>
      <c r="B20" t="s">
        <v>45</v>
      </c>
      <c r="C20" t="s">
        <v>3</v>
      </c>
      <c r="D20">
        <v>35.659999999999997</v>
      </c>
      <c r="E20" s="1">
        <f t="shared" si="0"/>
        <v>15.848888888888888</v>
      </c>
    </row>
    <row r="21" spans="1:5">
      <c r="A21">
        <v>4293</v>
      </c>
      <c r="B21" t="s">
        <v>46</v>
      </c>
      <c r="C21" t="s">
        <v>47</v>
      </c>
      <c r="D21">
        <v>30.17</v>
      </c>
      <c r="E21" s="1">
        <f t="shared" si="0"/>
        <v>13.408888888888891</v>
      </c>
    </row>
    <row r="22" spans="1:5">
      <c r="A22">
        <v>4302</v>
      </c>
      <c r="B22" t="s">
        <v>48</v>
      </c>
      <c r="C22" t="s">
        <v>4</v>
      </c>
      <c r="D22">
        <v>29.59</v>
      </c>
      <c r="E22" s="1">
        <f t="shared" si="0"/>
        <v>13.151111111111112</v>
      </c>
    </row>
    <row r="23" spans="1:5">
      <c r="A23">
        <v>4304</v>
      </c>
      <c r="B23" t="s">
        <v>49</v>
      </c>
      <c r="C23" t="s">
        <v>50</v>
      </c>
      <c r="D23">
        <v>34.92</v>
      </c>
      <c r="E23" s="1">
        <f t="shared" si="0"/>
        <v>15.52</v>
      </c>
    </row>
    <row r="24" spans="1:5">
      <c r="A24">
        <v>4307</v>
      </c>
      <c r="B24" t="s">
        <v>51</v>
      </c>
      <c r="C24" t="s">
        <v>52</v>
      </c>
      <c r="D24">
        <v>27.83</v>
      </c>
      <c r="E24" s="1">
        <f t="shared" si="0"/>
        <v>12.368888888888886</v>
      </c>
    </row>
    <row r="25" spans="1:5">
      <c r="A25">
        <v>4310</v>
      </c>
      <c r="B25" t="s">
        <v>53</v>
      </c>
      <c r="C25" t="s">
        <v>54</v>
      </c>
      <c r="D25">
        <v>36.75</v>
      </c>
      <c r="E25" s="1">
        <f t="shared" si="0"/>
        <v>16.333333333333332</v>
      </c>
    </row>
    <row r="26" spans="1:5">
      <c r="A26">
        <v>4313</v>
      </c>
      <c r="B26" t="s">
        <v>55</v>
      </c>
      <c r="C26" t="s">
        <v>7</v>
      </c>
      <c r="D26">
        <v>34.17</v>
      </c>
      <c r="E26" s="1">
        <f t="shared" si="0"/>
        <v>15.186666666666667</v>
      </c>
    </row>
    <row r="27" spans="1:5">
      <c r="A27">
        <v>4318</v>
      </c>
      <c r="B27" t="s">
        <v>56</v>
      </c>
      <c r="C27" t="s">
        <v>6</v>
      </c>
      <c r="D27">
        <v>33.67</v>
      </c>
      <c r="E27" s="1">
        <f t="shared" si="0"/>
        <v>14.964444444444444</v>
      </c>
    </row>
    <row r="28" spans="1:5">
      <c r="A28">
        <v>4325</v>
      </c>
      <c r="B28" t="s">
        <v>57</v>
      </c>
      <c r="C28" t="s">
        <v>58</v>
      </c>
      <c r="D28">
        <v>34.5</v>
      </c>
      <c r="E28" s="1">
        <f t="shared" si="0"/>
        <v>15.333333333333334</v>
      </c>
    </row>
    <row r="29" spans="1:5">
      <c r="A29">
        <v>4337</v>
      </c>
      <c r="B29" t="s">
        <v>59</v>
      </c>
      <c r="C29" t="s">
        <v>2</v>
      </c>
      <c r="D29">
        <v>34.5</v>
      </c>
      <c r="E29" s="1">
        <f t="shared" si="0"/>
        <v>15.333333333333334</v>
      </c>
    </row>
    <row r="30" spans="1:5">
      <c r="A30">
        <v>4339</v>
      </c>
      <c r="B30" t="s">
        <v>60</v>
      </c>
      <c r="C30" t="s">
        <v>61</v>
      </c>
      <c r="D30">
        <v>38.83</v>
      </c>
      <c r="E30" s="1">
        <f t="shared" si="0"/>
        <v>17.257777777777775</v>
      </c>
    </row>
    <row r="31" spans="1:5">
      <c r="A31">
        <v>4341</v>
      </c>
      <c r="B31" t="s">
        <v>19</v>
      </c>
      <c r="C31" t="s">
        <v>62</v>
      </c>
      <c r="D31">
        <v>39.08</v>
      </c>
      <c r="E31" s="1">
        <f t="shared" si="0"/>
        <v>17.368888888888886</v>
      </c>
    </row>
    <row r="32" spans="1:5">
      <c r="A32">
        <v>4349</v>
      </c>
      <c r="B32" t="s">
        <v>63</v>
      </c>
      <c r="C32" t="s">
        <v>64</v>
      </c>
      <c r="D32">
        <v>32.159999999999997</v>
      </c>
      <c r="E32" s="1">
        <f t="shared" si="0"/>
        <v>14.293333333333331</v>
      </c>
    </row>
    <row r="33" spans="1:5">
      <c r="A33">
        <v>4350</v>
      </c>
      <c r="B33" t="s">
        <v>65</v>
      </c>
      <c r="C33" t="s">
        <v>66</v>
      </c>
      <c r="E33" s="1" t="str">
        <f t="shared" si="0"/>
        <v>A</v>
      </c>
    </row>
    <row r="34" spans="1:5">
      <c r="A34">
        <v>4362</v>
      </c>
      <c r="B34" t="s">
        <v>67</v>
      </c>
      <c r="C34" t="s">
        <v>68</v>
      </c>
      <c r="D34">
        <v>36.33</v>
      </c>
      <c r="E34" s="1">
        <f t="shared" si="0"/>
        <v>16.146666666666668</v>
      </c>
    </row>
    <row r="35" spans="1:5">
      <c r="A35">
        <v>4367</v>
      </c>
      <c r="B35" t="s">
        <v>69</v>
      </c>
      <c r="C35" t="s">
        <v>70</v>
      </c>
      <c r="E35" s="1" t="str">
        <f t="shared" si="0"/>
        <v>A</v>
      </c>
    </row>
    <row r="36" spans="1:5">
      <c r="A36">
        <v>4375</v>
      </c>
      <c r="B36" t="s">
        <v>71</v>
      </c>
      <c r="C36" t="s">
        <v>72</v>
      </c>
      <c r="E36" s="1" t="str">
        <f t="shared" si="0"/>
        <v>A</v>
      </c>
    </row>
    <row r="37" spans="1:5">
      <c r="A37">
        <v>4379</v>
      </c>
      <c r="B37" t="s">
        <v>73</v>
      </c>
      <c r="C37" t="s">
        <v>74</v>
      </c>
      <c r="D37">
        <v>32.159999999999997</v>
      </c>
      <c r="E37" s="1">
        <f t="shared" si="0"/>
        <v>14.293333333333331</v>
      </c>
    </row>
    <row r="38" spans="1:5">
      <c r="A38">
        <v>4381</v>
      </c>
      <c r="B38" t="s">
        <v>75</v>
      </c>
      <c r="C38" t="s">
        <v>76</v>
      </c>
      <c r="D38">
        <v>34.33</v>
      </c>
      <c r="E38" s="1">
        <f t="shared" si="0"/>
        <v>15.257777777777777</v>
      </c>
    </row>
    <row r="39" spans="1:5">
      <c r="A39">
        <v>4386</v>
      </c>
      <c r="B39" t="s">
        <v>77</v>
      </c>
      <c r="C39" t="s">
        <v>78</v>
      </c>
      <c r="D39">
        <v>31</v>
      </c>
      <c r="E39" s="1">
        <f t="shared" si="0"/>
        <v>13.777777777777779</v>
      </c>
    </row>
    <row r="40" spans="1:5">
      <c r="A40">
        <v>4388</v>
      </c>
      <c r="B40" t="s">
        <v>79</v>
      </c>
      <c r="C40" t="s">
        <v>7</v>
      </c>
      <c r="D40">
        <v>36.92</v>
      </c>
      <c r="E40" s="1">
        <f t="shared" si="0"/>
        <v>16.408888888888889</v>
      </c>
    </row>
    <row r="41" spans="1:5">
      <c r="A41">
        <v>4392</v>
      </c>
      <c r="B41" t="s">
        <v>80</v>
      </c>
      <c r="C41" t="s">
        <v>5</v>
      </c>
      <c r="D41">
        <v>26.83</v>
      </c>
      <c r="E41" s="1">
        <f t="shared" si="0"/>
        <v>11.924444444444443</v>
      </c>
    </row>
    <row r="42" spans="1:5">
      <c r="E42" s="1"/>
    </row>
    <row r="43" spans="1:5">
      <c r="E43" s="1"/>
    </row>
    <row r="44" spans="1:5">
      <c r="E44" s="1"/>
    </row>
    <row r="45" spans="1:5">
      <c r="E45" s="1"/>
    </row>
    <row r="46" spans="1:5">
      <c r="E46" s="1"/>
    </row>
    <row r="47" spans="1:5">
      <c r="E47" s="1"/>
    </row>
    <row r="48" spans="1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</sheetData>
  <mergeCells count="1">
    <mergeCell ref="A1:E1"/>
  </mergeCells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0C0"/>
  </sheetPr>
  <dimension ref="A1:E41"/>
  <sheetViews>
    <sheetView workbookViewId="0">
      <selection activeCell="F12" sqref="F12"/>
    </sheetView>
  </sheetViews>
  <sheetFormatPr baseColWidth="10" defaultRowHeight="12.75"/>
  <cols>
    <col min="1" max="1" width="10" bestFit="1" customWidth="1"/>
    <col min="2" max="2" width="14.85546875" customWidth="1"/>
    <col min="3" max="3" width="8.140625" customWidth="1"/>
    <col min="4" max="4" width="6.85546875" style="2" customWidth="1"/>
    <col min="5" max="5" width="6.7109375" customWidth="1"/>
  </cols>
  <sheetData>
    <row r="1" spans="1:5" ht="15">
      <c r="A1" s="10" t="s">
        <v>94</v>
      </c>
      <c r="B1" s="10"/>
      <c r="C1" s="10"/>
      <c r="D1" s="10"/>
      <c r="E1" s="10"/>
    </row>
    <row r="2" spans="1:5" s="3" customFormat="1" ht="79.5" customHeight="1">
      <c r="A2" s="4" t="s">
        <v>90</v>
      </c>
      <c r="B2" s="4" t="s">
        <v>0</v>
      </c>
      <c r="C2" s="4" t="s">
        <v>1</v>
      </c>
      <c r="D2" s="4" t="s">
        <v>8</v>
      </c>
      <c r="E2" s="4" t="s">
        <v>91</v>
      </c>
    </row>
    <row r="3" spans="1:5">
      <c r="A3">
        <f>QCM!A3</f>
        <v>3559</v>
      </c>
      <c r="B3" t="str">
        <f>QCM!B3</f>
        <v>BOUBRED -</v>
      </c>
      <c r="C3" t="str">
        <f>QCM!C3</f>
        <v>Sabine</v>
      </c>
      <c r="D3" s="2" t="s">
        <v>10</v>
      </c>
      <c r="E3">
        <v>14</v>
      </c>
    </row>
    <row r="4" spans="1:5">
      <c r="A4">
        <f>QCM!A4</f>
        <v>3769</v>
      </c>
      <c r="B4" t="str">
        <f>QCM!B4</f>
        <v>BENZOUGHARI</v>
      </c>
      <c r="C4" t="str">
        <f>QCM!C4</f>
        <v>Rachid</v>
      </c>
      <c r="D4" s="2" t="s">
        <v>10</v>
      </c>
      <c r="E4">
        <v>2</v>
      </c>
    </row>
    <row r="5" spans="1:5">
      <c r="A5">
        <f>QCM!A5</f>
        <v>3922</v>
      </c>
      <c r="B5" t="str">
        <f>QCM!B5</f>
        <v>BAUDOUIN</v>
      </c>
      <c r="C5" t="str">
        <f>QCM!C5</f>
        <v>Emeline</v>
      </c>
      <c r="D5" s="2" t="s">
        <v>9</v>
      </c>
      <c r="E5">
        <f>IF(D5="N",0,SUM(#REF!))</f>
        <v>0</v>
      </c>
    </row>
    <row r="6" spans="1:5">
      <c r="A6">
        <f>QCM!A6</f>
        <v>3936</v>
      </c>
      <c r="B6" t="str">
        <f>QCM!B6</f>
        <v>BOURGEOIS</v>
      </c>
      <c r="C6" t="str">
        <f>QCM!C6</f>
        <v>Benjamin</v>
      </c>
      <c r="D6" s="2" t="s">
        <v>10</v>
      </c>
      <c r="E6">
        <v>4</v>
      </c>
    </row>
    <row r="7" spans="1:5">
      <c r="A7">
        <f>QCM!A7</f>
        <v>3967</v>
      </c>
      <c r="B7" t="str">
        <f>QCM!B7</f>
        <v>DJAMALIDINE</v>
      </c>
      <c r="C7" t="str">
        <f>QCM!C7</f>
        <v>Laylat</v>
      </c>
      <c r="D7" s="2" t="s">
        <v>9</v>
      </c>
      <c r="E7">
        <f>IF(D7="N",0,SUM(#REF!))</f>
        <v>0</v>
      </c>
    </row>
    <row r="8" spans="1:5">
      <c r="A8">
        <f>QCM!A8</f>
        <v>3991</v>
      </c>
      <c r="B8" t="str">
        <f>QCM!B8</f>
        <v>HADJ-CHERIF</v>
      </c>
      <c r="C8" t="str">
        <f>QCM!C8</f>
        <v>L'aalia</v>
      </c>
      <c r="D8" s="2" t="s">
        <v>10</v>
      </c>
      <c r="E8">
        <v>7</v>
      </c>
    </row>
    <row r="9" spans="1:5">
      <c r="A9">
        <f>QCM!A9</f>
        <v>3996</v>
      </c>
      <c r="B9" t="str">
        <f>QCM!B9</f>
        <v>JEAN-CHARLES</v>
      </c>
      <c r="C9" t="str">
        <f>QCM!C9</f>
        <v>Fabien</v>
      </c>
      <c r="D9" s="2" t="s">
        <v>10</v>
      </c>
      <c r="E9">
        <v>12</v>
      </c>
    </row>
    <row r="10" spans="1:5">
      <c r="A10">
        <f>QCM!A10</f>
        <v>4002</v>
      </c>
      <c r="B10" t="str">
        <f>QCM!B10</f>
        <v>LAGORCE</v>
      </c>
      <c r="C10" t="str">
        <f>QCM!C10</f>
        <v>Capucine</v>
      </c>
      <c r="D10" s="2" t="s">
        <v>10</v>
      </c>
      <c r="E10">
        <v>11</v>
      </c>
    </row>
    <row r="11" spans="1:5">
      <c r="A11">
        <f>QCM!A11</f>
        <v>4004</v>
      </c>
      <c r="B11" t="str">
        <f>QCM!B11</f>
        <v>LE BORGNE</v>
      </c>
      <c r="C11" t="str">
        <f>QCM!C11</f>
        <v>Kevin</v>
      </c>
      <c r="D11" s="2" t="s">
        <v>10</v>
      </c>
      <c r="E11">
        <v>8</v>
      </c>
    </row>
    <row r="12" spans="1:5">
      <c r="A12">
        <f>QCM!A12</f>
        <v>4025</v>
      </c>
      <c r="B12" t="str">
        <f>QCM!B12</f>
        <v>NAJI</v>
      </c>
      <c r="C12" t="str">
        <f>QCM!C12</f>
        <v>Mounir</v>
      </c>
      <c r="D12" s="2" t="s">
        <v>10</v>
      </c>
      <c r="E12">
        <v>14</v>
      </c>
    </row>
    <row r="13" spans="1:5">
      <c r="A13">
        <f>QCM!A13</f>
        <v>4034</v>
      </c>
      <c r="B13" t="str">
        <f>QCM!B13</f>
        <v>NYOURI</v>
      </c>
      <c r="C13" t="str">
        <f>QCM!C13</f>
        <v>Sadame</v>
      </c>
      <c r="D13" s="2" t="s">
        <v>10</v>
      </c>
      <c r="E13">
        <v>6</v>
      </c>
    </row>
    <row r="14" spans="1:5">
      <c r="A14">
        <f>QCM!A14</f>
        <v>4049</v>
      </c>
      <c r="B14" t="str">
        <f>QCM!B14</f>
        <v>SAYARATH</v>
      </c>
      <c r="C14" t="str">
        <f>QCM!C14</f>
        <v>Oscar</v>
      </c>
      <c r="D14" s="2" t="s">
        <v>10</v>
      </c>
      <c r="E14">
        <v>9</v>
      </c>
    </row>
    <row r="15" spans="1:5">
      <c r="A15">
        <f>QCM!A15</f>
        <v>4052</v>
      </c>
      <c r="B15" t="str">
        <f>QCM!B15</f>
        <v>SINCLAIR</v>
      </c>
      <c r="C15" t="str">
        <f>QCM!C15</f>
        <v>Xavier</v>
      </c>
      <c r="D15" s="2" t="s">
        <v>10</v>
      </c>
      <c r="E15">
        <v>15</v>
      </c>
    </row>
    <row r="16" spans="1:5">
      <c r="A16">
        <f>QCM!A16</f>
        <v>4062</v>
      </c>
      <c r="B16" t="str">
        <f>QCM!B16</f>
        <v>TOUAGH</v>
      </c>
      <c r="C16" t="str">
        <f>QCM!C16</f>
        <v>Ali</v>
      </c>
      <c r="D16" s="2" t="s">
        <v>10</v>
      </c>
      <c r="E16">
        <v>12</v>
      </c>
    </row>
    <row r="17" spans="1:5">
      <c r="A17">
        <f>QCM!A17</f>
        <v>4070</v>
      </c>
      <c r="B17" t="str">
        <f>QCM!B17</f>
        <v>YAFU</v>
      </c>
      <c r="C17" t="str">
        <f>QCM!C17</f>
        <v>Ludovic</v>
      </c>
      <c r="D17" s="2" t="s">
        <v>10</v>
      </c>
      <c r="E17">
        <v>11</v>
      </c>
    </row>
    <row r="18" spans="1:5">
      <c r="A18">
        <f>QCM!A18</f>
        <v>4176</v>
      </c>
      <c r="B18" t="str">
        <f>QCM!B18</f>
        <v>TOUROUDE</v>
      </c>
      <c r="C18" t="str">
        <f>QCM!C18</f>
        <v>John</v>
      </c>
      <c r="D18" s="2" t="s">
        <v>9</v>
      </c>
      <c r="E18">
        <f>IF(D18="N",0,SUM(#REF!))</f>
        <v>0</v>
      </c>
    </row>
    <row r="19" spans="1:5">
      <c r="A19">
        <f>QCM!A19</f>
        <v>4187</v>
      </c>
      <c r="B19" t="str">
        <f>QCM!B19</f>
        <v>TRIBOULT</v>
      </c>
      <c r="C19" t="str">
        <f>QCM!C19</f>
        <v>Pierre-Alain</v>
      </c>
      <c r="D19" s="2" t="s">
        <v>10</v>
      </c>
      <c r="E19">
        <v>4</v>
      </c>
    </row>
    <row r="20" spans="1:5">
      <c r="A20">
        <f>QCM!A20</f>
        <v>4289</v>
      </c>
      <c r="B20" t="str">
        <f>QCM!B20</f>
        <v>ALERTE</v>
      </c>
      <c r="C20" t="str">
        <f>QCM!C20</f>
        <v>Virginie</v>
      </c>
      <c r="D20" s="2" t="s">
        <v>10</v>
      </c>
      <c r="E20">
        <v>8</v>
      </c>
    </row>
    <row r="21" spans="1:5">
      <c r="A21">
        <f>QCM!A21</f>
        <v>4293</v>
      </c>
      <c r="B21" t="str">
        <f>QCM!B21</f>
        <v>AMRANI</v>
      </c>
      <c r="C21" t="str">
        <f>QCM!C21</f>
        <v>Maud</v>
      </c>
      <c r="D21" s="2" t="s">
        <v>10</v>
      </c>
      <c r="E21">
        <v>9</v>
      </c>
    </row>
    <row r="22" spans="1:5">
      <c r="A22">
        <f>QCM!A22</f>
        <v>4302</v>
      </c>
      <c r="B22" t="str">
        <f>QCM!B22</f>
        <v>BERNARD</v>
      </c>
      <c r="C22" t="str">
        <f>QCM!C22</f>
        <v>Cecile</v>
      </c>
      <c r="D22" s="2" t="s">
        <v>10</v>
      </c>
      <c r="E22">
        <v>12</v>
      </c>
    </row>
    <row r="23" spans="1:5">
      <c r="A23">
        <f>QCM!A23</f>
        <v>4304</v>
      </c>
      <c r="B23" t="str">
        <f>QCM!B23</f>
        <v>BOCHE</v>
      </c>
      <c r="C23" t="str">
        <f>QCM!C23</f>
        <v>Cedric</v>
      </c>
      <c r="D23" s="2" t="s">
        <v>10</v>
      </c>
      <c r="E23">
        <v>17</v>
      </c>
    </row>
    <row r="24" spans="1:5">
      <c r="A24">
        <f>QCM!A24</f>
        <v>4307</v>
      </c>
      <c r="B24" t="str">
        <f>QCM!B24</f>
        <v>BOULANGE</v>
      </c>
      <c r="C24" t="str">
        <f>QCM!C24</f>
        <v>Eve-aurore</v>
      </c>
      <c r="D24" s="2" t="s">
        <v>10</v>
      </c>
      <c r="E24">
        <v>13</v>
      </c>
    </row>
    <row r="25" spans="1:5">
      <c r="A25">
        <f>QCM!A25</f>
        <v>4310</v>
      </c>
      <c r="B25" t="str">
        <f>QCM!B25</f>
        <v>BOUSSALEM</v>
      </c>
      <c r="C25" t="str">
        <f>QCM!C25</f>
        <v>Ghizlane</v>
      </c>
      <c r="D25" s="2" t="s">
        <v>10</v>
      </c>
      <c r="E25">
        <v>13</v>
      </c>
    </row>
    <row r="26" spans="1:5">
      <c r="A26">
        <f>QCM!A26</f>
        <v>4313</v>
      </c>
      <c r="B26" t="str">
        <f>QCM!B26</f>
        <v>BUTRUILLE</v>
      </c>
      <c r="C26" t="str">
        <f>QCM!C26</f>
        <v>Amelie</v>
      </c>
      <c r="D26" s="2" t="s">
        <v>10</v>
      </c>
      <c r="E26">
        <v>12</v>
      </c>
    </row>
    <row r="27" spans="1:5">
      <c r="A27">
        <f>QCM!A27</f>
        <v>4318</v>
      </c>
      <c r="B27" t="str">
        <f>QCM!B27</f>
        <v>CHEDDAD</v>
      </c>
      <c r="C27" t="str">
        <f>QCM!C27</f>
        <v>Audrey</v>
      </c>
      <c r="D27" s="2" t="s">
        <v>10</v>
      </c>
      <c r="E27">
        <v>7</v>
      </c>
    </row>
    <row r="28" spans="1:5">
      <c r="A28">
        <f>QCM!A28</f>
        <v>4325</v>
      </c>
      <c r="B28" t="str">
        <f>QCM!B28</f>
        <v>COURROUX</v>
      </c>
      <c r="C28" t="str">
        <f>QCM!C28</f>
        <v>Nicolas</v>
      </c>
      <c r="D28" s="2" t="s">
        <v>10</v>
      </c>
      <c r="E28">
        <v>4</v>
      </c>
    </row>
    <row r="29" spans="1:5">
      <c r="A29">
        <f>QCM!A29</f>
        <v>4337</v>
      </c>
      <c r="B29" t="str">
        <f>QCM!B29</f>
        <v>DENARDOU</v>
      </c>
      <c r="C29" t="str">
        <f>QCM!C29</f>
        <v>Bruno</v>
      </c>
      <c r="D29" s="2" t="s">
        <v>10</v>
      </c>
      <c r="E29">
        <v>8</v>
      </c>
    </row>
    <row r="30" spans="1:5">
      <c r="A30">
        <f>QCM!A30</f>
        <v>4339</v>
      </c>
      <c r="B30" t="str">
        <f>QCM!B30</f>
        <v>DEPARIS</v>
      </c>
      <c r="C30" t="str">
        <f>QCM!C30</f>
        <v>Thibaud</v>
      </c>
      <c r="D30" s="2" t="s">
        <v>10</v>
      </c>
      <c r="E30">
        <v>11</v>
      </c>
    </row>
    <row r="31" spans="1:5">
      <c r="A31">
        <f>QCM!A31</f>
        <v>4341</v>
      </c>
      <c r="B31" t="str">
        <f>QCM!B31</f>
        <v>DJAMALIDINE</v>
      </c>
      <c r="C31" t="str">
        <f>QCM!C31</f>
        <v>Tahiyat</v>
      </c>
      <c r="D31" s="2" t="s">
        <v>10</v>
      </c>
      <c r="E31">
        <v>12</v>
      </c>
    </row>
    <row r="32" spans="1:5">
      <c r="A32">
        <f>QCM!A32</f>
        <v>4349</v>
      </c>
      <c r="B32" t="str">
        <f>QCM!B32</f>
        <v>DUPUIS</v>
      </c>
      <c r="C32" t="str">
        <f>QCM!C32</f>
        <v>Antoine</v>
      </c>
      <c r="D32" s="2" t="s">
        <v>10</v>
      </c>
      <c r="E32">
        <v>15</v>
      </c>
    </row>
    <row r="33" spans="1:5">
      <c r="A33">
        <f>QCM!A33</f>
        <v>4350</v>
      </c>
      <c r="B33" t="str">
        <f>QCM!B33</f>
        <v>DUSSAIX</v>
      </c>
      <c r="C33" t="str">
        <f>QCM!C33</f>
        <v>Patrick</v>
      </c>
      <c r="D33" s="2" t="s">
        <v>9</v>
      </c>
      <c r="E33">
        <v>0</v>
      </c>
    </row>
    <row r="34" spans="1:5">
      <c r="A34">
        <f>QCM!A34</f>
        <v>4362</v>
      </c>
      <c r="B34" t="str">
        <f>QCM!B34</f>
        <v>GALLARD</v>
      </c>
      <c r="C34" t="str">
        <f>QCM!C34</f>
        <v>Jeremy</v>
      </c>
      <c r="D34" s="2" t="s">
        <v>10</v>
      </c>
      <c r="E34">
        <v>12</v>
      </c>
    </row>
    <row r="35" spans="1:5">
      <c r="A35">
        <f>QCM!A35</f>
        <v>4367</v>
      </c>
      <c r="B35" t="str">
        <f>QCM!B35</f>
        <v>GENRI</v>
      </c>
      <c r="C35" t="str">
        <f>QCM!C35</f>
        <v>Ariane</v>
      </c>
      <c r="D35" s="2" t="s">
        <v>9</v>
      </c>
      <c r="E35">
        <v>0</v>
      </c>
    </row>
    <row r="36" spans="1:5">
      <c r="A36">
        <f>QCM!A36</f>
        <v>4375</v>
      </c>
      <c r="B36" t="str">
        <f>QCM!B36</f>
        <v>GROSJEAN</v>
      </c>
      <c r="C36" t="str">
        <f>QCM!C36</f>
        <v>Ulric</v>
      </c>
      <c r="D36" s="2" t="s">
        <v>9</v>
      </c>
      <c r="E36">
        <v>0</v>
      </c>
    </row>
    <row r="37" spans="1:5">
      <c r="A37">
        <f>QCM!A37</f>
        <v>4379</v>
      </c>
      <c r="B37" t="str">
        <f>QCM!B37</f>
        <v>HAMILLE</v>
      </c>
      <c r="C37" t="str">
        <f>QCM!C37</f>
        <v>Julien</v>
      </c>
      <c r="D37" s="2" t="s">
        <v>9</v>
      </c>
      <c r="E37">
        <v>0</v>
      </c>
    </row>
    <row r="38" spans="1:5">
      <c r="A38">
        <f>QCM!A38</f>
        <v>4381</v>
      </c>
      <c r="B38" t="str">
        <f>QCM!B38</f>
        <v>JEAN</v>
      </c>
      <c r="C38" t="str">
        <f>QCM!C38</f>
        <v>Christiane</v>
      </c>
      <c r="D38" s="2" t="s">
        <v>9</v>
      </c>
      <c r="E38">
        <v>0</v>
      </c>
    </row>
    <row r="39" spans="1:5">
      <c r="A39">
        <f>QCM!A39</f>
        <v>4386</v>
      </c>
      <c r="B39" t="str">
        <f>QCM!B39</f>
        <v>KELI</v>
      </c>
      <c r="C39" t="str">
        <f>QCM!C39</f>
        <v>Hesna</v>
      </c>
      <c r="D39" s="2" t="s">
        <v>10</v>
      </c>
      <c r="E39">
        <v>9</v>
      </c>
    </row>
    <row r="40" spans="1:5">
      <c r="A40">
        <f>QCM!A40</f>
        <v>4388</v>
      </c>
      <c r="B40" t="str">
        <f>QCM!B40</f>
        <v>KOPTIENT</v>
      </c>
      <c r="C40" t="str">
        <f>QCM!C40</f>
        <v>Amelie</v>
      </c>
      <c r="D40" s="2" t="s">
        <v>10</v>
      </c>
      <c r="E40">
        <v>12</v>
      </c>
    </row>
    <row r="41" spans="1:5">
      <c r="A41">
        <f>QCM!A41</f>
        <v>4392</v>
      </c>
      <c r="B41" t="str">
        <f>QCM!B41</f>
        <v>LAMBEAU</v>
      </c>
      <c r="C41" t="str">
        <f>QCM!C41</f>
        <v>Loic</v>
      </c>
      <c r="D41" s="2" t="s">
        <v>10</v>
      </c>
      <c r="E41">
        <v>11</v>
      </c>
    </row>
  </sheetData>
  <mergeCells count="1">
    <mergeCell ref="A1:E1"/>
  </mergeCells>
  <phoneticPr fontId="2" type="noConversion"/>
  <pageMargins left="0.39370078740157483" right="0.39370078740157483" top="0.98425196850393704" bottom="0.98425196850393704" header="0.51181102362204722" footer="0.51181102362204722"/>
  <pageSetup paperSize="9" pageOrder="overThenDown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dimension ref="A1:E41"/>
  <sheetViews>
    <sheetView workbookViewId="0">
      <selection activeCell="E3" sqref="E3"/>
    </sheetView>
  </sheetViews>
  <sheetFormatPr baseColWidth="10" defaultRowHeight="12.75"/>
  <cols>
    <col min="1" max="1" width="10" style="2" bestFit="1" customWidth="1"/>
    <col min="2" max="2" width="15" bestFit="1" customWidth="1"/>
    <col min="3" max="3" width="10.5703125" bestFit="1" customWidth="1"/>
    <col min="4" max="4" width="6.85546875" style="2" bestFit="1" customWidth="1"/>
    <col min="5" max="5" width="6.7109375" style="5" bestFit="1" customWidth="1"/>
  </cols>
  <sheetData>
    <row r="1" spans="1:5" ht="15">
      <c r="A1" s="10" t="s">
        <v>93</v>
      </c>
      <c r="B1" s="10"/>
      <c r="C1" s="10"/>
      <c r="D1" s="10"/>
      <c r="E1" s="10"/>
    </row>
    <row r="2" spans="1:5" ht="52.5" customHeight="1">
      <c r="A2" s="4" t="s">
        <v>90</v>
      </c>
      <c r="B2" s="4" t="s">
        <v>0</v>
      </c>
      <c r="C2" s="4" t="s">
        <v>1</v>
      </c>
      <c r="D2" s="4" t="s">
        <v>8</v>
      </c>
      <c r="E2" s="4" t="s">
        <v>91</v>
      </c>
    </row>
    <row r="3" spans="1:5">
      <c r="A3" s="2">
        <f>Word!A3</f>
        <v>3559</v>
      </c>
      <c r="B3" t="str">
        <f>Word!B3</f>
        <v>BOUBRED -</v>
      </c>
      <c r="C3" t="str">
        <f>Word!C3</f>
        <v>Sabine</v>
      </c>
      <c r="D3" s="2" t="s">
        <v>10</v>
      </c>
      <c r="E3" s="5">
        <v>11</v>
      </c>
    </row>
    <row r="4" spans="1:5">
      <c r="A4" s="2">
        <f>Word!A4</f>
        <v>3769</v>
      </c>
      <c r="B4" t="str">
        <f>Word!B4</f>
        <v>BENZOUGHARI</v>
      </c>
      <c r="C4" t="str">
        <f>Word!C4</f>
        <v>Rachid</v>
      </c>
      <c r="D4" s="2" t="s">
        <v>10</v>
      </c>
      <c r="E4" s="5">
        <v>4</v>
      </c>
    </row>
    <row r="5" spans="1:5">
      <c r="A5" s="2">
        <f>Word!A5</f>
        <v>3922</v>
      </c>
      <c r="B5" t="str">
        <f>Word!B5</f>
        <v>BAUDOUIN</v>
      </c>
      <c r="C5" t="str">
        <f>Word!C5</f>
        <v>Emeline</v>
      </c>
      <c r="D5" s="2" t="s">
        <v>10</v>
      </c>
      <c r="E5" s="5">
        <v>8</v>
      </c>
    </row>
    <row r="6" spans="1:5">
      <c r="A6" s="2">
        <f>Word!A6</f>
        <v>3936</v>
      </c>
      <c r="B6" t="str">
        <f>Word!B6</f>
        <v>BOURGEOIS</v>
      </c>
      <c r="C6" t="str">
        <f>Word!C6</f>
        <v>Benjamin</v>
      </c>
      <c r="D6" s="2" t="s">
        <v>10</v>
      </c>
      <c r="E6" s="5">
        <v>11</v>
      </c>
    </row>
    <row r="7" spans="1:5">
      <c r="A7" s="2">
        <f>Word!A7</f>
        <v>3967</v>
      </c>
      <c r="B7" t="str">
        <f>Word!B7</f>
        <v>DJAMALIDINE</v>
      </c>
      <c r="C7" t="str">
        <f>Word!C7</f>
        <v>Laylat</v>
      </c>
      <c r="D7" s="2" t="s">
        <v>9</v>
      </c>
      <c r="E7" s="5">
        <v>0</v>
      </c>
    </row>
    <row r="8" spans="1:5">
      <c r="A8" s="2">
        <f>Word!A8</f>
        <v>3991</v>
      </c>
      <c r="B8" t="str">
        <f>Word!B8</f>
        <v>HADJ-CHERIF</v>
      </c>
      <c r="C8" t="str">
        <f>Word!C8</f>
        <v>L'aalia</v>
      </c>
      <c r="D8" s="2" t="s">
        <v>10</v>
      </c>
      <c r="E8" s="5">
        <v>15</v>
      </c>
    </row>
    <row r="9" spans="1:5">
      <c r="A9" s="2">
        <f>Word!A9</f>
        <v>3996</v>
      </c>
      <c r="B9" t="str">
        <f>Word!B9</f>
        <v>JEAN-CHARLES</v>
      </c>
      <c r="C9" t="str">
        <f>Word!C9</f>
        <v>Fabien</v>
      </c>
      <c r="D9" s="2" t="s">
        <v>10</v>
      </c>
      <c r="E9" s="5">
        <v>0</v>
      </c>
    </row>
    <row r="10" spans="1:5">
      <c r="A10" s="2">
        <f>Word!A10</f>
        <v>4002</v>
      </c>
      <c r="B10" t="str">
        <f>Word!B10</f>
        <v>LAGORCE</v>
      </c>
      <c r="C10" t="str">
        <f>Word!C10</f>
        <v>Capucine</v>
      </c>
      <c r="D10" s="2" t="s">
        <v>10</v>
      </c>
      <c r="E10" s="5">
        <v>12</v>
      </c>
    </row>
    <row r="11" spans="1:5">
      <c r="A11" s="2">
        <f>Word!A11</f>
        <v>4004</v>
      </c>
      <c r="B11" t="str">
        <f>Word!B11</f>
        <v>LE BORGNE</v>
      </c>
      <c r="C11" t="str">
        <f>Word!C11</f>
        <v>Kevin</v>
      </c>
      <c r="D11" s="2" t="s">
        <v>10</v>
      </c>
      <c r="E11" s="5">
        <v>0</v>
      </c>
    </row>
    <row r="12" spans="1:5">
      <c r="A12" s="2">
        <f>Word!A12</f>
        <v>4025</v>
      </c>
      <c r="B12" t="str">
        <f>Word!B12</f>
        <v>NAJI</v>
      </c>
      <c r="C12" t="str">
        <f>Word!C12</f>
        <v>Mounir</v>
      </c>
      <c r="D12" s="2" t="s">
        <v>10</v>
      </c>
      <c r="E12" s="5">
        <v>0</v>
      </c>
    </row>
    <row r="13" spans="1:5">
      <c r="A13" s="2">
        <f>Word!A13</f>
        <v>4034</v>
      </c>
      <c r="B13" t="str">
        <f>Word!B13</f>
        <v>NYOURI</v>
      </c>
      <c r="C13" t="str">
        <f>Word!C13</f>
        <v>Sadame</v>
      </c>
      <c r="D13" s="2" t="s">
        <v>10</v>
      </c>
      <c r="E13" s="5">
        <v>0</v>
      </c>
    </row>
    <row r="14" spans="1:5">
      <c r="A14" s="2">
        <f>Word!A14</f>
        <v>4049</v>
      </c>
      <c r="B14" t="str">
        <f>Word!B14</f>
        <v>SAYARATH</v>
      </c>
      <c r="C14" t="str">
        <f>Word!C14</f>
        <v>Oscar</v>
      </c>
      <c r="D14" s="2" t="s">
        <v>10</v>
      </c>
      <c r="E14" s="5">
        <v>0</v>
      </c>
    </row>
    <row r="15" spans="1:5">
      <c r="A15" s="2">
        <f>Word!A15</f>
        <v>4052</v>
      </c>
      <c r="B15" t="str">
        <f>Word!B15</f>
        <v>SINCLAIR</v>
      </c>
      <c r="C15" t="str">
        <f>Word!C15</f>
        <v>Xavier</v>
      </c>
      <c r="D15" s="2" t="s">
        <v>10</v>
      </c>
      <c r="E15" s="5">
        <v>9</v>
      </c>
    </row>
    <row r="16" spans="1:5">
      <c r="A16" s="2">
        <f>Word!A16</f>
        <v>4062</v>
      </c>
      <c r="B16" t="str">
        <f>Word!B16</f>
        <v>TOUAGH</v>
      </c>
      <c r="C16" t="str">
        <f>Word!C16</f>
        <v>Ali</v>
      </c>
      <c r="D16" s="2" t="s">
        <v>10</v>
      </c>
      <c r="E16" s="5">
        <v>12</v>
      </c>
    </row>
    <row r="17" spans="1:5">
      <c r="A17" s="2">
        <f>Word!A17</f>
        <v>4070</v>
      </c>
      <c r="B17" t="str">
        <f>Word!B17</f>
        <v>YAFU</v>
      </c>
      <c r="C17" t="str">
        <f>Word!C17</f>
        <v>Ludovic</v>
      </c>
      <c r="D17" s="2" t="s">
        <v>10</v>
      </c>
      <c r="E17" s="5">
        <v>11</v>
      </c>
    </row>
    <row r="18" spans="1:5">
      <c r="A18" s="2">
        <f>Word!A18</f>
        <v>4176</v>
      </c>
      <c r="B18" t="str">
        <f>Word!B18</f>
        <v>TOUROUDE</v>
      </c>
      <c r="C18" t="str">
        <f>Word!C18</f>
        <v>John</v>
      </c>
      <c r="D18" s="2" t="s">
        <v>9</v>
      </c>
      <c r="E18" s="5">
        <f>IF(D18="N",0,SUM(#REF!))</f>
        <v>0</v>
      </c>
    </row>
    <row r="19" spans="1:5">
      <c r="A19" s="2">
        <f>Word!A19</f>
        <v>4187</v>
      </c>
      <c r="B19" t="str">
        <f>Word!B19</f>
        <v>TRIBOULT</v>
      </c>
      <c r="C19" t="str">
        <f>Word!C19</f>
        <v>Pierre-Alain</v>
      </c>
      <c r="D19" s="2" t="s">
        <v>10</v>
      </c>
      <c r="E19" s="5">
        <v>12</v>
      </c>
    </row>
    <row r="20" spans="1:5">
      <c r="A20" s="2">
        <f>Word!A20</f>
        <v>4289</v>
      </c>
      <c r="B20" t="str">
        <f>Word!B20</f>
        <v>ALERTE</v>
      </c>
      <c r="C20" t="str">
        <f>Word!C20</f>
        <v>Virginie</v>
      </c>
      <c r="D20" s="2" t="s">
        <v>10</v>
      </c>
      <c r="E20" s="5">
        <v>11</v>
      </c>
    </row>
    <row r="21" spans="1:5">
      <c r="A21" s="2">
        <f>Word!A21</f>
        <v>4293</v>
      </c>
      <c r="B21" t="str">
        <f>Word!B21</f>
        <v>AMRANI</v>
      </c>
      <c r="C21" t="str">
        <f>Word!C21</f>
        <v>Maud</v>
      </c>
      <c r="D21" s="2" t="s">
        <v>10</v>
      </c>
      <c r="E21" s="5">
        <v>8</v>
      </c>
    </row>
    <row r="22" spans="1:5">
      <c r="A22" s="2">
        <f>Word!A22</f>
        <v>4302</v>
      </c>
      <c r="B22" t="str">
        <f>Word!B22</f>
        <v>BERNARD</v>
      </c>
      <c r="C22" t="str">
        <f>Word!C22</f>
        <v>Cecile</v>
      </c>
      <c r="D22" s="2" t="s">
        <v>10</v>
      </c>
      <c r="E22" s="5">
        <v>14</v>
      </c>
    </row>
    <row r="23" spans="1:5">
      <c r="A23" s="2">
        <f>Word!A23</f>
        <v>4304</v>
      </c>
      <c r="B23" t="str">
        <f>Word!B23</f>
        <v>BOCHE</v>
      </c>
      <c r="C23" t="str">
        <f>Word!C23</f>
        <v>Cedric</v>
      </c>
      <c r="D23" s="2" t="s">
        <v>10</v>
      </c>
      <c r="E23" s="5">
        <v>6</v>
      </c>
    </row>
    <row r="24" spans="1:5">
      <c r="A24" s="2">
        <f>Word!A24</f>
        <v>4307</v>
      </c>
      <c r="B24" t="str">
        <f>Word!B24</f>
        <v>BOULANGE</v>
      </c>
      <c r="C24" t="str">
        <f>Word!C24</f>
        <v>Eve-aurore</v>
      </c>
      <c r="D24" s="2" t="s">
        <v>10</v>
      </c>
      <c r="E24" s="5">
        <v>9</v>
      </c>
    </row>
    <row r="25" spans="1:5">
      <c r="A25" s="2">
        <f>Word!A25</f>
        <v>4310</v>
      </c>
      <c r="B25" t="str">
        <f>Word!B25</f>
        <v>BOUSSALEM</v>
      </c>
      <c r="C25" t="str">
        <f>Word!C25</f>
        <v>Ghizlane</v>
      </c>
      <c r="D25" s="2" t="s">
        <v>10</v>
      </c>
      <c r="E25" s="5">
        <v>15</v>
      </c>
    </row>
    <row r="26" spans="1:5">
      <c r="A26" s="2">
        <f>Word!A26</f>
        <v>4313</v>
      </c>
      <c r="B26" t="str">
        <f>Word!B26</f>
        <v>BUTRUILLE</v>
      </c>
      <c r="C26" t="str">
        <f>Word!C26</f>
        <v>Amelie</v>
      </c>
      <c r="D26" s="2" t="s">
        <v>10</v>
      </c>
      <c r="E26" s="5">
        <v>12</v>
      </c>
    </row>
    <row r="27" spans="1:5">
      <c r="A27" s="2">
        <f>Word!A27</f>
        <v>4318</v>
      </c>
      <c r="B27" t="str">
        <f>Word!B27</f>
        <v>CHEDDAD</v>
      </c>
      <c r="C27" t="str">
        <f>Word!C27</f>
        <v>Audrey</v>
      </c>
      <c r="D27" s="2" t="s">
        <v>10</v>
      </c>
      <c r="E27" s="5">
        <v>11</v>
      </c>
    </row>
    <row r="28" spans="1:5">
      <c r="A28" s="2">
        <f>Word!A28</f>
        <v>4325</v>
      </c>
      <c r="B28" t="str">
        <f>Word!B28</f>
        <v>COURROUX</v>
      </c>
      <c r="C28" t="str">
        <f>Word!C28</f>
        <v>Nicolas</v>
      </c>
      <c r="D28" s="2" t="s">
        <v>10</v>
      </c>
      <c r="E28" s="5">
        <v>5</v>
      </c>
    </row>
    <row r="29" spans="1:5">
      <c r="A29" s="2">
        <f>Word!A29</f>
        <v>4337</v>
      </c>
      <c r="B29" t="str">
        <f>Word!B29</f>
        <v>DENARDOU</v>
      </c>
      <c r="C29" t="str">
        <f>Word!C29</f>
        <v>Bruno</v>
      </c>
      <c r="D29" s="2" t="s">
        <v>10</v>
      </c>
      <c r="E29" s="5">
        <v>4</v>
      </c>
    </row>
    <row r="30" spans="1:5">
      <c r="A30" s="2">
        <f>Word!A30</f>
        <v>4339</v>
      </c>
      <c r="B30" t="str">
        <f>Word!B30</f>
        <v>DEPARIS</v>
      </c>
      <c r="C30" t="str">
        <f>Word!C30</f>
        <v>Thibaud</v>
      </c>
      <c r="D30" s="2" t="s">
        <v>10</v>
      </c>
      <c r="E30" s="5">
        <v>8</v>
      </c>
    </row>
    <row r="31" spans="1:5">
      <c r="A31" s="2">
        <f>Word!A31</f>
        <v>4341</v>
      </c>
      <c r="B31" t="str">
        <f>Word!B31</f>
        <v>DJAMALIDINE</v>
      </c>
      <c r="C31" t="str">
        <f>Word!C31</f>
        <v>Tahiyat</v>
      </c>
      <c r="D31" s="2" t="s">
        <v>10</v>
      </c>
      <c r="E31" s="5">
        <v>4</v>
      </c>
    </row>
    <row r="32" spans="1:5">
      <c r="A32" s="2">
        <f>Word!A32</f>
        <v>4349</v>
      </c>
      <c r="B32" t="str">
        <f>Word!B32</f>
        <v>DUPUIS</v>
      </c>
      <c r="C32" t="str">
        <f>Word!C32</f>
        <v>Antoine</v>
      </c>
      <c r="D32" s="2" t="s">
        <v>10</v>
      </c>
      <c r="E32" s="5">
        <v>4</v>
      </c>
    </row>
    <row r="33" spans="1:5">
      <c r="A33" s="2">
        <f>Word!A33</f>
        <v>4350</v>
      </c>
      <c r="B33" t="str">
        <f>Word!B33</f>
        <v>DUSSAIX</v>
      </c>
      <c r="C33" t="str">
        <f>Word!C33</f>
        <v>Patrick</v>
      </c>
      <c r="D33" s="2" t="s">
        <v>9</v>
      </c>
      <c r="E33" s="5">
        <f>IF(D33="N",0,SUM(#REF!))</f>
        <v>0</v>
      </c>
    </row>
    <row r="34" spans="1:5">
      <c r="A34" s="2">
        <f>Word!A34</f>
        <v>4362</v>
      </c>
      <c r="B34" t="str">
        <f>Word!B34</f>
        <v>GALLARD</v>
      </c>
      <c r="C34" t="str">
        <f>Word!C34</f>
        <v>Jeremy</v>
      </c>
      <c r="D34" s="2" t="s">
        <v>10</v>
      </c>
      <c r="E34" s="5">
        <v>8</v>
      </c>
    </row>
    <row r="35" spans="1:5">
      <c r="A35" s="2">
        <f>Word!A35</f>
        <v>4367</v>
      </c>
      <c r="B35" t="str">
        <f>Word!B35</f>
        <v>GENRI</v>
      </c>
      <c r="C35" t="str">
        <f>Word!C35</f>
        <v>Ariane</v>
      </c>
      <c r="D35" s="2" t="s">
        <v>9</v>
      </c>
      <c r="E35" s="5">
        <f>IF(D35="N",0,SUM(#REF!))</f>
        <v>0</v>
      </c>
    </row>
    <row r="36" spans="1:5">
      <c r="A36" s="2">
        <f>Word!A36</f>
        <v>4375</v>
      </c>
      <c r="B36" t="str">
        <f>Word!B36</f>
        <v>GROSJEAN</v>
      </c>
      <c r="C36" t="str">
        <f>Word!C36</f>
        <v>Ulric</v>
      </c>
      <c r="D36" s="2" t="s">
        <v>9</v>
      </c>
      <c r="E36" s="5">
        <f>IF(D36="N",0,SUM(#REF!))</f>
        <v>0</v>
      </c>
    </row>
    <row r="37" spans="1:5">
      <c r="A37" s="2">
        <f>Word!A37</f>
        <v>4379</v>
      </c>
      <c r="B37" t="str">
        <f>Word!B37</f>
        <v>HAMILLE</v>
      </c>
      <c r="C37" t="str">
        <f>Word!C37</f>
        <v>Julien</v>
      </c>
      <c r="D37" s="2" t="s">
        <v>9</v>
      </c>
      <c r="E37" s="5">
        <f>IF(D37="N",0,SUM(#REF!))</f>
        <v>0</v>
      </c>
    </row>
    <row r="38" spans="1:5">
      <c r="A38" s="2">
        <f>Word!A38</f>
        <v>4381</v>
      </c>
      <c r="B38" t="str">
        <f>Word!B38</f>
        <v>JEAN</v>
      </c>
      <c r="C38" t="str">
        <f>Word!C38</f>
        <v>Christiane</v>
      </c>
      <c r="D38" s="2" t="s">
        <v>10</v>
      </c>
      <c r="E38" s="5">
        <v>9</v>
      </c>
    </row>
    <row r="39" spans="1:5">
      <c r="A39" s="2">
        <f>Word!A39</f>
        <v>4386</v>
      </c>
      <c r="B39" t="str">
        <f>Word!B39</f>
        <v>KELI</v>
      </c>
      <c r="C39" t="str">
        <f>Word!C39</f>
        <v>Hesna</v>
      </c>
      <c r="D39" s="2" t="s">
        <v>10</v>
      </c>
      <c r="E39" s="5">
        <v>11</v>
      </c>
    </row>
    <row r="40" spans="1:5">
      <c r="A40" s="2">
        <f>Word!A40</f>
        <v>4388</v>
      </c>
      <c r="B40" t="str">
        <f>Word!B40</f>
        <v>KOPTIENT</v>
      </c>
      <c r="C40" t="str">
        <f>Word!C40</f>
        <v>Amelie</v>
      </c>
      <c r="D40" s="2" t="s">
        <v>10</v>
      </c>
      <c r="E40" s="5">
        <v>7</v>
      </c>
    </row>
    <row r="41" spans="1:5">
      <c r="A41" s="2">
        <f>Word!A41</f>
        <v>4392</v>
      </c>
      <c r="B41" t="str">
        <f>Word!B41</f>
        <v>LAMBEAU</v>
      </c>
      <c r="C41" t="str">
        <f>Word!C41</f>
        <v>Loic</v>
      </c>
      <c r="D41" s="2" t="s">
        <v>10</v>
      </c>
      <c r="E41" s="5">
        <v>9</v>
      </c>
    </row>
  </sheetData>
  <mergeCells count="1">
    <mergeCell ref="A1:E1"/>
  </mergeCells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2" tint="-0.749992370372631"/>
  </sheetPr>
  <dimension ref="A1:E41"/>
  <sheetViews>
    <sheetView workbookViewId="0">
      <selection activeCell="I37" sqref="I37"/>
    </sheetView>
  </sheetViews>
  <sheetFormatPr baseColWidth="10" defaultRowHeight="12.75"/>
  <cols>
    <col min="1" max="1" width="10" style="2" bestFit="1" customWidth="1"/>
    <col min="2" max="2" width="15" bestFit="1" customWidth="1"/>
    <col min="3" max="3" width="10.5703125" bestFit="1" customWidth="1"/>
    <col min="4" max="4" width="6.85546875" bestFit="1" customWidth="1"/>
    <col min="5" max="5" width="11.42578125" style="5"/>
  </cols>
  <sheetData>
    <row r="1" spans="1:5" ht="15" customHeight="1">
      <c r="A1" s="10" t="s">
        <v>92</v>
      </c>
      <c r="B1" s="10"/>
      <c r="C1" s="10"/>
      <c r="D1" s="10"/>
      <c r="E1" s="10"/>
    </row>
    <row r="2" spans="1:5" ht="48" customHeight="1">
      <c r="A2" s="4" t="s">
        <v>90</v>
      </c>
      <c r="B2" s="4" t="s">
        <v>0</v>
      </c>
      <c r="C2" s="4" t="s">
        <v>1</v>
      </c>
      <c r="D2" s="4" t="s">
        <v>8</v>
      </c>
      <c r="E2" s="4" t="s">
        <v>91</v>
      </c>
    </row>
    <row r="3" spans="1:5">
      <c r="A3" s="2">
        <f>QCM!A3</f>
        <v>3559</v>
      </c>
      <c r="B3" t="str">
        <f>QCM!B3</f>
        <v>BOUBRED -</v>
      </c>
      <c r="C3" t="str">
        <f>QCM!C3</f>
        <v>Sabine</v>
      </c>
      <c r="D3" s="2" t="s">
        <v>10</v>
      </c>
      <c r="E3" s="5">
        <v>10</v>
      </c>
    </row>
    <row r="4" spans="1:5">
      <c r="A4" s="2">
        <f>QCM!A4</f>
        <v>3769</v>
      </c>
      <c r="B4" t="str">
        <f>QCM!B4</f>
        <v>BENZOUGHARI</v>
      </c>
      <c r="C4" t="str">
        <f>QCM!C4</f>
        <v>Rachid</v>
      </c>
      <c r="D4" s="2" t="s">
        <v>10</v>
      </c>
      <c r="E4" s="5">
        <v>8</v>
      </c>
    </row>
    <row r="5" spans="1:5">
      <c r="A5" s="2">
        <f>QCM!A5</f>
        <v>3922</v>
      </c>
      <c r="B5" t="str">
        <f>QCM!B5</f>
        <v>BAUDOUIN</v>
      </c>
      <c r="C5" t="str">
        <f>QCM!C5</f>
        <v>Emeline</v>
      </c>
      <c r="D5" s="2" t="s">
        <v>9</v>
      </c>
      <c r="E5" s="5">
        <v>12</v>
      </c>
    </row>
    <row r="6" spans="1:5">
      <c r="A6" s="2">
        <f>QCM!A6</f>
        <v>3936</v>
      </c>
      <c r="B6" t="str">
        <f>QCM!B6</f>
        <v>BOURGEOIS</v>
      </c>
      <c r="C6" t="str">
        <f>QCM!C6</f>
        <v>Benjamin</v>
      </c>
      <c r="D6" s="2" t="s">
        <v>10</v>
      </c>
      <c r="E6" s="5">
        <v>13</v>
      </c>
    </row>
    <row r="7" spans="1:5">
      <c r="A7" s="2">
        <f>QCM!A7</f>
        <v>3967</v>
      </c>
      <c r="B7" t="str">
        <f>QCM!B7</f>
        <v>DJAMALIDINE</v>
      </c>
      <c r="C7" t="str">
        <f>QCM!C7</f>
        <v>Laylat</v>
      </c>
      <c r="D7" s="2" t="s">
        <v>10</v>
      </c>
      <c r="E7" s="5">
        <v>11</v>
      </c>
    </row>
    <row r="8" spans="1:5">
      <c r="A8" s="2">
        <f>QCM!A8</f>
        <v>3991</v>
      </c>
      <c r="B8" t="str">
        <f>QCM!B8</f>
        <v>HADJ-CHERIF</v>
      </c>
      <c r="C8" t="str">
        <f>QCM!C8</f>
        <v>L'aalia</v>
      </c>
      <c r="D8" s="2" t="s">
        <v>9</v>
      </c>
      <c r="E8" s="5">
        <f>IF(D8="N",0,SUM(#REF!))</f>
        <v>0</v>
      </c>
    </row>
    <row r="9" spans="1:5">
      <c r="A9" s="2">
        <f>QCM!A9</f>
        <v>3996</v>
      </c>
      <c r="B9" t="str">
        <f>QCM!B9</f>
        <v>JEAN-CHARLES</v>
      </c>
      <c r="C9" t="str">
        <f>QCM!C9</f>
        <v>Fabien</v>
      </c>
      <c r="D9" s="2" t="s">
        <v>9</v>
      </c>
      <c r="E9" s="5">
        <f>IF(D9="N",0,SUM(#REF!))</f>
        <v>0</v>
      </c>
    </row>
    <row r="10" spans="1:5">
      <c r="A10" s="2">
        <f>QCM!A10</f>
        <v>4002</v>
      </c>
      <c r="B10" t="str">
        <f>QCM!B10</f>
        <v>LAGORCE</v>
      </c>
      <c r="C10" t="str">
        <f>QCM!C10</f>
        <v>Capucine</v>
      </c>
      <c r="D10" s="2" t="s">
        <v>10</v>
      </c>
      <c r="E10" s="5">
        <v>9</v>
      </c>
    </row>
    <row r="11" spans="1:5">
      <c r="A11" s="2">
        <f>QCM!A11</f>
        <v>4004</v>
      </c>
      <c r="B11" t="str">
        <f>QCM!B11</f>
        <v>LE BORGNE</v>
      </c>
      <c r="C11" t="str">
        <f>QCM!C11</f>
        <v>Kevin</v>
      </c>
      <c r="D11" s="2" t="s">
        <v>10</v>
      </c>
      <c r="E11" s="5">
        <v>4</v>
      </c>
    </row>
    <row r="12" spans="1:5">
      <c r="A12" s="2">
        <f>QCM!A12</f>
        <v>4025</v>
      </c>
      <c r="B12" t="str">
        <f>QCM!B12</f>
        <v>NAJI</v>
      </c>
      <c r="C12" t="str">
        <f>QCM!C12</f>
        <v>Mounir</v>
      </c>
      <c r="D12" s="2" t="s">
        <v>10</v>
      </c>
      <c r="E12" s="5">
        <v>4</v>
      </c>
    </row>
    <row r="13" spans="1:5">
      <c r="A13" s="2">
        <f>QCM!A13</f>
        <v>4034</v>
      </c>
      <c r="B13" t="str">
        <f>QCM!B13</f>
        <v>NYOURI</v>
      </c>
      <c r="C13" t="str">
        <f>QCM!C13</f>
        <v>Sadame</v>
      </c>
      <c r="D13" s="2" t="s">
        <v>9</v>
      </c>
      <c r="E13" s="5">
        <f>IF(D13="N",0,SUM(#REF!))</f>
        <v>0</v>
      </c>
    </row>
    <row r="14" spans="1:5">
      <c r="A14" s="2">
        <f>QCM!A14</f>
        <v>4049</v>
      </c>
      <c r="B14" t="str">
        <f>QCM!B14</f>
        <v>SAYARATH</v>
      </c>
      <c r="C14" t="str">
        <f>QCM!C14</f>
        <v>Oscar</v>
      </c>
      <c r="D14" s="2" t="s">
        <v>10</v>
      </c>
      <c r="E14" s="5">
        <v>6</v>
      </c>
    </row>
    <row r="15" spans="1:5">
      <c r="A15" s="2">
        <f>QCM!A15</f>
        <v>4052</v>
      </c>
      <c r="B15" t="str">
        <f>QCM!B15</f>
        <v>SINCLAIR</v>
      </c>
      <c r="C15" t="str">
        <f>QCM!C15</f>
        <v>Xavier</v>
      </c>
      <c r="D15" s="2" t="s">
        <v>10</v>
      </c>
      <c r="E15" s="5">
        <v>8</v>
      </c>
    </row>
    <row r="16" spans="1:5">
      <c r="A16" s="2">
        <f>QCM!A16</f>
        <v>4062</v>
      </c>
      <c r="B16" t="str">
        <f>QCM!B16</f>
        <v>TOUAGH</v>
      </c>
      <c r="C16" t="str">
        <f>QCM!C16</f>
        <v>Ali</v>
      </c>
      <c r="D16" s="2" t="s">
        <v>10</v>
      </c>
      <c r="E16" s="5">
        <v>3</v>
      </c>
    </row>
    <row r="17" spans="1:5">
      <c r="A17" s="2">
        <f>QCM!A17</f>
        <v>4070</v>
      </c>
      <c r="B17" t="str">
        <f>QCM!B17</f>
        <v>YAFU</v>
      </c>
      <c r="C17" t="str">
        <f>QCM!C17</f>
        <v>Ludovic</v>
      </c>
      <c r="D17" s="2" t="s">
        <v>9</v>
      </c>
      <c r="E17" s="5">
        <f>IF(D17="N",0,SUM(#REF!))</f>
        <v>0</v>
      </c>
    </row>
    <row r="18" spans="1:5">
      <c r="A18" s="2">
        <f>QCM!A18</f>
        <v>4176</v>
      </c>
      <c r="B18" t="str">
        <f>QCM!B18</f>
        <v>TOUROUDE</v>
      </c>
      <c r="C18" t="str">
        <f>QCM!C18</f>
        <v>John</v>
      </c>
      <c r="D18" s="2" t="s">
        <v>10</v>
      </c>
      <c r="E18" s="5">
        <v>13</v>
      </c>
    </row>
    <row r="19" spans="1:5">
      <c r="A19" s="2">
        <f>QCM!A19</f>
        <v>4187</v>
      </c>
      <c r="B19" t="str">
        <f>QCM!B19</f>
        <v>TRIBOULT</v>
      </c>
      <c r="C19" t="str">
        <f>QCM!C19</f>
        <v>Pierre-Alain</v>
      </c>
      <c r="D19" s="2" t="s">
        <v>9</v>
      </c>
      <c r="E19" s="5">
        <f>IF(D19="N",0,SUM(#REF!))</f>
        <v>0</v>
      </c>
    </row>
    <row r="20" spans="1:5">
      <c r="A20" s="2">
        <f>QCM!A20</f>
        <v>4289</v>
      </c>
      <c r="B20" t="str">
        <f>QCM!B20</f>
        <v>ALERTE</v>
      </c>
      <c r="C20" t="str">
        <f>QCM!C20</f>
        <v>Virginie</v>
      </c>
      <c r="D20" s="2" t="s">
        <v>10</v>
      </c>
      <c r="E20" s="5">
        <v>14</v>
      </c>
    </row>
    <row r="21" spans="1:5">
      <c r="A21" s="2">
        <f>QCM!A21</f>
        <v>4293</v>
      </c>
      <c r="B21" t="str">
        <f>QCM!B21</f>
        <v>AMRANI</v>
      </c>
      <c r="C21" t="str">
        <f>QCM!C21</f>
        <v>Maud</v>
      </c>
      <c r="D21" s="2" t="s">
        <v>10</v>
      </c>
      <c r="E21" s="5">
        <v>11</v>
      </c>
    </row>
    <row r="22" spans="1:5">
      <c r="A22" s="2">
        <f>QCM!A22</f>
        <v>4302</v>
      </c>
      <c r="B22" t="str">
        <f>QCM!B22</f>
        <v>BERNARD</v>
      </c>
      <c r="C22" t="str">
        <f>QCM!C22</f>
        <v>Cecile</v>
      </c>
      <c r="D22" s="2" t="s">
        <v>9</v>
      </c>
      <c r="E22" s="5">
        <f>IF(D22="N",0,SUM(#REF!))</f>
        <v>0</v>
      </c>
    </row>
    <row r="23" spans="1:5">
      <c r="A23" s="2">
        <f>QCM!A23</f>
        <v>4304</v>
      </c>
      <c r="B23" t="str">
        <f>QCM!B23</f>
        <v>BOCHE</v>
      </c>
      <c r="C23" t="str">
        <f>QCM!C23</f>
        <v>Cedric</v>
      </c>
      <c r="D23" s="2" t="s">
        <v>10</v>
      </c>
      <c r="E23" s="5">
        <v>10</v>
      </c>
    </row>
    <row r="24" spans="1:5">
      <c r="A24" s="2">
        <f>QCM!A24</f>
        <v>4307</v>
      </c>
      <c r="B24" t="str">
        <f>QCM!B24</f>
        <v>BOULANGE</v>
      </c>
      <c r="C24" t="str">
        <f>QCM!C24</f>
        <v>Eve-aurore</v>
      </c>
      <c r="D24" s="2" t="s">
        <v>10</v>
      </c>
      <c r="E24" s="5">
        <v>7</v>
      </c>
    </row>
    <row r="25" spans="1:5">
      <c r="A25" s="2">
        <f>QCM!A25</f>
        <v>4310</v>
      </c>
      <c r="B25" t="str">
        <f>QCM!B25</f>
        <v>BOUSSALEM</v>
      </c>
      <c r="C25" t="str">
        <f>QCM!C25</f>
        <v>Ghizlane</v>
      </c>
      <c r="D25" s="2" t="s">
        <v>9</v>
      </c>
      <c r="E25" s="5">
        <f>IF(D25="N",0,SUM(#REF!))</f>
        <v>0</v>
      </c>
    </row>
    <row r="26" spans="1:5">
      <c r="A26" s="2">
        <f>QCM!A26</f>
        <v>4313</v>
      </c>
      <c r="B26" t="str">
        <f>QCM!B26</f>
        <v>BUTRUILLE</v>
      </c>
      <c r="C26" t="str">
        <f>QCM!C26</f>
        <v>Amelie</v>
      </c>
      <c r="D26" s="2" t="s">
        <v>10</v>
      </c>
      <c r="E26" s="5">
        <v>6</v>
      </c>
    </row>
    <row r="27" spans="1:5">
      <c r="A27" s="2">
        <f>QCM!A27</f>
        <v>4318</v>
      </c>
      <c r="B27" t="str">
        <f>QCM!B27</f>
        <v>CHEDDAD</v>
      </c>
      <c r="C27" t="str">
        <f>QCM!C27</f>
        <v>Audrey</v>
      </c>
      <c r="D27" s="2" t="s">
        <v>10</v>
      </c>
      <c r="E27" s="5">
        <v>9</v>
      </c>
    </row>
    <row r="28" spans="1:5">
      <c r="A28" s="2">
        <f>QCM!A28</f>
        <v>4325</v>
      </c>
      <c r="B28" t="str">
        <f>QCM!B28</f>
        <v>COURROUX</v>
      </c>
      <c r="C28" t="str">
        <f>QCM!C28</f>
        <v>Nicolas</v>
      </c>
      <c r="D28" s="2" t="s">
        <v>10</v>
      </c>
      <c r="E28" s="5">
        <v>11</v>
      </c>
    </row>
    <row r="29" spans="1:5">
      <c r="A29" s="2">
        <f>QCM!A29</f>
        <v>4337</v>
      </c>
      <c r="B29" t="str">
        <f>QCM!B29</f>
        <v>DENARDOU</v>
      </c>
      <c r="C29" t="str">
        <f>QCM!C29</f>
        <v>Bruno</v>
      </c>
      <c r="D29" s="2" t="s">
        <v>10</v>
      </c>
      <c r="E29" s="5">
        <v>14</v>
      </c>
    </row>
    <row r="30" spans="1:5">
      <c r="A30" s="2">
        <f>QCM!A30</f>
        <v>4339</v>
      </c>
      <c r="B30" t="str">
        <f>QCM!B30</f>
        <v>DEPARIS</v>
      </c>
      <c r="C30" t="str">
        <f>QCM!C30</f>
        <v>Thibaud</v>
      </c>
      <c r="D30" s="2" t="s">
        <v>10</v>
      </c>
      <c r="E30" s="5">
        <v>11</v>
      </c>
    </row>
    <row r="31" spans="1:5">
      <c r="A31" s="2">
        <f>QCM!A31</f>
        <v>4341</v>
      </c>
      <c r="B31" t="str">
        <f>QCM!B31</f>
        <v>DJAMALIDINE</v>
      </c>
      <c r="C31" t="str">
        <f>QCM!C31</f>
        <v>Tahiyat</v>
      </c>
      <c r="D31" s="2" t="s">
        <v>10</v>
      </c>
      <c r="E31" s="5">
        <v>10</v>
      </c>
    </row>
    <row r="32" spans="1:5">
      <c r="A32" s="2">
        <f>QCM!A32</f>
        <v>4349</v>
      </c>
      <c r="B32" t="str">
        <f>QCM!B32</f>
        <v>DUPUIS</v>
      </c>
      <c r="C32" t="str">
        <f>QCM!C32</f>
        <v>Antoine</v>
      </c>
      <c r="D32" s="2" t="s">
        <v>10</v>
      </c>
      <c r="E32" s="5">
        <v>5</v>
      </c>
    </row>
    <row r="33" spans="1:5">
      <c r="A33" s="2">
        <f>QCM!A33</f>
        <v>4350</v>
      </c>
      <c r="B33" t="str">
        <f>QCM!B33</f>
        <v>DUSSAIX</v>
      </c>
      <c r="C33" t="str">
        <f>QCM!C33</f>
        <v>Patrick</v>
      </c>
      <c r="D33" s="2" t="s">
        <v>10</v>
      </c>
      <c r="E33" s="5">
        <v>8</v>
      </c>
    </row>
    <row r="34" spans="1:5">
      <c r="A34" s="2">
        <f>QCM!A34</f>
        <v>4362</v>
      </c>
      <c r="B34" t="str">
        <f>QCM!B34</f>
        <v>GALLARD</v>
      </c>
      <c r="C34" t="str">
        <f>QCM!C34</f>
        <v>Jeremy</v>
      </c>
      <c r="D34" s="2" t="s">
        <v>9</v>
      </c>
      <c r="E34" s="5">
        <f>IF(D34="N",0,SUM(#REF!))</f>
        <v>0</v>
      </c>
    </row>
    <row r="35" spans="1:5">
      <c r="A35" s="2">
        <f>QCM!A35</f>
        <v>4367</v>
      </c>
      <c r="B35" t="str">
        <f>QCM!B35</f>
        <v>GENRI</v>
      </c>
      <c r="C35" t="str">
        <f>QCM!C35</f>
        <v>Ariane</v>
      </c>
      <c r="D35" s="2" t="s">
        <v>10</v>
      </c>
      <c r="E35" s="5">
        <v>9</v>
      </c>
    </row>
    <row r="36" spans="1:5">
      <c r="A36" s="2">
        <f>QCM!A36</f>
        <v>4375</v>
      </c>
      <c r="B36" t="str">
        <f>QCM!B36</f>
        <v>GROSJEAN</v>
      </c>
      <c r="C36" t="str">
        <f>QCM!C36</f>
        <v>Ulric</v>
      </c>
      <c r="D36" s="2" t="s">
        <v>9</v>
      </c>
      <c r="E36" s="5">
        <f>IF(D36="N",0,SUM(#REF!))</f>
        <v>0</v>
      </c>
    </row>
    <row r="37" spans="1:5">
      <c r="A37" s="2">
        <f>QCM!A37</f>
        <v>4379</v>
      </c>
      <c r="B37" t="str">
        <f>QCM!B37</f>
        <v>HAMILLE</v>
      </c>
      <c r="C37" t="str">
        <f>QCM!C37</f>
        <v>Julien</v>
      </c>
      <c r="D37" s="2" t="s">
        <v>9</v>
      </c>
      <c r="E37" s="5">
        <f>IF(D37="N",0,SUM(#REF!))</f>
        <v>0</v>
      </c>
    </row>
    <row r="38" spans="1:5">
      <c r="A38" s="2">
        <f>QCM!A38</f>
        <v>4381</v>
      </c>
      <c r="B38" t="str">
        <f>QCM!B38</f>
        <v>JEAN</v>
      </c>
      <c r="C38" t="str">
        <f>QCM!C38</f>
        <v>Christiane</v>
      </c>
      <c r="D38" s="2" t="s">
        <v>9</v>
      </c>
      <c r="E38" s="5">
        <f>IF(D38="N",0,SUM(#REF!))</f>
        <v>0</v>
      </c>
    </row>
    <row r="39" spans="1:5">
      <c r="A39" s="2">
        <f>QCM!A39</f>
        <v>4386</v>
      </c>
      <c r="B39" t="str">
        <f>QCM!B39</f>
        <v>KELI</v>
      </c>
      <c r="C39" t="str">
        <f>QCM!C39</f>
        <v>Hesna</v>
      </c>
      <c r="D39" s="2" t="s">
        <v>10</v>
      </c>
      <c r="E39" s="5">
        <v>10</v>
      </c>
    </row>
    <row r="40" spans="1:5">
      <c r="A40" s="2">
        <f>QCM!A40</f>
        <v>4388</v>
      </c>
      <c r="B40" t="str">
        <f>QCM!B40</f>
        <v>KOPTIENT</v>
      </c>
      <c r="C40" t="str">
        <f>QCM!C40</f>
        <v>Amelie</v>
      </c>
      <c r="D40" s="2" t="s">
        <v>10</v>
      </c>
      <c r="E40" s="5">
        <v>12</v>
      </c>
    </row>
    <row r="41" spans="1:5">
      <c r="A41" s="2">
        <f>QCM!A41</f>
        <v>4392</v>
      </c>
      <c r="B41" t="str">
        <f>QCM!B41</f>
        <v>LAMBEAU</v>
      </c>
      <c r="C41" t="str">
        <f>QCM!C41</f>
        <v>Loic</v>
      </c>
      <c r="D41" s="2" t="s">
        <v>10</v>
      </c>
      <c r="E41" s="5">
        <v>14</v>
      </c>
    </row>
  </sheetData>
  <mergeCells count="1">
    <mergeCell ref="A1:E1"/>
  </mergeCells>
  <phoneticPr fontId="2" type="noConversion"/>
  <pageMargins left="0.78740157499999996" right="0.78740157499999996" top="0.984251969" bottom="0.984251969" header="0.4921259845" footer="0.4921259845"/>
  <pageSetup paperSize="9" orientation="portrait" horizontalDpi="30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Recap C2I</vt:lpstr>
      <vt:lpstr>Recap UE</vt:lpstr>
      <vt:lpstr>QCM</vt:lpstr>
      <vt:lpstr>Word</vt:lpstr>
      <vt:lpstr>Excel</vt:lpstr>
      <vt:lpstr>PPT</vt:lpstr>
      <vt:lpstr>Word!Impression_des_titres</vt:lpstr>
      <vt:lpstr>Word!Zone_d_impression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eleve</cp:lastModifiedBy>
  <cp:lastPrinted>2010-01-12T12:48:32Z</cp:lastPrinted>
  <dcterms:created xsi:type="dcterms:W3CDTF">2010-01-05T21:54:34Z</dcterms:created>
  <dcterms:modified xsi:type="dcterms:W3CDTF">2011-11-16T14:44:11Z</dcterms:modified>
</cp:coreProperties>
</file>