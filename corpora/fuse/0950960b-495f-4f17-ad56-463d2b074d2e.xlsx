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60" windowWidth="15450" windowHeight="9690"/>
  </bookViews>
  <sheets>
    <sheet name="TLC-Shanghai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Q19" i="1" l="1"/>
  <c r="Q18" i="1"/>
  <c r="Q17" i="1"/>
  <c r="Q16" i="1"/>
  <c r="Q15" i="1"/>
  <c r="Q14" i="1"/>
  <c r="Q11" i="1"/>
  <c r="Q10" i="1"/>
  <c r="Q9" i="1"/>
  <c r="Q8" i="1"/>
  <c r="Q7" i="1"/>
  <c r="Q6" i="1"/>
  <c r="I19" i="1"/>
  <c r="I18" i="1"/>
  <c r="I17" i="1"/>
  <c r="I16" i="1"/>
  <c r="I15" i="1"/>
  <c r="I14" i="1"/>
  <c r="I11" i="1"/>
  <c r="I10" i="1"/>
  <c r="I9" i="1"/>
  <c r="I8" i="1"/>
  <c r="I7" i="1"/>
  <c r="I6" i="1"/>
</calcChain>
</file>

<file path=xl/sharedStrings.xml><?xml version="1.0" encoding="utf-8"?>
<sst xmlns="http://schemas.openxmlformats.org/spreadsheetml/2006/main" count="23" uniqueCount="16">
  <si>
    <t>Truck</t>
  </si>
  <si>
    <t>Ocean</t>
  </si>
  <si>
    <t>Total transportation</t>
  </si>
  <si>
    <t>Landed cost</t>
  </si>
  <si>
    <t>Transport % of landed cost</t>
  </si>
  <si>
    <t xml:space="preserve"> Source: ESALQ/ USP (University of São Paulo, Brazil) and USDA/AMS</t>
  </si>
  <si>
    <r>
      <rPr>
        <vertAlign val="superscript"/>
        <sz val="9"/>
        <color theme="1"/>
        <rFont val="Calibri"/>
        <family val="2"/>
        <scheme val="minor"/>
      </rPr>
      <t>1</t>
    </r>
    <r>
      <rPr>
        <sz val="9"/>
        <color theme="1"/>
        <rFont val="Calibri"/>
        <family val="2"/>
        <scheme val="minor"/>
      </rPr>
      <t xml:space="preserve">Producing regions: RS = Rio Grande Do Sul, MT= Mato Grosso, GO = Goiás, PR = Paraná </t>
    </r>
  </si>
  <si>
    <r>
      <rPr>
        <vertAlign val="superscript"/>
        <sz val="9"/>
        <color theme="1"/>
        <rFont val="Calibri"/>
        <family val="2"/>
        <scheme val="minor"/>
      </rPr>
      <t>2</t>
    </r>
    <r>
      <rPr>
        <sz val="9"/>
        <color theme="1"/>
        <rFont val="Calibri"/>
        <family val="2"/>
        <scheme val="minor"/>
      </rPr>
      <t>Export ports</t>
    </r>
  </si>
  <si>
    <r>
      <rPr>
        <vertAlign val="superscript"/>
        <sz val="9"/>
        <color theme="1"/>
        <rFont val="Calibri"/>
        <family val="2"/>
        <scheme val="minor"/>
      </rPr>
      <t>3</t>
    </r>
    <r>
      <rPr>
        <sz val="9"/>
        <color theme="1"/>
        <rFont val="Calibri"/>
        <family val="2"/>
        <scheme val="minor"/>
      </rPr>
      <t>Source: Companhia Nacional de Abastecimento (CONAB) www.conab.gov.br</t>
    </r>
  </si>
  <si>
    <r>
      <t>Farm price</t>
    </r>
    <r>
      <rPr>
        <vertAlign val="superscript"/>
        <sz val="11"/>
        <color theme="1"/>
        <rFont val="Calibri"/>
        <family val="2"/>
        <scheme val="minor"/>
      </rPr>
      <t>3</t>
    </r>
  </si>
  <si>
    <t>% Change 11-12</t>
  </si>
  <si>
    <r>
      <t>North MT</t>
    </r>
    <r>
      <rPr>
        <b/>
        <vertAlign val="superscript"/>
        <sz val="11"/>
        <color theme="1"/>
        <rFont val="Calibri"/>
        <family val="2"/>
        <scheme val="minor"/>
      </rPr>
      <t>1</t>
    </r>
    <r>
      <rPr>
        <b/>
        <sz val="11"/>
        <color theme="1"/>
        <rFont val="Calibri"/>
        <family val="2"/>
        <scheme val="minor"/>
      </rPr>
      <t xml:space="preserve"> - Santos</t>
    </r>
    <r>
      <rPr>
        <b/>
        <vertAlign val="super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 xml:space="preserve">                                                                                                                                  --US$/mt--</t>
    </r>
  </si>
  <si>
    <r>
      <t>North Central PR</t>
    </r>
    <r>
      <rPr>
        <b/>
        <vertAlign val="superscript"/>
        <sz val="11"/>
        <color theme="1"/>
        <rFont val="Calibri"/>
        <family val="2"/>
        <scheme val="minor"/>
      </rPr>
      <t>1</t>
    </r>
    <r>
      <rPr>
        <b/>
        <sz val="11"/>
        <color theme="1"/>
        <rFont val="Calibri"/>
        <family val="2"/>
        <scheme val="minor"/>
      </rPr>
      <t xml:space="preserve"> - Paranagua</t>
    </r>
    <r>
      <rPr>
        <b/>
        <vertAlign val="super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 xml:space="preserve">                                                                                                            --US$/mt--</t>
    </r>
  </si>
  <si>
    <t>Cost of transporting  soybeans from Brazil to Shanghai, China</t>
  </si>
  <si>
    <r>
      <t>Northwest RS</t>
    </r>
    <r>
      <rPr>
        <b/>
        <vertAlign val="superscript"/>
        <sz val="11"/>
        <color theme="1"/>
        <rFont val="Calibri"/>
        <family val="2"/>
        <scheme val="minor"/>
      </rPr>
      <t>1</t>
    </r>
    <r>
      <rPr>
        <b/>
        <sz val="11"/>
        <color theme="1"/>
        <rFont val="Calibri"/>
        <family val="2"/>
        <scheme val="minor"/>
      </rPr>
      <t xml:space="preserve"> - Rio Grande</t>
    </r>
    <r>
      <rPr>
        <b/>
        <vertAlign val="superscript"/>
        <sz val="11"/>
        <color theme="1"/>
        <rFont val="Calibri"/>
        <family val="2"/>
        <scheme val="minor"/>
      </rPr>
      <t xml:space="preserve">2                                                                                                                                                                                                                              </t>
    </r>
    <r>
      <rPr>
        <b/>
        <sz val="11"/>
        <color theme="1"/>
        <rFont val="Calibri"/>
        <family val="2"/>
        <scheme val="minor"/>
      </rPr>
      <t>--US$/mt--</t>
    </r>
  </si>
  <si>
    <r>
      <t>South GO</t>
    </r>
    <r>
      <rPr>
        <b/>
        <vertAlign val="superscript"/>
        <sz val="11"/>
        <color theme="1"/>
        <rFont val="Calibri"/>
        <family val="2"/>
        <scheme val="minor"/>
      </rPr>
      <t>1</t>
    </r>
    <r>
      <rPr>
        <b/>
        <sz val="11"/>
        <color theme="1"/>
        <rFont val="Calibri"/>
        <family val="2"/>
        <scheme val="minor"/>
      </rPr>
      <t xml:space="preserve"> - Santos</t>
    </r>
    <r>
      <rPr>
        <b/>
        <vertAlign val="superscript"/>
        <sz val="11"/>
        <color theme="1"/>
        <rFont val="Calibri"/>
        <family val="2"/>
        <scheme val="minor"/>
      </rPr>
      <t xml:space="preserve">2                                                                                                                                                                                                               </t>
    </r>
    <r>
      <rPr>
        <b/>
        <sz val="11"/>
        <color theme="1"/>
        <rFont val="Calibri"/>
        <family val="2"/>
        <scheme val="minor"/>
      </rPr>
      <t xml:space="preserve">--US$/mt--  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</si>
</sst>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(* #,##0.00_);_(* \(#,##0.00\);_(* &quot;-&quot;??_);_(@_)"/>
    <numFmt numFmtId="164" formatCode="0.0"/>
    <numFmt numFmtId="165" formatCode="_(* #,##0.00_);_(* \(#,##0.00\);_(* \-??_);_(@_)"/>
    <numFmt numFmtId="166" formatCode="_-* #,##0.00_-;\-* #,##0.00_-;_-* &quot;-&quot;??_-;_-@_-"/>
  </numFmts>
  <fonts count="13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vertAlign val="superscript"/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</font>
    <font>
      <sz val="11"/>
      <name val="Calibri"/>
      <family val="2"/>
    </font>
    <font>
      <sz val="11"/>
      <name val="Calibri"/>
      <family val="2"/>
      <scheme val="minor"/>
    </font>
    <font>
      <sz val="10"/>
      <name val="Arial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AF59F"/>
        <bgColor indexed="64"/>
      </patternFill>
    </fill>
    <fill>
      <patternFill patternType="solid">
        <fgColor rgb="FFFADD81"/>
        <bgColor indexed="64"/>
      </patternFill>
    </fill>
    <fill>
      <patternFill patternType="solid">
        <fgColor rgb="FFFAFAE6"/>
        <bgColor indexed="64"/>
      </patternFill>
    </fill>
    <fill>
      <patternFill patternType="solid">
        <fgColor rgb="FFFBFBC2"/>
        <bgColor indexed="64"/>
      </patternFill>
    </fill>
    <fill>
      <patternFill patternType="solid">
        <fgColor rgb="FFFFFFCC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8">
    <xf numFmtId="0" fontId="0" fillId="0" borderId="0"/>
    <xf numFmtId="9" fontId="6" fillId="0" borderId="0" applyFont="0" applyFill="0" applyBorder="0" applyAlignment="0" applyProtection="0"/>
    <xf numFmtId="0" fontId="10" fillId="0" borderId="0"/>
    <xf numFmtId="0" fontId="6" fillId="0" borderId="0"/>
    <xf numFmtId="43" fontId="6" fillId="0" borderId="0" applyFont="0" applyFill="0" applyBorder="0" applyAlignment="0" applyProtection="0"/>
    <xf numFmtId="165" fontId="6" fillId="0" borderId="0" applyFill="0" applyBorder="0" applyAlignment="0" applyProtection="0"/>
    <xf numFmtId="0" fontId="11" fillId="0" borderId="0"/>
    <xf numFmtId="0" fontId="11" fillId="0" borderId="0"/>
    <xf numFmtId="0" fontId="6" fillId="0" borderId="0"/>
    <xf numFmtId="0" fontId="11" fillId="0" borderId="0"/>
    <xf numFmtId="0" fontId="11" fillId="6" borderId="16" applyNumberFormat="0" applyFont="0" applyAlignment="0" applyProtection="0"/>
    <xf numFmtId="0" fontId="11" fillId="6" borderId="16" applyNumberFormat="0" applyFont="0" applyAlignment="0" applyProtection="0"/>
    <xf numFmtId="9" fontId="6" fillId="0" borderId="0" applyFont="0" applyFill="0" applyBorder="0" applyAlignment="0" applyProtection="0"/>
    <xf numFmtId="9" fontId="6" fillId="0" borderId="0" applyFill="0" applyBorder="0" applyAlignment="0" applyProtection="0"/>
    <xf numFmtId="9" fontId="6" fillId="0" borderId="0" applyFill="0" applyBorder="0" applyAlignment="0" applyProtection="0"/>
    <xf numFmtId="166" fontId="6" fillId="0" borderId="0" applyFont="0" applyFill="0" applyBorder="0" applyAlignment="0" applyProtection="0"/>
    <xf numFmtId="165" fontId="6" fillId="0" borderId="0" applyFill="0" applyBorder="0" applyAlignment="0" applyProtection="0"/>
    <xf numFmtId="166" fontId="11" fillId="0" borderId="0" applyFont="0" applyFill="0" applyBorder="0" applyAlignment="0" applyProtection="0"/>
  </cellStyleXfs>
  <cellXfs count="38">
    <xf numFmtId="0" fontId="0" fillId="0" borderId="0" xfId="0"/>
    <xf numFmtId="0" fontId="0" fillId="5" borderId="1" xfId="0" applyFill="1" applyBorder="1"/>
    <xf numFmtId="0" fontId="0" fillId="5" borderId="12" xfId="0" applyFill="1" applyBorder="1"/>
    <xf numFmtId="2" fontId="8" fillId="5" borderId="1" xfId="0" applyNumberFormat="1" applyFont="1" applyFill="1" applyBorder="1" applyAlignment="1">
      <alignment horizontal="center"/>
    </xf>
    <xf numFmtId="2" fontId="7" fillId="5" borderId="1" xfId="0" applyNumberFormat="1" applyFont="1" applyFill="1" applyBorder="1" applyAlignment="1">
      <alignment horizontal="center"/>
    </xf>
    <xf numFmtId="2" fontId="9" fillId="5" borderId="1" xfId="0" applyNumberFormat="1" applyFont="1" applyFill="1" applyBorder="1" applyAlignment="1">
      <alignment horizontal="center"/>
    </xf>
    <xf numFmtId="164" fontId="9" fillId="5" borderId="1" xfId="1" applyNumberFormat="1" applyFont="1" applyFill="1" applyBorder="1" applyAlignment="1">
      <alignment horizontal="center"/>
    </xf>
    <xf numFmtId="164" fontId="7" fillId="5" borderId="1" xfId="0" applyNumberFormat="1" applyFont="1" applyFill="1" applyBorder="1" applyAlignment="1">
      <alignment horizontal="center"/>
    </xf>
    <xf numFmtId="164" fontId="8" fillId="5" borderId="1" xfId="0" applyNumberFormat="1" applyFont="1" applyFill="1" applyBorder="1" applyAlignment="1">
      <alignment horizontal="center"/>
    </xf>
    <xf numFmtId="2" fontId="0" fillId="0" borderId="0" xfId="0" applyNumberFormat="1"/>
    <xf numFmtId="164" fontId="9" fillId="5" borderId="1" xfId="0" applyNumberFormat="1" applyFont="1" applyFill="1" applyBorder="1" applyAlignment="1">
      <alignment horizontal="center"/>
    </xf>
    <xf numFmtId="164" fontId="0" fillId="0" borderId="0" xfId="0" applyNumberFormat="1"/>
    <xf numFmtId="0" fontId="12" fillId="2" borderId="8" xfId="0" applyFont="1" applyFill="1" applyBorder="1" applyAlignment="1">
      <alignment horizontal="center" vertical="center"/>
    </xf>
    <xf numFmtId="0" fontId="12" fillId="2" borderId="9" xfId="0" applyFont="1" applyFill="1" applyBorder="1" applyAlignment="1">
      <alignment horizontal="center" vertical="center"/>
    </xf>
    <xf numFmtId="0" fontId="12" fillId="2" borderId="10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 wrapText="1"/>
    </xf>
    <xf numFmtId="0" fontId="4" fillId="3" borderId="11" xfId="0" applyFont="1" applyFill="1" applyBorder="1" applyAlignment="1">
      <alignment horizontal="center" vertical="center" wrapText="1"/>
    </xf>
    <xf numFmtId="0" fontId="0" fillId="3" borderId="12" xfId="0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0" fillId="0" borderId="2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4" xfId="0" applyBorder="1" applyAlignment="1">
      <alignment horizontal="center"/>
    </xf>
    <xf numFmtId="0" fontId="4" fillId="4" borderId="13" xfId="0" applyFont="1" applyFill="1" applyBorder="1" applyAlignment="1">
      <alignment horizontal="center" vertical="center" wrapText="1"/>
    </xf>
    <xf numFmtId="0" fontId="4" fillId="4" borderId="1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14" xfId="0" applyFont="1" applyFill="1" applyBorder="1" applyAlignment="1">
      <alignment horizontal="center" vertical="center" wrapText="1"/>
    </xf>
    <xf numFmtId="0" fontId="4" fillId="4" borderId="15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 wrapText="1"/>
    </xf>
    <xf numFmtId="0" fontId="4" fillId="4" borderId="7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1" fillId="0" borderId="3" xfId="0" applyFont="1" applyBorder="1"/>
    <xf numFmtId="0" fontId="1" fillId="0" borderId="0" xfId="0" applyFont="1" applyBorder="1"/>
    <xf numFmtId="0" fontId="1" fillId="0" borderId="4" xfId="0" applyFont="1" applyBorder="1"/>
  </cellXfs>
  <cellStyles count="18">
    <cellStyle name="Comma 2" xfId="4"/>
    <cellStyle name="Comma 3" xfId="5"/>
    <cellStyle name="Normal" xfId="0" builtinId="0"/>
    <cellStyle name="Normal 2" xfId="2"/>
    <cellStyle name="Normal 2 2" xfId="3"/>
    <cellStyle name="Normal 3" xfId="6"/>
    <cellStyle name="Normal 3 2" xfId="7"/>
    <cellStyle name="Normal 4" xfId="8"/>
    <cellStyle name="Normal 5" xfId="9"/>
    <cellStyle name="Nota 2" xfId="10"/>
    <cellStyle name="Nota 2 2" xfId="11"/>
    <cellStyle name="Percent 2" xfId="1"/>
    <cellStyle name="Percent 3" xfId="12"/>
    <cellStyle name="Percent 4" xfId="13"/>
    <cellStyle name="Porcentagem 2" xfId="14"/>
    <cellStyle name="Separador de milhares 2" xfId="15"/>
    <cellStyle name="Separador de milhares 2 2" xfId="16"/>
    <cellStyle name="Separador de milhares 3" xfId="17"/>
  </cellStyles>
  <dxfs count="0"/>
  <tableStyles count="0" defaultTableStyle="TableStyleMedium9" defaultPivotStyle="PivotStyleLight16"/>
  <colors>
    <mruColors>
      <color rgb="FFFBFBC2"/>
      <color rgb="FFFAFAE6"/>
      <color rgb="FFFADD81"/>
      <color rgb="FFFAF59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T24"/>
  <sheetViews>
    <sheetView tabSelected="1" workbookViewId="0">
      <selection activeCell="S15" sqref="S15"/>
    </sheetView>
  </sheetViews>
  <sheetFormatPr defaultRowHeight="15" x14ac:dyDescent="0.25"/>
  <cols>
    <col min="1" max="1" width="29.140625" customWidth="1"/>
    <col min="9" max="9" width="9.5703125" customWidth="1"/>
    <col min="15" max="17" width="10.28515625" customWidth="1"/>
  </cols>
  <sheetData>
    <row r="1" spans="1:20" ht="29.25" customHeight="1" x14ac:dyDescent="0.25">
      <c r="A1" s="12" t="s">
        <v>13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4"/>
    </row>
    <row r="2" spans="1:20" ht="15" customHeight="1" x14ac:dyDescent="0.25">
      <c r="A2" s="17"/>
      <c r="B2" s="15">
        <v>2006</v>
      </c>
      <c r="C2" s="15">
        <v>2007</v>
      </c>
      <c r="D2" s="15">
        <v>2008</v>
      </c>
      <c r="E2" s="15">
        <v>2009</v>
      </c>
      <c r="F2" s="15">
        <v>2010</v>
      </c>
      <c r="G2" s="15">
        <v>2011</v>
      </c>
      <c r="H2" s="15">
        <v>2012</v>
      </c>
      <c r="I2" s="15" t="s">
        <v>10</v>
      </c>
      <c r="J2" s="15">
        <v>2006</v>
      </c>
      <c r="K2" s="15">
        <v>2007</v>
      </c>
      <c r="L2" s="15">
        <v>2008</v>
      </c>
      <c r="M2" s="15">
        <v>2009</v>
      </c>
      <c r="N2" s="15">
        <v>2010</v>
      </c>
      <c r="O2" s="15">
        <v>2011</v>
      </c>
      <c r="P2" s="15">
        <v>2012</v>
      </c>
      <c r="Q2" s="15" t="s">
        <v>10</v>
      </c>
    </row>
    <row r="3" spans="1:20" x14ac:dyDescent="0.25">
      <c r="A3" s="18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</row>
    <row r="4" spans="1:20" ht="17.25" customHeight="1" x14ac:dyDescent="0.25">
      <c r="A4" s="33"/>
      <c r="B4" s="27" t="s">
        <v>11</v>
      </c>
      <c r="C4" s="28"/>
      <c r="D4" s="28"/>
      <c r="E4" s="28"/>
      <c r="F4" s="28"/>
      <c r="G4" s="28"/>
      <c r="H4" s="28"/>
      <c r="I4" s="29"/>
      <c r="J4" s="27" t="s">
        <v>14</v>
      </c>
      <c r="K4" s="28"/>
      <c r="L4" s="28"/>
      <c r="M4" s="28"/>
      <c r="N4" s="28"/>
      <c r="O4" s="28"/>
      <c r="P4" s="28"/>
      <c r="Q4" s="29"/>
    </row>
    <row r="5" spans="1:20" ht="24" customHeight="1" x14ac:dyDescent="0.25">
      <c r="A5" s="33"/>
      <c r="B5" s="30"/>
      <c r="C5" s="31"/>
      <c r="D5" s="31"/>
      <c r="E5" s="31"/>
      <c r="F5" s="31"/>
      <c r="G5" s="31"/>
      <c r="H5" s="31"/>
      <c r="I5" s="32"/>
      <c r="J5" s="30"/>
      <c r="K5" s="31"/>
      <c r="L5" s="31"/>
      <c r="M5" s="31"/>
      <c r="N5" s="31"/>
      <c r="O5" s="31"/>
      <c r="P5" s="31"/>
      <c r="Q5" s="32"/>
    </row>
    <row r="6" spans="1:20" ht="18" customHeight="1" x14ac:dyDescent="0.25">
      <c r="A6" s="1" t="s">
        <v>0</v>
      </c>
      <c r="B6" s="3">
        <v>79.459999999999994</v>
      </c>
      <c r="C6" s="3">
        <v>97.67</v>
      </c>
      <c r="D6" s="3">
        <v>115.7404466010729</v>
      </c>
      <c r="E6" s="3">
        <v>96.995351160646749</v>
      </c>
      <c r="F6" s="3">
        <v>116.77553419565736</v>
      </c>
      <c r="G6" s="3">
        <v>123.30603005595583</v>
      </c>
      <c r="H6" s="3">
        <v>111.78055896843495</v>
      </c>
      <c r="I6" s="8">
        <f>+(H6-G6)/G6*100</f>
        <v>-9.3470457870476142</v>
      </c>
      <c r="J6" s="4">
        <v>16.16</v>
      </c>
      <c r="K6" s="4">
        <v>21.82</v>
      </c>
      <c r="L6" s="4">
        <v>22.291469463945315</v>
      </c>
      <c r="M6" s="4">
        <v>24.504774787100779</v>
      </c>
      <c r="N6" s="4">
        <v>28.179980579262676</v>
      </c>
      <c r="O6" s="4">
        <v>38.937234428586542</v>
      </c>
      <c r="P6" s="4">
        <v>25.828705437146592</v>
      </c>
      <c r="Q6" s="7">
        <f>+(P6-O6)/O6*100</f>
        <v>-33.665793638944379</v>
      </c>
    </row>
    <row r="7" spans="1:20" ht="18" customHeight="1" x14ac:dyDescent="0.25">
      <c r="A7" s="1" t="s">
        <v>1</v>
      </c>
      <c r="B7" s="3">
        <v>57.31</v>
      </c>
      <c r="C7" s="3">
        <v>82.83</v>
      </c>
      <c r="D7" s="3">
        <v>70.377030317784502</v>
      </c>
      <c r="E7" s="3">
        <v>58.783333333333331</v>
      </c>
      <c r="F7" s="3">
        <v>55.842499999999994</v>
      </c>
      <c r="G7" s="3">
        <v>50.502500000000005</v>
      </c>
      <c r="H7" s="3">
        <v>49.702500000000001</v>
      </c>
      <c r="I7" s="8">
        <f t="shared" ref="I7:I11" si="0">+(H7-G7)/G7*100</f>
        <v>-1.5840799960398084</v>
      </c>
      <c r="J7" s="4">
        <v>55.81</v>
      </c>
      <c r="K7" s="4">
        <v>81.56</v>
      </c>
      <c r="L7" s="4">
        <v>72.077030317784505</v>
      </c>
      <c r="M7" s="4">
        <v>59.417500000000004</v>
      </c>
      <c r="N7" s="4">
        <v>58.212500000000006</v>
      </c>
      <c r="O7" s="4">
        <v>51.094999999999999</v>
      </c>
      <c r="P7" s="4">
        <v>49.685000000000002</v>
      </c>
      <c r="Q7" s="7">
        <f t="shared" ref="Q7:Q11" si="1">+(P7-O7)/O7*100</f>
        <v>-2.7595655152167464</v>
      </c>
    </row>
    <row r="8" spans="1:20" ht="18" customHeight="1" x14ac:dyDescent="0.25">
      <c r="A8" s="1" t="s">
        <v>2</v>
      </c>
      <c r="B8" s="3">
        <v>136.77000000000001</v>
      </c>
      <c r="C8" s="3">
        <v>180.51</v>
      </c>
      <c r="D8" s="3">
        <v>186.11747691885742</v>
      </c>
      <c r="E8" s="3">
        <v>155.77868449398008</v>
      </c>
      <c r="F8" s="3">
        <v>172.61803419565737</v>
      </c>
      <c r="G8" s="3">
        <v>173.80853005595583</v>
      </c>
      <c r="H8" s="3">
        <v>161.48305896843493</v>
      </c>
      <c r="I8" s="8">
        <f t="shared" si="0"/>
        <v>-7.0914074720917553</v>
      </c>
      <c r="J8" s="4">
        <v>71.97</v>
      </c>
      <c r="K8" s="4">
        <v>103.37</v>
      </c>
      <c r="L8" s="4">
        <v>94.368499781729824</v>
      </c>
      <c r="M8" s="4">
        <v>83.922274787100775</v>
      </c>
      <c r="N8" s="4">
        <v>86.392480579262667</v>
      </c>
      <c r="O8" s="4">
        <v>90.032234428586548</v>
      </c>
      <c r="P8" s="4">
        <v>75.513705437146598</v>
      </c>
      <c r="Q8" s="7">
        <f t="shared" si="1"/>
        <v>-16.125923213597488</v>
      </c>
    </row>
    <row r="9" spans="1:20" ht="18" customHeight="1" x14ac:dyDescent="0.25">
      <c r="A9" s="1" t="s">
        <v>9</v>
      </c>
      <c r="B9" s="3">
        <v>164.88</v>
      </c>
      <c r="C9" s="3">
        <v>233.82</v>
      </c>
      <c r="D9" s="3">
        <v>358.99492881723143</v>
      </c>
      <c r="E9" s="3">
        <v>324.34483194651477</v>
      </c>
      <c r="F9" s="3">
        <v>318.15015523600351</v>
      </c>
      <c r="G9" s="3">
        <v>392.09939032678852</v>
      </c>
      <c r="H9" s="3">
        <v>483.31260690329771</v>
      </c>
      <c r="I9" s="8">
        <f t="shared" si="0"/>
        <v>23.262779495905132</v>
      </c>
      <c r="J9" s="4">
        <v>210.34</v>
      </c>
      <c r="K9" s="4">
        <v>267.06</v>
      </c>
      <c r="L9" s="4">
        <v>394.66049439564671</v>
      </c>
      <c r="M9" s="4">
        <v>359.50758994537472</v>
      </c>
      <c r="N9" s="4">
        <v>344.90206396013872</v>
      </c>
      <c r="O9" s="4">
        <v>415.86528221477488</v>
      </c>
      <c r="P9" s="4">
        <v>483.21553176850307</v>
      </c>
      <c r="Q9" s="7">
        <f t="shared" si="1"/>
        <v>16.195208504792895</v>
      </c>
    </row>
    <row r="10" spans="1:20" ht="18" customHeight="1" x14ac:dyDescent="0.25">
      <c r="A10" s="1" t="s">
        <v>3</v>
      </c>
      <c r="B10" s="3">
        <v>301.64999999999998</v>
      </c>
      <c r="C10" s="3">
        <v>414.33</v>
      </c>
      <c r="D10" s="3">
        <v>545.11240573608882</v>
      </c>
      <c r="E10" s="3">
        <v>480.12351644049483</v>
      </c>
      <c r="F10" s="3">
        <v>490.76818943166086</v>
      </c>
      <c r="G10" s="3">
        <v>565.90792038274435</v>
      </c>
      <c r="H10" s="3">
        <v>644.79566587173258</v>
      </c>
      <c r="I10" s="8">
        <f t="shared" si="0"/>
        <v>13.940032052499557</v>
      </c>
      <c r="J10" s="4">
        <v>282.31</v>
      </c>
      <c r="K10" s="4">
        <v>370.43</v>
      </c>
      <c r="L10" s="4">
        <v>489.02899417737649</v>
      </c>
      <c r="M10" s="4">
        <v>443.42986473247549</v>
      </c>
      <c r="N10" s="4">
        <v>431.29454453940139</v>
      </c>
      <c r="O10" s="4">
        <v>505.89751664336143</v>
      </c>
      <c r="P10" s="4">
        <v>558.72923720564972</v>
      </c>
      <c r="Q10" s="7">
        <f t="shared" si="1"/>
        <v>10.443166614619431</v>
      </c>
    </row>
    <row r="11" spans="1:20" ht="18" customHeight="1" x14ac:dyDescent="0.25">
      <c r="A11" s="1" t="s">
        <v>4</v>
      </c>
      <c r="B11" s="8">
        <v>45.4</v>
      </c>
      <c r="C11" s="8">
        <v>43.9</v>
      </c>
      <c r="D11" s="8">
        <v>34.134233615805798</v>
      </c>
      <c r="E11" s="8">
        <v>32.629699098758941</v>
      </c>
      <c r="F11" s="8">
        <v>38.648131820691901</v>
      </c>
      <c r="G11" s="8">
        <v>30.644977450289389</v>
      </c>
      <c r="H11" s="8">
        <v>28.383838549681759</v>
      </c>
      <c r="I11" s="8">
        <f t="shared" si="0"/>
        <v>-7.3784975181513071</v>
      </c>
      <c r="J11" s="7">
        <v>25.2</v>
      </c>
      <c r="K11" s="7">
        <v>28.1</v>
      </c>
      <c r="L11" s="7">
        <v>19.369485147169151</v>
      </c>
      <c r="M11" s="7">
        <v>18.995259410709821</v>
      </c>
      <c r="N11" s="7">
        <v>20.146525657767143</v>
      </c>
      <c r="O11" s="7">
        <v>17.817836928978124</v>
      </c>
      <c r="P11" s="7">
        <v>13.686739734088746</v>
      </c>
      <c r="Q11" s="7">
        <f t="shared" si="1"/>
        <v>-23.185177927915305</v>
      </c>
      <c r="R11" s="9"/>
      <c r="T11" s="11"/>
    </row>
    <row r="12" spans="1:20" ht="17.25" customHeight="1" x14ac:dyDescent="0.25">
      <c r="A12" s="34"/>
      <c r="B12" s="25" t="s">
        <v>12</v>
      </c>
      <c r="C12" s="25"/>
      <c r="D12" s="25"/>
      <c r="E12" s="25"/>
      <c r="F12" s="25"/>
      <c r="G12" s="25"/>
      <c r="H12" s="25"/>
      <c r="I12" s="25"/>
      <c r="J12" s="27" t="s">
        <v>15</v>
      </c>
      <c r="K12" s="28"/>
      <c r="L12" s="28"/>
      <c r="M12" s="28"/>
      <c r="N12" s="28"/>
      <c r="O12" s="28"/>
      <c r="P12" s="28"/>
      <c r="Q12" s="29"/>
    </row>
    <row r="13" spans="1:20" ht="24" customHeight="1" x14ac:dyDescent="0.25">
      <c r="A13" s="34"/>
      <c r="B13" s="26"/>
      <c r="C13" s="26"/>
      <c r="D13" s="26"/>
      <c r="E13" s="26"/>
      <c r="F13" s="26"/>
      <c r="G13" s="26"/>
      <c r="H13" s="26"/>
      <c r="I13" s="26"/>
      <c r="J13" s="30"/>
      <c r="K13" s="31"/>
      <c r="L13" s="31"/>
      <c r="M13" s="31"/>
      <c r="N13" s="31"/>
      <c r="O13" s="31"/>
      <c r="P13" s="31"/>
      <c r="Q13" s="32"/>
    </row>
    <row r="14" spans="1:20" ht="18" customHeight="1" x14ac:dyDescent="0.25">
      <c r="A14" s="1" t="s">
        <v>0</v>
      </c>
      <c r="B14" s="5">
        <v>21.31</v>
      </c>
      <c r="C14" s="5">
        <v>32.36</v>
      </c>
      <c r="D14" s="5">
        <v>33.595400440545454</v>
      </c>
      <c r="E14" s="5">
        <v>27.365110357103291</v>
      </c>
      <c r="F14" s="5">
        <v>34.511190480110947</v>
      </c>
      <c r="G14" s="5">
        <v>39.539538409119935</v>
      </c>
      <c r="H14" s="5">
        <v>34.76008156816566</v>
      </c>
      <c r="I14" s="8">
        <f t="shared" ref="I14:I19" si="2">+(H14-G14)/G14*100</f>
        <v>-12.087791191441619</v>
      </c>
      <c r="J14" s="5">
        <v>43.56</v>
      </c>
      <c r="K14" s="5">
        <v>50.47</v>
      </c>
      <c r="L14" s="5">
        <v>55.333988324066787</v>
      </c>
      <c r="M14" s="5">
        <v>50.834049480729739</v>
      </c>
      <c r="N14" s="5">
        <v>64.712819136578403</v>
      </c>
      <c r="O14" s="5">
        <v>63.916758653530948</v>
      </c>
      <c r="P14" s="5">
        <v>55.0191038530714</v>
      </c>
      <c r="Q14" s="10">
        <f t="shared" ref="Q14:Q19" si="3">+(P14-O14)/O14*100</f>
        <v>-13.920691517995204</v>
      </c>
    </row>
    <row r="15" spans="1:20" ht="18" customHeight="1" x14ac:dyDescent="0.25">
      <c r="A15" s="1" t="s">
        <v>1</v>
      </c>
      <c r="B15" s="5">
        <v>56.31</v>
      </c>
      <c r="C15" s="5">
        <v>80.81</v>
      </c>
      <c r="D15" s="5">
        <v>71.661648373340057</v>
      </c>
      <c r="E15" s="5">
        <v>59.001249999999999</v>
      </c>
      <c r="F15" s="5">
        <v>58.92</v>
      </c>
      <c r="G15" s="5">
        <v>57.320000000000007</v>
      </c>
      <c r="H15" s="5">
        <v>55.197500000000005</v>
      </c>
      <c r="I15" s="8">
        <f t="shared" si="2"/>
        <v>-3.7028960223307781</v>
      </c>
      <c r="J15" s="5">
        <v>57.31</v>
      </c>
      <c r="K15" s="5">
        <v>82.83</v>
      </c>
      <c r="L15" s="5">
        <v>70.377030317784502</v>
      </c>
      <c r="M15" s="5">
        <v>58.783333333333331</v>
      </c>
      <c r="N15" s="5">
        <v>55.842499999999994</v>
      </c>
      <c r="O15" s="5">
        <v>50.502500000000005</v>
      </c>
      <c r="P15" s="5">
        <v>49.702500000000001</v>
      </c>
      <c r="Q15" s="10">
        <f t="shared" si="3"/>
        <v>-1.5840799960398084</v>
      </c>
    </row>
    <row r="16" spans="1:20" ht="18" customHeight="1" x14ac:dyDescent="0.25">
      <c r="A16" s="1" t="s">
        <v>2</v>
      </c>
      <c r="B16" s="5">
        <v>77.62</v>
      </c>
      <c r="C16" s="5">
        <v>113.18</v>
      </c>
      <c r="D16" s="5">
        <v>105.25704881388552</v>
      </c>
      <c r="E16" s="5">
        <v>86.366360357103304</v>
      </c>
      <c r="F16" s="5">
        <v>93.431190480110956</v>
      </c>
      <c r="G16" s="5">
        <v>96.859538409119949</v>
      </c>
      <c r="H16" s="5">
        <v>89.957581568165651</v>
      </c>
      <c r="I16" s="8">
        <f t="shared" si="2"/>
        <v>-7.1257379028604113</v>
      </c>
      <c r="J16" s="5">
        <v>100.87</v>
      </c>
      <c r="K16" s="5">
        <v>133.30000000000001</v>
      </c>
      <c r="L16" s="5">
        <v>125.7110186418513</v>
      </c>
      <c r="M16" s="5">
        <v>109.61738281406308</v>
      </c>
      <c r="N16" s="5">
        <v>120.55531913657839</v>
      </c>
      <c r="O16" s="5">
        <v>114.41925865353096</v>
      </c>
      <c r="P16" s="5">
        <v>104.7216038530714</v>
      </c>
      <c r="Q16" s="10">
        <f t="shared" si="3"/>
        <v>-8.4755441650122005</v>
      </c>
    </row>
    <row r="17" spans="1:17" ht="18" customHeight="1" x14ac:dyDescent="0.25">
      <c r="A17" s="1" t="s">
        <v>9</v>
      </c>
      <c r="B17" s="5">
        <v>213.81</v>
      </c>
      <c r="C17" s="5">
        <v>281.14</v>
      </c>
      <c r="D17" s="5">
        <v>399.30500801563431</v>
      </c>
      <c r="E17" s="5">
        <v>372.46227079267095</v>
      </c>
      <c r="F17" s="5">
        <v>350.43573364668168</v>
      </c>
      <c r="G17" s="5">
        <v>431.66122126786655</v>
      </c>
      <c r="H17" s="5">
        <v>513.80562268161589</v>
      </c>
      <c r="I17" s="8">
        <f t="shared" si="2"/>
        <v>19.02983111906056</v>
      </c>
      <c r="J17" s="5">
        <v>189.63</v>
      </c>
      <c r="K17" s="5">
        <v>268.64999999999998</v>
      </c>
      <c r="L17" s="5">
        <v>373.12678430943595</v>
      </c>
      <c r="M17" s="5">
        <v>338.31343243390756</v>
      </c>
      <c r="N17" s="5">
        <v>324.2695215738101</v>
      </c>
      <c r="O17" s="5">
        <v>412.89248843937844</v>
      </c>
      <c r="P17" s="5">
        <v>479.80175385196856</v>
      </c>
      <c r="Q17" s="10">
        <f t="shared" si="3"/>
        <v>16.20500912125793</v>
      </c>
    </row>
    <row r="18" spans="1:17" ht="18" customHeight="1" x14ac:dyDescent="0.25">
      <c r="A18" s="1" t="s">
        <v>3</v>
      </c>
      <c r="B18" s="5">
        <v>291.43</v>
      </c>
      <c r="C18" s="5">
        <v>394.32</v>
      </c>
      <c r="D18" s="5">
        <v>504.56205682951986</v>
      </c>
      <c r="E18" s="5">
        <v>458.8286311497742</v>
      </c>
      <c r="F18" s="5">
        <v>443.86692412679258</v>
      </c>
      <c r="G18" s="5">
        <v>528.52075967698647</v>
      </c>
      <c r="H18" s="5">
        <v>603.76320424978155</v>
      </c>
      <c r="I18" s="8">
        <f t="shared" si="2"/>
        <v>14.236421785736599</v>
      </c>
      <c r="J18" s="5">
        <v>290.5</v>
      </c>
      <c r="K18" s="5">
        <v>401.95</v>
      </c>
      <c r="L18" s="5">
        <v>498.83780295128724</v>
      </c>
      <c r="M18" s="5">
        <v>447.93081524797071</v>
      </c>
      <c r="N18" s="5">
        <v>444.82484071038846</v>
      </c>
      <c r="O18" s="5">
        <v>527.3117470929094</v>
      </c>
      <c r="P18" s="5">
        <v>584.52335770503987</v>
      </c>
      <c r="Q18" s="10">
        <f t="shared" si="3"/>
        <v>10.849674965054421</v>
      </c>
    </row>
    <row r="19" spans="1:17" ht="18" customHeight="1" x14ac:dyDescent="0.25">
      <c r="A19" s="2" t="s">
        <v>4</v>
      </c>
      <c r="B19" s="6">
        <v>26.5</v>
      </c>
      <c r="C19" s="6">
        <v>28.9</v>
      </c>
      <c r="D19" s="6">
        <v>21.028724701556456</v>
      </c>
      <c r="E19" s="6">
        <v>18.914837461631844</v>
      </c>
      <c r="F19" s="6">
        <v>21.22967813503373</v>
      </c>
      <c r="G19" s="6">
        <v>18.360504990475114</v>
      </c>
      <c r="H19" s="6">
        <v>15.061562750011834</v>
      </c>
      <c r="I19" s="8">
        <f t="shared" si="2"/>
        <v>-17.967600794066794</v>
      </c>
      <c r="J19" s="6">
        <v>34.6</v>
      </c>
      <c r="K19" s="6">
        <v>33.5</v>
      </c>
      <c r="L19" s="6">
        <v>25.369848613069895</v>
      </c>
      <c r="M19" s="6">
        <v>24.575616700966872</v>
      </c>
      <c r="N19" s="6">
        <v>27.373813070610957</v>
      </c>
      <c r="O19" s="10">
        <v>21.716166494397815</v>
      </c>
      <c r="P19" s="10">
        <v>18.149776020356892</v>
      </c>
      <c r="Q19" s="10">
        <f t="shared" si="3"/>
        <v>-16.422744202854382</v>
      </c>
    </row>
    <row r="20" spans="1:17" x14ac:dyDescent="0.25">
      <c r="A20" s="22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4"/>
    </row>
    <row r="21" spans="1:17" x14ac:dyDescent="0.25">
      <c r="A21" s="35" t="s">
        <v>6</v>
      </c>
      <c r="B21" s="36"/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7"/>
    </row>
    <row r="22" spans="1:17" x14ac:dyDescent="0.25">
      <c r="A22" s="35" t="s">
        <v>7</v>
      </c>
      <c r="B22" s="36"/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7"/>
    </row>
    <row r="23" spans="1:17" x14ac:dyDescent="0.25">
      <c r="A23" s="35" t="s">
        <v>8</v>
      </c>
      <c r="B23" s="36"/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7"/>
    </row>
    <row r="24" spans="1:17" x14ac:dyDescent="0.25">
      <c r="A24" s="19" t="s">
        <v>5</v>
      </c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1"/>
    </row>
  </sheetData>
  <mergeCells count="29">
    <mergeCell ref="A24:Q24"/>
    <mergeCell ref="A20:Q20"/>
    <mergeCell ref="G2:G3"/>
    <mergeCell ref="O2:O3"/>
    <mergeCell ref="B12:I13"/>
    <mergeCell ref="J12:Q13"/>
    <mergeCell ref="A4:A5"/>
    <mergeCell ref="A12:A13"/>
    <mergeCell ref="J4:Q5"/>
    <mergeCell ref="B4:I5"/>
    <mergeCell ref="H2:H3"/>
    <mergeCell ref="P2:P3"/>
    <mergeCell ref="A21:Q21"/>
    <mergeCell ref="A22:Q22"/>
    <mergeCell ref="A23:Q23"/>
    <mergeCell ref="A1:Q1"/>
    <mergeCell ref="B2:B3"/>
    <mergeCell ref="C2:C3"/>
    <mergeCell ref="J2:J3"/>
    <mergeCell ref="K2:K3"/>
    <mergeCell ref="I2:I3"/>
    <mergeCell ref="Q2:Q3"/>
    <mergeCell ref="A2:A3"/>
    <mergeCell ref="D2:D3"/>
    <mergeCell ref="M2:M3"/>
    <mergeCell ref="E2:E3"/>
    <mergeCell ref="L2:L3"/>
    <mergeCell ref="F2:F3"/>
    <mergeCell ref="N2:N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C26" sqref="C26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TLC-Shanghai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Ladd, Jessica</dc:creator>
  <cp:lastModifiedBy>Government User</cp:lastModifiedBy>
  <dcterms:created xsi:type="dcterms:W3CDTF">2008-08-25T16:01:01Z</dcterms:created>
  <dcterms:modified xsi:type="dcterms:W3CDTF">2013-07-24T14:21:46Z</dcterms:modified>
</cp:coreProperties>
</file>