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workbookProtection workbookPassword="CD5A" lockStructure="1"/>
  <bookViews>
    <workbookView xWindow="195" yWindow="105" windowWidth="27795" windowHeight="12075" activeTab="3"/>
  </bookViews>
  <sheets>
    <sheet name="Instructions" sheetId="4" r:id="rId1"/>
    <sheet name="Example" sheetId="5" r:id="rId2"/>
    <sheet name="Milk Price Calculation Shee (2" sheetId="6" r:id="rId3"/>
    <sheet name="Milk Price Calculation Sheet" sheetId="1" r:id="rId4"/>
    <sheet name="Sheet3" sheetId="3" r:id="rId5"/>
  </sheets>
  <calcPr calcId="145621"/>
</workbook>
</file>

<file path=xl/calcChain.xml><?xml version="1.0" encoding="utf-8"?>
<calcChain xmlns="http://schemas.openxmlformats.org/spreadsheetml/2006/main">
  <c r="D22" i="6" l="1"/>
  <c r="D23" i="6" s="1"/>
  <c r="B22" i="6"/>
  <c r="D21" i="6"/>
  <c r="D20" i="6"/>
  <c r="D19" i="6"/>
  <c r="D18" i="6"/>
  <c r="D17" i="6"/>
  <c r="D16" i="6"/>
  <c r="D25" i="1"/>
  <c r="D24" i="1"/>
  <c r="D23" i="1"/>
  <c r="D22" i="1"/>
  <c r="B22" i="1"/>
  <c r="D24" i="6" l="1"/>
  <c r="D25" i="6" s="1"/>
  <c r="D16" i="5"/>
  <c r="D18" i="1"/>
  <c r="D16" i="1"/>
  <c r="B22" i="5"/>
  <c r="D21" i="5"/>
  <c r="D20" i="5"/>
  <c r="D19" i="5"/>
  <c r="D18" i="5"/>
  <c r="D17" i="5"/>
  <c r="D22" i="5" s="1"/>
  <c r="D26" i="6" l="1"/>
  <c r="D27" i="6" s="1"/>
  <c r="D23" i="5"/>
  <c r="D24" i="5" s="1"/>
  <c r="D25" i="5" s="1"/>
  <c r="D17" i="1"/>
  <c r="D19" i="1"/>
  <c r="D20" i="1"/>
  <c r="D21" i="1"/>
  <c r="D21" i="4"/>
  <c r="D20" i="4"/>
  <c r="D19" i="4"/>
  <c r="D18" i="4"/>
  <c r="D26" i="5" l="1"/>
  <c r="D27" i="5" s="1"/>
  <c r="D26" i="1"/>
  <c r="D27" i="1" s="1"/>
</calcChain>
</file>

<file path=xl/sharedStrings.xml><?xml version="1.0" encoding="utf-8"?>
<sst xmlns="http://schemas.openxmlformats.org/spreadsheetml/2006/main" count="58" uniqueCount="23">
  <si>
    <t>When utilizing the Pricing Program, use the milk price calculation form to determine the price of milk charged to students.</t>
  </si>
  <si>
    <t>Milk Varieties</t>
  </si>
  <si>
    <t>Cost Per Half Pint of Milk</t>
  </si>
  <si>
    <t>Cost for Each Type of Milk for the Month</t>
  </si>
  <si>
    <t>Milk Price Calculation:</t>
  </si>
  <si>
    <t>Totals:</t>
  </si>
  <si>
    <t>Weighted Average Cost:</t>
  </si>
  <si>
    <t>Optional Handling Charge: (+$.05)</t>
  </si>
  <si>
    <t>Current Reimbursement Rate for School Year 14-15: (+$.23)</t>
  </si>
  <si>
    <r>
      <t>Price Charged per Half Pint (</t>
    </r>
    <r>
      <rPr>
        <sz val="11"/>
        <color theme="1"/>
        <rFont val="Calibri"/>
        <family val="2"/>
        <scheme val="minor"/>
      </rPr>
      <t>Round to the nearest nickel</t>
    </r>
    <r>
      <rPr>
        <b/>
        <sz val="11"/>
        <color theme="1"/>
        <rFont val="Calibri"/>
        <family val="2"/>
        <scheme val="minor"/>
      </rPr>
      <t>):</t>
    </r>
  </si>
  <si>
    <t xml:space="preserve"> Final Price Charged to Students :</t>
  </si>
  <si>
    <t>Insert Milk Varieties purchased for the month</t>
  </si>
  <si>
    <t>Insert the amount of half pints purchased for the month</t>
  </si>
  <si>
    <t>Insert the cost per half pint of milk for each variety of milk</t>
  </si>
  <si>
    <t>Total cost of each milk type purchased</t>
  </si>
  <si>
    <t>Sum of all milks purchased for the month</t>
  </si>
  <si>
    <t>The total cost of all milk types purchased for the month</t>
  </si>
  <si>
    <t>These cells will pre-populate</t>
  </si>
  <si>
    <t>Amount of Milk Purchased for One Month Period                                         (Enter the Number of Half Pints Purchased)</t>
  </si>
  <si>
    <t>Amount of Milk Purchased for One Month Period                                   (Enter the Number of Half Pints Purchased)</t>
  </si>
  <si>
    <t>Non-Fat Chocolate Milk</t>
  </si>
  <si>
    <t>Non-Fat White Milk</t>
  </si>
  <si>
    <t>1% White Milk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</si>
</sst>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$&quot;#,##0.00"/>
  </numFmts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0" fillId="0" borderId="0" xfId="0" applyAlignment="1"/>
    <xf numFmtId="0" fontId="0" fillId="0" borderId="0" xfId="0" applyAlignment="1">
      <alignment wrapText="1"/>
    </xf>
    <xf numFmtId="0" fontId="0" fillId="0" borderId="0" xfId="0" applyBorder="1" applyAlignment="1"/>
    <xf numFmtId="0" fontId="2" fillId="0" borderId="0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0" fillId="2" borderId="9" xfId="0" applyFill="1" applyBorder="1"/>
    <xf numFmtId="164" fontId="0" fillId="0" borderId="12" xfId="0" applyNumberFormat="1" applyBorder="1" applyAlignment="1">
      <alignment wrapText="1"/>
    </xf>
    <xf numFmtId="164" fontId="0" fillId="0" borderId="9" xfId="0" applyNumberFormat="1" applyBorder="1" applyAlignment="1">
      <alignment wrapText="1"/>
    </xf>
    <xf numFmtId="164" fontId="0" fillId="0" borderId="9" xfId="0" applyNumberFormat="1" applyBorder="1" applyAlignment="1"/>
    <xf numFmtId="164" fontId="0" fillId="0" borderId="16" xfId="0" applyNumberFormat="1" applyBorder="1" applyAlignment="1"/>
    <xf numFmtId="0" fontId="0" fillId="0" borderId="12" xfId="0" applyNumberFormat="1" applyBorder="1" applyAlignment="1">
      <alignment wrapText="1"/>
    </xf>
    <xf numFmtId="0" fontId="0" fillId="0" borderId="9" xfId="0" applyNumberFormat="1" applyBorder="1" applyAlignment="1">
      <alignment wrapText="1"/>
    </xf>
    <xf numFmtId="0" fontId="0" fillId="0" borderId="9" xfId="0" applyNumberFormat="1" applyBorder="1" applyAlignment="1"/>
    <xf numFmtId="0" fontId="0" fillId="0" borderId="16" xfId="0" applyNumberFormat="1" applyBorder="1" applyAlignment="1"/>
    <xf numFmtId="0" fontId="0" fillId="3" borderId="9" xfId="0" applyNumberFormat="1" applyFill="1" applyBorder="1"/>
    <xf numFmtId="0" fontId="0" fillId="0" borderId="17" xfId="0" applyBorder="1" applyAlignment="1">
      <alignment wrapText="1"/>
    </xf>
    <xf numFmtId="164" fontId="0" fillId="0" borderId="18" xfId="0" applyNumberFormat="1" applyBorder="1" applyAlignment="1">
      <alignment wrapText="1"/>
    </xf>
    <xf numFmtId="0" fontId="0" fillId="0" borderId="19" xfId="0" applyBorder="1" applyAlignment="1">
      <alignment wrapText="1"/>
    </xf>
    <xf numFmtId="0" fontId="0" fillId="0" borderId="19" xfId="0" applyBorder="1" applyAlignment="1"/>
    <xf numFmtId="0" fontId="0" fillId="0" borderId="20" xfId="0" applyBorder="1" applyAlignment="1"/>
    <xf numFmtId="0" fontId="2" fillId="2" borderId="19" xfId="0" applyFont="1" applyFill="1" applyBorder="1"/>
    <xf numFmtId="164" fontId="0" fillId="3" borderId="21" xfId="0" applyNumberFormat="1" applyFill="1" applyBorder="1"/>
    <xf numFmtId="164" fontId="0" fillId="0" borderId="21" xfId="0" applyNumberFormat="1" applyBorder="1"/>
    <xf numFmtId="164" fontId="0" fillId="4" borderId="25" xfId="0" applyNumberFormat="1" applyFill="1" applyBorder="1"/>
    <xf numFmtId="0" fontId="0" fillId="5" borderId="21" xfId="0" applyFill="1" applyBorder="1"/>
    <xf numFmtId="164" fontId="0" fillId="5" borderId="21" xfId="0" applyNumberFormat="1" applyFill="1" applyBorder="1"/>
    <xf numFmtId="0" fontId="1" fillId="5" borderId="9" xfId="0" applyNumberFormat="1" applyFont="1" applyFill="1" applyBorder="1" applyAlignment="1">
      <alignment horizontal="center" vertical="center" wrapText="1"/>
    </xf>
    <xf numFmtId="164" fontId="1" fillId="5" borderId="21" xfId="0" applyNumberFormat="1" applyFont="1" applyFill="1" applyBorder="1" applyAlignment="1">
      <alignment horizontal="center" vertical="center" wrapText="1"/>
    </xf>
    <xf numFmtId="0" fontId="1" fillId="0" borderId="17" xfId="0" applyFont="1" applyBorder="1" applyAlignment="1">
      <alignment wrapText="1"/>
    </xf>
    <xf numFmtId="0" fontId="1" fillId="0" borderId="12" xfId="0" applyNumberFormat="1" applyFont="1" applyBorder="1" applyAlignment="1">
      <alignment wrapText="1"/>
    </xf>
    <xf numFmtId="0" fontId="1" fillId="0" borderId="19" xfId="0" applyFont="1" applyBorder="1" applyAlignment="1">
      <alignment wrapText="1"/>
    </xf>
    <xf numFmtId="0" fontId="1" fillId="0" borderId="9" xfId="0" applyNumberFormat="1" applyFont="1" applyBorder="1" applyAlignment="1">
      <alignment wrapText="1"/>
    </xf>
    <xf numFmtId="164" fontId="1" fillId="0" borderId="12" xfId="0" applyNumberFormat="1" applyFont="1" applyBorder="1" applyAlignment="1">
      <alignment wrapText="1"/>
    </xf>
    <xf numFmtId="164" fontId="1" fillId="0" borderId="9" xfId="0" applyNumberFormat="1" applyFont="1" applyBorder="1" applyAlignment="1">
      <alignment wrapText="1"/>
    </xf>
    <xf numFmtId="164" fontId="1" fillId="0" borderId="18" xfId="0" applyNumberFormat="1" applyFont="1" applyBorder="1" applyAlignment="1">
      <alignment wrapText="1"/>
    </xf>
    <xf numFmtId="0" fontId="1" fillId="5" borderId="21" xfId="0" applyFont="1" applyFill="1" applyBorder="1"/>
    <xf numFmtId="164" fontId="1" fillId="5" borderId="21" xfId="0" applyNumberFormat="1" applyFont="1" applyFill="1" applyBorder="1"/>
    <xf numFmtId="164" fontId="1" fillId="0" borderId="21" xfId="0" applyNumberFormat="1" applyFont="1" applyBorder="1"/>
    <xf numFmtId="0" fontId="2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2" fillId="0" borderId="7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3" fillId="0" borderId="1" xfId="0" applyFont="1" applyBorder="1" applyAlignment="1">
      <alignment horizontal="left" wrapText="1"/>
    </xf>
    <xf numFmtId="0" fontId="3" fillId="0" borderId="2" xfId="0" applyFont="1" applyBorder="1" applyAlignment="1">
      <alignment horizontal="left" wrapText="1"/>
    </xf>
    <xf numFmtId="0" fontId="3" fillId="0" borderId="3" xfId="0" applyFont="1" applyBorder="1" applyAlignment="1">
      <alignment horizontal="left" wrapText="1"/>
    </xf>
    <xf numFmtId="0" fontId="2" fillId="2" borderId="22" xfId="0" applyFont="1" applyFill="1" applyBorder="1" applyAlignment="1">
      <alignment horizontal="left"/>
    </xf>
    <xf numFmtId="0" fontId="2" fillId="2" borderId="10" xfId="0" applyFont="1" applyFill="1" applyBorder="1" applyAlignment="1">
      <alignment horizontal="left"/>
    </xf>
    <xf numFmtId="0" fontId="2" fillId="2" borderId="11" xfId="0" applyFont="1" applyFill="1" applyBorder="1" applyAlignment="1">
      <alignment horizontal="left"/>
    </xf>
    <xf numFmtId="0" fontId="2" fillId="2" borderId="23" xfId="0" applyFont="1" applyFill="1" applyBorder="1" applyAlignment="1">
      <alignment horizontal="left"/>
    </xf>
    <xf numFmtId="0" fontId="2" fillId="2" borderId="24" xfId="0" applyFont="1" applyFill="1" applyBorder="1" applyAlignment="1">
      <alignment horizontal="left"/>
    </xf>
    <xf numFmtId="0" fontId="1" fillId="0" borderId="26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1" fillId="0" borderId="27" xfId="0" applyNumberFormat="1" applyFont="1" applyBorder="1" applyAlignment="1">
      <alignment horizontal="center" vertical="center" wrapText="1"/>
    </xf>
    <xf numFmtId="0" fontId="1" fillId="0" borderId="12" xfId="0" applyNumberFormat="1" applyFont="1" applyBorder="1" applyAlignment="1">
      <alignment horizontal="center" vertical="center" wrapText="1"/>
    </xf>
    <xf numFmtId="164" fontId="1" fillId="0" borderId="27" xfId="0" applyNumberFormat="1" applyFont="1" applyBorder="1" applyAlignment="1">
      <alignment horizontal="center" vertical="center" wrapText="1"/>
    </xf>
    <xf numFmtId="164" fontId="1" fillId="0" borderId="12" xfId="0" applyNumberFormat="1" applyFont="1" applyBorder="1" applyAlignment="1">
      <alignment horizontal="center" vertical="center" wrapText="1"/>
    </xf>
    <xf numFmtId="164" fontId="1" fillId="0" borderId="28" xfId="0" applyNumberFormat="1" applyFont="1" applyBorder="1" applyAlignment="1">
      <alignment horizontal="center" vertical="center" wrapText="1"/>
    </xf>
    <xf numFmtId="164" fontId="1" fillId="0" borderId="18" xfId="0" applyNumberFormat="1" applyFont="1" applyBorder="1" applyAlignment="1">
      <alignment horizontal="center" vertical="center" wrapText="1"/>
    </xf>
    <xf numFmtId="0" fontId="1" fillId="5" borderId="29" xfId="0" applyFont="1" applyFill="1" applyBorder="1" applyAlignment="1">
      <alignment horizontal="center" vertical="center"/>
    </xf>
    <xf numFmtId="0" fontId="1" fillId="5" borderId="30" xfId="0" applyFont="1" applyFill="1" applyBorder="1" applyAlignment="1">
      <alignment horizontal="center" vertical="center"/>
    </xf>
    <xf numFmtId="0" fontId="1" fillId="5" borderId="31" xfId="0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horizontal="left"/>
    </xf>
    <xf numFmtId="0" fontId="2" fillId="2" borderId="9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9525</xdr:rowOff>
    </xdr:from>
    <xdr:to>
      <xdr:col>11</xdr:col>
      <xdr:colOff>510988</xdr:colOff>
      <xdr:row>11</xdr:row>
      <xdr:rowOff>9525</xdr:rowOff>
    </xdr:to>
    <xdr:grpSp>
      <xdr:nvGrpSpPr>
        <xdr:cNvPr id="2" name="Group 1"/>
        <xdr:cNvGrpSpPr/>
      </xdr:nvGrpSpPr>
      <xdr:grpSpPr>
        <a:xfrm>
          <a:off x="0" y="9525"/>
          <a:ext cx="12083863" cy="2105025"/>
          <a:chOff x="0" y="0"/>
          <a:chExt cx="12007663" cy="2105025"/>
        </a:xfrm>
      </xdr:grpSpPr>
      <xdr:sp macro="" textlink="">
        <xdr:nvSpPr>
          <xdr:cNvPr id="3" name="Rectangle 2"/>
          <xdr:cNvSpPr/>
        </xdr:nvSpPr>
        <xdr:spPr>
          <a:xfrm>
            <a:off x="0" y="0"/>
            <a:ext cx="7210425" cy="1287236"/>
          </a:xfrm>
          <a:prstGeom prst="rect">
            <a:avLst/>
          </a:prstGeom>
          <a:solidFill>
            <a:srgbClr val="488BC9"/>
          </a:solidFill>
          <a:ln w="10000" cap="flat" cmpd="sng" algn="ctr">
            <a:noFill/>
            <a:prstDash val="solid"/>
          </a:ln>
          <a:effectLst/>
          <a:extLst>
            <a:ext uri="{FAA26D3D-D897-4be2-8F04-BA451C77F1D7}">
              <ma14:placeholderFlag xmlns:wpc="http://schemas.microsoft.com/office/word/2010/wordprocessingCanvas" xmlns:mc="http://schemas.openxmlformats.org/markup-compatibility/2006" xmlns:r="http://schemas.openxmlformats.org/officeDocument/2006/relationships" xmlns:m="http://schemas.openxmlformats.org/officeDocument/2006/math" xmlns:wp14="http://schemas.microsoft.com/office/word/2010/wordprocessingDrawing" xmlns:wp="http://schemas.openxmlformats.org/drawingml/2006/wordprocessingDrawing" xmlns:w14="http://schemas.microsoft.com/office/word/2010/wordml" xmlns:wpg="http://schemas.microsoft.com/office/word/2010/wordprocessingGroup" xmlns:wpi="http://schemas.microsoft.com/office/word/2010/wordprocessingInk" xmlns:wne="http://schemas.microsoft.com/office/word/2006/wordml" xmlns:wps="http://schemas.microsoft.com/office/word/2010/wordprocessingShape" xmlns:ma14="http://schemas.microsoft.com/office/mac/drawingml/2011/main" xmlns:w="http://schemas.openxmlformats.org/wordprocessingml/2006/main" xmlns:w10="urn:schemas-microsoft-com:office:word" xmlns:v="urn:schemas-microsoft-com:vml" xmlns:o="urn:schemas-microsoft-com:office:office" xmlns:mv="urn:schemas-microsoft-com:mac:vml" xmlns:mo="http://schemas.microsoft.com/office/mac/office/2008/main" xmlns="" xmlns:lc="http://schemas.openxmlformats.org/drawingml/2006/lockedCanvas"/>
            </a:ext>
            <a:ext uri="{C572A759-6A51-4108-AA02-DFA0A04FC94B}">
              <ma14:wrappingTextBoxFlag xmlns:wpc="http://schemas.microsoft.com/office/word/2010/wordprocessingCanvas" xmlns:mc="http://schemas.openxmlformats.org/markup-compatibility/2006" xmlns:r="http://schemas.openxmlformats.org/officeDocument/2006/relationships" xmlns:m="http://schemas.openxmlformats.org/officeDocument/2006/math" xmlns:wp14="http://schemas.microsoft.com/office/word/2010/wordprocessingDrawing" xmlns:wp="http://schemas.openxmlformats.org/drawingml/2006/wordprocessingDrawing" xmlns:w14="http://schemas.microsoft.com/office/word/2010/wordml" xmlns:wpg="http://schemas.microsoft.com/office/word/2010/wordprocessingGroup" xmlns:wpi="http://schemas.microsoft.com/office/word/2010/wordprocessingInk" xmlns:wne="http://schemas.microsoft.com/office/word/2006/wordml" xmlns:wps="http://schemas.microsoft.com/office/word/2010/wordprocessingShape" xmlns:ma14="http://schemas.microsoft.com/office/mac/drawingml/2011/main" xmlns:w="http://schemas.openxmlformats.org/wordprocessingml/2006/main" xmlns:w10="urn:schemas-microsoft-com:office:word" xmlns:v="urn:schemas-microsoft-com:vml" xmlns:o="urn:schemas-microsoft-com:office:office" xmlns:mv="urn:schemas-microsoft-com:mac:vml" xmlns:mo="http://schemas.microsoft.com/office/mac/office/2008/main" xmlns="" xmlns:lc="http://schemas.openxmlformats.org/drawingml/2006/lockedCanvas"/>
            </a:ext>
          </a:extLst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endParaRPr lang="en-US"/>
          </a:p>
        </xdr:txBody>
      </xdr:sp>
      <xdr:pic>
        <xdr:nvPicPr>
          <xdr:cNvPr id="4" name="Picture 3"/>
          <xdr:cNvPicPr/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676775" y="194309"/>
            <a:ext cx="2408518" cy="483429"/>
          </a:xfrm>
          <a:prstGeom prst="rect">
            <a:avLst/>
          </a:prstGeom>
        </xdr:spPr>
      </xdr:pic>
      <xdr:sp macro="" textlink="">
        <xdr:nvSpPr>
          <xdr:cNvPr id="5" name="Rectangle 4"/>
          <xdr:cNvSpPr/>
        </xdr:nvSpPr>
        <xdr:spPr>
          <a:xfrm>
            <a:off x="0" y="1165859"/>
            <a:ext cx="7210425" cy="939166"/>
          </a:xfrm>
          <a:prstGeom prst="rect">
            <a:avLst/>
          </a:prstGeom>
          <a:gradFill flip="none" rotWithShape="1">
            <a:gsLst>
              <a:gs pos="0">
                <a:srgbClr val="D0D2D3"/>
              </a:gs>
              <a:gs pos="99000">
                <a:sysClr val="window" lastClr="FFFFFF"/>
              </a:gs>
              <a:gs pos="100000">
                <a:sysClr val="window" lastClr="FFFFFF"/>
              </a:gs>
            </a:gsLst>
            <a:lin ang="0" scaled="1"/>
            <a:tileRect/>
          </a:gradFill>
          <a:ln w="10000" cap="flat" cmpd="sng" algn="ctr">
            <a:noFill/>
            <a:prstDash val="solid"/>
          </a:ln>
          <a:effectLst/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endParaRPr lang="en-US"/>
          </a:p>
        </xdr:txBody>
      </xdr:sp>
      <xdr:sp macro="" textlink="">
        <xdr:nvSpPr>
          <xdr:cNvPr id="6" name="Text Box 8"/>
          <xdr:cNvSpPr txBox="1"/>
        </xdr:nvSpPr>
        <xdr:spPr>
          <a:xfrm>
            <a:off x="457200" y="1165859"/>
            <a:ext cx="11550463" cy="901065"/>
          </a:xfrm>
          <a:prstGeom prst="rect">
            <a:avLst/>
          </a:prstGeom>
          <a:noFill/>
          <a:ln>
            <a:noFill/>
          </a:ln>
          <a:effectLst/>
          <a:extLst>
            <a:ext uri="{C572A759-6A51-4108-AA02-DFA0A04FC94B}">
              <ma14:wrappingTextBoxFlag xmlns:wpc="http://schemas.microsoft.com/office/word/2010/wordprocessingCanvas" xmlns:mc="http://schemas.openxmlformats.org/markup-compatibility/2006" xmlns:r="http://schemas.openxmlformats.org/officeDocument/2006/relationships" xmlns:m="http://schemas.openxmlformats.org/officeDocument/2006/math" xmlns:wp14="http://schemas.microsoft.com/office/word/2010/wordprocessingDrawing" xmlns:wp="http://schemas.openxmlformats.org/drawingml/2006/wordprocessingDrawing" xmlns:w14="http://schemas.microsoft.com/office/word/2010/wordml" xmlns:wpg="http://schemas.microsoft.com/office/word/2010/wordprocessingGroup" xmlns:wpi="http://schemas.microsoft.com/office/word/2010/wordprocessingInk" xmlns:wne="http://schemas.microsoft.com/office/word/2006/wordml" xmlns:wps="http://schemas.microsoft.com/office/word/2010/wordprocessingShape" xmlns:ma14="http://schemas.microsoft.com/office/mac/drawingml/2011/main" xmlns:w="http://schemas.openxmlformats.org/wordprocessingml/2006/main" xmlns:w10="urn:schemas-microsoft-com:office:word" xmlns:v="urn:schemas-microsoft-com:vml" xmlns:o="urn:schemas-microsoft-com:office:office" xmlns:mv="urn:schemas-microsoft-com:mac:vml" xmlns:mo="http://schemas.microsoft.com/office/mac/office/2008/main" xmlns="" xmlns:lc="http://schemas.openxmlformats.org/drawingml/2006/lockedCanvas"/>
            </a:ext>
          </a:extLst>
        </xdr:spPr>
        <xdr:style>
          <a:lnRef idx="0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rot="0" spcFirstLastPara="0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/>
          <a:p>
            <a:pPr marL="0" marR="0">
              <a:spcBef>
                <a:spcPts val="0"/>
              </a:spcBef>
              <a:spcAft>
                <a:spcPts val="600"/>
              </a:spcAft>
            </a:pPr>
            <a:r>
              <a:rPr lang="en-US" sz="2400">
                <a:effectLst/>
                <a:latin typeface="Museo Slab 500"/>
                <a:ea typeface="ＭＳ Ｐゴシック"/>
                <a:cs typeface="Times New Roman"/>
              </a:rPr>
              <a:t>Special Milk </a:t>
            </a:r>
            <a:r>
              <a:rPr lang="en-US" sz="2400">
                <a:solidFill>
                  <a:sysClr val="windowText" lastClr="000000"/>
                </a:solidFill>
                <a:effectLst/>
                <a:latin typeface="Museo Slab 500"/>
                <a:ea typeface="ＭＳ Ｐゴシック"/>
                <a:cs typeface="Times New Roman"/>
              </a:rPr>
              <a:t>Program </a:t>
            </a:r>
            <a:r>
              <a:rPr lang="en-US" sz="2400" u="sng">
                <a:solidFill>
                  <a:sysClr val="windowText" lastClr="000000"/>
                </a:solidFill>
                <a:effectLst/>
                <a:latin typeface="Museo Slab 500"/>
                <a:ea typeface="ＭＳ Ｐゴシック"/>
                <a:cs typeface="Times New Roman"/>
              </a:rPr>
              <a:t>(SMP)</a:t>
            </a:r>
            <a:endParaRPr lang="en-US" sz="1100">
              <a:solidFill>
                <a:sysClr val="windowText" lastClr="000000"/>
              </a:solidFill>
              <a:effectLst/>
              <a:ea typeface="ＭＳ Ｐゴシック"/>
              <a:cs typeface="Times New Roman"/>
            </a:endParaRPr>
          </a:p>
          <a:p>
            <a:pPr marL="0" marR="0">
              <a:spcBef>
                <a:spcPts val="0"/>
              </a:spcBef>
              <a:spcAft>
                <a:spcPts val="0"/>
              </a:spcAft>
            </a:pPr>
            <a:r>
              <a:rPr lang="en-US" sz="1200" b="1">
                <a:effectLst/>
                <a:latin typeface="Trebuchet MS"/>
                <a:ea typeface="ＭＳ Ｐゴシック"/>
                <a:cs typeface="Times New Roman"/>
              </a:rPr>
              <a:t>Milk Price Calculation Worksheet</a:t>
            </a:r>
            <a:endParaRPr lang="en-US" sz="1100">
              <a:effectLst/>
              <a:ea typeface="ＭＳ Ｐゴシック"/>
              <a:cs typeface="Times New Roman"/>
            </a:endParaRPr>
          </a:p>
          <a:p>
            <a:pPr marL="0" marR="0">
              <a:spcBef>
                <a:spcPts val="0"/>
              </a:spcBef>
              <a:spcAft>
                <a:spcPts val="0"/>
              </a:spcAft>
            </a:pPr>
            <a:r>
              <a:rPr lang="en-US" sz="1100">
                <a:effectLst/>
                <a:ea typeface="ＭＳ Ｐゴシック"/>
                <a:cs typeface="Times New Roman"/>
              </a:rPr>
              <a:t> </a:t>
            </a:r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9525</xdr:rowOff>
    </xdr:from>
    <xdr:to>
      <xdr:col>11</xdr:col>
      <xdr:colOff>510988</xdr:colOff>
      <xdr:row>11</xdr:row>
      <xdr:rowOff>9525</xdr:rowOff>
    </xdr:to>
    <xdr:grpSp>
      <xdr:nvGrpSpPr>
        <xdr:cNvPr id="2" name="Group 1"/>
        <xdr:cNvGrpSpPr/>
      </xdr:nvGrpSpPr>
      <xdr:grpSpPr>
        <a:xfrm>
          <a:off x="0" y="9525"/>
          <a:ext cx="12007663" cy="2105025"/>
          <a:chOff x="0" y="0"/>
          <a:chExt cx="12007663" cy="2105025"/>
        </a:xfrm>
      </xdr:grpSpPr>
      <xdr:sp macro="" textlink="">
        <xdr:nvSpPr>
          <xdr:cNvPr id="3" name="Rectangle 2"/>
          <xdr:cNvSpPr/>
        </xdr:nvSpPr>
        <xdr:spPr>
          <a:xfrm>
            <a:off x="0" y="0"/>
            <a:ext cx="7210425" cy="1287236"/>
          </a:xfrm>
          <a:prstGeom prst="rect">
            <a:avLst/>
          </a:prstGeom>
          <a:solidFill>
            <a:srgbClr val="488BC9"/>
          </a:solidFill>
          <a:ln w="10000" cap="flat" cmpd="sng" algn="ctr">
            <a:noFill/>
            <a:prstDash val="solid"/>
          </a:ln>
          <a:effectLst/>
          <a:extLst>
            <a:ext uri="{FAA26D3D-D897-4be2-8F04-BA451C77F1D7}">
              <ma14:placeholderFlag xmlns:wpc="http://schemas.microsoft.com/office/word/2010/wordprocessingCanvas" xmlns:mc="http://schemas.openxmlformats.org/markup-compatibility/2006" xmlns:r="http://schemas.openxmlformats.org/officeDocument/2006/relationships" xmlns:m="http://schemas.openxmlformats.org/officeDocument/2006/math" xmlns:wp14="http://schemas.microsoft.com/office/word/2010/wordprocessingDrawing" xmlns:wp="http://schemas.openxmlformats.org/drawingml/2006/wordprocessingDrawing" xmlns:w14="http://schemas.microsoft.com/office/word/2010/wordml" xmlns:wpg="http://schemas.microsoft.com/office/word/2010/wordprocessingGroup" xmlns:wpi="http://schemas.microsoft.com/office/word/2010/wordprocessingInk" xmlns:wne="http://schemas.microsoft.com/office/word/2006/wordml" xmlns:wps="http://schemas.microsoft.com/office/word/2010/wordprocessingShape" xmlns:ma14="http://schemas.microsoft.com/office/mac/drawingml/2011/main" xmlns:w="http://schemas.openxmlformats.org/wordprocessingml/2006/main" xmlns:w10="urn:schemas-microsoft-com:office:word" xmlns:v="urn:schemas-microsoft-com:vml" xmlns:o="urn:schemas-microsoft-com:office:office" xmlns:mv="urn:schemas-microsoft-com:mac:vml" xmlns:mo="http://schemas.microsoft.com/office/mac/office/2008/main" xmlns="" xmlns:lc="http://schemas.openxmlformats.org/drawingml/2006/lockedCanvas"/>
            </a:ext>
            <a:ext uri="{C572A759-6A51-4108-AA02-DFA0A04FC94B}">
              <ma14:wrappingTextBoxFlag xmlns:wpc="http://schemas.microsoft.com/office/word/2010/wordprocessingCanvas" xmlns:mc="http://schemas.openxmlformats.org/markup-compatibility/2006" xmlns:r="http://schemas.openxmlformats.org/officeDocument/2006/relationships" xmlns:m="http://schemas.openxmlformats.org/officeDocument/2006/math" xmlns:wp14="http://schemas.microsoft.com/office/word/2010/wordprocessingDrawing" xmlns:wp="http://schemas.openxmlformats.org/drawingml/2006/wordprocessingDrawing" xmlns:w14="http://schemas.microsoft.com/office/word/2010/wordml" xmlns:wpg="http://schemas.microsoft.com/office/word/2010/wordprocessingGroup" xmlns:wpi="http://schemas.microsoft.com/office/word/2010/wordprocessingInk" xmlns:wne="http://schemas.microsoft.com/office/word/2006/wordml" xmlns:wps="http://schemas.microsoft.com/office/word/2010/wordprocessingShape" xmlns:ma14="http://schemas.microsoft.com/office/mac/drawingml/2011/main" xmlns:w="http://schemas.openxmlformats.org/wordprocessingml/2006/main" xmlns:w10="urn:schemas-microsoft-com:office:word" xmlns:v="urn:schemas-microsoft-com:vml" xmlns:o="urn:schemas-microsoft-com:office:office" xmlns:mv="urn:schemas-microsoft-com:mac:vml" xmlns:mo="http://schemas.microsoft.com/office/mac/office/2008/main" xmlns="" xmlns:lc="http://schemas.openxmlformats.org/drawingml/2006/lockedCanvas"/>
            </a:ext>
          </a:extLst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endParaRPr lang="en-US"/>
          </a:p>
        </xdr:txBody>
      </xdr:sp>
      <xdr:pic>
        <xdr:nvPicPr>
          <xdr:cNvPr id="4" name="Picture 3"/>
          <xdr:cNvPicPr/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676775" y="194309"/>
            <a:ext cx="2408518" cy="483429"/>
          </a:xfrm>
          <a:prstGeom prst="rect">
            <a:avLst/>
          </a:prstGeom>
        </xdr:spPr>
      </xdr:pic>
      <xdr:sp macro="" textlink="">
        <xdr:nvSpPr>
          <xdr:cNvPr id="5" name="Rectangle 4"/>
          <xdr:cNvSpPr/>
        </xdr:nvSpPr>
        <xdr:spPr>
          <a:xfrm>
            <a:off x="0" y="1165859"/>
            <a:ext cx="7210425" cy="939166"/>
          </a:xfrm>
          <a:prstGeom prst="rect">
            <a:avLst/>
          </a:prstGeom>
          <a:gradFill flip="none" rotWithShape="1">
            <a:gsLst>
              <a:gs pos="0">
                <a:srgbClr val="D0D2D3"/>
              </a:gs>
              <a:gs pos="99000">
                <a:sysClr val="window" lastClr="FFFFFF"/>
              </a:gs>
              <a:gs pos="100000">
                <a:sysClr val="window" lastClr="FFFFFF"/>
              </a:gs>
            </a:gsLst>
            <a:lin ang="0" scaled="1"/>
            <a:tileRect/>
          </a:gradFill>
          <a:ln w="10000" cap="flat" cmpd="sng" algn="ctr">
            <a:noFill/>
            <a:prstDash val="solid"/>
          </a:ln>
          <a:effectLst/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endParaRPr lang="en-US"/>
          </a:p>
        </xdr:txBody>
      </xdr:sp>
      <xdr:sp macro="" textlink="">
        <xdr:nvSpPr>
          <xdr:cNvPr id="6" name="Text Box 8"/>
          <xdr:cNvSpPr txBox="1"/>
        </xdr:nvSpPr>
        <xdr:spPr>
          <a:xfrm>
            <a:off x="457200" y="1165859"/>
            <a:ext cx="11550463" cy="901065"/>
          </a:xfrm>
          <a:prstGeom prst="rect">
            <a:avLst/>
          </a:prstGeom>
          <a:noFill/>
          <a:ln>
            <a:noFill/>
          </a:ln>
          <a:effectLst/>
          <a:extLst>
            <a:ext uri="{C572A759-6A51-4108-AA02-DFA0A04FC94B}">
              <ma14:wrappingTextBoxFlag xmlns:wpc="http://schemas.microsoft.com/office/word/2010/wordprocessingCanvas" xmlns:mc="http://schemas.openxmlformats.org/markup-compatibility/2006" xmlns:r="http://schemas.openxmlformats.org/officeDocument/2006/relationships" xmlns:m="http://schemas.openxmlformats.org/officeDocument/2006/math" xmlns:wp14="http://schemas.microsoft.com/office/word/2010/wordprocessingDrawing" xmlns:wp="http://schemas.openxmlformats.org/drawingml/2006/wordprocessingDrawing" xmlns:w14="http://schemas.microsoft.com/office/word/2010/wordml" xmlns:wpg="http://schemas.microsoft.com/office/word/2010/wordprocessingGroup" xmlns:wpi="http://schemas.microsoft.com/office/word/2010/wordprocessingInk" xmlns:wne="http://schemas.microsoft.com/office/word/2006/wordml" xmlns:wps="http://schemas.microsoft.com/office/word/2010/wordprocessingShape" xmlns:ma14="http://schemas.microsoft.com/office/mac/drawingml/2011/main" xmlns:w="http://schemas.openxmlformats.org/wordprocessingml/2006/main" xmlns:w10="urn:schemas-microsoft-com:office:word" xmlns:v="urn:schemas-microsoft-com:vml" xmlns:o="urn:schemas-microsoft-com:office:office" xmlns:mv="urn:schemas-microsoft-com:mac:vml" xmlns:mo="http://schemas.microsoft.com/office/mac/office/2008/main" xmlns="" xmlns:lc="http://schemas.openxmlformats.org/drawingml/2006/lockedCanvas"/>
            </a:ext>
          </a:extLst>
        </xdr:spPr>
        <xdr:style>
          <a:lnRef idx="0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rot="0" spcFirstLastPara="0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/>
          <a:p>
            <a:pPr marL="0" marR="0">
              <a:spcBef>
                <a:spcPts val="0"/>
              </a:spcBef>
              <a:spcAft>
                <a:spcPts val="600"/>
              </a:spcAft>
            </a:pPr>
            <a:r>
              <a:rPr lang="en-US" sz="2400">
                <a:effectLst/>
                <a:latin typeface="Museo Slab 500"/>
                <a:ea typeface="ＭＳ Ｐゴシック"/>
                <a:cs typeface="Times New Roman"/>
              </a:rPr>
              <a:t>Special Milk </a:t>
            </a:r>
            <a:r>
              <a:rPr lang="en-US" sz="2400">
                <a:solidFill>
                  <a:sysClr val="windowText" lastClr="000000"/>
                </a:solidFill>
                <a:effectLst/>
                <a:latin typeface="Museo Slab 500"/>
                <a:ea typeface="ＭＳ Ｐゴシック"/>
                <a:cs typeface="Times New Roman"/>
              </a:rPr>
              <a:t>Program </a:t>
            </a:r>
            <a:r>
              <a:rPr lang="en-US" sz="2400" u="sng">
                <a:solidFill>
                  <a:sysClr val="windowText" lastClr="000000"/>
                </a:solidFill>
                <a:effectLst/>
                <a:latin typeface="Museo Slab 500"/>
                <a:ea typeface="ＭＳ Ｐゴシック"/>
                <a:cs typeface="Times New Roman"/>
              </a:rPr>
              <a:t>(SMP)</a:t>
            </a:r>
            <a:endParaRPr lang="en-US" sz="1100">
              <a:solidFill>
                <a:sysClr val="windowText" lastClr="000000"/>
              </a:solidFill>
              <a:effectLst/>
              <a:ea typeface="ＭＳ Ｐゴシック"/>
              <a:cs typeface="Times New Roman"/>
            </a:endParaRPr>
          </a:p>
          <a:p>
            <a:pPr marL="0" marR="0">
              <a:spcBef>
                <a:spcPts val="0"/>
              </a:spcBef>
              <a:spcAft>
                <a:spcPts val="0"/>
              </a:spcAft>
            </a:pPr>
            <a:r>
              <a:rPr lang="en-US" sz="1200" b="1">
                <a:effectLst/>
                <a:latin typeface="Trebuchet MS"/>
                <a:ea typeface="ＭＳ Ｐゴシック"/>
                <a:cs typeface="Times New Roman"/>
              </a:rPr>
              <a:t>Milk Price Calculation Worksheet</a:t>
            </a:r>
            <a:endParaRPr lang="en-US" sz="1100">
              <a:effectLst/>
              <a:ea typeface="ＭＳ Ｐゴシック"/>
              <a:cs typeface="Times New Roman"/>
            </a:endParaRPr>
          </a:p>
          <a:p>
            <a:pPr marL="0" marR="0">
              <a:spcBef>
                <a:spcPts val="0"/>
              </a:spcBef>
              <a:spcAft>
                <a:spcPts val="0"/>
              </a:spcAft>
            </a:pPr>
            <a:r>
              <a:rPr lang="en-US" sz="1100">
                <a:effectLst/>
                <a:ea typeface="ＭＳ Ｐゴシック"/>
                <a:cs typeface="Times New Roman"/>
              </a:rPr>
              <a:t> </a:t>
            </a:r>
          </a:p>
        </xdr:txBody>
      </xdr: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9525</xdr:rowOff>
    </xdr:from>
    <xdr:to>
      <xdr:col>11</xdr:col>
      <xdr:colOff>510988</xdr:colOff>
      <xdr:row>11</xdr:row>
      <xdr:rowOff>9525</xdr:rowOff>
    </xdr:to>
    <xdr:grpSp>
      <xdr:nvGrpSpPr>
        <xdr:cNvPr id="2" name="Group 1"/>
        <xdr:cNvGrpSpPr/>
      </xdr:nvGrpSpPr>
      <xdr:grpSpPr>
        <a:xfrm>
          <a:off x="0" y="9525"/>
          <a:ext cx="12007663" cy="2105025"/>
          <a:chOff x="0" y="0"/>
          <a:chExt cx="12007663" cy="2105025"/>
        </a:xfrm>
      </xdr:grpSpPr>
      <xdr:sp macro="" textlink="">
        <xdr:nvSpPr>
          <xdr:cNvPr id="3" name="Rectangle 2"/>
          <xdr:cNvSpPr/>
        </xdr:nvSpPr>
        <xdr:spPr>
          <a:xfrm>
            <a:off x="0" y="0"/>
            <a:ext cx="7210425" cy="1287236"/>
          </a:xfrm>
          <a:prstGeom prst="rect">
            <a:avLst/>
          </a:prstGeom>
          <a:solidFill>
            <a:srgbClr val="488BC9"/>
          </a:solidFill>
          <a:ln w="10000" cap="flat" cmpd="sng" algn="ctr">
            <a:noFill/>
            <a:prstDash val="solid"/>
          </a:ln>
          <a:effectLst/>
          <a:extLst>
            <a:ext uri="{FAA26D3D-D897-4be2-8F04-BA451C77F1D7}">
              <ma14:placeholderFlag xmlns:wpc="http://schemas.microsoft.com/office/word/2010/wordprocessingCanvas" xmlns:mc="http://schemas.openxmlformats.org/markup-compatibility/2006" xmlns:r="http://schemas.openxmlformats.org/officeDocument/2006/relationships" xmlns:m="http://schemas.openxmlformats.org/officeDocument/2006/math" xmlns:wp14="http://schemas.microsoft.com/office/word/2010/wordprocessingDrawing" xmlns:wp="http://schemas.openxmlformats.org/drawingml/2006/wordprocessingDrawing" xmlns:w14="http://schemas.microsoft.com/office/word/2010/wordml" xmlns:wpg="http://schemas.microsoft.com/office/word/2010/wordprocessingGroup" xmlns:wpi="http://schemas.microsoft.com/office/word/2010/wordprocessingInk" xmlns:wne="http://schemas.microsoft.com/office/word/2006/wordml" xmlns:wps="http://schemas.microsoft.com/office/word/2010/wordprocessingShape" xmlns:ma14="http://schemas.microsoft.com/office/mac/drawingml/2011/main" xmlns:w="http://schemas.openxmlformats.org/wordprocessingml/2006/main" xmlns:w10="urn:schemas-microsoft-com:office:word" xmlns:v="urn:schemas-microsoft-com:vml" xmlns:o="urn:schemas-microsoft-com:office:office" xmlns:mv="urn:schemas-microsoft-com:mac:vml" xmlns:mo="http://schemas.microsoft.com/office/mac/office/2008/main" xmlns="" xmlns:lc="http://schemas.openxmlformats.org/drawingml/2006/lockedCanvas"/>
            </a:ext>
            <a:ext uri="{C572A759-6A51-4108-AA02-DFA0A04FC94B}">
              <ma14:wrappingTextBoxFlag xmlns:wpc="http://schemas.microsoft.com/office/word/2010/wordprocessingCanvas" xmlns:mc="http://schemas.openxmlformats.org/markup-compatibility/2006" xmlns:r="http://schemas.openxmlformats.org/officeDocument/2006/relationships" xmlns:m="http://schemas.openxmlformats.org/officeDocument/2006/math" xmlns:wp14="http://schemas.microsoft.com/office/word/2010/wordprocessingDrawing" xmlns:wp="http://schemas.openxmlformats.org/drawingml/2006/wordprocessingDrawing" xmlns:w14="http://schemas.microsoft.com/office/word/2010/wordml" xmlns:wpg="http://schemas.microsoft.com/office/word/2010/wordprocessingGroup" xmlns:wpi="http://schemas.microsoft.com/office/word/2010/wordprocessingInk" xmlns:wne="http://schemas.microsoft.com/office/word/2006/wordml" xmlns:wps="http://schemas.microsoft.com/office/word/2010/wordprocessingShape" xmlns:ma14="http://schemas.microsoft.com/office/mac/drawingml/2011/main" xmlns:w="http://schemas.openxmlformats.org/wordprocessingml/2006/main" xmlns:w10="urn:schemas-microsoft-com:office:word" xmlns:v="urn:schemas-microsoft-com:vml" xmlns:o="urn:schemas-microsoft-com:office:office" xmlns:mv="urn:schemas-microsoft-com:mac:vml" xmlns:mo="http://schemas.microsoft.com/office/mac/office/2008/main" xmlns="" xmlns:lc="http://schemas.openxmlformats.org/drawingml/2006/lockedCanvas"/>
            </a:ext>
          </a:extLst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endParaRPr lang="en-US"/>
          </a:p>
        </xdr:txBody>
      </xdr:sp>
      <xdr:pic>
        <xdr:nvPicPr>
          <xdr:cNvPr id="4" name="Picture 3"/>
          <xdr:cNvPicPr/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676775" y="194309"/>
            <a:ext cx="2408518" cy="483429"/>
          </a:xfrm>
          <a:prstGeom prst="rect">
            <a:avLst/>
          </a:prstGeom>
        </xdr:spPr>
      </xdr:pic>
      <xdr:sp macro="" textlink="">
        <xdr:nvSpPr>
          <xdr:cNvPr id="5" name="Rectangle 4"/>
          <xdr:cNvSpPr/>
        </xdr:nvSpPr>
        <xdr:spPr>
          <a:xfrm>
            <a:off x="0" y="1165859"/>
            <a:ext cx="7210425" cy="939166"/>
          </a:xfrm>
          <a:prstGeom prst="rect">
            <a:avLst/>
          </a:prstGeom>
          <a:gradFill flip="none" rotWithShape="1">
            <a:gsLst>
              <a:gs pos="0">
                <a:srgbClr val="D0D2D3"/>
              </a:gs>
              <a:gs pos="99000">
                <a:sysClr val="window" lastClr="FFFFFF"/>
              </a:gs>
              <a:gs pos="100000">
                <a:sysClr val="window" lastClr="FFFFFF"/>
              </a:gs>
            </a:gsLst>
            <a:lin ang="0" scaled="1"/>
            <a:tileRect/>
          </a:gradFill>
          <a:ln w="10000" cap="flat" cmpd="sng" algn="ctr">
            <a:noFill/>
            <a:prstDash val="solid"/>
          </a:ln>
          <a:effectLst/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endParaRPr lang="en-US"/>
          </a:p>
        </xdr:txBody>
      </xdr:sp>
      <xdr:sp macro="" textlink="">
        <xdr:nvSpPr>
          <xdr:cNvPr id="6" name="Text Box 8"/>
          <xdr:cNvSpPr txBox="1"/>
        </xdr:nvSpPr>
        <xdr:spPr>
          <a:xfrm>
            <a:off x="457200" y="1165859"/>
            <a:ext cx="11550463" cy="901065"/>
          </a:xfrm>
          <a:prstGeom prst="rect">
            <a:avLst/>
          </a:prstGeom>
          <a:noFill/>
          <a:ln>
            <a:noFill/>
          </a:ln>
          <a:effectLst/>
          <a:extLst>
            <a:ext uri="{C572A759-6A51-4108-AA02-DFA0A04FC94B}">
              <ma14:wrappingTextBoxFlag xmlns:wpc="http://schemas.microsoft.com/office/word/2010/wordprocessingCanvas" xmlns:mc="http://schemas.openxmlformats.org/markup-compatibility/2006" xmlns:r="http://schemas.openxmlformats.org/officeDocument/2006/relationships" xmlns:m="http://schemas.openxmlformats.org/officeDocument/2006/math" xmlns:wp14="http://schemas.microsoft.com/office/word/2010/wordprocessingDrawing" xmlns:wp="http://schemas.openxmlformats.org/drawingml/2006/wordprocessingDrawing" xmlns:w14="http://schemas.microsoft.com/office/word/2010/wordml" xmlns:wpg="http://schemas.microsoft.com/office/word/2010/wordprocessingGroup" xmlns:wpi="http://schemas.microsoft.com/office/word/2010/wordprocessingInk" xmlns:wne="http://schemas.microsoft.com/office/word/2006/wordml" xmlns:wps="http://schemas.microsoft.com/office/word/2010/wordprocessingShape" xmlns:ma14="http://schemas.microsoft.com/office/mac/drawingml/2011/main" xmlns:w="http://schemas.openxmlformats.org/wordprocessingml/2006/main" xmlns:w10="urn:schemas-microsoft-com:office:word" xmlns:v="urn:schemas-microsoft-com:vml" xmlns:o="urn:schemas-microsoft-com:office:office" xmlns:mv="urn:schemas-microsoft-com:mac:vml" xmlns:mo="http://schemas.microsoft.com/office/mac/office/2008/main" xmlns="" xmlns:lc="http://schemas.openxmlformats.org/drawingml/2006/lockedCanvas"/>
            </a:ext>
          </a:extLst>
        </xdr:spPr>
        <xdr:style>
          <a:lnRef idx="0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rot="0" spcFirstLastPara="0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/>
          <a:p>
            <a:pPr marL="0" marR="0">
              <a:spcBef>
                <a:spcPts val="0"/>
              </a:spcBef>
              <a:spcAft>
                <a:spcPts val="600"/>
              </a:spcAft>
            </a:pPr>
            <a:r>
              <a:rPr lang="en-US" sz="2400">
                <a:effectLst/>
                <a:latin typeface="Museo Slab 500"/>
                <a:ea typeface="ＭＳ Ｐゴシック"/>
                <a:cs typeface="Times New Roman"/>
              </a:rPr>
              <a:t>Special Milk </a:t>
            </a:r>
            <a:r>
              <a:rPr lang="en-US" sz="2400">
                <a:solidFill>
                  <a:sysClr val="windowText" lastClr="000000"/>
                </a:solidFill>
                <a:effectLst/>
                <a:latin typeface="Museo Slab 500"/>
                <a:ea typeface="ＭＳ Ｐゴシック"/>
                <a:cs typeface="Times New Roman"/>
              </a:rPr>
              <a:t>Program </a:t>
            </a:r>
            <a:r>
              <a:rPr lang="en-US" sz="2400" u="sng">
                <a:solidFill>
                  <a:sysClr val="windowText" lastClr="000000"/>
                </a:solidFill>
                <a:effectLst/>
                <a:latin typeface="Museo Slab 500"/>
                <a:ea typeface="ＭＳ Ｐゴシック"/>
                <a:cs typeface="Times New Roman"/>
              </a:rPr>
              <a:t>(SMP)</a:t>
            </a:r>
            <a:endParaRPr lang="en-US" sz="1100">
              <a:solidFill>
                <a:sysClr val="windowText" lastClr="000000"/>
              </a:solidFill>
              <a:effectLst/>
              <a:ea typeface="ＭＳ Ｐゴシック"/>
              <a:cs typeface="Times New Roman"/>
            </a:endParaRPr>
          </a:p>
          <a:p>
            <a:pPr marL="0" marR="0">
              <a:spcBef>
                <a:spcPts val="0"/>
              </a:spcBef>
              <a:spcAft>
                <a:spcPts val="0"/>
              </a:spcAft>
            </a:pPr>
            <a:r>
              <a:rPr lang="en-US" sz="1200" b="1">
                <a:effectLst/>
                <a:latin typeface="Trebuchet MS"/>
                <a:ea typeface="ＭＳ Ｐゴシック"/>
                <a:cs typeface="Times New Roman"/>
              </a:rPr>
              <a:t>Milk Price Calculation Worksheet</a:t>
            </a:r>
            <a:endParaRPr lang="en-US" sz="1100">
              <a:effectLst/>
              <a:ea typeface="ＭＳ Ｐゴシック"/>
              <a:cs typeface="Times New Roman"/>
            </a:endParaRPr>
          </a:p>
          <a:p>
            <a:pPr marL="0" marR="0">
              <a:spcBef>
                <a:spcPts val="0"/>
              </a:spcBef>
              <a:spcAft>
                <a:spcPts val="0"/>
              </a:spcAft>
            </a:pPr>
            <a:r>
              <a:rPr lang="en-US" sz="1100">
                <a:effectLst/>
                <a:ea typeface="ＭＳ Ｐゴシック"/>
                <a:cs typeface="Times New Roman"/>
              </a:rPr>
              <a:t> </a:t>
            </a:r>
          </a:p>
        </xdr:txBody>
      </xdr:sp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9525</xdr:rowOff>
    </xdr:from>
    <xdr:to>
      <xdr:col>11</xdr:col>
      <xdr:colOff>510988</xdr:colOff>
      <xdr:row>11</xdr:row>
      <xdr:rowOff>9525</xdr:rowOff>
    </xdr:to>
    <xdr:grpSp>
      <xdr:nvGrpSpPr>
        <xdr:cNvPr id="14" name="Group 13"/>
        <xdr:cNvGrpSpPr/>
      </xdr:nvGrpSpPr>
      <xdr:grpSpPr>
        <a:xfrm>
          <a:off x="0" y="9525"/>
          <a:ext cx="12007663" cy="2105025"/>
          <a:chOff x="0" y="0"/>
          <a:chExt cx="12007663" cy="2105025"/>
        </a:xfrm>
      </xdr:grpSpPr>
      <xdr:sp macro="" textlink="">
        <xdr:nvSpPr>
          <xdr:cNvPr id="8" name="Rectangle 7"/>
          <xdr:cNvSpPr/>
        </xdr:nvSpPr>
        <xdr:spPr>
          <a:xfrm>
            <a:off x="0" y="0"/>
            <a:ext cx="7210425" cy="1287236"/>
          </a:xfrm>
          <a:prstGeom prst="rect">
            <a:avLst/>
          </a:prstGeom>
          <a:solidFill>
            <a:srgbClr val="488BC9"/>
          </a:solidFill>
          <a:ln w="10000" cap="flat" cmpd="sng" algn="ctr">
            <a:noFill/>
            <a:prstDash val="solid"/>
          </a:ln>
          <a:effectLst/>
          <a:extLst>
            <a:ext uri="{FAA26D3D-D897-4be2-8F04-BA451C77F1D7}">
              <ma14:placeholderFlag xmlns:wpc="http://schemas.microsoft.com/office/word/2010/wordprocessingCanvas" xmlns:mc="http://schemas.openxmlformats.org/markup-compatibility/2006" xmlns:r="http://schemas.openxmlformats.org/officeDocument/2006/relationships" xmlns:m="http://schemas.openxmlformats.org/officeDocument/2006/math" xmlns:wp14="http://schemas.microsoft.com/office/word/2010/wordprocessingDrawing" xmlns:wp="http://schemas.openxmlformats.org/drawingml/2006/wordprocessingDrawing" xmlns:w14="http://schemas.microsoft.com/office/word/2010/wordml" xmlns:wpg="http://schemas.microsoft.com/office/word/2010/wordprocessingGroup" xmlns:wpi="http://schemas.microsoft.com/office/word/2010/wordprocessingInk" xmlns:wne="http://schemas.microsoft.com/office/word/2006/wordml" xmlns:wps="http://schemas.microsoft.com/office/word/2010/wordprocessingShape" xmlns:ma14="http://schemas.microsoft.com/office/mac/drawingml/2011/main" xmlns:w="http://schemas.openxmlformats.org/wordprocessingml/2006/main" xmlns:w10="urn:schemas-microsoft-com:office:word" xmlns:v="urn:schemas-microsoft-com:vml" xmlns:o="urn:schemas-microsoft-com:office:office" xmlns:mv="urn:schemas-microsoft-com:mac:vml" xmlns:mo="http://schemas.microsoft.com/office/mac/office/2008/main" xmlns="" xmlns:lc="http://schemas.openxmlformats.org/drawingml/2006/lockedCanvas"/>
            </a:ext>
            <a:ext uri="{C572A759-6A51-4108-AA02-DFA0A04FC94B}">
              <ma14:wrappingTextBoxFlag xmlns:wpc="http://schemas.microsoft.com/office/word/2010/wordprocessingCanvas" xmlns:mc="http://schemas.openxmlformats.org/markup-compatibility/2006" xmlns:r="http://schemas.openxmlformats.org/officeDocument/2006/relationships" xmlns:m="http://schemas.openxmlformats.org/officeDocument/2006/math" xmlns:wp14="http://schemas.microsoft.com/office/word/2010/wordprocessingDrawing" xmlns:wp="http://schemas.openxmlformats.org/drawingml/2006/wordprocessingDrawing" xmlns:w14="http://schemas.microsoft.com/office/word/2010/wordml" xmlns:wpg="http://schemas.microsoft.com/office/word/2010/wordprocessingGroup" xmlns:wpi="http://schemas.microsoft.com/office/word/2010/wordprocessingInk" xmlns:wne="http://schemas.microsoft.com/office/word/2006/wordml" xmlns:wps="http://schemas.microsoft.com/office/word/2010/wordprocessingShape" xmlns:ma14="http://schemas.microsoft.com/office/mac/drawingml/2011/main" xmlns:w="http://schemas.openxmlformats.org/wordprocessingml/2006/main" xmlns:w10="urn:schemas-microsoft-com:office:word" xmlns:v="urn:schemas-microsoft-com:vml" xmlns:o="urn:schemas-microsoft-com:office:office" xmlns:mv="urn:schemas-microsoft-com:mac:vml" xmlns:mo="http://schemas.microsoft.com/office/mac/office/2008/main" xmlns="" xmlns:lc="http://schemas.openxmlformats.org/drawingml/2006/lockedCanvas"/>
            </a:ext>
          </a:extLst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endParaRPr lang="en-US"/>
          </a:p>
        </xdr:txBody>
      </xdr:sp>
      <xdr:pic>
        <xdr:nvPicPr>
          <xdr:cNvPr id="9" name="Picture 8"/>
          <xdr:cNvPicPr/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676775" y="194309"/>
            <a:ext cx="2408518" cy="483429"/>
          </a:xfrm>
          <a:prstGeom prst="rect">
            <a:avLst/>
          </a:prstGeom>
        </xdr:spPr>
      </xdr:pic>
      <xdr:sp macro="" textlink="">
        <xdr:nvSpPr>
          <xdr:cNvPr id="10" name="Rectangle 9"/>
          <xdr:cNvSpPr/>
        </xdr:nvSpPr>
        <xdr:spPr>
          <a:xfrm>
            <a:off x="0" y="1165859"/>
            <a:ext cx="7210425" cy="939166"/>
          </a:xfrm>
          <a:prstGeom prst="rect">
            <a:avLst/>
          </a:prstGeom>
          <a:gradFill flip="none" rotWithShape="1">
            <a:gsLst>
              <a:gs pos="0">
                <a:srgbClr val="D0D2D3"/>
              </a:gs>
              <a:gs pos="99000">
                <a:sysClr val="window" lastClr="FFFFFF"/>
              </a:gs>
              <a:gs pos="100000">
                <a:sysClr val="window" lastClr="FFFFFF"/>
              </a:gs>
            </a:gsLst>
            <a:lin ang="0" scaled="1"/>
            <a:tileRect/>
          </a:gradFill>
          <a:ln w="10000" cap="flat" cmpd="sng" algn="ctr">
            <a:noFill/>
            <a:prstDash val="solid"/>
          </a:ln>
          <a:effectLst/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endParaRPr lang="en-US"/>
          </a:p>
        </xdr:txBody>
      </xdr:sp>
      <xdr:sp macro="" textlink="">
        <xdr:nvSpPr>
          <xdr:cNvPr id="11" name="Text Box 8"/>
          <xdr:cNvSpPr txBox="1"/>
        </xdr:nvSpPr>
        <xdr:spPr>
          <a:xfrm>
            <a:off x="457200" y="1165859"/>
            <a:ext cx="11550463" cy="901065"/>
          </a:xfrm>
          <a:prstGeom prst="rect">
            <a:avLst/>
          </a:prstGeom>
          <a:noFill/>
          <a:ln>
            <a:noFill/>
          </a:ln>
          <a:effectLst/>
          <a:extLst>
            <a:ext uri="{C572A759-6A51-4108-AA02-DFA0A04FC94B}">
              <ma14:wrappingTextBoxFlag xmlns:wpc="http://schemas.microsoft.com/office/word/2010/wordprocessingCanvas" xmlns:mc="http://schemas.openxmlformats.org/markup-compatibility/2006" xmlns:r="http://schemas.openxmlformats.org/officeDocument/2006/relationships" xmlns:m="http://schemas.openxmlformats.org/officeDocument/2006/math" xmlns:wp14="http://schemas.microsoft.com/office/word/2010/wordprocessingDrawing" xmlns:wp="http://schemas.openxmlformats.org/drawingml/2006/wordprocessingDrawing" xmlns:w14="http://schemas.microsoft.com/office/word/2010/wordml" xmlns:wpg="http://schemas.microsoft.com/office/word/2010/wordprocessingGroup" xmlns:wpi="http://schemas.microsoft.com/office/word/2010/wordprocessingInk" xmlns:wne="http://schemas.microsoft.com/office/word/2006/wordml" xmlns:wps="http://schemas.microsoft.com/office/word/2010/wordprocessingShape" xmlns:ma14="http://schemas.microsoft.com/office/mac/drawingml/2011/main" xmlns:w="http://schemas.openxmlformats.org/wordprocessingml/2006/main" xmlns:w10="urn:schemas-microsoft-com:office:word" xmlns:v="urn:schemas-microsoft-com:vml" xmlns:o="urn:schemas-microsoft-com:office:office" xmlns:mv="urn:schemas-microsoft-com:mac:vml" xmlns:mo="http://schemas.microsoft.com/office/mac/office/2008/main" xmlns="" xmlns:lc="http://schemas.openxmlformats.org/drawingml/2006/lockedCanvas"/>
            </a:ext>
          </a:extLst>
        </xdr:spPr>
        <xdr:style>
          <a:lnRef idx="0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rot="0" spcFirstLastPara="0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/>
          <a:p>
            <a:pPr marL="0" marR="0">
              <a:spcBef>
                <a:spcPts val="0"/>
              </a:spcBef>
              <a:spcAft>
                <a:spcPts val="600"/>
              </a:spcAft>
            </a:pPr>
            <a:r>
              <a:rPr lang="en-US" sz="2400">
                <a:effectLst/>
                <a:latin typeface="Museo Slab 500"/>
                <a:ea typeface="ＭＳ Ｐゴシック"/>
                <a:cs typeface="Times New Roman"/>
              </a:rPr>
              <a:t>Special Milk </a:t>
            </a:r>
            <a:r>
              <a:rPr lang="en-US" sz="2400">
                <a:solidFill>
                  <a:sysClr val="windowText" lastClr="000000"/>
                </a:solidFill>
                <a:effectLst/>
                <a:latin typeface="Museo Slab 500"/>
                <a:ea typeface="ＭＳ Ｐゴシック"/>
                <a:cs typeface="Times New Roman"/>
              </a:rPr>
              <a:t>Program </a:t>
            </a:r>
            <a:r>
              <a:rPr lang="en-US" sz="2400" u="sng">
                <a:solidFill>
                  <a:sysClr val="windowText" lastClr="000000"/>
                </a:solidFill>
                <a:effectLst/>
                <a:latin typeface="Museo Slab 500"/>
                <a:ea typeface="ＭＳ Ｐゴシック"/>
                <a:cs typeface="Times New Roman"/>
              </a:rPr>
              <a:t>(SMP)</a:t>
            </a:r>
            <a:endParaRPr lang="en-US" sz="1100">
              <a:solidFill>
                <a:sysClr val="windowText" lastClr="000000"/>
              </a:solidFill>
              <a:effectLst/>
              <a:ea typeface="ＭＳ Ｐゴシック"/>
              <a:cs typeface="Times New Roman"/>
            </a:endParaRPr>
          </a:p>
          <a:p>
            <a:pPr marL="0" marR="0">
              <a:spcBef>
                <a:spcPts val="0"/>
              </a:spcBef>
              <a:spcAft>
                <a:spcPts val="0"/>
              </a:spcAft>
            </a:pPr>
            <a:r>
              <a:rPr lang="en-US" sz="1200" b="1">
                <a:effectLst/>
                <a:latin typeface="Trebuchet MS"/>
                <a:ea typeface="ＭＳ Ｐゴシック"/>
                <a:cs typeface="Times New Roman"/>
              </a:rPr>
              <a:t>Milk Price Calculation Worksheet</a:t>
            </a:r>
            <a:endParaRPr lang="en-US" sz="1100">
              <a:effectLst/>
              <a:ea typeface="ＭＳ Ｐゴシック"/>
              <a:cs typeface="Times New Roman"/>
            </a:endParaRPr>
          </a:p>
          <a:p>
            <a:pPr marL="0" marR="0">
              <a:spcBef>
                <a:spcPts val="0"/>
              </a:spcBef>
              <a:spcAft>
                <a:spcPts val="0"/>
              </a:spcAft>
            </a:pPr>
            <a:r>
              <a:rPr lang="en-US" sz="1100">
                <a:effectLst/>
                <a:ea typeface="ＭＳ Ｐゴシック"/>
                <a:cs typeface="Times New Roman"/>
              </a:rPr>
              <a:t> 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7"/>
  <sheetViews>
    <sheetView workbookViewId="0">
      <selection activeCell="A26" sqref="A26:C26"/>
    </sheetView>
  </sheetViews>
  <sheetFormatPr defaultRowHeight="15" x14ac:dyDescent="0.25"/>
  <cols>
    <col min="1" max="1" width="25.28515625" customWidth="1"/>
    <col min="2" max="2" width="32" customWidth="1"/>
    <col min="3" max="3" width="24.28515625" customWidth="1"/>
    <col min="4" max="4" width="28" customWidth="1"/>
  </cols>
  <sheetData>
    <row r="1" spans="1:14" x14ac:dyDescent="0.25">
      <c r="A1" s="1"/>
      <c r="B1" s="2"/>
      <c r="C1" s="2"/>
      <c r="D1" s="3"/>
      <c r="E1" s="5"/>
      <c r="F1" s="5"/>
      <c r="G1" s="5"/>
      <c r="H1" s="5"/>
      <c r="I1" s="5"/>
      <c r="J1" s="5"/>
      <c r="K1" s="5"/>
      <c r="L1" s="5"/>
      <c r="M1" s="5"/>
    </row>
    <row r="2" spans="1:14" x14ac:dyDescent="0.25">
      <c r="A2" s="4"/>
      <c r="B2" s="5"/>
      <c r="C2" s="5"/>
      <c r="D2" s="6"/>
      <c r="E2" s="5"/>
      <c r="F2" s="5"/>
      <c r="G2" s="5"/>
      <c r="H2" s="5"/>
      <c r="I2" s="5"/>
      <c r="J2" s="5"/>
      <c r="K2" s="5"/>
      <c r="L2" s="5"/>
      <c r="M2" s="5"/>
    </row>
    <row r="3" spans="1:14" x14ac:dyDescent="0.25">
      <c r="A3" s="4"/>
      <c r="B3" s="5"/>
      <c r="C3" s="5"/>
      <c r="D3" s="6"/>
      <c r="E3" s="5"/>
      <c r="F3" s="5"/>
      <c r="G3" s="5"/>
      <c r="H3" s="5"/>
      <c r="I3" s="5"/>
      <c r="J3" s="5"/>
      <c r="K3" s="5"/>
      <c r="L3" s="5"/>
      <c r="M3" s="5"/>
    </row>
    <row r="4" spans="1:14" x14ac:dyDescent="0.25">
      <c r="A4" s="4"/>
      <c r="B4" s="5"/>
      <c r="C4" s="5"/>
      <c r="D4" s="6"/>
      <c r="E4" s="5"/>
      <c r="F4" s="5"/>
      <c r="G4" s="5"/>
      <c r="H4" s="5"/>
      <c r="I4" s="5"/>
      <c r="J4" s="5"/>
      <c r="K4" s="5"/>
      <c r="L4" s="5"/>
      <c r="M4" s="5"/>
    </row>
    <row r="5" spans="1:14" x14ac:dyDescent="0.25">
      <c r="A5" s="4"/>
      <c r="B5" s="5"/>
      <c r="C5" s="5"/>
      <c r="D5" s="6"/>
      <c r="E5" s="5"/>
      <c r="F5" s="5"/>
      <c r="G5" s="5"/>
      <c r="H5" s="5"/>
      <c r="I5" s="5"/>
      <c r="J5" s="5"/>
      <c r="K5" s="5"/>
      <c r="L5" s="5"/>
      <c r="M5" s="5"/>
    </row>
    <row r="6" spans="1:14" x14ac:dyDescent="0.25">
      <c r="A6" s="4"/>
      <c r="B6" s="5"/>
      <c r="C6" s="5"/>
      <c r="D6" s="6"/>
      <c r="E6" s="5"/>
      <c r="F6" s="5"/>
      <c r="G6" s="5"/>
      <c r="H6" s="5"/>
      <c r="I6" s="5"/>
      <c r="J6" s="5"/>
      <c r="K6" s="5"/>
      <c r="L6" s="5"/>
      <c r="M6" s="5"/>
    </row>
    <row r="7" spans="1:14" x14ac:dyDescent="0.25">
      <c r="A7" s="4"/>
      <c r="B7" s="5"/>
      <c r="C7" s="5"/>
      <c r="D7" s="6"/>
      <c r="E7" s="5"/>
      <c r="F7" s="5"/>
      <c r="G7" s="5"/>
      <c r="H7" s="5"/>
      <c r="I7" s="5"/>
      <c r="J7" s="5"/>
      <c r="K7" s="5"/>
      <c r="L7" s="5"/>
      <c r="M7" s="5"/>
    </row>
    <row r="8" spans="1:14" x14ac:dyDescent="0.25">
      <c r="A8" s="4"/>
      <c r="B8" s="5"/>
      <c r="C8" s="5"/>
      <c r="D8" s="6"/>
      <c r="E8" s="5"/>
      <c r="F8" s="5"/>
      <c r="G8" s="5"/>
      <c r="H8" s="5"/>
      <c r="I8" s="5"/>
      <c r="J8" s="5"/>
      <c r="K8" s="5"/>
      <c r="L8" s="5"/>
      <c r="M8" s="5"/>
    </row>
    <row r="9" spans="1:14" x14ac:dyDescent="0.25">
      <c r="A9" s="4"/>
      <c r="B9" s="5"/>
      <c r="C9" s="5"/>
      <c r="D9" s="6"/>
      <c r="E9" s="5"/>
      <c r="F9" s="5"/>
      <c r="G9" s="5"/>
      <c r="H9" s="5"/>
      <c r="I9" s="5"/>
      <c r="J9" s="5"/>
      <c r="K9" s="5"/>
      <c r="L9" s="5"/>
      <c r="M9" s="5"/>
    </row>
    <row r="10" spans="1:14" x14ac:dyDescent="0.25">
      <c r="A10" s="4"/>
      <c r="B10" s="5"/>
      <c r="C10" s="5"/>
      <c r="D10" s="6"/>
      <c r="E10" s="5"/>
      <c r="F10" s="5"/>
      <c r="G10" s="5"/>
      <c r="H10" s="5"/>
      <c r="I10" s="5"/>
      <c r="J10" s="5"/>
      <c r="K10" s="5"/>
      <c r="L10" s="5"/>
      <c r="M10" s="5"/>
    </row>
    <row r="11" spans="1:14" ht="15.75" thickBot="1" x14ac:dyDescent="0.3">
      <c r="A11" s="4"/>
      <c r="B11" s="5"/>
      <c r="C11" s="5"/>
      <c r="D11" s="6"/>
      <c r="E11" s="5"/>
      <c r="F11" s="5"/>
      <c r="G11" s="5"/>
      <c r="H11" s="5"/>
      <c r="I11" s="5"/>
      <c r="J11" s="5"/>
      <c r="K11" s="5"/>
      <c r="L11" s="5"/>
      <c r="M11" s="5"/>
    </row>
    <row r="12" spans="1:14" x14ac:dyDescent="0.25">
      <c r="A12" s="47" t="s">
        <v>0</v>
      </c>
      <c r="B12" s="48"/>
      <c r="C12" s="48"/>
      <c r="D12" s="49"/>
      <c r="E12" s="9"/>
      <c r="F12" s="9"/>
      <c r="G12" s="9"/>
      <c r="H12" s="9"/>
      <c r="I12" s="9"/>
      <c r="J12" s="9"/>
      <c r="K12" s="9"/>
      <c r="L12" s="9"/>
      <c r="M12" s="9"/>
    </row>
    <row r="13" spans="1:14" ht="15.75" thickBot="1" x14ac:dyDescent="0.3">
      <c r="A13" s="50"/>
      <c r="B13" s="51"/>
      <c r="C13" s="51"/>
      <c r="D13" s="52"/>
      <c r="E13" s="9"/>
      <c r="F13" s="9"/>
      <c r="G13" s="9"/>
      <c r="H13" s="9"/>
      <c r="I13" s="9"/>
      <c r="J13" s="9"/>
      <c r="K13" s="9"/>
      <c r="L13" s="9"/>
      <c r="M13" s="9"/>
    </row>
    <row r="14" spans="1:14" ht="27.75" customHeight="1" thickBot="1" x14ac:dyDescent="0.4">
      <c r="A14" s="53" t="s">
        <v>4</v>
      </c>
      <c r="B14" s="54"/>
      <c r="C14" s="54"/>
      <c r="D14" s="55"/>
      <c r="E14" s="9"/>
      <c r="F14" s="9"/>
      <c r="G14" s="9"/>
      <c r="H14" s="9"/>
      <c r="I14" s="9"/>
      <c r="J14" s="9"/>
      <c r="K14" s="9"/>
      <c r="L14" s="9"/>
      <c r="M14" s="9"/>
    </row>
    <row r="15" spans="1:14" ht="63" customHeight="1" thickBot="1" x14ac:dyDescent="0.3">
      <c r="A15" s="11" t="s">
        <v>1</v>
      </c>
      <c r="B15" s="12" t="s">
        <v>19</v>
      </c>
      <c r="C15" s="12" t="s">
        <v>2</v>
      </c>
      <c r="D15" s="13" t="s">
        <v>3</v>
      </c>
      <c r="E15" s="10"/>
      <c r="F15" s="10"/>
      <c r="G15" s="10"/>
      <c r="H15" s="10"/>
      <c r="I15" s="10"/>
      <c r="J15" s="10"/>
      <c r="K15" s="10"/>
      <c r="L15" s="10"/>
      <c r="M15" s="10"/>
      <c r="N15" s="5"/>
    </row>
    <row r="16" spans="1:14" ht="30.75" customHeight="1" x14ac:dyDescent="0.25">
      <c r="A16" s="61" t="s">
        <v>11</v>
      </c>
      <c r="B16" s="63" t="s">
        <v>12</v>
      </c>
      <c r="C16" s="65" t="s">
        <v>13</v>
      </c>
      <c r="D16" s="67" t="s">
        <v>14</v>
      </c>
      <c r="E16" s="8"/>
      <c r="F16" s="8"/>
      <c r="G16" s="8"/>
      <c r="H16" s="8"/>
      <c r="I16" s="8"/>
      <c r="J16" s="8"/>
      <c r="K16" s="8"/>
      <c r="L16" s="8"/>
      <c r="M16" s="8"/>
    </row>
    <row r="17" spans="1:13" ht="18" customHeight="1" x14ac:dyDescent="0.25">
      <c r="A17" s="62"/>
      <c r="B17" s="64"/>
      <c r="C17" s="66"/>
      <c r="D17" s="68"/>
      <c r="E17" s="8"/>
      <c r="F17" s="8"/>
      <c r="G17" s="8"/>
      <c r="H17" s="8"/>
      <c r="I17" s="8"/>
      <c r="J17" s="8"/>
      <c r="K17" s="8"/>
      <c r="L17" s="8"/>
      <c r="M17" s="8"/>
    </row>
    <row r="18" spans="1:13" ht="28.5" customHeight="1" x14ac:dyDescent="0.25">
      <c r="A18" s="26"/>
      <c r="B18" s="20"/>
      <c r="C18" s="16"/>
      <c r="D18" s="25">
        <f t="shared" ref="D18:D21" si="0">(B18*C18)</f>
        <v>0</v>
      </c>
      <c r="E18" s="8"/>
      <c r="F18" s="8"/>
      <c r="G18" s="8"/>
      <c r="H18" s="8"/>
      <c r="I18" s="8"/>
      <c r="J18" s="8"/>
      <c r="K18" s="8"/>
      <c r="L18" s="8"/>
      <c r="M18" s="8"/>
    </row>
    <row r="19" spans="1:13" ht="36.75" customHeight="1" x14ac:dyDescent="0.25">
      <c r="A19" s="26"/>
      <c r="B19" s="20"/>
      <c r="C19" s="16"/>
      <c r="D19" s="25">
        <f>(B19*C19)</f>
        <v>0</v>
      </c>
      <c r="E19" s="8"/>
      <c r="F19" s="8"/>
      <c r="G19" s="8"/>
      <c r="H19" s="8"/>
      <c r="I19" s="8"/>
      <c r="J19" s="8"/>
      <c r="K19" s="8"/>
      <c r="L19" s="8"/>
      <c r="M19" s="8"/>
    </row>
    <row r="20" spans="1:13" x14ac:dyDescent="0.25">
      <c r="A20" s="27"/>
      <c r="B20" s="21"/>
      <c r="C20" s="17"/>
      <c r="D20" s="25">
        <f t="shared" si="0"/>
        <v>0</v>
      </c>
      <c r="E20" s="7"/>
      <c r="F20" s="7"/>
      <c r="G20" s="7"/>
      <c r="H20" s="7"/>
      <c r="I20" s="7"/>
      <c r="J20" s="7"/>
      <c r="K20" s="7"/>
      <c r="L20" s="7"/>
      <c r="M20" s="7"/>
    </row>
    <row r="21" spans="1:13" x14ac:dyDescent="0.25">
      <c r="A21" s="28"/>
      <c r="B21" s="22"/>
      <c r="C21" s="18"/>
      <c r="D21" s="25">
        <f t="shared" si="0"/>
        <v>0</v>
      </c>
      <c r="E21" s="7"/>
      <c r="F21" s="7"/>
      <c r="G21" s="7"/>
      <c r="H21" s="7"/>
      <c r="I21" s="7"/>
      <c r="J21" s="7"/>
      <c r="K21" s="7"/>
      <c r="L21" s="7"/>
      <c r="M21" s="7"/>
    </row>
    <row r="22" spans="1:13" ht="39" customHeight="1" x14ac:dyDescent="0.25">
      <c r="A22" s="29" t="s">
        <v>5</v>
      </c>
      <c r="B22" s="35" t="s">
        <v>15</v>
      </c>
      <c r="C22" s="14"/>
      <c r="D22" s="36" t="s">
        <v>16</v>
      </c>
    </row>
    <row r="23" spans="1:13" ht="22.5" customHeight="1" x14ac:dyDescent="0.25">
      <c r="A23" s="56" t="s">
        <v>6</v>
      </c>
      <c r="B23" s="57"/>
      <c r="C23" s="58"/>
      <c r="D23" s="69" t="s">
        <v>17</v>
      </c>
    </row>
    <row r="24" spans="1:13" ht="22.5" customHeight="1" x14ac:dyDescent="0.25">
      <c r="A24" s="56" t="s">
        <v>7</v>
      </c>
      <c r="B24" s="57"/>
      <c r="C24" s="58"/>
      <c r="D24" s="70"/>
    </row>
    <row r="25" spans="1:13" ht="22.5" customHeight="1" x14ac:dyDescent="0.25">
      <c r="A25" s="56" t="s">
        <v>8</v>
      </c>
      <c r="B25" s="57"/>
      <c r="C25" s="58"/>
      <c r="D25" s="70"/>
    </row>
    <row r="26" spans="1:13" ht="25.5" customHeight="1" x14ac:dyDescent="0.25">
      <c r="A26" s="72" t="s">
        <v>9</v>
      </c>
      <c r="B26" s="73"/>
      <c r="C26" s="73"/>
      <c r="D26" s="70"/>
    </row>
    <row r="27" spans="1:13" ht="25.5" customHeight="1" thickBot="1" x14ac:dyDescent="0.3">
      <c r="A27" s="59" t="s">
        <v>10</v>
      </c>
      <c r="B27" s="60"/>
      <c r="C27" s="60"/>
      <c r="D27" s="71"/>
    </row>
  </sheetData>
  <mergeCells count="12">
    <mergeCell ref="A27:C27"/>
    <mergeCell ref="A16:A17"/>
    <mergeCell ref="B16:B17"/>
    <mergeCell ref="C16:C17"/>
    <mergeCell ref="D16:D17"/>
    <mergeCell ref="D23:D27"/>
    <mergeCell ref="A26:C26"/>
    <mergeCell ref="A12:D13"/>
    <mergeCell ref="A14:D14"/>
    <mergeCell ref="A23:C23"/>
    <mergeCell ref="A24:C24"/>
    <mergeCell ref="A25:C25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7"/>
  <sheetViews>
    <sheetView workbookViewId="0">
      <selection activeCell="F19" sqref="F19"/>
    </sheetView>
  </sheetViews>
  <sheetFormatPr defaultRowHeight="15" x14ac:dyDescent="0.25"/>
  <cols>
    <col min="1" max="1" width="25.28515625" customWidth="1"/>
    <col min="2" max="2" width="32" customWidth="1"/>
    <col min="3" max="3" width="24.28515625" customWidth="1"/>
    <col min="4" max="4" width="26.85546875" customWidth="1"/>
  </cols>
  <sheetData>
    <row r="1" spans="1:14" x14ac:dyDescent="0.25">
      <c r="A1" s="1"/>
      <c r="B1" s="2"/>
      <c r="C1" s="2"/>
      <c r="D1" s="3"/>
      <c r="E1" s="5"/>
      <c r="F1" s="5"/>
      <c r="G1" s="5"/>
      <c r="H1" s="5"/>
      <c r="I1" s="5"/>
      <c r="J1" s="5"/>
      <c r="K1" s="5"/>
      <c r="L1" s="5"/>
      <c r="M1" s="5"/>
    </row>
    <row r="2" spans="1:14" x14ac:dyDescent="0.25">
      <c r="A2" s="4"/>
      <c r="B2" s="5"/>
      <c r="C2" s="5"/>
      <c r="D2" s="6"/>
      <c r="E2" s="5"/>
      <c r="F2" s="5"/>
      <c r="G2" s="5"/>
      <c r="H2" s="5"/>
      <c r="I2" s="5"/>
      <c r="J2" s="5"/>
      <c r="K2" s="5"/>
      <c r="L2" s="5"/>
      <c r="M2" s="5"/>
    </row>
    <row r="3" spans="1:14" x14ac:dyDescent="0.25">
      <c r="A3" s="4"/>
      <c r="B3" s="5"/>
      <c r="C3" s="5"/>
      <c r="D3" s="6"/>
      <c r="E3" s="5"/>
      <c r="F3" s="5"/>
      <c r="G3" s="5"/>
      <c r="H3" s="5"/>
      <c r="I3" s="5"/>
      <c r="J3" s="5"/>
      <c r="K3" s="5"/>
      <c r="L3" s="5"/>
      <c r="M3" s="5"/>
    </row>
    <row r="4" spans="1:14" x14ac:dyDescent="0.25">
      <c r="A4" s="4"/>
      <c r="B4" s="5"/>
      <c r="C4" s="5"/>
      <c r="D4" s="6"/>
      <c r="E4" s="5"/>
      <c r="F4" s="5"/>
      <c r="G4" s="5"/>
      <c r="H4" s="5"/>
      <c r="I4" s="5"/>
      <c r="J4" s="5"/>
      <c r="K4" s="5"/>
      <c r="L4" s="5"/>
      <c r="M4" s="5"/>
    </row>
    <row r="5" spans="1:14" x14ac:dyDescent="0.25">
      <c r="A5" s="4"/>
      <c r="B5" s="5"/>
      <c r="C5" s="5"/>
      <c r="D5" s="6"/>
      <c r="E5" s="5"/>
      <c r="F5" s="5"/>
      <c r="G5" s="5"/>
      <c r="H5" s="5"/>
      <c r="I5" s="5"/>
      <c r="J5" s="5"/>
      <c r="K5" s="5"/>
      <c r="L5" s="5"/>
      <c r="M5" s="5"/>
    </row>
    <row r="6" spans="1:14" x14ac:dyDescent="0.25">
      <c r="A6" s="4"/>
      <c r="B6" s="5"/>
      <c r="C6" s="5"/>
      <c r="D6" s="6"/>
      <c r="E6" s="5"/>
      <c r="F6" s="5"/>
      <c r="G6" s="5"/>
      <c r="H6" s="5"/>
      <c r="I6" s="5"/>
      <c r="J6" s="5"/>
      <c r="K6" s="5"/>
      <c r="L6" s="5"/>
      <c r="M6" s="5"/>
    </row>
    <row r="7" spans="1:14" x14ac:dyDescent="0.25">
      <c r="A7" s="4"/>
      <c r="B7" s="5"/>
      <c r="C7" s="5"/>
      <c r="D7" s="6"/>
      <c r="E7" s="5"/>
      <c r="F7" s="5"/>
      <c r="G7" s="5"/>
      <c r="H7" s="5"/>
      <c r="I7" s="5"/>
      <c r="J7" s="5"/>
      <c r="K7" s="5"/>
      <c r="L7" s="5"/>
      <c r="M7" s="5"/>
    </row>
    <row r="8" spans="1:14" x14ac:dyDescent="0.25">
      <c r="A8" s="4"/>
      <c r="B8" s="5"/>
      <c r="C8" s="5"/>
      <c r="D8" s="6"/>
      <c r="E8" s="5"/>
      <c r="F8" s="5"/>
      <c r="G8" s="5"/>
      <c r="H8" s="5"/>
      <c r="I8" s="5"/>
      <c r="J8" s="5"/>
      <c r="K8" s="5"/>
      <c r="L8" s="5"/>
      <c r="M8" s="5"/>
    </row>
    <row r="9" spans="1:14" x14ac:dyDescent="0.25">
      <c r="A9" s="4"/>
      <c r="B9" s="5"/>
      <c r="C9" s="5"/>
      <c r="D9" s="6"/>
      <c r="E9" s="5"/>
      <c r="F9" s="5"/>
      <c r="G9" s="5"/>
      <c r="H9" s="5"/>
      <c r="I9" s="5"/>
      <c r="J9" s="5"/>
      <c r="K9" s="5"/>
      <c r="L9" s="5"/>
      <c r="M9" s="5"/>
    </row>
    <row r="10" spans="1:14" x14ac:dyDescent="0.25">
      <c r="A10" s="4"/>
      <c r="B10" s="5"/>
      <c r="C10" s="5"/>
      <c r="D10" s="6"/>
      <c r="E10" s="5"/>
      <c r="F10" s="5"/>
      <c r="G10" s="5"/>
      <c r="H10" s="5"/>
      <c r="I10" s="5"/>
      <c r="J10" s="5"/>
      <c r="K10" s="5"/>
      <c r="L10" s="5"/>
      <c r="M10" s="5"/>
    </row>
    <row r="11" spans="1:14" ht="15.75" thickBot="1" x14ac:dyDescent="0.3">
      <c r="A11" s="4"/>
      <c r="B11" s="5"/>
      <c r="C11" s="5"/>
      <c r="D11" s="6"/>
      <c r="E11" s="5"/>
      <c r="F11" s="5"/>
      <c r="G11" s="5"/>
      <c r="H11" s="5"/>
      <c r="I11" s="5"/>
      <c r="J11" s="5"/>
      <c r="K11" s="5"/>
      <c r="L11" s="5"/>
      <c r="M11" s="5"/>
    </row>
    <row r="12" spans="1:14" x14ac:dyDescent="0.25">
      <c r="A12" s="47" t="s">
        <v>0</v>
      </c>
      <c r="B12" s="48"/>
      <c r="C12" s="48"/>
      <c r="D12" s="49"/>
      <c r="E12" s="9"/>
      <c r="F12" s="9"/>
      <c r="G12" s="9"/>
      <c r="H12" s="9"/>
      <c r="I12" s="9"/>
      <c r="J12" s="9"/>
      <c r="K12" s="9"/>
      <c r="L12" s="9"/>
      <c r="M12" s="9"/>
    </row>
    <row r="13" spans="1:14" ht="15.75" thickBot="1" x14ac:dyDescent="0.3">
      <c r="A13" s="50"/>
      <c r="B13" s="51"/>
      <c r="C13" s="51"/>
      <c r="D13" s="52"/>
      <c r="E13" s="9"/>
      <c r="F13" s="9"/>
      <c r="G13" s="9"/>
      <c r="H13" s="9"/>
      <c r="I13" s="9"/>
      <c r="J13" s="9"/>
      <c r="K13" s="9"/>
      <c r="L13" s="9"/>
      <c r="M13" s="9"/>
    </row>
    <row r="14" spans="1:14" ht="27.75" customHeight="1" thickBot="1" x14ac:dyDescent="0.4">
      <c r="A14" s="53" t="s">
        <v>4</v>
      </c>
      <c r="B14" s="54"/>
      <c r="C14" s="54"/>
      <c r="D14" s="55"/>
      <c r="E14" s="9"/>
      <c r="F14" s="9"/>
      <c r="G14" s="9"/>
      <c r="H14" s="9"/>
      <c r="I14" s="9"/>
      <c r="J14" s="9"/>
      <c r="K14" s="9"/>
      <c r="L14" s="9"/>
      <c r="M14" s="9"/>
    </row>
    <row r="15" spans="1:14" ht="63" customHeight="1" thickBot="1" x14ac:dyDescent="0.3">
      <c r="A15" s="11" t="s">
        <v>1</v>
      </c>
      <c r="B15" s="12" t="s">
        <v>18</v>
      </c>
      <c r="C15" s="12" t="s">
        <v>2</v>
      </c>
      <c r="D15" s="13" t="s">
        <v>3</v>
      </c>
      <c r="E15" s="10"/>
      <c r="F15" s="10"/>
      <c r="G15" s="10"/>
      <c r="H15" s="10"/>
      <c r="I15" s="10"/>
      <c r="J15" s="10"/>
      <c r="K15" s="10"/>
      <c r="L15" s="10"/>
      <c r="M15" s="10"/>
      <c r="N15" s="5"/>
    </row>
    <row r="16" spans="1:14" ht="30.75" customHeight="1" x14ac:dyDescent="0.25">
      <c r="A16" s="37" t="s">
        <v>20</v>
      </c>
      <c r="B16" s="38">
        <v>200</v>
      </c>
      <c r="C16" s="41">
        <v>0.28000000000000003</v>
      </c>
      <c r="D16" s="43">
        <f>(B16*C16)</f>
        <v>56.000000000000007</v>
      </c>
      <c r="E16" s="8"/>
      <c r="F16" s="8"/>
      <c r="G16" s="8"/>
      <c r="H16" s="8"/>
      <c r="I16" s="8"/>
      <c r="J16" s="8"/>
      <c r="K16" s="8"/>
      <c r="L16" s="8"/>
      <c r="M16" s="8"/>
    </row>
    <row r="17" spans="1:13" ht="18" customHeight="1" x14ac:dyDescent="0.25">
      <c r="A17" s="39" t="s">
        <v>21</v>
      </c>
      <c r="B17" s="40">
        <v>200</v>
      </c>
      <c r="C17" s="42">
        <v>0.25</v>
      </c>
      <c r="D17" s="43">
        <f t="shared" ref="D17:D21" si="0">(B17*C17)</f>
        <v>50</v>
      </c>
      <c r="E17" s="8"/>
      <c r="F17" s="8"/>
      <c r="G17" s="8"/>
      <c r="H17" s="8"/>
      <c r="I17" s="8"/>
      <c r="J17" s="8"/>
      <c r="K17" s="8"/>
      <c r="L17" s="8"/>
      <c r="M17" s="8"/>
    </row>
    <row r="18" spans="1:13" ht="28.5" customHeight="1" x14ac:dyDescent="0.25">
      <c r="A18" s="39" t="s">
        <v>22</v>
      </c>
      <c r="B18" s="40">
        <v>100</v>
      </c>
      <c r="C18" s="42">
        <v>0.25</v>
      </c>
      <c r="D18" s="43">
        <f t="shared" si="0"/>
        <v>25</v>
      </c>
      <c r="E18" s="8"/>
      <c r="F18" s="8"/>
      <c r="G18" s="8"/>
      <c r="H18" s="8"/>
      <c r="I18" s="8"/>
      <c r="J18" s="8"/>
      <c r="K18" s="8"/>
      <c r="L18" s="8"/>
      <c r="M18" s="8"/>
    </row>
    <row r="19" spans="1:13" ht="36.75" customHeight="1" x14ac:dyDescent="0.25">
      <c r="A19" s="26"/>
      <c r="B19" s="20"/>
      <c r="C19" s="16"/>
      <c r="D19" s="25">
        <f t="shared" si="0"/>
        <v>0</v>
      </c>
      <c r="E19" s="8"/>
      <c r="F19" s="8"/>
      <c r="G19" s="8"/>
      <c r="H19" s="8"/>
      <c r="I19" s="8"/>
      <c r="J19" s="8"/>
      <c r="K19" s="8"/>
      <c r="L19" s="8"/>
      <c r="M19" s="8"/>
    </row>
    <row r="20" spans="1:13" x14ac:dyDescent="0.25">
      <c r="A20" s="27"/>
      <c r="B20" s="21"/>
      <c r="C20" s="17"/>
      <c r="D20" s="25">
        <f t="shared" si="0"/>
        <v>0</v>
      </c>
      <c r="E20" s="7"/>
      <c r="F20" s="7"/>
      <c r="G20" s="7"/>
      <c r="H20" s="7"/>
      <c r="I20" s="7"/>
      <c r="J20" s="7"/>
      <c r="K20" s="7"/>
      <c r="L20" s="7"/>
      <c r="M20" s="7"/>
    </row>
    <row r="21" spans="1:13" x14ac:dyDescent="0.25">
      <c r="A21" s="28"/>
      <c r="B21" s="22"/>
      <c r="C21" s="18"/>
      <c r="D21" s="25">
        <f t="shared" si="0"/>
        <v>0</v>
      </c>
      <c r="E21" s="7"/>
      <c r="F21" s="7"/>
      <c r="G21" s="7"/>
      <c r="H21" s="7"/>
      <c r="I21" s="7"/>
      <c r="J21" s="7"/>
      <c r="K21" s="7"/>
      <c r="L21" s="7"/>
      <c r="M21" s="7"/>
    </row>
    <row r="22" spans="1:13" ht="23.25" customHeight="1" x14ac:dyDescent="0.25">
      <c r="A22" s="29" t="s">
        <v>5</v>
      </c>
      <c r="B22" s="23">
        <f>SUM(B16:B21)</f>
        <v>500</v>
      </c>
      <c r="C22" s="14"/>
      <c r="D22" s="30">
        <f>SUM(D16:D21)</f>
        <v>131</v>
      </c>
    </row>
    <row r="23" spans="1:13" ht="22.5" customHeight="1" x14ac:dyDescent="0.25">
      <c r="A23" s="56" t="s">
        <v>6</v>
      </c>
      <c r="B23" s="57"/>
      <c r="C23" s="58"/>
      <c r="D23" s="44">
        <f>(D22/B22)</f>
        <v>0.26200000000000001</v>
      </c>
    </row>
    <row r="24" spans="1:13" ht="22.5" customHeight="1" x14ac:dyDescent="0.25">
      <c r="A24" s="56" t="s">
        <v>7</v>
      </c>
      <c r="B24" s="57"/>
      <c r="C24" s="58"/>
      <c r="D24" s="45">
        <f>(D23+0.05)</f>
        <v>0.312</v>
      </c>
    </row>
    <row r="25" spans="1:13" ht="22.5" customHeight="1" x14ac:dyDescent="0.25">
      <c r="A25" s="56" t="s">
        <v>8</v>
      </c>
      <c r="B25" s="57"/>
      <c r="C25" s="58"/>
      <c r="D25" s="45">
        <f>(D24+0.23)</f>
        <v>0.54200000000000004</v>
      </c>
    </row>
    <row r="26" spans="1:13" ht="25.5" customHeight="1" x14ac:dyDescent="0.25">
      <c r="A26" s="72" t="s">
        <v>9</v>
      </c>
      <c r="B26" s="73"/>
      <c r="C26" s="73"/>
      <c r="D26" s="46">
        <f>((D23+D24)-D25)</f>
        <v>3.2000000000000028E-2</v>
      </c>
    </row>
    <row r="27" spans="1:13" ht="25.5" customHeight="1" thickBot="1" x14ac:dyDescent="0.3">
      <c r="A27" s="59" t="s">
        <v>10</v>
      </c>
      <c r="B27" s="60"/>
      <c r="C27" s="60"/>
      <c r="D27" s="32">
        <f>ROUNDUP(D26/0.05,0)*0.05</f>
        <v>0.05</v>
      </c>
    </row>
  </sheetData>
  <mergeCells count="7">
    <mergeCell ref="A27:C27"/>
    <mergeCell ref="A12:D13"/>
    <mergeCell ref="A14:D14"/>
    <mergeCell ref="A23:C23"/>
    <mergeCell ref="A24:C24"/>
    <mergeCell ref="A25:C25"/>
    <mergeCell ref="A26:C26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7"/>
  <sheetViews>
    <sheetView topLeftCell="A5" workbookViewId="0">
      <selection activeCell="F26" sqref="F26"/>
    </sheetView>
  </sheetViews>
  <sheetFormatPr defaultRowHeight="15" x14ac:dyDescent="0.25"/>
  <cols>
    <col min="1" max="1" width="25.28515625" customWidth="1"/>
    <col min="2" max="2" width="32" customWidth="1"/>
    <col min="3" max="3" width="24.28515625" customWidth="1"/>
    <col min="4" max="4" width="26.85546875" customWidth="1"/>
  </cols>
  <sheetData>
    <row r="1" spans="1:14" x14ac:dyDescent="0.25">
      <c r="A1" s="1"/>
      <c r="B1" s="2"/>
      <c r="C1" s="2"/>
      <c r="D1" s="3"/>
      <c r="E1" s="5"/>
      <c r="F1" s="5"/>
      <c r="G1" s="5"/>
      <c r="H1" s="5"/>
      <c r="I1" s="5"/>
      <c r="J1" s="5"/>
      <c r="K1" s="5"/>
      <c r="L1" s="5"/>
      <c r="M1" s="5"/>
    </row>
    <row r="2" spans="1:14" x14ac:dyDescent="0.25">
      <c r="A2" s="4"/>
      <c r="B2" s="5"/>
      <c r="C2" s="5"/>
      <c r="D2" s="6"/>
      <c r="E2" s="5"/>
      <c r="F2" s="5"/>
      <c r="G2" s="5"/>
      <c r="H2" s="5"/>
      <c r="I2" s="5"/>
      <c r="J2" s="5"/>
      <c r="K2" s="5"/>
      <c r="L2" s="5"/>
      <c r="M2" s="5"/>
    </row>
    <row r="3" spans="1:14" x14ac:dyDescent="0.25">
      <c r="A3" s="4"/>
      <c r="B3" s="5"/>
      <c r="C3" s="5"/>
      <c r="D3" s="6"/>
      <c r="E3" s="5"/>
      <c r="F3" s="5"/>
      <c r="G3" s="5"/>
      <c r="H3" s="5"/>
      <c r="I3" s="5"/>
      <c r="J3" s="5"/>
      <c r="K3" s="5"/>
      <c r="L3" s="5"/>
      <c r="M3" s="5"/>
    </row>
    <row r="4" spans="1:14" x14ac:dyDescent="0.25">
      <c r="A4" s="4"/>
      <c r="B4" s="5"/>
      <c r="C4" s="5"/>
      <c r="D4" s="6"/>
      <c r="E4" s="5"/>
      <c r="F4" s="5"/>
      <c r="G4" s="5"/>
      <c r="H4" s="5"/>
      <c r="I4" s="5"/>
      <c r="J4" s="5"/>
      <c r="K4" s="5"/>
      <c r="L4" s="5"/>
      <c r="M4" s="5"/>
    </row>
    <row r="5" spans="1:14" x14ac:dyDescent="0.25">
      <c r="A5" s="4"/>
      <c r="B5" s="5"/>
      <c r="C5" s="5"/>
      <c r="D5" s="6"/>
      <c r="E5" s="5"/>
      <c r="F5" s="5"/>
      <c r="G5" s="5"/>
      <c r="H5" s="5"/>
      <c r="I5" s="5"/>
      <c r="J5" s="5"/>
      <c r="K5" s="5"/>
      <c r="L5" s="5"/>
      <c r="M5" s="5"/>
    </row>
    <row r="6" spans="1:14" x14ac:dyDescent="0.25">
      <c r="A6" s="4"/>
      <c r="B6" s="5"/>
      <c r="C6" s="5"/>
      <c r="D6" s="6"/>
      <c r="E6" s="5"/>
      <c r="F6" s="5"/>
      <c r="G6" s="5"/>
      <c r="H6" s="5"/>
      <c r="I6" s="5"/>
      <c r="J6" s="5"/>
      <c r="K6" s="5"/>
      <c r="L6" s="5"/>
      <c r="M6" s="5"/>
    </row>
    <row r="7" spans="1:14" x14ac:dyDescent="0.25">
      <c r="A7" s="4"/>
      <c r="B7" s="5"/>
      <c r="C7" s="5"/>
      <c r="D7" s="6"/>
      <c r="E7" s="5"/>
      <c r="F7" s="5"/>
      <c r="G7" s="5"/>
      <c r="H7" s="5"/>
      <c r="I7" s="5"/>
      <c r="J7" s="5"/>
      <c r="K7" s="5"/>
      <c r="L7" s="5"/>
      <c r="M7" s="5"/>
    </row>
    <row r="8" spans="1:14" x14ac:dyDescent="0.25">
      <c r="A8" s="4"/>
      <c r="B8" s="5"/>
      <c r="C8" s="5"/>
      <c r="D8" s="6"/>
      <c r="E8" s="5"/>
      <c r="F8" s="5"/>
      <c r="G8" s="5"/>
      <c r="H8" s="5"/>
      <c r="I8" s="5"/>
      <c r="J8" s="5"/>
      <c r="K8" s="5"/>
      <c r="L8" s="5"/>
      <c r="M8" s="5"/>
    </row>
    <row r="9" spans="1:14" x14ac:dyDescent="0.25">
      <c r="A9" s="4"/>
      <c r="B9" s="5"/>
      <c r="C9" s="5"/>
      <c r="D9" s="6"/>
      <c r="E9" s="5"/>
      <c r="F9" s="5"/>
      <c r="G9" s="5"/>
      <c r="H9" s="5"/>
      <c r="I9" s="5"/>
      <c r="J9" s="5"/>
      <c r="K9" s="5"/>
      <c r="L9" s="5"/>
      <c r="M9" s="5"/>
    </row>
    <row r="10" spans="1:14" x14ac:dyDescent="0.25">
      <c r="A10" s="4"/>
      <c r="B10" s="5"/>
      <c r="C10" s="5"/>
      <c r="D10" s="6"/>
      <c r="E10" s="5"/>
      <c r="F10" s="5"/>
      <c r="G10" s="5"/>
      <c r="H10" s="5"/>
      <c r="I10" s="5"/>
      <c r="J10" s="5"/>
      <c r="K10" s="5"/>
      <c r="L10" s="5"/>
      <c r="M10" s="5"/>
    </row>
    <row r="11" spans="1:14" ht="15.75" thickBot="1" x14ac:dyDescent="0.3">
      <c r="A11" s="4"/>
      <c r="B11" s="5"/>
      <c r="C11" s="5"/>
      <c r="D11" s="6"/>
      <c r="E11" s="5"/>
      <c r="F11" s="5"/>
      <c r="G11" s="5"/>
      <c r="H11" s="5"/>
      <c r="I11" s="5"/>
      <c r="J11" s="5"/>
      <c r="K11" s="5"/>
      <c r="L11" s="5"/>
      <c r="M11" s="5"/>
    </row>
    <row r="12" spans="1:14" x14ac:dyDescent="0.25">
      <c r="A12" s="47" t="s">
        <v>0</v>
      </c>
      <c r="B12" s="48"/>
      <c r="C12" s="48"/>
      <c r="D12" s="49"/>
      <c r="E12" s="9"/>
      <c r="F12" s="9"/>
      <c r="G12" s="9"/>
      <c r="H12" s="9"/>
      <c r="I12" s="9"/>
      <c r="J12" s="9"/>
      <c r="K12" s="9"/>
      <c r="L12" s="9"/>
      <c r="M12" s="9"/>
    </row>
    <row r="13" spans="1:14" ht="15.75" thickBot="1" x14ac:dyDescent="0.3">
      <c r="A13" s="50"/>
      <c r="B13" s="51"/>
      <c r="C13" s="51"/>
      <c r="D13" s="52"/>
      <c r="E13" s="9"/>
      <c r="F13" s="9"/>
      <c r="G13" s="9"/>
      <c r="H13" s="9"/>
      <c r="I13" s="9"/>
      <c r="J13" s="9"/>
      <c r="K13" s="9"/>
      <c r="L13" s="9"/>
      <c r="M13" s="9"/>
    </row>
    <row r="14" spans="1:14" ht="27.75" customHeight="1" thickBot="1" x14ac:dyDescent="0.4">
      <c r="A14" s="53" t="s">
        <v>4</v>
      </c>
      <c r="B14" s="54"/>
      <c r="C14" s="54"/>
      <c r="D14" s="55"/>
      <c r="E14" s="9"/>
      <c r="F14" s="9"/>
      <c r="G14" s="9"/>
      <c r="H14" s="9"/>
      <c r="I14" s="9"/>
      <c r="J14" s="9"/>
      <c r="K14" s="9"/>
      <c r="L14" s="9"/>
      <c r="M14" s="9"/>
    </row>
    <row r="15" spans="1:14" ht="63" customHeight="1" thickBot="1" x14ac:dyDescent="0.3">
      <c r="A15" s="11" t="s">
        <v>1</v>
      </c>
      <c r="B15" s="12" t="s">
        <v>18</v>
      </c>
      <c r="C15" s="12" t="s">
        <v>2</v>
      </c>
      <c r="D15" s="13" t="s">
        <v>3</v>
      </c>
      <c r="E15" s="10"/>
      <c r="F15" s="10"/>
      <c r="G15" s="10"/>
      <c r="H15" s="10"/>
      <c r="I15" s="10"/>
      <c r="J15" s="10"/>
      <c r="K15" s="10"/>
      <c r="L15" s="10"/>
      <c r="M15" s="10"/>
      <c r="N15" s="5"/>
    </row>
    <row r="16" spans="1:14" ht="30.75" customHeight="1" x14ac:dyDescent="0.25">
      <c r="A16" s="24"/>
      <c r="B16" s="19">
        <v>0</v>
      </c>
      <c r="C16" s="15">
        <v>0</v>
      </c>
      <c r="D16" s="25">
        <f>(B16*C16)</f>
        <v>0</v>
      </c>
      <c r="E16" s="8"/>
      <c r="F16" s="8"/>
      <c r="G16" s="8"/>
      <c r="H16" s="8"/>
      <c r="I16" s="8"/>
      <c r="J16" s="8"/>
      <c r="K16" s="8"/>
      <c r="L16" s="8"/>
      <c r="M16" s="8"/>
    </row>
    <row r="17" spans="1:13" ht="18" customHeight="1" x14ac:dyDescent="0.25">
      <c r="A17" s="26"/>
      <c r="B17" s="20">
        <v>0</v>
      </c>
      <c r="C17" s="16">
        <v>0</v>
      </c>
      <c r="D17" s="25">
        <f t="shared" ref="D17:D21" si="0">(B17*C17)</f>
        <v>0</v>
      </c>
      <c r="E17" s="8"/>
      <c r="F17" s="8"/>
      <c r="G17" s="8"/>
      <c r="H17" s="8"/>
      <c r="I17" s="8"/>
      <c r="J17" s="8"/>
      <c r="K17" s="8"/>
      <c r="L17" s="8"/>
      <c r="M17" s="8"/>
    </row>
    <row r="18" spans="1:13" ht="28.5" customHeight="1" x14ac:dyDescent="0.25">
      <c r="A18" s="26"/>
      <c r="B18" s="20"/>
      <c r="C18" s="16"/>
      <c r="D18" s="25">
        <f>(B18*C18)</f>
        <v>0</v>
      </c>
      <c r="E18" s="8"/>
      <c r="F18" s="8"/>
      <c r="G18" s="8"/>
      <c r="H18" s="8"/>
      <c r="I18" s="8"/>
      <c r="J18" s="8"/>
      <c r="K18" s="8"/>
      <c r="L18" s="8"/>
      <c r="M18" s="8"/>
    </row>
    <row r="19" spans="1:13" ht="36.75" customHeight="1" x14ac:dyDescent="0.25">
      <c r="A19" s="26"/>
      <c r="B19" s="20"/>
      <c r="C19" s="16"/>
      <c r="D19" s="25">
        <f t="shared" si="0"/>
        <v>0</v>
      </c>
      <c r="E19" s="8"/>
      <c r="F19" s="8"/>
      <c r="G19" s="8"/>
      <c r="H19" s="8"/>
      <c r="I19" s="8"/>
      <c r="J19" s="8"/>
      <c r="K19" s="8"/>
      <c r="L19" s="8"/>
      <c r="M19" s="8"/>
    </row>
    <row r="20" spans="1:13" x14ac:dyDescent="0.25">
      <c r="A20" s="27"/>
      <c r="B20" s="21"/>
      <c r="C20" s="17"/>
      <c r="D20" s="25">
        <f t="shared" si="0"/>
        <v>0</v>
      </c>
      <c r="E20" s="7"/>
      <c r="F20" s="7"/>
      <c r="G20" s="7"/>
      <c r="H20" s="7"/>
      <c r="I20" s="7"/>
      <c r="J20" s="7"/>
      <c r="K20" s="7"/>
      <c r="L20" s="7"/>
      <c r="M20" s="7"/>
    </row>
    <row r="21" spans="1:13" x14ac:dyDescent="0.25">
      <c r="A21" s="28"/>
      <c r="B21" s="22"/>
      <c r="C21" s="18"/>
      <c r="D21" s="25">
        <f t="shared" si="0"/>
        <v>0</v>
      </c>
      <c r="E21" s="7"/>
      <c r="F21" s="7"/>
      <c r="G21" s="7"/>
      <c r="H21" s="7"/>
      <c r="I21" s="7"/>
      <c r="J21" s="7"/>
      <c r="K21" s="7"/>
      <c r="L21" s="7"/>
      <c r="M21" s="7"/>
    </row>
    <row r="22" spans="1:13" ht="23.25" customHeight="1" x14ac:dyDescent="0.25">
      <c r="A22" s="29" t="s">
        <v>5</v>
      </c>
      <c r="B22" s="23">
        <f>SUM(B16:B21)</f>
        <v>0</v>
      </c>
      <c r="C22" s="14"/>
      <c r="D22" s="30">
        <f>SUM(D16:D21)</f>
        <v>0</v>
      </c>
    </row>
    <row r="23" spans="1:13" ht="22.5" customHeight="1" x14ac:dyDescent="0.25">
      <c r="A23" s="56" t="s">
        <v>6</v>
      </c>
      <c r="B23" s="57"/>
      <c r="C23" s="58"/>
      <c r="D23" s="33" t="e">
        <f>(D22/B22)</f>
        <v>#DIV/0!</v>
      </c>
    </row>
    <row r="24" spans="1:13" ht="22.5" customHeight="1" x14ac:dyDescent="0.25">
      <c r="A24" s="56" t="s">
        <v>7</v>
      </c>
      <c r="B24" s="57"/>
      <c r="C24" s="58"/>
      <c r="D24" s="34" t="e">
        <f>(D23+0.05)</f>
        <v>#DIV/0!</v>
      </c>
    </row>
    <row r="25" spans="1:13" ht="22.5" customHeight="1" x14ac:dyDescent="0.25">
      <c r="A25" s="56" t="s">
        <v>8</v>
      </c>
      <c r="B25" s="57"/>
      <c r="C25" s="58"/>
      <c r="D25" s="34" t="e">
        <f>(D24+0.23)</f>
        <v>#DIV/0!</v>
      </c>
    </row>
    <row r="26" spans="1:13" ht="25.5" customHeight="1" x14ac:dyDescent="0.25">
      <c r="A26" s="72" t="s">
        <v>9</v>
      </c>
      <c r="B26" s="73"/>
      <c r="C26" s="73"/>
      <c r="D26" s="31" t="e">
        <f>((D23+D24)-D25)</f>
        <v>#DIV/0!</v>
      </c>
    </row>
    <row r="27" spans="1:13" ht="25.5" customHeight="1" thickBot="1" x14ac:dyDescent="0.3">
      <c r="A27" s="59" t="s">
        <v>10</v>
      </c>
      <c r="B27" s="60"/>
      <c r="C27" s="60"/>
      <c r="D27" s="32" t="e">
        <f>ROUNDUP(D26/0.05,0)*0.05</f>
        <v>#DIV/0!</v>
      </c>
    </row>
  </sheetData>
  <mergeCells count="7">
    <mergeCell ref="A27:C27"/>
    <mergeCell ref="A12:D13"/>
    <mergeCell ref="A14:D14"/>
    <mergeCell ref="A23:C23"/>
    <mergeCell ref="A24:C24"/>
    <mergeCell ref="A25:C25"/>
    <mergeCell ref="A26:C26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7"/>
  <sheetViews>
    <sheetView tabSelected="1" topLeftCell="A5" workbookViewId="0">
      <selection activeCell="F26" sqref="F26"/>
    </sheetView>
  </sheetViews>
  <sheetFormatPr defaultRowHeight="15" x14ac:dyDescent="0.25"/>
  <cols>
    <col min="1" max="1" width="25.28515625" customWidth="1"/>
    <col min="2" max="2" width="32" customWidth="1"/>
    <col min="3" max="3" width="24.28515625" customWidth="1"/>
    <col min="4" max="4" width="26.85546875" customWidth="1"/>
  </cols>
  <sheetData>
    <row r="1" spans="1:14" x14ac:dyDescent="0.25">
      <c r="A1" s="1"/>
      <c r="B1" s="2"/>
      <c r="C1" s="2"/>
      <c r="D1" s="3"/>
      <c r="E1" s="5"/>
      <c r="F1" s="5"/>
      <c r="G1" s="5"/>
      <c r="H1" s="5"/>
      <c r="I1" s="5"/>
      <c r="J1" s="5"/>
      <c r="K1" s="5"/>
      <c r="L1" s="5"/>
      <c r="M1" s="5"/>
    </row>
    <row r="2" spans="1:14" x14ac:dyDescent="0.25">
      <c r="A2" s="4"/>
      <c r="B2" s="5"/>
      <c r="C2" s="5"/>
      <c r="D2" s="6"/>
      <c r="E2" s="5"/>
      <c r="F2" s="5"/>
      <c r="G2" s="5"/>
      <c r="H2" s="5"/>
      <c r="I2" s="5"/>
      <c r="J2" s="5"/>
      <c r="K2" s="5"/>
      <c r="L2" s="5"/>
      <c r="M2" s="5"/>
    </row>
    <row r="3" spans="1:14" x14ac:dyDescent="0.25">
      <c r="A3" s="4"/>
      <c r="B3" s="5"/>
      <c r="C3" s="5"/>
      <c r="D3" s="6"/>
      <c r="E3" s="5"/>
      <c r="F3" s="5"/>
      <c r="G3" s="5"/>
      <c r="H3" s="5"/>
      <c r="I3" s="5"/>
      <c r="J3" s="5"/>
      <c r="K3" s="5"/>
      <c r="L3" s="5"/>
      <c r="M3" s="5"/>
    </row>
    <row r="4" spans="1:14" x14ac:dyDescent="0.25">
      <c r="A4" s="4"/>
      <c r="B4" s="5"/>
      <c r="C4" s="5"/>
      <c r="D4" s="6"/>
      <c r="E4" s="5"/>
      <c r="F4" s="5"/>
      <c r="G4" s="5"/>
      <c r="H4" s="5"/>
      <c r="I4" s="5"/>
      <c r="J4" s="5"/>
      <c r="K4" s="5"/>
      <c r="L4" s="5"/>
      <c r="M4" s="5"/>
    </row>
    <row r="5" spans="1:14" x14ac:dyDescent="0.25">
      <c r="A5" s="4"/>
      <c r="B5" s="5"/>
      <c r="C5" s="5"/>
      <c r="D5" s="6"/>
      <c r="E5" s="5"/>
      <c r="F5" s="5"/>
      <c r="G5" s="5"/>
      <c r="H5" s="5"/>
      <c r="I5" s="5"/>
      <c r="J5" s="5"/>
      <c r="K5" s="5"/>
      <c r="L5" s="5"/>
      <c r="M5" s="5"/>
    </row>
    <row r="6" spans="1:14" x14ac:dyDescent="0.25">
      <c r="A6" s="4"/>
      <c r="B6" s="5"/>
      <c r="C6" s="5"/>
      <c r="D6" s="6"/>
      <c r="E6" s="5"/>
      <c r="F6" s="5"/>
      <c r="G6" s="5"/>
      <c r="H6" s="5"/>
      <c r="I6" s="5"/>
      <c r="J6" s="5"/>
      <c r="K6" s="5"/>
      <c r="L6" s="5"/>
      <c r="M6" s="5"/>
    </row>
    <row r="7" spans="1:14" x14ac:dyDescent="0.25">
      <c r="A7" s="4"/>
      <c r="B7" s="5"/>
      <c r="C7" s="5"/>
      <c r="D7" s="6"/>
      <c r="E7" s="5"/>
      <c r="F7" s="5"/>
      <c r="G7" s="5"/>
      <c r="H7" s="5"/>
      <c r="I7" s="5"/>
      <c r="J7" s="5"/>
      <c r="K7" s="5"/>
      <c r="L7" s="5"/>
      <c r="M7" s="5"/>
    </row>
    <row r="8" spans="1:14" x14ac:dyDescent="0.25">
      <c r="A8" s="4"/>
      <c r="B8" s="5"/>
      <c r="C8" s="5"/>
      <c r="D8" s="6"/>
      <c r="E8" s="5"/>
      <c r="F8" s="5"/>
      <c r="G8" s="5"/>
      <c r="H8" s="5"/>
      <c r="I8" s="5"/>
      <c r="J8" s="5"/>
      <c r="K8" s="5"/>
      <c r="L8" s="5"/>
      <c r="M8" s="5"/>
    </row>
    <row r="9" spans="1:14" x14ac:dyDescent="0.25">
      <c r="A9" s="4"/>
      <c r="B9" s="5"/>
      <c r="C9" s="5"/>
      <c r="D9" s="6"/>
      <c r="E9" s="5"/>
      <c r="F9" s="5"/>
      <c r="G9" s="5"/>
      <c r="H9" s="5"/>
      <c r="I9" s="5"/>
      <c r="J9" s="5"/>
      <c r="K9" s="5"/>
      <c r="L9" s="5"/>
      <c r="M9" s="5"/>
    </row>
    <row r="10" spans="1:14" x14ac:dyDescent="0.25">
      <c r="A10" s="4"/>
      <c r="B10" s="5"/>
      <c r="C10" s="5"/>
      <c r="D10" s="6"/>
      <c r="E10" s="5"/>
      <c r="F10" s="5"/>
      <c r="G10" s="5"/>
      <c r="H10" s="5"/>
      <c r="I10" s="5"/>
      <c r="J10" s="5"/>
      <c r="K10" s="5"/>
      <c r="L10" s="5"/>
      <c r="M10" s="5"/>
    </row>
    <row r="11" spans="1:14" ht="15.75" thickBot="1" x14ac:dyDescent="0.3">
      <c r="A11" s="4"/>
      <c r="B11" s="5"/>
      <c r="C11" s="5"/>
      <c r="D11" s="6"/>
      <c r="E11" s="5"/>
      <c r="F11" s="5"/>
      <c r="G11" s="5"/>
      <c r="H11" s="5"/>
      <c r="I11" s="5"/>
      <c r="J11" s="5"/>
      <c r="K11" s="5"/>
      <c r="L11" s="5"/>
      <c r="M11" s="5"/>
    </row>
    <row r="12" spans="1:14" x14ac:dyDescent="0.25">
      <c r="A12" s="47" t="s">
        <v>0</v>
      </c>
      <c r="B12" s="48"/>
      <c r="C12" s="48"/>
      <c r="D12" s="49"/>
      <c r="E12" s="9"/>
      <c r="F12" s="9"/>
      <c r="G12" s="9"/>
      <c r="H12" s="9"/>
      <c r="I12" s="9"/>
      <c r="J12" s="9"/>
      <c r="K12" s="9"/>
      <c r="L12" s="9"/>
      <c r="M12" s="9"/>
    </row>
    <row r="13" spans="1:14" ht="15.75" thickBot="1" x14ac:dyDescent="0.3">
      <c r="A13" s="50"/>
      <c r="B13" s="51"/>
      <c r="C13" s="51"/>
      <c r="D13" s="52"/>
      <c r="E13" s="9"/>
      <c r="F13" s="9"/>
      <c r="G13" s="9"/>
      <c r="H13" s="9"/>
      <c r="I13" s="9"/>
      <c r="J13" s="9"/>
      <c r="K13" s="9"/>
      <c r="L13" s="9"/>
      <c r="M13" s="9"/>
    </row>
    <row r="14" spans="1:14" ht="27.75" customHeight="1" thickBot="1" x14ac:dyDescent="0.4">
      <c r="A14" s="53" t="s">
        <v>4</v>
      </c>
      <c r="B14" s="54"/>
      <c r="C14" s="54"/>
      <c r="D14" s="55"/>
      <c r="E14" s="9"/>
      <c r="F14" s="9"/>
      <c r="G14" s="9"/>
      <c r="H14" s="9"/>
      <c r="I14" s="9"/>
      <c r="J14" s="9"/>
      <c r="K14" s="9"/>
      <c r="L14" s="9"/>
      <c r="M14" s="9"/>
    </row>
    <row r="15" spans="1:14" ht="63" customHeight="1" thickBot="1" x14ac:dyDescent="0.3">
      <c r="A15" s="11" t="s">
        <v>1</v>
      </c>
      <c r="B15" s="12" t="s">
        <v>18</v>
      </c>
      <c r="C15" s="12" t="s">
        <v>2</v>
      </c>
      <c r="D15" s="13" t="s">
        <v>3</v>
      </c>
      <c r="E15" s="10"/>
      <c r="F15" s="10"/>
      <c r="G15" s="10"/>
      <c r="H15" s="10"/>
      <c r="I15" s="10"/>
      <c r="J15" s="10"/>
      <c r="K15" s="10"/>
      <c r="L15" s="10"/>
      <c r="M15" s="10"/>
      <c r="N15" s="5"/>
    </row>
    <row r="16" spans="1:14" ht="30.75" customHeight="1" x14ac:dyDescent="0.25">
      <c r="A16" s="24"/>
      <c r="B16" s="19">
        <v>0</v>
      </c>
      <c r="C16" s="15">
        <v>0</v>
      </c>
      <c r="D16" s="25">
        <f>(B16*C16)</f>
        <v>0</v>
      </c>
      <c r="E16" s="8"/>
      <c r="F16" s="8"/>
      <c r="G16" s="8"/>
      <c r="H16" s="8"/>
      <c r="I16" s="8"/>
      <c r="J16" s="8"/>
      <c r="K16" s="8"/>
      <c r="L16" s="8"/>
      <c r="M16" s="8"/>
    </row>
    <row r="17" spans="1:13" ht="18" customHeight="1" x14ac:dyDescent="0.25">
      <c r="A17" s="26"/>
      <c r="B17" s="20">
        <v>0</v>
      </c>
      <c r="C17" s="16">
        <v>0</v>
      </c>
      <c r="D17" s="25">
        <f t="shared" ref="D17:D21" si="0">(B17*C17)</f>
        <v>0</v>
      </c>
      <c r="E17" s="8"/>
      <c r="F17" s="8"/>
      <c r="G17" s="8"/>
      <c r="H17" s="8"/>
      <c r="I17" s="8"/>
      <c r="J17" s="8"/>
      <c r="K17" s="8"/>
      <c r="L17" s="8"/>
      <c r="M17" s="8"/>
    </row>
    <row r="18" spans="1:13" ht="28.5" customHeight="1" x14ac:dyDescent="0.25">
      <c r="A18" s="26"/>
      <c r="B18" s="20"/>
      <c r="C18" s="16"/>
      <c r="D18" s="25">
        <f>(B18*C18)</f>
        <v>0</v>
      </c>
      <c r="E18" s="8"/>
      <c r="F18" s="8"/>
      <c r="G18" s="8"/>
      <c r="H18" s="8"/>
      <c r="I18" s="8"/>
      <c r="J18" s="8"/>
      <c r="K18" s="8"/>
      <c r="L18" s="8"/>
      <c r="M18" s="8"/>
    </row>
    <row r="19" spans="1:13" ht="36.75" customHeight="1" x14ac:dyDescent="0.25">
      <c r="A19" s="26"/>
      <c r="B19" s="20"/>
      <c r="C19" s="16"/>
      <c r="D19" s="25">
        <f t="shared" si="0"/>
        <v>0</v>
      </c>
      <c r="E19" s="8"/>
      <c r="F19" s="8"/>
      <c r="G19" s="8"/>
      <c r="H19" s="8"/>
      <c r="I19" s="8"/>
      <c r="J19" s="8"/>
      <c r="K19" s="8"/>
      <c r="L19" s="8"/>
      <c r="M19" s="8"/>
    </row>
    <row r="20" spans="1:13" x14ac:dyDescent="0.25">
      <c r="A20" s="27"/>
      <c r="B20" s="21"/>
      <c r="C20" s="17"/>
      <c r="D20" s="25">
        <f t="shared" si="0"/>
        <v>0</v>
      </c>
      <c r="E20" s="7"/>
      <c r="F20" s="7"/>
      <c r="G20" s="7"/>
      <c r="H20" s="7"/>
      <c r="I20" s="7"/>
      <c r="J20" s="7"/>
      <c r="K20" s="7"/>
      <c r="L20" s="7"/>
      <c r="M20" s="7"/>
    </row>
    <row r="21" spans="1:13" x14ac:dyDescent="0.25">
      <c r="A21" s="28"/>
      <c r="B21" s="22"/>
      <c r="C21" s="18"/>
      <c r="D21" s="25">
        <f t="shared" si="0"/>
        <v>0</v>
      </c>
      <c r="E21" s="7"/>
      <c r="F21" s="7"/>
      <c r="G21" s="7"/>
      <c r="H21" s="7"/>
      <c r="I21" s="7"/>
      <c r="J21" s="7"/>
      <c r="K21" s="7"/>
      <c r="L21" s="7"/>
      <c r="M21" s="7"/>
    </row>
    <row r="22" spans="1:13" ht="23.25" customHeight="1" x14ac:dyDescent="0.25">
      <c r="A22" s="29" t="s">
        <v>5</v>
      </c>
      <c r="B22" s="23">
        <f>SUM(B16:B21)</f>
        <v>0</v>
      </c>
      <c r="C22" s="14"/>
      <c r="D22" s="30">
        <f>SUM(D16:D21)</f>
        <v>0</v>
      </c>
    </row>
    <row r="23" spans="1:13" ht="22.5" customHeight="1" x14ac:dyDescent="0.25">
      <c r="A23" s="56" t="s">
        <v>6</v>
      </c>
      <c r="B23" s="57"/>
      <c r="C23" s="58"/>
      <c r="D23" s="33" t="e">
        <f>(D22/B22)</f>
        <v>#DIV/0!</v>
      </c>
    </row>
    <row r="24" spans="1:13" ht="22.5" customHeight="1" x14ac:dyDescent="0.25">
      <c r="A24" s="56" t="s">
        <v>7</v>
      </c>
      <c r="B24" s="57"/>
      <c r="C24" s="58"/>
      <c r="D24" s="34" t="e">
        <f>(D23+0.05)</f>
        <v>#DIV/0!</v>
      </c>
    </row>
    <row r="25" spans="1:13" ht="22.5" customHeight="1" x14ac:dyDescent="0.25">
      <c r="A25" s="56" t="s">
        <v>8</v>
      </c>
      <c r="B25" s="57"/>
      <c r="C25" s="58"/>
      <c r="D25" s="34" t="e">
        <f>(D24+0.23)</f>
        <v>#DIV/0!</v>
      </c>
    </row>
    <row r="26" spans="1:13" ht="25.5" customHeight="1" x14ac:dyDescent="0.25">
      <c r="A26" s="72" t="s">
        <v>9</v>
      </c>
      <c r="B26" s="73"/>
      <c r="C26" s="73"/>
      <c r="D26" s="31" t="e">
        <f>((D23+D24)-D25)</f>
        <v>#DIV/0!</v>
      </c>
    </row>
    <row r="27" spans="1:13" ht="25.5" customHeight="1" thickBot="1" x14ac:dyDescent="0.3">
      <c r="A27" s="59" t="s">
        <v>10</v>
      </c>
      <c r="B27" s="60"/>
      <c r="C27" s="60"/>
      <c r="D27" s="32" t="e">
        <f>ROUNDUP(D26/0.05,0)*0.05</f>
        <v>#DIV/0!</v>
      </c>
    </row>
  </sheetData>
  <mergeCells count="7">
    <mergeCell ref="A27:C27"/>
    <mergeCell ref="A12:D13"/>
    <mergeCell ref="A14:D14"/>
    <mergeCell ref="A23:C23"/>
    <mergeCell ref="A25:C25"/>
    <mergeCell ref="A24:C24"/>
    <mergeCell ref="A26:C26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Instructions</vt:lpstr>
      <vt:lpstr>Example</vt:lpstr>
      <vt:lpstr>Milk Price Calculation Shee (2</vt:lpstr>
      <vt:lpstr>Milk Price Calculation Sheet</vt:lpstr>
      <vt:lpstr>Sheet3</vt:lpstr>
    </vt:vector>
  </TitlesOfParts>
  <Company>CDE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LaViolette, Sara</dc:creator>
  <cp:lastModifiedBy>LaViolette, Sara</cp:lastModifiedBy>
  <dcterms:created xsi:type="dcterms:W3CDTF">2014-08-13T12:40:54Z</dcterms:created>
  <dcterms:modified xsi:type="dcterms:W3CDTF">2014-08-18T13:15:55Z</dcterms:modified>
</cp:coreProperties>
</file>