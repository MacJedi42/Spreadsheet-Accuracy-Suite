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/>
  <bookViews>
    <workbookView xWindow="-15" yWindow="-15" windowWidth="21600" windowHeight="13215" activeTab="1"/>
  </bookViews>
  <sheets>
    <sheet name="indici di bilancio" sheetId="4" r:id="rId1"/>
    <sheet name="cruscotto" sheetId="5" r:id="rId2"/>
  </sheets>
  <calcPr calcId="1445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3" i="5" l="1"/>
  <c r="C3" i="5"/>
  <c r="H3" i="5"/>
  <c r="D3" i="5"/>
  <c r="K10" i="4"/>
  <c r="J10" i="4"/>
  <c r="I9" i="4"/>
  <c r="H9" i="4"/>
  <c r="G9" i="4"/>
  <c r="F9" i="4"/>
  <c r="I8" i="4"/>
  <c r="K4" i="4"/>
  <c r="J4" i="4"/>
  <c r="I3" i="4"/>
  <c r="H3" i="4"/>
  <c r="G3" i="4"/>
  <c r="F3" i="4"/>
  <c r="I2" i="4"/>
</calcChain>
</file>

<file path=xl/sharedStrings.xml><?xml version="1.0" encoding="utf-8"?>
<sst xmlns="http://schemas.openxmlformats.org/spreadsheetml/2006/main" count="20" uniqueCount="11">
  <si>
    <t>Valore</t>
  </si>
  <si>
    <t>Min</t>
  </si>
  <si>
    <t>Max</t>
  </si>
  <si>
    <t>Estensione</t>
  </si>
  <si>
    <t>Basso</t>
  </si>
  <si>
    <t>Medio</t>
  </si>
  <si>
    <t>Alto</t>
  </si>
  <si>
    <t>X</t>
  </si>
  <si>
    <t>Y</t>
  </si>
  <si>
    <t>Indice 2</t>
    <phoneticPr fontId="5" type="noConversion"/>
  </si>
  <si>
    <t>Indice 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</si>
</sst>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Verdana"/>
      <family val="2"/>
    </font>
    <font>
      <b/>
      <sz val="11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9" fontId="4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3" borderId="0" xfId="0" applyFill="1"/>
    <xf numFmtId="0" fontId="6" fillId="0" borderId="0" xfId="0" applyFont="1" applyFill="1" applyBorder="1"/>
    <xf numFmtId="10" fontId="4" fillId="3" borderId="1" xfId="1" applyNumberFormat="1" applyFont="1" applyFill="1" applyBorder="1" applyAlignment="1">
      <alignment horizontal="center"/>
    </xf>
    <xf numFmtId="10" fontId="0" fillId="3" borderId="0" xfId="0" applyNumberFormat="1" applyFill="1"/>
    <xf numFmtId="0" fontId="2" fillId="3" borderId="0" xfId="0" applyFont="1" applyFill="1" applyAlignment="1">
      <alignment horizontal="right"/>
    </xf>
  </cellXfs>
  <cellStyles count="2">
    <cellStyle name="Normale" xfId="0" builtinId="0"/>
    <cellStyle name="Percentuale" xfId="1" builtinId="5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717548217839999"/>
          <c:y val="9.6846979979066605E-2"/>
          <c:w val="0.50706284629740195"/>
          <c:h val="0.80855967005778895"/>
        </c:manualLayout>
      </c:layout>
      <c:doughnutChart>
        <c:varyColors val="1"/>
        <c:ser>
          <c:idx val="0"/>
          <c:order val="0"/>
          <c:spPr>
            <a:solidFill>
              <a:srgbClr val="63AAFE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DD080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FCF305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9CC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noFill/>
              <a:ln w="25400">
                <a:noFill/>
              </a:ln>
            </c:spPr>
          </c:dPt>
          <c:dLbls>
            <c:dLbl>
              <c:idx val="0"/>
              <c:layout>
                <c:manualLayout>
                  <c:x val="-0.145750542260876"/>
                  <c:y val="-2.392344497607649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"/>
                  <c:y val="-7.974481658692189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119250443667989"/>
                  <c:y val="-3.1897926634768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it-IT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cat>
            <c:strRef>
              <c:f>'indici di bilancio'!$F$2:$I$2</c:f>
              <c:strCache>
                <c:ptCount val="4"/>
                <c:pt idx="0">
                  <c:v>Basso</c:v>
                </c:pt>
                <c:pt idx="1">
                  <c:v>Medio</c:v>
                </c:pt>
                <c:pt idx="2">
                  <c:v>Alto</c:v>
                </c:pt>
                <c:pt idx="3">
                  <c:v>Indice 1: 15%</c:v>
                </c:pt>
              </c:strCache>
            </c:strRef>
          </c:cat>
          <c:val>
            <c:numRef>
              <c:f>'indici di bilancio'!$F$3:$I$3</c:f>
              <c:numCache>
                <c:formatCode>General</c:formatCode>
                <c:ptCount val="4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90"/>
      </c:doughnutChart>
      <c:scatterChart>
        <c:scatterStyle val="lineMarker"/>
        <c:varyColors val="0"/>
        <c:ser>
          <c:idx val="1"/>
          <c:order val="1"/>
          <c:spPr>
            <a:ln w="38100">
              <a:solidFill>
                <a:srgbClr val="DD2D32"/>
              </a:solidFill>
              <a:prstDash val="solid"/>
            </a:ln>
          </c:spPr>
          <c:marker>
            <c:symbol val="none"/>
          </c:marker>
          <c:xVal>
            <c:numRef>
              <c:f>'indici di bilancio'!$J$3:$J$4</c:f>
              <c:numCache>
                <c:formatCode>General</c:formatCode>
                <c:ptCount val="2"/>
                <c:pt idx="0">
                  <c:v>0.5</c:v>
                </c:pt>
                <c:pt idx="1">
                  <c:v>0.30865828381745508</c:v>
                </c:pt>
              </c:numCache>
            </c:numRef>
          </c:xVal>
          <c:yVal>
            <c:numRef>
              <c:f>'indici di bilancio'!$K$3:$K$4</c:f>
              <c:numCache>
                <c:formatCode>General</c:formatCode>
                <c:ptCount val="2"/>
                <c:pt idx="0">
                  <c:v>0.5</c:v>
                </c:pt>
                <c:pt idx="1">
                  <c:v>0.96193976625564337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69984"/>
        <c:axId val="122184064"/>
      </c:scatterChart>
      <c:valAx>
        <c:axId val="122169984"/>
        <c:scaling>
          <c:orientation val="minMax"/>
          <c:max val="1"/>
          <c:min val="0"/>
        </c:scaling>
        <c:delete val="1"/>
        <c:axPos val="t"/>
        <c:numFmt formatCode="General" sourceLinked="1"/>
        <c:majorTickMark val="out"/>
        <c:minorTickMark val="none"/>
        <c:tickLblPos val="none"/>
        <c:crossAx val="122184064"/>
        <c:crosses val="max"/>
        <c:crossBetween val="midCat"/>
      </c:valAx>
      <c:valAx>
        <c:axId val="122184064"/>
        <c:scaling>
          <c:orientation val="minMax"/>
          <c:max val="1"/>
          <c:min val="0"/>
        </c:scaling>
        <c:delete val="1"/>
        <c:axPos val="r"/>
        <c:numFmt formatCode="General" sourceLinked="1"/>
        <c:majorTickMark val="out"/>
        <c:minorTickMark val="none"/>
        <c:tickLblPos val="none"/>
        <c:crossAx val="122169984"/>
        <c:crosses val="max"/>
        <c:crossBetween val="midCat"/>
        <c:majorUnit val="0.1"/>
        <c:minorUnit val="0.0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717548217839999"/>
          <c:y val="9.6846979979066605E-2"/>
          <c:w val="0.50706284629740195"/>
          <c:h val="0.80855967005778895"/>
        </c:manualLayout>
      </c:layout>
      <c:doughnutChart>
        <c:varyColors val="1"/>
        <c:ser>
          <c:idx val="0"/>
          <c:order val="0"/>
          <c:spPr>
            <a:solidFill>
              <a:srgbClr val="63AAFE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DD080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FCF305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9CC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noFill/>
              <a:ln w="25400">
                <a:noFill/>
              </a:ln>
            </c:spPr>
          </c:dPt>
          <c:dLbls>
            <c:dLbl>
              <c:idx val="0"/>
              <c:layout>
                <c:manualLayout>
                  <c:x val="-0.145750542260876"/>
                  <c:y val="-2.392344497607649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"/>
                  <c:y val="-7.974481658692189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119250443667989"/>
                  <c:y val="-3.1897926634768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it-IT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cat>
            <c:strRef>
              <c:f>'indici di bilancio'!$F$8:$I$8</c:f>
              <c:strCache>
                <c:ptCount val="4"/>
                <c:pt idx="0">
                  <c:v>Basso</c:v>
                </c:pt>
                <c:pt idx="1">
                  <c:v>Medio</c:v>
                </c:pt>
                <c:pt idx="2">
                  <c:v>Alto</c:v>
                </c:pt>
                <c:pt idx="3">
                  <c:v>Indice 2: 75%</c:v>
                </c:pt>
              </c:strCache>
            </c:strRef>
          </c:cat>
          <c:val>
            <c:numRef>
              <c:f>'indici di bilancio'!$F$9:$I$9</c:f>
              <c:numCache>
                <c:formatCode>General</c:formatCode>
                <c:ptCount val="4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90"/>
      </c:doughnutChart>
      <c:scatterChart>
        <c:scatterStyle val="lineMarker"/>
        <c:varyColors val="0"/>
        <c:ser>
          <c:idx val="1"/>
          <c:order val="1"/>
          <c:spPr>
            <a:ln w="38100">
              <a:solidFill>
                <a:srgbClr val="DD2D32"/>
              </a:solidFill>
              <a:prstDash val="solid"/>
            </a:ln>
          </c:spPr>
          <c:marker>
            <c:symbol val="none"/>
          </c:marker>
          <c:xVal>
            <c:numRef>
              <c:f>'indici di bilancio'!$J$9:$J$10</c:f>
              <c:numCache>
                <c:formatCode>General</c:formatCode>
                <c:ptCount val="2"/>
                <c:pt idx="0">
                  <c:v>0.5</c:v>
                </c:pt>
                <c:pt idx="1">
                  <c:v>0.85355339059327373</c:v>
                </c:pt>
              </c:numCache>
            </c:numRef>
          </c:xVal>
          <c:yVal>
            <c:numRef>
              <c:f>'indici di bilancio'!$K$9:$K$10</c:f>
              <c:numCache>
                <c:formatCode>General</c:formatCode>
                <c:ptCount val="2"/>
                <c:pt idx="0">
                  <c:v>0.5</c:v>
                </c:pt>
                <c:pt idx="1">
                  <c:v>0.85355339059327373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42528"/>
        <c:axId val="123556608"/>
      </c:scatterChart>
      <c:valAx>
        <c:axId val="123542528"/>
        <c:scaling>
          <c:orientation val="minMax"/>
          <c:max val="1"/>
          <c:min val="0"/>
        </c:scaling>
        <c:delete val="1"/>
        <c:axPos val="t"/>
        <c:numFmt formatCode="General" sourceLinked="1"/>
        <c:majorTickMark val="out"/>
        <c:minorTickMark val="none"/>
        <c:tickLblPos val="none"/>
        <c:crossAx val="123556608"/>
        <c:crosses val="max"/>
        <c:crossBetween val="midCat"/>
      </c:valAx>
      <c:valAx>
        <c:axId val="123556608"/>
        <c:scaling>
          <c:orientation val="minMax"/>
          <c:max val="1"/>
          <c:min val="0"/>
        </c:scaling>
        <c:delete val="1"/>
        <c:axPos val="r"/>
        <c:numFmt formatCode="General" sourceLinked="1"/>
        <c:majorTickMark val="out"/>
        <c:minorTickMark val="none"/>
        <c:tickLblPos val="none"/>
        <c:crossAx val="123542528"/>
        <c:crosses val="max"/>
        <c:crossBetween val="midCat"/>
        <c:majorUnit val="0.1"/>
        <c:minorUnit val="0.0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3</xdr:row>
      <xdr:rowOff>106679</xdr:rowOff>
    </xdr:from>
    <xdr:to>
      <xdr:col>5</xdr:col>
      <xdr:colOff>312340</xdr:colOff>
      <xdr:row>17</xdr:row>
      <xdr:rowOff>157150</xdr:rowOff>
    </xdr:to>
    <xdr:graphicFrame macro="">
      <xdr:nvGraphicFramePr>
        <xdr:cNvPr id="205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167639</xdr:colOff>
      <xdr:row>3</xdr:row>
      <xdr:rowOff>108584</xdr:rowOff>
    </xdr:from>
    <xdr:to>
      <xdr:col>9</xdr:col>
      <xdr:colOff>466724</xdr:colOff>
      <xdr:row>17</xdr:row>
      <xdr:rowOff>145799</xdr:rowOff>
    </xdr:to>
    <xdr:graphicFrame macro="">
      <xdr:nvGraphicFramePr>
        <xdr:cNvPr id="20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enableFormatConditionsCalculation="0"/>
  <dimension ref="A1:L17"/>
  <sheetViews>
    <sheetView showGridLines="0" workbookViewId="0">
      <selection activeCell="E20" sqref="E20"/>
    </sheetView>
  </sheetViews>
  <sheetFormatPr defaultColWidth="8.85546875" defaultRowHeight="15" x14ac:dyDescent="0.25"/>
  <cols>
    <col min="1" max="1" width="2.140625" style="1" customWidth="1"/>
    <col min="2" max="8" width="10" style="1" customWidth="1"/>
    <col min="9" max="9" width="18.7109375" style="1" bestFit="1" customWidth="1"/>
    <col min="10" max="16384" width="8.85546875" style="1"/>
  </cols>
  <sheetData>
    <row r="1" spans="1:12" x14ac:dyDescent="0.25">
      <c r="B1" s="16" t="s">
        <v>10</v>
      </c>
      <c r="C1" s="4"/>
      <c r="D1" s="4"/>
      <c r="E1" s="4"/>
      <c r="F1" s="4"/>
      <c r="G1" s="4"/>
      <c r="H1" s="4"/>
      <c r="I1" s="4"/>
      <c r="J1" s="4"/>
      <c r="K1" s="4"/>
    </row>
    <row r="2" spans="1:12" s="2" customFormat="1" x14ac:dyDescent="0.25">
      <c r="A2" s="5"/>
      <c r="B2" s="7" t="s">
        <v>0</v>
      </c>
      <c r="C2" s="7" t="s">
        <v>1</v>
      </c>
      <c r="D2" s="7" t="s">
        <v>2</v>
      </c>
      <c r="E2" s="7" t="s">
        <v>3</v>
      </c>
      <c r="F2" s="13" t="s">
        <v>4</v>
      </c>
      <c r="G2" s="13" t="s">
        <v>5</v>
      </c>
      <c r="H2" s="13" t="s">
        <v>6</v>
      </c>
      <c r="I2" s="7" t="str">
        <f>B1&amp;": "&amp;TEXT(B3,"0.0%")</f>
        <v>Indice 1: 15%</v>
      </c>
      <c r="J2" s="7" t="s">
        <v>7</v>
      </c>
      <c r="K2" s="7" t="s">
        <v>8</v>
      </c>
    </row>
    <row r="3" spans="1:12" s="3" customFormat="1" x14ac:dyDescent="0.25">
      <c r="A3" s="6"/>
      <c r="B3" s="17">
        <v>0.15</v>
      </c>
      <c r="C3" s="12">
        <v>0</v>
      </c>
      <c r="D3" s="12">
        <v>0.4</v>
      </c>
      <c r="E3" s="14">
        <v>180</v>
      </c>
      <c r="F3" s="8">
        <f>(1-(360-$E$3)/360)/3</f>
        <v>0.16666666666666666</v>
      </c>
      <c r="G3" s="8">
        <f>(1-(360-$E$3)/360)/3</f>
        <v>0.16666666666666666</v>
      </c>
      <c r="H3" s="8">
        <f>(1-(360-$E$3)/360)/3</f>
        <v>0.16666666666666666</v>
      </c>
      <c r="I3" s="8">
        <f>(360-$E$3)/360</f>
        <v>0.5</v>
      </c>
      <c r="J3" s="8">
        <v>0.5</v>
      </c>
      <c r="K3" s="8">
        <v>0.5</v>
      </c>
    </row>
    <row r="4" spans="1:12" x14ac:dyDescent="0.25">
      <c r="B4" s="10"/>
      <c r="C4" s="10"/>
      <c r="D4" s="10"/>
      <c r="E4" s="10"/>
      <c r="F4" s="10"/>
      <c r="G4" s="10"/>
      <c r="H4" s="10"/>
      <c r="I4" s="11"/>
      <c r="J4" s="9">
        <f>1-(COS(RADIANS($E$3)*($B$3-$C$3)/($D$3-$C$3))+1)/2</f>
        <v>0.30865828381745508</v>
      </c>
      <c r="K4" s="9">
        <f>(SIN(RADIANS($E$3)*($B$3-$C$3)/($D$3-$C$3))+1)/2</f>
        <v>0.96193976625564337</v>
      </c>
    </row>
    <row r="5" spans="1:12" x14ac:dyDescent="0.25">
      <c r="K5" s="4"/>
      <c r="L5" s="4"/>
    </row>
    <row r="6" spans="1:12" x14ac:dyDescent="0.25">
      <c r="K6" s="4"/>
      <c r="L6" s="4"/>
    </row>
    <row r="7" spans="1:12" x14ac:dyDescent="0.25">
      <c r="B7" s="16" t="s">
        <v>9</v>
      </c>
      <c r="K7" s="4"/>
      <c r="L7" s="4"/>
    </row>
    <row r="8" spans="1:12" x14ac:dyDescent="0.25">
      <c r="B8" s="7" t="s">
        <v>0</v>
      </c>
      <c r="C8" s="7" t="s">
        <v>1</v>
      </c>
      <c r="D8" s="7" t="s">
        <v>2</v>
      </c>
      <c r="E8" s="7" t="s">
        <v>3</v>
      </c>
      <c r="F8" s="13" t="s">
        <v>4</v>
      </c>
      <c r="G8" s="13" t="s">
        <v>5</v>
      </c>
      <c r="H8" s="13" t="s">
        <v>6</v>
      </c>
      <c r="I8" s="7" t="str">
        <f>B7&amp;": "&amp;TEXT(B9,"0.0%")</f>
        <v>Indice 2: 75%</v>
      </c>
      <c r="J8" s="7" t="s">
        <v>7</v>
      </c>
      <c r="K8" s="7" t="s">
        <v>8</v>
      </c>
    </row>
    <row r="9" spans="1:12" x14ac:dyDescent="0.25">
      <c r="B9" s="17">
        <v>0.75</v>
      </c>
      <c r="C9" s="12">
        <v>0</v>
      </c>
      <c r="D9" s="12">
        <v>1</v>
      </c>
      <c r="E9" s="14">
        <v>180</v>
      </c>
      <c r="F9" s="8">
        <f>(1-(360-$E$3)/360)/3</f>
        <v>0.16666666666666666</v>
      </c>
      <c r="G9" s="8">
        <f>(1-(360-$E$3)/360)/3</f>
        <v>0.16666666666666666</v>
      </c>
      <c r="H9" s="8">
        <f>(1-(360-$E$3)/360)/3</f>
        <v>0.16666666666666666</v>
      </c>
      <c r="I9" s="8">
        <f>(360-$E$3)/360</f>
        <v>0.5</v>
      </c>
      <c r="J9" s="8">
        <v>0.5</v>
      </c>
      <c r="K9" s="8">
        <v>0.5</v>
      </c>
    </row>
    <row r="10" spans="1:12" x14ac:dyDescent="0.25">
      <c r="B10" s="10"/>
      <c r="C10" s="10"/>
      <c r="D10" s="10"/>
      <c r="E10" s="10"/>
      <c r="F10" s="10"/>
      <c r="G10" s="10"/>
      <c r="H10" s="10"/>
      <c r="I10" s="11"/>
      <c r="J10" s="9">
        <f>1-(COS(RADIANS($E$9)*($B$9-$C$9)/($D$9-$C$9))+1)/2</f>
        <v>0.85355339059327373</v>
      </c>
      <c r="K10" s="9">
        <f>(SIN(RADIANS($E$9)*($B$9-$C$9)/($D$9-$C$9))+1)/2</f>
        <v>0.85355339059327373</v>
      </c>
    </row>
    <row r="14" spans="1:12" x14ac:dyDescent="0.25">
      <c r="I14" s="4"/>
      <c r="J14" s="4"/>
    </row>
    <row r="15" spans="1:12" x14ac:dyDescent="0.25">
      <c r="I15" s="4"/>
      <c r="J15" s="4"/>
    </row>
    <row r="16" spans="1:12" x14ac:dyDescent="0.25">
      <c r="I16" s="4"/>
      <c r="J16" s="4"/>
    </row>
    <row r="17" spans="9:10" x14ac:dyDescent="0.25">
      <c r="I17" s="4"/>
      <c r="J17" s="4"/>
    </row>
  </sheetData>
  <phoneticPr fontId="5" type="noConversion"/>
  <pageMargins left="0.7" right="0.7" top="0.75" bottom="0.75" header="0.3" footer="0.3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enableFormatConditionsCalculation="0"/>
  <dimension ref="C3:H3"/>
  <sheetViews>
    <sheetView tabSelected="1" zoomScaleNormal="100" zoomScalePageLayoutView="175" workbookViewId="0">
      <selection activeCell="D22" sqref="D22"/>
    </sheetView>
  </sheetViews>
  <sheetFormatPr defaultColWidth="10.85546875" defaultRowHeight="15" x14ac:dyDescent="0.25"/>
  <cols>
    <col min="1" max="1" width="3" style="15" customWidth="1"/>
    <col min="2" max="16384" width="10.85546875" style="15"/>
  </cols>
  <sheetData>
    <row r="3" spans="3:8" x14ac:dyDescent="0.25">
      <c r="C3" s="19" t="str">
        <f>'indici di bilancio'!B1</f>
        <v>Indice 1</v>
      </c>
      <c r="D3" s="18">
        <f>'indici di bilancio'!B3</f>
        <v>0.15</v>
      </c>
      <c r="G3" s="19" t="str">
        <f>'indici di bilancio'!B7</f>
        <v>Indice 2</v>
      </c>
      <c r="H3" s="18">
        <f>'indici di bilancio'!B9</f>
        <v>0.75</v>
      </c>
    </row>
  </sheetData>
  <phoneticPr fontId="5" type="noConversion"/>
  <pageMargins left="0.75" right="0.75" top="1" bottom="1" header="0.5" footer="0.5"/>
  <pageSetup paperSize="0" orientation="portrait" horizontalDpi="4294967292" verticalDpi="4294967292"/>
  <headerFooter alignWithMargins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indici di bilancio</vt:lpstr>
      <vt:lpstr>cruscotto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</dc:creator>
  <cp:lastModifiedBy>Experta</cp:lastModifiedBy>
  <dcterms:created xsi:type="dcterms:W3CDTF">2010-11-25T09:17:03Z</dcterms:created>
  <dcterms:modified xsi:type="dcterms:W3CDTF">2011-06-04T14:28:04Z</dcterms:modified>
</cp:coreProperties>
</file>