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15" windowWidth="19260" windowHeight="12075" tabRatio="728" activeTab="1"/>
  </bookViews>
  <sheets>
    <sheet name="Design" sheetId="1" r:id="rId1"/>
    <sheet name="Block 1" sheetId="13" r:id="rId2"/>
    <sheet name="Block 2" sheetId="2" r:id="rId3"/>
    <sheet name="Block 3" sheetId="3" r:id="rId4"/>
    <sheet name="Block 4" sheetId="4" r:id="rId5"/>
    <sheet name="Block 5" sheetId="6" r:id="rId6"/>
    <sheet name="Block 6" sheetId="7" r:id="rId7"/>
    <sheet name="Block 7" sheetId="8" r:id="rId8"/>
    <sheet name="Block 8" sheetId="9" r:id="rId9"/>
    <sheet name="Block 9" sheetId="10" r:id="rId10"/>
    <sheet name="Block 10" sheetId="11" r:id="rId11"/>
    <sheet name="Block 6 Readjustment" sheetId="14" r:id="rId12"/>
    <sheet name="Hose Diameters" sheetId="15" r:id="rId13"/>
  </sheets>
  <calcPr calcId="125725"/>
</workbook>
</file>

<file path=xl/calcChain.xml><?xml version="1.0" encoding="utf-8"?>
<calcChain xmlns="http://schemas.openxmlformats.org/spreadsheetml/2006/main">
  <c r="K24" i="8"/>
  <c r="C194" i="1"/>
  <c r="C195"/>
  <c r="C196"/>
  <c r="G291"/>
  <c r="G292"/>
  <c r="G293"/>
  <c r="A294"/>
  <c r="A295" s="1"/>
  <c r="A296" s="1"/>
  <c r="A297" s="1"/>
  <c r="A298" s="1"/>
  <c r="A299" s="1"/>
  <c r="A300" s="1"/>
  <c r="A301" s="1"/>
  <c r="A302" s="1"/>
  <c r="A303" s="1"/>
  <c r="A304" s="1"/>
  <c r="A305" s="1"/>
  <c r="A306" s="1"/>
  <c r="A307" s="1"/>
  <c r="A308" s="1"/>
  <c r="A310" s="1"/>
  <c r="G294"/>
  <c r="G295"/>
  <c r="G296"/>
  <c r="G297"/>
  <c r="G298"/>
  <c r="G299"/>
  <c r="G300"/>
  <c r="G301"/>
  <c r="G302"/>
  <c r="G303"/>
  <c r="G304"/>
  <c r="G305"/>
  <c r="G306"/>
  <c r="G307"/>
  <c r="G308"/>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51"/>
  <c r="G352"/>
  <c r="G353"/>
  <c r="G354"/>
  <c r="G355"/>
  <c r="G356"/>
  <c r="G357"/>
  <c r="G358"/>
  <c r="G359"/>
  <c r="G360"/>
  <c r="G361"/>
  <c r="G362"/>
  <c r="G363"/>
  <c r="G364"/>
  <c r="G365"/>
  <c r="G366"/>
  <c r="G370"/>
  <c r="G371"/>
  <c r="G372"/>
  <c r="G373"/>
  <c r="G374"/>
  <c r="G375"/>
  <c r="G376"/>
  <c r="G377"/>
  <c r="G378"/>
  <c r="G379"/>
  <c r="G380"/>
  <c r="G381"/>
  <c r="G382"/>
  <c r="G383"/>
  <c r="G384"/>
  <c r="G385"/>
  <c r="G386"/>
  <c r="G387"/>
  <c r="G388"/>
  <c r="G389"/>
  <c r="G390"/>
  <c r="G391"/>
  <c r="G392"/>
  <c r="G393"/>
  <c r="G394"/>
  <c r="G395"/>
  <c r="G396"/>
  <c r="G397"/>
  <c r="G398"/>
  <c r="G399"/>
  <c r="G400"/>
  <c r="G401"/>
  <c r="G402"/>
  <c r="G403"/>
  <c r="G404"/>
  <c r="G405"/>
  <c r="G406"/>
  <c r="G407"/>
  <c r="G408"/>
  <c r="D39" i="11"/>
  <c r="H773" i="1"/>
  <c r="H767"/>
  <c r="H772" s="1"/>
  <c r="D722"/>
  <c r="F722" s="1"/>
  <c r="F721"/>
  <c r="D720"/>
  <c r="D425" l="1"/>
  <c r="D426" s="1"/>
  <c r="G425"/>
  <c r="G426"/>
  <c r="G427"/>
  <c r="G428"/>
  <c r="G429"/>
  <c r="G430"/>
  <c r="G431"/>
  <c r="G432"/>
  <c r="G433"/>
  <c r="G434"/>
  <c r="G435"/>
  <c r="G436"/>
  <c r="G437"/>
  <c r="G438"/>
  <c r="G439"/>
  <c r="G440"/>
  <c r="G441"/>
  <c r="G442"/>
  <c r="G443"/>
  <c r="G444"/>
  <c r="G445"/>
  <c r="G446"/>
  <c r="G447"/>
  <c r="G448"/>
  <c r="G449"/>
  <c r="G450"/>
  <c r="G451"/>
  <c r="G452"/>
  <c r="G453"/>
  <c r="G454"/>
  <c r="G455"/>
  <c r="G456"/>
  <c r="G457"/>
  <c r="G458"/>
  <c r="G459"/>
  <c r="G460"/>
  <c r="G461"/>
  <c r="G462"/>
  <c r="G463"/>
  <c r="G464"/>
  <c r="G465"/>
  <c r="G466"/>
  <c r="G467"/>
  <c r="G468"/>
  <c r="G469"/>
  <c r="G470"/>
  <c r="G471"/>
  <c r="G472"/>
  <c r="G473"/>
  <c r="G474"/>
  <c r="G475"/>
  <c r="G476"/>
  <c r="G477"/>
  <c r="G478"/>
  <c r="G479"/>
  <c r="G480"/>
  <c r="G481"/>
  <c r="G482"/>
  <c r="G483"/>
  <c r="G484"/>
  <c r="G485"/>
  <c r="G486"/>
  <c r="G487"/>
  <c r="G488"/>
  <c r="G489"/>
  <c r="G490"/>
  <c r="G491"/>
  <c r="G492"/>
  <c r="G493"/>
  <c r="G494"/>
  <c r="G495"/>
  <c r="G496"/>
  <c r="G497"/>
  <c r="G498"/>
  <c r="G499"/>
  <c r="G500"/>
  <c r="G501"/>
  <c r="G502"/>
  <c r="G503"/>
  <c r="G504"/>
  <c r="G505"/>
  <c r="G506"/>
  <c r="G507"/>
  <c r="G508"/>
  <c r="G509"/>
  <c r="G510"/>
  <c r="G511"/>
  <c r="G512"/>
  <c r="G513"/>
  <c r="G514"/>
  <c r="G515"/>
  <c r="G516"/>
  <c r="G517"/>
  <c r="G518"/>
  <c r="G519"/>
  <c r="G520"/>
  <c r="G521"/>
  <c r="G522"/>
  <c r="G523"/>
  <c r="G524"/>
  <c r="G525"/>
  <c r="G526"/>
  <c r="G527"/>
  <c r="G528"/>
  <c r="G529"/>
  <c r="G530"/>
  <c r="G531"/>
  <c r="G532"/>
  <c r="G533"/>
  <c r="G534"/>
  <c r="G535"/>
  <c r="G536"/>
  <c r="G537"/>
  <c r="G538"/>
  <c r="G539"/>
  <c r="G540"/>
  <c r="G541"/>
  <c r="G542"/>
  <c r="G543"/>
  <c r="G544"/>
  <c r="G545"/>
  <c r="G546"/>
  <c r="G547"/>
  <c r="G548"/>
  <c r="G549"/>
  <c r="G550"/>
  <c r="G551"/>
  <c r="G552"/>
  <c r="G553"/>
  <c r="G554"/>
  <c r="G555"/>
  <c r="G556"/>
  <c r="G557"/>
  <c r="G558"/>
  <c r="G559"/>
  <c r="G560"/>
  <c r="G561"/>
  <c r="G562"/>
  <c r="G563"/>
  <c r="G564"/>
  <c r="G565"/>
  <c r="G566"/>
  <c r="G567"/>
  <c r="G568"/>
  <c r="G569"/>
  <c r="G570"/>
  <c r="G571"/>
  <c r="G572"/>
  <c r="G573"/>
  <c r="G574"/>
  <c r="G575"/>
  <c r="G576"/>
  <c r="G577"/>
  <c r="G578"/>
  <c r="G579"/>
  <c r="G580"/>
  <c r="G581"/>
  <c r="G582"/>
  <c r="G583"/>
  <c r="G584"/>
  <c r="G585"/>
  <c r="G586"/>
  <c r="G587"/>
  <c r="G588"/>
  <c r="G589"/>
  <c r="G590"/>
  <c r="G591"/>
  <c r="G592"/>
  <c r="G593"/>
  <c r="G594"/>
  <c r="G595"/>
  <c r="G596"/>
  <c r="G597"/>
  <c r="G598"/>
  <c r="G599"/>
  <c r="G600"/>
  <c r="G601"/>
  <c r="G602"/>
  <c r="G603"/>
  <c r="G604"/>
  <c r="G605"/>
  <c r="G606"/>
  <c r="G607"/>
  <c r="G608"/>
  <c r="G609"/>
  <c r="G610"/>
  <c r="G611"/>
  <c r="G612"/>
  <c r="G613"/>
  <c r="G614"/>
  <c r="G615"/>
  <c r="G616"/>
  <c r="G617"/>
  <c r="G618"/>
  <c r="G619"/>
  <c r="G620"/>
  <c r="G621"/>
  <c r="A426"/>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3" s="1"/>
  <c r="A504" s="1"/>
  <c r="A505" s="1"/>
  <c r="A506" s="1"/>
  <c r="A507" s="1"/>
  <c r="A508" s="1"/>
  <c r="A509" s="1"/>
  <c r="A510" s="1"/>
  <c r="A511" s="1"/>
  <c r="A512" s="1"/>
  <c r="A513" s="1"/>
  <c r="A514" s="1"/>
  <c r="A515" s="1"/>
  <c r="A516" s="1"/>
  <c r="A517" s="1"/>
  <c r="A518" s="1"/>
  <c r="A519" s="1"/>
  <c r="A520" s="1"/>
  <c r="A521" s="1"/>
  <c r="A522" s="1"/>
  <c r="A523" s="1"/>
  <c r="A524" s="1"/>
  <c r="A525" s="1"/>
  <c r="A526" s="1"/>
  <c r="A527" s="1"/>
  <c r="A528" s="1"/>
  <c r="A529" s="1"/>
  <c r="A530" s="1"/>
  <c r="A531" s="1"/>
  <c r="A532" s="1"/>
  <c r="A533" s="1"/>
  <c r="A534" s="1"/>
  <c r="A535" s="1"/>
  <c r="A536" s="1"/>
  <c r="A537" s="1"/>
  <c r="A538" s="1"/>
  <c r="A539" s="1"/>
  <c r="A540" s="1"/>
  <c r="A541" s="1"/>
  <c r="A542" s="1"/>
  <c r="A543" s="1"/>
  <c r="A544" s="1"/>
  <c r="A545" s="1"/>
  <c r="A546" s="1"/>
  <c r="A547" s="1"/>
  <c r="A548" s="1"/>
  <c r="A549" s="1"/>
  <c r="A550" s="1"/>
  <c r="A551" s="1"/>
  <c r="A552" s="1"/>
  <c r="A553" s="1"/>
  <c r="A554" s="1"/>
  <c r="A555" s="1"/>
  <c r="A556" s="1"/>
  <c r="A557" s="1"/>
  <c r="A558" s="1"/>
  <c r="A559" s="1"/>
  <c r="A560" s="1"/>
  <c r="A561" s="1"/>
  <c r="A562" s="1"/>
  <c r="A563" s="1"/>
  <c r="A565" s="1"/>
  <c r="A566" s="1"/>
  <c r="A567" s="1"/>
  <c r="A568" s="1"/>
  <c r="A569" s="1"/>
  <c r="A570" s="1"/>
  <c r="A571" s="1"/>
  <c r="A572" s="1"/>
  <c r="A573" s="1"/>
  <c r="A574" s="1"/>
  <c r="A575" s="1"/>
  <c r="A576" s="1"/>
  <c r="A578" s="1"/>
  <c r="A579" s="1"/>
  <c r="A580" s="1"/>
  <c r="A581" s="1"/>
  <c r="A582" s="1"/>
  <c r="A583" s="1"/>
  <c r="A584" s="1"/>
  <c r="A585" s="1"/>
  <c r="A586" s="1"/>
  <c r="A587" s="1"/>
  <c r="A588" s="1"/>
  <c r="A589" s="1"/>
  <c r="A590" s="1"/>
  <c r="A591" s="1"/>
  <c r="A592" s="1"/>
  <c r="A594" s="1"/>
  <c r="A595" s="1"/>
  <c r="A596" s="1"/>
  <c r="A597" s="1"/>
  <c r="A598" s="1"/>
  <c r="A599" s="1"/>
  <c r="A600" s="1"/>
  <c r="A601" s="1"/>
  <c r="A602" s="1"/>
  <c r="A603" s="1"/>
  <c r="A604" s="1"/>
  <c r="A605" s="1"/>
  <c r="A606" s="1"/>
  <c r="A607" s="1"/>
  <c r="A608" s="1"/>
  <c r="A609" s="1"/>
  <c r="A610" s="1"/>
  <c r="A611" s="1"/>
  <c r="A612" s="1"/>
  <c r="A613" s="1"/>
  <c r="A614" s="1"/>
  <c r="A615" s="1"/>
  <c r="A616" s="1"/>
  <c r="A617" s="1"/>
  <c r="A618" s="1"/>
  <c r="A619" s="1"/>
  <c r="A620" s="1"/>
  <c r="G424"/>
  <c r="H424" s="1"/>
  <c r="F424"/>
  <c r="B420"/>
  <c r="I427" s="1"/>
  <c r="G290"/>
  <c r="G309"/>
  <c r="G310"/>
  <c r="G311"/>
  <c r="G348"/>
  <c r="G349"/>
  <c r="G350"/>
  <c r="G367"/>
  <c r="G368"/>
  <c r="G369"/>
  <c r="G409"/>
  <c r="D290"/>
  <c r="D291" s="1"/>
  <c r="G289"/>
  <c r="H289" s="1"/>
  <c r="B282"/>
  <c r="A31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9" s="1"/>
  <c r="F289"/>
  <c r="D86" i="8"/>
  <c r="H223" i="1" s="1"/>
  <c r="D89" i="6"/>
  <c r="F223" i="1" s="1"/>
  <c r="D237"/>
  <c r="E237"/>
  <c r="F237"/>
  <c r="G237"/>
  <c r="H237"/>
  <c r="I237"/>
  <c r="J237"/>
  <c r="K237"/>
  <c r="C237"/>
  <c r="B237"/>
  <c r="D601" i="14"/>
  <c r="G223" i="1" s="1"/>
  <c r="I565" i="14"/>
  <c r="I566"/>
  <c r="I567"/>
  <c r="I568"/>
  <c r="I569"/>
  <c r="I570"/>
  <c r="I571"/>
  <c r="I572"/>
  <c r="I573"/>
  <c r="I574"/>
  <c r="I575"/>
  <c r="I576"/>
  <c r="I577"/>
  <c r="I578"/>
  <c r="I579"/>
  <c r="I581"/>
  <c r="I582"/>
  <c r="I583"/>
  <c r="I584"/>
  <c r="I585"/>
  <c r="I586"/>
  <c r="I587"/>
  <c r="I588"/>
  <c r="I589"/>
  <c r="I590"/>
  <c r="I591"/>
  <c r="I592"/>
  <c r="I593"/>
  <c r="I594"/>
  <c r="I595"/>
  <c r="I564"/>
  <c r="J564" s="1"/>
  <c r="A566"/>
  <c r="A567" s="1"/>
  <c r="A568" s="1"/>
  <c r="A569" s="1"/>
  <c r="A570" s="1"/>
  <c r="A571" s="1"/>
  <c r="A572" s="1"/>
  <c r="A573" s="1"/>
  <c r="A574" s="1"/>
  <c r="A575" s="1"/>
  <c r="A576" s="1"/>
  <c r="A577" s="1"/>
  <c r="A578" s="1"/>
  <c r="A579" s="1"/>
  <c r="A581" s="1"/>
  <c r="A582" s="1"/>
  <c r="A583" s="1"/>
  <c r="A584" s="1"/>
  <c r="A585" s="1"/>
  <c r="A586" s="1"/>
  <c r="A587" s="1"/>
  <c r="A588" s="1"/>
  <c r="A589" s="1"/>
  <c r="A590" s="1"/>
  <c r="A591" s="1"/>
  <c r="A592" s="1"/>
  <c r="A593" s="1"/>
  <c r="A594" s="1"/>
  <c r="A595" s="1"/>
  <c r="H564"/>
  <c r="B560"/>
  <c r="B559"/>
  <c r="B556"/>
  <c r="B557" s="1"/>
  <c r="K568" s="1"/>
  <c r="B9" i="11"/>
  <c r="E65"/>
  <c r="I23"/>
  <c r="I24"/>
  <c r="I25"/>
  <c r="I26"/>
  <c r="I27"/>
  <c r="I28"/>
  <c r="I29"/>
  <c r="I30"/>
  <c r="I31"/>
  <c r="I32"/>
  <c r="I33"/>
  <c r="I34"/>
  <c r="I35"/>
  <c r="I36"/>
  <c r="I37"/>
  <c r="I39"/>
  <c r="I40"/>
  <c r="I41"/>
  <c r="I42"/>
  <c r="I43"/>
  <c r="I44"/>
  <c r="I45"/>
  <c r="I46"/>
  <c r="I47"/>
  <c r="I48"/>
  <c r="I49"/>
  <c r="I50"/>
  <c r="I51"/>
  <c r="I52"/>
  <c r="I53"/>
  <c r="I54"/>
  <c r="I55"/>
  <c r="I56"/>
  <c r="I57"/>
  <c r="I58"/>
  <c r="I59"/>
  <c r="I60"/>
  <c r="I61"/>
  <c r="I62"/>
  <c r="I63"/>
  <c r="I64"/>
  <c r="I65"/>
  <c r="I66"/>
  <c r="I67"/>
  <c r="I68"/>
  <c r="I69"/>
  <c r="I22"/>
  <c r="J22" s="1"/>
  <c r="A24"/>
  <c r="A25" s="1"/>
  <c r="A26" s="1"/>
  <c r="A27" s="1"/>
  <c r="A28" s="1"/>
  <c r="A29" s="1"/>
  <c r="A30" s="1"/>
  <c r="A31" s="1"/>
  <c r="A32" s="1"/>
  <c r="A33" s="1"/>
  <c r="A34" s="1"/>
  <c r="A35" s="1"/>
  <c r="A36" s="1"/>
  <c r="A37" s="1"/>
  <c r="H22"/>
  <c r="B13"/>
  <c r="B12"/>
  <c r="B10"/>
  <c r="K25" s="1"/>
  <c r="B9" i="10"/>
  <c r="E55"/>
  <c r="I55"/>
  <c r="I56"/>
  <c r="I57"/>
  <c r="I58"/>
  <c r="I23"/>
  <c r="I24"/>
  <c r="I25"/>
  <c r="I26"/>
  <c r="I27"/>
  <c r="I28"/>
  <c r="I29"/>
  <c r="I30"/>
  <c r="I31"/>
  <c r="I32"/>
  <c r="I33"/>
  <c r="I34"/>
  <c r="I35"/>
  <c r="I36"/>
  <c r="I37"/>
  <c r="I38"/>
  <c r="I39"/>
  <c r="I40"/>
  <c r="I41"/>
  <c r="I42"/>
  <c r="I43"/>
  <c r="I44"/>
  <c r="I45"/>
  <c r="I46"/>
  <c r="I47"/>
  <c r="I48"/>
  <c r="I49"/>
  <c r="I50"/>
  <c r="I51"/>
  <c r="I52"/>
  <c r="I53"/>
  <c r="I22"/>
  <c r="J22" s="1"/>
  <c r="A24"/>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5" s="1"/>
  <c r="A56" s="1"/>
  <c r="A57" s="1"/>
  <c r="A58" s="1"/>
  <c r="K22"/>
  <c r="H22"/>
  <c r="B13"/>
  <c r="B12"/>
  <c r="B10"/>
  <c r="K56" s="1"/>
  <c r="D59" i="9"/>
  <c r="I223" i="1" s="1"/>
  <c r="I34" i="9"/>
  <c r="I35"/>
  <c r="I36"/>
  <c r="I37"/>
  <c r="I38"/>
  <c r="I39"/>
  <c r="I40"/>
  <c r="I41"/>
  <c r="I42"/>
  <c r="I43"/>
  <c r="I44"/>
  <c r="I45"/>
  <c r="I46"/>
  <c r="I47"/>
  <c r="I48"/>
  <c r="I49"/>
  <c r="I50"/>
  <c r="I51"/>
  <c r="I52"/>
  <c r="I53"/>
  <c r="I23"/>
  <c r="I24"/>
  <c r="I25"/>
  <c r="I26"/>
  <c r="I27"/>
  <c r="I28"/>
  <c r="I29"/>
  <c r="I30"/>
  <c r="I31"/>
  <c r="I32"/>
  <c r="I33"/>
  <c r="I22"/>
  <c r="A24"/>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J22"/>
  <c r="H22"/>
  <c r="B13"/>
  <c r="B12"/>
  <c r="B10"/>
  <c r="K24" s="1"/>
  <c r="B10" i="8"/>
  <c r="B11" s="1"/>
  <c r="K29" s="1"/>
  <c r="B14"/>
  <c r="I25"/>
  <c r="I26"/>
  <c r="I27"/>
  <c r="I28"/>
  <c r="I29"/>
  <c r="I30"/>
  <c r="I31"/>
  <c r="I32"/>
  <c r="I33"/>
  <c r="I34"/>
  <c r="I35"/>
  <c r="I37"/>
  <c r="I38"/>
  <c r="I39"/>
  <c r="I40"/>
  <c r="I41"/>
  <c r="I42"/>
  <c r="I43"/>
  <c r="I44"/>
  <c r="I45"/>
  <c r="I46"/>
  <c r="I47"/>
  <c r="I49"/>
  <c r="I50"/>
  <c r="I51"/>
  <c r="I52"/>
  <c r="I53"/>
  <c r="I54"/>
  <c r="I55"/>
  <c r="I56"/>
  <c r="I57"/>
  <c r="I58"/>
  <c r="I60"/>
  <c r="I61"/>
  <c r="I62"/>
  <c r="I63"/>
  <c r="I64"/>
  <c r="I65"/>
  <c r="I66"/>
  <c r="I67"/>
  <c r="I68"/>
  <c r="I70"/>
  <c r="I71"/>
  <c r="I72"/>
  <c r="I73"/>
  <c r="I74"/>
  <c r="I75"/>
  <c r="I76"/>
  <c r="I77"/>
  <c r="I78"/>
  <c r="I79"/>
  <c r="I80"/>
  <c r="I24"/>
  <c r="J24" s="1"/>
  <c r="A26"/>
  <c r="A27" s="1"/>
  <c r="A28" s="1"/>
  <c r="A29" s="1"/>
  <c r="A30" s="1"/>
  <c r="A31" s="1"/>
  <c r="A32" s="1"/>
  <c r="A33" s="1"/>
  <c r="A34" s="1"/>
  <c r="A35" s="1"/>
  <c r="A37" s="1"/>
  <c r="A38" s="1"/>
  <c r="A39" s="1"/>
  <c r="A40" s="1"/>
  <c r="A41" s="1"/>
  <c r="A42" s="1"/>
  <c r="A43" s="1"/>
  <c r="A44" s="1"/>
  <c r="A45" s="1"/>
  <c r="A46" s="1"/>
  <c r="A47" s="1"/>
  <c r="A49" s="1"/>
  <c r="A50" s="1"/>
  <c r="A51" s="1"/>
  <c r="A52" s="1"/>
  <c r="A53" s="1"/>
  <c r="A54" s="1"/>
  <c r="A55" s="1"/>
  <c r="A56" s="1"/>
  <c r="A57" s="1"/>
  <c r="A58" s="1"/>
  <c r="A60" s="1"/>
  <c r="A61" s="1"/>
  <c r="A62" s="1"/>
  <c r="A63" s="1"/>
  <c r="A64" s="1"/>
  <c r="A65" s="1"/>
  <c r="A66" s="1"/>
  <c r="A67" s="1"/>
  <c r="A68" s="1"/>
  <c r="A70" s="1"/>
  <c r="H24"/>
  <c r="B13"/>
  <c r="H22" i="4"/>
  <c r="H25" i="3"/>
  <c r="H23" i="2"/>
  <c r="H22" i="13"/>
  <c r="H22" i="6"/>
  <c r="I66"/>
  <c r="I23"/>
  <c r="I24"/>
  <c r="I25"/>
  <c r="I26"/>
  <c r="I27"/>
  <c r="I28"/>
  <c r="I29"/>
  <c r="I30"/>
  <c r="I31"/>
  <c r="I32"/>
  <c r="I33"/>
  <c r="I35"/>
  <c r="I36"/>
  <c r="I37"/>
  <c r="I38"/>
  <c r="I39"/>
  <c r="I40"/>
  <c r="I41"/>
  <c r="I42"/>
  <c r="I43"/>
  <c r="I44"/>
  <c r="I45"/>
  <c r="I46"/>
  <c r="I47"/>
  <c r="I48"/>
  <c r="I49"/>
  <c r="I50"/>
  <c r="I51"/>
  <c r="I52"/>
  <c r="I53"/>
  <c r="I54"/>
  <c r="I55"/>
  <c r="I56"/>
  <c r="I57"/>
  <c r="I58"/>
  <c r="I59"/>
  <c r="I60"/>
  <c r="I61"/>
  <c r="I62"/>
  <c r="I63"/>
  <c r="I64"/>
  <c r="I65"/>
  <c r="I68"/>
  <c r="I69"/>
  <c r="I70"/>
  <c r="I71"/>
  <c r="I72"/>
  <c r="I73"/>
  <c r="I74"/>
  <c r="I75"/>
  <c r="I76"/>
  <c r="I77"/>
  <c r="I78"/>
  <c r="I79"/>
  <c r="I80"/>
  <c r="I81"/>
  <c r="I82"/>
  <c r="I22"/>
  <c r="A24"/>
  <c r="A25" s="1"/>
  <c r="A26" s="1"/>
  <c r="A27" s="1"/>
  <c r="A28" s="1"/>
  <c r="A29" s="1"/>
  <c r="A30" s="1"/>
  <c r="A31" s="1"/>
  <c r="A32" s="1"/>
  <c r="A33" s="1"/>
  <c r="A35" s="1"/>
  <c r="B12"/>
  <c r="B10"/>
  <c r="D70" i="4"/>
  <c r="E223" i="1" s="1"/>
  <c r="I64" i="4"/>
  <c r="I23"/>
  <c r="I24"/>
  <c r="I25"/>
  <c r="I26"/>
  <c r="I27"/>
  <c r="I28"/>
  <c r="I29"/>
  <c r="I30"/>
  <c r="I31"/>
  <c r="I32"/>
  <c r="I33"/>
  <c r="I34"/>
  <c r="I35"/>
  <c r="I36"/>
  <c r="I37"/>
  <c r="I38"/>
  <c r="I39"/>
  <c r="I40"/>
  <c r="I42"/>
  <c r="I43"/>
  <c r="I44"/>
  <c r="I45"/>
  <c r="I46"/>
  <c r="I47"/>
  <c r="I48"/>
  <c r="I49"/>
  <c r="I50"/>
  <c r="I51"/>
  <c r="I52"/>
  <c r="I53"/>
  <c r="I54"/>
  <c r="I55"/>
  <c r="I57"/>
  <c r="I58"/>
  <c r="I59"/>
  <c r="I60"/>
  <c r="I61"/>
  <c r="I62"/>
  <c r="I63"/>
  <c r="I22"/>
  <c r="J22" s="1"/>
  <c r="A24"/>
  <c r="A25" s="1"/>
  <c r="A26" s="1"/>
  <c r="A27" s="1"/>
  <c r="A28" s="1"/>
  <c r="A29" s="1"/>
  <c r="A30" s="1"/>
  <c r="A31" s="1"/>
  <c r="A32" s="1"/>
  <c r="A33" s="1"/>
  <c r="A34" s="1"/>
  <c r="A35" s="1"/>
  <c r="A36" s="1"/>
  <c r="A37" s="1"/>
  <c r="A38" s="1"/>
  <c r="A39" s="1"/>
  <c r="A40" s="1"/>
  <c r="A42" s="1"/>
  <c r="A43" s="1"/>
  <c r="A44" s="1"/>
  <c r="A45" s="1"/>
  <c r="A46" s="1"/>
  <c r="A47" s="1"/>
  <c r="A48" s="1"/>
  <c r="A49" s="1"/>
  <c r="A50" s="1"/>
  <c r="A51" s="1"/>
  <c r="A52" s="1"/>
  <c r="A53" s="1"/>
  <c r="A54" s="1"/>
  <c r="A55" s="1"/>
  <c r="A57" s="1"/>
  <c r="A58" s="1"/>
  <c r="A59" s="1"/>
  <c r="A60" s="1"/>
  <c r="A61" s="1"/>
  <c r="A62" s="1"/>
  <c r="A63" s="1"/>
  <c r="A64" s="1"/>
  <c r="B12"/>
  <c r="B10"/>
  <c r="D79" i="3"/>
  <c r="D223" i="1" s="1"/>
  <c r="I68" i="3"/>
  <c r="I69"/>
  <c r="I70"/>
  <c r="I71"/>
  <c r="I72"/>
  <c r="I73"/>
  <c r="I37"/>
  <c r="I38"/>
  <c r="D94" i="13"/>
  <c r="B223" i="1" s="1"/>
  <c r="D69" i="2"/>
  <c r="C223" i="1" s="1"/>
  <c r="I26" i="3"/>
  <c r="I27"/>
  <c r="I28"/>
  <c r="I29"/>
  <c r="I30"/>
  <c r="I31"/>
  <c r="I32"/>
  <c r="I33"/>
  <c r="I34"/>
  <c r="I35"/>
  <c r="I36"/>
  <c r="I40"/>
  <c r="I41"/>
  <c r="I42"/>
  <c r="I43"/>
  <c r="I44"/>
  <c r="I45"/>
  <c r="I46"/>
  <c r="I47"/>
  <c r="I49"/>
  <c r="I51"/>
  <c r="I52"/>
  <c r="I53"/>
  <c r="I54"/>
  <c r="I55"/>
  <c r="I56"/>
  <c r="I57"/>
  <c r="I58"/>
  <c r="I59"/>
  <c r="I60"/>
  <c r="I61"/>
  <c r="I62"/>
  <c r="I63"/>
  <c r="I64"/>
  <c r="I65"/>
  <c r="I66"/>
  <c r="I67"/>
  <c r="I25"/>
  <c r="J25" s="1"/>
  <c r="A27"/>
  <c r="A28" s="1"/>
  <c r="A29" s="1"/>
  <c r="A30" s="1"/>
  <c r="A31" s="1"/>
  <c r="A32" s="1"/>
  <c r="A33" s="1"/>
  <c r="A34" s="1"/>
  <c r="A35" s="1"/>
  <c r="A36" s="1"/>
  <c r="B16"/>
  <c r="B14"/>
  <c r="K65" s="1"/>
  <c r="I63" i="2"/>
  <c r="I52"/>
  <c r="I53"/>
  <c r="I54"/>
  <c r="I55"/>
  <c r="I56"/>
  <c r="I57"/>
  <c r="I58"/>
  <c r="I59"/>
  <c r="I60"/>
  <c r="I61"/>
  <c r="I62"/>
  <c r="I30"/>
  <c r="I31"/>
  <c r="I32"/>
  <c r="I33"/>
  <c r="I34"/>
  <c r="I36"/>
  <c r="I37"/>
  <c r="I38"/>
  <c r="I39"/>
  <c r="I40"/>
  <c r="I41"/>
  <c r="I42"/>
  <c r="I43"/>
  <c r="I44"/>
  <c r="I45"/>
  <c r="I46"/>
  <c r="I47"/>
  <c r="I48"/>
  <c r="I49"/>
  <c r="I50"/>
  <c r="I51"/>
  <c r="I24"/>
  <c r="I25"/>
  <c r="I26"/>
  <c r="I27"/>
  <c r="I28"/>
  <c r="I29"/>
  <c r="I23"/>
  <c r="J23" s="1"/>
  <c r="A25"/>
  <c r="A26" s="1"/>
  <c r="A27" s="1"/>
  <c r="A28" s="1"/>
  <c r="A29" s="1"/>
  <c r="A30" s="1"/>
  <c r="A31" s="1"/>
  <c r="A32" s="1"/>
  <c r="A33" s="1"/>
  <c r="A34" s="1"/>
  <c r="B13"/>
  <c r="B11"/>
  <c r="I80" i="13"/>
  <c r="I81"/>
  <c r="I82"/>
  <c r="I83"/>
  <c r="I84"/>
  <c r="I85"/>
  <c r="I86"/>
  <c r="I87"/>
  <c r="I88"/>
  <c r="I79"/>
  <c r="I73"/>
  <c r="I74"/>
  <c r="I75"/>
  <c r="I76"/>
  <c r="I77"/>
  <c r="I72"/>
  <c r="I67"/>
  <c r="I68"/>
  <c r="I69"/>
  <c r="I70"/>
  <c r="I66"/>
  <c r="I56"/>
  <c r="I57"/>
  <c r="I58"/>
  <c r="I59"/>
  <c r="I60"/>
  <c r="I61"/>
  <c r="I62"/>
  <c r="I63"/>
  <c r="I64"/>
  <c r="I53"/>
  <c r="I54"/>
  <c r="I55"/>
  <c r="I52"/>
  <c r="A53"/>
  <c r="A54" s="1"/>
  <c r="A55" s="1"/>
  <c r="A56" s="1"/>
  <c r="A57" s="1"/>
  <c r="A58" s="1"/>
  <c r="A59" s="1"/>
  <c r="A60" s="1"/>
  <c r="A61" s="1"/>
  <c r="A62" s="1"/>
  <c r="A63" s="1"/>
  <c r="A64" s="1"/>
  <c r="A66" s="1"/>
  <c r="A67" s="1"/>
  <c r="A68" s="1"/>
  <c r="A69" s="1"/>
  <c r="A70" s="1"/>
  <c r="A72" s="1"/>
  <c r="A73" s="1"/>
  <c r="A74" s="1"/>
  <c r="A75" s="1"/>
  <c r="A76" s="1"/>
  <c r="A77" s="1"/>
  <c r="A79" s="1"/>
  <c r="A80" s="1"/>
  <c r="A81" s="1"/>
  <c r="A82" s="1"/>
  <c r="A83" s="1"/>
  <c r="A84" s="1"/>
  <c r="A85" s="1"/>
  <c r="A86" s="1"/>
  <c r="A87" s="1"/>
  <c r="A88" s="1"/>
  <c r="I24"/>
  <c r="I25"/>
  <c r="I26"/>
  <c r="I27"/>
  <c r="I28"/>
  <c r="I29"/>
  <c r="I30"/>
  <c r="I31"/>
  <c r="I32"/>
  <c r="I33"/>
  <c r="I34"/>
  <c r="I35"/>
  <c r="I36"/>
  <c r="I37"/>
  <c r="I38"/>
  <c r="I39"/>
  <c r="I40"/>
  <c r="I41"/>
  <c r="I42"/>
  <c r="I43"/>
  <c r="I44"/>
  <c r="I45"/>
  <c r="I46"/>
  <c r="I47"/>
  <c r="I48"/>
  <c r="I49"/>
  <c r="I50"/>
  <c r="I23"/>
  <c r="I22"/>
  <c r="B13"/>
  <c r="B11"/>
  <c r="A24"/>
  <c r="A25" s="1"/>
  <c r="A26" s="1"/>
  <c r="A27" s="1"/>
  <c r="A28" s="1"/>
  <c r="A29" s="1"/>
  <c r="A30" s="1"/>
  <c r="A31" s="1"/>
  <c r="A32" s="1"/>
  <c r="A33" s="1"/>
  <c r="A34" s="1"/>
  <c r="A35" s="1"/>
  <c r="A36" s="1"/>
  <c r="A37" s="1"/>
  <c r="A38" s="1"/>
  <c r="A39" s="1"/>
  <c r="A40" s="1"/>
  <c r="A41" s="1"/>
  <c r="A42" s="1"/>
  <c r="A43" s="1"/>
  <c r="A44" s="1"/>
  <c r="A45" s="1"/>
  <c r="A46" s="1"/>
  <c r="A47" s="1"/>
  <c r="A48" s="1"/>
  <c r="A49" s="1"/>
  <c r="A50" s="1"/>
  <c r="F214" i="1"/>
  <c r="H214"/>
  <c r="F215"/>
  <c r="H215"/>
  <c r="H213"/>
  <c r="F213"/>
  <c r="B214"/>
  <c r="D214"/>
  <c r="B215"/>
  <c r="D215"/>
  <c r="D213"/>
  <c r="B213"/>
  <c r="A33" i="14"/>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C19"/>
  <c r="C13"/>
  <c r="D57" s="1"/>
  <c r="C26" i="10" l="1"/>
  <c r="I293" i="1"/>
  <c r="I294"/>
  <c r="I295"/>
  <c r="I296"/>
  <c r="I297"/>
  <c r="I298"/>
  <c r="I299"/>
  <c r="I300"/>
  <c r="I301"/>
  <c r="I302"/>
  <c r="I303"/>
  <c r="I304"/>
  <c r="I305"/>
  <c r="I306"/>
  <c r="I307"/>
  <c r="I308"/>
  <c r="I291"/>
  <c r="I292"/>
  <c r="F291"/>
  <c r="H291"/>
  <c r="D292"/>
  <c r="I312"/>
  <c r="I313"/>
  <c r="I314"/>
  <c r="I315"/>
  <c r="I316"/>
  <c r="I317"/>
  <c r="I318"/>
  <c r="I319"/>
  <c r="I320"/>
  <c r="I321"/>
  <c r="I322"/>
  <c r="I323"/>
  <c r="I324"/>
  <c r="I325"/>
  <c r="I326"/>
  <c r="I327"/>
  <c r="I328"/>
  <c r="I329"/>
  <c r="I330"/>
  <c r="I331"/>
  <c r="I332"/>
  <c r="I333"/>
  <c r="I334"/>
  <c r="I335"/>
  <c r="I336"/>
  <c r="I337"/>
  <c r="I338"/>
  <c r="I339"/>
  <c r="I340"/>
  <c r="I341"/>
  <c r="I342"/>
  <c r="I343"/>
  <c r="I344"/>
  <c r="I345"/>
  <c r="I346"/>
  <c r="I347"/>
  <c r="I361"/>
  <c r="I363"/>
  <c r="I351"/>
  <c r="I352"/>
  <c r="I353"/>
  <c r="I354"/>
  <c r="I355"/>
  <c r="I356"/>
  <c r="I357"/>
  <c r="I358"/>
  <c r="I359"/>
  <c r="I360"/>
  <c r="I362"/>
  <c r="I364"/>
  <c r="I366"/>
  <c r="I365"/>
  <c r="I400"/>
  <c r="I403"/>
  <c r="I404"/>
  <c r="I408"/>
  <c r="I370"/>
  <c r="I371"/>
  <c r="I372"/>
  <c r="I373"/>
  <c r="I374"/>
  <c r="I375"/>
  <c r="I376"/>
  <c r="I377"/>
  <c r="I378"/>
  <c r="I379"/>
  <c r="I380"/>
  <c r="I381"/>
  <c r="I382"/>
  <c r="I383"/>
  <c r="I384"/>
  <c r="I385"/>
  <c r="I386"/>
  <c r="I387"/>
  <c r="I388"/>
  <c r="I389"/>
  <c r="I390"/>
  <c r="I391"/>
  <c r="I392"/>
  <c r="I393"/>
  <c r="I394"/>
  <c r="I395"/>
  <c r="I396"/>
  <c r="I397"/>
  <c r="I398"/>
  <c r="I399"/>
  <c r="I401"/>
  <c r="I402"/>
  <c r="I405"/>
  <c r="I406"/>
  <c r="I407"/>
  <c r="A350"/>
  <c r="I289"/>
  <c r="K23" i="11"/>
  <c r="A39"/>
  <c r="A40" s="1"/>
  <c r="A41" s="1"/>
  <c r="A42" s="1"/>
  <c r="A43" s="1"/>
  <c r="A44" s="1"/>
  <c r="A45" s="1"/>
  <c r="A46" s="1"/>
  <c r="A47" s="1"/>
  <c r="A48" s="1"/>
  <c r="A49" s="1"/>
  <c r="A50" s="1"/>
  <c r="A51" s="1"/>
  <c r="A52" s="1"/>
  <c r="A53" s="1"/>
  <c r="A54" s="1"/>
  <c r="A56" s="1"/>
  <c r="A57" s="1"/>
  <c r="A58" s="1"/>
  <c r="A59" s="1"/>
  <c r="A60" s="1"/>
  <c r="A61" s="1"/>
  <c r="A62" s="1"/>
  <c r="A63" s="1"/>
  <c r="A65" s="1"/>
  <c r="A66" s="1"/>
  <c r="A67" s="1"/>
  <c r="A68" s="1"/>
  <c r="A69" s="1"/>
  <c r="D75"/>
  <c r="K223" i="1" s="1"/>
  <c r="C55" i="10"/>
  <c r="C51"/>
  <c r="C47"/>
  <c r="C43"/>
  <c r="C39"/>
  <c r="C35"/>
  <c r="C31"/>
  <c r="C27"/>
  <c r="C58"/>
  <c r="C56"/>
  <c r="D65"/>
  <c r="J223" i="1" s="1"/>
  <c r="C52" i="10"/>
  <c r="C48"/>
  <c r="C44"/>
  <c r="C40"/>
  <c r="C36"/>
  <c r="C32"/>
  <c r="C28"/>
  <c r="C24"/>
  <c r="C53"/>
  <c r="C49"/>
  <c r="C45"/>
  <c r="C41"/>
  <c r="C37"/>
  <c r="C33"/>
  <c r="C29"/>
  <c r="C25"/>
  <c r="C57"/>
  <c r="C23"/>
  <c r="C50"/>
  <c r="C46"/>
  <c r="C42"/>
  <c r="C38"/>
  <c r="C34"/>
  <c r="C30"/>
  <c r="C26" i="9"/>
  <c r="C31"/>
  <c r="C27"/>
  <c r="C33"/>
  <c r="C53"/>
  <c r="C51"/>
  <c r="C49"/>
  <c r="C47"/>
  <c r="C45"/>
  <c r="C43"/>
  <c r="C41"/>
  <c r="C39"/>
  <c r="C37"/>
  <c r="C35"/>
  <c r="K53"/>
  <c r="K49"/>
  <c r="K45"/>
  <c r="K41"/>
  <c r="K37"/>
  <c r="K33"/>
  <c r="K29"/>
  <c r="K25"/>
  <c r="C32"/>
  <c r="C28"/>
  <c r="C24"/>
  <c r="K22"/>
  <c r="K50"/>
  <c r="K46"/>
  <c r="K42"/>
  <c r="K38"/>
  <c r="K34"/>
  <c r="K30"/>
  <c r="K26"/>
  <c r="L22"/>
  <c r="D23" s="1"/>
  <c r="C23"/>
  <c r="C29"/>
  <c r="C25"/>
  <c r="C52"/>
  <c r="C50"/>
  <c r="C48"/>
  <c r="C46"/>
  <c r="C44"/>
  <c r="C42"/>
  <c r="C40"/>
  <c r="C38"/>
  <c r="C36"/>
  <c r="C34"/>
  <c r="K51"/>
  <c r="K47"/>
  <c r="K43"/>
  <c r="K39"/>
  <c r="K35"/>
  <c r="K31"/>
  <c r="K27"/>
  <c r="K23"/>
  <c r="C30"/>
  <c r="K52"/>
  <c r="K48"/>
  <c r="K44"/>
  <c r="K40"/>
  <c r="K36"/>
  <c r="K32"/>
  <c r="K28"/>
  <c r="K61" i="3"/>
  <c r="K26" i="6"/>
  <c r="K26" i="4"/>
  <c r="K69" i="3"/>
  <c r="K25"/>
  <c r="K73"/>
  <c r="K57"/>
  <c r="K38" i="2"/>
  <c r="K22" i="13"/>
  <c r="K46"/>
  <c r="K30"/>
  <c r="K52"/>
  <c r="K34"/>
  <c r="K53"/>
  <c r="K42"/>
  <c r="K25"/>
  <c r="K61"/>
  <c r="K50"/>
  <c r="K38"/>
  <c r="K57"/>
  <c r="D679" i="1"/>
  <c r="E679"/>
  <c r="I616"/>
  <c r="I600"/>
  <c r="I608"/>
  <c r="I620"/>
  <c r="I612"/>
  <c r="I604"/>
  <c r="I596"/>
  <c r="I614"/>
  <c r="I606"/>
  <c r="I598"/>
  <c r="I592"/>
  <c r="I618"/>
  <c r="I610"/>
  <c r="I602"/>
  <c r="I594"/>
  <c r="I619"/>
  <c r="I615"/>
  <c r="I611"/>
  <c r="I607"/>
  <c r="I603"/>
  <c r="I599"/>
  <c r="I595"/>
  <c r="I591"/>
  <c r="I587"/>
  <c r="I583"/>
  <c r="I579"/>
  <c r="I575"/>
  <c r="I571"/>
  <c r="I567"/>
  <c r="I563"/>
  <c r="I559"/>
  <c r="I555"/>
  <c r="I551"/>
  <c r="I548"/>
  <c r="I544"/>
  <c r="I540"/>
  <c r="I536"/>
  <c r="I532"/>
  <c r="I528"/>
  <c r="I524"/>
  <c r="I520"/>
  <c r="I516"/>
  <c r="I512"/>
  <c r="I508"/>
  <c r="I504"/>
  <c r="I500"/>
  <c r="I496"/>
  <c r="I492"/>
  <c r="I488"/>
  <c r="I484"/>
  <c r="I480"/>
  <c r="I476"/>
  <c r="I472"/>
  <c r="I468"/>
  <c r="I464"/>
  <c r="I460"/>
  <c r="I456"/>
  <c r="I452"/>
  <c r="I448"/>
  <c r="I444"/>
  <c r="I440"/>
  <c r="I436"/>
  <c r="I432"/>
  <c r="I428"/>
  <c r="I424"/>
  <c r="J424" s="1"/>
  <c r="C425" s="1"/>
  <c r="I588"/>
  <c r="I584"/>
  <c r="I580"/>
  <c r="I576"/>
  <c r="I572"/>
  <c r="I568"/>
  <c r="I564"/>
  <c r="I560"/>
  <c r="I556"/>
  <c r="I552"/>
  <c r="I545"/>
  <c r="I541"/>
  <c r="I537"/>
  <c r="I533"/>
  <c r="I529"/>
  <c r="I525"/>
  <c r="I521"/>
  <c r="I517"/>
  <c r="I513"/>
  <c r="I509"/>
  <c r="I505"/>
  <c r="I501"/>
  <c r="I497"/>
  <c r="I493"/>
  <c r="I489"/>
  <c r="I485"/>
  <c r="I481"/>
  <c r="I477"/>
  <c r="I473"/>
  <c r="I469"/>
  <c r="I465"/>
  <c r="I461"/>
  <c r="I457"/>
  <c r="I453"/>
  <c r="I449"/>
  <c r="I445"/>
  <c r="I441"/>
  <c r="I437"/>
  <c r="I433"/>
  <c r="I429"/>
  <c r="I425"/>
  <c r="I621"/>
  <c r="I617"/>
  <c r="I613"/>
  <c r="I609"/>
  <c r="I605"/>
  <c r="I601"/>
  <c r="I597"/>
  <c r="I593"/>
  <c r="I589"/>
  <c r="I585"/>
  <c r="I581"/>
  <c r="I577"/>
  <c r="I573"/>
  <c r="I569"/>
  <c r="I565"/>
  <c r="I561"/>
  <c r="I557"/>
  <c r="I553"/>
  <c r="I549"/>
  <c r="I546"/>
  <c r="I542"/>
  <c r="I538"/>
  <c r="I534"/>
  <c r="I530"/>
  <c r="I526"/>
  <c r="I522"/>
  <c r="I518"/>
  <c r="I514"/>
  <c r="I510"/>
  <c r="I506"/>
  <c r="I502"/>
  <c r="I498"/>
  <c r="I494"/>
  <c r="I490"/>
  <c r="I486"/>
  <c r="I482"/>
  <c r="I478"/>
  <c r="I474"/>
  <c r="I470"/>
  <c r="I466"/>
  <c r="I462"/>
  <c r="I458"/>
  <c r="I454"/>
  <c r="I450"/>
  <c r="I446"/>
  <c r="I442"/>
  <c r="I438"/>
  <c r="I434"/>
  <c r="I430"/>
  <c r="I426"/>
  <c r="I590"/>
  <c r="I586"/>
  <c r="I582"/>
  <c r="I578"/>
  <c r="I574"/>
  <c r="I570"/>
  <c r="I566"/>
  <c r="I562"/>
  <c r="I558"/>
  <c r="I554"/>
  <c r="I550"/>
  <c r="I547"/>
  <c r="I543"/>
  <c r="I539"/>
  <c r="I535"/>
  <c r="I531"/>
  <c r="I527"/>
  <c r="I523"/>
  <c r="I519"/>
  <c r="I515"/>
  <c r="I511"/>
  <c r="I507"/>
  <c r="I503"/>
  <c r="I499"/>
  <c r="I495"/>
  <c r="I491"/>
  <c r="I487"/>
  <c r="I483"/>
  <c r="I479"/>
  <c r="I475"/>
  <c r="I471"/>
  <c r="I467"/>
  <c r="I463"/>
  <c r="I459"/>
  <c r="I455"/>
  <c r="I451"/>
  <c r="I447"/>
  <c r="I443"/>
  <c r="I439"/>
  <c r="I435"/>
  <c r="I431"/>
  <c r="H425"/>
  <c r="J425" s="1"/>
  <c r="D427"/>
  <c r="F427" s="1"/>
  <c r="F426"/>
  <c r="H426"/>
  <c r="F425"/>
  <c r="D428"/>
  <c r="I409"/>
  <c r="I369"/>
  <c r="I349"/>
  <c r="I309"/>
  <c r="F290"/>
  <c r="H290"/>
  <c r="I350"/>
  <c r="I310"/>
  <c r="I290"/>
  <c r="J289"/>
  <c r="C290" s="1"/>
  <c r="I367"/>
  <c r="I311"/>
  <c r="I368"/>
  <c r="I348"/>
  <c r="K594" i="14"/>
  <c r="K590"/>
  <c r="K586"/>
  <c r="K582"/>
  <c r="K577"/>
  <c r="K573"/>
  <c r="K569"/>
  <c r="K565"/>
  <c r="C569"/>
  <c r="K595"/>
  <c r="K591"/>
  <c r="K587"/>
  <c r="K583"/>
  <c r="K578"/>
  <c r="K574"/>
  <c r="K570"/>
  <c r="K566"/>
  <c r="K564"/>
  <c r="K592"/>
  <c r="K588"/>
  <c r="K584"/>
  <c r="K579"/>
  <c r="K575"/>
  <c r="K571"/>
  <c r="K567"/>
  <c r="K593"/>
  <c r="K589"/>
  <c r="K585"/>
  <c r="K581"/>
  <c r="K576"/>
  <c r="K572"/>
  <c r="C595"/>
  <c r="C591"/>
  <c r="C587"/>
  <c r="C583"/>
  <c r="C578"/>
  <c r="C574"/>
  <c r="C570"/>
  <c r="C566"/>
  <c r="C592"/>
  <c r="C588"/>
  <c r="C584"/>
  <c r="C579"/>
  <c r="C575"/>
  <c r="C571"/>
  <c r="C567"/>
  <c r="C565"/>
  <c r="F565" s="1"/>
  <c r="C593"/>
  <c r="C589"/>
  <c r="C585"/>
  <c r="C581"/>
  <c r="C576"/>
  <c r="C572"/>
  <c r="C568"/>
  <c r="C594"/>
  <c r="C590"/>
  <c r="C586"/>
  <c r="C582"/>
  <c r="C577"/>
  <c r="C573"/>
  <c r="C24" i="11"/>
  <c r="C67"/>
  <c r="C60"/>
  <c r="C56"/>
  <c r="C52"/>
  <c r="C48"/>
  <c r="C41"/>
  <c r="C37"/>
  <c r="C33"/>
  <c r="C29"/>
  <c r="C25"/>
  <c r="C23"/>
  <c r="F23" s="1"/>
  <c r="C68"/>
  <c r="C61"/>
  <c r="C57"/>
  <c r="C53"/>
  <c r="C49"/>
  <c r="C45"/>
  <c r="C42"/>
  <c r="C34"/>
  <c r="C30"/>
  <c r="C26"/>
  <c r="C69"/>
  <c r="C65"/>
  <c r="C62"/>
  <c r="C58"/>
  <c r="C54"/>
  <c r="C50"/>
  <c r="C46"/>
  <c r="C43"/>
  <c r="C39"/>
  <c r="C35"/>
  <c r="C31"/>
  <c r="C27"/>
  <c r="C66"/>
  <c r="C63"/>
  <c r="C59"/>
  <c r="C51"/>
  <c r="C47"/>
  <c r="C44"/>
  <c r="C40"/>
  <c r="C36"/>
  <c r="C32"/>
  <c r="C28"/>
  <c r="K67"/>
  <c r="K60"/>
  <c r="K56"/>
  <c r="K52"/>
  <c r="K48"/>
  <c r="K41"/>
  <c r="K37"/>
  <c r="K30"/>
  <c r="K26"/>
  <c r="K22"/>
  <c r="L22" s="1"/>
  <c r="D23" s="1"/>
  <c r="K68"/>
  <c r="K61"/>
  <c r="K57"/>
  <c r="K53"/>
  <c r="K49"/>
  <c r="K45"/>
  <c r="K42"/>
  <c r="K34"/>
  <c r="K31"/>
  <c r="K27"/>
  <c r="K69"/>
  <c r="K65"/>
  <c r="K62"/>
  <c r="K58"/>
  <c r="K54"/>
  <c r="K50"/>
  <c r="K46"/>
  <c r="K43"/>
  <c r="K39"/>
  <c r="K35"/>
  <c r="K32"/>
  <c r="K28"/>
  <c r="K24"/>
  <c r="K66"/>
  <c r="K63"/>
  <c r="K59"/>
  <c r="K51"/>
  <c r="K47"/>
  <c r="K44"/>
  <c r="K40"/>
  <c r="K36"/>
  <c r="K33"/>
  <c r="K29"/>
  <c r="D64" i="10"/>
  <c r="J227" i="1" s="1"/>
  <c r="F23" i="10"/>
  <c r="F24" s="1"/>
  <c r="J24" s="1"/>
  <c r="K51"/>
  <c r="K47"/>
  <c r="K43"/>
  <c r="K39"/>
  <c r="K35"/>
  <c r="K31"/>
  <c r="K27"/>
  <c r="K55"/>
  <c r="K52"/>
  <c r="K48"/>
  <c r="K44"/>
  <c r="K40"/>
  <c r="K36"/>
  <c r="K32"/>
  <c r="K28"/>
  <c r="K24"/>
  <c r="K58"/>
  <c r="K53"/>
  <c r="K49"/>
  <c r="K45"/>
  <c r="K41"/>
  <c r="K37"/>
  <c r="K33"/>
  <c r="K29"/>
  <c r="K25"/>
  <c r="K57"/>
  <c r="K23"/>
  <c r="K50"/>
  <c r="K46"/>
  <c r="K42"/>
  <c r="K38"/>
  <c r="K34"/>
  <c r="K30"/>
  <c r="K26"/>
  <c r="L22"/>
  <c r="D23" s="1"/>
  <c r="F25"/>
  <c r="C29" i="8"/>
  <c r="C78"/>
  <c r="C74"/>
  <c r="C70"/>
  <c r="C65"/>
  <c r="C61"/>
  <c r="C56"/>
  <c r="C52"/>
  <c r="C47"/>
  <c r="C43"/>
  <c r="C39"/>
  <c r="C34"/>
  <c r="C30"/>
  <c r="C26"/>
  <c r="C25"/>
  <c r="F25" s="1"/>
  <c r="C79"/>
  <c r="C75"/>
  <c r="C71"/>
  <c r="C66"/>
  <c r="C62"/>
  <c r="C57"/>
  <c r="C53"/>
  <c r="C49"/>
  <c r="C44"/>
  <c r="C40"/>
  <c r="C35"/>
  <c r="C31"/>
  <c r="C27"/>
  <c r="C80"/>
  <c r="C76"/>
  <c r="C72"/>
  <c r="C67"/>
  <c r="C63"/>
  <c r="C58"/>
  <c r="C54"/>
  <c r="C50"/>
  <c r="C45"/>
  <c r="C41"/>
  <c r="C37"/>
  <c r="C32"/>
  <c r="C28"/>
  <c r="C77"/>
  <c r="C73"/>
  <c r="C68"/>
  <c r="C64"/>
  <c r="C60"/>
  <c r="C55"/>
  <c r="C51"/>
  <c r="C46"/>
  <c r="C42"/>
  <c r="C38"/>
  <c r="C33"/>
  <c r="K75"/>
  <c r="K57"/>
  <c r="K79"/>
  <c r="K62"/>
  <c r="K66"/>
  <c r="K25"/>
  <c r="K71"/>
  <c r="K78"/>
  <c r="K74"/>
  <c r="K70"/>
  <c r="K65"/>
  <c r="K61"/>
  <c r="K56"/>
  <c r="K52"/>
  <c r="K47"/>
  <c r="K43"/>
  <c r="K39"/>
  <c r="K34"/>
  <c r="K30"/>
  <c r="K26"/>
  <c r="K53"/>
  <c r="K49"/>
  <c r="K44"/>
  <c r="K40"/>
  <c r="K35"/>
  <c r="K31"/>
  <c r="K27"/>
  <c r="K80"/>
  <c r="K76"/>
  <c r="K72"/>
  <c r="K67"/>
  <c r="K63"/>
  <c r="K58"/>
  <c r="K54"/>
  <c r="K50"/>
  <c r="K45"/>
  <c r="K41"/>
  <c r="K37"/>
  <c r="K32"/>
  <c r="K28"/>
  <c r="K77"/>
  <c r="K73"/>
  <c r="K68"/>
  <c r="K64"/>
  <c r="K60"/>
  <c r="K55"/>
  <c r="K51"/>
  <c r="K46"/>
  <c r="K42"/>
  <c r="K38"/>
  <c r="K33"/>
  <c r="A71"/>
  <c r="A72" s="1"/>
  <c r="A73" s="1"/>
  <c r="A74" s="1"/>
  <c r="A75" s="1"/>
  <c r="A76" s="1"/>
  <c r="A77" s="1"/>
  <c r="A78" s="1"/>
  <c r="A79" s="1"/>
  <c r="A80" s="1"/>
  <c r="H25"/>
  <c r="K26" i="3"/>
  <c r="K70"/>
  <c r="K66"/>
  <c r="K62"/>
  <c r="K58"/>
  <c r="K54"/>
  <c r="K49"/>
  <c r="K44"/>
  <c r="K40"/>
  <c r="K35"/>
  <c r="K31"/>
  <c r="K27"/>
  <c r="K71"/>
  <c r="K67"/>
  <c r="K63"/>
  <c r="K59"/>
  <c r="K55"/>
  <c r="K51"/>
  <c r="K45"/>
  <c r="K41"/>
  <c r="K36"/>
  <c r="K32"/>
  <c r="K28"/>
  <c r="K72"/>
  <c r="K68"/>
  <c r="K64"/>
  <c r="K60"/>
  <c r="K56"/>
  <c r="K52"/>
  <c r="K46"/>
  <c r="K42"/>
  <c r="K37"/>
  <c r="K33"/>
  <c r="K29"/>
  <c r="K53"/>
  <c r="K47"/>
  <c r="K43"/>
  <c r="K38"/>
  <c r="K34"/>
  <c r="K30"/>
  <c r="K56" i="2"/>
  <c r="K40"/>
  <c r="C63"/>
  <c r="K60"/>
  <c r="K44"/>
  <c r="K48"/>
  <c r="K63"/>
  <c r="K52"/>
  <c r="K47" i="13"/>
  <c r="K39"/>
  <c r="K31"/>
  <c r="K60"/>
  <c r="K43"/>
  <c r="K35"/>
  <c r="K26"/>
  <c r="K64"/>
  <c r="K56"/>
  <c r="K66" i="6"/>
  <c r="K81"/>
  <c r="K77"/>
  <c r="K73"/>
  <c r="K69"/>
  <c r="K64"/>
  <c r="K60"/>
  <c r="K56"/>
  <c r="K52"/>
  <c r="K48"/>
  <c r="K44"/>
  <c r="K40"/>
  <c r="K36"/>
  <c r="K31"/>
  <c r="K27"/>
  <c r="K23"/>
  <c r="K82"/>
  <c r="K78"/>
  <c r="K74"/>
  <c r="K70"/>
  <c r="K65"/>
  <c r="K61"/>
  <c r="K57"/>
  <c r="K53"/>
  <c r="K49"/>
  <c r="K45"/>
  <c r="K41"/>
  <c r="K37"/>
  <c r="K32"/>
  <c r="K28"/>
  <c r="K24"/>
  <c r="K22"/>
  <c r="K79"/>
  <c r="K75"/>
  <c r="K71"/>
  <c r="K62"/>
  <c r="K58"/>
  <c r="K54"/>
  <c r="K50"/>
  <c r="K46"/>
  <c r="K42"/>
  <c r="K38"/>
  <c r="K33"/>
  <c r="K29"/>
  <c r="K25"/>
  <c r="K80"/>
  <c r="K76"/>
  <c r="K72"/>
  <c r="K68"/>
  <c r="K63"/>
  <c r="K59"/>
  <c r="K55"/>
  <c r="K51"/>
  <c r="K47"/>
  <c r="K43"/>
  <c r="K39"/>
  <c r="K35"/>
  <c r="K30"/>
  <c r="A36"/>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K62" i="4"/>
  <c r="K45"/>
  <c r="K28"/>
  <c r="K49"/>
  <c r="K32"/>
  <c r="K53"/>
  <c r="K36"/>
  <c r="K64"/>
  <c r="K58"/>
  <c r="K40"/>
  <c r="K24"/>
  <c r="K61"/>
  <c r="K57"/>
  <c r="K52"/>
  <c r="K48"/>
  <c r="K44"/>
  <c r="K39"/>
  <c r="K35"/>
  <c r="K31"/>
  <c r="K27"/>
  <c r="K23"/>
  <c r="K63"/>
  <c r="K59"/>
  <c r="K54"/>
  <c r="K50"/>
  <c r="K46"/>
  <c r="K42"/>
  <c r="K37"/>
  <c r="K33"/>
  <c r="K29"/>
  <c r="K25"/>
  <c r="K22"/>
  <c r="L22" s="1"/>
  <c r="D23" s="1"/>
  <c r="K60"/>
  <c r="K55"/>
  <c r="K51"/>
  <c r="K47"/>
  <c r="K43"/>
  <c r="K38"/>
  <c r="K34"/>
  <c r="K30"/>
  <c r="A37" i="3"/>
  <c r="A38" s="1"/>
  <c r="A40" s="1"/>
  <c r="A41" s="1"/>
  <c r="A42" s="1"/>
  <c r="A43" s="1"/>
  <c r="A44" s="1"/>
  <c r="A45" s="1"/>
  <c r="A46" s="1"/>
  <c r="A47" s="1"/>
  <c r="A49" s="1"/>
  <c r="A51" s="1"/>
  <c r="A52" s="1"/>
  <c r="A53" s="1"/>
  <c r="A54" s="1"/>
  <c r="A55" s="1"/>
  <c r="A56" s="1"/>
  <c r="A57" s="1"/>
  <c r="A58" s="1"/>
  <c r="A59" s="1"/>
  <c r="A60" s="1"/>
  <c r="A61" s="1"/>
  <c r="A62" s="1"/>
  <c r="A63" s="1"/>
  <c r="A64" s="1"/>
  <c r="A65" s="1"/>
  <c r="A66" s="1"/>
  <c r="A67" s="1"/>
  <c r="A68" s="1"/>
  <c r="A69" s="1"/>
  <c r="A70" s="1"/>
  <c r="A71" s="1"/>
  <c r="A72" s="1"/>
  <c r="A73" s="1"/>
  <c r="L25"/>
  <c r="D26" s="1"/>
  <c r="K59" i="2"/>
  <c r="K55"/>
  <c r="K51"/>
  <c r="K47"/>
  <c r="K43"/>
  <c r="K39"/>
  <c r="C34"/>
  <c r="C30"/>
  <c r="C26"/>
  <c r="C61"/>
  <c r="C57"/>
  <c r="C53"/>
  <c r="C49"/>
  <c r="C45"/>
  <c r="C41"/>
  <c r="C37"/>
  <c r="C24"/>
  <c r="F24" s="1"/>
  <c r="C31"/>
  <c r="C27"/>
  <c r="C62"/>
  <c r="C58"/>
  <c r="C54"/>
  <c r="C50"/>
  <c r="C46"/>
  <c r="C42"/>
  <c r="C38"/>
  <c r="K61"/>
  <c r="K57"/>
  <c r="K53"/>
  <c r="K49"/>
  <c r="K45"/>
  <c r="K41"/>
  <c r="K37"/>
  <c r="C32"/>
  <c r="C28"/>
  <c r="C36"/>
  <c r="C59"/>
  <c r="C55"/>
  <c r="C51"/>
  <c r="C47"/>
  <c r="C43"/>
  <c r="C39"/>
  <c r="K62"/>
  <c r="K58"/>
  <c r="K54"/>
  <c r="K50"/>
  <c r="K46"/>
  <c r="K42"/>
  <c r="C33"/>
  <c r="C29"/>
  <c r="C25"/>
  <c r="C60"/>
  <c r="C56"/>
  <c r="C52"/>
  <c r="C48"/>
  <c r="C44"/>
  <c r="C40"/>
  <c r="A36"/>
  <c r="A37" s="1"/>
  <c r="A38" s="1"/>
  <c r="A39" s="1"/>
  <c r="A40" s="1"/>
  <c r="A41" s="1"/>
  <c r="A42" s="1"/>
  <c r="A43" s="1"/>
  <c r="A44" s="1"/>
  <c r="A45" s="1"/>
  <c r="A46" s="1"/>
  <c r="A47" s="1"/>
  <c r="A48" s="1"/>
  <c r="A49" s="1"/>
  <c r="A50" s="1"/>
  <c r="A51" s="1"/>
  <c r="A52" s="1"/>
  <c r="A53" s="1"/>
  <c r="A54" s="1"/>
  <c r="A55" s="1"/>
  <c r="A56" s="1"/>
  <c r="A57" s="1"/>
  <c r="A58" s="1"/>
  <c r="A59" s="1"/>
  <c r="A60" s="1"/>
  <c r="A61" s="1"/>
  <c r="A62" s="1"/>
  <c r="A63" s="1"/>
  <c r="K24"/>
  <c r="K32"/>
  <c r="K28"/>
  <c r="K33"/>
  <c r="K29"/>
  <c r="K25"/>
  <c r="K34"/>
  <c r="K30"/>
  <c r="K26"/>
  <c r="K23"/>
  <c r="L23" s="1"/>
  <c r="D24" s="1"/>
  <c r="K36"/>
  <c r="K31"/>
  <c r="K27"/>
  <c r="K49" i="13"/>
  <c r="K45"/>
  <c r="K41"/>
  <c r="K37"/>
  <c r="K33"/>
  <c r="K29"/>
  <c r="K24"/>
  <c r="K63"/>
  <c r="K59"/>
  <c r="K55"/>
  <c r="K66"/>
  <c r="K67"/>
  <c r="K76"/>
  <c r="K74"/>
  <c r="K79"/>
  <c r="K85"/>
  <c r="K81"/>
  <c r="K68"/>
  <c r="K86"/>
  <c r="K82"/>
  <c r="K69"/>
  <c r="K77"/>
  <c r="K75"/>
  <c r="K73"/>
  <c r="K87"/>
  <c r="K83"/>
  <c r="K48"/>
  <c r="K44"/>
  <c r="K40"/>
  <c r="K36"/>
  <c r="K32"/>
  <c r="K28"/>
  <c r="K62"/>
  <c r="K58"/>
  <c r="K54"/>
  <c r="K70"/>
  <c r="K72"/>
  <c r="K80"/>
  <c r="K88"/>
  <c r="K84"/>
  <c r="K27"/>
  <c r="K23"/>
  <c r="C23"/>
  <c r="D356" i="14"/>
  <c r="H356" s="1"/>
  <c r="D352"/>
  <c r="H352" s="1"/>
  <c r="D348"/>
  <c r="H348" s="1"/>
  <c r="D344"/>
  <c r="H344" s="1"/>
  <c r="D340"/>
  <c r="H340" s="1"/>
  <c r="D336"/>
  <c r="H336" s="1"/>
  <c r="D333"/>
  <c r="H333" s="1"/>
  <c r="D329"/>
  <c r="H329" s="1"/>
  <c r="D325"/>
  <c r="H325" s="1"/>
  <c r="D321"/>
  <c r="H321" s="1"/>
  <c r="D317"/>
  <c r="H317" s="1"/>
  <c r="D313"/>
  <c r="H313" s="1"/>
  <c r="D439"/>
  <c r="H439" s="1"/>
  <c r="D435"/>
  <c r="H435" s="1"/>
  <c r="D431"/>
  <c r="H431" s="1"/>
  <c r="D427"/>
  <c r="H427" s="1"/>
  <c r="D423"/>
  <c r="H423" s="1"/>
  <c r="D419"/>
  <c r="H419" s="1"/>
  <c r="D415"/>
  <c r="H415" s="1"/>
  <c r="D411"/>
  <c r="H411" s="1"/>
  <c r="D408"/>
  <c r="H408" s="1"/>
  <c r="D404"/>
  <c r="H404" s="1"/>
  <c r="D400"/>
  <c r="H400" s="1"/>
  <c r="D396"/>
  <c r="H396" s="1"/>
  <c r="D392"/>
  <c r="H392" s="1"/>
  <c r="D388"/>
  <c r="H388" s="1"/>
  <c r="D384"/>
  <c r="H384" s="1"/>
  <c r="D380"/>
  <c r="H380" s="1"/>
  <c r="D376"/>
  <c r="H376" s="1"/>
  <c r="D372"/>
  <c r="H372" s="1"/>
  <c r="D368"/>
  <c r="H368" s="1"/>
  <c r="D364"/>
  <c r="H364" s="1"/>
  <c r="D361"/>
  <c r="H361" s="1"/>
  <c r="D537"/>
  <c r="H537" s="1"/>
  <c r="D533"/>
  <c r="H533" s="1"/>
  <c r="D529"/>
  <c r="H529" s="1"/>
  <c r="D525"/>
  <c r="H525" s="1"/>
  <c r="D521"/>
  <c r="H521" s="1"/>
  <c r="D517"/>
  <c r="H517" s="1"/>
  <c r="D513"/>
  <c r="H513" s="1"/>
  <c r="D509"/>
  <c r="H509" s="1"/>
  <c r="D505"/>
  <c r="H505" s="1"/>
  <c r="D501"/>
  <c r="H501" s="1"/>
  <c r="D497"/>
  <c r="H497" s="1"/>
  <c r="D493"/>
  <c r="H493" s="1"/>
  <c r="D489"/>
  <c r="D485"/>
  <c r="H485" s="1"/>
  <c r="D481"/>
  <c r="H481" s="1"/>
  <c r="D477"/>
  <c r="H477" s="1"/>
  <c r="D473"/>
  <c r="H473" s="1"/>
  <c r="D469"/>
  <c r="H469" s="1"/>
  <c r="D465"/>
  <c r="H465" s="1"/>
  <c r="D461"/>
  <c r="H461" s="1"/>
  <c r="D457"/>
  <c r="H457" s="1"/>
  <c r="D453"/>
  <c r="H453" s="1"/>
  <c r="D449"/>
  <c r="H449" s="1"/>
  <c r="D445"/>
  <c r="H445" s="1"/>
  <c r="D442"/>
  <c r="H442" s="1"/>
  <c r="D359"/>
  <c r="H359" s="1"/>
  <c r="D355"/>
  <c r="H355" s="1"/>
  <c r="D351"/>
  <c r="H351" s="1"/>
  <c r="D347"/>
  <c r="H347" s="1"/>
  <c r="D343"/>
  <c r="H343" s="1"/>
  <c r="D339"/>
  <c r="H339" s="1"/>
  <c r="D332"/>
  <c r="H332" s="1"/>
  <c r="D328"/>
  <c r="H328" s="1"/>
  <c r="D324"/>
  <c r="H324" s="1"/>
  <c r="D320"/>
  <c r="H320" s="1"/>
  <c r="D316"/>
  <c r="H316" s="1"/>
  <c r="D438"/>
  <c r="H438" s="1"/>
  <c r="D434"/>
  <c r="H434" s="1"/>
  <c r="D430"/>
  <c r="H430" s="1"/>
  <c r="D426"/>
  <c r="H426" s="1"/>
  <c r="D422"/>
  <c r="H422" s="1"/>
  <c r="D418"/>
  <c r="H418" s="1"/>
  <c r="D414"/>
  <c r="H414" s="1"/>
  <c r="D407"/>
  <c r="H407" s="1"/>
  <c r="D403"/>
  <c r="H403" s="1"/>
  <c r="D399"/>
  <c r="H399" s="1"/>
  <c r="D395"/>
  <c r="H395" s="1"/>
  <c r="D391"/>
  <c r="H391" s="1"/>
  <c r="D387"/>
  <c r="H387" s="1"/>
  <c r="D383"/>
  <c r="H383" s="1"/>
  <c r="D379"/>
  <c r="H379" s="1"/>
  <c r="D375"/>
  <c r="H375" s="1"/>
  <c r="D371"/>
  <c r="H371" s="1"/>
  <c r="D367"/>
  <c r="H367" s="1"/>
  <c r="D363"/>
  <c r="H363" s="1"/>
  <c r="D362"/>
  <c r="H362" s="1"/>
  <c r="D540"/>
  <c r="H540" s="1"/>
  <c r="D536"/>
  <c r="H536" s="1"/>
  <c r="D532"/>
  <c r="H532" s="1"/>
  <c r="D528"/>
  <c r="H528" s="1"/>
  <c r="D524"/>
  <c r="H524" s="1"/>
  <c r="D520"/>
  <c r="H520" s="1"/>
  <c r="D516"/>
  <c r="H516" s="1"/>
  <c r="D512"/>
  <c r="H512" s="1"/>
  <c r="D508"/>
  <c r="H508" s="1"/>
  <c r="D504"/>
  <c r="H504" s="1"/>
  <c r="D500"/>
  <c r="H500" s="1"/>
  <c r="D496"/>
  <c r="H496" s="1"/>
  <c r="D492"/>
  <c r="H492" s="1"/>
  <c r="D488"/>
  <c r="H488" s="1"/>
  <c r="D484"/>
  <c r="H484" s="1"/>
  <c r="D480"/>
  <c r="H480" s="1"/>
  <c r="D476"/>
  <c r="H476" s="1"/>
  <c r="D472"/>
  <c r="H472" s="1"/>
  <c r="D468"/>
  <c r="H468" s="1"/>
  <c r="D464"/>
  <c r="H464" s="1"/>
  <c r="D460"/>
  <c r="H460" s="1"/>
  <c r="D456"/>
  <c r="H456" s="1"/>
  <c r="D452"/>
  <c r="H452" s="1"/>
  <c r="D448"/>
  <c r="H448" s="1"/>
  <c r="D444"/>
  <c r="H444" s="1"/>
  <c r="D443"/>
  <c r="H443" s="1"/>
  <c r="D358"/>
  <c r="H358" s="1"/>
  <c r="D354"/>
  <c r="H354" s="1"/>
  <c r="D350"/>
  <c r="H350" s="1"/>
  <c r="D346"/>
  <c r="H346" s="1"/>
  <c r="D342"/>
  <c r="H342" s="1"/>
  <c r="D338"/>
  <c r="H338" s="1"/>
  <c r="D335"/>
  <c r="H335" s="1"/>
  <c r="D331"/>
  <c r="H331" s="1"/>
  <c r="D327"/>
  <c r="H327" s="1"/>
  <c r="D323"/>
  <c r="H323" s="1"/>
  <c r="D319"/>
  <c r="H319" s="1"/>
  <c r="D315"/>
  <c r="H315" s="1"/>
  <c r="D314"/>
  <c r="H314" s="1"/>
  <c r="D437"/>
  <c r="H437" s="1"/>
  <c r="D433"/>
  <c r="H433" s="1"/>
  <c r="D429"/>
  <c r="H429" s="1"/>
  <c r="D425"/>
  <c r="H425" s="1"/>
  <c r="D421"/>
  <c r="H421" s="1"/>
  <c r="D417"/>
  <c r="H417" s="1"/>
  <c r="D413"/>
  <c r="H413" s="1"/>
  <c r="D410"/>
  <c r="H410" s="1"/>
  <c r="D406"/>
  <c r="H406" s="1"/>
  <c r="D402"/>
  <c r="H402" s="1"/>
  <c r="D398"/>
  <c r="H398" s="1"/>
  <c r="D394"/>
  <c r="H394" s="1"/>
  <c r="D390"/>
  <c r="H390" s="1"/>
  <c r="D386"/>
  <c r="H386" s="1"/>
  <c r="D382"/>
  <c r="H382" s="1"/>
  <c r="D378"/>
  <c r="H378" s="1"/>
  <c r="D374"/>
  <c r="H374" s="1"/>
  <c r="D370"/>
  <c r="H370" s="1"/>
  <c r="D366"/>
  <c r="H366" s="1"/>
  <c r="D360"/>
  <c r="H360" s="1"/>
  <c r="D539"/>
  <c r="H539" s="1"/>
  <c r="D535"/>
  <c r="H535" s="1"/>
  <c r="D531"/>
  <c r="H531" s="1"/>
  <c r="D527"/>
  <c r="H527" s="1"/>
  <c r="D523"/>
  <c r="H523" s="1"/>
  <c r="D519"/>
  <c r="H519" s="1"/>
  <c r="D515"/>
  <c r="H515" s="1"/>
  <c r="D511"/>
  <c r="H511" s="1"/>
  <c r="D507"/>
  <c r="H507" s="1"/>
  <c r="D503"/>
  <c r="H503" s="1"/>
  <c r="D499"/>
  <c r="H499" s="1"/>
  <c r="D495"/>
  <c r="H495" s="1"/>
  <c r="D491"/>
  <c r="H491" s="1"/>
  <c r="D487"/>
  <c r="H487" s="1"/>
  <c r="D483"/>
  <c r="H483" s="1"/>
  <c r="D479"/>
  <c r="H479" s="1"/>
  <c r="D475"/>
  <c r="H475" s="1"/>
  <c r="D471"/>
  <c r="H471" s="1"/>
  <c r="D467"/>
  <c r="H467" s="1"/>
  <c r="D463"/>
  <c r="H463" s="1"/>
  <c r="D459"/>
  <c r="H459" s="1"/>
  <c r="D455"/>
  <c r="H455" s="1"/>
  <c r="D451"/>
  <c r="H451" s="1"/>
  <c r="D447"/>
  <c r="H447" s="1"/>
  <c r="D441"/>
  <c r="H441" s="1"/>
  <c r="D357"/>
  <c r="H357" s="1"/>
  <c r="D353"/>
  <c r="H353" s="1"/>
  <c r="D349"/>
  <c r="H349" s="1"/>
  <c r="D345"/>
  <c r="H345" s="1"/>
  <c r="D341"/>
  <c r="H341" s="1"/>
  <c r="D337"/>
  <c r="H337" s="1"/>
  <c r="D334"/>
  <c r="H334" s="1"/>
  <c r="D330"/>
  <c r="H330" s="1"/>
  <c r="D326"/>
  <c r="H326" s="1"/>
  <c r="D322"/>
  <c r="H322" s="1"/>
  <c r="D318"/>
  <c r="H318" s="1"/>
  <c r="D440"/>
  <c r="H440" s="1"/>
  <c r="D436"/>
  <c r="H436" s="1"/>
  <c r="D432"/>
  <c r="H432" s="1"/>
  <c r="D428"/>
  <c r="H428" s="1"/>
  <c r="D424"/>
  <c r="H424" s="1"/>
  <c r="D420"/>
  <c r="H420" s="1"/>
  <c r="D416"/>
  <c r="H416" s="1"/>
  <c r="D412"/>
  <c r="H412" s="1"/>
  <c r="D409"/>
  <c r="H409" s="1"/>
  <c r="D405"/>
  <c r="H405" s="1"/>
  <c r="D401"/>
  <c r="H401" s="1"/>
  <c r="D397"/>
  <c r="H397" s="1"/>
  <c r="D393"/>
  <c r="H393" s="1"/>
  <c r="D389"/>
  <c r="H389" s="1"/>
  <c r="D385"/>
  <c r="H385" s="1"/>
  <c r="D381"/>
  <c r="H381" s="1"/>
  <c r="D377"/>
  <c r="H377" s="1"/>
  <c r="D373"/>
  <c r="H373" s="1"/>
  <c r="D369"/>
  <c r="H369" s="1"/>
  <c r="D365"/>
  <c r="H365" s="1"/>
  <c r="D538"/>
  <c r="H538" s="1"/>
  <c r="D534"/>
  <c r="H534" s="1"/>
  <c r="D530"/>
  <c r="H530" s="1"/>
  <c r="D526"/>
  <c r="H526" s="1"/>
  <c r="D522"/>
  <c r="H522" s="1"/>
  <c r="D518"/>
  <c r="H518" s="1"/>
  <c r="D514"/>
  <c r="H514" s="1"/>
  <c r="D510"/>
  <c r="H510" s="1"/>
  <c r="D506"/>
  <c r="H506" s="1"/>
  <c r="D502"/>
  <c r="H502" s="1"/>
  <c r="D498"/>
  <c r="H498" s="1"/>
  <c r="D494"/>
  <c r="H494" s="1"/>
  <c r="D490"/>
  <c r="H490" s="1"/>
  <c r="D486"/>
  <c r="H486" s="1"/>
  <c r="D482"/>
  <c r="H482" s="1"/>
  <c r="D478"/>
  <c r="H478" s="1"/>
  <c r="D474"/>
  <c r="H474" s="1"/>
  <c r="D470"/>
  <c r="H470" s="1"/>
  <c r="D466"/>
  <c r="H466" s="1"/>
  <c r="D462"/>
  <c r="H462" s="1"/>
  <c r="D458"/>
  <c r="H458" s="1"/>
  <c r="D454"/>
  <c r="H454" s="1"/>
  <c r="D450"/>
  <c r="H450" s="1"/>
  <c r="D446"/>
  <c r="H446" s="1"/>
  <c r="H57"/>
  <c r="A155"/>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A516" s="1"/>
  <c r="A517" s="1"/>
  <c r="A518" s="1"/>
  <c r="A519" s="1"/>
  <c r="A520" s="1"/>
  <c r="A521" s="1"/>
  <c r="A522" s="1"/>
  <c r="A523" s="1"/>
  <c r="A524" s="1"/>
  <c r="A525" s="1"/>
  <c r="A526" s="1"/>
  <c r="A527" s="1"/>
  <c r="A528" s="1"/>
  <c r="A529" s="1"/>
  <c r="A530" s="1"/>
  <c r="A531" s="1"/>
  <c r="A532" s="1"/>
  <c r="A533" s="1"/>
  <c r="A534" s="1"/>
  <c r="A535" s="1"/>
  <c r="A536" s="1"/>
  <c r="A537" s="1"/>
  <c r="A538" s="1"/>
  <c r="A539" s="1"/>
  <c r="A540" s="1"/>
  <c r="D155"/>
  <c r="H155" s="1"/>
  <c r="D34"/>
  <c r="H34" s="1"/>
  <c r="D39"/>
  <c r="H39" s="1"/>
  <c r="D43"/>
  <c r="H43" s="1"/>
  <c r="D47"/>
  <c r="H47" s="1"/>
  <c r="D51"/>
  <c r="H51" s="1"/>
  <c r="D55"/>
  <c r="H55" s="1"/>
  <c r="C20"/>
  <c r="C21" s="1"/>
  <c r="E32" s="1"/>
  <c r="D33"/>
  <c r="H33" s="1"/>
  <c r="D32"/>
  <c r="D36"/>
  <c r="H36" s="1"/>
  <c r="D37"/>
  <c r="H37" s="1"/>
  <c r="D41"/>
  <c r="H41" s="1"/>
  <c r="D45"/>
  <c r="H45" s="1"/>
  <c r="D49"/>
  <c r="H49" s="1"/>
  <c r="D53"/>
  <c r="H53" s="1"/>
  <c r="D309"/>
  <c r="H309" s="1"/>
  <c r="D305"/>
  <c r="H305" s="1"/>
  <c r="D301"/>
  <c r="H301" s="1"/>
  <c r="D297"/>
  <c r="H297" s="1"/>
  <c r="D293"/>
  <c r="H293" s="1"/>
  <c r="D289"/>
  <c r="H289" s="1"/>
  <c r="D285"/>
  <c r="H285" s="1"/>
  <c r="D281"/>
  <c r="H281" s="1"/>
  <c r="D277"/>
  <c r="H277" s="1"/>
  <c r="D273"/>
  <c r="H273" s="1"/>
  <c r="D269"/>
  <c r="H269" s="1"/>
  <c r="D265"/>
  <c r="H265" s="1"/>
  <c r="D261"/>
  <c r="H261" s="1"/>
  <c r="D257"/>
  <c r="H257" s="1"/>
  <c r="D253"/>
  <c r="H253" s="1"/>
  <c r="D249"/>
  <c r="H249" s="1"/>
  <c r="D245"/>
  <c r="H245" s="1"/>
  <c r="D241"/>
  <c r="H241" s="1"/>
  <c r="D237"/>
  <c r="H237" s="1"/>
  <c r="D226"/>
  <c r="H226" s="1"/>
  <c r="D222"/>
  <c r="H222" s="1"/>
  <c r="D218"/>
  <c r="H218" s="1"/>
  <c r="D214"/>
  <c r="H214" s="1"/>
  <c r="D210"/>
  <c r="H210" s="1"/>
  <c r="D206"/>
  <c r="H206" s="1"/>
  <c r="D202"/>
  <c r="H202" s="1"/>
  <c r="D198"/>
  <c r="H198" s="1"/>
  <c r="D194"/>
  <c r="H194" s="1"/>
  <c r="D310"/>
  <c r="H310" s="1"/>
  <c r="D306"/>
  <c r="H306" s="1"/>
  <c r="D302"/>
  <c r="H302" s="1"/>
  <c r="D298"/>
  <c r="H298" s="1"/>
  <c r="D294"/>
  <c r="H294" s="1"/>
  <c r="D290"/>
  <c r="H290" s="1"/>
  <c r="D286"/>
  <c r="H286" s="1"/>
  <c r="D282"/>
  <c r="H282" s="1"/>
  <c r="D278"/>
  <c r="H278" s="1"/>
  <c r="D274"/>
  <c r="H274" s="1"/>
  <c r="D270"/>
  <c r="H270" s="1"/>
  <c r="D266"/>
  <c r="H266" s="1"/>
  <c r="D262"/>
  <c r="H262" s="1"/>
  <c r="D258"/>
  <c r="H258" s="1"/>
  <c r="D254"/>
  <c r="H254" s="1"/>
  <c r="D250"/>
  <c r="H250" s="1"/>
  <c r="D246"/>
  <c r="H246" s="1"/>
  <c r="D242"/>
  <c r="H242" s="1"/>
  <c r="D238"/>
  <c r="H238" s="1"/>
  <c r="D227"/>
  <c r="H227" s="1"/>
  <c r="D223"/>
  <c r="H223" s="1"/>
  <c r="D219"/>
  <c r="H219" s="1"/>
  <c r="D215"/>
  <c r="H215" s="1"/>
  <c r="D211"/>
  <c r="H211" s="1"/>
  <c r="D207"/>
  <c r="H207" s="1"/>
  <c r="D203"/>
  <c r="H203" s="1"/>
  <c r="D199"/>
  <c r="H199" s="1"/>
  <c r="D195"/>
  <c r="H195" s="1"/>
  <c r="D191"/>
  <c r="H191" s="1"/>
  <c r="D187"/>
  <c r="H187" s="1"/>
  <c r="D183"/>
  <c r="H183" s="1"/>
  <c r="D179"/>
  <c r="H179" s="1"/>
  <c r="D311"/>
  <c r="H311" s="1"/>
  <c r="D307"/>
  <c r="H307" s="1"/>
  <c r="D303"/>
  <c r="H303" s="1"/>
  <c r="D299"/>
  <c r="H299" s="1"/>
  <c r="D295"/>
  <c r="H295" s="1"/>
  <c r="D291"/>
  <c r="H291" s="1"/>
  <c r="D287"/>
  <c r="H287" s="1"/>
  <c r="D283"/>
  <c r="H283" s="1"/>
  <c r="D279"/>
  <c r="H279" s="1"/>
  <c r="D275"/>
  <c r="H275" s="1"/>
  <c r="D271"/>
  <c r="H271" s="1"/>
  <c r="D267"/>
  <c r="H267" s="1"/>
  <c r="D263"/>
  <c r="H263" s="1"/>
  <c r="D259"/>
  <c r="H259" s="1"/>
  <c r="D255"/>
  <c r="H255" s="1"/>
  <c r="D251"/>
  <c r="H251" s="1"/>
  <c r="D247"/>
  <c r="H247" s="1"/>
  <c r="D243"/>
  <c r="H243" s="1"/>
  <c r="D239"/>
  <c r="H239" s="1"/>
  <c r="D228"/>
  <c r="H228" s="1"/>
  <c r="D224"/>
  <c r="H224" s="1"/>
  <c r="D220"/>
  <c r="H220" s="1"/>
  <c r="D216"/>
  <c r="H216" s="1"/>
  <c r="D212"/>
  <c r="H212" s="1"/>
  <c r="D208"/>
  <c r="H208" s="1"/>
  <c r="D204"/>
  <c r="H204" s="1"/>
  <c r="D200"/>
  <c r="H200" s="1"/>
  <c r="D196"/>
  <c r="H196" s="1"/>
  <c r="D312"/>
  <c r="H312" s="1"/>
  <c r="D308"/>
  <c r="H308" s="1"/>
  <c r="D304"/>
  <c r="H304" s="1"/>
  <c r="D300"/>
  <c r="H300" s="1"/>
  <c r="D296"/>
  <c r="H296" s="1"/>
  <c r="D292"/>
  <c r="H292" s="1"/>
  <c r="D288"/>
  <c r="H288" s="1"/>
  <c r="D284"/>
  <c r="H284" s="1"/>
  <c r="D280"/>
  <c r="H280" s="1"/>
  <c r="D276"/>
  <c r="H276" s="1"/>
  <c r="D272"/>
  <c r="H272" s="1"/>
  <c r="D268"/>
  <c r="H268" s="1"/>
  <c r="D264"/>
  <c r="H264" s="1"/>
  <c r="D260"/>
  <c r="H260" s="1"/>
  <c r="D256"/>
  <c r="H256" s="1"/>
  <c r="D252"/>
  <c r="H252" s="1"/>
  <c r="D248"/>
  <c r="H248" s="1"/>
  <c r="D244"/>
  <c r="H244" s="1"/>
  <c r="D240"/>
  <c r="H240" s="1"/>
  <c r="D236"/>
  <c r="D225"/>
  <c r="H225" s="1"/>
  <c r="D221"/>
  <c r="H221" s="1"/>
  <c r="D217"/>
  <c r="H217" s="1"/>
  <c r="D213"/>
  <c r="H213" s="1"/>
  <c r="D209"/>
  <c r="H209" s="1"/>
  <c r="D205"/>
  <c r="H205" s="1"/>
  <c r="D201"/>
  <c r="H201" s="1"/>
  <c r="D197"/>
  <c r="H197" s="1"/>
  <c r="D193"/>
  <c r="H193" s="1"/>
  <c r="D189"/>
  <c r="H189" s="1"/>
  <c r="D185"/>
  <c r="H185" s="1"/>
  <c r="D181"/>
  <c r="H181" s="1"/>
  <c r="D177"/>
  <c r="H177" s="1"/>
  <c r="D173"/>
  <c r="H173" s="1"/>
  <c r="D169"/>
  <c r="H169" s="1"/>
  <c r="D165"/>
  <c r="H165" s="1"/>
  <c r="D161"/>
  <c r="H161" s="1"/>
  <c r="D157"/>
  <c r="H157" s="1"/>
  <c r="D153"/>
  <c r="H153" s="1"/>
  <c r="D149"/>
  <c r="H149" s="1"/>
  <c r="D145"/>
  <c r="H145" s="1"/>
  <c r="D141"/>
  <c r="H141" s="1"/>
  <c r="D137"/>
  <c r="H137" s="1"/>
  <c r="D133"/>
  <c r="H133" s="1"/>
  <c r="D129"/>
  <c r="H129" s="1"/>
  <c r="D125"/>
  <c r="H125" s="1"/>
  <c r="D121"/>
  <c r="H121" s="1"/>
  <c r="D117"/>
  <c r="H117" s="1"/>
  <c r="D113"/>
  <c r="H113" s="1"/>
  <c r="D109"/>
  <c r="H109" s="1"/>
  <c r="D105"/>
  <c r="H105" s="1"/>
  <c r="D101"/>
  <c r="H101" s="1"/>
  <c r="D97"/>
  <c r="H97" s="1"/>
  <c r="D93"/>
  <c r="H93" s="1"/>
  <c r="D89"/>
  <c r="H89" s="1"/>
  <c r="D85"/>
  <c r="H85" s="1"/>
  <c r="D81"/>
  <c r="H81" s="1"/>
  <c r="D77"/>
  <c r="H77" s="1"/>
  <c r="D73"/>
  <c r="H73" s="1"/>
  <c r="D69"/>
  <c r="H69" s="1"/>
  <c r="D65"/>
  <c r="H65" s="1"/>
  <c r="D61"/>
  <c r="H61" s="1"/>
  <c r="D190"/>
  <c r="H190" s="1"/>
  <c r="D186"/>
  <c r="H186" s="1"/>
  <c r="D182"/>
  <c r="H182" s="1"/>
  <c r="D178"/>
  <c r="H178" s="1"/>
  <c r="D174"/>
  <c r="H174" s="1"/>
  <c r="D170"/>
  <c r="H170" s="1"/>
  <c r="D166"/>
  <c r="H166" s="1"/>
  <c r="D162"/>
  <c r="H162" s="1"/>
  <c r="D158"/>
  <c r="H158" s="1"/>
  <c r="D154"/>
  <c r="H154" s="1"/>
  <c r="D150"/>
  <c r="H150" s="1"/>
  <c r="D146"/>
  <c r="H146" s="1"/>
  <c r="D142"/>
  <c r="H142" s="1"/>
  <c r="D138"/>
  <c r="H138" s="1"/>
  <c r="D134"/>
  <c r="H134" s="1"/>
  <c r="D130"/>
  <c r="H130" s="1"/>
  <c r="D126"/>
  <c r="H126" s="1"/>
  <c r="D122"/>
  <c r="H122" s="1"/>
  <c r="D118"/>
  <c r="H118" s="1"/>
  <c r="D114"/>
  <c r="H114" s="1"/>
  <c r="D110"/>
  <c r="H110" s="1"/>
  <c r="D106"/>
  <c r="H106" s="1"/>
  <c r="D102"/>
  <c r="H102" s="1"/>
  <c r="D98"/>
  <c r="H98" s="1"/>
  <c r="D94"/>
  <c r="H94" s="1"/>
  <c r="D90"/>
  <c r="H90" s="1"/>
  <c r="D86"/>
  <c r="H86" s="1"/>
  <c r="D82"/>
  <c r="H82" s="1"/>
  <c r="D78"/>
  <c r="H78" s="1"/>
  <c r="D74"/>
  <c r="H74" s="1"/>
  <c r="D70"/>
  <c r="H70" s="1"/>
  <c r="D66"/>
  <c r="H66" s="1"/>
  <c r="D62"/>
  <c r="H62" s="1"/>
  <c r="D58"/>
  <c r="H58" s="1"/>
  <c r="D54"/>
  <c r="H54" s="1"/>
  <c r="D50"/>
  <c r="H50" s="1"/>
  <c r="D46"/>
  <c r="H46" s="1"/>
  <c r="D42"/>
  <c r="H42" s="1"/>
  <c r="D38"/>
  <c r="H38" s="1"/>
  <c r="D175"/>
  <c r="H175" s="1"/>
  <c r="D171"/>
  <c r="H171" s="1"/>
  <c r="D167"/>
  <c r="H167" s="1"/>
  <c r="D163"/>
  <c r="H163" s="1"/>
  <c r="D159"/>
  <c r="H159" s="1"/>
  <c r="D151"/>
  <c r="H151" s="1"/>
  <c r="D147"/>
  <c r="H147" s="1"/>
  <c r="D143"/>
  <c r="H143" s="1"/>
  <c r="D139"/>
  <c r="H139" s="1"/>
  <c r="D135"/>
  <c r="H135" s="1"/>
  <c r="D131"/>
  <c r="H131" s="1"/>
  <c r="D127"/>
  <c r="H127" s="1"/>
  <c r="D123"/>
  <c r="H123" s="1"/>
  <c r="D119"/>
  <c r="H119" s="1"/>
  <c r="D115"/>
  <c r="H115" s="1"/>
  <c r="D111"/>
  <c r="H111" s="1"/>
  <c r="D107"/>
  <c r="H107" s="1"/>
  <c r="D103"/>
  <c r="H103" s="1"/>
  <c r="D99"/>
  <c r="H99" s="1"/>
  <c r="D95"/>
  <c r="H95" s="1"/>
  <c r="D91"/>
  <c r="H91" s="1"/>
  <c r="D87"/>
  <c r="H87" s="1"/>
  <c r="D83"/>
  <c r="H83" s="1"/>
  <c r="D79"/>
  <c r="H79" s="1"/>
  <c r="D75"/>
  <c r="H75" s="1"/>
  <c r="D71"/>
  <c r="H71" s="1"/>
  <c r="D67"/>
  <c r="H67" s="1"/>
  <c r="D63"/>
  <c r="H63" s="1"/>
  <c r="D59"/>
  <c r="H59" s="1"/>
  <c r="D192"/>
  <c r="H192" s="1"/>
  <c r="D188"/>
  <c r="H188" s="1"/>
  <c r="D184"/>
  <c r="H184" s="1"/>
  <c r="D180"/>
  <c r="H180" s="1"/>
  <c r="D176"/>
  <c r="H176" s="1"/>
  <c r="D172"/>
  <c r="H172" s="1"/>
  <c r="D168"/>
  <c r="H168" s="1"/>
  <c r="D164"/>
  <c r="H164" s="1"/>
  <c r="D160"/>
  <c r="H160" s="1"/>
  <c r="D156"/>
  <c r="H156" s="1"/>
  <c r="D152"/>
  <c r="H152" s="1"/>
  <c r="D148"/>
  <c r="H148" s="1"/>
  <c r="D144"/>
  <c r="H144" s="1"/>
  <c r="D140"/>
  <c r="H140" s="1"/>
  <c r="D136"/>
  <c r="H136" s="1"/>
  <c r="D132"/>
  <c r="H132" s="1"/>
  <c r="D128"/>
  <c r="H128" s="1"/>
  <c r="D124"/>
  <c r="H124" s="1"/>
  <c r="D120"/>
  <c r="H120" s="1"/>
  <c r="D116"/>
  <c r="H116" s="1"/>
  <c r="D112"/>
  <c r="H112" s="1"/>
  <c r="D108"/>
  <c r="H108" s="1"/>
  <c r="D104"/>
  <c r="H104" s="1"/>
  <c r="D100"/>
  <c r="H100" s="1"/>
  <c r="D96"/>
  <c r="H96" s="1"/>
  <c r="D92"/>
  <c r="H92" s="1"/>
  <c r="D88"/>
  <c r="H88" s="1"/>
  <c r="D84"/>
  <c r="H84" s="1"/>
  <c r="D80"/>
  <c r="H80" s="1"/>
  <c r="D76"/>
  <c r="H76" s="1"/>
  <c r="D72"/>
  <c r="H72" s="1"/>
  <c r="D68"/>
  <c r="H68" s="1"/>
  <c r="D64"/>
  <c r="H64" s="1"/>
  <c r="D60"/>
  <c r="H60" s="1"/>
  <c r="D56"/>
  <c r="H56" s="1"/>
  <c r="D52"/>
  <c r="H52" s="1"/>
  <c r="D48"/>
  <c r="H48" s="1"/>
  <c r="D44"/>
  <c r="H44" s="1"/>
  <c r="D40"/>
  <c r="H40" s="1"/>
  <c r="D35"/>
  <c r="H35" s="1"/>
  <c r="J291" i="1" l="1"/>
  <c r="H292"/>
  <c r="J292" s="1"/>
  <c r="D293"/>
  <c r="F292"/>
  <c r="A351"/>
  <c r="A352" s="1"/>
  <c r="A353" s="1"/>
  <c r="A354" s="1"/>
  <c r="A355" s="1"/>
  <c r="A356" s="1"/>
  <c r="A357" s="1"/>
  <c r="A358" s="1"/>
  <c r="A359" s="1"/>
  <c r="A360" s="1"/>
  <c r="A361" s="1"/>
  <c r="A362" s="1"/>
  <c r="A363" s="1"/>
  <c r="A364" s="1"/>
  <c r="A365" s="1"/>
  <c r="A366"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D600" i="14"/>
  <c r="G227" i="1" s="1"/>
  <c r="L24" i="10"/>
  <c r="H23"/>
  <c r="D58" i="9"/>
  <c r="I227" i="1" s="1"/>
  <c r="F23" i="9"/>
  <c r="D85" i="8"/>
  <c r="H227" i="1" s="1"/>
  <c r="F26" i="8"/>
  <c r="J26" s="1"/>
  <c r="L26" s="1"/>
  <c r="J426" i="1"/>
  <c r="H427"/>
  <c r="J427" s="1"/>
  <c r="C426"/>
  <c r="D429"/>
  <c r="H428"/>
  <c r="J428" s="1"/>
  <c r="F428"/>
  <c r="J290"/>
  <c r="C291" s="1"/>
  <c r="J24" i="2"/>
  <c r="L24" s="1"/>
  <c r="D25" s="1"/>
  <c r="H24"/>
  <c r="F566" i="14"/>
  <c r="F567" s="1"/>
  <c r="F568" s="1"/>
  <c r="F569" s="1"/>
  <c r="F570" s="1"/>
  <c r="F571" s="1"/>
  <c r="F572" s="1"/>
  <c r="F573" s="1"/>
  <c r="F574" s="1"/>
  <c r="F575" s="1"/>
  <c r="F576" s="1"/>
  <c r="F577" s="1"/>
  <c r="F578" s="1"/>
  <c r="F579" s="1"/>
  <c r="J565"/>
  <c r="L565" s="1"/>
  <c r="H565"/>
  <c r="C212" i="1"/>
  <c r="D74" i="11"/>
  <c r="K227" i="1" s="1"/>
  <c r="F24" i="11"/>
  <c r="H23"/>
  <c r="J23"/>
  <c r="H24" i="10"/>
  <c r="J23"/>
  <c r="L23" s="1"/>
  <c r="D24" s="1"/>
  <c r="J25"/>
  <c r="L25" s="1"/>
  <c r="F26"/>
  <c r="H25"/>
  <c r="J25" i="8"/>
  <c r="L25" s="1"/>
  <c r="H26"/>
  <c r="C85" i="13"/>
  <c r="C80"/>
  <c r="C79"/>
  <c r="C74"/>
  <c r="C72"/>
  <c r="C69"/>
  <c r="C62"/>
  <c r="C58"/>
  <c r="C54"/>
  <c r="C25"/>
  <c r="C29"/>
  <c r="C33"/>
  <c r="C37"/>
  <c r="C41"/>
  <c r="C45"/>
  <c r="C49"/>
  <c r="C88"/>
  <c r="C77"/>
  <c r="C68"/>
  <c r="C63"/>
  <c r="C28"/>
  <c r="C36"/>
  <c r="C44"/>
  <c r="C87"/>
  <c r="C82"/>
  <c r="C76"/>
  <c r="C67"/>
  <c r="C66"/>
  <c r="C64"/>
  <c r="C60"/>
  <c r="C56"/>
  <c r="C27"/>
  <c r="C31"/>
  <c r="C35"/>
  <c r="C39"/>
  <c r="C43"/>
  <c r="C47"/>
  <c r="C84"/>
  <c r="C83"/>
  <c r="C73"/>
  <c r="C59"/>
  <c r="C55"/>
  <c r="C52"/>
  <c r="C24"/>
  <c r="C32"/>
  <c r="C40"/>
  <c r="C48"/>
  <c r="C86"/>
  <c r="C81"/>
  <c r="C75"/>
  <c r="C70"/>
  <c r="C61"/>
  <c r="C57"/>
  <c r="C53"/>
  <c r="C26"/>
  <c r="C30"/>
  <c r="C34"/>
  <c r="C38"/>
  <c r="C42"/>
  <c r="C46"/>
  <c r="C50"/>
  <c r="A68" i="6"/>
  <c r="A69" s="1"/>
  <c r="A70" s="1"/>
  <c r="A71" s="1"/>
  <c r="A72" s="1"/>
  <c r="A73" s="1"/>
  <c r="A74" s="1"/>
  <c r="A75" s="1"/>
  <c r="A76" s="1"/>
  <c r="A77" s="1"/>
  <c r="A78" s="1"/>
  <c r="A79" s="1"/>
  <c r="A80" s="1"/>
  <c r="A81" s="1"/>
  <c r="A82" s="1"/>
  <c r="F25" i="2"/>
  <c r="H25" s="1"/>
  <c r="D68"/>
  <c r="C227" i="1" s="1"/>
  <c r="H489" i="14"/>
  <c r="G212" i="1"/>
  <c r="C546" i="14"/>
  <c r="H209" i="1" s="1"/>
  <c r="H236" i="14"/>
  <c r="H32"/>
  <c r="C33" s="1"/>
  <c r="C34" s="1"/>
  <c r="C35" s="1"/>
  <c r="C36" s="1"/>
  <c r="C37" s="1"/>
  <c r="C38" s="1"/>
  <c r="C39" s="1"/>
  <c r="C40" s="1"/>
  <c r="C41" s="1"/>
  <c r="C42" s="1"/>
  <c r="C43" s="1"/>
  <c r="C44" s="1"/>
  <c r="C45" s="1"/>
  <c r="C46" s="1"/>
  <c r="C47" s="1"/>
  <c r="C48" s="1"/>
  <c r="C49" s="1"/>
  <c r="C50" s="1"/>
  <c r="C51" s="1"/>
  <c r="C52" s="1"/>
  <c r="C53" s="1"/>
  <c r="C54" s="1"/>
  <c r="C55" s="1"/>
  <c r="C56" s="1"/>
  <c r="C57" s="1"/>
  <c r="C58" s="1"/>
  <c r="C59" s="1"/>
  <c r="C60" s="1"/>
  <c r="C61" s="1"/>
  <c r="C62" s="1"/>
  <c r="C63" s="1"/>
  <c r="C64" s="1"/>
  <c r="C65" s="1"/>
  <c r="C66" s="1"/>
  <c r="C67" s="1"/>
  <c r="C68" s="1"/>
  <c r="C69" s="1"/>
  <c r="C70" s="1"/>
  <c r="C71" s="1"/>
  <c r="C72" s="1"/>
  <c r="C73" s="1"/>
  <c r="C74" s="1"/>
  <c r="C75" s="1"/>
  <c r="C76" s="1"/>
  <c r="C77" s="1"/>
  <c r="C78" s="1"/>
  <c r="C79" s="1"/>
  <c r="C80" s="1"/>
  <c r="C81" s="1"/>
  <c r="C82" s="1"/>
  <c r="C83" s="1"/>
  <c r="C84" s="1"/>
  <c r="C85" s="1"/>
  <c r="C86" s="1"/>
  <c r="C87" s="1"/>
  <c r="C88" s="1"/>
  <c r="C89" s="1"/>
  <c r="C90" s="1"/>
  <c r="C91" s="1"/>
  <c r="C92" s="1"/>
  <c r="C93" s="1"/>
  <c r="C94" s="1"/>
  <c r="C95" s="1"/>
  <c r="C96" s="1"/>
  <c r="C97" s="1"/>
  <c r="C98" s="1"/>
  <c r="C99" s="1"/>
  <c r="C100" s="1"/>
  <c r="C101" s="1"/>
  <c r="C102" s="1"/>
  <c r="C103" s="1"/>
  <c r="C104" s="1"/>
  <c r="C105" s="1"/>
  <c r="C106" s="1"/>
  <c r="C107" s="1"/>
  <c r="C108" s="1"/>
  <c r="C109" s="1"/>
  <c r="C110" s="1"/>
  <c r="C111" s="1"/>
  <c r="C112" s="1"/>
  <c r="C113" s="1"/>
  <c r="C114" s="1"/>
  <c r="C115" s="1"/>
  <c r="C116" s="1"/>
  <c r="C117" s="1"/>
  <c r="C118" s="1"/>
  <c r="C119" s="1"/>
  <c r="C120" s="1"/>
  <c r="C121" s="1"/>
  <c r="C122" s="1"/>
  <c r="C123" s="1"/>
  <c r="C124" s="1"/>
  <c r="C125" s="1"/>
  <c r="C126" s="1"/>
  <c r="C127" s="1"/>
  <c r="C128" s="1"/>
  <c r="C129" s="1"/>
  <c r="C130" s="1"/>
  <c r="C131" s="1"/>
  <c r="C132" s="1"/>
  <c r="C133" s="1"/>
  <c r="C134" s="1"/>
  <c r="C135" s="1"/>
  <c r="C136" s="1"/>
  <c r="C137" s="1"/>
  <c r="C138" s="1"/>
  <c r="C139" s="1"/>
  <c r="C140" s="1"/>
  <c r="C141" s="1"/>
  <c r="C142" s="1"/>
  <c r="C143" s="1"/>
  <c r="C144" s="1"/>
  <c r="C145" s="1"/>
  <c r="C146" s="1"/>
  <c r="C147" s="1"/>
  <c r="C148" s="1"/>
  <c r="C149" s="1"/>
  <c r="C150" s="1"/>
  <c r="C151" s="1"/>
  <c r="C152" s="1"/>
  <c r="C153" s="1"/>
  <c r="C154" s="1"/>
  <c r="C156"/>
  <c r="C157" s="1"/>
  <c r="C158" s="1"/>
  <c r="C159" s="1"/>
  <c r="C160" s="1"/>
  <c r="C161" s="1"/>
  <c r="C162" s="1"/>
  <c r="C163" s="1"/>
  <c r="C164" s="1"/>
  <c r="C165" s="1"/>
  <c r="C166" s="1"/>
  <c r="C167" s="1"/>
  <c r="C168" s="1"/>
  <c r="C169" s="1"/>
  <c r="C170" s="1"/>
  <c r="C171" s="1"/>
  <c r="C172" s="1"/>
  <c r="C173" s="1"/>
  <c r="C174" s="1"/>
  <c r="C175" s="1"/>
  <c r="C176" s="1"/>
  <c r="C177" s="1"/>
  <c r="C178" s="1"/>
  <c r="C179" s="1"/>
  <c r="C180" s="1"/>
  <c r="C181" s="1"/>
  <c r="C182" s="1"/>
  <c r="C183" s="1"/>
  <c r="C184" s="1"/>
  <c r="C185" s="1"/>
  <c r="C186" s="1"/>
  <c r="C187" s="1"/>
  <c r="C188" s="1"/>
  <c r="C189" s="1"/>
  <c r="C190" s="1"/>
  <c r="C191" s="1"/>
  <c r="C192" s="1"/>
  <c r="C193" s="1"/>
  <c r="C194" s="1"/>
  <c r="C195" s="1"/>
  <c r="C196" s="1"/>
  <c r="C197" s="1"/>
  <c r="C198" s="1"/>
  <c r="C199" s="1"/>
  <c r="C200" s="1"/>
  <c r="C201" s="1"/>
  <c r="C202" s="1"/>
  <c r="C203" s="1"/>
  <c r="C204" s="1"/>
  <c r="C205" s="1"/>
  <c r="C206" s="1"/>
  <c r="C207" s="1"/>
  <c r="C208" s="1"/>
  <c r="C209" s="1"/>
  <c r="C210" s="1"/>
  <c r="C211" s="1"/>
  <c r="C212" s="1"/>
  <c r="C213" s="1"/>
  <c r="C214" s="1"/>
  <c r="C215" s="1"/>
  <c r="C216" s="1"/>
  <c r="C217" s="1"/>
  <c r="C218" s="1"/>
  <c r="C219" s="1"/>
  <c r="C220" s="1"/>
  <c r="C221" s="1"/>
  <c r="C222" s="1"/>
  <c r="C223" s="1"/>
  <c r="C224" s="1"/>
  <c r="C225" s="1"/>
  <c r="C226" s="1"/>
  <c r="C227" s="1"/>
  <c r="C228" s="1"/>
  <c r="C236" s="1"/>
  <c r="C237" s="1"/>
  <c r="C238" s="1"/>
  <c r="C239" s="1"/>
  <c r="C240" s="1"/>
  <c r="C241" s="1"/>
  <c r="C242" s="1"/>
  <c r="C243" s="1"/>
  <c r="C244" s="1"/>
  <c r="C245" s="1"/>
  <c r="C246" s="1"/>
  <c r="C247" s="1"/>
  <c r="C248" s="1"/>
  <c r="C249" s="1"/>
  <c r="C250" s="1"/>
  <c r="C251" s="1"/>
  <c r="C252" s="1"/>
  <c r="C253" s="1"/>
  <c r="C254" s="1"/>
  <c r="C255" s="1"/>
  <c r="C256" s="1"/>
  <c r="C257" s="1"/>
  <c r="C258" s="1"/>
  <c r="C259" s="1"/>
  <c r="C260" s="1"/>
  <c r="C261" s="1"/>
  <c r="C262" s="1"/>
  <c r="C263" s="1"/>
  <c r="C264" s="1"/>
  <c r="C265" s="1"/>
  <c r="C266" s="1"/>
  <c r="C267" s="1"/>
  <c r="C268" s="1"/>
  <c r="C269" s="1"/>
  <c r="C270" s="1"/>
  <c r="C271" s="1"/>
  <c r="C272" s="1"/>
  <c r="C273" s="1"/>
  <c r="C274" s="1"/>
  <c r="C275" s="1"/>
  <c r="C276" s="1"/>
  <c r="C277" s="1"/>
  <c r="C278" s="1"/>
  <c r="C279" s="1"/>
  <c r="C280" s="1"/>
  <c r="C281" s="1"/>
  <c r="C282" s="1"/>
  <c r="C283" s="1"/>
  <c r="C284" s="1"/>
  <c r="C285" s="1"/>
  <c r="C286" s="1"/>
  <c r="C287" s="1"/>
  <c r="C288" s="1"/>
  <c r="C289" s="1"/>
  <c r="C290" s="1"/>
  <c r="C291" s="1"/>
  <c r="C292" s="1"/>
  <c r="C293" s="1"/>
  <c r="C294" s="1"/>
  <c r="C295" s="1"/>
  <c r="C296" s="1"/>
  <c r="C297" s="1"/>
  <c r="C298" s="1"/>
  <c r="C299" s="1"/>
  <c r="C300" s="1"/>
  <c r="C301" s="1"/>
  <c r="C302" s="1"/>
  <c r="C303" s="1"/>
  <c r="C304" s="1"/>
  <c r="C305" s="1"/>
  <c r="C306" s="1"/>
  <c r="C307" s="1"/>
  <c r="C308" s="1"/>
  <c r="C309" s="1"/>
  <c r="C310" s="1"/>
  <c r="C311" s="1"/>
  <c r="C312" s="1"/>
  <c r="C313" s="1"/>
  <c r="C314" s="1"/>
  <c r="C315" s="1"/>
  <c r="C316" s="1"/>
  <c r="C317" s="1"/>
  <c r="C318" s="1"/>
  <c r="C319" s="1"/>
  <c r="C320" s="1"/>
  <c r="C321" s="1"/>
  <c r="C322" s="1"/>
  <c r="C323" s="1"/>
  <c r="C324" s="1"/>
  <c r="C325" s="1"/>
  <c r="C326" s="1"/>
  <c r="C327" s="1"/>
  <c r="C328" s="1"/>
  <c r="C329" s="1"/>
  <c r="C330" s="1"/>
  <c r="C331" s="1"/>
  <c r="C332" s="1"/>
  <c r="G32"/>
  <c r="E33"/>
  <c r="C292" i="1" l="1"/>
  <c r="C293" s="1"/>
  <c r="F27" i="8"/>
  <c r="J27" s="1"/>
  <c r="L27" s="1"/>
  <c r="D294" i="1"/>
  <c r="H293"/>
  <c r="J293" s="1"/>
  <c r="F293"/>
  <c r="H23" i="9"/>
  <c r="J23"/>
  <c r="L23" s="1"/>
  <c r="D24" s="1"/>
  <c r="F24"/>
  <c r="J25" i="2"/>
  <c r="L25" s="1"/>
  <c r="D26" s="1"/>
  <c r="C427" i="1"/>
  <c r="C428" s="1"/>
  <c r="C429" s="1"/>
  <c r="F429"/>
  <c r="H429"/>
  <c r="J429" s="1"/>
  <c r="D430"/>
  <c r="F26" i="2"/>
  <c r="H26" s="1"/>
  <c r="J567" i="14"/>
  <c r="L567" s="1"/>
  <c r="J566"/>
  <c r="L566" s="1"/>
  <c r="H566"/>
  <c r="H567"/>
  <c r="C333"/>
  <c r="C334" s="1"/>
  <c r="C335" s="1"/>
  <c r="C336" s="1"/>
  <c r="C337" s="1"/>
  <c r="C338" s="1"/>
  <c r="C339" s="1"/>
  <c r="C340" s="1"/>
  <c r="C341" s="1"/>
  <c r="C342" s="1"/>
  <c r="C343" s="1"/>
  <c r="C344" s="1"/>
  <c r="C345" s="1"/>
  <c r="C346" s="1"/>
  <c r="C347" s="1"/>
  <c r="C348" s="1"/>
  <c r="C349" s="1"/>
  <c r="C350" s="1"/>
  <c r="C351" s="1"/>
  <c r="C352" s="1"/>
  <c r="C353" s="1"/>
  <c r="C354" s="1"/>
  <c r="C355" s="1"/>
  <c r="C356" s="1"/>
  <c r="C357" s="1"/>
  <c r="C358" s="1"/>
  <c r="C359" s="1"/>
  <c r="C360" s="1"/>
  <c r="C361" s="1"/>
  <c r="C362" s="1"/>
  <c r="C363" s="1"/>
  <c r="C364" s="1"/>
  <c r="C365" s="1"/>
  <c r="C366" s="1"/>
  <c r="C367" s="1"/>
  <c r="C368" s="1"/>
  <c r="C369" s="1"/>
  <c r="C370" s="1"/>
  <c r="C371" s="1"/>
  <c r="C372" s="1"/>
  <c r="C373" s="1"/>
  <c r="C374" s="1"/>
  <c r="C375" s="1"/>
  <c r="C376" s="1"/>
  <c r="C377" s="1"/>
  <c r="C378" s="1"/>
  <c r="C379" s="1"/>
  <c r="C380" s="1"/>
  <c r="C381" s="1"/>
  <c r="C382" s="1"/>
  <c r="C383" s="1"/>
  <c r="C384" s="1"/>
  <c r="C385" s="1"/>
  <c r="C386" s="1"/>
  <c r="C387" s="1"/>
  <c r="C388" s="1"/>
  <c r="C389" s="1"/>
  <c r="C390" s="1"/>
  <c r="C391" s="1"/>
  <c r="C392" s="1"/>
  <c r="C393" s="1"/>
  <c r="C394" s="1"/>
  <c r="C395" s="1"/>
  <c r="C396" s="1"/>
  <c r="C397" s="1"/>
  <c r="C398" s="1"/>
  <c r="C399" s="1"/>
  <c r="C400" s="1"/>
  <c r="C401" s="1"/>
  <c r="C402" s="1"/>
  <c r="C403" s="1"/>
  <c r="C404" s="1"/>
  <c r="C405" s="1"/>
  <c r="C406" s="1"/>
  <c r="C407" s="1"/>
  <c r="C408" s="1"/>
  <c r="C409" s="1"/>
  <c r="C410" s="1"/>
  <c r="C411" s="1"/>
  <c r="C412" s="1"/>
  <c r="C413" s="1"/>
  <c r="C414" s="1"/>
  <c r="C415" s="1"/>
  <c r="C416" s="1"/>
  <c r="C417" s="1"/>
  <c r="C418" s="1"/>
  <c r="C419" s="1"/>
  <c r="C420" s="1"/>
  <c r="C421" s="1"/>
  <c r="C422" s="1"/>
  <c r="C423" s="1"/>
  <c r="C424" s="1"/>
  <c r="C425" s="1"/>
  <c r="C426" s="1"/>
  <c r="C427" s="1"/>
  <c r="C428" s="1"/>
  <c r="C429" s="1"/>
  <c r="C430" s="1"/>
  <c r="C431" s="1"/>
  <c r="C432" s="1"/>
  <c r="C433" s="1"/>
  <c r="C434" s="1"/>
  <c r="C435" s="1"/>
  <c r="C436" s="1"/>
  <c r="C437" s="1"/>
  <c r="C438" s="1"/>
  <c r="C439" s="1"/>
  <c r="C440" s="1"/>
  <c r="C441" s="1"/>
  <c r="C442" s="1"/>
  <c r="C443" s="1"/>
  <c r="C444" s="1"/>
  <c r="C445" s="1"/>
  <c r="C446" s="1"/>
  <c r="C447" s="1"/>
  <c r="C448" s="1"/>
  <c r="C449" s="1"/>
  <c r="C450" s="1"/>
  <c r="C451" s="1"/>
  <c r="C452" s="1"/>
  <c r="C453" s="1"/>
  <c r="C454" s="1"/>
  <c r="C455" s="1"/>
  <c r="C456" s="1"/>
  <c r="C457" s="1"/>
  <c r="C458" s="1"/>
  <c r="C459" s="1"/>
  <c r="C460" s="1"/>
  <c r="C461" s="1"/>
  <c r="C462" s="1"/>
  <c r="C463" s="1"/>
  <c r="C464" s="1"/>
  <c r="C465" s="1"/>
  <c r="C466" s="1"/>
  <c r="C467" s="1"/>
  <c r="C468" s="1"/>
  <c r="C469" s="1"/>
  <c r="C470" s="1"/>
  <c r="C471" s="1"/>
  <c r="C472" s="1"/>
  <c r="C473" s="1"/>
  <c r="C474" s="1"/>
  <c r="C475" s="1"/>
  <c r="C476" s="1"/>
  <c r="C477" s="1"/>
  <c r="C478" s="1"/>
  <c r="C479" s="1"/>
  <c r="C480" s="1"/>
  <c r="C481" s="1"/>
  <c r="C482" s="1"/>
  <c r="C483" s="1"/>
  <c r="C484" s="1"/>
  <c r="C485" s="1"/>
  <c r="C486" s="1"/>
  <c r="C487" s="1"/>
  <c r="C488" s="1"/>
  <c r="C489" s="1"/>
  <c r="C490" s="1"/>
  <c r="C491" s="1"/>
  <c r="C492" s="1"/>
  <c r="C493" s="1"/>
  <c r="C494" s="1"/>
  <c r="C495" s="1"/>
  <c r="C496" s="1"/>
  <c r="C497" s="1"/>
  <c r="C498" s="1"/>
  <c r="C499" s="1"/>
  <c r="C500" s="1"/>
  <c r="C501" s="1"/>
  <c r="C502" s="1"/>
  <c r="C503" s="1"/>
  <c r="C504" s="1"/>
  <c r="C505" s="1"/>
  <c r="C506" s="1"/>
  <c r="C507" s="1"/>
  <c r="C508" s="1"/>
  <c r="C509" s="1"/>
  <c r="C510" s="1"/>
  <c r="C511" s="1"/>
  <c r="C512" s="1"/>
  <c r="C513" s="1"/>
  <c r="C514" s="1"/>
  <c r="C515" s="1"/>
  <c r="C516" s="1"/>
  <c r="C517" s="1"/>
  <c r="C518" s="1"/>
  <c r="C519" s="1"/>
  <c r="C520" s="1"/>
  <c r="C521" s="1"/>
  <c r="C522" s="1"/>
  <c r="C523" s="1"/>
  <c r="C524" s="1"/>
  <c r="C525" s="1"/>
  <c r="C526" s="1"/>
  <c r="C527" s="1"/>
  <c r="C528" s="1"/>
  <c r="C529" s="1"/>
  <c r="C530" s="1"/>
  <c r="C531" s="1"/>
  <c r="C532" s="1"/>
  <c r="C533" s="1"/>
  <c r="C534" s="1"/>
  <c r="C535" s="1"/>
  <c r="C536" s="1"/>
  <c r="C537" s="1"/>
  <c r="C538" s="1"/>
  <c r="C539" s="1"/>
  <c r="C540" s="1"/>
  <c r="B554"/>
  <c r="J568"/>
  <c r="L568" s="1"/>
  <c r="H568"/>
  <c r="L23" i="11"/>
  <c r="D24" s="1"/>
  <c r="F25"/>
  <c r="H24"/>
  <c r="J24"/>
  <c r="D25" i="10"/>
  <c r="J26"/>
  <c r="L26" s="1"/>
  <c r="F27"/>
  <c r="H26"/>
  <c r="H27" i="8"/>
  <c r="D93" i="13"/>
  <c r="B227" i="1" s="1"/>
  <c r="J26" i="2"/>
  <c r="L26" s="1"/>
  <c r="I32" i="14"/>
  <c r="B33" s="1"/>
  <c r="E34"/>
  <c r="G33"/>
  <c r="F28" i="8" l="1"/>
  <c r="J28" s="1"/>
  <c r="L28" s="1"/>
  <c r="C294" i="1"/>
  <c r="D295"/>
  <c r="H294"/>
  <c r="J294" s="1"/>
  <c r="F294"/>
  <c r="F25" i="9"/>
  <c r="J24"/>
  <c r="L24" s="1"/>
  <c r="D25" s="1"/>
  <c r="H24"/>
  <c r="C430" i="1"/>
  <c r="H430"/>
  <c r="J430" s="1"/>
  <c r="D431"/>
  <c r="F430"/>
  <c r="D27" i="2"/>
  <c r="F27"/>
  <c r="H27" s="1"/>
  <c r="H569" i="14"/>
  <c r="J569"/>
  <c r="L569" s="1"/>
  <c r="L24" i="11"/>
  <c r="D25" s="1"/>
  <c r="J25"/>
  <c r="L25" s="1"/>
  <c r="F26"/>
  <c r="H25"/>
  <c r="D26" i="10"/>
  <c r="F28"/>
  <c r="H27"/>
  <c r="J27"/>
  <c r="L27" s="1"/>
  <c r="I33" i="14"/>
  <c r="B34" s="1"/>
  <c r="E35"/>
  <c r="G34"/>
  <c r="C295" i="1" l="1"/>
  <c r="H28" i="8"/>
  <c r="F29"/>
  <c r="H29" s="1"/>
  <c r="D296" i="1"/>
  <c r="H295"/>
  <c r="J295" s="1"/>
  <c r="C296" s="1"/>
  <c r="F295"/>
  <c r="F26" i="9"/>
  <c r="H25"/>
  <c r="J25"/>
  <c r="L25" s="1"/>
  <c r="D26" s="1"/>
  <c r="F28" i="2"/>
  <c r="H28" s="1"/>
  <c r="C431" i="1"/>
  <c r="D432"/>
  <c r="F431"/>
  <c r="H431"/>
  <c r="J431" s="1"/>
  <c r="J27" i="2"/>
  <c r="L27" s="1"/>
  <c r="D28" s="1"/>
  <c r="H570" i="14"/>
  <c r="J570"/>
  <c r="L570" s="1"/>
  <c r="D26" i="11"/>
  <c r="J26"/>
  <c r="L26" s="1"/>
  <c r="F27"/>
  <c r="H26"/>
  <c r="D27" i="10"/>
  <c r="F29"/>
  <c r="H28"/>
  <c r="J28"/>
  <c r="L28" s="1"/>
  <c r="F30" i="8"/>
  <c r="H30" s="1"/>
  <c r="I34" i="14"/>
  <c r="B35" s="1"/>
  <c r="E36"/>
  <c r="G35"/>
  <c r="J29" i="8" l="1"/>
  <c r="L29" s="1"/>
  <c r="D297" i="1"/>
  <c r="H296"/>
  <c r="J296" s="1"/>
  <c r="C297" s="1"/>
  <c r="F296"/>
  <c r="F27" i="9"/>
  <c r="J26"/>
  <c r="L26" s="1"/>
  <c r="D27" s="1"/>
  <c r="H26"/>
  <c r="J28" i="2"/>
  <c r="L28" s="1"/>
  <c r="D29" s="1"/>
  <c r="F29"/>
  <c r="H29" s="1"/>
  <c r="C432" i="1"/>
  <c r="D433"/>
  <c r="F432"/>
  <c r="H432"/>
  <c r="J432" s="1"/>
  <c r="J571" i="14"/>
  <c r="L571" s="1"/>
  <c r="H571"/>
  <c r="D27" i="11"/>
  <c r="J39"/>
  <c r="L39" s="1"/>
  <c r="F40"/>
  <c r="H39"/>
  <c r="F28"/>
  <c r="H27"/>
  <c r="J27"/>
  <c r="L27" s="1"/>
  <c r="D28" i="10"/>
  <c r="J29"/>
  <c r="L29" s="1"/>
  <c r="F30"/>
  <c r="H29"/>
  <c r="J30" i="8"/>
  <c r="L30" s="1"/>
  <c r="F31"/>
  <c r="F32" s="1"/>
  <c r="J29" i="2"/>
  <c r="L29" s="1"/>
  <c r="I35" i="14"/>
  <c r="B36" s="1"/>
  <c r="E37"/>
  <c r="G36"/>
  <c r="D298" i="1" l="1"/>
  <c r="H297"/>
  <c r="J297" s="1"/>
  <c r="C298" s="1"/>
  <c r="F297"/>
  <c r="F28" i="9"/>
  <c r="J27"/>
  <c r="L27" s="1"/>
  <c r="D28" s="1"/>
  <c r="H27"/>
  <c r="F30" i="2"/>
  <c r="H30" s="1"/>
  <c r="C433" i="1"/>
  <c r="F433"/>
  <c r="H433"/>
  <c r="J433" s="1"/>
  <c r="D434"/>
  <c r="D30" i="2"/>
  <c r="J572" i="14"/>
  <c r="L572" s="1"/>
  <c r="H572"/>
  <c r="D28" i="11"/>
  <c r="F29"/>
  <c r="H28"/>
  <c r="J28"/>
  <c r="L28" s="1"/>
  <c r="F41"/>
  <c r="F42" s="1"/>
  <c r="F43" s="1"/>
  <c r="F44" s="1"/>
  <c r="F45" s="1"/>
  <c r="F46" s="1"/>
  <c r="F47" s="1"/>
  <c r="F48" s="1"/>
  <c r="F49" s="1"/>
  <c r="F50" s="1"/>
  <c r="F51" s="1"/>
  <c r="F52" s="1"/>
  <c r="F53" s="1"/>
  <c r="F54" s="1"/>
  <c r="H40"/>
  <c r="J40"/>
  <c r="L40" s="1"/>
  <c r="D29" i="10"/>
  <c r="J30"/>
  <c r="L30" s="1"/>
  <c r="F31"/>
  <c r="H30"/>
  <c r="H31" i="8"/>
  <c r="J31"/>
  <c r="L31" s="1"/>
  <c r="F33"/>
  <c r="H32"/>
  <c r="J32"/>
  <c r="L32" s="1"/>
  <c r="I36" i="14"/>
  <c r="B37" s="1"/>
  <c r="G37"/>
  <c r="I37" s="1"/>
  <c r="E38"/>
  <c r="D299" i="1" l="1"/>
  <c r="H298"/>
  <c r="J298" s="1"/>
  <c r="C299" s="1"/>
  <c r="F298"/>
  <c r="F29" i="9"/>
  <c r="H28"/>
  <c r="J28"/>
  <c r="L28" s="1"/>
  <c r="D29" s="1"/>
  <c r="F31" i="2"/>
  <c r="H31" s="1"/>
  <c r="J30"/>
  <c r="L30" s="1"/>
  <c r="D31" s="1"/>
  <c r="C434" i="1"/>
  <c r="D435"/>
  <c r="F434"/>
  <c r="H434"/>
  <c r="J434" s="1"/>
  <c r="H573" i="14"/>
  <c r="J573"/>
  <c r="L573" s="1"/>
  <c r="D29" i="11"/>
  <c r="J29"/>
  <c r="L29" s="1"/>
  <c r="F30"/>
  <c r="H29"/>
  <c r="H41"/>
  <c r="J41"/>
  <c r="L41" s="1"/>
  <c r="D30" i="10"/>
  <c r="D31" s="1"/>
  <c r="F32"/>
  <c r="H31"/>
  <c r="J31"/>
  <c r="L31" s="1"/>
  <c r="F34" i="8"/>
  <c r="H33"/>
  <c r="J33"/>
  <c r="L33" s="1"/>
  <c r="J31" i="2"/>
  <c r="L31" s="1"/>
  <c r="B38" i="14"/>
  <c r="E39"/>
  <c r="G38"/>
  <c r="D300" i="1" l="1"/>
  <c r="H299"/>
  <c r="J299" s="1"/>
  <c r="C300" s="1"/>
  <c r="F299"/>
  <c r="F30" i="9"/>
  <c r="H29"/>
  <c r="J29"/>
  <c r="L29" s="1"/>
  <c r="D30" s="1"/>
  <c r="F32" i="2"/>
  <c r="H32" s="1"/>
  <c r="D32"/>
  <c r="C435" i="1"/>
  <c r="D436"/>
  <c r="F435"/>
  <c r="H435"/>
  <c r="J435" s="1"/>
  <c r="D30" i="11"/>
  <c r="H574" i="14"/>
  <c r="J574"/>
  <c r="L574" s="1"/>
  <c r="J42" i="11"/>
  <c r="L42" s="1"/>
  <c r="H42"/>
  <c r="J30"/>
  <c r="L30" s="1"/>
  <c r="F31"/>
  <c r="H30"/>
  <c r="F33" i="10"/>
  <c r="H32"/>
  <c r="J32"/>
  <c r="L32" s="1"/>
  <c r="D32"/>
  <c r="J34" i="8"/>
  <c r="L34" s="1"/>
  <c r="F35"/>
  <c r="H34"/>
  <c r="I38" i="14"/>
  <c r="B39" s="1"/>
  <c r="G39"/>
  <c r="I39" s="1"/>
  <c r="E40"/>
  <c r="J32" i="2" l="1"/>
  <c r="L32" s="1"/>
  <c r="D33" s="1"/>
  <c r="D301" i="1"/>
  <c r="H300"/>
  <c r="J300" s="1"/>
  <c r="C301" s="1"/>
  <c r="F300"/>
  <c r="D31" i="11"/>
  <c r="F31" i="9"/>
  <c r="J30"/>
  <c r="L30" s="1"/>
  <c r="D31" s="1"/>
  <c r="H30"/>
  <c r="F33" i="2"/>
  <c r="F34" s="1"/>
  <c r="C436" i="1"/>
  <c r="D437"/>
  <c r="F436"/>
  <c r="H436"/>
  <c r="J436" s="1"/>
  <c r="J575" i="14"/>
  <c r="L575" s="1"/>
  <c r="H575"/>
  <c r="F32" i="11"/>
  <c r="H31"/>
  <c r="J31"/>
  <c r="L31" s="1"/>
  <c r="J43"/>
  <c r="L43" s="1"/>
  <c r="H43"/>
  <c r="J33" i="10"/>
  <c r="L33" s="1"/>
  <c r="F34"/>
  <c r="H33"/>
  <c r="D33"/>
  <c r="J35" i="8"/>
  <c r="L35" s="1"/>
  <c r="H35"/>
  <c r="B40" i="14"/>
  <c r="E41"/>
  <c r="G40"/>
  <c r="D302" i="1" l="1"/>
  <c r="H301"/>
  <c r="J301" s="1"/>
  <c r="C302" s="1"/>
  <c r="F301"/>
  <c r="D32" i="11"/>
  <c r="F32" i="9"/>
  <c r="J31"/>
  <c r="L31" s="1"/>
  <c r="D32" s="1"/>
  <c r="H31"/>
  <c r="H33" i="2"/>
  <c r="J33"/>
  <c r="L33" s="1"/>
  <c r="D34" s="1"/>
  <c r="C437" i="1"/>
  <c r="F437"/>
  <c r="H437"/>
  <c r="J437" s="1"/>
  <c r="D438"/>
  <c r="F36" i="2"/>
  <c r="H34"/>
  <c r="J576" i="14"/>
  <c r="L576" s="1"/>
  <c r="H576"/>
  <c r="H44" i="11"/>
  <c r="J44"/>
  <c r="L44" s="1"/>
  <c r="F33"/>
  <c r="F34" s="1"/>
  <c r="H32"/>
  <c r="J32"/>
  <c r="L32" s="1"/>
  <c r="J34" i="10"/>
  <c r="L34" s="1"/>
  <c r="F35"/>
  <c r="H34"/>
  <c r="D34"/>
  <c r="F38" i="8"/>
  <c r="H37"/>
  <c r="J37"/>
  <c r="L37" s="1"/>
  <c r="J34" i="2"/>
  <c r="L34" s="1"/>
  <c r="I40" i="14"/>
  <c r="B41" s="1"/>
  <c r="G41"/>
  <c r="E42"/>
  <c r="D303" i="1" l="1"/>
  <c r="H302"/>
  <c r="J302" s="1"/>
  <c r="C303" s="1"/>
  <c r="F302"/>
  <c r="D33" i="11"/>
  <c r="F35"/>
  <c r="H34"/>
  <c r="J34"/>
  <c r="L34" s="1"/>
  <c r="F33" i="9"/>
  <c r="H32"/>
  <c r="J32"/>
  <c r="L32" s="1"/>
  <c r="D33" s="1"/>
  <c r="D36" i="2"/>
  <c r="C438" i="1"/>
  <c r="D439"/>
  <c r="F438"/>
  <c r="H438"/>
  <c r="J438" s="1"/>
  <c r="H36" i="2"/>
  <c r="J36"/>
  <c r="L36" s="1"/>
  <c r="F37"/>
  <c r="H577" i="14"/>
  <c r="J577"/>
  <c r="L577" s="1"/>
  <c r="H45" i="11"/>
  <c r="J45"/>
  <c r="L45" s="1"/>
  <c r="J33"/>
  <c r="L33" s="1"/>
  <c r="H33"/>
  <c r="F36" i="10"/>
  <c r="H35"/>
  <c r="J35"/>
  <c r="L35" s="1"/>
  <c r="D35"/>
  <c r="F39" i="8"/>
  <c r="H38"/>
  <c r="J38"/>
  <c r="L38" s="1"/>
  <c r="I41" i="14"/>
  <c r="B42" s="1"/>
  <c r="E43"/>
  <c r="G42"/>
  <c r="I42" s="1"/>
  <c r="D304" i="1" l="1"/>
  <c r="H303"/>
  <c r="J303" s="1"/>
  <c r="C304" s="1"/>
  <c r="F303"/>
  <c r="D34" i="11"/>
  <c r="D35" s="1"/>
  <c r="F36"/>
  <c r="J35"/>
  <c r="L35" s="1"/>
  <c r="H35"/>
  <c r="F34" i="9"/>
  <c r="H33"/>
  <c r="J33"/>
  <c r="L33" s="1"/>
  <c r="D34" s="1"/>
  <c r="D37" i="2"/>
  <c r="C439" i="1"/>
  <c r="H439"/>
  <c r="J439" s="1"/>
  <c r="D440"/>
  <c r="F439"/>
  <c r="F38" i="2"/>
  <c r="H37"/>
  <c r="H578" i="14"/>
  <c r="J578"/>
  <c r="L578" s="1"/>
  <c r="J46" i="11"/>
  <c r="L46" s="1"/>
  <c r="H46"/>
  <c r="F37" i="10"/>
  <c r="H36"/>
  <c r="J36"/>
  <c r="L36" s="1"/>
  <c r="D36"/>
  <c r="J39" i="8"/>
  <c r="L39" s="1"/>
  <c r="F40"/>
  <c r="H39"/>
  <c r="J37" i="2"/>
  <c r="L37" s="1"/>
  <c r="B43" i="14"/>
  <c r="G43"/>
  <c r="E44"/>
  <c r="D305" i="1" l="1"/>
  <c r="H304"/>
  <c r="J304" s="1"/>
  <c r="C305" s="1"/>
  <c r="F304"/>
  <c r="D36" i="11"/>
  <c r="F37"/>
  <c r="J36"/>
  <c r="L36" s="1"/>
  <c r="H36"/>
  <c r="F35" i="9"/>
  <c r="J34"/>
  <c r="L34" s="1"/>
  <c r="D35" s="1"/>
  <c r="H34"/>
  <c r="D38" i="2"/>
  <c r="C440" i="1"/>
  <c r="D441"/>
  <c r="H440"/>
  <c r="J440" s="1"/>
  <c r="F440"/>
  <c r="F39" i="2"/>
  <c r="H38"/>
  <c r="J579" i="14"/>
  <c r="L579" s="1"/>
  <c r="H579"/>
  <c r="J47" i="11"/>
  <c r="L47" s="1"/>
  <c r="H47"/>
  <c r="J37" i="10"/>
  <c r="L37" s="1"/>
  <c r="F38"/>
  <c r="H37"/>
  <c r="D37"/>
  <c r="J40" i="8"/>
  <c r="L40" s="1"/>
  <c r="F41"/>
  <c r="H40"/>
  <c r="J38" i="2"/>
  <c r="L38" s="1"/>
  <c r="I43" i="14"/>
  <c r="B44" s="1"/>
  <c r="E45"/>
  <c r="G44"/>
  <c r="I44" s="1"/>
  <c r="D37" i="11" l="1"/>
  <c r="D306" i="1"/>
  <c r="H305"/>
  <c r="J305" s="1"/>
  <c r="C306" s="1"/>
  <c r="F305"/>
  <c r="D40" i="11"/>
  <c r="D41" s="1"/>
  <c r="D42" s="1"/>
  <c r="D43" s="1"/>
  <c r="D44" s="1"/>
  <c r="D45" s="1"/>
  <c r="D46" s="1"/>
  <c r="D47" s="1"/>
  <c r="D48" s="1"/>
  <c r="F56"/>
  <c r="H37"/>
  <c r="J37"/>
  <c r="L37" s="1"/>
  <c r="F36" i="9"/>
  <c r="J35"/>
  <c r="L35" s="1"/>
  <c r="D36" s="1"/>
  <c r="H35"/>
  <c r="D39" i="2"/>
  <c r="C441" i="1"/>
  <c r="H441"/>
  <c r="J441" s="1"/>
  <c r="F441"/>
  <c r="D442"/>
  <c r="F40" i="2"/>
  <c r="H39"/>
  <c r="J581" i="14"/>
  <c r="L581" s="1"/>
  <c r="F582"/>
  <c r="F583" s="1"/>
  <c r="F584" s="1"/>
  <c r="F585" s="1"/>
  <c r="F586" s="1"/>
  <c r="F587" s="1"/>
  <c r="F588" s="1"/>
  <c r="F589" s="1"/>
  <c r="F590" s="1"/>
  <c r="F591" s="1"/>
  <c r="F592" s="1"/>
  <c r="F593" s="1"/>
  <c r="F594" s="1"/>
  <c r="F595" s="1"/>
  <c r="H581"/>
  <c r="H48" i="11"/>
  <c r="J48"/>
  <c r="L48" s="1"/>
  <c r="J38" i="10"/>
  <c r="L38" s="1"/>
  <c r="F39"/>
  <c r="H38"/>
  <c r="D38"/>
  <c r="F42" i="8"/>
  <c r="H41"/>
  <c r="J41"/>
  <c r="L41" s="1"/>
  <c r="J39" i="2"/>
  <c r="L39" s="1"/>
  <c r="B45" i="14"/>
  <c r="G45"/>
  <c r="E46"/>
  <c r="D307" i="1" l="1"/>
  <c r="H306"/>
  <c r="J306" s="1"/>
  <c r="C307" s="1"/>
  <c r="F306"/>
  <c r="F37" i="9"/>
  <c r="J36"/>
  <c r="L36" s="1"/>
  <c r="D37" s="1"/>
  <c r="H36"/>
  <c r="D40" i="2"/>
  <c r="C442" i="1"/>
  <c r="D443"/>
  <c r="H442"/>
  <c r="J442" s="1"/>
  <c r="F442"/>
  <c r="F41" i="2"/>
  <c r="H40"/>
  <c r="H582" i="14"/>
  <c r="J582"/>
  <c r="L582" s="1"/>
  <c r="D49" i="11"/>
  <c r="H49"/>
  <c r="J49"/>
  <c r="L49" s="1"/>
  <c r="F40" i="10"/>
  <c r="H39"/>
  <c r="J39"/>
  <c r="L39" s="1"/>
  <c r="D39"/>
  <c r="F43" i="8"/>
  <c r="H42"/>
  <c r="J42"/>
  <c r="L42" s="1"/>
  <c r="J40" i="2"/>
  <c r="L40" s="1"/>
  <c r="I45" i="14"/>
  <c r="B46" s="1"/>
  <c r="E47"/>
  <c r="G46"/>
  <c r="I46" s="1"/>
  <c r="D308" i="1" l="1"/>
  <c r="H307"/>
  <c r="J307" s="1"/>
  <c r="C308" s="1"/>
  <c r="F307"/>
  <c r="F38" i="9"/>
  <c r="J37"/>
  <c r="L37" s="1"/>
  <c r="D38" s="1"/>
  <c r="H37"/>
  <c r="D41" i="2"/>
  <c r="C443" i="1"/>
  <c r="D444"/>
  <c r="F443"/>
  <c r="H443"/>
  <c r="J443" s="1"/>
  <c r="F42" i="2"/>
  <c r="H41"/>
  <c r="H583" i="14"/>
  <c r="J583"/>
  <c r="L583" s="1"/>
  <c r="D50" i="11"/>
  <c r="J50"/>
  <c r="L50" s="1"/>
  <c r="H50"/>
  <c r="D40" i="10"/>
  <c r="F41"/>
  <c r="H40"/>
  <c r="J40"/>
  <c r="L40" s="1"/>
  <c r="J43" i="8"/>
  <c r="L43" s="1"/>
  <c r="F44"/>
  <c r="H43"/>
  <c r="J41" i="2"/>
  <c r="L41" s="1"/>
  <c r="B47" i="14"/>
  <c r="G47"/>
  <c r="E48"/>
  <c r="H308" i="1" l="1"/>
  <c r="J308" s="1"/>
  <c r="C309" s="1"/>
  <c r="D309"/>
  <c r="F308"/>
  <c r="F39" i="9"/>
  <c r="H38"/>
  <c r="J38"/>
  <c r="L38" s="1"/>
  <c r="D39" s="1"/>
  <c r="D42" i="2"/>
  <c r="C444" i="1"/>
  <c r="D445"/>
  <c r="H444"/>
  <c r="J444" s="1"/>
  <c r="F444"/>
  <c r="F43" i="2"/>
  <c r="H42"/>
  <c r="J584" i="14"/>
  <c r="L584" s="1"/>
  <c r="H584"/>
  <c r="D51" i="11"/>
  <c r="J51"/>
  <c r="L51" s="1"/>
  <c r="H51"/>
  <c r="D41" i="10"/>
  <c r="J41"/>
  <c r="L41" s="1"/>
  <c r="F42"/>
  <c r="H41"/>
  <c r="J44" i="8"/>
  <c r="L44" s="1"/>
  <c r="F45"/>
  <c r="H44"/>
  <c r="J42" i="2"/>
  <c r="L42" s="1"/>
  <c r="I47" i="14"/>
  <c r="B48" s="1"/>
  <c r="E49"/>
  <c r="G48"/>
  <c r="I48" s="1"/>
  <c r="D310" i="1" l="1"/>
  <c r="H309"/>
  <c r="J309" s="1"/>
  <c r="C310" s="1"/>
  <c r="F309"/>
  <c r="F40" i="9"/>
  <c r="J39"/>
  <c r="L39" s="1"/>
  <c r="D40" s="1"/>
  <c r="H39"/>
  <c r="D43" i="2"/>
  <c r="C445" i="1"/>
  <c r="F445"/>
  <c r="D446"/>
  <c r="H445"/>
  <c r="J445" s="1"/>
  <c r="F44" i="2"/>
  <c r="H43"/>
  <c r="J585" i="14"/>
  <c r="L585" s="1"/>
  <c r="H585"/>
  <c r="D52" i="11"/>
  <c r="H52"/>
  <c r="J52"/>
  <c r="L52" s="1"/>
  <c r="D42" i="10"/>
  <c r="J42"/>
  <c r="L42" s="1"/>
  <c r="F43"/>
  <c r="H42"/>
  <c r="F46" i="8"/>
  <c r="H45"/>
  <c r="J45"/>
  <c r="L45" s="1"/>
  <c r="J43" i="2"/>
  <c r="L43" s="1"/>
  <c r="B49" i="14"/>
  <c r="G49"/>
  <c r="E50"/>
  <c r="H310" i="1" l="1"/>
  <c r="J310" s="1"/>
  <c r="C311" s="1"/>
  <c r="F310"/>
  <c r="D311"/>
  <c r="F41" i="9"/>
  <c r="J40"/>
  <c r="L40" s="1"/>
  <c r="D41" s="1"/>
  <c r="H40"/>
  <c r="D44" i="2"/>
  <c r="C446" i="1"/>
  <c r="H446"/>
  <c r="J446" s="1"/>
  <c r="D447"/>
  <c r="F446"/>
  <c r="F45" i="2"/>
  <c r="H44"/>
  <c r="H586" i="14"/>
  <c r="J586"/>
  <c r="L586" s="1"/>
  <c r="D53" i="11"/>
  <c r="H53"/>
  <c r="J53"/>
  <c r="L53" s="1"/>
  <c r="D43" i="10"/>
  <c r="F44"/>
  <c r="H43"/>
  <c r="J43"/>
  <c r="L43" s="1"/>
  <c r="F47" i="8"/>
  <c r="F49" s="1"/>
  <c r="H46"/>
  <c r="J46"/>
  <c r="L46" s="1"/>
  <c r="J44" i="2"/>
  <c r="L44" s="1"/>
  <c r="I49" i="14"/>
  <c r="B50" s="1"/>
  <c r="E51"/>
  <c r="G50"/>
  <c r="I50" s="1"/>
  <c r="D312" i="1" l="1"/>
  <c r="F311"/>
  <c r="H311"/>
  <c r="J311" s="1"/>
  <c r="C312" s="1"/>
  <c r="F42" i="9"/>
  <c r="J41"/>
  <c r="L41" s="1"/>
  <c r="D42" s="1"/>
  <c r="H41"/>
  <c r="D45" i="2"/>
  <c r="C447" i="1"/>
  <c r="D448"/>
  <c r="F447"/>
  <c r="H447"/>
  <c r="J447" s="1"/>
  <c r="F46" i="2"/>
  <c r="H45"/>
  <c r="H587" i="14"/>
  <c r="J587"/>
  <c r="L587" s="1"/>
  <c r="D54" i="11"/>
  <c r="J54"/>
  <c r="L54" s="1"/>
  <c r="H54"/>
  <c r="D44" i="10"/>
  <c r="F45"/>
  <c r="H44"/>
  <c r="J44"/>
  <c r="L44" s="1"/>
  <c r="J47" i="8"/>
  <c r="L47" s="1"/>
  <c r="H47"/>
  <c r="J45" i="2"/>
  <c r="L45" s="1"/>
  <c r="B51" i="14"/>
  <c r="G51"/>
  <c r="E52"/>
  <c r="F312" i="1" l="1"/>
  <c r="H312"/>
  <c r="J312" s="1"/>
  <c r="C313" s="1"/>
  <c r="D313"/>
  <c r="F43" i="9"/>
  <c r="J42"/>
  <c r="L42" s="1"/>
  <c r="D43" s="1"/>
  <c r="H42"/>
  <c r="D46" i="2"/>
  <c r="C448" i="1"/>
  <c r="D449"/>
  <c r="H448"/>
  <c r="J448" s="1"/>
  <c r="F448"/>
  <c r="F47" i="2"/>
  <c r="H46"/>
  <c r="J588" i="14"/>
  <c r="L588" s="1"/>
  <c r="H588"/>
  <c r="D56" i="11"/>
  <c r="J56"/>
  <c r="L56" s="1"/>
  <c r="F57"/>
  <c r="H56"/>
  <c r="D45" i="10"/>
  <c r="J45"/>
  <c r="L45" s="1"/>
  <c r="F46"/>
  <c r="H45"/>
  <c r="J49" i="8"/>
  <c r="L49" s="1"/>
  <c r="F50"/>
  <c r="H49"/>
  <c r="J46" i="2"/>
  <c r="L46" s="1"/>
  <c r="I51" i="14"/>
  <c r="B52" s="1"/>
  <c r="E53"/>
  <c r="G52"/>
  <c r="I52" s="1"/>
  <c r="D314" i="1" l="1"/>
  <c r="F313"/>
  <c r="H313"/>
  <c r="J313" s="1"/>
  <c r="C314" s="1"/>
  <c r="F44" i="9"/>
  <c r="J43"/>
  <c r="L43" s="1"/>
  <c r="D44" s="1"/>
  <c r="H43"/>
  <c r="D47" i="2"/>
  <c r="C449" i="1"/>
  <c r="F449"/>
  <c r="H449"/>
  <c r="J449" s="1"/>
  <c r="D450"/>
  <c r="F48" i="2"/>
  <c r="H47"/>
  <c r="J589" i="14"/>
  <c r="L589" s="1"/>
  <c r="H589"/>
  <c r="D57" i="11"/>
  <c r="F58"/>
  <c r="H57"/>
  <c r="J57"/>
  <c r="L57" s="1"/>
  <c r="D46" i="10"/>
  <c r="J46"/>
  <c r="L46" s="1"/>
  <c r="F47"/>
  <c r="H46"/>
  <c r="F51" i="8"/>
  <c r="H50"/>
  <c r="J50"/>
  <c r="L50" s="1"/>
  <c r="J47" i="2"/>
  <c r="L47" s="1"/>
  <c r="B53" i="14"/>
  <c r="G53"/>
  <c r="E54"/>
  <c r="F314" i="1" l="1"/>
  <c r="D315"/>
  <c r="H314"/>
  <c r="J314" s="1"/>
  <c r="C315" s="1"/>
  <c r="F45" i="9"/>
  <c r="J44"/>
  <c r="L44" s="1"/>
  <c r="D45" s="1"/>
  <c r="H44"/>
  <c r="D48" i="2"/>
  <c r="C450" i="1"/>
  <c r="H450"/>
  <c r="J450" s="1"/>
  <c r="D451"/>
  <c r="F450"/>
  <c r="F49" i="2"/>
  <c r="H48"/>
  <c r="H590" i="14"/>
  <c r="J590"/>
  <c r="L590" s="1"/>
  <c r="D58" i="11"/>
  <c r="F59"/>
  <c r="H58"/>
  <c r="J58"/>
  <c r="L58" s="1"/>
  <c r="D47" i="10"/>
  <c r="F48"/>
  <c r="H47"/>
  <c r="J47"/>
  <c r="L47" s="1"/>
  <c r="F52" i="8"/>
  <c r="H51"/>
  <c r="J51"/>
  <c r="L51" s="1"/>
  <c r="J48" i="2"/>
  <c r="L48" s="1"/>
  <c r="I53" i="14"/>
  <c r="B54" s="1"/>
  <c r="E55"/>
  <c r="G54"/>
  <c r="I54" s="1"/>
  <c r="F315" i="1" l="1"/>
  <c r="H315"/>
  <c r="J315" s="1"/>
  <c r="C316" s="1"/>
  <c r="D316"/>
  <c r="F46" i="9"/>
  <c r="J45"/>
  <c r="L45" s="1"/>
  <c r="D46" s="1"/>
  <c r="H45"/>
  <c r="D49" i="2"/>
  <c r="C451" i="1"/>
  <c r="D452"/>
  <c r="F451"/>
  <c r="H451"/>
  <c r="J451" s="1"/>
  <c r="F50" i="2"/>
  <c r="H49"/>
  <c r="H591" i="14"/>
  <c r="J591"/>
  <c r="L591" s="1"/>
  <c r="D59" i="11"/>
  <c r="J59"/>
  <c r="L59" s="1"/>
  <c r="F60"/>
  <c r="H59"/>
  <c r="D48" i="10"/>
  <c r="F49"/>
  <c r="H48"/>
  <c r="J48"/>
  <c r="L48" s="1"/>
  <c r="J52" i="8"/>
  <c r="L52" s="1"/>
  <c r="F53"/>
  <c r="H52"/>
  <c r="J49" i="2"/>
  <c r="L49" s="1"/>
  <c r="B55" i="14"/>
  <c r="G55"/>
  <c r="E56"/>
  <c r="H316" i="1" l="1"/>
  <c r="J316" s="1"/>
  <c r="C317" s="1"/>
  <c r="F316"/>
  <c r="D317"/>
  <c r="F47" i="9"/>
  <c r="H46"/>
  <c r="J46"/>
  <c r="L46" s="1"/>
  <c r="D47" s="1"/>
  <c r="D50" i="2"/>
  <c r="C452" i="1"/>
  <c r="D453"/>
  <c r="F452"/>
  <c r="H452"/>
  <c r="J452" s="1"/>
  <c r="F51" i="2"/>
  <c r="H50"/>
  <c r="J592" i="14"/>
  <c r="L592" s="1"/>
  <c r="H592"/>
  <c r="D60" i="11"/>
  <c r="J60"/>
  <c r="L60" s="1"/>
  <c r="F61"/>
  <c r="H60"/>
  <c r="D49" i="10"/>
  <c r="J49"/>
  <c r="L49" s="1"/>
  <c r="F50"/>
  <c r="H49"/>
  <c r="J53" i="8"/>
  <c r="L53" s="1"/>
  <c r="F54"/>
  <c r="H53"/>
  <c r="J50" i="2"/>
  <c r="L50" s="1"/>
  <c r="I55" i="14"/>
  <c r="B56" s="1"/>
  <c r="E57"/>
  <c r="G56"/>
  <c r="I56" s="1"/>
  <c r="F317" i="1" l="1"/>
  <c r="H317"/>
  <c r="J317" s="1"/>
  <c r="C318" s="1"/>
  <c r="D318"/>
  <c r="F48" i="9"/>
  <c r="J47"/>
  <c r="L47" s="1"/>
  <c r="D48" s="1"/>
  <c r="H47"/>
  <c r="D51" i="2"/>
  <c r="C453" i="1"/>
  <c r="F453"/>
  <c r="H453"/>
  <c r="J453" s="1"/>
  <c r="D454"/>
  <c r="F52" i="2"/>
  <c r="H51"/>
  <c r="J593" i="14"/>
  <c r="L593" s="1"/>
  <c r="H593"/>
  <c r="D61" i="11"/>
  <c r="F62"/>
  <c r="H61"/>
  <c r="J61"/>
  <c r="L61" s="1"/>
  <c r="D50" i="10"/>
  <c r="J50"/>
  <c r="L50" s="1"/>
  <c r="F51"/>
  <c r="H50"/>
  <c r="F55" i="8"/>
  <c r="H54"/>
  <c r="J54"/>
  <c r="L54" s="1"/>
  <c r="J51" i="2"/>
  <c r="L51" s="1"/>
  <c r="B57" i="14"/>
  <c r="E58"/>
  <c r="G57"/>
  <c r="F318" i="1" l="1"/>
  <c r="H318"/>
  <c r="J318" s="1"/>
  <c r="C319" s="1"/>
  <c r="D319"/>
  <c r="F49" i="9"/>
  <c r="J48"/>
  <c r="L48" s="1"/>
  <c r="D49" s="1"/>
  <c r="H48"/>
  <c r="D52" i="2"/>
  <c r="C454" i="1"/>
  <c r="D455"/>
  <c r="F454"/>
  <c r="H454"/>
  <c r="J454" s="1"/>
  <c r="F53" i="2"/>
  <c r="H52"/>
  <c r="D62" i="11"/>
  <c r="H594" i="14"/>
  <c r="J594"/>
  <c r="L594" s="1"/>
  <c r="F63" i="11"/>
  <c r="F65" s="1"/>
  <c r="H62"/>
  <c r="J62"/>
  <c r="L62" s="1"/>
  <c r="D51" i="10"/>
  <c r="F52"/>
  <c r="H51"/>
  <c r="J51"/>
  <c r="L51" s="1"/>
  <c r="F56" i="8"/>
  <c r="H55"/>
  <c r="J55"/>
  <c r="L55" s="1"/>
  <c r="J52" i="2"/>
  <c r="L52" s="1"/>
  <c r="I57" i="14"/>
  <c r="B58" s="1"/>
  <c r="G58"/>
  <c r="E59"/>
  <c r="F319" i="1" l="1"/>
  <c r="H319"/>
  <c r="J319" s="1"/>
  <c r="C320" s="1"/>
  <c r="D320"/>
  <c r="F50" i="9"/>
  <c r="J49"/>
  <c r="L49" s="1"/>
  <c r="D50" s="1"/>
  <c r="H49"/>
  <c r="D53" i="2"/>
  <c r="C455" i="1"/>
  <c r="H455"/>
  <c r="J455" s="1"/>
  <c r="D456"/>
  <c r="F455"/>
  <c r="F54" i="2"/>
  <c r="H53"/>
  <c r="D63" i="11"/>
  <c r="H595" i="14"/>
  <c r="J595"/>
  <c r="L595" s="1"/>
  <c r="J63" i="11"/>
  <c r="L63" s="1"/>
  <c r="H63"/>
  <c r="D52" i="10"/>
  <c r="F53"/>
  <c r="H52"/>
  <c r="J52"/>
  <c r="L52" s="1"/>
  <c r="J56" i="8"/>
  <c r="L56" s="1"/>
  <c r="F57"/>
  <c r="H56"/>
  <c r="J53" i="2"/>
  <c r="L53" s="1"/>
  <c r="I58" i="14"/>
  <c r="B59" s="1"/>
  <c r="E60"/>
  <c r="G59"/>
  <c r="I59" s="1"/>
  <c r="F320" i="1" l="1"/>
  <c r="H320"/>
  <c r="J320" s="1"/>
  <c r="C321" s="1"/>
  <c r="D321"/>
  <c r="F51" i="9"/>
  <c r="J50"/>
  <c r="L50" s="1"/>
  <c r="D51" s="1"/>
  <c r="H50"/>
  <c r="D54" i="2"/>
  <c r="C456" i="1"/>
  <c r="D457"/>
  <c r="H456"/>
  <c r="J456" s="1"/>
  <c r="F456"/>
  <c r="F55" i="2"/>
  <c r="H54"/>
  <c r="D65" i="11"/>
  <c r="D53" i="10"/>
  <c r="J55"/>
  <c r="L55" s="1"/>
  <c r="F56"/>
  <c r="H55"/>
  <c r="J53"/>
  <c r="L53" s="1"/>
  <c r="H53"/>
  <c r="J57" i="8"/>
  <c r="L57" s="1"/>
  <c r="F58"/>
  <c r="H57"/>
  <c r="J54" i="2"/>
  <c r="L54" s="1"/>
  <c r="B60" i="14"/>
  <c r="E61"/>
  <c r="G60"/>
  <c r="F321" i="1" l="1"/>
  <c r="H321"/>
  <c r="J321" s="1"/>
  <c r="C322" s="1"/>
  <c r="D322"/>
  <c r="F52" i="9"/>
  <c r="H51"/>
  <c r="J51"/>
  <c r="L51" s="1"/>
  <c r="D52" s="1"/>
  <c r="D55" i="2"/>
  <c r="C457" i="1"/>
  <c r="H457"/>
  <c r="J457" s="1"/>
  <c r="F457"/>
  <c r="D458"/>
  <c r="F56" i="2"/>
  <c r="H55"/>
  <c r="F66" i="11"/>
  <c r="H65"/>
  <c r="J65"/>
  <c r="L65" s="1"/>
  <c r="D66" s="1"/>
  <c r="D56" i="10"/>
  <c r="J56"/>
  <c r="L56" s="1"/>
  <c r="F57"/>
  <c r="H56"/>
  <c r="H58" i="8"/>
  <c r="J58"/>
  <c r="L58" s="1"/>
  <c r="J55" i="2"/>
  <c r="L55" s="1"/>
  <c r="I60" i="14"/>
  <c r="B61" s="1"/>
  <c r="E62"/>
  <c r="G61"/>
  <c r="I61" s="1"/>
  <c r="F322" i="1" l="1"/>
  <c r="H322"/>
  <c r="J322" s="1"/>
  <c r="C323" s="1"/>
  <c r="D323"/>
  <c r="F53" i="9"/>
  <c r="J52"/>
  <c r="L52" s="1"/>
  <c r="D53" s="1"/>
  <c r="H52"/>
  <c r="D56" i="2"/>
  <c r="C458" i="1"/>
  <c r="D459"/>
  <c r="H458"/>
  <c r="J458" s="1"/>
  <c r="F458"/>
  <c r="F57" i="2"/>
  <c r="H56"/>
  <c r="F67" i="11"/>
  <c r="H66"/>
  <c r="J66"/>
  <c r="L66" s="1"/>
  <c r="D67" s="1"/>
  <c r="J57" i="10"/>
  <c r="L57" s="1"/>
  <c r="F58"/>
  <c r="H57"/>
  <c r="D57"/>
  <c r="F61" i="8"/>
  <c r="H60"/>
  <c r="J60"/>
  <c r="L60" s="1"/>
  <c r="J56" i="2"/>
  <c r="L56" s="1"/>
  <c r="D57" s="1"/>
  <c r="B62" i="14"/>
  <c r="G62"/>
  <c r="E63"/>
  <c r="H323" i="1" l="1"/>
  <c r="J323" s="1"/>
  <c r="C324" s="1"/>
  <c r="D324"/>
  <c r="F323"/>
  <c r="J53" i="9"/>
  <c r="L53" s="1"/>
  <c r="H53"/>
  <c r="D55"/>
  <c r="I224" i="1" s="1"/>
  <c r="D57" i="9"/>
  <c r="I226" i="1" s="1"/>
  <c r="D56" i="9"/>
  <c r="I225" i="1" s="1"/>
  <c r="C459"/>
  <c r="D460"/>
  <c r="F459"/>
  <c r="H459"/>
  <c r="J459" s="1"/>
  <c r="F58" i="2"/>
  <c r="H57"/>
  <c r="J67" i="11"/>
  <c r="L67" s="1"/>
  <c r="D68" s="1"/>
  <c r="F68"/>
  <c r="H67"/>
  <c r="D63" i="10"/>
  <c r="J226" i="1" s="1"/>
  <c r="D58" i="10"/>
  <c r="J58"/>
  <c r="L58" s="1"/>
  <c r="H58"/>
  <c r="J61" i="8"/>
  <c r="L61" s="1"/>
  <c r="F62"/>
  <c r="H61"/>
  <c r="J57" i="2"/>
  <c r="L57" s="1"/>
  <c r="D58" s="1"/>
  <c r="I62" i="14"/>
  <c r="B63" s="1"/>
  <c r="E64"/>
  <c r="G63"/>
  <c r="H324" i="1" l="1"/>
  <c r="J324" s="1"/>
  <c r="C325" s="1"/>
  <c r="F324"/>
  <c r="D325"/>
  <c r="I228"/>
  <c r="C460"/>
  <c r="D461"/>
  <c r="H460"/>
  <c r="J460" s="1"/>
  <c r="F460"/>
  <c r="F59" i="2"/>
  <c r="H58"/>
  <c r="J68" i="11"/>
  <c r="L68" s="1"/>
  <c r="D69" s="1"/>
  <c r="D71" s="1"/>
  <c r="F69"/>
  <c r="H68"/>
  <c r="D62" i="10"/>
  <c r="J225" i="1" s="1"/>
  <c r="D61" i="10"/>
  <c r="J224" i="1" s="1"/>
  <c r="J62" i="8"/>
  <c r="L62" s="1"/>
  <c r="F63"/>
  <c r="H62"/>
  <c r="J58" i="2"/>
  <c r="L58" s="1"/>
  <c r="D59" s="1"/>
  <c r="I63" i="14"/>
  <c r="B64" s="1"/>
  <c r="E65"/>
  <c r="G64"/>
  <c r="I64" s="1"/>
  <c r="F325" i="1" l="1"/>
  <c r="H325"/>
  <c r="J325" s="1"/>
  <c r="C326" s="1"/>
  <c r="D326"/>
  <c r="C461"/>
  <c r="F461"/>
  <c r="D462"/>
  <c r="H461"/>
  <c r="J461" s="1"/>
  <c r="J228"/>
  <c r="F60" i="2"/>
  <c r="H59"/>
  <c r="D73" i="11"/>
  <c r="K226" i="1" s="1"/>
  <c r="K224"/>
  <c r="D72" i="11"/>
  <c r="K225" i="1" s="1"/>
  <c r="H69" i="11"/>
  <c r="J69"/>
  <c r="L69" s="1"/>
  <c r="F64" i="8"/>
  <c r="H63"/>
  <c r="J63"/>
  <c r="L63" s="1"/>
  <c r="J59" i="2"/>
  <c r="L59" s="1"/>
  <c r="D60" s="1"/>
  <c r="B65" i="14"/>
  <c r="E66"/>
  <c r="G65"/>
  <c r="F326" i="1" l="1"/>
  <c r="H326"/>
  <c r="J326" s="1"/>
  <c r="C327" s="1"/>
  <c r="D327"/>
  <c r="C462"/>
  <c r="H462"/>
  <c r="J462" s="1"/>
  <c r="D463"/>
  <c r="F462"/>
  <c r="K228"/>
  <c r="F61" i="2"/>
  <c r="H60"/>
  <c r="F65" i="8"/>
  <c r="H64"/>
  <c r="J64"/>
  <c r="L64" s="1"/>
  <c r="J60" i="2"/>
  <c r="L60" s="1"/>
  <c r="D61" s="1"/>
  <c r="I65" i="14"/>
  <c r="B66" s="1"/>
  <c r="G66"/>
  <c r="E67"/>
  <c r="H327" i="1" l="1"/>
  <c r="J327" s="1"/>
  <c r="C328" s="1"/>
  <c r="D328"/>
  <c r="F327"/>
  <c r="C463"/>
  <c r="D464"/>
  <c r="F463"/>
  <c r="H463"/>
  <c r="J463" s="1"/>
  <c r="F62" i="2"/>
  <c r="H61"/>
  <c r="J65" i="8"/>
  <c r="L65" s="1"/>
  <c r="F66"/>
  <c r="H65"/>
  <c r="J61" i="2"/>
  <c r="L61" s="1"/>
  <c r="D62" s="1"/>
  <c r="I66" i="14"/>
  <c r="B67" s="1"/>
  <c r="E68"/>
  <c r="G67"/>
  <c r="F328" i="1" l="1"/>
  <c r="H328"/>
  <c r="J328" s="1"/>
  <c r="C329" s="1"/>
  <c r="D329"/>
  <c r="C464"/>
  <c r="D465"/>
  <c r="H464"/>
  <c r="J464" s="1"/>
  <c r="F464"/>
  <c r="F63" i="2"/>
  <c r="H62"/>
  <c r="J66" i="8"/>
  <c r="L66" s="1"/>
  <c r="F67"/>
  <c r="F68" s="1"/>
  <c r="H66"/>
  <c r="J62" i="2"/>
  <c r="L62" s="1"/>
  <c r="D63" s="1"/>
  <c r="I67" i="14"/>
  <c r="B68" s="1"/>
  <c r="E69"/>
  <c r="G68"/>
  <c r="F329" i="1" l="1"/>
  <c r="H329"/>
  <c r="J329" s="1"/>
  <c r="C330" s="1"/>
  <c r="D330"/>
  <c r="C465"/>
  <c r="F465"/>
  <c r="D466"/>
  <c r="H465"/>
  <c r="J465" s="1"/>
  <c r="D65" i="2"/>
  <c r="C224" i="1" s="1"/>
  <c r="D66" i="2"/>
  <c r="C225" i="1" s="1"/>
  <c r="J63" i="2"/>
  <c r="L63" s="1"/>
  <c r="H63"/>
  <c r="H67" i="8"/>
  <c r="J67"/>
  <c r="L67" s="1"/>
  <c r="D67" i="2"/>
  <c r="C226" i="1" s="1"/>
  <c r="I68" i="14"/>
  <c r="B69" s="1"/>
  <c r="E70"/>
  <c r="G69"/>
  <c r="D331" i="1" l="1"/>
  <c r="F330"/>
  <c r="H330"/>
  <c r="J330" s="1"/>
  <c r="C331" s="1"/>
  <c r="C466"/>
  <c r="H466"/>
  <c r="J466" s="1"/>
  <c r="D467"/>
  <c r="F466"/>
  <c r="C228"/>
  <c r="F70" i="8"/>
  <c r="H68"/>
  <c r="J68"/>
  <c r="L68" s="1"/>
  <c r="I69" i="14"/>
  <c r="B70" s="1"/>
  <c r="G70"/>
  <c r="E71"/>
  <c r="F331" i="1" l="1"/>
  <c r="H331"/>
  <c r="J331" s="1"/>
  <c r="C332" s="1"/>
  <c r="D332"/>
  <c r="C467"/>
  <c r="D468"/>
  <c r="F467"/>
  <c r="H467"/>
  <c r="J467" s="1"/>
  <c r="J70" i="8"/>
  <c r="L70" s="1"/>
  <c r="F71"/>
  <c r="H70"/>
  <c r="I70" i="14"/>
  <c r="B71" s="1"/>
  <c r="E72"/>
  <c r="G71"/>
  <c r="I71" s="1"/>
  <c r="F332" i="1" l="1"/>
  <c r="H332"/>
  <c r="J332" s="1"/>
  <c r="C333" s="1"/>
  <c r="D333"/>
  <c r="C468"/>
  <c r="D469"/>
  <c r="H468"/>
  <c r="J468" s="1"/>
  <c r="F468"/>
  <c r="J71" i="8"/>
  <c r="L71" s="1"/>
  <c r="F72"/>
  <c r="H71"/>
  <c r="B72" i="14"/>
  <c r="E73"/>
  <c r="G72"/>
  <c r="F333" i="1" l="1"/>
  <c r="H333"/>
  <c r="J333" s="1"/>
  <c r="C334" s="1"/>
  <c r="D334"/>
  <c r="C469"/>
  <c r="F469"/>
  <c r="D470"/>
  <c r="H469"/>
  <c r="J469" s="1"/>
  <c r="F73" i="8"/>
  <c r="H72"/>
  <c r="J72"/>
  <c r="L72" s="1"/>
  <c r="I72" i="14"/>
  <c r="B73" s="1"/>
  <c r="E74"/>
  <c r="G73"/>
  <c r="I73" s="1"/>
  <c r="F334" i="1" l="1"/>
  <c r="H334"/>
  <c r="J334" s="1"/>
  <c r="C335" s="1"/>
  <c r="D335"/>
  <c r="C470"/>
  <c r="H470"/>
  <c r="J470" s="1"/>
  <c r="D471"/>
  <c r="F470"/>
  <c r="F74" i="8"/>
  <c r="H73"/>
  <c r="J73"/>
  <c r="L73" s="1"/>
  <c r="B74" i="14"/>
  <c r="G74"/>
  <c r="E75"/>
  <c r="F335" i="1" l="1"/>
  <c r="H335"/>
  <c r="J335" s="1"/>
  <c r="C336" s="1"/>
  <c r="D336"/>
  <c r="C471"/>
  <c r="D472"/>
  <c r="F471"/>
  <c r="H471"/>
  <c r="J471" s="1"/>
  <c r="J74" i="8"/>
  <c r="L74" s="1"/>
  <c r="F75"/>
  <c r="H74"/>
  <c r="I74" i="14"/>
  <c r="B75" s="1"/>
  <c r="E76"/>
  <c r="G75"/>
  <c r="I75" s="1"/>
  <c r="F336" i="1" l="1"/>
  <c r="D337"/>
  <c r="H336"/>
  <c r="J336" s="1"/>
  <c r="C337" s="1"/>
  <c r="C472"/>
  <c r="D473"/>
  <c r="H472"/>
  <c r="J472" s="1"/>
  <c r="F472"/>
  <c r="J75" i="8"/>
  <c r="L75" s="1"/>
  <c r="F76"/>
  <c r="H75"/>
  <c r="B76" i="14"/>
  <c r="E77"/>
  <c r="G76"/>
  <c r="F337" i="1" l="1"/>
  <c r="H337"/>
  <c r="J337" s="1"/>
  <c r="C338" s="1"/>
  <c r="D338"/>
  <c r="C473"/>
  <c r="F473"/>
  <c r="D474"/>
  <c r="H473"/>
  <c r="J473" s="1"/>
  <c r="F77" i="8"/>
  <c r="H76"/>
  <c r="J76"/>
  <c r="L76" s="1"/>
  <c r="I76" i="14"/>
  <c r="B77" s="1"/>
  <c r="E78"/>
  <c r="G77"/>
  <c r="I77" s="1"/>
  <c r="H338" i="1" l="1"/>
  <c r="J338" s="1"/>
  <c r="C339" s="1"/>
  <c r="F338"/>
  <c r="D339"/>
  <c r="C474"/>
  <c r="H474"/>
  <c r="J474" s="1"/>
  <c r="D475"/>
  <c r="F474"/>
  <c r="F78" i="8"/>
  <c r="H77"/>
  <c r="J77"/>
  <c r="L77" s="1"/>
  <c r="B78" i="14"/>
  <c r="G78"/>
  <c r="E79"/>
  <c r="F339" i="1" l="1"/>
  <c r="H339"/>
  <c r="J339" s="1"/>
  <c r="C340" s="1"/>
  <c r="D340"/>
  <c r="C475"/>
  <c r="D476"/>
  <c r="F475"/>
  <c r="H475"/>
  <c r="J475" s="1"/>
  <c r="J78" i="8"/>
  <c r="L78" s="1"/>
  <c r="F79"/>
  <c r="H78"/>
  <c r="I78" i="14"/>
  <c r="B79" s="1"/>
  <c r="E80"/>
  <c r="G79"/>
  <c r="I79" s="1"/>
  <c r="F340" i="1" l="1"/>
  <c r="D341"/>
  <c r="H340"/>
  <c r="J340" s="1"/>
  <c r="C341" s="1"/>
  <c r="C476"/>
  <c r="D477"/>
  <c r="H476"/>
  <c r="J476" s="1"/>
  <c r="F476"/>
  <c r="J79" i="8"/>
  <c r="L79" s="1"/>
  <c r="F80"/>
  <c r="H79"/>
  <c r="B80" i="14"/>
  <c r="E81"/>
  <c r="G80"/>
  <c r="F341" i="1" l="1"/>
  <c r="H341"/>
  <c r="J341" s="1"/>
  <c r="C342" s="1"/>
  <c r="D342"/>
  <c r="C477"/>
  <c r="F477"/>
  <c r="H477"/>
  <c r="J477" s="1"/>
  <c r="D478"/>
  <c r="H80" i="8"/>
  <c r="J80"/>
  <c r="L80" s="1"/>
  <c r="I80" i="14"/>
  <c r="B81" s="1"/>
  <c r="E82"/>
  <c r="G81"/>
  <c r="I81" s="1"/>
  <c r="H342" i="1" l="1"/>
  <c r="J342" s="1"/>
  <c r="C343" s="1"/>
  <c r="D343"/>
  <c r="F342"/>
  <c r="C478"/>
  <c r="H478"/>
  <c r="J478" s="1"/>
  <c r="D479"/>
  <c r="F478"/>
  <c r="B82" i="14"/>
  <c r="G82"/>
  <c r="E83"/>
  <c r="F343" i="1" l="1"/>
  <c r="D344"/>
  <c r="H343"/>
  <c r="J343" s="1"/>
  <c r="C344" s="1"/>
  <c r="C479"/>
  <c r="D480"/>
  <c r="F479"/>
  <c r="H479"/>
  <c r="J479" s="1"/>
  <c r="I82" i="14"/>
  <c r="B83" s="1"/>
  <c r="E84"/>
  <c r="G83"/>
  <c r="I83" s="1"/>
  <c r="F344" i="1" l="1"/>
  <c r="H344"/>
  <c r="J344" s="1"/>
  <c r="C345" s="1"/>
  <c r="D345"/>
  <c r="C480"/>
  <c r="D481"/>
  <c r="F480"/>
  <c r="H480"/>
  <c r="J480" s="1"/>
  <c r="B84" i="14"/>
  <c r="E85"/>
  <c r="G84"/>
  <c r="F345" i="1" l="1"/>
  <c r="H345"/>
  <c r="J345" s="1"/>
  <c r="C346" s="1"/>
  <c r="D346"/>
  <c r="C481"/>
  <c r="F481"/>
  <c r="H481"/>
  <c r="J481" s="1"/>
  <c r="D482"/>
  <c r="I84" i="14"/>
  <c r="B85" s="1"/>
  <c r="E86"/>
  <c r="G85"/>
  <c r="F346" i="1" l="1"/>
  <c r="H346"/>
  <c r="J346" s="1"/>
  <c r="C347" s="1"/>
  <c r="D347"/>
  <c r="C482"/>
  <c r="D483"/>
  <c r="F482"/>
  <c r="H482"/>
  <c r="J482" s="1"/>
  <c r="I85" i="14"/>
  <c r="B86" s="1"/>
  <c r="G86"/>
  <c r="E87"/>
  <c r="F347" i="1" l="1"/>
  <c r="D348"/>
  <c r="H347"/>
  <c r="J347" s="1"/>
  <c r="C348" s="1"/>
  <c r="C483"/>
  <c r="H483"/>
  <c r="J483" s="1"/>
  <c r="D484"/>
  <c r="F483"/>
  <c r="I86" i="14"/>
  <c r="B87" s="1"/>
  <c r="E88"/>
  <c r="G87"/>
  <c r="I87" s="1"/>
  <c r="D349" i="1" l="1"/>
  <c r="F348"/>
  <c r="H348"/>
  <c r="J348" s="1"/>
  <c r="C349" s="1"/>
  <c r="C484"/>
  <c r="D485"/>
  <c r="H484"/>
  <c r="J484" s="1"/>
  <c r="F484"/>
  <c r="B88" i="14"/>
  <c r="E89"/>
  <c r="G88"/>
  <c r="F349" i="1" l="1"/>
  <c r="H349"/>
  <c r="J349" s="1"/>
  <c r="C350" s="1"/>
  <c r="D350"/>
  <c r="C485"/>
  <c r="H485"/>
  <c r="J485" s="1"/>
  <c r="F485"/>
  <c r="D486"/>
  <c r="I88" i="14"/>
  <c r="B89" s="1"/>
  <c r="E90"/>
  <c r="G89"/>
  <c r="D351" i="1" l="1"/>
  <c r="H350"/>
  <c r="J350" s="1"/>
  <c r="C351" s="1"/>
  <c r="F350"/>
  <c r="C486"/>
  <c r="D487"/>
  <c r="H486"/>
  <c r="J486" s="1"/>
  <c r="F486"/>
  <c r="I89" i="14"/>
  <c r="B90" s="1"/>
  <c r="G90"/>
  <c r="E91"/>
  <c r="D352" i="1" l="1"/>
  <c r="H351"/>
  <c r="J351" s="1"/>
  <c r="C352" s="1"/>
  <c r="F351"/>
  <c r="C487"/>
  <c r="H487"/>
  <c r="J487" s="1"/>
  <c r="D488"/>
  <c r="F487"/>
  <c r="I90" i="14"/>
  <c r="B91" s="1"/>
  <c r="E92"/>
  <c r="G91"/>
  <c r="I91" s="1"/>
  <c r="H352" i="1" l="1"/>
  <c r="J352" s="1"/>
  <c r="C353" s="1"/>
  <c r="F352"/>
  <c r="D353"/>
  <c r="C488"/>
  <c r="D489"/>
  <c r="H488"/>
  <c r="J488" s="1"/>
  <c r="F488"/>
  <c r="B92" i="14"/>
  <c r="E93"/>
  <c r="G92"/>
  <c r="H353" i="1" l="1"/>
  <c r="J353" s="1"/>
  <c r="C354" s="1"/>
  <c r="F353"/>
  <c r="D354"/>
  <c r="C489"/>
  <c r="H489"/>
  <c r="J489" s="1"/>
  <c r="F489"/>
  <c r="D490"/>
  <c r="I92" i="14"/>
  <c r="B93" s="1"/>
  <c r="E94"/>
  <c r="G93"/>
  <c r="I93" s="1"/>
  <c r="H354" i="1" l="1"/>
  <c r="J354" s="1"/>
  <c r="C355" s="1"/>
  <c r="D355"/>
  <c r="F354"/>
  <c r="C490"/>
  <c r="D491"/>
  <c r="H490"/>
  <c r="J490" s="1"/>
  <c r="F490"/>
  <c r="B94" i="14"/>
  <c r="G94"/>
  <c r="E95"/>
  <c r="H355" i="1" l="1"/>
  <c r="J355" s="1"/>
  <c r="C356" s="1"/>
  <c r="F355"/>
  <c r="D356"/>
  <c r="C491"/>
  <c r="D492"/>
  <c r="F491"/>
  <c r="H491"/>
  <c r="J491" s="1"/>
  <c r="I94" i="14"/>
  <c r="B95" s="1"/>
  <c r="E96"/>
  <c r="G95"/>
  <c r="I95" s="1"/>
  <c r="H356" i="1" l="1"/>
  <c r="J356" s="1"/>
  <c r="C357" s="1"/>
  <c r="D357"/>
  <c r="F356"/>
  <c r="C492"/>
  <c r="D493"/>
  <c r="H492"/>
  <c r="J492" s="1"/>
  <c r="F492"/>
  <c r="B96" i="14"/>
  <c r="E97"/>
  <c r="G96"/>
  <c r="F357" i="1" l="1"/>
  <c r="H357"/>
  <c r="J357" s="1"/>
  <c r="C358" s="1"/>
  <c r="D358"/>
  <c r="C493"/>
  <c r="F493"/>
  <c r="D494"/>
  <c r="H493"/>
  <c r="J493" s="1"/>
  <c r="I96" i="14"/>
  <c r="B97" s="1"/>
  <c r="E98"/>
  <c r="G97"/>
  <c r="I97" s="1"/>
  <c r="F358" i="1" l="1"/>
  <c r="H358"/>
  <c r="J358" s="1"/>
  <c r="C359" s="1"/>
  <c r="D359"/>
  <c r="C494"/>
  <c r="H494"/>
  <c r="J494" s="1"/>
  <c r="D495"/>
  <c r="F494"/>
  <c r="B98" i="14"/>
  <c r="G98"/>
  <c r="E99"/>
  <c r="H359" i="1" l="1"/>
  <c r="J359" s="1"/>
  <c r="C360" s="1"/>
  <c r="D360"/>
  <c r="F359"/>
  <c r="C495"/>
  <c r="D496"/>
  <c r="F495"/>
  <c r="H495"/>
  <c r="J495" s="1"/>
  <c r="I98" i="14"/>
  <c r="B99" s="1"/>
  <c r="E100"/>
  <c r="G99"/>
  <c r="H360" i="1" l="1"/>
  <c r="J360" s="1"/>
  <c r="C361" s="1"/>
  <c r="D361"/>
  <c r="F360"/>
  <c r="C496"/>
  <c r="D497"/>
  <c r="H496"/>
  <c r="J496" s="1"/>
  <c r="F496"/>
  <c r="I99" i="14"/>
  <c r="B100" s="1"/>
  <c r="E101"/>
  <c r="G100"/>
  <c r="F361" i="1" l="1"/>
  <c r="D362"/>
  <c r="H361"/>
  <c r="J361" s="1"/>
  <c r="C362" s="1"/>
  <c r="C497"/>
  <c r="F497"/>
  <c r="H497"/>
  <c r="J497" s="1"/>
  <c r="D498"/>
  <c r="I100" i="14"/>
  <c r="B101" s="1"/>
  <c r="E102"/>
  <c r="G101"/>
  <c r="D363" i="1" l="1"/>
  <c r="F362"/>
  <c r="H362"/>
  <c r="J362" s="1"/>
  <c r="C363" s="1"/>
  <c r="C498"/>
  <c r="H498"/>
  <c r="J498" s="1"/>
  <c r="D499"/>
  <c r="F498"/>
  <c r="I101" i="14"/>
  <c r="B102" s="1"/>
  <c r="G102"/>
  <c r="E103"/>
  <c r="F363" i="1" l="1"/>
  <c r="D364"/>
  <c r="H363"/>
  <c r="J363" s="1"/>
  <c r="C364" s="1"/>
  <c r="C499"/>
  <c r="D500"/>
  <c r="F499"/>
  <c r="H499"/>
  <c r="J499" s="1"/>
  <c r="I102" i="14"/>
  <c r="B103" s="1"/>
  <c r="E104"/>
  <c r="G103"/>
  <c r="H364" i="1" l="1"/>
  <c r="J364" s="1"/>
  <c r="C365" s="1"/>
  <c r="F364"/>
  <c r="D365"/>
  <c r="C500"/>
  <c r="D501"/>
  <c r="D502" s="1"/>
  <c r="D503" s="1"/>
  <c r="H500"/>
  <c r="J500" s="1"/>
  <c r="F500"/>
  <c r="I103" i="14"/>
  <c r="B104" s="1"/>
  <c r="E105"/>
  <c r="G104"/>
  <c r="H365" i="1" l="1"/>
  <c r="J365" s="1"/>
  <c r="C366" s="1"/>
  <c r="D366"/>
  <c r="F365"/>
  <c r="C501"/>
  <c r="D504"/>
  <c r="F503"/>
  <c r="H503"/>
  <c r="J503" s="1"/>
  <c r="F501"/>
  <c r="H501"/>
  <c r="J501" s="1"/>
  <c r="I104" i="14"/>
  <c r="B105" s="1"/>
  <c r="E106"/>
  <c r="G105"/>
  <c r="D367" i="1" l="1"/>
  <c r="H366"/>
  <c r="J366" s="1"/>
  <c r="C367" s="1"/>
  <c r="F366"/>
  <c r="C502"/>
  <c r="F504"/>
  <c r="H504"/>
  <c r="J504" s="1"/>
  <c r="D505"/>
  <c r="H502"/>
  <c r="J502" s="1"/>
  <c r="F502"/>
  <c r="I105" i="14"/>
  <c r="B106" s="1"/>
  <c r="G106"/>
  <c r="E107"/>
  <c r="H367" i="1" l="1"/>
  <c r="J367" s="1"/>
  <c r="C368" s="1"/>
  <c r="D368"/>
  <c r="F367"/>
  <c r="C503"/>
  <c r="C504" s="1"/>
  <c r="C505" s="1"/>
  <c r="D506"/>
  <c r="F505"/>
  <c r="H505"/>
  <c r="J505" s="1"/>
  <c r="I106" i="14"/>
  <c r="B107" s="1"/>
  <c r="E108"/>
  <c r="G107"/>
  <c r="H368" i="1" l="1"/>
  <c r="J368" s="1"/>
  <c r="C369" s="1"/>
  <c r="D369"/>
  <c r="F368"/>
  <c r="D507"/>
  <c r="H506"/>
  <c r="J506" s="1"/>
  <c r="F506"/>
  <c r="C506"/>
  <c r="I107" i="14"/>
  <c r="B108" s="1"/>
  <c r="E109"/>
  <c r="G108"/>
  <c r="D370" i="1" l="1"/>
  <c r="F369"/>
  <c r="H369"/>
  <c r="J369" s="1"/>
  <c r="C370" s="1"/>
  <c r="D508"/>
  <c r="F507"/>
  <c r="H507"/>
  <c r="J507" s="1"/>
  <c r="C507"/>
  <c r="I108" i="14"/>
  <c r="B109" s="1"/>
  <c r="E110"/>
  <c r="G109"/>
  <c r="F370" i="1" l="1"/>
  <c r="H370"/>
  <c r="J370" s="1"/>
  <c r="C371" s="1"/>
  <c r="D371"/>
  <c r="H508"/>
  <c r="J508" s="1"/>
  <c r="D509"/>
  <c r="F508"/>
  <c r="C508"/>
  <c r="I109" i="14"/>
  <c r="B110" s="1"/>
  <c r="G110"/>
  <c r="E111"/>
  <c r="H371" i="1" l="1"/>
  <c r="J371" s="1"/>
  <c r="C372" s="1"/>
  <c r="D372"/>
  <c r="F371"/>
  <c r="H509"/>
  <c r="J509" s="1"/>
  <c r="F509"/>
  <c r="D510"/>
  <c r="C509"/>
  <c r="I110" i="14"/>
  <c r="B111" s="1"/>
  <c r="E112"/>
  <c r="G111"/>
  <c r="H372" i="1" l="1"/>
  <c r="J372" s="1"/>
  <c r="C373" s="1"/>
  <c r="D373"/>
  <c r="F372"/>
  <c r="H510"/>
  <c r="J510" s="1"/>
  <c r="F510"/>
  <c r="D511"/>
  <c r="C510"/>
  <c r="I111" i="14"/>
  <c r="B112" s="1"/>
  <c r="E113"/>
  <c r="G112"/>
  <c r="H373" i="1" l="1"/>
  <c r="J373" s="1"/>
  <c r="C374" s="1"/>
  <c r="D374"/>
  <c r="F373"/>
  <c r="H511"/>
  <c r="J511" s="1"/>
  <c r="D512"/>
  <c r="F511"/>
  <c r="C511"/>
  <c r="I112" i="14"/>
  <c r="B113" s="1"/>
  <c r="E114"/>
  <c r="G113"/>
  <c r="F374" i="1" l="1"/>
  <c r="H374"/>
  <c r="J374" s="1"/>
  <c r="C375" s="1"/>
  <c r="D375"/>
  <c r="D513"/>
  <c r="H512"/>
  <c r="J512" s="1"/>
  <c r="F512"/>
  <c r="C512"/>
  <c r="I113" i="14"/>
  <c r="B114" s="1"/>
  <c r="G114"/>
  <c r="E115"/>
  <c r="D376" i="1" l="1"/>
  <c r="H375"/>
  <c r="J375" s="1"/>
  <c r="C376" s="1"/>
  <c r="F375"/>
  <c r="H513"/>
  <c r="J513" s="1"/>
  <c r="F513"/>
  <c r="D514"/>
  <c r="C513"/>
  <c r="I114" i="14"/>
  <c r="B115" s="1"/>
  <c r="E116"/>
  <c r="G115"/>
  <c r="I115" s="1"/>
  <c r="H376" i="1" l="1"/>
  <c r="J376" s="1"/>
  <c r="C377" s="1"/>
  <c r="D377"/>
  <c r="F376"/>
  <c r="H514"/>
  <c r="J514" s="1"/>
  <c r="F514"/>
  <c r="D515"/>
  <c r="C514"/>
  <c r="B116" i="14"/>
  <c r="E117"/>
  <c r="G116"/>
  <c r="F377" i="1" l="1"/>
  <c r="H377"/>
  <c r="J377" s="1"/>
  <c r="C378" s="1"/>
  <c r="D378"/>
  <c r="H515"/>
  <c r="J515" s="1"/>
  <c r="D516"/>
  <c r="F515"/>
  <c r="C515"/>
  <c r="I116" i="14"/>
  <c r="B117" s="1"/>
  <c r="E118"/>
  <c r="G117"/>
  <c r="H378" i="1" l="1"/>
  <c r="J378" s="1"/>
  <c r="C379" s="1"/>
  <c r="D379"/>
  <c r="F378"/>
  <c r="H516"/>
  <c r="J516" s="1"/>
  <c r="F516"/>
  <c r="D517"/>
  <c r="C516"/>
  <c r="I117" i="14"/>
  <c r="B118" s="1"/>
  <c r="G118"/>
  <c r="E119"/>
  <c r="H379" i="1" l="1"/>
  <c r="J379" s="1"/>
  <c r="C380" s="1"/>
  <c r="D380"/>
  <c r="F379"/>
  <c r="H517"/>
  <c r="J517" s="1"/>
  <c r="F517"/>
  <c r="D518"/>
  <c r="C517"/>
  <c r="I118" i="14"/>
  <c r="B119" s="1"/>
  <c r="E120"/>
  <c r="G119"/>
  <c r="F380" i="1" l="1"/>
  <c r="H380"/>
  <c r="J380" s="1"/>
  <c r="C381" s="1"/>
  <c r="D381"/>
  <c r="H518"/>
  <c r="J518" s="1"/>
  <c r="F518"/>
  <c r="D519"/>
  <c r="C518"/>
  <c r="I119" i="14"/>
  <c r="B120" s="1"/>
  <c r="E121"/>
  <c r="G120"/>
  <c r="H381" i="1" l="1"/>
  <c r="J381" s="1"/>
  <c r="C382" s="1"/>
  <c r="D382"/>
  <c r="F381"/>
  <c r="H519"/>
  <c r="J519" s="1"/>
  <c r="D520"/>
  <c r="F519"/>
  <c r="C519"/>
  <c r="I120" i="14"/>
  <c r="B121" s="1"/>
  <c r="E122"/>
  <c r="G121"/>
  <c r="F382" i="1" l="1"/>
  <c r="H382"/>
  <c r="J382" s="1"/>
  <c r="C383" s="1"/>
  <c r="D383"/>
  <c r="F520"/>
  <c r="D521"/>
  <c r="H520"/>
  <c r="J520" s="1"/>
  <c r="C520"/>
  <c r="I121" i="14"/>
  <c r="B122" s="1"/>
  <c r="G122"/>
  <c r="E123"/>
  <c r="H383" i="1" l="1"/>
  <c r="J383" s="1"/>
  <c r="C384" s="1"/>
  <c r="D384"/>
  <c r="F383"/>
  <c r="D522"/>
  <c r="H521"/>
  <c r="J521" s="1"/>
  <c r="F521"/>
  <c r="C521"/>
  <c r="I122" i="14"/>
  <c r="B123" s="1"/>
  <c r="E124"/>
  <c r="G123"/>
  <c r="H384" i="1" l="1"/>
  <c r="J384" s="1"/>
  <c r="C385" s="1"/>
  <c r="D385"/>
  <c r="F384"/>
  <c r="D523"/>
  <c r="H522"/>
  <c r="J522" s="1"/>
  <c r="F522"/>
  <c r="C522"/>
  <c r="I123" i="14"/>
  <c r="B124" s="1"/>
  <c r="E125"/>
  <c r="G124"/>
  <c r="D386" i="1" l="1"/>
  <c r="H385"/>
  <c r="J385" s="1"/>
  <c r="C386" s="1"/>
  <c r="F385"/>
  <c r="F523"/>
  <c r="D524"/>
  <c r="H523"/>
  <c r="J523" s="1"/>
  <c r="C523"/>
  <c r="I124" i="14"/>
  <c r="B125" s="1"/>
  <c r="E126"/>
  <c r="G125"/>
  <c r="I125" s="1"/>
  <c r="H386" i="1" l="1"/>
  <c r="J386" s="1"/>
  <c r="C387" s="1"/>
  <c r="D387"/>
  <c r="F386"/>
  <c r="F524"/>
  <c r="H524"/>
  <c r="J524" s="1"/>
  <c r="D525"/>
  <c r="C524"/>
  <c r="B126" i="14"/>
  <c r="G126"/>
  <c r="E127"/>
  <c r="F387" i="1" l="1"/>
  <c r="H387"/>
  <c r="J387" s="1"/>
  <c r="C388" s="1"/>
  <c r="D388"/>
  <c r="D526"/>
  <c r="F525"/>
  <c r="H525"/>
  <c r="J525" s="1"/>
  <c r="C525"/>
  <c r="I126" i="14"/>
  <c r="B127" s="1"/>
  <c r="E128"/>
  <c r="G127"/>
  <c r="F388" i="1" l="1"/>
  <c r="H388"/>
  <c r="J388" s="1"/>
  <c r="C389" s="1"/>
  <c r="D389"/>
  <c r="D527"/>
  <c r="H526"/>
  <c r="J526" s="1"/>
  <c r="F526"/>
  <c r="C526"/>
  <c r="I127" i="14"/>
  <c r="B128" s="1"/>
  <c r="E129"/>
  <c r="G128"/>
  <c r="F389" i="1" l="1"/>
  <c r="H389"/>
  <c r="J389" s="1"/>
  <c r="C390" s="1"/>
  <c r="D390"/>
  <c r="H527"/>
  <c r="J527" s="1"/>
  <c r="D528"/>
  <c r="F527"/>
  <c r="C527"/>
  <c r="I128" i="14"/>
  <c r="B129" s="1"/>
  <c r="E130"/>
  <c r="G129"/>
  <c r="H390" i="1" l="1"/>
  <c r="J390" s="1"/>
  <c r="C391" s="1"/>
  <c r="D391"/>
  <c r="F390"/>
  <c r="F528"/>
  <c r="H528"/>
  <c r="J528" s="1"/>
  <c r="D529"/>
  <c r="C528"/>
  <c r="I129" i="14"/>
  <c r="B130" s="1"/>
  <c r="G130"/>
  <c r="E131"/>
  <c r="H391" i="1" l="1"/>
  <c r="J391" s="1"/>
  <c r="C392" s="1"/>
  <c r="D392"/>
  <c r="F391"/>
  <c r="H529"/>
  <c r="J529" s="1"/>
  <c r="D530"/>
  <c r="F529"/>
  <c r="C529"/>
  <c r="I130" i="14"/>
  <c r="B131" s="1"/>
  <c r="E132"/>
  <c r="G131"/>
  <c r="F392" i="1" l="1"/>
  <c r="D393"/>
  <c r="H392"/>
  <c r="J392" s="1"/>
  <c r="C393" s="1"/>
  <c r="F530"/>
  <c r="D531"/>
  <c r="H530"/>
  <c r="J530" s="1"/>
  <c r="C530"/>
  <c r="I131" i="14"/>
  <c r="B132" s="1"/>
  <c r="E133"/>
  <c r="G132"/>
  <c r="H393" i="1" l="1"/>
  <c r="J393" s="1"/>
  <c r="C394" s="1"/>
  <c r="D394"/>
  <c r="F393"/>
  <c r="D532"/>
  <c r="F531"/>
  <c r="H531"/>
  <c r="J531" s="1"/>
  <c r="C531"/>
  <c r="I132" i="14"/>
  <c r="B133" s="1"/>
  <c r="E134"/>
  <c r="G133"/>
  <c r="H394" i="1" l="1"/>
  <c r="J394" s="1"/>
  <c r="C395" s="1"/>
  <c r="F394"/>
  <c r="D395"/>
  <c r="H532"/>
  <c r="J532" s="1"/>
  <c r="D533"/>
  <c r="F532"/>
  <c r="C532"/>
  <c r="I133" i="14"/>
  <c r="B134" s="1"/>
  <c r="G134"/>
  <c r="E135"/>
  <c r="F395" i="1" l="1"/>
  <c r="H395"/>
  <c r="J395" s="1"/>
  <c r="C396" s="1"/>
  <c r="D396"/>
  <c r="F533"/>
  <c r="H533"/>
  <c r="J533" s="1"/>
  <c r="D534"/>
  <c r="C533"/>
  <c r="I134" i="14"/>
  <c r="B135" s="1"/>
  <c r="E136"/>
  <c r="G135"/>
  <c r="F396" i="1" l="1"/>
  <c r="H396"/>
  <c r="J396" s="1"/>
  <c r="C397" s="1"/>
  <c r="D397"/>
  <c r="F534"/>
  <c r="H534"/>
  <c r="J534" s="1"/>
  <c r="D535"/>
  <c r="C534"/>
  <c r="I135" i="14"/>
  <c r="B136" s="1"/>
  <c r="E137"/>
  <c r="G136"/>
  <c r="F397" i="1" l="1"/>
  <c r="H397"/>
  <c r="J397" s="1"/>
  <c r="C398" s="1"/>
  <c r="D398"/>
  <c r="F535"/>
  <c r="D536"/>
  <c r="H535"/>
  <c r="J535" s="1"/>
  <c r="C535"/>
  <c r="I136" i="14"/>
  <c r="B137" s="1"/>
  <c r="E138"/>
  <c r="G137"/>
  <c r="F398" i="1" l="1"/>
  <c r="H398"/>
  <c r="J398" s="1"/>
  <c r="C399" s="1"/>
  <c r="D399"/>
  <c r="H536"/>
  <c r="J536" s="1"/>
  <c r="D537"/>
  <c r="F536"/>
  <c r="C536"/>
  <c r="I137" i="14"/>
  <c r="B138" s="1"/>
  <c r="G138"/>
  <c r="E139"/>
  <c r="F399" i="1" l="1"/>
  <c r="H399"/>
  <c r="J399" s="1"/>
  <c r="C400" s="1"/>
  <c r="D400"/>
  <c r="F537"/>
  <c r="H537"/>
  <c r="J537" s="1"/>
  <c r="D538"/>
  <c r="C537"/>
  <c r="I138" i="14"/>
  <c r="B139" s="1"/>
  <c r="E140"/>
  <c r="G139"/>
  <c r="F400" i="1" l="1"/>
  <c r="H400"/>
  <c r="J400" s="1"/>
  <c r="C401" s="1"/>
  <c r="D401"/>
  <c r="H538"/>
  <c r="J538" s="1"/>
  <c r="F538"/>
  <c r="D539"/>
  <c r="C538"/>
  <c r="I139" i="14"/>
  <c r="B140" s="1"/>
  <c r="E141"/>
  <c r="G140"/>
  <c r="H401" i="1" l="1"/>
  <c r="J401" s="1"/>
  <c r="C402" s="1"/>
  <c r="F401"/>
  <c r="D402"/>
  <c r="D540"/>
  <c r="F539"/>
  <c r="H539"/>
  <c r="J539" s="1"/>
  <c r="C539"/>
  <c r="I140" i="14"/>
  <c r="B141" s="1"/>
  <c r="E142"/>
  <c r="G141"/>
  <c r="I141" s="1"/>
  <c r="F402" i="1" l="1"/>
  <c r="H402"/>
  <c r="J402" s="1"/>
  <c r="C403" s="1"/>
  <c r="D403"/>
  <c r="H540"/>
  <c r="J540" s="1"/>
  <c r="D541"/>
  <c r="F540"/>
  <c r="C540"/>
  <c r="B142" i="14"/>
  <c r="G142"/>
  <c r="E143"/>
  <c r="H403" i="1" l="1"/>
  <c r="J403" s="1"/>
  <c r="C404" s="1"/>
  <c r="D404"/>
  <c r="F403"/>
  <c r="F541"/>
  <c r="H541"/>
  <c r="J541" s="1"/>
  <c r="D542"/>
  <c r="C541"/>
  <c r="I142" i="14"/>
  <c r="B143" s="1"/>
  <c r="E144"/>
  <c r="G143"/>
  <c r="D405" i="1" l="1"/>
  <c r="F404"/>
  <c r="H404"/>
  <c r="J404" s="1"/>
  <c r="C405" s="1"/>
  <c r="F542"/>
  <c r="H542"/>
  <c r="J542" s="1"/>
  <c r="D543"/>
  <c r="C542"/>
  <c r="I143" i="14"/>
  <c r="B144" s="1"/>
  <c r="E145"/>
  <c r="G144"/>
  <c r="F405" i="1" l="1"/>
  <c r="H405"/>
  <c r="J405" s="1"/>
  <c r="C406" s="1"/>
  <c r="D406"/>
  <c r="D544"/>
  <c r="F543"/>
  <c r="H543"/>
  <c r="J543" s="1"/>
  <c r="C543"/>
  <c r="I144" i="14"/>
  <c r="B145" s="1"/>
  <c r="E146"/>
  <c r="G145"/>
  <c r="H406" i="1" l="1"/>
  <c r="J406" s="1"/>
  <c r="C407" s="1"/>
  <c r="D407"/>
  <c r="F406"/>
  <c r="H544"/>
  <c r="J544" s="1"/>
  <c r="D545"/>
  <c r="F544"/>
  <c r="C544"/>
  <c r="I145" i="14"/>
  <c r="B146" s="1"/>
  <c r="G146"/>
  <c r="E147"/>
  <c r="F407" i="1" l="1"/>
  <c r="H407"/>
  <c r="J407" s="1"/>
  <c r="C408" s="1"/>
  <c r="D408"/>
  <c r="F545"/>
  <c r="H545"/>
  <c r="J545" s="1"/>
  <c r="D546"/>
  <c r="C545"/>
  <c r="I146" i="14"/>
  <c r="B147" s="1"/>
  <c r="E148"/>
  <c r="G147"/>
  <c r="F408" i="1" l="1"/>
  <c r="H408"/>
  <c r="J408" s="1"/>
  <c r="C409" s="1"/>
  <c r="D409"/>
  <c r="F546"/>
  <c r="H546"/>
  <c r="J546" s="1"/>
  <c r="D547"/>
  <c r="C546"/>
  <c r="I147" i="14"/>
  <c r="B148" s="1"/>
  <c r="E149"/>
  <c r="G148"/>
  <c r="H409" i="1" l="1"/>
  <c r="J409" s="1"/>
  <c r="F409"/>
  <c r="C413"/>
  <c r="C412"/>
  <c r="C411"/>
  <c r="D548"/>
  <c r="F547"/>
  <c r="H547"/>
  <c r="J547" s="1"/>
  <c r="C547"/>
  <c r="I148" i="14"/>
  <c r="B149" s="1"/>
  <c r="E150"/>
  <c r="G149"/>
  <c r="C548" i="1" l="1"/>
  <c r="H548"/>
  <c r="J548" s="1"/>
  <c r="D549"/>
  <c r="F548"/>
  <c r="I149" i="14"/>
  <c r="B150" s="1"/>
  <c r="G150"/>
  <c r="E151"/>
  <c r="C549" i="1" l="1"/>
  <c r="H549"/>
  <c r="J549" s="1"/>
  <c r="F549"/>
  <c r="D550"/>
  <c r="I150" i="14"/>
  <c r="B151" s="1"/>
  <c r="E152"/>
  <c r="G151"/>
  <c r="C550" i="1" l="1"/>
  <c r="H550"/>
  <c r="J550" s="1"/>
  <c r="F550"/>
  <c r="D551"/>
  <c r="I151" i="14"/>
  <c r="B152" s="1"/>
  <c r="E153"/>
  <c r="G152"/>
  <c r="C551" i="1" l="1"/>
  <c r="D552"/>
  <c r="F551"/>
  <c r="H551"/>
  <c r="J551" s="1"/>
  <c r="I152" i="14"/>
  <c r="B153" s="1"/>
  <c r="E154"/>
  <c r="E155" s="1"/>
  <c r="G155" s="1"/>
  <c r="I155" s="1"/>
  <c r="G153"/>
  <c r="C552" i="1" l="1"/>
  <c r="H552"/>
  <c r="J552" s="1"/>
  <c r="D553"/>
  <c r="F552"/>
  <c r="I153" i="14"/>
  <c r="B154" s="1"/>
  <c r="G154"/>
  <c r="C553" i="1" l="1"/>
  <c r="D554"/>
  <c r="F553"/>
  <c r="H553"/>
  <c r="J553" s="1"/>
  <c r="I154" i="14"/>
  <c r="B155" s="1"/>
  <c r="B156" s="1"/>
  <c r="E156"/>
  <c r="C554" i="1" l="1"/>
  <c r="H554"/>
  <c r="J554" s="1"/>
  <c r="F554"/>
  <c r="D555"/>
  <c r="E157" i="14"/>
  <c r="G156"/>
  <c r="I156" s="1"/>
  <c r="B157" s="1"/>
  <c r="C555" i="1" l="1"/>
  <c r="H555"/>
  <c r="J555" s="1"/>
  <c r="D556"/>
  <c r="F555"/>
  <c r="E158" i="14"/>
  <c r="G157"/>
  <c r="I157" s="1"/>
  <c r="B158" s="1"/>
  <c r="C556" i="1" l="1"/>
  <c r="D557"/>
  <c r="F556"/>
  <c r="H556"/>
  <c r="J556" s="1"/>
  <c r="G158" i="14"/>
  <c r="I158" s="1"/>
  <c r="B159" s="1"/>
  <c r="E159"/>
  <c r="C557" i="1" l="1"/>
  <c r="H557"/>
  <c r="J557" s="1"/>
  <c r="F557"/>
  <c r="D558"/>
  <c r="E160" i="14"/>
  <c r="G159"/>
  <c r="I159" s="1"/>
  <c r="B160" s="1"/>
  <c r="C558" i="1" l="1"/>
  <c r="H558"/>
  <c r="J558" s="1"/>
  <c r="F558"/>
  <c r="D559"/>
  <c r="E161" i="14"/>
  <c r="G160"/>
  <c r="I160" s="1"/>
  <c r="B161" s="1"/>
  <c r="C559" i="1" l="1"/>
  <c r="H559"/>
  <c r="J559" s="1"/>
  <c r="D560"/>
  <c r="F559"/>
  <c r="E162" i="14"/>
  <c r="G161"/>
  <c r="I161" s="1"/>
  <c r="B162" s="1"/>
  <c r="C560" i="1" l="1"/>
  <c r="D561"/>
  <c r="F560"/>
  <c r="H560"/>
  <c r="J560" s="1"/>
  <c r="G162" i="14"/>
  <c r="I162" s="1"/>
  <c r="B163" s="1"/>
  <c r="E163"/>
  <c r="C561" i="1" l="1"/>
  <c r="H561"/>
  <c r="J561" s="1"/>
  <c r="F561"/>
  <c r="D562"/>
  <c r="E164" i="14"/>
  <c r="G163"/>
  <c r="I163" s="1"/>
  <c r="B164" s="1"/>
  <c r="C562" i="1" l="1"/>
  <c r="H562"/>
  <c r="J562" s="1"/>
  <c r="F562"/>
  <c r="D563"/>
  <c r="E165" i="14"/>
  <c r="G164"/>
  <c r="I164" s="1"/>
  <c r="B165" s="1"/>
  <c r="C563" i="1" l="1"/>
  <c r="D564"/>
  <c r="H563"/>
  <c r="J563" s="1"/>
  <c r="F563"/>
  <c r="E166" i="14"/>
  <c r="G165"/>
  <c r="I165" s="1"/>
  <c r="B166" s="1"/>
  <c r="C564" i="1" l="1"/>
  <c r="D565"/>
  <c r="H564"/>
  <c r="J564" s="1"/>
  <c r="F564"/>
  <c r="G166" i="14"/>
  <c r="I166" s="1"/>
  <c r="B167" s="1"/>
  <c r="E167"/>
  <c r="C565" i="1" l="1"/>
  <c r="F565"/>
  <c r="H565"/>
  <c r="J565" s="1"/>
  <c r="D566"/>
  <c r="E168" i="14"/>
  <c r="G167"/>
  <c r="I167" s="1"/>
  <c r="B168" s="1"/>
  <c r="C566" i="1" l="1"/>
  <c r="D567"/>
  <c r="H566"/>
  <c r="J566" s="1"/>
  <c r="F566"/>
  <c r="E169" i="14"/>
  <c r="G168"/>
  <c r="I168" s="1"/>
  <c r="B169" s="1"/>
  <c r="C567" i="1" l="1"/>
  <c r="D568"/>
  <c r="F567"/>
  <c r="H567"/>
  <c r="J567" s="1"/>
  <c r="E170" i="14"/>
  <c r="G169"/>
  <c r="I169" s="1"/>
  <c r="B170" s="1"/>
  <c r="C568" i="1" l="1"/>
  <c r="D569"/>
  <c r="H568"/>
  <c r="J568" s="1"/>
  <c r="F568"/>
  <c r="G170" i="14"/>
  <c r="I170" s="1"/>
  <c r="B171" s="1"/>
  <c r="E171"/>
  <c r="C569" i="1" l="1"/>
  <c r="D570"/>
  <c r="H569"/>
  <c r="J569" s="1"/>
  <c r="F569"/>
  <c r="E172" i="14"/>
  <c r="G171"/>
  <c r="I171" s="1"/>
  <c r="B172" s="1"/>
  <c r="C570" i="1" l="1"/>
  <c r="D571"/>
  <c r="H570"/>
  <c r="J570" s="1"/>
  <c r="F570"/>
  <c r="E173" i="14"/>
  <c r="G172"/>
  <c r="I172" s="1"/>
  <c r="B173" s="1"/>
  <c r="C571" i="1" l="1"/>
  <c r="D572"/>
  <c r="H571"/>
  <c r="J571" s="1"/>
  <c r="F571"/>
  <c r="E174" i="14"/>
  <c r="G173"/>
  <c r="I173" s="1"/>
  <c r="B174" s="1"/>
  <c r="C572" i="1" l="1"/>
  <c r="D573"/>
  <c r="H572"/>
  <c r="J572" s="1"/>
  <c r="F572"/>
  <c r="G174" i="14"/>
  <c r="I174" s="1"/>
  <c r="B175" s="1"/>
  <c r="E175"/>
  <c r="C573" i="1" l="1"/>
  <c r="D574"/>
  <c r="H573"/>
  <c r="J573" s="1"/>
  <c r="F573"/>
  <c r="E176" i="14"/>
  <c r="G175"/>
  <c r="I175" s="1"/>
  <c r="B176" s="1"/>
  <c r="C574" i="1" l="1"/>
  <c r="D575"/>
  <c r="H574"/>
  <c r="J574" s="1"/>
  <c r="F574"/>
  <c r="E177" i="14"/>
  <c r="G176"/>
  <c r="I176" s="1"/>
  <c r="B177" s="1"/>
  <c r="C575" i="1" l="1"/>
  <c r="D576"/>
  <c r="F575"/>
  <c r="H575"/>
  <c r="J575" s="1"/>
  <c r="E178" i="14"/>
  <c r="G177"/>
  <c r="I177" s="1"/>
  <c r="B178" s="1"/>
  <c r="C576" i="1" l="1"/>
  <c r="D577"/>
  <c r="H576"/>
  <c r="J576" s="1"/>
  <c r="F576"/>
  <c r="G178" i="14"/>
  <c r="I178" s="1"/>
  <c r="B179" s="1"/>
  <c r="E179"/>
  <c r="C577" i="1" l="1"/>
  <c r="D578"/>
  <c r="H577"/>
  <c r="J577" s="1"/>
  <c r="F577"/>
  <c r="E180" i="14"/>
  <c r="G179"/>
  <c r="I179" s="1"/>
  <c r="B180" s="1"/>
  <c r="C578" i="1" l="1"/>
  <c r="D579"/>
  <c r="F578"/>
  <c r="H578"/>
  <c r="J578" s="1"/>
  <c r="G180" i="14"/>
  <c r="I180" s="1"/>
  <c r="B181" s="1"/>
  <c r="E181"/>
  <c r="C579" i="1" l="1"/>
  <c r="D580"/>
  <c r="F579"/>
  <c r="H579"/>
  <c r="J579" s="1"/>
  <c r="E182" i="14"/>
  <c r="G181"/>
  <c r="I181" s="1"/>
  <c r="B182" s="1"/>
  <c r="C580" i="1" l="1"/>
  <c r="D581"/>
  <c r="H580"/>
  <c r="J580" s="1"/>
  <c r="F580"/>
  <c r="G182" i="14"/>
  <c r="I182" s="1"/>
  <c r="B183" s="1"/>
  <c r="E183"/>
  <c r="C581" i="1" l="1"/>
  <c r="H581"/>
  <c r="J581" s="1"/>
  <c r="F581"/>
  <c r="D582"/>
  <c r="E184" i="14"/>
  <c r="G183"/>
  <c r="I183" s="1"/>
  <c r="B184" s="1"/>
  <c r="C582" i="1" l="1"/>
  <c r="F582"/>
  <c r="H582"/>
  <c r="J582" s="1"/>
  <c r="D583"/>
  <c r="G184" i="14"/>
  <c r="I184" s="1"/>
  <c r="B185" s="1"/>
  <c r="E185"/>
  <c r="C583" i="1" l="1"/>
  <c r="F583"/>
  <c r="D584"/>
  <c r="H583"/>
  <c r="J583" s="1"/>
  <c r="E186" i="14"/>
  <c r="G185"/>
  <c r="I185" s="1"/>
  <c r="B186" s="1"/>
  <c r="C584" i="1" l="1"/>
  <c r="D585"/>
  <c r="H584"/>
  <c r="J584" s="1"/>
  <c r="F584"/>
  <c r="G186" i="14"/>
  <c r="I186" s="1"/>
  <c r="B187" s="1"/>
  <c r="E187"/>
  <c r="C585" i="1" l="1"/>
  <c r="D586"/>
  <c r="H585"/>
  <c r="J585" s="1"/>
  <c r="F585"/>
  <c r="E188" i="14"/>
  <c r="G187"/>
  <c r="I187" s="1"/>
  <c r="B188" s="1"/>
  <c r="C586" i="1" l="1"/>
  <c r="F586"/>
  <c r="D587"/>
  <c r="H586"/>
  <c r="J586" s="1"/>
  <c r="G188" i="14"/>
  <c r="I188" s="1"/>
  <c r="B189" s="1"/>
  <c r="E189"/>
  <c r="C587" i="1" l="1"/>
  <c r="F587"/>
  <c r="H587"/>
  <c r="J587" s="1"/>
  <c r="D588"/>
  <c r="E190" i="14"/>
  <c r="G189"/>
  <c r="I189" s="1"/>
  <c r="B190" s="1"/>
  <c r="C588" i="1" l="1"/>
  <c r="D589"/>
  <c r="H588"/>
  <c r="J588" s="1"/>
  <c r="F588"/>
  <c r="G190" i="14"/>
  <c r="I190" s="1"/>
  <c r="B191" s="1"/>
  <c r="E191"/>
  <c r="C589" i="1" l="1"/>
  <c r="D590"/>
  <c r="H589"/>
  <c r="J589" s="1"/>
  <c r="F589"/>
  <c r="E192" i="14"/>
  <c r="G191"/>
  <c r="I191" s="1"/>
  <c r="B192" s="1"/>
  <c r="C590" i="1" l="1"/>
  <c r="H590"/>
  <c r="J590" s="1"/>
  <c r="D591"/>
  <c r="F590"/>
  <c r="E193" i="14"/>
  <c r="G192"/>
  <c r="I192" s="1"/>
  <c r="B193" s="1"/>
  <c r="C591" i="1" l="1"/>
  <c r="F591"/>
  <c r="H591"/>
  <c r="J591" s="1"/>
  <c r="D592"/>
  <c r="E194" i="14"/>
  <c r="G193"/>
  <c r="I193" s="1"/>
  <c r="B194" s="1"/>
  <c r="C592" i="1" l="1"/>
  <c r="D593"/>
  <c r="H592"/>
  <c r="J592" s="1"/>
  <c r="F592"/>
  <c r="E195" i="14"/>
  <c r="G194"/>
  <c r="I194" s="1"/>
  <c r="B195" s="1"/>
  <c r="C593" i="1" l="1"/>
  <c r="D594"/>
  <c r="F593"/>
  <c r="H593"/>
  <c r="J593" s="1"/>
  <c r="G195" i="14"/>
  <c r="I195" s="1"/>
  <c r="B196" s="1"/>
  <c r="E196"/>
  <c r="C594" i="1" l="1"/>
  <c r="F594"/>
  <c r="H594"/>
  <c r="J594" s="1"/>
  <c r="D595"/>
  <c r="E197" i="14"/>
  <c r="G196"/>
  <c r="I196" s="1"/>
  <c r="B197" s="1"/>
  <c r="C595" i="1" l="1"/>
  <c r="D596"/>
  <c r="F595"/>
  <c r="H595"/>
  <c r="J595" s="1"/>
  <c r="E198" i="14"/>
  <c r="G197"/>
  <c r="I197" s="1"/>
  <c r="B198" s="1"/>
  <c r="C596" i="1" l="1"/>
  <c r="D597"/>
  <c r="F596"/>
  <c r="H596"/>
  <c r="J596" s="1"/>
  <c r="E199" i="14"/>
  <c r="G198"/>
  <c r="I198" s="1"/>
  <c r="B199" s="1"/>
  <c r="C33" i="7"/>
  <c r="C34" s="1"/>
  <c r="C35" s="1"/>
  <c r="C36" s="1"/>
  <c r="C37" s="1"/>
  <c r="C38" s="1"/>
  <c r="C39" s="1"/>
  <c r="C40" s="1"/>
  <c r="C41" s="1"/>
  <c r="C42" s="1"/>
  <c r="C43" s="1"/>
  <c r="C44" s="1"/>
  <c r="C45" s="1"/>
  <c r="C46" s="1"/>
  <c r="C47" s="1"/>
  <c r="C48" s="1"/>
  <c r="C49" s="1"/>
  <c r="C50" s="1"/>
  <c r="C51" s="1"/>
  <c r="C52" s="1"/>
  <c r="C53" s="1"/>
  <c r="C54" s="1"/>
  <c r="C55" s="1"/>
  <c r="C56" s="1"/>
  <c r="C57" s="1"/>
  <c r="C58" s="1"/>
  <c r="C59" s="1"/>
  <c r="C60" s="1"/>
  <c r="C61" s="1"/>
  <c r="C62" s="1"/>
  <c r="C63" s="1"/>
  <c r="C64" s="1"/>
  <c r="C65" s="1"/>
  <c r="C66" s="1"/>
  <c r="C67" s="1"/>
  <c r="C68" s="1"/>
  <c r="C69" s="1"/>
  <c r="C70" s="1"/>
  <c r="C71" s="1"/>
  <c r="C72" s="1"/>
  <c r="C73" s="1"/>
  <c r="C74" s="1"/>
  <c r="C75" s="1"/>
  <c r="C76" s="1"/>
  <c r="C77" s="1"/>
  <c r="C78" s="1"/>
  <c r="C79" s="1"/>
  <c r="C80" s="1"/>
  <c r="C81" s="1"/>
  <c r="C82" s="1"/>
  <c r="C83" s="1"/>
  <c r="C84" s="1"/>
  <c r="C85" s="1"/>
  <c r="C86" s="1"/>
  <c r="C87" s="1"/>
  <c r="C88" s="1"/>
  <c r="C89" s="1"/>
  <c r="C90" s="1"/>
  <c r="C91" s="1"/>
  <c r="C92" s="1"/>
  <c r="C93" s="1"/>
  <c r="C94" s="1"/>
  <c r="C95" s="1"/>
  <c r="C96" s="1"/>
  <c r="C97" s="1"/>
  <c r="C98" s="1"/>
  <c r="C99" s="1"/>
  <c r="C100" s="1"/>
  <c r="C101" s="1"/>
  <c r="C102" s="1"/>
  <c r="C103" s="1"/>
  <c r="C104" s="1"/>
  <c r="C105" s="1"/>
  <c r="C106" s="1"/>
  <c r="C107" s="1"/>
  <c r="C108" s="1"/>
  <c r="C109" s="1"/>
  <c r="C110" s="1"/>
  <c r="C111" s="1"/>
  <c r="C112" s="1"/>
  <c r="C113" s="1"/>
  <c r="C114" s="1"/>
  <c r="C115" s="1"/>
  <c r="C116" s="1"/>
  <c r="C117" s="1"/>
  <c r="C118" s="1"/>
  <c r="C119" s="1"/>
  <c r="C120" s="1"/>
  <c r="C121" s="1"/>
  <c r="C122" s="1"/>
  <c r="C123" s="1"/>
  <c r="C124" s="1"/>
  <c r="C125" s="1"/>
  <c r="C126" s="1"/>
  <c r="C127" s="1"/>
  <c r="C128" s="1"/>
  <c r="C129" s="1"/>
  <c r="C130" s="1"/>
  <c r="C131" s="1"/>
  <c r="C132" s="1"/>
  <c r="C133" s="1"/>
  <c r="C134" s="1"/>
  <c r="C135" s="1"/>
  <c r="C136" s="1"/>
  <c r="C137" s="1"/>
  <c r="C138" s="1"/>
  <c r="C139" s="1"/>
  <c r="C140" s="1"/>
  <c r="C141" s="1"/>
  <c r="C142" s="1"/>
  <c r="C143" s="1"/>
  <c r="C144" s="1"/>
  <c r="C145" s="1"/>
  <c r="C146" s="1"/>
  <c r="C147" s="1"/>
  <c r="C148" s="1"/>
  <c r="C149" s="1"/>
  <c r="C150" s="1"/>
  <c r="C151" s="1"/>
  <c r="C152" s="1"/>
  <c r="C153" s="1"/>
  <c r="C154" s="1"/>
  <c r="C155" s="1"/>
  <c r="C156" s="1"/>
  <c r="C157" s="1"/>
  <c r="C158" s="1"/>
  <c r="C159" s="1"/>
  <c r="C160" s="1"/>
  <c r="C161" s="1"/>
  <c r="C162" s="1"/>
  <c r="C163" s="1"/>
  <c r="C164" s="1"/>
  <c r="C165" s="1"/>
  <c r="C166" s="1"/>
  <c r="C167" s="1"/>
  <c r="C168" s="1"/>
  <c r="C169" s="1"/>
  <c r="C170" s="1"/>
  <c r="C171" s="1"/>
  <c r="C172" s="1"/>
  <c r="C173" s="1"/>
  <c r="C174" s="1"/>
  <c r="C175" s="1"/>
  <c r="C176" s="1"/>
  <c r="C177" s="1"/>
  <c r="C178" s="1"/>
  <c r="C179" s="1"/>
  <c r="C180" s="1"/>
  <c r="C181" s="1"/>
  <c r="C182" s="1"/>
  <c r="C183" s="1"/>
  <c r="C184" s="1"/>
  <c r="C185" s="1"/>
  <c r="C186" s="1"/>
  <c r="C187" s="1"/>
  <c r="C188" s="1"/>
  <c r="C189" s="1"/>
  <c r="C190" s="1"/>
  <c r="C191" s="1"/>
  <c r="C192" s="1"/>
  <c r="C193" s="1"/>
  <c r="C194" s="1"/>
  <c r="C195" s="1"/>
  <c r="C196" s="1"/>
  <c r="C197" s="1"/>
  <c r="C198" s="1"/>
  <c r="C199" s="1"/>
  <c r="C200" s="1"/>
  <c r="C201" s="1"/>
  <c r="C202" s="1"/>
  <c r="C203" s="1"/>
  <c r="C204" s="1"/>
  <c r="C205" s="1"/>
  <c r="C206" s="1"/>
  <c r="C207" s="1"/>
  <c r="C208" s="1"/>
  <c r="C209" s="1"/>
  <c r="C210" s="1"/>
  <c r="C211" s="1"/>
  <c r="C212" s="1"/>
  <c r="C213" s="1"/>
  <c r="C214" s="1"/>
  <c r="C215" s="1"/>
  <c r="C216" s="1"/>
  <c r="C217" s="1"/>
  <c r="C218" s="1"/>
  <c r="C219" s="1"/>
  <c r="C220" s="1"/>
  <c r="C221" s="1"/>
  <c r="C222" s="1"/>
  <c r="C223" s="1"/>
  <c r="C224" s="1"/>
  <c r="C225" s="1"/>
  <c r="C226" s="1"/>
  <c r="C227" s="1"/>
  <c r="C228" s="1"/>
  <c r="C229" s="1"/>
  <c r="C230" s="1"/>
  <c r="C231" s="1"/>
  <c r="C232" s="1"/>
  <c r="C233" s="1"/>
  <c r="C234" s="1"/>
  <c r="C235" s="1"/>
  <c r="C236" s="1"/>
  <c r="C237" s="1"/>
  <c r="C238" s="1"/>
  <c r="C239" s="1"/>
  <c r="C240" s="1"/>
  <c r="C241" s="1"/>
  <c r="C242" s="1"/>
  <c r="C243" s="1"/>
  <c r="C244" s="1"/>
  <c r="C245" s="1"/>
  <c r="C246" s="1"/>
  <c r="C247" s="1"/>
  <c r="C248" s="1"/>
  <c r="C249" s="1"/>
  <c r="C250" s="1"/>
  <c r="C251" s="1"/>
  <c r="C252" s="1"/>
  <c r="C253" s="1"/>
  <c r="C254" s="1"/>
  <c r="C255" s="1"/>
  <c r="C256" s="1"/>
  <c r="C257" s="1"/>
  <c r="C258" s="1"/>
  <c r="C259" s="1"/>
  <c r="C260" s="1"/>
  <c r="C261" s="1"/>
  <c r="C262" s="1"/>
  <c r="C263" s="1"/>
  <c r="C264" s="1"/>
  <c r="C265" s="1"/>
  <c r="C266" s="1"/>
  <c r="C267" s="1"/>
  <c r="C268" s="1"/>
  <c r="C269" s="1"/>
  <c r="C270" s="1"/>
  <c r="C271" s="1"/>
  <c r="C272" s="1"/>
  <c r="C273" s="1"/>
  <c r="C274" s="1"/>
  <c r="C275" s="1"/>
  <c r="C276" s="1"/>
  <c r="C277" s="1"/>
  <c r="C278" s="1"/>
  <c r="C279" s="1"/>
  <c r="C280" s="1"/>
  <c r="C281" s="1"/>
  <c r="C282" s="1"/>
  <c r="C283" s="1"/>
  <c r="C284" s="1"/>
  <c r="C285" s="1"/>
  <c r="C286" s="1"/>
  <c r="C287" s="1"/>
  <c r="C288" s="1"/>
  <c r="C289" s="1"/>
  <c r="C290" s="1"/>
  <c r="C291" s="1"/>
  <c r="C292" s="1"/>
  <c r="C293" s="1"/>
  <c r="C294" s="1"/>
  <c r="C295" s="1"/>
  <c r="C296" s="1"/>
  <c r="C297" s="1"/>
  <c r="C298" s="1"/>
  <c r="C299" s="1"/>
  <c r="C300" s="1"/>
  <c r="C301" s="1"/>
  <c r="C302" s="1"/>
  <c r="C303" s="1"/>
  <c r="C304" s="1"/>
  <c r="C32"/>
  <c r="C597" i="1" l="1"/>
  <c r="F597"/>
  <c r="H597"/>
  <c r="J597" s="1"/>
  <c r="D598"/>
  <c r="G199" i="14"/>
  <c r="I199" s="1"/>
  <c r="B200" s="1"/>
  <c r="E200"/>
  <c r="C598" i="1" l="1"/>
  <c r="D599"/>
  <c r="F598"/>
  <c r="H598"/>
  <c r="J598" s="1"/>
  <c r="E201" i="14"/>
  <c r="G200"/>
  <c r="I200" s="1"/>
  <c r="B201" s="1"/>
  <c r="C599" i="1" l="1"/>
  <c r="F599"/>
  <c r="D600"/>
  <c r="H599"/>
  <c r="J599" s="1"/>
  <c r="E202" i="14"/>
  <c r="G201"/>
  <c r="I201" s="1"/>
  <c r="B202" s="1"/>
  <c r="C600" i="1" l="1"/>
  <c r="H600"/>
  <c r="J600" s="1"/>
  <c r="F600"/>
  <c r="D601"/>
  <c r="E203" i="14"/>
  <c r="G202"/>
  <c r="I202" s="1"/>
  <c r="B203" s="1"/>
  <c r="C601" i="1" l="1"/>
  <c r="F601"/>
  <c r="H601"/>
  <c r="J601" s="1"/>
  <c r="D602"/>
  <c r="G203" i="14"/>
  <c r="I203" s="1"/>
  <c r="B204" s="1"/>
  <c r="E204"/>
  <c r="C602" i="1" l="1"/>
  <c r="H602"/>
  <c r="J602" s="1"/>
  <c r="D603"/>
  <c r="F602"/>
  <c r="E205" i="14"/>
  <c r="G204"/>
  <c r="I204" s="1"/>
  <c r="B205" s="1"/>
  <c r="C603" i="1" l="1"/>
  <c r="F603"/>
  <c r="D604"/>
  <c r="H603"/>
  <c r="J603" s="1"/>
  <c r="E206" i="14"/>
  <c r="G205"/>
  <c r="I205" s="1"/>
  <c r="B206" s="1"/>
  <c r="C604" i="1" l="1"/>
  <c r="H604"/>
  <c r="J604" s="1"/>
  <c r="F604"/>
  <c r="D605"/>
  <c r="E207" i="14"/>
  <c r="G206"/>
  <c r="I206" s="1"/>
  <c r="B207" s="1"/>
  <c r="C605" i="1" l="1"/>
  <c r="F605"/>
  <c r="H605"/>
  <c r="J605" s="1"/>
  <c r="D606"/>
  <c r="G207" i="14"/>
  <c r="I207" s="1"/>
  <c r="B208" s="1"/>
  <c r="E208"/>
  <c r="C606" i="1" l="1"/>
  <c r="H606"/>
  <c r="J606" s="1"/>
  <c r="D607"/>
  <c r="F606"/>
  <c r="E209" i="14"/>
  <c r="G208"/>
  <c r="I208" s="1"/>
  <c r="B209" s="1"/>
  <c r="C607" i="1" l="1"/>
  <c r="F607"/>
  <c r="D608"/>
  <c r="H607"/>
  <c r="J607" s="1"/>
  <c r="E210" i="14"/>
  <c r="G209"/>
  <c r="I209" s="1"/>
  <c r="B210" s="1"/>
  <c r="C608" i="1" l="1"/>
  <c r="H608"/>
  <c r="J608" s="1"/>
  <c r="F608"/>
  <c r="D609"/>
  <c r="E211" i="14"/>
  <c r="G210"/>
  <c r="I210" s="1"/>
  <c r="B211" s="1"/>
  <c r="C609" i="1" l="1"/>
  <c r="D610"/>
  <c r="F609"/>
  <c r="H609"/>
  <c r="J609" s="1"/>
  <c r="G211" i="14"/>
  <c r="I211" s="1"/>
  <c r="B212" s="1"/>
  <c r="E212"/>
  <c r="C610" i="1" l="1"/>
  <c r="H610"/>
  <c r="J610" s="1"/>
  <c r="D611"/>
  <c r="F610"/>
  <c r="E213" i="14"/>
  <c r="G212"/>
  <c r="I212" s="1"/>
  <c r="B213" s="1"/>
  <c r="C611" i="1" l="1"/>
  <c r="F611"/>
  <c r="D612"/>
  <c r="H611"/>
  <c r="J611" s="1"/>
  <c r="E214" i="14"/>
  <c r="G213"/>
  <c r="I213" s="1"/>
  <c r="B214" s="1"/>
  <c r="C612" i="1" l="1"/>
  <c r="H612"/>
  <c r="J612" s="1"/>
  <c r="F612"/>
  <c r="D613"/>
  <c r="E215" i="14"/>
  <c r="G214"/>
  <c r="I214" s="1"/>
  <c r="B215" s="1"/>
  <c r="C613" i="1" l="1"/>
  <c r="F613"/>
  <c r="H613"/>
  <c r="J613" s="1"/>
  <c r="D614"/>
  <c r="G215" i="14"/>
  <c r="I215" s="1"/>
  <c r="B216" s="1"/>
  <c r="E216"/>
  <c r="C614" i="1" l="1"/>
  <c r="D615"/>
  <c r="H614"/>
  <c r="J614" s="1"/>
  <c r="F614"/>
  <c r="E217" i="14"/>
  <c r="G216"/>
  <c r="I216" s="1"/>
  <c r="B217" s="1"/>
  <c r="C615" i="1" l="1"/>
  <c r="F615"/>
  <c r="H615"/>
  <c r="J615" s="1"/>
  <c r="D616"/>
  <c r="E218" i="14"/>
  <c r="G217"/>
  <c r="I217" s="1"/>
  <c r="B218" s="1"/>
  <c r="C616" i="1" l="1"/>
  <c r="F616"/>
  <c r="H616"/>
  <c r="J616" s="1"/>
  <c r="D617"/>
  <c r="E219" i="14"/>
  <c r="G218"/>
  <c r="I218" s="1"/>
  <c r="B219" s="1"/>
  <c r="C617" i="1" l="1"/>
  <c r="F617"/>
  <c r="H617"/>
  <c r="J617" s="1"/>
  <c r="D618"/>
  <c r="G219" i="14"/>
  <c r="I219" s="1"/>
  <c r="B220" s="1"/>
  <c r="E220"/>
  <c r="C618" i="1" l="1"/>
  <c r="H618"/>
  <c r="J618" s="1"/>
  <c r="D619"/>
  <c r="F618"/>
  <c r="E221" i="14"/>
  <c r="G220"/>
  <c r="I220" s="1"/>
  <c r="B221" s="1"/>
  <c r="C619" i="1" l="1"/>
  <c r="F619"/>
  <c r="D620"/>
  <c r="D621" s="1"/>
  <c r="H619"/>
  <c r="J619" s="1"/>
  <c r="E222" i="14"/>
  <c r="G221"/>
  <c r="I221" s="1"/>
  <c r="B222" s="1"/>
  <c r="C620" i="1" l="1"/>
  <c r="H620"/>
  <c r="J620" s="1"/>
  <c r="F620"/>
  <c r="E223" i="14"/>
  <c r="G222"/>
  <c r="I222" s="1"/>
  <c r="B223" s="1"/>
  <c r="C621" i="1" l="1"/>
  <c r="C627" s="1"/>
  <c r="C626"/>
  <c r="F621"/>
  <c r="H621"/>
  <c r="J621" s="1"/>
  <c r="G223" i="14"/>
  <c r="I223" s="1"/>
  <c r="B224" s="1"/>
  <c r="E224"/>
  <c r="C625" i="1" l="1"/>
  <c r="E225" i="14"/>
  <c r="G224"/>
  <c r="I224" s="1"/>
  <c r="B225" s="1"/>
  <c r="E226" l="1"/>
  <c r="G225"/>
  <c r="I225" s="1"/>
  <c r="B226" s="1"/>
  <c r="E227" l="1"/>
  <c r="G226"/>
  <c r="I226" l="1"/>
  <c r="B227" s="1"/>
  <c r="G227"/>
  <c r="E228"/>
  <c r="I227" l="1"/>
  <c r="B228" s="1"/>
  <c r="E236"/>
  <c r="G228"/>
  <c r="C230" l="1"/>
  <c r="C213" i="1" s="1"/>
  <c r="C231" i="14"/>
  <c r="C214" i="1" s="1"/>
  <c r="I228" i="14"/>
  <c r="E237"/>
  <c r="G236"/>
  <c r="I236" s="1"/>
  <c r="C232" l="1"/>
  <c r="C215" i="1" s="1"/>
  <c r="B237" i="14"/>
  <c r="E238"/>
  <c r="G237"/>
  <c r="I237" s="1"/>
  <c r="B238" l="1"/>
  <c r="G238"/>
  <c r="I238" s="1"/>
  <c r="E239"/>
  <c r="B239" l="1"/>
  <c r="E240"/>
  <c r="G239"/>
  <c r="I239" s="1"/>
  <c r="B240" l="1"/>
  <c r="E241"/>
  <c r="G240"/>
  <c r="I240" s="1"/>
  <c r="B241" l="1"/>
  <c r="E242"/>
  <c r="G241"/>
  <c r="I241" s="1"/>
  <c r="B242" l="1"/>
  <c r="G242"/>
  <c r="I242" s="1"/>
  <c r="E243"/>
  <c r="B243" l="1"/>
  <c r="E244"/>
  <c r="G243"/>
  <c r="I243" s="1"/>
  <c r="B244" l="1"/>
  <c r="E245"/>
  <c r="G244"/>
  <c r="I244" s="1"/>
  <c r="B245" l="1"/>
  <c r="E246"/>
  <c r="G245"/>
  <c r="I245" s="1"/>
  <c r="B246" l="1"/>
  <c r="G246"/>
  <c r="I246" s="1"/>
  <c r="E247"/>
  <c r="B247" l="1"/>
  <c r="E248"/>
  <c r="G247"/>
  <c r="I247" s="1"/>
  <c r="B248" l="1"/>
  <c r="E249"/>
  <c r="G248"/>
  <c r="I248" s="1"/>
  <c r="B249" l="1"/>
  <c r="E250"/>
  <c r="G249"/>
  <c r="I249" s="1"/>
  <c r="B250" l="1"/>
  <c r="G250"/>
  <c r="I250" s="1"/>
  <c r="E251"/>
  <c r="B251" l="1"/>
  <c r="E252"/>
  <c r="G251"/>
  <c r="I251" s="1"/>
  <c r="B252" l="1"/>
  <c r="E253"/>
  <c r="G252"/>
  <c r="I252" s="1"/>
  <c r="B253" l="1"/>
  <c r="E254"/>
  <c r="G253"/>
  <c r="I253" s="1"/>
  <c r="B254" l="1"/>
  <c r="G254"/>
  <c r="I254" s="1"/>
  <c r="E255"/>
  <c r="B255" l="1"/>
  <c r="E256"/>
  <c r="G255"/>
  <c r="I255" s="1"/>
  <c r="B256" l="1"/>
  <c r="E257"/>
  <c r="G256"/>
  <c r="I256" s="1"/>
  <c r="B257" l="1"/>
  <c r="E258"/>
  <c r="G257"/>
  <c r="I257" s="1"/>
  <c r="B258" l="1"/>
  <c r="G258"/>
  <c r="I258" s="1"/>
  <c r="E259"/>
  <c r="B259" l="1"/>
  <c r="E260"/>
  <c r="G259"/>
  <c r="I259" s="1"/>
  <c r="B260" l="1"/>
  <c r="E261"/>
  <c r="G260"/>
  <c r="I260" s="1"/>
  <c r="B261" l="1"/>
  <c r="E262"/>
  <c r="G261"/>
  <c r="I261" s="1"/>
  <c r="B262" l="1"/>
  <c r="G262"/>
  <c r="I262" s="1"/>
  <c r="E263"/>
  <c r="B263" l="1"/>
  <c r="E264"/>
  <c r="G263"/>
  <c r="I263" s="1"/>
  <c r="B264" l="1"/>
  <c r="E265"/>
  <c r="G264"/>
  <c r="I264" s="1"/>
  <c r="B265" l="1"/>
  <c r="E266"/>
  <c r="G265"/>
  <c r="I265" s="1"/>
  <c r="B266" l="1"/>
  <c r="G266"/>
  <c r="I266" s="1"/>
  <c r="E267"/>
  <c r="B267" l="1"/>
  <c r="E268"/>
  <c r="G267"/>
  <c r="I267" s="1"/>
  <c r="B268" l="1"/>
  <c r="E269"/>
  <c r="G268"/>
  <c r="I268" s="1"/>
  <c r="B269" l="1"/>
  <c r="E270"/>
  <c r="G269"/>
  <c r="I269" s="1"/>
  <c r="B270" l="1"/>
  <c r="G270"/>
  <c r="I270" s="1"/>
  <c r="E271"/>
  <c r="B271" l="1"/>
  <c r="E272"/>
  <c r="G271"/>
  <c r="I271" s="1"/>
  <c r="B272" l="1"/>
  <c r="E273"/>
  <c r="G272"/>
  <c r="I272" s="1"/>
  <c r="B273" l="1"/>
  <c r="E274"/>
  <c r="G273"/>
  <c r="I273" s="1"/>
  <c r="B274" l="1"/>
  <c r="G274"/>
  <c r="I274" s="1"/>
  <c r="E275"/>
  <c r="B275" l="1"/>
  <c r="E276"/>
  <c r="G275"/>
  <c r="I275" s="1"/>
  <c r="B276" l="1"/>
  <c r="E277"/>
  <c r="G276"/>
  <c r="I276" s="1"/>
  <c r="B277" l="1"/>
  <c r="E278"/>
  <c r="G277"/>
  <c r="I277" s="1"/>
  <c r="B278" l="1"/>
  <c r="G278"/>
  <c r="I278" s="1"/>
  <c r="E279"/>
  <c r="B279" l="1"/>
  <c r="E280"/>
  <c r="G279"/>
  <c r="I279" s="1"/>
  <c r="B280" l="1"/>
  <c r="E281"/>
  <c r="G280"/>
  <c r="I280" s="1"/>
  <c r="B281" l="1"/>
  <c r="E282"/>
  <c r="G281"/>
  <c r="I281" s="1"/>
  <c r="B282" l="1"/>
  <c r="G282"/>
  <c r="I282" s="1"/>
  <c r="E283"/>
  <c r="B283" l="1"/>
  <c r="E284"/>
  <c r="G283"/>
  <c r="I283" s="1"/>
  <c r="B284" l="1"/>
  <c r="E285"/>
  <c r="G284"/>
  <c r="I284" s="1"/>
  <c r="B285" l="1"/>
  <c r="E286"/>
  <c r="G285"/>
  <c r="I285" s="1"/>
  <c r="B286" l="1"/>
  <c r="G286"/>
  <c r="I286" s="1"/>
  <c r="E287"/>
  <c r="B287" l="1"/>
  <c r="E288"/>
  <c r="G287"/>
  <c r="I287" s="1"/>
  <c r="B288" l="1"/>
  <c r="E289"/>
  <c r="G288"/>
  <c r="I288" s="1"/>
  <c r="B289" l="1"/>
  <c r="E290"/>
  <c r="G289"/>
  <c r="I289" s="1"/>
  <c r="B290" l="1"/>
  <c r="G290"/>
  <c r="I290" s="1"/>
  <c r="E291"/>
  <c r="B291" l="1"/>
  <c r="E292"/>
  <c r="G291"/>
  <c r="I291" s="1"/>
  <c r="B292" l="1"/>
  <c r="E293"/>
  <c r="G292"/>
  <c r="I292" s="1"/>
  <c r="B293" l="1"/>
  <c r="E294"/>
  <c r="G293"/>
  <c r="I293" s="1"/>
  <c r="B294" l="1"/>
  <c r="G294"/>
  <c r="I294" s="1"/>
  <c r="E295"/>
  <c r="B295" l="1"/>
  <c r="E296"/>
  <c r="G295"/>
  <c r="I295" s="1"/>
  <c r="B296" l="1"/>
  <c r="E297"/>
  <c r="G296"/>
  <c r="I296" s="1"/>
  <c r="B297" l="1"/>
  <c r="E298"/>
  <c r="G297"/>
  <c r="I297" s="1"/>
  <c r="B298" l="1"/>
  <c r="G298"/>
  <c r="I298" s="1"/>
  <c r="E299"/>
  <c r="B299" l="1"/>
  <c r="E300"/>
  <c r="G299"/>
  <c r="I299" s="1"/>
  <c r="B300" l="1"/>
  <c r="E301"/>
  <c r="G300"/>
  <c r="I300" s="1"/>
  <c r="B301" l="1"/>
  <c r="E302"/>
  <c r="G301"/>
  <c r="I301" s="1"/>
  <c r="B302" l="1"/>
  <c r="G302"/>
  <c r="I302" s="1"/>
  <c r="E303"/>
  <c r="B303" l="1"/>
  <c r="E304"/>
  <c r="G303"/>
  <c r="I303" s="1"/>
  <c r="B304" l="1"/>
  <c r="E305"/>
  <c r="G304"/>
  <c r="I304" s="1"/>
  <c r="B305" l="1"/>
  <c r="E306"/>
  <c r="G305"/>
  <c r="I305" s="1"/>
  <c r="B306" l="1"/>
  <c r="G306"/>
  <c r="I306" s="1"/>
  <c r="E307"/>
  <c r="B307" l="1"/>
  <c r="E308"/>
  <c r="G307"/>
  <c r="I307" s="1"/>
  <c r="B308" l="1"/>
  <c r="E309"/>
  <c r="G308"/>
  <c r="I308" s="1"/>
  <c r="B309" l="1"/>
  <c r="E310"/>
  <c r="G309"/>
  <c r="I309" s="1"/>
  <c r="B310" l="1"/>
  <c r="G310"/>
  <c r="I310" s="1"/>
  <c r="E311"/>
  <c r="B311" l="1"/>
  <c r="E312"/>
  <c r="G311"/>
  <c r="I311" s="1"/>
  <c r="G312" l="1"/>
  <c r="I312" s="1"/>
  <c r="E313"/>
  <c r="B312"/>
  <c r="C543"/>
  <c r="G214" i="1" s="1"/>
  <c r="G313" i="14" l="1"/>
  <c r="I313" s="1"/>
  <c r="E314"/>
  <c r="B313"/>
  <c r="G314" l="1"/>
  <c r="I314" s="1"/>
  <c r="E315"/>
  <c r="B314"/>
  <c r="B315" l="1"/>
  <c r="G315"/>
  <c r="I315" s="1"/>
  <c r="E316"/>
  <c r="G316" l="1"/>
  <c r="I316" s="1"/>
  <c r="E317"/>
  <c r="B316"/>
  <c r="E318" l="1"/>
  <c r="G317"/>
  <c r="I317" s="1"/>
  <c r="B317"/>
  <c r="E319" l="1"/>
  <c r="G318"/>
  <c r="I318" s="1"/>
  <c r="B318"/>
  <c r="G319" l="1"/>
  <c r="I319" s="1"/>
  <c r="E320"/>
  <c r="B319"/>
  <c r="B320" l="1"/>
  <c r="E321"/>
  <c r="G320"/>
  <c r="I320" s="1"/>
  <c r="B321" l="1"/>
  <c r="E322"/>
  <c r="G321"/>
  <c r="I321" s="1"/>
  <c r="B322" l="1"/>
  <c r="E323"/>
  <c r="G322"/>
  <c r="I322" s="1"/>
  <c r="B323" l="1"/>
  <c r="E324"/>
  <c r="G323"/>
  <c r="I323" s="1"/>
  <c r="B324" l="1"/>
  <c r="E325"/>
  <c r="G324"/>
  <c r="I324" s="1"/>
  <c r="B325" l="1"/>
  <c r="L564" s="1"/>
  <c r="D565" s="1"/>
  <c r="D566" s="1"/>
  <c r="D567" s="1"/>
  <c r="D568" s="1"/>
  <c r="D569" s="1"/>
  <c r="D570" s="1"/>
  <c r="D571" s="1"/>
  <c r="D572" s="1"/>
  <c r="D573" s="1"/>
  <c r="D574" s="1"/>
  <c r="D575" s="1"/>
  <c r="D576" s="1"/>
  <c r="D577" s="1"/>
  <c r="D578" s="1"/>
  <c r="D579" s="1"/>
  <c r="D582"/>
  <c r="D583" s="1"/>
  <c r="E326"/>
  <c r="G325"/>
  <c r="I325" s="1"/>
  <c r="B326" l="1"/>
  <c r="D584"/>
  <c r="D585" s="1"/>
  <c r="D586" s="1"/>
  <c r="D587" s="1"/>
  <c r="D588" s="1"/>
  <c r="D589" s="1"/>
  <c r="D590" s="1"/>
  <c r="D591" s="1"/>
  <c r="D592" s="1"/>
  <c r="D593" s="1"/>
  <c r="D594" s="1"/>
  <c r="D595" s="1"/>
  <c r="E327"/>
  <c r="G326"/>
  <c r="I326" s="1"/>
  <c r="B327" l="1"/>
  <c r="D598"/>
  <c r="G225" i="1" s="1"/>
  <c r="D599" i="14"/>
  <c r="G226" i="1" s="1"/>
  <c r="D597" i="14"/>
  <c r="G224" i="1" s="1"/>
  <c r="G327" i="14"/>
  <c r="I327" s="1"/>
  <c r="E328"/>
  <c r="B328" l="1"/>
  <c r="G228" i="1"/>
  <c r="E329" i="14"/>
  <c r="G328"/>
  <c r="I328" s="1"/>
  <c r="B329" l="1"/>
  <c r="E330"/>
  <c r="G329"/>
  <c r="I329" s="1"/>
  <c r="B330" l="1"/>
  <c r="E331"/>
  <c r="G330"/>
  <c r="I330" s="1"/>
  <c r="B331" l="1"/>
  <c r="G331"/>
  <c r="I331" s="1"/>
  <c r="E332"/>
  <c r="B332" l="1"/>
  <c r="G332"/>
  <c r="I332" s="1"/>
  <c r="E333"/>
  <c r="B333" l="1"/>
  <c r="E334"/>
  <c r="G333"/>
  <c r="I333" s="1"/>
  <c r="B334" l="1"/>
  <c r="E335"/>
  <c r="G334"/>
  <c r="I334" s="1"/>
  <c r="B335" l="1"/>
  <c r="G335"/>
  <c r="I335" s="1"/>
  <c r="E336"/>
  <c r="B336" l="1"/>
  <c r="G336"/>
  <c r="I336" s="1"/>
  <c r="E337"/>
  <c r="B337" l="1"/>
  <c r="E338"/>
  <c r="G337"/>
  <c r="I337" s="1"/>
  <c r="B338" l="1"/>
  <c r="G338"/>
  <c r="I338" s="1"/>
  <c r="E339"/>
  <c r="B339" l="1"/>
  <c r="G339"/>
  <c r="I339" s="1"/>
  <c r="E340"/>
  <c r="B340" l="1"/>
  <c r="G340"/>
  <c r="I340" s="1"/>
  <c r="E341"/>
  <c r="B341" l="1"/>
  <c r="E342"/>
  <c r="G341"/>
  <c r="I341" s="1"/>
  <c r="B342" l="1"/>
  <c r="E343"/>
  <c r="G342"/>
  <c r="I342" s="1"/>
  <c r="B343" l="1"/>
  <c r="G343"/>
  <c r="I343" s="1"/>
  <c r="E344"/>
  <c r="B344" l="1"/>
  <c r="G344"/>
  <c r="I344" s="1"/>
  <c r="E345"/>
  <c r="B345" l="1"/>
  <c r="E346"/>
  <c r="G345"/>
  <c r="I345" s="1"/>
  <c r="B346" l="1"/>
  <c r="E347"/>
  <c r="G346"/>
  <c r="I346" s="1"/>
  <c r="B347" l="1"/>
  <c r="E348"/>
  <c r="G347"/>
  <c r="I347" s="1"/>
  <c r="B348" l="1"/>
  <c r="G348"/>
  <c r="I348" s="1"/>
  <c r="E349"/>
  <c r="B349" l="1"/>
  <c r="E350"/>
  <c r="G349"/>
  <c r="I349" s="1"/>
  <c r="B350" l="1"/>
  <c r="E351"/>
  <c r="G350"/>
  <c r="I350" s="1"/>
  <c r="B351" l="1"/>
  <c r="G351"/>
  <c r="I351" s="1"/>
  <c r="E352"/>
  <c r="B352" l="1"/>
  <c r="G352"/>
  <c r="I352" s="1"/>
  <c r="E353"/>
  <c r="B353" l="1"/>
  <c r="E354"/>
  <c r="G353"/>
  <c r="I353" s="1"/>
  <c r="B354" l="1"/>
  <c r="E355"/>
  <c r="G354"/>
  <c r="I354" s="1"/>
  <c r="B355" l="1"/>
  <c r="G355"/>
  <c r="I355" s="1"/>
  <c r="E356"/>
  <c r="B356" l="1"/>
  <c r="G356"/>
  <c r="I356" s="1"/>
  <c r="E357"/>
  <c r="B357" l="1"/>
  <c r="E358"/>
  <c r="G357"/>
  <c r="I357" s="1"/>
  <c r="B358" l="1"/>
  <c r="E359"/>
  <c r="G358"/>
  <c r="I358" s="1"/>
  <c r="B359" l="1"/>
  <c r="G359"/>
  <c r="I359" s="1"/>
  <c r="E360"/>
  <c r="B360" l="1"/>
  <c r="G360"/>
  <c r="I360" s="1"/>
  <c r="E361"/>
  <c r="B361" l="1"/>
  <c r="G361"/>
  <c r="I361" s="1"/>
  <c r="E362"/>
  <c r="B362" l="1"/>
  <c r="G362"/>
  <c r="I362" s="1"/>
  <c r="E363"/>
  <c r="B363" l="1"/>
  <c r="E364"/>
  <c r="G363"/>
  <c r="I363" s="1"/>
  <c r="B364" l="1"/>
  <c r="E365"/>
  <c r="G364"/>
  <c r="I364" s="1"/>
  <c r="B365" l="1"/>
  <c r="E366"/>
  <c r="G365"/>
  <c r="I365" s="1"/>
  <c r="B366" l="1"/>
  <c r="G366"/>
  <c r="I366" s="1"/>
  <c r="E367"/>
  <c r="B367" l="1"/>
  <c r="E368"/>
  <c r="G367"/>
  <c r="I367" s="1"/>
  <c r="B368" l="1"/>
  <c r="E369"/>
  <c r="G368"/>
  <c r="I368" s="1"/>
  <c r="B369" l="1"/>
  <c r="E370"/>
  <c r="G369"/>
  <c r="I369" s="1"/>
  <c r="B370" l="1"/>
  <c r="G370"/>
  <c r="I370" s="1"/>
  <c r="E371"/>
  <c r="B371" l="1"/>
  <c r="E372"/>
  <c r="G371"/>
  <c r="I371" s="1"/>
  <c r="B372" l="1"/>
  <c r="E373"/>
  <c r="G372"/>
  <c r="I372" s="1"/>
  <c r="B373" l="1"/>
  <c r="G373"/>
  <c r="I373" s="1"/>
  <c r="E374"/>
  <c r="B374" l="1"/>
  <c r="G374"/>
  <c r="I374" s="1"/>
  <c r="E375"/>
  <c r="B375" l="1"/>
  <c r="E376"/>
  <c r="G375"/>
  <c r="I375" s="1"/>
  <c r="B376" l="1"/>
  <c r="E377"/>
  <c r="G376"/>
  <c r="I376" s="1"/>
  <c r="B377" l="1"/>
  <c r="G377"/>
  <c r="I377" s="1"/>
  <c r="E378"/>
  <c r="B378" l="1"/>
  <c r="G378"/>
  <c r="I378" s="1"/>
  <c r="E379"/>
  <c r="B379" l="1"/>
  <c r="G379"/>
  <c r="I379" s="1"/>
  <c r="E380"/>
  <c r="B380" l="1"/>
  <c r="E381"/>
  <c r="G380"/>
  <c r="I380" s="1"/>
  <c r="B381" l="1"/>
  <c r="E382"/>
  <c r="G381"/>
  <c r="I381" s="1"/>
  <c r="B382" l="1"/>
  <c r="G382"/>
  <c r="I382" s="1"/>
  <c r="E383"/>
  <c r="B383" l="1"/>
  <c r="E384"/>
  <c r="G383"/>
  <c r="I383" s="1"/>
  <c r="B384" l="1"/>
  <c r="E385"/>
  <c r="G384"/>
  <c r="I384" s="1"/>
  <c r="B385" l="1"/>
  <c r="E386"/>
  <c r="G385"/>
  <c r="I385" s="1"/>
  <c r="B386" l="1"/>
  <c r="G386"/>
  <c r="I386" s="1"/>
  <c r="E387"/>
  <c r="B387" l="1"/>
  <c r="E388"/>
  <c r="G387"/>
  <c r="I387" s="1"/>
  <c r="B388" l="1"/>
  <c r="E389"/>
  <c r="G388"/>
  <c r="I388" s="1"/>
  <c r="B389" l="1"/>
  <c r="E390"/>
  <c r="G389"/>
  <c r="I389" s="1"/>
  <c r="B390" l="1"/>
  <c r="G390"/>
  <c r="I390" s="1"/>
  <c r="E391"/>
  <c r="B391" l="1"/>
  <c r="E392"/>
  <c r="G391"/>
  <c r="I391" s="1"/>
  <c r="B392" l="1"/>
  <c r="E393"/>
  <c r="G392"/>
  <c r="I392" s="1"/>
  <c r="B393" l="1"/>
  <c r="E394"/>
  <c r="G393"/>
  <c r="I393" s="1"/>
  <c r="B394" l="1"/>
  <c r="G394"/>
  <c r="I394" s="1"/>
  <c r="E395"/>
  <c r="B395" l="1"/>
  <c r="G395"/>
  <c r="I395" s="1"/>
  <c r="E396"/>
  <c r="B396" l="1"/>
  <c r="E397"/>
  <c r="G396"/>
  <c r="I396" s="1"/>
  <c r="B397" l="1"/>
  <c r="E398"/>
  <c r="G397"/>
  <c r="I397" s="1"/>
  <c r="B398" l="1"/>
  <c r="G398"/>
  <c r="I398" s="1"/>
  <c r="E399"/>
  <c r="B399" l="1"/>
  <c r="G399"/>
  <c r="I399" s="1"/>
  <c r="E400"/>
  <c r="B400" l="1"/>
  <c r="E401"/>
  <c r="G400"/>
  <c r="I400" s="1"/>
  <c r="B401" l="1"/>
  <c r="E402"/>
  <c r="G401"/>
  <c r="I401" s="1"/>
  <c r="B402" l="1"/>
  <c r="G402"/>
  <c r="I402" s="1"/>
  <c r="E403"/>
  <c r="B403" l="1"/>
  <c r="E404"/>
  <c r="G403"/>
  <c r="I403" s="1"/>
  <c r="B404" l="1"/>
  <c r="E405"/>
  <c r="G404"/>
  <c r="I404" s="1"/>
  <c r="B405" l="1"/>
  <c r="E406"/>
  <c r="G405"/>
  <c r="I405" s="1"/>
  <c r="B406" l="1"/>
  <c r="G406"/>
  <c r="I406" s="1"/>
  <c r="E407"/>
  <c r="B407" l="1"/>
  <c r="E408"/>
  <c r="G407"/>
  <c r="I407" s="1"/>
  <c r="B408" l="1"/>
  <c r="E409"/>
  <c r="G408"/>
  <c r="I408" s="1"/>
  <c r="B409" l="1"/>
  <c r="E410"/>
  <c r="G409"/>
  <c r="I409" s="1"/>
  <c r="B410" l="1"/>
  <c r="G410"/>
  <c r="I410" s="1"/>
  <c r="E411"/>
  <c r="B411" l="1"/>
  <c r="G411"/>
  <c r="I411" s="1"/>
  <c r="E412"/>
  <c r="B412" l="1"/>
  <c r="E413"/>
  <c r="G412"/>
  <c r="I412" s="1"/>
  <c r="B413" l="1"/>
  <c r="E414"/>
  <c r="G413"/>
  <c r="I413" s="1"/>
  <c r="B414" l="1"/>
  <c r="G414"/>
  <c r="I414" s="1"/>
  <c r="E415"/>
  <c r="B415" l="1"/>
  <c r="G415"/>
  <c r="I415" s="1"/>
  <c r="E416"/>
  <c r="B416" l="1"/>
  <c r="E417"/>
  <c r="G416"/>
  <c r="I416" s="1"/>
  <c r="B417" l="1"/>
  <c r="E418"/>
  <c r="G417"/>
  <c r="I417" s="1"/>
  <c r="B418" l="1"/>
  <c r="G418"/>
  <c r="I418" s="1"/>
  <c r="E419"/>
  <c r="B419" l="1"/>
  <c r="E420"/>
  <c r="G419"/>
  <c r="I419" s="1"/>
  <c r="B420" l="1"/>
  <c r="E421"/>
  <c r="G420"/>
  <c r="I420" s="1"/>
  <c r="B421" l="1"/>
  <c r="E422"/>
  <c r="G421"/>
  <c r="I421" s="1"/>
  <c r="B422" l="1"/>
  <c r="E423"/>
  <c r="G422"/>
  <c r="I422" s="1"/>
  <c r="B423" l="1"/>
  <c r="G423"/>
  <c r="I423" s="1"/>
  <c r="E424"/>
  <c r="B424" l="1"/>
  <c r="E425"/>
  <c r="G424"/>
  <c r="I424" s="1"/>
  <c r="B425" l="1"/>
  <c r="E426"/>
  <c r="G425"/>
  <c r="I425" s="1"/>
  <c r="B426" l="1"/>
  <c r="G426"/>
  <c r="I426" s="1"/>
  <c r="E427"/>
  <c r="B427" l="1"/>
  <c r="G427"/>
  <c r="I427" s="1"/>
  <c r="E428"/>
  <c r="B428" l="1"/>
  <c r="E429"/>
  <c r="G428"/>
  <c r="I428" s="1"/>
  <c r="B429" l="1"/>
  <c r="E430"/>
  <c r="G429"/>
  <c r="I429" s="1"/>
  <c r="B430" l="1"/>
  <c r="G430"/>
  <c r="I430" s="1"/>
  <c r="E431"/>
  <c r="B431" l="1"/>
  <c r="G431"/>
  <c r="I431" s="1"/>
  <c r="E432"/>
  <c r="B432" l="1"/>
  <c r="E433"/>
  <c r="G432"/>
  <c r="I432" s="1"/>
  <c r="B433" l="1"/>
  <c r="E434"/>
  <c r="G433"/>
  <c r="I433" s="1"/>
  <c r="B434" l="1"/>
  <c r="G434"/>
  <c r="I434" s="1"/>
  <c r="E435"/>
  <c r="B435" l="1"/>
  <c r="G435"/>
  <c r="I435" s="1"/>
  <c r="E436"/>
  <c r="B436" l="1"/>
  <c r="G436"/>
  <c r="I436" s="1"/>
  <c r="E437"/>
  <c r="B437" l="1"/>
  <c r="E438"/>
  <c r="G437"/>
  <c r="I437" s="1"/>
  <c r="B438" l="1"/>
  <c r="G438"/>
  <c r="I438" s="1"/>
  <c r="E439"/>
  <c r="B439" l="1"/>
  <c r="E440"/>
  <c r="G439"/>
  <c r="I439" s="1"/>
  <c r="B440" l="1"/>
  <c r="G440"/>
  <c r="I440" s="1"/>
  <c r="E441"/>
  <c r="B441" l="1"/>
  <c r="G441"/>
  <c r="I441" s="1"/>
  <c r="E442"/>
  <c r="B442" l="1"/>
  <c r="G442"/>
  <c r="I442" s="1"/>
  <c r="E443"/>
  <c r="B443" l="1"/>
  <c r="E444"/>
  <c r="G443"/>
  <c r="I443" s="1"/>
  <c r="B444" l="1"/>
  <c r="E445"/>
  <c r="G444"/>
  <c r="I444" s="1"/>
  <c r="B445" l="1"/>
  <c r="E446"/>
  <c r="G445"/>
  <c r="I445" s="1"/>
  <c r="B446" l="1"/>
  <c r="E447"/>
  <c r="G446"/>
  <c r="I446" s="1"/>
  <c r="B447" l="1"/>
  <c r="G447"/>
  <c r="I447" s="1"/>
  <c r="E448"/>
  <c r="B448" l="1"/>
  <c r="E449"/>
  <c r="G448"/>
  <c r="I448" s="1"/>
  <c r="B449" l="1"/>
  <c r="E450"/>
  <c r="G449"/>
  <c r="I449" s="1"/>
  <c r="B450" l="1"/>
  <c r="E451"/>
  <c r="G450"/>
  <c r="I450" s="1"/>
  <c r="B451" l="1"/>
  <c r="G451"/>
  <c r="I451" s="1"/>
  <c r="E452"/>
  <c r="B452" l="1"/>
  <c r="G452"/>
  <c r="I452" s="1"/>
  <c r="E453"/>
  <c r="B453" l="1"/>
  <c r="G453"/>
  <c r="I453" s="1"/>
  <c r="E454"/>
  <c r="B454" l="1"/>
  <c r="E455"/>
  <c r="G454"/>
  <c r="I454" s="1"/>
  <c r="B455" l="1"/>
  <c r="G455"/>
  <c r="I455" s="1"/>
  <c r="E456"/>
  <c r="B456" l="1"/>
  <c r="E457"/>
  <c r="G456"/>
  <c r="I456" s="1"/>
  <c r="B457" l="1"/>
  <c r="E458"/>
  <c r="G457"/>
  <c r="I457" s="1"/>
  <c r="B458" l="1"/>
  <c r="E459"/>
  <c r="G458"/>
  <c r="I458" s="1"/>
  <c r="B459" l="1"/>
  <c r="G459"/>
  <c r="I459" s="1"/>
  <c r="E460"/>
  <c r="B460" l="1"/>
  <c r="E461"/>
  <c r="G460"/>
  <c r="I460" s="1"/>
  <c r="B461" l="1"/>
  <c r="E462"/>
  <c r="G461"/>
  <c r="I461" s="1"/>
  <c r="B462" l="1"/>
  <c r="E463"/>
  <c r="G462"/>
  <c r="I462" s="1"/>
  <c r="B463" l="1"/>
  <c r="G463"/>
  <c r="I463" s="1"/>
  <c r="E464"/>
  <c r="B464" l="1"/>
  <c r="E465"/>
  <c r="G464"/>
  <c r="I464" s="1"/>
  <c r="B465" l="1"/>
  <c r="E466"/>
  <c r="G465"/>
  <c r="I465" s="1"/>
  <c r="B466" l="1"/>
  <c r="E467"/>
  <c r="G466"/>
  <c r="I466" s="1"/>
  <c r="B467" l="1"/>
  <c r="G467"/>
  <c r="I467" s="1"/>
  <c r="E468"/>
  <c r="B468" l="1"/>
  <c r="E469"/>
  <c r="G468"/>
  <c r="I468" s="1"/>
  <c r="B469" l="1"/>
  <c r="E470"/>
  <c r="G469"/>
  <c r="I469" s="1"/>
  <c r="B470" l="1"/>
  <c r="G470"/>
  <c r="I470" s="1"/>
  <c r="E471"/>
  <c r="B471" l="1"/>
  <c r="G471"/>
  <c r="I471" s="1"/>
  <c r="E472"/>
  <c r="B472" l="1"/>
  <c r="E473"/>
  <c r="G472"/>
  <c r="I472" s="1"/>
  <c r="B473" l="1"/>
  <c r="E474"/>
  <c r="G473"/>
  <c r="I473" s="1"/>
  <c r="B474" l="1"/>
  <c r="E475"/>
  <c r="G474"/>
  <c r="I474" s="1"/>
  <c r="B475" l="1"/>
  <c r="G475"/>
  <c r="I475" s="1"/>
  <c r="E476"/>
  <c r="B476" l="1"/>
  <c r="E477"/>
  <c r="G476"/>
  <c r="I476" s="1"/>
  <c r="B477" l="1"/>
  <c r="E478"/>
  <c r="G477"/>
  <c r="I477" s="1"/>
  <c r="B478" l="1"/>
  <c r="E479"/>
  <c r="G478"/>
  <c r="I478" s="1"/>
  <c r="B479" l="1"/>
  <c r="G479"/>
  <c r="I479" s="1"/>
  <c r="E480"/>
  <c r="B480" l="1"/>
  <c r="E481"/>
  <c r="G480"/>
  <c r="I480" s="1"/>
  <c r="B481" l="1"/>
  <c r="E482"/>
  <c r="G481"/>
  <c r="I481" s="1"/>
  <c r="B482" l="1"/>
  <c r="E483"/>
  <c r="G482"/>
  <c r="I482" s="1"/>
  <c r="B483" l="1"/>
  <c r="G483"/>
  <c r="I483" s="1"/>
  <c r="E484"/>
  <c r="B484" l="1"/>
  <c r="E485"/>
  <c r="G484"/>
  <c r="I484" s="1"/>
  <c r="B485" l="1"/>
  <c r="E486"/>
  <c r="G485"/>
  <c r="I485" s="1"/>
  <c r="B486" l="1"/>
  <c r="E487"/>
  <c r="G486"/>
  <c r="I486" s="1"/>
  <c r="B487" l="1"/>
  <c r="G487"/>
  <c r="I487" s="1"/>
  <c r="E488"/>
  <c r="B488" l="1"/>
  <c r="E489"/>
  <c r="G488"/>
  <c r="I488" s="1"/>
  <c r="B489" l="1"/>
  <c r="E490"/>
  <c r="G489"/>
  <c r="I489" s="1"/>
  <c r="B490" l="1"/>
  <c r="E491"/>
  <c r="G490"/>
  <c r="I490" s="1"/>
  <c r="B491" l="1"/>
  <c r="G491"/>
  <c r="I491" s="1"/>
  <c r="E492"/>
  <c r="B492" l="1"/>
  <c r="E493"/>
  <c r="G492"/>
  <c r="I492" s="1"/>
  <c r="B493" l="1"/>
  <c r="E494"/>
  <c r="G493"/>
  <c r="I493" s="1"/>
  <c r="B494" l="1"/>
  <c r="E495"/>
  <c r="G494"/>
  <c r="I494" s="1"/>
  <c r="B495" l="1"/>
  <c r="G495"/>
  <c r="I495" s="1"/>
  <c r="E496"/>
  <c r="B496" l="1"/>
  <c r="E497"/>
  <c r="G496"/>
  <c r="I496" s="1"/>
  <c r="B497" l="1"/>
  <c r="E498"/>
  <c r="G497"/>
  <c r="I497" s="1"/>
  <c r="B498" l="1"/>
  <c r="E499"/>
  <c r="G498"/>
  <c r="I498" s="1"/>
  <c r="B499" l="1"/>
  <c r="G499"/>
  <c r="I499" s="1"/>
  <c r="E500"/>
  <c r="B500" l="1"/>
  <c r="E501"/>
  <c r="G500"/>
  <c r="I500" s="1"/>
  <c r="B501" l="1"/>
  <c r="E502"/>
  <c r="G501"/>
  <c r="I501" s="1"/>
  <c r="B502" l="1"/>
  <c r="E503"/>
  <c r="G502"/>
  <c r="I502" s="1"/>
  <c r="B503" l="1"/>
  <c r="G503"/>
  <c r="I503" s="1"/>
  <c r="E504"/>
  <c r="B504" l="1"/>
  <c r="E505"/>
  <c r="G504"/>
  <c r="I504" s="1"/>
  <c r="B505" l="1"/>
  <c r="E506"/>
  <c r="G505"/>
  <c r="I505" s="1"/>
  <c r="B506" l="1"/>
  <c r="E507"/>
  <c r="G506"/>
  <c r="I506" s="1"/>
  <c r="B507" l="1"/>
  <c r="G507"/>
  <c r="I507" s="1"/>
  <c r="E508"/>
  <c r="B508" l="1"/>
  <c r="E509"/>
  <c r="G508"/>
  <c r="I508" s="1"/>
  <c r="B509" l="1"/>
  <c r="E510"/>
  <c r="G509"/>
  <c r="I509" s="1"/>
  <c r="B510" l="1"/>
  <c r="E511"/>
  <c r="G510"/>
  <c r="I510" s="1"/>
  <c r="B511" l="1"/>
  <c r="G511"/>
  <c r="I511" s="1"/>
  <c r="E512"/>
  <c r="B512" l="1"/>
  <c r="E513"/>
  <c r="G512"/>
  <c r="I512" s="1"/>
  <c r="B513" l="1"/>
  <c r="E514"/>
  <c r="G513"/>
  <c r="I513" s="1"/>
  <c r="B514" l="1"/>
  <c r="E515"/>
  <c r="G514"/>
  <c r="I514" s="1"/>
  <c r="B515" l="1"/>
  <c r="G515"/>
  <c r="I515" s="1"/>
  <c r="E516"/>
  <c r="B516" l="1"/>
  <c r="E517"/>
  <c r="G516"/>
  <c r="I516" s="1"/>
  <c r="B517" l="1"/>
  <c r="E518"/>
  <c r="G517"/>
  <c r="I517" s="1"/>
  <c r="B518" l="1"/>
  <c r="E519"/>
  <c r="G518"/>
  <c r="I518" s="1"/>
  <c r="B519" l="1"/>
  <c r="G519"/>
  <c r="I519" s="1"/>
  <c r="E520"/>
  <c r="B520" l="1"/>
  <c r="E521"/>
  <c r="G520"/>
  <c r="I520" s="1"/>
  <c r="B521" l="1"/>
  <c r="E522"/>
  <c r="G521"/>
  <c r="I521" s="1"/>
  <c r="B522" l="1"/>
  <c r="E523"/>
  <c r="G522"/>
  <c r="I522" s="1"/>
  <c r="B523" l="1"/>
  <c r="G523"/>
  <c r="I523" s="1"/>
  <c r="E524"/>
  <c r="B524" l="1"/>
  <c r="E525"/>
  <c r="G524"/>
  <c r="I524" s="1"/>
  <c r="B525" l="1"/>
  <c r="E526"/>
  <c r="G525"/>
  <c r="I525" s="1"/>
  <c r="B526" l="1"/>
  <c r="G526"/>
  <c r="I526" s="1"/>
  <c r="E527"/>
  <c r="B527" l="1"/>
  <c r="G527"/>
  <c r="I527" s="1"/>
  <c r="E528"/>
  <c r="B528" l="1"/>
  <c r="G528"/>
  <c r="I528" s="1"/>
  <c r="E529"/>
  <c r="B529" l="1"/>
  <c r="G529"/>
  <c r="I529" s="1"/>
  <c r="E530"/>
  <c r="B530" l="1"/>
  <c r="E531"/>
  <c r="G530"/>
  <c r="I530" s="1"/>
  <c r="B531" l="1"/>
  <c r="G531"/>
  <c r="I531" s="1"/>
  <c r="E532"/>
  <c r="B532" l="1"/>
  <c r="E533"/>
  <c r="G532"/>
  <c r="I532" s="1"/>
  <c r="B533" l="1"/>
  <c r="E534"/>
  <c r="G533"/>
  <c r="I533" s="1"/>
  <c r="B534" l="1"/>
  <c r="E535"/>
  <c r="G534"/>
  <c r="I534" s="1"/>
  <c r="B535" l="1"/>
  <c r="G535"/>
  <c r="I535" s="1"/>
  <c r="E536"/>
  <c r="B536" l="1"/>
  <c r="E537"/>
  <c r="G536"/>
  <c r="I536" s="1"/>
  <c r="B537" l="1"/>
  <c r="E538"/>
  <c r="G537"/>
  <c r="I537" s="1"/>
  <c r="B538" l="1"/>
  <c r="E539"/>
  <c r="G538"/>
  <c r="I538" s="1"/>
  <c r="B539" l="1"/>
  <c r="G539"/>
  <c r="I539" s="1"/>
  <c r="E540"/>
  <c r="G540" s="1"/>
  <c r="I540" s="1"/>
  <c r="B540" l="1"/>
  <c r="C542" s="1"/>
  <c r="G213" i="1" s="1"/>
  <c r="C544" i="14" l="1"/>
  <c r="G215" i="1" s="1"/>
  <c r="C20" i="7" l="1"/>
  <c r="H32" s="1"/>
  <c r="A32"/>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C26"/>
  <c r="C13"/>
  <c r="D64" s="1"/>
  <c r="H301" l="1"/>
  <c r="H297"/>
  <c r="H293"/>
  <c r="H289"/>
  <c r="H285"/>
  <c r="H281"/>
  <c r="H277"/>
  <c r="H273"/>
  <c r="H269"/>
  <c r="H265"/>
  <c r="H261"/>
  <c r="H257"/>
  <c r="H253"/>
  <c r="H249"/>
  <c r="H245"/>
  <c r="H241"/>
  <c r="H237"/>
  <c r="H233"/>
  <c r="H229"/>
  <c r="H225"/>
  <c r="H221"/>
  <c r="H217"/>
  <c r="H213"/>
  <c r="H209"/>
  <c r="H205"/>
  <c r="H201"/>
  <c r="H197"/>
  <c r="H193"/>
  <c r="H189"/>
  <c r="H185"/>
  <c r="H181"/>
  <c r="H177"/>
  <c r="H173"/>
  <c r="H169"/>
  <c r="H165"/>
  <c r="H161"/>
  <c r="H157"/>
  <c r="H153"/>
  <c r="H149"/>
  <c r="H145"/>
  <c r="H141"/>
  <c r="H137"/>
  <c r="H133"/>
  <c r="H129"/>
  <c r="H125"/>
  <c r="H121"/>
  <c r="H117"/>
  <c r="H113"/>
  <c r="H109"/>
  <c r="H105"/>
  <c r="H101"/>
  <c r="H97"/>
  <c r="H93"/>
  <c r="H89"/>
  <c r="H85"/>
  <c r="H81"/>
  <c r="H77"/>
  <c r="H73"/>
  <c r="H69"/>
  <c r="H65"/>
  <c r="H61"/>
  <c r="H57"/>
  <c r="H53"/>
  <c r="H49"/>
  <c r="H45"/>
  <c r="H41"/>
  <c r="H37"/>
  <c r="H33"/>
  <c r="H31"/>
  <c r="H302"/>
  <c r="H298"/>
  <c r="H294"/>
  <c r="H290"/>
  <c r="H286"/>
  <c r="H282"/>
  <c r="H278"/>
  <c r="H274"/>
  <c r="H270"/>
  <c r="H266"/>
  <c r="H262"/>
  <c r="H258"/>
  <c r="H254"/>
  <c r="H250"/>
  <c r="H246"/>
  <c r="H242"/>
  <c r="H238"/>
  <c r="H234"/>
  <c r="H230"/>
  <c r="H226"/>
  <c r="H222"/>
  <c r="H218"/>
  <c r="H214"/>
  <c r="H210"/>
  <c r="H206"/>
  <c r="H202"/>
  <c r="H198"/>
  <c r="H194"/>
  <c r="H190"/>
  <c r="H186"/>
  <c r="H182"/>
  <c r="H178"/>
  <c r="H174"/>
  <c r="H170"/>
  <c r="H166"/>
  <c r="H162"/>
  <c r="H158"/>
  <c r="H154"/>
  <c r="H150"/>
  <c r="H146"/>
  <c r="H142"/>
  <c r="H138"/>
  <c r="H134"/>
  <c r="H130"/>
  <c r="H126"/>
  <c r="H122"/>
  <c r="H118"/>
  <c r="H114"/>
  <c r="H110"/>
  <c r="H106"/>
  <c r="H102"/>
  <c r="H98"/>
  <c r="H94"/>
  <c r="H90"/>
  <c r="H86"/>
  <c r="H82"/>
  <c r="H78"/>
  <c r="H74"/>
  <c r="H70"/>
  <c r="H66"/>
  <c r="H62"/>
  <c r="H58"/>
  <c r="H54"/>
  <c r="H50"/>
  <c r="H46"/>
  <c r="H42"/>
  <c r="H38"/>
  <c r="H34"/>
  <c r="H303"/>
  <c r="H299"/>
  <c r="H295"/>
  <c r="H291"/>
  <c r="H287"/>
  <c r="H283"/>
  <c r="H279"/>
  <c r="H275"/>
  <c r="H271"/>
  <c r="H267"/>
  <c r="H263"/>
  <c r="H259"/>
  <c r="H255"/>
  <c r="H251"/>
  <c r="H247"/>
  <c r="H243"/>
  <c r="H239"/>
  <c r="H235"/>
  <c r="H231"/>
  <c r="H227"/>
  <c r="H223"/>
  <c r="H219"/>
  <c r="H215"/>
  <c r="H211"/>
  <c r="H207"/>
  <c r="H203"/>
  <c r="H199"/>
  <c r="H195"/>
  <c r="H191"/>
  <c r="H187"/>
  <c r="H183"/>
  <c r="H179"/>
  <c r="H175"/>
  <c r="H171"/>
  <c r="H167"/>
  <c r="H163"/>
  <c r="H159"/>
  <c r="H155"/>
  <c r="H151"/>
  <c r="H147"/>
  <c r="H143"/>
  <c r="H139"/>
  <c r="H135"/>
  <c r="H131"/>
  <c r="H127"/>
  <c r="H123"/>
  <c r="H119"/>
  <c r="H115"/>
  <c r="H111"/>
  <c r="H107"/>
  <c r="H103"/>
  <c r="H99"/>
  <c r="H95"/>
  <c r="H91"/>
  <c r="H87"/>
  <c r="H83"/>
  <c r="H79"/>
  <c r="H75"/>
  <c r="H71"/>
  <c r="H67"/>
  <c r="H63"/>
  <c r="H59"/>
  <c r="H55"/>
  <c r="H51"/>
  <c r="H47"/>
  <c r="H43"/>
  <c r="H39"/>
  <c r="H35"/>
  <c r="H304"/>
  <c r="H300"/>
  <c r="H296"/>
  <c r="H292"/>
  <c r="H288"/>
  <c r="H284"/>
  <c r="H280"/>
  <c r="H276"/>
  <c r="H272"/>
  <c r="H268"/>
  <c r="H264"/>
  <c r="H260"/>
  <c r="H256"/>
  <c r="H252"/>
  <c r="H248"/>
  <c r="H244"/>
  <c r="H240"/>
  <c r="H236"/>
  <c r="H232"/>
  <c r="H228"/>
  <c r="H224"/>
  <c r="H220"/>
  <c r="H216"/>
  <c r="H212"/>
  <c r="H208"/>
  <c r="H204"/>
  <c r="H200"/>
  <c r="H196"/>
  <c r="H192"/>
  <c r="H188"/>
  <c r="H184"/>
  <c r="H180"/>
  <c r="H176"/>
  <c r="H172"/>
  <c r="H168"/>
  <c r="H164"/>
  <c r="H160"/>
  <c r="H156"/>
  <c r="H152"/>
  <c r="H148"/>
  <c r="H144"/>
  <c r="H140"/>
  <c r="H136"/>
  <c r="H132"/>
  <c r="H128"/>
  <c r="H124"/>
  <c r="H120"/>
  <c r="H116"/>
  <c r="H112"/>
  <c r="H108"/>
  <c r="H104"/>
  <c r="H100"/>
  <c r="H96"/>
  <c r="H92"/>
  <c r="H88"/>
  <c r="H84"/>
  <c r="H80"/>
  <c r="H76"/>
  <c r="H72"/>
  <c r="H68"/>
  <c r="H64"/>
  <c r="H60"/>
  <c r="H56"/>
  <c r="H52"/>
  <c r="H48"/>
  <c r="H44"/>
  <c r="H40"/>
  <c r="H36"/>
  <c r="D34"/>
  <c r="D38"/>
  <c r="D42"/>
  <c r="D46"/>
  <c r="D50"/>
  <c r="D54"/>
  <c r="D58"/>
  <c r="D62"/>
  <c r="D33"/>
  <c r="D37"/>
  <c r="D41"/>
  <c r="D45"/>
  <c r="D49"/>
  <c r="D53"/>
  <c r="D57"/>
  <c r="D61"/>
  <c r="D65"/>
  <c r="D68"/>
  <c r="D72"/>
  <c r="D76"/>
  <c r="D80"/>
  <c r="D84"/>
  <c r="D88"/>
  <c r="D92"/>
  <c r="C21"/>
  <c r="C22" s="1"/>
  <c r="E31" s="1"/>
  <c r="G31" s="1"/>
  <c r="D32"/>
  <c r="D36"/>
  <c r="D40"/>
  <c r="D44"/>
  <c r="D48"/>
  <c r="D52"/>
  <c r="D56"/>
  <c r="D60"/>
  <c r="D301"/>
  <c r="D297"/>
  <c r="D293"/>
  <c r="D289"/>
  <c r="D285"/>
  <c r="D281"/>
  <c r="D277"/>
  <c r="D273"/>
  <c r="D269"/>
  <c r="D265"/>
  <c r="D261"/>
  <c r="D257"/>
  <c r="D253"/>
  <c r="D249"/>
  <c r="D245"/>
  <c r="D241"/>
  <c r="D237"/>
  <c r="D233"/>
  <c r="D229"/>
  <c r="D225"/>
  <c r="D221"/>
  <c r="D217"/>
  <c r="D213"/>
  <c r="D209"/>
  <c r="D205"/>
  <c r="D201"/>
  <c r="D197"/>
  <c r="D193"/>
  <c r="D189"/>
  <c r="D185"/>
  <c r="D181"/>
  <c r="D177"/>
  <c r="D302"/>
  <c r="D298"/>
  <c r="D294"/>
  <c r="D290"/>
  <c r="D286"/>
  <c r="D282"/>
  <c r="D278"/>
  <c r="D274"/>
  <c r="D270"/>
  <c r="D266"/>
  <c r="D262"/>
  <c r="D258"/>
  <c r="D254"/>
  <c r="D250"/>
  <c r="D246"/>
  <c r="D242"/>
  <c r="D238"/>
  <c r="D234"/>
  <c r="D230"/>
  <c r="D226"/>
  <c r="D222"/>
  <c r="D218"/>
  <c r="D214"/>
  <c r="D210"/>
  <c r="D303"/>
  <c r="D299"/>
  <c r="D295"/>
  <c r="D291"/>
  <c r="D287"/>
  <c r="D283"/>
  <c r="D279"/>
  <c r="D275"/>
  <c r="D271"/>
  <c r="D267"/>
  <c r="D263"/>
  <c r="D259"/>
  <c r="D255"/>
  <c r="D251"/>
  <c r="D247"/>
  <c r="D243"/>
  <c r="D239"/>
  <c r="D235"/>
  <c r="D231"/>
  <c r="D227"/>
  <c r="D223"/>
  <c r="D219"/>
  <c r="D215"/>
  <c r="D211"/>
  <c r="D304"/>
  <c r="D300"/>
  <c r="D296"/>
  <c r="D292"/>
  <c r="D288"/>
  <c r="D284"/>
  <c r="D280"/>
  <c r="D276"/>
  <c r="D272"/>
  <c r="D268"/>
  <c r="D264"/>
  <c r="D260"/>
  <c r="D256"/>
  <c r="D252"/>
  <c r="D248"/>
  <c r="D244"/>
  <c r="D240"/>
  <c r="D236"/>
  <c r="D232"/>
  <c r="D228"/>
  <c r="D224"/>
  <c r="D220"/>
  <c r="D216"/>
  <c r="D212"/>
  <c r="D208"/>
  <c r="D204"/>
  <c r="D200"/>
  <c r="D196"/>
  <c r="D192"/>
  <c r="D188"/>
  <c r="D184"/>
  <c r="D180"/>
  <c r="D176"/>
  <c r="D172"/>
  <c r="D168"/>
  <c r="D164"/>
  <c r="D160"/>
  <c r="D156"/>
  <c r="D152"/>
  <c r="D148"/>
  <c r="D144"/>
  <c r="D140"/>
  <c r="D136"/>
  <c r="D132"/>
  <c r="D128"/>
  <c r="D124"/>
  <c r="D120"/>
  <c r="D116"/>
  <c r="D112"/>
  <c r="D108"/>
  <c r="D104"/>
  <c r="D100"/>
  <c r="D96"/>
  <c r="D206"/>
  <c r="D202"/>
  <c r="D198"/>
  <c r="D194"/>
  <c r="D190"/>
  <c r="D186"/>
  <c r="D182"/>
  <c r="D178"/>
  <c r="D173"/>
  <c r="D169"/>
  <c r="D165"/>
  <c r="D161"/>
  <c r="D157"/>
  <c r="D153"/>
  <c r="D149"/>
  <c r="D145"/>
  <c r="D141"/>
  <c r="D137"/>
  <c r="D133"/>
  <c r="D129"/>
  <c r="D125"/>
  <c r="D121"/>
  <c r="D117"/>
  <c r="D113"/>
  <c r="D109"/>
  <c r="D105"/>
  <c r="D101"/>
  <c r="D97"/>
  <c r="D93"/>
  <c r="D89"/>
  <c r="D85"/>
  <c r="D81"/>
  <c r="D77"/>
  <c r="D73"/>
  <c r="D69"/>
  <c r="D174"/>
  <c r="D170"/>
  <c r="D166"/>
  <c r="D162"/>
  <c r="D158"/>
  <c r="D154"/>
  <c r="D150"/>
  <c r="D146"/>
  <c r="D142"/>
  <c r="D138"/>
  <c r="D134"/>
  <c r="D130"/>
  <c r="D126"/>
  <c r="D122"/>
  <c r="D118"/>
  <c r="D114"/>
  <c r="D110"/>
  <c r="D106"/>
  <c r="D102"/>
  <c r="D98"/>
  <c r="D94"/>
  <c r="D207"/>
  <c r="D203"/>
  <c r="D199"/>
  <c r="D195"/>
  <c r="D191"/>
  <c r="D187"/>
  <c r="D183"/>
  <c r="D179"/>
  <c r="D175"/>
  <c r="D171"/>
  <c r="D167"/>
  <c r="D163"/>
  <c r="D159"/>
  <c r="D155"/>
  <c r="D151"/>
  <c r="D147"/>
  <c r="D143"/>
  <c r="D139"/>
  <c r="D135"/>
  <c r="D131"/>
  <c r="D127"/>
  <c r="D123"/>
  <c r="D119"/>
  <c r="D115"/>
  <c r="D111"/>
  <c r="D107"/>
  <c r="D103"/>
  <c r="D99"/>
  <c r="D95"/>
  <c r="D91"/>
  <c r="D87"/>
  <c r="D83"/>
  <c r="D79"/>
  <c r="D75"/>
  <c r="D71"/>
  <c r="D67"/>
  <c r="D31"/>
  <c r="D35"/>
  <c r="D39"/>
  <c r="D43"/>
  <c r="D47"/>
  <c r="D51"/>
  <c r="D55"/>
  <c r="D59"/>
  <c r="D63"/>
  <c r="D66"/>
  <c r="D70"/>
  <c r="D74"/>
  <c r="D78"/>
  <c r="D82"/>
  <c r="D86"/>
  <c r="D90"/>
  <c r="E32" l="1"/>
  <c r="I31" l="1"/>
  <c r="B32" s="1"/>
  <c r="G32"/>
  <c r="I32" s="1"/>
  <c r="E33"/>
  <c r="B33" l="1"/>
  <c r="E34"/>
  <c r="G33"/>
  <c r="I33" s="1"/>
  <c r="B34" l="1"/>
  <c r="E35"/>
  <c r="G34"/>
  <c r="I34" s="1"/>
  <c r="L24" i="8" l="1"/>
  <c r="D25" s="1"/>
  <c r="D26" s="1"/>
  <c r="D27" s="1"/>
  <c r="D28" s="1"/>
  <c r="D29" s="1"/>
  <c r="D30" s="1"/>
  <c r="D31" s="1"/>
  <c r="D32" s="1"/>
  <c r="D33" s="1"/>
  <c r="D34" s="1"/>
  <c r="D35" s="1"/>
  <c r="D38" s="1"/>
  <c r="D39" s="1"/>
  <c r="D40" s="1"/>
  <c r="D41" s="1"/>
  <c r="D42" s="1"/>
  <c r="D43" s="1"/>
  <c r="D44" s="1"/>
  <c r="D45" s="1"/>
  <c r="D46" s="1"/>
  <c r="D47" s="1"/>
  <c r="B35" i="7"/>
  <c r="E36"/>
  <c r="G35"/>
  <c r="I35" s="1"/>
  <c r="D49" i="8" l="1"/>
  <c r="D50" s="1"/>
  <c r="D51" s="1"/>
  <c r="D52" s="1"/>
  <c r="D53" s="1"/>
  <c r="D54" s="1"/>
  <c r="D55" s="1"/>
  <c r="D56" s="1"/>
  <c r="D57" s="1"/>
  <c r="D58" s="1"/>
  <c r="D61" s="1"/>
  <c r="D62" s="1"/>
  <c r="D63" s="1"/>
  <c r="D64" s="1"/>
  <c r="D65" s="1"/>
  <c r="D66" s="1"/>
  <c r="D67" s="1"/>
  <c r="D68" s="1"/>
  <c r="D70" s="1"/>
  <c r="B36" i="7"/>
  <c r="G36"/>
  <c r="I36" s="1"/>
  <c r="E37"/>
  <c r="D71" i="8" l="1"/>
  <c r="D72" s="1"/>
  <c r="D73" s="1"/>
  <c r="D74" s="1"/>
  <c r="D75" s="1"/>
  <c r="D76" s="1"/>
  <c r="D77" s="1"/>
  <c r="D78" s="1"/>
  <c r="D79" s="1"/>
  <c r="D80" s="1"/>
  <c r="B37" i="7"/>
  <c r="E38"/>
  <c r="G37"/>
  <c r="I37" s="1"/>
  <c r="D84" i="8" l="1"/>
  <c r="H226" i="1" s="1"/>
  <c r="D83" i="8"/>
  <c r="H225" i="1" s="1"/>
  <c r="D82" i="8"/>
  <c r="H224" i="1" s="1"/>
  <c r="B38" i="7"/>
  <c r="E39"/>
  <c r="G38"/>
  <c r="I38" s="1"/>
  <c r="H228" i="1" l="1"/>
  <c r="B39" i="7"/>
  <c r="E40"/>
  <c r="G39"/>
  <c r="I39" s="1"/>
  <c r="B40" l="1"/>
  <c r="G40"/>
  <c r="I40" s="1"/>
  <c r="E41"/>
  <c r="B41" l="1"/>
  <c r="E42"/>
  <c r="G41"/>
  <c r="I41" s="1"/>
  <c r="B42" l="1"/>
  <c r="E43"/>
  <c r="G42"/>
  <c r="I42" s="1"/>
  <c r="B43" l="1"/>
  <c r="E44"/>
  <c r="G43"/>
  <c r="I43" s="1"/>
  <c r="B44" l="1"/>
  <c r="G44"/>
  <c r="I44" s="1"/>
  <c r="E45"/>
  <c r="B45" l="1"/>
  <c r="E46"/>
  <c r="G45"/>
  <c r="I45" s="1"/>
  <c r="B46" l="1"/>
  <c r="E47"/>
  <c r="G46"/>
  <c r="I46" s="1"/>
  <c r="B47" l="1"/>
  <c r="E48"/>
  <c r="G47"/>
  <c r="I47" s="1"/>
  <c r="B48" l="1"/>
  <c r="G48"/>
  <c r="I48" s="1"/>
  <c r="E49"/>
  <c r="B49" l="1"/>
  <c r="E50"/>
  <c r="G49"/>
  <c r="I49" s="1"/>
  <c r="B50" l="1"/>
  <c r="E51"/>
  <c r="G50"/>
  <c r="I50" s="1"/>
  <c r="B51" l="1"/>
  <c r="E52"/>
  <c r="G51"/>
  <c r="I51" s="1"/>
  <c r="B52" l="1"/>
  <c r="G52"/>
  <c r="I52" s="1"/>
  <c r="E53"/>
  <c r="B53" l="1"/>
  <c r="E54"/>
  <c r="G53"/>
  <c r="I53" s="1"/>
  <c r="B54" l="1"/>
  <c r="E55"/>
  <c r="G54"/>
  <c r="I54" s="1"/>
  <c r="B55" l="1"/>
  <c r="E56"/>
  <c r="G55"/>
  <c r="I55" s="1"/>
  <c r="B56" l="1"/>
  <c r="G56"/>
  <c r="I56" s="1"/>
  <c r="E57"/>
  <c r="B57" l="1"/>
  <c r="E58"/>
  <c r="G57"/>
  <c r="I57" s="1"/>
  <c r="B58" l="1"/>
  <c r="E59"/>
  <c r="G58"/>
  <c r="I58" s="1"/>
  <c r="B59" l="1"/>
  <c r="E60"/>
  <c r="G59"/>
  <c r="I59" s="1"/>
  <c r="B60" l="1"/>
  <c r="G60"/>
  <c r="I60" s="1"/>
  <c r="E61"/>
  <c r="B61" l="1"/>
  <c r="E62"/>
  <c r="G61"/>
  <c r="I61" s="1"/>
  <c r="B62" l="1"/>
  <c r="E63"/>
  <c r="G62"/>
  <c r="I62" s="1"/>
  <c r="B63" l="1"/>
  <c r="E64"/>
  <c r="G63"/>
  <c r="I63" s="1"/>
  <c r="B64" l="1"/>
  <c r="G64"/>
  <c r="I64" s="1"/>
  <c r="E65"/>
  <c r="B65" l="1"/>
  <c r="E66"/>
  <c r="G65"/>
  <c r="I65" s="1"/>
  <c r="B66" l="1"/>
  <c r="G66"/>
  <c r="I66" s="1"/>
  <c r="E67"/>
  <c r="B67" l="1"/>
  <c r="E68"/>
  <c r="G67"/>
  <c r="I67" s="1"/>
  <c r="B68" l="1"/>
  <c r="G68"/>
  <c r="I68" s="1"/>
  <c r="E69"/>
  <c r="B69" l="1"/>
  <c r="E70"/>
  <c r="G69"/>
  <c r="I69" s="1"/>
  <c r="B70" l="1"/>
  <c r="G70"/>
  <c r="I70" s="1"/>
  <c r="E71"/>
  <c r="B71" l="1"/>
  <c r="E72"/>
  <c r="G71"/>
  <c r="I71" s="1"/>
  <c r="B72" l="1"/>
  <c r="G72"/>
  <c r="I72" s="1"/>
  <c r="E73"/>
  <c r="B73" l="1"/>
  <c r="E74"/>
  <c r="G73"/>
  <c r="I73" s="1"/>
  <c r="B74" l="1"/>
  <c r="G74"/>
  <c r="I74" s="1"/>
  <c r="E75"/>
  <c r="B75" l="1"/>
  <c r="E76"/>
  <c r="G75"/>
  <c r="I75" s="1"/>
  <c r="B76" l="1"/>
  <c r="G76"/>
  <c r="I76" s="1"/>
  <c r="E77"/>
  <c r="B77" l="1"/>
  <c r="E78"/>
  <c r="G77"/>
  <c r="I77" s="1"/>
  <c r="B78" l="1"/>
  <c r="G78"/>
  <c r="I78" s="1"/>
  <c r="E79"/>
  <c r="B79" l="1"/>
  <c r="E80"/>
  <c r="G79"/>
  <c r="I79" s="1"/>
  <c r="B80" l="1"/>
  <c r="G80"/>
  <c r="I80" s="1"/>
  <c r="E81"/>
  <c r="B81" l="1"/>
  <c r="E82"/>
  <c r="G81"/>
  <c r="I81" s="1"/>
  <c r="B82" l="1"/>
  <c r="G82"/>
  <c r="I82" s="1"/>
  <c r="E83"/>
  <c r="B83" l="1"/>
  <c r="E84"/>
  <c r="G83"/>
  <c r="I83" s="1"/>
  <c r="B84" l="1"/>
  <c r="G84"/>
  <c r="I84" s="1"/>
  <c r="E85"/>
  <c r="B85" l="1"/>
  <c r="E86"/>
  <c r="G85"/>
  <c r="I85" s="1"/>
  <c r="B86" l="1"/>
  <c r="G86"/>
  <c r="I86" s="1"/>
  <c r="E87"/>
  <c r="B87" l="1"/>
  <c r="E88"/>
  <c r="G87"/>
  <c r="I87" s="1"/>
  <c r="B88" l="1"/>
  <c r="G88"/>
  <c r="I88" s="1"/>
  <c r="E89"/>
  <c r="B89" l="1"/>
  <c r="E90"/>
  <c r="G89"/>
  <c r="I89" s="1"/>
  <c r="B90" l="1"/>
  <c r="G90"/>
  <c r="I90" s="1"/>
  <c r="E91"/>
  <c r="B91" l="1"/>
  <c r="E92"/>
  <c r="G91"/>
  <c r="I91" s="1"/>
  <c r="B92" l="1"/>
  <c r="G92"/>
  <c r="I92" s="1"/>
  <c r="E93"/>
  <c r="B93" l="1"/>
  <c r="G93"/>
  <c r="I93" s="1"/>
  <c r="E94"/>
  <c r="B94" l="1"/>
  <c r="E95"/>
  <c r="G94"/>
  <c r="I94" s="1"/>
  <c r="B95" l="1"/>
  <c r="E96"/>
  <c r="G95"/>
  <c r="I95" s="1"/>
  <c r="B96" l="1"/>
  <c r="E97"/>
  <c r="G96"/>
  <c r="I96" s="1"/>
  <c r="B97" l="1"/>
  <c r="G97"/>
  <c r="I97" s="1"/>
  <c r="E98"/>
  <c r="B98" l="1"/>
  <c r="E99"/>
  <c r="G98"/>
  <c r="I98" s="1"/>
  <c r="B99" l="1"/>
  <c r="E100"/>
  <c r="G99"/>
  <c r="I99" s="1"/>
  <c r="B100" l="1"/>
  <c r="E101"/>
  <c r="G100"/>
  <c r="I100" s="1"/>
  <c r="B101" l="1"/>
  <c r="G101"/>
  <c r="I101" s="1"/>
  <c r="E102"/>
  <c r="B102" l="1"/>
  <c r="E103"/>
  <c r="G102"/>
  <c r="I102" s="1"/>
  <c r="B103" l="1"/>
  <c r="E104"/>
  <c r="G103"/>
  <c r="I103" s="1"/>
  <c r="B104" l="1"/>
  <c r="E105"/>
  <c r="G104"/>
  <c r="I104" s="1"/>
  <c r="B105" l="1"/>
  <c r="G105"/>
  <c r="I105" s="1"/>
  <c r="E106"/>
  <c r="B106" l="1"/>
  <c r="E107"/>
  <c r="G106"/>
  <c r="I106" s="1"/>
  <c r="B107" l="1"/>
  <c r="E108"/>
  <c r="G107"/>
  <c r="I107" s="1"/>
  <c r="B108" l="1"/>
  <c r="E109"/>
  <c r="G108"/>
  <c r="I108" s="1"/>
  <c r="B109" l="1"/>
  <c r="G109"/>
  <c r="I109" s="1"/>
  <c r="E110"/>
  <c r="B110" l="1"/>
  <c r="E111"/>
  <c r="G110"/>
  <c r="I110" s="1"/>
  <c r="B111" l="1"/>
  <c r="E112"/>
  <c r="G111"/>
  <c r="I111" s="1"/>
  <c r="B112" l="1"/>
  <c r="E113"/>
  <c r="G112"/>
  <c r="I112" s="1"/>
  <c r="B113" l="1"/>
  <c r="G113"/>
  <c r="I113" s="1"/>
  <c r="E114"/>
  <c r="B114" l="1"/>
  <c r="E115"/>
  <c r="G114"/>
  <c r="I114" s="1"/>
  <c r="B115" l="1"/>
  <c r="E116"/>
  <c r="G115"/>
  <c r="I115" s="1"/>
  <c r="B116" l="1"/>
  <c r="E117"/>
  <c r="G116"/>
  <c r="I116" s="1"/>
  <c r="B117" l="1"/>
  <c r="G117"/>
  <c r="I117" s="1"/>
  <c r="E118"/>
  <c r="B118" l="1"/>
  <c r="E119"/>
  <c r="G118"/>
  <c r="I118" s="1"/>
  <c r="B119" l="1"/>
  <c r="E120"/>
  <c r="G119"/>
  <c r="I119" s="1"/>
  <c r="B120" l="1"/>
  <c r="E121"/>
  <c r="G120"/>
  <c r="I120" s="1"/>
  <c r="B121" l="1"/>
  <c r="G121"/>
  <c r="I121" s="1"/>
  <c r="E122"/>
  <c r="B122" l="1"/>
  <c r="E123"/>
  <c r="G122"/>
  <c r="I122" s="1"/>
  <c r="B123" l="1"/>
  <c r="E124"/>
  <c r="G123"/>
  <c r="I123" s="1"/>
  <c r="B124" l="1"/>
  <c r="E125"/>
  <c r="G124"/>
  <c r="I124" s="1"/>
  <c r="B125" l="1"/>
  <c r="G125"/>
  <c r="I125" s="1"/>
  <c r="E126"/>
  <c r="B126" l="1"/>
  <c r="E127"/>
  <c r="G126"/>
  <c r="I126" s="1"/>
  <c r="B127" l="1"/>
  <c r="E128"/>
  <c r="G127"/>
  <c r="I127" s="1"/>
  <c r="B128" l="1"/>
  <c r="E129"/>
  <c r="G128"/>
  <c r="I128" s="1"/>
  <c r="B129" l="1"/>
  <c r="G129"/>
  <c r="I129" s="1"/>
  <c r="E130"/>
  <c r="B130" l="1"/>
  <c r="E131"/>
  <c r="G130"/>
  <c r="I130" s="1"/>
  <c r="B131" l="1"/>
  <c r="E132"/>
  <c r="G131"/>
  <c r="I131" s="1"/>
  <c r="B132" l="1"/>
  <c r="E133"/>
  <c r="G132"/>
  <c r="I132" s="1"/>
  <c r="B133" l="1"/>
  <c r="G133"/>
  <c r="I133" s="1"/>
  <c r="E134"/>
  <c r="B134" l="1"/>
  <c r="E135"/>
  <c r="G134"/>
  <c r="I134" s="1"/>
  <c r="B135" l="1"/>
  <c r="E136"/>
  <c r="G135"/>
  <c r="I135" s="1"/>
  <c r="B136" l="1"/>
  <c r="E137"/>
  <c r="G136"/>
  <c r="I136" s="1"/>
  <c r="B137" l="1"/>
  <c r="G137"/>
  <c r="I137" s="1"/>
  <c r="E138"/>
  <c r="B138" l="1"/>
  <c r="E139"/>
  <c r="G138"/>
  <c r="I138" s="1"/>
  <c r="B139" l="1"/>
  <c r="E140"/>
  <c r="G139"/>
  <c r="I139" s="1"/>
  <c r="B140" l="1"/>
  <c r="E141"/>
  <c r="G140"/>
  <c r="I140" s="1"/>
  <c r="B141" l="1"/>
  <c r="G141"/>
  <c r="I141" s="1"/>
  <c r="E142"/>
  <c r="B142" l="1"/>
  <c r="E143"/>
  <c r="G142"/>
  <c r="I142" s="1"/>
  <c r="B143" l="1"/>
  <c r="E144"/>
  <c r="G143"/>
  <c r="I143" s="1"/>
  <c r="B144" l="1"/>
  <c r="E145"/>
  <c r="G144"/>
  <c r="I144" s="1"/>
  <c r="B145" l="1"/>
  <c r="G145"/>
  <c r="I145" s="1"/>
  <c r="E146"/>
  <c r="B146" l="1"/>
  <c r="E147"/>
  <c r="G146"/>
  <c r="I146" s="1"/>
  <c r="B147" l="1"/>
  <c r="E148"/>
  <c r="G147"/>
  <c r="I147" s="1"/>
  <c r="B148" l="1"/>
  <c r="E149"/>
  <c r="G148"/>
  <c r="I148" s="1"/>
  <c r="B149" l="1"/>
  <c r="G149"/>
  <c r="I149" s="1"/>
  <c r="E150"/>
  <c r="B150" l="1"/>
  <c r="E151"/>
  <c r="G150"/>
  <c r="I150" s="1"/>
  <c r="B151" l="1"/>
  <c r="E152"/>
  <c r="G151"/>
  <c r="I151" s="1"/>
  <c r="B152" l="1"/>
  <c r="E153"/>
  <c r="G152"/>
  <c r="I152" s="1"/>
  <c r="B153" l="1"/>
  <c r="G153"/>
  <c r="I153" s="1"/>
  <c r="E154"/>
  <c r="B154" l="1"/>
  <c r="E155"/>
  <c r="G154"/>
  <c r="I154" s="1"/>
  <c r="B155" l="1"/>
  <c r="E156"/>
  <c r="G155"/>
  <c r="I155" s="1"/>
  <c r="B156" l="1"/>
  <c r="E157"/>
  <c r="G156"/>
  <c r="I156" s="1"/>
  <c r="B157" l="1"/>
  <c r="G157"/>
  <c r="I157" s="1"/>
  <c r="E158"/>
  <c r="B158" l="1"/>
  <c r="E159"/>
  <c r="G158"/>
  <c r="I158" s="1"/>
  <c r="B159" l="1"/>
  <c r="E160"/>
  <c r="G159"/>
  <c r="I159" s="1"/>
  <c r="B160" l="1"/>
  <c r="E161"/>
  <c r="G160"/>
  <c r="I160" s="1"/>
  <c r="B161" l="1"/>
  <c r="G161"/>
  <c r="I161" s="1"/>
  <c r="E162"/>
  <c r="B162" l="1"/>
  <c r="E163"/>
  <c r="G162"/>
  <c r="I162" s="1"/>
  <c r="B163" l="1"/>
  <c r="E164"/>
  <c r="G163"/>
  <c r="I163" s="1"/>
  <c r="B164" l="1"/>
  <c r="E165"/>
  <c r="G164"/>
  <c r="I164" s="1"/>
  <c r="B165" l="1"/>
  <c r="G165"/>
  <c r="I165" s="1"/>
  <c r="E166"/>
  <c r="B166" l="1"/>
  <c r="E167"/>
  <c r="G166"/>
  <c r="I166" s="1"/>
  <c r="B167" l="1"/>
  <c r="E168"/>
  <c r="G167"/>
  <c r="I167" s="1"/>
  <c r="B168" l="1"/>
  <c r="E169"/>
  <c r="G168"/>
  <c r="I168" s="1"/>
  <c r="B169" l="1"/>
  <c r="G169"/>
  <c r="I169" s="1"/>
  <c r="E170"/>
  <c r="B170" l="1"/>
  <c r="E171"/>
  <c r="G170"/>
  <c r="I170" s="1"/>
  <c r="B171" l="1"/>
  <c r="E172"/>
  <c r="G171"/>
  <c r="I171" s="1"/>
  <c r="B172" l="1"/>
  <c r="E173"/>
  <c r="G172"/>
  <c r="I172" s="1"/>
  <c r="B173" l="1"/>
  <c r="G173"/>
  <c r="I173" s="1"/>
  <c r="E174"/>
  <c r="B174" l="1"/>
  <c r="E175"/>
  <c r="G174"/>
  <c r="I174" s="1"/>
  <c r="B175" l="1"/>
  <c r="E176"/>
  <c r="G175"/>
  <c r="I175" s="1"/>
  <c r="B176" l="1"/>
  <c r="E177"/>
  <c r="G176"/>
  <c r="I176" s="1"/>
  <c r="B177" l="1"/>
  <c r="G177"/>
  <c r="I177" s="1"/>
  <c r="E178"/>
  <c r="B178" l="1"/>
  <c r="G178"/>
  <c r="I178" s="1"/>
  <c r="E179"/>
  <c r="B179" l="1"/>
  <c r="E180"/>
  <c r="G179"/>
  <c r="I179" s="1"/>
  <c r="B180" l="1"/>
  <c r="E181"/>
  <c r="G180"/>
  <c r="I180" s="1"/>
  <c r="B181" l="1"/>
  <c r="G181"/>
  <c r="I181" s="1"/>
  <c r="E182"/>
  <c r="B182" l="1"/>
  <c r="G182"/>
  <c r="I182" s="1"/>
  <c r="E183"/>
  <c r="B183" l="1"/>
  <c r="E184"/>
  <c r="G183"/>
  <c r="I183" s="1"/>
  <c r="B184" l="1"/>
  <c r="E185"/>
  <c r="G184"/>
  <c r="I184" s="1"/>
  <c r="B185" l="1"/>
  <c r="G185"/>
  <c r="I185" s="1"/>
  <c r="E186"/>
  <c r="B186" l="1"/>
  <c r="G186"/>
  <c r="I186" s="1"/>
  <c r="E187"/>
  <c r="B187" l="1"/>
  <c r="E188"/>
  <c r="G187"/>
  <c r="I187" s="1"/>
  <c r="B188" l="1"/>
  <c r="E189"/>
  <c r="G188"/>
  <c r="I188" s="1"/>
  <c r="B189" l="1"/>
  <c r="G189"/>
  <c r="I189" s="1"/>
  <c r="E190"/>
  <c r="B190" l="1"/>
  <c r="G190"/>
  <c r="I190" s="1"/>
  <c r="E191"/>
  <c r="B191" l="1"/>
  <c r="E192"/>
  <c r="G191"/>
  <c r="I191" s="1"/>
  <c r="B192" l="1"/>
  <c r="E193"/>
  <c r="G192"/>
  <c r="I192" s="1"/>
  <c r="B193" l="1"/>
  <c r="G193"/>
  <c r="I193" s="1"/>
  <c r="E194"/>
  <c r="B194" l="1"/>
  <c r="G194"/>
  <c r="I194" s="1"/>
  <c r="E195"/>
  <c r="B195" l="1"/>
  <c r="E196"/>
  <c r="G195"/>
  <c r="I195" s="1"/>
  <c r="B196" l="1"/>
  <c r="E197"/>
  <c r="G196"/>
  <c r="I196" s="1"/>
  <c r="B197" l="1"/>
  <c r="G197"/>
  <c r="I197" s="1"/>
  <c r="E198"/>
  <c r="B198" l="1"/>
  <c r="G198"/>
  <c r="I198" s="1"/>
  <c r="E199"/>
  <c r="B199" l="1"/>
  <c r="E200"/>
  <c r="G199"/>
  <c r="I199" s="1"/>
  <c r="B200" l="1"/>
  <c r="E201"/>
  <c r="G200"/>
  <c r="I200" s="1"/>
  <c r="B201" l="1"/>
  <c r="G201"/>
  <c r="I201" s="1"/>
  <c r="E202"/>
  <c r="B202" l="1"/>
  <c r="G202"/>
  <c r="I202" s="1"/>
  <c r="E203"/>
  <c r="B203" l="1"/>
  <c r="E204"/>
  <c r="G203"/>
  <c r="I203" s="1"/>
  <c r="B204" l="1"/>
  <c r="E205"/>
  <c r="G204"/>
  <c r="I204" s="1"/>
  <c r="B205" l="1"/>
  <c r="G205"/>
  <c r="I205" s="1"/>
  <c r="E206"/>
  <c r="B206" l="1"/>
  <c r="G206"/>
  <c r="I206" s="1"/>
  <c r="E207"/>
  <c r="B207" l="1"/>
  <c r="E208"/>
  <c r="G207"/>
  <c r="I207" s="1"/>
  <c r="B208" l="1"/>
  <c r="E209"/>
  <c r="G208"/>
  <c r="I208" s="1"/>
  <c r="B209" l="1"/>
  <c r="E210"/>
  <c r="G209"/>
  <c r="I209" s="1"/>
  <c r="B210" l="1"/>
  <c r="G210"/>
  <c r="I210" s="1"/>
  <c r="E211"/>
  <c r="B211" l="1"/>
  <c r="E212"/>
  <c r="G211"/>
  <c r="I211" s="1"/>
  <c r="B212" l="1"/>
  <c r="E213"/>
  <c r="G212"/>
  <c r="I212" s="1"/>
  <c r="B213" l="1"/>
  <c r="E214"/>
  <c r="G213"/>
  <c r="I213" s="1"/>
  <c r="B214" l="1"/>
  <c r="G214"/>
  <c r="I214" s="1"/>
  <c r="E215"/>
  <c r="B215" l="1"/>
  <c r="E216"/>
  <c r="G215"/>
  <c r="I215" s="1"/>
  <c r="B216" l="1"/>
  <c r="E217"/>
  <c r="G216"/>
  <c r="I216" s="1"/>
  <c r="B217" l="1"/>
  <c r="E218"/>
  <c r="G217"/>
  <c r="I217" s="1"/>
  <c r="B218" l="1"/>
  <c r="G218"/>
  <c r="I218" s="1"/>
  <c r="E219"/>
  <c r="B219" l="1"/>
  <c r="E220"/>
  <c r="G219"/>
  <c r="I219" s="1"/>
  <c r="B220" l="1"/>
  <c r="E221"/>
  <c r="G220"/>
  <c r="I220" s="1"/>
  <c r="B221" l="1"/>
  <c r="E222"/>
  <c r="G221"/>
  <c r="I221" s="1"/>
  <c r="B222" l="1"/>
  <c r="G222"/>
  <c r="I222" s="1"/>
  <c r="E223"/>
  <c r="B223" l="1"/>
  <c r="E224"/>
  <c r="G223"/>
  <c r="I223" s="1"/>
  <c r="B224" l="1"/>
  <c r="E225"/>
  <c r="G224"/>
  <c r="I224" s="1"/>
  <c r="B225" l="1"/>
  <c r="E226"/>
  <c r="G225"/>
  <c r="I225" s="1"/>
  <c r="B226" l="1"/>
  <c r="G226"/>
  <c r="I226" s="1"/>
  <c r="E227"/>
  <c r="B227" l="1"/>
  <c r="E228"/>
  <c r="G227"/>
  <c r="I227" s="1"/>
  <c r="B228" l="1"/>
  <c r="E229"/>
  <c r="G228"/>
  <c r="I228" s="1"/>
  <c r="B229" l="1"/>
  <c r="E230"/>
  <c r="G229"/>
  <c r="I229" s="1"/>
  <c r="B230" l="1"/>
  <c r="G230"/>
  <c r="I230" s="1"/>
  <c r="E231"/>
  <c r="B231" l="1"/>
  <c r="E232"/>
  <c r="G231"/>
  <c r="I231" s="1"/>
  <c r="B232" l="1"/>
  <c r="E233"/>
  <c r="G232"/>
  <c r="I232" s="1"/>
  <c r="B233" l="1"/>
  <c r="E234"/>
  <c r="G233"/>
  <c r="I233" s="1"/>
  <c r="B234" l="1"/>
  <c r="G234"/>
  <c r="I234" s="1"/>
  <c r="E235"/>
  <c r="B235" l="1"/>
  <c r="E236"/>
  <c r="G235"/>
  <c r="I235" s="1"/>
  <c r="B236" l="1"/>
  <c r="E237"/>
  <c r="G236"/>
  <c r="I236" s="1"/>
  <c r="B237" l="1"/>
  <c r="E238"/>
  <c r="G237"/>
  <c r="I237" s="1"/>
  <c r="B238" l="1"/>
  <c r="G238"/>
  <c r="I238" s="1"/>
  <c r="E239"/>
  <c r="B239" l="1"/>
  <c r="E240"/>
  <c r="G239"/>
  <c r="I239" s="1"/>
  <c r="B240" l="1"/>
  <c r="E241"/>
  <c r="G240"/>
  <c r="I240" s="1"/>
  <c r="B241" l="1"/>
  <c r="E242"/>
  <c r="G241"/>
  <c r="I241" s="1"/>
  <c r="B242" l="1"/>
  <c r="G242"/>
  <c r="I242" s="1"/>
  <c r="E243"/>
  <c r="B243" l="1"/>
  <c r="E244"/>
  <c r="G243"/>
  <c r="I243" s="1"/>
  <c r="B244" l="1"/>
  <c r="E245"/>
  <c r="G244"/>
  <c r="I244" s="1"/>
  <c r="B245" l="1"/>
  <c r="E246"/>
  <c r="G245"/>
  <c r="I245" s="1"/>
  <c r="B246" l="1"/>
  <c r="G246"/>
  <c r="I246" s="1"/>
  <c r="E247"/>
  <c r="B247" l="1"/>
  <c r="E248"/>
  <c r="G247"/>
  <c r="I247" s="1"/>
  <c r="B248" l="1"/>
  <c r="E249"/>
  <c r="G248"/>
  <c r="I248" s="1"/>
  <c r="B249" l="1"/>
  <c r="E250"/>
  <c r="G249"/>
  <c r="I249" s="1"/>
  <c r="B250" l="1"/>
  <c r="G250"/>
  <c r="I250" s="1"/>
  <c r="E251"/>
  <c r="B251" l="1"/>
  <c r="E252"/>
  <c r="G251"/>
  <c r="I251" s="1"/>
  <c r="B252" l="1"/>
  <c r="E253"/>
  <c r="G252"/>
  <c r="I252" s="1"/>
  <c r="B253" l="1"/>
  <c r="E254"/>
  <c r="G253"/>
  <c r="I253" s="1"/>
  <c r="B254" l="1"/>
  <c r="G254"/>
  <c r="I254" s="1"/>
  <c r="E255"/>
  <c r="B255" l="1"/>
  <c r="E256"/>
  <c r="G255"/>
  <c r="I255" s="1"/>
  <c r="B256" l="1"/>
  <c r="E257"/>
  <c r="G256"/>
  <c r="I256" s="1"/>
  <c r="B257" l="1"/>
  <c r="E258"/>
  <c r="G257"/>
  <c r="I257" s="1"/>
  <c r="B258" l="1"/>
  <c r="G258"/>
  <c r="I258" s="1"/>
  <c r="E259"/>
  <c r="B259" l="1"/>
  <c r="E260"/>
  <c r="G259"/>
  <c r="I259" s="1"/>
  <c r="B260" l="1"/>
  <c r="E261"/>
  <c r="G260"/>
  <c r="I260" s="1"/>
  <c r="B261" l="1"/>
  <c r="E262"/>
  <c r="G261"/>
  <c r="I261" s="1"/>
  <c r="B262" l="1"/>
  <c r="G262"/>
  <c r="I262" s="1"/>
  <c r="E263"/>
  <c r="B263" l="1"/>
  <c r="E264"/>
  <c r="G263"/>
  <c r="I263" s="1"/>
  <c r="B264" l="1"/>
  <c r="E265"/>
  <c r="G264"/>
  <c r="I264" s="1"/>
  <c r="B265" l="1"/>
  <c r="E266"/>
  <c r="G265"/>
  <c r="I265" s="1"/>
  <c r="B266" l="1"/>
  <c r="G266"/>
  <c r="I266" s="1"/>
  <c r="E267"/>
  <c r="B267" l="1"/>
  <c r="E268"/>
  <c r="G267"/>
  <c r="I267" s="1"/>
  <c r="B268" l="1"/>
  <c r="E269"/>
  <c r="G268"/>
  <c r="I268" s="1"/>
  <c r="B269" l="1"/>
  <c r="E270"/>
  <c r="G269"/>
  <c r="I269" s="1"/>
  <c r="B270" l="1"/>
  <c r="G270"/>
  <c r="I270" s="1"/>
  <c r="E271"/>
  <c r="B271" l="1"/>
  <c r="E272"/>
  <c r="G271"/>
  <c r="I271" s="1"/>
  <c r="B272" l="1"/>
  <c r="E273"/>
  <c r="G272"/>
  <c r="I272" s="1"/>
  <c r="B273" l="1"/>
  <c r="E274"/>
  <c r="G273"/>
  <c r="I273" s="1"/>
  <c r="B274" l="1"/>
  <c r="G274"/>
  <c r="I274" s="1"/>
  <c r="E275"/>
  <c r="B275" l="1"/>
  <c r="E276"/>
  <c r="G275"/>
  <c r="I275" s="1"/>
  <c r="B276" l="1"/>
  <c r="E277"/>
  <c r="G276"/>
  <c r="I276" s="1"/>
  <c r="B277" l="1"/>
  <c r="E278"/>
  <c r="G277"/>
  <c r="I277" s="1"/>
  <c r="B278" l="1"/>
  <c r="G278"/>
  <c r="I278" s="1"/>
  <c r="E279"/>
  <c r="B279" l="1"/>
  <c r="E280"/>
  <c r="G279"/>
  <c r="I279" s="1"/>
  <c r="B280" l="1"/>
  <c r="E281"/>
  <c r="G280"/>
  <c r="I280" s="1"/>
  <c r="B281" l="1"/>
  <c r="E282"/>
  <c r="G281"/>
  <c r="I281" s="1"/>
  <c r="B282" l="1"/>
  <c r="G282"/>
  <c r="I282" s="1"/>
  <c r="E283"/>
  <c r="B283" l="1"/>
  <c r="E284"/>
  <c r="G283"/>
  <c r="I283" s="1"/>
  <c r="B284" l="1"/>
  <c r="E285"/>
  <c r="G284"/>
  <c r="I284" s="1"/>
  <c r="B285" l="1"/>
  <c r="E286"/>
  <c r="G285"/>
  <c r="I285" s="1"/>
  <c r="B286" l="1"/>
  <c r="G286"/>
  <c r="I286" s="1"/>
  <c r="E287"/>
  <c r="B287" l="1"/>
  <c r="E288"/>
  <c r="G287"/>
  <c r="I287" s="1"/>
  <c r="B288" l="1"/>
  <c r="E289"/>
  <c r="G288"/>
  <c r="I288" s="1"/>
  <c r="B289" l="1"/>
  <c r="E290"/>
  <c r="G289"/>
  <c r="I289" s="1"/>
  <c r="B290" l="1"/>
  <c r="G290"/>
  <c r="I290" s="1"/>
  <c r="E291"/>
  <c r="B291" l="1"/>
  <c r="E292"/>
  <c r="G291"/>
  <c r="I291" s="1"/>
  <c r="B292" l="1"/>
  <c r="E293"/>
  <c r="G292"/>
  <c r="I292" s="1"/>
  <c r="B293" l="1"/>
  <c r="E294"/>
  <c r="G293"/>
  <c r="I293" s="1"/>
  <c r="B294" l="1"/>
  <c r="G294"/>
  <c r="I294" s="1"/>
  <c r="E295"/>
  <c r="B295" l="1"/>
  <c r="E296"/>
  <c r="G295"/>
  <c r="I295" s="1"/>
  <c r="B296" l="1"/>
  <c r="E297"/>
  <c r="G296"/>
  <c r="I296" s="1"/>
  <c r="B297" l="1"/>
  <c r="E298"/>
  <c r="G297"/>
  <c r="I297" s="1"/>
  <c r="B298" l="1"/>
  <c r="G298"/>
  <c r="I298" s="1"/>
  <c r="E299"/>
  <c r="B299" l="1"/>
  <c r="E300"/>
  <c r="G299"/>
  <c r="I299" s="1"/>
  <c r="B300" l="1"/>
  <c r="E301"/>
  <c r="G300"/>
  <c r="I300" s="1"/>
  <c r="B301" l="1"/>
  <c r="E302"/>
  <c r="G301"/>
  <c r="I301" s="1"/>
  <c r="B302" l="1"/>
  <c r="C66" i="6"/>
  <c r="G302" i="7"/>
  <c r="I302" s="1"/>
  <c r="E303"/>
  <c r="B303" l="1"/>
  <c r="C58" i="6"/>
  <c r="C62"/>
  <c r="C71"/>
  <c r="C75"/>
  <c r="C79"/>
  <c r="C57"/>
  <c r="C61"/>
  <c r="C65"/>
  <c r="C70"/>
  <c r="C74"/>
  <c r="C78"/>
  <c r="C82"/>
  <c r="C60"/>
  <c r="C64"/>
  <c r="C69"/>
  <c r="C73"/>
  <c r="C77"/>
  <c r="C81"/>
  <c r="C59"/>
  <c r="C63"/>
  <c r="C68"/>
  <c r="C72"/>
  <c r="C76"/>
  <c r="C80"/>
  <c r="C27"/>
  <c r="C31"/>
  <c r="C36"/>
  <c r="C40"/>
  <c r="C44"/>
  <c r="C48"/>
  <c r="C52"/>
  <c r="C56"/>
  <c r="C26"/>
  <c r="C30"/>
  <c r="C35"/>
  <c r="C39"/>
  <c r="C43"/>
  <c r="C47"/>
  <c r="C51"/>
  <c r="C55"/>
  <c r="C25"/>
  <c r="C29"/>
  <c r="C33"/>
  <c r="C38"/>
  <c r="C42"/>
  <c r="C46"/>
  <c r="C50"/>
  <c r="C54"/>
  <c r="C24"/>
  <c r="C28"/>
  <c r="C32"/>
  <c r="C37"/>
  <c r="C41"/>
  <c r="C45"/>
  <c r="C49"/>
  <c r="C53"/>
  <c r="C23"/>
  <c r="F23" s="1"/>
  <c r="H23" s="1"/>
  <c r="E304" i="7"/>
  <c r="G304" s="1"/>
  <c r="I304" s="1"/>
  <c r="G303"/>
  <c r="I303" s="1"/>
  <c r="B304" s="1"/>
  <c r="D88" i="6" l="1"/>
  <c r="F227" i="1" s="1"/>
  <c r="F24" i="6"/>
  <c r="H24" s="1"/>
  <c r="B306" i="7"/>
  <c r="B307"/>
  <c r="F25" i="6" l="1"/>
  <c r="H25" s="1"/>
  <c r="B308" i="7"/>
  <c r="F26" i="6" l="1"/>
  <c r="H26" s="1"/>
  <c r="F27" l="1"/>
  <c r="H27" s="1"/>
  <c r="F28" l="1"/>
  <c r="H28" s="1"/>
  <c r="F29" l="1"/>
  <c r="H29" s="1"/>
  <c r="F30" l="1"/>
  <c r="H30" s="1"/>
  <c r="F31" l="1"/>
  <c r="H31" s="1"/>
  <c r="F32" l="1"/>
  <c r="H32" s="1"/>
  <c r="F33" l="1"/>
  <c r="F35" l="1"/>
  <c r="H33"/>
  <c r="F36" l="1"/>
  <c r="H35"/>
  <c r="F37" l="1"/>
  <c r="H36"/>
  <c r="F38" l="1"/>
  <c r="H37"/>
  <c r="F39" l="1"/>
  <c r="H38"/>
  <c r="F40" l="1"/>
  <c r="H39"/>
  <c r="F41" l="1"/>
  <c r="H40"/>
  <c r="F42" l="1"/>
  <c r="H41"/>
  <c r="F43" l="1"/>
  <c r="H42"/>
  <c r="F44" l="1"/>
  <c r="H43"/>
  <c r="F45" l="1"/>
  <c r="H44"/>
  <c r="F46" l="1"/>
  <c r="H45"/>
  <c r="F47" l="1"/>
  <c r="H46"/>
  <c r="F48" l="1"/>
  <c r="H47"/>
  <c r="F49" l="1"/>
  <c r="H48"/>
  <c r="F50" l="1"/>
  <c r="H49"/>
  <c r="F51" l="1"/>
  <c r="H50"/>
  <c r="F52" l="1"/>
  <c r="H51"/>
  <c r="F53" l="1"/>
  <c r="H52"/>
  <c r="F54" l="1"/>
  <c r="H53"/>
  <c r="F55" l="1"/>
  <c r="H54"/>
  <c r="F56" l="1"/>
  <c r="H55"/>
  <c r="F57" l="1"/>
  <c r="H56"/>
  <c r="F58" l="1"/>
  <c r="H57"/>
  <c r="J57"/>
  <c r="L57" s="1"/>
  <c r="F59" l="1"/>
  <c r="H58"/>
  <c r="J58"/>
  <c r="L58" s="1"/>
  <c r="F60" l="1"/>
  <c r="H59"/>
  <c r="J59"/>
  <c r="L59" s="1"/>
  <c r="F61" l="1"/>
  <c r="H60"/>
  <c r="J60"/>
  <c r="L60" s="1"/>
  <c r="F62" l="1"/>
  <c r="H61"/>
  <c r="J61"/>
  <c r="L61" s="1"/>
  <c r="F63" l="1"/>
  <c r="H62"/>
  <c r="J62"/>
  <c r="L62" s="1"/>
  <c r="F64" l="1"/>
  <c r="H63"/>
  <c r="J63"/>
  <c r="L63" s="1"/>
  <c r="F65" l="1"/>
  <c r="H64"/>
  <c r="J64"/>
  <c r="L64" s="1"/>
  <c r="F66" l="1"/>
  <c r="H65"/>
  <c r="J65"/>
  <c r="L65" s="1"/>
  <c r="H66" l="1"/>
  <c r="F68"/>
  <c r="J66"/>
  <c r="L66" s="1"/>
  <c r="F69" l="1"/>
  <c r="H68"/>
  <c r="J68"/>
  <c r="L68" s="1"/>
  <c r="F70" l="1"/>
  <c r="H69"/>
  <c r="J69"/>
  <c r="L69" s="1"/>
  <c r="F71" l="1"/>
  <c r="H70"/>
  <c r="J70"/>
  <c r="L70" s="1"/>
  <c r="F72" l="1"/>
  <c r="H71"/>
  <c r="J71"/>
  <c r="L71" s="1"/>
  <c r="F73" l="1"/>
  <c r="H72"/>
  <c r="J72"/>
  <c r="L72" s="1"/>
  <c r="F74" l="1"/>
  <c r="H73"/>
  <c r="J73"/>
  <c r="L73" s="1"/>
  <c r="F75" l="1"/>
  <c r="H74"/>
  <c r="J74"/>
  <c r="L74" s="1"/>
  <c r="F76" l="1"/>
  <c r="H75"/>
  <c r="J75"/>
  <c r="L75" s="1"/>
  <c r="F77" l="1"/>
  <c r="H76"/>
  <c r="J76"/>
  <c r="L76" s="1"/>
  <c r="F78" l="1"/>
  <c r="H77"/>
  <c r="J77"/>
  <c r="L77" s="1"/>
  <c r="F79" l="1"/>
  <c r="H78"/>
  <c r="J78"/>
  <c r="L78" s="1"/>
  <c r="F80" l="1"/>
  <c r="H79"/>
  <c r="J79"/>
  <c r="L79" s="1"/>
  <c r="F81" l="1"/>
  <c r="H80"/>
  <c r="J80"/>
  <c r="L80" s="1"/>
  <c r="F82" l="1"/>
  <c r="H81"/>
  <c r="J81"/>
  <c r="L81" s="1"/>
  <c r="H82" l="1"/>
  <c r="J82"/>
  <c r="L82" s="1"/>
  <c r="J55" l="1"/>
  <c r="L55" s="1"/>
  <c r="J53"/>
  <c r="L53" s="1"/>
  <c r="J51"/>
  <c r="L51" s="1"/>
  <c r="J49"/>
  <c r="L49" s="1"/>
  <c r="J23"/>
  <c r="L23" s="1"/>
  <c r="J48"/>
  <c r="L48" s="1"/>
  <c r="J46"/>
  <c r="L46" s="1"/>
  <c r="J44"/>
  <c r="L44" s="1"/>
  <c r="J42"/>
  <c r="L42" s="1"/>
  <c r="J40"/>
  <c r="L40" s="1"/>
  <c r="J38"/>
  <c r="L38" s="1"/>
  <c r="J36"/>
  <c r="L36" s="1"/>
  <c r="J33"/>
  <c r="L33" s="1"/>
  <c r="J31"/>
  <c r="L31" s="1"/>
  <c r="J29"/>
  <c r="L29" s="1"/>
  <c r="J27"/>
  <c r="L27" s="1"/>
  <c r="J25"/>
  <c r="L25" s="1"/>
  <c r="J22"/>
  <c r="L22" s="1"/>
  <c r="J56"/>
  <c r="L56" s="1"/>
  <c r="J54"/>
  <c r="L54" s="1"/>
  <c r="J52"/>
  <c r="L52" s="1"/>
  <c r="J50"/>
  <c r="L50" s="1"/>
  <c r="J47"/>
  <c r="L47" s="1"/>
  <c r="J45"/>
  <c r="L45" s="1"/>
  <c r="J43"/>
  <c r="L43" s="1"/>
  <c r="J41"/>
  <c r="L41" s="1"/>
  <c r="J39"/>
  <c r="L39" s="1"/>
  <c r="J37"/>
  <c r="L37" s="1"/>
  <c r="J35"/>
  <c r="L35" s="1"/>
  <c r="J32"/>
  <c r="L32" s="1"/>
  <c r="J30"/>
  <c r="L30" s="1"/>
  <c r="J28"/>
  <c r="L28" s="1"/>
  <c r="J26"/>
  <c r="L26" s="1"/>
  <c r="J24"/>
  <c r="L24" s="1"/>
  <c r="C64" i="4" l="1"/>
  <c r="D23" i="6"/>
  <c r="C27" i="4"/>
  <c r="C31"/>
  <c r="C35"/>
  <c r="C39"/>
  <c r="C44"/>
  <c r="C48"/>
  <c r="C52"/>
  <c r="C57"/>
  <c r="C61"/>
  <c r="C25"/>
  <c r="C29"/>
  <c r="C33"/>
  <c r="C37"/>
  <c r="C42"/>
  <c r="C46"/>
  <c r="C50"/>
  <c r="C54"/>
  <c r="C59"/>
  <c r="C63"/>
  <c r="C26"/>
  <c r="C30"/>
  <c r="C34"/>
  <c r="C38"/>
  <c r="C43"/>
  <c r="C47"/>
  <c r="C51"/>
  <c r="C55"/>
  <c r="C60"/>
  <c r="C23"/>
  <c r="F23" s="1"/>
  <c r="H23" s="1"/>
  <c r="C24"/>
  <c r="C28"/>
  <c r="C32"/>
  <c r="C36"/>
  <c r="C40"/>
  <c r="C45"/>
  <c r="C49"/>
  <c r="C53"/>
  <c r="C58"/>
  <c r="C62"/>
  <c r="D69" l="1"/>
  <c r="E227" i="1" s="1"/>
  <c r="D24" i="6"/>
  <c r="D25" s="1"/>
  <c r="D26" s="1"/>
  <c r="D27" s="1"/>
  <c r="D28" s="1"/>
  <c r="D29" s="1"/>
  <c r="D30" s="1"/>
  <c r="D31" s="1"/>
  <c r="D32" s="1"/>
  <c r="D33" s="1"/>
  <c r="J23" i="4"/>
  <c r="L23" s="1"/>
  <c r="D24" s="1"/>
  <c r="F24"/>
  <c r="H24" s="1"/>
  <c r="D35" i="6" l="1"/>
  <c r="D36" s="1"/>
  <c r="J24" i="4"/>
  <c r="L24" s="1"/>
  <c r="D25" s="1"/>
  <c r="F25"/>
  <c r="H25" s="1"/>
  <c r="D37" i="6" l="1"/>
  <c r="D38" s="1"/>
  <c r="D39" s="1"/>
  <c r="D40" s="1"/>
  <c r="D41" s="1"/>
  <c r="D42" s="1"/>
  <c r="D43" s="1"/>
  <c r="D44" s="1"/>
  <c r="D45" s="1"/>
  <c r="D46" s="1"/>
  <c r="D47" s="1"/>
  <c r="D48" s="1"/>
  <c r="D49" s="1"/>
  <c r="J25" i="4"/>
  <c r="L25" s="1"/>
  <c r="D26" s="1"/>
  <c r="F26"/>
  <c r="H26" s="1"/>
  <c r="D50" i="6" l="1"/>
  <c r="D51" s="1"/>
  <c r="D52" s="1"/>
  <c r="D53" s="1"/>
  <c r="D54" s="1"/>
  <c r="D55" s="1"/>
  <c r="D56" s="1"/>
  <c r="D57" s="1"/>
  <c r="D58" s="1"/>
  <c r="D59" s="1"/>
  <c r="D60" s="1"/>
  <c r="D61" s="1"/>
  <c r="D62" s="1"/>
  <c r="D63" s="1"/>
  <c r="D64" s="1"/>
  <c r="D65" s="1"/>
  <c r="J26" i="4"/>
  <c r="L26" s="1"/>
  <c r="D27" s="1"/>
  <c r="F27"/>
  <c r="H27" s="1"/>
  <c r="D68" i="6" l="1"/>
  <c r="D66"/>
  <c r="F28" i="4"/>
  <c r="H28" s="1"/>
  <c r="J27"/>
  <c r="L27" s="1"/>
  <c r="D28" s="1"/>
  <c r="D69" i="6" l="1"/>
  <c r="D70" s="1"/>
  <c r="D71" s="1"/>
  <c r="D72" s="1"/>
  <c r="D73" s="1"/>
  <c r="D74" s="1"/>
  <c r="D75" s="1"/>
  <c r="D76" s="1"/>
  <c r="D77" s="1"/>
  <c r="D78" s="1"/>
  <c r="D79" s="1"/>
  <c r="D80" s="1"/>
  <c r="D81" s="1"/>
  <c r="D82" s="1"/>
  <c r="J28" i="4"/>
  <c r="L28" s="1"/>
  <c r="D29" s="1"/>
  <c r="F29"/>
  <c r="H29" s="1"/>
  <c r="D85" i="6" l="1"/>
  <c r="F224" i="1" s="1"/>
  <c r="D86" i="6"/>
  <c r="F225" i="1" s="1"/>
  <c r="D87" i="6"/>
  <c r="F226" i="1" s="1"/>
  <c r="J29" i="4"/>
  <c r="L29" s="1"/>
  <c r="D30" s="1"/>
  <c r="F30"/>
  <c r="H30" s="1"/>
  <c r="F228" i="1" l="1"/>
  <c r="J30" i="4"/>
  <c r="L30" s="1"/>
  <c r="D31" s="1"/>
  <c r="F31"/>
  <c r="H31" s="1"/>
  <c r="J31" l="1"/>
  <c r="L31" s="1"/>
  <c r="D32" s="1"/>
  <c r="F32"/>
  <c r="H32" s="1"/>
  <c r="J32" l="1"/>
  <c r="L32" s="1"/>
  <c r="D33" s="1"/>
  <c r="F33"/>
  <c r="H33" s="1"/>
  <c r="F34" l="1"/>
  <c r="H34" s="1"/>
  <c r="J33"/>
  <c r="L33" s="1"/>
  <c r="D34" s="1"/>
  <c r="J34" l="1"/>
  <c r="L34" s="1"/>
  <c r="D35" s="1"/>
  <c r="F35"/>
  <c r="H35" s="1"/>
  <c r="J35" l="1"/>
  <c r="L35" s="1"/>
  <c r="D36" s="1"/>
  <c r="F36"/>
  <c r="H36" s="1"/>
  <c r="J36" l="1"/>
  <c r="L36" s="1"/>
  <c r="D37" s="1"/>
  <c r="F37"/>
  <c r="H37" s="1"/>
  <c r="J37" l="1"/>
  <c r="L37" s="1"/>
  <c r="D38" s="1"/>
  <c r="F38"/>
  <c r="H38" s="1"/>
  <c r="J38" l="1"/>
  <c r="L38" s="1"/>
  <c r="D39" s="1"/>
  <c r="F39"/>
  <c r="H39" s="1"/>
  <c r="F40" l="1"/>
  <c r="H40" s="1"/>
  <c r="J39"/>
  <c r="L39" s="1"/>
  <c r="D40" s="1"/>
  <c r="J40" l="1"/>
  <c r="L40" s="1"/>
  <c r="D42" s="1"/>
  <c r="F42"/>
  <c r="H42" s="1"/>
  <c r="J42" l="1"/>
  <c r="L42" s="1"/>
  <c r="D43" s="1"/>
  <c r="F43"/>
  <c r="H43" s="1"/>
  <c r="J43" l="1"/>
  <c r="L43" s="1"/>
  <c r="D44" s="1"/>
  <c r="F44"/>
  <c r="H44" s="1"/>
  <c r="J44" l="1"/>
  <c r="L44" s="1"/>
  <c r="D45" s="1"/>
  <c r="F45"/>
  <c r="H45" s="1"/>
  <c r="J45" l="1"/>
  <c r="L45" s="1"/>
  <c r="D46" s="1"/>
  <c r="F46"/>
  <c r="H46" s="1"/>
  <c r="J46" l="1"/>
  <c r="L46" s="1"/>
  <c r="D47" s="1"/>
  <c r="F47"/>
  <c r="H47" s="1"/>
  <c r="J47" l="1"/>
  <c r="L47" s="1"/>
  <c r="D48" s="1"/>
  <c r="F48"/>
  <c r="H48" s="1"/>
  <c r="J48" l="1"/>
  <c r="L48" s="1"/>
  <c r="D49" s="1"/>
  <c r="F49"/>
  <c r="H49" s="1"/>
  <c r="J49" l="1"/>
  <c r="L49" s="1"/>
  <c r="D50" s="1"/>
  <c r="F50"/>
  <c r="H50" s="1"/>
  <c r="J50" l="1"/>
  <c r="L50" s="1"/>
  <c r="D51" s="1"/>
  <c r="F51"/>
  <c r="H51" s="1"/>
  <c r="F52" l="1"/>
  <c r="H52" s="1"/>
  <c r="J51"/>
  <c r="L51" s="1"/>
  <c r="D52" s="1"/>
  <c r="J52" l="1"/>
  <c r="L52" s="1"/>
  <c r="D53" s="1"/>
  <c r="F53"/>
  <c r="H53" s="1"/>
  <c r="J53" l="1"/>
  <c r="L53" s="1"/>
  <c r="D54" s="1"/>
  <c r="F54"/>
  <c r="H54" s="1"/>
  <c r="J54" l="1"/>
  <c r="L54" s="1"/>
  <c r="D55" s="1"/>
  <c r="F55"/>
  <c r="H55" s="1"/>
  <c r="J55" l="1"/>
  <c r="L55" s="1"/>
  <c r="D57" s="1"/>
  <c r="F57"/>
  <c r="H57" s="1"/>
  <c r="F58" l="1"/>
  <c r="H58" s="1"/>
  <c r="J57"/>
  <c r="L57" s="1"/>
  <c r="D58" s="1"/>
  <c r="J58" l="1"/>
  <c r="L58" s="1"/>
  <c r="D59" s="1"/>
  <c r="F59"/>
  <c r="H59" s="1"/>
  <c r="J59" l="1"/>
  <c r="L59" s="1"/>
  <c r="D60" s="1"/>
  <c r="F60"/>
  <c r="J60" l="1"/>
  <c r="L60" s="1"/>
  <c r="D61" s="1"/>
  <c r="H60"/>
  <c r="F61"/>
  <c r="J61" l="1"/>
  <c r="L61" s="1"/>
  <c r="D62" s="1"/>
  <c r="H61"/>
  <c r="F62"/>
  <c r="J62" l="1"/>
  <c r="L62" s="1"/>
  <c r="D63" s="1"/>
  <c r="H62"/>
  <c r="F63"/>
  <c r="J63" l="1"/>
  <c r="L63" s="1"/>
  <c r="D64" s="1"/>
  <c r="H63"/>
  <c r="F64"/>
  <c r="H64" s="1"/>
  <c r="D67" l="1"/>
  <c r="E225" i="1" s="1"/>
  <c r="D66" i="4"/>
  <c r="E224" i="1" s="1"/>
  <c r="D68" i="4"/>
  <c r="E226" i="1" s="1"/>
  <c r="J64" i="4"/>
  <c r="L64" s="1"/>
  <c r="E228" i="1" l="1"/>
  <c r="C71" i="3" l="1"/>
  <c r="C68"/>
  <c r="C72"/>
  <c r="C69"/>
  <c r="C73"/>
  <c r="C70"/>
  <c r="C43"/>
  <c r="C47"/>
  <c r="C53"/>
  <c r="C57"/>
  <c r="C61"/>
  <c r="C65"/>
  <c r="C28"/>
  <c r="C32"/>
  <c r="C36"/>
  <c r="C42"/>
  <c r="C46"/>
  <c r="C52"/>
  <c r="C56"/>
  <c r="C60"/>
  <c r="C64"/>
  <c r="C27"/>
  <c r="C31"/>
  <c r="C35"/>
  <c r="C26"/>
  <c r="C41"/>
  <c r="C45"/>
  <c r="C51"/>
  <c r="C55"/>
  <c r="C59"/>
  <c r="C63"/>
  <c r="C67"/>
  <c r="C30"/>
  <c r="C34"/>
  <c r="C38"/>
  <c r="C40"/>
  <c r="C44"/>
  <c r="C49"/>
  <c r="C54"/>
  <c r="C58"/>
  <c r="C62"/>
  <c r="C66"/>
  <c r="C29"/>
  <c r="C33"/>
  <c r="C37"/>
  <c r="D78" l="1"/>
  <c r="D227" i="1" s="1"/>
  <c r="D45" l="1"/>
  <c r="C153"/>
  <c r="D153"/>
  <c r="E153"/>
  <c r="F153"/>
  <c r="G153"/>
  <c r="H153"/>
  <c r="I153"/>
  <c r="J153"/>
  <c r="K153"/>
  <c r="B153"/>
  <c r="C152"/>
  <c r="D152"/>
  <c r="E152"/>
  <c r="F152"/>
  <c r="G152"/>
  <c r="H152"/>
  <c r="I152"/>
  <c r="J152"/>
  <c r="K152"/>
  <c r="B152"/>
  <c r="C150"/>
  <c r="D150"/>
  <c r="E150"/>
  <c r="F150"/>
  <c r="G150"/>
  <c r="H150"/>
  <c r="I150"/>
  <c r="J150"/>
  <c r="K150"/>
  <c r="B150"/>
  <c r="C133"/>
  <c r="C134" s="1"/>
  <c r="C120"/>
  <c r="C121" s="1"/>
  <c r="D83"/>
  <c r="B44"/>
  <c r="B43"/>
  <c r="B45"/>
  <c r="C29"/>
  <c r="C27"/>
  <c r="B46" l="1"/>
  <c r="D88" s="1"/>
  <c r="D90" s="1"/>
  <c r="C33"/>
  <c r="C122" l="1"/>
  <c r="J151" s="1"/>
  <c r="J154" s="1"/>
  <c r="C35"/>
  <c r="B42" s="1"/>
  <c r="B48" s="1"/>
  <c r="B49" s="1"/>
  <c r="B61" s="1"/>
  <c r="J155" l="1"/>
  <c r="J156" s="1"/>
  <c r="G151"/>
  <c r="G154" s="1"/>
  <c r="C8" i="14" s="1"/>
  <c r="C9" s="1"/>
  <c r="I151" i="1"/>
  <c r="I154" s="1"/>
  <c r="I155" s="1"/>
  <c r="I156" s="1"/>
  <c r="C135"/>
  <c r="C137" s="1"/>
  <c r="C138" s="1"/>
  <c r="C140" s="1"/>
  <c r="C141" s="1"/>
  <c r="D151"/>
  <c r="D154" s="1"/>
  <c r="B151"/>
  <c r="B154" s="1"/>
  <c r="F151"/>
  <c r="F154" s="1"/>
  <c r="C124"/>
  <c r="C125" s="1"/>
  <c r="C127" s="1"/>
  <c r="C128" s="1"/>
  <c r="C151"/>
  <c r="C154" s="1"/>
  <c r="E151"/>
  <c r="E154" s="1"/>
  <c r="K151"/>
  <c r="K154" s="1"/>
  <c r="H151"/>
  <c r="H154" s="1"/>
  <c r="B155" l="1"/>
  <c r="B156" s="1"/>
  <c r="J22" i="13" s="1"/>
  <c r="L22" s="1"/>
  <c r="D23" s="1"/>
  <c r="F23"/>
  <c r="K155" i="1"/>
  <c r="K156" s="1"/>
  <c r="F155"/>
  <c r="F156" s="1"/>
  <c r="H155"/>
  <c r="H156" s="1"/>
  <c r="D155"/>
  <c r="D156" s="1"/>
  <c r="C155"/>
  <c r="C156" s="1"/>
  <c r="E155"/>
  <c r="E156" s="1"/>
  <c r="G155"/>
  <c r="G156" s="1"/>
  <c r="C8" i="7"/>
  <c r="C9" s="1"/>
  <c r="F24" i="13" l="1"/>
  <c r="H24" s="1"/>
  <c r="H23"/>
  <c r="J23"/>
  <c r="L23" s="1"/>
  <c r="D24" s="1"/>
  <c r="C5" i="7"/>
  <c r="C5" i="14"/>
  <c r="F25" i="13" l="1"/>
  <c r="H25" s="1"/>
  <c r="J24"/>
  <c r="L24" s="1"/>
  <c r="D25" s="1"/>
  <c r="J25" l="1"/>
  <c r="L25" s="1"/>
  <c r="D26" s="1"/>
  <c r="F26"/>
  <c r="H26" s="1"/>
  <c r="F27" l="1"/>
  <c r="H27" s="1"/>
  <c r="J26"/>
  <c r="L26" s="1"/>
  <c r="D27" s="1"/>
  <c r="J27" l="1"/>
  <c r="L27" s="1"/>
  <c r="D28" s="1"/>
  <c r="F28"/>
  <c r="H28" s="1"/>
  <c r="F29" l="1"/>
  <c r="H29" s="1"/>
  <c r="J28"/>
  <c r="L28" s="1"/>
  <c r="D29" s="1"/>
  <c r="J29" l="1"/>
  <c r="L29" s="1"/>
  <c r="D30" s="1"/>
  <c r="F30"/>
  <c r="H30" s="1"/>
  <c r="J30" l="1"/>
  <c r="L30" s="1"/>
  <c r="D31" s="1"/>
  <c r="F31"/>
  <c r="H31" s="1"/>
  <c r="F32" l="1"/>
  <c r="H32" s="1"/>
  <c r="J31"/>
  <c r="L31" s="1"/>
  <c r="D32" s="1"/>
  <c r="J32" l="1"/>
  <c r="L32" s="1"/>
  <c r="D33" s="1"/>
  <c r="F33"/>
  <c r="H33" s="1"/>
  <c r="F34" l="1"/>
  <c r="H34" s="1"/>
  <c r="J33"/>
  <c r="L33" s="1"/>
  <c r="D34" s="1"/>
  <c r="F35" l="1"/>
  <c r="H35" s="1"/>
  <c r="J34"/>
  <c r="L34" s="1"/>
  <c r="D35" s="1"/>
  <c r="F36" l="1"/>
  <c r="H36" s="1"/>
  <c r="J35"/>
  <c r="L35" s="1"/>
  <c r="D36" s="1"/>
  <c r="F37" l="1"/>
  <c r="H37" s="1"/>
  <c r="J36"/>
  <c r="L36" s="1"/>
  <c r="D37" s="1"/>
  <c r="F38" l="1"/>
  <c r="H38" s="1"/>
  <c r="J37"/>
  <c r="L37" s="1"/>
  <c r="D38" s="1"/>
  <c r="F26" i="3"/>
  <c r="H26" s="1"/>
  <c r="F39" i="13" l="1"/>
  <c r="H39" s="1"/>
  <c r="J38"/>
  <c r="L38" s="1"/>
  <c r="D39" s="1"/>
  <c r="J26" i="3"/>
  <c r="L26" s="1"/>
  <c r="D27" s="1"/>
  <c r="F27"/>
  <c r="H27" s="1"/>
  <c r="F40" i="13" l="1"/>
  <c r="H40" s="1"/>
  <c r="J39"/>
  <c r="L39" s="1"/>
  <c r="D40" s="1"/>
  <c r="J27" i="3"/>
  <c r="L27" s="1"/>
  <c r="D28" s="1"/>
  <c r="F28"/>
  <c r="H28" s="1"/>
  <c r="F41" i="13" l="1"/>
  <c r="H41" s="1"/>
  <c r="J40"/>
  <c r="L40" s="1"/>
  <c r="D41" s="1"/>
  <c r="J28" i="3"/>
  <c r="L28" s="1"/>
  <c r="D29" s="1"/>
  <c r="F29"/>
  <c r="H29" s="1"/>
  <c r="F42" i="13"/>
  <c r="H42" s="1"/>
  <c r="J41" l="1"/>
  <c r="L41" s="1"/>
  <c r="D42" s="1"/>
  <c r="J29" i="3"/>
  <c r="L29" s="1"/>
  <c r="D30" s="1"/>
  <c r="F30"/>
  <c r="H30" s="1"/>
  <c r="J42" i="13"/>
  <c r="L42" s="1"/>
  <c r="F43"/>
  <c r="H43" s="1"/>
  <c r="D43" l="1"/>
  <c r="J30" i="3"/>
  <c r="L30" s="1"/>
  <c r="D31" s="1"/>
  <c r="F31"/>
  <c r="H31" s="1"/>
  <c r="F44" i="13"/>
  <c r="H44" s="1"/>
  <c r="J43"/>
  <c r="L43" s="1"/>
  <c r="D44" l="1"/>
  <c r="J31" i="3"/>
  <c r="L31" s="1"/>
  <c r="D32" s="1"/>
  <c r="F32"/>
  <c r="H32" s="1"/>
  <c r="F45" i="13"/>
  <c r="H45" s="1"/>
  <c r="J44"/>
  <c r="L44" s="1"/>
  <c r="D45" s="1"/>
  <c r="J32" i="3" l="1"/>
  <c r="L32" s="1"/>
  <c r="D33" s="1"/>
  <c r="F33"/>
  <c r="H33" s="1"/>
  <c r="J45" i="13"/>
  <c r="L45" s="1"/>
  <c r="D46" s="1"/>
  <c r="F46"/>
  <c r="H46" s="1"/>
  <c r="J33" i="3" l="1"/>
  <c r="L33" s="1"/>
  <c r="D34" s="1"/>
  <c r="F34"/>
  <c r="H34" s="1"/>
  <c r="J46" i="13"/>
  <c r="L46" s="1"/>
  <c r="D47" s="1"/>
  <c r="F47"/>
  <c r="H47" s="1"/>
  <c r="F35" i="3" l="1"/>
  <c r="H35" s="1"/>
  <c r="J34"/>
  <c r="L34" s="1"/>
  <c r="D35" s="1"/>
  <c r="F48" i="13"/>
  <c r="H48" s="1"/>
  <c r="J47"/>
  <c r="L47" s="1"/>
  <c r="D48" s="1"/>
  <c r="J35" i="3" l="1"/>
  <c r="L35" s="1"/>
  <c r="D36" s="1"/>
  <c r="F36"/>
  <c r="H36" s="1"/>
  <c r="F49" i="13"/>
  <c r="H49" s="1"/>
  <c r="J48"/>
  <c r="L48" s="1"/>
  <c r="D49" s="1"/>
  <c r="J36" i="3" l="1"/>
  <c r="L36" s="1"/>
  <c r="D37" s="1"/>
  <c r="F37"/>
  <c r="H37" s="1"/>
  <c r="F50" i="13"/>
  <c r="H50" s="1"/>
  <c r="J49"/>
  <c r="L49" s="1"/>
  <c r="D50" s="1"/>
  <c r="J37" i="3" l="1"/>
  <c r="L37" s="1"/>
  <c r="D38" s="1"/>
  <c r="F38"/>
  <c r="H38" s="1"/>
  <c r="J50" i="13"/>
  <c r="L50" s="1"/>
  <c r="D52" s="1"/>
  <c r="F52"/>
  <c r="H52" s="1"/>
  <c r="J38" i="3" l="1"/>
  <c r="L38" s="1"/>
  <c r="D40" s="1"/>
  <c r="F40"/>
  <c r="H40" s="1"/>
  <c r="F53" i="13"/>
  <c r="H53" s="1"/>
  <c r="J52"/>
  <c r="L52" s="1"/>
  <c r="D53" s="1"/>
  <c r="F41" i="3" l="1"/>
  <c r="H41" s="1"/>
  <c r="J40"/>
  <c r="L40" s="1"/>
  <c r="D41" s="1"/>
  <c r="F54" i="13"/>
  <c r="H54" s="1"/>
  <c r="J53"/>
  <c r="L53" s="1"/>
  <c r="D54" s="1"/>
  <c r="J41" i="3" l="1"/>
  <c r="L41" s="1"/>
  <c r="D42" s="1"/>
  <c r="F42"/>
  <c r="H42" s="1"/>
  <c r="J54" i="13"/>
  <c r="L54" s="1"/>
  <c r="D55" s="1"/>
  <c r="F55"/>
  <c r="H55" s="1"/>
  <c r="F43" i="3" l="1"/>
  <c r="H43" s="1"/>
  <c r="J42"/>
  <c r="L42" s="1"/>
  <c r="D43" s="1"/>
  <c r="J55" i="13"/>
  <c r="L55" s="1"/>
  <c r="D56" s="1"/>
  <c r="F56"/>
  <c r="H56" s="1"/>
  <c r="J43" i="3" l="1"/>
  <c r="L43" s="1"/>
  <c r="D44" s="1"/>
  <c r="F44"/>
  <c r="H44" s="1"/>
  <c r="J56" i="13"/>
  <c r="L56" s="1"/>
  <c r="D57" s="1"/>
  <c r="F57"/>
  <c r="H57" s="1"/>
  <c r="F45" i="3" l="1"/>
  <c r="H45" s="1"/>
  <c r="J44"/>
  <c r="L44" s="1"/>
  <c r="D45" s="1"/>
  <c r="F58" i="13"/>
  <c r="H58" s="1"/>
  <c r="J57"/>
  <c r="L57" s="1"/>
  <c r="D58" s="1"/>
  <c r="J45" i="3" l="1"/>
  <c r="L45" s="1"/>
  <c r="D46" s="1"/>
  <c r="F46"/>
  <c r="H46" s="1"/>
  <c r="F59" i="13"/>
  <c r="H59" s="1"/>
  <c r="J58"/>
  <c r="L58" s="1"/>
  <c r="D59" s="1"/>
  <c r="F47" i="3" l="1"/>
  <c r="H47" s="1"/>
  <c r="J46"/>
  <c r="L46" s="1"/>
  <c r="D47" s="1"/>
  <c r="F60" i="13"/>
  <c r="H60" s="1"/>
  <c r="J59"/>
  <c r="L59" s="1"/>
  <c r="D60" s="1"/>
  <c r="F49" i="3" l="1"/>
  <c r="H49" s="1"/>
  <c r="J47"/>
  <c r="L47" s="1"/>
  <c r="D49" s="1"/>
  <c r="F61" i="13"/>
  <c r="H61" s="1"/>
  <c r="J60"/>
  <c r="L60" s="1"/>
  <c r="D61" s="1"/>
  <c r="F51" i="3" l="1"/>
  <c r="H51" s="1"/>
  <c r="J49"/>
  <c r="L49" s="1"/>
  <c r="D51" s="1"/>
  <c r="F62" i="13"/>
  <c r="H62" s="1"/>
  <c r="J61"/>
  <c r="L61" s="1"/>
  <c r="D62" s="1"/>
  <c r="J51" i="3" l="1"/>
  <c r="L51" s="1"/>
  <c r="D52" s="1"/>
  <c r="F52"/>
  <c r="H52" s="1"/>
  <c r="F63" i="13"/>
  <c r="H63" s="1"/>
  <c r="J62"/>
  <c r="L62" s="1"/>
  <c r="D63" s="1"/>
  <c r="F53" i="3" l="1"/>
  <c r="H53" s="1"/>
  <c r="J52"/>
  <c r="L52" s="1"/>
  <c r="D53" s="1"/>
  <c r="J63" i="13"/>
  <c r="L63" s="1"/>
  <c r="D64" s="1"/>
  <c r="F64"/>
  <c r="H64" s="1"/>
  <c r="F54" i="3" l="1"/>
  <c r="H54" s="1"/>
  <c r="J53"/>
  <c r="L53" s="1"/>
  <c r="D54" s="1"/>
  <c r="J64" i="13"/>
  <c r="L64" s="1"/>
  <c r="D66" s="1"/>
  <c r="F66"/>
  <c r="H66" s="1"/>
  <c r="F55" i="3" l="1"/>
  <c r="H55" s="1"/>
  <c r="J54"/>
  <c r="L54" s="1"/>
  <c r="D55" s="1"/>
  <c r="F67" i="13"/>
  <c r="H67" s="1"/>
  <c r="J66"/>
  <c r="L66" s="1"/>
  <c r="D67" s="1"/>
  <c r="F56" i="3" l="1"/>
  <c r="H56" s="1"/>
  <c r="J55"/>
  <c r="L55" s="1"/>
  <c r="D56" s="1"/>
  <c r="J67" i="13"/>
  <c r="L67" s="1"/>
  <c r="D68" s="1"/>
  <c r="F68"/>
  <c r="H68" s="1"/>
  <c r="F57" i="3" l="1"/>
  <c r="H57" s="1"/>
  <c r="J56"/>
  <c r="L56" s="1"/>
  <c r="D57" s="1"/>
  <c r="F69" i="13"/>
  <c r="H69" s="1"/>
  <c r="J68"/>
  <c r="L68" s="1"/>
  <c r="D69" s="1"/>
  <c r="F58" i="3" l="1"/>
  <c r="H58" s="1"/>
  <c r="J57"/>
  <c r="L57" s="1"/>
  <c r="D58" s="1"/>
  <c r="F70" i="13"/>
  <c r="H70" s="1"/>
  <c r="J69"/>
  <c r="L69" s="1"/>
  <c r="D70" s="1"/>
  <c r="F59" i="3" l="1"/>
  <c r="H59" s="1"/>
  <c r="J58"/>
  <c r="L58" s="1"/>
  <c r="D59" s="1"/>
  <c r="J70" i="13"/>
  <c r="L70" s="1"/>
  <c r="D72" s="1"/>
  <c r="F72"/>
  <c r="H72" s="1"/>
  <c r="F60" i="3" l="1"/>
  <c r="H60" s="1"/>
  <c r="J59"/>
  <c r="L59" s="1"/>
  <c r="D60" s="1"/>
  <c r="F73" i="13"/>
  <c r="H73" s="1"/>
  <c r="J72"/>
  <c r="L72" s="1"/>
  <c r="D73" s="1"/>
  <c r="F61" i="3" l="1"/>
  <c r="H61" s="1"/>
  <c r="J60"/>
  <c r="L60" s="1"/>
  <c r="D61" s="1"/>
  <c r="F74" i="13"/>
  <c r="H74" s="1"/>
  <c r="J73"/>
  <c r="L73" s="1"/>
  <c r="D74" s="1"/>
  <c r="F62" i="3" l="1"/>
  <c r="H62" s="1"/>
  <c r="J61"/>
  <c r="L61" s="1"/>
  <c r="D62" s="1"/>
  <c r="F75" i="13"/>
  <c r="H75" s="1"/>
  <c r="J74"/>
  <c r="L74" s="1"/>
  <c r="D75" s="1"/>
  <c r="F63" i="3" l="1"/>
  <c r="H63" s="1"/>
  <c r="J62"/>
  <c r="L62" s="1"/>
  <c r="D63" s="1"/>
  <c r="F76" i="13"/>
  <c r="H76" s="1"/>
  <c r="J75"/>
  <c r="L75" s="1"/>
  <c r="D76" s="1"/>
  <c r="F64" i="3" l="1"/>
  <c r="H64" s="1"/>
  <c r="J63"/>
  <c r="L63" s="1"/>
  <c r="D64" s="1"/>
  <c r="F77" i="13"/>
  <c r="H77" s="1"/>
  <c r="J76"/>
  <c r="L76" s="1"/>
  <c r="D77" s="1"/>
  <c r="J64" i="3" l="1"/>
  <c r="L64" s="1"/>
  <c r="D65" s="1"/>
  <c r="F65"/>
  <c r="H65" s="1"/>
  <c r="F79" i="13"/>
  <c r="H79" s="1"/>
  <c r="J77"/>
  <c r="L77" s="1"/>
  <c r="D79" s="1"/>
  <c r="F66" i="3" l="1"/>
  <c r="H66" s="1"/>
  <c r="J65"/>
  <c r="L65" s="1"/>
  <c r="D66" s="1"/>
  <c r="J79" i="13"/>
  <c r="L79" s="1"/>
  <c r="D80" s="1"/>
  <c r="F80"/>
  <c r="H80" s="1"/>
  <c r="F67" i="3" l="1"/>
  <c r="H67" s="1"/>
  <c r="J66"/>
  <c r="L66" s="1"/>
  <c r="D67" s="1"/>
  <c r="D77" s="1"/>
  <c r="D226" i="1" s="1"/>
  <c r="F81" i="13"/>
  <c r="H81" s="1"/>
  <c r="J80"/>
  <c r="L80" s="1"/>
  <c r="D81" s="1"/>
  <c r="F68" i="3" l="1"/>
  <c r="H68" s="1"/>
  <c r="J67"/>
  <c r="L67" s="1"/>
  <c r="D68" s="1"/>
  <c r="F82" i="13"/>
  <c r="H82" s="1"/>
  <c r="J81"/>
  <c r="L81" s="1"/>
  <c r="D82" s="1"/>
  <c r="F69" i="3" l="1"/>
  <c r="H69" s="1"/>
  <c r="J68"/>
  <c r="L68" s="1"/>
  <c r="D69" s="1"/>
  <c r="F83" i="13"/>
  <c r="H83" s="1"/>
  <c r="J82"/>
  <c r="L82" s="1"/>
  <c r="D83" s="1"/>
  <c r="F70" i="3" l="1"/>
  <c r="H70" s="1"/>
  <c r="J69"/>
  <c r="L69" s="1"/>
  <c r="D70" s="1"/>
  <c r="F84" i="13"/>
  <c r="H84" s="1"/>
  <c r="J83"/>
  <c r="L83" s="1"/>
  <c r="D84" s="1"/>
  <c r="J70" i="3" l="1"/>
  <c r="L70" s="1"/>
  <c r="D71" s="1"/>
  <c r="F71"/>
  <c r="H71" s="1"/>
  <c r="F85" i="13"/>
  <c r="H85" s="1"/>
  <c r="J84"/>
  <c r="L84" s="1"/>
  <c r="D85" s="1"/>
  <c r="F72" i="3" l="1"/>
  <c r="H72" s="1"/>
  <c r="J71"/>
  <c r="L71" s="1"/>
  <c r="D72" s="1"/>
  <c r="J85" i="13"/>
  <c r="L85" s="1"/>
  <c r="D86" s="1"/>
  <c r="F86"/>
  <c r="H86" s="1"/>
  <c r="F73" i="3" l="1"/>
  <c r="J72"/>
  <c r="L72" s="1"/>
  <c r="D73" s="1"/>
  <c r="J86" i="13"/>
  <c r="L86" s="1"/>
  <c r="D87" s="1"/>
  <c r="F87"/>
  <c r="H87" s="1"/>
  <c r="J73" i="3" l="1"/>
  <c r="L73" s="1"/>
  <c r="H73"/>
  <c r="D76"/>
  <c r="D225" i="1" s="1"/>
  <c r="D75" i="3"/>
  <c r="D224" i="1" s="1"/>
  <c r="F88" i="13"/>
  <c r="J87"/>
  <c r="L87" s="1"/>
  <c r="D88" s="1"/>
  <c r="J88" l="1"/>
  <c r="L88" s="1"/>
  <c r="H88"/>
  <c r="D228" i="1"/>
  <c r="D91" i="13"/>
  <c r="B225" i="1" s="1"/>
  <c r="D90" i="13"/>
  <c r="B224" i="1" s="1"/>
  <c r="D92" i="13"/>
  <c r="B226" i="1" s="1"/>
  <c r="B228" l="1"/>
</calcChain>
</file>

<file path=xl/sharedStrings.xml><?xml version="1.0" encoding="utf-8"?>
<sst xmlns="http://schemas.openxmlformats.org/spreadsheetml/2006/main" count="846" uniqueCount="359">
  <si>
    <t xml:space="preserve"> LAVERS RANCH VINEYARD DESIGN</t>
  </si>
  <si>
    <t>Field Constraints:</t>
  </si>
  <si>
    <t>Crop: Wine Grapes</t>
  </si>
  <si>
    <t>Location: Glenville, Ca</t>
  </si>
  <si>
    <t>Crop Spacing</t>
  </si>
  <si>
    <t xml:space="preserve">ft by </t>
  </si>
  <si>
    <t>ft</t>
  </si>
  <si>
    <t>Field Size:</t>
  </si>
  <si>
    <t>2 separate field</t>
  </si>
  <si>
    <t>Field A</t>
  </si>
  <si>
    <t>acres</t>
  </si>
  <si>
    <t>Field B</t>
  </si>
  <si>
    <t xml:space="preserve">Vineyard row runs NE to SW </t>
  </si>
  <si>
    <t>Peak Eto Rate =</t>
  </si>
  <si>
    <t>Assuming 40% crop coverage</t>
  </si>
  <si>
    <t>Kc =</t>
  </si>
  <si>
    <t>Sandy Loam Soil</t>
  </si>
  <si>
    <t>Irrigation</t>
  </si>
  <si>
    <t>hours</t>
  </si>
  <si>
    <t>days</t>
  </si>
  <si>
    <t>1. Determine Peak ET rate</t>
  </si>
  <si>
    <t>Peak Eto</t>
  </si>
  <si>
    <t>inches/day</t>
  </si>
  <si>
    <t>Kc</t>
  </si>
  <si>
    <t>Peak Et = Eto * Kc</t>
  </si>
  <si>
    <t>Peak ET</t>
  </si>
  <si>
    <t>inches/day in May from CIMIS Spatial Data</t>
  </si>
  <si>
    <t>2. Estimate GPH/vine needed</t>
  </si>
  <si>
    <t>hours/day</t>
  </si>
  <si>
    <t>days/week</t>
  </si>
  <si>
    <t>ft by</t>
  </si>
  <si>
    <t>ft Vine spacing</t>
  </si>
  <si>
    <t>Sq. ft Vine spacing area</t>
  </si>
  <si>
    <t>GPM/vine (net)</t>
  </si>
  <si>
    <t>* Assume 10% increase with drip</t>
  </si>
  <si>
    <t>* Use DU of 0.8 so that as the systems deteriorates with time, there will be</t>
  </si>
  <si>
    <t>less chance of under-irrigation on a portion of the field</t>
  </si>
  <si>
    <t>GPH/vine (net)</t>
  </si>
  <si>
    <t>DU (assumed)</t>
  </si>
  <si>
    <t>* Assuming perfect timing, and no over-irrigation at "driest" point during</t>
  </si>
  <si>
    <t>peak ET. With drip irrigation, the percent spray loss is zero</t>
  </si>
  <si>
    <t>GPH/Vine (gross)</t>
  </si>
  <si>
    <t>3. Estimate the Number of Emitters/Vine:</t>
  </si>
  <si>
    <t>Soil Type</t>
  </si>
  <si>
    <t>Additional Lateral Movement for Drip</t>
  </si>
  <si>
    <t>Coars Sand</t>
  </si>
  <si>
    <t>Fine Sand</t>
  </si>
  <si>
    <t>Loam</t>
  </si>
  <si>
    <t>Heavy Clay</t>
  </si>
  <si>
    <t>0.5 - 1.5</t>
  </si>
  <si>
    <t>1.0 - 3.0</t>
  </si>
  <si>
    <t>3.0 - 4.5</t>
  </si>
  <si>
    <t>4.0 - 6.0</t>
  </si>
  <si>
    <t>*The soil type for the field is a sandy loam so use an additional 3.0 ft</t>
  </si>
  <si>
    <t>Radius (ft)</t>
  </si>
  <si>
    <t>Diameter</t>
  </si>
  <si>
    <t xml:space="preserve">With one emitter/vine on this soil, the wetted volume </t>
  </si>
  <si>
    <t>Wetted Volume</t>
  </si>
  <si>
    <r>
      <t>ft</t>
    </r>
    <r>
      <rPr>
        <vertAlign val="superscript"/>
        <sz val="11"/>
        <color theme="1"/>
        <rFont val="Calibri"/>
        <family val="2"/>
        <scheme val="minor"/>
      </rPr>
      <t>2</t>
    </r>
  </si>
  <si>
    <t>Vine Spacing</t>
  </si>
  <si>
    <t>% Wetted Volume</t>
  </si>
  <si>
    <t>%</t>
  </si>
  <si>
    <t>This does not meet the necessary requirement of 60% wetted soil volume.</t>
  </si>
  <si>
    <t xml:space="preserve"> </t>
  </si>
  <si>
    <t>4.) Examine the Number of Irrigation Blocks Needed:</t>
  </si>
  <si>
    <t xml:space="preserve">* First the proper emitter must be selected. The objective is to select an emitter that </t>
  </si>
  <si>
    <t>operates ata reasonable pressure (generally between 13 - 25 psi) and which provides</t>
  </si>
  <si>
    <t>the correct application in the selected number of hours.</t>
  </si>
  <si>
    <t>* 2 Emitters will be used per vine as specified in the picture below</t>
  </si>
  <si>
    <t>GPH/emitter</t>
  </si>
  <si>
    <t>* Use DNCP12 - Wdpkr PC, 1/2 GPH (#2)</t>
  </si>
  <si>
    <t>Pressure Range from 10-70 psi</t>
  </si>
  <si>
    <t>inch emitter spacing from center of vine</t>
  </si>
  <si>
    <r>
      <t>ft</t>
    </r>
    <r>
      <rPr>
        <vertAlign val="superscript"/>
        <sz val="11"/>
        <color theme="1"/>
        <rFont val="Calibri"/>
        <family val="2"/>
        <scheme val="minor"/>
      </rPr>
      <t xml:space="preserve">2 </t>
    </r>
    <r>
      <rPr>
        <sz val="11"/>
        <color theme="1"/>
        <rFont val="Calibri"/>
        <family val="2"/>
        <scheme val="minor"/>
      </rPr>
      <t>Vine spacing area</t>
    </r>
  </si>
  <si>
    <t xml:space="preserve">Number of Vines </t>
  </si>
  <si>
    <t xml:space="preserve">emitter per vine </t>
  </si>
  <si>
    <t>Number of Emitters</t>
  </si>
  <si>
    <t xml:space="preserve">GPH, Field Flow Rate </t>
  </si>
  <si>
    <t>GPM, Field Flow Rate</t>
  </si>
  <si>
    <t>Number of Vines</t>
  </si>
  <si>
    <t>GPH, Field Flow Rate</t>
  </si>
  <si>
    <t>5.) Design Block Sizes for each field</t>
  </si>
  <si>
    <t>Area, acre</t>
  </si>
  <si>
    <t>Emitters per Vine</t>
  </si>
  <si>
    <t>Block 1</t>
  </si>
  <si>
    <t>Block 2</t>
  </si>
  <si>
    <t>Block 3</t>
  </si>
  <si>
    <t>Block 4</t>
  </si>
  <si>
    <t>Block 5</t>
  </si>
  <si>
    <t>Block 6</t>
  </si>
  <si>
    <t>Block 7</t>
  </si>
  <si>
    <t>Block 8</t>
  </si>
  <si>
    <t>Block 9</t>
  </si>
  <si>
    <t>Block 10</t>
  </si>
  <si>
    <r>
      <t>Area, ft</t>
    </r>
    <r>
      <rPr>
        <b/>
        <vertAlign val="superscript"/>
        <sz val="11"/>
        <color theme="1"/>
        <rFont val="Calibri"/>
        <family val="2"/>
        <scheme val="minor"/>
      </rPr>
      <t>2</t>
    </r>
  </si>
  <si>
    <r>
      <t>Vine Spacing Area, ft</t>
    </r>
    <r>
      <rPr>
        <b/>
        <vertAlign val="superscript"/>
        <sz val="11"/>
        <color theme="1"/>
        <rFont val="Calibri"/>
        <family val="2"/>
        <scheme val="minor"/>
      </rPr>
      <t>2</t>
    </r>
  </si>
  <si>
    <t>GPH per emitter</t>
  </si>
  <si>
    <t>GPH per Block</t>
  </si>
  <si>
    <t>Vines per Block</t>
  </si>
  <si>
    <t>GPM per Block</t>
  </si>
  <si>
    <t>GPM/block</t>
  </si>
  <si>
    <t>emitter/vine</t>
  </si>
  <si>
    <t># Vines</t>
  </si>
  <si>
    <t># of emitters</t>
  </si>
  <si>
    <t>Rows</t>
  </si>
  <si>
    <t>Ft, Longest Row</t>
  </si>
  <si>
    <t>Manufacturing cv</t>
  </si>
  <si>
    <t>ft, distance between emitters with 1.5% extra provided for temperature</t>
  </si>
  <si>
    <t>expansion and contraction of hose.</t>
  </si>
  <si>
    <t>ft,emitter spacing</t>
  </si>
  <si>
    <t>Emitter on this line</t>
  </si>
  <si>
    <t>ft/sec</t>
  </si>
  <si>
    <t>in, ID</t>
  </si>
  <si>
    <t>Flow Rate, GPM</t>
  </si>
  <si>
    <t>GPM, Flow Rate Needed on line</t>
  </si>
  <si>
    <t>Elev. Ft</t>
  </si>
  <si>
    <t>Length ft</t>
  </si>
  <si>
    <t>Hose ID, in</t>
  </si>
  <si>
    <t>C-value for hose</t>
  </si>
  <si>
    <t>Hf (psi)</t>
  </si>
  <si>
    <t>Chg. Elev (psi)</t>
  </si>
  <si>
    <t>Chg. P (psi)</t>
  </si>
  <si>
    <t>Point P psi</t>
  </si>
  <si>
    <t>GPM</t>
  </si>
  <si>
    <t>Min P</t>
  </si>
  <si>
    <t>Max P</t>
  </si>
  <si>
    <t>Chg. In P</t>
  </si>
  <si>
    <t>psi</t>
  </si>
  <si>
    <t>ft, worst case change in Elevation</t>
  </si>
  <si>
    <t>Ft/Ft, Elevation Change worst case</t>
  </si>
  <si>
    <t>Emitter</t>
  </si>
  <si>
    <t>Min. P, PSI</t>
  </si>
  <si>
    <t>Max. P, PSI</t>
  </si>
  <si>
    <t>Change in P, PSI</t>
  </si>
  <si>
    <t>* From the specifications given by Netafim for the WPC 0.5 emitter, it will succesfully supply 0.5 GPH for a range</t>
  </si>
  <si>
    <t>of pressure from about 5 psi to 50 psi.</t>
  </si>
  <si>
    <t>7.) Analysis of Location of Sub-mainline for Block 6</t>
  </si>
  <si>
    <t>Bowsmith Premium Plus Tubing is fabricated exclusively from a single virgin Linear Low Density Polyethylene (LLDPE) base resin and compounded with a suitable virgin carbon concentrate resin to provide a minimum of 2%carbon black property mixed and dispersed in the finished extrudate. Base resin conforms to the requirements of Specification ASTM D1248 for Type I, Class C, Category 3, Grade P14 tubing, and to ASTM D3350 for PE 213111C.</t>
  </si>
  <si>
    <t>Size Designation Key</t>
  </si>
  <si>
    <r>
      <t>Dimensions</t>
    </r>
    <r>
      <rPr>
        <sz val="11"/>
        <color theme="1"/>
        <rFont val="Calibri"/>
        <family val="2"/>
        <scheme val="minor"/>
      </rPr>
      <t xml:space="preserve"> </t>
    </r>
  </si>
  <si>
    <t>Size Designation*</t>
  </si>
  <si>
    <t>Outside Diam., (in.)</t>
  </si>
  <si>
    <t>Wall Thickness, (in.)</t>
  </si>
  <si>
    <t>Inside Diam. (in.) (Nominal)</t>
  </si>
  <si>
    <t>ASAE-S435 Pressure Rating, (PSI)</t>
  </si>
  <si>
    <t>Max.</t>
  </si>
  <si>
    <t>Min.</t>
  </si>
  <si>
    <t>625P48</t>
  </si>
  <si>
    <t>625P50</t>
  </si>
  <si>
    <t>700P48</t>
  </si>
  <si>
    <t>700P50</t>
  </si>
  <si>
    <t>700P55</t>
  </si>
  <si>
    <t>720P48</t>
  </si>
  <si>
    <t>795P52</t>
  </si>
  <si>
    <t>835P52</t>
  </si>
  <si>
    <t>935P62</t>
  </si>
  <si>
    <t>3/4"-50</t>
  </si>
  <si>
    <t>1195P72</t>
  </si>
  <si>
    <t>1"-45</t>
  </si>
  <si>
    <t xml:space="preserve">Place Sub-mainline </t>
  </si>
  <si>
    <t>feet, from the top of the field</t>
  </si>
  <si>
    <t>By analyzing the total field, if the sub-mainline is placed</t>
  </si>
  <si>
    <t xml:space="preserve">feet from the top of the field </t>
  </si>
  <si>
    <t>By placing the sub-mainline somewhere in the field some of the flow will be moving uphill rather than down.</t>
  </si>
  <si>
    <t>Uphill</t>
  </si>
  <si>
    <t>Downhill</t>
  </si>
  <si>
    <t>Length</t>
  </si>
  <si>
    <t>feet</t>
  </si>
  <si>
    <t>* The sub-mainline will be placed after the 197th emitter.</t>
  </si>
  <si>
    <t>8.) Analysis of Sub-mainline Size for Each Block</t>
  </si>
  <si>
    <t>Manifold Size and Pressure for the Longest run</t>
  </si>
  <si>
    <t>Sub-mainline Sizing and Pressure</t>
  </si>
  <si>
    <t>Section A</t>
  </si>
  <si>
    <t>Row</t>
  </si>
  <si>
    <t>Inlet</t>
  </si>
  <si>
    <t>Pipe ID, in</t>
  </si>
  <si>
    <t>C-value for PVC 1.5" &lt; = ID &lt; =  5"</t>
  </si>
  <si>
    <t>C-value for PVC ID &gt; 5"</t>
  </si>
  <si>
    <t>C-value  for PVC &lt; 1.5"</t>
  </si>
  <si>
    <t>feet, Total Elevation Drop</t>
  </si>
  <si>
    <t>feet, Length of Sub-mainline</t>
  </si>
  <si>
    <t>ft/ft, Change in Elevation</t>
  </si>
  <si>
    <t>Pressure PSI</t>
  </si>
  <si>
    <t>Row Length ft</t>
  </si>
  <si>
    <t>GPM per Row</t>
  </si>
  <si>
    <t>GPM/emitter</t>
  </si>
  <si>
    <t>ft, emitter spacing</t>
  </si>
  <si>
    <t>C-Value</t>
  </si>
  <si>
    <t>Section B</t>
  </si>
  <si>
    <t>Section C</t>
  </si>
  <si>
    <t>Section D</t>
  </si>
  <si>
    <t>Section E</t>
  </si>
  <si>
    <t>Avg. P</t>
  </si>
  <si>
    <t>Total GPM</t>
  </si>
  <si>
    <t>Avg. P, PSI</t>
  </si>
  <si>
    <t>Sub-Main Length, ft</t>
  </si>
  <si>
    <t>Sub-Mainline Length, ft</t>
  </si>
  <si>
    <t>Sub-mainline Length, ft</t>
  </si>
  <si>
    <t>* 16 ft road seperates each block</t>
  </si>
  <si>
    <t>PSI</t>
  </si>
  <si>
    <t>Velocity, ft/sec</t>
  </si>
  <si>
    <t>Section A Uphill</t>
  </si>
  <si>
    <t>Section A Downhill</t>
  </si>
  <si>
    <t>Average P, PSI</t>
  </si>
  <si>
    <t>Min, P</t>
  </si>
  <si>
    <t>Max, P</t>
  </si>
  <si>
    <t>Block 1 Pipe Length (ft)</t>
  </si>
  <si>
    <t>Block 2 Pipe Length (ft)</t>
  </si>
  <si>
    <t>Block 3 Pipe Length (ft)</t>
  </si>
  <si>
    <t>Block 4 Pipe Length (ft)</t>
  </si>
  <si>
    <t>Block 5 Pipe Length (ft)</t>
  </si>
  <si>
    <t>Block 6 Pipe Length (ft)</t>
  </si>
  <si>
    <t>Block 7 Pipe Length (ft)</t>
  </si>
  <si>
    <t>Block 8 Pipe Length (ft)</t>
  </si>
  <si>
    <t>Block 9 Pipe Length (ft)</t>
  </si>
  <si>
    <t>Block 10 Pipe Length (ft)</t>
  </si>
  <si>
    <t>Total Length (ft)</t>
  </si>
  <si>
    <t xml:space="preserve">9.) Analysis of Mainline Size </t>
  </si>
  <si>
    <t>Section 1</t>
  </si>
  <si>
    <t>Section 2</t>
  </si>
  <si>
    <t>Block 1 inlet</t>
  </si>
  <si>
    <t>Block 2 inlet</t>
  </si>
  <si>
    <t>Block 3 inlet</t>
  </si>
  <si>
    <t>Block 4 inlet</t>
  </si>
  <si>
    <t>feet, Length of mainline</t>
  </si>
  <si>
    <t>Block 5 inlet</t>
  </si>
  <si>
    <t>Block 7 inlet</t>
  </si>
  <si>
    <t>Block 6 inlet</t>
  </si>
  <si>
    <t>Block 8 and 10 inlet</t>
  </si>
  <si>
    <t>Block 9 inlet</t>
  </si>
  <si>
    <t>Mainline Size</t>
  </si>
  <si>
    <t>Section 1 length (ft)</t>
  </si>
  <si>
    <t>Section 2 length (ft)</t>
  </si>
  <si>
    <t>Total (ft)</t>
  </si>
  <si>
    <t>10.) Frost Protection Design</t>
  </si>
  <si>
    <t>Using Wade Rain Pulsator:</t>
  </si>
  <si>
    <t>GPH, pressure compensating</t>
  </si>
  <si>
    <t>Psi operating pressure</t>
  </si>
  <si>
    <t>inch wide spray</t>
  </si>
  <si>
    <t>feet, spray length</t>
  </si>
  <si>
    <t>feet, recommended spacing</t>
  </si>
  <si>
    <t>Mesh Minimum required filtration</t>
  </si>
  <si>
    <t>11.) Filtration System</t>
  </si>
  <si>
    <t>The filtration system must be designed for the worst situation and since the water supply</t>
  </si>
  <si>
    <t>comes from both a well and surface supplies the filtration must be designed to handle the surface</t>
  </si>
  <si>
    <t>water contaminates. This design requires media tanks to sufficiently filter the moderately dirty</t>
  </si>
  <si>
    <t>water. ** A common rule of thumb is to remove all particles larger than 1/7 of the microsprayer</t>
  </si>
  <si>
    <t>orifice diameter.</t>
  </si>
  <si>
    <t>Maximum flow rate</t>
  </si>
  <si>
    <t>Orifice diameter =</t>
  </si>
  <si>
    <t>inches</t>
  </si>
  <si>
    <t>mm</t>
  </si>
  <si>
    <t>Min. removed particle diameter =</t>
  </si>
  <si>
    <t>Media Selection Table</t>
  </si>
  <si>
    <t>Media #</t>
  </si>
  <si>
    <t>Media Type</t>
  </si>
  <si>
    <t>Mean Effective Media Size (mm)</t>
  </si>
  <si>
    <t>Round Monterey Sand</t>
  </si>
  <si>
    <t>0.12 - 0.15</t>
  </si>
  <si>
    <t>Crushed Granite</t>
  </si>
  <si>
    <t>0.11 - 0.15</t>
  </si>
  <si>
    <t>Crushed Silica</t>
  </si>
  <si>
    <t>0.08 - 0.11</t>
  </si>
  <si>
    <t>0.08 - 0.10</t>
  </si>
  <si>
    <t>0.06 - 0.08</t>
  </si>
  <si>
    <t>Mesh Sizes and Equivalent Openings (Burt, 2007)</t>
  </si>
  <si>
    <t>Mean Filtration Capacity (@ 15-25 GPM/sq. ft)</t>
  </si>
  <si>
    <t xml:space="preserve">0.16 - 0.15 mm </t>
  </si>
  <si>
    <t>90 - 70 mesh</t>
  </si>
  <si>
    <t>125 - 100</t>
  </si>
  <si>
    <t>140 - 100</t>
  </si>
  <si>
    <t>140 - 130</t>
  </si>
  <si>
    <t>200 - 140</t>
  </si>
  <si>
    <t>200 - 150</t>
  </si>
  <si>
    <t>250 - 200</t>
  </si>
  <si>
    <t>Use #16 Crushed Silica</t>
  </si>
  <si>
    <t>Irrigation System Flow Rate, GPM</t>
  </si>
  <si>
    <t>Moderate Dirt Load</t>
  </si>
  <si>
    <t>Moderately Heavy Dirt Load</t>
  </si>
  <si>
    <t>276 - 425</t>
  </si>
  <si>
    <t>175 - 275</t>
  </si>
  <si>
    <t>426 - 575</t>
  </si>
  <si>
    <t>576 - 775</t>
  </si>
  <si>
    <t>776 - 1025</t>
  </si>
  <si>
    <t>1026 - 1275</t>
  </si>
  <si>
    <t>1275 - 1525</t>
  </si>
  <si>
    <t>1526 - 1675</t>
  </si>
  <si>
    <t>122 - 192</t>
  </si>
  <si>
    <t>193 - 299</t>
  </si>
  <si>
    <t>300 - 399</t>
  </si>
  <si>
    <t>400 - 539</t>
  </si>
  <si>
    <t>540 - 719</t>
  </si>
  <si>
    <t>720 - 899</t>
  </si>
  <si>
    <t>900 - 1069</t>
  </si>
  <si>
    <t>1070 - 1170</t>
  </si>
  <si>
    <t>Number and Size (Dia)  of Tanks</t>
  </si>
  <si>
    <t>2 - 18"</t>
  </si>
  <si>
    <t>3 - 18"</t>
  </si>
  <si>
    <t>3 - 24"</t>
  </si>
  <si>
    <t>3 - 30"</t>
  </si>
  <si>
    <t>4 - 30"</t>
  </si>
  <si>
    <t>4 - 36"</t>
  </si>
  <si>
    <t>3 - 48"</t>
  </si>
  <si>
    <t>4 - 48"</t>
  </si>
  <si>
    <t>5 - 48"</t>
  </si>
  <si>
    <t>6 - 48"</t>
  </si>
  <si>
    <t>7 - 48"</t>
  </si>
  <si>
    <t>Use 3 - 48" Tanks</t>
  </si>
  <si>
    <t>Recommended vertical media tank sizes for emitter and row crop drip systems (Burt, 2007)</t>
  </si>
  <si>
    <t>Analysis of Frost Protection Sub-mainline Size for Each Block</t>
  </si>
  <si>
    <t>12.) Estimated Pressure Loss When Filters Are Dirty</t>
  </si>
  <si>
    <t>A typical value of friction loss through a well designed filtration system is 7.0 psi</t>
  </si>
  <si>
    <t>Filtration SummarY:</t>
  </si>
  <si>
    <t>#16</t>
  </si>
  <si>
    <t>psi loss when filters are dirty</t>
  </si>
  <si>
    <t>48" Tanks</t>
  </si>
  <si>
    <t>13.) Pump TDH Requirement</t>
  </si>
  <si>
    <t>Pressure @ u/s pt. of segment A1 (pump outlet)</t>
  </si>
  <si>
    <t>=</t>
  </si>
  <si>
    <t>plus media filter loss when dirty</t>
  </si>
  <si>
    <t>plus Emergency screen loss</t>
  </si>
  <si>
    <t>minus Pump inlet pressure</t>
  </si>
  <si>
    <t>n/a</t>
  </si>
  <si>
    <t xml:space="preserve">TDH </t>
  </si>
  <si>
    <t>*plus minor losses</t>
  </si>
  <si>
    <t>* Minor losses include: check valves, set valves, risers, pressure regulators, elbows, etc.</t>
  </si>
  <si>
    <t>One should always check with the specific valve manufacturer to determine as many valve</t>
  </si>
  <si>
    <t>loss components as possible</t>
  </si>
  <si>
    <t>System GPM</t>
  </si>
  <si>
    <t>Lateral Size and Pressure for the Longest run</t>
  </si>
  <si>
    <t>Chg. Elev = Length * ft/ft (elevation change worst case)</t>
  </si>
  <si>
    <t>Chg. P = Chg. Elev + Hf</t>
  </si>
  <si>
    <t xml:space="preserve">Block 6 </t>
  </si>
  <si>
    <t>Uphill Section</t>
  </si>
  <si>
    <t>Downhill Section</t>
  </si>
  <si>
    <t xml:space="preserve">* Netafim drip hose will be used with an inside diameter of 0.72 inches </t>
  </si>
  <si>
    <t>* See block appendix for more details</t>
  </si>
  <si>
    <t>Using Wade Rain 2 GPH pulsators spaced at every other vine requires the same amount of water as does the drip system.</t>
  </si>
  <si>
    <t>Therefore another sub-mainline will be placed in adjacent to and same size as the drip sub-mainline.</t>
  </si>
  <si>
    <t>setting on the adjustable pressure regulator to prevent the pulsators from plugging.</t>
  </si>
  <si>
    <t>Adjusting the pressure regulator to 35 psi will provide sufficient pressure for each block.</t>
  </si>
  <si>
    <t>*Adjusting pressure regulator to 25 psi will provide sufficient pressure for each block.</t>
  </si>
  <si>
    <t xml:space="preserve">Class 125 psi. SDR 35, 5" </t>
  </si>
  <si>
    <t>Pipe ID (in)</t>
  </si>
  <si>
    <t xml:space="preserve">PVC PIPE Specification </t>
  </si>
  <si>
    <t xml:space="preserve">Class 125 psi. SDR 35, 4" </t>
  </si>
  <si>
    <t xml:space="preserve">Class 160 psi IPS, 2" </t>
  </si>
  <si>
    <t>Pipe Specs</t>
  </si>
  <si>
    <t>Class 160 IPS 2", ID = 2.193"</t>
  </si>
  <si>
    <t>Class 200 IPS 1.5", ID = 1.72"</t>
  </si>
  <si>
    <t>Block Layout</t>
  </si>
  <si>
    <t>The frost protection and drip system will be the same set up except that the frost protection will use a higher pressure</t>
  </si>
  <si>
    <t>*NO GUARANTEE OF EFFECTIVENESS CAN BE PROVIDED</t>
  </si>
  <si>
    <t>6.) Analysis of Longest Lateral for Hose Sizing</t>
  </si>
  <si>
    <t>* Block 6 has the longest run length with 1531 feet downhill with a change in elevation of 10 feet.</t>
  </si>
  <si>
    <t>*Therefore the pressure through the lateral can not decrease below 5 psi.</t>
  </si>
  <si>
    <t>*Values found using 0.72" hose, see block appendix for more details.</t>
  </si>
  <si>
    <t>BLOCK 1</t>
  </si>
  <si>
    <t xml:space="preserve">Class 125 psi. SDR 35, 3" </t>
  </si>
</sst>
</file>

<file path=xl/styles.xml><?xml version="1.0" encoding="utf-8"?>
<styleSheet xmlns="http://schemas.openxmlformats.org/spreadsheetml/2006/main">
  <numFmts count="3">
    <numFmt numFmtId="164" formatCode="0.000"/>
    <numFmt numFmtId="165" formatCode="0.0"/>
    <numFmt numFmtId="166" formatCode="0.0000"/>
  </numFmts>
  <fonts count="15">
    <font>
      <sz val="11"/>
      <color theme="1"/>
      <name val="Calibri"/>
      <family val="2"/>
      <scheme val="minor"/>
    </font>
    <font>
      <b/>
      <sz val="11"/>
      <color theme="1"/>
      <name val="Calibri"/>
      <family val="2"/>
      <scheme val="minor"/>
    </font>
    <font>
      <u/>
      <sz val="11"/>
      <color theme="1"/>
      <name val="Calibri"/>
      <family val="2"/>
      <scheme val="minor"/>
    </font>
    <font>
      <vertAlign val="superscript"/>
      <sz val="11"/>
      <color theme="1"/>
      <name val="Calibri"/>
      <family val="2"/>
      <scheme val="minor"/>
    </font>
    <font>
      <b/>
      <sz val="10"/>
      <name val="Arial"/>
      <family val="2"/>
    </font>
    <font>
      <b/>
      <vertAlign val="superscript"/>
      <sz val="11"/>
      <color theme="1"/>
      <name val="Calibri"/>
      <family val="2"/>
      <scheme val="minor"/>
    </font>
    <font>
      <b/>
      <sz val="12"/>
      <color theme="1"/>
      <name val="Calibri"/>
      <family val="2"/>
      <scheme val="minor"/>
    </font>
    <font>
      <i/>
      <sz val="11"/>
      <color theme="1"/>
      <name val="Calibri"/>
      <family val="2"/>
      <scheme val="minor"/>
    </font>
    <font>
      <sz val="7.5"/>
      <color rgb="FF000000"/>
      <name val="Verdana"/>
      <family val="2"/>
    </font>
    <font>
      <b/>
      <sz val="7.5"/>
      <color rgb="FF000000"/>
      <name val="Verdana"/>
      <family val="2"/>
    </font>
    <font>
      <b/>
      <u/>
      <sz val="10"/>
      <name val="Arial"/>
      <family val="2"/>
    </font>
    <font>
      <sz val="10"/>
      <name val="Arial"/>
      <family val="2"/>
    </font>
    <font>
      <b/>
      <u/>
      <sz val="11"/>
      <color theme="1"/>
      <name val="Calibri"/>
      <family val="2"/>
      <scheme val="minor"/>
    </font>
    <font>
      <b/>
      <i/>
      <sz val="11"/>
      <color theme="1"/>
      <name val="Calibri"/>
      <family val="2"/>
      <scheme val="minor"/>
    </font>
    <font>
      <b/>
      <i/>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9CCFF"/>
        <bgColor indexed="64"/>
      </patternFill>
    </fill>
  </fills>
  <borders count="13">
    <border>
      <left/>
      <right/>
      <top/>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bottom style="thick">
        <color indexed="64"/>
      </bottom>
      <diagonal/>
    </border>
    <border>
      <left/>
      <right/>
      <top style="thick">
        <color indexed="64"/>
      </top>
      <bottom style="medium">
        <color indexed="64"/>
      </bottom>
      <diagonal/>
    </border>
    <border>
      <left/>
      <right/>
      <top style="medium">
        <color indexed="64"/>
      </top>
      <bottom/>
      <diagonal/>
    </border>
    <border>
      <left/>
      <right/>
      <top/>
      <bottom style="medium">
        <color auto="1"/>
      </bottom>
      <diagonal/>
    </border>
  </borders>
  <cellStyleXfs count="1">
    <xf numFmtId="0" fontId="0" fillId="0" borderId="0"/>
  </cellStyleXfs>
  <cellXfs count="128">
    <xf numFmtId="0" fontId="0" fillId="0" borderId="0" xfId="0"/>
    <xf numFmtId="0" fontId="1" fillId="0" borderId="0" xfId="0" applyFont="1"/>
    <xf numFmtId="0" fontId="0" fillId="0" borderId="0" xfId="0" applyFont="1"/>
    <xf numFmtId="164" fontId="0" fillId="0" borderId="0" xfId="0" applyNumberFormat="1"/>
    <xf numFmtId="2" fontId="1" fillId="0" borderId="0" xfId="0" applyNumberFormat="1" applyFont="1"/>
    <xf numFmtId="2" fontId="0" fillId="0" borderId="0" xfId="0" applyNumberFormat="1" applyFont="1"/>
    <xf numFmtId="2" fontId="1" fillId="2" borderId="0" xfId="0" applyNumberFormat="1" applyFont="1" applyFill="1"/>
    <xf numFmtId="0" fontId="1" fillId="2" borderId="0" xfId="0" applyFont="1" applyFill="1"/>
    <xf numFmtId="0" fontId="0" fillId="2" borderId="0" xfId="0" applyFill="1"/>
    <xf numFmtId="0" fontId="0" fillId="0" borderId="0" xfId="0" applyAlignment="1">
      <alignment horizontal="center"/>
    </xf>
    <xf numFmtId="0" fontId="2" fillId="0" borderId="0" xfId="0" applyFont="1"/>
    <xf numFmtId="165" fontId="0" fillId="0" borderId="0" xfId="0" applyNumberFormat="1"/>
    <xf numFmtId="1" fontId="0" fillId="0" borderId="0" xfId="0" applyNumberFormat="1"/>
    <xf numFmtId="2" fontId="0" fillId="0" borderId="0" xfId="0" applyNumberFormat="1"/>
    <xf numFmtId="0" fontId="4" fillId="0" borderId="0" xfId="0" applyFont="1"/>
    <xf numFmtId="0" fontId="7" fillId="0" borderId="1" xfId="0" applyFont="1" applyBorder="1" applyAlignment="1">
      <alignment horizontal="center"/>
    </xf>
    <xf numFmtId="0" fontId="1" fillId="0" borderId="1" xfId="0" applyFont="1" applyBorder="1" applyAlignment="1">
      <alignment horizontal="center" wrapText="1"/>
    </xf>
    <xf numFmtId="1"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166" fontId="0" fillId="0" borderId="0" xfId="0" applyNumberFormat="1"/>
    <xf numFmtId="1" fontId="0" fillId="2" borderId="0" xfId="0" applyNumberFormat="1" applyFill="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xf>
    <xf numFmtId="0" fontId="0" fillId="0" borderId="0" xfId="0" applyAlignment="1">
      <alignment horizontal="center"/>
    </xf>
    <xf numFmtId="0" fontId="0" fillId="0" borderId="0" xfId="0" applyFill="1"/>
    <xf numFmtId="2" fontId="0" fillId="0" borderId="0" xfId="0" applyNumberFormat="1" applyFill="1"/>
    <xf numFmtId="1" fontId="0" fillId="0" borderId="0" xfId="0" applyNumberFormat="1" applyFill="1"/>
    <xf numFmtId="166" fontId="0" fillId="0" borderId="0" xfId="0" applyNumberFormat="1" applyFill="1"/>
    <xf numFmtId="164" fontId="0" fillId="0" borderId="0" xfId="0" applyNumberFormat="1" applyFill="1"/>
    <xf numFmtId="0" fontId="1" fillId="0" borderId="1" xfId="0" applyFont="1" applyBorder="1" applyAlignment="1">
      <alignment horizontal="center"/>
    </xf>
    <xf numFmtId="0" fontId="8" fillId="0" borderId="0" xfId="0" applyFont="1"/>
    <xf numFmtId="0" fontId="9" fillId="0" borderId="0" xfId="0" applyFont="1"/>
    <xf numFmtId="0" fontId="1" fillId="3" borderId="2" xfId="0" applyFont="1" applyFill="1" applyBorder="1" applyAlignment="1">
      <alignment horizontal="center" wrapText="1"/>
    </xf>
    <xf numFmtId="0" fontId="0" fillId="0" borderId="2" xfId="0" applyBorder="1" applyAlignment="1">
      <alignment horizontal="center" wrapText="1"/>
    </xf>
    <xf numFmtId="2" fontId="0" fillId="0" borderId="1" xfId="0" applyNumberFormat="1" applyFill="1" applyBorder="1" applyAlignment="1">
      <alignment horizontal="center"/>
    </xf>
    <xf numFmtId="0" fontId="7" fillId="0" borderId="0" xfId="0" applyFont="1"/>
    <xf numFmtId="164" fontId="0" fillId="0" borderId="0" xfId="0" applyNumberFormat="1" applyAlignment="1">
      <alignment horizontal="center"/>
    </xf>
    <xf numFmtId="165" fontId="0" fillId="0" borderId="0" xfId="0" applyNumberFormat="1" applyAlignment="1">
      <alignment horizontal="center"/>
    </xf>
    <xf numFmtId="0" fontId="0"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left"/>
    </xf>
    <xf numFmtId="0" fontId="0" fillId="0" borderId="1" xfId="0" applyBorder="1" applyAlignment="1">
      <alignment horizontal="center"/>
    </xf>
    <xf numFmtId="0" fontId="0" fillId="0" borderId="0" xfId="0" applyAlignment="1">
      <alignment horizontal="center"/>
    </xf>
    <xf numFmtId="0" fontId="0" fillId="0" borderId="0" xfId="0" applyAlignment="1">
      <alignment horizontal="center"/>
    </xf>
    <xf numFmtId="2" fontId="0" fillId="0" borderId="1" xfId="0" applyNumberFormat="1" applyBorder="1" applyAlignment="1">
      <alignment horizontal="center" vertical="center"/>
    </xf>
    <xf numFmtId="2" fontId="0" fillId="0" borderId="1" xfId="0" applyNumberFormat="1" applyFill="1" applyBorder="1" applyAlignment="1">
      <alignment horizontal="center" vertical="center"/>
    </xf>
    <xf numFmtId="0" fontId="0" fillId="0" borderId="1" xfId="0" applyFont="1" applyBorder="1" applyAlignment="1">
      <alignment horizontal="center" vertical="center"/>
    </xf>
    <xf numFmtId="1" fontId="0" fillId="0" borderId="1" xfId="0" applyNumberFormat="1" applyFont="1" applyBorder="1" applyAlignment="1">
      <alignment horizontal="center" vertical="center"/>
    </xf>
    <xf numFmtId="164" fontId="1" fillId="0" borderId="0" xfId="0" applyNumberFormat="1" applyFont="1" applyAlignment="1">
      <alignment horizontal="center"/>
    </xf>
    <xf numFmtId="165" fontId="0" fillId="0" borderId="0" xfId="0" applyNumberFormat="1" applyAlignment="1">
      <alignment vertical="center"/>
    </xf>
    <xf numFmtId="2" fontId="0" fillId="0" borderId="0" xfId="0" applyNumberFormat="1" applyAlignment="1">
      <alignment vertical="center"/>
    </xf>
    <xf numFmtId="1" fontId="0" fillId="0" borderId="0" xfId="0" applyNumberFormat="1" applyAlignment="1">
      <alignment vertical="center"/>
    </xf>
    <xf numFmtId="0" fontId="0" fillId="0" borderId="0" xfId="0" applyAlignment="1">
      <alignment vertical="center"/>
    </xf>
    <xf numFmtId="165" fontId="0" fillId="0" borderId="0" xfId="0" applyNumberFormat="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0" fontId="7" fillId="0" borderId="1" xfId="0" applyFont="1" applyBorder="1" applyAlignment="1">
      <alignment horizontal="center" wrapText="1"/>
    </xf>
    <xf numFmtId="165" fontId="0" fillId="0" borderId="1" xfId="0" applyNumberFormat="1" applyFont="1" applyBorder="1" applyAlignment="1">
      <alignment horizontal="center" vertical="center"/>
    </xf>
    <xf numFmtId="0" fontId="7" fillId="2" borderId="0" xfId="0" applyFont="1" applyFill="1" applyAlignment="1">
      <alignment horizontal="center"/>
    </xf>
    <xf numFmtId="0" fontId="0" fillId="2" borderId="0" xfId="0" applyFill="1" applyAlignment="1">
      <alignment horizontal="center"/>
    </xf>
    <xf numFmtId="165" fontId="0" fillId="2" borderId="0" xfId="0" applyNumberFormat="1"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165" fontId="0" fillId="0" borderId="0" xfId="0" applyNumberFormat="1" applyFont="1" applyAlignment="1">
      <alignment horizontal="center"/>
    </xf>
    <xf numFmtId="0" fontId="7" fillId="2" borderId="0" xfId="0" applyFont="1" applyFill="1" applyAlignment="1">
      <alignment horizontal="center" vertical="center" wrapText="1"/>
    </xf>
    <xf numFmtId="0" fontId="10" fillId="0" borderId="0" xfId="0" applyFont="1"/>
    <xf numFmtId="0" fontId="0" fillId="0" borderId="9" xfId="0" applyBorder="1" applyAlignment="1">
      <alignment horizontal="center"/>
    </xf>
    <xf numFmtId="0" fontId="0" fillId="0" borderId="0" xfId="0" applyAlignment="1"/>
    <xf numFmtId="0" fontId="0" fillId="0" borderId="0" xfId="0" applyBorder="1" applyAlignment="1"/>
    <xf numFmtId="0" fontId="11" fillId="0" borderId="0" xfId="0" applyFont="1" applyAlignment="1">
      <alignment horizontal="center"/>
    </xf>
    <xf numFmtId="0" fontId="0" fillId="0" borderId="0" xfId="0" applyAlignment="1">
      <alignment horizontal="center"/>
    </xf>
    <xf numFmtId="0" fontId="12" fillId="0" borderId="0" xfId="0" applyFont="1"/>
    <xf numFmtId="49" fontId="0" fillId="0" borderId="0" xfId="0" applyNumberFormat="1"/>
    <xf numFmtId="0" fontId="1" fillId="2" borderId="0" xfId="0" applyFont="1" applyFill="1" applyAlignment="1">
      <alignment horizontal="center"/>
    </xf>
    <xf numFmtId="165" fontId="1" fillId="2" borderId="0" xfId="0" applyNumberFormat="1" applyFont="1" applyFill="1" applyAlignment="1">
      <alignment horizontal="center"/>
    </xf>
    <xf numFmtId="0" fontId="0" fillId="0" borderId="0" xfId="0" applyAlignment="1">
      <alignment horizontal="center"/>
    </xf>
    <xf numFmtId="0" fontId="0" fillId="2" borderId="0" xfId="0" applyFill="1" applyAlignment="1">
      <alignment horizontal="center"/>
    </xf>
    <xf numFmtId="0" fontId="13" fillId="0" borderId="0" xfId="0" applyFont="1"/>
    <xf numFmtId="0" fontId="0" fillId="0" borderId="0" xfId="0" applyFill="1" applyAlignment="1">
      <alignment horizontal="center"/>
    </xf>
    <xf numFmtId="0" fontId="7" fillId="0" borderId="1" xfId="0" applyFont="1" applyBorder="1" applyAlignment="1"/>
    <xf numFmtId="0" fontId="0" fillId="0" borderId="1" xfId="0" applyBorder="1" applyAlignment="1"/>
    <xf numFmtId="0" fontId="14" fillId="0" borderId="0" xfId="0" applyFont="1"/>
    <xf numFmtId="1" fontId="0" fillId="0" borderId="1" xfId="0" applyNumberFormat="1" applyBorder="1"/>
    <xf numFmtId="0" fontId="0" fillId="0" borderId="0" xfId="0" applyAlignment="1">
      <alignment horizontal="center"/>
    </xf>
    <xf numFmtId="0" fontId="6" fillId="0" borderId="1" xfId="0" applyFont="1" applyBorder="1" applyAlignment="1"/>
    <xf numFmtId="0" fontId="1" fillId="0" borderId="0" xfId="0" applyFont="1" applyFill="1"/>
    <xf numFmtId="0" fontId="0" fillId="0" borderId="1" xfId="0" applyBorder="1" applyAlignment="1">
      <alignment horizontal="center"/>
    </xf>
    <xf numFmtId="0" fontId="6" fillId="0" borderId="1" xfId="0" applyFont="1" applyBorder="1" applyAlignment="1">
      <alignment horizontal="center"/>
    </xf>
    <xf numFmtId="0" fontId="0" fillId="0" borderId="0" xfId="0" applyAlignment="1">
      <alignment wrapText="1"/>
    </xf>
    <xf numFmtId="0" fontId="0" fillId="0" borderId="0" xfId="0" applyAlignment="1">
      <alignment horizontal="center"/>
    </xf>
    <xf numFmtId="0" fontId="2" fillId="0" borderId="0" xfId="0" applyFont="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1" fillId="0" borderId="1" xfId="0" applyFont="1" applyBorder="1" applyAlignment="1">
      <alignment horizontal="center" vertical="center" wrapText="1"/>
    </xf>
    <xf numFmtId="0" fontId="0" fillId="0" borderId="0" xfId="0" applyAlignment="1"/>
    <xf numFmtId="0" fontId="4" fillId="0" borderId="9" xfId="0" applyFont="1" applyBorder="1" applyAlignment="1">
      <alignment horizontal="center"/>
    </xf>
    <xf numFmtId="0" fontId="0" fillId="0" borderId="9" xfId="0" applyBorder="1" applyAlignment="1">
      <alignment horizontal="center"/>
    </xf>
    <xf numFmtId="0" fontId="0" fillId="0" borderId="9" xfId="0" applyBorder="1" applyAlignment="1"/>
    <xf numFmtId="0" fontId="0" fillId="0" borderId="9" xfId="0" applyBorder="1" applyAlignment="1">
      <alignment horizontal="center" wrapText="1"/>
    </xf>
    <xf numFmtId="0" fontId="7" fillId="0" borderId="1" xfId="0" applyFont="1" applyBorder="1" applyAlignment="1">
      <alignment horizontal="center" wrapText="1"/>
    </xf>
    <xf numFmtId="0" fontId="0" fillId="2" borderId="0" xfId="0" applyFill="1" applyAlignment="1">
      <alignment horizontal="center"/>
    </xf>
    <xf numFmtId="0" fontId="0" fillId="2" borderId="0" xfId="0" applyFill="1" applyAlignment="1"/>
    <xf numFmtId="0" fontId="11" fillId="0" borderId="0" xfId="0" applyFont="1" applyAlignment="1">
      <alignment horizontal="center"/>
    </xf>
    <xf numFmtId="0" fontId="11" fillId="0" borderId="0" xfId="0" applyFont="1" applyAlignment="1"/>
    <xf numFmtId="0" fontId="0" fillId="0" borderId="0" xfId="0" applyBorder="1" applyAlignment="1">
      <alignment horizontal="center"/>
    </xf>
    <xf numFmtId="0" fontId="1" fillId="0" borderId="9" xfId="0" applyFont="1" applyBorder="1" applyAlignment="1">
      <alignment horizontal="center"/>
    </xf>
    <xf numFmtId="0" fontId="0" fillId="0" borderId="10" xfId="0" applyBorder="1" applyAlignment="1">
      <alignment horizontal="center"/>
    </xf>
    <xf numFmtId="0" fontId="0" fillId="0" borderId="10"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center"/>
    </xf>
    <xf numFmtId="0" fontId="0" fillId="2" borderId="0" xfId="0" applyFill="1" applyBorder="1" applyAlignment="1">
      <alignment horizontal="center"/>
    </xf>
    <xf numFmtId="0" fontId="1" fillId="0" borderId="0" xfId="0" applyFont="1" applyAlignment="1">
      <alignment horizontal="center" vertical="center" wrapText="1"/>
    </xf>
    <xf numFmtId="0" fontId="1" fillId="3" borderId="3" xfId="0" applyFont="1" applyFill="1" applyBorder="1" applyAlignment="1">
      <alignment horizontal="center" wrapText="1"/>
    </xf>
    <xf numFmtId="0" fontId="1" fillId="3" borderId="4" xfId="0" applyFont="1" applyFill="1" applyBorder="1" applyAlignment="1">
      <alignment horizontal="center" wrapText="1"/>
    </xf>
    <xf numFmtId="0" fontId="1" fillId="3" borderId="5" xfId="0" applyFont="1" applyFill="1" applyBorder="1" applyAlignment="1">
      <alignment horizontal="center" wrapText="1"/>
    </xf>
    <xf numFmtId="0" fontId="1" fillId="3" borderId="6"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emf"/></Relationships>
</file>

<file path=xl/drawings/_rels/drawing3.xml.rels><?xml version="1.0" encoding="UTF-8" standalone="yes"?>
<Relationships xmlns="http://schemas.openxmlformats.org/package/2006/relationships"><Relationship Id="rId1" Type="http://schemas.openxmlformats.org/officeDocument/2006/relationships/image" Target="../media/image10.emf"/></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1" Type="http://schemas.openxmlformats.org/officeDocument/2006/relationships/image" Target="../media/image10.emf"/></Relationships>
</file>

<file path=xl/drawings/_rels/drawing7.xml.rels><?xml version="1.0" encoding="UTF-8" standalone="yes"?>
<Relationships xmlns="http://schemas.openxmlformats.org/package/2006/relationships"><Relationship Id="rId1" Type="http://schemas.openxmlformats.org/officeDocument/2006/relationships/image" Target="../media/image10.emf"/></Relationships>
</file>

<file path=xl/drawings/_rels/drawing8.xml.rels><?xml version="1.0" encoding="UTF-8" standalone="yes"?>
<Relationships xmlns="http://schemas.openxmlformats.org/package/2006/relationships"><Relationship Id="rId1" Type="http://schemas.openxmlformats.org/officeDocument/2006/relationships/image" Target="../media/image10.emf"/></Relationships>
</file>

<file path=xl/drawings/_rels/drawing9.xml.rels><?xml version="1.0" encoding="UTF-8" standalone="yes"?>
<Relationships xmlns="http://schemas.openxmlformats.org/package/2006/relationships"><Relationship Id="rId1" Type="http://schemas.openxmlformats.org/officeDocument/2006/relationships/image" Target="../media/image10.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0.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0.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1</xdr:col>
      <xdr:colOff>0</xdr:colOff>
      <xdr:row>56</xdr:row>
      <xdr:rowOff>66675</xdr:rowOff>
    </xdr:from>
    <xdr:to>
      <xdr:col>5</xdr:col>
      <xdr:colOff>95250</xdr:colOff>
      <xdr:row>59</xdr:row>
      <xdr:rowOff>0</xdr:rowOff>
    </xdr:to>
    <xdr:pic>
      <xdr:nvPicPr>
        <xdr:cNvPr id="1025" name="Picture 1"/>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609600" y="11877675"/>
          <a:ext cx="2533650" cy="50482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0</xdr:colOff>
      <xdr:row>39</xdr:row>
      <xdr:rowOff>0</xdr:rowOff>
    </xdr:from>
    <xdr:to>
      <xdr:col>5</xdr:col>
      <xdr:colOff>142875</xdr:colOff>
      <xdr:row>40</xdr:row>
      <xdr:rowOff>152400</xdr:rowOff>
    </xdr:to>
    <xdr:pic>
      <xdr:nvPicPr>
        <xdr:cNvPr id="1026" name="Picture 2"/>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609600" y="8572500"/>
          <a:ext cx="2581275" cy="3429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0</xdr:colOff>
      <xdr:row>79</xdr:row>
      <xdr:rowOff>47625</xdr:rowOff>
    </xdr:from>
    <xdr:to>
      <xdr:col>3</xdr:col>
      <xdr:colOff>190500</xdr:colOff>
      <xdr:row>81</xdr:row>
      <xdr:rowOff>28575</xdr:rowOff>
    </xdr:to>
    <xdr:pic>
      <xdr:nvPicPr>
        <xdr:cNvPr id="1027" name="Picture 3"/>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609600" y="15668625"/>
          <a:ext cx="1409700" cy="3619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0</xdr:colOff>
      <xdr:row>84</xdr:row>
      <xdr:rowOff>0</xdr:rowOff>
    </xdr:from>
    <xdr:to>
      <xdr:col>5</xdr:col>
      <xdr:colOff>238125</xdr:colOff>
      <xdr:row>85</xdr:row>
      <xdr:rowOff>95250</xdr:rowOff>
    </xdr:to>
    <xdr:pic>
      <xdr:nvPicPr>
        <xdr:cNvPr id="1030" name="Picture 6"/>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609600" y="16602075"/>
          <a:ext cx="2676525" cy="2857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123826</xdr:colOff>
      <xdr:row>94</xdr:row>
      <xdr:rowOff>171450</xdr:rowOff>
    </xdr:from>
    <xdr:to>
      <xdr:col>9</xdr:col>
      <xdr:colOff>528639</xdr:colOff>
      <xdr:row>106</xdr:row>
      <xdr:rowOff>80010</xdr:rowOff>
    </xdr:to>
    <xdr:pic>
      <xdr:nvPicPr>
        <xdr:cNvPr id="3" name="Picture 3"/>
        <xdr:cNvPicPr>
          <a:picLocks noChangeAspect="1" noChangeArrowheads="1"/>
        </xdr:cNvPicPr>
      </xdr:nvPicPr>
      <xdr:blipFill>
        <a:blip xmlns:r="http://schemas.openxmlformats.org/officeDocument/2006/relationships" r:embed="rId5" cstate="print"/>
        <a:srcRect t="26242" r="7395" b="22476"/>
        <a:stretch>
          <a:fillRect/>
        </a:stretch>
      </xdr:blipFill>
      <xdr:spPr bwMode="auto">
        <a:xfrm>
          <a:off x="123826" y="19278600"/>
          <a:ext cx="6043613" cy="2194560"/>
        </a:xfrm>
        <a:prstGeom prst="roundRect">
          <a:avLst>
            <a:gd name="adj" fmla="val 4167"/>
          </a:avLst>
        </a:prstGeom>
        <a:solidFill>
          <a:srgbClr val="FFFFFF"/>
        </a:solidFill>
        <a:ln w="76200" cap="sq">
          <a:solidFill>
            <a:srgbClr val="EAEAEA"/>
          </a:solidFill>
          <a:miter lim="800000"/>
        </a:ln>
        <a:effectLst>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xdr:spPr>
    </xdr:pic>
    <xdr:clientData/>
  </xdr:twoCellAnchor>
  <xdr:twoCellAnchor editAs="oneCell">
    <xdr:from>
      <xdr:col>0</xdr:col>
      <xdr:colOff>533389</xdr:colOff>
      <xdr:row>159</xdr:row>
      <xdr:rowOff>47625</xdr:rowOff>
    </xdr:from>
    <xdr:to>
      <xdr:col>8</xdr:col>
      <xdr:colOff>590137</xdr:colOff>
      <xdr:row>187</xdr:row>
      <xdr:rowOff>108585</xdr:rowOff>
    </xdr:to>
    <xdr:pic>
      <xdr:nvPicPr>
        <xdr:cNvPr id="4" name="Picture 3"/>
        <xdr:cNvPicPr>
          <a:picLocks noChangeAspect="1" noChangeArrowheads="1"/>
        </xdr:cNvPicPr>
      </xdr:nvPicPr>
      <xdr:blipFill>
        <a:blip xmlns:r="http://schemas.openxmlformats.org/officeDocument/2006/relationships" r:embed="rId6" cstate="print"/>
        <a:srcRect l="36417" t="13544" r="30166" b="26076"/>
        <a:stretch>
          <a:fillRect/>
        </a:stretch>
      </xdr:blipFill>
      <xdr:spPr bwMode="auto">
        <a:xfrm>
          <a:off x="533389" y="32013525"/>
          <a:ext cx="5085948" cy="5394960"/>
        </a:xfrm>
        <a:prstGeom prst="rect">
          <a:avLst/>
        </a:prstGeom>
        <a:noFill/>
        <a:ln w="1">
          <a:noFill/>
          <a:miter lim="800000"/>
          <a:headEnd/>
          <a:tailEnd type="none" w="med" len="med"/>
        </a:ln>
        <a:effectLst/>
      </xdr:spPr>
    </xdr:pic>
    <xdr:clientData/>
  </xdr:twoCellAnchor>
  <xdr:twoCellAnchor editAs="oneCell">
    <xdr:from>
      <xdr:col>0</xdr:col>
      <xdr:colOff>19050</xdr:colOff>
      <xdr:row>690</xdr:row>
      <xdr:rowOff>47625</xdr:rowOff>
    </xdr:from>
    <xdr:to>
      <xdr:col>11</xdr:col>
      <xdr:colOff>54910</xdr:colOff>
      <xdr:row>702</xdr:row>
      <xdr:rowOff>47625</xdr:rowOff>
    </xdr:to>
    <xdr:pic>
      <xdr:nvPicPr>
        <xdr:cNvPr id="8" name="Picture 2"/>
        <xdr:cNvPicPr>
          <a:picLocks noChangeAspect="1" noChangeArrowheads="1"/>
        </xdr:cNvPicPr>
      </xdr:nvPicPr>
      <xdr:blipFill>
        <a:blip xmlns:r="http://schemas.openxmlformats.org/officeDocument/2006/relationships" r:embed="rId7" cstate="print"/>
        <a:srcRect l="3905" t="26476" r="22852" b="36632"/>
        <a:stretch>
          <a:fillRect/>
        </a:stretch>
      </xdr:blipFill>
      <xdr:spPr bwMode="auto">
        <a:xfrm>
          <a:off x="19050" y="137988675"/>
          <a:ext cx="6893860" cy="2286000"/>
        </a:xfrm>
        <a:prstGeom prst="rect">
          <a:avLst/>
        </a:prstGeom>
        <a:noFill/>
        <a:ln w="1">
          <a:noFill/>
          <a:miter lim="800000"/>
          <a:headEnd/>
          <a:tailEnd type="none" w="med" len="med"/>
        </a:ln>
        <a:effectLst/>
      </xdr:spPr>
    </xdr:pic>
    <xdr:clientData/>
  </xdr:twoCellAnchor>
  <xdr:twoCellAnchor editAs="oneCell">
    <xdr:from>
      <xdr:col>0</xdr:col>
      <xdr:colOff>390524</xdr:colOff>
      <xdr:row>631</xdr:row>
      <xdr:rowOff>66674</xdr:rowOff>
    </xdr:from>
    <xdr:to>
      <xdr:col>10</xdr:col>
      <xdr:colOff>229096</xdr:colOff>
      <xdr:row>669</xdr:row>
      <xdr:rowOff>51434</xdr:rowOff>
    </xdr:to>
    <xdr:pic>
      <xdr:nvPicPr>
        <xdr:cNvPr id="6" name="Picture 3"/>
        <xdr:cNvPicPr>
          <a:picLocks noChangeAspect="1" noChangeArrowheads="1"/>
        </xdr:cNvPicPr>
      </xdr:nvPicPr>
      <xdr:blipFill>
        <a:blip xmlns:r="http://schemas.openxmlformats.org/officeDocument/2006/relationships" r:embed="rId8" cstate="print"/>
        <a:srcRect/>
        <a:stretch>
          <a:fillRect/>
        </a:stretch>
      </xdr:blipFill>
      <xdr:spPr bwMode="auto">
        <a:xfrm>
          <a:off x="390524" y="131902199"/>
          <a:ext cx="6086972" cy="7223760"/>
        </a:xfrm>
        <a:prstGeom prst="rect">
          <a:avLst/>
        </a:prstGeom>
        <a:noFill/>
        <a:ln w="1">
          <a:noFill/>
          <a:miter lim="800000"/>
          <a:headEnd/>
          <a:tailEnd type="none" w="med" len="med"/>
        </a:ln>
        <a:effectLst/>
      </xdr:spPr>
    </xdr:pic>
    <xdr:clientData/>
  </xdr:twoCellAnchor>
  <xdr:twoCellAnchor editAs="oneCell">
    <xdr:from>
      <xdr:col>0</xdr:col>
      <xdr:colOff>161924</xdr:colOff>
      <xdr:row>240</xdr:row>
      <xdr:rowOff>47625</xdr:rowOff>
    </xdr:from>
    <xdr:to>
      <xdr:col>9</xdr:col>
      <xdr:colOff>570587</xdr:colOff>
      <xdr:row>272</xdr:row>
      <xdr:rowOff>169545</xdr:rowOff>
    </xdr:to>
    <xdr:pic>
      <xdr:nvPicPr>
        <xdr:cNvPr id="1028" name="Picture 4"/>
        <xdr:cNvPicPr>
          <a:picLocks noChangeAspect="1" noChangeArrowheads="1"/>
        </xdr:cNvPicPr>
      </xdr:nvPicPr>
      <xdr:blipFill>
        <a:blip xmlns:r="http://schemas.openxmlformats.org/officeDocument/2006/relationships" r:embed="rId9" cstate="print"/>
        <a:srcRect/>
        <a:stretch>
          <a:fillRect/>
        </a:stretch>
      </xdr:blipFill>
      <xdr:spPr bwMode="auto">
        <a:xfrm>
          <a:off x="161924" y="52825650"/>
          <a:ext cx="6047463" cy="6217920"/>
        </a:xfrm>
        <a:prstGeom prst="rect">
          <a:avLst/>
        </a:prstGeom>
        <a:noFill/>
        <a:ln w="1">
          <a:noFill/>
          <a:miter lim="800000"/>
          <a:headEnd/>
          <a:tailEnd type="none" w="med" len="med"/>
        </a:ln>
        <a:effectLst/>
      </xdr:spPr>
    </xdr:pic>
    <xdr:clientData/>
  </xdr:twoCellAnchor>
  <xdr:twoCellAnchor editAs="oneCell">
    <xdr:from>
      <xdr:col>0</xdr:col>
      <xdr:colOff>723900</xdr:colOff>
      <xdr:row>282</xdr:row>
      <xdr:rowOff>0</xdr:rowOff>
    </xdr:from>
    <xdr:to>
      <xdr:col>6</xdr:col>
      <xdr:colOff>304800</xdr:colOff>
      <xdr:row>284</xdr:row>
      <xdr:rowOff>161925</xdr:rowOff>
    </xdr:to>
    <xdr:pic>
      <xdr:nvPicPr>
        <xdr:cNvPr id="3073" name="Picture 1"/>
        <xdr:cNvPicPr>
          <a:picLocks noChangeAspect="1" noChangeArrowheads="1"/>
        </xdr:cNvPicPr>
      </xdr:nvPicPr>
      <xdr:blipFill>
        <a:blip xmlns:r="http://schemas.openxmlformats.org/officeDocument/2006/relationships" r:embed="rId10" cstate="print"/>
        <a:srcRect l="22080" r="20960"/>
        <a:stretch>
          <a:fillRect/>
        </a:stretch>
      </xdr:blipFill>
      <xdr:spPr bwMode="auto">
        <a:xfrm>
          <a:off x="723900" y="68389500"/>
          <a:ext cx="3390900" cy="54292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89188</xdr:colOff>
      <xdr:row>14</xdr:row>
      <xdr:rowOff>51955</xdr:rowOff>
    </xdr:from>
    <xdr:to>
      <xdr:col>4</xdr:col>
      <xdr:colOff>528523</xdr:colOff>
      <xdr:row>16</xdr:row>
      <xdr:rowOff>36715</xdr:rowOff>
    </xdr:to>
    <xdr:pic>
      <xdr:nvPicPr>
        <xdr:cNvPr id="1027"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626052" y="2718955"/>
          <a:ext cx="2275062" cy="36576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209551</xdr:colOff>
      <xdr:row>14</xdr:row>
      <xdr:rowOff>104775</xdr:rowOff>
    </xdr:from>
    <xdr:to>
      <xdr:col>5</xdr:col>
      <xdr:colOff>106881</xdr:colOff>
      <xdr:row>16</xdr:row>
      <xdr:rowOff>89535</xdr:rowOff>
    </xdr:to>
    <xdr:pic>
      <xdr:nvPicPr>
        <xdr:cNvPr id="5"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819151" y="3533775"/>
          <a:ext cx="2335730" cy="36576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323851</xdr:colOff>
      <xdr:row>17</xdr:row>
      <xdr:rowOff>123825</xdr:rowOff>
    </xdr:from>
    <xdr:to>
      <xdr:col>5</xdr:col>
      <xdr:colOff>221182</xdr:colOff>
      <xdr:row>19</xdr:row>
      <xdr:rowOff>108585</xdr:rowOff>
    </xdr:to>
    <xdr:pic>
      <xdr:nvPicPr>
        <xdr:cNvPr id="2"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933451" y="3362325"/>
          <a:ext cx="2335731" cy="36576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123826</xdr:colOff>
      <xdr:row>13</xdr:row>
      <xdr:rowOff>114300</xdr:rowOff>
    </xdr:from>
    <xdr:to>
      <xdr:col>5</xdr:col>
      <xdr:colOff>21156</xdr:colOff>
      <xdr:row>15</xdr:row>
      <xdr:rowOff>99060</xdr:rowOff>
    </xdr:to>
    <xdr:pic>
      <xdr:nvPicPr>
        <xdr:cNvPr id="2"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733426" y="3733800"/>
          <a:ext cx="2335730" cy="36576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247651</xdr:colOff>
      <xdr:row>13</xdr:row>
      <xdr:rowOff>114300</xdr:rowOff>
    </xdr:from>
    <xdr:to>
      <xdr:col>5</xdr:col>
      <xdr:colOff>144981</xdr:colOff>
      <xdr:row>15</xdr:row>
      <xdr:rowOff>99060</xdr:rowOff>
    </xdr:to>
    <xdr:pic>
      <xdr:nvPicPr>
        <xdr:cNvPr id="3"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857251" y="3352800"/>
          <a:ext cx="2335730" cy="365760"/>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47626</xdr:colOff>
      <xdr:row>14</xdr:row>
      <xdr:rowOff>161925</xdr:rowOff>
    </xdr:from>
    <xdr:to>
      <xdr:col>4</xdr:col>
      <xdr:colOff>554556</xdr:colOff>
      <xdr:row>16</xdr:row>
      <xdr:rowOff>146685</xdr:rowOff>
    </xdr:to>
    <xdr:pic>
      <xdr:nvPicPr>
        <xdr:cNvPr id="2"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657226" y="2828925"/>
          <a:ext cx="2335730" cy="36576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200026</xdr:colOff>
      <xdr:row>13</xdr:row>
      <xdr:rowOff>142875</xdr:rowOff>
    </xdr:from>
    <xdr:to>
      <xdr:col>5</xdr:col>
      <xdr:colOff>97356</xdr:colOff>
      <xdr:row>15</xdr:row>
      <xdr:rowOff>127635</xdr:rowOff>
    </xdr:to>
    <xdr:pic>
      <xdr:nvPicPr>
        <xdr:cNvPr id="2"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809626" y="2809875"/>
          <a:ext cx="2335730" cy="365760"/>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333376</xdr:colOff>
      <xdr:row>13</xdr:row>
      <xdr:rowOff>47625</xdr:rowOff>
    </xdr:from>
    <xdr:to>
      <xdr:col>5</xdr:col>
      <xdr:colOff>230706</xdr:colOff>
      <xdr:row>15</xdr:row>
      <xdr:rowOff>32385</xdr:rowOff>
    </xdr:to>
    <xdr:pic>
      <xdr:nvPicPr>
        <xdr:cNvPr id="3"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942976" y="3095625"/>
          <a:ext cx="2335730" cy="36576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219076</xdr:colOff>
      <xdr:row>13</xdr:row>
      <xdr:rowOff>142875</xdr:rowOff>
    </xdr:from>
    <xdr:to>
      <xdr:col>5</xdr:col>
      <xdr:colOff>116406</xdr:colOff>
      <xdr:row>15</xdr:row>
      <xdr:rowOff>127635</xdr:rowOff>
    </xdr:to>
    <xdr:pic>
      <xdr:nvPicPr>
        <xdr:cNvPr id="2"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828676" y="3190875"/>
          <a:ext cx="2335730" cy="365760"/>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504825</xdr:colOff>
      <xdr:row>22</xdr:row>
      <xdr:rowOff>66675</xdr:rowOff>
    </xdr:from>
    <xdr:to>
      <xdr:col>7</xdr:col>
      <xdr:colOff>314325</xdr:colOff>
      <xdr:row>25</xdr:row>
      <xdr:rowOff>38100</xdr:rowOff>
    </xdr:to>
    <xdr:pic>
      <xdr:nvPicPr>
        <xdr:cNvPr id="2" name="Picture 3"/>
        <xdr:cNvPicPr>
          <a:picLocks noChangeAspect="1" noChangeArrowheads="1"/>
        </xdr:cNvPicPr>
      </xdr:nvPicPr>
      <xdr:blipFill>
        <a:blip xmlns:r="http://schemas.openxmlformats.org/officeDocument/2006/relationships" r:embed="rId1" cstate="print"/>
        <a:srcRect l="20960" r="22080"/>
        <a:stretch>
          <a:fillRect/>
        </a:stretch>
      </xdr:blipFill>
      <xdr:spPr bwMode="auto">
        <a:xfrm>
          <a:off x="1114425" y="4448175"/>
          <a:ext cx="3467100" cy="5429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495300</xdr:colOff>
      <xdr:row>8</xdr:row>
      <xdr:rowOff>171450</xdr:rowOff>
    </xdr:to>
    <xdr:pic>
      <xdr:nvPicPr>
        <xdr:cNvPr id="10241" name="Picture 1" descr="Size Designation &#10;Key"/>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1104900" cy="93345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dimension ref="A1:M924"/>
  <sheetViews>
    <sheetView topLeftCell="A218" zoomScaleNormal="100" workbookViewId="0">
      <selection activeCell="K236" sqref="K236"/>
    </sheetView>
  </sheetViews>
  <sheetFormatPr defaultRowHeight="15"/>
  <cols>
    <col min="1" max="1" width="11" customWidth="1"/>
    <col min="4" max="4" width="9.5703125" customWidth="1"/>
  </cols>
  <sheetData>
    <row r="1" spans="1:7">
      <c r="A1" s="1" t="s">
        <v>0</v>
      </c>
    </row>
    <row r="4" spans="1:7">
      <c r="A4" s="1" t="s">
        <v>1</v>
      </c>
    </row>
    <row r="5" spans="1:7">
      <c r="B5" t="s">
        <v>2</v>
      </c>
    </row>
    <row r="6" spans="1:7">
      <c r="B6" t="s">
        <v>3</v>
      </c>
    </row>
    <row r="7" spans="1:7">
      <c r="B7" t="s">
        <v>4</v>
      </c>
      <c r="D7">
        <v>8</v>
      </c>
      <c r="E7" t="s">
        <v>5</v>
      </c>
      <c r="F7">
        <v>6</v>
      </c>
      <c r="G7" t="s">
        <v>6</v>
      </c>
    </row>
    <row r="8" spans="1:7">
      <c r="B8" t="s">
        <v>7</v>
      </c>
      <c r="C8" t="s">
        <v>8</v>
      </c>
    </row>
    <row r="9" spans="1:7">
      <c r="C9" t="s">
        <v>9</v>
      </c>
      <c r="D9">
        <v>13.4</v>
      </c>
      <c r="E9" t="s">
        <v>10</v>
      </c>
    </row>
    <row r="10" spans="1:7">
      <c r="C10" t="s">
        <v>11</v>
      </c>
      <c r="D10">
        <v>19</v>
      </c>
      <c r="E10" t="s">
        <v>10</v>
      </c>
    </row>
    <row r="12" spans="1:7">
      <c r="B12" t="s">
        <v>12</v>
      </c>
    </row>
    <row r="14" spans="1:7">
      <c r="B14" t="s">
        <v>13</v>
      </c>
      <c r="D14">
        <v>0.34</v>
      </c>
      <c r="E14" t="s">
        <v>22</v>
      </c>
    </row>
    <row r="16" spans="1:7">
      <c r="B16" t="s">
        <v>14</v>
      </c>
    </row>
    <row r="17" spans="1:6">
      <c r="C17" t="s">
        <v>15</v>
      </c>
      <c r="D17">
        <v>0.7</v>
      </c>
    </row>
    <row r="19" spans="1:6">
      <c r="B19" t="s">
        <v>16</v>
      </c>
    </row>
    <row r="21" spans="1:6">
      <c r="B21" t="s">
        <v>17</v>
      </c>
    </row>
    <row r="22" spans="1:6">
      <c r="C22">
        <v>24</v>
      </c>
      <c r="D22" t="s">
        <v>18</v>
      </c>
      <c r="E22">
        <v>7</v>
      </c>
      <c r="F22" t="s">
        <v>19</v>
      </c>
    </row>
    <row r="25" spans="1:6">
      <c r="A25" s="1" t="s">
        <v>20</v>
      </c>
    </row>
    <row r="27" spans="1:6">
      <c r="B27" t="s">
        <v>21</v>
      </c>
      <c r="C27">
        <f>D14</f>
        <v>0.34</v>
      </c>
      <c r="D27" t="s">
        <v>26</v>
      </c>
    </row>
    <row r="29" spans="1:6">
      <c r="B29" t="s">
        <v>23</v>
      </c>
      <c r="C29">
        <f>D17</f>
        <v>0.7</v>
      </c>
    </row>
    <row r="31" spans="1:6">
      <c r="B31" t="s">
        <v>24</v>
      </c>
    </row>
    <row r="33" spans="1:5">
      <c r="B33" s="2" t="s">
        <v>25</v>
      </c>
      <c r="C33" s="2">
        <f>C27*C29</f>
        <v>0.23799999999999999</v>
      </c>
      <c r="D33" s="2" t="s">
        <v>22</v>
      </c>
    </row>
    <row r="34" spans="1:5">
      <c r="B34" s="1"/>
      <c r="C34" s="2" t="s">
        <v>34</v>
      </c>
      <c r="D34" s="1"/>
    </row>
    <row r="35" spans="1:5">
      <c r="B35" s="7" t="s">
        <v>25</v>
      </c>
      <c r="C35" s="7">
        <f>C33*1.1</f>
        <v>0.26180000000000003</v>
      </c>
      <c r="D35" s="7" t="s">
        <v>22</v>
      </c>
    </row>
    <row r="38" spans="1:5">
      <c r="A38" s="1" t="s">
        <v>27</v>
      </c>
    </row>
    <row r="42" spans="1:5">
      <c r="B42">
        <f>C35</f>
        <v>0.26180000000000003</v>
      </c>
      <c r="C42" t="s">
        <v>22</v>
      </c>
    </row>
    <row r="43" spans="1:5">
      <c r="B43">
        <f>C22</f>
        <v>24</v>
      </c>
      <c r="C43" t="s">
        <v>28</v>
      </c>
    </row>
    <row r="44" spans="1:5">
      <c r="B44">
        <f>E22</f>
        <v>7</v>
      </c>
      <c r="C44" t="s">
        <v>29</v>
      </c>
    </row>
    <row r="45" spans="1:5">
      <c r="B45">
        <f>D7</f>
        <v>8</v>
      </c>
      <c r="C45" t="s">
        <v>30</v>
      </c>
      <c r="D45">
        <f>F7</f>
        <v>6</v>
      </c>
      <c r="E45" t="s">
        <v>31</v>
      </c>
    </row>
    <row r="46" spans="1:5">
      <c r="B46">
        <f>B45*D45</f>
        <v>48</v>
      </c>
      <c r="C46" t="s">
        <v>32</v>
      </c>
    </row>
    <row r="48" spans="1:5">
      <c r="B48" s="3">
        <f>B42*B46/(96.3*B43)</f>
        <v>5.4371754932502608E-3</v>
      </c>
      <c r="C48" t="s">
        <v>33</v>
      </c>
    </row>
    <row r="49" spans="2:4">
      <c r="B49" s="6">
        <f>B48*60</f>
        <v>0.32623052959501564</v>
      </c>
      <c r="C49" s="7" t="s">
        <v>37</v>
      </c>
      <c r="D49" s="8"/>
    </row>
    <row r="50" spans="2:4">
      <c r="B50" s="4"/>
      <c r="C50" s="1"/>
    </row>
    <row r="51" spans="2:4">
      <c r="B51" s="5" t="s">
        <v>39</v>
      </c>
      <c r="C51" s="1"/>
    </row>
    <row r="52" spans="2:4">
      <c r="C52" t="s">
        <v>40</v>
      </c>
    </row>
    <row r="53" spans="2:4">
      <c r="B53" t="s">
        <v>35</v>
      </c>
    </row>
    <row r="54" spans="2:4">
      <c r="C54" t="s">
        <v>36</v>
      </c>
    </row>
    <row r="55" spans="2:4">
      <c r="B55">
        <v>0.8</v>
      </c>
      <c r="C55" t="s">
        <v>38</v>
      </c>
    </row>
    <row r="61" spans="2:4">
      <c r="B61" s="6">
        <f>B49/B55</f>
        <v>0.40778816199376955</v>
      </c>
      <c r="C61" s="7" t="s">
        <v>41</v>
      </c>
      <c r="D61" s="7"/>
    </row>
    <row r="67" spans="1:7">
      <c r="A67" s="1" t="s">
        <v>42</v>
      </c>
    </row>
    <row r="69" spans="1:7">
      <c r="A69" s="100" t="s">
        <v>43</v>
      </c>
      <c r="B69" s="100"/>
      <c r="C69" s="10"/>
      <c r="D69" s="100" t="s">
        <v>44</v>
      </c>
      <c r="E69" s="100"/>
      <c r="F69" s="100"/>
      <c r="G69" s="100"/>
    </row>
    <row r="70" spans="1:7">
      <c r="A70" s="9"/>
      <c r="B70" s="9"/>
      <c r="D70" s="99" t="s">
        <v>54</v>
      </c>
      <c r="E70" s="99"/>
      <c r="F70" s="99"/>
      <c r="G70" s="99"/>
    </row>
    <row r="71" spans="1:7">
      <c r="A71" s="99" t="s">
        <v>45</v>
      </c>
      <c r="B71" s="99"/>
      <c r="D71" s="99" t="s">
        <v>49</v>
      </c>
      <c r="E71" s="99"/>
      <c r="F71" s="99"/>
      <c r="G71" s="99"/>
    </row>
    <row r="72" spans="1:7">
      <c r="A72" s="99" t="s">
        <v>46</v>
      </c>
      <c r="B72" s="99"/>
      <c r="D72" s="99" t="s">
        <v>50</v>
      </c>
      <c r="E72" s="99"/>
      <c r="F72" s="99"/>
      <c r="G72" s="99"/>
    </row>
    <row r="73" spans="1:7">
      <c r="A73" s="99" t="s">
        <v>47</v>
      </c>
      <c r="B73" s="99"/>
      <c r="D73" s="99" t="s">
        <v>51</v>
      </c>
      <c r="E73" s="99"/>
      <c r="F73" s="99"/>
      <c r="G73" s="99"/>
    </row>
    <row r="74" spans="1:7">
      <c r="A74" s="99" t="s">
        <v>48</v>
      </c>
      <c r="B74" s="99"/>
      <c r="D74" s="99" t="s">
        <v>52</v>
      </c>
      <c r="E74" s="99"/>
      <c r="F74" s="99"/>
      <c r="G74" s="99"/>
    </row>
    <row r="76" spans="1:7">
      <c r="B76" t="s">
        <v>53</v>
      </c>
    </row>
    <row r="77" spans="1:7">
      <c r="C77" t="s">
        <v>55</v>
      </c>
      <c r="D77">
        <v>6</v>
      </c>
      <c r="E77" t="s">
        <v>6</v>
      </c>
    </row>
    <row r="79" spans="1:7">
      <c r="B79" t="s">
        <v>56</v>
      </c>
    </row>
    <row r="83" spans="2:5" ht="17.25">
      <c r="B83" t="s">
        <v>57</v>
      </c>
      <c r="D83" s="12">
        <f>(3.14*(D77^2))/4</f>
        <v>28.26</v>
      </c>
      <c r="E83" t="s">
        <v>58</v>
      </c>
    </row>
    <row r="85" spans="2:5">
      <c r="B85" t="s">
        <v>63</v>
      </c>
    </row>
    <row r="88" spans="2:5" ht="17.25">
      <c r="B88" t="s">
        <v>59</v>
      </c>
      <c r="D88">
        <f>B46</f>
        <v>48</v>
      </c>
      <c r="E88" t="s">
        <v>58</v>
      </c>
    </row>
    <row r="90" spans="2:5">
      <c r="B90" t="s">
        <v>60</v>
      </c>
      <c r="D90" s="11">
        <f>D83/D88*100</f>
        <v>58.875</v>
      </c>
      <c r="E90" t="s">
        <v>61</v>
      </c>
    </row>
    <row r="92" spans="2:5">
      <c r="B92" t="s">
        <v>62</v>
      </c>
    </row>
    <row r="93" spans="2:5">
      <c r="B93" t="s">
        <v>68</v>
      </c>
    </row>
    <row r="108" spans="1:2">
      <c r="A108" s="1" t="s">
        <v>64</v>
      </c>
    </row>
    <row r="109" spans="1:2">
      <c r="B109" t="s">
        <v>65</v>
      </c>
    </row>
    <row r="110" spans="1:2">
      <c r="B110" t="s">
        <v>66</v>
      </c>
    </row>
    <row r="111" spans="1:2">
      <c r="B111" t="s">
        <v>67</v>
      </c>
    </row>
    <row r="113" spans="2:5">
      <c r="B113" t="s">
        <v>70</v>
      </c>
    </row>
    <row r="114" spans="2:5">
      <c r="B114" s="13">
        <v>0.5</v>
      </c>
      <c r="C114" t="s">
        <v>69</v>
      </c>
    </row>
    <row r="115" spans="2:5">
      <c r="B115" t="s">
        <v>71</v>
      </c>
    </row>
    <row r="116" spans="2:5">
      <c r="B116">
        <v>2</v>
      </c>
      <c r="C116" t="s">
        <v>75</v>
      </c>
    </row>
    <row r="117" spans="2:5">
      <c r="B117">
        <v>18</v>
      </c>
      <c r="C117" t="s">
        <v>72</v>
      </c>
    </row>
    <row r="119" spans="2:5">
      <c r="B119" s="1" t="s">
        <v>9</v>
      </c>
    </row>
    <row r="120" spans="2:5">
      <c r="C120">
        <f>D9</f>
        <v>13.4</v>
      </c>
      <c r="D120" t="s">
        <v>10</v>
      </c>
    </row>
    <row r="121" spans="2:5" ht="17.25">
      <c r="C121">
        <f>C120*43560</f>
        <v>583704</v>
      </c>
      <c r="D121" t="s">
        <v>58</v>
      </c>
    </row>
    <row r="122" spans="2:5" ht="17.25">
      <c r="C122">
        <f>B46</f>
        <v>48</v>
      </c>
      <c r="D122" t="s">
        <v>73</v>
      </c>
    </row>
    <row r="124" spans="2:5">
      <c r="C124">
        <f>ROUNDDOWN(C121/C122,0)</f>
        <v>12160</v>
      </c>
      <c r="D124" t="s">
        <v>74</v>
      </c>
    </row>
    <row r="125" spans="2:5">
      <c r="C125">
        <f>C124*B116</f>
        <v>24320</v>
      </c>
      <c r="D125" t="s">
        <v>76</v>
      </c>
    </row>
    <row r="127" spans="2:5">
      <c r="C127">
        <f>C125*B114</f>
        <v>12160</v>
      </c>
      <c r="D127" t="s">
        <v>77</v>
      </c>
    </row>
    <row r="128" spans="2:5">
      <c r="C128" s="7">
        <f>ROUNDUP(C127/60,0)</f>
        <v>203</v>
      </c>
      <c r="D128" s="7" t="s">
        <v>78</v>
      </c>
      <c r="E128" s="7"/>
    </row>
    <row r="129" spans="1:5">
      <c r="C129" s="95"/>
      <c r="D129" s="95"/>
      <c r="E129" s="95"/>
    </row>
    <row r="130" spans="1:5">
      <c r="C130" s="95"/>
      <c r="D130" s="95"/>
      <c r="E130" s="95"/>
    </row>
    <row r="131" spans="1:5">
      <c r="C131" s="95"/>
      <c r="D131" s="95"/>
      <c r="E131" s="95"/>
    </row>
    <row r="132" spans="1:5">
      <c r="B132" s="1" t="s">
        <v>11</v>
      </c>
    </row>
    <row r="133" spans="1:5">
      <c r="C133">
        <f>D10</f>
        <v>19</v>
      </c>
      <c r="D133" t="s">
        <v>10</v>
      </c>
    </row>
    <row r="134" spans="1:5" ht="17.25">
      <c r="C134">
        <f>C133*43560</f>
        <v>827640</v>
      </c>
      <c r="D134" t="s">
        <v>58</v>
      </c>
    </row>
    <row r="135" spans="1:5" ht="17.25">
      <c r="C135">
        <f>C122</f>
        <v>48</v>
      </c>
      <c r="D135" t="s">
        <v>73</v>
      </c>
    </row>
    <row r="137" spans="1:5">
      <c r="C137">
        <f>ROUNDDOWN(C134/C135,0)</f>
        <v>17242</v>
      </c>
      <c r="D137" t="s">
        <v>79</v>
      </c>
    </row>
    <row r="138" spans="1:5">
      <c r="C138">
        <f>C137*B116</f>
        <v>34484</v>
      </c>
      <c r="D138" t="s">
        <v>76</v>
      </c>
    </row>
    <row r="140" spans="1:5">
      <c r="C140">
        <f>C138*B114</f>
        <v>17242</v>
      </c>
      <c r="D140" t="s">
        <v>80</v>
      </c>
    </row>
    <row r="141" spans="1:5">
      <c r="C141" s="7">
        <f>ROUNDUP(C140/60,0)</f>
        <v>288</v>
      </c>
      <c r="D141" s="7" t="s">
        <v>78</v>
      </c>
      <c r="E141" s="7"/>
    </row>
    <row r="144" spans="1:5">
      <c r="A144" s="1" t="s">
        <v>81</v>
      </c>
    </row>
    <row r="145" spans="1:12">
      <c r="A145" s="1"/>
    </row>
    <row r="146" spans="1:12" ht="15.75" thickBot="1">
      <c r="A146" s="14"/>
    </row>
    <row r="147" spans="1:12" ht="16.5" thickBot="1">
      <c r="A147" s="96"/>
      <c r="B147" s="97" t="s">
        <v>9</v>
      </c>
      <c r="C147" s="97"/>
      <c r="D147" s="97"/>
      <c r="E147" s="97"/>
      <c r="F147" s="97" t="s">
        <v>11</v>
      </c>
      <c r="G147" s="97"/>
      <c r="H147" s="97"/>
      <c r="I147" s="97"/>
      <c r="J147" s="97"/>
      <c r="K147" s="97"/>
    </row>
    <row r="148" spans="1:12" ht="15.75" thickBot="1">
      <c r="A148" s="96"/>
      <c r="B148" s="15" t="s">
        <v>84</v>
      </c>
      <c r="C148" s="15" t="s">
        <v>85</v>
      </c>
      <c r="D148" s="15" t="s">
        <v>86</v>
      </c>
      <c r="E148" s="15" t="s">
        <v>87</v>
      </c>
      <c r="F148" s="15" t="s">
        <v>88</v>
      </c>
      <c r="G148" s="15" t="s">
        <v>89</v>
      </c>
      <c r="H148" s="15" t="s">
        <v>90</v>
      </c>
      <c r="I148" s="15" t="s">
        <v>91</v>
      </c>
      <c r="J148" s="15" t="s">
        <v>92</v>
      </c>
      <c r="K148" s="15" t="s">
        <v>93</v>
      </c>
    </row>
    <row r="149" spans="1:12" ht="18" thickBot="1">
      <c r="A149" s="16" t="s">
        <v>94</v>
      </c>
      <c r="B149" s="17">
        <v>141895</v>
      </c>
      <c r="C149" s="19">
        <v>143113</v>
      </c>
      <c r="D149" s="19">
        <v>150094</v>
      </c>
      <c r="E149" s="19">
        <v>142430</v>
      </c>
      <c r="F149" s="19">
        <v>142743</v>
      </c>
      <c r="G149" s="19">
        <v>146385</v>
      </c>
      <c r="H149" s="19">
        <v>141070</v>
      </c>
      <c r="I149" s="19">
        <v>134502</v>
      </c>
      <c r="J149" s="19">
        <v>136067</v>
      </c>
      <c r="K149" s="19">
        <v>126889</v>
      </c>
      <c r="L149" s="11"/>
    </row>
    <row r="150" spans="1:12" ht="15.75" thickBot="1">
      <c r="A150" s="16" t="s">
        <v>82</v>
      </c>
      <c r="B150" s="18">
        <f>B149/43560</f>
        <v>3.2574609733700641</v>
      </c>
      <c r="C150" s="18">
        <f t="shared" ref="C150:K150" si="0">C149/43560</f>
        <v>3.2854224058769512</v>
      </c>
      <c r="D150" s="18">
        <f t="shared" si="0"/>
        <v>3.4456841138659322</v>
      </c>
      <c r="E150" s="18">
        <f t="shared" si="0"/>
        <v>3.269742883379247</v>
      </c>
      <c r="F150" s="18">
        <f t="shared" si="0"/>
        <v>3.2769283746556472</v>
      </c>
      <c r="G150" s="18">
        <f t="shared" si="0"/>
        <v>3.3605371900826446</v>
      </c>
      <c r="H150" s="18">
        <f t="shared" si="0"/>
        <v>3.2385215794306705</v>
      </c>
      <c r="I150" s="18">
        <f t="shared" si="0"/>
        <v>3.0877410468319559</v>
      </c>
      <c r="J150" s="18">
        <f t="shared" si="0"/>
        <v>3.1236685032139579</v>
      </c>
      <c r="K150" s="18">
        <f t="shared" si="0"/>
        <v>2.9129706152433426</v>
      </c>
      <c r="L150" s="11"/>
    </row>
    <row r="151" spans="1:12" ht="48" thickBot="1">
      <c r="A151" s="16" t="s">
        <v>95</v>
      </c>
      <c r="B151" s="19">
        <f>$C$122</f>
        <v>48</v>
      </c>
      <c r="C151" s="19">
        <f t="shared" ref="C151:K151" si="1">$C$122</f>
        <v>48</v>
      </c>
      <c r="D151" s="19">
        <f t="shared" si="1"/>
        <v>48</v>
      </c>
      <c r="E151" s="19">
        <f t="shared" si="1"/>
        <v>48</v>
      </c>
      <c r="F151" s="19">
        <f t="shared" si="1"/>
        <v>48</v>
      </c>
      <c r="G151" s="19">
        <f t="shared" si="1"/>
        <v>48</v>
      </c>
      <c r="H151" s="19">
        <f t="shared" si="1"/>
        <v>48</v>
      </c>
      <c r="I151" s="19">
        <f t="shared" si="1"/>
        <v>48</v>
      </c>
      <c r="J151" s="19">
        <f t="shared" si="1"/>
        <v>48</v>
      </c>
      <c r="K151" s="19">
        <f t="shared" si="1"/>
        <v>48</v>
      </c>
    </row>
    <row r="152" spans="1:12" ht="30.75" thickBot="1">
      <c r="A152" s="16" t="s">
        <v>83</v>
      </c>
      <c r="B152" s="19">
        <f>$B$116</f>
        <v>2</v>
      </c>
      <c r="C152" s="19">
        <f t="shared" ref="C152:K152" si="2">$B$116</f>
        <v>2</v>
      </c>
      <c r="D152" s="19">
        <f t="shared" si="2"/>
        <v>2</v>
      </c>
      <c r="E152" s="19">
        <f t="shared" si="2"/>
        <v>2</v>
      </c>
      <c r="F152" s="19">
        <f t="shared" si="2"/>
        <v>2</v>
      </c>
      <c r="G152" s="19">
        <f t="shared" si="2"/>
        <v>2</v>
      </c>
      <c r="H152" s="19">
        <f t="shared" si="2"/>
        <v>2</v>
      </c>
      <c r="I152" s="19">
        <f t="shared" si="2"/>
        <v>2</v>
      </c>
      <c r="J152" s="19">
        <f t="shared" si="2"/>
        <v>2</v>
      </c>
      <c r="K152" s="19">
        <f t="shared" si="2"/>
        <v>2</v>
      </c>
    </row>
    <row r="153" spans="1:12" ht="30.75" thickBot="1">
      <c r="A153" s="16" t="s">
        <v>96</v>
      </c>
      <c r="B153" s="20">
        <f>$B$114</f>
        <v>0.5</v>
      </c>
      <c r="C153" s="20">
        <f t="shared" ref="C153:K153" si="3">$B$114</f>
        <v>0.5</v>
      </c>
      <c r="D153" s="20">
        <f t="shared" si="3"/>
        <v>0.5</v>
      </c>
      <c r="E153" s="20">
        <f t="shared" si="3"/>
        <v>0.5</v>
      </c>
      <c r="F153" s="20">
        <f t="shared" si="3"/>
        <v>0.5</v>
      </c>
      <c r="G153" s="20">
        <f t="shared" si="3"/>
        <v>0.5</v>
      </c>
      <c r="H153" s="20">
        <f t="shared" si="3"/>
        <v>0.5</v>
      </c>
      <c r="I153" s="20">
        <f t="shared" si="3"/>
        <v>0.5</v>
      </c>
      <c r="J153" s="20">
        <f t="shared" si="3"/>
        <v>0.5</v>
      </c>
      <c r="K153" s="20">
        <f t="shared" si="3"/>
        <v>0.5</v>
      </c>
    </row>
    <row r="154" spans="1:12" ht="30.75" thickBot="1">
      <c r="A154" s="16" t="s">
        <v>98</v>
      </c>
      <c r="B154" s="17">
        <f>ROUNDDOWN(B149/B151,0)</f>
        <v>2956</v>
      </c>
      <c r="C154" s="17">
        <f t="shared" ref="C154:K154" si="4">ROUNDDOWN(C149/C151,0)</f>
        <v>2981</v>
      </c>
      <c r="D154" s="17">
        <f t="shared" si="4"/>
        <v>3126</v>
      </c>
      <c r="E154" s="17">
        <f t="shared" si="4"/>
        <v>2967</v>
      </c>
      <c r="F154" s="17">
        <f t="shared" si="4"/>
        <v>2973</v>
      </c>
      <c r="G154" s="17">
        <f t="shared" si="4"/>
        <v>3049</v>
      </c>
      <c r="H154" s="17">
        <f t="shared" si="4"/>
        <v>2938</v>
      </c>
      <c r="I154" s="17">
        <f t="shared" si="4"/>
        <v>2802</v>
      </c>
      <c r="J154" s="17">
        <f t="shared" si="4"/>
        <v>2834</v>
      </c>
      <c r="K154" s="17">
        <f t="shared" si="4"/>
        <v>2643</v>
      </c>
    </row>
    <row r="155" spans="1:12" ht="30.75" thickBot="1">
      <c r="A155" s="16" t="s">
        <v>97</v>
      </c>
      <c r="B155" s="17">
        <f>B154*B153*B152</f>
        <v>2956</v>
      </c>
      <c r="C155" s="17">
        <f t="shared" ref="C155:K155" si="5">C154*C153*C152</f>
        <v>2981</v>
      </c>
      <c r="D155" s="17">
        <f t="shared" si="5"/>
        <v>3126</v>
      </c>
      <c r="E155" s="17">
        <f t="shared" si="5"/>
        <v>2967</v>
      </c>
      <c r="F155" s="17">
        <f t="shared" si="5"/>
        <v>2973</v>
      </c>
      <c r="G155" s="17">
        <f t="shared" si="5"/>
        <v>3049</v>
      </c>
      <c r="H155" s="17">
        <f t="shared" si="5"/>
        <v>2938</v>
      </c>
      <c r="I155" s="17">
        <f t="shared" si="5"/>
        <v>2802</v>
      </c>
      <c r="J155" s="17">
        <f t="shared" si="5"/>
        <v>2834</v>
      </c>
      <c r="K155" s="17">
        <f t="shared" si="5"/>
        <v>2643</v>
      </c>
    </row>
    <row r="156" spans="1:12" ht="30.75" thickBot="1">
      <c r="A156" s="16" t="s">
        <v>99</v>
      </c>
      <c r="B156" s="18">
        <f>B155/60</f>
        <v>49.266666666666666</v>
      </c>
      <c r="C156" s="18">
        <f t="shared" ref="C156:K156" si="6">C155/60</f>
        <v>49.68333333333333</v>
      </c>
      <c r="D156" s="18">
        <f t="shared" si="6"/>
        <v>52.1</v>
      </c>
      <c r="E156" s="18">
        <f t="shared" si="6"/>
        <v>49.45</v>
      </c>
      <c r="F156" s="18">
        <f t="shared" si="6"/>
        <v>49.55</v>
      </c>
      <c r="G156" s="18">
        <f t="shared" si="6"/>
        <v>50.81666666666667</v>
      </c>
      <c r="H156" s="18">
        <f t="shared" si="6"/>
        <v>48.966666666666669</v>
      </c>
      <c r="I156" s="18">
        <f t="shared" si="6"/>
        <v>46.7</v>
      </c>
      <c r="J156" s="18">
        <f t="shared" si="6"/>
        <v>47.233333333333334</v>
      </c>
      <c r="K156" s="18">
        <f t="shared" si="6"/>
        <v>44.05</v>
      </c>
    </row>
    <row r="157" spans="1:12">
      <c r="C157" t="s">
        <v>198</v>
      </c>
    </row>
    <row r="159" spans="1:12">
      <c r="B159" s="1" t="s">
        <v>350</v>
      </c>
    </row>
    <row r="189" spans="1:3">
      <c r="A189" s="1" t="s">
        <v>353</v>
      </c>
    </row>
    <row r="190" spans="1:3">
      <c r="A190" s="1"/>
    </row>
    <row r="191" spans="1:3" ht="15.75" thickBot="1"/>
    <row r="192" spans="1:3" ht="16.5" thickBot="1">
      <c r="B192" s="103"/>
      <c r="C192" s="94" t="s">
        <v>11</v>
      </c>
    </row>
    <row r="193" spans="1:3" ht="15.75" thickBot="1">
      <c r="B193" s="104"/>
      <c r="C193" s="15" t="s">
        <v>89</v>
      </c>
    </row>
    <row r="194" spans="1:3" ht="30.75" thickBot="1">
      <c r="B194" s="16" t="s">
        <v>131</v>
      </c>
      <c r="C194" s="39">
        <f>'Block 6'!B306</f>
        <v>10.693774731097122</v>
      </c>
    </row>
    <row r="195" spans="1:3" ht="30.75" thickBot="1">
      <c r="B195" s="16" t="s">
        <v>132</v>
      </c>
      <c r="C195" s="20">
        <f>'Block 6'!B307</f>
        <v>25</v>
      </c>
    </row>
    <row r="196" spans="1:3" ht="30.75" thickBot="1">
      <c r="B196" s="16" t="s">
        <v>133</v>
      </c>
      <c r="C196" s="39">
        <f>'Block 6'!B308</f>
        <v>14.306225268902878</v>
      </c>
    </row>
    <row r="197" spans="1:3">
      <c r="C197" t="s">
        <v>356</v>
      </c>
    </row>
    <row r="199" spans="1:3">
      <c r="B199" t="s">
        <v>354</v>
      </c>
    </row>
    <row r="200" spans="1:3">
      <c r="B200" t="s">
        <v>134</v>
      </c>
    </row>
    <row r="201" spans="1:3">
      <c r="B201" t="s">
        <v>135</v>
      </c>
    </row>
    <row r="202" spans="1:3">
      <c r="B202" t="s">
        <v>355</v>
      </c>
    </row>
    <row r="204" spans="1:3">
      <c r="B204" t="s">
        <v>335</v>
      </c>
    </row>
    <row r="206" spans="1:3">
      <c r="A206" s="1" t="s">
        <v>136</v>
      </c>
    </row>
    <row r="208" spans="1:3">
      <c r="B208" t="s">
        <v>163</v>
      </c>
    </row>
    <row r="209" spans="1:11">
      <c r="B209" t="s">
        <v>161</v>
      </c>
      <c r="H209" s="12">
        <f>'Block 6 Readjustment'!C546</f>
        <v>599.86499999999967</v>
      </c>
      <c r="I209" t="s">
        <v>162</v>
      </c>
    </row>
    <row r="211" spans="1:11">
      <c r="B211" s="1" t="s">
        <v>164</v>
      </c>
      <c r="F211" s="1" t="s">
        <v>165</v>
      </c>
    </row>
    <row r="212" spans="1:11">
      <c r="B212" s="2" t="s">
        <v>166</v>
      </c>
      <c r="C212" s="12">
        <f>SUM('Block 6 Readjustment'!D32:D228)</f>
        <v>599.86499999999967</v>
      </c>
      <c r="D212" t="s">
        <v>167</v>
      </c>
      <c r="F212" s="2" t="s">
        <v>166</v>
      </c>
      <c r="G212" s="12">
        <f>SUM('Block 6 Readjustment'!D236:D540)</f>
        <v>928.72499999999525</v>
      </c>
      <c r="H212" t="s">
        <v>167</v>
      </c>
    </row>
    <row r="213" spans="1:11">
      <c r="B213" t="str">
        <f>'Block 6 Readjustment'!B230</f>
        <v>Min P</v>
      </c>
      <c r="C213" s="13">
        <f>'Block 6 Readjustment'!C230</f>
        <v>9.2132591416665264</v>
      </c>
      <c r="D213" t="str">
        <f>'Block 6 Readjustment'!D230</f>
        <v>psi</v>
      </c>
      <c r="F213" t="str">
        <f>'Block 6 Readjustment'!B542</f>
        <v>Min P</v>
      </c>
      <c r="G213" s="13">
        <f>'Block 6 Readjustment'!C542</f>
        <v>22.394076289775061</v>
      </c>
      <c r="H213" t="str">
        <f>'Block 6 Readjustment'!D542</f>
        <v>psi</v>
      </c>
    </row>
    <row r="214" spans="1:11">
      <c r="B214" t="str">
        <f>'Block 6 Readjustment'!B231</f>
        <v>Max P</v>
      </c>
      <c r="C214" s="13">
        <f>'Block 6 Readjustment'!C231</f>
        <v>25</v>
      </c>
      <c r="D214" t="str">
        <f>'Block 6 Readjustment'!D231</f>
        <v>psi</v>
      </c>
      <c r="F214" t="str">
        <f>'Block 6 Readjustment'!B543</f>
        <v>Max P</v>
      </c>
      <c r="G214" s="13">
        <f>'Block 6 Readjustment'!C543</f>
        <v>25</v>
      </c>
      <c r="H214" t="str">
        <f>'Block 6 Readjustment'!D543</f>
        <v>psi</v>
      </c>
    </row>
    <row r="215" spans="1:11">
      <c r="B215" t="str">
        <f>'Block 6 Readjustment'!B232</f>
        <v>Chg. In P</v>
      </c>
      <c r="C215" s="13">
        <f>'Block 6 Readjustment'!C232</f>
        <v>15.786740858333474</v>
      </c>
      <c r="D215" t="str">
        <f>'Block 6 Readjustment'!D232</f>
        <v>psi</v>
      </c>
      <c r="F215" t="str">
        <f>'Block 6 Readjustment'!B544</f>
        <v>Chg. In P</v>
      </c>
      <c r="G215" s="13">
        <f>'Block 6 Readjustment'!C544</f>
        <v>2.6059237102249391</v>
      </c>
      <c r="H215" t="str">
        <f>'Block 6 Readjustment'!D544</f>
        <v>psi</v>
      </c>
    </row>
    <row r="217" spans="1:11">
      <c r="B217" t="s">
        <v>168</v>
      </c>
    </row>
    <row r="219" spans="1:11">
      <c r="A219" s="1" t="s">
        <v>169</v>
      </c>
    </row>
    <row r="220" spans="1:11" ht="15.75" thickBot="1"/>
    <row r="221" spans="1:11" ht="16.5" thickBot="1">
      <c r="A221" s="96"/>
      <c r="B221" s="97" t="s">
        <v>9</v>
      </c>
      <c r="C221" s="97"/>
      <c r="D221" s="97"/>
      <c r="E221" s="97"/>
      <c r="F221" s="97" t="s">
        <v>11</v>
      </c>
      <c r="G221" s="97"/>
      <c r="H221" s="97"/>
      <c r="I221" s="97"/>
      <c r="J221" s="97"/>
      <c r="K221" s="97"/>
    </row>
    <row r="222" spans="1:11" ht="15.75" thickBot="1">
      <c r="A222" s="96"/>
      <c r="B222" s="15" t="s">
        <v>84</v>
      </c>
      <c r="C222" s="15" t="s">
        <v>85</v>
      </c>
      <c r="D222" s="15" t="s">
        <v>86</v>
      </c>
      <c r="E222" s="15" t="s">
        <v>87</v>
      </c>
      <c r="F222" s="15" t="s">
        <v>88</v>
      </c>
      <c r="G222" s="15" t="s">
        <v>89</v>
      </c>
      <c r="H222" s="15" t="s">
        <v>90</v>
      </c>
      <c r="I222" s="15" t="s">
        <v>91</v>
      </c>
      <c r="J222" s="15" t="s">
        <v>92</v>
      </c>
      <c r="K222" s="15" t="s">
        <v>93</v>
      </c>
    </row>
    <row r="223" spans="1:11" ht="30.75" thickBot="1">
      <c r="A223" s="16" t="s">
        <v>195</v>
      </c>
      <c r="B223" s="55">
        <f>'Block 1'!D94</f>
        <v>738.10000000000127</v>
      </c>
      <c r="C223" s="56">
        <f>'Block 2'!D69</f>
        <v>353.66</v>
      </c>
      <c r="D223" s="55">
        <f>'Block 3'!D79</f>
        <v>812.8999999999993</v>
      </c>
      <c r="E223" s="56">
        <f>'Block 4'!D70</f>
        <v>371.00000000000017</v>
      </c>
      <c r="F223" s="56">
        <f>'Block 5'!D89</f>
        <v>668.19999999999982</v>
      </c>
      <c r="G223" s="55">
        <f>'Block 6 Readjustment'!D601</f>
        <v>121.00000000000003</v>
      </c>
      <c r="H223" s="67">
        <f>'Block 7'!D86</f>
        <v>695.40000000000077</v>
      </c>
      <c r="I223" s="55">
        <f>'Block 8'!D59</f>
        <v>233.19999999999987</v>
      </c>
      <c r="J223" s="55">
        <f>'Block 9'!D65</f>
        <v>736.1</v>
      </c>
      <c r="K223" s="67">
        <f>'Block 10'!D75</f>
        <v>606.2000000000005</v>
      </c>
    </row>
    <row r="224" spans="1:11" ht="15.75" thickBot="1">
      <c r="A224" s="34" t="s">
        <v>131</v>
      </c>
      <c r="B224" s="53">
        <f>'Block 1'!D90</f>
        <v>24.88641464449875</v>
      </c>
      <c r="C224" s="53">
        <f>'Block 2'!D65</f>
        <v>25</v>
      </c>
      <c r="D224" s="53">
        <f>'Block 3'!D75</f>
        <v>14.003126465937548</v>
      </c>
      <c r="E224" s="53">
        <f>'Block 4'!D66</f>
        <v>25</v>
      </c>
      <c r="F224" s="53">
        <f>'Block 5'!D85</f>
        <v>15.483899161670868</v>
      </c>
      <c r="G224" s="54">
        <f>'Block 6 Readjustment'!D597</f>
        <v>24.792895861694589</v>
      </c>
      <c r="H224" s="53">
        <f>'Block 7'!D82</f>
        <v>27.365165361803211</v>
      </c>
      <c r="I224" s="53">
        <f>'Block 8'!D55</f>
        <v>22.944477920306262</v>
      </c>
      <c r="J224" s="53">
        <f>'Block 9'!D61</f>
        <v>17.065673953972826</v>
      </c>
      <c r="K224" s="53">
        <f>'Block 10'!D71</f>
        <v>16.757150524201986</v>
      </c>
    </row>
    <row r="225" spans="1:11" ht="15.75" thickBot="1">
      <c r="A225" s="34" t="s">
        <v>132</v>
      </c>
      <c r="B225" s="53">
        <f>'Block 1'!D91</f>
        <v>26.109945789907336</v>
      </c>
      <c r="C225" s="53">
        <f>'Block 2'!D66</f>
        <v>32.148580499624593</v>
      </c>
      <c r="D225" s="53">
        <f>'Block 3'!D76</f>
        <v>25</v>
      </c>
      <c r="E225" s="53">
        <f>'Block 4'!D67</f>
        <v>33.290369813245093</v>
      </c>
      <c r="F225" s="53">
        <f>'Block 5'!D86</f>
        <v>25</v>
      </c>
      <c r="G225" s="53">
        <f>'Block 6 Readjustment'!D598</f>
        <v>25</v>
      </c>
      <c r="H225" s="53">
        <f>'Block 7'!D83</f>
        <v>33.700000000000003</v>
      </c>
      <c r="I225" s="53">
        <f>'Block 8'!D56</f>
        <v>25</v>
      </c>
      <c r="J225" s="53">
        <f>'Block 9'!D62</f>
        <v>25</v>
      </c>
      <c r="K225" s="53">
        <f>'Block 10'!D72</f>
        <v>25</v>
      </c>
    </row>
    <row r="226" spans="1:11" ht="30.75" thickBot="1">
      <c r="A226" s="16" t="s">
        <v>203</v>
      </c>
      <c r="B226" s="53">
        <f>'Block 1'!D92</f>
        <v>25.181362088763915</v>
      </c>
      <c r="C226" s="53">
        <f>'Block 2'!D67</f>
        <v>28.051718032705281</v>
      </c>
      <c r="D226" s="53">
        <f>'Block 3'!D77</f>
        <v>19.348365021551775</v>
      </c>
      <c r="E226" s="53">
        <f>'Block 4'!D68</f>
        <v>28.013673718883705</v>
      </c>
      <c r="F226" s="53">
        <f>'Block 5'!D87</f>
        <v>15.483899161670868</v>
      </c>
      <c r="G226" s="53">
        <f>'Block 6 Readjustment'!D599</f>
        <v>24.854599801556489</v>
      </c>
      <c r="H226" s="53">
        <f>'Block 7'!D84</f>
        <v>27.365165361803211</v>
      </c>
      <c r="I226" s="53">
        <f>'Block 8'!D57</f>
        <v>23.727902294733472</v>
      </c>
      <c r="J226" s="53">
        <f>'Block 9'!D63</f>
        <v>23.277845129226289</v>
      </c>
      <c r="K226" s="53">
        <f>'Block 10'!D73</f>
        <v>19.319082908709692</v>
      </c>
    </row>
    <row r="227" spans="1:11" ht="15.75" thickBot="1">
      <c r="A227" s="16" t="s">
        <v>123</v>
      </c>
      <c r="B227" s="53">
        <f>'Block 1'!D93</f>
        <v>52.455117679255594</v>
      </c>
      <c r="C227" s="53">
        <f>'Block 2'!D68</f>
        <v>47.953475643130801</v>
      </c>
      <c r="D227" s="53">
        <f>'Block 3'!D78</f>
        <v>52.47071702244115</v>
      </c>
      <c r="E227" s="53">
        <f>'Block 4'!D69</f>
        <v>49.460864805692395</v>
      </c>
      <c r="F227" s="53">
        <f>'Block 5'!D88</f>
        <v>51.0153256704981</v>
      </c>
      <c r="G227" s="53">
        <f>'Block 6 Readjustment'!D600</f>
        <v>49.573891625615765</v>
      </c>
      <c r="H227" s="53">
        <f>'Block 7'!D85</f>
        <v>46.325944170771763</v>
      </c>
      <c r="I227" s="53">
        <f>'Block 8'!D58</f>
        <v>44.403119868637106</v>
      </c>
      <c r="J227" s="53">
        <f>'Block 9'!D64</f>
        <v>47.231253420908608</v>
      </c>
      <c r="K227" s="53">
        <f>'Block 10'!D74</f>
        <v>42.680623973727435</v>
      </c>
    </row>
    <row r="228" spans="1:11" ht="30.75" thickBot="1">
      <c r="A228" s="16" t="s">
        <v>133</v>
      </c>
      <c r="B228" s="53">
        <f>B225-B224</f>
        <v>1.223531145408586</v>
      </c>
      <c r="C228" s="53">
        <f>C225-C224</f>
        <v>7.1485804996245932</v>
      </c>
      <c r="D228" s="53">
        <f t="shared" ref="D228:K228" si="7">D225-D224</f>
        <v>10.996873534062452</v>
      </c>
      <c r="E228" s="53">
        <f t="shared" si="7"/>
        <v>8.2903698132450927</v>
      </c>
      <c r="F228" s="53">
        <f t="shared" si="7"/>
        <v>9.5161008383291321</v>
      </c>
      <c r="G228" s="53">
        <f t="shared" si="7"/>
        <v>0.20710413830541086</v>
      </c>
      <c r="H228" s="53">
        <f t="shared" si="7"/>
        <v>6.3348346381967922</v>
      </c>
      <c r="I228" s="53">
        <f t="shared" si="7"/>
        <v>2.0555220796937377</v>
      </c>
      <c r="J228" s="53">
        <f t="shared" si="7"/>
        <v>7.9343260460271736</v>
      </c>
      <c r="K228" s="53">
        <f t="shared" si="7"/>
        <v>8.242849475798014</v>
      </c>
    </row>
    <row r="229" spans="1:11">
      <c r="B229" t="s">
        <v>336</v>
      </c>
    </row>
    <row r="230" spans="1:11">
      <c r="B230" t="s">
        <v>341</v>
      </c>
    </row>
    <row r="231" spans="1:11" ht="15.75" thickBot="1"/>
    <row r="232" spans="1:11" ht="16.5" thickBot="1">
      <c r="A232" s="101" t="s">
        <v>347</v>
      </c>
      <c r="B232" s="97" t="s">
        <v>9</v>
      </c>
      <c r="C232" s="97"/>
      <c r="D232" s="97"/>
      <c r="E232" s="97"/>
      <c r="F232" s="97" t="s">
        <v>11</v>
      </c>
      <c r="G232" s="97"/>
      <c r="H232" s="97"/>
      <c r="I232" s="97"/>
      <c r="J232" s="97"/>
      <c r="K232" s="97"/>
    </row>
    <row r="233" spans="1:11" ht="60" customHeight="1" thickBot="1">
      <c r="A233" s="102"/>
      <c r="B233" s="66" t="s">
        <v>206</v>
      </c>
      <c r="C233" s="66" t="s">
        <v>207</v>
      </c>
      <c r="D233" s="66" t="s">
        <v>208</v>
      </c>
      <c r="E233" s="66" t="s">
        <v>209</v>
      </c>
      <c r="F233" s="66" t="s">
        <v>210</v>
      </c>
      <c r="G233" s="66" t="s">
        <v>211</v>
      </c>
      <c r="H233" s="66" t="s">
        <v>212</v>
      </c>
      <c r="I233" s="66" t="s">
        <v>213</v>
      </c>
      <c r="J233" s="66" t="s">
        <v>214</v>
      </c>
      <c r="K233" s="66" t="s">
        <v>215</v>
      </c>
    </row>
    <row r="234" spans="1:11" ht="48" customHeight="1" thickBot="1">
      <c r="A234" s="66" t="s">
        <v>348</v>
      </c>
      <c r="B234" s="18">
        <v>381</v>
      </c>
      <c r="C234" s="18">
        <v>96</v>
      </c>
      <c r="D234" s="50">
        <v>115</v>
      </c>
      <c r="E234" s="50">
        <v>71</v>
      </c>
      <c r="F234" s="18">
        <v>491</v>
      </c>
      <c r="G234" s="50">
        <v>0</v>
      </c>
      <c r="H234" s="50">
        <v>81</v>
      </c>
      <c r="I234" s="50">
        <v>50</v>
      </c>
      <c r="J234" s="50">
        <v>553</v>
      </c>
      <c r="K234" s="50">
        <v>365</v>
      </c>
    </row>
    <row r="235" spans="1:11" ht="45.75" thickBot="1">
      <c r="A235" s="66" t="s">
        <v>349</v>
      </c>
      <c r="B235" s="18">
        <v>364</v>
      </c>
      <c r="C235" s="50">
        <v>259</v>
      </c>
      <c r="D235" s="50">
        <v>699</v>
      </c>
      <c r="E235" s="18">
        <v>313</v>
      </c>
      <c r="F235" s="18">
        <v>179</v>
      </c>
      <c r="G235" s="50">
        <v>122</v>
      </c>
      <c r="H235" s="50">
        <v>539</v>
      </c>
      <c r="I235" s="50">
        <v>184</v>
      </c>
      <c r="J235" s="50">
        <v>154</v>
      </c>
      <c r="K235" s="50">
        <v>254</v>
      </c>
    </row>
    <row r="237" spans="1:11" ht="30">
      <c r="A237" s="44" t="s">
        <v>216</v>
      </c>
      <c r="B237" s="42">
        <f t="shared" ref="B237:K237" si="8">SUM(B234:B235)</f>
        <v>745</v>
      </c>
      <c r="C237" s="42">
        <f t="shared" si="8"/>
        <v>355</v>
      </c>
      <c r="D237" s="42">
        <f t="shared" si="8"/>
        <v>814</v>
      </c>
      <c r="E237" s="42">
        <f t="shared" si="8"/>
        <v>384</v>
      </c>
      <c r="F237" s="42">
        <f t="shared" si="8"/>
        <v>670</v>
      </c>
      <c r="G237" s="42">
        <f t="shared" si="8"/>
        <v>122</v>
      </c>
      <c r="H237" s="42">
        <f t="shared" si="8"/>
        <v>620</v>
      </c>
      <c r="I237" s="42">
        <f t="shared" si="8"/>
        <v>234</v>
      </c>
      <c r="J237" s="42">
        <f t="shared" si="8"/>
        <v>707</v>
      </c>
      <c r="K237" s="42">
        <f t="shared" si="8"/>
        <v>619</v>
      </c>
    </row>
    <row r="275" spans="1:10">
      <c r="A275" s="1" t="s">
        <v>217</v>
      </c>
    </row>
    <row r="276" spans="1:10">
      <c r="A276" s="1"/>
    </row>
    <row r="277" spans="1:10">
      <c r="A277" s="1"/>
      <c r="B277">
        <v>150</v>
      </c>
      <c r="C277" t="s">
        <v>177</v>
      </c>
    </row>
    <row r="278" spans="1:10">
      <c r="A278" s="1"/>
      <c r="B278">
        <v>145</v>
      </c>
      <c r="C278" t="s">
        <v>176</v>
      </c>
    </row>
    <row r="279" spans="1:10">
      <c r="A279" s="1"/>
      <c r="B279">
        <v>140</v>
      </c>
      <c r="C279" t="s">
        <v>178</v>
      </c>
    </row>
    <row r="280" spans="1:10">
      <c r="A280" s="1"/>
      <c r="B280">
        <v>20</v>
      </c>
      <c r="C280" t="s">
        <v>179</v>
      </c>
    </row>
    <row r="281" spans="1:10">
      <c r="A281" s="1"/>
      <c r="B281">
        <v>2339.9</v>
      </c>
      <c r="C281" t="s">
        <v>224</v>
      </c>
    </row>
    <row r="282" spans="1:10">
      <c r="A282" s="1"/>
      <c r="B282" s="3">
        <f>B280/B281</f>
        <v>8.5473738193939906E-3</v>
      </c>
      <c r="C282" t="s">
        <v>181</v>
      </c>
    </row>
    <row r="283" spans="1:10">
      <c r="A283" s="1"/>
      <c r="B283" s="3"/>
    </row>
    <row r="284" spans="1:10">
      <c r="A284" s="1"/>
      <c r="B284" s="3"/>
    </row>
    <row r="285" spans="1:10">
      <c r="B285" s="11" t="s">
        <v>330</v>
      </c>
    </row>
    <row r="286" spans="1:10">
      <c r="B286" s="11" t="s">
        <v>331</v>
      </c>
    </row>
    <row r="287" spans="1:10">
      <c r="A287" s="1" t="s">
        <v>218</v>
      </c>
    </row>
    <row r="288" spans="1:10" ht="30">
      <c r="A288" s="27"/>
      <c r="B288" s="27" t="s">
        <v>116</v>
      </c>
      <c r="C288" s="24" t="s">
        <v>182</v>
      </c>
      <c r="D288" s="24" t="s">
        <v>123</v>
      </c>
      <c r="E288" s="26" t="s">
        <v>175</v>
      </c>
      <c r="F288" s="24" t="s">
        <v>200</v>
      </c>
      <c r="G288" s="26" t="s">
        <v>187</v>
      </c>
      <c r="H288" s="27" t="s">
        <v>119</v>
      </c>
      <c r="I288" s="24" t="s">
        <v>120</v>
      </c>
      <c r="J288" s="24" t="s">
        <v>121</v>
      </c>
    </row>
    <row r="289" spans="1:10">
      <c r="A289" s="40" t="s">
        <v>174</v>
      </c>
      <c r="B289" s="51">
        <v>0</v>
      </c>
      <c r="C289" s="43">
        <v>38</v>
      </c>
      <c r="D289" s="42">
        <v>205</v>
      </c>
      <c r="E289" s="51">
        <v>4.2240000000000002</v>
      </c>
      <c r="F289" s="42">
        <f>(D289/448.8)/(3.14*((E289/12)^2)/4)</f>
        <v>4.6961939975136318</v>
      </c>
      <c r="G289" s="51">
        <f>IF(E289&gt;5,$B$277,IF(5&gt;=E289&gt;1.5,$B$278,IF(1.5&gt;E289,$B$279,0)))</f>
        <v>145</v>
      </c>
      <c r="H289" s="46">
        <f>(1050*((D289/G289)^1.852)*(B289/100)*(E289^-4.87))/2.31</f>
        <v>0</v>
      </c>
      <c r="I289" s="41">
        <f>B289*$B$282</f>
        <v>0</v>
      </c>
      <c r="J289" s="41">
        <f>I289-H289</f>
        <v>0</v>
      </c>
    </row>
    <row r="290" spans="1:10">
      <c r="A290" s="51">
        <v>1</v>
      </c>
      <c r="B290" s="51">
        <v>20</v>
      </c>
      <c r="C290" s="42">
        <f>C289+J289</f>
        <v>38</v>
      </c>
      <c r="D290" s="42">
        <f>D289</f>
        <v>205</v>
      </c>
      <c r="E290" s="51">
        <v>4.2240000000000002</v>
      </c>
      <c r="F290" s="42">
        <f t="shared" ref="F290:F353" si="9">(D290/448.8)/(3.14*((E290/12)^2)/4)</f>
        <v>4.6961939975136318</v>
      </c>
      <c r="G290" s="51">
        <f t="shared" ref="G290:G353" si="10">IF(E290&gt;5,$B$277,IF(5&gt;=E290&gt;1.5,$B$278,IF(1.5&gt;E290,$B$279,0)))</f>
        <v>145</v>
      </c>
      <c r="H290" s="46">
        <f t="shared" ref="H290:H353" si="11">(1050*((D290/G290)^1.852)*(B290/100)*(E290^-4.87))/2.31</f>
        <v>0.15482692413926671</v>
      </c>
      <c r="I290" s="41">
        <f t="shared" ref="I290:I353" si="12">B290*$B$282</f>
        <v>0.17094747638787983</v>
      </c>
      <c r="J290" s="41">
        <f t="shared" ref="J290:J353" si="13">I290-H290</f>
        <v>1.6120552248613113E-2</v>
      </c>
    </row>
    <row r="291" spans="1:10">
      <c r="A291" s="51">
        <v>2</v>
      </c>
      <c r="B291" s="51">
        <v>20</v>
      </c>
      <c r="C291" s="42">
        <f t="shared" ref="C291:C354" si="14">C290+J290</f>
        <v>38.016120552248616</v>
      </c>
      <c r="D291" s="42">
        <f t="shared" ref="D291:D308" si="15">D290</f>
        <v>205</v>
      </c>
      <c r="E291" s="51">
        <v>4.2240000000000002</v>
      </c>
      <c r="F291" s="42">
        <f t="shared" si="9"/>
        <v>4.6961939975136318</v>
      </c>
      <c r="G291" s="51">
        <f t="shared" si="10"/>
        <v>145</v>
      </c>
      <c r="H291" s="46">
        <f t="shared" si="11"/>
        <v>0.15482692413926671</v>
      </c>
      <c r="I291" s="41">
        <f t="shared" si="12"/>
        <v>0.17094747638787983</v>
      </c>
      <c r="J291" s="41">
        <f t="shared" si="13"/>
        <v>1.6120552248613113E-2</v>
      </c>
    </row>
    <row r="292" spans="1:10">
      <c r="A292" s="51">
        <v>3</v>
      </c>
      <c r="B292" s="51">
        <v>20</v>
      </c>
      <c r="C292" s="42">
        <f t="shared" si="14"/>
        <v>38.032241104497231</v>
      </c>
      <c r="D292" s="42">
        <f t="shared" si="15"/>
        <v>205</v>
      </c>
      <c r="E292" s="51">
        <v>4.2240000000000002</v>
      </c>
      <c r="F292" s="42">
        <f t="shared" si="9"/>
        <v>4.6961939975136318</v>
      </c>
      <c r="G292" s="51">
        <f t="shared" si="10"/>
        <v>145</v>
      </c>
      <c r="H292" s="46">
        <f t="shared" si="11"/>
        <v>0.15482692413926671</v>
      </c>
      <c r="I292" s="41">
        <f t="shared" si="12"/>
        <v>0.17094747638787983</v>
      </c>
      <c r="J292" s="41">
        <f t="shared" si="13"/>
        <v>1.6120552248613113E-2</v>
      </c>
    </row>
    <row r="293" spans="1:10">
      <c r="A293" s="51">
        <v>4</v>
      </c>
      <c r="B293" s="51">
        <v>20</v>
      </c>
      <c r="C293" s="42">
        <f t="shared" si="14"/>
        <v>38.048361656745847</v>
      </c>
      <c r="D293" s="42">
        <f t="shared" si="15"/>
        <v>205</v>
      </c>
      <c r="E293" s="51">
        <v>4.2240000000000002</v>
      </c>
      <c r="F293" s="42">
        <f t="shared" si="9"/>
        <v>4.6961939975136318</v>
      </c>
      <c r="G293" s="51">
        <f t="shared" si="10"/>
        <v>145</v>
      </c>
      <c r="H293" s="46">
        <f t="shared" si="11"/>
        <v>0.15482692413926671</v>
      </c>
      <c r="I293" s="41">
        <f t="shared" si="12"/>
        <v>0.17094747638787983</v>
      </c>
      <c r="J293" s="41">
        <f t="shared" si="13"/>
        <v>1.6120552248613113E-2</v>
      </c>
    </row>
    <row r="294" spans="1:10">
      <c r="A294" s="51">
        <f>A293+1</f>
        <v>5</v>
      </c>
      <c r="B294" s="51">
        <v>20</v>
      </c>
      <c r="C294" s="42">
        <f t="shared" si="14"/>
        <v>38.064482208994463</v>
      </c>
      <c r="D294" s="42">
        <f t="shared" si="15"/>
        <v>205</v>
      </c>
      <c r="E294" s="51">
        <v>4.2240000000000002</v>
      </c>
      <c r="F294" s="42">
        <f t="shared" si="9"/>
        <v>4.6961939975136318</v>
      </c>
      <c r="G294" s="51">
        <f t="shared" si="10"/>
        <v>145</v>
      </c>
      <c r="H294" s="46">
        <f t="shared" si="11"/>
        <v>0.15482692413926671</v>
      </c>
      <c r="I294" s="41">
        <f t="shared" si="12"/>
        <v>0.17094747638787983</v>
      </c>
      <c r="J294" s="41">
        <f t="shared" si="13"/>
        <v>1.6120552248613113E-2</v>
      </c>
    </row>
    <row r="295" spans="1:10">
      <c r="A295" s="51">
        <f t="shared" ref="A295:A360" si="16">A294+1</f>
        <v>6</v>
      </c>
      <c r="B295" s="51">
        <v>20</v>
      </c>
      <c r="C295" s="42">
        <f t="shared" si="14"/>
        <v>38.080602761243078</v>
      </c>
      <c r="D295" s="42">
        <f t="shared" si="15"/>
        <v>205</v>
      </c>
      <c r="E295" s="51">
        <v>4.2240000000000002</v>
      </c>
      <c r="F295" s="42">
        <f t="shared" si="9"/>
        <v>4.6961939975136318</v>
      </c>
      <c r="G295" s="51">
        <f t="shared" si="10"/>
        <v>145</v>
      </c>
      <c r="H295" s="46">
        <f t="shared" si="11"/>
        <v>0.15482692413926671</v>
      </c>
      <c r="I295" s="41">
        <f t="shared" si="12"/>
        <v>0.17094747638787983</v>
      </c>
      <c r="J295" s="41">
        <f t="shared" si="13"/>
        <v>1.6120552248613113E-2</v>
      </c>
    </row>
    <row r="296" spans="1:10">
      <c r="A296" s="51">
        <f t="shared" si="16"/>
        <v>7</v>
      </c>
      <c r="B296" s="51">
        <v>20</v>
      </c>
      <c r="C296" s="42">
        <f t="shared" si="14"/>
        <v>38.096723313491694</v>
      </c>
      <c r="D296" s="42">
        <f t="shared" si="15"/>
        <v>205</v>
      </c>
      <c r="E296" s="51">
        <v>4.2240000000000002</v>
      </c>
      <c r="F296" s="42">
        <f t="shared" si="9"/>
        <v>4.6961939975136318</v>
      </c>
      <c r="G296" s="51">
        <f t="shared" si="10"/>
        <v>145</v>
      </c>
      <c r="H296" s="46">
        <f t="shared" si="11"/>
        <v>0.15482692413926671</v>
      </c>
      <c r="I296" s="41">
        <f t="shared" si="12"/>
        <v>0.17094747638787983</v>
      </c>
      <c r="J296" s="41">
        <f t="shared" si="13"/>
        <v>1.6120552248613113E-2</v>
      </c>
    </row>
    <row r="297" spans="1:10">
      <c r="A297" s="51">
        <f t="shared" si="16"/>
        <v>8</v>
      </c>
      <c r="B297" s="51">
        <v>20</v>
      </c>
      <c r="C297" s="42">
        <f t="shared" si="14"/>
        <v>38.112843865740309</v>
      </c>
      <c r="D297" s="42">
        <f t="shared" si="15"/>
        <v>205</v>
      </c>
      <c r="E297" s="51">
        <v>4.2240000000000002</v>
      </c>
      <c r="F297" s="42">
        <f t="shared" si="9"/>
        <v>4.6961939975136318</v>
      </c>
      <c r="G297" s="51">
        <f t="shared" si="10"/>
        <v>145</v>
      </c>
      <c r="H297" s="46">
        <f t="shared" si="11"/>
        <v>0.15482692413926671</v>
      </c>
      <c r="I297" s="41">
        <f t="shared" si="12"/>
        <v>0.17094747638787983</v>
      </c>
      <c r="J297" s="41">
        <f t="shared" si="13"/>
        <v>1.6120552248613113E-2</v>
      </c>
    </row>
    <row r="298" spans="1:10">
      <c r="A298" s="51">
        <f t="shared" si="16"/>
        <v>9</v>
      </c>
      <c r="B298" s="51">
        <v>20</v>
      </c>
      <c r="C298" s="42">
        <f t="shared" si="14"/>
        <v>38.128964417988925</v>
      </c>
      <c r="D298" s="42">
        <f t="shared" si="15"/>
        <v>205</v>
      </c>
      <c r="E298" s="51">
        <v>4.2240000000000002</v>
      </c>
      <c r="F298" s="42">
        <f t="shared" si="9"/>
        <v>4.6961939975136318</v>
      </c>
      <c r="G298" s="51">
        <f t="shared" si="10"/>
        <v>145</v>
      </c>
      <c r="H298" s="46">
        <f t="shared" si="11"/>
        <v>0.15482692413926671</v>
      </c>
      <c r="I298" s="41">
        <f t="shared" si="12"/>
        <v>0.17094747638787983</v>
      </c>
      <c r="J298" s="41">
        <f t="shared" si="13"/>
        <v>1.6120552248613113E-2</v>
      </c>
    </row>
    <row r="299" spans="1:10">
      <c r="A299" s="51">
        <f t="shared" si="16"/>
        <v>10</v>
      </c>
      <c r="B299" s="51">
        <v>20</v>
      </c>
      <c r="C299" s="42">
        <f t="shared" si="14"/>
        <v>38.145084970237541</v>
      </c>
      <c r="D299" s="42">
        <f t="shared" si="15"/>
        <v>205</v>
      </c>
      <c r="E299" s="51">
        <v>4.2240000000000002</v>
      </c>
      <c r="F299" s="42">
        <f t="shared" si="9"/>
        <v>4.6961939975136318</v>
      </c>
      <c r="G299" s="51">
        <f t="shared" si="10"/>
        <v>145</v>
      </c>
      <c r="H299" s="46">
        <f t="shared" si="11"/>
        <v>0.15482692413926671</v>
      </c>
      <c r="I299" s="41">
        <f t="shared" si="12"/>
        <v>0.17094747638787983</v>
      </c>
      <c r="J299" s="41">
        <f t="shared" si="13"/>
        <v>1.6120552248613113E-2</v>
      </c>
    </row>
    <row r="300" spans="1:10">
      <c r="A300" s="51">
        <f t="shared" si="16"/>
        <v>11</v>
      </c>
      <c r="B300" s="51">
        <v>20</v>
      </c>
      <c r="C300" s="42">
        <f t="shared" si="14"/>
        <v>38.161205522486156</v>
      </c>
      <c r="D300" s="42">
        <f t="shared" si="15"/>
        <v>205</v>
      </c>
      <c r="E300" s="51">
        <v>4.2240000000000002</v>
      </c>
      <c r="F300" s="42">
        <f t="shared" si="9"/>
        <v>4.6961939975136318</v>
      </c>
      <c r="G300" s="51">
        <f t="shared" si="10"/>
        <v>145</v>
      </c>
      <c r="H300" s="46">
        <f t="shared" si="11"/>
        <v>0.15482692413926671</v>
      </c>
      <c r="I300" s="41">
        <f t="shared" si="12"/>
        <v>0.17094747638787983</v>
      </c>
      <c r="J300" s="41">
        <f t="shared" si="13"/>
        <v>1.6120552248613113E-2</v>
      </c>
    </row>
    <row r="301" spans="1:10">
      <c r="A301" s="51">
        <f t="shared" si="16"/>
        <v>12</v>
      </c>
      <c r="B301" s="51">
        <v>20</v>
      </c>
      <c r="C301" s="42">
        <f t="shared" si="14"/>
        <v>38.177326074734772</v>
      </c>
      <c r="D301" s="42">
        <f t="shared" si="15"/>
        <v>205</v>
      </c>
      <c r="E301" s="51">
        <v>4.2240000000000002</v>
      </c>
      <c r="F301" s="42">
        <f t="shared" si="9"/>
        <v>4.6961939975136318</v>
      </c>
      <c r="G301" s="51">
        <f t="shared" si="10"/>
        <v>145</v>
      </c>
      <c r="H301" s="46">
        <f t="shared" si="11"/>
        <v>0.15482692413926671</v>
      </c>
      <c r="I301" s="41">
        <f t="shared" si="12"/>
        <v>0.17094747638787983</v>
      </c>
      <c r="J301" s="41">
        <f t="shared" si="13"/>
        <v>1.6120552248613113E-2</v>
      </c>
    </row>
    <row r="302" spans="1:10">
      <c r="A302" s="51">
        <f t="shared" si="16"/>
        <v>13</v>
      </c>
      <c r="B302" s="51">
        <v>20</v>
      </c>
      <c r="C302" s="42">
        <f t="shared" si="14"/>
        <v>38.193446626983388</v>
      </c>
      <c r="D302" s="42">
        <f t="shared" si="15"/>
        <v>205</v>
      </c>
      <c r="E302" s="51">
        <v>4.2240000000000002</v>
      </c>
      <c r="F302" s="42">
        <f t="shared" si="9"/>
        <v>4.6961939975136318</v>
      </c>
      <c r="G302" s="51">
        <f t="shared" si="10"/>
        <v>145</v>
      </c>
      <c r="H302" s="46">
        <f t="shared" si="11"/>
        <v>0.15482692413926671</v>
      </c>
      <c r="I302" s="41">
        <f t="shared" si="12"/>
        <v>0.17094747638787983</v>
      </c>
      <c r="J302" s="41">
        <f t="shared" si="13"/>
        <v>1.6120552248613113E-2</v>
      </c>
    </row>
    <row r="303" spans="1:10">
      <c r="A303" s="51">
        <f t="shared" si="16"/>
        <v>14</v>
      </c>
      <c r="B303" s="51">
        <v>20</v>
      </c>
      <c r="C303" s="42">
        <f t="shared" si="14"/>
        <v>38.209567179232003</v>
      </c>
      <c r="D303" s="42">
        <f t="shared" si="15"/>
        <v>205</v>
      </c>
      <c r="E303" s="51">
        <v>4.2240000000000002</v>
      </c>
      <c r="F303" s="42">
        <f t="shared" si="9"/>
        <v>4.6961939975136318</v>
      </c>
      <c r="G303" s="51">
        <f t="shared" si="10"/>
        <v>145</v>
      </c>
      <c r="H303" s="46">
        <f t="shared" si="11"/>
        <v>0.15482692413926671</v>
      </c>
      <c r="I303" s="41">
        <f t="shared" si="12"/>
        <v>0.17094747638787983</v>
      </c>
      <c r="J303" s="41">
        <f t="shared" si="13"/>
        <v>1.6120552248613113E-2</v>
      </c>
    </row>
    <row r="304" spans="1:10">
      <c r="A304" s="51">
        <f t="shared" si="16"/>
        <v>15</v>
      </c>
      <c r="B304" s="51">
        <v>20</v>
      </c>
      <c r="C304" s="42">
        <f t="shared" si="14"/>
        <v>38.225687731480619</v>
      </c>
      <c r="D304" s="42">
        <f t="shared" si="15"/>
        <v>205</v>
      </c>
      <c r="E304" s="51">
        <v>4.2240000000000002</v>
      </c>
      <c r="F304" s="42">
        <f t="shared" si="9"/>
        <v>4.6961939975136318</v>
      </c>
      <c r="G304" s="51">
        <f t="shared" si="10"/>
        <v>145</v>
      </c>
      <c r="H304" s="46">
        <f t="shared" si="11"/>
        <v>0.15482692413926671</v>
      </c>
      <c r="I304" s="41">
        <f t="shared" si="12"/>
        <v>0.17094747638787983</v>
      </c>
      <c r="J304" s="41">
        <f t="shared" si="13"/>
        <v>1.6120552248613113E-2</v>
      </c>
    </row>
    <row r="305" spans="1:10">
      <c r="A305" s="51">
        <f t="shared" si="16"/>
        <v>16</v>
      </c>
      <c r="B305" s="51">
        <v>20</v>
      </c>
      <c r="C305" s="42">
        <f t="shared" si="14"/>
        <v>38.241808283729235</v>
      </c>
      <c r="D305" s="42">
        <f t="shared" si="15"/>
        <v>205</v>
      </c>
      <c r="E305" s="51">
        <v>4.2240000000000002</v>
      </c>
      <c r="F305" s="42">
        <f t="shared" si="9"/>
        <v>4.6961939975136318</v>
      </c>
      <c r="G305" s="51">
        <f t="shared" si="10"/>
        <v>145</v>
      </c>
      <c r="H305" s="46">
        <f t="shared" si="11"/>
        <v>0.15482692413926671</v>
      </c>
      <c r="I305" s="41">
        <f t="shared" si="12"/>
        <v>0.17094747638787983</v>
      </c>
      <c r="J305" s="41">
        <f t="shared" si="13"/>
        <v>1.6120552248613113E-2</v>
      </c>
    </row>
    <row r="306" spans="1:10">
      <c r="A306" s="51">
        <f t="shared" si="16"/>
        <v>17</v>
      </c>
      <c r="B306" s="51">
        <v>20</v>
      </c>
      <c r="C306" s="42">
        <f t="shared" si="14"/>
        <v>38.25792883597785</v>
      </c>
      <c r="D306" s="42">
        <f t="shared" si="15"/>
        <v>205</v>
      </c>
      <c r="E306" s="51">
        <v>4.2240000000000002</v>
      </c>
      <c r="F306" s="42">
        <f t="shared" si="9"/>
        <v>4.6961939975136318</v>
      </c>
      <c r="G306" s="51">
        <f t="shared" si="10"/>
        <v>145</v>
      </c>
      <c r="H306" s="46">
        <f t="shared" si="11"/>
        <v>0.15482692413926671</v>
      </c>
      <c r="I306" s="41">
        <f t="shared" si="12"/>
        <v>0.17094747638787983</v>
      </c>
      <c r="J306" s="41">
        <f t="shared" si="13"/>
        <v>1.6120552248613113E-2</v>
      </c>
    </row>
    <row r="307" spans="1:10">
      <c r="A307" s="51">
        <f t="shared" si="16"/>
        <v>18</v>
      </c>
      <c r="B307" s="51">
        <v>20</v>
      </c>
      <c r="C307" s="42">
        <f t="shared" si="14"/>
        <v>38.274049388226466</v>
      </c>
      <c r="D307" s="42">
        <f t="shared" si="15"/>
        <v>205</v>
      </c>
      <c r="E307" s="51">
        <v>4.2240000000000002</v>
      </c>
      <c r="F307" s="42">
        <f t="shared" si="9"/>
        <v>4.6961939975136318</v>
      </c>
      <c r="G307" s="51">
        <f t="shared" si="10"/>
        <v>145</v>
      </c>
      <c r="H307" s="46">
        <f t="shared" si="11"/>
        <v>0.15482692413926671</v>
      </c>
      <c r="I307" s="41">
        <f t="shared" si="12"/>
        <v>0.17094747638787983</v>
      </c>
      <c r="J307" s="41">
        <f t="shared" si="13"/>
        <v>1.6120552248613113E-2</v>
      </c>
    </row>
    <row r="308" spans="1:10">
      <c r="A308" s="51">
        <f t="shared" si="16"/>
        <v>19</v>
      </c>
      <c r="B308" s="51">
        <v>20</v>
      </c>
      <c r="C308" s="42">
        <f t="shared" si="14"/>
        <v>38.290169940475081</v>
      </c>
      <c r="D308" s="42">
        <f t="shared" si="15"/>
        <v>205</v>
      </c>
      <c r="E308" s="51">
        <v>4.2240000000000002</v>
      </c>
      <c r="F308" s="42">
        <f t="shared" si="9"/>
        <v>4.6961939975136318</v>
      </c>
      <c r="G308" s="51">
        <f t="shared" si="10"/>
        <v>145</v>
      </c>
      <c r="H308" s="46">
        <f t="shared" si="11"/>
        <v>0.15482692413926671</v>
      </c>
      <c r="I308" s="41">
        <f t="shared" si="12"/>
        <v>0.17094747638787983</v>
      </c>
      <c r="J308" s="41">
        <f t="shared" si="13"/>
        <v>1.6120552248613113E-2</v>
      </c>
    </row>
    <row r="309" spans="1:10">
      <c r="A309" s="68" t="s">
        <v>220</v>
      </c>
      <c r="B309" s="69">
        <v>4.8</v>
      </c>
      <c r="C309" s="70">
        <f>C308+J308</f>
        <v>38.306290492723697</v>
      </c>
      <c r="D309" s="70">
        <f>D308-'Block 1'!F22</f>
        <v>152.5</v>
      </c>
      <c r="E309" s="69">
        <v>4.2240000000000002</v>
      </c>
      <c r="F309" s="70">
        <f t="shared" si="9"/>
        <v>3.493510168882092</v>
      </c>
      <c r="G309" s="69">
        <f t="shared" si="10"/>
        <v>145</v>
      </c>
      <c r="H309" s="71">
        <f t="shared" si="11"/>
        <v>2.1483514411492835E-2</v>
      </c>
      <c r="I309" s="72">
        <f t="shared" si="12"/>
        <v>4.1027394333091154E-2</v>
      </c>
      <c r="J309" s="72">
        <f t="shared" si="13"/>
        <v>1.9543879921598319E-2</v>
      </c>
    </row>
    <row r="310" spans="1:10">
      <c r="A310" s="51">
        <f>A308+1</f>
        <v>20</v>
      </c>
      <c r="B310" s="51">
        <v>15.2</v>
      </c>
      <c r="C310" s="42">
        <f t="shared" si="14"/>
        <v>38.325834372645296</v>
      </c>
      <c r="D310" s="42">
        <f>D309</f>
        <v>152.5</v>
      </c>
      <c r="E310" s="51">
        <v>4.2240000000000002</v>
      </c>
      <c r="F310" s="42">
        <f t="shared" si="9"/>
        <v>3.493510168882092</v>
      </c>
      <c r="G310" s="51">
        <f t="shared" si="10"/>
        <v>145</v>
      </c>
      <c r="H310" s="46">
        <f t="shared" si="11"/>
        <v>6.8031128969727309E-2</v>
      </c>
      <c r="I310" s="41">
        <f t="shared" si="12"/>
        <v>0.12992008205478864</v>
      </c>
      <c r="J310" s="41">
        <f t="shared" si="13"/>
        <v>6.188895308506133E-2</v>
      </c>
    </row>
    <row r="311" spans="1:10">
      <c r="A311" s="51">
        <f t="shared" si="16"/>
        <v>21</v>
      </c>
      <c r="B311" s="51">
        <v>20</v>
      </c>
      <c r="C311" s="42">
        <f t="shared" si="14"/>
        <v>38.387723325730356</v>
      </c>
      <c r="D311" s="42">
        <f t="shared" ref="D311:D347" si="17">D310</f>
        <v>152.5</v>
      </c>
      <c r="E311" s="51">
        <v>4.2240000000000002</v>
      </c>
      <c r="F311" s="42">
        <f t="shared" si="9"/>
        <v>3.493510168882092</v>
      </c>
      <c r="G311" s="51">
        <f t="shared" si="10"/>
        <v>145</v>
      </c>
      <c r="H311" s="46">
        <f t="shared" si="11"/>
        <v>8.9514643381220144E-2</v>
      </c>
      <c r="I311" s="41">
        <f t="shared" si="12"/>
        <v>0.17094747638787983</v>
      </c>
      <c r="J311" s="41">
        <f t="shared" si="13"/>
        <v>8.1432833006659683E-2</v>
      </c>
    </row>
    <row r="312" spans="1:10">
      <c r="A312" s="51">
        <f t="shared" si="16"/>
        <v>22</v>
      </c>
      <c r="B312" s="51">
        <v>20</v>
      </c>
      <c r="C312" s="42">
        <f t="shared" si="14"/>
        <v>38.469156158737015</v>
      </c>
      <c r="D312" s="42">
        <f t="shared" si="17"/>
        <v>152.5</v>
      </c>
      <c r="E312" s="51">
        <v>4.2240000000000002</v>
      </c>
      <c r="F312" s="42">
        <f t="shared" si="9"/>
        <v>3.493510168882092</v>
      </c>
      <c r="G312" s="51">
        <f t="shared" si="10"/>
        <v>145</v>
      </c>
      <c r="H312" s="46">
        <f t="shared" si="11"/>
        <v>8.9514643381220144E-2</v>
      </c>
      <c r="I312" s="41">
        <f t="shared" si="12"/>
        <v>0.17094747638787983</v>
      </c>
      <c r="J312" s="41">
        <f t="shared" si="13"/>
        <v>8.1432833006659683E-2</v>
      </c>
    </row>
    <row r="313" spans="1:10">
      <c r="A313" s="51">
        <f t="shared" si="16"/>
        <v>23</v>
      </c>
      <c r="B313" s="51">
        <v>20</v>
      </c>
      <c r="C313" s="42">
        <f t="shared" si="14"/>
        <v>38.550588991743673</v>
      </c>
      <c r="D313" s="42">
        <f t="shared" si="17"/>
        <v>152.5</v>
      </c>
      <c r="E313" s="51">
        <v>4.2240000000000002</v>
      </c>
      <c r="F313" s="42">
        <f t="shared" si="9"/>
        <v>3.493510168882092</v>
      </c>
      <c r="G313" s="51">
        <f t="shared" si="10"/>
        <v>145</v>
      </c>
      <c r="H313" s="46">
        <f t="shared" si="11"/>
        <v>8.9514643381220144E-2</v>
      </c>
      <c r="I313" s="41">
        <f t="shared" si="12"/>
        <v>0.17094747638787983</v>
      </c>
      <c r="J313" s="41">
        <f t="shared" si="13"/>
        <v>8.1432833006659683E-2</v>
      </c>
    </row>
    <row r="314" spans="1:10">
      <c r="A314" s="51">
        <f t="shared" si="16"/>
        <v>24</v>
      </c>
      <c r="B314" s="51">
        <v>20</v>
      </c>
      <c r="C314" s="42">
        <f t="shared" si="14"/>
        <v>38.632021824750332</v>
      </c>
      <c r="D314" s="42">
        <f t="shared" si="17"/>
        <v>152.5</v>
      </c>
      <c r="E314" s="51">
        <v>4.2240000000000002</v>
      </c>
      <c r="F314" s="42">
        <f t="shared" si="9"/>
        <v>3.493510168882092</v>
      </c>
      <c r="G314" s="51">
        <f t="shared" si="10"/>
        <v>145</v>
      </c>
      <c r="H314" s="46">
        <f t="shared" si="11"/>
        <v>8.9514643381220144E-2</v>
      </c>
      <c r="I314" s="41">
        <f t="shared" si="12"/>
        <v>0.17094747638787983</v>
      </c>
      <c r="J314" s="41">
        <f t="shared" si="13"/>
        <v>8.1432833006659683E-2</v>
      </c>
    </row>
    <row r="315" spans="1:10">
      <c r="A315" s="51">
        <f t="shared" si="16"/>
        <v>25</v>
      </c>
      <c r="B315" s="51">
        <v>20</v>
      </c>
      <c r="C315" s="42">
        <f t="shared" si="14"/>
        <v>38.713454657756991</v>
      </c>
      <c r="D315" s="42">
        <f t="shared" si="17"/>
        <v>152.5</v>
      </c>
      <c r="E315" s="51">
        <v>4.2240000000000002</v>
      </c>
      <c r="F315" s="42">
        <f t="shared" si="9"/>
        <v>3.493510168882092</v>
      </c>
      <c r="G315" s="51">
        <f t="shared" si="10"/>
        <v>145</v>
      </c>
      <c r="H315" s="46">
        <f t="shared" si="11"/>
        <v>8.9514643381220144E-2</v>
      </c>
      <c r="I315" s="41">
        <f t="shared" si="12"/>
        <v>0.17094747638787983</v>
      </c>
      <c r="J315" s="41">
        <f t="shared" si="13"/>
        <v>8.1432833006659683E-2</v>
      </c>
    </row>
    <row r="316" spans="1:10">
      <c r="A316" s="51">
        <f t="shared" si="16"/>
        <v>26</v>
      </c>
      <c r="B316" s="51">
        <v>20</v>
      </c>
      <c r="C316" s="42">
        <f t="shared" si="14"/>
        <v>38.794887490763649</v>
      </c>
      <c r="D316" s="42">
        <f t="shared" si="17"/>
        <v>152.5</v>
      </c>
      <c r="E316" s="51">
        <v>4.2240000000000002</v>
      </c>
      <c r="F316" s="42">
        <f t="shared" si="9"/>
        <v>3.493510168882092</v>
      </c>
      <c r="G316" s="51">
        <f t="shared" si="10"/>
        <v>145</v>
      </c>
      <c r="H316" s="46">
        <f t="shared" si="11"/>
        <v>8.9514643381220144E-2</v>
      </c>
      <c r="I316" s="41">
        <f t="shared" si="12"/>
        <v>0.17094747638787983</v>
      </c>
      <c r="J316" s="41">
        <f t="shared" si="13"/>
        <v>8.1432833006659683E-2</v>
      </c>
    </row>
    <row r="317" spans="1:10">
      <c r="A317" s="51">
        <f t="shared" si="16"/>
        <v>27</v>
      </c>
      <c r="B317" s="51">
        <v>20</v>
      </c>
      <c r="C317" s="42">
        <f t="shared" si="14"/>
        <v>38.876320323770308</v>
      </c>
      <c r="D317" s="42">
        <f t="shared" si="17"/>
        <v>152.5</v>
      </c>
      <c r="E317" s="51">
        <v>4.2240000000000002</v>
      </c>
      <c r="F317" s="42">
        <f t="shared" si="9"/>
        <v>3.493510168882092</v>
      </c>
      <c r="G317" s="51">
        <f t="shared" si="10"/>
        <v>145</v>
      </c>
      <c r="H317" s="46">
        <f t="shared" si="11"/>
        <v>8.9514643381220144E-2</v>
      </c>
      <c r="I317" s="41">
        <f t="shared" si="12"/>
        <v>0.17094747638787983</v>
      </c>
      <c r="J317" s="41">
        <f t="shared" si="13"/>
        <v>8.1432833006659683E-2</v>
      </c>
    </row>
    <row r="318" spans="1:10">
      <c r="A318" s="51">
        <f t="shared" si="16"/>
        <v>28</v>
      </c>
      <c r="B318" s="51">
        <v>20</v>
      </c>
      <c r="C318" s="42">
        <f t="shared" si="14"/>
        <v>38.957753156776967</v>
      </c>
      <c r="D318" s="42">
        <f t="shared" si="17"/>
        <v>152.5</v>
      </c>
      <c r="E318" s="51">
        <v>4.2240000000000002</v>
      </c>
      <c r="F318" s="42">
        <f t="shared" si="9"/>
        <v>3.493510168882092</v>
      </c>
      <c r="G318" s="51">
        <f t="shared" si="10"/>
        <v>145</v>
      </c>
      <c r="H318" s="46">
        <f t="shared" si="11"/>
        <v>8.9514643381220144E-2</v>
      </c>
      <c r="I318" s="41">
        <f t="shared" si="12"/>
        <v>0.17094747638787983</v>
      </c>
      <c r="J318" s="41">
        <f t="shared" si="13"/>
        <v>8.1432833006659683E-2</v>
      </c>
    </row>
    <row r="319" spans="1:10">
      <c r="A319" s="51">
        <f t="shared" si="16"/>
        <v>29</v>
      </c>
      <c r="B319" s="51">
        <v>20</v>
      </c>
      <c r="C319" s="42">
        <f t="shared" si="14"/>
        <v>39.039185989783626</v>
      </c>
      <c r="D319" s="42">
        <f t="shared" si="17"/>
        <v>152.5</v>
      </c>
      <c r="E319" s="51">
        <v>4.2240000000000002</v>
      </c>
      <c r="F319" s="42">
        <f t="shared" si="9"/>
        <v>3.493510168882092</v>
      </c>
      <c r="G319" s="51">
        <f t="shared" si="10"/>
        <v>145</v>
      </c>
      <c r="H319" s="46">
        <f t="shared" si="11"/>
        <v>8.9514643381220144E-2</v>
      </c>
      <c r="I319" s="41">
        <f t="shared" si="12"/>
        <v>0.17094747638787983</v>
      </c>
      <c r="J319" s="41">
        <f t="shared" si="13"/>
        <v>8.1432833006659683E-2</v>
      </c>
    </row>
    <row r="320" spans="1:10">
      <c r="A320" s="51">
        <f t="shared" si="16"/>
        <v>30</v>
      </c>
      <c r="B320" s="51">
        <v>20</v>
      </c>
      <c r="C320" s="42">
        <f t="shared" si="14"/>
        <v>39.120618822790284</v>
      </c>
      <c r="D320" s="42">
        <f t="shared" si="17"/>
        <v>152.5</v>
      </c>
      <c r="E320" s="51">
        <v>4.2240000000000002</v>
      </c>
      <c r="F320" s="42">
        <f t="shared" si="9"/>
        <v>3.493510168882092</v>
      </c>
      <c r="G320" s="51">
        <f t="shared" si="10"/>
        <v>145</v>
      </c>
      <c r="H320" s="46">
        <f t="shared" si="11"/>
        <v>8.9514643381220144E-2</v>
      </c>
      <c r="I320" s="41">
        <f t="shared" si="12"/>
        <v>0.17094747638787983</v>
      </c>
      <c r="J320" s="41">
        <f t="shared" si="13"/>
        <v>8.1432833006659683E-2</v>
      </c>
    </row>
    <row r="321" spans="1:10">
      <c r="A321" s="51">
        <f t="shared" si="16"/>
        <v>31</v>
      </c>
      <c r="B321" s="51">
        <v>20</v>
      </c>
      <c r="C321" s="42">
        <f t="shared" si="14"/>
        <v>39.202051655796943</v>
      </c>
      <c r="D321" s="42">
        <f t="shared" si="17"/>
        <v>152.5</v>
      </c>
      <c r="E321" s="51">
        <v>4.2240000000000002</v>
      </c>
      <c r="F321" s="42">
        <f t="shared" si="9"/>
        <v>3.493510168882092</v>
      </c>
      <c r="G321" s="51">
        <f t="shared" si="10"/>
        <v>145</v>
      </c>
      <c r="H321" s="46">
        <f t="shared" si="11"/>
        <v>8.9514643381220144E-2</v>
      </c>
      <c r="I321" s="41">
        <f t="shared" si="12"/>
        <v>0.17094747638787983</v>
      </c>
      <c r="J321" s="41">
        <f t="shared" si="13"/>
        <v>8.1432833006659683E-2</v>
      </c>
    </row>
    <row r="322" spans="1:10">
      <c r="A322" s="51">
        <f t="shared" si="16"/>
        <v>32</v>
      </c>
      <c r="B322" s="51">
        <v>20</v>
      </c>
      <c r="C322" s="42">
        <f t="shared" si="14"/>
        <v>39.283484488803602</v>
      </c>
      <c r="D322" s="42">
        <f t="shared" si="17"/>
        <v>152.5</v>
      </c>
      <c r="E322" s="51">
        <v>4.2240000000000002</v>
      </c>
      <c r="F322" s="42">
        <f t="shared" si="9"/>
        <v>3.493510168882092</v>
      </c>
      <c r="G322" s="51">
        <f t="shared" si="10"/>
        <v>145</v>
      </c>
      <c r="H322" s="46">
        <f t="shared" si="11"/>
        <v>8.9514643381220144E-2</v>
      </c>
      <c r="I322" s="41">
        <f t="shared" si="12"/>
        <v>0.17094747638787983</v>
      </c>
      <c r="J322" s="41">
        <f t="shared" si="13"/>
        <v>8.1432833006659683E-2</v>
      </c>
    </row>
    <row r="323" spans="1:10">
      <c r="A323" s="51">
        <f t="shared" si="16"/>
        <v>33</v>
      </c>
      <c r="B323" s="51">
        <v>20</v>
      </c>
      <c r="C323" s="42">
        <f t="shared" si="14"/>
        <v>39.36491732181026</v>
      </c>
      <c r="D323" s="42">
        <f t="shared" si="17"/>
        <v>152.5</v>
      </c>
      <c r="E323" s="51">
        <v>4.2240000000000002</v>
      </c>
      <c r="F323" s="42">
        <f t="shared" si="9"/>
        <v>3.493510168882092</v>
      </c>
      <c r="G323" s="51">
        <f t="shared" si="10"/>
        <v>145</v>
      </c>
      <c r="H323" s="46">
        <f t="shared" si="11"/>
        <v>8.9514643381220144E-2</v>
      </c>
      <c r="I323" s="41">
        <f t="shared" si="12"/>
        <v>0.17094747638787983</v>
      </c>
      <c r="J323" s="41">
        <f t="shared" si="13"/>
        <v>8.1432833006659683E-2</v>
      </c>
    </row>
    <row r="324" spans="1:10">
      <c r="A324" s="51">
        <f t="shared" si="16"/>
        <v>34</v>
      </c>
      <c r="B324" s="51">
        <v>20</v>
      </c>
      <c r="C324" s="42">
        <f t="shared" si="14"/>
        <v>39.446350154816919</v>
      </c>
      <c r="D324" s="42">
        <f t="shared" si="17"/>
        <v>152.5</v>
      </c>
      <c r="E324" s="51">
        <v>4.2240000000000002</v>
      </c>
      <c r="F324" s="42">
        <f t="shared" si="9"/>
        <v>3.493510168882092</v>
      </c>
      <c r="G324" s="51">
        <f t="shared" si="10"/>
        <v>145</v>
      </c>
      <c r="H324" s="46">
        <f t="shared" si="11"/>
        <v>8.9514643381220144E-2</v>
      </c>
      <c r="I324" s="41">
        <f t="shared" si="12"/>
        <v>0.17094747638787983</v>
      </c>
      <c r="J324" s="41">
        <f t="shared" si="13"/>
        <v>8.1432833006659683E-2</v>
      </c>
    </row>
    <row r="325" spans="1:10">
      <c r="A325" s="51">
        <f t="shared" si="16"/>
        <v>35</v>
      </c>
      <c r="B325" s="51">
        <v>20</v>
      </c>
      <c r="C325" s="42">
        <f t="shared" si="14"/>
        <v>39.527782987823578</v>
      </c>
      <c r="D325" s="42">
        <f t="shared" si="17"/>
        <v>152.5</v>
      </c>
      <c r="E325" s="51">
        <v>4.2240000000000002</v>
      </c>
      <c r="F325" s="42">
        <f t="shared" si="9"/>
        <v>3.493510168882092</v>
      </c>
      <c r="G325" s="51">
        <f t="shared" si="10"/>
        <v>145</v>
      </c>
      <c r="H325" s="46">
        <f t="shared" si="11"/>
        <v>8.9514643381220144E-2</v>
      </c>
      <c r="I325" s="41">
        <f t="shared" si="12"/>
        <v>0.17094747638787983</v>
      </c>
      <c r="J325" s="41">
        <f t="shared" si="13"/>
        <v>8.1432833006659683E-2</v>
      </c>
    </row>
    <row r="326" spans="1:10">
      <c r="A326" s="51">
        <f t="shared" si="16"/>
        <v>36</v>
      </c>
      <c r="B326" s="51">
        <v>20</v>
      </c>
      <c r="C326" s="42">
        <f t="shared" si="14"/>
        <v>39.609215820830237</v>
      </c>
      <c r="D326" s="42">
        <f t="shared" si="17"/>
        <v>152.5</v>
      </c>
      <c r="E326" s="51">
        <v>4.2240000000000002</v>
      </c>
      <c r="F326" s="42">
        <f t="shared" si="9"/>
        <v>3.493510168882092</v>
      </c>
      <c r="G326" s="51">
        <f t="shared" si="10"/>
        <v>145</v>
      </c>
      <c r="H326" s="46">
        <f t="shared" si="11"/>
        <v>8.9514643381220144E-2</v>
      </c>
      <c r="I326" s="41">
        <f t="shared" si="12"/>
        <v>0.17094747638787983</v>
      </c>
      <c r="J326" s="41">
        <f t="shared" si="13"/>
        <v>8.1432833006659683E-2</v>
      </c>
    </row>
    <row r="327" spans="1:10">
      <c r="A327" s="51">
        <f t="shared" si="16"/>
        <v>37</v>
      </c>
      <c r="B327" s="51">
        <v>20</v>
      </c>
      <c r="C327" s="42">
        <f t="shared" si="14"/>
        <v>39.690648653836895</v>
      </c>
      <c r="D327" s="42">
        <f t="shared" si="17"/>
        <v>152.5</v>
      </c>
      <c r="E327" s="51">
        <v>4.2240000000000002</v>
      </c>
      <c r="F327" s="42">
        <f t="shared" si="9"/>
        <v>3.493510168882092</v>
      </c>
      <c r="G327" s="51">
        <f t="shared" si="10"/>
        <v>145</v>
      </c>
      <c r="H327" s="46">
        <f t="shared" si="11"/>
        <v>8.9514643381220144E-2</v>
      </c>
      <c r="I327" s="41">
        <f t="shared" si="12"/>
        <v>0.17094747638787983</v>
      </c>
      <c r="J327" s="41">
        <f t="shared" si="13"/>
        <v>8.1432833006659683E-2</v>
      </c>
    </row>
    <row r="328" spans="1:10">
      <c r="A328" s="51">
        <f t="shared" si="16"/>
        <v>38</v>
      </c>
      <c r="B328" s="51">
        <v>20</v>
      </c>
      <c r="C328" s="42">
        <f t="shared" si="14"/>
        <v>39.772081486843554</v>
      </c>
      <c r="D328" s="42">
        <f t="shared" si="17"/>
        <v>152.5</v>
      </c>
      <c r="E328" s="51">
        <v>4.2240000000000002</v>
      </c>
      <c r="F328" s="42">
        <f t="shared" si="9"/>
        <v>3.493510168882092</v>
      </c>
      <c r="G328" s="51">
        <f t="shared" si="10"/>
        <v>145</v>
      </c>
      <c r="H328" s="46">
        <f t="shared" si="11"/>
        <v>8.9514643381220144E-2</v>
      </c>
      <c r="I328" s="41">
        <f t="shared" si="12"/>
        <v>0.17094747638787983</v>
      </c>
      <c r="J328" s="41">
        <f t="shared" si="13"/>
        <v>8.1432833006659683E-2</v>
      </c>
    </row>
    <row r="329" spans="1:10">
      <c r="A329" s="51">
        <f t="shared" si="16"/>
        <v>39</v>
      </c>
      <c r="B329" s="51">
        <v>20</v>
      </c>
      <c r="C329" s="42">
        <f t="shared" si="14"/>
        <v>39.853514319850213</v>
      </c>
      <c r="D329" s="42">
        <f t="shared" si="17"/>
        <v>152.5</v>
      </c>
      <c r="E329" s="51">
        <v>4.2240000000000002</v>
      </c>
      <c r="F329" s="42">
        <f t="shared" si="9"/>
        <v>3.493510168882092</v>
      </c>
      <c r="G329" s="51">
        <f t="shared" si="10"/>
        <v>145</v>
      </c>
      <c r="H329" s="46">
        <f t="shared" si="11"/>
        <v>8.9514643381220144E-2</v>
      </c>
      <c r="I329" s="41">
        <f t="shared" si="12"/>
        <v>0.17094747638787983</v>
      </c>
      <c r="J329" s="41">
        <f t="shared" si="13"/>
        <v>8.1432833006659683E-2</v>
      </c>
    </row>
    <row r="330" spans="1:10">
      <c r="A330" s="51">
        <f t="shared" si="16"/>
        <v>40</v>
      </c>
      <c r="B330" s="51">
        <v>20</v>
      </c>
      <c r="C330" s="42">
        <f t="shared" si="14"/>
        <v>39.934947152856871</v>
      </c>
      <c r="D330" s="42">
        <f t="shared" si="17"/>
        <v>152.5</v>
      </c>
      <c r="E330" s="51">
        <v>4.2240000000000002</v>
      </c>
      <c r="F330" s="42">
        <f t="shared" si="9"/>
        <v>3.493510168882092</v>
      </c>
      <c r="G330" s="51">
        <f t="shared" si="10"/>
        <v>145</v>
      </c>
      <c r="H330" s="46">
        <f t="shared" si="11"/>
        <v>8.9514643381220144E-2</v>
      </c>
      <c r="I330" s="41">
        <f t="shared" si="12"/>
        <v>0.17094747638787983</v>
      </c>
      <c r="J330" s="41">
        <f t="shared" si="13"/>
        <v>8.1432833006659683E-2</v>
      </c>
    </row>
    <row r="331" spans="1:10">
      <c r="A331" s="51">
        <f t="shared" si="16"/>
        <v>41</v>
      </c>
      <c r="B331" s="51">
        <v>20</v>
      </c>
      <c r="C331" s="42">
        <f t="shared" si="14"/>
        <v>40.01637998586353</v>
      </c>
      <c r="D331" s="42">
        <f t="shared" si="17"/>
        <v>152.5</v>
      </c>
      <c r="E331" s="51">
        <v>4.2240000000000002</v>
      </c>
      <c r="F331" s="42">
        <f t="shared" si="9"/>
        <v>3.493510168882092</v>
      </c>
      <c r="G331" s="51">
        <f t="shared" si="10"/>
        <v>145</v>
      </c>
      <c r="H331" s="46">
        <f t="shared" si="11"/>
        <v>8.9514643381220144E-2</v>
      </c>
      <c r="I331" s="41">
        <f t="shared" si="12"/>
        <v>0.17094747638787983</v>
      </c>
      <c r="J331" s="41">
        <f t="shared" si="13"/>
        <v>8.1432833006659683E-2</v>
      </c>
    </row>
    <row r="332" spans="1:10">
      <c r="A332" s="51">
        <f t="shared" si="16"/>
        <v>42</v>
      </c>
      <c r="B332" s="51">
        <v>20</v>
      </c>
      <c r="C332" s="42">
        <f t="shared" si="14"/>
        <v>40.097812818870189</v>
      </c>
      <c r="D332" s="42">
        <f t="shared" si="17"/>
        <v>152.5</v>
      </c>
      <c r="E332" s="51">
        <v>4.2240000000000002</v>
      </c>
      <c r="F332" s="42">
        <f t="shared" si="9"/>
        <v>3.493510168882092</v>
      </c>
      <c r="G332" s="51">
        <f t="shared" si="10"/>
        <v>145</v>
      </c>
      <c r="H332" s="46">
        <f t="shared" si="11"/>
        <v>8.9514643381220144E-2</v>
      </c>
      <c r="I332" s="41">
        <f t="shared" si="12"/>
        <v>0.17094747638787983</v>
      </c>
      <c r="J332" s="41">
        <f t="shared" si="13"/>
        <v>8.1432833006659683E-2</v>
      </c>
    </row>
    <row r="333" spans="1:10">
      <c r="A333" s="51">
        <f t="shared" si="16"/>
        <v>43</v>
      </c>
      <c r="B333" s="51">
        <v>20</v>
      </c>
      <c r="C333" s="42">
        <f t="shared" si="14"/>
        <v>40.179245651876847</v>
      </c>
      <c r="D333" s="42">
        <f t="shared" si="17"/>
        <v>152.5</v>
      </c>
      <c r="E333" s="51">
        <v>4.2240000000000002</v>
      </c>
      <c r="F333" s="42">
        <f t="shared" si="9"/>
        <v>3.493510168882092</v>
      </c>
      <c r="G333" s="51">
        <f t="shared" si="10"/>
        <v>145</v>
      </c>
      <c r="H333" s="46">
        <f t="shared" si="11"/>
        <v>8.9514643381220144E-2</v>
      </c>
      <c r="I333" s="41">
        <f t="shared" si="12"/>
        <v>0.17094747638787983</v>
      </c>
      <c r="J333" s="41">
        <f t="shared" si="13"/>
        <v>8.1432833006659683E-2</v>
      </c>
    </row>
    <row r="334" spans="1:10">
      <c r="A334" s="51">
        <f t="shared" si="16"/>
        <v>44</v>
      </c>
      <c r="B334" s="51">
        <v>20</v>
      </c>
      <c r="C334" s="42">
        <f t="shared" si="14"/>
        <v>40.260678484883506</v>
      </c>
      <c r="D334" s="42">
        <f t="shared" si="17"/>
        <v>152.5</v>
      </c>
      <c r="E334" s="51">
        <v>4.2240000000000002</v>
      </c>
      <c r="F334" s="42">
        <f t="shared" si="9"/>
        <v>3.493510168882092</v>
      </c>
      <c r="G334" s="51">
        <f t="shared" si="10"/>
        <v>145</v>
      </c>
      <c r="H334" s="46">
        <f t="shared" si="11"/>
        <v>8.9514643381220144E-2</v>
      </c>
      <c r="I334" s="41">
        <f t="shared" si="12"/>
        <v>0.17094747638787983</v>
      </c>
      <c r="J334" s="41">
        <f t="shared" si="13"/>
        <v>8.1432833006659683E-2</v>
      </c>
    </row>
    <row r="335" spans="1:10">
      <c r="A335" s="51">
        <f t="shared" si="16"/>
        <v>45</v>
      </c>
      <c r="B335" s="51">
        <v>20</v>
      </c>
      <c r="C335" s="42">
        <f t="shared" si="14"/>
        <v>40.342111317890165</v>
      </c>
      <c r="D335" s="42">
        <f t="shared" si="17"/>
        <v>152.5</v>
      </c>
      <c r="E335" s="51">
        <v>4.2240000000000002</v>
      </c>
      <c r="F335" s="42">
        <f t="shared" si="9"/>
        <v>3.493510168882092</v>
      </c>
      <c r="G335" s="51">
        <f t="shared" si="10"/>
        <v>145</v>
      </c>
      <c r="H335" s="46">
        <f t="shared" si="11"/>
        <v>8.9514643381220144E-2</v>
      </c>
      <c r="I335" s="41">
        <f t="shared" si="12"/>
        <v>0.17094747638787983</v>
      </c>
      <c r="J335" s="41">
        <f t="shared" si="13"/>
        <v>8.1432833006659683E-2</v>
      </c>
    </row>
    <row r="336" spans="1:10">
      <c r="A336" s="51">
        <f t="shared" si="16"/>
        <v>46</v>
      </c>
      <c r="B336" s="51">
        <v>20</v>
      </c>
      <c r="C336" s="42">
        <f t="shared" si="14"/>
        <v>40.423544150896824</v>
      </c>
      <c r="D336" s="42">
        <f t="shared" si="17"/>
        <v>152.5</v>
      </c>
      <c r="E336" s="51">
        <v>4.2240000000000002</v>
      </c>
      <c r="F336" s="42">
        <f t="shared" si="9"/>
        <v>3.493510168882092</v>
      </c>
      <c r="G336" s="51">
        <f t="shared" si="10"/>
        <v>145</v>
      </c>
      <c r="H336" s="46">
        <f t="shared" si="11"/>
        <v>8.9514643381220144E-2</v>
      </c>
      <c r="I336" s="41">
        <f t="shared" si="12"/>
        <v>0.17094747638787983</v>
      </c>
      <c r="J336" s="41">
        <f t="shared" si="13"/>
        <v>8.1432833006659683E-2</v>
      </c>
    </row>
    <row r="337" spans="1:10">
      <c r="A337" s="51">
        <f t="shared" si="16"/>
        <v>47</v>
      </c>
      <c r="B337" s="51">
        <v>20</v>
      </c>
      <c r="C337" s="42">
        <f t="shared" si="14"/>
        <v>40.504976983903482</v>
      </c>
      <c r="D337" s="42">
        <f t="shared" si="17"/>
        <v>152.5</v>
      </c>
      <c r="E337" s="51">
        <v>4.2240000000000002</v>
      </c>
      <c r="F337" s="42">
        <f t="shared" si="9"/>
        <v>3.493510168882092</v>
      </c>
      <c r="G337" s="51">
        <f t="shared" si="10"/>
        <v>145</v>
      </c>
      <c r="H337" s="46">
        <f t="shared" si="11"/>
        <v>8.9514643381220144E-2</v>
      </c>
      <c r="I337" s="41">
        <f t="shared" si="12"/>
        <v>0.17094747638787983</v>
      </c>
      <c r="J337" s="41">
        <f t="shared" si="13"/>
        <v>8.1432833006659683E-2</v>
      </c>
    </row>
    <row r="338" spans="1:10">
      <c r="A338" s="51">
        <f t="shared" si="16"/>
        <v>48</v>
      </c>
      <c r="B338" s="51">
        <v>20</v>
      </c>
      <c r="C338" s="42">
        <f t="shared" si="14"/>
        <v>40.586409816910141</v>
      </c>
      <c r="D338" s="42">
        <f t="shared" si="17"/>
        <v>152.5</v>
      </c>
      <c r="E338" s="51">
        <v>4.2240000000000002</v>
      </c>
      <c r="F338" s="42">
        <f t="shared" si="9"/>
        <v>3.493510168882092</v>
      </c>
      <c r="G338" s="51">
        <f t="shared" si="10"/>
        <v>145</v>
      </c>
      <c r="H338" s="46">
        <f t="shared" si="11"/>
        <v>8.9514643381220144E-2</v>
      </c>
      <c r="I338" s="41">
        <f t="shared" si="12"/>
        <v>0.17094747638787983</v>
      </c>
      <c r="J338" s="41">
        <f t="shared" si="13"/>
        <v>8.1432833006659683E-2</v>
      </c>
    </row>
    <row r="339" spans="1:10">
      <c r="A339" s="51">
        <f t="shared" si="16"/>
        <v>49</v>
      </c>
      <c r="B339" s="51">
        <v>20</v>
      </c>
      <c r="C339" s="42">
        <f t="shared" si="14"/>
        <v>40.6678426499168</v>
      </c>
      <c r="D339" s="42">
        <f t="shared" si="17"/>
        <v>152.5</v>
      </c>
      <c r="E339" s="51">
        <v>4.2240000000000002</v>
      </c>
      <c r="F339" s="42">
        <f t="shared" si="9"/>
        <v>3.493510168882092</v>
      </c>
      <c r="G339" s="51">
        <f t="shared" si="10"/>
        <v>145</v>
      </c>
      <c r="H339" s="46">
        <f t="shared" si="11"/>
        <v>8.9514643381220144E-2</v>
      </c>
      <c r="I339" s="41">
        <f t="shared" si="12"/>
        <v>0.17094747638787983</v>
      </c>
      <c r="J339" s="41">
        <f t="shared" si="13"/>
        <v>8.1432833006659683E-2</v>
      </c>
    </row>
    <row r="340" spans="1:10">
      <c r="A340" s="51">
        <f t="shared" si="16"/>
        <v>50</v>
      </c>
      <c r="B340" s="51">
        <v>20</v>
      </c>
      <c r="C340" s="42">
        <f t="shared" si="14"/>
        <v>40.749275482923458</v>
      </c>
      <c r="D340" s="42">
        <f t="shared" si="17"/>
        <v>152.5</v>
      </c>
      <c r="E340" s="51">
        <v>4.2240000000000002</v>
      </c>
      <c r="F340" s="42">
        <f t="shared" si="9"/>
        <v>3.493510168882092</v>
      </c>
      <c r="G340" s="51">
        <f t="shared" si="10"/>
        <v>145</v>
      </c>
      <c r="H340" s="46">
        <f t="shared" si="11"/>
        <v>8.9514643381220144E-2</v>
      </c>
      <c r="I340" s="41">
        <f t="shared" si="12"/>
        <v>0.17094747638787983</v>
      </c>
      <c r="J340" s="41">
        <f t="shared" si="13"/>
        <v>8.1432833006659683E-2</v>
      </c>
    </row>
    <row r="341" spans="1:10">
      <c r="A341" s="51">
        <f t="shared" si="16"/>
        <v>51</v>
      </c>
      <c r="B341" s="51">
        <v>20</v>
      </c>
      <c r="C341" s="42">
        <f t="shared" si="14"/>
        <v>40.830708315930117</v>
      </c>
      <c r="D341" s="42">
        <f t="shared" si="17"/>
        <v>152.5</v>
      </c>
      <c r="E341" s="51">
        <v>4.2240000000000002</v>
      </c>
      <c r="F341" s="42">
        <f t="shared" si="9"/>
        <v>3.493510168882092</v>
      </c>
      <c r="G341" s="51">
        <f t="shared" si="10"/>
        <v>145</v>
      </c>
      <c r="H341" s="46">
        <f t="shared" si="11"/>
        <v>8.9514643381220144E-2</v>
      </c>
      <c r="I341" s="41">
        <f t="shared" si="12"/>
        <v>0.17094747638787983</v>
      </c>
      <c r="J341" s="41">
        <f t="shared" si="13"/>
        <v>8.1432833006659683E-2</v>
      </c>
    </row>
    <row r="342" spans="1:10">
      <c r="A342" s="51">
        <f t="shared" si="16"/>
        <v>52</v>
      </c>
      <c r="B342" s="51">
        <v>20</v>
      </c>
      <c r="C342" s="42">
        <f t="shared" si="14"/>
        <v>40.912141148936776</v>
      </c>
      <c r="D342" s="42">
        <f t="shared" si="17"/>
        <v>152.5</v>
      </c>
      <c r="E342" s="51">
        <v>4.2240000000000002</v>
      </c>
      <c r="F342" s="42">
        <f t="shared" si="9"/>
        <v>3.493510168882092</v>
      </c>
      <c r="G342" s="51">
        <f t="shared" si="10"/>
        <v>145</v>
      </c>
      <c r="H342" s="46">
        <f t="shared" si="11"/>
        <v>8.9514643381220144E-2</v>
      </c>
      <c r="I342" s="41">
        <f t="shared" si="12"/>
        <v>0.17094747638787983</v>
      </c>
      <c r="J342" s="41">
        <f t="shared" si="13"/>
        <v>8.1432833006659683E-2</v>
      </c>
    </row>
    <row r="343" spans="1:10">
      <c r="A343" s="51">
        <f t="shared" si="16"/>
        <v>53</v>
      </c>
      <c r="B343" s="51">
        <v>20</v>
      </c>
      <c r="C343" s="42">
        <f t="shared" si="14"/>
        <v>40.993573981943435</v>
      </c>
      <c r="D343" s="42">
        <f t="shared" si="17"/>
        <v>152.5</v>
      </c>
      <c r="E343" s="51">
        <v>4.2240000000000002</v>
      </c>
      <c r="F343" s="42">
        <f t="shared" si="9"/>
        <v>3.493510168882092</v>
      </c>
      <c r="G343" s="51">
        <f t="shared" si="10"/>
        <v>145</v>
      </c>
      <c r="H343" s="46">
        <f t="shared" si="11"/>
        <v>8.9514643381220144E-2</v>
      </c>
      <c r="I343" s="41">
        <f t="shared" si="12"/>
        <v>0.17094747638787983</v>
      </c>
      <c r="J343" s="41">
        <f t="shared" si="13"/>
        <v>8.1432833006659683E-2</v>
      </c>
    </row>
    <row r="344" spans="1:10">
      <c r="A344" s="51">
        <f t="shared" si="16"/>
        <v>54</v>
      </c>
      <c r="B344" s="51">
        <v>20</v>
      </c>
      <c r="C344" s="42">
        <f t="shared" si="14"/>
        <v>41.075006814950093</v>
      </c>
      <c r="D344" s="42">
        <f t="shared" si="17"/>
        <v>152.5</v>
      </c>
      <c r="E344" s="51">
        <v>4.2240000000000002</v>
      </c>
      <c r="F344" s="42">
        <f t="shared" si="9"/>
        <v>3.493510168882092</v>
      </c>
      <c r="G344" s="51">
        <f t="shared" si="10"/>
        <v>145</v>
      </c>
      <c r="H344" s="46">
        <f t="shared" si="11"/>
        <v>8.9514643381220144E-2</v>
      </c>
      <c r="I344" s="41">
        <f t="shared" si="12"/>
        <v>0.17094747638787983</v>
      </c>
      <c r="J344" s="41">
        <f t="shared" si="13"/>
        <v>8.1432833006659683E-2</v>
      </c>
    </row>
    <row r="345" spans="1:10">
      <c r="A345" s="51">
        <f t="shared" si="16"/>
        <v>55</v>
      </c>
      <c r="B345" s="51">
        <v>20</v>
      </c>
      <c r="C345" s="42">
        <f t="shared" si="14"/>
        <v>41.156439647956752</v>
      </c>
      <c r="D345" s="42">
        <f t="shared" si="17"/>
        <v>152.5</v>
      </c>
      <c r="E345" s="51">
        <v>4.2240000000000002</v>
      </c>
      <c r="F345" s="42">
        <f t="shared" si="9"/>
        <v>3.493510168882092</v>
      </c>
      <c r="G345" s="51">
        <f t="shared" si="10"/>
        <v>145</v>
      </c>
      <c r="H345" s="46">
        <f t="shared" si="11"/>
        <v>8.9514643381220144E-2</v>
      </c>
      <c r="I345" s="41">
        <f t="shared" si="12"/>
        <v>0.17094747638787983</v>
      </c>
      <c r="J345" s="41">
        <f t="shared" si="13"/>
        <v>8.1432833006659683E-2</v>
      </c>
    </row>
    <row r="346" spans="1:10">
      <c r="A346" s="51">
        <f t="shared" si="16"/>
        <v>56</v>
      </c>
      <c r="B346" s="51">
        <v>20</v>
      </c>
      <c r="C346" s="42">
        <f t="shared" si="14"/>
        <v>41.237872480963411</v>
      </c>
      <c r="D346" s="42">
        <f t="shared" si="17"/>
        <v>152.5</v>
      </c>
      <c r="E346" s="51">
        <v>4.2240000000000002</v>
      </c>
      <c r="F346" s="42">
        <f t="shared" si="9"/>
        <v>3.493510168882092</v>
      </c>
      <c r="G346" s="51">
        <f t="shared" si="10"/>
        <v>145</v>
      </c>
      <c r="H346" s="46">
        <f t="shared" si="11"/>
        <v>8.9514643381220144E-2</v>
      </c>
      <c r="I346" s="41">
        <f t="shared" si="12"/>
        <v>0.17094747638787983</v>
      </c>
      <c r="J346" s="41">
        <f t="shared" si="13"/>
        <v>8.1432833006659683E-2</v>
      </c>
    </row>
    <row r="347" spans="1:10">
      <c r="A347" s="51">
        <f t="shared" si="16"/>
        <v>57</v>
      </c>
      <c r="B347" s="51">
        <v>20</v>
      </c>
      <c r="C347" s="42">
        <f t="shared" si="14"/>
        <v>41.319305313970069</v>
      </c>
      <c r="D347" s="42">
        <f t="shared" si="17"/>
        <v>152.5</v>
      </c>
      <c r="E347" s="51">
        <v>4.2240000000000002</v>
      </c>
      <c r="F347" s="42">
        <f t="shared" si="9"/>
        <v>3.493510168882092</v>
      </c>
      <c r="G347" s="51">
        <f t="shared" si="10"/>
        <v>145</v>
      </c>
      <c r="H347" s="46">
        <f t="shared" si="11"/>
        <v>8.9514643381220144E-2</v>
      </c>
      <c r="I347" s="41">
        <f t="shared" si="12"/>
        <v>0.17094747638787983</v>
      </c>
      <c r="J347" s="41">
        <f t="shared" si="13"/>
        <v>8.1432833006659683E-2</v>
      </c>
    </row>
    <row r="348" spans="1:10">
      <c r="A348" s="68" t="s">
        <v>221</v>
      </c>
      <c r="B348" s="69">
        <v>4</v>
      </c>
      <c r="C348" s="70">
        <f>C347+J347</f>
        <v>41.400738146976728</v>
      </c>
      <c r="D348" s="70">
        <f>D347-'Block 2'!F23</f>
        <v>104.5</v>
      </c>
      <c r="E348" s="69">
        <v>3.2839999999999998</v>
      </c>
      <c r="F348" s="70">
        <f t="shared" si="9"/>
        <v>3.9604996628408573</v>
      </c>
      <c r="G348" s="69">
        <f t="shared" si="10"/>
        <v>145</v>
      </c>
      <c r="H348" s="71">
        <f t="shared" si="11"/>
        <v>3.0290316227051001E-2</v>
      </c>
      <c r="I348" s="72">
        <f t="shared" si="12"/>
        <v>3.4189495277575963E-2</v>
      </c>
      <c r="J348" s="72">
        <f t="shared" si="13"/>
        <v>3.8991790505249618E-3</v>
      </c>
    </row>
    <row r="349" spans="1:10">
      <c r="A349" s="51">
        <f>A347+1</f>
        <v>58</v>
      </c>
      <c r="B349" s="51">
        <v>16</v>
      </c>
      <c r="C349" s="42">
        <f t="shared" si="14"/>
        <v>41.404637326027256</v>
      </c>
      <c r="D349" s="42">
        <f>D348</f>
        <v>104.5</v>
      </c>
      <c r="E349" s="51">
        <v>3.2839999999999998</v>
      </c>
      <c r="F349" s="42">
        <f t="shared" si="9"/>
        <v>3.9604996628408573</v>
      </c>
      <c r="G349" s="51">
        <f t="shared" si="10"/>
        <v>145</v>
      </c>
      <c r="H349" s="46">
        <f t="shared" si="11"/>
        <v>0.121161264908204</v>
      </c>
      <c r="I349" s="41">
        <f t="shared" si="12"/>
        <v>0.13675798111030385</v>
      </c>
      <c r="J349" s="41">
        <f t="shared" si="13"/>
        <v>1.5596716202099847E-2</v>
      </c>
    </row>
    <row r="350" spans="1:10">
      <c r="A350" s="51">
        <f t="shared" si="16"/>
        <v>59</v>
      </c>
      <c r="B350" s="51">
        <v>20</v>
      </c>
      <c r="C350" s="42">
        <f t="shared" si="14"/>
        <v>41.420234042229353</v>
      </c>
      <c r="D350" s="42">
        <f t="shared" ref="D350:D366" si="18">D349</f>
        <v>104.5</v>
      </c>
      <c r="E350" s="51">
        <v>3.2839999999999998</v>
      </c>
      <c r="F350" s="42">
        <f t="shared" si="9"/>
        <v>3.9604996628408573</v>
      </c>
      <c r="G350" s="51">
        <f t="shared" si="10"/>
        <v>145</v>
      </c>
      <c r="H350" s="46">
        <f t="shared" si="11"/>
        <v>0.151451581135255</v>
      </c>
      <c r="I350" s="41">
        <f t="shared" si="12"/>
        <v>0.17094747638787983</v>
      </c>
      <c r="J350" s="41">
        <f t="shared" si="13"/>
        <v>1.9495895252624823E-2</v>
      </c>
    </row>
    <row r="351" spans="1:10">
      <c r="A351" s="51">
        <f t="shared" si="16"/>
        <v>60</v>
      </c>
      <c r="B351" s="51">
        <v>20</v>
      </c>
      <c r="C351" s="42">
        <f t="shared" si="14"/>
        <v>41.439729937481978</v>
      </c>
      <c r="D351" s="42">
        <f t="shared" si="18"/>
        <v>104.5</v>
      </c>
      <c r="E351" s="51">
        <v>3.2839999999999998</v>
      </c>
      <c r="F351" s="42">
        <f t="shared" si="9"/>
        <v>3.9604996628408573</v>
      </c>
      <c r="G351" s="51">
        <f t="shared" si="10"/>
        <v>145</v>
      </c>
      <c r="H351" s="46">
        <f t="shared" si="11"/>
        <v>0.151451581135255</v>
      </c>
      <c r="I351" s="41">
        <f t="shared" si="12"/>
        <v>0.17094747638787983</v>
      </c>
      <c r="J351" s="41">
        <f t="shared" si="13"/>
        <v>1.9495895252624823E-2</v>
      </c>
    </row>
    <row r="352" spans="1:10">
      <c r="A352" s="51">
        <f t="shared" si="16"/>
        <v>61</v>
      </c>
      <c r="B352" s="51">
        <v>20</v>
      </c>
      <c r="C352" s="42">
        <f t="shared" si="14"/>
        <v>41.459225832734603</v>
      </c>
      <c r="D352" s="42">
        <f t="shared" si="18"/>
        <v>104.5</v>
      </c>
      <c r="E352" s="51">
        <v>3.2839999999999998</v>
      </c>
      <c r="F352" s="42">
        <f t="shared" si="9"/>
        <v>3.9604996628408573</v>
      </c>
      <c r="G352" s="51">
        <f t="shared" si="10"/>
        <v>145</v>
      </c>
      <c r="H352" s="46">
        <f t="shared" si="11"/>
        <v>0.151451581135255</v>
      </c>
      <c r="I352" s="41">
        <f t="shared" si="12"/>
        <v>0.17094747638787983</v>
      </c>
      <c r="J352" s="41">
        <f t="shared" si="13"/>
        <v>1.9495895252624823E-2</v>
      </c>
    </row>
    <row r="353" spans="1:10">
      <c r="A353" s="51">
        <f t="shared" si="16"/>
        <v>62</v>
      </c>
      <c r="B353" s="51">
        <v>20</v>
      </c>
      <c r="C353" s="42">
        <f t="shared" si="14"/>
        <v>41.478721727987228</v>
      </c>
      <c r="D353" s="42">
        <f t="shared" si="18"/>
        <v>104.5</v>
      </c>
      <c r="E353" s="51">
        <v>3.2839999999999998</v>
      </c>
      <c r="F353" s="42">
        <f t="shared" si="9"/>
        <v>3.9604996628408573</v>
      </c>
      <c r="G353" s="51">
        <f t="shared" si="10"/>
        <v>145</v>
      </c>
      <c r="H353" s="46">
        <f t="shared" si="11"/>
        <v>0.151451581135255</v>
      </c>
      <c r="I353" s="41">
        <f t="shared" si="12"/>
        <v>0.17094747638787983</v>
      </c>
      <c r="J353" s="41">
        <f t="shared" si="13"/>
        <v>1.9495895252624823E-2</v>
      </c>
    </row>
    <row r="354" spans="1:10">
      <c r="A354" s="51">
        <f t="shared" si="16"/>
        <v>63</v>
      </c>
      <c r="B354" s="51">
        <v>20</v>
      </c>
      <c r="C354" s="42">
        <f t="shared" si="14"/>
        <v>41.498217623239853</v>
      </c>
      <c r="D354" s="42">
        <f t="shared" si="18"/>
        <v>104.5</v>
      </c>
      <c r="E354" s="51">
        <v>3.2839999999999998</v>
      </c>
      <c r="F354" s="42">
        <f t="shared" ref="F354:F409" si="19">(D354/448.8)/(3.14*((E354/12)^2)/4)</f>
        <v>3.9604996628408573</v>
      </c>
      <c r="G354" s="51">
        <f t="shared" ref="G354:G409" si="20">IF(E354&gt;5,$B$277,IF(5&gt;=E354&gt;1.5,$B$278,IF(1.5&gt;E354,$B$279,0)))</f>
        <v>145</v>
      </c>
      <c r="H354" s="46">
        <f t="shared" ref="H354:H409" si="21">(1050*((D354/G354)^1.852)*(B354/100)*(E354^-4.87))/2.31</f>
        <v>0.151451581135255</v>
      </c>
      <c r="I354" s="41">
        <f t="shared" ref="I354:I409" si="22">B354*$B$282</f>
        <v>0.17094747638787983</v>
      </c>
      <c r="J354" s="41">
        <f t="shared" ref="J354:J409" si="23">I354-H354</f>
        <v>1.9495895252624823E-2</v>
      </c>
    </row>
    <row r="355" spans="1:10">
      <c r="A355" s="51">
        <f t="shared" si="16"/>
        <v>64</v>
      </c>
      <c r="B355" s="51">
        <v>20</v>
      </c>
      <c r="C355" s="42">
        <f t="shared" ref="C355:C408" si="24">C354+J354</f>
        <v>41.517713518492478</v>
      </c>
      <c r="D355" s="42">
        <f t="shared" si="18"/>
        <v>104.5</v>
      </c>
      <c r="E355" s="51">
        <v>3.2839999999999998</v>
      </c>
      <c r="F355" s="42">
        <f t="shared" si="19"/>
        <v>3.9604996628408573</v>
      </c>
      <c r="G355" s="51">
        <f t="shared" si="20"/>
        <v>145</v>
      </c>
      <c r="H355" s="46">
        <f t="shared" si="21"/>
        <v>0.151451581135255</v>
      </c>
      <c r="I355" s="41">
        <f t="shared" si="22"/>
        <v>0.17094747638787983</v>
      </c>
      <c r="J355" s="41">
        <f t="shared" si="23"/>
        <v>1.9495895252624823E-2</v>
      </c>
    </row>
    <row r="356" spans="1:10">
      <c r="A356" s="51">
        <f t="shared" si="16"/>
        <v>65</v>
      </c>
      <c r="B356" s="51">
        <v>20</v>
      </c>
      <c r="C356" s="42">
        <f t="shared" si="24"/>
        <v>41.537209413745103</v>
      </c>
      <c r="D356" s="42">
        <f t="shared" si="18"/>
        <v>104.5</v>
      </c>
      <c r="E356" s="51">
        <v>3.2839999999999998</v>
      </c>
      <c r="F356" s="42">
        <f t="shared" si="19"/>
        <v>3.9604996628408573</v>
      </c>
      <c r="G356" s="51">
        <f t="shared" si="20"/>
        <v>145</v>
      </c>
      <c r="H356" s="46">
        <f t="shared" si="21"/>
        <v>0.151451581135255</v>
      </c>
      <c r="I356" s="41">
        <f t="shared" si="22"/>
        <v>0.17094747638787983</v>
      </c>
      <c r="J356" s="41">
        <f t="shared" si="23"/>
        <v>1.9495895252624823E-2</v>
      </c>
    </row>
    <row r="357" spans="1:10">
      <c r="A357" s="51">
        <f t="shared" si="16"/>
        <v>66</v>
      </c>
      <c r="B357" s="51">
        <v>20</v>
      </c>
      <c r="C357" s="42">
        <f t="shared" si="24"/>
        <v>41.556705308997728</v>
      </c>
      <c r="D357" s="42">
        <f t="shared" si="18"/>
        <v>104.5</v>
      </c>
      <c r="E357" s="51">
        <v>3.2839999999999998</v>
      </c>
      <c r="F357" s="42">
        <f t="shared" si="19"/>
        <v>3.9604996628408573</v>
      </c>
      <c r="G357" s="51">
        <f t="shared" si="20"/>
        <v>145</v>
      </c>
      <c r="H357" s="46">
        <f t="shared" si="21"/>
        <v>0.151451581135255</v>
      </c>
      <c r="I357" s="41">
        <f t="shared" si="22"/>
        <v>0.17094747638787983</v>
      </c>
      <c r="J357" s="41">
        <f t="shared" si="23"/>
        <v>1.9495895252624823E-2</v>
      </c>
    </row>
    <row r="358" spans="1:10">
      <c r="A358" s="51">
        <f t="shared" si="16"/>
        <v>67</v>
      </c>
      <c r="B358" s="51">
        <v>20</v>
      </c>
      <c r="C358" s="42">
        <f t="shared" si="24"/>
        <v>41.576201204250353</v>
      </c>
      <c r="D358" s="42">
        <f t="shared" si="18"/>
        <v>104.5</v>
      </c>
      <c r="E358" s="51">
        <v>3.2839999999999998</v>
      </c>
      <c r="F358" s="42">
        <f t="shared" si="19"/>
        <v>3.9604996628408573</v>
      </c>
      <c r="G358" s="51">
        <f t="shared" si="20"/>
        <v>145</v>
      </c>
      <c r="H358" s="46">
        <f t="shared" si="21"/>
        <v>0.151451581135255</v>
      </c>
      <c r="I358" s="41">
        <f t="shared" si="22"/>
        <v>0.17094747638787983</v>
      </c>
      <c r="J358" s="41">
        <f t="shared" si="23"/>
        <v>1.9495895252624823E-2</v>
      </c>
    </row>
    <row r="359" spans="1:10">
      <c r="A359" s="51">
        <f t="shared" si="16"/>
        <v>68</v>
      </c>
      <c r="B359" s="51">
        <v>20</v>
      </c>
      <c r="C359" s="42">
        <f t="shared" si="24"/>
        <v>41.595697099502978</v>
      </c>
      <c r="D359" s="42">
        <f t="shared" si="18"/>
        <v>104.5</v>
      </c>
      <c r="E359" s="51">
        <v>3.2839999999999998</v>
      </c>
      <c r="F359" s="42">
        <f t="shared" si="19"/>
        <v>3.9604996628408573</v>
      </c>
      <c r="G359" s="51">
        <f t="shared" si="20"/>
        <v>145</v>
      </c>
      <c r="H359" s="46">
        <f t="shared" si="21"/>
        <v>0.151451581135255</v>
      </c>
      <c r="I359" s="41">
        <f t="shared" si="22"/>
        <v>0.17094747638787983</v>
      </c>
      <c r="J359" s="41">
        <f t="shared" si="23"/>
        <v>1.9495895252624823E-2</v>
      </c>
    </row>
    <row r="360" spans="1:10">
      <c r="A360" s="51">
        <f t="shared" si="16"/>
        <v>69</v>
      </c>
      <c r="B360" s="51">
        <v>20</v>
      </c>
      <c r="C360" s="42">
        <f t="shared" si="24"/>
        <v>41.615192994755603</v>
      </c>
      <c r="D360" s="42">
        <f t="shared" si="18"/>
        <v>104.5</v>
      </c>
      <c r="E360" s="51">
        <v>3.2839999999999998</v>
      </c>
      <c r="F360" s="42">
        <f t="shared" si="19"/>
        <v>3.9604996628408573</v>
      </c>
      <c r="G360" s="51">
        <f t="shared" si="20"/>
        <v>145</v>
      </c>
      <c r="H360" s="46">
        <f t="shared" si="21"/>
        <v>0.151451581135255</v>
      </c>
      <c r="I360" s="41">
        <f t="shared" si="22"/>
        <v>0.17094747638787983</v>
      </c>
      <c r="J360" s="41">
        <f t="shared" si="23"/>
        <v>1.9495895252624823E-2</v>
      </c>
    </row>
    <row r="361" spans="1:10">
      <c r="A361" s="51">
        <f t="shared" ref="A361:A408" si="25">A360+1</f>
        <v>70</v>
      </c>
      <c r="B361" s="51">
        <v>20</v>
      </c>
      <c r="C361" s="42">
        <f t="shared" si="24"/>
        <v>41.634688890008228</v>
      </c>
      <c r="D361" s="42">
        <f t="shared" si="18"/>
        <v>104.5</v>
      </c>
      <c r="E361" s="51">
        <v>3.2839999999999998</v>
      </c>
      <c r="F361" s="42">
        <f t="shared" si="19"/>
        <v>3.9604996628408573</v>
      </c>
      <c r="G361" s="51">
        <f t="shared" si="20"/>
        <v>145</v>
      </c>
      <c r="H361" s="46">
        <f t="shared" si="21"/>
        <v>0.151451581135255</v>
      </c>
      <c r="I361" s="41">
        <f t="shared" si="22"/>
        <v>0.17094747638787983</v>
      </c>
      <c r="J361" s="41">
        <f t="shared" si="23"/>
        <v>1.9495895252624823E-2</v>
      </c>
    </row>
    <row r="362" spans="1:10">
      <c r="A362" s="51">
        <f t="shared" si="25"/>
        <v>71</v>
      </c>
      <c r="B362" s="51">
        <v>20</v>
      </c>
      <c r="C362" s="42">
        <f t="shared" si="24"/>
        <v>41.654184785260853</v>
      </c>
      <c r="D362" s="42">
        <f t="shared" si="18"/>
        <v>104.5</v>
      </c>
      <c r="E362" s="51">
        <v>3.2839999999999998</v>
      </c>
      <c r="F362" s="42">
        <f t="shared" si="19"/>
        <v>3.9604996628408573</v>
      </c>
      <c r="G362" s="51">
        <f t="shared" si="20"/>
        <v>145</v>
      </c>
      <c r="H362" s="46">
        <f t="shared" si="21"/>
        <v>0.151451581135255</v>
      </c>
      <c r="I362" s="41">
        <f t="shared" si="22"/>
        <v>0.17094747638787983</v>
      </c>
      <c r="J362" s="41">
        <f t="shared" si="23"/>
        <v>1.9495895252624823E-2</v>
      </c>
    </row>
    <row r="363" spans="1:10">
      <c r="A363" s="51">
        <f t="shared" si="25"/>
        <v>72</v>
      </c>
      <c r="B363" s="51">
        <v>20</v>
      </c>
      <c r="C363" s="42">
        <f t="shared" si="24"/>
        <v>41.673680680513478</v>
      </c>
      <c r="D363" s="42">
        <f t="shared" si="18"/>
        <v>104.5</v>
      </c>
      <c r="E363" s="51">
        <v>3.2839999999999998</v>
      </c>
      <c r="F363" s="42">
        <f t="shared" si="19"/>
        <v>3.9604996628408573</v>
      </c>
      <c r="G363" s="51">
        <f t="shared" si="20"/>
        <v>145</v>
      </c>
      <c r="H363" s="46">
        <f t="shared" si="21"/>
        <v>0.151451581135255</v>
      </c>
      <c r="I363" s="41">
        <f t="shared" si="22"/>
        <v>0.17094747638787983</v>
      </c>
      <c r="J363" s="41">
        <f t="shared" si="23"/>
        <v>1.9495895252624823E-2</v>
      </c>
    </row>
    <row r="364" spans="1:10">
      <c r="A364" s="51">
        <f t="shared" si="25"/>
        <v>73</v>
      </c>
      <c r="B364" s="51">
        <v>20</v>
      </c>
      <c r="C364" s="42">
        <f t="shared" si="24"/>
        <v>41.693176575766103</v>
      </c>
      <c r="D364" s="42">
        <f t="shared" si="18"/>
        <v>104.5</v>
      </c>
      <c r="E364" s="51">
        <v>3.2839999999999998</v>
      </c>
      <c r="F364" s="42">
        <f t="shared" si="19"/>
        <v>3.9604996628408573</v>
      </c>
      <c r="G364" s="51">
        <f t="shared" si="20"/>
        <v>145</v>
      </c>
      <c r="H364" s="46">
        <f t="shared" si="21"/>
        <v>0.151451581135255</v>
      </c>
      <c r="I364" s="41">
        <f t="shared" si="22"/>
        <v>0.17094747638787983</v>
      </c>
      <c r="J364" s="41">
        <f t="shared" si="23"/>
        <v>1.9495895252624823E-2</v>
      </c>
    </row>
    <row r="365" spans="1:10">
      <c r="A365" s="51">
        <f t="shared" si="25"/>
        <v>74</v>
      </c>
      <c r="B365" s="51">
        <v>20</v>
      </c>
      <c r="C365" s="42">
        <f t="shared" si="24"/>
        <v>41.712672471018728</v>
      </c>
      <c r="D365" s="42">
        <f t="shared" si="18"/>
        <v>104.5</v>
      </c>
      <c r="E365" s="51">
        <v>3.2839999999999998</v>
      </c>
      <c r="F365" s="42">
        <f t="shared" si="19"/>
        <v>3.9604996628408573</v>
      </c>
      <c r="G365" s="51">
        <f t="shared" si="20"/>
        <v>145</v>
      </c>
      <c r="H365" s="46">
        <f t="shared" si="21"/>
        <v>0.151451581135255</v>
      </c>
      <c r="I365" s="41">
        <f t="shared" si="22"/>
        <v>0.17094747638787983</v>
      </c>
      <c r="J365" s="41">
        <f t="shared" si="23"/>
        <v>1.9495895252624823E-2</v>
      </c>
    </row>
    <row r="366" spans="1:10">
      <c r="A366" s="51">
        <f t="shared" si="25"/>
        <v>75</v>
      </c>
      <c r="B366" s="51">
        <v>20</v>
      </c>
      <c r="C366" s="42">
        <f t="shared" si="24"/>
        <v>41.732168366271353</v>
      </c>
      <c r="D366" s="42">
        <f t="shared" si="18"/>
        <v>104.5</v>
      </c>
      <c r="E366" s="51">
        <v>3.2839999999999998</v>
      </c>
      <c r="F366" s="42">
        <f t="shared" si="19"/>
        <v>3.9604996628408573</v>
      </c>
      <c r="G366" s="51">
        <f t="shared" si="20"/>
        <v>145</v>
      </c>
      <c r="H366" s="46">
        <f t="shared" si="21"/>
        <v>0.151451581135255</v>
      </c>
      <c r="I366" s="41">
        <f t="shared" si="22"/>
        <v>0.17094747638787983</v>
      </c>
      <c r="J366" s="41">
        <f t="shared" si="23"/>
        <v>1.9495895252624823E-2</v>
      </c>
    </row>
    <row r="367" spans="1:10">
      <c r="A367" s="68" t="s">
        <v>222</v>
      </c>
      <c r="B367" s="69">
        <v>12.7</v>
      </c>
      <c r="C367" s="70">
        <f>C366+J366</f>
        <v>41.751664261523977</v>
      </c>
      <c r="D367" s="70">
        <f>D366-'Block 3'!F25</f>
        <v>52</v>
      </c>
      <c r="E367" s="69">
        <v>2.1930000000000001</v>
      </c>
      <c r="F367" s="70">
        <f t="shared" si="19"/>
        <v>4.419428045638071</v>
      </c>
      <c r="G367" s="69">
        <f t="shared" si="20"/>
        <v>145</v>
      </c>
      <c r="H367" s="71">
        <f t="shared" si="21"/>
        <v>0.18867204473177571</v>
      </c>
      <c r="I367" s="72">
        <f t="shared" si="22"/>
        <v>0.10855164750630368</v>
      </c>
      <c r="J367" s="72">
        <f t="shared" si="23"/>
        <v>-8.0120397225472026E-2</v>
      </c>
    </row>
    <row r="368" spans="1:10">
      <c r="A368" s="51">
        <f>A366+1</f>
        <v>76</v>
      </c>
      <c r="B368" s="51">
        <v>7.3</v>
      </c>
      <c r="C368" s="42">
        <f t="shared" si="24"/>
        <v>41.671543864298506</v>
      </c>
      <c r="D368" s="42">
        <f>D367</f>
        <v>52</v>
      </c>
      <c r="E368" s="88">
        <v>2.1930000000000001</v>
      </c>
      <c r="F368" s="42">
        <f t="shared" si="19"/>
        <v>4.419428045638071</v>
      </c>
      <c r="G368" s="51">
        <f t="shared" si="20"/>
        <v>145</v>
      </c>
      <c r="H368" s="46">
        <f t="shared" si="21"/>
        <v>0.10844928555448526</v>
      </c>
      <c r="I368" s="41">
        <f t="shared" si="22"/>
        <v>6.2395828881576132E-2</v>
      </c>
      <c r="J368" s="41">
        <f t="shared" si="23"/>
        <v>-4.6053456672909124E-2</v>
      </c>
    </row>
    <row r="369" spans="1:10">
      <c r="A369" s="51">
        <f t="shared" si="25"/>
        <v>77</v>
      </c>
      <c r="B369" s="51">
        <v>20</v>
      </c>
      <c r="C369" s="42">
        <f t="shared" si="24"/>
        <v>41.625490407625598</v>
      </c>
      <c r="D369" s="42">
        <f t="shared" ref="D369:D408" si="26">D368</f>
        <v>52</v>
      </c>
      <c r="E369" s="88">
        <v>2.1930000000000001</v>
      </c>
      <c r="F369" s="42">
        <f t="shared" si="19"/>
        <v>4.419428045638071</v>
      </c>
      <c r="G369" s="51">
        <f t="shared" si="20"/>
        <v>145</v>
      </c>
      <c r="H369" s="46">
        <f t="shared" si="21"/>
        <v>0.29712133028626098</v>
      </c>
      <c r="I369" s="41">
        <f t="shared" si="22"/>
        <v>0.17094747638787983</v>
      </c>
      <c r="J369" s="41">
        <f t="shared" si="23"/>
        <v>-0.12617385389838115</v>
      </c>
    </row>
    <row r="370" spans="1:10">
      <c r="A370" s="51">
        <f t="shared" si="25"/>
        <v>78</v>
      </c>
      <c r="B370" s="51">
        <v>20</v>
      </c>
      <c r="C370" s="42">
        <f t="shared" si="24"/>
        <v>41.499316553727219</v>
      </c>
      <c r="D370" s="42">
        <f t="shared" si="26"/>
        <v>52</v>
      </c>
      <c r="E370" s="88">
        <v>2.1930000000000001</v>
      </c>
      <c r="F370" s="42">
        <f t="shared" si="19"/>
        <v>4.419428045638071</v>
      </c>
      <c r="G370" s="51">
        <f t="shared" si="20"/>
        <v>145</v>
      </c>
      <c r="H370" s="46">
        <f t="shared" si="21"/>
        <v>0.29712133028626098</v>
      </c>
      <c r="I370" s="41">
        <f t="shared" si="22"/>
        <v>0.17094747638787983</v>
      </c>
      <c r="J370" s="41">
        <f t="shared" si="23"/>
        <v>-0.12617385389838115</v>
      </c>
    </row>
    <row r="371" spans="1:10">
      <c r="A371" s="51">
        <f t="shared" si="25"/>
        <v>79</v>
      </c>
      <c r="B371" s="51">
        <v>20</v>
      </c>
      <c r="C371" s="42">
        <f t="shared" si="24"/>
        <v>41.37314269982884</v>
      </c>
      <c r="D371" s="42">
        <f t="shared" si="26"/>
        <v>52</v>
      </c>
      <c r="E371" s="88">
        <v>2.1930000000000001</v>
      </c>
      <c r="F371" s="42">
        <f t="shared" si="19"/>
        <v>4.419428045638071</v>
      </c>
      <c r="G371" s="51">
        <f t="shared" si="20"/>
        <v>145</v>
      </c>
      <c r="H371" s="46">
        <f t="shared" si="21"/>
        <v>0.29712133028626098</v>
      </c>
      <c r="I371" s="41">
        <f t="shared" si="22"/>
        <v>0.17094747638787983</v>
      </c>
      <c r="J371" s="41">
        <f t="shared" si="23"/>
        <v>-0.12617385389838115</v>
      </c>
    </row>
    <row r="372" spans="1:10">
      <c r="A372" s="51">
        <f t="shared" si="25"/>
        <v>80</v>
      </c>
      <c r="B372" s="51">
        <v>20</v>
      </c>
      <c r="C372" s="42">
        <f t="shared" si="24"/>
        <v>41.246968845930461</v>
      </c>
      <c r="D372" s="42">
        <f t="shared" si="26"/>
        <v>52</v>
      </c>
      <c r="E372" s="88">
        <v>2.1930000000000001</v>
      </c>
      <c r="F372" s="42">
        <f t="shared" si="19"/>
        <v>4.419428045638071</v>
      </c>
      <c r="G372" s="51">
        <f t="shared" si="20"/>
        <v>145</v>
      </c>
      <c r="H372" s="46">
        <f t="shared" si="21"/>
        <v>0.29712133028626098</v>
      </c>
      <c r="I372" s="41">
        <f t="shared" si="22"/>
        <v>0.17094747638787983</v>
      </c>
      <c r="J372" s="41">
        <f t="shared" si="23"/>
        <v>-0.12617385389838115</v>
      </c>
    </row>
    <row r="373" spans="1:10">
      <c r="A373" s="51">
        <f t="shared" si="25"/>
        <v>81</v>
      </c>
      <c r="B373" s="51">
        <v>20</v>
      </c>
      <c r="C373" s="42">
        <f t="shared" si="24"/>
        <v>41.120794992032081</v>
      </c>
      <c r="D373" s="42">
        <f t="shared" si="26"/>
        <v>52</v>
      </c>
      <c r="E373" s="88">
        <v>2.1930000000000001</v>
      </c>
      <c r="F373" s="42">
        <f t="shared" si="19"/>
        <v>4.419428045638071</v>
      </c>
      <c r="G373" s="51">
        <f t="shared" si="20"/>
        <v>145</v>
      </c>
      <c r="H373" s="46">
        <f t="shared" si="21"/>
        <v>0.29712133028626098</v>
      </c>
      <c r="I373" s="41">
        <f t="shared" si="22"/>
        <v>0.17094747638787983</v>
      </c>
      <c r="J373" s="41">
        <f t="shared" si="23"/>
        <v>-0.12617385389838115</v>
      </c>
    </row>
    <row r="374" spans="1:10">
      <c r="A374" s="51">
        <f t="shared" si="25"/>
        <v>82</v>
      </c>
      <c r="B374" s="51">
        <v>20</v>
      </c>
      <c r="C374" s="42">
        <f t="shared" si="24"/>
        <v>40.994621138133702</v>
      </c>
      <c r="D374" s="42">
        <f t="shared" si="26"/>
        <v>52</v>
      </c>
      <c r="E374" s="88">
        <v>2.1930000000000001</v>
      </c>
      <c r="F374" s="42">
        <f t="shared" si="19"/>
        <v>4.419428045638071</v>
      </c>
      <c r="G374" s="51">
        <f t="shared" si="20"/>
        <v>145</v>
      </c>
      <c r="H374" s="46">
        <f t="shared" si="21"/>
        <v>0.29712133028626098</v>
      </c>
      <c r="I374" s="41">
        <f t="shared" si="22"/>
        <v>0.17094747638787983</v>
      </c>
      <c r="J374" s="41">
        <f t="shared" si="23"/>
        <v>-0.12617385389838115</v>
      </c>
    </row>
    <row r="375" spans="1:10">
      <c r="A375" s="51">
        <f t="shared" si="25"/>
        <v>83</v>
      </c>
      <c r="B375" s="51">
        <v>20</v>
      </c>
      <c r="C375" s="42">
        <f t="shared" si="24"/>
        <v>40.868447284235323</v>
      </c>
      <c r="D375" s="42">
        <f t="shared" si="26"/>
        <v>52</v>
      </c>
      <c r="E375" s="88">
        <v>2.1930000000000001</v>
      </c>
      <c r="F375" s="42">
        <f t="shared" si="19"/>
        <v>4.419428045638071</v>
      </c>
      <c r="G375" s="51">
        <f t="shared" si="20"/>
        <v>145</v>
      </c>
      <c r="H375" s="46">
        <f t="shared" si="21"/>
        <v>0.29712133028626098</v>
      </c>
      <c r="I375" s="41">
        <f t="shared" si="22"/>
        <v>0.17094747638787983</v>
      </c>
      <c r="J375" s="41">
        <f t="shared" si="23"/>
        <v>-0.12617385389838115</v>
      </c>
    </row>
    <row r="376" spans="1:10">
      <c r="A376" s="51">
        <f t="shared" si="25"/>
        <v>84</v>
      </c>
      <c r="B376" s="51">
        <v>20</v>
      </c>
      <c r="C376" s="42">
        <f t="shared" si="24"/>
        <v>40.742273430336944</v>
      </c>
      <c r="D376" s="42">
        <f t="shared" si="26"/>
        <v>52</v>
      </c>
      <c r="E376" s="88">
        <v>2.1930000000000001</v>
      </c>
      <c r="F376" s="42">
        <f t="shared" si="19"/>
        <v>4.419428045638071</v>
      </c>
      <c r="G376" s="51">
        <f t="shared" si="20"/>
        <v>145</v>
      </c>
      <c r="H376" s="46">
        <f t="shared" si="21"/>
        <v>0.29712133028626098</v>
      </c>
      <c r="I376" s="41">
        <f t="shared" si="22"/>
        <v>0.17094747638787983</v>
      </c>
      <c r="J376" s="41">
        <f t="shared" si="23"/>
        <v>-0.12617385389838115</v>
      </c>
    </row>
    <row r="377" spans="1:10">
      <c r="A377" s="51">
        <f t="shared" si="25"/>
        <v>85</v>
      </c>
      <c r="B377" s="51">
        <v>20</v>
      </c>
      <c r="C377" s="42">
        <f t="shared" si="24"/>
        <v>40.616099576438565</v>
      </c>
      <c r="D377" s="42">
        <f t="shared" si="26"/>
        <v>52</v>
      </c>
      <c r="E377" s="88">
        <v>2.1930000000000001</v>
      </c>
      <c r="F377" s="42">
        <f t="shared" si="19"/>
        <v>4.419428045638071</v>
      </c>
      <c r="G377" s="51">
        <f t="shared" si="20"/>
        <v>145</v>
      </c>
      <c r="H377" s="46">
        <f t="shared" si="21"/>
        <v>0.29712133028626098</v>
      </c>
      <c r="I377" s="41">
        <f t="shared" si="22"/>
        <v>0.17094747638787983</v>
      </c>
      <c r="J377" s="41">
        <f t="shared" si="23"/>
        <v>-0.12617385389838115</v>
      </c>
    </row>
    <row r="378" spans="1:10">
      <c r="A378" s="51">
        <f t="shared" si="25"/>
        <v>86</v>
      </c>
      <c r="B378" s="51">
        <v>20</v>
      </c>
      <c r="C378" s="42">
        <f t="shared" si="24"/>
        <v>40.489925722540185</v>
      </c>
      <c r="D378" s="42">
        <f t="shared" si="26"/>
        <v>52</v>
      </c>
      <c r="E378" s="88">
        <v>2.1930000000000001</v>
      </c>
      <c r="F378" s="42">
        <f t="shared" si="19"/>
        <v>4.419428045638071</v>
      </c>
      <c r="G378" s="51">
        <f t="shared" si="20"/>
        <v>145</v>
      </c>
      <c r="H378" s="46">
        <f t="shared" si="21"/>
        <v>0.29712133028626098</v>
      </c>
      <c r="I378" s="41">
        <f t="shared" si="22"/>
        <v>0.17094747638787983</v>
      </c>
      <c r="J378" s="41">
        <f t="shared" si="23"/>
        <v>-0.12617385389838115</v>
      </c>
    </row>
    <row r="379" spans="1:10">
      <c r="A379" s="51">
        <f t="shared" si="25"/>
        <v>87</v>
      </c>
      <c r="B379" s="51">
        <v>20</v>
      </c>
      <c r="C379" s="42">
        <f t="shared" si="24"/>
        <v>40.363751868641806</v>
      </c>
      <c r="D379" s="42">
        <f t="shared" si="26"/>
        <v>52</v>
      </c>
      <c r="E379" s="88">
        <v>2.1930000000000001</v>
      </c>
      <c r="F379" s="42">
        <f t="shared" si="19"/>
        <v>4.419428045638071</v>
      </c>
      <c r="G379" s="51">
        <f t="shared" si="20"/>
        <v>145</v>
      </c>
      <c r="H379" s="46">
        <f t="shared" si="21"/>
        <v>0.29712133028626098</v>
      </c>
      <c r="I379" s="41">
        <f t="shared" si="22"/>
        <v>0.17094747638787983</v>
      </c>
      <c r="J379" s="41">
        <f t="shared" si="23"/>
        <v>-0.12617385389838115</v>
      </c>
    </row>
    <row r="380" spans="1:10">
      <c r="A380" s="51">
        <f t="shared" si="25"/>
        <v>88</v>
      </c>
      <c r="B380" s="51">
        <v>20</v>
      </c>
      <c r="C380" s="42">
        <f t="shared" si="24"/>
        <v>40.237578014743427</v>
      </c>
      <c r="D380" s="42">
        <f t="shared" si="26"/>
        <v>52</v>
      </c>
      <c r="E380" s="88">
        <v>2.1930000000000001</v>
      </c>
      <c r="F380" s="42">
        <f t="shared" si="19"/>
        <v>4.419428045638071</v>
      </c>
      <c r="G380" s="51">
        <f t="shared" si="20"/>
        <v>145</v>
      </c>
      <c r="H380" s="46">
        <f t="shared" si="21"/>
        <v>0.29712133028626098</v>
      </c>
      <c r="I380" s="41">
        <f t="shared" si="22"/>
        <v>0.17094747638787983</v>
      </c>
      <c r="J380" s="41">
        <f t="shared" si="23"/>
        <v>-0.12617385389838115</v>
      </c>
    </row>
    <row r="381" spans="1:10">
      <c r="A381" s="51">
        <f t="shared" si="25"/>
        <v>89</v>
      </c>
      <c r="B381" s="51">
        <v>20</v>
      </c>
      <c r="C381" s="42">
        <f t="shared" si="24"/>
        <v>40.111404160845048</v>
      </c>
      <c r="D381" s="42">
        <f t="shared" si="26"/>
        <v>52</v>
      </c>
      <c r="E381" s="88">
        <v>2.1930000000000001</v>
      </c>
      <c r="F381" s="42">
        <f t="shared" si="19"/>
        <v>4.419428045638071</v>
      </c>
      <c r="G381" s="51">
        <f t="shared" si="20"/>
        <v>145</v>
      </c>
      <c r="H381" s="46">
        <f t="shared" si="21"/>
        <v>0.29712133028626098</v>
      </c>
      <c r="I381" s="41">
        <f t="shared" si="22"/>
        <v>0.17094747638787983</v>
      </c>
      <c r="J381" s="41">
        <f t="shared" si="23"/>
        <v>-0.12617385389838115</v>
      </c>
    </row>
    <row r="382" spans="1:10">
      <c r="A382" s="51">
        <f t="shared" si="25"/>
        <v>90</v>
      </c>
      <c r="B382" s="51">
        <v>20</v>
      </c>
      <c r="C382" s="42">
        <f t="shared" si="24"/>
        <v>39.985230306946669</v>
      </c>
      <c r="D382" s="42">
        <f t="shared" si="26"/>
        <v>52</v>
      </c>
      <c r="E382" s="88">
        <v>2.1930000000000001</v>
      </c>
      <c r="F382" s="42">
        <f t="shared" si="19"/>
        <v>4.419428045638071</v>
      </c>
      <c r="G382" s="51">
        <f t="shared" si="20"/>
        <v>145</v>
      </c>
      <c r="H382" s="46">
        <f t="shared" si="21"/>
        <v>0.29712133028626098</v>
      </c>
      <c r="I382" s="41">
        <f t="shared" si="22"/>
        <v>0.17094747638787983</v>
      </c>
      <c r="J382" s="41">
        <f t="shared" si="23"/>
        <v>-0.12617385389838115</v>
      </c>
    </row>
    <row r="383" spans="1:10">
      <c r="A383" s="51">
        <f t="shared" si="25"/>
        <v>91</v>
      </c>
      <c r="B383" s="51">
        <v>20</v>
      </c>
      <c r="C383" s="42">
        <f t="shared" si="24"/>
        <v>39.859056453048289</v>
      </c>
      <c r="D383" s="42">
        <f t="shared" si="26"/>
        <v>52</v>
      </c>
      <c r="E383" s="88">
        <v>2.1930000000000001</v>
      </c>
      <c r="F383" s="42">
        <f t="shared" si="19"/>
        <v>4.419428045638071</v>
      </c>
      <c r="G383" s="51">
        <f t="shared" si="20"/>
        <v>145</v>
      </c>
      <c r="H383" s="46">
        <f t="shared" si="21"/>
        <v>0.29712133028626098</v>
      </c>
      <c r="I383" s="41">
        <f t="shared" si="22"/>
        <v>0.17094747638787983</v>
      </c>
      <c r="J383" s="41">
        <f t="shared" si="23"/>
        <v>-0.12617385389838115</v>
      </c>
    </row>
    <row r="384" spans="1:10">
      <c r="A384" s="51">
        <f t="shared" si="25"/>
        <v>92</v>
      </c>
      <c r="B384" s="51">
        <v>20</v>
      </c>
      <c r="C384" s="42">
        <f t="shared" si="24"/>
        <v>39.73288259914991</v>
      </c>
      <c r="D384" s="42">
        <f t="shared" si="26"/>
        <v>52</v>
      </c>
      <c r="E384" s="88">
        <v>2.1930000000000001</v>
      </c>
      <c r="F384" s="42">
        <f t="shared" si="19"/>
        <v>4.419428045638071</v>
      </c>
      <c r="G384" s="51">
        <f t="shared" si="20"/>
        <v>145</v>
      </c>
      <c r="H384" s="46">
        <f t="shared" si="21"/>
        <v>0.29712133028626098</v>
      </c>
      <c r="I384" s="41">
        <f t="shared" si="22"/>
        <v>0.17094747638787983</v>
      </c>
      <c r="J384" s="41">
        <f t="shared" si="23"/>
        <v>-0.12617385389838115</v>
      </c>
    </row>
    <row r="385" spans="1:10">
      <c r="A385" s="51">
        <f t="shared" si="25"/>
        <v>93</v>
      </c>
      <c r="B385" s="51">
        <v>20</v>
      </c>
      <c r="C385" s="42">
        <f t="shared" si="24"/>
        <v>39.606708745251531</v>
      </c>
      <c r="D385" s="42">
        <f t="shared" si="26"/>
        <v>52</v>
      </c>
      <c r="E385" s="88">
        <v>2.1930000000000001</v>
      </c>
      <c r="F385" s="42">
        <f t="shared" si="19"/>
        <v>4.419428045638071</v>
      </c>
      <c r="G385" s="51">
        <f t="shared" si="20"/>
        <v>145</v>
      </c>
      <c r="H385" s="46">
        <f t="shared" si="21"/>
        <v>0.29712133028626098</v>
      </c>
      <c r="I385" s="41">
        <f t="shared" si="22"/>
        <v>0.17094747638787983</v>
      </c>
      <c r="J385" s="41">
        <f t="shared" si="23"/>
        <v>-0.12617385389838115</v>
      </c>
    </row>
    <row r="386" spans="1:10">
      <c r="A386" s="51">
        <f t="shared" si="25"/>
        <v>94</v>
      </c>
      <c r="B386" s="51">
        <v>20</v>
      </c>
      <c r="C386" s="42">
        <f t="shared" si="24"/>
        <v>39.480534891353152</v>
      </c>
      <c r="D386" s="42">
        <f t="shared" si="26"/>
        <v>52</v>
      </c>
      <c r="E386" s="88">
        <v>2.1930000000000001</v>
      </c>
      <c r="F386" s="42">
        <f t="shared" si="19"/>
        <v>4.419428045638071</v>
      </c>
      <c r="G386" s="51">
        <f t="shared" si="20"/>
        <v>145</v>
      </c>
      <c r="H386" s="46">
        <f t="shared" si="21"/>
        <v>0.29712133028626098</v>
      </c>
      <c r="I386" s="41">
        <f t="shared" si="22"/>
        <v>0.17094747638787983</v>
      </c>
      <c r="J386" s="41">
        <f t="shared" si="23"/>
        <v>-0.12617385389838115</v>
      </c>
    </row>
    <row r="387" spans="1:10">
      <c r="A387" s="51">
        <f t="shared" si="25"/>
        <v>95</v>
      </c>
      <c r="B387" s="51">
        <v>20</v>
      </c>
      <c r="C387" s="42">
        <f t="shared" si="24"/>
        <v>39.354361037454773</v>
      </c>
      <c r="D387" s="42">
        <f t="shared" si="26"/>
        <v>52</v>
      </c>
      <c r="E387" s="88">
        <v>2.1930000000000001</v>
      </c>
      <c r="F387" s="42">
        <f t="shared" si="19"/>
        <v>4.419428045638071</v>
      </c>
      <c r="G387" s="51">
        <f t="shared" si="20"/>
        <v>145</v>
      </c>
      <c r="H387" s="46">
        <f t="shared" si="21"/>
        <v>0.29712133028626098</v>
      </c>
      <c r="I387" s="41">
        <f t="shared" si="22"/>
        <v>0.17094747638787983</v>
      </c>
      <c r="J387" s="41">
        <f t="shared" si="23"/>
        <v>-0.12617385389838115</v>
      </c>
    </row>
    <row r="388" spans="1:10">
      <c r="A388" s="51">
        <f t="shared" si="25"/>
        <v>96</v>
      </c>
      <c r="B388" s="51">
        <v>20</v>
      </c>
      <c r="C388" s="42">
        <f t="shared" si="24"/>
        <v>39.228187183556393</v>
      </c>
      <c r="D388" s="42">
        <f t="shared" si="26"/>
        <v>52</v>
      </c>
      <c r="E388" s="88">
        <v>2.1930000000000001</v>
      </c>
      <c r="F388" s="42">
        <f t="shared" si="19"/>
        <v>4.419428045638071</v>
      </c>
      <c r="G388" s="51">
        <f t="shared" si="20"/>
        <v>145</v>
      </c>
      <c r="H388" s="46">
        <f t="shared" si="21"/>
        <v>0.29712133028626098</v>
      </c>
      <c r="I388" s="41">
        <f t="shared" si="22"/>
        <v>0.17094747638787983</v>
      </c>
      <c r="J388" s="41">
        <f t="shared" si="23"/>
        <v>-0.12617385389838115</v>
      </c>
    </row>
    <row r="389" spans="1:10">
      <c r="A389" s="51">
        <f t="shared" si="25"/>
        <v>97</v>
      </c>
      <c r="B389" s="51">
        <v>20</v>
      </c>
      <c r="C389" s="42">
        <f t="shared" si="24"/>
        <v>39.102013329658014</v>
      </c>
      <c r="D389" s="42">
        <f t="shared" si="26"/>
        <v>52</v>
      </c>
      <c r="E389" s="88">
        <v>2.1930000000000001</v>
      </c>
      <c r="F389" s="42">
        <f t="shared" si="19"/>
        <v>4.419428045638071</v>
      </c>
      <c r="G389" s="51">
        <f t="shared" si="20"/>
        <v>145</v>
      </c>
      <c r="H389" s="46">
        <f t="shared" si="21"/>
        <v>0.29712133028626098</v>
      </c>
      <c r="I389" s="41">
        <f t="shared" si="22"/>
        <v>0.17094747638787983</v>
      </c>
      <c r="J389" s="41">
        <f t="shared" si="23"/>
        <v>-0.12617385389838115</v>
      </c>
    </row>
    <row r="390" spans="1:10">
      <c r="A390" s="51">
        <f t="shared" si="25"/>
        <v>98</v>
      </c>
      <c r="B390" s="51">
        <v>20</v>
      </c>
      <c r="C390" s="42">
        <f t="shared" si="24"/>
        <v>38.975839475759635</v>
      </c>
      <c r="D390" s="42">
        <f t="shared" si="26"/>
        <v>52</v>
      </c>
      <c r="E390" s="88">
        <v>2.1930000000000001</v>
      </c>
      <c r="F390" s="42">
        <f t="shared" si="19"/>
        <v>4.419428045638071</v>
      </c>
      <c r="G390" s="51">
        <f t="shared" si="20"/>
        <v>145</v>
      </c>
      <c r="H390" s="46">
        <f t="shared" si="21"/>
        <v>0.29712133028626098</v>
      </c>
      <c r="I390" s="41">
        <f t="shared" si="22"/>
        <v>0.17094747638787983</v>
      </c>
      <c r="J390" s="41">
        <f t="shared" si="23"/>
        <v>-0.12617385389838115</v>
      </c>
    </row>
    <row r="391" spans="1:10">
      <c r="A391" s="51">
        <f t="shared" si="25"/>
        <v>99</v>
      </c>
      <c r="B391" s="51">
        <v>20</v>
      </c>
      <c r="C391" s="42">
        <f t="shared" si="24"/>
        <v>38.849665621861256</v>
      </c>
      <c r="D391" s="42">
        <f t="shared" si="26"/>
        <v>52</v>
      </c>
      <c r="E391" s="88">
        <v>2.1930000000000001</v>
      </c>
      <c r="F391" s="42">
        <f t="shared" si="19"/>
        <v>4.419428045638071</v>
      </c>
      <c r="G391" s="51">
        <f t="shared" si="20"/>
        <v>145</v>
      </c>
      <c r="H391" s="46">
        <f t="shared" si="21"/>
        <v>0.29712133028626098</v>
      </c>
      <c r="I391" s="41">
        <f t="shared" si="22"/>
        <v>0.17094747638787983</v>
      </c>
      <c r="J391" s="41">
        <f t="shared" si="23"/>
        <v>-0.12617385389838115</v>
      </c>
    </row>
    <row r="392" spans="1:10">
      <c r="A392" s="51">
        <f t="shared" si="25"/>
        <v>100</v>
      </c>
      <c r="B392" s="51">
        <v>20</v>
      </c>
      <c r="C392" s="42">
        <f t="shared" si="24"/>
        <v>38.723491767962877</v>
      </c>
      <c r="D392" s="42">
        <f t="shared" si="26"/>
        <v>52</v>
      </c>
      <c r="E392" s="88">
        <v>2.1930000000000001</v>
      </c>
      <c r="F392" s="42">
        <f t="shared" si="19"/>
        <v>4.419428045638071</v>
      </c>
      <c r="G392" s="51">
        <f t="shared" si="20"/>
        <v>145</v>
      </c>
      <c r="H392" s="46">
        <f t="shared" si="21"/>
        <v>0.29712133028626098</v>
      </c>
      <c r="I392" s="41">
        <f t="shared" si="22"/>
        <v>0.17094747638787983</v>
      </c>
      <c r="J392" s="41">
        <f t="shared" si="23"/>
        <v>-0.12617385389838115</v>
      </c>
    </row>
    <row r="393" spans="1:10">
      <c r="A393" s="51">
        <f t="shared" si="25"/>
        <v>101</v>
      </c>
      <c r="B393" s="51">
        <v>20</v>
      </c>
      <c r="C393" s="42">
        <f t="shared" si="24"/>
        <v>38.597317914064497</v>
      </c>
      <c r="D393" s="42">
        <f t="shared" si="26"/>
        <v>52</v>
      </c>
      <c r="E393" s="88">
        <v>2.1930000000000001</v>
      </c>
      <c r="F393" s="42">
        <f t="shared" si="19"/>
        <v>4.419428045638071</v>
      </c>
      <c r="G393" s="51">
        <f t="shared" si="20"/>
        <v>145</v>
      </c>
      <c r="H393" s="46">
        <f t="shared" si="21"/>
        <v>0.29712133028626098</v>
      </c>
      <c r="I393" s="41">
        <f t="shared" si="22"/>
        <v>0.17094747638787983</v>
      </c>
      <c r="J393" s="41">
        <f t="shared" si="23"/>
        <v>-0.12617385389838115</v>
      </c>
    </row>
    <row r="394" spans="1:10">
      <c r="A394" s="51">
        <f t="shared" si="25"/>
        <v>102</v>
      </c>
      <c r="B394" s="51">
        <v>20</v>
      </c>
      <c r="C394" s="42">
        <f t="shared" si="24"/>
        <v>38.471144060166118</v>
      </c>
      <c r="D394" s="42">
        <f t="shared" si="26"/>
        <v>52</v>
      </c>
      <c r="E394" s="88">
        <v>2.1930000000000001</v>
      </c>
      <c r="F394" s="42">
        <f t="shared" si="19"/>
        <v>4.419428045638071</v>
      </c>
      <c r="G394" s="51">
        <f t="shared" si="20"/>
        <v>145</v>
      </c>
      <c r="H394" s="46">
        <f t="shared" si="21"/>
        <v>0.29712133028626098</v>
      </c>
      <c r="I394" s="41">
        <f t="shared" si="22"/>
        <v>0.17094747638787983</v>
      </c>
      <c r="J394" s="41">
        <f t="shared" si="23"/>
        <v>-0.12617385389838115</v>
      </c>
    </row>
    <row r="395" spans="1:10">
      <c r="A395" s="51">
        <f t="shared" si="25"/>
        <v>103</v>
      </c>
      <c r="B395" s="51">
        <v>20</v>
      </c>
      <c r="C395" s="42">
        <f t="shared" si="24"/>
        <v>38.344970206267739</v>
      </c>
      <c r="D395" s="42">
        <f t="shared" si="26"/>
        <v>52</v>
      </c>
      <c r="E395" s="88">
        <v>2.1930000000000001</v>
      </c>
      <c r="F395" s="42">
        <f t="shared" si="19"/>
        <v>4.419428045638071</v>
      </c>
      <c r="G395" s="51">
        <f t="shared" si="20"/>
        <v>145</v>
      </c>
      <c r="H395" s="46">
        <f t="shared" si="21"/>
        <v>0.29712133028626098</v>
      </c>
      <c r="I395" s="41">
        <f t="shared" si="22"/>
        <v>0.17094747638787983</v>
      </c>
      <c r="J395" s="41">
        <f t="shared" si="23"/>
        <v>-0.12617385389838115</v>
      </c>
    </row>
    <row r="396" spans="1:10">
      <c r="A396" s="51">
        <f t="shared" si="25"/>
        <v>104</v>
      </c>
      <c r="B396" s="51">
        <v>20</v>
      </c>
      <c r="C396" s="42">
        <f t="shared" si="24"/>
        <v>38.21879635236936</v>
      </c>
      <c r="D396" s="42">
        <f t="shared" si="26"/>
        <v>52</v>
      </c>
      <c r="E396" s="88">
        <v>2.1930000000000001</v>
      </c>
      <c r="F396" s="42">
        <f t="shared" si="19"/>
        <v>4.419428045638071</v>
      </c>
      <c r="G396" s="51">
        <f t="shared" si="20"/>
        <v>145</v>
      </c>
      <c r="H396" s="46">
        <f t="shared" si="21"/>
        <v>0.29712133028626098</v>
      </c>
      <c r="I396" s="41">
        <f t="shared" si="22"/>
        <v>0.17094747638787983</v>
      </c>
      <c r="J396" s="41">
        <f t="shared" si="23"/>
        <v>-0.12617385389838115</v>
      </c>
    </row>
    <row r="397" spans="1:10">
      <c r="A397" s="51">
        <f t="shared" si="25"/>
        <v>105</v>
      </c>
      <c r="B397" s="51">
        <v>20</v>
      </c>
      <c r="C397" s="42">
        <f t="shared" si="24"/>
        <v>38.09262249847098</v>
      </c>
      <c r="D397" s="42">
        <f t="shared" si="26"/>
        <v>52</v>
      </c>
      <c r="E397" s="88">
        <v>2.1930000000000001</v>
      </c>
      <c r="F397" s="42">
        <f t="shared" si="19"/>
        <v>4.419428045638071</v>
      </c>
      <c r="G397" s="51">
        <f t="shared" si="20"/>
        <v>145</v>
      </c>
      <c r="H397" s="46">
        <f t="shared" si="21"/>
        <v>0.29712133028626098</v>
      </c>
      <c r="I397" s="41">
        <f t="shared" si="22"/>
        <v>0.17094747638787983</v>
      </c>
      <c r="J397" s="41">
        <f t="shared" si="23"/>
        <v>-0.12617385389838115</v>
      </c>
    </row>
    <row r="398" spans="1:10">
      <c r="A398" s="51">
        <f t="shared" si="25"/>
        <v>106</v>
      </c>
      <c r="B398" s="51">
        <v>20</v>
      </c>
      <c r="C398" s="42">
        <f t="shared" si="24"/>
        <v>37.966448644572601</v>
      </c>
      <c r="D398" s="42">
        <f t="shared" si="26"/>
        <v>52</v>
      </c>
      <c r="E398" s="88">
        <v>2.1930000000000001</v>
      </c>
      <c r="F398" s="42">
        <f t="shared" si="19"/>
        <v>4.419428045638071</v>
      </c>
      <c r="G398" s="51">
        <f t="shared" si="20"/>
        <v>145</v>
      </c>
      <c r="H398" s="46">
        <f t="shared" si="21"/>
        <v>0.29712133028626098</v>
      </c>
      <c r="I398" s="41">
        <f t="shared" si="22"/>
        <v>0.17094747638787983</v>
      </c>
      <c r="J398" s="41">
        <f t="shared" si="23"/>
        <v>-0.12617385389838115</v>
      </c>
    </row>
    <row r="399" spans="1:10">
      <c r="A399" s="51">
        <f t="shared" si="25"/>
        <v>107</v>
      </c>
      <c r="B399" s="51">
        <v>20</v>
      </c>
      <c r="C399" s="42">
        <f t="shared" si="24"/>
        <v>37.840274790674222</v>
      </c>
      <c r="D399" s="42">
        <f t="shared" si="26"/>
        <v>52</v>
      </c>
      <c r="E399" s="88">
        <v>2.1930000000000001</v>
      </c>
      <c r="F399" s="42">
        <f t="shared" si="19"/>
        <v>4.419428045638071</v>
      </c>
      <c r="G399" s="51">
        <f t="shared" si="20"/>
        <v>145</v>
      </c>
      <c r="H399" s="46">
        <f t="shared" si="21"/>
        <v>0.29712133028626098</v>
      </c>
      <c r="I399" s="41">
        <f t="shared" si="22"/>
        <v>0.17094747638787983</v>
      </c>
      <c r="J399" s="41">
        <f t="shared" si="23"/>
        <v>-0.12617385389838115</v>
      </c>
    </row>
    <row r="400" spans="1:10">
      <c r="A400" s="51">
        <f t="shared" si="25"/>
        <v>108</v>
      </c>
      <c r="B400" s="51">
        <v>20</v>
      </c>
      <c r="C400" s="42">
        <f t="shared" si="24"/>
        <v>37.714100936775843</v>
      </c>
      <c r="D400" s="42">
        <f t="shared" si="26"/>
        <v>52</v>
      </c>
      <c r="E400" s="88">
        <v>2.1930000000000001</v>
      </c>
      <c r="F400" s="42">
        <f t="shared" si="19"/>
        <v>4.419428045638071</v>
      </c>
      <c r="G400" s="51">
        <f t="shared" si="20"/>
        <v>145</v>
      </c>
      <c r="H400" s="46">
        <f t="shared" si="21"/>
        <v>0.29712133028626098</v>
      </c>
      <c r="I400" s="41">
        <f t="shared" si="22"/>
        <v>0.17094747638787983</v>
      </c>
      <c r="J400" s="41">
        <f t="shared" si="23"/>
        <v>-0.12617385389838115</v>
      </c>
    </row>
    <row r="401" spans="1:10">
      <c r="A401" s="51">
        <f t="shared" si="25"/>
        <v>109</v>
      </c>
      <c r="B401" s="51">
        <v>20</v>
      </c>
      <c r="C401" s="42">
        <f t="shared" si="24"/>
        <v>37.587927082877464</v>
      </c>
      <c r="D401" s="42">
        <f t="shared" si="26"/>
        <v>52</v>
      </c>
      <c r="E401" s="88">
        <v>2.1930000000000001</v>
      </c>
      <c r="F401" s="42">
        <f t="shared" si="19"/>
        <v>4.419428045638071</v>
      </c>
      <c r="G401" s="51">
        <f t="shared" si="20"/>
        <v>145</v>
      </c>
      <c r="H401" s="46">
        <f t="shared" si="21"/>
        <v>0.29712133028626098</v>
      </c>
      <c r="I401" s="41">
        <f t="shared" si="22"/>
        <v>0.17094747638787983</v>
      </c>
      <c r="J401" s="41">
        <f t="shared" si="23"/>
        <v>-0.12617385389838115</v>
      </c>
    </row>
    <row r="402" spans="1:10">
      <c r="A402" s="51">
        <f t="shared" si="25"/>
        <v>110</v>
      </c>
      <c r="B402" s="51">
        <v>20</v>
      </c>
      <c r="C402" s="42">
        <f t="shared" si="24"/>
        <v>37.461753228979084</v>
      </c>
      <c r="D402" s="42">
        <f t="shared" si="26"/>
        <v>52</v>
      </c>
      <c r="E402" s="88">
        <v>2.1930000000000001</v>
      </c>
      <c r="F402" s="42">
        <f t="shared" si="19"/>
        <v>4.419428045638071</v>
      </c>
      <c r="G402" s="51">
        <f t="shared" si="20"/>
        <v>145</v>
      </c>
      <c r="H402" s="46">
        <f t="shared" si="21"/>
        <v>0.29712133028626098</v>
      </c>
      <c r="I402" s="41">
        <f t="shared" si="22"/>
        <v>0.17094747638787983</v>
      </c>
      <c r="J402" s="41">
        <f t="shared" si="23"/>
        <v>-0.12617385389838115</v>
      </c>
    </row>
    <row r="403" spans="1:10">
      <c r="A403" s="51">
        <f t="shared" si="25"/>
        <v>111</v>
      </c>
      <c r="B403" s="51">
        <v>20</v>
      </c>
      <c r="C403" s="42">
        <f t="shared" si="24"/>
        <v>37.335579375080705</v>
      </c>
      <c r="D403" s="42">
        <f t="shared" si="26"/>
        <v>52</v>
      </c>
      <c r="E403" s="88">
        <v>2.1930000000000001</v>
      </c>
      <c r="F403" s="42">
        <f t="shared" si="19"/>
        <v>4.419428045638071</v>
      </c>
      <c r="G403" s="51">
        <f t="shared" si="20"/>
        <v>145</v>
      </c>
      <c r="H403" s="46">
        <f t="shared" si="21"/>
        <v>0.29712133028626098</v>
      </c>
      <c r="I403" s="41">
        <f t="shared" si="22"/>
        <v>0.17094747638787983</v>
      </c>
      <c r="J403" s="41">
        <f t="shared" si="23"/>
        <v>-0.12617385389838115</v>
      </c>
    </row>
    <row r="404" spans="1:10">
      <c r="A404" s="51">
        <f t="shared" si="25"/>
        <v>112</v>
      </c>
      <c r="B404" s="51">
        <v>20</v>
      </c>
      <c r="C404" s="42">
        <f t="shared" si="24"/>
        <v>37.209405521182326</v>
      </c>
      <c r="D404" s="42">
        <f t="shared" si="26"/>
        <v>52</v>
      </c>
      <c r="E404" s="88">
        <v>2.1930000000000001</v>
      </c>
      <c r="F404" s="42">
        <f t="shared" si="19"/>
        <v>4.419428045638071</v>
      </c>
      <c r="G404" s="51">
        <f t="shared" si="20"/>
        <v>145</v>
      </c>
      <c r="H404" s="46">
        <f t="shared" si="21"/>
        <v>0.29712133028626098</v>
      </c>
      <c r="I404" s="41">
        <f t="shared" si="22"/>
        <v>0.17094747638787983</v>
      </c>
      <c r="J404" s="41">
        <f t="shared" si="23"/>
        <v>-0.12617385389838115</v>
      </c>
    </row>
    <row r="405" spans="1:10">
      <c r="A405" s="51">
        <f t="shared" si="25"/>
        <v>113</v>
      </c>
      <c r="B405" s="51">
        <v>20</v>
      </c>
      <c r="C405" s="42">
        <f t="shared" si="24"/>
        <v>37.083231667283947</v>
      </c>
      <c r="D405" s="42">
        <f t="shared" si="26"/>
        <v>52</v>
      </c>
      <c r="E405" s="88">
        <v>2.1930000000000001</v>
      </c>
      <c r="F405" s="42">
        <f t="shared" si="19"/>
        <v>4.419428045638071</v>
      </c>
      <c r="G405" s="51">
        <f t="shared" si="20"/>
        <v>145</v>
      </c>
      <c r="H405" s="46">
        <f t="shared" si="21"/>
        <v>0.29712133028626098</v>
      </c>
      <c r="I405" s="41">
        <f t="shared" si="22"/>
        <v>0.17094747638787983</v>
      </c>
      <c r="J405" s="41">
        <f t="shared" si="23"/>
        <v>-0.12617385389838115</v>
      </c>
    </row>
    <row r="406" spans="1:10">
      <c r="A406" s="51">
        <f t="shared" si="25"/>
        <v>114</v>
      </c>
      <c r="B406" s="51">
        <v>20</v>
      </c>
      <c r="C406" s="42">
        <f t="shared" si="24"/>
        <v>36.957057813385568</v>
      </c>
      <c r="D406" s="42">
        <f t="shared" si="26"/>
        <v>52</v>
      </c>
      <c r="E406" s="88">
        <v>2.1930000000000001</v>
      </c>
      <c r="F406" s="42">
        <f t="shared" si="19"/>
        <v>4.419428045638071</v>
      </c>
      <c r="G406" s="51">
        <f t="shared" si="20"/>
        <v>145</v>
      </c>
      <c r="H406" s="46">
        <f t="shared" si="21"/>
        <v>0.29712133028626098</v>
      </c>
      <c r="I406" s="41">
        <f t="shared" si="22"/>
        <v>0.17094747638787983</v>
      </c>
      <c r="J406" s="41">
        <f t="shared" si="23"/>
        <v>-0.12617385389838115</v>
      </c>
    </row>
    <row r="407" spans="1:10">
      <c r="A407" s="51">
        <f t="shared" si="25"/>
        <v>115</v>
      </c>
      <c r="B407" s="51">
        <v>20</v>
      </c>
      <c r="C407" s="42">
        <f t="shared" si="24"/>
        <v>36.830883959487188</v>
      </c>
      <c r="D407" s="42">
        <f t="shared" si="26"/>
        <v>52</v>
      </c>
      <c r="E407" s="88">
        <v>2.1930000000000001</v>
      </c>
      <c r="F407" s="42">
        <f t="shared" si="19"/>
        <v>4.419428045638071</v>
      </c>
      <c r="G407" s="51">
        <f t="shared" si="20"/>
        <v>145</v>
      </c>
      <c r="H407" s="46">
        <f t="shared" si="21"/>
        <v>0.29712133028626098</v>
      </c>
      <c r="I407" s="41">
        <f t="shared" si="22"/>
        <v>0.17094747638787983</v>
      </c>
      <c r="J407" s="41">
        <f t="shared" si="23"/>
        <v>-0.12617385389838115</v>
      </c>
    </row>
    <row r="408" spans="1:10">
      <c r="A408" s="51">
        <f t="shared" si="25"/>
        <v>116</v>
      </c>
      <c r="B408" s="51">
        <v>20</v>
      </c>
      <c r="C408" s="42">
        <f t="shared" si="24"/>
        <v>36.704710105588809</v>
      </c>
      <c r="D408" s="42">
        <f t="shared" si="26"/>
        <v>52</v>
      </c>
      <c r="E408" s="88">
        <v>2.1930000000000001</v>
      </c>
      <c r="F408" s="42">
        <f t="shared" si="19"/>
        <v>4.419428045638071</v>
      </c>
      <c r="G408" s="51">
        <f t="shared" si="20"/>
        <v>145</v>
      </c>
      <c r="H408" s="46">
        <f t="shared" si="21"/>
        <v>0.29712133028626098</v>
      </c>
      <c r="I408" s="41">
        <f t="shared" si="22"/>
        <v>0.17094747638787983</v>
      </c>
      <c r="J408" s="41">
        <f t="shared" si="23"/>
        <v>-0.12617385389838115</v>
      </c>
    </row>
    <row r="409" spans="1:10">
      <c r="A409" s="68" t="s">
        <v>223</v>
      </c>
      <c r="B409" s="69">
        <v>19.899999999999999</v>
      </c>
      <c r="C409" s="70">
        <f>C408+J408</f>
        <v>36.57853625169043</v>
      </c>
      <c r="D409" s="70">
        <f>D408</f>
        <v>52</v>
      </c>
      <c r="E409" s="86">
        <v>2.1930000000000001</v>
      </c>
      <c r="F409" s="70">
        <f t="shared" si="19"/>
        <v>4.419428045638071</v>
      </c>
      <c r="G409" s="69">
        <f t="shared" si="20"/>
        <v>145</v>
      </c>
      <c r="H409" s="71">
        <f t="shared" si="21"/>
        <v>0.29563572363482965</v>
      </c>
      <c r="I409" s="72">
        <f t="shared" si="22"/>
        <v>0.17009273900594041</v>
      </c>
      <c r="J409" s="72">
        <f t="shared" si="23"/>
        <v>-0.12554298462888924</v>
      </c>
    </row>
    <row r="410" spans="1:10">
      <c r="A410" s="51"/>
    </row>
    <row r="411" spans="1:10">
      <c r="A411" s="51"/>
      <c r="B411" s="1" t="s">
        <v>204</v>
      </c>
      <c r="C411" s="42">
        <f>MIN(C289:C409)</f>
        <v>36.57853625169043</v>
      </c>
      <c r="D411" t="s">
        <v>199</v>
      </c>
    </row>
    <row r="412" spans="1:10">
      <c r="A412" s="51"/>
      <c r="B412" s="1" t="s">
        <v>205</v>
      </c>
      <c r="C412" s="42">
        <f>MAX(C289:C409)</f>
        <v>41.751664261523977</v>
      </c>
      <c r="D412" t="s">
        <v>199</v>
      </c>
    </row>
    <row r="413" spans="1:10">
      <c r="A413" s="51"/>
      <c r="B413" s="1" t="s">
        <v>192</v>
      </c>
      <c r="C413" s="42">
        <f>AVERAGE(C289:C409)</f>
        <v>39.588225782821503</v>
      </c>
      <c r="D413" t="s">
        <v>199</v>
      </c>
    </row>
    <row r="414" spans="1:10">
      <c r="A414" s="51"/>
    </row>
    <row r="415" spans="1:10">
      <c r="A415" s="1"/>
      <c r="B415">
        <v>150</v>
      </c>
      <c r="C415" t="s">
        <v>177</v>
      </c>
    </row>
    <row r="416" spans="1:10">
      <c r="A416" s="1"/>
      <c r="B416">
        <v>145</v>
      </c>
      <c r="C416" t="s">
        <v>176</v>
      </c>
    </row>
    <row r="417" spans="1:10">
      <c r="A417" s="1"/>
      <c r="B417">
        <v>140</v>
      </c>
      <c r="C417" t="s">
        <v>178</v>
      </c>
    </row>
    <row r="418" spans="1:10">
      <c r="A418" s="1"/>
      <c r="B418">
        <v>15</v>
      </c>
      <c r="C418" t="s">
        <v>179</v>
      </c>
    </row>
    <row r="419" spans="1:10">
      <c r="A419" s="1"/>
      <c r="B419">
        <v>2339.9</v>
      </c>
      <c r="C419" t="s">
        <v>224</v>
      </c>
    </row>
    <row r="420" spans="1:10">
      <c r="A420" s="1"/>
      <c r="B420" s="3">
        <f>B418/B419</f>
        <v>6.410530364545493E-3</v>
      </c>
      <c r="C420" t="s">
        <v>181</v>
      </c>
    </row>
    <row r="421" spans="1:10">
      <c r="B421" s="21"/>
    </row>
    <row r="422" spans="1:10">
      <c r="A422" s="1" t="s">
        <v>219</v>
      </c>
    </row>
    <row r="423" spans="1:10" ht="30">
      <c r="A423" s="27"/>
      <c r="B423" s="27" t="s">
        <v>116</v>
      </c>
      <c r="C423" s="24" t="s">
        <v>182</v>
      </c>
      <c r="D423" s="24" t="s">
        <v>123</v>
      </c>
      <c r="E423" s="26" t="s">
        <v>175</v>
      </c>
      <c r="F423" s="24" t="s">
        <v>200</v>
      </c>
      <c r="G423" s="26" t="s">
        <v>187</v>
      </c>
      <c r="H423" s="27" t="s">
        <v>119</v>
      </c>
      <c r="I423" s="24" t="s">
        <v>120</v>
      </c>
      <c r="J423" s="24" t="s">
        <v>121</v>
      </c>
    </row>
    <row r="424" spans="1:10">
      <c r="A424" s="40" t="s">
        <v>174</v>
      </c>
      <c r="B424" s="51">
        <v>0</v>
      </c>
      <c r="C424" s="73">
        <v>38</v>
      </c>
      <c r="D424" s="42">
        <v>265</v>
      </c>
      <c r="E424" s="51">
        <v>5.2210000000000001</v>
      </c>
      <c r="F424" s="42">
        <f>(D424/448.8)/(3.14*((E424/12)^2)/4)</f>
        <v>3.9735481006948739</v>
      </c>
      <c r="G424" s="51">
        <f>IF(E424&gt;5,$B$415,IF(5&gt;=E424&gt;1.5,$B$416,IF(1.5&gt;E424,$B$417,0)))</f>
        <v>150</v>
      </c>
      <c r="H424" s="46">
        <f>(1050*((D424/G424)^1.852)*(B424/100)*(E424^-4.87))/2.31</f>
        <v>0</v>
      </c>
      <c r="I424" s="41">
        <f>B424*$B$420</f>
        <v>0</v>
      </c>
      <c r="J424" s="41">
        <f>I424-H424</f>
        <v>0</v>
      </c>
    </row>
    <row r="425" spans="1:10">
      <c r="A425" s="51">
        <v>1</v>
      </c>
      <c r="B425" s="51">
        <v>20</v>
      </c>
      <c r="C425" s="42">
        <f>C424+J424</f>
        <v>38</v>
      </c>
      <c r="D425" s="42">
        <f>D424</f>
        <v>265</v>
      </c>
      <c r="E425" s="51">
        <v>5.2210000000000001</v>
      </c>
      <c r="F425" s="42">
        <f t="shared" ref="F425:F488" si="27">(D425/448.8)/(3.14*((E425/12)^2)/4)</f>
        <v>3.9735481006948739</v>
      </c>
      <c r="G425" s="51">
        <f t="shared" ref="G425:G488" si="28">IF(E425&gt;5,$B$415,IF(5&gt;=E425&gt;1.5,$B$416,IF(1.5&gt;E425,$B$417,0)))</f>
        <v>150</v>
      </c>
      <c r="H425" s="46">
        <f t="shared" ref="H425:H488" si="29">(1050*((D425/G425)^1.852)*(B425/100)*(E425^-4.87))/2.31</f>
        <v>8.334454416782941E-2</v>
      </c>
      <c r="I425" s="41">
        <f t="shared" ref="I425:I488" si="30">B425*$B$420</f>
        <v>0.12821060729090986</v>
      </c>
      <c r="J425" s="41">
        <f t="shared" ref="J425:J488" si="31">I425-H425</f>
        <v>4.4866063123080446E-2</v>
      </c>
    </row>
    <row r="426" spans="1:10">
      <c r="A426" s="51">
        <f>A425+1</f>
        <v>2</v>
      </c>
      <c r="B426" s="51">
        <v>20</v>
      </c>
      <c r="C426" s="42">
        <f t="shared" ref="C426:C489" si="32">C425+J425</f>
        <v>38.044866063123081</v>
      </c>
      <c r="D426" s="42">
        <f t="shared" ref="D426:D489" si="33">D425</f>
        <v>265</v>
      </c>
      <c r="E426" s="51">
        <v>5.2210000000000001</v>
      </c>
      <c r="F426" s="42">
        <f t="shared" si="27"/>
        <v>3.9735481006948739</v>
      </c>
      <c r="G426" s="51">
        <f t="shared" si="28"/>
        <v>150</v>
      </c>
      <c r="H426" s="46">
        <f t="shared" si="29"/>
        <v>8.334454416782941E-2</v>
      </c>
      <c r="I426" s="41">
        <f t="shared" si="30"/>
        <v>0.12821060729090986</v>
      </c>
      <c r="J426" s="41">
        <f t="shared" si="31"/>
        <v>4.4866063123080446E-2</v>
      </c>
    </row>
    <row r="427" spans="1:10">
      <c r="A427" s="51">
        <f t="shared" ref="A427:A490" si="34">A426+1</f>
        <v>3</v>
      </c>
      <c r="B427" s="51">
        <v>20</v>
      </c>
      <c r="C427" s="42">
        <f t="shared" si="32"/>
        <v>38.089732126246162</v>
      </c>
      <c r="D427" s="42">
        <f t="shared" si="33"/>
        <v>265</v>
      </c>
      <c r="E427" s="51">
        <v>5.2210000000000001</v>
      </c>
      <c r="F427" s="42">
        <f t="shared" si="27"/>
        <v>3.9735481006948739</v>
      </c>
      <c r="G427" s="51">
        <f t="shared" si="28"/>
        <v>150</v>
      </c>
      <c r="H427" s="46">
        <f t="shared" si="29"/>
        <v>8.334454416782941E-2</v>
      </c>
      <c r="I427" s="41">
        <f t="shared" si="30"/>
        <v>0.12821060729090986</v>
      </c>
      <c r="J427" s="41">
        <f t="shared" si="31"/>
        <v>4.4866063123080446E-2</v>
      </c>
    </row>
    <row r="428" spans="1:10">
      <c r="A428" s="51">
        <f t="shared" si="34"/>
        <v>4</v>
      </c>
      <c r="B428" s="51">
        <v>20</v>
      </c>
      <c r="C428" s="42">
        <f t="shared" si="32"/>
        <v>38.134598189369243</v>
      </c>
      <c r="D428" s="42">
        <f t="shared" si="33"/>
        <v>265</v>
      </c>
      <c r="E428" s="51">
        <v>5.2210000000000001</v>
      </c>
      <c r="F428" s="42">
        <f t="shared" si="27"/>
        <v>3.9735481006948739</v>
      </c>
      <c r="G428" s="51">
        <f t="shared" si="28"/>
        <v>150</v>
      </c>
      <c r="H428" s="46">
        <f t="shared" si="29"/>
        <v>8.334454416782941E-2</v>
      </c>
      <c r="I428" s="41">
        <f t="shared" si="30"/>
        <v>0.12821060729090986</v>
      </c>
      <c r="J428" s="41">
        <f t="shared" si="31"/>
        <v>4.4866063123080446E-2</v>
      </c>
    </row>
    <row r="429" spans="1:10">
      <c r="A429" s="51">
        <f t="shared" si="34"/>
        <v>5</v>
      </c>
      <c r="B429" s="51">
        <v>20</v>
      </c>
      <c r="C429" s="42">
        <f t="shared" si="32"/>
        <v>38.179464252492323</v>
      </c>
      <c r="D429" s="42">
        <f t="shared" si="33"/>
        <v>265</v>
      </c>
      <c r="E429" s="51">
        <v>5.2210000000000001</v>
      </c>
      <c r="F429" s="42">
        <f t="shared" si="27"/>
        <v>3.9735481006948739</v>
      </c>
      <c r="G429" s="51">
        <f t="shared" si="28"/>
        <v>150</v>
      </c>
      <c r="H429" s="46">
        <f t="shared" si="29"/>
        <v>8.334454416782941E-2</v>
      </c>
      <c r="I429" s="41">
        <f t="shared" si="30"/>
        <v>0.12821060729090986</v>
      </c>
      <c r="J429" s="41">
        <f t="shared" si="31"/>
        <v>4.4866063123080446E-2</v>
      </c>
    </row>
    <row r="430" spans="1:10">
      <c r="A430" s="51">
        <f t="shared" si="34"/>
        <v>6</v>
      </c>
      <c r="B430" s="51">
        <v>20</v>
      </c>
      <c r="C430" s="42">
        <f t="shared" si="32"/>
        <v>38.224330315615404</v>
      </c>
      <c r="D430" s="42">
        <f t="shared" si="33"/>
        <v>265</v>
      </c>
      <c r="E430" s="51">
        <v>5.2210000000000001</v>
      </c>
      <c r="F430" s="42">
        <f t="shared" si="27"/>
        <v>3.9735481006948739</v>
      </c>
      <c r="G430" s="51">
        <f t="shared" si="28"/>
        <v>150</v>
      </c>
      <c r="H430" s="46">
        <f t="shared" si="29"/>
        <v>8.334454416782941E-2</v>
      </c>
      <c r="I430" s="41">
        <f t="shared" si="30"/>
        <v>0.12821060729090986</v>
      </c>
      <c r="J430" s="41">
        <f t="shared" si="31"/>
        <v>4.4866063123080446E-2</v>
      </c>
    </row>
    <row r="431" spans="1:10">
      <c r="A431" s="51">
        <f t="shared" si="34"/>
        <v>7</v>
      </c>
      <c r="B431" s="51">
        <v>20</v>
      </c>
      <c r="C431" s="42">
        <f t="shared" si="32"/>
        <v>38.269196378738485</v>
      </c>
      <c r="D431" s="42">
        <f t="shared" si="33"/>
        <v>265</v>
      </c>
      <c r="E431" s="51">
        <v>5.2210000000000001</v>
      </c>
      <c r="F431" s="42">
        <f t="shared" si="27"/>
        <v>3.9735481006948739</v>
      </c>
      <c r="G431" s="51">
        <f t="shared" si="28"/>
        <v>150</v>
      </c>
      <c r="H431" s="46">
        <f t="shared" si="29"/>
        <v>8.334454416782941E-2</v>
      </c>
      <c r="I431" s="41">
        <f t="shared" si="30"/>
        <v>0.12821060729090986</v>
      </c>
      <c r="J431" s="41">
        <f t="shared" si="31"/>
        <v>4.4866063123080446E-2</v>
      </c>
    </row>
    <row r="432" spans="1:10">
      <c r="A432" s="51">
        <f t="shared" si="34"/>
        <v>8</v>
      </c>
      <c r="B432" s="51">
        <v>20</v>
      </c>
      <c r="C432" s="42">
        <f t="shared" si="32"/>
        <v>38.314062441861566</v>
      </c>
      <c r="D432" s="42">
        <f t="shared" si="33"/>
        <v>265</v>
      </c>
      <c r="E432" s="51">
        <v>5.2210000000000001</v>
      </c>
      <c r="F432" s="42">
        <f t="shared" si="27"/>
        <v>3.9735481006948739</v>
      </c>
      <c r="G432" s="51">
        <f t="shared" si="28"/>
        <v>150</v>
      </c>
      <c r="H432" s="46">
        <f t="shared" si="29"/>
        <v>8.334454416782941E-2</v>
      </c>
      <c r="I432" s="41">
        <f t="shared" si="30"/>
        <v>0.12821060729090986</v>
      </c>
      <c r="J432" s="41">
        <f t="shared" si="31"/>
        <v>4.4866063123080446E-2</v>
      </c>
    </row>
    <row r="433" spans="1:10">
      <c r="A433" s="51">
        <f t="shared" si="34"/>
        <v>9</v>
      </c>
      <c r="B433" s="51">
        <v>20</v>
      </c>
      <c r="C433" s="42">
        <f t="shared" si="32"/>
        <v>38.358928504984647</v>
      </c>
      <c r="D433" s="42">
        <f t="shared" si="33"/>
        <v>265</v>
      </c>
      <c r="E433" s="51">
        <v>5.2210000000000001</v>
      </c>
      <c r="F433" s="42">
        <f t="shared" si="27"/>
        <v>3.9735481006948739</v>
      </c>
      <c r="G433" s="51">
        <f t="shared" si="28"/>
        <v>150</v>
      </c>
      <c r="H433" s="46">
        <f t="shared" si="29"/>
        <v>8.334454416782941E-2</v>
      </c>
      <c r="I433" s="41">
        <f t="shared" si="30"/>
        <v>0.12821060729090986</v>
      </c>
      <c r="J433" s="41">
        <f t="shared" si="31"/>
        <v>4.4866063123080446E-2</v>
      </c>
    </row>
    <row r="434" spans="1:10">
      <c r="A434" s="51">
        <f t="shared" si="34"/>
        <v>10</v>
      </c>
      <c r="B434" s="51">
        <v>20</v>
      </c>
      <c r="C434" s="42">
        <f t="shared" si="32"/>
        <v>38.403794568107728</v>
      </c>
      <c r="D434" s="42">
        <f t="shared" si="33"/>
        <v>265</v>
      </c>
      <c r="E434" s="51">
        <v>5.2210000000000001</v>
      </c>
      <c r="F434" s="42">
        <f t="shared" si="27"/>
        <v>3.9735481006948739</v>
      </c>
      <c r="G434" s="51">
        <f t="shared" si="28"/>
        <v>150</v>
      </c>
      <c r="H434" s="46">
        <f t="shared" si="29"/>
        <v>8.334454416782941E-2</v>
      </c>
      <c r="I434" s="41">
        <f t="shared" si="30"/>
        <v>0.12821060729090986</v>
      </c>
      <c r="J434" s="41">
        <f t="shared" si="31"/>
        <v>4.4866063123080446E-2</v>
      </c>
    </row>
    <row r="435" spans="1:10">
      <c r="A435" s="51">
        <f t="shared" si="34"/>
        <v>11</v>
      </c>
      <c r="B435" s="51">
        <v>20</v>
      </c>
      <c r="C435" s="42">
        <f t="shared" si="32"/>
        <v>38.448660631230808</v>
      </c>
      <c r="D435" s="42">
        <f t="shared" si="33"/>
        <v>265</v>
      </c>
      <c r="E435" s="51">
        <v>5.2210000000000001</v>
      </c>
      <c r="F435" s="42">
        <f t="shared" si="27"/>
        <v>3.9735481006948739</v>
      </c>
      <c r="G435" s="51">
        <f t="shared" si="28"/>
        <v>150</v>
      </c>
      <c r="H435" s="46">
        <f t="shared" si="29"/>
        <v>8.334454416782941E-2</v>
      </c>
      <c r="I435" s="41">
        <f t="shared" si="30"/>
        <v>0.12821060729090986</v>
      </c>
      <c r="J435" s="41">
        <f t="shared" si="31"/>
        <v>4.4866063123080446E-2</v>
      </c>
    </row>
    <row r="436" spans="1:10">
      <c r="A436" s="51">
        <f t="shared" si="34"/>
        <v>12</v>
      </c>
      <c r="B436" s="51">
        <v>20</v>
      </c>
      <c r="C436" s="42">
        <f t="shared" si="32"/>
        <v>38.493526694353889</v>
      </c>
      <c r="D436" s="42">
        <f t="shared" si="33"/>
        <v>265</v>
      </c>
      <c r="E436" s="51">
        <v>5.2210000000000001</v>
      </c>
      <c r="F436" s="42">
        <f t="shared" si="27"/>
        <v>3.9735481006948739</v>
      </c>
      <c r="G436" s="51">
        <f t="shared" si="28"/>
        <v>150</v>
      </c>
      <c r="H436" s="46">
        <f t="shared" si="29"/>
        <v>8.334454416782941E-2</v>
      </c>
      <c r="I436" s="41">
        <f t="shared" si="30"/>
        <v>0.12821060729090986</v>
      </c>
      <c r="J436" s="41">
        <f t="shared" si="31"/>
        <v>4.4866063123080446E-2</v>
      </c>
    </row>
    <row r="437" spans="1:10">
      <c r="A437" s="51">
        <f t="shared" si="34"/>
        <v>13</v>
      </c>
      <c r="B437" s="51">
        <v>20</v>
      </c>
      <c r="C437" s="42">
        <f t="shared" si="32"/>
        <v>38.53839275747697</v>
      </c>
      <c r="D437" s="42">
        <f t="shared" si="33"/>
        <v>265</v>
      </c>
      <c r="E437" s="51">
        <v>5.2210000000000001</v>
      </c>
      <c r="F437" s="42">
        <f t="shared" si="27"/>
        <v>3.9735481006948739</v>
      </c>
      <c r="G437" s="51">
        <f t="shared" si="28"/>
        <v>150</v>
      </c>
      <c r="H437" s="46">
        <f t="shared" si="29"/>
        <v>8.334454416782941E-2</v>
      </c>
      <c r="I437" s="41">
        <f t="shared" si="30"/>
        <v>0.12821060729090986</v>
      </c>
      <c r="J437" s="41">
        <f t="shared" si="31"/>
        <v>4.4866063123080446E-2</v>
      </c>
    </row>
    <row r="438" spans="1:10">
      <c r="A438" s="51">
        <f t="shared" si="34"/>
        <v>14</v>
      </c>
      <c r="B438" s="51">
        <v>20</v>
      </c>
      <c r="C438" s="42">
        <f t="shared" si="32"/>
        <v>38.583258820600051</v>
      </c>
      <c r="D438" s="42">
        <f t="shared" si="33"/>
        <v>265</v>
      </c>
      <c r="E438" s="51">
        <v>5.2210000000000001</v>
      </c>
      <c r="F438" s="42">
        <f t="shared" si="27"/>
        <v>3.9735481006948739</v>
      </c>
      <c r="G438" s="51">
        <f t="shared" si="28"/>
        <v>150</v>
      </c>
      <c r="H438" s="46">
        <f t="shared" si="29"/>
        <v>8.334454416782941E-2</v>
      </c>
      <c r="I438" s="41">
        <f t="shared" si="30"/>
        <v>0.12821060729090986</v>
      </c>
      <c r="J438" s="41">
        <f t="shared" si="31"/>
        <v>4.4866063123080446E-2</v>
      </c>
    </row>
    <row r="439" spans="1:10">
      <c r="A439" s="51">
        <f t="shared" si="34"/>
        <v>15</v>
      </c>
      <c r="B439" s="51">
        <v>20</v>
      </c>
      <c r="C439" s="42">
        <f t="shared" si="32"/>
        <v>38.628124883723132</v>
      </c>
      <c r="D439" s="42">
        <f t="shared" si="33"/>
        <v>265</v>
      </c>
      <c r="E439" s="51">
        <v>5.2210000000000001</v>
      </c>
      <c r="F439" s="42">
        <f t="shared" si="27"/>
        <v>3.9735481006948739</v>
      </c>
      <c r="G439" s="51">
        <f t="shared" si="28"/>
        <v>150</v>
      </c>
      <c r="H439" s="46">
        <f t="shared" si="29"/>
        <v>8.334454416782941E-2</v>
      </c>
      <c r="I439" s="41">
        <f t="shared" si="30"/>
        <v>0.12821060729090986</v>
      </c>
      <c r="J439" s="41">
        <f t="shared" si="31"/>
        <v>4.4866063123080446E-2</v>
      </c>
    </row>
    <row r="440" spans="1:10">
      <c r="A440" s="51">
        <f t="shared" si="34"/>
        <v>16</v>
      </c>
      <c r="B440" s="51">
        <v>20</v>
      </c>
      <c r="C440" s="42">
        <f t="shared" si="32"/>
        <v>38.672990946846213</v>
      </c>
      <c r="D440" s="42">
        <f t="shared" si="33"/>
        <v>265</v>
      </c>
      <c r="E440" s="51">
        <v>5.2210000000000001</v>
      </c>
      <c r="F440" s="42">
        <f t="shared" si="27"/>
        <v>3.9735481006948739</v>
      </c>
      <c r="G440" s="51">
        <f t="shared" si="28"/>
        <v>150</v>
      </c>
      <c r="H440" s="46">
        <f t="shared" si="29"/>
        <v>8.334454416782941E-2</v>
      </c>
      <c r="I440" s="41">
        <f t="shared" si="30"/>
        <v>0.12821060729090986</v>
      </c>
      <c r="J440" s="41">
        <f t="shared" si="31"/>
        <v>4.4866063123080446E-2</v>
      </c>
    </row>
    <row r="441" spans="1:10">
      <c r="A441" s="51">
        <f t="shared" si="34"/>
        <v>17</v>
      </c>
      <c r="B441" s="51">
        <v>20</v>
      </c>
      <c r="C441" s="42">
        <f t="shared" si="32"/>
        <v>38.717857009969293</v>
      </c>
      <c r="D441" s="42">
        <f t="shared" si="33"/>
        <v>265</v>
      </c>
      <c r="E441" s="51">
        <v>5.2210000000000001</v>
      </c>
      <c r="F441" s="42">
        <f t="shared" si="27"/>
        <v>3.9735481006948739</v>
      </c>
      <c r="G441" s="51">
        <f t="shared" si="28"/>
        <v>150</v>
      </c>
      <c r="H441" s="46">
        <f t="shared" si="29"/>
        <v>8.334454416782941E-2</v>
      </c>
      <c r="I441" s="41">
        <f t="shared" si="30"/>
        <v>0.12821060729090986</v>
      </c>
      <c r="J441" s="41">
        <f t="shared" si="31"/>
        <v>4.4866063123080446E-2</v>
      </c>
    </row>
    <row r="442" spans="1:10">
      <c r="A442" s="51">
        <f t="shared" si="34"/>
        <v>18</v>
      </c>
      <c r="B442" s="51">
        <v>20</v>
      </c>
      <c r="C442" s="42">
        <f t="shared" si="32"/>
        <v>38.762723073092374</v>
      </c>
      <c r="D442" s="42">
        <f t="shared" si="33"/>
        <v>265</v>
      </c>
      <c r="E442" s="51">
        <v>5.2210000000000001</v>
      </c>
      <c r="F442" s="42">
        <f t="shared" si="27"/>
        <v>3.9735481006948739</v>
      </c>
      <c r="G442" s="51">
        <f t="shared" si="28"/>
        <v>150</v>
      </c>
      <c r="H442" s="46">
        <f t="shared" si="29"/>
        <v>8.334454416782941E-2</v>
      </c>
      <c r="I442" s="41">
        <f t="shared" si="30"/>
        <v>0.12821060729090986</v>
      </c>
      <c r="J442" s="41">
        <f t="shared" si="31"/>
        <v>4.4866063123080446E-2</v>
      </c>
    </row>
    <row r="443" spans="1:10">
      <c r="A443" s="51">
        <f t="shared" si="34"/>
        <v>19</v>
      </c>
      <c r="B443" s="51">
        <v>20</v>
      </c>
      <c r="C443" s="42">
        <f t="shared" si="32"/>
        <v>38.807589136215455</v>
      </c>
      <c r="D443" s="42">
        <f t="shared" si="33"/>
        <v>265</v>
      </c>
      <c r="E443" s="51">
        <v>5.2210000000000001</v>
      </c>
      <c r="F443" s="42">
        <f t="shared" si="27"/>
        <v>3.9735481006948739</v>
      </c>
      <c r="G443" s="51">
        <f t="shared" si="28"/>
        <v>150</v>
      </c>
      <c r="H443" s="46">
        <f t="shared" si="29"/>
        <v>8.334454416782941E-2</v>
      </c>
      <c r="I443" s="41">
        <f t="shared" si="30"/>
        <v>0.12821060729090986</v>
      </c>
      <c r="J443" s="41">
        <f t="shared" si="31"/>
        <v>4.4866063123080446E-2</v>
      </c>
    </row>
    <row r="444" spans="1:10">
      <c r="A444" s="51">
        <f t="shared" si="34"/>
        <v>20</v>
      </c>
      <c r="B444" s="51">
        <v>20</v>
      </c>
      <c r="C444" s="42">
        <f t="shared" si="32"/>
        <v>38.852455199338536</v>
      </c>
      <c r="D444" s="42">
        <f t="shared" si="33"/>
        <v>265</v>
      </c>
      <c r="E444" s="51">
        <v>5.2210000000000001</v>
      </c>
      <c r="F444" s="42">
        <f t="shared" si="27"/>
        <v>3.9735481006948739</v>
      </c>
      <c r="G444" s="51">
        <f t="shared" si="28"/>
        <v>150</v>
      </c>
      <c r="H444" s="46">
        <f t="shared" si="29"/>
        <v>8.334454416782941E-2</v>
      </c>
      <c r="I444" s="41">
        <f t="shared" si="30"/>
        <v>0.12821060729090986</v>
      </c>
      <c r="J444" s="41">
        <f t="shared" si="31"/>
        <v>4.4866063123080446E-2</v>
      </c>
    </row>
    <row r="445" spans="1:10">
      <c r="A445" s="51">
        <f t="shared" si="34"/>
        <v>21</v>
      </c>
      <c r="B445" s="51">
        <v>20</v>
      </c>
      <c r="C445" s="42">
        <f t="shared" si="32"/>
        <v>38.897321262461617</v>
      </c>
      <c r="D445" s="42">
        <f t="shared" si="33"/>
        <v>265</v>
      </c>
      <c r="E445" s="51">
        <v>5.2210000000000001</v>
      </c>
      <c r="F445" s="42">
        <f t="shared" si="27"/>
        <v>3.9735481006948739</v>
      </c>
      <c r="G445" s="51">
        <f t="shared" si="28"/>
        <v>150</v>
      </c>
      <c r="H445" s="46">
        <f t="shared" si="29"/>
        <v>8.334454416782941E-2</v>
      </c>
      <c r="I445" s="41">
        <f t="shared" si="30"/>
        <v>0.12821060729090986</v>
      </c>
      <c r="J445" s="41">
        <f t="shared" si="31"/>
        <v>4.4866063123080446E-2</v>
      </c>
    </row>
    <row r="446" spans="1:10">
      <c r="A446" s="51">
        <f t="shared" si="34"/>
        <v>22</v>
      </c>
      <c r="B446" s="51">
        <v>20</v>
      </c>
      <c r="C446" s="42">
        <f t="shared" si="32"/>
        <v>38.942187325584698</v>
      </c>
      <c r="D446" s="42">
        <f t="shared" si="33"/>
        <v>265</v>
      </c>
      <c r="E446" s="51">
        <v>5.2210000000000001</v>
      </c>
      <c r="F446" s="42">
        <f t="shared" si="27"/>
        <v>3.9735481006948739</v>
      </c>
      <c r="G446" s="51">
        <f t="shared" si="28"/>
        <v>150</v>
      </c>
      <c r="H446" s="46">
        <f t="shared" si="29"/>
        <v>8.334454416782941E-2</v>
      </c>
      <c r="I446" s="41">
        <f t="shared" si="30"/>
        <v>0.12821060729090986</v>
      </c>
      <c r="J446" s="41">
        <f t="shared" si="31"/>
        <v>4.4866063123080446E-2</v>
      </c>
    </row>
    <row r="447" spans="1:10">
      <c r="A447" s="51">
        <f t="shared" si="34"/>
        <v>23</v>
      </c>
      <c r="B447" s="51">
        <v>20</v>
      </c>
      <c r="C447" s="42">
        <f t="shared" si="32"/>
        <v>38.987053388707778</v>
      </c>
      <c r="D447" s="42">
        <f t="shared" si="33"/>
        <v>265</v>
      </c>
      <c r="E447" s="51">
        <v>5.2210000000000001</v>
      </c>
      <c r="F447" s="42">
        <f t="shared" si="27"/>
        <v>3.9735481006948739</v>
      </c>
      <c r="G447" s="51">
        <f t="shared" si="28"/>
        <v>150</v>
      </c>
      <c r="H447" s="46">
        <f t="shared" si="29"/>
        <v>8.334454416782941E-2</v>
      </c>
      <c r="I447" s="41">
        <f t="shared" si="30"/>
        <v>0.12821060729090986</v>
      </c>
      <c r="J447" s="41">
        <f t="shared" si="31"/>
        <v>4.4866063123080446E-2</v>
      </c>
    </row>
    <row r="448" spans="1:10">
      <c r="A448" s="51">
        <f t="shared" si="34"/>
        <v>24</v>
      </c>
      <c r="B448" s="51">
        <v>20</v>
      </c>
      <c r="C448" s="42">
        <f t="shared" si="32"/>
        <v>39.031919451830859</v>
      </c>
      <c r="D448" s="42">
        <f t="shared" si="33"/>
        <v>265</v>
      </c>
      <c r="E448" s="51">
        <v>5.2210000000000001</v>
      </c>
      <c r="F448" s="42">
        <f t="shared" si="27"/>
        <v>3.9735481006948739</v>
      </c>
      <c r="G448" s="51">
        <f t="shared" si="28"/>
        <v>150</v>
      </c>
      <c r="H448" s="46">
        <f t="shared" si="29"/>
        <v>8.334454416782941E-2</v>
      </c>
      <c r="I448" s="41">
        <f t="shared" si="30"/>
        <v>0.12821060729090986</v>
      </c>
      <c r="J448" s="41">
        <f t="shared" si="31"/>
        <v>4.4866063123080446E-2</v>
      </c>
    </row>
    <row r="449" spans="1:10">
      <c r="A449" s="51">
        <f t="shared" si="34"/>
        <v>25</v>
      </c>
      <c r="B449" s="51">
        <v>20</v>
      </c>
      <c r="C449" s="42">
        <f t="shared" si="32"/>
        <v>39.07678551495394</v>
      </c>
      <c r="D449" s="42">
        <f t="shared" si="33"/>
        <v>265</v>
      </c>
      <c r="E449" s="51">
        <v>5.2210000000000001</v>
      </c>
      <c r="F449" s="42">
        <f t="shared" si="27"/>
        <v>3.9735481006948739</v>
      </c>
      <c r="G449" s="51">
        <f t="shared" si="28"/>
        <v>150</v>
      </c>
      <c r="H449" s="46">
        <f t="shared" si="29"/>
        <v>8.334454416782941E-2</v>
      </c>
      <c r="I449" s="41">
        <f t="shared" si="30"/>
        <v>0.12821060729090986</v>
      </c>
      <c r="J449" s="41">
        <f t="shared" si="31"/>
        <v>4.4866063123080446E-2</v>
      </c>
    </row>
    <row r="450" spans="1:10">
      <c r="A450" s="51">
        <f t="shared" si="34"/>
        <v>26</v>
      </c>
      <c r="B450" s="51">
        <v>20</v>
      </c>
      <c r="C450" s="42">
        <f t="shared" si="32"/>
        <v>39.121651578077021</v>
      </c>
      <c r="D450" s="42">
        <f t="shared" si="33"/>
        <v>265</v>
      </c>
      <c r="E450" s="51">
        <v>5.2210000000000001</v>
      </c>
      <c r="F450" s="42">
        <f t="shared" si="27"/>
        <v>3.9735481006948739</v>
      </c>
      <c r="G450" s="51">
        <f t="shared" si="28"/>
        <v>150</v>
      </c>
      <c r="H450" s="46">
        <f t="shared" si="29"/>
        <v>8.334454416782941E-2</v>
      </c>
      <c r="I450" s="41">
        <f t="shared" si="30"/>
        <v>0.12821060729090986</v>
      </c>
      <c r="J450" s="41">
        <f t="shared" si="31"/>
        <v>4.4866063123080446E-2</v>
      </c>
    </row>
    <row r="451" spans="1:10">
      <c r="A451" s="51">
        <f t="shared" si="34"/>
        <v>27</v>
      </c>
      <c r="B451" s="51">
        <v>20</v>
      </c>
      <c r="C451" s="42">
        <f t="shared" si="32"/>
        <v>39.166517641200102</v>
      </c>
      <c r="D451" s="42">
        <f t="shared" si="33"/>
        <v>265</v>
      </c>
      <c r="E451" s="51">
        <v>5.2210000000000001</v>
      </c>
      <c r="F451" s="42">
        <f t="shared" si="27"/>
        <v>3.9735481006948739</v>
      </c>
      <c r="G451" s="51">
        <f t="shared" si="28"/>
        <v>150</v>
      </c>
      <c r="H451" s="46">
        <f t="shared" si="29"/>
        <v>8.334454416782941E-2</v>
      </c>
      <c r="I451" s="41">
        <f t="shared" si="30"/>
        <v>0.12821060729090986</v>
      </c>
      <c r="J451" s="41">
        <f t="shared" si="31"/>
        <v>4.4866063123080446E-2</v>
      </c>
    </row>
    <row r="452" spans="1:10">
      <c r="A452" s="51">
        <f t="shared" si="34"/>
        <v>28</v>
      </c>
      <c r="B452" s="51">
        <v>20</v>
      </c>
      <c r="C452" s="42">
        <f t="shared" si="32"/>
        <v>39.211383704323183</v>
      </c>
      <c r="D452" s="42">
        <f t="shared" si="33"/>
        <v>265</v>
      </c>
      <c r="E452" s="51">
        <v>5.2210000000000001</v>
      </c>
      <c r="F452" s="42">
        <f t="shared" si="27"/>
        <v>3.9735481006948739</v>
      </c>
      <c r="G452" s="51">
        <f t="shared" si="28"/>
        <v>150</v>
      </c>
      <c r="H452" s="46">
        <f t="shared" si="29"/>
        <v>8.334454416782941E-2</v>
      </c>
      <c r="I452" s="41">
        <f t="shared" si="30"/>
        <v>0.12821060729090986</v>
      </c>
      <c r="J452" s="41">
        <f t="shared" si="31"/>
        <v>4.4866063123080446E-2</v>
      </c>
    </row>
    <row r="453" spans="1:10">
      <c r="A453" s="51">
        <f t="shared" si="34"/>
        <v>29</v>
      </c>
      <c r="B453" s="51">
        <v>20</v>
      </c>
      <c r="C453" s="42">
        <f t="shared" si="32"/>
        <v>39.256249767446263</v>
      </c>
      <c r="D453" s="42">
        <f t="shared" si="33"/>
        <v>265</v>
      </c>
      <c r="E453" s="51">
        <v>5.2210000000000001</v>
      </c>
      <c r="F453" s="42">
        <f t="shared" si="27"/>
        <v>3.9735481006948739</v>
      </c>
      <c r="G453" s="51">
        <f t="shared" si="28"/>
        <v>150</v>
      </c>
      <c r="H453" s="46">
        <f t="shared" si="29"/>
        <v>8.334454416782941E-2</v>
      </c>
      <c r="I453" s="41">
        <f t="shared" si="30"/>
        <v>0.12821060729090986</v>
      </c>
      <c r="J453" s="41">
        <f t="shared" si="31"/>
        <v>4.4866063123080446E-2</v>
      </c>
    </row>
    <row r="454" spans="1:10">
      <c r="A454" s="51">
        <f t="shared" si="34"/>
        <v>30</v>
      </c>
      <c r="B454" s="51">
        <v>20</v>
      </c>
      <c r="C454" s="42">
        <f t="shared" si="32"/>
        <v>39.301115830569344</v>
      </c>
      <c r="D454" s="42">
        <f t="shared" si="33"/>
        <v>265</v>
      </c>
      <c r="E454" s="51">
        <v>5.2210000000000001</v>
      </c>
      <c r="F454" s="42">
        <f t="shared" si="27"/>
        <v>3.9735481006948739</v>
      </c>
      <c r="G454" s="51">
        <f t="shared" si="28"/>
        <v>150</v>
      </c>
      <c r="H454" s="46">
        <f t="shared" si="29"/>
        <v>8.334454416782941E-2</v>
      </c>
      <c r="I454" s="41">
        <f t="shared" si="30"/>
        <v>0.12821060729090986</v>
      </c>
      <c r="J454" s="41">
        <f t="shared" si="31"/>
        <v>4.4866063123080446E-2</v>
      </c>
    </row>
    <row r="455" spans="1:10">
      <c r="A455" s="51">
        <f t="shared" si="34"/>
        <v>31</v>
      </c>
      <c r="B455" s="51">
        <v>20</v>
      </c>
      <c r="C455" s="42">
        <f t="shared" si="32"/>
        <v>39.345981893692425</v>
      </c>
      <c r="D455" s="42">
        <f t="shared" si="33"/>
        <v>265</v>
      </c>
      <c r="E455" s="51">
        <v>5.2210000000000001</v>
      </c>
      <c r="F455" s="42">
        <f t="shared" si="27"/>
        <v>3.9735481006948739</v>
      </c>
      <c r="G455" s="51">
        <f t="shared" si="28"/>
        <v>150</v>
      </c>
      <c r="H455" s="46">
        <f t="shared" si="29"/>
        <v>8.334454416782941E-2</v>
      </c>
      <c r="I455" s="41">
        <f t="shared" si="30"/>
        <v>0.12821060729090986</v>
      </c>
      <c r="J455" s="41">
        <f t="shared" si="31"/>
        <v>4.4866063123080446E-2</v>
      </c>
    </row>
    <row r="456" spans="1:10">
      <c r="A456" s="51">
        <f t="shared" si="34"/>
        <v>32</v>
      </c>
      <c r="B456" s="51">
        <v>20</v>
      </c>
      <c r="C456" s="42">
        <f t="shared" si="32"/>
        <v>39.390847956815506</v>
      </c>
      <c r="D456" s="42">
        <f t="shared" si="33"/>
        <v>265</v>
      </c>
      <c r="E456" s="51">
        <v>5.2210000000000001</v>
      </c>
      <c r="F456" s="42">
        <f t="shared" si="27"/>
        <v>3.9735481006948739</v>
      </c>
      <c r="G456" s="51">
        <f t="shared" si="28"/>
        <v>150</v>
      </c>
      <c r="H456" s="46">
        <f t="shared" si="29"/>
        <v>8.334454416782941E-2</v>
      </c>
      <c r="I456" s="41">
        <f t="shared" si="30"/>
        <v>0.12821060729090986</v>
      </c>
      <c r="J456" s="41">
        <f t="shared" si="31"/>
        <v>4.4866063123080446E-2</v>
      </c>
    </row>
    <row r="457" spans="1:10">
      <c r="A457" s="51">
        <f t="shared" si="34"/>
        <v>33</v>
      </c>
      <c r="B457" s="51">
        <v>20</v>
      </c>
      <c r="C457" s="42">
        <f t="shared" si="32"/>
        <v>39.435714019938587</v>
      </c>
      <c r="D457" s="42">
        <f t="shared" si="33"/>
        <v>265</v>
      </c>
      <c r="E457" s="51">
        <v>5.2210000000000001</v>
      </c>
      <c r="F457" s="42">
        <f t="shared" si="27"/>
        <v>3.9735481006948739</v>
      </c>
      <c r="G457" s="51">
        <f t="shared" si="28"/>
        <v>150</v>
      </c>
      <c r="H457" s="46">
        <f t="shared" si="29"/>
        <v>8.334454416782941E-2</v>
      </c>
      <c r="I457" s="41">
        <f t="shared" si="30"/>
        <v>0.12821060729090986</v>
      </c>
      <c r="J457" s="41">
        <f t="shared" si="31"/>
        <v>4.4866063123080446E-2</v>
      </c>
    </row>
    <row r="458" spans="1:10">
      <c r="A458" s="51">
        <f t="shared" si="34"/>
        <v>34</v>
      </c>
      <c r="B458" s="51">
        <v>20</v>
      </c>
      <c r="C458" s="42">
        <f t="shared" si="32"/>
        <v>39.480580083061668</v>
      </c>
      <c r="D458" s="42">
        <f t="shared" si="33"/>
        <v>265</v>
      </c>
      <c r="E458" s="51">
        <v>5.2210000000000001</v>
      </c>
      <c r="F458" s="42">
        <f t="shared" si="27"/>
        <v>3.9735481006948739</v>
      </c>
      <c r="G458" s="51">
        <f t="shared" si="28"/>
        <v>150</v>
      </c>
      <c r="H458" s="46">
        <f t="shared" si="29"/>
        <v>8.334454416782941E-2</v>
      </c>
      <c r="I458" s="41">
        <f t="shared" si="30"/>
        <v>0.12821060729090986</v>
      </c>
      <c r="J458" s="41">
        <f t="shared" si="31"/>
        <v>4.4866063123080446E-2</v>
      </c>
    </row>
    <row r="459" spans="1:10">
      <c r="A459" s="51">
        <f t="shared" si="34"/>
        <v>35</v>
      </c>
      <c r="B459" s="51">
        <v>20</v>
      </c>
      <c r="C459" s="42">
        <f t="shared" si="32"/>
        <v>39.525446146184748</v>
      </c>
      <c r="D459" s="42">
        <f t="shared" si="33"/>
        <v>265</v>
      </c>
      <c r="E459" s="51">
        <v>5.2210000000000001</v>
      </c>
      <c r="F459" s="42">
        <f t="shared" si="27"/>
        <v>3.9735481006948739</v>
      </c>
      <c r="G459" s="51">
        <f t="shared" si="28"/>
        <v>150</v>
      </c>
      <c r="H459" s="46">
        <f t="shared" si="29"/>
        <v>8.334454416782941E-2</v>
      </c>
      <c r="I459" s="41">
        <f t="shared" si="30"/>
        <v>0.12821060729090986</v>
      </c>
      <c r="J459" s="41">
        <f t="shared" si="31"/>
        <v>4.4866063123080446E-2</v>
      </c>
    </row>
    <row r="460" spans="1:10">
      <c r="A460" s="51">
        <f t="shared" si="34"/>
        <v>36</v>
      </c>
      <c r="B460" s="51">
        <v>20</v>
      </c>
      <c r="C460" s="42">
        <f t="shared" si="32"/>
        <v>39.570312209307829</v>
      </c>
      <c r="D460" s="42">
        <f t="shared" si="33"/>
        <v>265</v>
      </c>
      <c r="E460" s="51">
        <v>5.2210000000000001</v>
      </c>
      <c r="F460" s="42">
        <f t="shared" si="27"/>
        <v>3.9735481006948739</v>
      </c>
      <c r="G460" s="51">
        <f t="shared" si="28"/>
        <v>150</v>
      </c>
      <c r="H460" s="46">
        <f t="shared" si="29"/>
        <v>8.334454416782941E-2</v>
      </c>
      <c r="I460" s="41">
        <f t="shared" si="30"/>
        <v>0.12821060729090986</v>
      </c>
      <c r="J460" s="41">
        <f t="shared" si="31"/>
        <v>4.4866063123080446E-2</v>
      </c>
    </row>
    <row r="461" spans="1:10">
      <c r="A461" s="51">
        <f t="shared" si="34"/>
        <v>37</v>
      </c>
      <c r="B461" s="51">
        <v>20</v>
      </c>
      <c r="C461" s="42">
        <f t="shared" si="32"/>
        <v>39.61517827243091</v>
      </c>
      <c r="D461" s="42">
        <f t="shared" si="33"/>
        <v>265</v>
      </c>
      <c r="E461" s="51">
        <v>5.2210000000000001</v>
      </c>
      <c r="F461" s="42">
        <f t="shared" si="27"/>
        <v>3.9735481006948739</v>
      </c>
      <c r="G461" s="51">
        <f t="shared" si="28"/>
        <v>150</v>
      </c>
      <c r="H461" s="46">
        <f t="shared" si="29"/>
        <v>8.334454416782941E-2</v>
      </c>
      <c r="I461" s="41">
        <f t="shared" si="30"/>
        <v>0.12821060729090986</v>
      </c>
      <c r="J461" s="41">
        <f t="shared" si="31"/>
        <v>4.4866063123080446E-2</v>
      </c>
    </row>
    <row r="462" spans="1:10">
      <c r="A462" s="51">
        <f t="shared" si="34"/>
        <v>38</v>
      </c>
      <c r="B462" s="51">
        <v>20</v>
      </c>
      <c r="C462" s="42">
        <f t="shared" si="32"/>
        <v>39.660044335553991</v>
      </c>
      <c r="D462" s="42">
        <f t="shared" si="33"/>
        <v>265</v>
      </c>
      <c r="E462" s="51">
        <v>5.2210000000000001</v>
      </c>
      <c r="F462" s="42">
        <f t="shared" si="27"/>
        <v>3.9735481006948739</v>
      </c>
      <c r="G462" s="51">
        <f t="shared" si="28"/>
        <v>150</v>
      </c>
      <c r="H462" s="46">
        <f t="shared" si="29"/>
        <v>8.334454416782941E-2</v>
      </c>
      <c r="I462" s="41">
        <f t="shared" si="30"/>
        <v>0.12821060729090986</v>
      </c>
      <c r="J462" s="41">
        <f t="shared" si="31"/>
        <v>4.4866063123080446E-2</v>
      </c>
    </row>
    <row r="463" spans="1:10">
      <c r="A463" s="51">
        <f t="shared" si="34"/>
        <v>39</v>
      </c>
      <c r="B463" s="51">
        <v>20</v>
      </c>
      <c r="C463" s="42">
        <f t="shared" si="32"/>
        <v>39.704910398677072</v>
      </c>
      <c r="D463" s="42">
        <f t="shared" si="33"/>
        <v>265</v>
      </c>
      <c r="E463" s="51">
        <v>5.2210000000000001</v>
      </c>
      <c r="F463" s="42">
        <f t="shared" si="27"/>
        <v>3.9735481006948739</v>
      </c>
      <c r="G463" s="51">
        <f t="shared" si="28"/>
        <v>150</v>
      </c>
      <c r="H463" s="46">
        <f t="shared" si="29"/>
        <v>8.334454416782941E-2</v>
      </c>
      <c r="I463" s="41">
        <f t="shared" si="30"/>
        <v>0.12821060729090986</v>
      </c>
      <c r="J463" s="41">
        <f t="shared" si="31"/>
        <v>4.4866063123080446E-2</v>
      </c>
    </row>
    <row r="464" spans="1:10">
      <c r="A464" s="51">
        <f t="shared" si="34"/>
        <v>40</v>
      </c>
      <c r="B464" s="51">
        <v>20</v>
      </c>
      <c r="C464" s="42">
        <f t="shared" si="32"/>
        <v>39.749776461800153</v>
      </c>
      <c r="D464" s="42">
        <f t="shared" si="33"/>
        <v>265</v>
      </c>
      <c r="E464" s="51">
        <v>5.2210000000000001</v>
      </c>
      <c r="F464" s="42">
        <f t="shared" si="27"/>
        <v>3.9735481006948739</v>
      </c>
      <c r="G464" s="51">
        <f t="shared" si="28"/>
        <v>150</v>
      </c>
      <c r="H464" s="46">
        <f t="shared" si="29"/>
        <v>8.334454416782941E-2</v>
      </c>
      <c r="I464" s="41">
        <f t="shared" si="30"/>
        <v>0.12821060729090986</v>
      </c>
      <c r="J464" s="41">
        <f t="shared" si="31"/>
        <v>4.4866063123080446E-2</v>
      </c>
    </row>
    <row r="465" spans="1:10">
      <c r="A465" s="51">
        <f t="shared" si="34"/>
        <v>41</v>
      </c>
      <c r="B465" s="51">
        <v>20</v>
      </c>
      <c r="C465" s="42">
        <f t="shared" si="32"/>
        <v>39.794642524923233</v>
      </c>
      <c r="D465" s="42">
        <f t="shared" si="33"/>
        <v>265</v>
      </c>
      <c r="E465" s="51">
        <v>5.2210000000000001</v>
      </c>
      <c r="F465" s="42">
        <f t="shared" si="27"/>
        <v>3.9735481006948739</v>
      </c>
      <c r="G465" s="51">
        <f t="shared" si="28"/>
        <v>150</v>
      </c>
      <c r="H465" s="46">
        <f t="shared" si="29"/>
        <v>8.334454416782941E-2</v>
      </c>
      <c r="I465" s="41">
        <f t="shared" si="30"/>
        <v>0.12821060729090986</v>
      </c>
      <c r="J465" s="41">
        <f t="shared" si="31"/>
        <v>4.4866063123080446E-2</v>
      </c>
    </row>
    <row r="466" spans="1:10">
      <c r="A466" s="51">
        <f t="shared" si="34"/>
        <v>42</v>
      </c>
      <c r="B466" s="51">
        <v>20</v>
      </c>
      <c r="C466" s="42">
        <f t="shared" si="32"/>
        <v>39.839508588046314</v>
      </c>
      <c r="D466" s="42">
        <f t="shared" si="33"/>
        <v>265</v>
      </c>
      <c r="E466" s="51">
        <v>5.2210000000000001</v>
      </c>
      <c r="F466" s="42">
        <f t="shared" si="27"/>
        <v>3.9735481006948739</v>
      </c>
      <c r="G466" s="51">
        <f t="shared" si="28"/>
        <v>150</v>
      </c>
      <c r="H466" s="46">
        <f t="shared" si="29"/>
        <v>8.334454416782941E-2</v>
      </c>
      <c r="I466" s="41">
        <f t="shared" si="30"/>
        <v>0.12821060729090986</v>
      </c>
      <c r="J466" s="41">
        <f t="shared" si="31"/>
        <v>4.4866063123080446E-2</v>
      </c>
    </row>
    <row r="467" spans="1:10">
      <c r="A467" s="51">
        <f t="shared" si="34"/>
        <v>43</v>
      </c>
      <c r="B467" s="51">
        <v>20</v>
      </c>
      <c r="C467" s="42">
        <f t="shared" si="32"/>
        <v>39.884374651169395</v>
      </c>
      <c r="D467" s="42">
        <f t="shared" si="33"/>
        <v>265</v>
      </c>
      <c r="E467" s="51">
        <v>5.2210000000000001</v>
      </c>
      <c r="F467" s="42">
        <f t="shared" si="27"/>
        <v>3.9735481006948739</v>
      </c>
      <c r="G467" s="51">
        <f t="shared" si="28"/>
        <v>150</v>
      </c>
      <c r="H467" s="46">
        <f t="shared" si="29"/>
        <v>8.334454416782941E-2</v>
      </c>
      <c r="I467" s="41">
        <f t="shared" si="30"/>
        <v>0.12821060729090986</v>
      </c>
      <c r="J467" s="41">
        <f t="shared" si="31"/>
        <v>4.4866063123080446E-2</v>
      </c>
    </row>
    <row r="468" spans="1:10">
      <c r="A468" s="51">
        <f t="shared" si="34"/>
        <v>44</v>
      </c>
      <c r="B468" s="51">
        <v>20</v>
      </c>
      <c r="C468" s="42">
        <f t="shared" si="32"/>
        <v>39.929240714292476</v>
      </c>
      <c r="D468" s="42">
        <f t="shared" si="33"/>
        <v>265</v>
      </c>
      <c r="E468" s="51">
        <v>5.2210000000000001</v>
      </c>
      <c r="F468" s="42">
        <f t="shared" si="27"/>
        <v>3.9735481006948739</v>
      </c>
      <c r="G468" s="51">
        <f t="shared" si="28"/>
        <v>150</v>
      </c>
      <c r="H468" s="46">
        <f t="shared" si="29"/>
        <v>8.334454416782941E-2</v>
      </c>
      <c r="I468" s="41">
        <f t="shared" si="30"/>
        <v>0.12821060729090986</v>
      </c>
      <c r="J468" s="41">
        <f t="shared" si="31"/>
        <v>4.4866063123080446E-2</v>
      </c>
    </row>
    <row r="469" spans="1:10">
      <c r="A469" s="51">
        <f t="shared" si="34"/>
        <v>45</v>
      </c>
      <c r="B469" s="51">
        <v>20</v>
      </c>
      <c r="C469" s="42">
        <f t="shared" si="32"/>
        <v>39.974106777415557</v>
      </c>
      <c r="D469" s="42">
        <f t="shared" si="33"/>
        <v>265</v>
      </c>
      <c r="E469" s="51">
        <v>5.2210000000000001</v>
      </c>
      <c r="F469" s="42">
        <f t="shared" si="27"/>
        <v>3.9735481006948739</v>
      </c>
      <c r="G469" s="51">
        <f t="shared" si="28"/>
        <v>150</v>
      </c>
      <c r="H469" s="46">
        <f t="shared" si="29"/>
        <v>8.334454416782941E-2</v>
      </c>
      <c r="I469" s="41">
        <f t="shared" si="30"/>
        <v>0.12821060729090986</v>
      </c>
      <c r="J469" s="41">
        <f t="shared" si="31"/>
        <v>4.4866063123080446E-2</v>
      </c>
    </row>
    <row r="470" spans="1:10">
      <c r="A470" s="51">
        <f t="shared" si="34"/>
        <v>46</v>
      </c>
      <c r="B470" s="51">
        <v>20</v>
      </c>
      <c r="C470" s="42">
        <f t="shared" si="32"/>
        <v>40.018972840538638</v>
      </c>
      <c r="D470" s="42">
        <f t="shared" si="33"/>
        <v>265</v>
      </c>
      <c r="E470" s="51">
        <v>5.2210000000000001</v>
      </c>
      <c r="F470" s="42">
        <f t="shared" si="27"/>
        <v>3.9735481006948739</v>
      </c>
      <c r="G470" s="51">
        <f t="shared" si="28"/>
        <v>150</v>
      </c>
      <c r="H470" s="46">
        <f t="shared" si="29"/>
        <v>8.334454416782941E-2</v>
      </c>
      <c r="I470" s="41">
        <f t="shared" si="30"/>
        <v>0.12821060729090986</v>
      </c>
      <c r="J470" s="41">
        <f t="shared" si="31"/>
        <v>4.4866063123080446E-2</v>
      </c>
    </row>
    <row r="471" spans="1:10">
      <c r="A471" s="51">
        <f t="shared" si="34"/>
        <v>47</v>
      </c>
      <c r="B471" s="51">
        <v>20</v>
      </c>
      <c r="C471" s="42">
        <f t="shared" si="32"/>
        <v>40.063838903661718</v>
      </c>
      <c r="D471" s="42">
        <f t="shared" si="33"/>
        <v>265</v>
      </c>
      <c r="E471" s="51">
        <v>5.2210000000000001</v>
      </c>
      <c r="F471" s="42">
        <f t="shared" si="27"/>
        <v>3.9735481006948739</v>
      </c>
      <c r="G471" s="51">
        <f t="shared" si="28"/>
        <v>150</v>
      </c>
      <c r="H471" s="46">
        <f t="shared" si="29"/>
        <v>8.334454416782941E-2</v>
      </c>
      <c r="I471" s="41">
        <f t="shared" si="30"/>
        <v>0.12821060729090986</v>
      </c>
      <c r="J471" s="41">
        <f t="shared" si="31"/>
        <v>4.4866063123080446E-2</v>
      </c>
    </row>
    <row r="472" spans="1:10">
      <c r="A472" s="51">
        <f t="shared" si="34"/>
        <v>48</v>
      </c>
      <c r="B472" s="51">
        <v>20</v>
      </c>
      <c r="C472" s="42">
        <f t="shared" si="32"/>
        <v>40.108704966784799</v>
      </c>
      <c r="D472" s="42">
        <f t="shared" si="33"/>
        <v>265</v>
      </c>
      <c r="E472" s="51">
        <v>5.2210000000000001</v>
      </c>
      <c r="F472" s="42">
        <f t="shared" si="27"/>
        <v>3.9735481006948739</v>
      </c>
      <c r="G472" s="51">
        <f t="shared" si="28"/>
        <v>150</v>
      </c>
      <c r="H472" s="46">
        <f t="shared" si="29"/>
        <v>8.334454416782941E-2</v>
      </c>
      <c r="I472" s="41">
        <f t="shared" si="30"/>
        <v>0.12821060729090986</v>
      </c>
      <c r="J472" s="41">
        <f t="shared" si="31"/>
        <v>4.4866063123080446E-2</v>
      </c>
    </row>
    <row r="473" spans="1:10">
      <c r="A473" s="51">
        <f t="shared" si="34"/>
        <v>49</v>
      </c>
      <c r="B473" s="51">
        <v>20</v>
      </c>
      <c r="C473" s="42">
        <f t="shared" si="32"/>
        <v>40.15357102990788</v>
      </c>
      <c r="D473" s="42">
        <f t="shared" si="33"/>
        <v>265</v>
      </c>
      <c r="E473" s="51">
        <v>5.2210000000000001</v>
      </c>
      <c r="F473" s="42">
        <f t="shared" si="27"/>
        <v>3.9735481006948739</v>
      </c>
      <c r="G473" s="51">
        <f t="shared" si="28"/>
        <v>150</v>
      </c>
      <c r="H473" s="46">
        <f t="shared" si="29"/>
        <v>8.334454416782941E-2</v>
      </c>
      <c r="I473" s="41">
        <f t="shared" si="30"/>
        <v>0.12821060729090986</v>
      </c>
      <c r="J473" s="41">
        <f t="shared" si="31"/>
        <v>4.4866063123080446E-2</v>
      </c>
    </row>
    <row r="474" spans="1:10">
      <c r="A474" s="51">
        <f t="shared" si="34"/>
        <v>50</v>
      </c>
      <c r="B474" s="51">
        <v>20</v>
      </c>
      <c r="C474" s="42">
        <f t="shared" si="32"/>
        <v>40.198437093030961</v>
      </c>
      <c r="D474" s="42">
        <f t="shared" si="33"/>
        <v>265</v>
      </c>
      <c r="E474" s="51">
        <v>5.2210000000000001</v>
      </c>
      <c r="F474" s="42">
        <f t="shared" si="27"/>
        <v>3.9735481006948739</v>
      </c>
      <c r="G474" s="51">
        <f t="shared" si="28"/>
        <v>150</v>
      </c>
      <c r="H474" s="46">
        <f t="shared" si="29"/>
        <v>8.334454416782941E-2</v>
      </c>
      <c r="I474" s="41">
        <f t="shared" si="30"/>
        <v>0.12821060729090986</v>
      </c>
      <c r="J474" s="41">
        <f t="shared" si="31"/>
        <v>4.4866063123080446E-2</v>
      </c>
    </row>
    <row r="475" spans="1:10">
      <c r="A475" s="51">
        <f t="shared" si="34"/>
        <v>51</v>
      </c>
      <c r="B475" s="51">
        <v>20</v>
      </c>
      <c r="C475" s="42">
        <f t="shared" si="32"/>
        <v>40.243303156154042</v>
      </c>
      <c r="D475" s="42">
        <f t="shared" si="33"/>
        <v>265</v>
      </c>
      <c r="E475" s="51">
        <v>5.2210000000000001</v>
      </c>
      <c r="F475" s="42">
        <f t="shared" si="27"/>
        <v>3.9735481006948739</v>
      </c>
      <c r="G475" s="51">
        <f t="shared" si="28"/>
        <v>150</v>
      </c>
      <c r="H475" s="46">
        <f t="shared" si="29"/>
        <v>8.334454416782941E-2</v>
      </c>
      <c r="I475" s="41">
        <f t="shared" si="30"/>
        <v>0.12821060729090986</v>
      </c>
      <c r="J475" s="41">
        <f t="shared" si="31"/>
        <v>4.4866063123080446E-2</v>
      </c>
    </row>
    <row r="476" spans="1:10">
      <c r="A476" s="51">
        <f t="shared" si="34"/>
        <v>52</v>
      </c>
      <c r="B476" s="51">
        <v>20</v>
      </c>
      <c r="C476" s="42">
        <f t="shared" si="32"/>
        <v>40.288169219277123</v>
      </c>
      <c r="D476" s="42">
        <f t="shared" si="33"/>
        <v>265</v>
      </c>
      <c r="E476" s="51">
        <v>5.2210000000000001</v>
      </c>
      <c r="F476" s="42">
        <f t="shared" si="27"/>
        <v>3.9735481006948739</v>
      </c>
      <c r="G476" s="51">
        <f t="shared" si="28"/>
        <v>150</v>
      </c>
      <c r="H476" s="46">
        <f t="shared" si="29"/>
        <v>8.334454416782941E-2</v>
      </c>
      <c r="I476" s="41">
        <f t="shared" si="30"/>
        <v>0.12821060729090986</v>
      </c>
      <c r="J476" s="41">
        <f t="shared" si="31"/>
        <v>4.4866063123080446E-2</v>
      </c>
    </row>
    <row r="477" spans="1:10">
      <c r="A477" s="51">
        <f t="shared" si="34"/>
        <v>53</v>
      </c>
      <c r="B477" s="51">
        <v>20</v>
      </c>
      <c r="C477" s="42">
        <f t="shared" si="32"/>
        <v>40.333035282400203</v>
      </c>
      <c r="D477" s="42">
        <f t="shared" si="33"/>
        <v>265</v>
      </c>
      <c r="E477" s="51">
        <v>5.2210000000000001</v>
      </c>
      <c r="F477" s="42">
        <f t="shared" si="27"/>
        <v>3.9735481006948739</v>
      </c>
      <c r="G477" s="51">
        <f t="shared" si="28"/>
        <v>150</v>
      </c>
      <c r="H477" s="46">
        <f t="shared" si="29"/>
        <v>8.334454416782941E-2</v>
      </c>
      <c r="I477" s="41">
        <f t="shared" si="30"/>
        <v>0.12821060729090986</v>
      </c>
      <c r="J477" s="41">
        <f t="shared" si="31"/>
        <v>4.4866063123080446E-2</v>
      </c>
    </row>
    <row r="478" spans="1:10">
      <c r="A478" s="51">
        <f t="shared" si="34"/>
        <v>54</v>
      </c>
      <c r="B478" s="51">
        <v>20</v>
      </c>
      <c r="C478" s="42">
        <f t="shared" si="32"/>
        <v>40.377901345523284</v>
      </c>
      <c r="D478" s="42">
        <f t="shared" si="33"/>
        <v>265</v>
      </c>
      <c r="E478" s="51">
        <v>5.2210000000000001</v>
      </c>
      <c r="F478" s="42">
        <f t="shared" si="27"/>
        <v>3.9735481006948739</v>
      </c>
      <c r="G478" s="51">
        <f t="shared" si="28"/>
        <v>150</v>
      </c>
      <c r="H478" s="46">
        <f t="shared" si="29"/>
        <v>8.334454416782941E-2</v>
      </c>
      <c r="I478" s="41">
        <f t="shared" si="30"/>
        <v>0.12821060729090986</v>
      </c>
      <c r="J478" s="41">
        <f t="shared" si="31"/>
        <v>4.4866063123080446E-2</v>
      </c>
    </row>
    <row r="479" spans="1:10">
      <c r="A479" s="51">
        <f t="shared" si="34"/>
        <v>55</v>
      </c>
      <c r="B479" s="51">
        <v>20</v>
      </c>
      <c r="C479" s="42">
        <f t="shared" si="32"/>
        <v>40.422767408646365</v>
      </c>
      <c r="D479" s="42">
        <f t="shared" si="33"/>
        <v>265</v>
      </c>
      <c r="E479" s="51">
        <v>5.2210000000000001</v>
      </c>
      <c r="F479" s="42">
        <f t="shared" si="27"/>
        <v>3.9735481006948739</v>
      </c>
      <c r="G479" s="51">
        <f t="shared" si="28"/>
        <v>150</v>
      </c>
      <c r="H479" s="46">
        <f t="shared" si="29"/>
        <v>8.334454416782941E-2</v>
      </c>
      <c r="I479" s="41">
        <f t="shared" si="30"/>
        <v>0.12821060729090986</v>
      </c>
      <c r="J479" s="41">
        <f t="shared" si="31"/>
        <v>4.4866063123080446E-2</v>
      </c>
    </row>
    <row r="480" spans="1:10">
      <c r="A480" s="51">
        <f t="shared" si="34"/>
        <v>56</v>
      </c>
      <c r="B480" s="51">
        <v>20</v>
      </c>
      <c r="C480" s="42">
        <f t="shared" si="32"/>
        <v>40.467633471769446</v>
      </c>
      <c r="D480" s="42">
        <f t="shared" si="33"/>
        <v>265</v>
      </c>
      <c r="E480" s="51">
        <v>5.2210000000000001</v>
      </c>
      <c r="F480" s="42">
        <f t="shared" si="27"/>
        <v>3.9735481006948739</v>
      </c>
      <c r="G480" s="51">
        <f t="shared" si="28"/>
        <v>150</v>
      </c>
      <c r="H480" s="46">
        <f t="shared" si="29"/>
        <v>8.334454416782941E-2</v>
      </c>
      <c r="I480" s="41">
        <f t="shared" si="30"/>
        <v>0.12821060729090986</v>
      </c>
      <c r="J480" s="41">
        <f t="shared" si="31"/>
        <v>4.4866063123080446E-2</v>
      </c>
    </row>
    <row r="481" spans="1:10">
      <c r="A481" s="51">
        <f t="shared" si="34"/>
        <v>57</v>
      </c>
      <c r="B481" s="51">
        <v>20</v>
      </c>
      <c r="C481" s="42">
        <f t="shared" si="32"/>
        <v>40.512499534892527</v>
      </c>
      <c r="D481" s="42">
        <f t="shared" si="33"/>
        <v>265</v>
      </c>
      <c r="E481" s="51">
        <v>5.2210000000000001</v>
      </c>
      <c r="F481" s="42">
        <f t="shared" si="27"/>
        <v>3.9735481006948739</v>
      </c>
      <c r="G481" s="51">
        <f t="shared" si="28"/>
        <v>150</v>
      </c>
      <c r="H481" s="46">
        <f t="shared" si="29"/>
        <v>8.334454416782941E-2</v>
      </c>
      <c r="I481" s="41">
        <f t="shared" si="30"/>
        <v>0.12821060729090986</v>
      </c>
      <c r="J481" s="41">
        <f t="shared" si="31"/>
        <v>4.4866063123080446E-2</v>
      </c>
    </row>
    <row r="482" spans="1:10">
      <c r="A482" s="51">
        <f t="shared" si="34"/>
        <v>58</v>
      </c>
      <c r="B482" s="51">
        <v>20</v>
      </c>
      <c r="C482" s="42">
        <f t="shared" si="32"/>
        <v>40.557365598015608</v>
      </c>
      <c r="D482" s="42">
        <f t="shared" si="33"/>
        <v>265</v>
      </c>
      <c r="E482" s="51">
        <v>5.2210000000000001</v>
      </c>
      <c r="F482" s="42">
        <f t="shared" si="27"/>
        <v>3.9735481006948739</v>
      </c>
      <c r="G482" s="51">
        <f t="shared" si="28"/>
        <v>150</v>
      </c>
      <c r="H482" s="46">
        <f t="shared" si="29"/>
        <v>8.334454416782941E-2</v>
      </c>
      <c r="I482" s="41">
        <f t="shared" si="30"/>
        <v>0.12821060729090986</v>
      </c>
      <c r="J482" s="41">
        <f t="shared" si="31"/>
        <v>4.4866063123080446E-2</v>
      </c>
    </row>
    <row r="483" spans="1:10">
      <c r="A483" s="51">
        <f t="shared" si="34"/>
        <v>59</v>
      </c>
      <c r="B483" s="51">
        <v>20</v>
      </c>
      <c r="C483" s="42">
        <f t="shared" si="32"/>
        <v>40.602231661138688</v>
      </c>
      <c r="D483" s="42">
        <f t="shared" si="33"/>
        <v>265</v>
      </c>
      <c r="E483" s="51">
        <v>5.2210000000000001</v>
      </c>
      <c r="F483" s="42">
        <f t="shared" si="27"/>
        <v>3.9735481006948739</v>
      </c>
      <c r="G483" s="51">
        <f t="shared" si="28"/>
        <v>150</v>
      </c>
      <c r="H483" s="46">
        <f t="shared" si="29"/>
        <v>8.334454416782941E-2</v>
      </c>
      <c r="I483" s="41">
        <f t="shared" si="30"/>
        <v>0.12821060729090986</v>
      </c>
      <c r="J483" s="41">
        <f t="shared" si="31"/>
        <v>4.4866063123080446E-2</v>
      </c>
    </row>
    <row r="484" spans="1:10">
      <c r="A484" s="51">
        <f t="shared" si="34"/>
        <v>60</v>
      </c>
      <c r="B484" s="51">
        <v>20</v>
      </c>
      <c r="C484" s="42">
        <f t="shared" si="32"/>
        <v>40.647097724261769</v>
      </c>
      <c r="D484" s="42">
        <f t="shared" si="33"/>
        <v>265</v>
      </c>
      <c r="E484" s="51">
        <v>5.2210000000000001</v>
      </c>
      <c r="F484" s="42">
        <f t="shared" si="27"/>
        <v>3.9735481006948739</v>
      </c>
      <c r="G484" s="51">
        <f t="shared" si="28"/>
        <v>150</v>
      </c>
      <c r="H484" s="46">
        <f t="shared" si="29"/>
        <v>8.334454416782941E-2</v>
      </c>
      <c r="I484" s="41">
        <f t="shared" si="30"/>
        <v>0.12821060729090986</v>
      </c>
      <c r="J484" s="41">
        <f t="shared" si="31"/>
        <v>4.4866063123080446E-2</v>
      </c>
    </row>
    <row r="485" spans="1:10">
      <c r="A485" s="51">
        <f t="shared" si="34"/>
        <v>61</v>
      </c>
      <c r="B485" s="51">
        <v>20</v>
      </c>
      <c r="C485" s="42">
        <f t="shared" si="32"/>
        <v>40.69196378738485</v>
      </c>
      <c r="D485" s="42">
        <f t="shared" si="33"/>
        <v>265</v>
      </c>
      <c r="E485" s="51">
        <v>5.2210000000000001</v>
      </c>
      <c r="F485" s="42">
        <f t="shared" si="27"/>
        <v>3.9735481006948739</v>
      </c>
      <c r="G485" s="51">
        <f t="shared" si="28"/>
        <v>150</v>
      </c>
      <c r="H485" s="46">
        <f t="shared" si="29"/>
        <v>8.334454416782941E-2</v>
      </c>
      <c r="I485" s="41">
        <f t="shared" si="30"/>
        <v>0.12821060729090986</v>
      </c>
      <c r="J485" s="41">
        <f t="shared" si="31"/>
        <v>4.4866063123080446E-2</v>
      </c>
    </row>
    <row r="486" spans="1:10">
      <c r="A486" s="51">
        <f t="shared" si="34"/>
        <v>62</v>
      </c>
      <c r="B486" s="51">
        <v>20</v>
      </c>
      <c r="C486" s="42">
        <f t="shared" si="32"/>
        <v>40.736829850507931</v>
      </c>
      <c r="D486" s="42">
        <f t="shared" si="33"/>
        <v>265</v>
      </c>
      <c r="E486" s="51">
        <v>5.2210000000000001</v>
      </c>
      <c r="F486" s="42">
        <f t="shared" si="27"/>
        <v>3.9735481006948739</v>
      </c>
      <c r="G486" s="51">
        <f t="shared" si="28"/>
        <v>150</v>
      </c>
      <c r="H486" s="46">
        <f t="shared" si="29"/>
        <v>8.334454416782941E-2</v>
      </c>
      <c r="I486" s="41">
        <f t="shared" si="30"/>
        <v>0.12821060729090986</v>
      </c>
      <c r="J486" s="41">
        <f t="shared" si="31"/>
        <v>4.4866063123080446E-2</v>
      </c>
    </row>
    <row r="487" spans="1:10">
      <c r="A487" s="51">
        <f t="shared" si="34"/>
        <v>63</v>
      </c>
      <c r="B487" s="51">
        <v>20</v>
      </c>
      <c r="C487" s="42">
        <f t="shared" si="32"/>
        <v>40.781695913631012</v>
      </c>
      <c r="D487" s="42">
        <f t="shared" si="33"/>
        <v>265</v>
      </c>
      <c r="E487" s="51">
        <v>5.2210000000000001</v>
      </c>
      <c r="F487" s="42">
        <f t="shared" si="27"/>
        <v>3.9735481006948739</v>
      </c>
      <c r="G487" s="51">
        <f t="shared" si="28"/>
        <v>150</v>
      </c>
      <c r="H487" s="46">
        <f t="shared" si="29"/>
        <v>8.334454416782941E-2</v>
      </c>
      <c r="I487" s="41">
        <f t="shared" si="30"/>
        <v>0.12821060729090986</v>
      </c>
      <c r="J487" s="41">
        <f t="shared" si="31"/>
        <v>4.4866063123080446E-2</v>
      </c>
    </row>
    <row r="488" spans="1:10">
      <c r="A488" s="51">
        <f t="shared" si="34"/>
        <v>64</v>
      </c>
      <c r="B488" s="51">
        <v>20</v>
      </c>
      <c r="C488" s="42">
        <f t="shared" si="32"/>
        <v>40.826561976754093</v>
      </c>
      <c r="D488" s="42">
        <f t="shared" si="33"/>
        <v>265</v>
      </c>
      <c r="E488" s="51">
        <v>5.2210000000000001</v>
      </c>
      <c r="F488" s="42">
        <f t="shared" si="27"/>
        <v>3.9735481006948739</v>
      </c>
      <c r="G488" s="51">
        <f t="shared" si="28"/>
        <v>150</v>
      </c>
      <c r="H488" s="46">
        <f t="shared" si="29"/>
        <v>8.334454416782941E-2</v>
      </c>
      <c r="I488" s="41">
        <f t="shared" si="30"/>
        <v>0.12821060729090986</v>
      </c>
      <c r="J488" s="41">
        <f t="shared" si="31"/>
        <v>4.4866063123080446E-2</v>
      </c>
    </row>
    <row r="489" spans="1:10">
      <c r="A489" s="51">
        <f t="shared" si="34"/>
        <v>65</v>
      </c>
      <c r="B489" s="51">
        <v>20</v>
      </c>
      <c r="C489" s="42">
        <f t="shared" si="32"/>
        <v>40.871428039877173</v>
      </c>
      <c r="D489" s="42">
        <f t="shared" si="33"/>
        <v>265</v>
      </c>
      <c r="E489" s="51">
        <v>5.2210000000000001</v>
      </c>
      <c r="F489" s="42">
        <f t="shared" ref="F489:F552" si="35">(D489/448.8)/(3.14*((E489/12)^2)/4)</f>
        <v>3.9735481006948739</v>
      </c>
      <c r="G489" s="51">
        <f t="shared" ref="G489:G552" si="36">IF(E489&gt;5,$B$415,IF(5&gt;=E489&gt;1.5,$B$416,IF(1.5&gt;E489,$B$417,0)))</f>
        <v>150</v>
      </c>
      <c r="H489" s="46">
        <f t="shared" ref="H489:H552" si="37">(1050*((D489/G489)^1.852)*(B489/100)*(E489^-4.87))/2.31</f>
        <v>8.334454416782941E-2</v>
      </c>
      <c r="I489" s="41">
        <f t="shared" ref="I489:I552" si="38">B489*$B$420</f>
        <v>0.12821060729090986</v>
      </c>
      <c r="J489" s="41">
        <f t="shared" ref="J489:J552" si="39">I489-H489</f>
        <v>4.4866063123080446E-2</v>
      </c>
    </row>
    <row r="490" spans="1:10">
      <c r="A490" s="51">
        <f t="shared" si="34"/>
        <v>66</v>
      </c>
      <c r="B490" s="51">
        <v>20</v>
      </c>
      <c r="C490" s="42">
        <f t="shared" ref="C490:C553" si="40">C489+J489</f>
        <v>40.916294103000254</v>
      </c>
      <c r="D490" s="42">
        <f t="shared" ref="D490:D501" si="41">D489</f>
        <v>265</v>
      </c>
      <c r="E490" s="51">
        <v>5.2210000000000001</v>
      </c>
      <c r="F490" s="42">
        <f t="shared" si="35"/>
        <v>3.9735481006948739</v>
      </c>
      <c r="G490" s="51">
        <f t="shared" si="36"/>
        <v>150</v>
      </c>
      <c r="H490" s="46">
        <f t="shared" si="37"/>
        <v>8.334454416782941E-2</v>
      </c>
      <c r="I490" s="41">
        <f t="shared" si="38"/>
        <v>0.12821060729090986</v>
      </c>
      <c r="J490" s="41">
        <f t="shared" si="39"/>
        <v>4.4866063123080446E-2</v>
      </c>
    </row>
    <row r="491" spans="1:10">
      <c r="A491" s="51">
        <f t="shared" ref="A491:A555" si="42">A490+1</f>
        <v>67</v>
      </c>
      <c r="B491" s="51">
        <v>20</v>
      </c>
      <c r="C491" s="42">
        <f t="shared" si="40"/>
        <v>40.961160166123335</v>
      </c>
      <c r="D491" s="42">
        <f t="shared" si="41"/>
        <v>265</v>
      </c>
      <c r="E491" s="51">
        <v>5.2210000000000001</v>
      </c>
      <c r="F491" s="42">
        <f t="shared" si="35"/>
        <v>3.9735481006948739</v>
      </c>
      <c r="G491" s="51">
        <f t="shared" si="36"/>
        <v>150</v>
      </c>
      <c r="H491" s="46">
        <f t="shared" si="37"/>
        <v>8.334454416782941E-2</v>
      </c>
      <c r="I491" s="41">
        <f t="shared" si="38"/>
        <v>0.12821060729090986</v>
      </c>
      <c r="J491" s="41">
        <f t="shared" si="39"/>
        <v>4.4866063123080446E-2</v>
      </c>
    </row>
    <row r="492" spans="1:10">
      <c r="A492" s="51">
        <f t="shared" si="42"/>
        <v>68</v>
      </c>
      <c r="B492" s="51">
        <v>20</v>
      </c>
      <c r="C492" s="42">
        <f t="shared" si="40"/>
        <v>41.006026229246416</v>
      </c>
      <c r="D492" s="42">
        <f t="shared" si="41"/>
        <v>265</v>
      </c>
      <c r="E492" s="51">
        <v>5.2210000000000001</v>
      </c>
      <c r="F492" s="42">
        <f t="shared" si="35"/>
        <v>3.9735481006948739</v>
      </c>
      <c r="G492" s="51">
        <f t="shared" si="36"/>
        <v>150</v>
      </c>
      <c r="H492" s="46">
        <f t="shared" si="37"/>
        <v>8.334454416782941E-2</v>
      </c>
      <c r="I492" s="41">
        <f t="shared" si="38"/>
        <v>0.12821060729090986</v>
      </c>
      <c r="J492" s="41">
        <f t="shared" si="39"/>
        <v>4.4866063123080446E-2</v>
      </c>
    </row>
    <row r="493" spans="1:10">
      <c r="A493" s="51">
        <f t="shared" si="42"/>
        <v>69</v>
      </c>
      <c r="B493" s="51">
        <v>20</v>
      </c>
      <c r="C493" s="42">
        <f t="shared" si="40"/>
        <v>41.050892292369497</v>
      </c>
      <c r="D493" s="42">
        <f t="shared" si="41"/>
        <v>265</v>
      </c>
      <c r="E493" s="51">
        <v>5.2210000000000001</v>
      </c>
      <c r="F493" s="42">
        <f t="shared" si="35"/>
        <v>3.9735481006948739</v>
      </c>
      <c r="G493" s="51">
        <f t="shared" si="36"/>
        <v>150</v>
      </c>
      <c r="H493" s="46">
        <f t="shared" si="37"/>
        <v>8.334454416782941E-2</v>
      </c>
      <c r="I493" s="41">
        <f t="shared" si="38"/>
        <v>0.12821060729090986</v>
      </c>
      <c r="J493" s="41">
        <f t="shared" si="39"/>
        <v>4.4866063123080446E-2</v>
      </c>
    </row>
    <row r="494" spans="1:10">
      <c r="A494" s="51">
        <f t="shared" si="42"/>
        <v>70</v>
      </c>
      <c r="B494" s="51">
        <v>20</v>
      </c>
      <c r="C494" s="42">
        <f t="shared" si="40"/>
        <v>41.095758355492578</v>
      </c>
      <c r="D494" s="42">
        <f t="shared" si="41"/>
        <v>265</v>
      </c>
      <c r="E494" s="51">
        <v>5.2210000000000001</v>
      </c>
      <c r="F494" s="42">
        <f t="shared" si="35"/>
        <v>3.9735481006948739</v>
      </c>
      <c r="G494" s="51">
        <f t="shared" si="36"/>
        <v>150</v>
      </c>
      <c r="H494" s="46">
        <f t="shared" si="37"/>
        <v>8.334454416782941E-2</v>
      </c>
      <c r="I494" s="41">
        <f t="shared" si="38"/>
        <v>0.12821060729090986</v>
      </c>
      <c r="J494" s="41">
        <f t="shared" si="39"/>
        <v>4.4866063123080446E-2</v>
      </c>
    </row>
    <row r="495" spans="1:10">
      <c r="A495" s="51">
        <f t="shared" si="42"/>
        <v>71</v>
      </c>
      <c r="B495" s="51">
        <v>20</v>
      </c>
      <c r="C495" s="42">
        <f t="shared" si="40"/>
        <v>41.140624418615658</v>
      </c>
      <c r="D495" s="42">
        <f t="shared" si="41"/>
        <v>265</v>
      </c>
      <c r="E495" s="51">
        <v>5.2210000000000001</v>
      </c>
      <c r="F495" s="42">
        <f t="shared" si="35"/>
        <v>3.9735481006948739</v>
      </c>
      <c r="G495" s="51">
        <f t="shared" si="36"/>
        <v>150</v>
      </c>
      <c r="H495" s="46">
        <f t="shared" si="37"/>
        <v>8.334454416782941E-2</v>
      </c>
      <c r="I495" s="41">
        <f t="shared" si="38"/>
        <v>0.12821060729090986</v>
      </c>
      <c r="J495" s="41">
        <f t="shared" si="39"/>
        <v>4.4866063123080446E-2</v>
      </c>
    </row>
    <row r="496" spans="1:10">
      <c r="A496" s="51">
        <f t="shared" si="42"/>
        <v>72</v>
      </c>
      <c r="B496" s="51">
        <v>20</v>
      </c>
      <c r="C496" s="42">
        <f t="shared" si="40"/>
        <v>41.185490481738739</v>
      </c>
      <c r="D496" s="42">
        <f t="shared" si="41"/>
        <v>265</v>
      </c>
      <c r="E496" s="51">
        <v>5.2210000000000001</v>
      </c>
      <c r="F496" s="42">
        <f t="shared" si="35"/>
        <v>3.9735481006948739</v>
      </c>
      <c r="G496" s="51">
        <f t="shared" si="36"/>
        <v>150</v>
      </c>
      <c r="H496" s="46">
        <f t="shared" si="37"/>
        <v>8.334454416782941E-2</v>
      </c>
      <c r="I496" s="41">
        <f t="shared" si="38"/>
        <v>0.12821060729090986</v>
      </c>
      <c r="J496" s="41">
        <f t="shared" si="39"/>
        <v>4.4866063123080446E-2</v>
      </c>
    </row>
    <row r="497" spans="1:10">
      <c r="A497" s="51">
        <f t="shared" si="42"/>
        <v>73</v>
      </c>
      <c r="B497" s="51">
        <v>20</v>
      </c>
      <c r="C497" s="42">
        <f t="shared" si="40"/>
        <v>41.23035654486182</v>
      </c>
      <c r="D497" s="42">
        <f t="shared" si="41"/>
        <v>265</v>
      </c>
      <c r="E497" s="51">
        <v>5.2210000000000001</v>
      </c>
      <c r="F497" s="42">
        <f t="shared" si="35"/>
        <v>3.9735481006948739</v>
      </c>
      <c r="G497" s="51">
        <f t="shared" si="36"/>
        <v>150</v>
      </c>
      <c r="H497" s="46">
        <f t="shared" si="37"/>
        <v>8.334454416782941E-2</v>
      </c>
      <c r="I497" s="41">
        <f t="shared" si="38"/>
        <v>0.12821060729090986</v>
      </c>
      <c r="J497" s="41">
        <f t="shared" si="39"/>
        <v>4.4866063123080446E-2</v>
      </c>
    </row>
    <row r="498" spans="1:10">
      <c r="A498" s="51">
        <f t="shared" si="42"/>
        <v>74</v>
      </c>
      <c r="B498" s="51">
        <v>20</v>
      </c>
      <c r="C498" s="42">
        <f t="shared" si="40"/>
        <v>41.275222607984901</v>
      </c>
      <c r="D498" s="42">
        <f t="shared" si="41"/>
        <v>265</v>
      </c>
      <c r="E498" s="51">
        <v>5.2210000000000001</v>
      </c>
      <c r="F498" s="42">
        <f t="shared" si="35"/>
        <v>3.9735481006948739</v>
      </c>
      <c r="G498" s="51">
        <f t="shared" si="36"/>
        <v>150</v>
      </c>
      <c r="H498" s="46">
        <f t="shared" si="37"/>
        <v>8.334454416782941E-2</v>
      </c>
      <c r="I498" s="41">
        <f t="shared" si="38"/>
        <v>0.12821060729090986</v>
      </c>
      <c r="J498" s="41">
        <f t="shared" si="39"/>
        <v>4.4866063123080446E-2</v>
      </c>
    </row>
    <row r="499" spans="1:10">
      <c r="A499" s="51">
        <f t="shared" si="42"/>
        <v>75</v>
      </c>
      <c r="B499" s="51">
        <v>20</v>
      </c>
      <c r="C499" s="42">
        <f t="shared" si="40"/>
        <v>41.320088671107982</v>
      </c>
      <c r="D499" s="42">
        <f t="shared" si="41"/>
        <v>265</v>
      </c>
      <c r="E499" s="51">
        <v>5.2210000000000001</v>
      </c>
      <c r="F499" s="42">
        <f t="shared" si="35"/>
        <v>3.9735481006948739</v>
      </c>
      <c r="G499" s="51">
        <f t="shared" si="36"/>
        <v>150</v>
      </c>
      <c r="H499" s="46">
        <f t="shared" si="37"/>
        <v>8.334454416782941E-2</v>
      </c>
      <c r="I499" s="41">
        <f t="shared" si="38"/>
        <v>0.12821060729090986</v>
      </c>
      <c r="J499" s="41">
        <f t="shared" si="39"/>
        <v>4.4866063123080446E-2</v>
      </c>
    </row>
    <row r="500" spans="1:10">
      <c r="A500" s="51">
        <f t="shared" si="42"/>
        <v>76</v>
      </c>
      <c r="B500" s="51">
        <v>20</v>
      </c>
      <c r="C500" s="42">
        <f t="shared" si="40"/>
        <v>41.364954734231063</v>
      </c>
      <c r="D500" s="42">
        <f t="shared" si="41"/>
        <v>265</v>
      </c>
      <c r="E500" s="51">
        <v>5.2210000000000001</v>
      </c>
      <c r="F500" s="42">
        <f t="shared" si="35"/>
        <v>3.9735481006948739</v>
      </c>
      <c r="G500" s="51">
        <f t="shared" si="36"/>
        <v>150</v>
      </c>
      <c r="H500" s="46">
        <f t="shared" si="37"/>
        <v>8.334454416782941E-2</v>
      </c>
      <c r="I500" s="41">
        <f t="shared" si="38"/>
        <v>0.12821060729090986</v>
      </c>
      <c r="J500" s="41">
        <f t="shared" si="39"/>
        <v>4.4866063123080446E-2</v>
      </c>
    </row>
    <row r="501" spans="1:10">
      <c r="A501" s="51">
        <f t="shared" si="42"/>
        <v>77</v>
      </c>
      <c r="B501" s="51">
        <v>20</v>
      </c>
      <c r="C501" s="42">
        <f t="shared" si="40"/>
        <v>41.409820797354143</v>
      </c>
      <c r="D501" s="42">
        <f t="shared" si="41"/>
        <v>265</v>
      </c>
      <c r="E501" s="51">
        <v>5.2210000000000001</v>
      </c>
      <c r="F501" s="42">
        <f t="shared" si="35"/>
        <v>3.9735481006948739</v>
      </c>
      <c r="G501" s="51">
        <f t="shared" si="36"/>
        <v>150</v>
      </c>
      <c r="H501" s="46">
        <f t="shared" si="37"/>
        <v>8.334454416782941E-2</v>
      </c>
      <c r="I501" s="41">
        <f t="shared" si="38"/>
        <v>0.12821060729090986</v>
      </c>
      <c r="J501" s="41">
        <f t="shared" si="39"/>
        <v>4.4866063123080446E-2</v>
      </c>
    </row>
    <row r="502" spans="1:10">
      <c r="A502" s="68" t="s">
        <v>225</v>
      </c>
      <c r="B502" s="69">
        <v>18.7</v>
      </c>
      <c r="C502" s="70">
        <f t="shared" si="40"/>
        <v>41.454686860477224</v>
      </c>
      <c r="D502" s="70">
        <f>D501-'Block 5'!F22</f>
        <v>213</v>
      </c>
      <c r="E502" s="69">
        <v>5.2210000000000001</v>
      </c>
      <c r="F502" s="70">
        <f t="shared" si="35"/>
        <v>3.1938330016905967</v>
      </c>
      <c r="G502" s="69">
        <f t="shared" si="36"/>
        <v>150</v>
      </c>
      <c r="H502" s="71">
        <f t="shared" si="37"/>
        <v>5.1999175029260207E-2</v>
      </c>
      <c r="I502" s="72">
        <f t="shared" si="38"/>
        <v>0.11987691781700072</v>
      </c>
      <c r="J502" s="72">
        <f t="shared" si="39"/>
        <v>6.7877742787740503E-2</v>
      </c>
    </row>
    <row r="503" spans="1:10">
      <c r="A503" s="51">
        <f>A501+1</f>
        <v>78</v>
      </c>
      <c r="B503" s="51">
        <v>1.3</v>
      </c>
      <c r="C503" s="42">
        <f t="shared" si="40"/>
        <v>41.522564603264968</v>
      </c>
      <c r="D503" s="42">
        <f>D502</f>
        <v>213</v>
      </c>
      <c r="E503" s="51">
        <v>4.2240000000000002</v>
      </c>
      <c r="F503" s="42">
        <f t="shared" si="35"/>
        <v>4.8794601047336759</v>
      </c>
      <c r="G503" s="51">
        <f t="shared" si="36"/>
        <v>145</v>
      </c>
      <c r="H503" s="46">
        <f t="shared" si="37"/>
        <v>1.0803157743189504E-2</v>
      </c>
      <c r="I503" s="41">
        <f t="shared" si="38"/>
        <v>8.3336894739091411E-3</v>
      </c>
      <c r="J503" s="41">
        <f t="shared" si="39"/>
        <v>-2.4694682692803626E-3</v>
      </c>
    </row>
    <row r="504" spans="1:10">
      <c r="A504" s="51">
        <f t="shared" si="42"/>
        <v>79</v>
      </c>
      <c r="B504" s="51">
        <v>20</v>
      </c>
      <c r="C504" s="42">
        <f t="shared" si="40"/>
        <v>41.520095134995685</v>
      </c>
      <c r="D504" s="42">
        <f t="shared" ref="D504:D563" si="43">D503</f>
        <v>213</v>
      </c>
      <c r="E504" s="51">
        <v>4.2240000000000002</v>
      </c>
      <c r="F504" s="42">
        <f t="shared" si="35"/>
        <v>4.8794601047336759</v>
      </c>
      <c r="G504" s="51">
        <f t="shared" si="36"/>
        <v>145</v>
      </c>
      <c r="H504" s="46">
        <f t="shared" si="37"/>
        <v>0.16620242681830003</v>
      </c>
      <c r="I504" s="41">
        <f t="shared" si="38"/>
        <v>0.12821060729090986</v>
      </c>
      <c r="J504" s="41">
        <f t="shared" si="39"/>
        <v>-3.7991819527390169E-2</v>
      </c>
    </row>
    <row r="505" spans="1:10">
      <c r="A505" s="51">
        <f t="shared" si="42"/>
        <v>80</v>
      </c>
      <c r="B505" s="51">
        <v>20</v>
      </c>
      <c r="C505" s="42">
        <f t="shared" si="40"/>
        <v>41.482103315468294</v>
      </c>
      <c r="D505" s="42">
        <f t="shared" si="43"/>
        <v>213</v>
      </c>
      <c r="E505" s="51">
        <v>4.2240000000000002</v>
      </c>
      <c r="F505" s="42">
        <f t="shared" si="35"/>
        <v>4.8794601047336759</v>
      </c>
      <c r="G505" s="51">
        <f t="shared" si="36"/>
        <v>145</v>
      </c>
      <c r="H505" s="46">
        <f t="shared" si="37"/>
        <v>0.16620242681830003</v>
      </c>
      <c r="I505" s="41">
        <f t="shared" si="38"/>
        <v>0.12821060729090986</v>
      </c>
      <c r="J505" s="41">
        <f t="shared" si="39"/>
        <v>-3.7991819527390169E-2</v>
      </c>
    </row>
    <row r="506" spans="1:10">
      <c r="A506" s="51">
        <f t="shared" si="42"/>
        <v>81</v>
      </c>
      <c r="B506" s="51">
        <v>20</v>
      </c>
      <c r="C506" s="42">
        <f t="shared" si="40"/>
        <v>41.444111495940902</v>
      </c>
      <c r="D506" s="42">
        <f t="shared" si="43"/>
        <v>213</v>
      </c>
      <c r="E506" s="51">
        <v>4.2240000000000002</v>
      </c>
      <c r="F506" s="42">
        <f t="shared" si="35"/>
        <v>4.8794601047336759</v>
      </c>
      <c r="G506" s="51">
        <f t="shared" si="36"/>
        <v>145</v>
      </c>
      <c r="H506" s="46">
        <f t="shared" si="37"/>
        <v>0.16620242681830003</v>
      </c>
      <c r="I506" s="41">
        <f t="shared" si="38"/>
        <v>0.12821060729090986</v>
      </c>
      <c r="J506" s="41">
        <f t="shared" si="39"/>
        <v>-3.7991819527390169E-2</v>
      </c>
    </row>
    <row r="507" spans="1:10">
      <c r="A507" s="51">
        <f t="shared" si="42"/>
        <v>82</v>
      </c>
      <c r="B507" s="51">
        <v>20</v>
      </c>
      <c r="C507" s="42">
        <f t="shared" si="40"/>
        <v>41.40611967641351</v>
      </c>
      <c r="D507" s="42">
        <f t="shared" si="43"/>
        <v>213</v>
      </c>
      <c r="E507" s="51">
        <v>4.2240000000000002</v>
      </c>
      <c r="F507" s="42">
        <f t="shared" si="35"/>
        <v>4.8794601047336759</v>
      </c>
      <c r="G507" s="51">
        <f t="shared" si="36"/>
        <v>145</v>
      </c>
      <c r="H507" s="46">
        <f t="shared" si="37"/>
        <v>0.16620242681830003</v>
      </c>
      <c r="I507" s="41">
        <f t="shared" si="38"/>
        <v>0.12821060729090986</v>
      </c>
      <c r="J507" s="41">
        <f t="shared" si="39"/>
        <v>-3.7991819527390169E-2</v>
      </c>
    </row>
    <row r="508" spans="1:10">
      <c r="A508" s="51">
        <f t="shared" si="42"/>
        <v>83</v>
      </c>
      <c r="B508" s="51">
        <v>20</v>
      </c>
      <c r="C508" s="42">
        <f t="shared" si="40"/>
        <v>41.368127856886119</v>
      </c>
      <c r="D508" s="42">
        <f t="shared" si="43"/>
        <v>213</v>
      </c>
      <c r="E508" s="51">
        <v>4.2240000000000002</v>
      </c>
      <c r="F508" s="42">
        <f t="shared" si="35"/>
        <v>4.8794601047336759</v>
      </c>
      <c r="G508" s="51">
        <f t="shared" si="36"/>
        <v>145</v>
      </c>
      <c r="H508" s="46">
        <f t="shared" si="37"/>
        <v>0.16620242681830003</v>
      </c>
      <c r="I508" s="41">
        <f t="shared" si="38"/>
        <v>0.12821060729090986</v>
      </c>
      <c r="J508" s="41">
        <f t="shared" si="39"/>
        <v>-3.7991819527390169E-2</v>
      </c>
    </row>
    <row r="509" spans="1:10">
      <c r="A509" s="51">
        <f t="shared" si="42"/>
        <v>84</v>
      </c>
      <c r="B509" s="51">
        <v>20</v>
      </c>
      <c r="C509" s="42">
        <f t="shared" si="40"/>
        <v>41.330136037358727</v>
      </c>
      <c r="D509" s="42">
        <f t="shared" si="43"/>
        <v>213</v>
      </c>
      <c r="E509" s="51">
        <v>4.2240000000000002</v>
      </c>
      <c r="F509" s="42">
        <f t="shared" si="35"/>
        <v>4.8794601047336759</v>
      </c>
      <c r="G509" s="51">
        <f t="shared" si="36"/>
        <v>145</v>
      </c>
      <c r="H509" s="46">
        <f t="shared" si="37"/>
        <v>0.16620242681830003</v>
      </c>
      <c r="I509" s="41">
        <f t="shared" si="38"/>
        <v>0.12821060729090986</v>
      </c>
      <c r="J509" s="41">
        <f t="shared" si="39"/>
        <v>-3.7991819527390169E-2</v>
      </c>
    </row>
    <row r="510" spans="1:10">
      <c r="A510" s="51">
        <f t="shared" si="42"/>
        <v>85</v>
      </c>
      <c r="B510" s="51">
        <v>20</v>
      </c>
      <c r="C510" s="42">
        <f t="shared" si="40"/>
        <v>41.292144217831336</v>
      </c>
      <c r="D510" s="42">
        <f t="shared" si="43"/>
        <v>213</v>
      </c>
      <c r="E510" s="51">
        <v>4.2240000000000002</v>
      </c>
      <c r="F510" s="42">
        <f t="shared" si="35"/>
        <v>4.8794601047336759</v>
      </c>
      <c r="G510" s="51">
        <f t="shared" si="36"/>
        <v>145</v>
      </c>
      <c r="H510" s="46">
        <f t="shared" si="37"/>
        <v>0.16620242681830003</v>
      </c>
      <c r="I510" s="41">
        <f t="shared" si="38"/>
        <v>0.12821060729090986</v>
      </c>
      <c r="J510" s="41">
        <f t="shared" si="39"/>
        <v>-3.7991819527390169E-2</v>
      </c>
    </row>
    <row r="511" spans="1:10">
      <c r="A511" s="51">
        <f t="shared" si="42"/>
        <v>86</v>
      </c>
      <c r="B511" s="51">
        <v>20</v>
      </c>
      <c r="C511" s="42">
        <f t="shared" si="40"/>
        <v>41.254152398303944</v>
      </c>
      <c r="D511" s="42">
        <f t="shared" si="43"/>
        <v>213</v>
      </c>
      <c r="E511" s="51">
        <v>4.2240000000000002</v>
      </c>
      <c r="F511" s="42">
        <f t="shared" si="35"/>
        <v>4.8794601047336759</v>
      </c>
      <c r="G511" s="51">
        <f t="shared" si="36"/>
        <v>145</v>
      </c>
      <c r="H511" s="46">
        <f t="shared" si="37"/>
        <v>0.16620242681830003</v>
      </c>
      <c r="I511" s="41">
        <f t="shared" si="38"/>
        <v>0.12821060729090986</v>
      </c>
      <c r="J511" s="41">
        <f t="shared" si="39"/>
        <v>-3.7991819527390169E-2</v>
      </c>
    </row>
    <row r="512" spans="1:10">
      <c r="A512" s="51">
        <f t="shared" si="42"/>
        <v>87</v>
      </c>
      <c r="B512" s="51">
        <v>20</v>
      </c>
      <c r="C512" s="42">
        <f t="shared" si="40"/>
        <v>41.216160578776552</v>
      </c>
      <c r="D512" s="42">
        <f t="shared" si="43"/>
        <v>213</v>
      </c>
      <c r="E512" s="51">
        <v>4.2240000000000002</v>
      </c>
      <c r="F512" s="42">
        <f t="shared" si="35"/>
        <v>4.8794601047336759</v>
      </c>
      <c r="G512" s="51">
        <f t="shared" si="36"/>
        <v>145</v>
      </c>
      <c r="H512" s="46">
        <f t="shared" si="37"/>
        <v>0.16620242681830003</v>
      </c>
      <c r="I512" s="41">
        <f t="shared" si="38"/>
        <v>0.12821060729090986</v>
      </c>
      <c r="J512" s="41">
        <f t="shared" si="39"/>
        <v>-3.7991819527390169E-2</v>
      </c>
    </row>
    <row r="513" spans="1:10">
      <c r="A513" s="51">
        <f t="shared" si="42"/>
        <v>88</v>
      </c>
      <c r="B513" s="51">
        <v>20</v>
      </c>
      <c r="C513" s="42">
        <f t="shared" si="40"/>
        <v>41.178168759249161</v>
      </c>
      <c r="D513" s="42">
        <f t="shared" si="43"/>
        <v>213</v>
      </c>
      <c r="E513" s="51">
        <v>4.2240000000000002</v>
      </c>
      <c r="F513" s="42">
        <f t="shared" si="35"/>
        <v>4.8794601047336759</v>
      </c>
      <c r="G513" s="51">
        <f t="shared" si="36"/>
        <v>145</v>
      </c>
      <c r="H513" s="46">
        <f t="shared" si="37"/>
        <v>0.16620242681830003</v>
      </c>
      <c r="I513" s="41">
        <f t="shared" si="38"/>
        <v>0.12821060729090986</v>
      </c>
      <c r="J513" s="41">
        <f t="shared" si="39"/>
        <v>-3.7991819527390169E-2</v>
      </c>
    </row>
    <row r="514" spans="1:10">
      <c r="A514" s="51">
        <f t="shared" si="42"/>
        <v>89</v>
      </c>
      <c r="B514" s="51">
        <v>20</v>
      </c>
      <c r="C514" s="42">
        <f t="shared" si="40"/>
        <v>41.140176939721769</v>
      </c>
      <c r="D514" s="42">
        <f t="shared" si="43"/>
        <v>213</v>
      </c>
      <c r="E514" s="51">
        <v>4.2240000000000002</v>
      </c>
      <c r="F514" s="42">
        <f t="shared" si="35"/>
        <v>4.8794601047336759</v>
      </c>
      <c r="G514" s="51">
        <f t="shared" si="36"/>
        <v>145</v>
      </c>
      <c r="H514" s="46">
        <f t="shared" si="37"/>
        <v>0.16620242681830003</v>
      </c>
      <c r="I514" s="41">
        <f t="shared" si="38"/>
        <v>0.12821060729090986</v>
      </c>
      <c r="J514" s="41">
        <f t="shared" si="39"/>
        <v>-3.7991819527390169E-2</v>
      </c>
    </row>
    <row r="515" spans="1:10">
      <c r="A515" s="51">
        <f t="shared" si="42"/>
        <v>90</v>
      </c>
      <c r="B515" s="51">
        <v>20</v>
      </c>
      <c r="C515" s="42">
        <f t="shared" si="40"/>
        <v>41.102185120194378</v>
      </c>
      <c r="D515" s="42">
        <f t="shared" si="43"/>
        <v>213</v>
      </c>
      <c r="E515" s="51">
        <v>4.2240000000000002</v>
      </c>
      <c r="F515" s="42">
        <f t="shared" si="35"/>
        <v>4.8794601047336759</v>
      </c>
      <c r="G515" s="51">
        <f t="shared" si="36"/>
        <v>145</v>
      </c>
      <c r="H515" s="46">
        <f t="shared" si="37"/>
        <v>0.16620242681830003</v>
      </c>
      <c r="I515" s="41">
        <f t="shared" si="38"/>
        <v>0.12821060729090986</v>
      </c>
      <c r="J515" s="41">
        <f t="shared" si="39"/>
        <v>-3.7991819527390169E-2</v>
      </c>
    </row>
    <row r="516" spans="1:10">
      <c r="A516" s="51">
        <f t="shared" si="42"/>
        <v>91</v>
      </c>
      <c r="B516" s="51">
        <v>20</v>
      </c>
      <c r="C516" s="42">
        <f t="shared" si="40"/>
        <v>41.064193300666986</v>
      </c>
      <c r="D516" s="42">
        <f t="shared" si="43"/>
        <v>213</v>
      </c>
      <c r="E516" s="51">
        <v>4.2240000000000002</v>
      </c>
      <c r="F516" s="42">
        <f t="shared" si="35"/>
        <v>4.8794601047336759</v>
      </c>
      <c r="G516" s="51">
        <f t="shared" si="36"/>
        <v>145</v>
      </c>
      <c r="H516" s="46">
        <f t="shared" si="37"/>
        <v>0.16620242681830003</v>
      </c>
      <c r="I516" s="41">
        <f t="shared" si="38"/>
        <v>0.12821060729090986</v>
      </c>
      <c r="J516" s="41">
        <f t="shared" si="39"/>
        <v>-3.7991819527390169E-2</v>
      </c>
    </row>
    <row r="517" spans="1:10">
      <c r="A517" s="51">
        <f t="shared" si="42"/>
        <v>92</v>
      </c>
      <c r="B517" s="51">
        <v>20</v>
      </c>
      <c r="C517" s="42">
        <f t="shared" si="40"/>
        <v>41.026201481139594</v>
      </c>
      <c r="D517" s="42">
        <f t="shared" si="43"/>
        <v>213</v>
      </c>
      <c r="E517" s="51">
        <v>4.2240000000000002</v>
      </c>
      <c r="F517" s="42">
        <f t="shared" si="35"/>
        <v>4.8794601047336759</v>
      </c>
      <c r="G517" s="51">
        <f t="shared" si="36"/>
        <v>145</v>
      </c>
      <c r="H517" s="46">
        <f t="shared" si="37"/>
        <v>0.16620242681830003</v>
      </c>
      <c r="I517" s="41">
        <f t="shared" si="38"/>
        <v>0.12821060729090986</v>
      </c>
      <c r="J517" s="41">
        <f t="shared" si="39"/>
        <v>-3.7991819527390169E-2</v>
      </c>
    </row>
    <row r="518" spans="1:10">
      <c r="A518" s="51">
        <f t="shared" si="42"/>
        <v>93</v>
      </c>
      <c r="B518" s="51">
        <v>20</v>
      </c>
      <c r="C518" s="42">
        <f t="shared" si="40"/>
        <v>40.988209661612203</v>
      </c>
      <c r="D518" s="42">
        <f t="shared" si="43"/>
        <v>213</v>
      </c>
      <c r="E518" s="51">
        <v>4.2240000000000002</v>
      </c>
      <c r="F518" s="42">
        <f t="shared" si="35"/>
        <v>4.8794601047336759</v>
      </c>
      <c r="G518" s="51">
        <f t="shared" si="36"/>
        <v>145</v>
      </c>
      <c r="H518" s="46">
        <f t="shared" si="37"/>
        <v>0.16620242681830003</v>
      </c>
      <c r="I518" s="41">
        <f t="shared" si="38"/>
        <v>0.12821060729090986</v>
      </c>
      <c r="J518" s="41">
        <f t="shared" si="39"/>
        <v>-3.7991819527390169E-2</v>
      </c>
    </row>
    <row r="519" spans="1:10">
      <c r="A519" s="51">
        <f t="shared" si="42"/>
        <v>94</v>
      </c>
      <c r="B519" s="51">
        <v>20</v>
      </c>
      <c r="C519" s="42">
        <f t="shared" si="40"/>
        <v>40.950217842084811</v>
      </c>
      <c r="D519" s="42">
        <f t="shared" si="43"/>
        <v>213</v>
      </c>
      <c r="E519" s="51">
        <v>4.2240000000000002</v>
      </c>
      <c r="F519" s="42">
        <f t="shared" si="35"/>
        <v>4.8794601047336759</v>
      </c>
      <c r="G519" s="51">
        <f t="shared" si="36"/>
        <v>145</v>
      </c>
      <c r="H519" s="46">
        <f t="shared" si="37"/>
        <v>0.16620242681830003</v>
      </c>
      <c r="I519" s="41">
        <f t="shared" si="38"/>
        <v>0.12821060729090986</v>
      </c>
      <c r="J519" s="41">
        <f t="shared" si="39"/>
        <v>-3.7991819527390169E-2</v>
      </c>
    </row>
    <row r="520" spans="1:10">
      <c r="A520" s="51">
        <f t="shared" si="42"/>
        <v>95</v>
      </c>
      <c r="B520" s="51">
        <v>20</v>
      </c>
      <c r="C520" s="42">
        <f t="shared" si="40"/>
        <v>40.912226022557419</v>
      </c>
      <c r="D520" s="42">
        <f t="shared" si="43"/>
        <v>213</v>
      </c>
      <c r="E520" s="51">
        <v>4.2240000000000002</v>
      </c>
      <c r="F520" s="42">
        <f t="shared" si="35"/>
        <v>4.8794601047336759</v>
      </c>
      <c r="G520" s="51">
        <f t="shared" si="36"/>
        <v>145</v>
      </c>
      <c r="H520" s="46">
        <f t="shared" si="37"/>
        <v>0.16620242681830003</v>
      </c>
      <c r="I520" s="41">
        <f t="shared" si="38"/>
        <v>0.12821060729090986</v>
      </c>
      <c r="J520" s="41">
        <f t="shared" si="39"/>
        <v>-3.7991819527390169E-2</v>
      </c>
    </row>
    <row r="521" spans="1:10">
      <c r="A521" s="51">
        <f t="shared" si="42"/>
        <v>96</v>
      </c>
      <c r="B521" s="51">
        <v>20</v>
      </c>
      <c r="C521" s="42">
        <f t="shared" si="40"/>
        <v>40.874234203030028</v>
      </c>
      <c r="D521" s="42">
        <f t="shared" si="43"/>
        <v>213</v>
      </c>
      <c r="E521" s="51">
        <v>4.2240000000000002</v>
      </c>
      <c r="F521" s="42">
        <f t="shared" si="35"/>
        <v>4.8794601047336759</v>
      </c>
      <c r="G521" s="51">
        <f t="shared" si="36"/>
        <v>145</v>
      </c>
      <c r="H521" s="46">
        <f t="shared" si="37"/>
        <v>0.16620242681830003</v>
      </c>
      <c r="I521" s="41">
        <f t="shared" si="38"/>
        <v>0.12821060729090986</v>
      </c>
      <c r="J521" s="41">
        <f t="shared" si="39"/>
        <v>-3.7991819527390169E-2</v>
      </c>
    </row>
    <row r="522" spans="1:10">
      <c r="A522" s="51">
        <f t="shared" si="42"/>
        <v>97</v>
      </c>
      <c r="B522" s="51">
        <v>20</v>
      </c>
      <c r="C522" s="42">
        <f t="shared" si="40"/>
        <v>40.836242383502636</v>
      </c>
      <c r="D522" s="42">
        <f t="shared" si="43"/>
        <v>213</v>
      </c>
      <c r="E522" s="51">
        <v>4.2240000000000002</v>
      </c>
      <c r="F522" s="42">
        <f t="shared" si="35"/>
        <v>4.8794601047336759</v>
      </c>
      <c r="G522" s="51">
        <f t="shared" si="36"/>
        <v>145</v>
      </c>
      <c r="H522" s="46">
        <f t="shared" si="37"/>
        <v>0.16620242681830003</v>
      </c>
      <c r="I522" s="41">
        <f t="shared" si="38"/>
        <v>0.12821060729090986</v>
      </c>
      <c r="J522" s="41">
        <f t="shared" si="39"/>
        <v>-3.7991819527390169E-2</v>
      </c>
    </row>
    <row r="523" spans="1:10">
      <c r="A523" s="51">
        <f t="shared" si="42"/>
        <v>98</v>
      </c>
      <c r="B523" s="51">
        <v>20</v>
      </c>
      <c r="C523" s="42">
        <f t="shared" si="40"/>
        <v>40.798250563975245</v>
      </c>
      <c r="D523" s="42">
        <f t="shared" si="43"/>
        <v>213</v>
      </c>
      <c r="E523" s="51">
        <v>4.2240000000000002</v>
      </c>
      <c r="F523" s="42">
        <f t="shared" si="35"/>
        <v>4.8794601047336759</v>
      </c>
      <c r="G523" s="51">
        <f t="shared" si="36"/>
        <v>145</v>
      </c>
      <c r="H523" s="46">
        <f t="shared" si="37"/>
        <v>0.16620242681830003</v>
      </c>
      <c r="I523" s="41">
        <f t="shared" si="38"/>
        <v>0.12821060729090986</v>
      </c>
      <c r="J523" s="41">
        <f t="shared" si="39"/>
        <v>-3.7991819527390169E-2</v>
      </c>
    </row>
    <row r="524" spans="1:10">
      <c r="A524" s="51">
        <f t="shared" si="42"/>
        <v>99</v>
      </c>
      <c r="B524" s="51">
        <v>20</v>
      </c>
      <c r="C524" s="42">
        <f t="shared" si="40"/>
        <v>40.760258744447853</v>
      </c>
      <c r="D524" s="42">
        <f t="shared" si="43"/>
        <v>213</v>
      </c>
      <c r="E524" s="51">
        <v>4.2240000000000002</v>
      </c>
      <c r="F524" s="42">
        <f t="shared" si="35"/>
        <v>4.8794601047336759</v>
      </c>
      <c r="G524" s="51">
        <f t="shared" si="36"/>
        <v>145</v>
      </c>
      <c r="H524" s="46">
        <f t="shared" si="37"/>
        <v>0.16620242681830003</v>
      </c>
      <c r="I524" s="41">
        <f t="shared" si="38"/>
        <v>0.12821060729090986</v>
      </c>
      <c r="J524" s="41">
        <f t="shared" si="39"/>
        <v>-3.7991819527390169E-2</v>
      </c>
    </row>
    <row r="525" spans="1:10">
      <c r="A525" s="51">
        <f t="shared" si="42"/>
        <v>100</v>
      </c>
      <c r="B525" s="51">
        <v>20</v>
      </c>
      <c r="C525" s="42">
        <f t="shared" si="40"/>
        <v>40.722266924920461</v>
      </c>
      <c r="D525" s="42">
        <f t="shared" si="43"/>
        <v>213</v>
      </c>
      <c r="E525" s="51">
        <v>4.2240000000000002</v>
      </c>
      <c r="F525" s="42">
        <f t="shared" si="35"/>
        <v>4.8794601047336759</v>
      </c>
      <c r="G525" s="51">
        <f t="shared" si="36"/>
        <v>145</v>
      </c>
      <c r="H525" s="46">
        <f t="shared" si="37"/>
        <v>0.16620242681830003</v>
      </c>
      <c r="I525" s="41">
        <f t="shared" si="38"/>
        <v>0.12821060729090986</v>
      </c>
      <c r="J525" s="41">
        <f t="shared" si="39"/>
        <v>-3.7991819527390169E-2</v>
      </c>
    </row>
    <row r="526" spans="1:10">
      <c r="A526" s="51">
        <f t="shared" si="42"/>
        <v>101</v>
      </c>
      <c r="B526" s="51">
        <v>20</v>
      </c>
      <c r="C526" s="42">
        <f t="shared" si="40"/>
        <v>40.68427510539307</v>
      </c>
      <c r="D526" s="42">
        <f t="shared" si="43"/>
        <v>213</v>
      </c>
      <c r="E526" s="51">
        <v>4.2240000000000002</v>
      </c>
      <c r="F526" s="42">
        <f t="shared" si="35"/>
        <v>4.8794601047336759</v>
      </c>
      <c r="G526" s="51">
        <f t="shared" si="36"/>
        <v>145</v>
      </c>
      <c r="H526" s="46">
        <f t="shared" si="37"/>
        <v>0.16620242681830003</v>
      </c>
      <c r="I526" s="41">
        <f t="shared" si="38"/>
        <v>0.12821060729090986</v>
      </c>
      <c r="J526" s="41">
        <f t="shared" si="39"/>
        <v>-3.7991819527390169E-2</v>
      </c>
    </row>
    <row r="527" spans="1:10">
      <c r="A527" s="51">
        <f t="shared" si="42"/>
        <v>102</v>
      </c>
      <c r="B527" s="51">
        <v>20</v>
      </c>
      <c r="C527" s="42">
        <f t="shared" si="40"/>
        <v>40.646283285865678</v>
      </c>
      <c r="D527" s="42">
        <f t="shared" si="43"/>
        <v>213</v>
      </c>
      <c r="E527" s="51">
        <v>4.2240000000000002</v>
      </c>
      <c r="F527" s="42">
        <f t="shared" si="35"/>
        <v>4.8794601047336759</v>
      </c>
      <c r="G527" s="51">
        <f t="shared" si="36"/>
        <v>145</v>
      </c>
      <c r="H527" s="46">
        <f t="shared" si="37"/>
        <v>0.16620242681830003</v>
      </c>
      <c r="I527" s="41">
        <f t="shared" si="38"/>
        <v>0.12821060729090986</v>
      </c>
      <c r="J527" s="41">
        <f t="shared" si="39"/>
        <v>-3.7991819527390169E-2</v>
      </c>
    </row>
    <row r="528" spans="1:10">
      <c r="A528" s="51">
        <f t="shared" si="42"/>
        <v>103</v>
      </c>
      <c r="B528" s="51">
        <v>20</v>
      </c>
      <c r="C528" s="42">
        <f t="shared" si="40"/>
        <v>40.608291466338287</v>
      </c>
      <c r="D528" s="42">
        <f t="shared" si="43"/>
        <v>213</v>
      </c>
      <c r="E528" s="51">
        <v>4.2240000000000002</v>
      </c>
      <c r="F528" s="42">
        <f t="shared" si="35"/>
        <v>4.8794601047336759</v>
      </c>
      <c r="G528" s="51">
        <f t="shared" si="36"/>
        <v>145</v>
      </c>
      <c r="H528" s="46">
        <f t="shared" si="37"/>
        <v>0.16620242681830003</v>
      </c>
      <c r="I528" s="41">
        <f t="shared" si="38"/>
        <v>0.12821060729090986</v>
      </c>
      <c r="J528" s="41">
        <f t="shared" si="39"/>
        <v>-3.7991819527390169E-2</v>
      </c>
    </row>
    <row r="529" spans="1:10">
      <c r="A529" s="51">
        <f t="shared" si="42"/>
        <v>104</v>
      </c>
      <c r="B529" s="51">
        <v>20</v>
      </c>
      <c r="C529" s="42">
        <f t="shared" si="40"/>
        <v>40.570299646810895</v>
      </c>
      <c r="D529" s="42">
        <f t="shared" si="43"/>
        <v>213</v>
      </c>
      <c r="E529" s="51">
        <v>4.2240000000000002</v>
      </c>
      <c r="F529" s="42">
        <f t="shared" si="35"/>
        <v>4.8794601047336759</v>
      </c>
      <c r="G529" s="51">
        <f t="shared" si="36"/>
        <v>145</v>
      </c>
      <c r="H529" s="46">
        <f t="shared" si="37"/>
        <v>0.16620242681830003</v>
      </c>
      <c r="I529" s="41">
        <f t="shared" si="38"/>
        <v>0.12821060729090986</v>
      </c>
      <c r="J529" s="41">
        <f t="shared" si="39"/>
        <v>-3.7991819527390169E-2</v>
      </c>
    </row>
    <row r="530" spans="1:10">
      <c r="A530" s="51">
        <f t="shared" si="42"/>
        <v>105</v>
      </c>
      <c r="B530" s="51">
        <v>20</v>
      </c>
      <c r="C530" s="42">
        <f t="shared" si="40"/>
        <v>40.532307827283503</v>
      </c>
      <c r="D530" s="42">
        <f t="shared" si="43"/>
        <v>213</v>
      </c>
      <c r="E530" s="51">
        <v>4.2240000000000002</v>
      </c>
      <c r="F530" s="42">
        <f t="shared" si="35"/>
        <v>4.8794601047336759</v>
      </c>
      <c r="G530" s="51">
        <f t="shared" si="36"/>
        <v>145</v>
      </c>
      <c r="H530" s="46">
        <f t="shared" si="37"/>
        <v>0.16620242681830003</v>
      </c>
      <c r="I530" s="41">
        <f t="shared" si="38"/>
        <v>0.12821060729090986</v>
      </c>
      <c r="J530" s="41">
        <f t="shared" si="39"/>
        <v>-3.7991819527390169E-2</v>
      </c>
    </row>
    <row r="531" spans="1:10">
      <c r="A531" s="51">
        <f t="shared" si="42"/>
        <v>106</v>
      </c>
      <c r="B531" s="51">
        <v>20</v>
      </c>
      <c r="C531" s="42">
        <f t="shared" si="40"/>
        <v>40.494316007756112</v>
      </c>
      <c r="D531" s="42">
        <f t="shared" si="43"/>
        <v>213</v>
      </c>
      <c r="E531" s="51">
        <v>4.2240000000000002</v>
      </c>
      <c r="F531" s="42">
        <f t="shared" si="35"/>
        <v>4.8794601047336759</v>
      </c>
      <c r="G531" s="51">
        <f t="shared" si="36"/>
        <v>145</v>
      </c>
      <c r="H531" s="46">
        <f t="shared" si="37"/>
        <v>0.16620242681830003</v>
      </c>
      <c r="I531" s="41">
        <f t="shared" si="38"/>
        <v>0.12821060729090986</v>
      </c>
      <c r="J531" s="41">
        <f t="shared" si="39"/>
        <v>-3.7991819527390169E-2</v>
      </c>
    </row>
    <row r="532" spans="1:10">
      <c r="A532" s="51">
        <f t="shared" si="42"/>
        <v>107</v>
      </c>
      <c r="B532" s="51">
        <v>20</v>
      </c>
      <c r="C532" s="42">
        <f t="shared" si="40"/>
        <v>40.45632418822872</v>
      </c>
      <c r="D532" s="42">
        <f t="shared" si="43"/>
        <v>213</v>
      </c>
      <c r="E532" s="51">
        <v>4.2240000000000002</v>
      </c>
      <c r="F532" s="42">
        <f t="shared" si="35"/>
        <v>4.8794601047336759</v>
      </c>
      <c r="G532" s="51">
        <f t="shared" si="36"/>
        <v>145</v>
      </c>
      <c r="H532" s="46">
        <f t="shared" si="37"/>
        <v>0.16620242681830003</v>
      </c>
      <c r="I532" s="41">
        <f t="shared" si="38"/>
        <v>0.12821060729090986</v>
      </c>
      <c r="J532" s="41">
        <f t="shared" si="39"/>
        <v>-3.7991819527390169E-2</v>
      </c>
    </row>
    <row r="533" spans="1:10">
      <c r="A533" s="51">
        <f t="shared" si="42"/>
        <v>108</v>
      </c>
      <c r="B533" s="51">
        <v>20</v>
      </c>
      <c r="C533" s="42">
        <f t="shared" si="40"/>
        <v>40.418332368701329</v>
      </c>
      <c r="D533" s="42">
        <f t="shared" si="43"/>
        <v>213</v>
      </c>
      <c r="E533" s="51">
        <v>4.2240000000000002</v>
      </c>
      <c r="F533" s="42">
        <f t="shared" si="35"/>
        <v>4.8794601047336759</v>
      </c>
      <c r="G533" s="51">
        <f t="shared" si="36"/>
        <v>145</v>
      </c>
      <c r="H533" s="46">
        <f t="shared" si="37"/>
        <v>0.16620242681830003</v>
      </c>
      <c r="I533" s="41">
        <f t="shared" si="38"/>
        <v>0.12821060729090986</v>
      </c>
      <c r="J533" s="41">
        <f t="shared" si="39"/>
        <v>-3.7991819527390169E-2</v>
      </c>
    </row>
    <row r="534" spans="1:10">
      <c r="A534" s="51">
        <f t="shared" si="42"/>
        <v>109</v>
      </c>
      <c r="B534" s="51">
        <v>20</v>
      </c>
      <c r="C534" s="42">
        <f t="shared" si="40"/>
        <v>40.380340549173937</v>
      </c>
      <c r="D534" s="42">
        <f t="shared" si="43"/>
        <v>213</v>
      </c>
      <c r="E534" s="51">
        <v>4.2240000000000002</v>
      </c>
      <c r="F534" s="42">
        <f t="shared" si="35"/>
        <v>4.8794601047336759</v>
      </c>
      <c r="G534" s="51">
        <f t="shared" si="36"/>
        <v>145</v>
      </c>
      <c r="H534" s="46">
        <f t="shared" si="37"/>
        <v>0.16620242681830003</v>
      </c>
      <c r="I534" s="41">
        <f t="shared" si="38"/>
        <v>0.12821060729090986</v>
      </c>
      <c r="J534" s="41">
        <f t="shared" si="39"/>
        <v>-3.7991819527390169E-2</v>
      </c>
    </row>
    <row r="535" spans="1:10">
      <c r="A535" s="51">
        <f t="shared" si="42"/>
        <v>110</v>
      </c>
      <c r="B535" s="51">
        <v>20</v>
      </c>
      <c r="C535" s="42">
        <f t="shared" si="40"/>
        <v>40.342348729646545</v>
      </c>
      <c r="D535" s="42">
        <f t="shared" si="43"/>
        <v>213</v>
      </c>
      <c r="E535" s="51">
        <v>4.2240000000000002</v>
      </c>
      <c r="F535" s="42">
        <f t="shared" si="35"/>
        <v>4.8794601047336759</v>
      </c>
      <c r="G535" s="51">
        <f t="shared" si="36"/>
        <v>145</v>
      </c>
      <c r="H535" s="46">
        <f t="shared" si="37"/>
        <v>0.16620242681830003</v>
      </c>
      <c r="I535" s="41">
        <f t="shared" si="38"/>
        <v>0.12821060729090986</v>
      </c>
      <c r="J535" s="41">
        <f t="shared" si="39"/>
        <v>-3.7991819527390169E-2</v>
      </c>
    </row>
    <row r="536" spans="1:10">
      <c r="A536" s="51">
        <f t="shared" si="42"/>
        <v>111</v>
      </c>
      <c r="B536" s="51">
        <v>20</v>
      </c>
      <c r="C536" s="42">
        <f t="shared" si="40"/>
        <v>40.304356910119154</v>
      </c>
      <c r="D536" s="42">
        <f t="shared" si="43"/>
        <v>213</v>
      </c>
      <c r="E536" s="51">
        <v>4.2240000000000002</v>
      </c>
      <c r="F536" s="42">
        <f t="shared" si="35"/>
        <v>4.8794601047336759</v>
      </c>
      <c r="G536" s="51">
        <f t="shared" si="36"/>
        <v>145</v>
      </c>
      <c r="H536" s="46">
        <f t="shared" si="37"/>
        <v>0.16620242681830003</v>
      </c>
      <c r="I536" s="41">
        <f t="shared" si="38"/>
        <v>0.12821060729090986</v>
      </c>
      <c r="J536" s="41">
        <f t="shared" si="39"/>
        <v>-3.7991819527390169E-2</v>
      </c>
    </row>
    <row r="537" spans="1:10">
      <c r="A537" s="51">
        <f t="shared" si="42"/>
        <v>112</v>
      </c>
      <c r="B537" s="51">
        <v>20</v>
      </c>
      <c r="C537" s="42">
        <f t="shared" si="40"/>
        <v>40.266365090591762</v>
      </c>
      <c r="D537" s="42">
        <f t="shared" si="43"/>
        <v>213</v>
      </c>
      <c r="E537" s="51">
        <v>4.2240000000000002</v>
      </c>
      <c r="F537" s="42">
        <f t="shared" si="35"/>
        <v>4.8794601047336759</v>
      </c>
      <c r="G537" s="51">
        <f t="shared" si="36"/>
        <v>145</v>
      </c>
      <c r="H537" s="46">
        <f t="shared" si="37"/>
        <v>0.16620242681830003</v>
      </c>
      <c r="I537" s="41">
        <f t="shared" si="38"/>
        <v>0.12821060729090986</v>
      </c>
      <c r="J537" s="41">
        <f t="shared" si="39"/>
        <v>-3.7991819527390169E-2</v>
      </c>
    </row>
    <row r="538" spans="1:10">
      <c r="A538" s="51">
        <f>A537+1</f>
        <v>113</v>
      </c>
      <c r="B538" s="51">
        <v>20</v>
      </c>
      <c r="C538" s="42">
        <f t="shared" si="40"/>
        <v>40.22837327106437</v>
      </c>
      <c r="D538" s="42">
        <f t="shared" si="43"/>
        <v>213</v>
      </c>
      <c r="E538" s="51">
        <v>4.2240000000000002</v>
      </c>
      <c r="F538" s="42">
        <f t="shared" si="35"/>
        <v>4.8794601047336759</v>
      </c>
      <c r="G538" s="51">
        <f t="shared" si="36"/>
        <v>145</v>
      </c>
      <c r="H538" s="46">
        <f t="shared" si="37"/>
        <v>0.16620242681830003</v>
      </c>
      <c r="I538" s="41">
        <f t="shared" si="38"/>
        <v>0.12821060729090986</v>
      </c>
      <c r="J538" s="41">
        <f t="shared" si="39"/>
        <v>-3.7991819527390169E-2</v>
      </c>
    </row>
    <row r="539" spans="1:10">
      <c r="A539" s="51">
        <f t="shared" si="42"/>
        <v>114</v>
      </c>
      <c r="B539" s="51">
        <v>20</v>
      </c>
      <c r="C539" s="42">
        <f t="shared" si="40"/>
        <v>40.190381451536979</v>
      </c>
      <c r="D539" s="42">
        <f t="shared" si="43"/>
        <v>213</v>
      </c>
      <c r="E539" s="51">
        <v>4.2240000000000002</v>
      </c>
      <c r="F539" s="42">
        <f t="shared" si="35"/>
        <v>4.8794601047336759</v>
      </c>
      <c r="G539" s="51">
        <f t="shared" si="36"/>
        <v>145</v>
      </c>
      <c r="H539" s="46">
        <f t="shared" si="37"/>
        <v>0.16620242681830003</v>
      </c>
      <c r="I539" s="41">
        <f t="shared" si="38"/>
        <v>0.12821060729090986</v>
      </c>
      <c r="J539" s="41">
        <f t="shared" si="39"/>
        <v>-3.7991819527390169E-2</v>
      </c>
    </row>
    <row r="540" spans="1:10">
      <c r="A540" s="51">
        <f t="shared" si="42"/>
        <v>115</v>
      </c>
      <c r="B540" s="51">
        <v>20</v>
      </c>
      <c r="C540" s="42">
        <f t="shared" si="40"/>
        <v>40.152389632009587</v>
      </c>
      <c r="D540" s="42">
        <f t="shared" si="43"/>
        <v>213</v>
      </c>
      <c r="E540" s="51">
        <v>4.2240000000000002</v>
      </c>
      <c r="F540" s="42">
        <f t="shared" si="35"/>
        <v>4.8794601047336759</v>
      </c>
      <c r="G540" s="51">
        <f t="shared" si="36"/>
        <v>145</v>
      </c>
      <c r="H540" s="46">
        <f t="shared" si="37"/>
        <v>0.16620242681830003</v>
      </c>
      <c r="I540" s="41">
        <f t="shared" si="38"/>
        <v>0.12821060729090986</v>
      </c>
      <c r="J540" s="41">
        <f t="shared" si="39"/>
        <v>-3.7991819527390169E-2</v>
      </c>
    </row>
    <row r="541" spans="1:10">
      <c r="A541" s="51">
        <f t="shared" si="42"/>
        <v>116</v>
      </c>
      <c r="B541" s="51">
        <v>20</v>
      </c>
      <c r="C541" s="42">
        <f t="shared" si="40"/>
        <v>40.114397812482196</v>
      </c>
      <c r="D541" s="42">
        <f t="shared" si="43"/>
        <v>213</v>
      </c>
      <c r="E541" s="51">
        <v>4.2240000000000002</v>
      </c>
      <c r="F541" s="42">
        <f t="shared" si="35"/>
        <v>4.8794601047336759</v>
      </c>
      <c r="G541" s="51">
        <f t="shared" si="36"/>
        <v>145</v>
      </c>
      <c r="H541" s="46">
        <f t="shared" si="37"/>
        <v>0.16620242681830003</v>
      </c>
      <c r="I541" s="41">
        <f t="shared" si="38"/>
        <v>0.12821060729090986</v>
      </c>
      <c r="J541" s="41">
        <f t="shared" si="39"/>
        <v>-3.7991819527390169E-2</v>
      </c>
    </row>
    <row r="542" spans="1:10">
      <c r="A542" s="51">
        <f t="shared" si="42"/>
        <v>117</v>
      </c>
      <c r="B542" s="51">
        <v>20</v>
      </c>
      <c r="C542" s="42">
        <f t="shared" si="40"/>
        <v>40.076405992954804</v>
      </c>
      <c r="D542" s="42">
        <f t="shared" si="43"/>
        <v>213</v>
      </c>
      <c r="E542" s="51">
        <v>4.2240000000000002</v>
      </c>
      <c r="F542" s="42">
        <f t="shared" si="35"/>
        <v>4.8794601047336759</v>
      </c>
      <c r="G542" s="51">
        <f t="shared" si="36"/>
        <v>145</v>
      </c>
      <c r="H542" s="46">
        <f t="shared" si="37"/>
        <v>0.16620242681830003</v>
      </c>
      <c r="I542" s="41">
        <f t="shared" si="38"/>
        <v>0.12821060729090986</v>
      </c>
      <c r="J542" s="41">
        <f t="shared" si="39"/>
        <v>-3.7991819527390169E-2</v>
      </c>
    </row>
    <row r="543" spans="1:10">
      <c r="A543" s="51">
        <f t="shared" si="42"/>
        <v>118</v>
      </c>
      <c r="B543" s="51">
        <v>20</v>
      </c>
      <c r="C543" s="42">
        <f t="shared" si="40"/>
        <v>40.038414173427412</v>
      </c>
      <c r="D543" s="42">
        <f t="shared" si="43"/>
        <v>213</v>
      </c>
      <c r="E543" s="51">
        <v>4.2240000000000002</v>
      </c>
      <c r="F543" s="42">
        <f t="shared" si="35"/>
        <v>4.8794601047336759</v>
      </c>
      <c r="G543" s="51">
        <f t="shared" si="36"/>
        <v>145</v>
      </c>
      <c r="H543" s="46">
        <f t="shared" si="37"/>
        <v>0.16620242681830003</v>
      </c>
      <c r="I543" s="41">
        <f t="shared" si="38"/>
        <v>0.12821060729090986</v>
      </c>
      <c r="J543" s="41">
        <f t="shared" si="39"/>
        <v>-3.7991819527390169E-2</v>
      </c>
    </row>
    <row r="544" spans="1:10">
      <c r="A544" s="51">
        <f t="shared" si="42"/>
        <v>119</v>
      </c>
      <c r="B544" s="51">
        <v>20</v>
      </c>
      <c r="C544" s="42">
        <f t="shared" si="40"/>
        <v>40.000422353900021</v>
      </c>
      <c r="D544" s="42">
        <f t="shared" si="43"/>
        <v>213</v>
      </c>
      <c r="E544" s="51">
        <v>4.2240000000000002</v>
      </c>
      <c r="F544" s="42">
        <f t="shared" si="35"/>
        <v>4.8794601047336759</v>
      </c>
      <c r="G544" s="51">
        <f t="shared" si="36"/>
        <v>145</v>
      </c>
      <c r="H544" s="46">
        <f t="shared" si="37"/>
        <v>0.16620242681830003</v>
      </c>
      <c r="I544" s="41">
        <f t="shared" si="38"/>
        <v>0.12821060729090986</v>
      </c>
      <c r="J544" s="41">
        <f t="shared" si="39"/>
        <v>-3.7991819527390169E-2</v>
      </c>
    </row>
    <row r="545" spans="1:10">
      <c r="A545" s="51">
        <f t="shared" si="42"/>
        <v>120</v>
      </c>
      <c r="B545" s="51">
        <v>20</v>
      </c>
      <c r="C545" s="42">
        <f t="shared" si="40"/>
        <v>39.962430534372629</v>
      </c>
      <c r="D545" s="42">
        <f t="shared" si="43"/>
        <v>213</v>
      </c>
      <c r="E545" s="51">
        <v>4.2240000000000002</v>
      </c>
      <c r="F545" s="42">
        <f t="shared" si="35"/>
        <v>4.8794601047336759</v>
      </c>
      <c r="G545" s="51">
        <f t="shared" si="36"/>
        <v>145</v>
      </c>
      <c r="H545" s="46">
        <f t="shared" si="37"/>
        <v>0.16620242681830003</v>
      </c>
      <c r="I545" s="41">
        <f t="shared" si="38"/>
        <v>0.12821060729090986</v>
      </c>
      <c r="J545" s="41">
        <f t="shared" si="39"/>
        <v>-3.7991819527390169E-2</v>
      </c>
    </row>
    <row r="546" spans="1:10">
      <c r="A546" s="51">
        <f t="shared" si="42"/>
        <v>121</v>
      </c>
      <c r="B546" s="51">
        <v>20</v>
      </c>
      <c r="C546" s="42">
        <f t="shared" si="40"/>
        <v>39.924438714845238</v>
      </c>
      <c r="D546" s="42">
        <f t="shared" si="43"/>
        <v>213</v>
      </c>
      <c r="E546" s="51">
        <v>4.2240000000000002</v>
      </c>
      <c r="F546" s="42">
        <f t="shared" si="35"/>
        <v>4.8794601047336759</v>
      </c>
      <c r="G546" s="51">
        <f t="shared" si="36"/>
        <v>145</v>
      </c>
      <c r="H546" s="46">
        <f t="shared" si="37"/>
        <v>0.16620242681830003</v>
      </c>
      <c r="I546" s="41">
        <f t="shared" si="38"/>
        <v>0.12821060729090986</v>
      </c>
      <c r="J546" s="41">
        <f t="shared" si="39"/>
        <v>-3.7991819527390169E-2</v>
      </c>
    </row>
    <row r="547" spans="1:10">
      <c r="A547" s="51">
        <f t="shared" si="42"/>
        <v>122</v>
      </c>
      <c r="B547" s="51">
        <v>20</v>
      </c>
      <c r="C547" s="42">
        <f t="shared" si="40"/>
        <v>39.886446895317846</v>
      </c>
      <c r="D547" s="42">
        <f t="shared" si="43"/>
        <v>213</v>
      </c>
      <c r="E547" s="51">
        <v>4.2240000000000002</v>
      </c>
      <c r="F547" s="42">
        <f t="shared" si="35"/>
        <v>4.8794601047336759</v>
      </c>
      <c r="G547" s="51">
        <f t="shared" si="36"/>
        <v>145</v>
      </c>
      <c r="H547" s="46">
        <f t="shared" si="37"/>
        <v>0.16620242681830003</v>
      </c>
      <c r="I547" s="41">
        <f t="shared" si="38"/>
        <v>0.12821060729090986</v>
      </c>
      <c r="J547" s="41">
        <f t="shared" si="39"/>
        <v>-3.7991819527390169E-2</v>
      </c>
    </row>
    <row r="548" spans="1:10">
      <c r="A548" s="51">
        <f t="shared" si="42"/>
        <v>123</v>
      </c>
      <c r="B548" s="51">
        <v>20</v>
      </c>
      <c r="C548" s="42">
        <f t="shared" si="40"/>
        <v>39.848455075790454</v>
      </c>
      <c r="D548" s="42">
        <f t="shared" si="43"/>
        <v>213</v>
      </c>
      <c r="E548" s="51">
        <v>4.2240000000000002</v>
      </c>
      <c r="F548" s="42">
        <f t="shared" si="35"/>
        <v>4.8794601047336759</v>
      </c>
      <c r="G548" s="51">
        <f t="shared" si="36"/>
        <v>145</v>
      </c>
      <c r="H548" s="46">
        <f t="shared" si="37"/>
        <v>0.16620242681830003</v>
      </c>
      <c r="I548" s="41">
        <f t="shared" si="38"/>
        <v>0.12821060729090986</v>
      </c>
      <c r="J548" s="41">
        <f t="shared" si="39"/>
        <v>-3.7991819527390169E-2</v>
      </c>
    </row>
    <row r="549" spans="1:10">
      <c r="A549" s="51">
        <f t="shared" si="42"/>
        <v>124</v>
      </c>
      <c r="B549" s="51">
        <v>20</v>
      </c>
      <c r="C549" s="42">
        <f t="shared" si="40"/>
        <v>39.810463256263063</v>
      </c>
      <c r="D549" s="42">
        <f t="shared" si="43"/>
        <v>213</v>
      </c>
      <c r="E549" s="51">
        <v>4.2240000000000002</v>
      </c>
      <c r="F549" s="42">
        <f t="shared" si="35"/>
        <v>4.8794601047336759</v>
      </c>
      <c r="G549" s="51">
        <f t="shared" si="36"/>
        <v>145</v>
      </c>
      <c r="H549" s="46">
        <f t="shared" si="37"/>
        <v>0.16620242681830003</v>
      </c>
      <c r="I549" s="41">
        <f t="shared" si="38"/>
        <v>0.12821060729090986</v>
      </c>
      <c r="J549" s="41">
        <f t="shared" si="39"/>
        <v>-3.7991819527390169E-2</v>
      </c>
    </row>
    <row r="550" spans="1:10">
      <c r="A550" s="51">
        <f t="shared" si="42"/>
        <v>125</v>
      </c>
      <c r="B550" s="51">
        <v>20</v>
      </c>
      <c r="C550" s="42">
        <f t="shared" si="40"/>
        <v>39.772471436735671</v>
      </c>
      <c r="D550" s="42">
        <f t="shared" si="43"/>
        <v>213</v>
      </c>
      <c r="E550" s="51">
        <v>4.2240000000000002</v>
      </c>
      <c r="F550" s="42">
        <f t="shared" si="35"/>
        <v>4.8794601047336759</v>
      </c>
      <c r="G550" s="51">
        <f t="shared" si="36"/>
        <v>145</v>
      </c>
      <c r="H550" s="46">
        <f t="shared" si="37"/>
        <v>0.16620242681830003</v>
      </c>
      <c r="I550" s="41">
        <f t="shared" si="38"/>
        <v>0.12821060729090986</v>
      </c>
      <c r="J550" s="41">
        <f t="shared" si="39"/>
        <v>-3.7991819527390169E-2</v>
      </c>
    </row>
    <row r="551" spans="1:10">
      <c r="A551" s="51">
        <f t="shared" si="42"/>
        <v>126</v>
      </c>
      <c r="B551" s="51">
        <v>20</v>
      </c>
      <c r="C551" s="42">
        <f t="shared" si="40"/>
        <v>39.734479617208279</v>
      </c>
      <c r="D551" s="42">
        <f t="shared" si="43"/>
        <v>213</v>
      </c>
      <c r="E551" s="51">
        <v>4.2240000000000002</v>
      </c>
      <c r="F551" s="42">
        <f t="shared" si="35"/>
        <v>4.8794601047336759</v>
      </c>
      <c r="G551" s="51">
        <f t="shared" si="36"/>
        <v>145</v>
      </c>
      <c r="H551" s="46">
        <f t="shared" si="37"/>
        <v>0.16620242681830003</v>
      </c>
      <c r="I551" s="41">
        <f t="shared" si="38"/>
        <v>0.12821060729090986</v>
      </c>
      <c r="J551" s="41">
        <f t="shared" si="39"/>
        <v>-3.7991819527390169E-2</v>
      </c>
    </row>
    <row r="552" spans="1:10">
      <c r="A552" s="51">
        <f t="shared" si="42"/>
        <v>127</v>
      </c>
      <c r="B552" s="51">
        <v>20</v>
      </c>
      <c r="C552" s="42">
        <f t="shared" si="40"/>
        <v>39.696487797680888</v>
      </c>
      <c r="D552" s="42">
        <f t="shared" si="43"/>
        <v>213</v>
      </c>
      <c r="E552" s="51">
        <v>4.2240000000000002</v>
      </c>
      <c r="F552" s="42">
        <f t="shared" si="35"/>
        <v>4.8794601047336759</v>
      </c>
      <c r="G552" s="51">
        <f t="shared" si="36"/>
        <v>145</v>
      </c>
      <c r="H552" s="46">
        <f t="shared" si="37"/>
        <v>0.16620242681830003</v>
      </c>
      <c r="I552" s="41">
        <f t="shared" si="38"/>
        <v>0.12821060729090986</v>
      </c>
      <c r="J552" s="41">
        <f t="shared" si="39"/>
        <v>-3.7991819527390169E-2</v>
      </c>
    </row>
    <row r="553" spans="1:10">
      <c r="A553" s="51">
        <f t="shared" si="42"/>
        <v>128</v>
      </c>
      <c r="B553" s="51">
        <v>20</v>
      </c>
      <c r="C553" s="42">
        <f t="shared" si="40"/>
        <v>39.658495978153496</v>
      </c>
      <c r="D553" s="42">
        <f t="shared" si="43"/>
        <v>213</v>
      </c>
      <c r="E553" s="51">
        <v>4.2240000000000002</v>
      </c>
      <c r="F553" s="42">
        <f t="shared" ref="F553:F616" si="44">(D553/448.8)/(3.14*((E553/12)^2)/4)</f>
        <v>4.8794601047336759</v>
      </c>
      <c r="G553" s="51">
        <f t="shared" ref="G553:G616" si="45">IF(E553&gt;5,$B$415,IF(5&gt;=E553&gt;1.5,$B$416,IF(1.5&gt;E553,$B$417,0)))</f>
        <v>145</v>
      </c>
      <c r="H553" s="46">
        <f t="shared" ref="H553:H616" si="46">(1050*((D553/G553)^1.852)*(B553/100)*(E553^-4.87))/2.31</f>
        <v>0.16620242681830003</v>
      </c>
      <c r="I553" s="41">
        <f t="shared" ref="I553:I616" si="47">B553*$B$420</f>
        <v>0.12821060729090986</v>
      </c>
      <c r="J553" s="41">
        <f t="shared" ref="J553:J616" si="48">I553-H553</f>
        <v>-3.7991819527390169E-2</v>
      </c>
    </row>
    <row r="554" spans="1:10">
      <c r="A554" s="51">
        <f t="shared" si="42"/>
        <v>129</v>
      </c>
      <c r="B554" s="51">
        <v>20</v>
      </c>
      <c r="C554" s="42">
        <f t="shared" ref="C554:C617" si="49">C553+J553</f>
        <v>39.620504158626105</v>
      </c>
      <c r="D554" s="42">
        <f t="shared" si="43"/>
        <v>213</v>
      </c>
      <c r="E554" s="51">
        <v>4.2240000000000002</v>
      </c>
      <c r="F554" s="42">
        <f t="shared" si="44"/>
        <v>4.8794601047336759</v>
      </c>
      <c r="G554" s="51">
        <f t="shared" si="45"/>
        <v>145</v>
      </c>
      <c r="H554" s="46">
        <f t="shared" si="46"/>
        <v>0.16620242681830003</v>
      </c>
      <c r="I554" s="41">
        <f t="shared" si="47"/>
        <v>0.12821060729090986</v>
      </c>
      <c r="J554" s="41">
        <f t="shared" si="48"/>
        <v>-3.7991819527390169E-2</v>
      </c>
    </row>
    <row r="555" spans="1:10">
      <c r="A555" s="51">
        <f t="shared" si="42"/>
        <v>130</v>
      </c>
      <c r="B555" s="51">
        <v>20</v>
      </c>
      <c r="C555" s="42">
        <f t="shared" si="49"/>
        <v>39.582512339098713</v>
      </c>
      <c r="D555" s="42">
        <f t="shared" si="43"/>
        <v>213</v>
      </c>
      <c r="E555" s="51">
        <v>4.2240000000000002</v>
      </c>
      <c r="F555" s="42">
        <f t="shared" si="44"/>
        <v>4.8794601047336759</v>
      </c>
      <c r="G555" s="51">
        <f t="shared" si="45"/>
        <v>145</v>
      </c>
      <c r="H555" s="46">
        <f t="shared" si="46"/>
        <v>0.16620242681830003</v>
      </c>
      <c r="I555" s="41">
        <f t="shared" si="47"/>
        <v>0.12821060729090986</v>
      </c>
      <c r="J555" s="41">
        <f t="shared" si="48"/>
        <v>-3.7991819527390169E-2</v>
      </c>
    </row>
    <row r="556" spans="1:10">
      <c r="A556" s="51">
        <f t="shared" ref="A556:A620" si="50">A555+1</f>
        <v>131</v>
      </c>
      <c r="B556" s="51">
        <v>20</v>
      </c>
      <c r="C556" s="42">
        <f t="shared" si="49"/>
        <v>39.544520519571321</v>
      </c>
      <c r="D556" s="42">
        <f t="shared" si="43"/>
        <v>213</v>
      </c>
      <c r="E556" s="51">
        <v>4.2240000000000002</v>
      </c>
      <c r="F556" s="42">
        <f t="shared" si="44"/>
        <v>4.8794601047336759</v>
      </c>
      <c r="G556" s="51">
        <f t="shared" si="45"/>
        <v>145</v>
      </c>
      <c r="H556" s="46">
        <f t="shared" si="46"/>
        <v>0.16620242681830003</v>
      </c>
      <c r="I556" s="41">
        <f t="shared" si="47"/>
        <v>0.12821060729090986</v>
      </c>
      <c r="J556" s="41">
        <f t="shared" si="48"/>
        <v>-3.7991819527390169E-2</v>
      </c>
    </row>
    <row r="557" spans="1:10">
      <c r="A557" s="51">
        <f t="shared" si="50"/>
        <v>132</v>
      </c>
      <c r="B557" s="51">
        <v>20</v>
      </c>
      <c r="C557" s="42">
        <f t="shared" si="49"/>
        <v>39.50652870004393</v>
      </c>
      <c r="D557" s="42">
        <f t="shared" si="43"/>
        <v>213</v>
      </c>
      <c r="E557" s="51">
        <v>4.2240000000000002</v>
      </c>
      <c r="F557" s="42">
        <f t="shared" si="44"/>
        <v>4.8794601047336759</v>
      </c>
      <c r="G557" s="51">
        <f t="shared" si="45"/>
        <v>145</v>
      </c>
      <c r="H557" s="46">
        <f t="shared" si="46"/>
        <v>0.16620242681830003</v>
      </c>
      <c r="I557" s="41">
        <f t="shared" si="47"/>
        <v>0.12821060729090986</v>
      </c>
      <c r="J557" s="41">
        <f t="shared" si="48"/>
        <v>-3.7991819527390169E-2</v>
      </c>
    </row>
    <row r="558" spans="1:10">
      <c r="A558" s="51">
        <f t="shared" si="50"/>
        <v>133</v>
      </c>
      <c r="B558" s="51">
        <v>20</v>
      </c>
      <c r="C558" s="42">
        <f t="shared" si="49"/>
        <v>39.468536880516538</v>
      </c>
      <c r="D558" s="42">
        <f t="shared" si="43"/>
        <v>213</v>
      </c>
      <c r="E558" s="51">
        <v>4.2240000000000002</v>
      </c>
      <c r="F558" s="42">
        <f t="shared" si="44"/>
        <v>4.8794601047336759</v>
      </c>
      <c r="G558" s="51">
        <f t="shared" si="45"/>
        <v>145</v>
      </c>
      <c r="H558" s="46">
        <f t="shared" si="46"/>
        <v>0.16620242681830003</v>
      </c>
      <c r="I558" s="41">
        <f t="shared" si="47"/>
        <v>0.12821060729090986</v>
      </c>
      <c r="J558" s="41">
        <f t="shared" si="48"/>
        <v>-3.7991819527390169E-2</v>
      </c>
    </row>
    <row r="559" spans="1:10">
      <c r="A559" s="51">
        <f t="shared" si="50"/>
        <v>134</v>
      </c>
      <c r="B559" s="51">
        <v>20</v>
      </c>
      <c r="C559" s="42">
        <f t="shared" si="49"/>
        <v>39.430545060989147</v>
      </c>
      <c r="D559" s="42">
        <f t="shared" si="43"/>
        <v>213</v>
      </c>
      <c r="E559" s="51">
        <v>4.2240000000000002</v>
      </c>
      <c r="F559" s="42">
        <f t="shared" si="44"/>
        <v>4.8794601047336759</v>
      </c>
      <c r="G559" s="51">
        <f t="shared" si="45"/>
        <v>145</v>
      </c>
      <c r="H559" s="46">
        <f t="shared" si="46"/>
        <v>0.16620242681830003</v>
      </c>
      <c r="I559" s="41">
        <f t="shared" si="47"/>
        <v>0.12821060729090986</v>
      </c>
      <c r="J559" s="41">
        <f t="shared" si="48"/>
        <v>-3.7991819527390169E-2</v>
      </c>
    </row>
    <row r="560" spans="1:10">
      <c r="A560" s="51">
        <f t="shared" si="50"/>
        <v>135</v>
      </c>
      <c r="B560" s="51">
        <v>20</v>
      </c>
      <c r="C560" s="42">
        <f t="shared" si="49"/>
        <v>39.392553241461755</v>
      </c>
      <c r="D560" s="42">
        <f t="shared" si="43"/>
        <v>213</v>
      </c>
      <c r="E560" s="51">
        <v>4.2240000000000002</v>
      </c>
      <c r="F560" s="42">
        <f t="shared" si="44"/>
        <v>4.8794601047336759</v>
      </c>
      <c r="G560" s="51">
        <f t="shared" si="45"/>
        <v>145</v>
      </c>
      <c r="H560" s="46">
        <f t="shared" si="46"/>
        <v>0.16620242681830003</v>
      </c>
      <c r="I560" s="41">
        <f t="shared" si="47"/>
        <v>0.12821060729090986</v>
      </c>
      <c r="J560" s="41">
        <f t="shared" si="48"/>
        <v>-3.7991819527390169E-2</v>
      </c>
    </row>
    <row r="561" spans="1:10">
      <c r="A561" s="51">
        <f t="shared" si="50"/>
        <v>136</v>
      </c>
      <c r="B561" s="51">
        <v>20</v>
      </c>
      <c r="C561" s="42">
        <f t="shared" si="49"/>
        <v>39.354561421934363</v>
      </c>
      <c r="D561" s="42">
        <f t="shared" si="43"/>
        <v>213</v>
      </c>
      <c r="E561" s="51">
        <v>4.2240000000000002</v>
      </c>
      <c r="F561" s="42">
        <f t="shared" si="44"/>
        <v>4.8794601047336759</v>
      </c>
      <c r="G561" s="51">
        <f t="shared" si="45"/>
        <v>145</v>
      </c>
      <c r="H561" s="46">
        <f t="shared" si="46"/>
        <v>0.16620242681830003</v>
      </c>
      <c r="I561" s="41">
        <f t="shared" si="47"/>
        <v>0.12821060729090986</v>
      </c>
      <c r="J561" s="41">
        <f t="shared" si="48"/>
        <v>-3.7991819527390169E-2</v>
      </c>
    </row>
    <row r="562" spans="1:10">
      <c r="A562" s="51">
        <f t="shared" si="50"/>
        <v>137</v>
      </c>
      <c r="B562" s="51">
        <v>20</v>
      </c>
      <c r="C562" s="42">
        <f t="shared" si="49"/>
        <v>39.316569602406972</v>
      </c>
      <c r="D562" s="42">
        <f t="shared" si="43"/>
        <v>213</v>
      </c>
      <c r="E562" s="51">
        <v>4.2240000000000002</v>
      </c>
      <c r="F562" s="42">
        <f t="shared" si="44"/>
        <v>4.8794601047336759</v>
      </c>
      <c r="G562" s="51">
        <f t="shared" si="45"/>
        <v>145</v>
      </c>
      <c r="H562" s="46">
        <f t="shared" si="46"/>
        <v>0.16620242681830003</v>
      </c>
      <c r="I562" s="41">
        <f t="shared" si="47"/>
        <v>0.12821060729090986</v>
      </c>
      <c r="J562" s="41">
        <f t="shared" si="48"/>
        <v>-3.7991819527390169E-2</v>
      </c>
    </row>
    <row r="563" spans="1:10">
      <c r="A563" s="51">
        <f t="shared" si="50"/>
        <v>138</v>
      </c>
      <c r="B563" s="51">
        <v>20</v>
      </c>
      <c r="C563" s="42">
        <f t="shared" si="49"/>
        <v>39.27857778287958</v>
      </c>
      <c r="D563" s="42">
        <f t="shared" si="43"/>
        <v>213</v>
      </c>
      <c r="E563" s="51">
        <v>4.2240000000000002</v>
      </c>
      <c r="F563" s="42">
        <f t="shared" si="44"/>
        <v>4.8794601047336759</v>
      </c>
      <c r="G563" s="51">
        <f t="shared" si="45"/>
        <v>145</v>
      </c>
      <c r="H563" s="46">
        <f t="shared" si="46"/>
        <v>0.16620242681830003</v>
      </c>
      <c r="I563" s="41">
        <f t="shared" si="47"/>
        <v>0.12821060729090986</v>
      </c>
      <c r="J563" s="41">
        <f t="shared" si="48"/>
        <v>-3.7991819527390169E-2</v>
      </c>
    </row>
    <row r="564" spans="1:10">
      <c r="A564" s="68" t="s">
        <v>226</v>
      </c>
      <c r="B564" s="69">
        <v>16</v>
      </c>
      <c r="C564" s="70">
        <f t="shared" si="49"/>
        <v>39.240585963352189</v>
      </c>
      <c r="D564" s="70">
        <f>D563-'Block 7'!F24</f>
        <v>166.7</v>
      </c>
      <c r="E564" s="69">
        <v>4.2240000000000002</v>
      </c>
      <c r="F564" s="70">
        <f t="shared" si="44"/>
        <v>3.8188075091976699</v>
      </c>
      <c r="G564" s="69">
        <f t="shared" si="45"/>
        <v>145</v>
      </c>
      <c r="H564" s="71">
        <f t="shared" si="46"/>
        <v>8.4448716477612859E-2</v>
      </c>
      <c r="I564" s="72">
        <f t="shared" si="47"/>
        <v>0.10256848583272789</v>
      </c>
      <c r="J564" s="72">
        <f t="shared" si="48"/>
        <v>1.8119769355115029E-2</v>
      </c>
    </row>
    <row r="565" spans="1:10">
      <c r="A565" s="51">
        <f>A563+1</f>
        <v>139</v>
      </c>
      <c r="B565" s="51">
        <v>4</v>
      </c>
      <c r="C565" s="42">
        <f t="shared" si="49"/>
        <v>39.258705732707305</v>
      </c>
      <c r="D565" s="42">
        <f>D564</f>
        <v>166.7</v>
      </c>
      <c r="E565" s="51">
        <v>4.2240000000000002</v>
      </c>
      <c r="F565" s="42">
        <f t="shared" si="44"/>
        <v>3.8188075091976699</v>
      </c>
      <c r="G565" s="51">
        <f t="shared" si="45"/>
        <v>145</v>
      </c>
      <c r="H565" s="46">
        <f t="shared" si="46"/>
        <v>2.1112179119403215E-2</v>
      </c>
      <c r="I565" s="41">
        <f t="shared" si="47"/>
        <v>2.5642121458181972E-2</v>
      </c>
      <c r="J565" s="41">
        <f t="shared" si="48"/>
        <v>4.5299423387787571E-3</v>
      </c>
    </row>
    <row r="566" spans="1:10">
      <c r="A566" s="51">
        <f t="shared" si="50"/>
        <v>140</v>
      </c>
      <c r="B566" s="51">
        <v>20</v>
      </c>
      <c r="C566" s="42">
        <f t="shared" si="49"/>
        <v>39.263235675046083</v>
      </c>
      <c r="D566" s="42">
        <f t="shared" ref="D566:D576" si="51">D565</f>
        <v>166.7</v>
      </c>
      <c r="E566" s="51">
        <v>4.2240000000000002</v>
      </c>
      <c r="F566" s="42">
        <f t="shared" si="44"/>
        <v>3.8188075091976699</v>
      </c>
      <c r="G566" s="51">
        <f t="shared" si="45"/>
        <v>145</v>
      </c>
      <c r="H566" s="46">
        <f t="shared" si="46"/>
        <v>0.10556089559701606</v>
      </c>
      <c r="I566" s="41">
        <f t="shared" si="47"/>
        <v>0.12821060729090986</v>
      </c>
      <c r="J566" s="41">
        <f t="shared" si="48"/>
        <v>2.2649711693893793E-2</v>
      </c>
    </row>
    <row r="567" spans="1:10">
      <c r="A567" s="51">
        <f t="shared" si="50"/>
        <v>141</v>
      </c>
      <c r="B567" s="51">
        <v>20</v>
      </c>
      <c r="C567" s="42">
        <f t="shared" si="49"/>
        <v>39.285885386739977</v>
      </c>
      <c r="D567" s="42">
        <f t="shared" si="51"/>
        <v>166.7</v>
      </c>
      <c r="E567" s="51">
        <v>4.2240000000000002</v>
      </c>
      <c r="F567" s="42">
        <f t="shared" si="44"/>
        <v>3.8188075091976699</v>
      </c>
      <c r="G567" s="51">
        <f t="shared" si="45"/>
        <v>145</v>
      </c>
      <c r="H567" s="46">
        <f t="shared" si="46"/>
        <v>0.10556089559701606</v>
      </c>
      <c r="I567" s="41">
        <f t="shared" si="47"/>
        <v>0.12821060729090986</v>
      </c>
      <c r="J567" s="41">
        <f t="shared" si="48"/>
        <v>2.2649711693893793E-2</v>
      </c>
    </row>
    <row r="568" spans="1:10">
      <c r="A568" s="51">
        <f t="shared" si="50"/>
        <v>142</v>
      </c>
      <c r="B568" s="51">
        <v>20</v>
      </c>
      <c r="C568" s="42">
        <f t="shared" si="49"/>
        <v>39.308535098433872</v>
      </c>
      <c r="D568" s="42">
        <f t="shared" si="51"/>
        <v>166.7</v>
      </c>
      <c r="E568" s="51">
        <v>4.2240000000000002</v>
      </c>
      <c r="F568" s="42">
        <f t="shared" si="44"/>
        <v>3.8188075091976699</v>
      </c>
      <c r="G568" s="51">
        <f t="shared" si="45"/>
        <v>145</v>
      </c>
      <c r="H568" s="46">
        <f t="shared" si="46"/>
        <v>0.10556089559701606</v>
      </c>
      <c r="I568" s="41">
        <f t="shared" si="47"/>
        <v>0.12821060729090986</v>
      </c>
      <c r="J568" s="41">
        <f t="shared" si="48"/>
        <v>2.2649711693893793E-2</v>
      </c>
    </row>
    <row r="569" spans="1:10">
      <c r="A569" s="51">
        <f t="shared" si="50"/>
        <v>143</v>
      </c>
      <c r="B569" s="51">
        <v>20</v>
      </c>
      <c r="C569" s="42">
        <f t="shared" si="49"/>
        <v>39.331184810127766</v>
      </c>
      <c r="D569" s="42">
        <f t="shared" si="51"/>
        <v>166.7</v>
      </c>
      <c r="E569" s="51">
        <v>4.2240000000000002</v>
      </c>
      <c r="F569" s="42">
        <f t="shared" si="44"/>
        <v>3.8188075091976699</v>
      </c>
      <c r="G569" s="51">
        <f t="shared" si="45"/>
        <v>145</v>
      </c>
      <c r="H569" s="46">
        <f t="shared" si="46"/>
        <v>0.10556089559701606</v>
      </c>
      <c r="I569" s="41">
        <f t="shared" si="47"/>
        <v>0.12821060729090986</v>
      </c>
      <c r="J569" s="41">
        <f t="shared" si="48"/>
        <v>2.2649711693893793E-2</v>
      </c>
    </row>
    <row r="570" spans="1:10">
      <c r="A570" s="51">
        <f t="shared" si="50"/>
        <v>144</v>
      </c>
      <c r="B570" s="51">
        <v>20</v>
      </c>
      <c r="C570" s="42">
        <f t="shared" si="49"/>
        <v>39.353834521821661</v>
      </c>
      <c r="D570" s="42">
        <f t="shared" si="51"/>
        <v>166.7</v>
      </c>
      <c r="E570" s="51">
        <v>4.2240000000000002</v>
      </c>
      <c r="F570" s="42">
        <f t="shared" si="44"/>
        <v>3.8188075091976699</v>
      </c>
      <c r="G570" s="51">
        <f t="shared" si="45"/>
        <v>145</v>
      </c>
      <c r="H570" s="46">
        <f t="shared" si="46"/>
        <v>0.10556089559701606</v>
      </c>
      <c r="I570" s="41">
        <f t="shared" si="47"/>
        <v>0.12821060729090986</v>
      </c>
      <c r="J570" s="41">
        <f t="shared" si="48"/>
        <v>2.2649711693893793E-2</v>
      </c>
    </row>
    <row r="571" spans="1:10">
      <c r="A571" s="51">
        <f t="shared" si="50"/>
        <v>145</v>
      </c>
      <c r="B571" s="51">
        <v>20</v>
      </c>
      <c r="C571" s="42">
        <f t="shared" si="49"/>
        <v>39.376484233515555</v>
      </c>
      <c r="D571" s="42">
        <f t="shared" si="51"/>
        <v>166.7</v>
      </c>
      <c r="E571" s="51">
        <v>4.2240000000000002</v>
      </c>
      <c r="F571" s="42">
        <f t="shared" si="44"/>
        <v>3.8188075091976699</v>
      </c>
      <c r="G571" s="51">
        <f t="shared" si="45"/>
        <v>145</v>
      </c>
      <c r="H571" s="46">
        <f t="shared" si="46"/>
        <v>0.10556089559701606</v>
      </c>
      <c r="I571" s="41">
        <f t="shared" si="47"/>
        <v>0.12821060729090986</v>
      </c>
      <c r="J571" s="41">
        <f t="shared" si="48"/>
        <v>2.2649711693893793E-2</v>
      </c>
    </row>
    <row r="572" spans="1:10">
      <c r="A572" s="51">
        <f t="shared" si="50"/>
        <v>146</v>
      </c>
      <c r="B572" s="51">
        <v>20</v>
      </c>
      <c r="C572" s="42">
        <f t="shared" si="49"/>
        <v>39.399133945209449</v>
      </c>
      <c r="D572" s="42">
        <f t="shared" si="51"/>
        <v>166.7</v>
      </c>
      <c r="E572" s="51">
        <v>4.2240000000000002</v>
      </c>
      <c r="F572" s="42">
        <f t="shared" si="44"/>
        <v>3.8188075091976699</v>
      </c>
      <c r="G572" s="51">
        <f t="shared" si="45"/>
        <v>145</v>
      </c>
      <c r="H572" s="46">
        <f t="shared" si="46"/>
        <v>0.10556089559701606</v>
      </c>
      <c r="I572" s="41">
        <f t="shared" si="47"/>
        <v>0.12821060729090986</v>
      </c>
      <c r="J572" s="41">
        <f t="shared" si="48"/>
        <v>2.2649711693893793E-2</v>
      </c>
    </row>
    <row r="573" spans="1:10">
      <c r="A573" s="51">
        <f t="shared" si="50"/>
        <v>147</v>
      </c>
      <c r="B573" s="51">
        <v>20</v>
      </c>
      <c r="C573" s="42">
        <f t="shared" si="49"/>
        <v>39.421783656903344</v>
      </c>
      <c r="D573" s="42">
        <f t="shared" si="51"/>
        <v>166.7</v>
      </c>
      <c r="E573" s="51">
        <v>4.2240000000000002</v>
      </c>
      <c r="F573" s="42">
        <f t="shared" si="44"/>
        <v>3.8188075091976699</v>
      </c>
      <c r="G573" s="51">
        <f t="shared" si="45"/>
        <v>145</v>
      </c>
      <c r="H573" s="46">
        <f t="shared" si="46"/>
        <v>0.10556089559701606</v>
      </c>
      <c r="I573" s="41">
        <f t="shared" si="47"/>
        <v>0.12821060729090986</v>
      </c>
      <c r="J573" s="41">
        <f t="shared" si="48"/>
        <v>2.2649711693893793E-2</v>
      </c>
    </row>
    <row r="574" spans="1:10">
      <c r="A574" s="51">
        <f t="shared" si="50"/>
        <v>148</v>
      </c>
      <c r="B574" s="51">
        <v>20</v>
      </c>
      <c r="C574" s="42">
        <f t="shared" si="49"/>
        <v>39.444433368597238</v>
      </c>
      <c r="D574" s="42">
        <f t="shared" si="51"/>
        <v>166.7</v>
      </c>
      <c r="E574" s="51">
        <v>4.2240000000000002</v>
      </c>
      <c r="F574" s="42">
        <f t="shared" si="44"/>
        <v>3.8188075091976699</v>
      </c>
      <c r="G574" s="51">
        <f t="shared" si="45"/>
        <v>145</v>
      </c>
      <c r="H574" s="46">
        <f t="shared" si="46"/>
        <v>0.10556089559701606</v>
      </c>
      <c r="I574" s="41">
        <f t="shared" si="47"/>
        <v>0.12821060729090986</v>
      </c>
      <c r="J574" s="41">
        <f t="shared" si="48"/>
        <v>2.2649711693893793E-2</v>
      </c>
    </row>
    <row r="575" spans="1:10">
      <c r="A575" s="51">
        <f t="shared" si="50"/>
        <v>149</v>
      </c>
      <c r="B575" s="51">
        <v>20</v>
      </c>
      <c r="C575" s="42">
        <f t="shared" si="49"/>
        <v>39.467083080291133</v>
      </c>
      <c r="D575" s="42">
        <f t="shared" si="51"/>
        <v>166.7</v>
      </c>
      <c r="E575" s="51">
        <v>4.2240000000000002</v>
      </c>
      <c r="F575" s="42">
        <f t="shared" si="44"/>
        <v>3.8188075091976699</v>
      </c>
      <c r="G575" s="51">
        <f t="shared" si="45"/>
        <v>145</v>
      </c>
      <c r="H575" s="46">
        <f t="shared" si="46"/>
        <v>0.10556089559701606</v>
      </c>
      <c r="I575" s="41">
        <f t="shared" si="47"/>
        <v>0.12821060729090986</v>
      </c>
      <c r="J575" s="41">
        <f t="shared" si="48"/>
        <v>2.2649711693893793E-2</v>
      </c>
    </row>
    <row r="576" spans="1:10">
      <c r="A576" s="51">
        <f t="shared" si="50"/>
        <v>150</v>
      </c>
      <c r="B576" s="51">
        <v>20</v>
      </c>
      <c r="C576" s="42">
        <f t="shared" si="49"/>
        <v>39.489732791985027</v>
      </c>
      <c r="D576" s="42">
        <f t="shared" si="51"/>
        <v>166.7</v>
      </c>
      <c r="E576" s="51">
        <v>4.2240000000000002</v>
      </c>
      <c r="F576" s="42">
        <f t="shared" si="44"/>
        <v>3.8188075091976699</v>
      </c>
      <c r="G576" s="51">
        <f t="shared" si="45"/>
        <v>145</v>
      </c>
      <c r="H576" s="46">
        <f t="shared" si="46"/>
        <v>0.10556089559701606</v>
      </c>
      <c r="I576" s="41">
        <f t="shared" si="47"/>
        <v>0.12821060729090986</v>
      </c>
      <c r="J576" s="41">
        <f t="shared" si="48"/>
        <v>2.2649711693893793E-2</v>
      </c>
    </row>
    <row r="577" spans="1:10">
      <c r="A577" s="68" t="s">
        <v>227</v>
      </c>
      <c r="B577" s="69">
        <v>2.8</v>
      </c>
      <c r="C577" s="70">
        <f t="shared" si="49"/>
        <v>39.512382503678921</v>
      </c>
      <c r="D577" s="70">
        <f>D576-'Block 6 Readjustment'!F564</f>
        <v>139.69999999999999</v>
      </c>
      <c r="E577" s="69">
        <v>4.2240000000000002</v>
      </c>
      <c r="F577" s="70">
        <f t="shared" si="44"/>
        <v>3.2002843973300208</v>
      </c>
      <c r="G577" s="69">
        <f t="shared" si="45"/>
        <v>145</v>
      </c>
      <c r="H577" s="71">
        <f t="shared" si="46"/>
        <v>1.0653936773672957E-2</v>
      </c>
      <c r="I577" s="72">
        <f t="shared" si="47"/>
        <v>1.7949485020727379E-2</v>
      </c>
      <c r="J577" s="72">
        <f t="shared" si="48"/>
        <v>7.2955482470544227E-3</v>
      </c>
    </row>
    <row r="578" spans="1:10">
      <c r="A578" s="51">
        <f>A576+1</f>
        <v>151</v>
      </c>
      <c r="B578" s="51">
        <v>17.2</v>
      </c>
      <c r="C578" s="42">
        <f t="shared" si="49"/>
        <v>39.519678051925979</v>
      </c>
      <c r="D578" s="42">
        <f>D577</f>
        <v>139.69999999999999</v>
      </c>
      <c r="E578" s="51">
        <v>4.2240000000000002</v>
      </c>
      <c r="F578" s="42">
        <f t="shared" si="44"/>
        <v>3.2002843973300208</v>
      </c>
      <c r="G578" s="51">
        <f t="shared" si="45"/>
        <v>145</v>
      </c>
      <c r="H578" s="46">
        <f t="shared" si="46"/>
        <v>6.5445611609705301E-2</v>
      </c>
      <c r="I578" s="41">
        <f t="shared" si="47"/>
        <v>0.11026112227018248</v>
      </c>
      <c r="J578" s="41">
        <f t="shared" si="48"/>
        <v>4.4815510660477176E-2</v>
      </c>
    </row>
    <row r="579" spans="1:10">
      <c r="A579" s="51">
        <f t="shared" si="50"/>
        <v>152</v>
      </c>
      <c r="B579" s="51">
        <v>20</v>
      </c>
      <c r="C579" s="42">
        <f t="shared" si="49"/>
        <v>39.564493562586456</v>
      </c>
      <c r="D579" s="42">
        <f t="shared" ref="D579:D592" si="52">D578</f>
        <v>139.69999999999999</v>
      </c>
      <c r="E579" s="51">
        <v>4.2240000000000002</v>
      </c>
      <c r="F579" s="42">
        <f t="shared" si="44"/>
        <v>3.2002843973300208</v>
      </c>
      <c r="G579" s="51">
        <f t="shared" si="45"/>
        <v>145</v>
      </c>
      <c r="H579" s="46">
        <f t="shared" si="46"/>
        <v>7.6099548383378277E-2</v>
      </c>
      <c r="I579" s="41">
        <f t="shared" si="47"/>
        <v>0.12821060729090986</v>
      </c>
      <c r="J579" s="41">
        <f t="shared" si="48"/>
        <v>5.2111058907531579E-2</v>
      </c>
    </row>
    <row r="580" spans="1:10">
      <c r="A580" s="51">
        <f t="shared" si="50"/>
        <v>153</v>
      </c>
      <c r="B580" s="51">
        <v>20</v>
      </c>
      <c r="C580" s="42">
        <f t="shared" si="49"/>
        <v>39.616604621493991</v>
      </c>
      <c r="D580" s="42">
        <f t="shared" si="52"/>
        <v>139.69999999999999</v>
      </c>
      <c r="E580" s="51">
        <v>4.2240000000000002</v>
      </c>
      <c r="F580" s="42">
        <f t="shared" si="44"/>
        <v>3.2002843973300208</v>
      </c>
      <c r="G580" s="51">
        <f t="shared" si="45"/>
        <v>145</v>
      </c>
      <c r="H580" s="46">
        <f t="shared" si="46"/>
        <v>7.6099548383378277E-2</v>
      </c>
      <c r="I580" s="41">
        <f t="shared" si="47"/>
        <v>0.12821060729090986</v>
      </c>
      <c r="J580" s="41">
        <f t="shared" si="48"/>
        <v>5.2111058907531579E-2</v>
      </c>
    </row>
    <row r="581" spans="1:10">
      <c r="A581" s="51">
        <f t="shared" si="50"/>
        <v>154</v>
      </c>
      <c r="B581" s="51">
        <v>20</v>
      </c>
      <c r="C581" s="42">
        <f t="shared" si="49"/>
        <v>39.668715680401526</v>
      </c>
      <c r="D581" s="42">
        <f t="shared" si="52"/>
        <v>139.69999999999999</v>
      </c>
      <c r="E581" s="51">
        <v>4.2240000000000002</v>
      </c>
      <c r="F581" s="42">
        <f t="shared" si="44"/>
        <v>3.2002843973300208</v>
      </c>
      <c r="G581" s="51">
        <f t="shared" si="45"/>
        <v>145</v>
      </c>
      <c r="H581" s="46">
        <f t="shared" si="46"/>
        <v>7.6099548383378277E-2</v>
      </c>
      <c r="I581" s="41">
        <f t="shared" si="47"/>
        <v>0.12821060729090986</v>
      </c>
      <c r="J581" s="41">
        <f t="shared" si="48"/>
        <v>5.2111058907531579E-2</v>
      </c>
    </row>
    <row r="582" spans="1:10">
      <c r="A582" s="51">
        <f t="shared" si="50"/>
        <v>155</v>
      </c>
      <c r="B582" s="51">
        <v>20</v>
      </c>
      <c r="C582" s="42">
        <f t="shared" si="49"/>
        <v>39.720826739309061</v>
      </c>
      <c r="D582" s="42">
        <f t="shared" si="52"/>
        <v>139.69999999999999</v>
      </c>
      <c r="E582" s="51">
        <v>4.2240000000000002</v>
      </c>
      <c r="F582" s="42">
        <f t="shared" si="44"/>
        <v>3.2002843973300208</v>
      </c>
      <c r="G582" s="51">
        <f t="shared" si="45"/>
        <v>145</v>
      </c>
      <c r="H582" s="46">
        <f t="shared" si="46"/>
        <v>7.6099548383378277E-2</v>
      </c>
      <c r="I582" s="41">
        <f t="shared" si="47"/>
        <v>0.12821060729090986</v>
      </c>
      <c r="J582" s="41">
        <f t="shared" si="48"/>
        <v>5.2111058907531579E-2</v>
      </c>
    </row>
    <row r="583" spans="1:10">
      <c r="A583" s="51">
        <f t="shared" si="50"/>
        <v>156</v>
      </c>
      <c r="B583" s="51">
        <v>20</v>
      </c>
      <c r="C583" s="42">
        <f t="shared" si="49"/>
        <v>39.772937798216596</v>
      </c>
      <c r="D583" s="42">
        <f t="shared" si="52"/>
        <v>139.69999999999999</v>
      </c>
      <c r="E583" s="51">
        <v>4.2240000000000002</v>
      </c>
      <c r="F583" s="42">
        <f t="shared" si="44"/>
        <v>3.2002843973300208</v>
      </c>
      <c r="G583" s="51">
        <f t="shared" si="45"/>
        <v>145</v>
      </c>
      <c r="H583" s="46">
        <f t="shared" si="46"/>
        <v>7.6099548383378277E-2</v>
      </c>
      <c r="I583" s="41">
        <f t="shared" si="47"/>
        <v>0.12821060729090986</v>
      </c>
      <c r="J583" s="41">
        <f t="shared" si="48"/>
        <v>5.2111058907531579E-2</v>
      </c>
    </row>
    <row r="584" spans="1:10">
      <c r="A584" s="51">
        <f t="shared" si="50"/>
        <v>157</v>
      </c>
      <c r="B584" s="51">
        <v>20</v>
      </c>
      <c r="C584" s="42">
        <f t="shared" si="49"/>
        <v>39.825048857124131</v>
      </c>
      <c r="D584" s="42">
        <f t="shared" si="52"/>
        <v>139.69999999999999</v>
      </c>
      <c r="E584" s="51">
        <v>4.2240000000000002</v>
      </c>
      <c r="F584" s="42">
        <f t="shared" si="44"/>
        <v>3.2002843973300208</v>
      </c>
      <c r="G584" s="51">
        <f t="shared" si="45"/>
        <v>145</v>
      </c>
      <c r="H584" s="46">
        <f t="shared" si="46"/>
        <v>7.6099548383378277E-2</v>
      </c>
      <c r="I584" s="41">
        <f t="shared" si="47"/>
        <v>0.12821060729090986</v>
      </c>
      <c r="J584" s="41">
        <f t="shared" si="48"/>
        <v>5.2111058907531579E-2</v>
      </c>
    </row>
    <row r="585" spans="1:10">
      <c r="A585" s="51">
        <f t="shared" si="50"/>
        <v>158</v>
      </c>
      <c r="B585" s="51">
        <v>20</v>
      </c>
      <c r="C585" s="42">
        <f t="shared" si="49"/>
        <v>39.877159916031665</v>
      </c>
      <c r="D585" s="42">
        <f t="shared" si="52"/>
        <v>139.69999999999999</v>
      </c>
      <c r="E585" s="51">
        <v>4.2240000000000002</v>
      </c>
      <c r="F585" s="42">
        <f t="shared" si="44"/>
        <v>3.2002843973300208</v>
      </c>
      <c r="G585" s="51">
        <f t="shared" si="45"/>
        <v>145</v>
      </c>
      <c r="H585" s="46">
        <f t="shared" si="46"/>
        <v>7.6099548383378277E-2</v>
      </c>
      <c r="I585" s="41">
        <f t="shared" si="47"/>
        <v>0.12821060729090986</v>
      </c>
      <c r="J585" s="41">
        <f t="shared" si="48"/>
        <v>5.2111058907531579E-2</v>
      </c>
    </row>
    <row r="586" spans="1:10">
      <c r="A586" s="51">
        <f t="shared" si="50"/>
        <v>159</v>
      </c>
      <c r="B586" s="51">
        <v>20</v>
      </c>
      <c r="C586" s="42">
        <f t="shared" si="49"/>
        <v>39.9292709749392</v>
      </c>
      <c r="D586" s="42">
        <f t="shared" si="52"/>
        <v>139.69999999999999</v>
      </c>
      <c r="E586" s="51">
        <v>4.2240000000000002</v>
      </c>
      <c r="F586" s="42">
        <f t="shared" si="44"/>
        <v>3.2002843973300208</v>
      </c>
      <c r="G586" s="51">
        <f t="shared" si="45"/>
        <v>145</v>
      </c>
      <c r="H586" s="46">
        <f t="shared" si="46"/>
        <v>7.6099548383378277E-2</v>
      </c>
      <c r="I586" s="41">
        <f t="shared" si="47"/>
        <v>0.12821060729090986</v>
      </c>
      <c r="J586" s="41">
        <f t="shared" si="48"/>
        <v>5.2111058907531579E-2</v>
      </c>
    </row>
    <row r="587" spans="1:10">
      <c r="A587" s="51">
        <f t="shared" si="50"/>
        <v>160</v>
      </c>
      <c r="B587" s="51">
        <v>20</v>
      </c>
      <c r="C587" s="42">
        <f t="shared" si="49"/>
        <v>39.981382033846735</v>
      </c>
      <c r="D587" s="42">
        <f t="shared" si="52"/>
        <v>139.69999999999999</v>
      </c>
      <c r="E587" s="51">
        <v>4.2240000000000002</v>
      </c>
      <c r="F587" s="42">
        <f t="shared" si="44"/>
        <v>3.2002843973300208</v>
      </c>
      <c r="G587" s="51">
        <f t="shared" si="45"/>
        <v>145</v>
      </c>
      <c r="H587" s="46">
        <f t="shared" si="46"/>
        <v>7.6099548383378277E-2</v>
      </c>
      <c r="I587" s="41">
        <f t="shared" si="47"/>
        <v>0.12821060729090986</v>
      </c>
      <c r="J587" s="41">
        <f t="shared" si="48"/>
        <v>5.2111058907531579E-2</v>
      </c>
    </row>
    <row r="588" spans="1:10">
      <c r="A588" s="51">
        <f t="shared" si="50"/>
        <v>161</v>
      </c>
      <c r="B588" s="51">
        <v>20</v>
      </c>
      <c r="C588" s="42">
        <f t="shared" si="49"/>
        <v>40.03349309275427</v>
      </c>
      <c r="D588" s="42">
        <f t="shared" si="52"/>
        <v>139.69999999999999</v>
      </c>
      <c r="E588" s="51">
        <v>4.2240000000000002</v>
      </c>
      <c r="F588" s="42">
        <f t="shared" si="44"/>
        <v>3.2002843973300208</v>
      </c>
      <c r="G588" s="51">
        <f t="shared" si="45"/>
        <v>145</v>
      </c>
      <c r="H588" s="46">
        <f t="shared" si="46"/>
        <v>7.6099548383378277E-2</v>
      </c>
      <c r="I588" s="41">
        <f t="shared" si="47"/>
        <v>0.12821060729090986</v>
      </c>
      <c r="J588" s="41">
        <f t="shared" si="48"/>
        <v>5.2111058907531579E-2</v>
      </c>
    </row>
    <row r="589" spans="1:10">
      <c r="A589" s="51">
        <f t="shared" si="50"/>
        <v>162</v>
      </c>
      <c r="B589" s="51">
        <v>20</v>
      </c>
      <c r="C589" s="42">
        <f t="shared" si="49"/>
        <v>40.085604151661805</v>
      </c>
      <c r="D589" s="42">
        <f t="shared" si="52"/>
        <v>139.69999999999999</v>
      </c>
      <c r="E589" s="51">
        <v>4.2240000000000002</v>
      </c>
      <c r="F589" s="42">
        <f t="shared" si="44"/>
        <v>3.2002843973300208</v>
      </c>
      <c r="G589" s="51">
        <f t="shared" si="45"/>
        <v>145</v>
      </c>
      <c r="H589" s="46">
        <f t="shared" si="46"/>
        <v>7.6099548383378277E-2</v>
      </c>
      <c r="I589" s="41">
        <f t="shared" si="47"/>
        <v>0.12821060729090986</v>
      </c>
      <c r="J589" s="41">
        <f t="shared" si="48"/>
        <v>5.2111058907531579E-2</v>
      </c>
    </row>
    <row r="590" spans="1:10">
      <c r="A590" s="51">
        <f t="shared" si="50"/>
        <v>163</v>
      </c>
      <c r="B590" s="51">
        <v>20</v>
      </c>
      <c r="C590" s="42">
        <f t="shared" si="49"/>
        <v>40.13771521056934</v>
      </c>
      <c r="D590" s="42">
        <f t="shared" si="52"/>
        <v>139.69999999999999</v>
      </c>
      <c r="E590" s="51">
        <v>4.2240000000000002</v>
      </c>
      <c r="F590" s="42">
        <f t="shared" si="44"/>
        <v>3.2002843973300208</v>
      </c>
      <c r="G590" s="51">
        <f t="shared" si="45"/>
        <v>145</v>
      </c>
      <c r="H590" s="46">
        <f t="shared" si="46"/>
        <v>7.6099548383378277E-2</v>
      </c>
      <c r="I590" s="41">
        <f t="shared" si="47"/>
        <v>0.12821060729090986</v>
      </c>
      <c r="J590" s="41">
        <f t="shared" si="48"/>
        <v>5.2111058907531579E-2</v>
      </c>
    </row>
    <row r="591" spans="1:10">
      <c r="A591" s="51">
        <f t="shared" si="50"/>
        <v>164</v>
      </c>
      <c r="B591" s="51">
        <v>20</v>
      </c>
      <c r="C591" s="42">
        <f t="shared" si="49"/>
        <v>40.189826269476875</v>
      </c>
      <c r="D591" s="42">
        <f t="shared" si="52"/>
        <v>139.69999999999999</v>
      </c>
      <c r="E591" s="51">
        <v>4.2240000000000002</v>
      </c>
      <c r="F591" s="42">
        <f t="shared" si="44"/>
        <v>3.2002843973300208</v>
      </c>
      <c r="G591" s="51">
        <f t="shared" si="45"/>
        <v>145</v>
      </c>
      <c r="H591" s="46">
        <f t="shared" si="46"/>
        <v>7.6099548383378277E-2</v>
      </c>
      <c r="I591" s="41">
        <f t="shared" si="47"/>
        <v>0.12821060729090986</v>
      </c>
      <c r="J591" s="41">
        <f t="shared" si="48"/>
        <v>5.2111058907531579E-2</v>
      </c>
    </row>
    <row r="592" spans="1:10">
      <c r="A592" s="51">
        <f t="shared" si="50"/>
        <v>165</v>
      </c>
      <c r="B592" s="51">
        <v>20</v>
      </c>
      <c r="C592" s="42">
        <f t="shared" si="49"/>
        <v>40.24193732838441</v>
      </c>
      <c r="D592" s="42">
        <f t="shared" si="52"/>
        <v>139.69999999999999</v>
      </c>
      <c r="E592" s="51">
        <v>4.2240000000000002</v>
      </c>
      <c r="F592" s="42">
        <f t="shared" si="44"/>
        <v>3.2002843973300208</v>
      </c>
      <c r="G592" s="51">
        <f t="shared" si="45"/>
        <v>145</v>
      </c>
      <c r="H592" s="46">
        <f t="shared" si="46"/>
        <v>7.6099548383378277E-2</v>
      </c>
      <c r="I592" s="41">
        <f t="shared" si="47"/>
        <v>0.12821060729090986</v>
      </c>
      <c r="J592" s="41">
        <f t="shared" si="48"/>
        <v>5.2111058907531579E-2</v>
      </c>
    </row>
    <row r="593" spans="1:10" ht="45">
      <c r="A593" s="74" t="s">
        <v>228</v>
      </c>
      <c r="B593" s="69">
        <v>17.8</v>
      </c>
      <c r="C593" s="70">
        <f t="shared" si="49"/>
        <v>40.294048387291944</v>
      </c>
      <c r="D593" s="70">
        <f>D592-'Block 8'!F22-'Block 10'!F22</f>
        <v>50.699999999999989</v>
      </c>
      <c r="E593" s="69">
        <v>2.1930000000000001</v>
      </c>
      <c r="F593" s="70">
        <f t="shared" si="44"/>
        <v>4.308942344497118</v>
      </c>
      <c r="G593" s="69">
        <f t="shared" si="45"/>
        <v>145</v>
      </c>
      <c r="H593" s="71">
        <f t="shared" si="46"/>
        <v>0.25232506032988389</v>
      </c>
      <c r="I593" s="72">
        <f t="shared" si="47"/>
        <v>0.11410744048890978</v>
      </c>
      <c r="J593" s="72">
        <f t="shared" si="48"/>
        <v>-0.13821761984097411</v>
      </c>
    </row>
    <row r="594" spans="1:10">
      <c r="A594" s="51">
        <f>A592+1</f>
        <v>166</v>
      </c>
      <c r="B594" s="51">
        <v>2.2000000000000002</v>
      </c>
      <c r="C594" s="42">
        <f t="shared" si="49"/>
        <v>40.155830767450972</v>
      </c>
      <c r="D594" s="42">
        <f>D593</f>
        <v>50.699999999999989</v>
      </c>
      <c r="E594" s="88">
        <v>2.1930000000000001</v>
      </c>
      <c r="F594" s="42">
        <f t="shared" si="44"/>
        <v>4.308942344497118</v>
      </c>
      <c r="G594" s="51">
        <f t="shared" si="45"/>
        <v>145</v>
      </c>
      <c r="H594" s="46">
        <f t="shared" si="46"/>
        <v>3.1186243411558685E-2</v>
      </c>
      <c r="I594" s="41">
        <f t="shared" si="47"/>
        <v>1.4103166802000086E-2</v>
      </c>
      <c r="J594" s="41">
        <f t="shared" si="48"/>
        <v>-1.7083076609558601E-2</v>
      </c>
    </row>
    <row r="595" spans="1:10">
      <c r="A595" s="51">
        <f t="shared" si="50"/>
        <v>167</v>
      </c>
      <c r="B595" s="51">
        <v>20</v>
      </c>
      <c r="C595" s="42">
        <f t="shared" si="49"/>
        <v>40.138747690841413</v>
      </c>
      <c r="D595" s="42">
        <f t="shared" ref="D595:D620" si="53">D594</f>
        <v>50.699999999999989</v>
      </c>
      <c r="E595" s="88">
        <v>2.1930000000000001</v>
      </c>
      <c r="F595" s="42">
        <f t="shared" si="44"/>
        <v>4.308942344497118</v>
      </c>
      <c r="G595" s="51">
        <f t="shared" si="45"/>
        <v>145</v>
      </c>
      <c r="H595" s="46">
        <f t="shared" si="46"/>
        <v>0.28351130374144262</v>
      </c>
      <c r="I595" s="41">
        <f t="shared" si="47"/>
        <v>0.12821060729090986</v>
      </c>
      <c r="J595" s="41">
        <f t="shared" si="48"/>
        <v>-0.15530069645053277</v>
      </c>
    </row>
    <row r="596" spans="1:10">
      <c r="A596" s="51">
        <f t="shared" si="50"/>
        <v>168</v>
      </c>
      <c r="B596" s="51">
        <v>20</v>
      </c>
      <c r="C596" s="42">
        <f t="shared" si="49"/>
        <v>39.983446994390881</v>
      </c>
      <c r="D596" s="42">
        <f t="shared" si="53"/>
        <v>50.699999999999989</v>
      </c>
      <c r="E596" s="88">
        <v>2.1930000000000001</v>
      </c>
      <c r="F596" s="42">
        <f t="shared" si="44"/>
        <v>4.308942344497118</v>
      </c>
      <c r="G596" s="51">
        <f t="shared" si="45"/>
        <v>145</v>
      </c>
      <c r="H596" s="46">
        <f t="shared" si="46"/>
        <v>0.28351130374144262</v>
      </c>
      <c r="I596" s="41">
        <f t="shared" si="47"/>
        <v>0.12821060729090986</v>
      </c>
      <c r="J596" s="41">
        <f t="shared" si="48"/>
        <v>-0.15530069645053277</v>
      </c>
    </row>
    <row r="597" spans="1:10">
      <c r="A597" s="51">
        <f t="shared" si="50"/>
        <v>169</v>
      </c>
      <c r="B597" s="51">
        <v>20</v>
      </c>
      <c r="C597" s="42">
        <f t="shared" si="49"/>
        <v>39.82814629794035</v>
      </c>
      <c r="D597" s="42">
        <f t="shared" si="53"/>
        <v>50.699999999999989</v>
      </c>
      <c r="E597" s="88">
        <v>2.1930000000000001</v>
      </c>
      <c r="F597" s="42">
        <f t="shared" si="44"/>
        <v>4.308942344497118</v>
      </c>
      <c r="G597" s="51">
        <f t="shared" si="45"/>
        <v>145</v>
      </c>
      <c r="H597" s="46">
        <f t="shared" si="46"/>
        <v>0.28351130374144262</v>
      </c>
      <c r="I597" s="41">
        <f t="shared" si="47"/>
        <v>0.12821060729090986</v>
      </c>
      <c r="J597" s="41">
        <f t="shared" si="48"/>
        <v>-0.15530069645053277</v>
      </c>
    </row>
    <row r="598" spans="1:10">
      <c r="A598" s="51">
        <f t="shared" si="50"/>
        <v>170</v>
      </c>
      <c r="B598" s="51">
        <v>20</v>
      </c>
      <c r="C598" s="42">
        <f t="shared" si="49"/>
        <v>39.672845601489819</v>
      </c>
      <c r="D598" s="42">
        <f t="shared" si="53"/>
        <v>50.699999999999989</v>
      </c>
      <c r="E598" s="88">
        <v>2.1930000000000001</v>
      </c>
      <c r="F598" s="42">
        <f t="shared" si="44"/>
        <v>4.308942344497118</v>
      </c>
      <c r="G598" s="51">
        <f t="shared" si="45"/>
        <v>145</v>
      </c>
      <c r="H598" s="46">
        <f t="shared" si="46"/>
        <v>0.28351130374144262</v>
      </c>
      <c r="I598" s="41">
        <f t="shared" si="47"/>
        <v>0.12821060729090986</v>
      </c>
      <c r="J598" s="41">
        <f t="shared" si="48"/>
        <v>-0.15530069645053277</v>
      </c>
    </row>
    <row r="599" spans="1:10">
      <c r="A599" s="51">
        <f t="shared" si="50"/>
        <v>171</v>
      </c>
      <c r="B599" s="51">
        <v>20</v>
      </c>
      <c r="C599" s="42">
        <f t="shared" si="49"/>
        <v>39.517544905039287</v>
      </c>
      <c r="D599" s="42">
        <f t="shared" si="53"/>
        <v>50.699999999999989</v>
      </c>
      <c r="E599" s="88">
        <v>2.1930000000000001</v>
      </c>
      <c r="F599" s="42">
        <f t="shared" si="44"/>
        <v>4.308942344497118</v>
      </c>
      <c r="G599" s="51">
        <f t="shared" si="45"/>
        <v>145</v>
      </c>
      <c r="H599" s="46">
        <f t="shared" si="46"/>
        <v>0.28351130374144262</v>
      </c>
      <c r="I599" s="41">
        <f t="shared" si="47"/>
        <v>0.12821060729090986</v>
      </c>
      <c r="J599" s="41">
        <f t="shared" si="48"/>
        <v>-0.15530069645053277</v>
      </c>
    </row>
    <row r="600" spans="1:10">
      <c r="A600" s="51">
        <f t="shared" si="50"/>
        <v>172</v>
      </c>
      <c r="B600" s="51">
        <v>20</v>
      </c>
      <c r="C600" s="42">
        <f t="shared" si="49"/>
        <v>39.362244208588756</v>
      </c>
      <c r="D600" s="42">
        <f t="shared" si="53"/>
        <v>50.699999999999989</v>
      </c>
      <c r="E600" s="88">
        <v>2.1930000000000001</v>
      </c>
      <c r="F600" s="42">
        <f t="shared" si="44"/>
        <v>4.308942344497118</v>
      </c>
      <c r="G600" s="51">
        <f t="shared" si="45"/>
        <v>145</v>
      </c>
      <c r="H600" s="46">
        <f t="shared" si="46"/>
        <v>0.28351130374144262</v>
      </c>
      <c r="I600" s="41">
        <f t="shared" si="47"/>
        <v>0.12821060729090986</v>
      </c>
      <c r="J600" s="41">
        <f t="shared" si="48"/>
        <v>-0.15530069645053277</v>
      </c>
    </row>
    <row r="601" spans="1:10">
      <c r="A601" s="51">
        <f t="shared" si="50"/>
        <v>173</v>
      </c>
      <c r="B601" s="51">
        <v>20</v>
      </c>
      <c r="C601" s="42">
        <f t="shared" si="49"/>
        <v>39.206943512138224</v>
      </c>
      <c r="D601" s="42">
        <f t="shared" si="53"/>
        <v>50.699999999999989</v>
      </c>
      <c r="E601" s="88">
        <v>2.1930000000000001</v>
      </c>
      <c r="F601" s="42">
        <f t="shared" si="44"/>
        <v>4.308942344497118</v>
      </c>
      <c r="G601" s="51">
        <f t="shared" si="45"/>
        <v>145</v>
      </c>
      <c r="H601" s="46">
        <f t="shared" si="46"/>
        <v>0.28351130374144262</v>
      </c>
      <c r="I601" s="41">
        <f t="shared" si="47"/>
        <v>0.12821060729090986</v>
      </c>
      <c r="J601" s="41">
        <f t="shared" si="48"/>
        <v>-0.15530069645053277</v>
      </c>
    </row>
    <row r="602" spans="1:10">
      <c r="A602" s="51">
        <f t="shared" si="50"/>
        <v>174</v>
      </c>
      <c r="B602" s="51">
        <v>20</v>
      </c>
      <c r="C602" s="42">
        <f t="shared" si="49"/>
        <v>39.051642815687693</v>
      </c>
      <c r="D602" s="42">
        <f t="shared" si="53"/>
        <v>50.699999999999989</v>
      </c>
      <c r="E602" s="88">
        <v>2.1930000000000001</v>
      </c>
      <c r="F602" s="42">
        <f t="shared" si="44"/>
        <v>4.308942344497118</v>
      </c>
      <c r="G602" s="51">
        <f t="shared" si="45"/>
        <v>145</v>
      </c>
      <c r="H602" s="46">
        <f t="shared" si="46"/>
        <v>0.28351130374144262</v>
      </c>
      <c r="I602" s="41">
        <f t="shared" si="47"/>
        <v>0.12821060729090986</v>
      </c>
      <c r="J602" s="41">
        <f t="shared" si="48"/>
        <v>-0.15530069645053277</v>
      </c>
    </row>
    <row r="603" spans="1:10">
      <c r="A603" s="51">
        <f t="shared" si="50"/>
        <v>175</v>
      </c>
      <c r="B603" s="51">
        <v>20</v>
      </c>
      <c r="C603" s="42">
        <f t="shared" si="49"/>
        <v>38.896342119237161</v>
      </c>
      <c r="D603" s="42">
        <f t="shared" si="53"/>
        <v>50.699999999999989</v>
      </c>
      <c r="E603" s="88">
        <v>2.1930000000000001</v>
      </c>
      <c r="F603" s="42">
        <f t="shared" si="44"/>
        <v>4.308942344497118</v>
      </c>
      <c r="G603" s="51">
        <f t="shared" si="45"/>
        <v>145</v>
      </c>
      <c r="H603" s="46">
        <f t="shared" si="46"/>
        <v>0.28351130374144262</v>
      </c>
      <c r="I603" s="41">
        <f t="shared" si="47"/>
        <v>0.12821060729090986</v>
      </c>
      <c r="J603" s="41">
        <f t="shared" si="48"/>
        <v>-0.15530069645053277</v>
      </c>
    </row>
    <row r="604" spans="1:10">
      <c r="A604" s="51">
        <f t="shared" si="50"/>
        <v>176</v>
      </c>
      <c r="B604" s="51">
        <v>20</v>
      </c>
      <c r="C604" s="42">
        <f t="shared" si="49"/>
        <v>38.74104142278663</v>
      </c>
      <c r="D604" s="42">
        <f t="shared" si="53"/>
        <v>50.699999999999989</v>
      </c>
      <c r="E604" s="88">
        <v>2.1930000000000001</v>
      </c>
      <c r="F604" s="42">
        <f t="shared" si="44"/>
        <v>4.308942344497118</v>
      </c>
      <c r="G604" s="51">
        <f t="shared" si="45"/>
        <v>145</v>
      </c>
      <c r="H604" s="46">
        <f t="shared" si="46"/>
        <v>0.28351130374144262</v>
      </c>
      <c r="I604" s="41">
        <f t="shared" si="47"/>
        <v>0.12821060729090986</v>
      </c>
      <c r="J604" s="41">
        <f t="shared" si="48"/>
        <v>-0.15530069645053277</v>
      </c>
    </row>
    <row r="605" spans="1:10">
      <c r="A605" s="51">
        <f t="shared" si="50"/>
        <v>177</v>
      </c>
      <c r="B605" s="51">
        <v>20</v>
      </c>
      <c r="C605" s="42">
        <f t="shared" si="49"/>
        <v>38.585740726336098</v>
      </c>
      <c r="D605" s="42">
        <f t="shared" si="53"/>
        <v>50.699999999999989</v>
      </c>
      <c r="E605" s="88">
        <v>2.1930000000000001</v>
      </c>
      <c r="F605" s="42">
        <f t="shared" si="44"/>
        <v>4.308942344497118</v>
      </c>
      <c r="G605" s="51">
        <f t="shared" si="45"/>
        <v>145</v>
      </c>
      <c r="H605" s="46">
        <f t="shared" si="46"/>
        <v>0.28351130374144262</v>
      </c>
      <c r="I605" s="41">
        <f t="shared" si="47"/>
        <v>0.12821060729090986</v>
      </c>
      <c r="J605" s="41">
        <f t="shared" si="48"/>
        <v>-0.15530069645053277</v>
      </c>
    </row>
    <row r="606" spans="1:10">
      <c r="A606" s="51">
        <f t="shared" si="50"/>
        <v>178</v>
      </c>
      <c r="B606" s="51">
        <v>20</v>
      </c>
      <c r="C606" s="42">
        <f t="shared" si="49"/>
        <v>38.430440029885567</v>
      </c>
      <c r="D606" s="42">
        <f t="shared" si="53"/>
        <v>50.699999999999989</v>
      </c>
      <c r="E606" s="88">
        <v>2.1930000000000001</v>
      </c>
      <c r="F606" s="42">
        <f t="shared" si="44"/>
        <v>4.308942344497118</v>
      </c>
      <c r="G606" s="51">
        <f t="shared" si="45"/>
        <v>145</v>
      </c>
      <c r="H606" s="46">
        <f t="shared" si="46"/>
        <v>0.28351130374144262</v>
      </c>
      <c r="I606" s="41">
        <f t="shared" si="47"/>
        <v>0.12821060729090986</v>
      </c>
      <c r="J606" s="41">
        <f t="shared" si="48"/>
        <v>-0.15530069645053277</v>
      </c>
    </row>
    <row r="607" spans="1:10">
      <c r="A607" s="51">
        <f t="shared" si="50"/>
        <v>179</v>
      </c>
      <c r="B607" s="51">
        <v>20</v>
      </c>
      <c r="C607" s="42">
        <f t="shared" si="49"/>
        <v>38.275139333435035</v>
      </c>
      <c r="D607" s="42">
        <f t="shared" si="53"/>
        <v>50.699999999999989</v>
      </c>
      <c r="E607" s="88">
        <v>2.1930000000000001</v>
      </c>
      <c r="F607" s="42">
        <f t="shared" si="44"/>
        <v>4.308942344497118</v>
      </c>
      <c r="G607" s="51">
        <f t="shared" si="45"/>
        <v>145</v>
      </c>
      <c r="H607" s="46">
        <f t="shared" si="46"/>
        <v>0.28351130374144262</v>
      </c>
      <c r="I607" s="41">
        <f t="shared" si="47"/>
        <v>0.12821060729090986</v>
      </c>
      <c r="J607" s="41">
        <f t="shared" si="48"/>
        <v>-0.15530069645053277</v>
      </c>
    </row>
    <row r="608" spans="1:10">
      <c r="A608" s="51">
        <f t="shared" si="50"/>
        <v>180</v>
      </c>
      <c r="B608" s="51">
        <v>20</v>
      </c>
      <c r="C608" s="42">
        <f t="shared" si="49"/>
        <v>38.119838636984504</v>
      </c>
      <c r="D608" s="42">
        <f t="shared" si="53"/>
        <v>50.699999999999989</v>
      </c>
      <c r="E608" s="88">
        <v>2.1930000000000001</v>
      </c>
      <c r="F608" s="42">
        <f t="shared" si="44"/>
        <v>4.308942344497118</v>
      </c>
      <c r="G608" s="51">
        <f t="shared" si="45"/>
        <v>145</v>
      </c>
      <c r="H608" s="46">
        <f t="shared" si="46"/>
        <v>0.28351130374144262</v>
      </c>
      <c r="I608" s="41">
        <f t="shared" si="47"/>
        <v>0.12821060729090986</v>
      </c>
      <c r="J608" s="41">
        <f t="shared" si="48"/>
        <v>-0.15530069645053277</v>
      </c>
    </row>
    <row r="609" spans="1:10">
      <c r="A609" s="51">
        <f t="shared" si="50"/>
        <v>181</v>
      </c>
      <c r="B609" s="51">
        <v>20</v>
      </c>
      <c r="C609" s="42">
        <f t="shared" si="49"/>
        <v>37.964537940533972</v>
      </c>
      <c r="D609" s="42">
        <f t="shared" si="53"/>
        <v>50.699999999999989</v>
      </c>
      <c r="E609" s="88">
        <v>2.1930000000000001</v>
      </c>
      <c r="F609" s="42">
        <f t="shared" si="44"/>
        <v>4.308942344497118</v>
      </c>
      <c r="G609" s="51">
        <f t="shared" si="45"/>
        <v>145</v>
      </c>
      <c r="H609" s="46">
        <f t="shared" si="46"/>
        <v>0.28351130374144262</v>
      </c>
      <c r="I609" s="41">
        <f t="shared" si="47"/>
        <v>0.12821060729090986</v>
      </c>
      <c r="J609" s="41">
        <f t="shared" si="48"/>
        <v>-0.15530069645053277</v>
      </c>
    </row>
    <row r="610" spans="1:10">
      <c r="A610" s="51">
        <f t="shared" si="50"/>
        <v>182</v>
      </c>
      <c r="B610" s="51">
        <v>20</v>
      </c>
      <c r="C610" s="42">
        <f t="shared" si="49"/>
        <v>37.809237244083441</v>
      </c>
      <c r="D610" s="42">
        <f t="shared" si="53"/>
        <v>50.699999999999989</v>
      </c>
      <c r="E610" s="88">
        <v>2.1930000000000001</v>
      </c>
      <c r="F610" s="42">
        <f t="shared" si="44"/>
        <v>4.308942344497118</v>
      </c>
      <c r="G610" s="51">
        <f t="shared" si="45"/>
        <v>145</v>
      </c>
      <c r="H610" s="46">
        <f t="shared" si="46"/>
        <v>0.28351130374144262</v>
      </c>
      <c r="I610" s="41">
        <f t="shared" si="47"/>
        <v>0.12821060729090986</v>
      </c>
      <c r="J610" s="41">
        <f t="shared" si="48"/>
        <v>-0.15530069645053277</v>
      </c>
    </row>
    <row r="611" spans="1:10">
      <c r="A611" s="51">
        <f t="shared" si="50"/>
        <v>183</v>
      </c>
      <c r="B611" s="51">
        <v>20</v>
      </c>
      <c r="C611" s="42">
        <f t="shared" si="49"/>
        <v>37.65393654763291</v>
      </c>
      <c r="D611" s="42">
        <f t="shared" si="53"/>
        <v>50.699999999999989</v>
      </c>
      <c r="E611" s="88">
        <v>2.1930000000000001</v>
      </c>
      <c r="F611" s="42">
        <f t="shared" si="44"/>
        <v>4.308942344497118</v>
      </c>
      <c r="G611" s="51">
        <f t="shared" si="45"/>
        <v>145</v>
      </c>
      <c r="H611" s="46">
        <f t="shared" si="46"/>
        <v>0.28351130374144262</v>
      </c>
      <c r="I611" s="41">
        <f t="shared" si="47"/>
        <v>0.12821060729090986</v>
      </c>
      <c r="J611" s="41">
        <f t="shared" si="48"/>
        <v>-0.15530069645053277</v>
      </c>
    </row>
    <row r="612" spans="1:10">
      <c r="A612" s="51">
        <f t="shared" si="50"/>
        <v>184</v>
      </c>
      <c r="B612" s="51">
        <v>20</v>
      </c>
      <c r="C612" s="42">
        <f t="shared" si="49"/>
        <v>37.498635851182378</v>
      </c>
      <c r="D612" s="42">
        <f t="shared" si="53"/>
        <v>50.699999999999989</v>
      </c>
      <c r="E612" s="88">
        <v>2.1930000000000001</v>
      </c>
      <c r="F612" s="42">
        <f t="shared" si="44"/>
        <v>4.308942344497118</v>
      </c>
      <c r="G612" s="51">
        <f t="shared" si="45"/>
        <v>145</v>
      </c>
      <c r="H612" s="46">
        <f t="shared" si="46"/>
        <v>0.28351130374144262</v>
      </c>
      <c r="I612" s="41">
        <f t="shared" si="47"/>
        <v>0.12821060729090986</v>
      </c>
      <c r="J612" s="41">
        <f t="shared" si="48"/>
        <v>-0.15530069645053277</v>
      </c>
    </row>
    <row r="613" spans="1:10">
      <c r="A613" s="51">
        <f t="shared" si="50"/>
        <v>185</v>
      </c>
      <c r="B613" s="51">
        <v>20</v>
      </c>
      <c r="C613" s="42">
        <f t="shared" si="49"/>
        <v>37.343335154731847</v>
      </c>
      <c r="D613" s="42">
        <f t="shared" si="53"/>
        <v>50.699999999999989</v>
      </c>
      <c r="E613" s="88">
        <v>2.1930000000000001</v>
      </c>
      <c r="F613" s="42">
        <f t="shared" si="44"/>
        <v>4.308942344497118</v>
      </c>
      <c r="G613" s="51">
        <f t="shared" si="45"/>
        <v>145</v>
      </c>
      <c r="H613" s="46">
        <f t="shared" si="46"/>
        <v>0.28351130374144262</v>
      </c>
      <c r="I613" s="41">
        <f t="shared" si="47"/>
        <v>0.12821060729090986</v>
      </c>
      <c r="J613" s="41">
        <f t="shared" si="48"/>
        <v>-0.15530069645053277</v>
      </c>
    </row>
    <row r="614" spans="1:10">
      <c r="A614" s="51">
        <f t="shared" si="50"/>
        <v>186</v>
      </c>
      <c r="B614" s="51">
        <v>20</v>
      </c>
      <c r="C614" s="42">
        <f t="shared" si="49"/>
        <v>37.188034458281315</v>
      </c>
      <c r="D614" s="42">
        <f t="shared" si="53"/>
        <v>50.699999999999989</v>
      </c>
      <c r="E614" s="88">
        <v>2.1930000000000001</v>
      </c>
      <c r="F614" s="42">
        <f t="shared" si="44"/>
        <v>4.308942344497118</v>
      </c>
      <c r="G614" s="51">
        <f t="shared" si="45"/>
        <v>145</v>
      </c>
      <c r="H614" s="46">
        <f t="shared" si="46"/>
        <v>0.28351130374144262</v>
      </c>
      <c r="I614" s="41">
        <f t="shared" si="47"/>
        <v>0.12821060729090986</v>
      </c>
      <c r="J614" s="41">
        <f t="shared" si="48"/>
        <v>-0.15530069645053277</v>
      </c>
    </row>
    <row r="615" spans="1:10">
      <c r="A615" s="51">
        <f t="shared" si="50"/>
        <v>187</v>
      </c>
      <c r="B615" s="51">
        <v>20</v>
      </c>
      <c r="C615" s="42">
        <f t="shared" si="49"/>
        <v>37.032733761830784</v>
      </c>
      <c r="D615" s="42">
        <f t="shared" si="53"/>
        <v>50.699999999999989</v>
      </c>
      <c r="E615" s="88">
        <v>2.1930000000000001</v>
      </c>
      <c r="F615" s="42">
        <f t="shared" si="44"/>
        <v>4.308942344497118</v>
      </c>
      <c r="G615" s="51">
        <f t="shared" si="45"/>
        <v>145</v>
      </c>
      <c r="H615" s="46">
        <f t="shared" si="46"/>
        <v>0.28351130374144262</v>
      </c>
      <c r="I615" s="41">
        <f t="shared" si="47"/>
        <v>0.12821060729090986</v>
      </c>
      <c r="J615" s="41">
        <f t="shared" si="48"/>
        <v>-0.15530069645053277</v>
      </c>
    </row>
    <row r="616" spans="1:10">
      <c r="A616" s="51">
        <f t="shared" si="50"/>
        <v>188</v>
      </c>
      <c r="B616" s="51">
        <v>20</v>
      </c>
      <c r="C616" s="42">
        <f t="shared" si="49"/>
        <v>36.877433065380252</v>
      </c>
      <c r="D616" s="42">
        <f t="shared" si="53"/>
        <v>50.699999999999989</v>
      </c>
      <c r="E616" s="88">
        <v>2.1930000000000001</v>
      </c>
      <c r="F616" s="42">
        <f t="shared" si="44"/>
        <v>4.308942344497118</v>
      </c>
      <c r="G616" s="51">
        <f t="shared" si="45"/>
        <v>145</v>
      </c>
      <c r="H616" s="46">
        <f t="shared" si="46"/>
        <v>0.28351130374144262</v>
      </c>
      <c r="I616" s="41">
        <f t="shared" si="47"/>
        <v>0.12821060729090986</v>
      </c>
      <c r="J616" s="41">
        <f t="shared" si="48"/>
        <v>-0.15530069645053277</v>
      </c>
    </row>
    <row r="617" spans="1:10">
      <c r="A617" s="51">
        <f t="shared" si="50"/>
        <v>189</v>
      </c>
      <c r="B617" s="51">
        <v>20</v>
      </c>
      <c r="C617" s="42">
        <f t="shared" si="49"/>
        <v>36.722132368929721</v>
      </c>
      <c r="D617" s="42">
        <f t="shared" si="53"/>
        <v>50.699999999999989</v>
      </c>
      <c r="E617" s="88">
        <v>2.1930000000000001</v>
      </c>
      <c r="F617" s="42">
        <f t="shared" ref="F617:F621" si="54">(D617/448.8)/(3.14*((E617/12)^2)/4)</f>
        <v>4.308942344497118</v>
      </c>
      <c r="G617" s="51">
        <f t="shared" ref="G617:G621" si="55">IF(E617&gt;5,$B$415,IF(5&gt;=E617&gt;1.5,$B$416,IF(1.5&gt;E617,$B$417,0)))</f>
        <v>145</v>
      </c>
      <c r="H617" s="46">
        <f t="shared" ref="H617:H621" si="56">(1050*((D617/G617)^1.852)*(B617/100)*(E617^-4.87))/2.31</f>
        <v>0.28351130374144262</v>
      </c>
      <c r="I617" s="41">
        <f t="shared" ref="I617:I621" si="57">B617*$B$420</f>
        <v>0.12821060729090986</v>
      </c>
      <c r="J617" s="41">
        <f t="shared" ref="J617:J621" si="58">I617-H617</f>
        <v>-0.15530069645053277</v>
      </c>
    </row>
    <row r="618" spans="1:10">
      <c r="A618" s="51">
        <f t="shared" si="50"/>
        <v>190</v>
      </c>
      <c r="B618" s="51">
        <v>20</v>
      </c>
      <c r="C618" s="42">
        <f t="shared" ref="C618:C621" si="59">C617+J617</f>
        <v>36.566831672479189</v>
      </c>
      <c r="D618" s="42">
        <f t="shared" si="53"/>
        <v>50.699999999999989</v>
      </c>
      <c r="E618" s="88">
        <v>2.1930000000000001</v>
      </c>
      <c r="F618" s="42">
        <f t="shared" si="54"/>
        <v>4.308942344497118</v>
      </c>
      <c r="G618" s="51">
        <f t="shared" si="55"/>
        <v>145</v>
      </c>
      <c r="H618" s="46">
        <f t="shared" si="56"/>
        <v>0.28351130374144262</v>
      </c>
      <c r="I618" s="41">
        <f t="shared" si="57"/>
        <v>0.12821060729090986</v>
      </c>
      <c r="J618" s="41">
        <f t="shared" si="58"/>
        <v>-0.15530069645053277</v>
      </c>
    </row>
    <row r="619" spans="1:10">
      <c r="A619" s="51">
        <f t="shared" si="50"/>
        <v>191</v>
      </c>
      <c r="B619" s="51">
        <v>20</v>
      </c>
      <c r="C619" s="42">
        <f t="shared" si="59"/>
        <v>36.411530976028658</v>
      </c>
      <c r="D619" s="42">
        <f t="shared" si="53"/>
        <v>50.699999999999989</v>
      </c>
      <c r="E619" s="88">
        <v>2.1930000000000001</v>
      </c>
      <c r="F619" s="42">
        <f t="shared" si="54"/>
        <v>4.308942344497118</v>
      </c>
      <c r="G619" s="51">
        <f t="shared" si="55"/>
        <v>145</v>
      </c>
      <c r="H619" s="46">
        <f t="shared" si="56"/>
        <v>0.28351130374144262</v>
      </c>
      <c r="I619" s="41">
        <f t="shared" si="57"/>
        <v>0.12821060729090986</v>
      </c>
      <c r="J619" s="41">
        <f t="shared" si="58"/>
        <v>-0.15530069645053277</v>
      </c>
    </row>
    <row r="620" spans="1:10">
      <c r="A620" s="51">
        <f t="shared" si="50"/>
        <v>192</v>
      </c>
      <c r="B620" s="51">
        <v>20</v>
      </c>
      <c r="C620" s="42">
        <f t="shared" si="59"/>
        <v>36.256230279578126</v>
      </c>
      <c r="D620" s="42">
        <f t="shared" si="53"/>
        <v>50.699999999999989</v>
      </c>
      <c r="E620" s="88">
        <v>2.1930000000000001</v>
      </c>
      <c r="F620" s="42">
        <f t="shared" si="54"/>
        <v>4.308942344497118</v>
      </c>
      <c r="G620" s="51">
        <f t="shared" si="55"/>
        <v>145</v>
      </c>
      <c r="H620" s="46">
        <f t="shared" si="56"/>
        <v>0.28351130374144262</v>
      </c>
      <c r="I620" s="41">
        <f t="shared" si="57"/>
        <v>0.12821060729090986</v>
      </c>
      <c r="J620" s="41">
        <f t="shared" si="58"/>
        <v>-0.15530069645053277</v>
      </c>
    </row>
    <row r="621" spans="1:10">
      <c r="A621" s="68" t="s">
        <v>229</v>
      </c>
      <c r="B621" s="69">
        <v>15.7</v>
      </c>
      <c r="C621" s="70">
        <f t="shared" si="59"/>
        <v>36.100929583127595</v>
      </c>
      <c r="D621" s="70">
        <f>D620</f>
        <v>50.699999999999989</v>
      </c>
      <c r="E621" s="86">
        <v>2.1930000000000001</v>
      </c>
      <c r="F621" s="70">
        <f t="shared" si="54"/>
        <v>4.308942344497118</v>
      </c>
      <c r="G621" s="69">
        <f t="shared" si="55"/>
        <v>145</v>
      </c>
      <c r="H621" s="71">
        <f t="shared" si="56"/>
        <v>0.22255637343703238</v>
      </c>
      <c r="I621" s="72">
        <f t="shared" si="57"/>
        <v>0.10064532672336424</v>
      </c>
      <c r="J621" s="72">
        <f t="shared" si="58"/>
        <v>-0.12191104671366815</v>
      </c>
    </row>
    <row r="622" spans="1:10">
      <c r="A622" s="51"/>
    </row>
    <row r="623" spans="1:10">
      <c r="A623" s="51"/>
    </row>
    <row r="624" spans="1:10">
      <c r="A624" s="51"/>
    </row>
    <row r="625" spans="1:4">
      <c r="A625" s="51"/>
      <c r="B625" s="1" t="s">
        <v>204</v>
      </c>
      <c r="C625" s="11">
        <f>MIN(C424:C621)</f>
        <v>36.100929583127595</v>
      </c>
      <c r="D625" t="s">
        <v>199</v>
      </c>
    </row>
    <row r="626" spans="1:4">
      <c r="A626" s="51"/>
      <c r="B626" s="1" t="s">
        <v>205</v>
      </c>
      <c r="C626" s="11">
        <f>MAX(C424:C621)</f>
        <v>41.522564603264968</v>
      </c>
      <c r="D626" t="s">
        <v>199</v>
      </c>
    </row>
    <row r="627" spans="1:4">
      <c r="A627" s="51"/>
      <c r="B627" s="1" t="s">
        <v>192</v>
      </c>
      <c r="C627" s="11">
        <f>AVERAGE(C425:C621)</f>
        <v>39.711770340652762</v>
      </c>
      <c r="D627" t="s">
        <v>199</v>
      </c>
    </row>
    <row r="628" spans="1:4">
      <c r="A628" s="93"/>
      <c r="B628" s="1"/>
      <c r="C628" s="11"/>
    </row>
    <row r="629" spans="1:4">
      <c r="A629" s="93"/>
      <c r="B629" s="1"/>
      <c r="C629" s="11"/>
    </row>
    <row r="630" spans="1:4">
      <c r="A630" s="93"/>
      <c r="B630" s="1"/>
      <c r="C630" s="11"/>
    </row>
    <row r="631" spans="1:4">
      <c r="A631" s="93"/>
      <c r="B631" s="1"/>
      <c r="C631" s="11"/>
    </row>
    <row r="632" spans="1:4">
      <c r="A632" s="52"/>
    </row>
    <row r="633" spans="1:4">
      <c r="A633" s="52"/>
    </row>
    <row r="634" spans="1:4">
      <c r="A634" s="52"/>
    </row>
    <row r="635" spans="1:4">
      <c r="A635" s="52"/>
    </row>
    <row r="636" spans="1:4">
      <c r="A636" s="52"/>
    </row>
    <row r="637" spans="1:4">
      <c r="A637" s="52"/>
    </row>
    <row r="638" spans="1:4">
      <c r="A638" s="52"/>
    </row>
    <row r="639" spans="1:4">
      <c r="A639" s="52"/>
    </row>
    <row r="640" spans="1:4">
      <c r="A640" s="52"/>
    </row>
    <row r="641" spans="1:1">
      <c r="A641" s="52"/>
    </row>
    <row r="642" spans="1:1">
      <c r="A642" s="52"/>
    </row>
    <row r="643" spans="1:1">
      <c r="A643" s="52"/>
    </row>
    <row r="644" spans="1:1">
      <c r="A644" s="52"/>
    </row>
    <row r="645" spans="1:1">
      <c r="A645" s="52"/>
    </row>
    <row r="646" spans="1:1">
      <c r="A646" s="52"/>
    </row>
    <row r="647" spans="1:1">
      <c r="A647" s="52"/>
    </row>
    <row r="648" spans="1:1">
      <c r="A648" s="52"/>
    </row>
    <row r="649" spans="1:1">
      <c r="A649" s="52"/>
    </row>
    <row r="650" spans="1:1">
      <c r="A650" s="52"/>
    </row>
    <row r="651" spans="1:1">
      <c r="A651" s="52"/>
    </row>
    <row r="652" spans="1:1">
      <c r="A652" s="52"/>
    </row>
    <row r="653" spans="1:1">
      <c r="A653" s="52"/>
    </row>
    <row r="654" spans="1:1">
      <c r="A654" s="52"/>
    </row>
    <row r="655" spans="1:1">
      <c r="A655" s="52"/>
    </row>
    <row r="656" spans="1:1">
      <c r="A656" s="52"/>
    </row>
    <row r="657" spans="1:5">
      <c r="A657" s="52"/>
    </row>
    <row r="658" spans="1:5">
      <c r="A658" s="52"/>
    </row>
    <row r="659" spans="1:5">
      <c r="A659" s="52"/>
    </row>
    <row r="660" spans="1:5">
      <c r="A660" s="52"/>
    </row>
    <row r="661" spans="1:5">
      <c r="A661" s="52"/>
    </row>
    <row r="662" spans="1:5">
      <c r="A662" s="52"/>
    </row>
    <row r="663" spans="1:5">
      <c r="A663" s="52"/>
    </row>
    <row r="664" spans="1:5">
      <c r="A664" s="52"/>
    </row>
    <row r="665" spans="1:5">
      <c r="A665" s="52"/>
    </row>
    <row r="666" spans="1:5">
      <c r="A666" s="52"/>
    </row>
    <row r="667" spans="1:5">
      <c r="A667" s="52"/>
    </row>
    <row r="668" spans="1:5">
      <c r="A668" s="51"/>
    </row>
    <row r="669" spans="1:5">
      <c r="A669" s="52"/>
    </row>
    <row r="670" spans="1:5">
      <c r="A670" s="52"/>
    </row>
    <row r="671" spans="1:5" ht="15.75" thickBot="1">
      <c r="A671" s="49" t="s">
        <v>230</v>
      </c>
    </row>
    <row r="672" spans="1:5" ht="27" customHeight="1" thickBot="1">
      <c r="A672" s="105" t="s">
        <v>344</v>
      </c>
      <c r="B672" s="105"/>
      <c r="C672" s="105" t="s">
        <v>343</v>
      </c>
      <c r="D672" s="101" t="s">
        <v>231</v>
      </c>
      <c r="E672" s="101" t="s">
        <v>232</v>
      </c>
    </row>
    <row r="673" spans="1:5" ht="32.25" customHeight="1" thickBot="1">
      <c r="A673" s="105"/>
      <c r="B673" s="105"/>
      <c r="C673" s="105"/>
      <c r="D673" s="102"/>
      <c r="E673" s="102"/>
    </row>
    <row r="674" spans="1:5" ht="28.5" customHeight="1" thickBot="1">
      <c r="A674" s="111" t="s">
        <v>342</v>
      </c>
      <c r="B674" s="111"/>
      <c r="C674" s="89">
        <v>5.2210000000000001</v>
      </c>
      <c r="D674" s="50">
        <v>0</v>
      </c>
      <c r="E674" s="50">
        <v>1559</v>
      </c>
    </row>
    <row r="675" spans="1:5" ht="27" customHeight="1" thickBot="1">
      <c r="A675" s="111" t="s">
        <v>345</v>
      </c>
      <c r="B675" s="111"/>
      <c r="C675" s="89">
        <v>4.2240000000000002</v>
      </c>
      <c r="D675" s="50">
        <v>1141</v>
      </c>
      <c r="E675" s="50">
        <v>1742</v>
      </c>
    </row>
    <row r="676" spans="1:5" ht="33" customHeight="1" thickBot="1">
      <c r="A676" s="111" t="s">
        <v>358</v>
      </c>
      <c r="B676" s="111"/>
      <c r="C676" s="89">
        <v>3.2839999999999998</v>
      </c>
      <c r="D676" s="50">
        <v>360</v>
      </c>
      <c r="E676" s="50">
        <v>0</v>
      </c>
    </row>
    <row r="677" spans="1:5" ht="32.25" customHeight="1" thickBot="1">
      <c r="A677" s="111" t="s">
        <v>346</v>
      </c>
      <c r="B677" s="111"/>
      <c r="C677" s="90">
        <v>2.1930000000000001</v>
      </c>
      <c r="D677" s="17">
        <v>828</v>
      </c>
      <c r="E677" s="92">
        <v>538</v>
      </c>
    </row>
    <row r="678" spans="1:5">
      <c r="A678" s="51"/>
    </row>
    <row r="679" spans="1:5">
      <c r="A679" s="51"/>
      <c r="C679" s="1" t="s">
        <v>233</v>
      </c>
      <c r="D679" s="12">
        <f>SUM(D674:D677)</f>
        <v>2329</v>
      </c>
      <c r="E679" s="12">
        <f>SUM(E674:E677)</f>
        <v>3839</v>
      </c>
    </row>
    <row r="680" spans="1:5">
      <c r="A680" s="51"/>
    </row>
    <row r="681" spans="1:5">
      <c r="A681" s="49" t="s">
        <v>234</v>
      </c>
    </row>
    <row r="682" spans="1:5">
      <c r="A682" s="52"/>
      <c r="B682" s="91" t="s">
        <v>352</v>
      </c>
    </row>
    <row r="683" spans="1:5">
      <c r="A683" s="85"/>
    </row>
    <row r="684" spans="1:5">
      <c r="A684" s="52"/>
      <c r="B684" t="s">
        <v>235</v>
      </c>
    </row>
    <row r="685" spans="1:5">
      <c r="A685" s="52"/>
      <c r="C685">
        <v>2</v>
      </c>
      <c r="D685" t="s">
        <v>236</v>
      </c>
    </row>
    <row r="686" spans="1:5">
      <c r="A686" s="52"/>
      <c r="C686">
        <v>15</v>
      </c>
      <c r="D686" t="s">
        <v>237</v>
      </c>
    </row>
    <row r="687" spans="1:5">
      <c r="A687" s="52"/>
      <c r="C687">
        <v>24</v>
      </c>
      <c r="D687" t="s">
        <v>238</v>
      </c>
    </row>
    <row r="688" spans="1:5">
      <c r="A688" s="52"/>
      <c r="C688">
        <v>15</v>
      </c>
      <c r="D688" t="s">
        <v>239</v>
      </c>
    </row>
    <row r="689" spans="1:4">
      <c r="A689" s="52"/>
      <c r="C689">
        <v>12</v>
      </c>
      <c r="D689" t="s">
        <v>240</v>
      </c>
    </row>
    <row r="690" spans="1:4">
      <c r="A690" s="52"/>
      <c r="C690">
        <v>155</v>
      </c>
      <c r="D690" t="s">
        <v>241</v>
      </c>
    </row>
    <row r="691" spans="1:4">
      <c r="A691" s="80"/>
    </row>
    <row r="692" spans="1:4">
      <c r="A692" s="80"/>
    </row>
    <row r="693" spans="1:4">
      <c r="A693" s="80"/>
    </row>
    <row r="694" spans="1:4">
      <c r="A694" s="52"/>
    </row>
    <row r="695" spans="1:4">
      <c r="A695" s="52"/>
    </row>
    <row r="696" spans="1:4">
      <c r="A696" s="52"/>
    </row>
    <row r="697" spans="1:4">
      <c r="A697" s="52"/>
    </row>
    <row r="698" spans="1:4">
      <c r="A698" s="52"/>
    </row>
    <row r="699" spans="1:4">
      <c r="A699" s="52"/>
    </row>
    <row r="700" spans="1:4">
      <c r="A700" s="52"/>
    </row>
    <row r="701" spans="1:4">
      <c r="A701" s="52"/>
    </row>
    <row r="702" spans="1:4">
      <c r="A702" s="52"/>
    </row>
    <row r="703" spans="1:4">
      <c r="A703" s="52"/>
    </row>
    <row r="704" spans="1:4">
      <c r="A704" s="1" t="s">
        <v>309</v>
      </c>
    </row>
    <row r="705" spans="1:5">
      <c r="A705" s="1"/>
    </row>
    <row r="706" spans="1:5">
      <c r="B706" t="s">
        <v>337</v>
      </c>
    </row>
    <row r="707" spans="1:5">
      <c r="B707" t="s">
        <v>338</v>
      </c>
    </row>
    <row r="708" spans="1:5">
      <c r="B708" t="s">
        <v>351</v>
      </c>
    </row>
    <row r="709" spans="1:5">
      <c r="B709" t="s">
        <v>339</v>
      </c>
    </row>
    <row r="710" spans="1:5">
      <c r="B710" t="s">
        <v>340</v>
      </c>
    </row>
    <row r="712" spans="1:5">
      <c r="A712" s="49" t="s">
        <v>242</v>
      </c>
    </row>
    <row r="713" spans="1:5">
      <c r="A713" s="52"/>
    </row>
    <row r="714" spans="1:5">
      <c r="A714" s="52"/>
      <c r="B714" t="s">
        <v>243</v>
      </c>
    </row>
    <row r="715" spans="1:5">
      <c r="A715" s="52"/>
      <c r="B715" t="s">
        <v>244</v>
      </c>
    </row>
    <row r="716" spans="1:5">
      <c r="A716" s="52"/>
      <c r="B716" t="s">
        <v>245</v>
      </c>
    </row>
    <row r="717" spans="1:5">
      <c r="A717" s="52"/>
      <c r="B717" t="s">
        <v>246</v>
      </c>
    </row>
    <row r="718" spans="1:5">
      <c r="A718" s="52"/>
      <c r="B718" t="s">
        <v>247</v>
      </c>
    </row>
    <row r="719" spans="1:5">
      <c r="A719" s="52"/>
    </row>
    <row r="720" spans="1:5">
      <c r="A720" s="52"/>
      <c r="B720" t="s">
        <v>248</v>
      </c>
      <c r="D720" s="11">
        <f>D424+D289</f>
        <v>470</v>
      </c>
      <c r="E720" t="s">
        <v>123</v>
      </c>
    </row>
    <row r="721" spans="1:13">
      <c r="A721" s="52"/>
      <c r="B721" t="s">
        <v>249</v>
      </c>
      <c r="D721">
        <v>0.09</v>
      </c>
      <c r="E721" t="s">
        <v>250</v>
      </c>
      <c r="F721">
        <f>D721*25.4</f>
        <v>2.2859999999999996</v>
      </c>
      <c r="G721" t="s">
        <v>251</v>
      </c>
    </row>
    <row r="722" spans="1:13">
      <c r="A722" s="52"/>
      <c r="B722" s="98" t="s">
        <v>252</v>
      </c>
      <c r="C722" s="98"/>
      <c r="D722" s="3">
        <f>D721/7</f>
        <v>1.2857142857142857E-2</v>
      </c>
      <c r="E722" t="s">
        <v>250</v>
      </c>
      <c r="F722" s="3">
        <f>D722*25.4</f>
        <v>0.32657142857142857</v>
      </c>
      <c r="G722" t="s">
        <v>251</v>
      </c>
    </row>
    <row r="723" spans="1:13">
      <c r="A723" s="52"/>
    </row>
    <row r="724" spans="1:13">
      <c r="A724" s="14" t="s">
        <v>265</v>
      </c>
    </row>
    <row r="725" spans="1:13" ht="15.75" thickBot="1">
      <c r="E725" s="107" t="s">
        <v>253</v>
      </c>
      <c r="F725" s="107"/>
      <c r="G725" s="107"/>
    </row>
    <row r="726" spans="1:13" ht="15.75" thickTop="1"/>
    <row r="727" spans="1:13" ht="30" customHeight="1" thickBot="1">
      <c r="A727" s="76" t="s">
        <v>254</v>
      </c>
      <c r="B727" s="108" t="s">
        <v>255</v>
      </c>
      <c r="C727" s="109"/>
      <c r="D727" s="109"/>
      <c r="E727" s="110" t="s">
        <v>256</v>
      </c>
      <c r="F727" s="110"/>
      <c r="G727" s="110"/>
      <c r="H727" s="110" t="s">
        <v>266</v>
      </c>
      <c r="I727" s="110"/>
      <c r="J727" s="110"/>
      <c r="K727" s="110"/>
      <c r="L727" s="110"/>
      <c r="M727" s="110"/>
    </row>
    <row r="728" spans="1:13" ht="15.75" thickTop="1">
      <c r="A728" s="52">
        <v>12</v>
      </c>
      <c r="B728" s="99" t="s">
        <v>257</v>
      </c>
      <c r="C728" s="99"/>
      <c r="D728" s="106"/>
      <c r="E728" s="99">
        <v>1.3</v>
      </c>
      <c r="F728" s="99"/>
      <c r="G728" s="99"/>
      <c r="H728" s="99" t="s">
        <v>267</v>
      </c>
      <c r="I728" s="99"/>
      <c r="J728" s="99"/>
      <c r="K728" s="99"/>
      <c r="L728" s="99" t="s">
        <v>268</v>
      </c>
      <c r="M728" s="99"/>
    </row>
    <row r="729" spans="1:13">
      <c r="A729" s="52">
        <v>16</v>
      </c>
      <c r="B729" s="99" t="s">
        <v>257</v>
      </c>
      <c r="C729" s="99"/>
      <c r="D729" s="106"/>
      <c r="E729" s="99">
        <v>0.65</v>
      </c>
      <c r="F729" s="99"/>
      <c r="G729" s="99"/>
      <c r="H729" s="99" t="s">
        <v>258</v>
      </c>
      <c r="I729" s="99"/>
      <c r="J729" s="99"/>
      <c r="K729" s="99"/>
      <c r="L729" s="99" t="s">
        <v>269</v>
      </c>
      <c r="M729" s="99"/>
    </row>
    <row r="730" spans="1:13">
      <c r="A730" s="52">
        <v>8</v>
      </c>
      <c r="B730" s="99" t="s">
        <v>259</v>
      </c>
      <c r="C730" s="106"/>
      <c r="D730" s="106"/>
      <c r="E730" s="99">
        <v>1.5</v>
      </c>
      <c r="F730" s="99"/>
      <c r="G730" s="99"/>
      <c r="H730" s="99" t="s">
        <v>260</v>
      </c>
      <c r="I730" s="99"/>
      <c r="J730" s="99"/>
      <c r="K730" s="99"/>
      <c r="L730" s="99" t="s">
        <v>270</v>
      </c>
      <c r="M730" s="99"/>
    </row>
    <row r="731" spans="1:13">
      <c r="A731" s="79">
        <v>12</v>
      </c>
      <c r="B731" s="114" t="s">
        <v>261</v>
      </c>
      <c r="C731" s="115"/>
      <c r="D731" s="115"/>
      <c r="E731" s="114">
        <v>1.2</v>
      </c>
      <c r="F731" s="114"/>
      <c r="G731" s="114"/>
      <c r="H731" s="114">
        <v>0.11</v>
      </c>
      <c r="I731" s="114"/>
      <c r="J731" s="114"/>
      <c r="K731" s="114"/>
      <c r="L731" s="99" t="s">
        <v>271</v>
      </c>
      <c r="M731" s="99"/>
    </row>
    <row r="732" spans="1:13">
      <c r="A732" s="52">
        <v>20</v>
      </c>
      <c r="B732" s="99" t="s">
        <v>257</v>
      </c>
      <c r="C732" s="106"/>
      <c r="D732" s="106"/>
      <c r="E732" s="99">
        <v>0.5</v>
      </c>
      <c r="F732" s="99"/>
      <c r="G732" s="99"/>
      <c r="H732" s="99">
        <v>0.11</v>
      </c>
      <c r="I732" s="99"/>
      <c r="J732" s="99"/>
      <c r="K732" s="99"/>
      <c r="L732" s="99" t="s">
        <v>271</v>
      </c>
      <c r="M732" s="99"/>
    </row>
    <row r="733" spans="1:13">
      <c r="A733" s="52">
        <v>11</v>
      </c>
      <c r="B733" s="99" t="s">
        <v>259</v>
      </c>
      <c r="C733" s="106"/>
      <c r="D733" s="106"/>
      <c r="E733" s="99">
        <v>0.78</v>
      </c>
      <c r="F733" s="99"/>
      <c r="G733" s="99"/>
      <c r="H733" s="99" t="s">
        <v>262</v>
      </c>
      <c r="I733" s="99"/>
      <c r="J733" s="99"/>
      <c r="K733" s="99"/>
      <c r="L733" s="99" t="s">
        <v>272</v>
      </c>
      <c r="M733" s="99"/>
    </row>
    <row r="734" spans="1:13">
      <c r="A734" s="69">
        <v>16</v>
      </c>
      <c r="B734" s="112" t="s">
        <v>261</v>
      </c>
      <c r="C734" s="113"/>
      <c r="D734" s="113"/>
      <c r="E734" s="112">
        <v>0.7</v>
      </c>
      <c r="F734" s="112"/>
      <c r="G734" s="112"/>
      <c r="H734" s="112" t="s">
        <v>263</v>
      </c>
      <c r="I734" s="112"/>
      <c r="J734" s="112"/>
      <c r="K734" s="112"/>
      <c r="L734" s="112" t="s">
        <v>273</v>
      </c>
      <c r="M734" s="112"/>
    </row>
    <row r="735" spans="1:13" ht="15.75" thickBot="1">
      <c r="A735" s="76">
        <v>20</v>
      </c>
      <c r="B735" s="108" t="s">
        <v>261</v>
      </c>
      <c r="C735" s="109"/>
      <c r="D735" s="109"/>
      <c r="E735" s="108">
        <v>0.47</v>
      </c>
      <c r="F735" s="108"/>
      <c r="G735" s="108"/>
      <c r="H735" s="108" t="s">
        <v>264</v>
      </c>
      <c r="I735" s="108"/>
      <c r="J735" s="108"/>
      <c r="K735" s="108"/>
      <c r="L735" s="108" t="s">
        <v>274</v>
      </c>
      <c r="M735" s="108"/>
    </row>
    <row r="736" spans="1:13" ht="15.75" thickTop="1">
      <c r="B736" s="75" t="s">
        <v>275</v>
      </c>
    </row>
    <row r="737" spans="1:7">
      <c r="B737" s="75"/>
    </row>
    <row r="738" spans="1:7">
      <c r="A738" s="49" t="s">
        <v>308</v>
      </c>
    </row>
    <row r="739" spans="1:7">
      <c r="A739" s="51"/>
    </row>
    <row r="740" spans="1:7" ht="15.75" thickBot="1">
      <c r="A740" s="117" t="s">
        <v>276</v>
      </c>
      <c r="B740" s="117"/>
      <c r="C740" s="117"/>
      <c r="D740" s="117"/>
    </row>
    <row r="741" spans="1:7" ht="30.75" customHeight="1" thickTop="1" thickBot="1">
      <c r="A741" s="118" t="s">
        <v>277</v>
      </c>
      <c r="B741" s="118"/>
      <c r="C741" s="119" t="s">
        <v>278</v>
      </c>
      <c r="D741" s="119"/>
      <c r="F741" s="120" t="s">
        <v>295</v>
      </c>
      <c r="G741" s="120"/>
    </row>
    <row r="742" spans="1:7">
      <c r="A742" s="121">
        <v>50</v>
      </c>
      <c r="B742" s="121"/>
      <c r="C742" s="116">
        <v>35</v>
      </c>
      <c r="D742" s="116"/>
      <c r="F742" s="121" t="s">
        <v>296</v>
      </c>
      <c r="G742" s="121"/>
    </row>
    <row r="743" spans="1:7">
      <c r="A743" s="99">
        <v>100</v>
      </c>
      <c r="B743" s="99"/>
      <c r="C743" s="116">
        <v>75</v>
      </c>
      <c r="D743" s="116"/>
      <c r="F743" s="99" t="s">
        <v>297</v>
      </c>
      <c r="G743" s="99"/>
    </row>
    <row r="744" spans="1:7">
      <c r="A744" s="99">
        <v>150</v>
      </c>
      <c r="B744" s="99"/>
      <c r="C744" s="116">
        <v>105</v>
      </c>
      <c r="D744" s="116"/>
      <c r="F744" s="99" t="s">
        <v>298</v>
      </c>
      <c r="G744" s="99"/>
    </row>
    <row r="745" spans="1:7">
      <c r="A745" s="99" t="s">
        <v>280</v>
      </c>
      <c r="B745" s="99"/>
      <c r="C745" s="116" t="s">
        <v>287</v>
      </c>
      <c r="D745" s="116"/>
      <c r="F745" s="99" t="s">
        <v>299</v>
      </c>
      <c r="G745" s="99"/>
    </row>
    <row r="746" spans="1:7">
      <c r="A746" s="99" t="s">
        <v>279</v>
      </c>
      <c r="B746" s="99"/>
      <c r="C746" s="116" t="s">
        <v>288</v>
      </c>
      <c r="D746" s="116"/>
      <c r="F746" s="99" t="s">
        <v>300</v>
      </c>
      <c r="G746" s="99"/>
    </row>
    <row r="747" spans="1:7">
      <c r="A747" s="99" t="s">
        <v>281</v>
      </c>
      <c r="B747" s="99"/>
      <c r="C747" s="116" t="s">
        <v>289</v>
      </c>
      <c r="D747" s="116"/>
      <c r="F747" s="99" t="s">
        <v>301</v>
      </c>
      <c r="G747" s="99"/>
    </row>
    <row r="748" spans="1:7">
      <c r="A748" s="99" t="s">
        <v>282</v>
      </c>
      <c r="B748" s="99"/>
      <c r="C748" s="122" t="s">
        <v>290</v>
      </c>
      <c r="D748" s="122"/>
      <c r="E748" s="8"/>
      <c r="F748" s="112" t="s">
        <v>302</v>
      </c>
      <c r="G748" s="112"/>
    </row>
    <row r="749" spans="1:7">
      <c r="A749" s="99" t="s">
        <v>283</v>
      </c>
      <c r="B749" s="99"/>
      <c r="C749" s="116" t="s">
        <v>291</v>
      </c>
      <c r="D749" s="116"/>
      <c r="F749" s="99" t="s">
        <v>303</v>
      </c>
      <c r="G749" s="99"/>
    </row>
    <row r="750" spans="1:7">
      <c r="A750" s="99" t="s">
        <v>284</v>
      </c>
      <c r="B750" s="99"/>
      <c r="C750" s="116" t="s">
        <v>292</v>
      </c>
      <c r="D750" s="116"/>
      <c r="F750" s="99" t="s">
        <v>304</v>
      </c>
      <c r="G750" s="99"/>
    </row>
    <row r="751" spans="1:7">
      <c r="A751" s="99" t="s">
        <v>285</v>
      </c>
      <c r="B751" s="99"/>
      <c r="C751" s="116" t="s">
        <v>293</v>
      </c>
      <c r="D751" s="116"/>
      <c r="F751" s="99" t="s">
        <v>305</v>
      </c>
      <c r="G751" s="99"/>
    </row>
    <row r="752" spans="1:7">
      <c r="A752" s="99" t="s">
        <v>286</v>
      </c>
      <c r="B752" s="99"/>
      <c r="C752" s="116" t="s">
        <v>294</v>
      </c>
      <c r="D752" s="116"/>
      <c r="F752" s="99" t="s">
        <v>306</v>
      </c>
      <c r="G752" s="99"/>
    </row>
    <row r="753" spans="1:9">
      <c r="A753" s="77"/>
      <c r="B753" s="75" t="s">
        <v>307</v>
      </c>
      <c r="C753" s="78"/>
      <c r="D753" s="78"/>
    </row>
    <row r="754" spans="1:9">
      <c r="A754" s="51"/>
    </row>
    <row r="755" spans="1:9">
      <c r="A755" s="49" t="s">
        <v>310</v>
      </c>
    </row>
    <row r="756" spans="1:9">
      <c r="A756" s="51"/>
    </row>
    <row r="757" spans="1:9">
      <c r="A757" s="51"/>
      <c r="B757" t="s">
        <v>311</v>
      </c>
    </row>
    <row r="758" spans="1:9">
      <c r="A758" s="51"/>
    </row>
    <row r="759" spans="1:9">
      <c r="A759" s="51"/>
      <c r="B759" s="81" t="s">
        <v>312</v>
      </c>
    </row>
    <row r="760" spans="1:9">
      <c r="A760" s="51"/>
      <c r="C760" s="80">
        <v>3</v>
      </c>
      <c r="D760" t="s">
        <v>315</v>
      </c>
    </row>
    <row r="761" spans="1:9">
      <c r="A761" s="51"/>
      <c r="C761" s="80" t="s">
        <v>313</v>
      </c>
      <c r="D761" t="s">
        <v>261</v>
      </c>
    </row>
    <row r="762" spans="1:9">
      <c r="A762" s="51"/>
      <c r="C762" s="80">
        <v>7</v>
      </c>
      <c r="D762" t="s">
        <v>314</v>
      </c>
    </row>
    <row r="763" spans="1:9">
      <c r="A763" s="51"/>
    </row>
    <row r="764" spans="1:9">
      <c r="A764" s="49" t="s">
        <v>316</v>
      </c>
    </row>
    <row r="765" spans="1:9">
      <c r="A765" s="51"/>
    </row>
    <row r="766" spans="1:9">
      <c r="A766" s="51"/>
      <c r="B766" t="s">
        <v>317</v>
      </c>
      <c r="G766" s="80" t="s">
        <v>318</v>
      </c>
      <c r="H766" s="80">
        <v>38</v>
      </c>
      <c r="I766" t="s">
        <v>127</v>
      </c>
    </row>
    <row r="767" spans="1:9">
      <c r="A767" s="51"/>
      <c r="B767" s="82" t="s">
        <v>319</v>
      </c>
      <c r="G767" s="80" t="s">
        <v>318</v>
      </c>
      <c r="H767" s="80">
        <f>C762</f>
        <v>7</v>
      </c>
      <c r="I767" t="s">
        <v>127</v>
      </c>
    </row>
    <row r="768" spans="1:9">
      <c r="A768" s="51"/>
      <c r="B768" t="s">
        <v>320</v>
      </c>
      <c r="G768" s="80" t="s">
        <v>318</v>
      </c>
      <c r="H768" s="80">
        <v>0.5</v>
      </c>
      <c r="I768" t="s">
        <v>127</v>
      </c>
    </row>
    <row r="769" spans="1:9">
      <c r="A769" s="51"/>
      <c r="B769" t="s">
        <v>324</v>
      </c>
      <c r="G769" s="80" t="s">
        <v>318</v>
      </c>
      <c r="H769" s="80">
        <v>6</v>
      </c>
      <c r="I769" t="s">
        <v>127</v>
      </c>
    </row>
    <row r="770" spans="1:9">
      <c r="A770" s="51"/>
      <c r="B770" t="s">
        <v>321</v>
      </c>
      <c r="G770" s="80" t="s">
        <v>318</v>
      </c>
      <c r="H770" s="80" t="s">
        <v>322</v>
      </c>
    </row>
    <row r="771" spans="1:9">
      <c r="A771" s="51"/>
      <c r="G771" s="80"/>
      <c r="H771" s="80"/>
    </row>
    <row r="772" spans="1:9">
      <c r="A772" s="51"/>
      <c r="E772" s="7"/>
      <c r="F772" s="7" t="s">
        <v>323</v>
      </c>
      <c r="G772" s="83" t="s">
        <v>318</v>
      </c>
      <c r="H772" s="83">
        <f>SUM(H766:H769)</f>
        <v>51.5</v>
      </c>
      <c r="I772" s="7" t="s">
        <v>127</v>
      </c>
    </row>
    <row r="773" spans="1:9">
      <c r="A773" s="51"/>
      <c r="E773" s="7" t="s">
        <v>328</v>
      </c>
      <c r="F773" s="7"/>
      <c r="G773" s="83" t="s">
        <v>318</v>
      </c>
      <c r="H773" s="84">
        <f>D424+D289</f>
        <v>470</v>
      </c>
      <c r="I773" s="7" t="s">
        <v>123</v>
      </c>
    </row>
    <row r="774" spans="1:9">
      <c r="A774" s="80"/>
    </row>
    <row r="775" spans="1:9">
      <c r="A775" s="51"/>
      <c r="B775" t="s">
        <v>325</v>
      </c>
    </row>
    <row r="776" spans="1:9">
      <c r="A776" s="51"/>
      <c r="B776" t="s">
        <v>326</v>
      </c>
    </row>
    <row r="777" spans="1:9">
      <c r="A777" s="51"/>
      <c r="B777" t="s">
        <v>327</v>
      </c>
    </row>
    <row r="778" spans="1:9">
      <c r="A778" s="51"/>
    </row>
    <row r="779" spans="1:9">
      <c r="A779" s="51"/>
    </row>
    <row r="780" spans="1:9">
      <c r="A780" s="51"/>
    </row>
    <row r="781" spans="1:9">
      <c r="A781" s="51"/>
    </row>
    <row r="782" spans="1:9">
      <c r="A782" s="51"/>
    </row>
    <row r="783" spans="1:9">
      <c r="A783" s="51"/>
    </row>
    <row r="784" spans="1:9">
      <c r="A784" s="51"/>
    </row>
    <row r="785" spans="1:1">
      <c r="A785" s="51"/>
    </row>
    <row r="786" spans="1:1">
      <c r="A786" s="51"/>
    </row>
    <row r="787" spans="1:1">
      <c r="A787" s="51"/>
    </row>
    <row r="788" spans="1:1">
      <c r="A788" s="51"/>
    </row>
    <row r="789" spans="1:1">
      <c r="A789" s="51"/>
    </row>
    <row r="790" spans="1:1">
      <c r="A790" s="51"/>
    </row>
    <row r="791" spans="1:1">
      <c r="A791" s="51"/>
    </row>
    <row r="792" spans="1:1">
      <c r="A792" s="51"/>
    </row>
    <row r="793" spans="1:1">
      <c r="A793" s="51"/>
    </row>
    <row r="794" spans="1:1">
      <c r="A794" s="51"/>
    </row>
    <row r="795" spans="1:1">
      <c r="A795" s="51"/>
    </row>
    <row r="796" spans="1:1">
      <c r="A796" s="51"/>
    </row>
    <row r="797" spans="1:1">
      <c r="A797" s="51"/>
    </row>
    <row r="798" spans="1:1">
      <c r="A798" s="51"/>
    </row>
    <row r="799" spans="1:1">
      <c r="A799" s="51"/>
    </row>
    <row r="800" spans="1:1">
      <c r="A800" s="51"/>
    </row>
    <row r="801" spans="1:1">
      <c r="A801" s="51"/>
    </row>
    <row r="802" spans="1:1">
      <c r="A802" s="51"/>
    </row>
    <row r="803" spans="1:1">
      <c r="A803" s="51"/>
    </row>
    <row r="804" spans="1:1">
      <c r="A804" s="51"/>
    </row>
    <row r="805" spans="1:1">
      <c r="A805" s="51"/>
    </row>
    <row r="806" spans="1:1">
      <c r="A806" s="51"/>
    </row>
    <row r="807" spans="1:1">
      <c r="A807" s="51"/>
    </row>
    <row r="808" spans="1:1">
      <c r="A808" s="51"/>
    </row>
    <row r="809" spans="1:1">
      <c r="A809" s="51"/>
    </row>
    <row r="810" spans="1:1">
      <c r="A810" s="51"/>
    </row>
    <row r="811" spans="1:1">
      <c r="A811" s="51"/>
    </row>
    <row r="812" spans="1:1">
      <c r="A812" s="51"/>
    </row>
    <row r="813" spans="1:1">
      <c r="A813" s="51"/>
    </row>
    <row r="814" spans="1:1">
      <c r="A814" s="51"/>
    </row>
    <row r="815" spans="1:1">
      <c r="A815" s="51"/>
    </row>
    <row r="816" spans="1:1">
      <c r="A816" s="51"/>
    </row>
    <row r="817" spans="1:1">
      <c r="A817" s="51"/>
    </row>
    <row r="818" spans="1:1">
      <c r="A818" s="51"/>
    </row>
    <row r="819" spans="1:1">
      <c r="A819" s="51"/>
    </row>
    <row r="820" spans="1:1">
      <c r="A820" s="51"/>
    </row>
    <row r="821" spans="1:1">
      <c r="A821" s="51"/>
    </row>
    <row r="822" spans="1:1">
      <c r="A822" s="51"/>
    </row>
    <row r="823" spans="1:1">
      <c r="A823" s="51"/>
    </row>
    <row r="824" spans="1:1">
      <c r="A824" s="51"/>
    </row>
    <row r="825" spans="1:1">
      <c r="A825" s="51"/>
    </row>
    <row r="826" spans="1:1">
      <c r="A826" s="51"/>
    </row>
    <row r="827" spans="1:1">
      <c r="A827" s="51"/>
    </row>
    <row r="828" spans="1:1">
      <c r="A828" s="51"/>
    </row>
    <row r="829" spans="1:1">
      <c r="A829" s="51"/>
    </row>
    <row r="830" spans="1:1">
      <c r="A830" s="51"/>
    </row>
    <row r="831" spans="1:1">
      <c r="A831" s="51"/>
    </row>
    <row r="832" spans="1:1">
      <c r="A832" s="51"/>
    </row>
    <row r="833" spans="1:1">
      <c r="A833" s="51"/>
    </row>
    <row r="834" spans="1:1">
      <c r="A834" s="51"/>
    </row>
    <row r="835" spans="1:1">
      <c r="A835" s="51"/>
    </row>
    <row r="836" spans="1:1">
      <c r="A836" s="51"/>
    </row>
    <row r="837" spans="1:1">
      <c r="A837" s="51"/>
    </row>
    <row r="838" spans="1:1">
      <c r="A838" s="51"/>
    </row>
    <row r="839" spans="1:1">
      <c r="A839" s="51"/>
    </row>
    <row r="840" spans="1:1">
      <c r="A840" s="51"/>
    </row>
    <row r="841" spans="1:1">
      <c r="A841" s="51"/>
    </row>
    <row r="842" spans="1:1">
      <c r="A842" s="51"/>
    </row>
    <row r="843" spans="1:1">
      <c r="A843" s="51"/>
    </row>
    <row r="844" spans="1:1">
      <c r="A844" s="51"/>
    </row>
    <row r="845" spans="1:1">
      <c r="A845" s="51"/>
    </row>
    <row r="846" spans="1:1">
      <c r="A846" s="51"/>
    </row>
    <row r="847" spans="1:1">
      <c r="A847" s="51"/>
    </row>
    <row r="848" spans="1:1">
      <c r="A848" s="51"/>
    </row>
    <row r="849" spans="1:1">
      <c r="A849" s="51"/>
    </row>
    <row r="850" spans="1:1">
      <c r="A850" s="51"/>
    </row>
    <row r="851" spans="1:1">
      <c r="A851" s="51"/>
    </row>
    <row r="852" spans="1:1">
      <c r="A852" s="51"/>
    </row>
    <row r="853" spans="1:1">
      <c r="A853" s="51"/>
    </row>
    <row r="854" spans="1:1">
      <c r="A854" s="51"/>
    </row>
    <row r="855" spans="1:1">
      <c r="A855" s="51"/>
    </row>
    <row r="856" spans="1:1">
      <c r="A856" s="51"/>
    </row>
    <row r="857" spans="1:1">
      <c r="A857" s="51"/>
    </row>
    <row r="858" spans="1:1">
      <c r="A858" s="51"/>
    </row>
    <row r="859" spans="1:1">
      <c r="A859" s="51"/>
    </row>
    <row r="860" spans="1:1">
      <c r="A860" s="51"/>
    </row>
    <row r="861" spans="1:1">
      <c r="A861" s="51"/>
    </row>
    <row r="862" spans="1:1">
      <c r="A862" s="51"/>
    </row>
    <row r="863" spans="1:1">
      <c r="A863" s="51"/>
    </row>
    <row r="864" spans="1:1">
      <c r="A864" s="51"/>
    </row>
    <row r="865" spans="1:1">
      <c r="A865" s="51"/>
    </row>
    <row r="866" spans="1:1">
      <c r="A866" s="51"/>
    </row>
    <row r="867" spans="1:1">
      <c r="A867" s="51"/>
    </row>
    <row r="868" spans="1:1">
      <c r="A868" s="51"/>
    </row>
    <row r="869" spans="1:1">
      <c r="A869" s="51"/>
    </row>
    <row r="870" spans="1:1">
      <c r="A870" s="51"/>
    </row>
    <row r="871" spans="1:1">
      <c r="A871" s="51"/>
    </row>
    <row r="872" spans="1:1">
      <c r="A872" s="51"/>
    </row>
    <row r="873" spans="1:1">
      <c r="A873" s="51"/>
    </row>
    <row r="874" spans="1:1">
      <c r="A874" s="51"/>
    </row>
    <row r="875" spans="1:1">
      <c r="A875" s="51"/>
    </row>
    <row r="876" spans="1:1">
      <c r="A876" s="51"/>
    </row>
    <row r="877" spans="1:1">
      <c r="A877" s="51"/>
    </row>
    <row r="878" spans="1:1">
      <c r="A878" s="51"/>
    </row>
    <row r="879" spans="1:1">
      <c r="A879" s="51"/>
    </row>
    <row r="880" spans="1:1">
      <c r="A880" s="51"/>
    </row>
    <row r="881" spans="1:1">
      <c r="A881" s="51"/>
    </row>
    <row r="882" spans="1:1">
      <c r="A882" s="51"/>
    </row>
    <row r="883" spans="1:1">
      <c r="A883" s="51"/>
    </row>
    <row r="884" spans="1:1">
      <c r="A884" s="51"/>
    </row>
    <row r="885" spans="1:1">
      <c r="A885" s="51"/>
    </row>
    <row r="886" spans="1:1">
      <c r="A886" s="51"/>
    </row>
    <row r="887" spans="1:1">
      <c r="A887" s="51"/>
    </row>
    <row r="888" spans="1:1">
      <c r="A888" s="51"/>
    </row>
    <row r="889" spans="1:1">
      <c r="A889" s="51"/>
    </row>
    <row r="890" spans="1:1">
      <c r="A890" s="51"/>
    </row>
    <row r="891" spans="1:1">
      <c r="A891" s="51"/>
    </row>
    <row r="892" spans="1:1">
      <c r="A892" s="51"/>
    </row>
    <row r="893" spans="1:1">
      <c r="A893" s="51"/>
    </row>
    <row r="894" spans="1:1">
      <c r="A894" s="51"/>
    </row>
    <row r="895" spans="1:1">
      <c r="A895" s="51"/>
    </row>
    <row r="896" spans="1:1">
      <c r="A896" s="51"/>
    </row>
    <row r="897" spans="1:1">
      <c r="A897" s="51"/>
    </row>
    <row r="898" spans="1:1">
      <c r="A898" s="51"/>
    </row>
    <row r="899" spans="1:1">
      <c r="A899" s="51"/>
    </row>
    <row r="900" spans="1:1">
      <c r="A900" s="51"/>
    </row>
    <row r="901" spans="1:1">
      <c r="A901" s="51"/>
    </row>
    <row r="902" spans="1:1">
      <c r="A902" s="51"/>
    </row>
    <row r="903" spans="1:1">
      <c r="A903" s="51"/>
    </row>
    <row r="904" spans="1:1">
      <c r="A904" s="51"/>
    </row>
    <row r="905" spans="1:1">
      <c r="A905" s="51"/>
    </row>
    <row r="906" spans="1:1">
      <c r="A906" s="51"/>
    </row>
    <row r="907" spans="1:1">
      <c r="A907" s="51"/>
    </row>
    <row r="908" spans="1:1">
      <c r="A908" s="51"/>
    </row>
    <row r="909" spans="1:1">
      <c r="A909" s="51"/>
    </row>
    <row r="910" spans="1:1">
      <c r="A910" s="51"/>
    </row>
    <row r="911" spans="1:1">
      <c r="A911" s="51"/>
    </row>
    <row r="912" spans="1:1">
      <c r="A912" s="51"/>
    </row>
    <row r="913" spans="1:1">
      <c r="A913" s="51"/>
    </row>
    <row r="914" spans="1:1">
      <c r="A914" s="51"/>
    </row>
    <row r="915" spans="1:1">
      <c r="A915" s="51"/>
    </row>
    <row r="916" spans="1:1">
      <c r="A916" s="51"/>
    </row>
    <row r="917" spans="1:1">
      <c r="A917" s="51"/>
    </row>
    <row r="918" spans="1:1">
      <c r="A918" s="51"/>
    </row>
    <row r="919" spans="1:1">
      <c r="A919" s="51"/>
    </row>
    <row r="920" spans="1:1">
      <c r="A920" s="51"/>
    </row>
    <row r="921" spans="1:1">
      <c r="A921" s="51"/>
    </row>
    <row r="922" spans="1:1">
      <c r="A922" s="51"/>
    </row>
    <row r="923" spans="1:1">
      <c r="A923" s="51"/>
    </row>
    <row r="924" spans="1:1">
      <c r="A924" s="51"/>
    </row>
  </sheetData>
  <mergeCells count="103">
    <mergeCell ref="A740:D740"/>
    <mergeCell ref="A741:B741"/>
    <mergeCell ref="C741:D741"/>
    <mergeCell ref="F746:G746"/>
    <mergeCell ref="F747:G747"/>
    <mergeCell ref="F748:G748"/>
    <mergeCell ref="F741:G741"/>
    <mergeCell ref="F742:G742"/>
    <mergeCell ref="F743:G743"/>
    <mergeCell ref="F744:G744"/>
    <mergeCell ref="F745:G745"/>
    <mergeCell ref="A742:B742"/>
    <mergeCell ref="A743:B743"/>
    <mergeCell ref="A744:B744"/>
    <mergeCell ref="A745:B745"/>
    <mergeCell ref="A746:B746"/>
    <mergeCell ref="A747:B747"/>
    <mergeCell ref="C744:D744"/>
    <mergeCell ref="C745:D745"/>
    <mergeCell ref="C746:D746"/>
    <mergeCell ref="C747:D747"/>
    <mergeCell ref="C748:D748"/>
    <mergeCell ref="C742:D742"/>
    <mergeCell ref="C743:D743"/>
    <mergeCell ref="A749:B749"/>
    <mergeCell ref="A750:B750"/>
    <mergeCell ref="A751:B751"/>
    <mergeCell ref="A752:B752"/>
    <mergeCell ref="C749:D749"/>
    <mergeCell ref="C750:D750"/>
    <mergeCell ref="C751:D751"/>
    <mergeCell ref="C752:D752"/>
    <mergeCell ref="F751:G751"/>
    <mergeCell ref="F752:G752"/>
    <mergeCell ref="F749:G749"/>
    <mergeCell ref="F750:G750"/>
    <mergeCell ref="A748:B748"/>
    <mergeCell ref="B735:D735"/>
    <mergeCell ref="E735:G735"/>
    <mergeCell ref="H735:K735"/>
    <mergeCell ref="H727:M727"/>
    <mergeCell ref="L728:M728"/>
    <mergeCell ref="L729:M729"/>
    <mergeCell ref="L730:M730"/>
    <mergeCell ref="L731:M731"/>
    <mergeCell ref="L732:M732"/>
    <mergeCell ref="L733:M733"/>
    <mergeCell ref="L734:M734"/>
    <mergeCell ref="L735:M735"/>
    <mergeCell ref="B733:D733"/>
    <mergeCell ref="E733:G733"/>
    <mergeCell ref="H733:K733"/>
    <mergeCell ref="B734:D734"/>
    <mergeCell ref="E734:G734"/>
    <mergeCell ref="H734:K734"/>
    <mergeCell ref="B731:D731"/>
    <mergeCell ref="E731:G731"/>
    <mergeCell ref="H731:K731"/>
    <mergeCell ref="B732:D732"/>
    <mergeCell ref="E732:G732"/>
    <mergeCell ref="H732:K732"/>
    <mergeCell ref="C672:C673"/>
    <mergeCell ref="D672:D673"/>
    <mergeCell ref="B729:D729"/>
    <mergeCell ref="E729:G729"/>
    <mergeCell ref="H729:K729"/>
    <mergeCell ref="B730:D730"/>
    <mergeCell ref="E730:G730"/>
    <mergeCell ref="H730:K730"/>
    <mergeCell ref="E725:G725"/>
    <mergeCell ref="B727:D727"/>
    <mergeCell ref="E727:G727"/>
    <mergeCell ref="B728:D728"/>
    <mergeCell ref="E728:G728"/>
    <mergeCell ref="H728:K728"/>
    <mergeCell ref="E672:E673"/>
    <mergeCell ref="A674:B674"/>
    <mergeCell ref="A672:B673"/>
    <mergeCell ref="A675:B675"/>
    <mergeCell ref="A676:B676"/>
    <mergeCell ref="A677:B677"/>
    <mergeCell ref="A221:A222"/>
    <mergeCell ref="B221:E221"/>
    <mergeCell ref="B722:C722"/>
    <mergeCell ref="B147:E147"/>
    <mergeCell ref="F147:K147"/>
    <mergeCell ref="A147:A148"/>
    <mergeCell ref="D74:G74"/>
    <mergeCell ref="A69:B69"/>
    <mergeCell ref="A71:B71"/>
    <mergeCell ref="A72:B72"/>
    <mergeCell ref="A73:B73"/>
    <mergeCell ref="A74:B74"/>
    <mergeCell ref="D70:G70"/>
    <mergeCell ref="D69:G69"/>
    <mergeCell ref="D71:G71"/>
    <mergeCell ref="D72:G72"/>
    <mergeCell ref="D73:G73"/>
    <mergeCell ref="F221:K221"/>
    <mergeCell ref="A232:A233"/>
    <mergeCell ref="B232:E232"/>
    <mergeCell ref="F232:K232"/>
    <mergeCell ref="B192:B193"/>
  </mergeCells>
  <printOptions headings="1" gridLines="1"/>
  <pageMargins left="1" right="0" top="1" bottom="0" header="0.5" footer="0"/>
  <pageSetup scale="70" firstPageNumber="19" orientation="portrait" useFirstPageNumber="1" r:id="rId1"/>
  <headerFooter>
    <oddHeader>&amp;R&amp;P</oddHeader>
  </headerFooter>
  <drawing r:id="rId2"/>
</worksheet>
</file>

<file path=xl/worksheets/sheet2.xml><?xml version="1.0" encoding="utf-8"?>
<worksheet xmlns="http://schemas.openxmlformats.org/spreadsheetml/2006/main" xmlns:r="http://schemas.openxmlformats.org/officeDocument/2006/relationships">
  <dimension ref="A1:L94"/>
  <sheetViews>
    <sheetView tabSelected="1" topLeftCell="A35" zoomScaleNormal="100" workbookViewId="0">
      <selection activeCell="F83" sqref="F83"/>
    </sheetView>
  </sheetViews>
  <sheetFormatPr defaultRowHeight="15"/>
  <cols>
    <col min="1" max="1" width="8.140625" customWidth="1"/>
    <col min="4" max="4" width="9.42578125" customWidth="1"/>
    <col min="6" max="6" width="9.28515625" customWidth="1"/>
    <col min="7" max="7" width="7.5703125" customWidth="1"/>
    <col min="8" max="8" width="8.85546875" customWidth="1"/>
    <col min="9" max="9" width="8" customWidth="1"/>
  </cols>
  <sheetData>
    <row r="1" spans="1:3" s="1" customFormat="1">
      <c r="A1" s="1" t="s">
        <v>357</v>
      </c>
    </row>
    <row r="3" spans="1:3">
      <c r="A3" s="1" t="s">
        <v>171</v>
      </c>
    </row>
    <row r="6" spans="1:3">
      <c r="B6">
        <v>150</v>
      </c>
      <c r="C6" t="s">
        <v>177</v>
      </c>
    </row>
    <row r="7" spans="1:3">
      <c r="B7">
        <v>145</v>
      </c>
      <c r="C7" t="s">
        <v>176</v>
      </c>
    </row>
    <row r="8" spans="1:3">
      <c r="B8">
        <v>140</v>
      </c>
      <c r="C8" t="s">
        <v>178</v>
      </c>
    </row>
    <row r="9" spans="1:3">
      <c r="B9">
        <v>10</v>
      </c>
      <c r="C9" t="s">
        <v>179</v>
      </c>
    </row>
    <row r="10" spans="1:3">
      <c r="B10">
        <v>743.9</v>
      </c>
      <c r="C10" t="s">
        <v>180</v>
      </c>
    </row>
    <row r="11" spans="1:3">
      <c r="B11" s="3">
        <f>B9/B10</f>
        <v>1.3442667025137788E-2</v>
      </c>
      <c r="C11" t="s">
        <v>181</v>
      </c>
    </row>
    <row r="12" spans="1:3">
      <c r="B12">
        <v>0.5</v>
      </c>
      <c r="C12" t="s">
        <v>69</v>
      </c>
    </row>
    <row r="13" spans="1:3">
      <c r="B13" s="21">
        <f>B12/60</f>
        <v>8.3333333333333332E-3</v>
      </c>
      <c r="C13" t="s">
        <v>185</v>
      </c>
    </row>
    <row r="14" spans="1:3">
      <c r="B14" s="21">
        <v>3.0449999999999999</v>
      </c>
      <c r="C14" t="s">
        <v>186</v>
      </c>
    </row>
    <row r="15" spans="1:3">
      <c r="B15" s="21"/>
    </row>
    <row r="16" spans="1:3">
      <c r="B16" s="21"/>
    </row>
    <row r="17" spans="1:12">
      <c r="B17" s="11" t="s">
        <v>330</v>
      </c>
    </row>
    <row r="18" spans="1:12">
      <c r="B18" s="11" t="s">
        <v>331</v>
      </c>
    </row>
    <row r="19" spans="1:12">
      <c r="B19" s="11"/>
    </row>
    <row r="20" spans="1:12">
      <c r="A20" s="1" t="s">
        <v>172</v>
      </c>
    </row>
    <row r="21" spans="1:12" ht="30">
      <c r="A21" s="27" t="s">
        <v>173</v>
      </c>
      <c r="B21" s="44" t="s">
        <v>183</v>
      </c>
      <c r="C21" s="24" t="s">
        <v>184</v>
      </c>
      <c r="D21" s="24" t="s">
        <v>182</v>
      </c>
      <c r="E21" s="27" t="s">
        <v>116</v>
      </c>
      <c r="F21" s="24" t="s">
        <v>123</v>
      </c>
      <c r="G21" s="26" t="s">
        <v>175</v>
      </c>
      <c r="H21" s="24" t="s">
        <v>200</v>
      </c>
      <c r="I21" s="26" t="s">
        <v>187</v>
      </c>
      <c r="J21" s="27" t="s">
        <v>119</v>
      </c>
      <c r="K21" s="24" t="s">
        <v>120</v>
      </c>
      <c r="L21" s="24" t="s">
        <v>121</v>
      </c>
    </row>
    <row r="22" spans="1:12">
      <c r="A22" s="40" t="s">
        <v>174</v>
      </c>
      <c r="B22" s="28">
        <v>0</v>
      </c>
      <c r="C22" s="43">
        <v>0</v>
      </c>
      <c r="D22" s="43">
        <v>25</v>
      </c>
      <c r="E22" s="28">
        <v>0</v>
      </c>
      <c r="F22" s="42">
        <v>52.5</v>
      </c>
      <c r="G22" s="51">
        <v>2.1930000000000001</v>
      </c>
      <c r="H22" s="42">
        <f>(F22/448.8)/(3.14*((G22/12)^2)/4)</f>
        <v>4.4619225460768988</v>
      </c>
      <c r="I22" s="28">
        <f>IF(G22&gt;5,$B$6,IF(5&gt;=G22&gt;1.5,$B$7,IF(1.5&gt;G22,$B$8,0)))</f>
        <v>145</v>
      </c>
      <c r="J22" s="46">
        <f t="shared" ref="J22:J50" si="0">(1050*((F22/I22)^1.852)*(E22/100)*(G22^-4.87))/2.31</f>
        <v>0</v>
      </c>
      <c r="K22" s="41">
        <f>E22*$B$11</f>
        <v>0</v>
      </c>
      <c r="L22" s="41">
        <f>K22-J22</f>
        <v>0</v>
      </c>
    </row>
    <row r="23" spans="1:12">
      <c r="A23" s="28">
        <v>1</v>
      </c>
      <c r="B23" s="28">
        <v>22.3</v>
      </c>
      <c r="C23" s="41">
        <f>(B23/$B$14)*$B$13</f>
        <v>6.1029009304871373E-2</v>
      </c>
      <c r="D23" s="42">
        <f t="shared" ref="D23:D50" si="1">D22+L22</f>
        <v>25</v>
      </c>
      <c r="E23" s="28">
        <v>15.5</v>
      </c>
      <c r="F23" s="46">
        <f>F22-C23</f>
        <v>52.438970990695125</v>
      </c>
      <c r="G23" s="85">
        <v>2.1930000000000001</v>
      </c>
      <c r="H23" s="42">
        <f t="shared" ref="H23:H86" si="2">(F23/448.8)/(3.14*((G23/12)^2)/4)</f>
        <v>4.4567357515515242</v>
      </c>
      <c r="I23" s="28">
        <f>IF(G23&gt;5,$B$6,IF(5&gt;=G23&gt;1.5,$B$7,IF(1.5&gt;G23,$B$8,0)))</f>
        <v>145</v>
      </c>
      <c r="J23" s="41">
        <f t="shared" si="0"/>
        <v>0.23388202587070506</v>
      </c>
      <c r="K23" s="41">
        <f>E23*$B$11</f>
        <v>0.20836133888963571</v>
      </c>
      <c r="L23" s="41">
        <f>K23-J23</f>
        <v>-2.5520686981069352E-2</v>
      </c>
    </row>
    <row r="24" spans="1:12">
      <c r="A24" s="28">
        <f>A23+1</f>
        <v>2</v>
      </c>
      <c r="B24" s="28">
        <v>33.5</v>
      </c>
      <c r="C24" s="41">
        <f t="shared" ref="C24:C87" si="3">(B24/$B$14)*$B$13</f>
        <v>9.1680350301039951E-2</v>
      </c>
      <c r="D24" s="42">
        <f t="shared" si="1"/>
        <v>24.974479313018932</v>
      </c>
      <c r="E24" s="28">
        <v>7.7</v>
      </c>
      <c r="F24" s="46">
        <f t="shared" ref="F24:F50" si="4">F23-C24</f>
        <v>52.347290640394085</v>
      </c>
      <c r="G24" s="85">
        <v>2.1930000000000001</v>
      </c>
      <c r="H24" s="42">
        <f t="shared" si="2"/>
        <v>4.4489439301793254</v>
      </c>
      <c r="I24" s="28">
        <f t="shared" ref="I24:I70" si="5">IF(G24&gt;5,$B$6,IF(5&gt;=G24&gt;1.5,$B$7,IF(1.5&gt;G24,$B$8,0)))</f>
        <v>145</v>
      </c>
      <c r="J24" s="41">
        <f t="shared" si="0"/>
        <v>0.11581063485457307</v>
      </c>
      <c r="K24" s="41">
        <f t="shared" ref="K24:K70" si="6">E24*$B$11</f>
        <v>0.10350853609356096</v>
      </c>
      <c r="L24" s="41">
        <f t="shared" ref="L24:L70" si="7">K24-J24</f>
        <v>-1.2302098761012112E-2</v>
      </c>
    </row>
    <row r="25" spans="1:12">
      <c r="A25" s="28">
        <f t="shared" ref="A25:A49" si="8">A24+1</f>
        <v>3</v>
      </c>
      <c r="B25" s="28">
        <v>44.6</v>
      </c>
      <c r="C25" s="41">
        <f t="shared" si="3"/>
        <v>0.12205801860974275</v>
      </c>
      <c r="D25" s="42">
        <f t="shared" si="1"/>
        <v>24.96217721425792</v>
      </c>
      <c r="E25" s="28">
        <v>7.7</v>
      </c>
      <c r="F25" s="46">
        <f t="shared" si="4"/>
        <v>52.225232621784343</v>
      </c>
      <c r="G25" s="85">
        <v>2.1930000000000001</v>
      </c>
      <c r="H25" s="42">
        <f t="shared" si="2"/>
        <v>4.4385703411285773</v>
      </c>
      <c r="I25" s="28">
        <f t="shared" si="5"/>
        <v>145</v>
      </c>
      <c r="J25" s="41">
        <f t="shared" si="0"/>
        <v>0.1153110262819553</v>
      </c>
      <c r="K25" s="41">
        <f t="shared" si="6"/>
        <v>0.10350853609356096</v>
      </c>
      <c r="L25" s="41">
        <f t="shared" si="7"/>
        <v>-1.1802490188394341E-2</v>
      </c>
    </row>
    <row r="26" spans="1:12">
      <c r="A26" s="28">
        <f t="shared" si="8"/>
        <v>4</v>
      </c>
      <c r="B26" s="28">
        <v>55.8</v>
      </c>
      <c r="C26" s="41">
        <f t="shared" si="3"/>
        <v>0.15270935960591134</v>
      </c>
      <c r="D26" s="42">
        <f t="shared" si="1"/>
        <v>24.950374724069526</v>
      </c>
      <c r="E26" s="28">
        <v>7.7</v>
      </c>
      <c r="F26" s="46">
        <f t="shared" si="4"/>
        <v>52.072523262178429</v>
      </c>
      <c r="G26" s="85">
        <v>2.1930000000000001</v>
      </c>
      <c r="H26" s="42">
        <f t="shared" si="2"/>
        <v>4.425591725231004</v>
      </c>
      <c r="I26" s="28">
        <f t="shared" si="5"/>
        <v>145</v>
      </c>
      <c r="J26" s="41">
        <f t="shared" si="0"/>
        <v>0.11468735506741219</v>
      </c>
      <c r="K26" s="41">
        <f t="shared" si="6"/>
        <v>0.10350853609356096</v>
      </c>
      <c r="L26" s="41">
        <f t="shared" si="7"/>
        <v>-1.1178818973851229E-2</v>
      </c>
    </row>
    <row r="27" spans="1:12">
      <c r="A27" s="28">
        <f t="shared" si="8"/>
        <v>5</v>
      </c>
      <c r="B27" s="28">
        <v>66.900000000000006</v>
      </c>
      <c r="C27" s="41">
        <f t="shared" si="3"/>
        <v>0.18308702791461415</v>
      </c>
      <c r="D27" s="42">
        <f t="shared" si="1"/>
        <v>24.939195905095676</v>
      </c>
      <c r="E27" s="28">
        <v>7.7</v>
      </c>
      <c r="F27" s="46">
        <f t="shared" si="4"/>
        <v>51.889436234263812</v>
      </c>
      <c r="G27" s="85">
        <v>2.1930000000000001</v>
      </c>
      <c r="H27" s="42">
        <f t="shared" si="2"/>
        <v>4.4100313416548813</v>
      </c>
      <c r="I27" s="28">
        <f t="shared" si="5"/>
        <v>145</v>
      </c>
      <c r="J27" s="41">
        <f t="shared" si="0"/>
        <v>0.11394167183523106</v>
      </c>
      <c r="K27" s="41">
        <f>E27*$B$11</f>
        <v>0.10350853609356096</v>
      </c>
      <c r="L27" s="41">
        <f t="shared" si="7"/>
        <v>-1.0433135741670096E-2</v>
      </c>
    </row>
    <row r="28" spans="1:12">
      <c r="A28" s="28">
        <f t="shared" si="8"/>
        <v>6</v>
      </c>
      <c r="B28" s="28">
        <v>78.099999999999994</v>
      </c>
      <c r="C28" s="41">
        <f t="shared" si="3"/>
        <v>0.21373836891078268</v>
      </c>
      <c r="D28" s="42">
        <f t="shared" si="1"/>
        <v>24.928762769354005</v>
      </c>
      <c r="E28" s="28">
        <v>7.7</v>
      </c>
      <c r="F28" s="46">
        <f t="shared" si="4"/>
        <v>51.67569786535303</v>
      </c>
      <c r="G28" s="85">
        <v>2.1930000000000001</v>
      </c>
      <c r="H28" s="42">
        <f t="shared" si="2"/>
        <v>4.3918659312319344</v>
      </c>
      <c r="I28" s="28">
        <f t="shared" si="5"/>
        <v>145</v>
      </c>
      <c r="J28" s="41">
        <f t="shared" si="0"/>
        <v>0.11307398260067081</v>
      </c>
      <c r="K28" s="41">
        <f t="shared" si="6"/>
        <v>0.10350853609356096</v>
      </c>
      <c r="L28" s="41">
        <f t="shared" si="7"/>
        <v>-9.5654465071098455E-3</v>
      </c>
    </row>
    <row r="29" spans="1:12">
      <c r="A29" s="28">
        <f t="shared" si="8"/>
        <v>7</v>
      </c>
      <c r="B29" s="28">
        <v>89.2</v>
      </c>
      <c r="C29" s="41">
        <f t="shared" si="3"/>
        <v>0.24411603721948549</v>
      </c>
      <c r="D29" s="42">
        <f t="shared" si="1"/>
        <v>24.919197322846895</v>
      </c>
      <c r="E29" s="28">
        <v>7.7</v>
      </c>
      <c r="F29" s="46">
        <f t="shared" si="4"/>
        <v>51.431581828133545</v>
      </c>
      <c r="G29" s="85">
        <v>2.1930000000000001</v>
      </c>
      <c r="H29" s="42">
        <f t="shared" si="2"/>
        <v>4.3711187531304381</v>
      </c>
      <c r="I29" s="28">
        <f t="shared" si="5"/>
        <v>145</v>
      </c>
      <c r="J29" s="41">
        <f t="shared" si="0"/>
        <v>0.11208670664008592</v>
      </c>
      <c r="K29" s="41">
        <f t="shared" si="6"/>
        <v>0.10350853609356096</v>
      </c>
      <c r="L29" s="41">
        <f t="shared" si="7"/>
        <v>-8.5781705465249602E-3</v>
      </c>
    </row>
    <row r="30" spans="1:12">
      <c r="A30" s="28">
        <f t="shared" si="8"/>
        <v>8</v>
      </c>
      <c r="B30" s="28">
        <v>100.4</v>
      </c>
      <c r="C30" s="41">
        <f t="shared" si="3"/>
        <v>0.27476737821565411</v>
      </c>
      <c r="D30" s="42">
        <f t="shared" si="1"/>
        <v>24.91061915230037</v>
      </c>
      <c r="E30" s="28">
        <v>7.7</v>
      </c>
      <c r="F30" s="46">
        <f t="shared" si="4"/>
        <v>51.156814449917889</v>
      </c>
      <c r="G30" s="85">
        <v>2.1930000000000001</v>
      </c>
      <c r="H30" s="42">
        <f t="shared" si="2"/>
        <v>4.3477665481821166</v>
      </c>
      <c r="I30" s="28">
        <f t="shared" si="5"/>
        <v>145</v>
      </c>
      <c r="J30" s="41">
        <f t="shared" si="0"/>
        <v>0.11098023420416428</v>
      </c>
      <c r="K30" s="41">
        <f t="shared" si="6"/>
        <v>0.10350853609356096</v>
      </c>
      <c r="L30" s="41">
        <f t="shared" si="7"/>
        <v>-7.471698110603317E-3</v>
      </c>
    </row>
    <row r="31" spans="1:12">
      <c r="A31" s="28">
        <f t="shared" si="8"/>
        <v>9</v>
      </c>
      <c r="B31" s="28">
        <v>111.6</v>
      </c>
      <c r="C31" s="41">
        <f t="shared" si="3"/>
        <v>0.30541871921182268</v>
      </c>
      <c r="D31" s="42">
        <f t="shared" si="1"/>
        <v>24.903147454189767</v>
      </c>
      <c r="E31" s="28">
        <v>7.7</v>
      </c>
      <c r="F31" s="46">
        <f t="shared" si="4"/>
        <v>50.851395730706066</v>
      </c>
      <c r="G31" s="85">
        <v>2.1930000000000001</v>
      </c>
      <c r="H31" s="42">
        <f t="shared" si="2"/>
        <v>4.3218093163869709</v>
      </c>
      <c r="I31" s="28">
        <f t="shared" si="5"/>
        <v>145</v>
      </c>
      <c r="J31" s="41">
        <f t="shared" si="0"/>
        <v>0.10975625935885025</v>
      </c>
      <c r="K31" s="41">
        <f t="shared" si="6"/>
        <v>0.10350853609356096</v>
      </c>
      <c r="L31" s="41">
        <f t="shared" si="7"/>
        <v>-6.2477232652892872E-3</v>
      </c>
    </row>
    <row r="32" spans="1:12">
      <c r="A32" s="28">
        <f t="shared" si="8"/>
        <v>10</v>
      </c>
      <c r="B32" s="28">
        <v>122.7</v>
      </c>
      <c r="C32" s="41">
        <f t="shared" si="3"/>
        <v>0.33579638752052543</v>
      </c>
      <c r="D32" s="42">
        <f t="shared" si="1"/>
        <v>24.896899730924478</v>
      </c>
      <c r="E32" s="28">
        <v>7.7</v>
      </c>
      <c r="F32" s="46">
        <f t="shared" si="4"/>
        <v>50.515599343185542</v>
      </c>
      <c r="G32" s="85">
        <v>2.1930000000000001</v>
      </c>
      <c r="H32" s="42">
        <f t="shared" si="2"/>
        <v>4.2932703169132749</v>
      </c>
      <c r="I32" s="28">
        <f t="shared" si="5"/>
        <v>145</v>
      </c>
      <c r="J32" s="41">
        <f t="shared" si="0"/>
        <v>0.10841775560577489</v>
      </c>
      <c r="K32" s="41">
        <f t="shared" si="6"/>
        <v>0.10350853609356096</v>
      </c>
      <c r="L32" s="41">
        <f t="shared" si="7"/>
        <v>-4.9092195122139304E-3</v>
      </c>
    </row>
    <row r="33" spans="1:12">
      <c r="A33" s="28">
        <f t="shared" si="8"/>
        <v>11</v>
      </c>
      <c r="B33" s="28">
        <v>133.9</v>
      </c>
      <c r="C33" s="41">
        <f t="shared" si="3"/>
        <v>0.36644772851669405</v>
      </c>
      <c r="D33" s="42">
        <f t="shared" si="1"/>
        <v>24.891990511412263</v>
      </c>
      <c r="E33" s="28">
        <v>7.7</v>
      </c>
      <c r="F33" s="46">
        <f t="shared" si="4"/>
        <v>50.149151614668845</v>
      </c>
      <c r="G33" s="85">
        <v>2.1930000000000001</v>
      </c>
      <c r="H33" s="42">
        <f t="shared" si="2"/>
        <v>4.2621262905927546</v>
      </c>
      <c r="I33" s="28">
        <f t="shared" si="5"/>
        <v>145</v>
      </c>
      <c r="J33" s="41">
        <f t="shared" si="0"/>
        <v>0.10696569991970299</v>
      </c>
      <c r="K33" s="41">
        <f t="shared" si="6"/>
        <v>0.10350853609356096</v>
      </c>
      <c r="L33" s="41">
        <f t="shared" si="7"/>
        <v>-3.457163826142029E-3</v>
      </c>
    </row>
    <row r="34" spans="1:12">
      <c r="A34" s="28">
        <f t="shared" si="8"/>
        <v>12</v>
      </c>
      <c r="B34" s="28">
        <v>145</v>
      </c>
      <c r="C34" s="41">
        <f t="shared" si="3"/>
        <v>0.39682539682539686</v>
      </c>
      <c r="D34" s="42">
        <f t="shared" si="1"/>
        <v>24.888533347586122</v>
      </c>
      <c r="E34" s="28">
        <v>7.7</v>
      </c>
      <c r="F34" s="46">
        <f t="shared" si="4"/>
        <v>49.752326217843446</v>
      </c>
      <c r="G34" s="85">
        <v>2.1930000000000001</v>
      </c>
      <c r="H34" s="42">
        <f t="shared" si="2"/>
        <v>4.228400496593685</v>
      </c>
      <c r="I34" s="28">
        <f t="shared" si="5"/>
        <v>145</v>
      </c>
      <c r="J34" s="41">
        <f t="shared" si="0"/>
        <v>0.10540343608651059</v>
      </c>
      <c r="K34" s="41">
        <f t="shared" si="6"/>
        <v>0.10350853609356096</v>
      </c>
      <c r="L34" s="41">
        <f t="shared" si="7"/>
        <v>-1.8948999929496307E-3</v>
      </c>
    </row>
    <row r="35" spans="1:12">
      <c r="A35" s="28">
        <f t="shared" si="8"/>
        <v>13</v>
      </c>
      <c r="B35" s="28">
        <v>156.19999999999999</v>
      </c>
      <c r="C35" s="41">
        <f t="shared" si="3"/>
        <v>0.42747673782156537</v>
      </c>
      <c r="D35" s="42">
        <f t="shared" si="1"/>
        <v>24.886638447593171</v>
      </c>
      <c r="E35" s="28">
        <v>7.7</v>
      </c>
      <c r="F35" s="46">
        <f t="shared" si="4"/>
        <v>49.324849480021882</v>
      </c>
      <c r="G35" s="85">
        <v>2.1930000000000001</v>
      </c>
      <c r="H35" s="42">
        <f t="shared" si="2"/>
        <v>4.1920696757477911</v>
      </c>
      <c r="I35" s="28">
        <f t="shared" si="5"/>
        <v>145</v>
      </c>
      <c r="J35" s="41">
        <f t="shared" si="0"/>
        <v>0.10373233918798232</v>
      </c>
      <c r="K35" s="41">
        <f t="shared" si="6"/>
        <v>0.10350853609356096</v>
      </c>
      <c r="L35" s="41">
        <f t="shared" si="7"/>
        <v>-2.2380309442135427E-4</v>
      </c>
    </row>
    <row r="36" spans="1:12">
      <c r="A36" s="28">
        <f t="shared" si="8"/>
        <v>14</v>
      </c>
      <c r="B36" s="28">
        <v>167.3</v>
      </c>
      <c r="C36" s="41">
        <f t="shared" si="3"/>
        <v>0.45785440613026823</v>
      </c>
      <c r="D36" s="42">
        <f t="shared" si="1"/>
        <v>24.88641464449875</v>
      </c>
      <c r="E36" s="28">
        <v>7.7</v>
      </c>
      <c r="F36" s="46">
        <f t="shared" si="4"/>
        <v>48.866995073891616</v>
      </c>
      <c r="G36" s="85">
        <v>2.1930000000000001</v>
      </c>
      <c r="H36" s="42">
        <f t="shared" si="2"/>
        <v>4.1531570872233479</v>
      </c>
      <c r="I36" s="28">
        <f t="shared" si="5"/>
        <v>145</v>
      </c>
      <c r="J36" s="41">
        <f t="shared" si="0"/>
        <v>0.10195612534685904</v>
      </c>
      <c r="K36" s="41">
        <f t="shared" si="6"/>
        <v>0.10350853609356096</v>
      </c>
      <c r="L36" s="41">
        <f t="shared" si="7"/>
        <v>1.5524107467019266E-3</v>
      </c>
    </row>
    <row r="37" spans="1:12">
      <c r="A37" s="28">
        <f t="shared" si="8"/>
        <v>15</v>
      </c>
      <c r="B37" s="28">
        <v>167.9</v>
      </c>
      <c r="C37" s="41">
        <f t="shared" si="3"/>
        <v>0.45949644225506292</v>
      </c>
      <c r="D37" s="42">
        <f t="shared" si="1"/>
        <v>24.887967055245451</v>
      </c>
      <c r="E37" s="28">
        <v>7.7</v>
      </c>
      <c r="F37" s="46">
        <f t="shared" si="4"/>
        <v>48.40749863163655</v>
      </c>
      <c r="G37" s="85">
        <v>2.1930000000000001</v>
      </c>
      <c r="H37" s="42">
        <f t="shared" si="2"/>
        <v>4.1141049436892523</v>
      </c>
      <c r="I37" s="28">
        <f t="shared" si="5"/>
        <v>145</v>
      </c>
      <c r="J37" s="41">
        <f t="shared" si="0"/>
        <v>0.10018774013845388</v>
      </c>
      <c r="K37" s="41">
        <f t="shared" si="6"/>
        <v>0.10350853609356096</v>
      </c>
      <c r="L37" s="41">
        <f t="shared" si="7"/>
        <v>3.3207959551070781E-3</v>
      </c>
    </row>
    <row r="38" spans="1:12">
      <c r="A38" s="28">
        <f t="shared" si="8"/>
        <v>16</v>
      </c>
      <c r="B38" s="28">
        <v>167.4</v>
      </c>
      <c r="C38" s="41">
        <f t="shared" si="3"/>
        <v>0.45812807881773404</v>
      </c>
      <c r="D38" s="42">
        <f t="shared" si="1"/>
        <v>24.891287851200559</v>
      </c>
      <c r="E38" s="28">
        <v>7.7</v>
      </c>
      <c r="F38" s="46">
        <f t="shared" si="4"/>
        <v>47.949370552818813</v>
      </c>
      <c r="G38" s="85">
        <v>2.1930000000000001</v>
      </c>
      <c r="H38" s="42">
        <f t="shared" si="2"/>
        <v>4.0751690959965332</v>
      </c>
      <c r="I38" s="28">
        <f t="shared" si="5"/>
        <v>145</v>
      </c>
      <c r="J38" s="41">
        <f t="shared" si="0"/>
        <v>9.8438801622494521E-2</v>
      </c>
      <c r="K38" s="41">
        <f t="shared" si="6"/>
        <v>0.10350853609356096</v>
      </c>
      <c r="L38" s="41">
        <f t="shared" si="7"/>
        <v>5.0697344710664421E-3</v>
      </c>
    </row>
    <row r="39" spans="1:12">
      <c r="A39" s="28">
        <f t="shared" si="8"/>
        <v>17</v>
      </c>
      <c r="B39" s="28">
        <v>166.9</v>
      </c>
      <c r="C39" s="41">
        <f t="shared" si="3"/>
        <v>0.45675971538040505</v>
      </c>
      <c r="D39" s="42">
        <f t="shared" si="1"/>
        <v>24.896357585671627</v>
      </c>
      <c r="E39" s="28">
        <v>7.7</v>
      </c>
      <c r="F39" s="46">
        <f t="shared" si="4"/>
        <v>47.492610837438406</v>
      </c>
      <c r="G39" s="85">
        <v>2.1930000000000001</v>
      </c>
      <c r="H39" s="42">
        <f t="shared" si="2"/>
        <v>4.0363495441451906</v>
      </c>
      <c r="I39" s="28">
        <f t="shared" si="5"/>
        <v>145</v>
      </c>
      <c r="J39" s="41">
        <f t="shared" si="0"/>
        <v>9.6709202774856312E-2</v>
      </c>
      <c r="K39" s="41">
        <f t="shared" si="6"/>
        <v>0.10350853609356096</v>
      </c>
      <c r="L39" s="41">
        <f t="shared" si="7"/>
        <v>6.7993333187046506E-3</v>
      </c>
    </row>
    <row r="40" spans="1:12">
      <c r="A40" s="28">
        <f t="shared" si="8"/>
        <v>18</v>
      </c>
      <c r="B40" s="28">
        <v>166.4</v>
      </c>
      <c r="C40" s="41">
        <f t="shared" si="3"/>
        <v>0.45539135194307612</v>
      </c>
      <c r="D40" s="42">
        <f t="shared" si="1"/>
        <v>24.90315691899033</v>
      </c>
      <c r="E40" s="28">
        <v>7.7</v>
      </c>
      <c r="F40" s="46">
        <f t="shared" si="4"/>
        <v>47.037219485495328</v>
      </c>
      <c r="G40" s="85">
        <v>2.1930000000000001</v>
      </c>
      <c r="H40" s="42">
        <f t="shared" si="2"/>
        <v>3.9976462881352237</v>
      </c>
      <c r="I40" s="28">
        <f t="shared" si="5"/>
        <v>145</v>
      </c>
      <c r="J40" s="41">
        <f t="shared" si="0"/>
        <v>9.4998836811269624E-2</v>
      </c>
      <c r="K40" s="41">
        <f t="shared" si="6"/>
        <v>0.10350853609356096</v>
      </c>
      <c r="L40" s="41">
        <f t="shared" si="7"/>
        <v>8.5096992822913387E-3</v>
      </c>
    </row>
    <row r="41" spans="1:12">
      <c r="A41" s="28">
        <f t="shared" si="8"/>
        <v>19</v>
      </c>
      <c r="B41" s="28">
        <v>165.9</v>
      </c>
      <c r="C41" s="41">
        <f t="shared" si="3"/>
        <v>0.45402298850574713</v>
      </c>
      <c r="D41" s="42">
        <f t="shared" si="1"/>
        <v>24.911666618272623</v>
      </c>
      <c r="E41" s="28">
        <v>7.7</v>
      </c>
      <c r="F41" s="46">
        <f t="shared" si="4"/>
        <v>46.583196496989579</v>
      </c>
      <c r="G41" s="85">
        <v>2.1930000000000001</v>
      </c>
      <c r="H41" s="42">
        <f t="shared" si="2"/>
        <v>3.9590593279666328</v>
      </c>
      <c r="I41" s="28">
        <f t="shared" si="5"/>
        <v>145</v>
      </c>
      <c r="J41" s="41">
        <f t="shared" si="0"/>
        <v>9.3307597187946303E-2</v>
      </c>
      <c r="K41" s="41">
        <f t="shared" si="6"/>
        <v>0.10350853609356096</v>
      </c>
      <c r="L41" s="41">
        <f t="shared" si="7"/>
        <v>1.0200938905614659E-2</v>
      </c>
    </row>
    <row r="42" spans="1:12">
      <c r="A42" s="28">
        <f t="shared" si="8"/>
        <v>20</v>
      </c>
      <c r="B42" s="28">
        <v>165.3</v>
      </c>
      <c r="C42" s="41">
        <f t="shared" si="3"/>
        <v>0.45238095238095244</v>
      </c>
      <c r="D42" s="42">
        <f t="shared" si="1"/>
        <v>24.921867557178238</v>
      </c>
      <c r="E42" s="28">
        <v>7.7</v>
      </c>
      <c r="F42" s="46">
        <f t="shared" si="4"/>
        <v>46.13081554460863</v>
      </c>
      <c r="G42" s="85">
        <v>2.1930000000000001</v>
      </c>
      <c r="H42" s="42">
        <f t="shared" si="2"/>
        <v>3.9206119228076939</v>
      </c>
      <c r="I42" s="28">
        <f t="shared" si="5"/>
        <v>145</v>
      </c>
      <c r="J42" s="41">
        <f t="shared" si="0"/>
        <v>9.1636384413690292E-2</v>
      </c>
      <c r="K42" s="41">
        <f t="shared" si="6"/>
        <v>0.10350853609356096</v>
      </c>
      <c r="L42" s="41">
        <f t="shared" si="7"/>
        <v>1.1872151679870671E-2</v>
      </c>
    </row>
    <row r="43" spans="1:12">
      <c r="A43" s="28">
        <f t="shared" si="8"/>
        <v>21</v>
      </c>
      <c r="B43" s="28">
        <v>164.8</v>
      </c>
      <c r="C43" s="41">
        <f t="shared" si="3"/>
        <v>0.45101258894362345</v>
      </c>
      <c r="D43" s="42">
        <f t="shared" si="1"/>
        <v>24.933739708858109</v>
      </c>
      <c r="E43" s="28">
        <v>7.7</v>
      </c>
      <c r="F43" s="46">
        <f t="shared" si="4"/>
        <v>45.679802955665004</v>
      </c>
      <c r="G43" s="85">
        <v>2.1930000000000001</v>
      </c>
      <c r="H43" s="42">
        <f t="shared" si="2"/>
        <v>3.8822808134901301</v>
      </c>
      <c r="I43" s="28">
        <f t="shared" si="5"/>
        <v>145</v>
      </c>
      <c r="J43" s="41">
        <f t="shared" si="0"/>
        <v>8.9984068825640348E-2</v>
      </c>
      <c r="K43" s="41">
        <f t="shared" si="6"/>
        <v>0.10350853609356096</v>
      </c>
      <c r="L43" s="41">
        <f t="shared" si="7"/>
        <v>1.3524467267920615E-2</v>
      </c>
    </row>
    <row r="44" spans="1:12">
      <c r="A44" s="28">
        <f>A43+1</f>
        <v>22</v>
      </c>
      <c r="B44" s="28">
        <v>164.3</v>
      </c>
      <c r="C44" s="41">
        <f t="shared" si="3"/>
        <v>0.44964422550629451</v>
      </c>
      <c r="D44" s="42">
        <f t="shared" si="1"/>
        <v>24.94726417612603</v>
      </c>
      <c r="E44" s="28">
        <v>7.7</v>
      </c>
      <c r="F44" s="46">
        <f t="shared" si="4"/>
        <v>45.230158730158706</v>
      </c>
      <c r="G44" s="85">
        <v>2.1930000000000001</v>
      </c>
      <c r="H44" s="42">
        <f t="shared" si="2"/>
        <v>3.8440660000139428</v>
      </c>
      <c r="I44" s="28">
        <f t="shared" si="5"/>
        <v>145</v>
      </c>
      <c r="J44" s="41">
        <f t="shared" si="0"/>
        <v>8.8350544645070708E-2</v>
      </c>
      <c r="K44" s="41">
        <f t="shared" si="6"/>
        <v>0.10350853609356096</v>
      </c>
      <c r="L44" s="41">
        <f t="shared" si="7"/>
        <v>1.5157991448490254E-2</v>
      </c>
    </row>
    <row r="45" spans="1:12">
      <c r="A45" s="28">
        <f t="shared" si="8"/>
        <v>23</v>
      </c>
      <c r="B45" s="28">
        <v>163.80000000000001</v>
      </c>
      <c r="C45" s="41">
        <f t="shared" si="3"/>
        <v>0.44827586206896552</v>
      </c>
      <c r="D45" s="42">
        <f t="shared" si="1"/>
        <v>24.96242216757452</v>
      </c>
      <c r="E45" s="28">
        <v>7.7</v>
      </c>
      <c r="F45" s="46">
        <f t="shared" si="4"/>
        <v>44.781882868089738</v>
      </c>
      <c r="G45" s="85">
        <v>2.1930000000000001</v>
      </c>
      <c r="H45" s="42">
        <f t="shared" si="2"/>
        <v>3.8059674823791321</v>
      </c>
      <c r="I45" s="28">
        <f t="shared" si="5"/>
        <v>145</v>
      </c>
      <c r="J45" s="41">
        <f t="shared" si="0"/>
        <v>8.6735706336278529E-2</v>
      </c>
      <c r="K45" s="41">
        <f t="shared" si="6"/>
        <v>0.10350853609356096</v>
      </c>
      <c r="L45" s="41">
        <f t="shared" si="7"/>
        <v>1.6772829757282434E-2</v>
      </c>
    </row>
    <row r="46" spans="1:12">
      <c r="A46" s="28">
        <f t="shared" si="8"/>
        <v>24</v>
      </c>
      <c r="B46" s="28">
        <v>163.30000000000001</v>
      </c>
      <c r="C46" s="41">
        <f t="shared" si="3"/>
        <v>0.44690749863163659</v>
      </c>
      <c r="D46" s="42">
        <f t="shared" si="1"/>
        <v>24.979194997331803</v>
      </c>
      <c r="E46" s="28">
        <v>7.7</v>
      </c>
      <c r="F46" s="46">
        <f t="shared" si="4"/>
        <v>44.3349753694581</v>
      </c>
      <c r="G46" s="85">
        <v>2.1930000000000001</v>
      </c>
      <c r="H46" s="42">
        <f t="shared" si="2"/>
        <v>3.7679852605856969</v>
      </c>
      <c r="I46" s="28">
        <f t="shared" si="5"/>
        <v>145</v>
      </c>
      <c r="J46" s="41">
        <f t="shared" si="0"/>
        <v>8.5139448607282328E-2</v>
      </c>
      <c r="K46" s="41">
        <f t="shared" si="6"/>
        <v>0.10350853609356096</v>
      </c>
      <c r="L46" s="41">
        <f t="shared" si="7"/>
        <v>1.8369087486278635E-2</v>
      </c>
    </row>
    <row r="47" spans="1:12">
      <c r="A47" s="28">
        <f t="shared" si="8"/>
        <v>25</v>
      </c>
      <c r="B47" s="28">
        <v>162.69999999999999</v>
      </c>
      <c r="C47" s="41">
        <f t="shared" si="3"/>
        <v>0.44526546250684179</v>
      </c>
      <c r="D47" s="42">
        <f t="shared" si="1"/>
        <v>24.99756408481808</v>
      </c>
      <c r="E47" s="28">
        <v>7.7</v>
      </c>
      <c r="F47" s="46">
        <f t="shared" si="4"/>
        <v>43.889709906951261</v>
      </c>
      <c r="G47" s="85">
        <v>2.1930000000000001</v>
      </c>
      <c r="H47" s="42">
        <f t="shared" si="2"/>
        <v>3.7301425938019137</v>
      </c>
      <c r="I47" s="28">
        <f t="shared" si="5"/>
        <v>145</v>
      </c>
      <c r="J47" s="41">
        <f t="shared" si="0"/>
        <v>8.3562631395803791E-2</v>
      </c>
      <c r="K47" s="41">
        <f t="shared" si="6"/>
        <v>0.10350853609356096</v>
      </c>
      <c r="L47" s="41">
        <f t="shared" si="7"/>
        <v>1.9945904697757172E-2</v>
      </c>
    </row>
    <row r="48" spans="1:12">
      <c r="A48" s="28">
        <f t="shared" si="8"/>
        <v>26</v>
      </c>
      <c r="B48" s="28">
        <v>162.19999999999999</v>
      </c>
      <c r="C48" s="41">
        <f t="shared" si="3"/>
        <v>0.4438970990695128</v>
      </c>
      <c r="D48" s="42">
        <f t="shared" si="1"/>
        <v>25.017509989515837</v>
      </c>
      <c r="E48" s="28">
        <v>7.7</v>
      </c>
      <c r="F48" s="46">
        <f t="shared" si="4"/>
        <v>43.445812807881751</v>
      </c>
      <c r="G48" s="85">
        <v>2.1930000000000001</v>
      </c>
      <c r="H48" s="42">
        <f t="shared" si="2"/>
        <v>3.6924162228595061</v>
      </c>
      <c r="I48" s="28">
        <f t="shared" si="5"/>
        <v>145</v>
      </c>
      <c r="J48" s="41">
        <f t="shared" si="0"/>
        <v>8.2004168265841296E-2</v>
      </c>
      <c r="K48" s="41">
        <f t="shared" si="6"/>
        <v>0.10350853609356096</v>
      </c>
      <c r="L48" s="41">
        <f t="shared" si="7"/>
        <v>2.1504367827719667E-2</v>
      </c>
    </row>
    <row r="49" spans="1:12">
      <c r="A49" s="28">
        <f t="shared" si="8"/>
        <v>27</v>
      </c>
      <c r="B49" s="28">
        <v>161.69999999999999</v>
      </c>
      <c r="C49" s="41">
        <f t="shared" si="3"/>
        <v>0.44252873563218387</v>
      </c>
      <c r="D49" s="42">
        <f t="shared" si="1"/>
        <v>25.039014357343557</v>
      </c>
      <c r="E49" s="28">
        <v>7.7</v>
      </c>
      <c r="F49" s="46">
        <f t="shared" si="4"/>
        <v>43.003284072249571</v>
      </c>
      <c r="G49" s="85">
        <v>2.1930000000000001</v>
      </c>
      <c r="H49" s="42">
        <f t="shared" si="2"/>
        <v>3.6548061477584755</v>
      </c>
      <c r="I49" s="28">
        <f t="shared" si="5"/>
        <v>145</v>
      </c>
      <c r="J49" s="41">
        <f t="shared" si="0"/>
        <v>8.0463954700262824E-2</v>
      </c>
      <c r="K49" s="41">
        <f t="shared" si="6"/>
        <v>0.10350853609356096</v>
      </c>
      <c r="L49" s="41">
        <f t="shared" si="7"/>
        <v>2.3044581393298139E-2</v>
      </c>
    </row>
    <row r="50" spans="1:12">
      <c r="A50" s="28">
        <f>A49+1</f>
        <v>28</v>
      </c>
      <c r="B50" s="28">
        <v>161.19999999999999</v>
      </c>
      <c r="C50" s="41">
        <f t="shared" si="3"/>
        <v>0.44116037219485488</v>
      </c>
      <c r="D50" s="42">
        <f t="shared" si="1"/>
        <v>25.062058938736854</v>
      </c>
      <c r="E50" s="28">
        <v>7.7</v>
      </c>
      <c r="F50" s="46">
        <f t="shared" si="4"/>
        <v>42.562123700054713</v>
      </c>
      <c r="G50" s="85">
        <v>2.1930000000000001</v>
      </c>
      <c r="H50" s="42">
        <f t="shared" si="2"/>
        <v>3.61731236849882</v>
      </c>
      <c r="I50" s="28">
        <f t="shared" si="5"/>
        <v>145</v>
      </c>
      <c r="J50" s="41">
        <f t="shared" si="0"/>
        <v>7.8941886428496713E-2</v>
      </c>
      <c r="K50" s="41">
        <f t="shared" si="6"/>
        <v>0.10350853609356096</v>
      </c>
      <c r="L50" s="41">
        <f t="shared" si="7"/>
        <v>2.456664966506425E-2</v>
      </c>
    </row>
    <row r="51" spans="1:12">
      <c r="A51" s="1" t="s">
        <v>188</v>
      </c>
      <c r="G51" s="85"/>
      <c r="H51" s="42"/>
      <c r="J51" s="3"/>
      <c r="K51" s="3"/>
      <c r="L51" s="3"/>
    </row>
    <row r="52" spans="1:12">
      <c r="A52" s="28">
        <v>29</v>
      </c>
      <c r="B52" s="28">
        <v>167.7</v>
      </c>
      <c r="C52" s="41">
        <f t="shared" si="3"/>
        <v>0.4589490968801313</v>
      </c>
      <c r="D52" s="42">
        <f>D50+L50</f>
        <v>25.086625588401919</v>
      </c>
      <c r="E52" s="28">
        <v>11.2</v>
      </c>
      <c r="F52" s="46">
        <f>F50-C52</f>
        <v>42.10317460317458</v>
      </c>
      <c r="G52" s="85">
        <v>2.1930000000000001</v>
      </c>
      <c r="H52" s="42">
        <f t="shared" si="2"/>
        <v>3.5783067433012752</v>
      </c>
      <c r="I52" s="28">
        <f t="shared" si="5"/>
        <v>145</v>
      </c>
      <c r="J52" s="41">
        <f t="shared" ref="J52:J64" si="9">(1050*((F52/I52)^1.852)*(E52/100)*(G52^-4.87))/2.31</f>
        <v>0.11254203267754255</v>
      </c>
      <c r="K52" s="41">
        <f t="shared" si="6"/>
        <v>0.15055787068154322</v>
      </c>
      <c r="L52" s="41">
        <f t="shared" si="7"/>
        <v>3.8015838004000671E-2</v>
      </c>
    </row>
    <row r="53" spans="1:12">
      <c r="A53" s="28">
        <f>A52+1</f>
        <v>30</v>
      </c>
      <c r="B53" s="28">
        <v>175.7</v>
      </c>
      <c r="C53" s="41">
        <f t="shared" si="3"/>
        <v>0.48084291187739464</v>
      </c>
      <c r="D53" s="42">
        <f t="shared" ref="D53:D64" si="10">D52+L52</f>
        <v>25.124641426405919</v>
      </c>
      <c r="E53" s="28">
        <v>11.8</v>
      </c>
      <c r="F53" s="46">
        <f>F52-C53</f>
        <v>41.622331691297184</v>
      </c>
      <c r="G53" s="85">
        <v>2.1930000000000001</v>
      </c>
      <c r="H53" s="42">
        <f t="shared" si="2"/>
        <v>3.5374403846417128</v>
      </c>
      <c r="I53" s="28">
        <f t="shared" si="5"/>
        <v>145</v>
      </c>
      <c r="J53" s="41">
        <f t="shared" si="9"/>
        <v>0.1160753905703969</v>
      </c>
      <c r="K53" s="41">
        <f t="shared" si="6"/>
        <v>0.1586234708966259</v>
      </c>
      <c r="L53" s="41">
        <f t="shared" si="7"/>
        <v>4.2548080326229004E-2</v>
      </c>
    </row>
    <row r="54" spans="1:12">
      <c r="A54" s="28">
        <f t="shared" ref="A54:A64" si="11">A53+1</f>
        <v>31</v>
      </c>
      <c r="B54" s="28">
        <v>183.8</v>
      </c>
      <c r="C54" s="41">
        <f t="shared" si="3"/>
        <v>0.50301039956212379</v>
      </c>
      <c r="D54" s="42">
        <f t="shared" si="10"/>
        <v>25.167189506732146</v>
      </c>
      <c r="E54" s="28">
        <v>11.8</v>
      </c>
      <c r="F54" s="46">
        <f t="shared" ref="F54:F64" si="12">F53-C54</f>
        <v>41.119321291735062</v>
      </c>
      <c r="G54" s="85">
        <v>2.1930000000000001</v>
      </c>
      <c r="H54" s="42">
        <f t="shared" si="2"/>
        <v>3.4946900333518585</v>
      </c>
      <c r="I54" s="28">
        <f t="shared" si="5"/>
        <v>145</v>
      </c>
      <c r="J54" s="41">
        <f t="shared" si="9"/>
        <v>0.11349081809407795</v>
      </c>
      <c r="K54" s="41">
        <f t="shared" si="6"/>
        <v>0.1586234708966259</v>
      </c>
      <c r="L54" s="41">
        <f t="shared" si="7"/>
        <v>4.5132652802547954E-2</v>
      </c>
    </row>
    <row r="55" spans="1:12">
      <c r="A55" s="28">
        <f t="shared" si="11"/>
        <v>32</v>
      </c>
      <c r="B55" s="28">
        <v>191.8</v>
      </c>
      <c r="C55" s="41">
        <f t="shared" si="3"/>
        <v>0.52490421455938696</v>
      </c>
      <c r="D55" s="42">
        <f t="shared" si="10"/>
        <v>25.212322159534693</v>
      </c>
      <c r="E55" s="28">
        <v>11.8</v>
      </c>
      <c r="F55" s="46">
        <f t="shared" si="12"/>
        <v>40.594417077175677</v>
      </c>
      <c r="G55" s="85">
        <v>2.1930000000000001</v>
      </c>
      <c r="H55" s="42">
        <f t="shared" si="2"/>
        <v>3.4500789485999857</v>
      </c>
      <c r="I55" s="28">
        <f t="shared" si="5"/>
        <v>145</v>
      </c>
      <c r="J55" s="41">
        <f t="shared" si="9"/>
        <v>0.11082232448361388</v>
      </c>
      <c r="K55" s="41">
        <f t="shared" si="6"/>
        <v>0.1586234708966259</v>
      </c>
      <c r="L55" s="41">
        <f t="shared" si="7"/>
        <v>4.7801146413012016E-2</v>
      </c>
    </row>
    <row r="56" spans="1:12">
      <c r="A56" s="28">
        <f t="shared" si="11"/>
        <v>33</v>
      </c>
      <c r="B56" s="28">
        <v>199.9</v>
      </c>
      <c r="C56" s="41">
        <f t="shared" si="3"/>
        <v>0.54707170224411605</v>
      </c>
      <c r="D56" s="42">
        <f t="shared" si="10"/>
        <v>25.260123305947705</v>
      </c>
      <c r="E56" s="28">
        <v>11.8</v>
      </c>
      <c r="F56" s="46">
        <f t="shared" si="12"/>
        <v>40.04734537493156</v>
      </c>
      <c r="G56" s="85">
        <v>2.1930000000000001</v>
      </c>
      <c r="H56" s="42">
        <f t="shared" si="2"/>
        <v>3.4035838712178199</v>
      </c>
      <c r="I56" s="28">
        <f t="shared" si="5"/>
        <v>145</v>
      </c>
      <c r="J56" s="41">
        <f t="shared" si="9"/>
        <v>0.10807225266022753</v>
      </c>
      <c r="K56" s="41">
        <f t="shared" si="6"/>
        <v>0.1586234708966259</v>
      </c>
      <c r="L56" s="41">
        <f t="shared" si="7"/>
        <v>5.0551218236398368E-2</v>
      </c>
    </row>
    <row r="57" spans="1:12">
      <c r="A57" s="28">
        <f t="shared" si="11"/>
        <v>34</v>
      </c>
      <c r="B57" s="28">
        <v>215.7</v>
      </c>
      <c r="C57" s="41">
        <f t="shared" si="3"/>
        <v>0.590311986863711</v>
      </c>
      <c r="D57" s="42">
        <f t="shared" si="10"/>
        <v>25.310674524184105</v>
      </c>
      <c r="E57" s="28">
        <v>11.8</v>
      </c>
      <c r="F57" s="46">
        <f t="shared" si="12"/>
        <v>39.457033388067849</v>
      </c>
      <c r="G57" s="85">
        <v>2.1930000000000001</v>
      </c>
      <c r="H57" s="42">
        <f t="shared" si="2"/>
        <v>3.3534138452481699</v>
      </c>
      <c r="I57" s="28">
        <f t="shared" si="5"/>
        <v>145</v>
      </c>
      <c r="J57" s="41">
        <f t="shared" si="9"/>
        <v>0.10514051336365188</v>
      </c>
      <c r="K57" s="41">
        <f t="shared" si="6"/>
        <v>0.1586234708966259</v>
      </c>
      <c r="L57" s="41">
        <f t="shared" si="7"/>
        <v>5.3482957532974024E-2</v>
      </c>
    </row>
    <row r="58" spans="1:12">
      <c r="A58" s="28">
        <f t="shared" si="11"/>
        <v>35</v>
      </c>
      <c r="B58" s="28">
        <v>233.1</v>
      </c>
      <c r="C58" s="41">
        <f t="shared" si="3"/>
        <v>0.63793103448275856</v>
      </c>
      <c r="D58" s="42">
        <f t="shared" si="10"/>
        <v>25.364157481717079</v>
      </c>
      <c r="E58" s="28">
        <v>11.8</v>
      </c>
      <c r="F58" s="46">
        <f t="shared" si="12"/>
        <v>38.819102353585087</v>
      </c>
      <c r="G58" s="85">
        <v>2.1930000000000001</v>
      </c>
      <c r="H58" s="42">
        <f t="shared" si="2"/>
        <v>3.2991967239986311</v>
      </c>
      <c r="I58" s="28">
        <f t="shared" si="5"/>
        <v>145</v>
      </c>
      <c r="J58" s="41">
        <f t="shared" si="9"/>
        <v>0.10201402778194345</v>
      </c>
      <c r="K58" s="41">
        <f t="shared" si="6"/>
        <v>0.1586234708966259</v>
      </c>
      <c r="L58" s="41">
        <f t="shared" si="7"/>
        <v>5.6609443114682453E-2</v>
      </c>
    </row>
    <row r="59" spans="1:12">
      <c r="A59" s="28">
        <f t="shared" si="11"/>
        <v>36</v>
      </c>
      <c r="B59" s="28">
        <v>250.4</v>
      </c>
      <c r="C59" s="41">
        <f t="shared" si="3"/>
        <v>0.68527640941434054</v>
      </c>
      <c r="D59" s="42">
        <f t="shared" si="10"/>
        <v>25.42076692483176</v>
      </c>
      <c r="E59" s="28">
        <v>11.8</v>
      </c>
      <c r="F59" s="46">
        <f t="shared" si="12"/>
        <v>38.133825944170745</v>
      </c>
      <c r="G59" s="85">
        <v>2.1930000000000001</v>
      </c>
      <c r="H59" s="42">
        <f t="shared" si="2"/>
        <v>3.2409557666374789</v>
      </c>
      <c r="I59" s="28">
        <f t="shared" si="5"/>
        <v>145</v>
      </c>
      <c r="J59" s="41">
        <f t="shared" si="9"/>
        <v>9.8703936562200653E-2</v>
      </c>
      <c r="K59" s="41">
        <f t="shared" si="6"/>
        <v>0.1586234708966259</v>
      </c>
      <c r="L59" s="41">
        <f t="shared" si="7"/>
        <v>5.9919534334425248E-2</v>
      </c>
    </row>
    <row r="60" spans="1:12">
      <c r="A60" s="28">
        <f t="shared" si="11"/>
        <v>37</v>
      </c>
      <c r="B60" s="28">
        <v>267.8</v>
      </c>
      <c r="C60" s="41">
        <f t="shared" si="3"/>
        <v>0.7328954570333881</v>
      </c>
      <c r="D60" s="42">
        <f t="shared" si="10"/>
        <v>25.480686459166186</v>
      </c>
      <c r="E60" s="28">
        <v>11.8</v>
      </c>
      <c r="F60" s="46">
        <f t="shared" si="12"/>
        <v>37.400930487137359</v>
      </c>
      <c r="G60" s="85">
        <v>2.1930000000000001</v>
      </c>
      <c r="H60" s="42">
        <f t="shared" si="2"/>
        <v>3.1786677139964388</v>
      </c>
      <c r="I60" s="28">
        <f t="shared" si="5"/>
        <v>145</v>
      </c>
      <c r="J60" s="41">
        <f t="shared" si="9"/>
        <v>9.5219493692282511E-2</v>
      </c>
      <c r="K60" s="41">
        <f t="shared" si="6"/>
        <v>0.1586234708966259</v>
      </c>
      <c r="L60" s="41">
        <f t="shared" si="7"/>
        <v>6.340397720434339E-2</v>
      </c>
    </row>
    <row r="61" spans="1:12">
      <c r="A61" s="28">
        <f t="shared" si="11"/>
        <v>38</v>
      </c>
      <c r="B61" s="28">
        <v>285.2</v>
      </c>
      <c r="C61" s="41">
        <f t="shared" si="3"/>
        <v>0.78051450465243566</v>
      </c>
      <c r="D61" s="42">
        <f t="shared" si="10"/>
        <v>25.544090436370531</v>
      </c>
      <c r="E61" s="28">
        <v>11.8</v>
      </c>
      <c r="F61" s="46">
        <f t="shared" si="12"/>
        <v>36.620415982484921</v>
      </c>
      <c r="G61" s="85">
        <v>2.1930000000000001</v>
      </c>
      <c r="H61" s="42">
        <f t="shared" si="2"/>
        <v>3.1123325660755099</v>
      </c>
      <c r="I61" s="28">
        <f t="shared" si="5"/>
        <v>145</v>
      </c>
      <c r="J61" s="41">
        <f t="shared" si="9"/>
        <v>9.1572095428162248E-2</v>
      </c>
      <c r="K61" s="41">
        <f t="shared" si="6"/>
        <v>0.1586234708966259</v>
      </c>
      <c r="L61" s="41">
        <f t="shared" si="7"/>
        <v>6.7051375468463653E-2</v>
      </c>
    </row>
    <row r="62" spans="1:12">
      <c r="A62" s="28">
        <f t="shared" si="11"/>
        <v>39</v>
      </c>
      <c r="B62" s="28">
        <v>302.5</v>
      </c>
      <c r="C62" s="41">
        <f t="shared" si="3"/>
        <v>0.82785987958401741</v>
      </c>
      <c r="D62" s="42">
        <f t="shared" si="10"/>
        <v>25.611141811838994</v>
      </c>
      <c r="E62" s="28">
        <v>11.8</v>
      </c>
      <c r="F62" s="46">
        <f t="shared" si="12"/>
        <v>35.792556102900903</v>
      </c>
      <c r="G62" s="85">
        <v>2.1930000000000001</v>
      </c>
      <c r="H62" s="42">
        <f t="shared" si="2"/>
        <v>3.0419735820429685</v>
      </c>
      <c r="I62" s="28">
        <f t="shared" si="5"/>
        <v>145</v>
      </c>
      <c r="J62" s="41">
        <f t="shared" si="9"/>
        <v>8.7775185726982563E-2</v>
      </c>
      <c r="K62" s="41">
        <f t="shared" si="6"/>
        <v>0.1586234708966259</v>
      </c>
      <c r="L62" s="41">
        <f t="shared" si="7"/>
        <v>7.0848285169643338E-2</v>
      </c>
    </row>
    <row r="63" spans="1:12">
      <c r="A63" s="28">
        <f t="shared" si="11"/>
        <v>40</v>
      </c>
      <c r="B63" s="28">
        <v>319.89999999999998</v>
      </c>
      <c r="C63" s="41">
        <f t="shared" si="3"/>
        <v>0.87547892720306508</v>
      </c>
      <c r="D63" s="42">
        <f t="shared" si="10"/>
        <v>25.681990097008637</v>
      </c>
      <c r="E63" s="28">
        <v>11.8</v>
      </c>
      <c r="F63" s="46">
        <f t="shared" si="12"/>
        <v>34.917077175697841</v>
      </c>
      <c r="G63" s="85">
        <v>2.1930000000000001</v>
      </c>
      <c r="H63" s="42">
        <f t="shared" si="2"/>
        <v>2.9675675027305388</v>
      </c>
      <c r="I63" s="28">
        <f t="shared" si="5"/>
        <v>145</v>
      </c>
      <c r="J63" s="41">
        <f t="shared" si="9"/>
        <v>8.3840490229873568E-2</v>
      </c>
      <c r="K63" s="41">
        <f t="shared" si="6"/>
        <v>0.1586234708966259</v>
      </c>
      <c r="L63" s="41">
        <f t="shared" si="7"/>
        <v>7.4782980666752333E-2</v>
      </c>
    </row>
    <row r="64" spans="1:12">
      <c r="A64" s="28">
        <f t="shared" si="11"/>
        <v>41</v>
      </c>
      <c r="B64" s="28">
        <v>337.2</v>
      </c>
      <c r="C64" s="41">
        <f t="shared" si="3"/>
        <v>0.92282430213464695</v>
      </c>
      <c r="D64" s="42">
        <f t="shared" si="10"/>
        <v>25.75677307767539</v>
      </c>
      <c r="E64" s="28">
        <v>11.8</v>
      </c>
      <c r="F64" s="46">
        <f t="shared" si="12"/>
        <v>33.994252873563191</v>
      </c>
      <c r="G64" s="85">
        <v>2.1930000000000001</v>
      </c>
      <c r="H64" s="42">
        <f t="shared" si="2"/>
        <v>2.8891375873064957</v>
      </c>
      <c r="I64" s="28">
        <f t="shared" si="5"/>
        <v>145</v>
      </c>
      <c r="J64" s="41">
        <f t="shared" si="9"/>
        <v>7.9783050467509803E-2</v>
      </c>
      <c r="K64" s="41">
        <f t="shared" si="6"/>
        <v>0.1586234708966259</v>
      </c>
      <c r="L64" s="41">
        <f t="shared" si="7"/>
        <v>7.8840420429116098E-2</v>
      </c>
    </row>
    <row r="65" spans="1:12">
      <c r="A65" s="1" t="s">
        <v>189</v>
      </c>
      <c r="H65" s="42"/>
      <c r="J65" s="3"/>
      <c r="K65" s="3"/>
      <c r="L65" s="3"/>
    </row>
    <row r="66" spans="1:12">
      <c r="A66" s="28">
        <f>A64+1</f>
        <v>42</v>
      </c>
      <c r="B66" s="28">
        <v>378.4</v>
      </c>
      <c r="C66" s="41">
        <f t="shared" si="3"/>
        <v>1.0355774493705527</v>
      </c>
      <c r="D66" s="42">
        <f>D64+L64</f>
        <v>25.835613498104507</v>
      </c>
      <c r="E66" s="28">
        <v>31.3</v>
      </c>
      <c r="F66" s="46">
        <f>F64-C66</f>
        <v>32.958675424192641</v>
      </c>
      <c r="G66" s="28">
        <v>1.72</v>
      </c>
      <c r="H66" s="42">
        <f t="shared" si="2"/>
        <v>4.5535786567078214</v>
      </c>
      <c r="I66" s="28">
        <f t="shared" si="5"/>
        <v>145</v>
      </c>
      <c r="J66" s="41">
        <f>(1050*((F66/I66)^1.852)*(E66/100)*(G66^-4.87))/2.31</f>
        <v>0.65241592942460613</v>
      </c>
      <c r="K66" s="41">
        <f t="shared" si="6"/>
        <v>0.42075547788681278</v>
      </c>
      <c r="L66" s="41">
        <f t="shared" si="7"/>
        <v>-0.23166045153779335</v>
      </c>
    </row>
    <row r="67" spans="1:12">
      <c r="A67" s="28">
        <f>A66+1</f>
        <v>43</v>
      </c>
      <c r="B67" s="28">
        <v>428</v>
      </c>
      <c r="C67" s="41">
        <f t="shared" si="3"/>
        <v>1.1713191023535852</v>
      </c>
      <c r="D67" s="42">
        <f>D66+L66</f>
        <v>25.603953046566716</v>
      </c>
      <c r="E67" s="28">
        <v>41.9</v>
      </c>
      <c r="F67" s="46">
        <f>F66-C67</f>
        <v>31.787356321839056</v>
      </c>
      <c r="G67" s="85">
        <v>1.72</v>
      </c>
      <c r="H67" s="42">
        <f t="shared" si="2"/>
        <v>4.3917489230785263</v>
      </c>
      <c r="I67" s="28">
        <f t="shared" si="5"/>
        <v>145</v>
      </c>
      <c r="J67" s="41">
        <f>(1050*((F67/I67)^1.852)*(E67/100)*(G67^-4.87))/2.31</f>
        <v>0.81675054554119342</v>
      </c>
      <c r="K67" s="41">
        <f t="shared" si="6"/>
        <v>0.56324774835327329</v>
      </c>
      <c r="L67" s="41">
        <f t="shared" si="7"/>
        <v>-0.25350279718792013</v>
      </c>
    </row>
    <row r="68" spans="1:12">
      <c r="A68" s="28">
        <f t="shared" ref="A68:A70" si="13">A67+1</f>
        <v>44</v>
      </c>
      <c r="B68" s="28">
        <v>477.6</v>
      </c>
      <c r="C68" s="41">
        <f t="shared" si="3"/>
        <v>1.3070607553366176</v>
      </c>
      <c r="D68" s="42">
        <f>D67+L67</f>
        <v>25.350450249378795</v>
      </c>
      <c r="E68" s="28">
        <v>41.9</v>
      </c>
      <c r="F68" s="46">
        <f t="shared" ref="F68:F70" si="14">F67-C68</f>
        <v>30.480295566502438</v>
      </c>
      <c r="G68" s="85">
        <v>1.72</v>
      </c>
      <c r="H68" s="42">
        <f t="shared" si="2"/>
        <v>4.2111650894772401</v>
      </c>
      <c r="I68" s="28">
        <f t="shared" si="5"/>
        <v>145</v>
      </c>
      <c r="J68" s="41">
        <f>(1050*((F68/I68)^1.852)*(E68/100)*(G68^-4.87))/2.31</f>
        <v>0.75564493534249699</v>
      </c>
      <c r="K68" s="41">
        <f t="shared" si="6"/>
        <v>0.56324774835327329</v>
      </c>
      <c r="L68" s="41">
        <f t="shared" si="7"/>
        <v>-0.1923971869892237</v>
      </c>
    </row>
    <row r="69" spans="1:12">
      <c r="A69" s="28">
        <f t="shared" si="13"/>
        <v>45</v>
      </c>
      <c r="B69" s="28">
        <v>527.1</v>
      </c>
      <c r="C69" s="41">
        <f t="shared" si="3"/>
        <v>1.4425287356321841</v>
      </c>
      <c r="D69" s="42">
        <f>D68+L68</f>
        <v>25.158053062389573</v>
      </c>
      <c r="E69" s="28">
        <v>41.9</v>
      </c>
      <c r="F69" s="46">
        <f t="shared" si="14"/>
        <v>29.037766830870254</v>
      </c>
      <c r="G69" s="85">
        <v>1.72</v>
      </c>
      <c r="H69" s="42">
        <f t="shared" si="2"/>
        <v>4.0118649665893873</v>
      </c>
      <c r="I69" s="28">
        <f t="shared" si="5"/>
        <v>145</v>
      </c>
      <c r="J69" s="41">
        <f>(1050*((F69/I69)^1.852)*(E69/100)*(G69^-4.87))/2.31</f>
        <v>0.69075197790713827</v>
      </c>
      <c r="K69" s="41">
        <f t="shared" si="6"/>
        <v>0.56324774835327329</v>
      </c>
      <c r="L69" s="41">
        <f t="shared" si="7"/>
        <v>-0.12750422955386498</v>
      </c>
    </row>
    <row r="70" spans="1:12">
      <c r="A70" s="28">
        <f t="shared" si="13"/>
        <v>46</v>
      </c>
      <c r="B70" s="28">
        <v>576.70000000000005</v>
      </c>
      <c r="C70" s="41">
        <f t="shared" si="3"/>
        <v>1.5782703886152163</v>
      </c>
      <c r="D70" s="42">
        <f>D69+L69</f>
        <v>25.030548832835709</v>
      </c>
      <c r="E70" s="28">
        <v>41.9</v>
      </c>
      <c r="F70" s="46">
        <f t="shared" si="14"/>
        <v>27.459496442255038</v>
      </c>
      <c r="G70" s="85">
        <v>1.72</v>
      </c>
      <c r="H70" s="42">
        <f t="shared" si="2"/>
        <v>3.7938107437295425</v>
      </c>
      <c r="I70" s="28">
        <f t="shared" si="5"/>
        <v>145</v>
      </c>
      <c r="J70" s="41">
        <f>(1050*((F70/I70)^1.852)*(E70/100)*(G70^-4.87))/2.31</f>
        <v>0.62283484706558401</v>
      </c>
      <c r="K70" s="41">
        <f t="shared" si="6"/>
        <v>0.56324774835327329</v>
      </c>
      <c r="L70" s="41">
        <f t="shared" si="7"/>
        <v>-5.9587098712310715E-2</v>
      </c>
    </row>
    <row r="71" spans="1:12">
      <c r="A71" s="1" t="s">
        <v>190</v>
      </c>
      <c r="H71" s="42"/>
      <c r="J71" s="3"/>
      <c r="K71" s="3"/>
      <c r="L71" s="3"/>
    </row>
    <row r="72" spans="1:12">
      <c r="A72" s="28">
        <f>A70+1</f>
        <v>47</v>
      </c>
      <c r="B72" s="28">
        <v>614.5</v>
      </c>
      <c r="C72" s="41">
        <f t="shared" si="3"/>
        <v>1.681718664477285</v>
      </c>
      <c r="D72" s="42">
        <f>D70+L70</f>
        <v>24.970961734123399</v>
      </c>
      <c r="E72" s="28">
        <v>31.7</v>
      </c>
      <c r="F72" s="46">
        <f>F70-C72</f>
        <v>25.777777777777754</v>
      </c>
      <c r="G72" s="28">
        <v>1.72</v>
      </c>
      <c r="H72" s="42">
        <f t="shared" si="2"/>
        <v>3.5614640817781384</v>
      </c>
      <c r="I72" s="28">
        <f t="shared" ref="I72" si="15">IF(G72&gt;5,$B$6,IF(5&gt;=G72&gt;1.5,$B$7,IF(1.5&gt;G72,$B$8,0)))</f>
        <v>145</v>
      </c>
      <c r="J72" s="41">
        <f t="shared" ref="J72:J77" si="16">(1050*((F72/I72)^1.852)*(E72/100)*(G72^-4.87))/2.31</f>
        <v>0.41916607438721465</v>
      </c>
      <c r="K72" s="41">
        <f t="shared" ref="K72" si="17">E72*$B$11</f>
        <v>0.42613254469686784</v>
      </c>
      <c r="L72" s="41">
        <f t="shared" ref="L72" si="18">K72-J72</f>
        <v>6.9664703096531944E-3</v>
      </c>
    </row>
    <row r="73" spans="1:12">
      <c r="A73" s="28">
        <f>A72+1</f>
        <v>48</v>
      </c>
      <c r="B73" s="28">
        <v>624.9</v>
      </c>
      <c r="C73" s="41">
        <f t="shared" si="3"/>
        <v>1.7101806239737274</v>
      </c>
      <c r="D73" s="42">
        <f>D72+L72</f>
        <v>24.977928204433052</v>
      </c>
      <c r="E73" s="28">
        <v>8</v>
      </c>
      <c r="F73" s="46">
        <f>F72-C73</f>
        <v>24.067597153804027</v>
      </c>
      <c r="G73" s="85">
        <v>1.72</v>
      </c>
      <c r="H73" s="42">
        <f t="shared" si="2"/>
        <v>3.3251851085422839</v>
      </c>
      <c r="I73" s="28">
        <f t="shared" ref="I73:I77" si="19">IF(G73&gt;5,$B$6,IF(5&gt;=G73&gt;1.5,$B$7,IF(1.5&gt;G73,$B$8,0)))</f>
        <v>145</v>
      </c>
      <c r="J73" s="41">
        <f t="shared" si="16"/>
        <v>9.3154459910829837E-2</v>
      </c>
      <c r="K73" s="41">
        <f t="shared" ref="K73:K77" si="20">E73*$B$11</f>
        <v>0.1075413362011023</v>
      </c>
      <c r="L73" s="41">
        <f t="shared" ref="L73:L77" si="21">K73-J73</f>
        <v>1.4386876290272466E-2</v>
      </c>
    </row>
    <row r="74" spans="1:12">
      <c r="A74" s="28">
        <f t="shared" ref="A74:A77" si="22">A73+1</f>
        <v>49</v>
      </c>
      <c r="B74" s="28">
        <v>635.29999999999995</v>
      </c>
      <c r="C74" s="41">
        <f t="shared" si="3"/>
        <v>1.7386425834701698</v>
      </c>
      <c r="D74" s="42">
        <f>D73+L73</f>
        <v>24.992315080723326</v>
      </c>
      <c r="E74" s="28">
        <v>8</v>
      </c>
      <c r="F74" s="46">
        <f t="shared" ref="F74:F77" si="23">F73-C74</f>
        <v>22.328954570333856</v>
      </c>
      <c r="G74" s="85">
        <v>1.72</v>
      </c>
      <c r="H74" s="42">
        <f t="shared" si="2"/>
        <v>3.0849738240219793</v>
      </c>
      <c r="I74" s="28">
        <f t="shared" si="19"/>
        <v>145</v>
      </c>
      <c r="J74" s="41">
        <f t="shared" si="16"/>
        <v>8.1076405865496526E-2</v>
      </c>
      <c r="K74" s="41">
        <f t="shared" si="20"/>
        <v>0.1075413362011023</v>
      </c>
      <c r="L74" s="41">
        <f t="shared" si="21"/>
        <v>2.6464930335605777E-2</v>
      </c>
    </row>
    <row r="75" spans="1:12">
      <c r="A75" s="28">
        <f t="shared" si="22"/>
        <v>50</v>
      </c>
      <c r="B75" s="28">
        <v>645.70000000000005</v>
      </c>
      <c r="C75" s="41">
        <f t="shared" si="3"/>
        <v>1.7671045429666119</v>
      </c>
      <c r="D75" s="42">
        <f>D74+L74</f>
        <v>25.018780011058933</v>
      </c>
      <c r="E75" s="28">
        <v>8</v>
      </c>
      <c r="F75" s="46">
        <f t="shared" si="23"/>
        <v>20.561850027367242</v>
      </c>
      <c r="G75" s="85">
        <v>1.72</v>
      </c>
      <c r="H75" s="42">
        <f t="shared" si="2"/>
        <v>2.8408302282172242</v>
      </c>
      <c r="I75" s="28">
        <f t="shared" si="19"/>
        <v>145</v>
      </c>
      <c r="J75" s="41">
        <f t="shared" si="16"/>
        <v>6.9595538614071015E-2</v>
      </c>
      <c r="K75" s="41">
        <f t="shared" si="20"/>
        <v>0.1075413362011023</v>
      </c>
      <c r="L75" s="41">
        <f t="shared" si="21"/>
        <v>3.7945797587031288E-2</v>
      </c>
    </row>
    <row r="76" spans="1:12">
      <c r="A76" s="28">
        <f t="shared" si="22"/>
        <v>51</v>
      </c>
      <c r="B76" s="28">
        <v>656.1</v>
      </c>
      <c r="C76" s="41">
        <f t="shared" si="3"/>
        <v>1.7955665024630543</v>
      </c>
      <c r="D76" s="42">
        <f>D75+L75</f>
        <v>25.056725808645965</v>
      </c>
      <c r="E76" s="28">
        <v>8</v>
      </c>
      <c r="F76" s="46">
        <f t="shared" si="23"/>
        <v>18.766283524904189</v>
      </c>
      <c r="G76" s="85">
        <v>1.72</v>
      </c>
      <c r="H76" s="42">
        <f t="shared" si="2"/>
        <v>2.5927543211280191</v>
      </c>
      <c r="I76" s="28">
        <f t="shared" si="19"/>
        <v>145</v>
      </c>
      <c r="J76" s="41">
        <f t="shared" si="16"/>
        <v>5.8760677166743519E-2</v>
      </c>
      <c r="K76" s="41">
        <f t="shared" si="20"/>
        <v>0.1075413362011023</v>
      </c>
      <c r="L76" s="41">
        <f t="shared" si="21"/>
        <v>4.8780659034358784E-2</v>
      </c>
    </row>
    <row r="77" spans="1:12">
      <c r="A77" s="28">
        <f t="shared" si="22"/>
        <v>52</v>
      </c>
      <c r="B77" s="28">
        <v>666.5</v>
      </c>
      <c r="C77" s="41">
        <f t="shared" si="3"/>
        <v>1.8240284619594964</v>
      </c>
      <c r="D77" s="42">
        <f>D76+L76</f>
        <v>25.105506467680325</v>
      </c>
      <c r="E77" s="28">
        <v>8</v>
      </c>
      <c r="F77" s="46">
        <f t="shared" si="23"/>
        <v>16.942255062944692</v>
      </c>
      <c r="G77" s="85">
        <v>1.72</v>
      </c>
      <c r="H77" s="42">
        <f t="shared" si="2"/>
        <v>2.3407461027543643</v>
      </c>
      <c r="I77" s="28">
        <f t="shared" si="19"/>
        <v>145</v>
      </c>
      <c r="J77" s="41">
        <f t="shared" si="16"/>
        <v>4.862335492028988E-2</v>
      </c>
      <c r="K77" s="41">
        <f t="shared" si="20"/>
        <v>0.1075413362011023</v>
      </c>
      <c r="L77" s="41">
        <f t="shared" si="21"/>
        <v>5.8917981280812423E-2</v>
      </c>
    </row>
    <row r="78" spans="1:12">
      <c r="A78" s="1" t="s">
        <v>191</v>
      </c>
      <c r="H78" s="42"/>
      <c r="J78" s="3"/>
      <c r="K78" s="3"/>
      <c r="L78" s="3"/>
    </row>
    <row r="79" spans="1:12">
      <c r="A79" s="28">
        <f>A77+1</f>
        <v>53</v>
      </c>
      <c r="B79" s="28">
        <v>665.2</v>
      </c>
      <c r="C79" s="41">
        <f t="shared" si="3"/>
        <v>1.8204707170224415</v>
      </c>
      <c r="D79" s="42">
        <f>D77+L77</f>
        <v>25.164424448961139</v>
      </c>
      <c r="E79" s="28">
        <v>8.5</v>
      </c>
      <c r="F79" s="46">
        <f>F77-C79</f>
        <v>15.121784345922251</v>
      </c>
      <c r="G79" s="28">
        <v>1.72</v>
      </c>
      <c r="H79" s="42">
        <f t="shared" si="2"/>
        <v>2.0892294232912656</v>
      </c>
      <c r="I79" s="28">
        <f t="shared" ref="I79:I88" si="24">IF(G79&gt;5,$B$6,IF(5&gt;=G79&gt;1.5,$B$7,IF(1.5&gt;G79,$B$8,0)))</f>
        <v>145</v>
      </c>
      <c r="J79" s="41">
        <f t="shared" ref="J79:J88" si="25">(1050*((F79/I79)^1.852)*(E79/100)*(G79^-4.87))/2.31</f>
        <v>4.1854677392238464E-2</v>
      </c>
      <c r="K79" s="41">
        <f t="shared" ref="K79:K88" si="26">E79*$B$11</f>
        <v>0.1142626697136712</v>
      </c>
      <c r="L79" s="41">
        <f t="shared" ref="L79:L88" si="27">K79-J79</f>
        <v>7.2407992321432746E-2</v>
      </c>
    </row>
    <row r="80" spans="1:12">
      <c r="A80" s="28">
        <f>A79+1</f>
        <v>54</v>
      </c>
      <c r="B80" s="28">
        <v>654.6</v>
      </c>
      <c r="C80" s="41">
        <f t="shared" si="3"/>
        <v>1.7914614121510672</v>
      </c>
      <c r="D80" s="42">
        <f t="shared" ref="D80:D88" si="28">D79+L79</f>
        <v>25.236832441282573</v>
      </c>
      <c r="E80" s="28">
        <v>9.1999999999999993</v>
      </c>
      <c r="F80" s="46">
        <f>F79-C80</f>
        <v>13.330322933771184</v>
      </c>
      <c r="G80" s="85">
        <v>1.72</v>
      </c>
      <c r="H80" s="42">
        <f t="shared" si="2"/>
        <v>1.8417206764834715</v>
      </c>
      <c r="I80" s="28">
        <f t="shared" si="24"/>
        <v>145</v>
      </c>
      <c r="J80" s="41">
        <f t="shared" si="25"/>
        <v>3.5866829789353974E-2</v>
      </c>
      <c r="K80" s="41">
        <f t="shared" si="26"/>
        <v>0.12367253663126763</v>
      </c>
      <c r="L80" s="41">
        <f t="shared" si="27"/>
        <v>8.7805706841913661E-2</v>
      </c>
    </row>
    <row r="81" spans="1:12">
      <c r="A81" s="28">
        <f t="shared" ref="A81:A87" si="29">A80+1</f>
        <v>55</v>
      </c>
      <c r="B81" s="28">
        <v>644</v>
      </c>
      <c r="C81" s="41">
        <f t="shared" si="3"/>
        <v>1.7624521072796935</v>
      </c>
      <c r="D81" s="42">
        <f t="shared" si="28"/>
        <v>25.324638148124485</v>
      </c>
      <c r="E81" s="28">
        <v>9.1999999999999993</v>
      </c>
      <c r="F81" s="46">
        <f t="shared" ref="F81:F88" si="30">F80-C81</f>
        <v>11.56787082649149</v>
      </c>
      <c r="G81" s="85">
        <v>1.72</v>
      </c>
      <c r="H81" s="42">
        <f t="shared" si="2"/>
        <v>1.5982198623309827</v>
      </c>
      <c r="I81" s="28">
        <f t="shared" si="24"/>
        <v>145</v>
      </c>
      <c r="J81" s="41">
        <f t="shared" si="25"/>
        <v>2.7582487055538719E-2</v>
      </c>
      <c r="K81" s="41">
        <f t="shared" si="26"/>
        <v>0.12367253663126763</v>
      </c>
      <c r="L81" s="41">
        <f t="shared" si="27"/>
        <v>9.609004957572892E-2</v>
      </c>
    </row>
    <row r="82" spans="1:12">
      <c r="A82" s="28">
        <f t="shared" si="29"/>
        <v>56</v>
      </c>
      <c r="B82" s="28">
        <v>633.4</v>
      </c>
      <c r="C82" s="41">
        <f t="shared" si="3"/>
        <v>1.7334428024083197</v>
      </c>
      <c r="D82" s="42">
        <f t="shared" si="28"/>
        <v>25.420728197700214</v>
      </c>
      <c r="E82" s="28">
        <v>9.1999999999999993</v>
      </c>
      <c r="F82" s="46">
        <f t="shared" si="30"/>
        <v>9.8344280240831701</v>
      </c>
      <c r="G82" s="85">
        <v>1.72</v>
      </c>
      <c r="H82" s="42">
        <f t="shared" si="2"/>
        <v>1.3587269808337987</v>
      </c>
      <c r="I82" s="28">
        <f t="shared" si="24"/>
        <v>145</v>
      </c>
      <c r="J82" s="41">
        <f t="shared" si="25"/>
        <v>2.0420172880911344E-2</v>
      </c>
      <c r="K82" s="41">
        <f t="shared" si="26"/>
        <v>0.12367253663126763</v>
      </c>
      <c r="L82" s="41">
        <f t="shared" si="27"/>
        <v>0.10325236375035629</v>
      </c>
    </row>
    <row r="83" spans="1:12">
      <c r="A83" s="28">
        <f t="shared" si="29"/>
        <v>57</v>
      </c>
      <c r="B83" s="28">
        <v>622.70000000000005</v>
      </c>
      <c r="C83" s="41">
        <f t="shared" si="3"/>
        <v>1.7041598248494803</v>
      </c>
      <c r="D83" s="42">
        <f t="shared" si="28"/>
        <v>25.523980561450571</v>
      </c>
      <c r="E83" s="28">
        <v>9.1999999999999993</v>
      </c>
      <c r="F83" s="46">
        <f t="shared" si="30"/>
        <v>8.13026819923369</v>
      </c>
      <c r="G83" s="85">
        <v>1.72</v>
      </c>
      <c r="H83" s="42">
        <f t="shared" si="2"/>
        <v>1.1232798426773472</v>
      </c>
      <c r="I83" s="28">
        <f t="shared" si="24"/>
        <v>145</v>
      </c>
      <c r="J83" s="41">
        <f t="shared" si="25"/>
        <v>1.4354970135314079E-2</v>
      </c>
      <c r="K83" s="41">
        <f t="shared" si="26"/>
        <v>0.12367253663126763</v>
      </c>
      <c r="L83" s="41">
        <f t="shared" si="27"/>
        <v>0.10931756649595356</v>
      </c>
    </row>
    <row r="84" spans="1:12">
      <c r="A84" s="28">
        <f t="shared" si="29"/>
        <v>58</v>
      </c>
      <c r="B84" s="28">
        <v>612.1</v>
      </c>
      <c r="C84" s="41">
        <f t="shared" si="3"/>
        <v>1.6751505199781063</v>
      </c>
      <c r="D84" s="42">
        <f t="shared" si="28"/>
        <v>25.633298127946524</v>
      </c>
      <c r="E84" s="28">
        <v>9.1999999999999993</v>
      </c>
      <c r="F84" s="46">
        <f t="shared" si="30"/>
        <v>6.4551176792555838</v>
      </c>
      <c r="G84" s="85">
        <v>1.72</v>
      </c>
      <c r="H84" s="42">
        <f t="shared" si="2"/>
        <v>0.89184063717620055</v>
      </c>
      <c r="I84" s="28">
        <f t="shared" si="24"/>
        <v>145</v>
      </c>
      <c r="J84" s="41">
        <f t="shared" si="25"/>
        <v>9.3633354298877629E-3</v>
      </c>
      <c r="K84" s="41">
        <f t="shared" si="26"/>
        <v>0.12367253663126763</v>
      </c>
      <c r="L84" s="41">
        <f t="shared" si="27"/>
        <v>0.11430920120137987</v>
      </c>
    </row>
    <row r="85" spans="1:12">
      <c r="A85" s="28">
        <f t="shared" si="29"/>
        <v>59</v>
      </c>
      <c r="B85" s="28">
        <v>601.5</v>
      </c>
      <c r="C85" s="41">
        <f t="shared" si="3"/>
        <v>1.6461412151067323</v>
      </c>
      <c r="D85" s="42">
        <f t="shared" si="28"/>
        <v>25.747607329147904</v>
      </c>
      <c r="E85" s="28">
        <v>9.1999999999999993</v>
      </c>
      <c r="F85" s="46">
        <f t="shared" si="30"/>
        <v>4.8089764641488513</v>
      </c>
      <c r="G85" s="85">
        <v>1.72</v>
      </c>
      <c r="H85" s="42">
        <f t="shared" si="2"/>
        <v>0.6644093643303588</v>
      </c>
      <c r="I85" s="28">
        <f t="shared" si="24"/>
        <v>145</v>
      </c>
      <c r="J85" s="41">
        <f t="shared" si="25"/>
        <v>5.428121757050426E-3</v>
      </c>
      <c r="K85" s="41">
        <f t="shared" si="26"/>
        <v>0.12367253663126763</v>
      </c>
      <c r="L85" s="41">
        <f t="shared" si="27"/>
        <v>0.1182444148742172</v>
      </c>
    </row>
    <row r="86" spans="1:12">
      <c r="A86" s="28">
        <f t="shared" si="29"/>
        <v>60</v>
      </c>
      <c r="B86" s="28">
        <v>590.9</v>
      </c>
      <c r="C86" s="41">
        <f t="shared" si="3"/>
        <v>1.6171319102353585</v>
      </c>
      <c r="D86" s="42">
        <f t="shared" si="28"/>
        <v>25.86585174402212</v>
      </c>
      <c r="E86" s="28">
        <v>9.1999999999999993</v>
      </c>
      <c r="F86" s="46">
        <f>F85-C86</f>
        <v>3.1918445539134925</v>
      </c>
      <c r="G86" s="85">
        <v>1.72</v>
      </c>
      <c r="H86" s="42">
        <f t="shared" si="2"/>
        <v>0.44098602413982202</v>
      </c>
      <c r="I86" s="28">
        <f t="shared" si="24"/>
        <v>145</v>
      </c>
      <c r="J86" s="41">
        <f t="shared" si="25"/>
        <v>2.5408168374712373E-3</v>
      </c>
      <c r="K86" s="41">
        <f t="shared" si="26"/>
        <v>0.12367253663126763</v>
      </c>
      <c r="L86" s="41">
        <f t="shared" si="27"/>
        <v>0.1211317197937964</v>
      </c>
    </row>
    <row r="87" spans="1:12">
      <c r="A87" s="28">
        <f t="shared" si="29"/>
        <v>61</v>
      </c>
      <c r="B87" s="28">
        <v>580.29999999999995</v>
      </c>
      <c r="C87" s="41">
        <f t="shared" si="3"/>
        <v>1.5881226053639845</v>
      </c>
      <c r="D87" s="42">
        <f t="shared" si="28"/>
        <v>25.986983463815918</v>
      </c>
      <c r="E87" s="28">
        <v>9.1999999999999993</v>
      </c>
      <c r="F87" s="46">
        <f t="shared" si="30"/>
        <v>1.603721948549508</v>
      </c>
      <c r="G87" s="85">
        <v>1.72</v>
      </c>
      <c r="H87" s="42">
        <f t="shared" ref="H87:H88" si="31">(F87/448.8)/(3.14*((G87/12)^2)/4)</f>
        <v>0.22157061660459021</v>
      </c>
      <c r="I87" s="28">
        <f t="shared" si="24"/>
        <v>145</v>
      </c>
      <c r="J87" s="41">
        <f t="shared" si="25"/>
        <v>7.1021053985110974E-4</v>
      </c>
      <c r="K87" s="41">
        <f t="shared" si="26"/>
        <v>0.12367253663126763</v>
      </c>
      <c r="L87" s="41">
        <f t="shared" si="27"/>
        <v>0.12296232609141652</v>
      </c>
    </row>
    <row r="88" spans="1:12">
      <c r="A88" s="28">
        <f>A87+1</f>
        <v>62</v>
      </c>
      <c r="B88" s="28">
        <v>569.6</v>
      </c>
      <c r="C88" s="41">
        <f t="shared" ref="C88" si="32">(B88/$B$14)*$B$13</f>
        <v>1.5588396278051451</v>
      </c>
      <c r="D88" s="42">
        <f t="shared" si="28"/>
        <v>26.109945789907336</v>
      </c>
      <c r="E88" s="28">
        <v>9.1999999999999993</v>
      </c>
      <c r="F88" s="46">
        <f t="shared" si="30"/>
        <v>4.4882320744362936E-2</v>
      </c>
      <c r="G88" s="85">
        <v>1.72</v>
      </c>
      <c r="H88" s="42">
        <f t="shared" si="31"/>
        <v>6.2009524100907383E-3</v>
      </c>
      <c r="I88" s="28">
        <f t="shared" si="24"/>
        <v>145</v>
      </c>
      <c r="J88" s="41">
        <f t="shared" si="25"/>
        <v>9.4434684750727999E-7</v>
      </c>
      <c r="K88" s="41">
        <f t="shared" si="26"/>
        <v>0.12367253663126763</v>
      </c>
      <c r="L88" s="41">
        <f t="shared" si="27"/>
        <v>0.12367159228442012</v>
      </c>
    </row>
    <row r="90" spans="1:12">
      <c r="C90" s="1" t="s">
        <v>204</v>
      </c>
      <c r="D90" s="11">
        <f>MIN(D79:D88,D72:D77,D66:D70,D52:D64,D23:D50)</f>
        <v>24.88641464449875</v>
      </c>
      <c r="E90" t="s">
        <v>199</v>
      </c>
    </row>
    <row r="91" spans="1:12">
      <c r="C91" s="1" t="s">
        <v>205</v>
      </c>
      <c r="D91" s="11">
        <f>MAX(D79:D88,D72:D77,D66:D70,D52:D64,D23:D50)</f>
        <v>26.109945789907336</v>
      </c>
      <c r="E91" t="s">
        <v>199</v>
      </c>
    </row>
    <row r="92" spans="1:12" ht="30">
      <c r="C92" s="44" t="s">
        <v>194</v>
      </c>
      <c r="D92" s="13">
        <f>AVERAGE(D79:D88,D72:D77,D66:D70,D52:D64,D22:D50)</f>
        <v>25.181362088763915</v>
      </c>
    </row>
    <row r="93" spans="1:12">
      <c r="C93" s="1" t="s">
        <v>123</v>
      </c>
      <c r="D93" s="11">
        <f>SUM(C23:C88)</f>
        <v>52.455117679255594</v>
      </c>
    </row>
    <row r="94" spans="1:12" ht="60">
      <c r="C94" s="24" t="s">
        <v>196</v>
      </c>
      <c r="D94" s="45">
        <f>SUM(E79:E88,E72:E77,E66:E70,E52:E64,E22:E50)</f>
        <v>738.10000000000127</v>
      </c>
    </row>
  </sheetData>
  <printOptions headings="1" gridLines="1"/>
  <pageMargins left="1" right="0" top="1" bottom="0" header="0.5" footer="0"/>
  <pageSetup scale="80" firstPageNumber="32" orientation="portrait" useFirstPageNumber="1" r:id="rId1"/>
  <headerFooter>
    <oddHeader>&amp;R&amp;P</oddHeader>
  </headerFooter>
  <drawing r:id="rId2"/>
</worksheet>
</file>

<file path=xl/worksheets/sheet3.xml><?xml version="1.0" encoding="utf-8"?>
<worksheet xmlns="http://schemas.openxmlformats.org/spreadsheetml/2006/main" xmlns:r="http://schemas.openxmlformats.org/officeDocument/2006/relationships">
  <dimension ref="A1:L69"/>
  <sheetViews>
    <sheetView topLeftCell="A19" workbookViewId="0">
      <selection activeCell="A9" sqref="A9"/>
    </sheetView>
  </sheetViews>
  <sheetFormatPr defaultRowHeight="15"/>
  <sheetData>
    <row r="1" spans="1:3">
      <c r="A1" s="1" t="s">
        <v>85</v>
      </c>
    </row>
    <row r="2" spans="1:3">
      <c r="C2" s="11"/>
    </row>
    <row r="3" spans="1:3">
      <c r="A3" s="1" t="s">
        <v>171</v>
      </c>
    </row>
    <row r="6" spans="1:3">
      <c r="B6">
        <v>150</v>
      </c>
      <c r="C6" t="s">
        <v>177</v>
      </c>
    </row>
    <row r="7" spans="1:3">
      <c r="B7">
        <v>145</v>
      </c>
      <c r="C7" t="s">
        <v>176</v>
      </c>
    </row>
    <row r="8" spans="1:3">
      <c r="B8">
        <v>140</v>
      </c>
      <c r="C8" t="s">
        <v>178</v>
      </c>
    </row>
    <row r="9" spans="1:3">
      <c r="B9">
        <v>10</v>
      </c>
      <c r="C9" t="s">
        <v>179</v>
      </c>
    </row>
    <row r="10" spans="1:3">
      <c r="B10">
        <v>352.3</v>
      </c>
      <c r="C10" t="s">
        <v>180</v>
      </c>
    </row>
    <row r="11" spans="1:3">
      <c r="B11" s="3">
        <f>B9/B10</f>
        <v>2.8384899233607718E-2</v>
      </c>
      <c r="C11" t="s">
        <v>181</v>
      </c>
    </row>
    <row r="12" spans="1:3">
      <c r="B12">
        <v>0.5</v>
      </c>
      <c r="C12" t="s">
        <v>69</v>
      </c>
    </row>
    <row r="13" spans="1:3">
      <c r="B13" s="21">
        <f>B12/60</f>
        <v>8.3333333333333332E-3</v>
      </c>
      <c r="C13" t="s">
        <v>185</v>
      </c>
    </row>
    <row r="14" spans="1:3">
      <c r="B14" s="21">
        <v>3.0449999999999999</v>
      </c>
      <c r="C14" t="s">
        <v>186</v>
      </c>
    </row>
    <row r="15" spans="1:3">
      <c r="B15" s="21"/>
    </row>
    <row r="16" spans="1:3">
      <c r="B16" s="21"/>
    </row>
    <row r="17" spans="1:12">
      <c r="B17" s="11" t="s">
        <v>330</v>
      </c>
    </row>
    <row r="18" spans="1:12">
      <c r="B18" s="11" t="s">
        <v>331</v>
      </c>
    </row>
    <row r="19" spans="1:12">
      <c r="B19" s="21"/>
    </row>
    <row r="21" spans="1:12">
      <c r="A21" s="1" t="s">
        <v>172</v>
      </c>
    </row>
    <row r="22" spans="1:12" ht="30">
      <c r="A22" s="27" t="s">
        <v>173</v>
      </c>
      <c r="B22" s="44" t="s">
        <v>183</v>
      </c>
      <c r="C22" s="24" t="s">
        <v>184</v>
      </c>
      <c r="D22" s="24" t="s">
        <v>182</v>
      </c>
      <c r="E22" s="27" t="s">
        <v>116</v>
      </c>
      <c r="F22" s="24" t="s">
        <v>123</v>
      </c>
      <c r="G22" s="26" t="s">
        <v>175</v>
      </c>
      <c r="H22" s="24" t="s">
        <v>200</v>
      </c>
      <c r="I22" s="26" t="s">
        <v>187</v>
      </c>
      <c r="J22" s="27" t="s">
        <v>119</v>
      </c>
      <c r="K22" s="24" t="s">
        <v>120</v>
      </c>
      <c r="L22" s="24" t="s">
        <v>121</v>
      </c>
    </row>
    <row r="23" spans="1:12">
      <c r="A23" s="40" t="s">
        <v>174</v>
      </c>
      <c r="B23" s="45">
        <v>0</v>
      </c>
      <c r="C23" s="43">
        <v>0</v>
      </c>
      <c r="D23" s="43">
        <v>25</v>
      </c>
      <c r="E23" s="45">
        <v>0</v>
      </c>
      <c r="F23" s="42">
        <v>48</v>
      </c>
      <c r="G23" s="45">
        <v>2.1930000000000001</v>
      </c>
      <c r="H23" s="42">
        <f>(F23/448.8)/(3.14*((G23/12)^2)/4)</f>
        <v>4.0794720421274508</v>
      </c>
      <c r="I23" s="45">
        <f t="shared" ref="I23:I34" si="0">IF(G23&gt;5,$B$6,IF(5&gt;=G23&gt;1.5,$B$7,IF(1.5&gt;G23,$B$8,0)))</f>
        <v>145</v>
      </c>
      <c r="J23" s="46">
        <f t="shared" ref="J23:J34" si="1">(1050*((F23/I23)^1.852)*(E23/100)*(G23^-4.87))/2.31</f>
        <v>0</v>
      </c>
      <c r="K23" s="41">
        <f t="shared" ref="K23:K34" si="2">E23*$B$11</f>
        <v>0</v>
      </c>
      <c r="L23" s="41">
        <f>K23-J23</f>
        <v>0</v>
      </c>
    </row>
    <row r="24" spans="1:12">
      <c r="A24" s="45">
        <v>1</v>
      </c>
      <c r="B24" s="45">
        <v>548.4</v>
      </c>
      <c r="C24" s="41">
        <f>(B24/$B$14)*$B$13</f>
        <v>1.5008210180623973</v>
      </c>
      <c r="D24" s="42">
        <f t="shared" ref="D24:D34" si="3">D23+L23</f>
        <v>25</v>
      </c>
      <c r="E24" s="45">
        <v>1.26</v>
      </c>
      <c r="F24" s="46">
        <f>F23-C24</f>
        <v>46.499178981937604</v>
      </c>
      <c r="G24" s="85">
        <v>2.1930000000000001</v>
      </c>
      <c r="H24" s="42">
        <f t="shared" ref="H24:H63" si="4">(F24/448.8)/(3.14*((G24/12)^2)/4)</f>
        <v>3.9519187633061419</v>
      </c>
      <c r="I24" s="45">
        <f t="shared" si="0"/>
        <v>145</v>
      </c>
      <c r="J24" s="41">
        <f t="shared" si="1"/>
        <v>1.5217554132341202E-2</v>
      </c>
      <c r="K24" s="41">
        <f t="shared" si="2"/>
        <v>3.5764973034345726E-2</v>
      </c>
      <c r="L24" s="41">
        <f>K24-J24</f>
        <v>2.0547418902004524E-2</v>
      </c>
    </row>
    <row r="25" spans="1:12">
      <c r="A25" s="45">
        <f>A24+1</f>
        <v>2</v>
      </c>
      <c r="B25" s="45">
        <v>537.79999999999995</v>
      </c>
      <c r="C25" s="41">
        <f t="shared" ref="C25:C34" si="5">(B25/$B$14)*$B$13</f>
        <v>1.4718117131910233</v>
      </c>
      <c r="D25" s="42">
        <f t="shared" si="3"/>
        <v>25.020547418902005</v>
      </c>
      <c r="E25" s="45">
        <v>9.1999999999999993</v>
      </c>
      <c r="F25" s="46">
        <f t="shared" ref="F25:F33" si="6">F24-C25</f>
        <v>45.02736726874658</v>
      </c>
      <c r="G25" s="85">
        <v>2.1930000000000001</v>
      </c>
      <c r="H25" s="42">
        <f t="shared" si="4"/>
        <v>3.8268309563220071</v>
      </c>
      <c r="I25" s="45">
        <f t="shared" si="0"/>
        <v>145</v>
      </c>
      <c r="J25" s="41">
        <f t="shared" si="1"/>
        <v>0.104686830042393</v>
      </c>
      <c r="K25" s="41">
        <f t="shared" si="2"/>
        <v>0.26114107294919098</v>
      </c>
      <c r="L25" s="41">
        <f t="shared" ref="L25:L63" si="7">K25-J25</f>
        <v>0.15645424290679799</v>
      </c>
    </row>
    <row r="26" spans="1:12">
      <c r="A26" s="45">
        <f t="shared" ref="A26:A50" si="8">A25+1</f>
        <v>3</v>
      </c>
      <c r="B26" s="45">
        <v>527.20000000000005</v>
      </c>
      <c r="C26" s="41">
        <f t="shared" si="5"/>
        <v>1.4428024083196498</v>
      </c>
      <c r="D26" s="42">
        <f t="shared" si="3"/>
        <v>25.177001661808802</v>
      </c>
      <c r="E26" s="45">
        <v>9.1999999999999993</v>
      </c>
      <c r="F26" s="46">
        <f t="shared" si="6"/>
        <v>43.58456486042693</v>
      </c>
      <c r="G26" s="85">
        <v>2.1930000000000001</v>
      </c>
      <c r="H26" s="42">
        <f t="shared" si="4"/>
        <v>3.7042086211750451</v>
      </c>
      <c r="I26" s="45">
        <f t="shared" si="0"/>
        <v>145</v>
      </c>
      <c r="J26" s="41">
        <f t="shared" si="1"/>
        <v>9.8559310646972001E-2</v>
      </c>
      <c r="K26" s="41">
        <f t="shared" si="2"/>
        <v>0.26114107294919098</v>
      </c>
      <c r="L26" s="41">
        <f t="shared" si="7"/>
        <v>0.16258176230221899</v>
      </c>
    </row>
    <row r="27" spans="1:12">
      <c r="A27" s="45">
        <f t="shared" si="8"/>
        <v>4</v>
      </c>
      <c r="B27" s="45">
        <v>516.5</v>
      </c>
      <c r="C27" s="41">
        <f t="shared" si="5"/>
        <v>1.4135194307608101</v>
      </c>
      <c r="D27" s="42">
        <f t="shared" si="3"/>
        <v>25.339583424111019</v>
      </c>
      <c r="E27" s="45">
        <v>9.1999999999999993</v>
      </c>
      <c r="F27" s="46">
        <f t="shared" si="6"/>
        <v>42.171045429666123</v>
      </c>
      <c r="G27" s="85">
        <v>2.1930000000000001</v>
      </c>
      <c r="H27" s="42">
        <f t="shared" si="4"/>
        <v>3.5840750170335323</v>
      </c>
      <c r="I27" s="45">
        <f t="shared" si="0"/>
        <v>145</v>
      </c>
      <c r="J27" s="41">
        <f t="shared" si="1"/>
        <v>9.2721420951672989E-2</v>
      </c>
      <c r="K27" s="41">
        <f t="shared" si="2"/>
        <v>0.26114107294919098</v>
      </c>
      <c r="L27" s="41">
        <f t="shared" si="7"/>
        <v>0.16841965199751799</v>
      </c>
    </row>
    <row r="28" spans="1:12">
      <c r="A28" s="45">
        <f t="shared" si="8"/>
        <v>5</v>
      </c>
      <c r="B28" s="45">
        <v>505.9</v>
      </c>
      <c r="C28" s="41">
        <f t="shared" si="5"/>
        <v>1.3845101258894361</v>
      </c>
      <c r="D28" s="42">
        <f t="shared" si="3"/>
        <v>25.508003076108537</v>
      </c>
      <c r="E28" s="45">
        <v>9.1999999999999993</v>
      </c>
      <c r="F28" s="46">
        <f t="shared" si="6"/>
        <v>40.786535303776688</v>
      </c>
      <c r="G28" s="85">
        <v>2.1930000000000001</v>
      </c>
      <c r="H28" s="42">
        <f t="shared" si="4"/>
        <v>3.4664068847291927</v>
      </c>
      <c r="I28" s="45">
        <f t="shared" si="0"/>
        <v>145</v>
      </c>
      <c r="J28" s="41">
        <f t="shared" si="1"/>
        <v>8.7162687251330112E-2</v>
      </c>
      <c r="K28" s="41">
        <f t="shared" si="2"/>
        <v>0.26114107294919098</v>
      </c>
      <c r="L28" s="41">
        <f t="shared" si="7"/>
        <v>0.17397838569786087</v>
      </c>
    </row>
    <row r="29" spans="1:12">
      <c r="A29" s="45">
        <f t="shared" si="8"/>
        <v>6</v>
      </c>
      <c r="B29" s="45">
        <v>495.3</v>
      </c>
      <c r="C29" s="41">
        <f t="shared" si="5"/>
        <v>1.3555008210180624</v>
      </c>
      <c r="D29" s="42">
        <f t="shared" si="3"/>
        <v>25.681981461806398</v>
      </c>
      <c r="E29" s="45">
        <v>9.1999999999999993</v>
      </c>
      <c r="F29" s="46">
        <f t="shared" si="6"/>
        <v>39.431034482758626</v>
      </c>
      <c r="G29" s="85">
        <v>2.1930000000000001</v>
      </c>
      <c r="H29" s="42">
        <f t="shared" si="4"/>
        <v>3.3512042242620259</v>
      </c>
      <c r="I29" s="45">
        <f t="shared" si="0"/>
        <v>145</v>
      </c>
      <c r="J29" s="41">
        <f t="shared" si="1"/>
        <v>8.1873953676501965E-2</v>
      </c>
      <c r="K29" s="41">
        <f t="shared" si="2"/>
        <v>0.26114107294919098</v>
      </c>
      <c r="L29" s="41">
        <f t="shared" si="7"/>
        <v>0.17926711927268901</v>
      </c>
    </row>
    <row r="30" spans="1:12">
      <c r="A30" s="45">
        <f t="shared" si="8"/>
        <v>7</v>
      </c>
      <c r="B30" s="45">
        <v>484.7</v>
      </c>
      <c r="C30" s="41">
        <f t="shared" si="5"/>
        <v>1.3264915161466886</v>
      </c>
      <c r="D30" s="42">
        <f t="shared" si="3"/>
        <v>25.861248581079089</v>
      </c>
      <c r="E30" s="45">
        <v>9.1999999999999993</v>
      </c>
      <c r="F30" s="46">
        <f t="shared" si="6"/>
        <v>38.104542966611938</v>
      </c>
      <c r="G30" s="85">
        <v>2.1930000000000001</v>
      </c>
      <c r="H30" s="42">
        <f t="shared" si="4"/>
        <v>3.2384670356320329</v>
      </c>
      <c r="I30" s="45">
        <f t="shared" si="0"/>
        <v>145</v>
      </c>
      <c r="J30" s="41">
        <f t="shared" si="1"/>
        <v>7.684620482808148E-2</v>
      </c>
      <c r="K30" s="41">
        <f t="shared" si="2"/>
        <v>0.26114107294919098</v>
      </c>
      <c r="L30" s="41">
        <f t="shared" si="7"/>
        <v>0.18429486812110951</v>
      </c>
    </row>
    <row r="31" spans="1:12">
      <c r="A31" s="45">
        <f t="shared" si="8"/>
        <v>8</v>
      </c>
      <c r="B31" s="45">
        <v>474.1</v>
      </c>
      <c r="C31" s="41">
        <f t="shared" si="5"/>
        <v>1.2974822112753148</v>
      </c>
      <c r="D31" s="42">
        <f t="shared" si="3"/>
        <v>26.045543449200199</v>
      </c>
      <c r="E31" s="45">
        <v>9.1999999999999993</v>
      </c>
      <c r="F31" s="46">
        <f t="shared" si="6"/>
        <v>36.807060755336622</v>
      </c>
      <c r="G31" s="85">
        <v>2.1930000000000001</v>
      </c>
      <c r="H31" s="42">
        <f t="shared" si="4"/>
        <v>3.1281953188392131</v>
      </c>
      <c r="I31" s="45">
        <f t="shared" si="0"/>
        <v>145</v>
      </c>
      <c r="J31" s="41">
        <f t="shared" si="1"/>
        <v>7.2070566831451119E-2</v>
      </c>
      <c r="K31" s="41">
        <f t="shared" si="2"/>
        <v>0.26114107294919098</v>
      </c>
      <c r="L31" s="41">
        <f t="shared" si="7"/>
        <v>0.18907050611773984</v>
      </c>
    </row>
    <row r="32" spans="1:12">
      <c r="A32" s="45">
        <f t="shared" si="8"/>
        <v>9</v>
      </c>
      <c r="B32" s="45">
        <v>463.4</v>
      </c>
      <c r="C32" s="41">
        <f t="shared" si="5"/>
        <v>1.2681992337164751</v>
      </c>
      <c r="D32" s="42">
        <f t="shared" si="3"/>
        <v>26.23461395531794</v>
      </c>
      <c r="E32" s="45">
        <v>9.1999999999999993</v>
      </c>
      <c r="F32" s="46">
        <f t="shared" si="6"/>
        <v>35.538861521620149</v>
      </c>
      <c r="G32" s="85">
        <v>2.1930000000000001</v>
      </c>
      <c r="H32" s="42">
        <f t="shared" si="4"/>
        <v>3.020412333051842</v>
      </c>
      <c r="I32" s="45">
        <f t="shared" si="0"/>
        <v>145</v>
      </c>
      <c r="J32" s="41">
        <f t="shared" si="1"/>
        <v>6.7539271644853321E-2</v>
      </c>
      <c r="K32" s="41">
        <f t="shared" si="2"/>
        <v>0.26114107294919098</v>
      </c>
      <c r="L32" s="41">
        <f t="shared" si="7"/>
        <v>0.19360180130433766</v>
      </c>
    </row>
    <row r="33" spans="1:12">
      <c r="A33" s="45">
        <f t="shared" si="8"/>
        <v>10</v>
      </c>
      <c r="B33" s="45">
        <v>452.8</v>
      </c>
      <c r="C33" s="41">
        <f t="shared" si="5"/>
        <v>1.2391899288451012</v>
      </c>
      <c r="D33" s="42">
        <f t="shared" si="3"/>
        <v>26.428215756622276</v>
      </c>
      <c r="E33" s="45">
        <v>9.1999999999999993</v>
      </c>
      <c r="F33" s="46">
        <f t="shared" si="6"/>
        <v>34.299671592775049</v>
      </c>
      <c r="G33" s="85">
        <v>2.1930000000000001</v>
      </c>
      <c r="H33" s="42">
        <f t="shared" si="4"/>
        <v>2.9150948191016446</v>
      </c>
      <c r="I33" s="45">
        <f t="shared" si="0"/>
        <v>145</v>
      </c>
      <c r="J33" s="41">
        <f t="shared" si="1"/>
        <v>6.3242711155448925E-2</v>
      </c>
      <c r="K33" s="41">
        <f t="shared" si="2"/>
        <v>0.26114107294919098</v>
      </c>
      <c r="L33" s="41">
        <f t="shared" si="7"/>
        <v>0.19789836179374204</v>
      </c>
    </row>
    <row r="34" spans="1:12">
      <c r="A34" s="45">
        <f t="shared" si="8"/>
        <v>11</v>
      </c>
      <c r="B34" s="45">
        <v>442.2</v>
      </c>
      <c r="C34" s="41">
        <f t="shared" si="5"/>
        <v>1.2101806239737274</v>
      </c>
      <c r="D34" s="42">
        <f t="shared" si="3"/>
        <v>26.626114118416019</v>
      </c>
      <c r="E34" s="45">
        <v>9.1999999999999993</v>
      </c>
      <c r="F34" s="46">
        <f>F33-C34</f>
        <v>33.089490968801321</v>
      </c>
      <c r="G34" s="85">
        <v>2.1930000000000001</v>
      </c>
      <c r="H34" s="42">
        <f t="shared" si="4"/>
        <v>2.8122427769886196</v>
      </c>
      <c r="I34" s="45">
        <f t="shared" si="0"/>
        <v>145</v>
      </c>
      <c r="J34" s="41">
        <f t="shared" si="1"/>
        <v>5.917244434641112E-2</v>
      </c>
      <c r="K34" s="41">
        <f t="shared" si="2"/>
        <v>0.26114107294919098</v>
      </c>
      <c r="L34" s="41">
        <f t="shared" si="7"/>
        <v>0.20196862860277986</v>
      </c>
    </row>
    <row r="35" spans="1:12">
      <c r="A35" s="1" t="s">
        <v>188</v>
      </c>
      <c r="B35" s="45"/>
      <c r="C35" s="41"/>
      <c r="D35" s="42"/>
      <c r="E35" s="45"/>
      <c r="F35" s="46"/>
      <c r="G35" s="45"/>
      <c r="H35" s="42"/>
      <c r="I35" s="45"/>
      <c r="J35" s="41"/>
      <c r="K35" s="41"/>
      <c r="L35" s="41"/>
    </row>
    <row r="36" spans="1:12">
      <c r="A36" s="45">
        <f>A34+1</f>
        <v>12</v>
      </c>
      <c r="B36" s="45">
        <v>438.6</v>
      </c>
      <c r="C36" s="41">
        <f>(B36/$B$14)*$B$13</f>
        <v>1.2003284072249589</v>
      </c>
      <c r="D36" s="42">
        <f>D34+L34</f>
        <v>26.828082747018801</v>
      </c>
      <c r="E36" s="45">
        <v>9.3000000000000007</v>
      </c>
      <c r="F36" s="46">
        <f>F34-C36</f>
        <v>31.889162561576363</v>
      </c>
      <c r="G36" s="45">
        <v>1.72</v>
      </c>
      <c r="H36" s="42">
        <f t="shared" si="4"/>
        <v>4.4058144980575262</v>
      </c>
      <c r="I36" s="45">
        <f t="shared" ref="I36:I63" si="9">IF(G36&gt;5,$B$6,IF(5&gt;=G36&gt;1.5,$B$7,IF(1.5&gt;G36,$B$8,0)))</f>
        <v>145</v>
      </c>
      <c r="J36" s="41">
        <f t="shared" ref="J36:J63" si="10">(1050*((F36/I36)^1.852)*(E36/100)*(G36^-4.87))/2.31</f>
        <v>0.18236027525980303</v>
      </c>
      <c r="K36" s="41">
        <f t="shared" ref="K36:K63" si="11">E36*$B$11</f>
        <v>0.26397956287255181</v>
      </c>
      <c r="L36" s="41">
        <f t="shared" si="7"/>
        <v>8.1619287612748781E-2</v>
      </c>
    </row>
    <row r="37" spans="1:12">
      <c r="A37" s="45">
        <f t="shared" si="8"/>
        <v>13</v>
      </c>
      <c r="B37" s="45">
        <v>438.1</v>
      </c>
      <c r="C37" s="41">
        <f t="shared" ref="C37:C63" si="12">(B37/$B$14)*$B$13</f>
        <v>1.19896004378763</v>
      </c>
      <c r="D37" s="42">
        <f t="shared" ref="D37:D63" si="13">D36+L36</f>
        <v>26.90970203463155</v>
      </c>
      <c r="E37" s="45">
        <v>9.3000000000000007</v>
      </c>
      <c r="F37" s="46">
        <f>F36-C37</f>
        <v>30.690202517788734</v>
      </c>
      <c r="G37" s="85">
        <v>1.72</v>
      </c>
      <c r="H37" s="42">
        <f t="shared" si="4"/>
        <v>4.2401658852000645</v>
      </c>
      <c r="I37" s="45">
        <f t="shared" si="9"/>
        <v>145</v>
      </c>
      <c r="J37" s="41">
        <f t="shared" si="10"/>
        <v>0.16986610790463308</v>
      </c>
      <c r="K37" s="41">
        <f t="shared" si="11"/>
        <v>0.26397956287255181</v>
      </c>
      <c r="L37" s="41">
        <f t="shared" si="7"/>
        <v>9.411345496791873E-2</v>
      </c>
    </row>
    <row r="38" spans="1:12">
      <c r="A38" s="45">
        <f t="shared" si="8"/>
        <v>14</v>
      </c>
      <c r="B38" s="45">
        <v>437.5</v>
      </c>
      <c r="C38" s="41">
        <f t="shared" si="12"/>
        <v>1.1973180076628354</v>
      </c>
      <c r="D38" s="42">
        <f t="shared" si="13"/>
        <v>27.003815489599468</v>
      </c>
      <c r="E38" s="45">
        <v>9.3000000000000007</v>
      </c>
      <c r="F38" s="46">
        <f t="shared" ref="F38:F63" si="14">F37-C38</f>
        <v>29.492884510125897</v>
      </c>
      <c r="G38" s="85">
        <v>1.72</v>
      </c>
      <c r="H38" s="42">
        <f t="shared" si="4"/>
        <v>4.0747441364551671</v>
      </c>
      <c r="I38" s="45">
        <f t="shared" si="9"/>
        <v>145</v>
      </c>
      <c r="J38" s="41">
        <f t="shared" si="10"/>
        <v>0.15779728931416429</v>
      </c>
      <c r="K38" s="41">
        <f t="shared" si="11"/>
        <v>0.26397956287255181</v>
      </c>
      <c r="L38" s="41">
        <f t="shared" si="7"/>
        <v>0.10618227355838752</v>
      </c>
    </row>
    <row r="39" spans="1:12">
      <c r="A39" s="45">
        <f t="shared" si="8"/>
        <v>15</v>
      </c>
      <c r="B39" s="45">
        <v>437</v>
      </c>
      <c r="C39" s="41">
        <f t="shared" si="12"/>
        <v>1.1959496442255064</v>
      </c>
      <c r="D39" s="42">
        <f t="shared" si="13"/>
        <v>27.109997763157857</v>
      </c>
      <c r="E39" s="45">
        <v>9.3000000000000007</v>
      </c>
      <c r="F39" s="46">
        <f t="shared" si="14"/>
        <v>28.29693486590039</v>
      </c>
      <c r="G39" s="85">
        <v>1.72</v>
      </c>
      <c r="H39" s="42">
        <f t="shared" si="4"/>
        <v>3.9095114411374068</v>
      </c>
      <c r="I39" s="45">
        <f t="shared" si="9"/>
        <v>145</v>
      </c>
      <c r="J39" s="41">
        <f t="shared" si="10"/>
        <v>0.14615192871101546</v>
      </c>
      <c r="K39" s="41">
        <f t="shared" si="11"/>
        <v>0.26397956287255181</v>
      </c>
      <c r="L39" s="41">
        <f t="shared" si="7"/>
        <v>0.11782763416153635</v>
      </c>
    </row>
    <row r="40" spans="1:12">
      <c r="A40" s="45">
        <f t="shared" si="8"/>
        <v>16</v>
      </c>
      <c r="B40" s="45">
        <v>436.4</v>
      </c>
      <c r="C40" s="41">
        <f t="shared" si="12"/>
        <v>1.1943076081007116</v>
      </c>
      <c r="D40" s="42">
        <f t="shared" si="13"/>
        <v>27.227825397319393</v>
      </c>
      <c r="E40" s="45">
        <v>9.3000000000000007</v>
      </c>
      <c r="F40" s="46">
        <f t="shared" si="14"/>
        <v>27.102627257799679</v>
      </c>
      <c r="G40" s="85">
        <v>1.72</v>
      </c>
      <c r="H40" s="42">
        <f t="shared" si="4"/>
        <v>3.7445056099322107</v>
      </c>
      <c r="I40" s="45">
        <f t="shared" si="9"/>
        <v>145</v>
      </c>
      <c r="J40" s="41">
        <f t="shared" si="10"/>
        <v>0.13493365662939358</v>
      </c>
      <c r="K40" s="41">
        <f t="shared" si="11"/>
        <v>0.26397956287255181</v>
      </c>
      <c r="L40" s="41">
        <f t="shared" si="7"/>
        <v>0.12904590624315823</v>
      </c>
    </row>
    <row r="41" spans="1:12">
      <c r="A41" s="45">
        <f t="shared" si="8"/>
        <v>17</v>
      </c>
      <c r="B41" s="45">
        <v>435.9</v>
      </c>
      <c r="C41" s="41">
        <f t="shared" si="12"/>
        <v>1.1929392446633824</v>
      </c>
      <c r="D41" s="42">
        <f t="shared" si="13"/>
        <v>27.356871303562549</v>
      </c>
      <c r="E41" s="45">
        <v>9.3000000000000007</v>
      </c>
      <c r="F41" s="46">
        <f t="shared" si="14"/>
        <v>25.909688013136297</v>
      </c>
      <c r="G41" s="85">
        <v>1.72</v>
      </c>
      <c r="H41" s="42">
        <f t="shared" si="4"/>
        <v>3.5796888321541518</v>
      </c>
      <c r="I41" s="45">
        <f t="shared" si="9"/>
        <v>145</v>
      </c>
      <c r="J41" s="41">
        <f t="shared" si="10"/>
        <v>0.12414097587613829</v>
      </c>
      <c r="K41" s="41">
        <f t="shared" si="11"/>
        <v>0.26397956287255181</v>
      </c>
      <c r="L41" s="41">
        <f t="shared" si="7"/>
        <v>0.13983858699641352</v>
      </c>
    </row>
    <row r="42" spans="1:12">
      <c r="A42" s="45">
        <f t="shared" si="8"/>
        <v>18</v>
      </c>
      <c r="B42" s="45">
        <v>435.3</v>
      </c>
      <c r="C42" s="41">
        <f t="shared" si="12"/>
        <v>1.1912972085385878</v>
      </c>
      <c r="D42" s="42">
        <f t="shared" si="13"/>
        <v>27.496709890558964</v>
      </c>
      <c r="E42" s="45">
        <v>9.3000000000000007</v>
      </c>
      <c r="F42" s="46">
        <f t="shared" si="14"/>
        <v>24.718390804597711</v>
      </c>
      <c r="G42" s="85">
        <v>1.72</v>
      </c>
      <c r="H42" s="42">
        <f t="shared" si="4"/>
        <v>3.415098918488658</v>
      </c>
      <c r="I42" s="45">
        <f t="shared" si="9"/>
        <v>145</v>
      </c>
      <c r="J42" s="41">
        <f t="shared" si="10"/>
        <v>0.11377755345323687</v>
      </c>
      <c r="K42" s="41">
        <f t="shared" si="11"/>
        <v>0.26397956287255181</v>
      </c>
      <c r="L42" s="41">
        <f t="shared" si="7"/>
        <v>0.15020200941931494</v>
      </c>
    </row>
    <row r="43" spans="1:12">
      <c r="A43" s="45">
        <f t="shared" si="8"/>
        <v>19</v>
      </c>
      <c r="B43" s="45">
        <v>434.8</v>
      </c>
      <c r="C43" s="41">
        <f t="shared" si="12"/>
        <v>1.1899288451012591</v>
      </c>
      <c r="D43" s="42">
        <f t="shared" si="13"/>
        <v>27.646911899978278</v>
      </c>
      <c r="E43" s="45">
        <v>9.3000000000000007</v>
      </c>
      <c r="F43" s="46">
        <f t="shared" si="14"/>
        <v>23.52846195949645</v>
      </c>
      <c r="G43" s="85">
        <v>1.72</v>
      </c>
      <c r="H43" s="42">
        <f t="shared" si="4"/>
        <v>3.2506980582503</v>
      </c>
      <c r="I43" s="45">
        <f t="shared" si="9"/>
        <v>145</v>
      </c>
      <c r="J43" s="41">
        <f t="shared" si="10"/>
        <v>0.10384233008233143</v>
      </c>
      <c r="K43" s="41">
        <f t="shared" si="11"/>
        <v>0.26397956287255181</v>
      </c>
      <c r="L43" s="41">
        <f t="shared" si="7"/>
        <v>0.16013723279022038</v>
      </c>
    </row>
    <row r="44" spans="1:12">
      <c r="A44" s="45">
        <f t="shared" si="8"/>
        <v>20</v>
      </c>
      <c r="B44" s="45">
        <v>434.2</v>
      </c>
      <c r="C44" s="41">
        <f t="shared" si="12"/>
        <v>1.1882868089764642</v>
      </c>
      <c r="D44" s="42">
        <f t="shared" si="13"/>
        <v>27.807049132768498</v>
      </c>
      <c r="E44" s="45">
        <v>9.3000000000000007</v>
      </c>
      <c r="F44" s="46">
        <f t="shared" si="14"/>
        <v>22.340175150519986</v>
      </c>
      <c r="G44" s="85">
        <v>1.72</v>
      </c>
      <c r="H44" s="42">
        <f t="shared" si="4"/>
        <v>3.0865240621245071</v>
      </c>
      <c r="I44" s="45">
        <f t="shared" si="9"/>
        <v>145</v>
      </c>
      <c r="J44" s="41">
        <f t="shared" si="10"/>
        <v>9.4339055895926408E-2</v>
      </c>
      <c r="K44" s="41">
        <f t="shared" si="11"/>
        <v>0.26397956287255181</v>
      </c>
      <c r="L44" s="41">
        <f t="shared" si="7"/>
        <v>0.16964050697662542</v>
      </c>
    </row>
    <row r="45" spans="1:12">
      <c r="A45" s="45">
        <f>A44+1</f>
        <v>21</v>
      </c>
      <c r="B45" s="45">
        <v>433.7</v>
      </c>
      <c r="C45" s="41">
        <f t="shared" si="12"/>
        <v>1.1869184455391351</v>
      </c>
      <c r="D45" s="42">
        <f t="shared" si="13"/>
        <v>27.976689639745125</v>
      </c>
      <c r="E45" s="45">
        <v>9.3000000000000007</v>
      </c>
      <c r="F45" s="46">
        <f t="shared" si="14"/>
        <v>21.153256704980851</v>
      </c>
      <c r="G45" s="85">
        <v>1.72</v>
      </c>
      <c r="H45" s="42">
        <f t="shared" si="4"/>
        <v>2.9225391194258514</v>
      </c>
      <c r="I45" s="45">
        <f t="shared" si="9"/>
        <v>145</v>
      </c>
      <c r="J45" s="41">
        <f t="shared" si="10"/>
        <v>8.526716807370073E-2</v>
      </c>
      <c r="K45" s="41">
        <f t="shared" si="11"/>
        <v>0.26397956287255181</v>
      </c>
      <c r="L45" s="41">
        <f t="shared" si="7"/>
        <v>0.17871239479885109</v>
      </c>
    </row>
    <row r="46" spans="1:12">
      <c r="A46" s="45">
        <f t="shared" si="8"/>
        <v>22</v>
      </c>
      <c r="B46" s="45">
        <v>433.1</v>
      </c>
      <c r="C46" s="41">
        <f t="shared" si="12"/>
        <v>1.1852764094143404</v>
      </c>
      <c r="D46" s="42">
        <f t="shared" si="13"/>
        <v>28.155402034543975</v>
      </c>
      <c r="E46" s="45">
        <v>9.3000000000000007</v>
      </c>
      <c r="F46" s="46">
        <f t="shared" si="14"/>
        <v>19.967980295566512</v>
      </c>
      <c r="G46" s="85">
        <v>1.72</v>
      </c>
      <c r="H46" s="42">
        <f t="shared" si="4"/>
        <v>2.7587810408397599</v>
      </c>
      <c r="I46" s="45">
        <f t="shared" si="9"/>
        <v>145</v>
      </c>
      <c r="J46" s="41">
        <f t="shared" si="10"/>
        <v>7.6630563192815471E-2</v>
      </c>
      <c r="K46" s="41">
        <f t="shared" si="11"/>
        <v>0.26397956287255181</v>
      </c>
      <c r="L46" s="41">
        <f t="shared" si="7"/>
        <v>0.18734899967973634</v>
      </c>
    </row>
    <row r="47" spans="1:12">
      <c r="A47" s="45">
        <f t="shared" si="8"/>
        <v>23</v>
      </c>
      <c r="B47" s="45">
        <v>432.6</v>
      </c>
      <c r="C47" s="41">
        <f t="shared" si="12"/>
        <v>1.1839080459770117</v>
      </c>
      <c r="D47" s="42">
        <f t="shared" si="13"/>
        <v>28.34275103422371</v>
      </c>
      <c r="E47" s="45">
        <v>9.3000000000000007</v>
      </c>
      <c r="F47" s="46">
        <f t="shared" si="14"/>
        <v>18.784072249589499</v>
      </c>
      <c r="G47" s="85">
        <v>1.72</v>
      </c>
      <c r="H47" s="42">
        <f t="shared" si="4"/>
        <v>2.5952120156808056</v>
      </c>
      <c r="I47" s="45">
        <f t="shared" si="9"/>
        <v>145</v>
      </c>
      <c r="J47" s="41">
        <f t="shared" si="10"/>
        <v>6.8429254428970507E-2</v>
      </c>
      <c r="K47" s="41">
        <f t="shared" si="11"/>
        <v>0.26397956287255181</v>
      </c>
      <c r="L47" s="41">
        <f t="shared" si="7"/>
        <v>0.19555030844358129</v>
      </c>
    </row>
    <row r="48" spans="1:12">
      <c r="A48" s="45">
        <f t="shared" si="8"/>
        <v>24</v>
      </c>
      <c r="B48" s="45">
        <v>432</v>
      </c>
      <c r="C48" s="41">
        <f t="shared" si="12"/>
        <v>1.1822660098522169</v>
      </c>
      <c r="D48" s="42">
        <f t="shared" si="13"/>
        <v>28.538301342667292</v>
      </c>
      <c r="E48" s="45">
        <v>9.3000000000000007</v>
      </c>
      <c r="F48" s="46">
        <f t="shared" si="14"/>
        <v>17.601806239737282</v>
      </c>
      <c r="G48" s="85">
        <v>1.72</v>
      </c>
      <c r="H48" s="42">
        <f t="shared" si="4"/>
        <v>2.4318698546344151</v>
      </c>
      <c r="I48" s="45">
        <f t="shared" si="9"/>
        <v>145</v>
      </c>
      <c r="J48" s="41">
        <f t="shared" si="10"/>
        <v>6.0667373352204054E-2</v>
      </c>
      <c r="K48" s="41">
        <f t="shared" si="11"/>
        <v>0.26397956287255181</v>
      </c>
      <c r="L48" s="41">
        <f t="shared" si="7"/>
        <v>0.20331218952034774</v>
      </c>
    </row>
    <row r="49" spans="1:12">
      <c r="A49" s="45">
        <f t="shared" si="8"/>
        <v>25</v>
      </c>
      <c r="B49" s="45">
        <v>431.5</v>
      </c>
      <c r="C49" s="41">
        <f t="shared" si="12"/>
        <v>1.1808976464148879</v>
      </c>
      <c r="D49" s="42">
        <f t="shared" si="13"/>
        <v>28.741613532187639</v>
      </c>
      <c r="E49" s="45">
        <v>9.3000000000000007</v>
      </c>
      <c r="F49" s="46">
        <f t="shared" si="14"/>
        <v>16.420908593322395</v>
      </c>
      <c r="G49" s="85">
        <v>1.72</v>
      </c>
      <c r="H49" s="42">
        <f t="shared" si="4"/>
        <v>2.2687167470151621</v>
      </c>
      <c r="I49" s="45">
        <f t="shared" si="9"/>
        <v>145</v>
      </c>
      <c r="J49" s="41">
        <f t="shared" si="10"/>
        <v>5.3345621006144532E-2</v>
      </c>
      <c r="K49" s="41">
        <f t="shared" si="11"/>
        <v>0.26397956287255181</v>
      </c>
      <c r="L49" s="41">
        <f t="shared" si="7"/>
        <v>0.21063394186640727</v>
      </c>
    </row>
    <row r="50" spans="1:12">
      <c r="A50" s="45">
        <f t="shared" si="8"/>
        <v>26</v>
      </c>
      <c r="B50" s="45">
        <v>430.9</v>
      </c>
      <c r="C50" s="41">
        <f t="shared" si="12"/>
        <v>1.1792556102900928</v>
      </c>
      <c r="D50" s="42">
        <f t="shared" si="13"/>
        <v>28.952247474054047</v>
      </c>
      <c r="E50" s="45">
        <v>9.3000000000000007</v>
      </c>
      <c r="F50" s="46">
        <f t="shared" si="14"/>
        <v>15.241652983032301</v>
      </c>
      <c r="G50" s="85">
        <v>1.72</v>
      </c>
      <c r="H50" s="42">
        <f t="shared" si="4"/>
        <v>2.1057905035084734</v>
      </c>
      <c r="I50" s="45">
        <f t="shared" si="9"/>
        <v>145</v>
      </c>
      <c r="J50" s="41">
        <f t="shared" si="10"/>
        <v>4.6468492532706338E-2</v>
      </c>
      <c r="K50" s="41">
        <f t="shared" si="11"/>
        <v>0.26397956287255181</v>
      </c>
      <c r="L50" s="41">
        <f t="shared" si="7"/>
        <v>0.21751107033984546</v>
      </c>
    </row>
    <row r="51" spans="1:12">
      <c r="A51" s="45">
        <f>A50+1</f>
        <v>27</v>
      </c>
      <c r="B51" s="45">
        <v>430.4</v>
      </c>
      <c r="C51" s="41">
        <f t="shared" si="12"/>
        <v>1.1778872468527639</v>
      </c>
      <c r="D51" s="42">
        <f t="shared" si="13"/>
        <v>29.169758544393893</v>
      </c>
      <c r="E51" s="45">
        <v>9.3000000000000007</v>
      </c>
      <c r="F51" s="46">
        <f t="shared" si="14"/>
        <v>14.063765736179537</v>
      </c>
      <c r="G51" s="85">
        <v>1.72</v>
      </c>
      <c r="H51" s="42">
        <f t="shared" si="4"/>
        <v>1.9430533134289221</v>
      </c>
      <c r="I51" s="45">
        <f t="shared" si="9"/>
        <v>145</v>
      </c>
      <c r="J51" s="41">
        <f t="shared" si="10"/>
        <v>4.0037541158113622E-2</v>
      </c>
      <c r="K51" s="41">
        <f t="shared" si="11"/>
        <v>0.26397956287255181</v>
      </c>
      <c r="L51" s="41">
        <f t="shared" si="7"/>
        <v>0.22394202171443819</v>
      </c>
    </row>
    <row r="52" spans="1:12">
      <c r="A52" s="45">
        <f t="shared" ref="A52:A63" si="15">A51+1</f>
        <v>28</v>
      </c>
      <c r="B52" s="45">
        <v>429.8</v>
      </c>
      <c r="C52" s="41">
        <f t="shared" si="12"/>
        <v>1.1762452107279695</v>
      </c>
      <c r="D52" s="42">
        <f t="shared" si="13"/>
        <v>29.393700566108333</v>
      </c>
      <c r="E52" s="45">
        <v>9.3000000000000007</v>
      </c>
      <c r="F52" s="46">
        <f t="shared" si="14"/>
        <v>12.887520525451567</v>
      </c>
      <c r="G52" s="85">
        <v>1.72</v>
      </c>
      <c r="H52" s="42">
        <f t="shared" si="4"/>
        <v>1.7805429874619347</v>
      </c>
      <c r="I52" s="45">
        <f t="shared" si="9"/>
        <v>145</v>
      </c>
      <c r="J52" s="41">
        <f t="shared" si="10"/>
        <v>3.4057821450661607E-2</v>
      </c>
      <c r="K52" s="41">
        <f t="shared" si="11"/>
        <v>0.26397956287255181</v>
      </c>
      <c r="L52" s="41">
        <f t="shared" si="7"/>
        <v>0.2299217414218902</v>
      </c>
    </row>
    <row r="53" spans="1:12">
      <c r="A53" s="45">
        <f t="shared" si="15"/>
        <v>29</v>
      </c>
      <c r="B53" s="45">
        <v>429.3</v>
      </c>
      <c r="C53" s="41">
        <f t="shared" si="12"/>
        <v>1.1748768472906406</v>
      </c>
      <c r="D53" s="42">
        <f t="shared" si="13"/>
        <v>29.623622307530223</v>
      </c>
      <c r="E53" s="45">
        <v>9.3000000000000007</v>
      </c>
      <c r="F53" s="46">
        <f t="shared" si="14"/>
        <v>11.712643678160926</v>
      </c>
      <c r="G53" s="85">
        <v>1.72</v>
      </c>
      <c r="H53" s="42">
        <f t="shared" si="4"/>
        <v>1.6182217149220846</v>
      </c>
      <c r="I53" s="45">
        <f t="shared" si="9"/>
        <v>145</v>
      </c>
      <c r="J53" s="41">
        <f t="shared" si="10"/>
        <v>2.8531994004089671E-2</v>
      </c>
      <c r="K53" s="41">
        <f t="shared" si="11"/>
        <v>0.26397956287255181</v>
      </c>
      <c r="L53" s="41">
        <f t="shared" si="7"/>
        <v>0.23544756886846213</v>
      </c>
    </row>
    <row r="54" spans="1:12">
      <c r="A54" s="45">
        <f t="shared" si="15"/>
        <v>30</v>
      </c>
      <c r="B54" s="45">
        <v>428.7</v>
      </c>
      <c r="C54" s="41">
        <f t="shared" si="12"/>
        <v>1.1732348111658455</v>
      </c>
      <c r="D54" s="42">
        <f t="shared" si="13"/>
        <v>29.859069876398685</v>
      </c>
      <c r="E54" s="45">
        <v>9.3000000000000007</v>
      </c>
      <c r="F54" s="46">
        <f t="shared" si="14"/>
        <v>10.539408866995082</v>
      </c>
      <c r="G54" s="85">
        <v>1.72</v>
      </c>
      <c r="H54" s="42">
        <f t="shared" si="4"/>
        <v>1.4561273064947993</v>
      </c>
      <c r="I54" s="45">
        <f t="shared" si="9"/>
        <v>145</v>
      </c>
      <c r="J54" s="41">
        <f t="shared" si="10"/>
        <v>2.3465990555143701E-2</v>
      </c>
      <c r="K54" s="41">
        <f t="shared" si="11"/>
        <v>0.26397956287255181</v>
      </c>
      <c r="L54" s="41">
        <f t="shared" si="7"/>
        <v>0.24051357231740811</v>
      </c>
    </row>
    <row r="55" spans="1:12">
      <c r="A55" s="45">
        <f t="shared" si="15"/>
        <v>31</v>
      </c>
      <c r="B55" s="45">
        <v>428.2</v>
      </c>
      <c r="C55" s="41">
        <f t="shared" si="12"/>
        <v>1.1718664477285166</v>
      </c>
      <c r="D55" s="42">
        <f t="shared" si="13"/>
        <v>30.099583448716093</v>
      </c>
      <c r="E55" s="45">
        <v>9.3000000000000007</v>
      </c>
      <c r="F55" s="46">
        <f t="shared" si="14"/>
        <v>9.3675424192665648</v>
      </c>
      <c r="G55" s="85">
        <v>1.72</v>
      </c>
      <c r="H55" s="42">
        <f t="shared" si="4"/>
        <v>1.2942219514946505</v>
      </c>
      <c r="I55" s="45">
        <f t="shared" si="9"/>
        <v>145</v>
      </c>
      <c r="J55" s="41">
        <f t="shared" si="10"/>
        <v>1.8864006136281704E-2</v>
      </c>
      <c r="K55" s="41">
        <f t="shared" si="11"/>
        <v>0.26397956287255181</v>
      </c>
      <c r="L55" s="41">
        <f t="shared" si="7"/>
        <v>0.24511555673627011</v>
      </c>
    </row>
    <row r="56" spans="1:12">
      <c r="A56" s="45">
        <f t="shared" si="15"/>
        <v>32</v>
      </c>
      <c r="B56" s="45">
        <v>427.6</v>
      </c>
      <c r="C56" s="41">
        <f t="shared" si="12"/>
        <v>1.1702244116037221</v>
      </c>
      <c r="D56" s="42">
        <f t="shared" si="13"/>
        <v>30.344699005452362</v>
      </c>
      <c r="E56" s="45">
        <v>9.3000000000000007</v>
      </c>
      <c r="F56" s="46">
        <f t="shared" si="14"/>
        <v>8.197318007662842</v>
      </c>
      <c r="G56" s="85">
        <v>1.72</v>
      </c>
      <c r="H56" s="42">
        <f t="shared" si="4"/>
        <v>1.1325434606070661</v>
      </c>
      <c r="I56" s="45">
        <f t="shared" si="9"/>
        <v>145</v>
      </c>
      <c r="J56" s="41">
        <f t="shared" si="10"/>
        <v>1.4733412023075513E-2</v>
      </c>
      <c r="K56" s="41">
        <f t="shared" si="11"/>
        <v>0.26397956287255181</v>
      </c>
      <c r="L56" s="41">
        <f t="shared" si="7"/>
        <v>0.24924615084947629</v>
      </c>
    </row>
    <row r="57" spans="1:12">
      <c r="A57" s="45">
        <f t="shared" si="15"/>
        <v>33</v>
      </c>
      <c r="B57" s="45">
        <v>427.1</v>
      </c>
      <c r="C57" s="41">
        <f t="shared" si="12"/>
        <v>1.1688560481663932</v>
      </c>
      <c r="D57" s="42">
        <f t="shared" si="13"/>
        <v>30.593945156301839</v>
      </c>
      <c r="E57" s="45">
        <v>9.3000000000000007</v>
      </c>
      <c r="F57" s="46">
        <f t="shared" si="14"/>
        <v>7.0284619594964486</v>
      </c>
      <c r="G57" s="85">
        <v>1.72</v>
      </c>
      <c r="H57" s="42">
        <f t="shared" si="4"/>
        <v>0.97105402314661871</v>
      </c>
      <c r="I57" s="45">
        <f t="shared" si="9"/>
        <v>145</v>
      </c>
      <c r="J57" s="41">
        <f t="shared" si="10"/>
        <v>1.1080732334164602E-2</v>
      </c>
      <c r="K57" s="41">
        <f t="shared" si="11"/>
        <v>0.26397956287255181</v>
      </c>
      <c r="L57" s="41">
        <f t="shared" si="7"/>
        <v>0.25289883053838719</v>
      </c>
    </row>
    <row r="58" spans="1:12">
      <c r="A58" s="45">
        <f t="shared" si="15"/>
        <v>34</v>
      </c>
      <c r="B58" s="45">
        <v>426.6</v>
      </c>
      <c r="C58" s="41">
        <f t="shared" si="12"/>
        <v>1.1674876847290641</v>
      </c>
      <c r="D58" s="42">
        <f t="shared" si="13"/>
        <v>30.846843986840227</v>
      </c>
      <c r="E58" s="45">
        <v>9.3000000000000007</v>
      </c>
      <c r="F58" s="46">
        <f t="shared" si="14"/>
        <v>5.8609742747673845</v>
      </c>
      <c r="G58" s="85">
        <v>1.72</v>
      </c>
      <c r="H58" s="42">
        <f t="shared" si="4"/>
        <v>0.80975363911330867</v>
      </c>
      <c r="I58" s="45">
        <f t="shared" si="9"/>
        <v>145</v>
      </c>
      <c r="J58" s="41">
        <f t="shared" si="10"/>
        <v>7.9152254393279661E-3</v>
      </c>
      <c r="K58" s="41">
        <f t="shared" si="11"/>
        <v>0.26397956287255181</v>
      </c>
      <c r="L58" s="41">
        <f t="shared" si="7"/>
        <v>0.25606433743322382</v>
      </c>
    </row>
    <row r="59" spans="1:12">
      <c r="A59" s="45">
        <f t="shared" si="15"/>
        <v>35</v>
      </c>
      <c r="B59" s="45">
        <v>426</v>
      </c>
      <c r="C59" s="41">
        <f t="shared" si="12"/>
        <v>1.1658456486042692</v>
      </c>
      <c r="D59" s="42">
        <f t="shared" si="13"/>
        <v>31.10290832427345</v>
      </c>
      <c r="E59" s="45">
        <v>9.3000000000000007</v>
      </c>
      <c r="F59" s="46">
        <f t="shared" si="14"/>
        <v>4.6951286261631155</v>
      </c>
      <c r="G59" s="85">
        <v>1.72</v>
      </c>
      <c r="H59" s="42">
        <f t="shared" si="4"/>
        <v>0.64868011919256285</v>
      </c>
      <c r="I59" s="45">
        <f t="shared" si="9"/>
        <v>145</v>
      </c>
      <c r="J59" s="41">
        <f t="shared" si="10"/>
        <v>5.2489731479103451E-3</v>
      </c>
      <c r="K59" s="41">
        <f t="shared" si="11"/>
        <v>0.26397956287255181</v>
      </c>
      <c r="L59" s="41">
        <f t="shared" si="7"/>
        <v>0.25873058972464147</v>
      </c>
    </row>
    <row r="60" spans="1:12">
      <c r="A60" s="45">
        <f t="shared" si="15"/>
        <v>36</v>
      </c>
      <c r="B60" s="45">
        <v>425.5</v>
      </c>
      <c r="C60" s="41">
        <f t="shared" si="12"/>
        <v>1.1644772851669403</v>
      </c>
      <c r="D60" s="42">
        <f t="shared" si="13"/>
        <v>31.361638913998092</v>
      </c>
      <c r="E60" s="45">
        <v>9.3000000000000007</v>
      </c>
      <c r="F60" s="46">
        <f t="shared" si="14"/>
        <v>3.5306513409961751</v>
      </c>
      <c r="G60" s="85">
        <v>1.72</v>
      </c>
      <c r="H60" s="42">
        <f t="shared" si="4"/>
        <v>0.48779565269895414</v>
      </c>
      <c r="I60" s="45">
        <f t="shared" si="9"/>
        <v>145</v>
      </c>
      <c r="J60" s="41">
        <f t="shared" si="10"/>
        <v>3.0960669288349857E-3</v>
      </c>
      <c r="K60" s="41">
        <f t="shared" si="11"/>
        <v>0.26397956287255181</v>
      </c>
      <c r="L60" s="41">
        <f t="shared" si="7"/>
        <v>0.26088349594371685</v>
      </c>
    </row>
    <row r="61" spans="1:12">
      <c r="A61" s="45">
        <f t="shared" si="15"/>
        <v>37</v>
      </c>
      <c r="B61" s="45">
        <v>424.9</v>
      </c>
      <c r="C61" s="41">
        <f t="shared" si="12"/>
        <v>1.1628352490421456</v>
      </c>
      <c r="D61" s="42">
        <f t="shared" si="13"/>
        <v>31.622522409941809</v>
      </c>
      <c r="E61" s="45">
        <v>9.3000000000000007</v>
      </c>
      <c r="F61" s="46">
        <f t="shared" si="14"/>
        <v>2.3678160919540296</v>
      </c>
      <c r="G61" s="85">
        <v>1.72</v>
      </c>
      <c r="H61" s="42">
        <f t="shared" si="4"/>
        <v>0.32713805031790988</v>
      </c>
      <c r="I61" s="45">
        <f t="shared" si="9"/>
        <v>145</v>
      </c>
      <c r="J61" s="41">
        <f t="shared" si="10"/>
        <v>1.4773235719769621E-3</v>
      </c>
      <c r="K61" s="41">
        <f t="shared" si="11"/>
        <v>0.26397956287255181</v>
      </c>
      <c r="L61" s="41">
        <f t="shared" si="7"/>
        <v>0.26250223930057487</v>
      </c>
    </row>
    <row r="62" spans="1:12">
      <c r="A62" s="45">
        <f t="shared" si="15"/>
        <v>38</v>
      </c>
      <c r="B62" s="45">
        <v>424.4</v>
      </c>
      <c r="C62" s="41">
        <f t="shared" si="12"/>
        <v>1.1614668856048167</v>
      </c>
      <c r="D62" s="42">
        <f t="shared" si="13"/>
        <v>31.885024649242382</v>
      </c>
      <c r="E62" s="45">
        <v>9.3000000000000007</v>
      </c>
      <c r="F62" s="46">
        <f t="shared" si="14"/>
        <v>1.2063492063492129</v>
      </c>
      <c r="G62" s="85">
        <v>1.72</v>
      </c>
      <c r="H62" s="42">
        <f t="shared" si="4"/>
        <v>0.16666950136400263</v>
      </c>
      <c r="I62" s="45">
        <f t="shared" si="9"/>
        <v>145</v>
      </c>
      <c r="J62" s="41">
        <f t="shared" si="10"/>
        <v>4.2371249033958716E-4</v>
      </c>
      <c r="K62" s="41">
        <f t="shared" si="11"/>
        <v>0.26397956287255181</v>
      </c>
      <c r="L62" s="41">
        <f t="shared" si="7"/>
        <v>0.26355585038221224</v>
      </c>
    </row>
    <row r="63" spans="1:12">
      <c r="A63" s="45">
        <f t="shared" si="15"/>
        <v>39</v>
      </c>
      <c r="B63" s="45">
        <v>423.8</v>
      </c>
      <c r="C63" s="41">
        <f t="shared" si="12"/>
        <v>1.1598248494800218</v>
      </c>
      <c r="D63" s="42">
        <f t="shared" si="13"/>
        <v>32.148580499624593</v>
      </c>
      <c r="E63" s="45">
        <v>9.3000000000000007</v>
      </c>
      <c r="F63" s="46">
        <f t="shared" si="14"/>
        <v>4.6524356869191097E-2</v>
      </c>
      <c r="G63" s="85">
        <v>1.72</v>
      </c>
      <c r="H63" s="42">
        <f t="shared" si="4"/>
        <v>6.4278165226597846E-3</v>
      </c>
      <c r="I63" s="45">
        <f t="shared" si="9"/>
        <v>145</v>
      </c>
      <c r="J63" s="41">
        <f t="shared" si="10"/>
        <v>1.0202985087101881E-6</v>
      </c>
      <c r="K63" s="41">
        <f t="shared" si="11"/>
        <v>0.26397956287255181</v>
      </c>
      <c r="L63" s="41">
        <f t="shared" si="7"/>
        <v>0.26397854257404307</v>
      </c>
    </row>
    <row r="64" spans="1:12">
      <c r="A64" s="51"/>
      <c r="B64" s="51"/>
      <c r="C64" s="41"/>
      <c r="D64" s="42"/>
      <c r="E64" s="51"/>
      <c r="F64" s="46"/>
      <c r="G64" s="51"/>
      <c r="H64" s="42"/>
      <c r="I64" s="51"/>
      <c r="J64" s="41"/>
      <c r="K64" s="41"/>
      <c r="L64" s="41"/>
    </row>
    <row r="65" spans="1:12">
      <c r="A65" s="51"/>
      <c r="B65" s="51"/>
      <c r="C65" s="57" t="s">
        <v>204</v>
      </c>
      <c r="D65" s="58">
        <f>MIN(D36:D63,D24:D34)</f>
        <v>25</v>
      </c>
      <c r="E65" s="51" t="s">
        <v>199</v>
      </c>
      <c r="F65" s="46"/>
      <c r="G65" s="51"/>
      <c r="H65" s="42"/>
      <c r="I65" s="51"/>
      <c r="J65" s="41"/>
      <c r="K65" s="41"/>
      <c r="L65" s="41"/>
    </row>
    <row r="66" spans="1:12">
      <c r="A66" s="51"/>
      <c r="B66" s="51"/>
      <c r="C66" s="57" t="s">
        <v>205</v>
      </c>
      <c r="D66" s="58">
        <f>MAX(D36:D63,D24:D34)</f>
        <v>32.148580499624593</v>
      </c>
      <c r="E66" s="51" t="s">
        <v>199</v>
      </c>
      <c r="F66" s="46"/>
      <c r="G66" s="51"/>
      <c r="H66" s="42"/>
      <c r="I66" s="51"/>
      <c r="J66" s="41"/>
      <c r="K66" s="41"/>
      <c r="L66" s="41"/>
    </row>
    <row r="67" spans="1:12" ht="30">
      <c r="C67" s="44" t="s">
        <v>194</v>
      </c>
      <c r="D67" s="59">
        <f>AVERAGE(D36:D63,D23:D34)</f>
        <v>28.051718032705281</v>
      </c>
    </row>
    <row r="68" spans="1:12" ht="30">
      <c r="C68" s="24" t="s">
        <v>193</v>
      </c>
      <c r="D68" s="58">
        <f>SUM(C36:C63,C24:C34)</f>
        <v>47.953475643130801</v>
      </c>
    </row>
    <row r="69" spans="1:12" ht="60">
      <c r="C69" s="26" t="s">
        <v>195</v>
      </c>
      <c r="D69" s="60">
        <f>SUM(E36:E63,E24:E34)</f>
        <v>353.66</v>
      </c>
    </row>
  </sheetData>
  <printOptions headings="1" gridLines="1"/>
  <pageMargins left="1" right="0" top="1" bottom="0" header="0.5" footer="0"/>
  <pageSetup scale="80" firstPageNumber="34" orientation="portrait" useFirstPageNumber="1" r:id="rId1"/>
  <headerFooter>
    <oddHeader>&amp;R&amp;P</oddHeader>
  </headerFooter>
  <drawing r:id="rId2"/>
</worksheet>
</file>

<file path=xl/worksheets/sheet4.xml><?xml version="1.0" encoding="utf-8"?>
<worksheet xmlns="http://schemas.openxmlformats.org/spreadsheetml/2006/main" xmlns:r="http://schemas.openxmlformats.org/officeDocument/2006/relationships">
  <dimension ref="A1:L79"/>
  <sheetViews>
    <sheetView workbookViewId="0">
      <selection activeCell="D22" sqref="D22"/>
    </sheetView>
  </sheetViews>
  <sheetFormatPr defaultRowHeight="15"/>
  <sheetData>
    <row r="1" spans="1:3">
      <c r="A1" s="1" t="s">
        <v>86</v>
      </c>
    </row>
    <row r="3" spans="1:3">
      <c r="A3" s="1" t="s">
        <v>171</v>
      </c>
    </row>
    <row r="4" spans="1:3">
      <c r="C4" s="11"/>
    </row>
    <row r="5" spans="1:3">
      <c r="C5" s="11"/>
    </row>
    <row r="6" spans="1:3">
      <c r="C6" s="11"/>
    </row>
    <row r="9" spans="1:3">
      <c r="B9">
        <v>150</v>
      </c>
      <c r="C9" t="s">
        <v>177</v>
      </c>
    </row>
    <row r="10" spans="1:3">
      <c r="B10">
        <v>145</v>
      </c>
      <c r="C10" t="s">
        <v>176</v>
      </c>
    </row>
    <row r="11" spans="1:3">
      <c r="B11">
        <v>140</v>
      </c>
      <c r="C11" t="s">
        <v>178</v>
      </c>
    </row>
    <row r="12" spans="1:3">
      <c r="B12">
        <v>0</v>
      </c>
      <c r="C12" t="s">
        <v>179</v>
      </c>
    </row>
    <row r="13" spans="1:3">
      <c r="B13">
        <v>813.9</v>
      </c>
      <c r="C13" t="s">
        <v>180</v>
      </c>
    </row>
    <row r="14" spans="1:3">
      <c r="B14" s="3">
        <f>B12/B13</f>
        <v>0</v>
      </c>
      <c r="C14" t="s">
        <v>181</v>
      </c>
    </row>
    <row r="15" spans="1:3">
      <c r="B15">
        <v>0.5</v>
      </c>
      <c r="C15" t="s">
        <v>69</v>
      </c>
    </row>
    <row r="16" spans="1:3">
      <c r="B16" s="21">
        <f>B15/60</f>
        <v>8.3333333333333332E-3</v>
      </c>
      <c r="C16" t="s">
        <v>185</v>
      </c>
    </row>
    <row r="17" spans="1:12">
      <c r="B17" s="21">
        <v>3.0449999999999999</v>
      </c>
      <c r="C17" t="s">
        <v>186</v>
      </c>
    </row>
    <row r="20" spans="1:12">
      <c r="B20" s="11" t="s">
        <v>330</v>
      </c>
    </row>
    <row r="21" spans="1:12">
      <c r="B21" s="11" t="s">
        <v>331</v>
      </c>
    </row>
    <row r="23" spans="1:12">
      <c r="A23" s="1" t="s">
        <v>172</v>
      </c>
    </row>
    <row r="24" spans="1:12" ht="30">
      <c r="A24" s="27" t="s">
        <v>173</v>
      </c>
      <c r="B24" s="44" t="s">
        <v>183</v>
      </c>
      <c r="C24" s="24" t="s">
        <v>184</v>
      </c>
      <c r="D24" s="24" t="s">
        <v>182</v>
      </c>
      <c r="E24" s="27" t="s">
        <v>116</v>
      </c>
      <c r="F24" s="24" t="s">
        <v>123</v>
      </c>
      <c r="G24" s="26" t="s">
        <v>175</v>
      </c>
      <c r="H24" s="24" t="s">
        <v>200</v>
      </c>
      <c r="I24" s="26" t="s">
        <v>187</v>
      </c>
      <c r="J24" s="27" t="s">
        <v>119</v>
      </c>
      <c r="K24" s="24" t="s">
        <v>120</v>
      </c>
      <c r="L24" s="24" t="s">
        <v>121</v>
      </c>
    </row>
    <row r="25" spans="1:12">
      <c r="A25" s="40" t="s">
        <v>174</v>
      </c>
      <c r="B25" s="45">
        <v>0</v>
      </c>
      <c r="C25" s="43">
        <v>0</v>
      </c>
      <c r="D25" s="43">
        <v>25</v>
      </c>
      <c r="E25" s="45">
        <v>0</v>
      </c>
      <c r="F25" s="42">
        <v>52.5</v>
      </c>
      <c r="G25" s="45">
        <v>2.1930000000000001</v>
      </c>
      <c r="H25" s="42">
        <f>(F25/448.8)/(3.14*((G25/12)^2)/4)</f>
        <v>4.4619225460768988</v>
      </c>
      <c r="I25" s="45">
        <f t="shared" ref="I25:I38" si="0">IF(G25&gt;5,$B$9,IF(5&gt;=G25&gt;1.5,$B$10,IF(1.5&gt;G25,$B$11,0)))</f>
        <v>145</v>
      </c>
      <c r="J25" s="46">
        <f t="shared" ref="J25:J38" si="1">(1050*((F25/I25)^1.852)*(E25/100)*(G25^-4.87))/2.31</f>
        <v>0</v>
      </c>
      <c r="K25" s="41">
        <f t="shared" ref="K25:K38" si="2">E25*$B$14</f>
        <v>0</v>
      </c>
      <c r="L25" s="41">
        <f>K25-J25</f>
        <v>0</v>
      </c>
    </row>
    <row r="26" spans="1:12">
      <c r="A26" s="45">
        <v>1</v>
      </c>
      <c r="B26" s="45">
        <v>422.7</v>
      </c>
      <c r="C26" s="41">
        <f t="shared" ref="C26:C38" si="3">(B26/$B$17)*$B$16</f>
        <v>1.1568144499178983</v>
      </c>
      <c r="D26" s="42">
        <f t="shared" ref="D26:D38" si="4">D25+L25</f>
        <v>25</v>
      </c>
      <c r="E26" s="45">
        <v>2.2999999999999998</v>
      </c>
      <c r="F26" s="46">
        <f>F25-C26</f>
        <v>51.343185550082104</v>
      </c>
      <c r="G26" s="85">
        <v>2.1930000000000001</v>
      </c>
      <c r="H26" s="42">
        <f t="shared" ref="H26:H73" si="5">(F26/448.8)/(3.14*((G26/12)^2)/4)</f>
        <v>4.3636060417775422</v>
      </c>
      <c r="I26" s="45">
        <f t="shared" si="0"/>
        <v>145</v>
      </c>
      <c r="J26" s="41">
        <f t="shared" si="1"/>
        <v>3.3373952547767635E-2</v>
      </c>
      <c r="K26" s="41">
        <f t="shared" si="2"/>
        <v>0</v>
      </c>
      <c r="L26" s="41">
        <f>K26-J26</f>
        <v>-3.3373952547767635E-2</v>
      </c>
    </row>
    <row r="27" spans="1:12">
      <c r="A27" s="45">
        <f>A26+1</f>
        <v>2</v>
      </c>
      <c r="B27" s="45">
        <v>422.2</v>
      </c>
      <c r="C27" s="41">
        <f t="shared" si="3"/>
        <v>1.1554460864805693</v>
      </c>
      <c r="D27" s="42">
        <f t="shared" si="4"/>
        <v>24.966626047452234</v>
      </c>
      <c r="E27" s="45">
        <v>9.3000000000000007</v>
      </c>
      <c r="F27" s="46">
        <f t="shared" ref="F27:F35" si="6">F26-C27</f>
        <v>50.187739463601538</v>
      </c>
      <c r="G27" s="85">
        <v>2.1930000000000001</v>
      </c>
      <c r="H27" s="42">
        <f t="shared" si="5"/>
        <v>4.2654058333195621</v>
      </c>
      <c r="I27" s="45">
        <f t="shared" si="0"/>
        <v>145</v>
      </c>
      <c r="J27" s="41">
        <f t="shared" si="1"/>
        <v>0.12937650384450153</v>
      </c>
      <c r="K27" s="41">
        <f t="shared" si="2"/>
        <v>0</v>
      </c>
      <c r="L27" s="41">
        <f t="shared" ref="L27:L67" si="7">K27-J27</f>
        <v>-0.12937650384450153</v>
      </c>
    </row>
    <row r="28" spans="1:12">
      <c r="A28" s="45">
        <f t="shared" ref="A28:A56" si="8">A27+1</f>
        <v>3</v>
      </c>
      <c r="B28" s="45">
        <v>421.6</v>
      </c>
      <c r="C28" s="41">
        <f t="shared" si="3"/>
        <v>1.1538040503557745</v>
      </c>
      <c r="D28" s="42">
        <f t="shared" si="4"/>
        <v>24.837249543607733</v>
      </c>
      <c r="E28" s="45">
        <v>9.3000000000000007</v>
      </c>
      <c r="F28" s="46">
        <f t="shared" si="6"/>
        <v>49.033935413245764</v>
      </c>
      <c r="G28" s="85">
        <v>2.1930000000000001</v>
      </c>
      <c r="H28" s="42">
        <f t="shared" si="5"/>
        <v>4.1673451798712335</v>
      </c>
      <c r="I28" s="45">
        <f t="shared" si="0"/>
        <v>145</v>
      </c>
      <c r="J28" s="41">
        <f t="shared" si="1"/>
        <v>0.12392204554161983</v>
      </c>
      <c r="K28" s="41">
        <f t="shared" si="2"/>
        <v>0</v>
      </c>
      <c r="L28" s="41">
        <f t="shared" si="7"/>
        <v>-0.12392204554161983</v>
      </c>
    </row>
    <row r="29" spans="1:12">
      <c r="A29" s="45">
        <f t="shared" si="8"/>
        <v>4</v>
      </c>
      <c r="B29" s="45">
        <v>421.1</v>
      </c>
      <c r="C29" s="41">
        <f t="shared" si="3"/>
        <v>1.1524356869184456</v>
      </c>
      <c r="D29" s="42">
        <f t="shared" si="4"/>
        <v>24.713327498066114</v>
      </c>
      <c r="E29" s="45">
        <v>9.3000000000000007</v>
      </c>
      <c r="F29" s="46">
        <f t="shared" si="6"/>
        <v>47.88149972632732</v>
      </c>
      <c r="G29" s="85">
        <v>2.1930000000000001</v>
      </c>
      <c r="H29" s="42">
        <f t="shared" si="5"/>
        <v>4.0694008222642806</v>
      </c>
      <c r="I29" s="45">
        <f t="shared" si="0"/>
        <v>145</v>
      </c>
      <c r="J29" s="41">
        <f t="shared" si="1"/>
        <v>0.11858213208404786</v>
      </c>
      <c r="K29" s="41">
        <f t="shared" si="2"/>
        <v>0</v>
      </c>
      <c r="L29" s="41">
        <f t="shared" si="7"/>
        <v>-0.11858213208404786</v>
      </c>
    </row>
    <row r="30" spans="1:12">
      <c r="A30" s="45">
        <f t="shared" si="8"/>
        <v>5</v>
      </c>
      <c r="B30" s="45">
        <v>420.5</v>
      </c>
      <c r="C30" s="41">
        <f t="shared" si="3"/>
        <v>1.1507936507936509</v>
      </c>
      <c r="D30" s="42">
        <f t="shared" si="4"/>
        <v>24.594745365982067</v>
      </c>
      <c r="E30" s="45">
        <v>9.3000000000000007</v>
      </c>
      <c r="F30" s="46">
        <f t="shared" si="6"/>
        <v>46.730706075533668</v>
      </c>
      <c r="G30" s="85">
        <v>2.1930000000000001</v>
      </c>
      <c r="H30" s="42">
        <f t="shared" si="5"/>
        <v>3.9715960196669791</v>
      </c>
      <c r="I30" s="45">
        <f t="shared" si="0"/>
        <v>145</v>
      </c>
      <c r="J30" s="41">
        <f t="shared" si="1"/>
        <v>0.11335798842518466</v>
      </c>
      <c r="K30" s="41">
        <f t="shared" si="2"/>
        <v>0</v>
      </c>
      <c r="L30" s="41">
        <f t="shared" si="7"/>
        <v>-0.11335798842518466</v>
      </c>
    </row>
    <row r="31" spans="1:12">
      <c r="A31" s="45">
        <f t="shared" si="8"/>
        <v>6</v>
      </c>
      <c r="B31" s="45">
        <v>420</v>
      </c>
      <c r="C31" s="41">
        <f t="shared" si="3"/>
        <v>1.149425287356322</v>
      </c>
      <c r="D31" s="42">
        <f t="shared" si="4"/>
        <v>24.481387377556882</v>
      </c>
      <c r="E31" s="45">
        <v>9.3000000000000007</v>
      </c>
      <c r="F31" s="46">
        <f t="shared" si="6"/>
        <v>45.581280788177345</v>
      </c>
      <c r="G31" s="85">
        <v>2.1930000000000001</v>
      </c>
      <c r="H31" s="42">
        <f t="shared" si="5"/>
        <v>3.8739075129110536</v>
      </c>
      <c r="I31" s="45">
        <f t="shared" si="0"/>
        <v>145</v>
      </c>
      <c r="J31" s="41">
        <f t="shared" si="1"/>
        <v>0.10824833728771725</v>
      </c>
      <c r="K31" s="41">
        <f t="shared" si="2"/>
        <v>0</v>
      </c>
      <c r="L31" s="41">
        <f t="shared" si="7"/>
        <v>-0.10824833728771725</v>
      </c>
    </row>
    <row r="32" spans="1:12">
      <c r="A32" s="45">
        <f t="shared" si="8"/>
        <v>7</v>
      </c>
      <c r="B32" s="45">
        <v>419.4</v>
      </c>
      <c r="C32" s="41">
        <f t="shared" si="3"/>
        <v>1.1477832512315271</v>
      </c>
      <c r="D32" s="42">
        <f t="shared" si="4"/>
        <v>24.373139040269166</v>
      </c>
      <c r="E32" s="45">
        <v>9.3000000000000007</v>
      </c>
      <c r="F32" s="46">
        <f t="shared" si="6"/>
        <v>44.433497536945815</v>
      </c>
      <c r="G32" s="85">
        <v>2.1930000000000001</v>
      </c>
      <c r="H32" s="42">
        <f t="shared" si="5"/>
        <v>3.7763585611647787</v>
      </c>
      <c r="I32" s="45">
        <f t="shared" si="0"/>
        <v>145</v>
      </c>
      <c r="J32" s="41">
        <f t="shared" si="1"/>
        <v>0.10325436891076749</v>
      </c>
      <c r="K32" s="41">
        <f t="shared" si="2"/>
        <v>0</v>
      </c>
      <c r="L32" s="41">
        <f t="shared" si="7"/>
        <v>-0.10325436891076749</v>
      </c>
    </row>
    <row r="33" spans="1:12">
      <c r="A33" s="45">
        <f t="shared" si="8"/>
        <v>8</v>
      </c>
      <c r="B33" s="45">
        <v>418.9</v>
      </c>
      <c r="C33" s="41">
        <f t="shared" si="3"/>
        <v>1.146414887794198</v>
      </c>
      <c r="D33" s="42">
        <f t="shared" si="4"/>
        <v>24.269884671358398</v>
      </c>
      <c r="E33" s="45">
        <v>9.3000000000000007</v>
      </c>
      <c r="F33" s="46">
        <f t="shared" si="6"/>
        <v>43.287082649151614</v>
      </c>
      <c r="G33" s="85">
        <v>2.1930000000000001</v>
      </c>
      <c r="H33" s="42">
        <f t="shared" si="5"/>
        <v>3.6789259052598804</v>
      </c>
      <c r="I33" s="45">
        <f t="shared" si="0"/>
        <v>145</v>
      </c>
      <c r="J33" s="41">
        <f t="shared" si="1"/>
        <v>9.8374875342287116E-2</v>
      </c>
      <c r="K33" s="41">
        <f t="shared" si="2"/>
        <v>0</v>
      </c>
      <c r="L33" s="41">
        <f t="shared" si="7"/>
        <v>-9.8374875342287116E-2</v>
      </c>
    </row>
    <row r="34" spans="1:12">
      <c r="A34" s="45">
        <f t="shared" si="8"/>
        <v>9</v>
      </c>
      <c r="B34" s="45">
        <v>418.3</v>
      </c>
      <c r="C34" s="41">
        <f t="shared" si="3"/>
        <v>1.1447728516694036</v>
      </c>
      <c r="D34" s="42">
        <f t="shared" si="4"/>
        <v>24.17150979601611</v>
      </c>
      <c r="E34" s="45">
        <v>9.3000000000000007</v>
      </c>
      <c r="F34" s="46">
        <f t="shared" si="6"/>
        <v>42.142309797482213</v>
      </c>
      <c r="G34" s="85">
        <v>2.1930000000000001</v>
      </c>
      <c r="H34" s="42">
        <f t="shared" si="5"/>
        <v>3.5816328043646339</v>
      </c>
      <c r="I34" s="45">
        <f t="shared" si="0"/>
        <v>145</v>
      </c>
      <c r="J34" s="41">
        <f t="shared" si="1"/>
        <v>9.3611013754721389E-2</v>
      </c>
      <c r="K34" s="41">
        <f t="shared" si="2"/>
        <v>0</v>
      </c>
      <c r="L34" s="41">
        <f t="shared" si="7"/>
        <v>-9.3611013754721389E-2</v>
      </c>
    </row>
    <row r="35" spans="1:12">
      <c r="A35" s="45">
        <f t="shared" si="8"/>
        <v>10</v>
      </c>
      <c r="B35" s="45">
        <v>417.8</v>
      </c>
      <c r="C35" s="41">
        <f t="shared" si="3"/>
        <v>1.1434044882320746</v>
      </c>
      <c r="D35" s="42">
        <f t="shared" si="4"/>
        <v>24.077898782261389</v>
      </c>
      <c r="E35" s="45">
        <v>9.3000000000000007</v>
      </c>
      <c r="F35" s="46">
        <f t="shared" si="6"/>
        <v>40.998905309250141</v>
      </c>
      <c r="G35" s="85">
        <v>2.1930000000000001</v>
      </c>
      <c r="H35" s="42">
        <f t="shared" si="5"/>
        <v>3.4844559993107636</v>
      </c>
      <c r="I35" s="45">
        <f t="shared" si="0"/>
        <v>145</v>
      </c>
      <c r="J35" s="41">
        <f t="shared" si="1"/>
        <v>8.8961647825603896E-2</v>
      </c>
      <c r="K35" s="41">
        <f t="shared" si="2"/>
        <v>0</v>
      </c>
      <c r="L35" s="41">
        <f t="shared" si="7"/>
        <v>-8.8961647825603896E-2</v>
      </c>
    </row>
    <row r="36" spans="1:12">
      <c r="A36" s="45">
        <f t="shared" si="8"/>
        <v>11</v>
      </c>
      <c r="B36" s="45">
        <v>417.2</v>
      </c>
      <c r="C36" s="41">
        <f t="shared" si="3"/>
        <v>1.1417624521072798</v>
      </c>
      <c r="D36" s="42">
        <f t="shared" si="4"/>
        <v>23.988937134435787</v>
      </c>
      <c r="E36" s="45">
        <v>9.3000000000000007</v>
      </c>
      <c r="F36" s="46">
        <f>F35-C36</f>
        <v>39.857142857142861</v>
      </c>
      <c r="G36" s="85">
        <v>2.1930000000000001</v>
      </c>
      <c r="H36" s="42">
        <f t="shared" si="5"/>
        <v>3.3874187492665442</v>
      </c>
      <c r="I36" s="45">
        <f t="shared" si="0"/>
        <v>145</v>
      </c>
      <c r="J36" s="41">
        <f t="shared" si="1"/>
        <v>8.4427903617089795E-2</v>
      </c>
      <c r="K36" s="41">
        <f t="shared" si="2"/>
        <v>0</v>
      </c>
      <c r="L36" s="41">
        <f t="shared" si="7"/>
        <v>-8.4427903617089795E-2</v>
      </c>
    </row>
    <row r="37" spans="1:12">
      <c r="A37" s="45">
        <f t="shared" si="8"/>
        <v>12</v>
      </c>
      <c r="B37" s="45">
        <v>416.7</v>
      </c>
      <c r="C37" s="41">
        <f t="shared" si="3"/>
        <v>1.1403940886699506</v>
      </c>
      <c r="D37" s="42">
        <f t="shared" si="4"/>
        <v>23.904509230818697</v>
      </c>
      <c r="E37" s="45">
        <v>9.3000000000000007</v>
      </c>
      <c r="F37" s="46">
        <f t="shared" ref="F37:F38" si="9">F36-C37</f>
        <v>38.716748768472911</v>
      </c>
      <c r="G37" s="85">
        <v>2.1930000000000001</v>
      </c>
      <c r="H37" s="42">
        <f t="shared" si="5"/>
        <v>3.2904977950637009</v>
      </c>
      <c r="I37" s="45">
        <f t="shared" si="0"/>
        <v>145</v>
      </c>
      <c r="J37" s="41">
        <f t="shared" si="1"/>
        <v>8.0008719126991729E-2</v>
      </c>
      <c r="K37" s="41">
        <f t="shared" si="2"/>
        <v>0</v>
      </c>
      <c r="L37" s="41">
        <f t="shared" ref="L37:L38" si="10">K37-J37</f>
        <v>-8.0008719126991729E-2</v>
      </c>
    </row>
    <row r="38" spans="1:12">
      <c r="A38" s="45">
        <f t="shared" si="8"/>
        <v>13</v>
      </c>
      <c r="B38" s="45">
        <v>416.1</v>
      </c>
      <c r="C38" s="41">
        <f t="shared" si="3"/>
        <v>1.138752052545156</v>
      </c>
      <c r="D38" s="42">
        <f t="shared" si="4"/>
        <v>23.824500511691706</v>
      </c>
      <c r="E38" s="45">
        <v>9.3000000000000007</v>
      </c>
      <c r="F38" s="46">
        <f t="shared" si="9"/>
        <v>37.577996715927753</v>
      </c>
      <c r="G38" s="85">
        <v>2.1930000000000001</v>
      </c>
      <c r="H38" s="42">
        <f t="shared" si="5"/>
        <v>3.1937163958705086</v>
      </c>
      <c r="I38" s="45">
        <f t="shared" si="0"/>
        <v>145</v>
      </c>
      <c r="J38" s="41">
        <f t="shared" si="1"/>
        <v>7.5705191648626949E-2</v>
      </c>
      <c r="K38" s="41">
        <f t="shared" si="2"/>
        <v>0</v>
      </c>
      <c r="L38" s="41">
        <f t="shared" si="10"/>
        <v>-7.5705191648626949E-2</v>
      </c>
    </row>
    <row r="39" spans="1:12">
      <c r="A39" s="1" t="s">
        <v>188</v>
      </c>
      <c r="B39" s="45"/>
      <c r="C39" s="41"/>
      <c r="D39" s="42"/>
      <c r="E39" s="45"/>
      <c r="F39" s="46"/>
      <c r="G39" s="45"/>
      <c r="H39" s="42"/>
      <c r="I39" s="45"/>
      <c r="J39" s="41"/>
      <c r="K39" s="41"/>
      <c r="L39" s="41"/>
    </row>
    <row r="40" spans="1:12">
      <c r="A40" s="45">
        <f>A38+1</f>
        <v>14</v>
      </c>
      <c r="B40" s="45">
        <v>435.9</v>
      </c>
      <c r="C40" s="41">
        <f t="shared" ref="C40:C47" si="11">(B40/$B$17)*$B$16</f>
        <v>1.1929392446633824</v>
      </c>
      <c r="D40" s="42">
        <f>D38+L38</f>
        <v>23.748795320043079</v>
      </c>
      <c r="E40" s="45">
        <v>26.9</v>
      </c>
      <c r="F40" s="46">
        <f>F38-C40</f>
        <v>36.385057471264368</v>
      </c>
      <c r="G40" s="45">
        <v>1.72</v>
      </c>
      <c r="H40" s="42">
        <f t="shared" si="5"/>
        <v>5.0269684382589368</v>
      </c>
      <c r="I40" s="45">
        <f t="shared" ref="I40:I47" si="12">IF(G40&gt;5,$B$9,IF(5&gt;=G40&gt;1.5,$B$10,IF(1.5&gt;G40,$B$11,0)))</f>
        <v>145</v>
      </c>
      <c r="J40" s="41">
        <f t="shared" ref="J40:J47" si="13">(1050*((F40/I40)^1.852)*(E40/100)*(G40^-4.87))/2.31</f>
        <v>0.67341384257471493</v>
      </c>
      <c r="K40" s="41">
        <f t="shared" ref="K40:K47" si="14">E40*$B$14</f>
        <v>0</v>
      </c>
      <c r="L40" s="41">
        <f t="shared" si="7"/>
        <v>-0.67341384257471493</v>
      </c>
    </row>
    <row r="41" spans="1:12">
      <c r="A41" s="45">
        <f>A40+1</f>
        <v>15</v>
      </c>
      <c r="B41" s="45">
        <v>459.2</v>
      </c>
      <c r="C41" s="41">
        <f t="shared" si="11"/>
        <v>1.2567049808429118</v>
      </c>
      <c r="D41" s="42">
        <f t="shared" ref="D41:D47" si="15">D40+L40</f>
        <v>23.075381477468365</v>
      </c>
      <c r="E41" s="45">
        <v>29.9</v>
      </c>
      <c r="F41" s="46">
        <f>F40-C41</f>
        <v>35.128352490421456</v>
      </c>
      <c r="G41" s="85">
        <v>1.72</v>
      </c>
      <c r="H41" s="42">
        <f t="shared" si="5"/>
        <v>4.8533417707762911</v>
      </c>
      <c r="I41" s="45">
        <f t="shared" si="12"/>
        <v>145</v>
      </c>
      <c r="J41" s="41">
        <f t="shared" si="13"/>
        <v>0.70134167003055903</v>
      </c>
      <c r="K41" s="41">
        <f t="shared" si="14"/>
        <v>0</v>
      </c>
      <c r="L41" s="41">
        <f t="shared" si="7"/>
        <v>-0.70134167003055903</v>
      </c>
    </row>
    <row r="42" spans="1:12">
      <c r="A42" s="45">
        <f t="shared" ref="A42:A52" si="16">A41+1</f>
        <v>16</v>
      </c>
      <c r="B42" s="45">
        <v>482.4</v>
      </c>
      <c r="C42" s="41">
        <f t="shared" si="11"/>
        <v>1.3201970443349753</v>
      </c>
      <c r="D42" s="42">
        <f t="shared" si="15"/>
        <v>22.374039807437807</v>
      </c>
      <c r="E42" s="45">
        <v>29.9</v>
      </c>
      <c r="F42" s="46">
        <f t="shared" ref="F42:F67" si="17">F41-C42</f>
        <v>33.808155446086481</v>
      </c>
      <c r="G42" s="85">
        <v>1.72</v>
      </c>
      <c r="H42" s="42">
        <f t="shared" si="5"/>
        <v>4.6709430242744894</v>
      </c>
      <c r="I42" s="45">
        <f t="shared" si="12"/>
        <v>145</v>
      </c>
      <c r="J42" s="41">
        <f t="shared" si="13"/>
        <v>0.65330984904490541</v>
      </c>
      <c r="K42" s="41">
        <f t="shared" si="14"/>
        <v>0</v>
      </c>
      <c r="L42" s="41">
        <f t="shared" si="7"/>
        <v>-0.65330984904490541</v>
      </c>
    </row>
    <row r="43" spans="1:12">
      <c r="A43" s="45">
        <f t="shared" si="16"/>
        <v>17</v>
      </c>
      <c r="B43" s="45">
        <v>505.7</v>
      </c>
      <c r="C43" s="41">
        <f t="shared" si="11"/>
        <v>1.3839627805145047</v>
      </c>
      <c r="D43" s="42">
        <f t="shared" si="15"/>
        <v>21.720729958392901</v>
      </c>
      <c r="E43" s="45">
        <v>29.9</v>
      </c>
      <c r="F43" s="46">
        <f t="shared" si="17"/>
        <v>32.424192665571979</v>
      </c>
      <c r="G43" s="85">
        <v>1.72</v>
      </c>
      <c r="H43" s="42">
        <f t="shared" si="5"/>
        <v>4.4797343880681026</v>
      </c>
      <c r="I43" s="45">
        <f t="shared" si="12"/>
        <v>145</v>
      </c>
      <c r="J43" s="41">
        <f t="shared" si="13"/>
        <v>0.6046459332596289</v>
      </c>
      <c r="K43" s="41">
        <f t="shared" si="14"/>
        <v>0</v>
      </c>
      <c r="L43" s="41">
        <f t="shared" si="7"/>
        <v>-0.6046459332596289</v>
      </c>
    </row>
    <row r="44" spans="1:12">
      <c r="A44" s="45">
        <f t="shared" si="16"/>
        <v>18</v>
      </c>
      <c r="B44" s="45">
        <v>528.9</v>
      </c>
      <c r="C44" s="41">
        <f t="shared" si="11"/>
        <v>1.4474548440065682</v>
      </c>
      <c r="D44" s="42">
        <f t="shared" si="15"/>
        <v>21.116084025133272</v>
      </c>
      <c r="E44" s="45">
        <v>29.9</v>
      </c>
      <c r="F44" s="46">
        <f t="shared" si="17"/>
        <v>30.976737821565411</v>
      </c>
      <c r="G44" s="85">
        <v>1.72</v>
      </c>
      <c r="H44" s="42">
        <f t="shared" si="5"/>
        <v>4.2797536728425571</v>
      </c>
      <c r="I44" s="45">
        <f t="shared" si="12"/>
        <v>145</v>
      </c>
      <c r="J44" s="41">
        <f t="shared" si="13"/>
        <v>0.55560930488189442</v>
      </c>
      <c r="K44" s="41">
        <f t="shared" si="14"/>
        <v>0</v>
      </c>
      <c r="L44" s="41">
        <f t="shared" si="7"/>
        <v>-0.55560930488189442</v>
      </c>
    </row>
    <row r="45" spans="1:12">
      <c r="A45" s="45">
        <f t="shared" si="16"/>
        <v>19</v>
      </c>
      <c r="B45" s="45">
        <v>552.20000000000005</v>
      </c>
      <c r="C45" s="41">
        <f t="shared" si="11"/>
        <v>1.5112205801860976</v>
      </c>
      <c r="D45" s="42">
        <f t="shared" si="15"/>
        <v>20.560474720251378</v>
      </c>
      <c r="E45" s="45">
        <v>29.9</v>
      </c>
      <c r="F45" s="46">
        <f t="shared" si="17"/>
        <v>29.465517241379313</v>
      </c>
      <c r="G45" s="85">
        <v>1.72</v>
      </c>
      <c r="H45" s="42">
        <f t="shared" si="5"/>
        <v>4.0709630679124258</v>
      </c>
      <c r="I45" s="45">
        <f t="shared" si="12"/>
        <v>145</v>
      </c>
      <c r="J45" s="41">
        <f t="shared" si="13"/>
        <v>0.50645526112688011</v>
      </c>
      <c r="K45" s="41">
        <f t="shared" si="14"/>
        <v>0</v>
      </c>
      <c r="L45" s="41">
        <f t="shared" si="7"/>
        <v>-0.50645526112688011</v>
      </c>
    </row>
    <row r="46" spans="1:12">
      <c r="A46" s="45">
        <f t="shared" si="16"/>
        <v>20</v>
      </c>
      <c r="B46" s="45">
        <v>575.5</v>
      </c>
      <c r="C46" s="41">
        <f t="shared" si="11"/>
        <v>1.5749863163656268</v>
      </c>
      <c r="D46" s="42">
        <f t="shared" si="15"/>
        <v>20.054019459124497</v>
      </c>
      <c r="E46" s="45">
        <v>29.9</v>
      </c>
      <c r="F46" s="46">
        <f t="shared" si="17"/>
        <v>27.890530925013685</v>
      </c>
      <c r="G46" s="85">
        <v>1.72</v>
      </c>
      <c r="H46" s="42">
        <f t="shared" si="5"/>
        <v>3.8533625732777095</v>
      </c>
      <c r="I46" s="45">
        <f t="shared" si="12"/>
        <v>145</v>
      </c>
      <c r="J46" s="41">
        <f t="shared" si="13"/>
        <v>0.4574644922921659</v>
      </c>
      <c r="K46" s="41">
        <f t="shared" si="14"/>
        <v>0</v>
      </c>
      <c r="L46" s="41">
        <f t="shared" si="7"/>
        <v>-0.4574644922921659</v>
      </c>
    </row>
    <row r="47" spans="1:12">
      <c r="A47" s="45">
        <f t="shared" si="16"/>
        <v>21</v>
      </c>
      <c r="B47" s="45">
        <v>598.70000000000005</v>
      </c>
      <c r="C47" s="41">
        <f t="shared" si="11"/>
        <v>1.6384783798576905</v>
      </c>
      <c r="D47" s="42">
        <f t="shared" si="15"/>
        <v>19.596554966832333</v>
      </c>
      <c r="E47" s="45">
        <v>29.9</v>
      </c>
      <c r="F47" s="46">
        <f t="shared" si="17"/>
        <v>26.252052545155994</v>
      </c>
      <c r="G47" s="85">
        <v>1.72</v>
      </c>
      <c r="H47" s="42">
        <f t="shared" si="5"/>
        <v>3.6269899996238348</v>
      </c>
      <c r="I47" s="45">
        <f t="shared" si="12"/>
        <v>145</v>
      </c>
      <c r="J47" s="41">
        <f t="shared" si="13"/>
        <v>0.40894207606908917</v>
      </c>
      <c r="K47" s="41">
        <f t="shared" si="14"/>
        <v>0</v>
      </c>
      <c r="L47" s="41">
        <f t="shared" si="7"/>
        <v>-0.40894207606908917</v>
      </c>
    </row>
    <row r="48" spans="1:12">
      <c r="A48" s="48" t="s">
        <v>189</v>
      </c>
      <c r="B48" s="45"/>
      <c r="C48" s="41"/>
      <c r="D48" s="42"/>
      <c r="E48" s="45"/>
      <c r="F48" s="46"/>
      <c r="G48" s="45"/>
      <c r="H48" s="42"/>
      <c r="I48" s="45"/>
      <c r="J48" s="41"/>
      <c r="K48" s="41"/>
      <c r="L48" s="41"/>
    </row>
    <row r="49" spans="1:12">
      <c r="A49" s="45">
        <f>A47+1</f>
        <v>22</v>
      </c>
      <c r="B49" s="45">
        <v>62.2</v>
      </c>
      <c r="C49" s="41">
        <f>(B49/$B$17)*$B$16</f>
        <v>0.17022441160372195</v>
      </c>
      <c r="D49" s="42">
        <f>D47+L47</f>
        <v>19.187612890763244</v>
      </c>
      <c r="E49" s="45">
        <v>265.89999999999998</v>
      </c>
      <c r="F49" s="46">
        <f>F47-C49</f>
        <v>26.081828133552271</v>
      </c>
      <c r="G49" s="45">
        <v>1.72</v>
      </c>
      <c r="H49" s="42">
        <f t="shared" si="5"/>
        <v>3.6034717532879887</v>
      </c>
      <c r="I49" s="45">
        <f>IF(G49&gt;5,$B$9,IF(5&gt;=G49&gt;1.5,$B$10,IF(1.5&gt;G49,$B$11,0)))</f>
        <v>145</v>
      </c>
      <c r="J49" s="41">
        <f>(1050*((F49/I49)^1.852)*(E49/100)*(G49^-4.87))/2.31</f>
        <v>3.593160437717438</v>
      </c>
      <c r="K49" s="41">
        <f>E49*$B$14</f>
        <v>0</v>
      </c>
      <c r="L49" s="41">
        <f t="shared" si="7"/>
        <v>-3.593160437717438</v>
      </c>
    </row>
    <row r="50" spans="1:12">
      <c r="A50" s="48" t="s">
        <v>190</v>
      </c>
      <c r="B50" s="45"/>
      <c r="C50" s="41"/>
      <c r="D50" s="42"/>
      <c r="E50" s="45"/>
      <c r="F50" s="46"/>
      <c r="G50" s="45"/>
      <c r="H50" s="42"/>
      <c r="I50" s="45"/>
      <c r="J50" s="41"/>
      <c r="K50" s="41"/>
      <c r="L50" s="41"/>
    </row>
    <row r="51" spans="1:12">
      <c r="A51" s="45">
        <f>A49+1</f>
        <v>23</v>
      </c>
      <c r="B51" s="45">
        <v>92.6</v>
      </c>
      <c r="C51" s="41">
        <f t="shared" ref="C51:C73" si="18">(B51/$B$17)*$B$16</f>
        <v>0.25342090859332239</v>
      </c>
      <c r="D51" s="42">
        <f>D49+L49</f>
        <v>15.594452453045806</v>
      </c>
      <c r="E51" s="45">
        <v>23.9</v>
      </c>
      <c r="F51" s="46">
        <f>F49-C51</f>
        <v>25.828407224958948</v>
      </c>
      <c r="G51" s="45">
        <v>1.72</v>
      </c>
      <c r="H51" s="42">
        <f t="shared" si="5"/>
        <v>3.5684590585822114</v>
      </c>
      <c r="I51" s="45">
        <f t="shared" ref="I51:I73" si="19">IF(G51&gt;5,$B$9,IF(5&gt;=G51&gt;1.5,$B$10,IF(1.5&gt;G51,$B$11,0)))</f>
        <v>145</v>
      </c>
      <c r="J51" s="41">
        <f t="shared" ref="J51:J73" si="20">(1050*((F51/I51)^1.852)*(E51/100)*(G51^-4.87))/2.31</f>
        <v>0.31717791890851554</v>
      </c>
      <c r="K51" s="41">
        <f t="shared" ref="K51:K73" si="21">E51*$B$14</f>
        <v>0</v>
      </c>
      <c r="L51" s="41">
        <f t="shared" si="7"/>
        <v>-0.31717791890851554</v>
      </c>
    </row>
    <row r="52" spans="1:12">
      <c r="A52" s="45">
        <f t="shared" si="16"/>
        <v>24</v>
      </c>
      <c r="B52" s="45">
        <v>103.1</v>
      </c>
      <c r="C52" s="41">
        <f t="shared" si="18"/>
        <v>0.28215654077723046</v>
      </c>
      <c r="D52" s="42">
        <f t="shared" ref="D52:D73" si="22">D51+L51</f>
        <v>15.277274534137291</v>
      </c>
      <c r="E52" s="45">
        <v>7.9</v>
      </c>
      <c r="F52" s="46">
        <f t="shared" si="17"/>
        <v>25.546250684181718</v>
      </c>
      <c r="G52" s="85">
        <v>1.72</v>
      </c>
      <c r="H52" s="42">
        <f t="shared" si="5"/>
        <v>3.5294762419065568</v>
      </c>
      <c r="I52" s="45">
        <f t="shared" si="19"/>
        <v>145</v>
      </c>
      <c r="J52" s="41">
        <f t="shared" si="20"/>
        <v>0.10272999144254204</v>
      </c>
      <c r="K52" s="41">
        <f t="shared" si="21"/>
        <v>0</v>
      </c>
      <c r="L52" s="41">
        <f t="shared" si="7"/>
        <v>-0.10272999144254204</v>
      </c>
    </row>
    <row r="53" spans="1:12">
      <c r="A53" s="45">
        <f t="shared" si="8"/>
        <v>25</v>
      </c>
      <c r="B53" s="45">
        <v>113.6</v>
      </c>
      <c r="C53" s="41">
        <f t="shared" si="18"/>
        <v>0.31089217296113847</v>
      </c>
      <c r="D53" s="42">
        <f t="shared" si="22"/>
        <v>15.174544542694749</v>
      </c>
      <c r="E53" s="45">
        <v>7.9</v>
      </c>
      <c r="F53" s="46">
        <f t="shared" si="17"/>
        <v>25.235358511220578</v>
      </c>
      <c r="G53" s="85">
        <v>1.72</v>
      </c>
      <c r="H53" s="42">
        <f t="shared" si="5"/>
        <v>3.4865233032610243</v>
      </c>
      <c r="I53" s="45">
        <f t="shared" si="19"/>
        <v>145</v>
      </c>
      <c r="J53" s="41">
        <f t="shared" si="20"/>
        <v>0.10042662991213179</v>
      </c>
      <c r="K53" s="41">
        <f t="shared" si="21"/>
        <v>0</v>
      </c>
      <c r="L53" s="41">
        <f t="shared" si="7"/>
        <v>-0.10042662991213179</v>
      </c>
    </row>
    <row r="54" spans="1:12">
      <c r="A54" s="45">
        <f t="shared" si="8"/>
        <v>26</v>
      </c>
      <c r="B54" s="45">
        <v>124.1</v>
      </c>
      <c r="C54" s="41">
        <f t="shared" si="18"/>
        <v>0.33962780514504654</v>
      </c>
      <c r="D54" s="42">
        <f t="shared" si="22"/>
        <v>15.074117912782617</v>
      </c>
      <c r="E54" s="45">
        <v>7.9</v>
      </c>
      <c r="F54" s="46">
        <f t="shared" si="17"/>
        <v>24.895730706075533</v>
      </c>
      <c r="G54" s="85">
        <v>1.72</v>
      </c>
      <c r="H54" s="42">
        <f t="shared" si="5"/>
        <v>3.4396002426456151</v>
      </c>
      <c r="I54" s="45">
        <f t="shared" si="19"/>
        <v>145</v>
      </c>
      <c r="J54" s="41">
        <f t="shared" si="20"/>
        <v>9.7937859336948971E-2</v>
      </c>
      <c r="K54" s="41">
        <f t="shared" si="21"/>
        <v>0</v>
      </c>
      <c r="L54" s="41">
        <f t="shared" si="7"/>
        <v>-9.7937859336948971E-2</v>
      </c>
    </row>
    <row r="55" spans="1:12">
      <c r="A55" s="45">
        <f t="shared" si="8"/>
        <v>27</v>
      </c>
      <c r="B55" s="45">
        <v>134.6</v>
      </c>
      <c r="C55" s="41">
        <f t="shared" si="18"/>
        <v>0.3683634373289546</v>
      </c>
      <c r="D55" s="42">
        <f t="shared" si="22"/>
        <v>14.976180053445669</v>
      </c>
      <c r="E55" s="45">
        <v>7.9</v>
      </c>
      <c r="F55" s="46">
        <f t="shared" si="17"/>
        <v>24.527367268746577</v>
      </c>
      <c r="G55" s="85">
        <v>1.72</v>
      </c>
      <c r="H55" s="42">
        <f t="shared" si="5"/>
        <v>3.3887070600603275</v>
      </c>
      <c r="I55" s="45">
        <f t="shared" si="19"/>
        <v>145</v>
      </c>
      <c r="J55" s="41">
        <f t="shared" si="20"/>
        <v>9.5271030763468934E-2</v>
      </c>
      <c r="K55" s="41">
        <f t="shared" si="21"/>
        <v>0</v>
      </c>
      <c r="L55" s="41">
        <f t="shared" si="7"/>
        <v>-9.5271030763468934E-2</v>
      </c>
    </row>
    <row r="56" spans="1:12">
      <c r="A56" s="45">
        <f t="shared" si="8"/>
        <v>28</v>
      </c>
      <c r="B56" s="45">
        <v>145.1</v>
      </c>
      <c r="C56" s="41">
        <f t="shared" si="18"/>
        <v>0.39709906951286261</v>
      </c>
      <c r="D56" s="42">
        <f t="shared" si="22"/>
        <v>14.8809090226822</v>
      </c>
      <c r="E56" s="45">
        <v>7.9</v>
      </c>
      <c r="F56" s="46">
        <f t="shared" si="17"/>
        <v>24.130268199233715</v>
      </c>
      <c r="G56" s="85">
        <v>1.72</v>
      </c>
      <c r="H56" s="42">
        <f t="shared" si="5"/>
        <v>3.3338437555051628</v>
      </c>
      <c r="I56" s="45">
        <f t="shared" si="19"/>
        <v>145</v>
      </c>
      <c r="J56" s="41">
        <f t="shared" si="20"/>
        <v>9.2434146136791559E-2</v>
      </c>
      <c r="K56" s="41">
        <f t="shared" si="21"/>
        <v>0</v>
      </c>
      <c r="L56" s="41">
        <f t="shared" si="7"/>
        <v>-9.2434146136791559E-2</v>
      </c>
    </row>
    <row r="57" spans="1:12">
      <c r="A57" s="45">
        <f>A56+1</f>
        <v>29</v>
      </c>
      <c r="B57" s="45">
        <v>155.6</v>
      </c>
      <c r="C57" s="41">
        <f t="shared" si="18"/>
        <v>0.42583470169677068</v>
      </c>
      <c r="D57" s="42">
        <f t="shared" si="22"/>
        <v>14.788474876545408</v>
      </c>
      <c r="E57" s="45">
        <v>7.9</v>
      </c>
      <c r="F57" s="46">
        <f t="shared" si="17"/>
        <v>23.704433497536943</v>
      </c>
      <c r="G57" s="85">
        <v>1.72</v>
      </c>
      <c r="H57" s="42">
        <f t="shared" si="5"/>
        <v>3.27501032898012</v>
      </c>
      <c r="I57" s="45">
        <f t="shared" si="19"/>
        <v>145</v>
      </c>
      <c r="J57" s="41">
        <f t="shared" si="20"/>
        <v>8.9435866177788564E-2</v>
      </c>
      <c r="K57" s="41">
        <f t="shared" si="21"/>
        <v>0</v>
      </c>
      <c r="L57" s="41">
        <f t="shared" si="7"/>
        <v>-8.9435866177788564E-2</v>
      </c>
    </row>
    <row r="58" spans="1:12">
      <c r="A58" s="45">
        <f t="shared" ref="A58:A73" si="23">A57+1</f>
        <v>30</v>
      </c>
      <c r="B58" s="45">
        <v>166.1</v>
      </c>
      <c r="C58" s="41">
        <f t="shared" si="18"/>
        <v>0.45457033388067875</v>
      </c>
      <c r="D58" s="42">
        <f t="shared" si="22"/>
        <v>14.699039010367619</v>
      </c>
      <c r="E58" s="45">
        <v>7.9</v>
      </c>
      <c r="F58" s="46">
        <f t="shared" si="17"/>
        <v>23.249863163656265</v>
      </c>
      <c r="G58" s="85">
        <v>1.72</v>
      </c>
      <c r="H58" s="42">
        <f t="shared" si="5"/>
        <v>3.2122067804852001</v>
      </c>
      <c r="I58" s="45">
        <f t="shared" si="19"/>
        <v>145</v>
      </c>
      <c r="J58" s="41">
        <f t="shared" si="20"/>
        <v>8.6285519245073092E-2</v>
      </c>
      <c r="K58" s="41">
        <f t="shared" si="21"/>
        <v>0</v>
      </c>
      <c r="L58" s="41">
        <f t="shared" si="7"/>
        <v>-8.6285519245073092E-2</v>
      </c>
    </row>
    <row r="59" spans="1:12">
      <c r="A59" s="45">
        <f t="shared" si="23"/>
        <v>31</v>
      </c>
      <c r="B59" s="45">
        <v>176.6</v>
      </c>
      <c r="C59" s="41">
        <f t="shared" si="18"/>
        <v>0.4833059660645867</v>
      </c>
      <c r="D59" s="42">
        <f t="shared" si="22"/>
        <v>14.612753491122545</v>
      </c>
      <c r="E59" s="45">
        <v>7.9</v>
      </c>
      <c r="F59" s="46">
        <f t="shared" si="17"/>
        <v>22.766557197591677</v>
      </c>
      <c r="G59" s="85">
        <v>1.72</v>
      </c>
      <c r="H59" s="42">
        <f t="shared" si="5"/>
        <v>3.1454331100204027</v>
      </c>
      <c r="I59" s="45">
        <f t="shared" si="19"/>
        <v>145</v>
      </c>
      <c r="J59" s="41">
        <f t="shared" si="20"/>
        <v>8.2993111293402685E-2</v>
      </c>
      <c r="K59" s="41">
        <f t="shared" si="21"/>
        <v>0</v>
      </c>
      <c r="L59" s="41">
        <f t="shared" si="7"/>
        <v>-8.2993111293402685E-2</v>
      </c>
    </row>
    <row r="60" spans="1:12">
      <c r="A60" s="45">
        <f t="shared" si="23"/>
        <v>32</v>
      </c>
      <c r="B60" s="45">
        <v>187.1</v>
      </c>
      <c r="C60" s="41">
        <f t="shared" si="18"/>
        <v>0.51204159824849482</v>
      </c>
      <c r="D60" s="42">
        <f t="shared" si="22"/>
        <v>14.529760379829142</v>
      </c>
      <c r="E60" s="45">
        <v>7.9</v>
      </c>
      <c r="F60" s="46">
        <f t="shared" si="17"/>
        <v>22.254515599343183</v>
      </c>
      <c r="G60" s="85">
        <v>1.72</v>
      </c>
      <c r="H60" s="42">
        <f t="shared" si="5"/>
        <v>3.0746893175857277</v>
      </c>
      <c r="I60" s="45">
        <f t="shared" si="19"/>
        <v>145</v>
      </c>
      <c r="J60" s="41">
        <f t="shared" si="20"/>
        <v>7.9569337061484238E-2</v>
      </c>
      <c r="K60" s="41">
        <f t="shared" si="21"/>
        <v>0</v>
      </c>
      <c r="L60" s="41">
        <f t="shared" si="7"/>
        <v>-7.9569337061484238E-2</v>
      </c>
    </row>
    <row r="61" spans="1:12">
      <c r="A61" s="45">
        <f t="shared" si="23"/>
        <v>33</v>
      </c>
      <c r="B61" s="45">
        <v>197.6</v>
      </c>
      <c r="C61" s="41">
        <f t="shared" si="18"/>
        <v>0.54077723043240278</v>
      </c>
      <c r="D61" s="42">
        <f t="shared" si="22"/>
        <v>14.450191042767658</v>
      </c>
      <c r="E61" s="45">
        <v>7.9</v>
      </c>
      <c r="F61" s="46">
        <f t="shared" si="17"/>
        <v>21.713738368910779</v>
      </c>
      <c r="G61" s="85">
        <v>1.72</v>
      </c>
      <c r="H61" s="42">
        <f t="shared" si="5"/>
        <v>2.9999754031811752</v>
      </c>
      <c r="I61" s="45">
        <f t="shared" si="19"/>
        <v>145</v>
      </c>
      <c r="J61" s="41">
        <f t="shared" si="20"/>
        <v>7.6025592648247806E-2</v>
      </c>
      <c r="K61" s="41">
        <f t="shared" si="21"/>
        <v>0</v>
      </c>
      <c r="L61" s="41">
        <f t="shared" si="7"/>
        <v>-7.6025592648247806E-2</v>
      </c>
    </row>
    <row r="62" spans="1:12">
      <c r="A62" s="45">
        <f t="shared" si="23"/>
        <v>34</v>
      </c>
      <c r="B62" s="45">
        <v>208.1</v>
      </c>
      <c r="C62" s="41">
        <f t="shared" si="18"/>
        <v>0.56951286261631084</v>
      </c>
      <c r="D62" s="42">
        <f t="shared" si="22"/>
        <v>14.37416545011941</v>
      </c>
      <c r="E62" s="45">
        <v>7.9</v>
      </c>
      <c r="F62" s="46">
        <f t="shared" si="17"/>
        <v>21.144225506294468</v>
      </c>
      <c r="G62" s="85">
        <v>1.72</v>
      </c>
      <c r="H62" s="42">
        <f t="shared" si="5"/>
        <v>2.9212913668067455</v>
      </c>
      <c r="I62" s="45">
        <f t="shared" si="19"/>
        <v>145</v>
      </c>
      <c r="J62" s="41">
        <f t="shared" si="20"/>
        <v>7.2373989668845146E-2</v>
      </c>
      <c r="K62" s="41">
        <f t="shared" si="21"/>
        <v>0</v>
      </c>
      <c r="L62" s="41">
        <f t="shared" si="7"/>
        <v>-7.2373989668845146E-2</v>
      </c>
    </row>
    <row r="63" spans="1:12">
      <c r="A63" s="45">
        <f t="shared" si="23"/>
        <v>35</v>
      </c>
      <c r="B63" s="45">
        <v>218.6</v>
      </c>
      <c r="C63" s="41">
        <f t="shared" si="18"/>
        <v>0.59824849480021891</v>
      </c>
      <c r="D63" s="42">
        <f t="shared" si="22"/>
        <v>14.301791460450564</v>
      </c>
      <c r="E63" s="45">
        <v>7.9</v>
      </c>
      <c r="F63" s="46">
        <f t="shared" si="17"/>
        <v>20.545977011494248</v>
      </c>
      <c r="G63" s="85">
        <v>1.72</v>
      </c>
      <c r="H63" s="42">
        <f t="shared" si="5"/>
        <v>2.8386372084624378</v>
      </c>
      <c r="I63" s="45">
        <f t="shared" si="19"/>
        <v>145</v>
      </c>
      <c r="J63" s="41">
        <f t="shared" si="20"/>
        <v>6.8627371221700206E-2</v>
      </c>
      <c r="K63" s="41">
        <f t="shared" si="21"/>
        <v>0</v>
      </c>
      <c r="L63" s="41">
        <f t="shared" si="7"/>
        <v>-6.8627371221700206E-2</v>
      </c>
    </row>
    <row r="64" spans="1:12">
      <c r="A64" s="45">
        <f t="shared" si="23"/>
        <v>36</v>
      </c>
      <c r="B64" s="45">
        <v>229.2</v>
      </c>
      <c r="C64" s="41">
        <f t="shared" si="18"/>
        <v>0.62725779967159279</v>
      </c>
      <c r="D64" s="42">
        <f t="shared" si="22"/>
        <v>14.233164089228865</v>
      </c>
      <c r="E64" s="45">
        <v>7.9</v>
      </c>
      <c r="F64" s="46">
        <f t="shared" si="17"/>
        <v>19.918719211822655</v>
      </c>
      <c r="G64" s="85">
        <v>1.72</v>
      </c>
      <c r="H64" s="42">
        <f t="shared" si="5"/>
        <v>2.7519751174628246</v>
      </c>
      <c r="I64" s="45">
        <f t="shared" si="19"/>
        <v>145</v>
      </c>
      <c r="J64" s="41">
        <f t="shared" si="20"/>
        <v>6.4797681129122722E-2</v>
      </c>
      <c r="K64" s="41">
        <f t="shared" si="21"/>
        <v>0</v>
      </c>
      <c r="L64" s="41">
        <f t="shared" si="7"/>
        <v>-6.4797681129122722E-2</v>
      </c>
    </row>
    <row r="65" spans="1:12">
      <c r="A65" s="45">
        <f t="shared" si="23"/>
        <v>37</v>
      </c>
      <c r="B65" s="45">
        <v>853</v>
      </c>
      <c r="C65" s="41">
        <f t="shared" si="18"/>
        <v>2.3344280240831963</v>
      </c>
      <c r="D65" s="42">
        <f t="shared" si="22"/>
        <v>14.168366408099741</v>
      </c>
      <c r="E65" s="45">
        <v>7.9</v>
      </c>
      <c r="F65" s="46">
        <f t="shared" si="17"/>
        <v>17.58429118773946</v>
      </c>
      <c r="G65" s="85">
        <v>1.72</v>
      </c>
      <c r="H65" s="42">
        <f t="shared" si="5"/>
        <v>2.4294499707670596</v>
      </c>
      <c r="I65" s="45">
        <f t="shared" si="19"/>
        <v>145</v>
      </c>
      <c r="J65" s="41">
        <f t="shared" si="20"/>
        <v>5.1439718976857229E-2</v>
      </c>
      <c r="K65" s="41">
        <f t="shared" si="21"/>
        <v>0</v>
      </c>
      <c r="L65" s="41">
        <f t="shared" si="7"/>
        <v>-5.1439718976857229E-2</v>
      </c>
    </row>
    <row r="66" spans="1:12">
      <c r="A66" s="45">
        <f t="shared" si="23"/>
        <v>38</v>
      </c>
      <c r="B66" s="45">
        <v>849</v>
      </c>
      <c r="C66" s="41">
        <f t="shared" si="18"/>
        <v>2.3234811165845652</v>
      </c>
      <c r="D66" s="42">
        <f t="shared" si="22"/>
        <v>14.116926689122884</v>
      </c>
      <c r="E66" s="45">
        <v>7.9</v>
      </c>
      <c r="F66" s="46">
        <f t="shared" si="17"/>
        <v>15.260810071154895</v>
      </c>
      <c r="G66" s="85">
        <v>1.72</v>
      </c>
      <c r="H66" s="42">
        <f t="shared" si="5"/>
        <v>2.10843725148839</v>
      </c>
      <c r="I66" s="45">
        <f t="shared" si="19"/>
        <v>145</v>
      </c>
      <c r="J66" s="41">
        <f t="shared" si="20"/>
        <v>3.9565169050382938E-2</v>
      </c>
      <c r="K66" s="41">
        <f t="shared" si="21"/>
        <v>0</v>
      </c>
      <c r="L66" s="41">
        <f t="shared" si="7"/>
        <v>-3.9565169050382938E-2</v>
      </c>
    </row>
    <row r="67" spans="1:12">
      <c r="A67" s="45">
        <f t="shared" si="23"/>
        <v>39</v>
      </c>
      <c r="B67" s="45">
        <v>840.8</v>
      </c>
      <c r="C67" s="41">
        <f t="shared" si="18"/>
        <v>2.30103995621237</v>
      </c>
      <c r="D67" s="42">
        <f t="shared" si="22"/>
        <v>14.077361520072502</v>
      </c>
      <c r="E67" s="45">
        <v>7.9</v>
      </c>
      <c r="F67" s="46">
        <f t="shared" si="17"/>
        <v>12.959770114942526</v>
      </c>
      <c r="G67" s="85">
        <v>1.72</v>
      </c>
      <c r="H67" s="42">
        <f t="shared" si="5"/>
        <v>1.7905250084147684</v>
      </c>
      <c r="I67" s="45">
        <f t="shared" si="19"/>
        <v>145</v>
      </c>
      <c r="J67" s="41">
        <f t="shared" si="20"/>
        <v>2.9231932667335113E-2</v>
      </c>
      <c r="K67" s="41">
        <f t="shared" si="21"/>
        <v>0</v>
      </c>
      <c r="L67" s="41">
        <f t="shared" si="7"/>
        <v>-2.9231932667335113E-2</v>
      </c>
    </row>
    <row r="68" spans="1:12">
      <c r="A68" s="45">
        <f t="shared" si="23"/>
        <v>40</v>
      </c>
      <c r="B68" s="45">
        <v>825.6</v>
      </c>
      <c r="C68" s="41">
        <f t="shared" si="18"/>
        <v>2.2594417077175701</v>
      </c>
      <c r="D68" s="42">
        <f t="shared" si="22"/>
        <v>14.048129587405167</v>
      </c>
      <c r="E68" s="45">
        <v>7.6</v>
      </c>
      <c r="F68" s="46">
        <f t="shared" ref="F68:F73" si="24">F67-C68</f>
        <v>10.700328407224955</v>
      </c>
      <c r="G68" s="85">
        <v>1.72</v>
      </c>
      <c r="H68" s="42">
        <f t="shared" si="5"/>
        <v>1.4783599895261115</v>
      </c>
      <c r="I68" s="45">
        <f t="shared" si="19"/>
        <v>145</v>
      </c>
      <c r="J68" s="41">
        <f t="shared" si="20"/>
        <v>1.9722287117150936E-2</v>
      </c>
      <c r="K68" s="41">
        <f t="shared" si="21"/>
        <v>0</v>
      </c>
      <c r="L68" s="41">
        <f t="shared" ref="L68:L73" si="25">K68-J68</f>
        <v>-1.9722287117150936E-2</v>
      </c>
    </row>
    <row r="69" spans="1:12">
      <c r="A69" s="45">
        <f t="shared" si="23"/>
        <v>41</v>
      </c>
      <c r="B69" s="45">
        <v>810.4</v>
      </c>
      <c r="C69" s="41">
        <f t="shared" si="18"/>
        <v>2.2178434592227698</v>
      </c>
      <c r="D69" s="42">
        <f t="shared" si="22"/>
        <v>14.028407300288016</v>
      </c>
      <c r="E69" s="45">
        <v>7.8</v>
      </c>
      <c r="F69" s="46">
        <f t="shared" si="24"/>
        <v>8.4824849480021847</v>
      </c>
      <c r="G69" s="85">
        <v>1.72</v>
      </c>
      <c r="H69" s="42">
        <f t="shared" si="5"/>
        <v>1.1719421948224205</v>
      </c>
      <c r="I69" s="45">
        <f t="shared" si="19"/>
        <v>145</v>
      </c>
      <c r="J69" s="41">
        <f t="shared" si="20"/>
        <v>1.3164962372898586E-2</v>
      </c>
      <c r="K69" s="41">
        <f t="shared" si="21"/>
        <v>0</v>
      </c>
      <c r="L69" s="41">
        <f t="shared" si="25"/>
        <v>-1.3164962372898586E-2</v>
      </c>
    </row>
    <row r="70" spans="1:12">
      <c r="A70" s="45">
        <f t="shared" si="23"/>
        <v>42</v>
      </c>
      <c r="B70" s="45">
        <v>795.1</v>
      </c>
      <c r="C70" s="41">
        <f t="shared" si="18"/>
        <v>2.1759715380405034</v>
      </c>
      <c r="D70" s="42">
        <f t="shared" si="22"/>
        <v>14.015242337915117</v>
      </c>
      <c r="E70" s="45">
        <v>7.8</v>
      </c>
      <c r="F70" s="46">
        <f t="shared" si="24"/>
        <v>6.3065134099616813</v>
      </c>
      <c r="G70" s="85">
        <v>1.72</v>
      </c>
      <c r="H70" s="42">
        <f t="shared" si="5"/>
        <v>0.87130943498912261</v>
      </c>
      <c r="I70" s="45">
        <f t="shared" si="19"/>
        <v>145</v>
      </c>
      <c r="J70" s="41">
        <f t="shared" si="20"/>
        <v>7.6033445717235528E-3</v>
      </c>
      <c r="K70" s="41">
        <f t="shared" si="21"/>
        <v>0</v>
      </c>
      <c r="L70" s="41">
        <f t="shared" si="25"/>
        <v>-7.6033445717235528E-3</v>
      </c>
    </row>
    <row r="71" spans="1:12">
      <c r="A71" s="45">
        <f t="shared" si="23"/>
        <v>43</v>
      </c>
      <c r="B71" s="45">
        <v>779.8</v>
      </c>
      <c r="C71" s="41">
        <f t="shared" si="18"/>
        <v>2.1340996168582373</v>
      </c>
      <c r="D71" s="42">
        <f t="shared" si="22"/>
        <v>14.007638993343393</v>
      </c>
      <c r="E71" s="45">
        <v>7.8</v>
      </c>
      <c r="F71" s="46">
        <f t="shared" si="24"/>
        <v>4.172413793103444</v>
      </c>
      <c r="G71" s="85">
        <v>1.72</v>
      </c>
      <c r="H71" s="42">
        <f t="shared" si="5"/>
        <v>0.5764617100262176</v>
      </c>
      <c r="I71" s="45">
        <f t="shared" si="19"/>
        <v>145</v>
      </c>
      <c r="J71" s="41">
        <f t="shared" si="20"/>
        <v>3.5379546275554679E-3</v>
      </c>
      <c r="K71" s="41">
        <f t="shared" si="21"/>
        <v>0</v>
      </c>
      <c r="L71" s="41">
        <f t="shared" si="25"/>
        <v>-3.5379546275554679E-3</v>
      </c>
    </row>
    <row r="72" spans="1:12">
      <c r="A72" s="45">
        <f t="shared" si="23"/>
        <v>44</v>
      </c>
      <c r="B72" s="45">
        <v>764.6</v>
      </c>
      <c r="C72" s="41">
        <f t="shared" si="18"/>
        <v>2.0925013683634375</v>
      </c>
      <c r="D72" s="42">
        <f t="shared" si="22"/>
        <v>14.004101038715838</v>
      </c>
      <c r="E72" s="45">
        <v>7.8</v>
      </c>
      <c r="F72" s="46">
        <f t="shared" si="24"/>
        <v>2.0799124247400065</v>
      </c>
      <c r="G72" s="85">
        <v>1.72</v>
      </c>
      <c r="H72" s="42">
        <f t="shared" si="5"/>
        <v>0.28736120924827818</v>
      </c>
      <c r="I72" s="45">
        <f t="shared" si="19"/>
        <v>145</v>
      </c>
      <c r="J72" s="41">
        <f t="shared" si="20"/>
        <v>9.7457277829048614E-4</v>
      </c>
      <c r="K72" s="41">
        <f t="shared" si="21"/>
        <v>0</v>
      </c>
      <c r="L72" s="41">
        <f t="shared" si="25"/>
        <v>-9.7457277829048614E-4</v>
      </c>
    </row>
    <row r="73" spans="1:12">
      <c r="A73" s="45">
        <f t="shared" si="23"/>
        <v>45</v>
      </c>
      <c r="B73" s="45">
        <v>749.3</v>
      </c>
      <c r="C73" s="41">
        <f t="shared" si="18"/>
        <v>2.050629447181171</v>
      </c>
      <c r="D73" s="42">
        <f t="shared" si="22"/>
        <v>14.003126465937548</v>
      </c>
      <c r="E73" s="45">
        <v>7.8</v>
      </c>
      <c r="F73" s="46">
        <f t="shared" si="24"/>
        <v>2.9282977558835466E-2</v>
      </c>
      <c r="G73" s="85">
        <v>1.72</v>
      </c>
      <c r="H73" s="42">
        <f t="shared" si="5"/>
        <v>4.045743340731771E-3</v>
      </c>
      <c r="I73" s="45">
        <f t="shared" si="19"/>
        <v>145</v>
      </c>
      <c r="J73" s="41">
        <f t="shared" si="20"/>
        <v>3.6304984852727938E-7</v>
      </c>
      <c r="K73" s="41">
        <f t="shared" si="21"/>
        <v>0</v>
      </c>
      <c r="L73" s="41">
        <f t="shared" si="25"/>
        <v>-3.6304984852727938E-7</v>
      </c>
    </row>
    <row r="74" spans="1:12">
      <c r="A74" s="45"/>
      <c r="B74" s="45"/>
      <c r="C74" s="41"/>
      <c r="D74" s="42"/>
      <c r="E74" s="45"/>
      <c r="F74" s="46"/>
      <c r="G74" s="45"/>
      <c r="H74" s="45"/>
      <c r="I74" s="41"/>
      <c r="J74" s="41"/>
      <c r="K74" s="41"/>
    </row>
    <row r="75" spans="1:12">
      <c r="A75" s="51"/>
      <c r="B75" s="51"/>
      <c r="C75" s="57" t="s">
        <v>204</v>
      </c>
      <c r="D75" s="58">
        <f>MIN(D51:D73,D49,D40:D47,D26:D38)</f>
        <v>14.003126465937548</v>
      </c>
      <c r="E75" s="51" t="s">
        <v>199</v>
      </c>
      <c r="F75" s="46"/>
      <c r="G75" s="51"/>
      <c r="H75" s="51"/>
      <c r="I75" s="41"/>
      <c r="J75" s="41"/>
      <c r="K75" s="41"/>
    </row>
    <row r="76" spans="1:12">
      <c r="A76" s="51"/>
      <c r="B76" s="51"/>
      <c r="C76" s="57" t="s">
        <v>205</v>
      </c>
      <c r="D76" s="58">
        <f>MAX(D51:D73,D49,D40:D47,D26:D38)</f>
        <v>25</v>
      </c>
      <c r="E76" s="51" t="s">
        <v>199</v>
      </c>
      <c r="F76" s="46"/>
      <c r="G76" s="51"/>
      <c r="H76" s="51"/>
      <c r="I76" s="41"/>
      <c r="J76" s="41"/>
      <c r="K76" s="41"/>
    </row>
    <row r="77" spans="1:12">
      <c r="C77" s="48" t="s">
        <v>192</v>
      </c>
      <c r="D77" s="59">
        <f>AVERAGE(D40:D67,D25:D36)</f>
        <v>19.348365021551775</v>
      </c>
    </row>
    <row r="78" spans="1:12" ht="30">
      <c r="C78" s="44" t="s">
        <v>193</v>
      </c>
      <c r="D78" s="58">
        <f>SUM(C51:C73,C49,C40:C47,C26:C38)</f>
        <v>52.47071702244115</v>
      </c>
    </row>
    <row r="79" spans="1:12" ht="60">
      <c r="C79" s="24" t="s">
        <v>197</v>
      </c>
      <c r="D79" s="61">
        <f>SUM(E51:E73,E49,E40:E47,E26:E38)</f>
        <v>812.8999999999993</v>
      </c>
    </row>
  </sheetData>
  <printOptions headings="1" gridLines="1"/>
  <pageMargins left="1" right="0" top="1" bottom="0" header="0.5" footer="0"/>
  <pageSetup scale="80" firstPageNumber="36" orientation="portrait" useFirstPageNumber="1" r:id="rId1"/>
  <headerFooter>
    <oddHeader>&amp;R&amp;P</oddHeader>
  </headerFooter>
  <drawing r:id="rId2"/>
</worksheet>
</file>

<file path=xl/worksheets/sheet5.xml><?xml version="1.0" encoding="utf-8"?>
<worksheet xmlns="http://schemas.openxmlformats.org/spreadsheetml/2006/main" xmlns:r="http://schemas.openxmlformats.org/officeDocument/2006/relationships">
  <dimension ref="A1:L70"/>
  <sheetViews>
    <sheetView workbookViewId="0">
      <selection activeCell="G17" sqref="G17"/>
    </sheetView>
  </sheetViews>
  <sheetFormatPr defaultRowHeight="15"/>
  <sheetData>
    <row r="1" spans="1:3">
      <c r="A1" s="1" t="s">
        <v>87</v>
      </c>
    </row>
    <row r="3" spans="1:3">
      <c r="A3" s="1" t="s">
        <v>171</v>
      </c>
      <c r="C3" s="11"/>
    </row>
    <row r="4" spans="1:3">
      <c r="C4" s="11"/>
    </row>
    <row r="5" spans="1:3">
      <c r="B5">
        <v>150</v>
      </c>
      <c r="C5" t="s">
        <v>177</v>
      </c>
    </row>
    <row r="6" spans="1:3">
      <c r="B6">
        <v>145</v>
      </c>
      <c r="C6" t="s">
        <v>176</v>
      </c>
    </row>
    <row r="7" spans="1:3">
      <c r="B7">
        <v>140</v>
      </c>
      <c r="C7" t="s">
        <v>178</v>
      </c>
    </row>
    <row r="8" spans="1:3">
      <c r="B8">
        <v>10</v>
      </c>
      <c r="C8" t="s">
        <v>179</v>
      </c>
    </row>
    <row r="9" spans="1:3">
      <c r="B9">
        <v>352.3</v>
      </c>
      <c r="C9" t="s">
        <v>180</v>
      </c>
    </row>
    <row r="10" spans="1:3">
      <c r="B10" s="3">
        <f>B8/B9</f>
        <v>2.8384899233607718E-2</v>
      </c>
      <c r="C10" t="s">
        <v>181</v>
      </c>
    </row>
    <row r="11" spans="1:3">
      <c r="B11">
        <v>0.5</v>
      </c>
      <c r="C11" t="s">
        <v>69</v>
      </c>
    </row>
    <row r="12" spans="1:3">
      <c r="B12" s="21">
        <f>B11/60</f>
        <v>8.3333333333333332E-3</v>
      </c>
      <c r="C12" t="s">
        <v>185</v>
      </c>
    </row>
    <row r="13" spans="1:3">
      <c r="B13" s="21">
        <v>3.0449999999999999</v>
      </c>
      <c r="C13" t="s">
        <v>186</v>
      </c>
    </row>
    <row r="14" spans="1:3">
      <c r="B14" s="21"/>
    </row>
    <row r="15" spans="1:3">
      <c r="B15" s="21"/>
    </row>
    <row r="16" spans="1:3">
      <c r="B16" s="11" t="s">
        <v>330</v>
      </c>
    </row>
    <row r="17" spans="1:12">
      <c r="B17" s="11" t="s">
        <v>331</v>
      </c>
    </row>
    <row r="18" spans="1:12">
      <c r="B18" s="21"/>
    </row>
    <row r="20" spans="1:12">
      <c r="A20" s="1" t="s">
        <v>172</v>
      </c>
    </row>
    <row r="21" spans="1:12" ht="30">
      <c r="A21" s="27" t="s">
        <v>173</v>
      </c>
      <c r="B21" s="44" t="s">
        <v>183</v>
      </c>
      <c r="C21" s="24" t="s">
        <v>184</v>
      </c>
      <c r="D21" s="24" t="s">
        <v>182</v>
      </c>
      <c r="E21" s="27" t="s">
        <v>116</v>
      </c>
      <c r="F21" s="24" t="s">
        <v>123</v>
      </c>
      <c r="G21" s="26" t="s">
        <v>175</v>
      </c>
      <c r="H21" s="24" t="s">
        <v>200</v>
      </c>
      <c r="I21" s="26" t="s">
        <v>187</v>
      </c>
      <c r="J21" s="27" t="s">
        <v>119</v>
      </c>
      <c r="K21" s="24" t="s">
        <v>120</v>
      </c>
      <c r="L21" s="24" t="s">
        <v>121</v>
      </c>
    </row>
    <row r="22" spans="1:12">
      <c r="A22" s="40" t="s">
        <v>174</v>
      </c>
      <c r="B22" s="45">
        <v>0</v>
      </c>
      <c r="C22" s="43">
        <v>0</v>
      </c>
      <c r="D22" s="43">
        <v>25</v>
      </c>
      <c r="E22" s="45">
        <v>0</v>
      </c>
      <c r="F22" s="42">
        <v>49.5</v>
      </c>
      <c r="G22" s="45">
        <v>2.1930000000000001</v>
      </c>
      <c r="H22" s="42">
        <f>(F22/448.8)/(3.14*((G22/12)^2)/4)</f>
        <v>4.2069555434439332</v>
      </c>
      <c r="I22" s="45">
        <f>IF(G22&gt;5,$B$5,IF(5&gt;=G22&gt;1.5,$B$6,IF(1.5&gt;G22,$B$7,0)))</f>
        <v>145</v>
      </c>
      <c r="J22" s="46">
        <f t="shared" ref="J22:J40" si="0">(1050*((F22/I22)^1.852)*(E22/100)*(G22^-4.87))/2.31</f>
        <v>0</v>
      </c>
      <c r="K22" s="41">
        <f>E22*$B$10</f>
        <v>0</v>
      </c>
      <c r="L22" s="41">
        <f>K22-J22</f>
        <v>0</v>
      </c>
    </row>
    <row r="23" spans="1:12">
      <c r="A23" s="45">
        <v>1</v>
      </c>
      <c r="B23" s="45">
        <v>718.8</v>
      </c>
      <c r="C23" s="41">
        <f>(B23/$B$13)*$B$12</f>
        <v>1.9671592775041051</v>
      </c>
      <c r="D23" s="42">
        <f t="shared" ref="D23:D40" si="1">D22+L22</f>
        <v>25</v>
      </c>
      <c r="E23" s="45">
        <v>0.6</v>
      </c>
      <c r="F23" s="46">
        <f>F22-C23</f>
        <v>47.532840722495898</v>
      </c>
      <c r="G23" s="85">
        <v>2.1930000000000001</v>
      </c>
      <c r="H23" s="42">
        <f t="shared" ref="H23:H64" si="2">(F23/448.8)/(3.14*((G23/12)^2)/4)</f>
        <v>4.0397686418816496</v>
      </c>
      <c r="I23" s="45">
        <f t="shared" ref="I23:I64" si="3">IF(G23&gt;5,$B$5,IF(5&gt;=G23&gt;1.5,$B$6,IF(1.5&gt;G23,$B$7,0)))</f>
        <v>145</v>
      </c>
      <c r="J23" s="41">
        <f t="shared" si="0"/>
        <v>7.547608330272783E-3</v>
      </c>
      <c r="K23" s="41">
        <f t="shared" ref="K23:K63" si="4">E23*$B$10</f>
        <v>1.703093954016463E-2</v>
      </c>
      <c r="L23" s="41">
        <f>K23-J23</f>
        <v>9.4833312098918481E-3</v>
      </c>
    </row>
    <row r="24" spans="1:12">
      <c r="A24" s="45">
        <f>A23+1</f>
        <v>2</v>
      </c>
      <c r="B24" s="45">
        <v>703.5</v>
      </c>
      <c r="C24" s="41">
        <f t="shared" ref="C24:C64" si="5">(B24/$B$13)*$B$12</f>
        <v>1.9252873563218391</v>
      </c>
      <c r="D24" s="42">
        <f t="shared" si="1"/>
        <v>25.009483331209893</v>
      </c>
      <c r="E24" s="45">
        <v>7.8</v>
      </c>
      <c r="F24" s="46">
        <f t="shared" ref="F24:F32" si="6">F23-C24</f>
        <v>45.607553366174059</v>
      </c>
      <c r="G24" s="85">
        <v>2.1930000000000001</v>
      </c>
      <c r="H24" s="42">
        <f t="shared" si="2"/>
        <v>3.8761403930654743</v>
      </c>
      <c r="I24" s="45">
        <f t="shared" si="3"/>
        <v>145</v>
      </c>
      <c r="J24" s="41">
        <f t="shared" si="0"/>
        <v>9.0885866628702502E-2</v>
      </c>
      <c r="K24" s="41">
        <f t="shared" si="4"/>
        <v>0.22140221402214019</v>
      </c>
      <c r="L24" s="41">
        <f t="shared" ref="L24:L63" si="7">K24-J24</f>
        <v>0.1305163473934377</v>
      </c>
    </row>
    <row r="25" spans="1:12">
      <c r="A25" s="45">
        <f t="shared" ref="A25:A49" si="8">A24+1</f>
        <v>3</v>
      </c>
      <c r="B25" s="45">
        <v>688.3</v>
      </c>
      <c r="C25" s="41">
        <f t="shared" si="5"/>
        <v>1.8836891078270388</v>
      </c>
      <c r="D25" s="42">
        <f t="shared" si="1"/>
        <v>25.139999678603331</v>
      </c>
      <c r="E25" s="45">
        <v>7.8</v>
      </c>
      <c r="F25" s="46">
        <f t="shared" si="6"/>
        <v>43.723864258347021</v>
      </c>
      <c r="G25" s="85">
        <v>2.1930000000000001</v>
      </c>
      <c r="H25" s="42">
        <f t="shared" si="2"/>
        <v>3.7160475378271323</v>
      </c>
      <c r="I25" s="45">
        <f t="shared" si="3"/>
        <v>145</v>
      </c>
      <c r="J25" s="41">
        <f t="shared" si="0"/>
        <v>8.405643691089093E-2</v>
      </c>
      <c r="K25" s="41">
        <f t="shared" si="4"/>
        <v>0.22140221402214019</v>
      </c>
      <c r="L25" s="41">
        <f t="shared" si="7"/>
        <v>0.13734577711124926</v>
      </c>
    </row>
    <row r="26" spans="1:12">
      <c r="A26" s="45">
        <f>A25+1</f>
        <v>4</v>
      </c>
      <c r="B26" s="45">
        <v>673</v>
      </c>
      <c r="C26" s="41">
        <f t="shared" si="5"/>
        <v>1.8418171866447728</v>
      </c>
      <c r="D26" s="42">
        <f t="shared" si="1"/>
        <v>25.277345455714581</v>
      </c>
      <c r="E26" s="45">
        <v>7.8</v>
      </c>
      <c r="F26" s="46">
        <f>F25-C26</f>
        <v>41.882047071702246</v>
      </c>
      <c r="G26" s="85">
        <v>2.1930000000000001</v>
      </c>
      <c r="H26" s="42">
        <f t="shared" si="2"/>
        <v>3.5595133353348993</v>
      </c>
      <c r="I26" s="45">
        <f t="shared" si="3"/>
        <v>145</v>
      </c>
      <c r="J26" s="41">
        <f t="shared" si="0"/>
        <v>7.7616832832674551E-2</v>
      </c>
      <c r="K26" s="41">
        <f t="shared" si="4"/>
        <v>0.22140221402214019</v>
      </c>
      <c r="L26" s="41">
        <f t="shared" si="7"/>
        <v>0.14378538118946566</v>
      </c>
    </row>
    <row r="27" spans="1:12">
      <c r="A27" s="45">
        <f t="shared" si="8"/>
        <v>5</v>
      </c>
      <c r="B27" s="45">
        <v>657.7</v>
      </c>
      <c r="C27" s="41">
        <f t="shared" si="5"/>
        <v>1.799945265462507</v>
      </c>
      <c r="D27" s="42">
        <f t="shared" si="1"/>
        <v>25.421130836904048</v>
      </c>
      <c r="E27" s="45">
        <v>7.8</v>
      </c>
      <c r="F27" s="46">
        <f t="shared" si="6"/>
        <v>40.082101806239741</v>
      </c>
      <c r="G27" s="85">
        <v>2.1930000000000001</v>
      </c>
      <c r="H27" s="42">
        <f t="shared" si="2"/>
        <v>3.4065377855887751</v>
      </c>
      <c r="I27" s="45">
        <f t="shared" si="3"/>
        <v>145</v>
      </c>
      <c r="J27" s="41">
        <f t="shared" si="0"/>
        <v>7.155245628096521E-2</v>
      </c>
      <c r="K27" s="41">
        <f t="shared" si="4"/>
        <v>0.22140221402214019</v>
      </c>
      <c r="L27" s="41">
        <f t="shared" si="7"/>
        <v>0.14984975774117498</v>
      </c>
    </row>
    <row r="28" spans="1:12">
      <c r="A28" s="45">
        <f t="shared" si="8"/>
        <v>6</v>
      </c>
      <c r="B28" s="45">
        <v>642.5</v>
      </c>
      <c r="C28" s="41">
        <f t="shared" si="5"/>
        <v>1.7583470169677067</v>
      </c>
      <c r="D28" s="42">
        <f t="shared" si="1"/>
        <v>25.570980594645224</v>
      </c>
      <c r="E28" s="45">
        <v>7.8</v>
      </c>
      <c r="F28" s="46">
        <f t="shared" si="6"/>
        <v>38.323754789272037</v>
      </c>
      <c r="G28" s="85">
        <v>2.1930000000000001</v>
      </c>
      <c r="H28" s="42">
        <f t="shared" si="2"/>
        <v>3.2570976294204845</v>
      </c>
      <c r="I28" s="45">
        <f t="shared" si="3"/>
        <v>145</v>
      </c>
      <c r="J28" s="41">
        <f t="shared" si="0"/>
        <v>6.5848074355274996E-2</v>
      </c>
      <c r="K28" s="41">
        <f t="shared" si="4"/>
        <v>0.22140221402214019</v>
      </c>
      <c r="L28" s="41">
        <f t="shared" si="7"/>
        <v>0.15555413966686521</v>
      </c>
    </row>
    <row r="29" spans="1:12">
      <c r="A29" s="45">
        <f t="shared" si="8"/>
        <v>7</v>
      </c>
      <c r="B29" s="45">
        <v>627.20000000000005</v>
      </c>
      <c r="C29" s="41">
        <f t="shared" si="5"/>
        <v>1.7164750957854409</v>
      </c>
      <c r="D29" s="42">
        <f t="shared" si="1"/>
        <v>25.726534734312089</v>
      </c>
      <c r="E29" s="45">
        <v>7.8</v>
      </c>
      <c r="F29" s="46">
        <f t="shared" si="6"/>
        <v>36.607279693486596</v>
      </c>
      <c r="G29" s="85">
        <v>2.1930000000000001</v>
      </c>
      <c r="H29" s="42">
        <f t="shared" si="2"/>
        <v>3.1112161259983022</v>
      </c>
      <c r="I29" s="45">
        <f t="shared" si="3"/>
        <v>145</v>
      </c>
      <c r="J29" s="41">
        <f t="shared" si="0"/>
        <v>6.0490500322480677E-2</v>
      </c>
      <c r="K29" s="41">
        <f t="shared" si="4"/>
        <v>0.22140221402214019</v>
      </c>
      <c r="L29" s="41">
        <f t="shared" si="7"/>
        <v>0.16091171369965951</v>
      </c>
    </row>
    <row r="30" spans="1:12">
      <c r="A30" s="45">
        <f t="shared" si="8"/>
        <v>8</v>
      </c>
      <c r="B30" s="45">
        <v>611.9</v>
      </c>
      <c r="C30" s="41">
        <f t="shared" si="5"/>
        <v>1.6746031746031746</v>
      </c>
      <c r="D30" s="42">
        <f t="shared" si="1"/>
        <v>25.887446448011747</v>
      </c>
      <c r="E30" s="45">
        <v>7.8</v>
      </c>
      <c r="F30" s="46">
        <f t="shared" si="6"/>
        <v>34.932676518883419</v>
      </c>
      <c r="G30" s="85">
        <v>2.1930000000000001</v>
      </c>
      <c r="H30" s="42">
        <f t="shared" si="2"/>
        <v>2.968893275322229</v>
      </c>
      <c r="I30" s="45">
        <f t="shared" si="3"/>
        <v>145</v>
      </c>
      <c r="J30" s="41">
        <f t="shared" si="0"/>
        <v>5.5465847644914822E-2</v>
      </c>
      <c r="K30" s="41">
        <f t="shared" si="4"/>
        <v>0.22140221402214019</v>
      </c>
      <c r="L30" s="41">
        <f t="shared" si="7"/>
        <v>0.16593636637722536</v>
      </c>
    </row>
    <row r="31" spans="1:12">
      <c r="A31" s="45">
        <f t="shared" si="8"/>
        <v>9</v>
      </c>
      <c r="B31" s="45">
        <v>596.70000000000005</v>
      </c>
      <c r="C31" s="41">
        <f t="shared" si="5"/>
        <v>1.6330049261083746</v>
      </c>
      <c r="D31" s="42">
        <f t="shared" si="1"/>
        <v>26.053382814388971</v>
      </c>
      <c r="E31" s="45">
        <v>7.8</v>
      </c>
      <c r="F31" s="46">
        <f t="shared" si="6"/>
        <v>33.299671592775042</v>
      </c>
      <c r="G31" s="85">
        <v>2.1930000000000001</v>
      </c>
      <c r="H31" s="42">
        <f t="shared" si="2"/>
        <v>2.8301058182239887</v>
      </c>
      <c r="I31" s="45">
        <f t="shared" si="3"/>
        <v>145</v>
      </c>
      <c r="J31" s="41">
        <f t="shared" si="0"/>
        <v>5.0759698481674151E-2</v>
      </c>
      <c r="K31" s="41">
        <f t="shared" si="4"/>
        <v>0.22140221402214019</v>
      </c>
      <c r="L31" s="41">
        <f t="shared" si="7"/>
        <v>0.17064251554046606</v>
      </c>
    </row>
    <row r="32" spans="1:12">
      <c r="A32" s="45">
        <f t="shared" si="8"/>
        <v>10</v>
      </c>
      <c r="B32" s="45">
        <v>581.4</v>
      </c>
      <c r="C32" s="41">
        <f t="shared" si="5"/>
        <v>1.5911330049261083</v>
      </c>
      <c r="D32" s="42">
        <f t="shared" si="1"/>
        <v>26.224025329929436</v>
      </c>
      <c r="E32" s="45">
        <v>7.8</v>
      </c>
      <c r="F32" s="46">
        <f t="shared" si="6"/>
        <v>31.708538587848935</v>
      </c>
      <c r="G32" s="85">
        <v>2.1930000000000001</v>
      </c>
      <c r="H32" s="42">
        <f t="shared" si="2"/>
        <v>2.6948770138718574</v>
      </c>
      <c r="I32" s="45">
        <f t="shared" si="3"/>
        <v>145</v>
      </c>
      <c r="J32" s="41">
        <f t="shared" si="0"/>
        <v>4.6359486473665015E-2</v>
      </c>
      <c r="K32" s="41">
        <f t="shared" si="4"/>
        <v>0.22140221402214019</v>
      </c>
      <c r="L32" s="41">
        <f t="shared" si="7"/>
        <v>0.17504272754847516</v>
      </c>
    </row>
    <row r="33" spans="1:12">
      <c r="A33" s="45">
        <f t="shared" si="8"/>
        <v>11</v>
      </c>
      <c r="B33" s="45">
        <v>566.1</v>
      </c>
      <c r="C33" s="41">
        <f t="shared" si="5"/>
        <v>1.5492610837438425</v>
      </c>
      <c r="D33" s="42">
        <f t="shared" si="1"/>
        <v>26.399068057477912</v>
      </c>
      <c r="E33" s="45">
        <v>7.8</v>
      </c>
      <c r="F33" s="46">
        <f>F32-C33</f>
        <v>30.159277504105091</v>
      </c>
      <c r="G33" s="51">
        <v>1.72</v>
      </c>
      <c r="H33" s="42">
        <f t="shared" si="2"/>
        <v>4.1668131554708978</v>
      </c>
      <c r="I33" s="45">
        <f t="shared" si="3"/>
        <v>145</v>
      </c>
      <c r="J33" s="41">
        <f t="shared" si="0"/>
        <v>0.13793752012610419</v>
      </c>
      <c r="K33" s="41">
        <f t="shared" si="4"/>
        <v>0.22140221402214019</v>
      </c>
      <c r="L33" s="41">
        <f t="shared" si="7"/>
        <v>8.3464693896036002E-2</v>
      </c>
    </row>
    <row r="34" spans="1:12">
      <c r="A34" s="45">
        <f>A33+1</f>
        <v>12</v>
      </c>
      <c r="B34" s="45">
        <v>550.9</v>
      </c>
      <c r="C34" s="41">
        <f t="shared" si="5"/>
        <v>1.5076628352490422</v>
      </c>
      <c r="D34" s="42">
        <f t="shared" si="1"/>
        <v>26.482532751373949</v>
      </c>
      <c r="E34" s="45">
        <v>7.8</v>
      </c>
      <c r="F34" s="46">
        <f>F33-C34</f>
        <v>28.651614668856048</v>
      </c>
      <c r="G34" s="85">
        <v>1.72</v>
      </c>
      <c r="H34" s="42">
        <f t="shared" si="2"/>
        <v>3.9585140894513229</v>
      </c>
      <c r="I34" s="45">
        <f t="shared" si="3"/>
        <v>145</v>
      </c>
      <c r="J34" s="41">
        <f t="shared" si="0"/>
        <v>0.12543969279998984</v>
      </c>
      <c r="K34" s="41">
        <f t="shared" si="4"/>
        <v>0.22140221402214019</v>
      </c>
      <c r="L34" s="41">
        <f t="shared" si="7"/>
        <v>9.5962521222150349E-2</v>
      </c>
    </row>
    <row r="35" spans="1:12">
      <c r="A35" s="45">
        <f t="shared" si="8"/>
        <v>13</v>
      </c>
      <c r="B35" s="45">
        <v>535.6</v>
      </c>
      <c r="C35" s="41">
        <f t="shared" si="5"/>
        <v>1.4657909140667762</v>
      </c>
      <c r="D35" s="42">
        <f t="shared" si="1"/>
        <v>26.578495272596101</v>
      </c>
      <c r="E35" s="45">
        <v>7.8</v>
      </c>
      <c r="F35" s="46">
        <f>F34-C35</f>
        <v>27.185823754789272</v>
      </c>
      <c r="G35" s="85">
        <v>1.72</v>
      </c>
      <c r="H35" s="42">
        <f t="shared" si="2"/>
        <v>3.7560000583021411</v>
      </c>
      <c r="I35" s="45">
        <f t="shared" si="3"/>
        <v>145</v>
      </c>
      <c r="J35" s="41">
        <f t="shared" si="0"/>
        <v>0.11381438337938515</v>
      </c>
      <c r="K35" s="41">
        <f t="shared" si="4"/>
        <v>0.22140221402214019</v>
      </c>
      <c r="L35" s="41">
        <f t="shared" si="7"/>
        <v>0.10758783064275504</v>
      </c>
    </row>
    <row r="36" spans="1:12">
      <c r="A36" s="45">
        <f t="shared" si="8"/>
        <v>14</v>
      </c>
      <c r="B36" s="45">
        <v>520.29999999999995</v>
      </c>
      <c r="C36" s="41">
        <f t="shared" si="5"/>
        <v>1.42391899288451</v>
      </c>
      <c r="D36" s="42">
        <f t="shared" si="1"/>
        <v>26.686083103238854</v>
      </c>
      <c r="E36" s="45">
        <v>7.8</v>
      </c>
      <c r="F36" s="46">
        <f t="shared" ref="F36:F63" si="9">F35-C36</f>
        <v>25.761904761904763</v>
      </c>
      <c r="G36" s="85">
        <v>1.72</v>
      </c>
      <c r="H36" s="42">
        <f t="shared" si="2"/>
        <v>3.5592710620233525</v>
      </c>
      <c r="I36" s="45">
        <f t="shared" si="3"/>
        <v>145</v>
      </c>
      <c r="J36" s="41">
        <f t="shared" si="0"/>
        <v>0.10302106766849879</v>
      </c>
      <c r="K36" s="41">
        <f t="shared" si="4"/>
        <v>0.22140221402214019</v>
      </c>
      <c r="L36" s="41">
        <f t="shared" si="7"/>
        <v>0.1183811463536414</v>
      </c>
    </row>
    <row r="37" spans="1:12">
      <c r="A37" s="45">
        <f t="shared" si="8"/>
        <v>15</v>
      </c>
      <c r="B37" s="45">
        <v>509.4</v>
      </c>
      <c r="C37" s="41">
        <f t="shared" si="5"/>
        <v>1.3940886699507389</v>
      </c>
      <c r="D37" s="42">
        <f t="shared" si="1"/>
        <v>26.804464249592495</v>
      </c>
      <c r="E37" s="45">
        <v>7.8</v>
      </c>
      <c r="F37" s="46">
        <f t="shared" si="9"/>
        <v>24.367816091954023</v>
      </c>
      <c r="G37" s="85">
        <v>1.72</v>
      </c>
      <c r="H37" s="42">
        <f t="shared" si="2"/>
        <v>3.3666634304561507</v>
      </c>
      <c r="I37" s="45">
        <f t="shared" si="3"/>
        <v>145</v>
      </c>
      <c r="J37" s="41">
        <f t="shared" si="0"/>
        <v>9.2934978730338583E-2</v>
      </c>
      <c r="K37" s="41">
        <f t="shared" si="4"/>
        <v>0.22140221402214019</v>
      </c>
      <c r="L37" s="41">
        <f t="shared" si="7"/>
        <v>0.1284672352918016</v>
      </c>
    </row>
    <row r="38" spans="1:12">
      <c r="A38" s="45">
        <f t="shared" si="8"/>
        <v>16</v>
      </c>
      <c r="B38" s="45">
        <v>502.9</v>
      </c>
      <c r="C38" s="41">
        <f t="shared" si="5"/>
        <v>1.3762999452654625</v>
      </c>
      <c r="D38" s="42">
        <f t="shared" si="1"/>
        <v>26.932931484884296</v>
      </c>
      <c r="E38" s="45">
        <v>7.8</v>
      </c>
      <c r="F38" s="46">
        <f t="shared" si="9"/>
        <v>22.991516146688561</v>
      </c>
      <c r="G38" s="85">
        <v>1.72</v>
      </c>
      <c r="H38" s="42">
        <f t="shared" si="2"/>
        <v>3.1765134934417305</v>
      </c>
      <c r="I38" s="45">
        <f t="shared" si="3"/>
        <v>145</v>
      </c>
      <c r="J38" s="41">
        <f t="shared" si="0"/>
        <v>8.3448409055287456E-2</v>
      </c>
      <c r="K38" s="41">
        <f t="shared" si="4"/>
        <v>0.22140221402214019</v>
      </c>
      <c r="L38" s="41">
        <f t="shared" si="7"/>
        <v>0.13795380496685272</v>
      </c>
    </row>
    <row r="39" spans="1:12">
      <c r="A39" s="45">
        <f t="shared" si="8"/>
        <v>17</v>
      </c>
      <c r="B39" s="45">
        <v>496.3</v>
      </c>
      <c r="C39" s="41">
        <f t="shared" si="5"/>
        <v>1.3582375478927204</v>
      </c>
      <c r="D39" s="42">
        <f t="shared" si="1"/>
        <v>27.070885289851148</v>
      </c>
      <c r="E39" s="45">
        <v>7.8</v>
      </c>
      <c r="F39" s="46">
        <f t="shared" si="9"/>
        <v>21.63327859879584</v>
      </c>
      <c r="G39" s="85">
        <v>1.72</v>
      </c>
      <c r="H39" s="42">
        <f t="shared" si="2"/>
        <v>2.9888590616655186</v>
      </c>
      <c r="I39" s="45">
        <f t="shared" si="3"/>
        <v>145</v>
      </c>
      <c r="J39" s="41">
        <f t="shared" si="0"/>
        <v>7.4548931822252043E-2</v>
      </c>
      <c r="K39" s="41">
        <f t="shared" si="4"/>
        <v>0.22140221402214019</v>
      </c>
      <c r="L39" s="41">
        <f t="shared" si="7"/>
        <v>0.14685328219988814</v>
      </c>
    </row>
    <row r="40" spans="1:12">
      <c r="A40" s="45">
        <f t="shared" si="8"/>
        <v>18</v>
      </c>
      <c r="B40" s="45">
        <v>489.7</v>
      </c>
      <c r="C40" s="41">
        <f t="shared" si="5"/>
        <v>1.3401751505199782</v>
      </c>
      <c r="D40" s="42">
        <f t="shared" si="1"/>
        <v>27.217738572051037</v>
      </c>
      <c r="E40" s="45">
        <v>7.8</v>
      </c>
      <c r="F40" s="46">
        <f t="shared" si="9"/>
        <v>20.293103448275861</v>
      </c>
      <c r="G40" s="85">
        <v>1.72</v>
      </c>
      <c r="H40" s="42">
        <f t="shared" si="2"/>
        <v>2.8037001351275155</v>
      </c>
      <c r="I40" s="45">
        <f t="shared" si="3"/>
        <v>145</v>
      </c>
      <c r="J40" s="41">
        <f t="shared" si="0"/>
        <v>6.6222292378742276E-2</v>
      </c>
      <c r="K40" s="41">
        <f t="shared" si="4"/>
        <v>0.22140221402214019</v>
      </c>
      <c r="L40" s="41">
        <f t="shared" si="7"/>
        <v>0.15517992164339792</v>
      </c>
    </row>
    <row r="41" spans="1:12">
      <c r="A41" s="48" t="s">
        <v>188</v>
      </c>
      <c r="B41" s="45"/>
      <c r="C41" s="41"/>
      <c r="D41" s="42"/>
      <c r="E41" s="45"/>
      <c r="F41" s="46"/>
      <c r="G41" s="45"/>
      <c r="H41" s="42"/>
      <c r="I41" s="45"/>
      <c r="J41" s="41"/>
      <c r="K41" s="41"/>
      <c r="L41" s="41"/>
    </row>
    <row r="42" spans="1:12">
      <c r="A42" s="45">
        <f>A40+1</f>
        <v>19</v>
      </c>
      <c r="B42" s="45">
        <v>480.5</v>
      </c>
      <c r="C42" s="41">
        <f t="shared" si="5"/>
        <v>1.3149972632731253</v>
      </c>
      <c r="D42" s="42">
        <f>D40+L40</f>
        <v>27.372918493694435</v>
      </c>
      <c r="E42" s="45">
        <v>8</v>
      </c>
      <c r="F42" s="46">
        <f>F40-C42</f>
        <v>18.978106185002737</v>
      </c>
      <c r="G42" s="45">
        <v>1.72</v>
      </c>
      <c r="H42" s="42">
        <f t="shared" si="2"/>
        <v>2.6220197916488344</v>
      </c>
      <c r="I42" s="45">
        <f t="shared" si="3"/>
        <v>145</v>
      </c>
      <c r="J42" s="41">
        <f t="shared" ref="J42:J55" si="10">(1050*((F42/I42)^1.852)*(E42/100)*(G42^-4.87))/2.31</f>
        <v>5.9994929728095857E-2</v>
      </c>
      <c r="K42" s="41">
        <f t="shared" si="4"/>
        <v>0.22707919386886175</v>
      </c>
      <c r="L42" s="41">
        <f t="shared" si="7"/>
        <v>0.16708426414076588</v>
      </c>
    </row>
    <row r="43" spans="1:12">
      <c r="A43" s="45">
        <f t="shared" si="8"/>
        <v>20</v>
      </c>
      <c r="B43" s="45">
        <v>471.2</v>
      </c>
      <c r="C43" s="41">
        <f t="shared" si="5"/>
        <v>1.2895457033388067</v>
      </c>
      <c r="D43" s="42">
        <f t="shared" ref="D43:D55" si="11">D42+L42</f>
        <v>27.5400027578352</v>
      </c>
      <c r="E43" s="45">
        <v>8</v>
      </c>
      <c r="F43" s="46">
        <f t="shared" si="9"/>
        <v>17.688560481663931</v>
      </c>
      <c r="G43" s="85">
        <v>1.72</v>
      </c>
      <c r="H43" s="42">
        <f t="shared" si="2"/>
        <v>2.4438558419149015</v>
      </c>
      <c r="I43" s="45">
        <f t="shared" si="3"/>
        <v>145</v>
      </c>
      <c r="J43" s="41">
        <f t="shared" si="10"/>
        <v>5.2664349316855631E-2</v>
      </c>
      <c r="K43" s="41">
        <f t="shared" si="4"/>
        <v>0.22707919386886175</v>
      </c>
      <c r="L43" s="41">
        <f t="shared" si="7"/>
        <v>0.17441484455200612</v>
      </c>
    </row>
    <row r="44" spans="1:12">
      <c r="A44" s="45">
        <f>A43+1</f>
        <v>21</v>
      </c>
      <c r="B44" s="45">
        <v>462</v>
      </c>
      <c r="C44" s="41">
        <f t="shared" si="5"/>
        <v>1.264367816091954</v>
      </c>
      <c r="D44" s="42">
        <f t="shared" si="11"/>
        <v>27.714417602387208</v>
      </c>
      <c r="E44" s="45">
        <v>8</v>
      </c>
      <c r="F44" s="46">
        <f t="shared" si="9"/>
        <v>16.424192665571976</v>
      </c>
      <c r="G44" s="85">
        <v>1.72</v>
      </c>
      <c r="H44" s="42">
        <f t="shared" si="2"/>
        <v>2.2691704752402901</v>
      </c>
      <c r="I44" s="45">
        <f t="shared" si="3"/>
        <v>145</v>
      </c>
      <c r="J44" s="41">
        <f t="shared" si="10"/>
        <v>4.5905704300131654E-2</v>
      </c>
      <c r="K44" s="41">
        <f t="shared" si="4"/>
        <v>0.22707919386886175</v>
      </c>
      <c r="L44" s="41">
        <f t="shared" si="7"/>
        <v>0.18117348956873008</v>
      </c>
    </row>
    <row r="45" spans="1:12">
      <c r="A45" s="45">
        <f t="shared" si="8"/>
        <v>22</v>
      </c>
      <c r="B45" s="45">
        <v>452.7</v>
      </c>
      <c r="C45" s="41">
        <f t="shared" si="5"/>
        <v>1.2389162561576352</v>
      </c>
      <c r="D45" s="42">
        <f t="shared" si="11"/>
        <v>27.895591091955939</v>
      </c>
      <c r="E45" s="45">
        <v>8</v>
      </c>
      <c r="F45" s="46">
        <f t="shared" si="9"/>
        <v>15.185276409414341</v>
      </c>
      <c r="G45" s="85">
        <v>1.72</v>
      </c>
      <c r="H45" s="42">
        <f t="shared" si="2"/>
        <v>2.0980015023104275</v>
      </c>
      <c r="I45" s="45">
        <f t="shared" si="3"/>
        <v>145</v>
      </c>
      <c r="J45" s="41">
        <f t="shared" si="10"/>
        <v>3.9699503276711089E-2</v>
      </c>
      <c r="K45" s="41">
        <f t="shared" si="4"/>
        <v>0.22707919386886175</v>
      </c>
      <c r="L45" s="41">
        <f t="shared" si="7"/>
        <v>0.18737969059215065</v>
      </c>
    </row>
    <row r="46" spans="1:12">
      <c r="A46" s="45">
        <f t="shared" si="8"/>
        <v>23</v>
      </c>
      <c r="B46" s="45">
        <v>443.4</v>
      </c>
      <c r="C46" s="41">
        <f t="shared" si="5"/>
        <v>1.2134646962233169</v>
      </c>
      <c r="D46" s="42">
        <f t="shared" si="11"/>
        <v>28.082970782548092</v>
      </c>
      <c r="E46" s="45">
        <v>8</v>
      </c>
      <c r="F46" s="46">
        <f t="shared" si="9"/>
        <v>13.971811713191023</v>
      </c>
      <c r="G46" s="85">
        <v>1.72</v>
      </c>
      <c r="H46" s="42">
        <f t="shared" si="2"/>
        <v>1.9303489231253128</v>
      </c>
      <c r="I46" s="45">
        <f t="shared" si="3"/>
        <v>145</v>
      </c>
      <c r="J46" s="41">
        <f t="shared" si="10"/>
        <v>3.4025011066117668E-2</v>
      </c>
      <c r="K46" s="41">
        <f t="shared" si="4"/>
        <v>0.22707919386886175</v>
      </c>
      <c r="L46" s="41">
        <f t="shared" si="7"/>
        <v>0.19305418280274408</v>
      </c>
    </row>
    <row r="47" spans="1:12">
      <c r="A47" s="45">
        <f t="shared" si="8"/>
        <v>24</v>
      </c>
      <c r="B47" s="45">
        <v>434.1</v>
      </c>
      <c r="C47" s="41">
        <f t="shared" si="5"/>
        <v>1.1880131362889983</v>
      </c>
      <c r="D47" s="42">
        <f t="shared" si="11"/>
        <v>28.276024965350835</v>
      </c>
      <c r="E47" s="45">
        <v>8</v>
      </c>
      <c r="F47" s="46">
        <f t="shared" si="9"/>
        <v>12.783798576902026</v>
      </c>
      <c r="G47" s="85">
        <v>1.72</v>
      </c>
      <c r="H47" s="42">
        <f t="shared" si="2"/>
        <v>1.7662127376849472</v>
      </c>
      <c r="I47" s="45">
        <f t="shared" si="3"/>
        <v>145</v>
      </c>
      <c r="J47" s="41">
        <f t="shared" si="10"/>
        <v>2.8861865600326775E-2</v>
      </c>
      <c r="K47" s="41">
        <f t="shared" si="4"/>
        <v>0.22707919386886175</v>
      </c>
      <c r="L47" s="41">
        <f t="shared" si="7"/>
        <v>0.19821732826853497</v>
      </c>
    </row>
    <row r="48" spans="1:12">
      <c r="A48" s="45">
        <f t="shared" si="8"/>
        <v>25</v>
      </c>
      <c r="B48" s="45">
        <v>424.8</v>
      </c>
      <c r="C48" s="41">
        <f t="shared" si="5"/>
        <v>1.1625615763546799</v>
      </c>
      <c r="D48" s="42">
        <f t="shared" si="11"/>
        <v>28.474242293619369</v>
      </c>
      <c r="E48" s="45">
        <v>8</v>
      </c>
      <c r="F48" s="46">
        <f t="shared" si="9"/>
        <v>11.621237000547346</v>
      </c>
      <c r="G48" s="85">
        <v>1.72</v>
      </c>
      <c r="H48" s="42">
        <f t="shared" si="2"/>
        <v>1.6055929459893306</v>
      </c>
      <c r="I48" s="45">
        <f t="shared" si="3"/>
        <v>145</v>
      </c>
      <c r="J48" s="41">
        <f t="shared" si="10"/>
        <v>2.4190096279939122E-2</v>
      </c>
      <c r="K48" s="41">
        <f t="shared" si="4"/>
        <v>0.22707919386886175</v>
      </c>
      <c r="L48" s="41">
        <f t="shared" si="7"/>
        <v>0.20288909758892262</v>
      </c>
    </row>
    <row r="49" spans="1:12">
      <c r="A49" s="45">
        <f t="shared" si="8"/>
        <v>26</v>
      </c>
      <c r="B49" s="45">
        <v>415.6</v>
      </c>
      <c r="C49" s="41">
        <f t="shared" si="5"/>
        <v>1.1373836891078273</v>
      </c>
      <c r="D49" s="42">
        <f t="shared" si="11"/>
        <v>28.677131391208292</v>
      </c>
      <c r="E49" s="45">
        <v>8</v>
      </c>
      <c r="F49" s="46">
        <f t="shared" si="9"/>
        <v>10.483853311439519</v>
      </c>
      <c r="G49" s="85">
        <v>1.72</v>
      </c>
      <c r="H49" s="42">
        <f t="shared" si="2"/>
        <v>1.448451737353035</v>
      </c>
      <c r="I49" s="45">
        <f t="shared" si="3"/>
        <v>145</v>
      </c>
      <c r="J49" s="41">
        <f t="shared" si="10"/>
        <v>1.9989181095159889E-2</v>
      </c>
      <c r="K49" s="41">
        <f t="shared" si="4"/>
        <v>0.22707919386886175</v>
      </c>
      <c r="L49" s="41">
        <f t="shared" si="7"/>
        <v>0.20709001277370187</v>
      </c>
    </row>
    <row r="50" spans="1:12">
      <c r="A50" s="45">
        <f>A49+1</f>
        <v>27</v>
      </c>
      <c r="B50" s="45">
        <v>406.3</v>
      </c>
      <c r="C50" s="41">
        <f t="shared" si="5"/>
        <v>1.1119321291735085</v>
      </c>
      <c r="D50" s="42">
        <f t="shared" si="11"/>
        <v>28.884221403981993</v>
      </c>
      <c r="E50" s="45">
        <v>8</v>
      </c>
      <c r="F50" s="46">
        <f t="shared" si="9"/>
        <v>9.3719211822660107</v>
      </c>
      <c r="G50" s="85">
        <v>1.72</v>
      </c>
      <c r="H50" s="42">
        <f t="shared" si="2"/>
        <v>1.2948269224614879</v>
      </c>
      <c r="I50" s="45">
        <f t="shared" si="3"/>
        <v>145</v>
      </c>
      <c r="J50" s="41">
        <f t="shared" si="10"/>
        <v>1.6241152630748438E-2</v>
      </c>
      <c r="K50" s="41">
        <f t="shared" si="4"/>
        <v>0.22707919386886175</v>
      </c>
      <c r="L50" s="41">
        <f t="shared" si="7"/>
        <v>0.21083804123811331</v>
      </c>
    </row>
    <row r="51" spans="1:12">
      <c r="A51" s="45">
        <f t="shared" ref="A51:A63" si="12">A50+1</f>
        <v>28</v>
      </c>
      <c r="B51" s="45">
        <v>397</v>
      </c>
      <c r="C51" s="41">
        <f t="shared" si="5"/>
        <v>1.0864805692391899</v>
      </c>
      <c r="D51" s="42">
        <f t="shared" si="11"/>
        <v>29.095059445220105</v>
      </c>
      <c r="E51" s="45">
        <v>8</v>
      </c>
      <c r="F51" s="46">
        <f t="shared" si="9"/>
        <v>8.2854406130268217</v>
      </c>
      <c r="G51" s="85">
        <v>1.72</v>
      </c>
      <c r="H51" s="42">
        <f t="shared" si="2"/>
        <v>1.1447185013146899</v>
      </c>
      <c r="I51" s="45">
        <f t="shared" si="3"/>
        <v>145</v>
      </c>
      <c r="J51" s="41">
        <f t="shared" si="10"/>
        <v>1.2927386608588894E-2</v>
      </c>
      <c r="K51" s="41">
        <f t="shared" si="4"/>
        <v>0.22707919386886175</v>
      </c>
      <c r="L51" s="41">
        <f t="shared" si="7"/>
        <v>0.21415180726027286</v>
      </c>
    </row>
    <row r="52" spans="1:12">
      <c r="A52" s="45">
        <f t="shared" si="12"/>
        <v>29</v>
      </c>
      <c r="B52" s="45">
        <v>387.7</v>
      </c>
      <c r="C52" s="41">
        <f t="shared" si="5"/>
        <v>1.0610290093048713</v>
      </c>
      <c r="D52" s="42">
        <f t="shared" si="11"/>
        <v>29.309211252480377</v>
      </c>
      <c r="E52" s="45">
        <v>8</v>
      </c>
      <c r="F52" s="46">
        <f t="shared" si="9"/>
        <v>7.2244116037219506</v>
      </c>
      <c r="G52" s="85">
        <v>1.72</v>
      </c>
      <c r="H52" s="42">
        <f t="shared" si="2"/>
        <v>0.99812647391264031</v>
      </c>
      <c r="I52" s="45">
        <f t="shared" si="3"/>
        <v>145</v>
      </c>
      <c r="J52" s="41">
        <f t="shared" si="10"/>
        <v>1.0029803517817709E-2</v>
      </c>
      <c r="K52" s="41">
        <f t="shared" si="4"/>
        <v>0.22707919386886175</v>
      </c>
      <c r="L52" s="41">
        <f t="shared" si="7"/>
        <v>0.21704939035104404</v>
      </c>
    </row>
    <row r="53" spans="1:12">
      <c r="A53" s="45">
        <f t="shared" si="12"/>
        <v>30</v>
      </c>
      <c r="B53" s="45">
        <v>378.4</v>
      </c>
      <c r="C53" s="41">
        <f t="shared" si="5"/>
        <v>1.0355774493705527</v>
      </c>
      <c r="D53" s="42">
        <f t="shared" si="11"/>
        <v>29.526260642831421</v>
      </c>
      <c r="E53" s="45">
        <v>8</v>
      </c>
      <c r="F53" s="46">
        <f t="shared" si="9"/>
        <v>6.1888341543513974</v>
      </c>
      <c r="G53" s="85">
        <v>1.72</v>
      </c>
      <c r="H53" s="42">
        <f t="shared" si="2"/>
        <v>0.85505084025533928</v>
      </c>
      <c r="I53" s="45">
        <f t="shared" si="3"/>
        <v>145</v>
      </c>
      <c r="J53" s="41">
        <f t="shared" si="10"/>
        <v>7.5309507972919423E-3</v>
      </c>
      <c r="K53" s="41">
        <f t="shared" si="4"/>
        <v>0.22707919386886175</v>
      </c>
      <c r="L53" s="41">
        <f t="shared" si="7"/>
        <v>0.21954824307156981</v>
      </c>
    </row>
    <row r="54" spans="1:12">
      <c r="A54" s="45">
        <f t="shared" si="12"/>
        <v>31</v>
      </c>
      <c r="B54" s="45">
        <v>369.2</v>
      </c>
      <c r="C54" s="41">
        <f t="shared" si="5"/>
        <v>1.0103995621237001</v>
      </c>
      <c r="D54" s="42">
        <f t="shared" si="11"/>
        <v>29.745808885902992</v>
      </c>
      <c r="E54" s="45">
        <v>8</v>
      </c>
      <c r="F54" s="46">
        <f t="shared" si="9"/>
        <v>5.1784345922276973</v>
      </c>
      <c r="G54" s="85">
        <v>1.72</v>
      </c>
      <c r="H54" s="42">
        <f t="shared" si="2"/>
        <v>0.71545378965735962</v>
      </c>
      <c r="I54" s="45">
        <f t="shared" si="3"/>
        <v>145</v>
      </c>
      <c r="J54" s="41">
        <f t="shared" si="10"/>
        <v>5.4135959998600474E-3</v>
      </c>
      <c r="K54" s="41">
        <f t="shared" si="4"/>
        <v>0.22707919386886175</v>
      </c>
      <c r="L54" s="41">
        <f t="shared" si="7"/>
        <v>0.2216655978690017</v>
      </c>
    </row>
    <row r="55" spans="1:12">
      <c r="A55" s="45">
        <f t="shared" si="12"/>
        <v>32</v>
      </c>
      <c r="B55" s="45">
        <v>359.9</v>
      </c>
      <c r="C55" s="41">
        <f t="shared" si="5"/>
        <v>0.98494800218938139</v>
      </c>
      <c r="D55" s="42">
        <f t="shared" si="11"/>
        <v>29.967474483771994</v>
      </c>
      <c r="E55" s="45">
        <v>8</v>
      </c>
      <c r="F55" s="46">
        <f t="shared" si="9"/>
        <v>4.193486590038316</v>
      </c>
      <c r="G55" s="85">
        <v>1.72</v>
      </c>
      <c r="H55" s="42">
        <f t="shared" si="2"/>
        <v>0.57937313280412872</v>
      </c>
      <c r="I55" s="45">
        <f t="shared" si="3"/>
        <v>145</v>
      </c>
      <c r="J55" s="41">
        <f t="shared" si="10"/>
        <v>3.6626853254300724E-3</v>
      </c>
      <c r="K55" s="41">
        <f t="shared" si="4"/>
        <v>0.22707919386886175</v>
      </c>
      <c r="L55" s="41">
        <f t="shared" si="7"/>
        <v>0.22341650854343167</v>
      </c>
    </row>
    <row r="56" spans="1:12">
      <c r="A56" s="48" t="s">
        <v>189</v>
      </c>
      <c r="B56" s="45"/>
      <c r="C56" s="41"/>
      <c r="D56" s="42"/>
      <c r="E56" s="45"/>
      <c r="F56" s="46"/>
      <c r="G56" s="45"/>
      <c r="H56" s="42"/>
      <c r="I56" s="45"/>
      <c r="J56" s="41"/>
      <c r="K56" s="41"/>
      <c r="L56" s="41"/>
    </row>
    <row r="57" spans="1:12">
      <c r="A57" s="45">
        <f>A55+1</f>
        <v>33</v>
      </c>
      <c r="B57" s="45">
        <v>340.9</v>
      </c>
      <c r="C57" s="41">
        <f t="shared" si="5"/>
        <v>0.93295019157088122</v>
      </c>
      <c r="D57" s="42">
        <f>D55+L55</f>
        <v>30.190890992315428</v>
      </c>
      <c r="E57" s="45">
        <v>11.7</v>
      </c>
      <c r="F57" s="46">
        <f>F55-C57</f>
        <v>3.2605363984674347</v>
      </c>
      <c r="G57" s="45">
        <v>1.72</v>
      </c>
      <c r="H57" s="42">
        <f t="shared" si="2"/>
        <v>0.45047650618210466</v>
      </c>
      <c r="I57" s="45">
        <f t="shared" si="3"/>
        <v>145</v>
      </c>
      <c r="J57" s="41">
        <f t="shared" ref="J57:J64" si="13">(1050*((F57/I57)^1.852)*(E57/100)*(G57^-4.87))/2.31</f>
        <v>3.3612238001281881E-3</v>
      </c>
      <c r="K57" s="41">
        <f t="shared" si="4"/>
        <v>0.33210332103321027</v>
      </c>
      <c r="L57" s="41">
        <f t="shared" si="7"/>
        <v>0.32874209723308206</v>
      </c>
    </row>
    <row r="58" spans="1:12">
      <c r="A58" s="45">
        <f t="shared" si="12"/>
        <v>34</v>
      </c>
      <c r="B58" s="45">
        <v>297.7</v>
      </c>
      <c r="C58" s="41">
        <f t="shared" si="5"/>
        <v>0.81472359058565957</v>
      </c>
      <c r="D58" s="42">
        <f t="shared" ref="D58:D64" si="14">D57+L57</f>
        <v>30.51963308954851</v>
      </c>
      <c r="E58" s="45">
        <v>16.3</v>
      </c>
      <c r="F58" s="46">
        <f t="shared" si="9"/>
        <v>2.4458128078817749</v>
      </c>
      <c r="G58" s="85">
        <v>1.72</v>
      </c>
      <c r="H58" s="42">
        <f t="shared" si="2"/>
        <v>0.33791409566471958</v>
      </c>
      <c r="I58" s="45">
        <f t="shared" si="3"/>
        <v>145</v>
      </c>
      <c r="J58" s="41">
        <f t="shared" si="13"/>
        <v>2.7494614891387672E-3</v>
      </c>
      <c r="K58" s="41">
        <f t="shared" si="4"/>
        <v>0.46267385750780582</v>
      </c>
      <c r="L58" s="41">
        <f t="shared" si="7"/>
        <v>0.45992439601866703</v>
      </c>
    </row>
    <row r="59" spans="1:12">
      <c r="A59" s="45">
        <f t="shared" si="12"/>
        <v>35</v>
      </c>
      <c r="B59" s="45">
        <v>254.5</v>
      </c>
      <c r="C59" s="41">
        <f t="shared" si="5"/>
        <v>0.69649698960043782</v>
      </c>
      <c r="D59" s="42">
        <f t="shared" si="14"/>
        <v>30.979557485567177</v>
      </c>
      <c r="E59" s="45">
        <v>16.3</v>
      </c>
      <c r="F59" s="46">
        <f t="shared" si="9"/>
        <v>1.7493158182813371</v>
      </c>
      <c r="G59" s="85">
        <v>1.72</v>
      </c>
      <c r="H59" s="42">
        <f t="shared" si="2"/>
        <v>0.24168590125197364</v>
      </c>
      <c r="I59" s="45">
        <f t="shared" si="3"/>
        <v>145</v>
      </c>
      <c r="J59" s="41">
        <f t="shared" si="13"/>
        <v>1.4780182498023802E-3</v>
      </c>
      <c r="K59" s="41">
        <f t="shared" si="4"/>
        <v>0.46267385750780582</v>
      </c>
      <c r="L59" s="41">
        <f t="shared" si="7"/>
        <v>0.46119583925800345</v>
      </c>
    </row>
    <row r="60" spans="1:12">
      <c r="A60" s="45">
        <f t="shared" si="12"/>
        <v>36</v>
      </c>
      <c r="B60" s="45">
        <v>211.3</v>
      </c>
      <c r="C60" s="41">
        <f t="shared" si="5"/>
        <v>0.57827038861521629</v>
      </c>
      <c r="D60" s="42">
        <f t="shared" si="14"/>
        <v>31.440753324825181</v>
      </c>
      <c r="E60" s="45">
        <v>16.3</v>
      </c>
      <c r="F60" s="46">
        <f t="shared" si="9"/>
        <v>1.1710454296661208</v>
      </c>
      <c r="G60" s="85">
        <v>1.72</v>
      </c>
      <c r="H60" s="42">
        <f t="shared" si="2"/>
        <v>0.16179192294386663</v>
      </c>
      <c r="I60" s="45">
        <f t="shared" si="3"/>
        <v>145</v>
      </c>
      <c r="J60" s="41">
        <f t="shared" si="13"/>
        <v>7.0288847094413485E-4</v>
      </c>
      <c r="K60" s="41">
        <f t="shared" si="4"/>
        <v>0.46267385750780582</v>
      </c>
      <c r="L60" s="41">
        <f t="shared" si="7"/>
        <v>0.46197096903686169</v>
      </c>
    </row>
    <row r="61" spans="1:12">
      <c r="A61" s="45">
        <f t="shared" si="12"/>
        <v>37</v>
      </c>
      <c r="B61" s="45">
        <v>168.2</v>
      </c>
      <c r="C61" s="41">
        <f t="shared" si="5"/>
        <v>0.46031746031746029</v>
      </c>
      <c r="D61" s="42">
        <f t="shared" si="14"/>
        <v>31.902724293862043</v>
      </c>
      <c r="E61" s="45">
        <v>16.3</v>
      </c>
      <c r="F61" s="46">
        <f t="shared" si="9"/>
        <v>0.71072796934866056</v>
      </c>
      <c r="G61" s="85">
        <v>1.72</v>
      </c>
      <c r="H61" s="42">
        <f t="shared" si="2"/>
        <v>9.8194350054971263E-2</v>
      </c>
      <c r="I61" s="45">
        <f t="shared" si="3"/>
        <v>145</v>
      </c>
      <c r="J61" s="41">
        <f t="shared" si="13"/>
        <v>2.78767766848056E-4</v>
      </c>
      <c r="K61" s="41">
        <f t="shared" si="4"/>
        <v>0.46267385750780582</v>
      </c>
      <c r="L61" s="41">
        <f t="shared" si="7"/>
        <v>0.46239508974095778</v>
      </c>
    </row>
    <row r="62" spans="1:12">
      <c r="A62" s="45">
        <f t="shared" si="12"/>
        <v>38</v>
      </c>
      <c r="B62" s="45">
        <v>125</v>
      </c>
      <c r="C62" s="41">
        <f t="shared" si="5"/>
        <v>0.34209085933223865</v>
      </c>
      <c r="D62" s="42">
        <f t="shared" si="14"/>
        <v>32.365119383603002</v>
      </c>
      <c r="E62" s="45">
        <v>16.3</v>
      </c>
      <c r="F62" s="46">
        <f t="shared" si="9"/>
        <v>0.36863711001642191</v>
      </c>
      <c r="G62" s="85">
        <v>1.72</v>
      </c>
      <c r="H62" s="42">
        <f t="shared" si="2"/>
        <v>5.0930993270714889E-2</v>
      </c>
      <c r="I62" s="45">
        <f t="shared" si="3"/>
        <v>145</v>
      </c>
      <c r="J62" s="41">
        <f t="shared" si="13"/>
        <v>8.2647418447751042E-5</v>
      </c>
      <c r="K62" s="41">
        <f t="shared" si="4"/>
        <v>0.46267385750780582</v>
      </c>
      <c r="L62" s="41">
        <f t="shared" si="7"/>
        <v>0.46259121008935805</v>
      </c>
    </row>
    <row r="63" spans="1:12">
      <c r="A63" s="45">
        <f t="shared" si="12"/>
        <v>39</v>
      </c>
      <c r="B63" s="45">
        <v>81.8</v>
      </c>
      <c r="C63" s="41">
        <f t="shared" si="5"/>
        <v>0.22386425834701695</v>
      </c>
      <c r="D63" s="42">
        <f t="shared" si="14"/>
        <v>32.827710593692359</v>
      </c>
      <c r="E63" s="45">
        <v>16.3</v>
      </c>
      <c r="F63" s="46">
        <f t="shared" si="9"/>
        <v>0.14477285166940496</v>
      </c>
      <c r="G63" s="85">
        <v>1.72</v>
      </c>
      <c r="H63" s="42">
        <f t="shared" si="2"/>
        <v>2.0001852591097519E-2</v>
      </c>
      <c r="I63" s="45">
        <f t="shared" si="3"/>
        <v>145</v>
      </c>
      <c r="J63" s="41">
        <f t="shared" si="13"/>
        <v>1.4637955075136728E-5</v>
      </c>
      <c r="K63" s="41">
        <f t="shared" si="4"/>
        <v>0.46267385750780582</v>
      </c>
      <c r="L63" s="41">
        <f t="shared" si="7"/>
        <v>0.4626592195527307</v>
      </c>
    </row>
    <row r="64" spans="1:12">
      <c r="A64" s="45">
        <f t="shared" ref="A64" si="15">A63+1</f>
        <v>40</v>
      </c>
      <c r="B64" s="45">
        <v>38.6</v>
      </c>
      <c r="C64" s="41">
        <f t="shared" si="5"/>
        <v>0.1056376573617953</v>
      </c>
      <c r="D64" s="42">
        <f t="shared" si="14"/>
        <v>33.290369813245093</v>
      </c>
      <c r="E64" s="45">
        <v>16.3</v>
      </c>
      <c r="F64" s="46">
        <f t="shared" ref="F64" si="16">F63-C64</f>
        <v>3.9135194307609658E-2</v>
      </c>
      <c r="G64" s="51">
        <v>1.548</v>
      </c>
      <c r="H64" s="42">
        <f t="shared" si="2"/>
        <v>6.6752197729865997E-3</v>
      </c>
      <c r="I64" s="45">
        <f t="shared" si="3"/>
        <v>145</v>
      </c>
      <c r="J64" s="41">
        <f t="shared" si="13"/>
        <v>2.1685119799482369E-6</v>
      </c>
      <c r="K64" s="41">
        <f t="shared" ref="K64" si="17">E64*$B$10</f>
        <v>0.46267385750780582</v>
      </c>
      <c r="L64" s="41">
        <f t="shared" ref="L64" si="18">K64-J64</f>
        <v>0.46267168899582589</v>
      </c>
    </row>
    <row r="65" spans="1:11">
      <c r="A65" s="45"/>
      <c r="B65" s="45"/>
      <c r="C65" s="41"/>
      <c r="D65" s="42"/>
      <c r="E65" s="45"/>
      <c r="F65" s="46"/>
      <c r="G65" s="45"/>
      <c r="H65" s="45"/>
      <c r="I65" s="41"/>
      <c r="J65" s="41"/>
      <c r="K65" s="41"/>
    </row>
    <row r="66" spans="1:11">
      <c r="A66" s="51"/>
      <c r="B66" s="51"/>
      <c r="C66" s="57" t="s">
        <v>204</v>
      </c>
      <c r="D66" s="62">
        <f>MIN(D57:D64,D42:D55,D23:D40)</f>
        <v>25</v>
      </c>
      <c r="E66" s="51" t="s">
        <v>199</v>
      </c>
      <c r="F66" s="46"/>
      <c r="G66" s="51"/>
      <c r="H66" s="51"/>
      <c r="I66" s="41"/>
      <c r="J66" s="41"/>
      <c r="K66" s="41"/>
    </row>
    <row r="67" spans="1:11">
      <c r="A67" s="51"/>
      <c r="B67" s="51"/>
      <c r="C67" s="57" t="s">
        <v>205</v>
      </c>
      <c r="D67" s="62">
        <f>MAX(D57:D64,D42:D55,D23:D40)</f>
        <v>33.290369813245093</v>
      </c>
      <c r="E67" s="51" t="s">
        <v>199</v>
      </c>
      <c r="F67" s="46"/>
      <c r="G67" s="51"/>
      <c r="H67" s="51"/>
      <c r="I67" s="41"/>
      <c r="J67" s="41"/>
      <c r="K67" s="41"/>
    </row>
    <row r="68" spans="1:11" ht="30">
      <c r="C68" s="44" t="s">
        <v>194</v>
      </c>
      <c r="D68" s="63">
        <f>AVERAGE(D57:D64,D42:D55,D22:D40)</f>
        <v>28.013673718883705</v>
      </c>
    </row>
    <row r="69" spans="1:11" ht="30">
      <c r="C69" s="24" t="s">
        <v>193</v>
      </c>
      <c r="D69" s="62">
        <f>SUM(C57:C64,C42:C55,C23:C40)</f>
        <v>49.460864805692395</v>
      </c>
    </row>
    <row r="70" spans="1:11" ht="60">
      <c r="C70" s="26" t="s">
        <v>195</v>
      </c>
      <c r="D70" s="64">
        <f>SUM(E57:E64,E42:E55,E23:E40)</f>
        <v>371.00000000000017</v>
      </c>
    </row>
  </sheetData>
  <printOptions headings="1" gridLines="1"/>
  <pageMargins left="1" right="0" top="1" bottom="0" header="0.5" footer="0"/>
  <pageSetup scale="80" firstPageNumber="38" orientation="portrait" useFirstPageNumber="1" r:id="rId1"/>
  <headerFooter>
    <oddHeader>&amp;R&amp;P</oddHeader>
  </headerFooter>
  <drawing r:id="rId2"/>
</worksheet>
</file>

<file path=xl/worksheets/sheet6.xml><?xml version="1.0" encoding="utf-8"?>
<worksheet xmlns="http://schemas.openxmlformats.org/spreadsheetml/2006/main" xmlns:r="http://schemas.openxmlformats.org/officeDocument/2006/relationships">
  <dimension ref="A1:L173"/>
  <sheetViews>
    <sheetView zoomScaleNormal="100" workbookViewId="0">
      <selection activeCell="G11" sqref="G11"/>
    </sheetView>
  </sheetViews>
  <sheetFormatPr defaultRowHeight="15"/>
  <sheetData>
    <row r="1" spans="1:3">
      <c r="A1" s="1" t="s">
        <v>88</v>
      </c>
    </row>
    <row r="3" spans="1:3">
      <c r="A3" s="1" t="s">
        <v>171</v>
      </c>
    </row>
    <row r="4" spans="1:3">
      <c r="C4" s="11"/>
    </row>
    <row r="5" spans="1:3">
      <c r="B5">
        <v>150</v>
      </c>
      <c r="C5" t="s">
        <v>177</v>
      </c>
    </row>
    <row r="6" spans="1:3">
      <c r="B6">
        <v>145</v>
      </c>
      <c r="C6" t="s">
        <v>176</v>
      </c>
    </row>
    <row r="7" spans="1:3">
      <c r="B7">
        <v>140</v>
      </c>
      <c r="C7" t="s">
        <v>178</v>
      </c>
    </row>
    <row r="8" spans="1:3">
      <c r="B8">
        <v>10</v>
      </c>
      <c r="C8" t="s">
        <v>179</v>
      </c>
    </row>
    <row r="9" spans="1:3">
      <c r="B9">
        <v>670.3</v>
      </c>
      <c r="C9" t="s">
        <v>180</v>
      </c>
    </row>
    <row r="10" spans="1:3">
      <c r="B10" s="3">
        <f>B8/B9</f>
        <v>1.4918693122482472E-2</v>
      </c>
      <c r="C10" t="s">
        <v>181</v>
      </c>
    </row>
    <row r="11" spans="1:3">
      <c r="B11">
        <v>0.5</v>
      </c>
      <c r="C11" t="s">
        <v>69</v>
      </c>
    </row>
    <row r="12" spans="1:3">
      <c r="B12" s="21">
        <f>B11/60</f>
        <v>8.3333333333333332E-3</v>
      </c>
      <c r="C12" t="s">
        <v>185</v>
      </c>
    </row>
    <row r="13" spans="1:3">
      <c r="B13" s="21">
        <v>3.0449999999999999</v>
      </c>
      <c r="C13" t="s">
        <v>186</v>
      </c>
    </row>
    <row r="17" spans="1:12">
      <c r="B17" s="11" t="s">
        <v>330</v>
      </c>
    </row>
    <row r="18" spans="1:12">
      <c r="B18" s="11" t="s">
        <v>331</v>
      </c>
    </row>
    <row r="20" spans="1:12">
      <c r="A20" s="1" t="s">
        <v>172</v>
      </c>
    </row>
    <row r="21" spans="1:12" ht="30">
      <c r="A21" s="27" t="s">
        <v>173</v>
      </c>
      <c r="B21" s="44" t="s">
        <v>183</v>
      </c>
      <c r="C21" s="24" t="s">
        <v>184</v>
      </c>
      <c r="D21" s="24" t="s">
        <v>182</v>
      </c>
      <c r="E21" s="27" t="s">
        <v>116</v>
      </c>
      <c r="F21" s="24" t="s">
        <v>123</v>
      </c>
      <c r="G21" s="26" t="s">
        <v>175</v>
      </c>
      <c r="H21" s="24" t="s">
        <v>200</v>
      </c>
      <c r="I21" s="26" t="s">
        <v>187</v>
      </c>
      <c r="J21" s="27" t="s">
        <v>119</v>
      </c>
      <c r="K21" s="24" t="s">
        <v>120</v>
      </c>
      <c r="L21" s="24" t="s">
        <v>121</v>
      </c>
    </row>
    <row r="22" spans="1:12">
      <c r="A22" s="40" t="s">
        <v>174</v>
      </c>
      <c r="B22" s="45">
        <v>0</v>
      </c>
      <c r="C22" s="43">
        <v>0</v>
      </c>
      <c r="D22" s="43">
        <v>25</v>
      </c>
      <c r="E22" s="45">
        <v>0</v>
      </c>
      <c r="F22" s="42">
        <v>52</v>
      </c>
      <c r="G22" s="45">
        <v>2.1930000000000001</v>
      </c>
      <c r="H22" s="42">
        <f>(F22/448.8)/(3.14*((G22/12)^2)/4)</f>
        <v>4.419428045638071</v>
      </c>
      <c r="I22" s="45">
        <f t="shared" ref="I22:I33" si="0">IF(G22&gt;5,$B$5,IF(5&gt;=G22&gt;1.5,$B$6,IF(1.5&gt;G22,$B$7,0)))</f>
        <v>145</v>
      </c>
      <c r="J22" s="46">
        <f t="shared" ref="J22:J33" si="1">(1050*((F22/I22)^1.852)*(E22/100)*(G22^-4.87))/2.31</f>
        <v>0</v>
      </c>
      <c r="K22" s="41">
        <f t="shared" ref="K22:K33" si="2">E22*$B$10</f>
        <v>0</v>
      </c>
      <c r="L22" s="41">
        <f>-K22-J22</f>
        <v>0</v>
      </c>
    </row>
    <row r="23" spans="1:12">
      <c r="A23" s="45">
        <v>1</v>
      </c>
      <c r="B23" s="45">
        <v>17.7</v>
      </c>
      <c r="C23" s="41">
        <f t="shared" ref="C23:C33" si="3">(B23/$B$13)*$B$12</f>
        <v>4.8440065681444988E-2</v>
      </c>
      <c r="D23" s="42">
        <f t="shared" ref="D23:D33" si="4">D22+L22</f>
        <v>25</v>
      </c>
      <c r="E23" s="45">
        <v>19.2</v>
      </c>
      <c r="F23" s="46">
        <f>F22-C23</f>
        <v>51.951559934318553</v>
      </c>
      <c r="G23" s="85">
        <v>2.1930000000000001</v>
      </c>
      <c r="H23" s="42">
        <f t="shared" ref="H23:H82" si="5">(F23/448.8)/(3.14*((G23/12)^2)/4)</f>
        <v>4.4153111728533565</v>
      </c>
      <c r="I23" s="45">
        <f t="shared" si="0"/>
        <v>145</v>
      </c>
      <c r="J23" s="41">
        <f t="shared" si="1"/>
        <v>0.28474457909362755</v>
      </c>
      <c r="K23" s="41">
        <f t="shared" si="2"/>
        <v>0.28643890795166344</v>
      </c>
      <c r="L23" s="41">
        <f t="shared" ref="L23:L82" si="6">-K23-J23</f>
        <v>-0.57118348704529098</v>
      </c>
    </row>
    <row r="24" spans="1:12">
      <c r="A24" s="45">
        <f>A23+1</f>
        <v>2</v>
      </c>
      <c r="B24" s="45">
        <v>35.700000000000003</v>
      </c>
      <c r="C24" s="41">
        <f t="shared" si="3"/>
        <v>9.7701149425287362E-2</v>
      </c>
      <c r="D24" s="42">
        <f t="shared" si="4"/>
        <v>24.428816512954707</v>
      </c>
      <c r="E24" s="45">
        <v>19.600000000000001</v>
      </c>
      <c r="F24" s="46">
        <f t="shared" ref="F24:F32" si="7">F23-C24</f>
        <v>51.853858784893262</v>
      </c>
      <c r="G24" s="85">
        <v>2.1930000000000001</v>
      </c>
      <c r="H24" s="42">
        <f t="shared" si="5"/>
        <v>4.4070076497791035</v>
      </c>
      <c r="I24" s="45">
        <f t="shared" si="0"/>
        <v>145</v>
      </c>
      <c r="J24" s="41">
        <f t="shared" si="1"/>
        <v>0.28966516843355861</v>
      </c>
      <c r="K24" s="41">
        <f t="shared" si="2"/>
        <v>0.29240638520065648</v>
      </c>
      <c r="L24" s="41">
        <f t="shared" si="6"/>
        <v>-0.58207155363421514</v>
      </c>
    </row>
    <row r="25" spans="1:12">
      <c r="A25" s="45">
        <f t="shared" ref="A25:A42" si="8">A24+1</f>
        <v>3</v>
      </c>
      <c r="B25" s="45">
        <v>53.7</v>
      </c>
      <c r="C25" s="41">
        <f t="shared" si="3"/>
        <v>0.14696223316912974</v>
      </c>
      <c r="D25" s="42">
        <f t="shared" si="4"/>
        <v>23.846744959320493</v>
      </c>
      <c r="E25" s="45">
        <v>19.600000000000001</v>
      </c>
      <c r="F25" s="46">
        <f t="shared" si="7"/>
        <v>51.706896551724135</v>
      </c>
      <c r="G25" s="85">
        <v>2.1930000000000001</v>
      </c>
      <c r="H25" s="42">
        <f t="shared" si="5"/>
        <v>4.3945174764153103</v>
      </c>
      <c r="I25" s="45">
        <f t="shared" si="0"/>
        <v>145</v>
      </c>
      <c r="J25" s="41">
        <f t="shared" si="1"/>
        <v>0.28814659015735489</v>
      </c>
      <c r="K25" s="41">
        <f t="shared" si="2"/>
        <v>0.29240638520065648</v>
      </c>
      <c r="L25" s="41">
        <f t="shared" si="6"/>
        <v>-0.58055297535801142</v>
      </c>
    </row>
    <row r="26" spans="1:12">
      <c r="A26" s="45">
        <f>A25+1</f>
        <v>4</v>
      </c>
      <c r="B26" s="45">
        <v>71.7</v>
      </c>
      <c r="C26" s="41">
        <f t="shared" si="3"/>
        <v>0.1962233169129721</v>
      </c>
      <c r="D26" s="42">
        <f t="shared" si="4"/>
        <v>23.266191983962482</v>
      </c>
      <c r="E26" s="45">
        <v>19.600000000000001</v>
      </c>
      <c r="F26" s="46">
        <f>F25-C26</f>
        <v>51.510673234811165</v>
      </c>
      <c r="G26" s="85">
        <v>2.1930000000000001</v>
      </c>
      <c r="H26" s="42">
        <f t="shared" si="5"/>
        <v>4.3778406527619778</v>
      </c>
      <c r="I26" s="45">
        <f t="shared" si="0"/>
        <v>145</v>
      </c>
      <c r="J26" s="41">
        <f t="shared" si="1"/>
        <v>0.28612471743911844</v>
      </c>
      <c r="K26" s="41">
        <f t="shared" si="2"/>
        <v>0.29240638520065648</v>
      </c>
      <c r="L26" s="41">
        <f t="shared" si="6"/>
        <v>-0.57853110263977492</v>
      </c>
    </row>
    <row r="27" spans="1:12">
      <c r="A27" s="45">
        <f t="shared" si="8"/>
        <v>5</v>
      </c>
      <c r="B27" s="45">
        <v>89.7</v>
      </c>
      <c r="C27" s="41">
        <f t="shared" si="3"/>
        <v>0.24548440065681446</v>
      </c>
      <c r="D27" s="42">
        <f t="shared" si="4"/>
        <v>22.687660881322707</v>
      </c>
      <c r="E27" s="45">
        <v>19.600000000000001</v>
      </c>
      <c r="F27" s="46">
        <f t="shared" si="7"/>
        <v>51.265188834154351</v>
      </c>
      <c r="G27" s="85">
        <v>2.1930000000000001</v>
      </c>
      <c r="H27" s="42">
        <f t="shared" si="5"/>
        <v>4.356977178819105</v>
      </c>
      <c r="I27" s="45">
        <f t="shared" si="0"/>
        <v>145</v>
      </c>
      <c r="J27" s="41">
        <f t="shared" si="1"/>
        <v>0.2836044871347852</v>
      </c>
      <c r="K27" s="41">
        <f t="shared" si="2"/>
        <v>0.29240638520065648</v>
      </c>
      <c r="L27" s="41">
        <f t="shared" si="6"/>
        <v>-0.57601087233544168</v>
      </c>
    </row>
    <row r="28" spans="1:12">
      <c r="A28" s="45">
        <f t="shared" si="8"/>
        <v>6</v>
      </c>
      <c r="B28" s="45">
        <v>107.7</v>
      </c>
      <c r="C28" s="41">
        <f t="shared" si="3"/>
        <v>0.29474548440065684</v>
      </c>
      <c r="D28" s="42">
        <f t="shared" si="4"/>
        <v>22.111650008987265</v>
      </c>
      <c r="E28" s="45">
        <v>19.600000000000001</v>
      </c>
      <c r="F28" s="46">
        <f t="shared" si="7"/>
        <v>50.970443349753694</v>
      </c>
      <c r="G28" s="85">
        <v>2.1930000000000001</v>
      </c>
      <c r="H28" s="42">
        <f t="shared" si="5"/>
        <v>4.3319270545866919</v>
      </c>
      <c r="I28" s="45">
        <f t="shared" si="0"/>
        <v>145</v>
      </c>
      <c r="J28" s="41">
        <f t="shared" si="1"/>
        <v>0.28059208204326469</v>
      </c>
      <c r="K28" s="41">
        <f t="shared" si="2"/>
        <v>0.29240638520065648</v>
      </c>
      <c r="L28" s="41">
        <f t="shared" si="6"/>
        <v>-0.57299846724392123</v>
      </c>
    </row>
    <row r="29" spans="1:12">
      <c r="A29" s="45">
        <f t="shared" si="8"/>
        <v>7</v>
      </c>
      <c r="B29" s="45">
        <v>125.7</v>
      </c>
      <c r="C29" s="41">
        <f t="shared" si="3"/>
        <v>0.34400656814449915</v>
      </c>
      <c r="D29" s="42">
        <f t="shared" si="4"/>
        <v>21.538651541743345</v>
      </c>
      <c r="E29" s="45">
        <v>19.600000000000001</v>
      </c>
      <c r="F29" s="46">
        <f t="shared" si="7"/>
        <v>50.626436781609193</v>
      </c>
      <c r="G29" s="85">
        <v>2.1930000000000001</v>
      </c>
      <c r="H29" s="42">
        <f t="shared" si="5"/>
        <v>4.3026902800647404</v>
      </c>
      <c r="I29" s="45">
        <f t="shared" si="0"/>
        <v>145</v>
      </c>
      <c r="J29" s="41">
        <f t="shared" si="1"/>
        <v>0.27709493537388757</v>
      </c>
      <c r="K29" s="41">
        <f t="shared" si="2"/>
        <v>0.29240638520065648</v>
      </c>
      <c r="L29" s="41">
        <f t="shared" si="6"/>
        <v>-0.56950132057454406</v>
      </c>
    </row>
    <row r="30" spans="1:12">
      <c r="A30" s="45">
        <f t="shared" si="8"/>
        <v>8</v>
      </c>
      <c r="B30" s="45">
        <v>143.69999999999999</v>
      </c>
      <c r="C30" s="41">
        <f t="shared" si="3"/>
        <v>0.39326765188834151</v>
      </c>
      <c r="D30" s="42">
        <f t="shared" si="4"/>
        <v>20.9691502211688</v>
      </c>
      <c r="E30" s="45">
        <v>19.600000000000001</v>
      </c>
      <c r="F30" s="46">
        <f t="shared" si="7"/>
        <v>50.233169129720849</v>
      </c>
      <c r="G30" s="85">
        <v>2.1930000000000001</v>
      </c>
      <c r="H30" s="42">
        <f t="shared" si="5"/>
        <v>4.2692668552532478</v>
      </c>
      <c r="I30" s="45">
        <f t="shared" si="0"/>
        <v>145</v>
      </c>
      <c r="J30" s="41">
        <f t="shared" si="1"/>
        <v>0.27312173618697033</v>
      </c>
      <c r="K30" s="41">
        <f t="shared" si="2"/>
        <v>0.29240638520065648</v>
      </c>
      <c r="L30" s="41">
        <f t="shared" si="6"/>
        <v>-0.56552812138762687</v>
      </c>
    </row>
    <row r="31" spans="1:12">
      <c r="A31" s="45">
        <f t="shared" si="8"/>
        <v>9</v>
      </c>
      <c r="B31" s="45">
        <v>161.69999999999999</v>
      </c>
      <c r="C31" s="41">
        <f t="shared" si="3"/>
        <v>0.44252873563218387</v>
      </c>
      <c r="D31" s="42">
        <f t="shared" si="4"/>
        <v>20.403622099781174</v>
      </c>
      <c r="E31" s="45">
        <v>19.600000000000001</v>
      </c>
      <c r="F31" s="46">
        <f t="shared" si="7"/>
        <v>49.790640394088669</v>
      </c>
      <c r="G31" s="85">
        <v>2.1930000000000001</v>
      </c>
      <c r="H31" s="42">
        <f t="shared" si="5"/>
        <v>4.2316567801522167</v>
      </c>
      <c r="I31" s="45">
        <f t="shared" si="0"/>
        <v>145</v>
      </c>
      <c r="J31" s="41">
        <f t="shared" si="1"/>
        <v>0.2686824358518205</v>
      </c>
      <c r="K31" s="41">
        <f t="shared" si="2"/>
        <v>0.29240638520065648</v>
      </c>
      <c r="L31" s="41">
        <f t="shared" si="6"/>
        <v>-0.56108882105247693</v>
      </c>
    </row>
    <row r="32" spans="1:12">
      <c r="A32" s="45">
        <f t="shared" si="8"/>
        <v>10</v>
      </c>
      <c r="B32" s="45">
        <v>179.8</v>
      </c>
      <c r="C32" s="41">
        <f t="shared" si="3"/>
        <v>0.49206349206349209</v>
      </c>
      <c r="D32" s="42">
        <f t="shared" si="4"/>
        <v>19.842533278728698</v>
      </c>
      <c r="E32" s="45">
        <v>19.600000000000001</v>
      </c>
      <c r="F32" s="46">
        <f t="shared" si="7"/>
        <v>49.298576902025175</v>
      </c>
      <c r="G32" s="85">
        <v>2.1930000000000001</v>
      </c>
      <c r="H32" s="42">
        <f t="shared" si="5"/>
        <v>4.1898367955933713</v>
      </c>
      <c r="I32" s="45">
        <f t="shared" si="0"/>
        <v>145</v>
      </c>
      <c r="J32" s="41">
        <f t="shared" si="1"/>
        <v>0.26378554357360534</v>
      </c>
      <c r="K32" s="41">
        <f t="shared" si="2"/>
        <v>0.29240638520065648</v>
      </c>
      <c r="L32" s="41">
        <f t="shared" si="6"/>
        <v>-0.55619192877426182</v>
      </c>
    </row>
    <row r="33" spans="1:12">
      <c r="A33" s="45">
        <f t="shared" si="8"/>
        <v>11</v>
      </c>
      <c r="B33" s="45">
        <v>197.8</v>
      </c>
      <c r="C33" s="41">
        <f t="shared" si="3"/>
        <v>0.5413245758073344</v>
      </c>
      <c r="D33" s="42">
        <f t="shared" si="4"/>
        <v>19.286341349954437</v>
      </c>
      <c r="E33" s="45">
        <v>19.600000000000001</v>
      </c>
      <c r="F33" s="46">
        <f>F32-C33</f>
        <v>48.757252326217838</v>
      </c>
      <c r="G33" s="85">
        <v>2.1930000000000001</v>
      </c>
      <c r="H33" s="42">
        <f t="shared" si="5"/>
        <v>4.1438301607449848</v>
      </c>
      <c r="I33" s="45">
        <f t="shared" si="0"/>
        <v>145</v>
      </c>
      <c r="J33" s="41">
        <f t="shared" si="1"/>
        <v>0.25844632183796085</v>
      </c>
      <c r="K33" s="41">
        <f t="shared" si="2"/>
        <v>0.29240638520065648</v>
      </c>
      <c r="L33" s="41">
        <f t="shared" si="6"/>
        <v>-0.55085270703861733</v>
      </c>
    </row>
    <row r="34" spans="1:12">
      <c r="A34" s="48" t="s">
        <v>188</v>
      </c>
      <c r="B34" s="45"/>
      <c r="C34" s="41"/>
      <c r="D34" s="42"/>
      <c r="E34" s="45"/>
      <c r="F34" s="46"/>
      <c r="G34" s="45"/>
      <c r="H34" s="42"/>
      <c r="I34" s="45"/>
      <c r="J34" s="41"/>
      <c r="K34" s="41"/>
      <c r="L34" s="41"/>
    </row>
    <row r="35" spans="1:12">
      <c r="A35" s="45">
        <f>A33+1</f>
        <v>12</v>
      </c>
      <c r="B35" s="45">
        <v>213.7</v>
      </c>
      <c r="C35" s="41">
        <f t="shared" ref="C35:C66" si="9">(B35/$B$13)*$B$12</f>
        <v>0.58483853311439515</v>
      </c>
      <c r="D35" s="42">
        <f>D33+L33</f>
        <v>18.735488642915819</v>
      </c>
      <c r="E35" s="45">
        <v>18.399999999999999</v>
      </c>
      <c r="F35" s="46">
        <f>F33-C35</f>
        <v>48.172413793103445</v>
      </c>
      <c r="G35" s="45">
        <v>2.1930000000000001</v>
      </c>
      <c r="H35" s="42">
        <f t="shared" si="5"/>
        <v>4.094125318140839</v>
      </c>
      <c r="I35" s="45">
        <f t="shared" ref="I35:I66" si="10">IF(G35&gt;5,$B$5,IF(5&gt;=G35&gt;1.5,$B$6,IF(1.5&gt;G35,$B$7,0)))</f>
        <v>145</v>
      </c>
      <c r="J35" s="41">
        <f t="shared" ref="J35:J66" si="11">(1050*((F35/I35)^1.852)*(E35/100)*(G35^-4.87))/2.31</f>
        <v>0.23726086958033124</v>
      </c>
      <c r="K35" s="41">
        <f t="shared" ref="K35:K66" si="12">E35*$B$10</f>
        <v>0.27450395345367745</v>
      </c>
      <c r="L35" s="41">
        <f>-K35-J35</f>
        <v>-0.51176482303400872</v>
      </c>
    </row>
    <row r="36" spans="1:12">
      <c r="A36" s="45">
        <f t="shared" si="8"/>
        <v>13</v>
      </c>
      <c r="B36" s="45">
        <v>211</v>
      </c>
      <c r="C36" s="41">
        <f t="shared" si="9"/>
        <v>0.57744937055281886</v>
      </c>
      <c r="D36" s="42">
        <f t="shared" ref="D36:D66" si="13">D35+L35</f>
        <v>18.223723819881808</v>
      </c>
      <c r="E36" s="45">
        <v>8.1999999999999993</v>
      </c>
      <c r="F36" s="46">
        <f>F35-C36</f>
        <v>47.594964422550625</v>
      </c>
      <c r="G36" s="85">
        <v>2.1930000000000001</v>
      </c>
      <c r="H36" s="42">
        <f t="shared" si="5"/>
        <v>4.0450484730801239</v>
      </c>
      <c r="I36" s="45">
        <f t="shared" si="10"/>
        <v>145</v>
      </c>
      <c r="J36" s="41">
        <f t="shared" si="11"/>
        <v>0.10340046200189418</v>
      </c>
      <c r="K36" s="41">
        <f t="shared" si="12"/>
        <v>0.12233328360435626</v>
      </c>
      <c r="L36" s="41">
        <f t="shared" si="6"/>
        <v>-0.22573374560625042</v>
      </c>
    </row>
    <row r="37" spans="1:12">
      <c r="A37" s="45">
        <f>A36+1</f>
        <v>14</v>
      </c>
      <c r="B37" s="45">
        <v>208.4</v>
      </c>
      <c r="C37" s="41">
        <f t="shared" si="9"/>
        <v>0.57033388067870827</v>
      </c>
      <c r="D37" s="42">
        <f t="shared" si="13"/>
        <v>17.99799007427556</v>
      </c>
      <c r="E37" s="45">
        <v>8.1999999999999993</v>
      </c>
      <c r="F37" s="46">
        <f t="shared" ref="F37:F82" si="14">F36-C37</f>
        <v>47.024630541871915</v>
      </c>
      <c r="G37" s="85">
        <v>2.1930000000000001</v>
      </c>
      <c r="H37" s="42">
        <f t="shared" si="5"/>
        <v>3.9965763663945646</v>
      </c>
      <c r="I37" s="45">
        <f t="shared" si="10"/>
        <v>145</v>
      </c>
      <c r="J37" s="41">
        <f t="shared" si="11"/>
        <v>0.1011174528875472</v>
      </c>
      <c r="K37" s="41">
        <f t="shared" si="12"/>
        <v>0.12233328360435626</v>
      </c>
      <c r="L37" s="41">
        <f t="shared" si="6"/>
        <v>-0.22345073649190345</v>
      </c>
    </row>
    <row r="38" spans="1:12">
      <c r="A38" s="45">
        <f t="shared" si="8"/>
        <v>15</v>
      </c>
      <c r="B38" s="45">
        <v>205.7</v>
      </c>
      <c r="C38" s="41">
        <f t="shared" si="9"/>
        <v>0.56294471811713187</v>
      </c>
      <c r="D38" s="42">
        <f t="shared" si="13"/>
        <v>17.774539337783658</v>
      </c>
      <c r="E38" s="45">
        <v>8.1999999999999993</v>
      </c>
      <c r="F38" s="46">
        <f t="shared" si="14"/>
        <v>46.461685823754785</v>
      </c>
      <c r="G38" s="85">
        <v>2.1930000000000001</v>
      </c>
      <c r="H38" s="42">
        <f t="shared" si="5"/>
        <v>3.9487322572524364</v>
      </c>
      <c r="I38" s="45">
        <f t="shared" si="10"/>
        <v>145</v>
      </c>
      <c r="J38" s="41">
        <f t="shared" si="11"/>
        <v>9.8887037895971086E-2</v>
      </c>
      <c r="K38" s="41">
        <f t="shared" si="12"/>
        <v>0.12233328360435626</v>
      </c>
      <c r="L38" s="41">
        <f t="shared" si="6"/>
        <v>-0.22122032150032733</v>
      </c>
    </row>
    <row r="39" spans="1:12">
      <c r="A39" s="45">
        <f t="shared" si="8"/>
        <v>16</v>
      </c>
      <c r="B39" s="45">
        <v>203</v>
      </c>
      <c r="C39" s="41">
        <f t="shared" si="9"/>
        <v>0.55555555555555558</v>
      </c>
      <c r="D39" s="42">
        <f t="shared" si="13"/>
        <v>17.553319016283332</v>
      </c>
      <c r="E39" s="45">
        <v>8.1999999999999993</v>
      </c>
      <c r="F39" s="46">
        <f t="shared" si="14"/>
        <v>45.906130268199227</v>
      </c>
      <c r="G39" s="85">
        <v>2.1930000000000001</v>
      </c>
      <c r="H39" s="42">
        <f t="shared" si="5"/>
        <v>3.9015161456537388</v>
      </c>
      <c r="I39" s="45">
        <f t="shared" si="10"/>
        <v>145</v>
      </c>
      <c r="J39" s="41">
        <f t="shared" si="11"/>
        <v>9.6708356618030331E-2</v>
      </c>
      <c r="K39" s="41">
        <f t="shared" si="12"/>
        <v>0.12233328360435626</v>
      </c>
      <c r="L39" s="41">
        <f t="shared" si="6"/>
        <v>-0.21904164022238659</v>
      </c>
    </row>
    <row r="40" spans="1:12">
      <c r="A40" s="45">
        <f t="shared" si="8"/>
        <v>17</v>
      </c>
      <c r="B40" s="45">
        <v>200.4</v>
      </c>
      <c r="C40" s="41">
        <f t="shared" si="9"/>
        <v>0.5484400656814451</v>
      </c>
      <c r="D40" s="42">
        <f t="shared" si="13"/>
        <v>17.334277376060946</v>
      </c>
      <c r="E40" s="45">
        <v>8.1999999999999993</v>
      </c>
      <c r="F40" s="46">
        <f t="shared" si="14"/>
        <v>45.35769020251778</v>
      </c>
      <c r="G40" s="85">
        <v>2.1930000000000001</v>
      </c>
      <c r="H40" s="42">
        <f t="shared" si="5"/>
        <v>3.854904772430197</v>
      </c>
      <c r="I40" s="45">
        <f t="shared" si="10"/>
        <v>145</v>
      </c>
      <c r="J40" s="41">
        <f t="shared" si="11"/>
        <v>9.4579500982941545E-2</v>
      </c>
      <c r="K40" s="41">
        <f t="shared" si="12"/>
        <v>0.12233328360435626</v>
      </c>
      <c r="L40" s="41">
        <f t="shared" si="6"/>
        <v>-0.21691278458729779</v>
      </c>
    </row>
    <row r="41" spans="1:12">
      <c r="A41" s="45">
        <f t="shared" si="8"/>
        <v>18</v>
      </c>
      <c r="B41" s="45">
        <v>197.7</v>
      </c>
      <c r="C41" s="41">
        <f t="shared" si="9"/>
        <v>0.54105090311986859</v>
      </c>
      <c r="D41" s="42">
        <f t="shared" si="13"/>
        <v>17.117364591473649</v>
      </c>
      <c r="E41" s="45">
        <v>8.1999999999999993</v>
      </c>
      <c r="F41" s="46">
        <f t="shared" si="14"/>
        <v>44.816639299397913</v>
      </c>
      <c r="G41" s="85">
        <v>2.1930000000000001</v>
      </c>
      <c r="H41" s="42">
        <f t="shared" si="5"/>
        <v>3.8089213967500868</v>
      </c>
      <c r="I41" s="45">
        <f t="shared" si="10"/>
        <v>145</v>
      </c>
      <c r="J41" s="41">
        <f t="shared" si="11"/>
        <v>9.2500707396489815E-2</v>
      </c>
      <c r="K41" s="41">
        <f t="shared" si="12"/>
        <v>0.12233328360435626</v>
      </c>
      <c r="L41" s="41">
        <f t="shared" si="6"/>
        <v>-0.21483399100084608</v>
      </c>
    </row>
    <row r="42" spans="1:12">
      <c r="A42" s="45">
        <f t="shared" si="8"/>
        <v>19</v>
      </c>
      <c r="B42" s="45">
        <v>195</v>
      </c>
      <c r="C42" s="41">
        <f t="shared" si="9"/>
        <v>0.5336617405582923</v>
      </c>
      <c r="D42" s="42">
        <f t="shared" si="13"/>
        <v>16.902530600472804</v>
      </c>
      <c r="E42" s="45">
        <v>8.1999999999999993</v>
      </c>
      <c r="F42" s="46">
        <f t="shared" si="14"/>
        <v>44.282977558839619</v>
      </c>
      <c r="G42" s="85">
        <v>2.1930000000000001</v>
      </c>
      <c r="H42" s="42">
        <f t="shared" si="5"/>
        <v>3.7635660186134068</v>
      </c>
      <c r="I42" s="45">
        <f t="shared" si="10"/>
        <v>145</v>
      </c>
      <c r="J42" s="41">
        <f t="shared" si="11"/>
        <v>9.0471142817182063E-2</v>
      </c>
      <c r="K42" s="41">
        <f t="shared" si="12"/>
        <v>0.12233328360435626</v>
      </c>
      <c r="L42" s="41">
        <f t="shared" si="6"/>
        <v>-0.21280442642153832</v>
      </c>
    </row>
    <row r="43" spans="1:12">
      <c r="A43" s="45">
        <f>A42+1</f>
        <v>20</v>
      </c>
      <c r="B43" s="45">
        <v>195.8</v>
      </c>
      <c r="C43" s="41">
        <f t="shared" si="9"/>
        <v>0.53585112205801866</v>
      </c>
      <c r="D43" s="42">
        <f t="shared" si="13"/>
        <v>16.689726174051266</v>
      </c>
      <c r="E43" s="45">
        <v>8.1999999999999993</v>
      </c>
      <c r="F43" s="46">
        <f t="shared" si="14"/>
        <v>43.747126436781599</v>
      </c>
      <c r="G43" s="85">
        <v>2.1930000000000001</v>
      </c>
      <c r="H43" s="42">
        <f t="shared" si="5"/>
        <v>3.718024567130525</v>
      </c>
      <c r="I43" s="45">
        <f t="shared" si="10"/>
        <v>145</v>
      </c>
      <c r="J43" s="41">
        <f t="shared" si="11"/>
        <v>8.8454112051392114E-2</v>
      </c>
      <c r="K43" s="41">
        <f t="shared" si="12"/>
        <v>0.12233328360435626</v>
      </c>
      <c r="L43" s="41">
        <f t="shared" si="6"/>
        <v>-0.21078739565574839</v>
      </c>
    </row>
    <row r="44" spans="1:12">
      <c r="A44" s="45">
        <f t="shared" ref="A44:A82" si="15">A43+1</f>
        <v>21</v>
      </c>
      <c r="B44" s="45">
        <v>197.5</v>
      </c>
      <c r="C44" s="41">
        <f t="shared" si="9"/>
        <v>0.54050355774493708</v>
      </c>
      <c r="D44" s="42">
        <f t="shared" si="13"/>
        <v>16.478938778395516</v>
      </c>
      <c r="E44" s="45">
        <v>8.1999999999999993</v>
      </c>
      <c r="F44" s="46">
        <f t="shared" si="14"/>
        <v>43.206622879036665</v>
      </c>
      <c r="G44" s="85">
        <v>2.1930000000000001</v>
      </c>
      <c r="H44" s="42">
        <f t="shared" si="5"/>
        <v>3.6720877097869646</v>
      </c>
      <c r="I44" s="45">
        <f t="shared" si="10"/>
        <v>145</v>
      </c>
      <c r="J44" s="41">
        <f t="shared" si="11"/>
        <v>8.6440782963846316E-2</v>
      </c>
      <c r="K44" s="41">
        <f t="shared" si="12"/>
        <v>0.12233328360435626</v>
      </c>
      <c r="L44" s="41">
        <f t="shared" si="6"/>
        <v>-0.20877406656820258</v>
      </c>
    </row>
    <row r="45" spans="1:12">
      <c r="A45" s="45">
        <f t="shared" si="15"/>
        <v>22</v>
      </c>
      <c r="B45" s="45">
        <v>199.3</v>
      </c>
      <c r="C45" s="41">
        <f t="shared" si="9"/>
        <v>0.54542966611932142</v>
      </c>
      <c r="D45" s="42">
        <f t="shared" si="13"/>
        <v>16.270164711827313</v>
      </c>
      <c r="E45" s="45">
        <v>8.1999999999999993</v>
      </c>
      <c r="F45" s="46">
        <f t="shared" si="14"/>
        <v>42.661193212917347</v>
      </c>
      <c r="G45" s="85">
        <v>2.1930000000000001</v>
      </c>
      <c r="H45" s="42">
        <f t="shared" si="5"/>
        <v>3.6257321874144508</v>
      </c>
      <c r="I45" s="45">
        <f t="shared" si="10"/>
        <v>145</v>
      </c>
      <c r="J45" s="41">
        <f t="shared" si="11"/>
        <v>8.4430742388602931E-2</v>
      </c>
      <c r="K45" s="41">
        <f t="shared" si="12"/>
        <v>0.12233328360435626</v>
      </c>
      <c r="L45" s="41">
        <f t="shared" si="6"/>
        <v>-0.20676402599295918</v>
      </c>
    </row>
    <row r="46" spans="1:12">
      <c r="A46" s="45">
        <f t="shared" si="15"/>
        <v>23</v>
      </c>
      <c r="B46" s="45">
        <v>201</v>
      </c>
      <c r="C46" s="41">
        <f t="shared" si="9"/>
        <v>0.55008210180623973</v>
      </c>
      <c r="D46" s="42">
        <f t="shared" si="13"/>
        <v>16.063400685834353</v>
      </c>
      <c r="E46" s="45">
        <v>8.1999999999999993</v>
      </c>
      <c r="F46" s="46">
        <f t="shared" si="14"/>
        <v>42.111111111111107</v>
      </c>
      <c r="G46" s="85">
        <v>2.1930000000000001</v>
      </c>
      <c r="H46" s="42">
        <f t="shared" si="5"/>
        <v>3.5789812591812584</v>
      </c>
      <c r="I46" s="45">
        <f t="shared" si="10"/>
        <v>145</v>
      </c>
      <c r="J46" s="41">
        <f t="shared" si="11"/>
        <v>8.2425612782309476E-2</v>
      </c>
      <c r="K46" s="41">
        <f t="shared" si="12"/>
        <v>0.12233328360435626</v>
      </c>
      <c r="L46" s="41">
        <f t="shared" si="6"/>
        <v>-0.20475889638666572</v>
      </c>
    </row>
    <row r="47" spans="1:12">
      <c r="A47" s="45">
        <f t="shared" si="15"/>
        <v>24</v>
      </c>
      <c r="B47" s="45">
        <v>202.7</v>
      </c>
      <c r="C47" s="41">
        <f t="shared" si="9"/>
        <v>0.55473453749315815</v>
      </c>
      <c r="D47" s="42">
        <f t="shared" si="13"/>
        <v>15.858641789447686</v>
      </c>
      <c r="E47" s="45">
        <v>8.1999999999999993</v>
      </c>
      <c r="F47" s="46">
        <f t="shared" si="14"/>
        <v>41.556376573617946</v>
      </c>
      <c r="G47" s="85">
        <v>2.1930000000000001</v>
      </c>
      <c r="H47" s="42">
        <f t="shared" si="5"/>
        <v>3.5318349250873866</v>
      </c>
      <c r="I47" s="45">
        <f t="shared" si="10"/>
        <v>145</v>
      </c>
      <c r="J47" s="41">
        <f t="shared" si="11"/>
        <v>8.0425999290875419E-2</v>
      </c>
      <c r="K47" s="41">
        <f t="shared" si="12"/>
        <v>0.12233328360435626</v>
      </c>
      <c r="L47" s="41">
        <f t="shared" si="6"/>
        <v>-0.20275928289523168</v>
      </c>
    </row>
    <row r="48" spans="1:12">
      <c r="A48" s="45">
        <f t="shared" si="15"/>
        <v>25</v>
      </c>
      <c r="B48" s="45">
        <v>204.5</v>
      </c>
      <c r="C48" s="41">
        <f t="shared" si="9"/>
        <v>0.55966064586754238</v>
      </c>
      <c r="D48" s="42">
        <f t="shared" si="13"/>
        <v>15.655882506552455</v>
      </c>
      <c r="E48" s="45">
        <v>8.1999999999999993</v>
      </c>
      <c r="F48" s="46">
        <f t="shared" si="14"/>
        <v>40.996715927750401</v>
      </c>
      <c r="G48" s="85">
        <v>2.1930000000000001</v>
      </c>
      <c r="H48" s="42">
        <f t="shared" si="5"/>
        <v>3.4842699259645604</v>
      </c>
      <c r="I48" s="45">
        <f t="shared" si="10"/>
        <v>145</v>
      </c>
      <c r="J48" s="41">
        <f t="shared" si="11"/>
        <v>7.8431545022765933E-2</v>
      </c>
      <c r="K48" s="41">
        <f t="shared" si="12"/>
        <v>0.12233328360435626</v>
      </c>
      <c r="L48" s="41">
        <f t="shared" si="6"/>
        <v>-0.20076482862712219</v>
      </c>
    </row>
    <row r="49" spans="1:12">
      <c r="A49" s="45">
        <f>A48+1</f>
        <v>26</v>
      </c>
      <c r="B49" s="45">
        <v>206.2</v>
      </c>
      <c r="C49" s="41">
        <f t="shared" si="9"/>
        <v>0.56431308155446092</v>
      </c>
      <c r="D49" s="42">
        <f t="shared" si="13"/>
        <v>15.455117677925333</v>
      </c>
      <c r="E49" s="45">
        <v>8.1999999999999993</v>
      </c>
      <c r="F49" s="46">
        <f t="shared" si="14"/>
        <v>40.432402846195941</v>
      </c>
      <c r="G49" s="85">
        <v>2.1930000000000001</v>
      </c>
      <c r="H49" s="42">
        <f t="shared" si="5"/>
        <v>3.4363095209810561</v>
      </c>
      <c r="I49" s="45">
        <f t="shared" si="10"/>
        <v>145</v>
      </c>
      <c r="J49" s="41">
        <f t="shared" si="11"/>
        <v>7.6443862885310271E-2</v>
      </c>
      <c r="K49" s="41">
        <f t="shared" si="12"/>
        <v>0.12233328360435626</v>
      </c>
      <c r="L49" s="41">
        <f t="shared" si="6"/>
        <v>-0.19877714648966655</v>
      </c>
    </row>
    <row r="50" spans="1:12">
      <c r="A50" s="45">
        <f t="shared" si="15"/>
        <v>27</v>
      </c>
      <c r="B50" s="45">
        <v>207.9</v>
      </c>
      <c r="C50" s="41">
        <f t="shared" si="9"/>
        <v>0.56896551724137934</v>
      </c>
      <c r="D50" s="42">
        <f t="shared" si="13"/>
        <v>15.256340531435667</v>
      </c>
      <c r="E50" s="45">
        <v>8.1999999999999993</v>
      </c>
      <c r="F50" s="46">
        <f t="shared" si="14"/>
        <v>39.863437328954561</v>
      </c>
      <c r="G50" s="85">
        <v>2.1930000000000001</v>
      </c>
      <c r="H50" s="42">
        <f t="shared" si="5"/>
        <v>3.3879537101368729</v>
      </c>
      <c r="I50" s="45">
        <f t="shared" si="10"/>
        <v>145</v>
      </c>
      <c r="J50" s="41">
        <f t="shared" si="11"/>
        <v>7.4463581591591568E-2</v>
      </c>
      <c r="K50" s="41">
        <f t="shared" si="12"/>
        <v>0.12233328360435626</v>
      </c>
      <c r="L50" s="41">
        <f t="shared" si="6"/>
        <v>-0.19679686519594783</v>
      </c>
    </row>
    <row r="51" spans="1:12">
      <c r="A51" s="45">
        <f t="shared" si="15"/>
        <v>28</v>
      </c>
      <c r="B51" s="45">
        <v>209.7</v>
      </c>
      <c r="C51" s="41">
        <f t="shared" si="9"/>
        <v>0.57389162561576357</v>
      </c>
      <c r="D51" s="42">
        <f t="shared" si="13"/>
        <v>15.059543666239719</v>
      </c>
      <c r="E51" s="45">
        <v>8.1999999999999993</v>
      </c>
      <c r="F51" s="46">
        <f t="shared" si="14"/>
        <v>39.289545703338796</v>
      </c>
      <c r="G51" s="85">
        <v>2.1930000000000001</v>
      </c>
      <c r="H51" s="42">
        <f t="shared" si="5"/>
        <v>3.3391792342637356</v>
      </c>
      <c r="I51" s="45">
        <f t="shared" si="10"/>
        <v>145</v>
      </c>
      <c r="J51" s="41">
        <f t="shared" si="11"/>
        <v>7.2490402717016761E-2</v>
      </c>
      <c r="K51" s="41">
        <f t="shared" si="12"/>
        <v>0.12233328360435626</v>
      </c>
      <c r="L51" s="41">
        <f t="shared" si="6"/>
        <v>-0.19482368632137304</v>
      </c>
    </row>
    <row r="52" spans="1:12">
      <c r="A52" s="45">
        <f t="shared" si="15"/>
        <v>29</v>
      </c>
      <c r="B52" s="45">
        <v>211.4</v>
      </c>
      <c r="C52" s="41">
        <f t="shared" si="9"/>
        <v>0.57854406130268199</v>
      </c>
      <c r="D52" s="42">
        <f t="shared" si="13"/>
        <v>14.864719979918346</v>
      </c>
      <c r="E52" s="45">
        <v>8.1999999999999993</v>
      </c>
      <c r="F52" s="46">
        <f t="shared" si="14"/>
        <v>38.711001642036116</v>
      </c>
      <c r="G52" s="85">
        <v>2.1930000000000001</v>
      </c>
      <c r="H52" s="42">
        <f t="shared" si="5"/>
        <v>3.2900093525299199</v>
      </c>
      <c r="I52" s="45">
        <f t="shared" si="10"/>
        <v>145</v>
      </c>
      <c r="J52" s="41">
        <f t="shared" si="11"/>
        <v>7.0525929749431768E-2</v>
      </c>
      <c r="K52" s="41">
        <f t="shared" si="12"/>
        <v>0.12233328360435626</v>
      </c>
      <c r="L52" s="41">
        <f t="shared" si="6"/>
        <v>-0.19285921335378803</v>
      </c>
    </row>
    <row r="53" spans="1:12">
      <c r="A53" s="45">
        <f t="shared" si="15"/>
        <v>30</v>
      </c>
      <c r="B53" s="45">
        <v>213.1</v>
      </c>
      <c r="C53" s="41">
        <f t="shared" si="9"/>
        <v>0.58319649698960041</v>
      </c>
      <c r="D53" s="42">
        <f t="shared" si="13"/>
        <v>14.671860766564558</v>
      </c>
      <c r="E53" s="45">
        <v>8.1999999999999993</v>
      </c>
      <c r="F53" s="46">
        <f t="shared" si="14"/>
        <v>38.127805145046516</v>
      </c>
      <c r="G53" s="85">
        <v>2.1930000000000001</v>
      </c>
      <c r="H53" s="42">
        <f t="shared" si="5"/>
        <v>3.2404440649354251</v>
      </c>
      <c r="I53" s="45">
        <f t="shared" si="10"/>
        <v>145</v>
      </c>
      <c r="J53" s="41">
        <f t="shared" si="11"/>
        <v>6.8570816208158386E-2</v>
      </c>
      <c r="K53" s="41">
        <f t="shared" si="12"/>
        <v>0.12233328360435626</v>
      </c>
      <c r="L53" s="41">
        <f t="shared" si="6"/>
        <v>-0.19090409981251466</v>
      </c>
    </row>
    <row r="54" spans="1:12">
      <c r="A54" s="45">
        <f t="shared" si="15"/>
        <v>31</v>
      </c>
      <c r="B54" s="45">
        <v>218</v>
      </c>
      <c r="C54" s="41">
        <f t="shared" si="9"/>
        <v>0.59660645867542417</v>
      </c>
      <c r="D54" s="42">
        <f t="shared" si="13"/>
        <v>14.480956666752043</v>
      </c>
      <c r="E54" s="45">
        <v>8.1999999999999993</v>
      </c>
      <c r="F54" s="46">
        <f t="shared" si="14"/>
        <v>37.531198686371091</v>
      </c>
      <c r="G54" s="85">
        <v>2.1930000000000001</v>
      </c>
      <c r="H54" s="42">
        <f t="shared" si="5"/>
        <v>3.1897390780954451</v>
      </c>
      <c r="I54" s="45">
        <f t="shared" si="10"/>
        <v>145</v>
      </c>
      <c r="J54" s="41">
        <f t="shared" si="11"/>
        <v>6.6596941640186647E-2</v>
      </c>
      <c r="K54" s="41">
        <f t="shared" si="12"/>
        <v>0.12233328360435626</v>
      </c>
      <c r="L54" s="41">
        <f t="shared" si="6"/>
        <v>-0.18893022524454289</v>
      </c>
    </row>
    <row r="55" spans="1:12">
      <c r="A55" s="45">
        <f t="shared" si="15"/>
        <v>32</v>
      </c>
      <c r="B55" s="45">
        <v>234.2</v>
      </c>
      <c r="C55" s="41">
        <f t="shared" si="9"/>
        <v>0.64094143404488224</v>
      </c>
      <c r="D55" s="42">
        <f t="shared" si="13"/>
        <v>14.292026441507501</v>
      </c>
      <c r="E55" s="45">
        <v>8.1999999999999993</v>
      </c>
      <c r="F55" s="46">
        <f t="shared" si="14"/>
        <v>36.890257252326208</v>
      </c>
      <c r="G55" s="85">
        <v>2.1930000000000001</v>
      </c>
      <c r="H55" s="42">
        <f t="shared" si="5"/>
        <v>3.1352661059948788</v>
      </c>
      <c r="I55" s="45">
        <f t="shared" si="10"/>
        <v>145</v>
      </c>
      <c r="J55" s="41">
        <f t="shared" si="11"/>
        <v>6.4505973449824255E-2</v>
      </c>
      <c r="K55" s="41">
        <f t="shared" si="12"/>
        <v>0.12233328360435626</v>
      </c>
      <c r="L55" s="41">
        <f t="shared" si="6"/>
        <v>-0.18683925705418053</v>
      </c>
    </row>
    <row r="56" spans="1:12">
      <c r="A56" s="45">
        <f t="shared" si="15"/>
        <v>33</v>
      </c>
      <c r="B56" s="45">
        <v>250.4</v>
      </c>
      <c r="C56" s="41">
        <f t="shared" si="9"/>
        <v>0.68527640941434054</v>
      </c>
      <c r="D56" s="42">
        <f t="shared" si="13"/>
        <v>14.105187184453321</v>
      </c>
      <c r="E56" s="45">
        <v>8.1999999999999993</v>
      </c>
      <c r="F56" s="46">
        <f t="shared" si="14"/>
        <v>36.204980842911866</v>
      </c>
      <c r="G56" s="85">
        <v>2.1930000000000001</v>
      </c>
      <c r="H56" s="42">
        <f t="shared" si="5"/>
        <v>3.0770251486337266</v>
      </c>
      <c r="I56" s="45">
        <f t="shared" si="10"/>
        <v>145</v>
      </c>
      <c r="J56" s="41">
        <f t="shared" si="11"/>
        <v>6.2304358320597747E-2</v>
      </c>
      <c r="K56" s="41">
        <f t="shared" si="12"/>
        <v>0.12233328360435626</v>
      </c>
      <c r="L56" s="41">
        <f t="shared" si="6"/>
        <v>-0.18463764192495402</v>
      </c>
    </row>
    <row r="57" spans="1:12">
      <c r="A57" s="45">
        <f t="shared" si="15"/>
        <v>34</v>
      </c>
      <c r="B57" s="45">
        <v>266.60000000000002</v>
      </c>
      <c r="C57" s="41">
        <f t="shared" si="9"/>
        <v>0.72961138478379861</v>
      </c>
      <c r="D57" s="42">
        <f t="shared" si="13"/>
        <v>13.920549542528367</v>
      </c>
      <c r="E57" s="45">
        <v>8.1999999999999993</v>
      </c>
      <c r="F57" s="46">
        <f t="shared" si="14"/>
        <v>35.475369458128064</v>
      </c>
      <c r="G57" s="85">
        <v>2.1930000000000001</v>
      </c>
      <c r="H57" s="42">
        <f t="shared" si="5"/>
        <v>3.0150162060119889</v>
      </c>
      <c r="I57" s="45">
        <f t="shared" si="10"/>
        <v>145</v>
      </c>
      <c r="J57" s="41">
        <f t="shared" si="11"/>
        <v>5.9999021010501224E-2</v>
      </c>
      <c r="K57" s="41">
        <f t="shared" si="12"/>
        <v>0.12233328360435626</v>
      </c>
      <c r="L57" s="41">
        <f t="shared" si="6"/>
        <v>-0.1823323046148575</v>
      </c>
    </row>
    <row r="58" spans="1:12">
      <c r="A58" s="45">
        <f t="shared" si="15"/>
        <v>35</v>
      </c>
      <c r="B58" s="45">
        <v>282.8</v>
      </c>
      <c r="C58" s="41">
        <f t="shared" si="9"/>
        <v>0.7739463601532568</v>
      </c>
      <c r="D58" s="42">
        <f t="shared" si="13"/>
        <v>13.73821723791351</v>
      </c>
      <c r="E58" s="45">
        <v>8.1999999999999993</v>
      </c>
      <c r="F58" s="46">
        <f t="shared" si="14"/>
        <v>34.701423097974811</v>
      </c>
      <c r="G58" s="85">
        <v>2.1930000000000001</v>
      </c>
      <c r="H58" s="42">
        <f t="shared" si="5"/>
        <v>2.9492392781296664</v>
      </c>
      <c r="I58" s="45">
        <f t="shared" si="10"/>
        <v>145</v>
      </c>
      <c r="J58" s="41">
        <f t="shared" si="11"/>
        <v>5.7597371943894742E-2</v>
      </c>
      <c r="K58" s="41">
        <f t="shared" si="12"/>
        <v>0.12233328360435626</v>
      </c>
      <c r="L58" s="41">
        <f t="shared" si="6"/>
        <v>-0.179930655548251</v>
      </c>
    </row>
    <row r="59" spans="1:12">
      <c r="A59" s="45">
        <f t="shared" si="15"/>
        <v>36</v>
      </c>
      <c r="B59" s="45">
        <v>299</v>
      </c>
      <c r="C59" s="41">
        <f t="shared" si="9"/>
        <v>0.81828133552271487</v>
      </c>
      <c r="D59" s="42">
        <f t="shared" si="13"/>
        <v>13.558286582365259</v>
      </c>
      <c r="E59" s="45">
        <v>8.1999999999999993</v>
      </c>
      <c r="F59" s="46">
        <f t="shared" si="14"/>
        <v>33.883141762452098</v>
      </c>
      <c r="G59" s="85">
        <v>2.1930000000000001</v>
      </c>
      <c r="H59" s="42">
        <f t="shared" si="5"/>
        <v>2.8796943649867575</v>
      </c>
      <c r="I59" s="45">
        <f t="shared" si="10"/>
        <v>145</v>
      </c>
      <c r="J59" s="41">
        <f t="shared" si="11"/>
        <v>5.5107315742063297E-2</v>
      </c>
      <c r="K59" s="41">
        <f t="shared" si="12"/>
        <v>0.12233328360435626</v>
      </c>
      <c r="L59" s="41">
        <f t="shared" si="6"/>
        <v>-0.17744059934641956</v>
      </c>
    </row>
    <row r="60" spans="1:12">
      <c r="A60" s="45">
        <f t="shared" si="15"/>
        <v>37</v>
      </c>
      <c r="B60" s="45">
        <v>315.10000000000002</v>
      </c>
      <c r="C60" s="41">
        <f t="shared" si="9"/>
        <v>0.86234263820470725</v>
      </c>
      <c r="D60" s="42">
        <f t="shared" si="13"/>
        <v>13.380845983018839</v>
      </c>
      <c r="E60" s="45">
        <v>8.1999999999999993</v>
      </c>
      <c r="F60" s="46">
        <f t="shared" si="14"/>
        <v>33.020799124247389</v>
      </c>
      <c r="G60" s="85">
        <v>2.1930000000000001</v>
      </c>
      <c r="H60" s="42">
        <f t="shared" si="5"/>
        <v>2.8064047257515381</v>
      </c>
      <c r="I60" s="45">
        <f t="shared" si="10"/>
        <v>145</v>
      </c>
      <c r="J60" s="41">
        <f t="shared" si="11"/>
        <v>5.2538067231433054E-2</v>
      </c>
      <c r="K60" s="41">
        <f t="shared" si="12"/>
        <v>0.12233328360435626</v>
      </c>
      <c r="L60" s="41">
        <f t="shared" si="6"/>
        <v>-0.17487135083578931</v>
      </c>
    </row>
    <row r="61" spans="1:12">
      <c r="A61" s="45">
        <f t="shared" si="15"/>
        <v>38</v>
      </c>
      <c r="B61" s="45">
        <v>331.1</v>
      </c>
      <c r="C61" s="41">
        <f t="shared" si="9"/>
        <v>0.9061302681992337</v>
      </c>
      <c r="D61" s="42">
        <f t="shared" si="13"/>
        <v>13.20597463218305</v>
      </c>
      <c r="E61" s="45">
        <v>8.1999999999999993</v>
      </c>
      <c r="F61" s="46">
        <f t="shared" si="14"/>
        <v>32.114668856048155</v>
      </c>
      <c r="G61" s="85">
        <v>2.1930000000000001</v>
      </c>
      <c r="H61" s="42">
        <f t="shared" si="5"/>
        <v>2.7293936195922832</v>
      </c>
      <c r="I61" s="45">
        <f t="shared" si="10"/>
        <v>145</v>
      </c>
      <c r="J61" s="41">
        <f t="shared" si="11"/>
        <v>4.9899280238452678E-2</v>
      </c>
      <c r="K61" s="41">
        <f t="shared" si="12"/>
        <v>0.12233328360435626</v>
      </c>
      <c r="L61" s="41">
        <f t="shared" si="6"/>
        <v>-0.17223256384280894</v>
      </c>
    </row>
    <row r="62" spans="1:12">
      <c r="A62" s="45">
        <f t="shared" si="15"/>
        <v>39</v>
      </c>
      <c r="B62" s="45">
        <v>347.5</v>
      </c>
      <c r="C62" s="41">
        <f t="shared" si="9"/>
        <v>0.95101258894362339</v>
      </c>
      <c r="D62" s="42">
        <f t="shared" si="13"/>
        <v>13.033742068340242</v>
      </c>
      <c r="E62" s="45">
        <v>8.1999999999999993</v>
      </c>
      <c r="F62" s="46">
        <f t="shared" si="14"/>
        <v>31.163656267104532</v>
      </c>
      <c r="G62" s="85">
        <v>2.1930000000000001</v>
      </c>
      <c r="H62" s="42">
        <f t="shared" si="5"/>
        <v>2.6485680098358926</v>
      </c>
      <c r="I62" s="45">
        <f t="shared" si="10"/>
        <v>145</v>
      </c>
      <c r="J62" s="41">
        <f t="shared" si="11"/>
        <v>4.7197211675944699E-2</v>
      </c>
      <c r="K62" s="41">
        <f t="shared" si="12"/>
        <v>0.12233328360435626</v>
      </c>
      <c r="L62" s="41">
        <f t="shared" si="6"/>
        <v>-0.16953049528030095</v>
      </c>
    </row>
    <row r="63" spans="1:12">
      <c r="A63" s="45">
        <f t="shared" si="15"/>
        <v>40</v>
      </c>
      <c r="B63" s="45">
        <v>363.7</v>
      </c>
      <c r="C63" s="41">
        <f t="shared" si="9"/>
        <v>0.99534756431308147</v>
      </c>
      <c r="D63" s="42">
        <f t="shared" si="13"/>
        <v>12.864211573059942</v>
      </c>
      <c r="E63" s="45">
        <v>8.1999999999999993</v>
      </c>
      <c r="F63" s="46">
        <f t="shared" si="14"/>
        <v>30.16830870279145</v>
      </c>
      <c r="G63" s="85">
        <v>2.1930000000000001</v>
      </c>
      <c r="H63" s="42">
        <f t="shared" si="5"/>
        <v>2.5639744148189161</v>
      </c>
      <c r="I63" s="45">
        <f t="shared" si="10"/>
        <v>145</v>
      </c>
      <c r="J63" s="41">
        <f t="shared" si="11"/>
        <v>4.4443461764775823E-2</v>
      </c>
      <c r="K63" s="41">
        <f t="shared" si="12"/>
        <v>0.12233328360435626</v>
      </c>
      <c r="L63" s="41">
        <f t="shared" si="6"/>
        <v>-0.16677674536913209</v>
      </c>
    </row>
    <row r="64" spans="1:12">
      <c r="A64" s="45">
        <f t="shared" si="15"/>
        <v>41</v>
      </c>
      <c r="B64" s="45">
        <v>379.9</v>
      </c>
      <c r="C64" s="41">
        <f t="shared" si="9"/>
        <v>1.0396825396825395</v>
      </c>
      <c r="D64" s="42">
        <f t="shared" si="13"/>
        <v>12.69743482769081</v>
      </c>
      <c r="E64" s="45">
        <v>8.1999999999999993</v>
      </c>
      <c r="F64" s="46">
        <f t="shared" si="14"/>
        <v>29.128626163108912</v>
      </c>
      <c r="G64" s="85">
        <v>2.1930000000000001</v>
      </c>
      <c r="H64" s="42">
        <f t="shared" si="5"/>
        <v>2.4756128345413542</v>
      </c>
      <c r="I64" s="45">
        <f t="shared" si="10"/>
        <v>145</v>
      </c>
      <c r="J64" s="41">
        <f t="shared" si="11"/>
        <v>4.1648574220435886E-2</v>
      </c>
      <c r="K64" s="41">
        <f t="shared" si="12"/>
        <v>0.12233328360435626</v>
      </c>
      <c r="L64" s="41">
        <f t="shared" si="6"/>
        <v>-0.16398185782479213</v>
      </c>
    </row>
    <row r="65" spans="1:12">
      <c r="A65" s="45">
        <f t="shared" si="15"/>
        <v>42</v>
      </c>
      <c r="B65" s="45">
        <v>396.1</v>
      </c>
      <c r="C65" s="41">
        <f t="shared" si="9"/>
        <v>1.0840175150519977</v>
      </c>
      <c r="D65" s="42">
        <f t="shared" si="13"/>
        <v>12.533452969866017</v>
      </c>
      <c r="E65" s="45">
        <v>8.1999999999999993</v>
      </c>
      <c r="F65" s="46">
        <f t="shared" si="14"/>
        <v>28.044608648056915</v>
      </c>
      <c r="G65" s="85">
        <v>2.1930000000000001</v>
      </c>
      <c r="H65" s="42">
        <f t="shared" si="5"/>
        <v>2.3834832690032064</v>
      </c>
      <c r="I65" s="45">
        <f t="shared" si="10"/>
        <v>145</v>
      </c>
      <c r="J65" s="41">
        <f t="shared" si="11"/>
        <v>3.8823667088929148E-2</v>
      </c>
      <c r="K65" s="41">
        <f t="shared" si="12"/>
        <v>0.12233328360435626</v>
      </c>
      <c r="L65" s="41">
        <f t="shared" si="6"/>
        <v>-0.16115695069328539</v>
      </c>
    </row>
    <row r="66" spans="1:12">
      <c r="A66" s="45">
        <f t="shared" ref="A66" si="16">A65+1</f>
        <v>43</v>
      </c>
      <c r="B66" s="45">
        <v>412.3</v>
      </c>
      <c r="C66" s="41">
        <f t="shared" si="9"/>
        <v>1.1283524904214559</v>
      </c>
      <c r="D66" s="42">
        <f t="shared" si="13"/>
        <v>12.372296019172731</v>
      </c>
      <c r="E66" s="45">
        <v>9.1999999999999993</v>
      </c>
      <c r="F66" s="46">
        <f t="shared" ref="F66" si="17">F65-C66</f>
        <v>26.916256157635459</v>
      </c>
      <c r="G66" s="85">
        <v>2.1930000000000001</v>
      </c>
      <c r="H66" s="42">
        <f t="shared" si="5"/>
        <v>2.2875857182044728</v>
      </c>
      <c r="I66" s="45">
        <f t="shared" si="10"/>
        <v>145</v>
      </c>
      <c r="J66" s="41">
        <f t="shared" si="11"/>
        <v>4.0368313603415501E-2</v>
      </c>
      <c r="K66" s="41">
        <f t="shared" si="12"/>
        <v>0.13725197672683873</v>
      </c>
      <c r="L66" s="41">
        <f t="shared" ref="L66" si="18">-K66-J66</f>
        <v>-0.17762029033025423</v>
      </c>
    </row>
    <row r="67" spans="1:12">
      <c r="A67" s="49" t="s">
        <v>189</v>
      </c>
      <c r="B67" s="45"/>
      <c r="C67" s="41"/>
      <c r="D67" s="42"/>
      <c r="E67" s="45"/>
      <c r="F67" s="46"/>
      <c r="G67" s="45"/>
      <c r="H67" s="42"/>
      <c r="I67" s="45"/>
      <c r="J67" s="41"/>
      <c r="K67" s="41"/>
      <c r="L67" s="41"/>
    </row>
    <row r="68" spans="1:12">
      <c r="A68" s="45">
        <f>A65+1</f>
        <v>43</v>
      </c>
      <c r="B68" s="45">
        <v>434</v>
      </c>
      <c r="C68" s="41">
        <f t="shared" ref="C68:C82" si="19">(B68/$B$13)*$B$12</f>
        <v>1.1877394636015326</v>
      </c>
      <c r="D68" s="42">
        <f>D65+L65</f>
        <v>12.372296019172731</v>
      </c>
      <c r="E68" s="45">
        <v>10</v>
      </c>
      <c r="F68" s="46">
        <f>F66-C68</f>
        <v>25.728516694033928</v>
      </c>
      <c r="G68" s="45">
        <v>1.72</v>
      </c>
      <c r="H68" s="42">
        <f t="shared" si="5"/>
        <v>3.5546581584012076</v>
      </c>
      <c r="I68" s="45">
        <f t="shared" ref="I68:I82" si="20">IF(G68&gt;5,$B$5,IF(5&gt;=G68&gt;1.5,$B$6,IF(1.5&gt;G68,$B$7,0)))</f>
        <v>145</v>
      </c>
      <c r="J68" s="41">
        <f t="shared" ref="J68:J82" si="21">(1050*((F68/I68)^1.852)*(E68/100)*(G68^-4.87))/2.31</f>
        <v>0.13176144759264977</v>
      </c>
      <c r="K68" s="41">
        <f t="shared" ref="K68:K82" si="22">E68*$B$10</f>
        <v>0.14918693122482474</v>
      </c>
      <c r="L68" s="41">
        <f t="shared" si="6"/>
        <v>-0.28094837881747448</v>
      </c>
    </row>
    <row r="69" spans="1:12">
      <c r="A69" s="45">
        <f t="shared" si="15"/>
        <v>44</v>
      </c>
      <c r="B69" s="45">
        <v>462.2</v>
      </c>
      <c r="C69" s="41">
        <f t="shared" si="19"/>
        <v>1.2649151614668854</v>
      </c>
      <c r="D69" s="42">
        <f t="shared" ref="D69:D82" si="23">D68+L68</f>
        <v>12.091347640355258</v>
      </c>
      <c r="E69" s="45">
        <v>12.1</v>
      </c>
      <c r="F69" s="46">
        <f t="shared" si="14"/>
        <v>24.463601532567044</v>
      </c>
      <c r="G69" s="85">
        <v>1.72</v>
      </c>
      <c r="H69" s="42">
        <f t="shared" si="5"/>
        <v>3.3798971703557417</v>
      </c>
      <c r="I69" s="45">
        <f t="shared" si="20"/>
        <v>145</v>
      </c>
      <c r="J69" s="41">
        <f t="shared" si="21"/>
        <v>0.14521964912257257</v>
      </c>
      <c r="K69" s="41">
        <f t="shared" si="22"/>
        <v>0.1805161867820379</v>
      </c>
      <c r="L69" s="41">
        <f t="shared" si="6"/>
        <v>-0.32573583590461047</v>
      </c>
    </row>
    <row r="70" spans="1:12">
      <c r="A70" s="45">
        <f t="shared" si="15"/>
        <v>45</v>
      </c>
      <c r="B70" s="45">
        <v>490.5</v>
      </c>
      <c r="C70" s="41">
        <f t="shared" si="19"/>
        <v>1.3423645320197044</v>
      </c>
      <c r="D70" s="42">
        <f t="shared" si="23"/>
        <v>11.765611804450646</v>
      </c>
      <c r="E70" s="45">
        <v>12.1</v>
      </c>
      <c r="F70" s="46">
        <f t="shared" si="14"/>
        <v>23.121237000547339</v>
      </c>
      <c r="G70" s="85">
        <v>1.72</v>
      </c>
      <c r="H70" s="42">
        <f t="shared" si="5"/>
        <v>3.1944357583343193</v>
      </c>
      <c r="I70" s="45">
        <f t="shared" si="20"/>
        <v>145</v>
      </c>
      <c r="J70" s="41">
        <f t="shared" si="21"/>
        <v>0.13080793991031076</v>
      </c>
      <c r="K70" s="41">
        <f t="shared" si="22"/>
        <v>0.1805161867820379</v>
      </c>
      <c r="L70" s="41">
        <f t="shared" si="6"/>
        <v>-0.31132412669234866</v>
      </c>
    </row>
    <row r="71" spans="1:12">
      <c r="A71" s="45">
        <f t="shared" si="15"/>
        <v>46</v>
      </c>
      <c r="B71" s="45">
        <v>518.70000000000005</v>
      </c>
      <c r="C71" s="41">
        <f t="shared" si="19"/>
        <v>1.4195402298850577</v>
      </c>
      <c r="D71" s="42">
        <f t="shared" si="23"/>
        <v>11.454287677758298</v>
      </c>
      <c r="E71" s="45">
        <v>12.1</v>
      </c>
      <c r="F71" s="46">
        <f t="shared" si="14"/>
        <v>21.701696770662281</v>
      </c>
      <c r="G71" s="85">
        <v>1.72</v>
      </c>
      <c r="H71" s="42">
        <f t="shared" si="5"/>
        <v>2.9983117330223692</v>
      </c>
      <c r="I71" s="45">
        <f t="shared" si="20"/>
        <v>145</v>
      </c>
      <c r="J71" s="41">
        <f t="shared" si="21"/>
        <v>0.11632469662711264</v>
      </c>
      <c r="K71" s="41">
        <f t="shared" si="22"/>
        <v>0.1805161867820379</v>
      </c>
      <c r="L71" s="41">
        <f t="shared" si="6"/>
        <v>-0.29684088340915055</v>
      </c>
    </row>
    <row r="72" spans="1:12">
      <c r="A72" s="45">
        <f t="shared" si="15"/>
        <v>47</v>
      </c>
      <c r="B72" s="45">
        <v>546.9</v>
      </c>
      <c r="C72" s="41">
        <f t="shared" si="19"/>
        <v>1.4967159277504105</v>
      </c>
      <c r="D72" s="42">
        <f t="shared" si="23"/>
        <v>11.157446794349148</v>
      </c>
      <c r="E72" s="45">
        <v>12.1</v>
      </c>
      <c r="F72" s="46">
        <f t="shared" si="14"/>
        <v>20.204980842911869</v>
      </c>
      <c r="G72" s="85">
        <v>1.72</v>
      </c>
      <c r="H72" s="42">
        <f t="shared" si="5"/>
        <v>2.7915250944198902</v>
      </c>
      <c r="I72" s="45">
        <f t="shared" si="20"/>
        <v>145</v>
      </c>
      <c r="J72" s="41">
        <f t="shared" si="21"/>
        <v>0.10190480197059983</v>
      </c>
      <c r="K72" s="41">
        <f t="shared" si="22"/>
        <v>0.1805161867820379</v>
      </c>
      <c r="L72" s="41">
        <f t="shared" si="6"/>
        <v>-0.28242098875263771</v>
      </c>
    </row>
    <row r="73" spans="1:12">
      <c r="A73" s="45">
        <f t="shared" si="15"/>
        <v>48</v>
      </c>
      <c r="B73" s="45">
        <v>575.20000000000005</v>
      </c>
      <c r="C73" s="41">
        <f t="shared" si="19"/>
        <v>1.5741652983032295</v>
      </c>
      <c r="D73" s="42">
        <f t="shared" si="23"/>
        <v>10.875025805596511</v>
      </c>
      <c r="E73" s="45">
        <v>12.1</v>
      </c>
      <c r="F73" s="46">
        <f t="shared" si="14"/>
        <v>18.630815544608641</v>
      </c>
      <c r="G73" s="85">
        <v>1.72</v>
      </c>
      <c r="H73" s="42">
        <f t="shared" si="5"/>
        <v>2.5740380318414564</v>
      </c>
      <c r="I73" s="45">
        <f t="shared" si="20"/>
        <v>145</v>
      </c>
      <c r="J73" s="41">
        <f t="shared" si="21"/>
        <v>8.7691001267399163E-2</v>
      </c>
      <c r="K73" s="41">
        <f t="shared" si="22"/>
        <v>0.1805161867820379</v>
      </c>
      <c r="L73" s="41">
        <f t="shared" si="6"/>
        <v>-0.26820718804943705</v>
      </c>
    </row>
    <row r="74" spans="1:12">
      <c r="A74" s="45">
        <f t="shared" si="15"/>
        <v>49</v>
      </c>
      <c r="B74" s="45">
        <v>603.4</v>
      </c>
      <c r="C74" s="41">
        <f t="shared" si="19"/>
        <v>1.6513409961685823</v>
      </c>
      <c r="D74" s="42">
        <f t="shared" si="23"/>
        <v>10.606818617547074</v>
      </c>
      <c r="E74" s="45">
        <v>12.1</v>
      </c>
      <c r="F74" s="46">
        <f t="shared" si="14"/>
        <v>16.979474548440059</v>
      </c>
      <c r="G74" s="85">
        <v>1.72</v>
      </c>
      <c r="H74" s="42">
        <f t="shared" si="5"/>
        <v>2.3458883559724937</v>
      </c>
      <c r="I74" s="45">
        <f t="shared" si="20"/>
        <v>145</v>
      </c>
      <c r="J74" s="41">
        <f t="shared" si="21"/>
        <v>7.3842317291437032E-2</v>
      </c>
      <c r="K74" s="41">
        <f t="shared" si="22"/>
        <v>0.1805161867820379</v>
      </c>
      <c r="L74" s="41">
        <f t="shared" si="6"/>
        <v>-0.25435850407347493</v>
      </c>
    </row>
    <row r="75" spans="1:12">
      <c r="A75" s="45">
        <f t="shared" si="15"/>
        <v>50</v>
      </c>
      <c r="B75" s="45">
        <v>631.70000000000005</v>
      </c>
      <c r="C75" s="41">
        <f t="shared" si="19"/>
        <v>1.7287903667214013</v>
      </c>
      <c r="D75" s="42">
        <f t="shared" si="23"/>
        <v>10.352460113473599</v>
      </c>
      <c r="E75" s="45">
        <v>12.1</v>
      </c>
      <c r="F75" s="46">
        <f t="shared" si="14"/>
        <v>15.250684181718658</v>
      </c>
      <c r="G75" s="85">
        <v>1.72</v>
      </c>
      <c r="H75" s="42">
        <f t="shared" si="5"/>
        <v>2.1070382561275758</v>
      </c>
      <c r="I75" s="45">
        <f t="shared" si="20"/>
        <v>145</v>
      </c>
      <c r="J75" s="41">
        <f t="shared" si="21"/>
        <v>6.0525369247306351E-2</v>
      </c>
      <c r="K75" s="41">
        <f t="shared" si="22"/>
        <v>0.1805161867820379</v>
      </c>
      <c r="L75" s="41">
        <f t="shared" si="6"/>
        <v>-0.24104155602934424</v>
      </c>
    </row>
    <row r="76" spans="1:12">
      <c r="A76" s="45">
        <f t="shared" si="15"/>
        <v>51</v>
      </c>
      <c r="B76" s="45">
        <v>660</v>
      </c>
      <c r="C76" s="41">
        <f t="shared" si="19"/>
        <v>1.80623973727422</v>
      </c>
      <c r="D76" s="42">
        <f t="shared" si="23"/>
        <v>10.111418557444255</v>
      </c>
      <c r="E76" s="45">
        <v>12.1</v>
      </c>
      <c r="F76" s="46">
        <f t="shared" si="14"/>
        <v>13.444444444444438</v>
      </c>
      <c r="G76" s="85">
        <v>1.72</v>
      </c>
      <c r="H76" s="42">
        <f t="shared" si="5"/>
        <v>1.8574877323067021</v>
      </c>
      <c r="I76" s="45">
        <f t="shared" si="20"/>
        <v>145</v>
      </c>
      <c r="J76" s="41">
        <f t="shared" si="21"/>
        <v>4.7923330380503025E-2</v>
      </c>
      <c r="K76" s="41">
        <f t="shared" si="22"/>
        <v>0.1805161867820379</v>
      </c>
      <c r="L76" s="41">
        <f t="shared" si="6"/>
        <v>-0.22843951716254093</v>
      </c>
    </row>
    <row r="77" spans="1:12">
      <c r="A77" s="45">
        <f t="shared" si="15"/>
        <v>52</v>
      </c>
      <c r="B77" s="45">
        <v>688.2</v>
      </c>
      <c r="C77" s="41">
        <f t="shared" si="19"/>
        <v>1.8834154351395731</v>
      </c>
      <c r="D77" s="42">
        <f t="shared" si="23"/>
        <v>9.8829790402817146</v>
      </c>
      <c r="E77" s="45">
        <v>12.1</v>
      </c>
      <c r="F77" s="46">
        <f t="shared" si="14"/>
        <v>11.561029009304864</v>
      </c>
      <c r="G77" s="85">
        <v>1.72</v>
      </c>
      <c r="H77" s="42">
        <f t="shared" si="5"/>
        <v>1.5972745951953002</v>
      </c>
      <c r="I77" s="45">
        <f t="shared" si="20"/>
        <v>145</v>
      </c>
      <c r="J77" s="41">
        <f t="shared" si="21"/>
        <v>3.623724014906083E-2</v>
      </c>
      <c r="K77" s="41">
        <f t="shared" si="22"/>
        <v>0.1805161867820379</v>
      </c>
      <c r="L77" s="41">
        <f t="shared" si="6"/>
        <v>-0.21675342693109872</v>
      </c>
    </row>
    <row r="78" spans="1:12">
      <c r="A78" s="45">
        <f t="shared" si="15"/>
        <v>53</v>
      </c>
      <c r="B78" s="45">
        <v>716.4</v>
      </c>
      <c r="C78" s="41">
        <f t="shared" si="19"/>
        <v>1.9605911330049259</v>
      </c>
      <c r="D78" s="42">
        <f t="shared" si="23"/>
        <v>9.6662256133506155</v>
      </c>
      <c r="E78" s="45">
        <v>12.1</v>
      </c>
      <c r="F78" s="46">
        <f t="shared" si="14"/>
        <v>9.6004378762999387</v>
      </c>
      <c r="G78" s="85">
        <v>1.72</v>
      </c>
      <c r="H78" s="42">
        <f t="shared" si="5"/>
        <v>1.3263988447933703</v>
      </c>
      <c r="I78" s="45">
        <f t="shared" si="20"/>
        <v>145</v>
      </c>
      <c r="J78" s="41">
        <f t="shared" si="21"/>
        <v>2.5685535360504278E-2</v>
      </c>
      <c r="K78" s="41">
        <f t="shared" si="22"/>
        <v>0.1805161867820379</v>
      </c>
      <c r="L78" s="41">
        <f t="shared" si="6"/>
        <v>-0.20620172214254218</v>
      </c>
    </row>
    <row r="79" spans="1:12">
      <c r="A79" s="45">
        <f t="shared" si="15"/>
        <v>54</v>
      </c>
      <c r="B79" s="45">
        <v>744.7</v>
      </c>
      <c r="C79" s="41">
        <f t="shared" si="19"/>
        <v>2.0380405035577449</v>
      </c>
      <c r="D79" s="42">
        <f t="shared" si="23"/>
        <v>9.4600238912080741</v>
      </c>
      <c r="E79" s="45">
        <v>12.1</v>
      </c>
      <c r="F79" s="46">
        <f t="shared" si="14"/>
        <v>7.5623973727421934</v>
      </c>
      <c r="G79" s="85">
        <v>1.72</v>
      </c>
      <c r="H79" s="42">
        <f t="shared" si="5"/>
        <v>1.0448226704154842</v>
      </c>
      <c r="I79" s="45">
        <f t="shared" si="20"/>
        <v>145</v>
      </c>
      <c r="J79" s="41">
        <f t="shared" si="21"/>
        <v>1.6510605317797869E-2</v>
      </c>
      <c r="K79" s="41">
        <f t="shared" si="22"/>
        <v>0.1805161867820379</v>
      </c>
      <c r="L79" s="41">
        <f t="shared" si="6"/>
        <v>-0.19702679209983576</v>
      </c>
    </row>
    <row r="80" spans="1:12">
      <c r="A80" s="45">
        <f t="shared" si="15"/>
        <v>55</v>
      </c>
      <c r="B80" s="45">
        <v>772.9</v>
      </c>
      <c r="C80" s="41">
        <f t="shared" si="19"/>
        <v>2.115216201423098</v>
      </c>
      <c r="D80" s="42">
        <f t="shared" si="23"/>
        <v>9.2629970991082384</v>
      </c>
      <c r="E80" s="45">
        <v>12.1</v>
      </c>
      <c r="F80" s="46">
        <f t="shared" si="14"/>
        <v>5.4471811713190954</v>
      </c>
      <c r="G80" s="85">
        <v>1.72</v>
      </c>
      <c r="H80" s="42">
        <f t="shared" si="5"/>
        <v>0.75258388274707022</v>
      </c>
      <c r="I80" s="45">
        <f t="shared" si="20"/>
        <v>145</v>
      </c>
      <c r="J80" s="41">
        <f t="shared" si="21"/>
        <v>8.992404277806551E-3</v>
      </c>
      <c r="K80" s="41">
        <f t="shared" si="22"/>
        <v>0.1805161867820379</v>
      </c>
      <c r="L80" s="41">
        <f t="shared" si="6"/>
        <v>-0.18950859105984447</v>
      </c>
    </row>
    <row r="81" spans="1:12">
      <c r="A81" s="45">
        <f t="shared" si="15"/>
        <v>56</v>
      </c>
      <c r="B81" s="45">
        <v>801.2</v>
      </c>
      <c r="C81" s="41">
        <f t="shared" si="19"/>
        <v>2.1926655719759167</v>
      </c>
      <c r="D81" s="42">
        <f t="shared" si="23"/>
        <v>9.0734885080483938</v>
      </c>
      <c r="E81" s="45">
        <v>12.1</v>
      </c>
      <c r="F81" s="46">
        <f t="shared" si="14"/>
        <v>3.2545155993431787</v>
      </c>
      <c r="G81" s="85">
        <v>1.72</v>
      </c>
      <c r="H81" s="42">
        <f t="shared" si="5"/>
        <v>0.44964467110270057</v>
      </c>
      <c r="I81" s="45">
        <f t="shared" si="20"/>
        <v>145</v>
      </c>
      <c r="J81" s="41">
        <f t="shared" si="21"/>
        <v>3.4642589450962582E-3</v>
      </c>
      <c r="K81" s="41">
        <f t="shared" si="22"/>
        <v>0.1805161867820379</v>
      </c>
      <c r="L81" s="41">
        <f t="shared" si="6"/>
        <v>-0.18398044572713415</v>
      </c>
    </row>
    <row r="82" spans="1:12">
      <c r="A82" s="45">
        <f t="shared" si="15"/>
        <v>57</v>
      </c>
      <c r="B82" s="45">
        <v>829.4</v>
      </c>
      <c r="C82" s="41">
        <f t="shared" si="19"/>
        <v>2.2698412698412702</v>
      </c>
      <c r="D82" s="42">
        <f t="shared" si="23"/>
        <v>8.8895080623212603</v>
      </c>
      <c r="E82" s="45">
        <v>12.1</v>
      </c>
      <c r="F82" s="46">
        <f t="shared" si="14"/>
        <v>0.98467432950190847</v>
      </c>
      <c r="G82" s="85">
        <v>1.72</v>
      </c>
      <c r="H82" s="42">
        <f t="shared" si="5"/>
        <v>0.13604284616780257</v>
      </c>
      <c r="I82" s="45">
        <f t="shared" si="20"/>
        <v>145</v>
      </c>
      <c r="J82" s="41">
        <f t="shared" si="21"/>
        <v>3.7849795531110138E-4</v>
      </c>
      <c r="K82" s="41">
        <f t="shared" si="22"/>
        <v>0.1805161867820379</v>
      </c>
      <c r="L82" s="41">
        <f t="shared" si="6"/>
        <v>-0.18089468473734902</v>
      </c>
    </row>
    <row r="83" spans="1:12">
      <c r="A83" s="45"/>
      <c r="B83" s="45"/>
      <c r="C83" s="41"/>
      <c r="D83" s="42"/>
      <c r="E83" s="45"/>
      <c r="F83" s="46"/>
      <c r="G83" s="45"/>
      <c r="H83" s="42"/>
      <c r="I83" s="41"/>
      <c r="J83" s="41"/>
      <c r="K83" s="41"/>
    </row>
    <row r="84" spans="1:12">
      <c r="A84" s="47"/>
      <c r="B84" s="47"/>
      <c r="C84" s="41"/>
      <c r="D84" s="42"/>
      <c r="E84" s="47"/>
      <c r="F84" s="46"/>
      <c r="G84" s="47"/>
      <c r="H84" s="47"/>
      <c r="I84" s="41"/>
      <c r="J84" s="41"/>
      <c r="K84" s="41"/>
    </row>
    <row r="85" spans="1:12">
      <c r="A85" s="47"/>
      <c r="B85" s="47"/>
      <c r="C85" s="57" t="s">
        <v>124</v>
      </c>
      <c r="D85" s="63">
        <f>AVERAGE(D68:D82,D35:D66,D22:D33)</f>
        <v>15.483899161670868</v>
      </c>
      <c r="E85" s="47" t="s">
        <v>199</v>
      </c>
      <c r="F85" s="46"/>
      <c r="G85" s="47"/>
      <c r="H85" s="47"/>
      <c r="I85" s="41"/>
      <c r="J85" s="41"/>
      <c r="K85" s="41"/>
    </row>
    <row r="86" spans="1:12">
      <c r="A86" s="47"/>
      <c r="B86" s="47"/>
      <c r="C86" s="57" t="s">
        <v>125</v>
      </c>
      <c r="D86" s="63">
        <f>MAX(D68:D82,D35:D66,D22:D33)</f>
        <v>25</v>
      </c>
      <c r="E86" s="47" t="s">
        <v>199</v>
      </c>
      <c r="F86" s="46"/>
      <c r="G86" s="47"/>
      <c r="H86" s="47"/>
      <c r="I86" s="41"/>
      <c r="J86" s="41"/>
      <c r="K86" s="41"/>
    </row>
    <row r="87" spans="1:12" ht="30">
      <c r="C87" s="44" t="s">
        <v>194</v>
      </c>
      <c r="D87" s="63">
        <f>AVERAGE(D68:D82,D35:D66,D22:D33)</f>
        <v>15.483899161670868</v>
      </c>
      <c r="E87" s="47"/>
    </row>
    <row r="88" spans="1:12" ht="30">
      <c r="C88" s="24" t="s">
        <v>193</v>
      </c>
      <c r="D88" s="62">
        <f>SUM(C68:C82,C35:C66,C23:C33)</f>
        <v>51.0153256704981</v>
      </c>
    </row>
    <row r="89" spans="1:12" ht="60">
      <c r="C89" s="26" t="s">
        <v>195</v>
      </c>
      <c r="D89" s="64">
        <f>SUM(E68:E82,E35:E66,E23:E33)</f>
        <v>668.19999999999982</v>
      </c>
    </row>
    <row r="91" spans="1:12">
      <c r="A91" s="1"/>
    </row>
    <row r="99" spans="1:12">
      <c r="B99" s="3"/>
    </row>
    <row r="101" spans="1:12">
      <c r="B101" s="21"/>
    </row>
    <row r="102" spans="1:12">
      <c r="B102" s="12"/>
    </row>
    <row r="104" spans="1:12">
      <c r="A104" s="1"/>
    </row>
    <row r="105" spans="1:12">
      <c r="A105" s="27"/>
      <c r="B105" s="44"/>
      <c r="C105" s="24"/>
      <c r="D105" s="24"/>
      <c r="E105" s="27"/>
      <c r="F105" s="24"/>
      <c r="G105" s="26"/>
      <c r="H105" s="24"/>
      <c r="I105" s="26"/>
      <c r="J105" s="27"/>
      <c r="K105" s="24"/>
      <c r="L105" s="24"/>
    </row>
    <row r="106" spans="1:12">
      <c r="A106" s="40"/>
      <c r="B106" s="52"/>
      <c r="C106" s="43"/>
      <c r="D106" s="43"/>
      <c r="E106" s="52"/>
      <c r="F106" s="42"/>
      <c r="G106" s="52"/>
      <c r="H106" s="42"/>
      <c r="I106" s="52"/>
      <c r="J106" s="46"/>
      <c r="K106" s="41"/>
      <c r="L106" s="41"/>
    </row>
    <row r="107" spans="1:12">
      <c r="A107" s="52"/>
      <c r="B107" s="52"/>
      <c r="C107" s="41"/>
      <c r="D107" s="42"/>
      <c r="E107" s="52"/>
      <c r="F107" s="46"/>
      <c r="G107" s="52"/>
      <c r="H107" s="42"/>
      <c r="I107" s="52"/>
      <c r="J107" s="41"/>
      <c r="K107" s="41"/>
      <c r="L107" s="41"/>
    </row>
    <row r="108" spans="1:12">
      <c r="A108" s="52"/>
      <c r="B108" s="52"/>
      <c r="C108" s="41"/>
      <c r="D108" s="42"/>
      <c r="E108" s="52"/>
      <c r="F108" s="46"/>
      <c r="G108" s="52"/>
      <c r="H108" s="42"/>
      <c r="I108" s="52"/>
      <c r="J108" s="41"/>
      <c r="K108" s="41"/>
      <c r="L108" s="41"/>
    </row>
    <row r="109" spans="1:12">
      <c r="A109" s="52"/>
      <c r="B109" s="52"/>
      <c r="C109" s="41"/>
      <c r="D109" s="42"/>
      <c r="E109" s="52"/>
      <c r="F109" s="46"/>
      <c r="G109" s="52"/>
      <c r="H109" s="42"/>
      <c r="I109" s="52"/>
      <c r="J109" s="41"/>
      <c r="K109" s="41"/>
      <c r="L109" s="41"/>
    </row>
    <row r="110" spans="1:12">
      <c r="A110" s="52"/>
      <c r="B110" s="52"/>
      <c r="C110" s="41"/>
      <c r="D110" s="42"/>
      <c r="E110" s="52"/>
      <c r="F110" s="46"/>
      <c r="G110" s="52"/>
      <c r="H110" s="42"/>
      <c r="I110" s="52"/>
      <c r="J110" s="41"/>
      <c r="K110" s="41"/>
      <c r="L110" s="41"/>
    </row>
    <row r="111" spans="1:12">
      <c r="A111" s="52"/>
      <c r="B111" s="52"/>
      <c r="C111" s="41"/>
      <c r="D111" s="42"/>
      <c r="E111" s="52"/>
      <c r="F111" s="46"/>
      <c r="G111" s="52"/>
      <c r="H111" s="42"/>
      <c r="I111" s="52"/>
      <c r="J111" s="41"/>
      <c r="K111" s="41"/>
      <c r="L111" s="41"/>
    </row>
    <row r="112" spans="1:12">
      <c r="A112" s="52"/>
      <c r="B112" s="52"/>
      <c r="C112" s="41"/>
      <c r="D112" s="42"/>
      <c r="E112" s="52"/>
      <c r="F112" s="46"/>
      <c r="G112" s="52"/>
      <c r="H112" s="42"/>
      <c r="I112" s="52"/>
      <c r="J112" s="41"/>
      <c r="K112" s="41"/>
      <c r="L112" s="41"/>
    </row>
    <row r="113" spans="1:12">
      <c r="A113" s="52"/>
      <c r="B113" s="52"/>
      <c r="C113" s="41"/>
      <c r="D113" s="42"/>
      <c r="E113" s="52"/>
      <c r="F113" s="46"/>
      <c r="G113" s="52"/>
      <c r="H113" s="42"/>
      <c r="I113" s="52"/>
      <c r="J113" s="41"/>
      <c r="K113" s="41"/>
      <c r="L113" s="41"/>
    </row>
    <row r="114" spans="1:12">
      <c r="A114" s="52"/>
      <c r="B114" s="52"/>
      <c r="C114" s="41"/>
      <c r="D114" s="42"/>
      <c r="E114" s="52"/>
      <c r="F114" s="46"/>
      <c r="G114" s="52"/>
      <c r="H114" s="42"/>
      <c r="I114" s="52"/>
      <c r="J114" s="41"/>
      <c r="K114" s="41"/>
      <c r="L114" s="41"/>
    </row>
    <row r="115" spans="1:12">
      <c r="A115" s="52"/>
      <c r="B115" s="52"/>
      <c r="C115" s="41"/>
      <c r="D115" s="42"/>
      <c r="E115" s="52"/>
      <c r="F115" s="46"/>
      <c r="G115" s="52"/>
      <c r="H115" s="42"/>
      <c r="I115" s="52"/>
      <c r="J115" s="41"/>
      <c r="K115" s="41"/>
      <c r="L115" s="41"/>
    </row>
    <row r="116" spans="1:12">
      <c r="A116" s="52"/>
      <c r="B116" s="52"/>
      <c r="C116" s="41"/>
      <c r="D116" s="42"/>
      <c r="E116" s="52"/>
      <c r="F116" s="46"/>
      <c r="G116" s="52"/>
      <c r="H116" s="42"/>
      <c r="I116" s="52"/>
      <c r="J116" s="41"/>
      <c r="K116" s="41"/>
      <c r="L116" s="41"/>
    </row>
    <row r="117" spans="1:12">
      <c r="A117" s="52"/>
      <c r="B117" s="52"/>
      <c r="C117" s="41"/>
      <c r="D117" s="42"/>
      <c r="E117" s="52"/>
      <c r="F117" s="46"/>
      <c r="G117" s="52"/>
      <c r="H117" s="42"/>
      <c r="I117" s="52"/>
      <c r="J117" s="41"/>
      <c r="K117" s="41"/>
      <c r="L117" s="41"/>
    </row>
    <row r="118" spans="1:12">
      <c r="A118" s="48"/>
      <c r="B118" s="52"/>
      <c r="C118" s="41"/>
      <c r="D118" s="42"/>
      <c r="E118" s="52"/>
      <c r="F118" s="46"/>
      <c r="G118" s="52"/>
      <c r="H118" s="42"/>
      <c r="I118" s="52"/>
      <c r="J118" s="41"/>
      <c r="K118" s="41"/>
      <c r="L118" s="41"/>
    </row>
    <row r="119" spans="1:12">
      <c r="A119" s="52"/>
      <c r="B119" s="52"/>
      <c r="C119" s="41"/>
      <c r="D119" s="42"/>
      <c r="E119" s="52"/>
      <c r="F119" s="46"/>
      <c r="G119" s="52"/>
      <c r="H119" s="42"/>
      <c r="I119" s="52"/>
      <c r="J119" s="41"/>
      <c r="K119" s="41"/>
      <c r="L119" s="41"/>
    </row>
    <row r="120" spans="1:12">
      <c r="A120" s="52"/>
      <c r="B120" s="52"/>
      <c r="C120" s="41"/>
      <c r="D120" s="42"/>
      <c r="E120" s="52"/>
      <c r="F120" s="46"/>
      <c r="G120" s="52"/>
      <c r="H120" s="42"/>
      <c r="I120" s="52"/>
      <c r="J120" s="41"/>
      <c r="K120" s="41"/>
      <c r="L120" s="41"/>
    </row>
    <row r="121" spans="1:12">
      <c r="A121" s="52"/>
      <c r="B121" s="52"/>
      <c r="C121" s="41"/>
      <c r="D121" s="42"/>
      <c r="E121" s="52"/>
      <c r="F121" s="46"/>
      <c r="G121" s="52"/>
      <c r="H121" s="42"/>
      <c r="I121" s="52"/>
      <c r="J121" s="41"/>
      <c r="K121" s="41"/>
      <c r="L121" s="41"/>
    </row>
    <row r="122" spans="1:12">
      <c r="A122" s="52"/>
      <c r="B122" s="52"/>
      <c r="C122" s="41"/>
      <c r="D122" s="42"/>
      <c r="E122" s="52"/>
      <c r="F122" s="46"/>
      <c r="G122" s="52"/>
      <c r="H122" s="42"/>
      <c r="I122" s="52"/>
      <c r="J122" s="41"/>
      <c r="K122" s="41"/>
      <c r="L122" s="41"/>
    </row>
    <row r="123" spans="1:12">
      <c r="A123" s="52"/>
      <c r="B123" s="52"/>
      <c r="C123" s="41"/>
      <c r="D123" s="42"/>
      <c r="E123" s="52"/>
      <c r="F123" s="46"/>
      <c r="G123" s="52"/>
      <c r="H123" s="42"/>
      <c r="I123" s="52"/>
      <c r="J123" s="41"/>
      <c r="K123" s="41"/>
      <c r="L123" s="41"/>
    </row>
    <row r="124" spans="1:12">
      <c r="A124" s="52"/>
      <c r="B124" s="52"/>
      <c r="C124" s="41"/>
      <c r="D124" s="42"/>
      <c r="E124" s="52"/>
      <c r="F124" s="46"/>
      <c r="G124" s="52"/>
      <c r="H124" s="42"/>
      <c r="I124" s="52"/>
      <c r="J124" s="41"/>
      <c r="K124" s="41"/>
      <c r="L124" s="41"/>
    </row>
    <row r="125" spans="1:12">
      <c r="A125" s="52"/>
      <c r="B125" s="52"/>
      <c r="C125" s="41"/>
      <c r="D125" s="42"/>
      <c r="E125" s="52"/>
      <c r="F125" s="46"/>
      <c r="G125" s="52"/>
      <c r="H125" s="42"/>
      <c r="I125" s="52"/>
      <c r="J125" s="41"/>
      <c r="K125" s="41"/>
      <c r="L125" s="41"/>
    </row>
    <row r="126" spans="1:12">
      <c r="A126" s="52"/>
      <c r="B126" s="52"/>
      <c r="C126" s="41"/>
      <c r="D126" s="42"/>
      <c r="E126" s="52"/>
      <c r="F126" s="46"/>
      <c r="G126" s="52"/>
      <c r="H126" s="42"/>
      <c r="I126" s="52"/>
      <c r="J126" s="41"/>
      <c r="K126" s="41"/>
      <c r="L126" s="41"/>
    </row>
    <row r="127" spans="1:12">
      <c r="A127" s="52"/>
      <c r="B127" s="52"/>
      <c r="C127" s="41"/>
      <c r="D127" s="42"/>
      <c r="E127" s="52"/>
      <c r="F127" s="46"/>
      <c r="G127" s="52"/>
      <c r="H127" s="42"/>
      <c r="I127" s="52"/>
      <c r="J127" s="41"/>
      <c r="K127" s="41"/>
      <c r="L127" s="41"/>
    </row>
    <row r="128" spans="1:12">
      <c r="A128" s="52"/>
      <c r="B128" s="52"/>
      <c r="C128" s="41"/>
      <c r="D128" s="42"/>
      <c r="E128" s="52"/>
      <c r="F128" s="46"/>
      <c r="G128" s="52"/>
      <c r="H128" s="42"/>
      <c r="I128" s="52"/>
      <c r="J128" s="41"/>
      <c r="K128" s="41"/>
      <c r="L128" s="41"/>
    </row>
    <row r="129" spans="1:12">
      <c r="A129" s="52"/>
      <c r="B129" s="52"/>
      <c r="C129" s="41"/>
      <c r="D129" s="42"/>
      <c r="E129" s="52"/>
      <c r="F129" s="46"/>
      <c r="G129" s="52"/>
      <c r="H129" s="42"/>
      <c r="I129" s="52"/>
      <c r="J129" s="41"/>
      <c r="K129" s="41"/>
      <c r="L129" s="41"/>
    </row>
    <row r="130" spans="1:12">
      <c r="A130" s="52"/>
      <c r="B130" s="52"/>
      <c r="C130" s="41"/>
      <c r="D130" s="42"/>
      <c r="E130" s="52"/>
      <c r="F130" s="46"/>
      <c r="G130" s="52"/>
      <c r="H130" s="42"/>
      <c r="I130" s="52"/>
      <c r="J130" s="41"/>
      <c r="K130" s="41"/>
      <c r="L130" s="41"/>
    </row>
    <row r="131" spans="1:12">
      <c r="A131" s="52"/>
      <c r="B131" s="52"/>
      <c r="C131" s="41"/>
      <c r="D131" s="42"/>
      <c r="E131" s="52"/>
      <c r="F131" s="46"/>
      <c r="G131" s="52"/>
      <c r="H131" s="42"/>
      <c r="I131" s="52"/>
      <c r="J131" s="41"/>
      <c r="K131" s="41"/>
      <c r="L131" s="41"/>
    </row>
    <row r="132" spans="1:12">
      <c r="A132" s="52"/>
      <c r="B132" s="52"/>
      <c r="C132" s="41"/>
      <c r="D132" s="42"/>
      <c r="E132" s="52"/>
      <c r="F132" s="46"/>
      <c r="G132" s="52"/>
      <c r="H132" s="42"/>
      <c r="I132" s="52"/>
      <c r="J132" s="41"/>
      <c r="K132" s="41"/>
      <c r="L132" s="41"/>
    </row>
    <row r="133" spans="1:12">
      <c r="A133" s="52"/>
      <c r="B133" s="52"/>
      <c r="C133" s="41"/>
      <c r="D133" s="42"/>
      <c r="E133" s="52"/>
      <c r="F133" s="46"/>
      <c r="G133" s="52"/>
      <c r="H133" s="42"/>
      <c r="I133" s="52"/>
      <c r="J133" s="41"/>
      <c r="K133" s="41"/>
      <c r="L133" s="41"/>
    </row>
    <row r="134" spans="1:12">
      <c r="A134" s="52"/>
      <c r="B134" s="52"/>
      <c r="C134" s="41"/>
      <c r="D134" s="42"/>
      <c r="E134" s="52"/>
      <c r="F134" s="46"/>
      <c r="G134" s="52"/>
      <c r="H134" s="42"/>
      <c r="I134" s="52"/>
      <c r="J134" s="41"/>
      <c r="K134" s="41"/>
      <c r="L134" s="41"/>
    </row>
    <row r="135" spans="1:12">
      <c r="A135" s="52"/>
      <c r="B135" s="52"/>
      <c r="C135" s="41"/>
      <c r="D135" s="42"/>
      <c r="E135" s="52"/>
      <c r="F135" s="46"/>
      <c r="G135" s="52"/>
      <c r="H135" s="42"/>
      <c r="I135" s="52"/>
      <c r="J135" s="41"/>
      <c r="K135" s="41"/>
      <c r="L135" s="41"/>
    </row>
    <row r="136" spans="1:12">
      <c r="A136" s="52"/>
      <c r="B136" s="52"/>
      <c r="C136" s="41"/>
      <c r="D136" s="42"/>
      <c r="E136" s="52"/>
      <c r="F136" s="46"/>
      <c r="G136" s="52"/>
      <c r="H136" s="42"/>
      <c r="I136" s="52"/>
      <c r="J136" s="41"/>
      <c r="K136" s="41"/>
      <c r="L136" s="41"/>
    </row>
    <row r="137" spans="1:12">
      <c r="A137" s="52"/>
      <c r="B137" s="52"/>
      <c r="C137" s="41"/>
      <c r="D137" s="42"/>
      <c r="E137" s="52"/>
      <c r="F137" s="46"/>
      <c r="G137" s="52"/>
      <c r="H137" s="42"/>
      <c r="I137" s="52"/>
      <c r="J137" s="41"/>
      <c r="K137" s="41"/>
      <c r="L137" s="41"/>
    </row>
    <row r="138" spans="1:12">
      <c r="A138" s="52"/>
      <c r="B138" s="52"/>
      <c r="C138" s="41"/>
      <c r="D138" s="42"/>
      <c r="E138" s="52"/>
      <c r="F138" s="46"/>
      <c r="G138" s="52"/>
      <c r="H138" s="42"/>
      <c r="I138" s="52"/>
      <c r="J138" s="41"/>
      <c r="K138" s="41"/>
      <c r="L138" s="41"/>
    </row>
    <row r="139" spans="1:12">
      <c r="A139" s="52"/>
      <c r="B139" s="52"/>
      <c r="C139" s="41"/>
      <c r="D139" s="42"/>
      <c r="E139" s="52"/>
      <c r="F139" s="46"/>
      <c r="G139" s="52"/>
      <c r="H139" s="42"/>
      <c r="I139" s="52"/>
      <c r="J139" s="41"/>
      <c r="K139" s="41"/>
      <c r="L139" s="41"/>
    </row>
    <row r="140" spans="1:12">
      <c r="A140" s="52"/>
      <c r="B140" s="52"/>
      <c r="C140" s="41"/>
      <c r="D140" s="42"/>
      <c r="E140" s="52"/>
      <c r="F140" s="46"/>
      <c r="G140" s="52"/>
      <c r="H140" s="42"/>
      <c r="I140" s="52"/>
      <c r="J140" s="41"/>
      <c r="K140" s="41"/>
      <c r="L140" s="41"/>
    </row>
    <row r="141" spans="1:12">
      <c r="A141" s="52"/>
      <c r="B141" s="52"/>
      <c r="C141" s="41"/>
      <c r="D141" s="42"/>
      <c r="E141" s="52"/>
      <c r="F141" s="46"/>
      <c r="G141" s="52"/>
      <c r="H141" s="42"/>
      <c r="I141" s="52"/>
      <c r="J141" s="41"/>
      <c r="K141" s="41"/>
      <c r="L141" s="41"/>
    </row>
    <row r="142" spans="1:12">
      <c r="A142" s="52"/>
      <c r="B142" s="52"/>
      <c r="C142" s="41"/>
      <c r="D142" s="42"/>
      <c r="E142" s="52"/>
      <c r="F142" s="46"/>
      <c r="G142" s="52"/>
      <c r="H142" s="42"/>
      <c r="I142" s="52"/>
      <c r="J142" s="41"/>
      <c r="K142" s="41"/>
      <c r="L142" s="41"/>
    </row>
    <row r="143" spans="1:12">
      <c r="A143" s="52"/>
      <c r="B143" s="52"/>
      <c r="C143" s="41"/>
      <c r="D143" s="42"/>
      <c r="E143" s="52"/>
      <c r="F143" s="46"/>
      <c r="G143" s="52"/>
      <c r="H143" s="42"/>
      <c r="I143" s="52"/>
      <c r="J143" s="41"/>
      <c r="K143" s="41"/>
      <c r="L143" s="41"/>
    </row>
    <row r="144" spans="1:12">
      <c r="A144" s="52"/>
      <c r="B144" s="52"/>
      <c r="C144" s="41"/>
      <c r="D144" s="42"/>
      <c r="E144" s="52"/>
      <c r="F144" s="46"/>
      <c r="G144" s="52"/>
      <c r="H144" s="42"/>
      <c r="I144" s="52"/>
      <c r="J144" s="41"/>
      <c r="K144" s="41"/>
      <c r="L144" s="41"/>
    </row>
    <row r="145" spans="1:12">
      <c r="A145" s="52"/>
      <c r="B145" s="52"/>
      <c r="C145" s="41"/>
      <c r="D145" s="42"/>
      <c r="E145" s="52"/>
      <c r="F145" s="46"/>
      <c r="G145" s="52"/>
      <c r="H145" s="42"/>
      <c r="I145" s="52"/>
      <c r="J145" s="41"/>
      <c r="K145" s="41"/>
      <c r="L145" s="41"/>
    </row>
    <row r="146" spans="1:12">
      <c r="A146" s="52"/>
      <c r="B146" s="52"/>
      <c r="C146" s="41"/>
      <c r="D146" s="42"/>
      <c r="E146" s="52"/>
      <c r="F146" s="46"/>
      <c r="G146" s="52"/>
      <c r="H146" s="42"/>
      <c r="I146" s="52"/>
      <c r="J146" s="41"/>
      <c r="K146" s="41"/>
      <c r="L146" s="41"/>
    </row>
    <row r="147" spans="1:12">
      <c r="A147" s="52"/>
      <c r="B147" s="52"/>
      <c r="C147" s="41"/>
      <c r="D147" s="42"/>
      <c r="E147" s="52"/>
      <c r="F147" s="46"/>
      <c r="G147" s="52"/>
      <c r="H147" s="42"/>
      <c r="I147" s="52"/>
      <c r="J147" s="41"/>
      <c r="K147" s="41"/>
      <c r="L147" s="41"/>
    </row>
    <row r="148" spans="1:12">
      <c r="A148" s="52"/>
      <c r="B148" s="52"/>
      <c r="C148" s="41"/>
      <c r="D148" s="42"/>
      <c r="E148" s="52"/>
      <c r="F148" s="46"/>
      <c r="G148" s="52"/>
      <c r="H148" s="42"/>
      <c r="I148" s="52"/>
      <c r="J148" s="41"/>
      <c r="K148" s="41"/>
      <c r="L148" s="41"/>
    </row>
    <row r="149" spans="1:12">
      <c r="A149" s="52"/>
      <c r="B149" s="52"/>
      <c r="C149" s="41"/>
      <c r="D149" s="42"/>
      <c r="E149" s="52"/>
      <c r="F149" s="46"/>
      <c r="G149" s="52"/>
      <c r="H149" s="42"/>
      <c r="I149" s="52"/>
      <c r="J149" s="41"/>
      <c r="K149" s="41"/>
      <c r="L149" s="41"/>
    </row>
    <row r="150" spans="1:12">
      <c r="A150" s="52"/>
      <c r="B150" s="52"/>
      <c r="C150" s="41"/>
      <c r="D150" s="42"/>
      <c r="E150" s="52"/>
      <c r="F150" s="46"/>
      <c r="G150" s="52"/>
      <c r="H150" s="42"/>
      <c r="I150" s="52"/>
      <c r="J150" s="41"/>
      <c r="K150" s="41"/>
      <c r="L150" s="41"/>
    </row>
    <row r="151" spans="1:12">
      <c r="A151" s="49"/>
      <c r="B151" s="52"/>
      <c r="C151" s="41"/>
      <c r="D151" s="42"/>
      <c r="E151" s="52"/>
      <c r="F151" s="46"/>
      <c r="G151" s="52"/>
      <c r="H151" s="42"/>
      <c r="I151" s="52"/>
      <c r="J151" s="41"/>
      <c r="K151" s="41"/>
      <c r="L151" s="41"/>
    </row>
    <row r="152" spans="1:12">
      <c r="A152" s="52"/>
      <c r="B152" s="52"/>
      <c r="C152" s="41"/>
      <c r="D152" s="42"/>
      <c r="E152" s="52"/>
      <c r="F152" s="46"/>
      <c r="G152" s="52"/>
      <c r="H152" s="42"/>
      <c r="I152" s="52"/>
      <c r="J152" s="41"/>
      <c r="K152" s="41"/>
      <c r="L152" s="41"/>
    </row>
    <row r="153" spans="1:12">
      <c r="A153" s="52"/>
      <c r="B153" s="52"/>
      <c r="C153" s="41"/>
      <c r="D153" s="42"/>
      <c r="E153" s="52"/>
      <c r="F153" s="46"/>
      <c r="G153" s="52"/>
      <c r="H153" s="42"/>
      <c r="I153" s="52"/>
      <c r="J153" s="41"/>
      <c r="K153" s="41"/>
      <c r="L153" s="41"/>
    </row>
    <row r="154" spans="1:12">
      <c r="A154" s="52"/>
      <c r="B154" s="52"/>
      <c r="C154" s="41"/>
      <c r="D154" s="42"/>
      <c r="E154" s="52"/>
      <c r="F154" s="46"/>
      <c r="G154" s="52"/>
      <c r="H154" s="42"/>
      <c r="I154" s="52"/>
      <c r="J154" s="41"/>
      <c r="K154" s="41"/>
      <c r="L154" s="41"/>
    </row>
    <row r="155" spans="1:12">
      <c r="A155" s="52"/>
      <c r="B155" s="52"/>
      <c r="C155" s="41"/>
      <c r="D155" s="42"/>
      <c r="E155" s="52"/>
      <c r="F155" s="46"/>
      <c r="G155" s="52"/>
      <c r="H155" s="42"/>
      <c r="I155" s="52"/>
      <c r="J155" s="41"/>
      <c r="K155" s="41"/>
      <c r="L155" s="41"/>
    </row>
    <row r="156" spans="1:12">
      <c r="A156" s="52"/>
      <c r="B156" s="52"/>
      <c r="C156" s="41"/>
      <c r="D156" s="42"/>
      <c r="E156" s="52"/>
      <c r="F156" s="46"/>
      <c r="G156" s="52"/>
      <c r="H156" s="42"/>
      <c r="I156" s="52"/>
      <c r="J156" s="41"/>
      <c r="K156" s="41"/>
      <c r="L156" s="41"/>
    </row>
    <row r="157" spans="1:12">
      <c r="A157" s="52"/>
      <c r="B157" s="52"/>
      <c r="C157" s="41"/>
      <c r="D157" s="42"/>
      <c r="E157" s="52"/>
      <c r="F157" s="46"/>
      <c r="G157" s="52"/>
      <c r="H157" s="42"/>
      <c r="I157" s="52"/>
      <c r="J157" s="41"/>
      <c r="K157" s="41"/>
      <c r="L157" s="41"/>
    </row>
    <row r="158" spans="1:12">
      <c r="A158" s="52"/>
      <c r="B158" s="52"/>
      <c r="C158" s="41"/>
      <c r="D158" s="42"/>
      <c r="E158" s="52"/>
      <c r="F158" s="46"/>
      <c r="G158" s="52"/>
      <c r="H158" s="42"/>
      <c r="I158" s="52"/>
      <c r="J158" s="41"/>
      <c r="K158" s="41"/>
      <c r="L158" s="41"/>
    </row>
    <row r="159" spans="1:12">
      <c r="A159" s="52"/>
      <c r="B159" s="52"/>
      <c r="C159" s="41"/>
      <c r="D159" s="42"/>
      <c r="E159" s="52"/>
      <c r="F159" s="46"/>
      <c r="G159" s="52"/>
      <c r="H159" s="42"/>
      <c r="I159" s="52"/>
      <c r="J159" s="41"/>
      <c r="K159" s="41"/>
      <c r="L159" s="41"/>
    </row>
    <row r="160" spans="1:12">
      <c r="A160" s="52"/>
      <c r="B160" s="52"/>
      <c r="C160" s="41"/>
      <c r="D160" s="42"/>
      <c r="E160" s="52"/>
      <c r="F160" s="46"/>
      <c r="G160" s="52"/>
      <c r="H160" s="42"/>
      <c r="I160" s="52"/>
      <c r="J160" s="41"/>
      <c r="K160" s="41"/>
      <c r="L160" s="41"/>
    </row>
    <row r="161" spans="1:12">
      <c r="A161" s="52"/>
      <c r="B161" s="52"/>
      <c r="C161" s="41"/>
      <c r="D161" s="42"/>
      <c r="E161" s="52"/>
      <c r="F161" s="46"/>
      <c r="G161" s="52"/>
      <c r="H161" s="42"/>
      <c r="I161" s="52"/>
      <c r="J161" s="41"/>
      <c r="K161" s="41"/>
      <c r="L161" s="41"/>
    </row>
    <row r="162" spans="1:12">
      <c r="A162" s="52"/>
      <c r="B162" s="52"/>
      <c r="C162" s="41"/>
      <c r="D162" s="42"/>
      <c r="E162" s="52"/>
      <c r="F162" s="46"/>
      <c r="G162" s="52"/>
      <c r="H162" s="42"/>
      <c r="I162" s="52"/>
      <c r="J162" s="41"/>
      <c r="K162" s="41"/>
      <c r="L162" s="41"/>
    </row>
    <row r="163" spans="1:12">
      <c r="A163" s="52"/>
      <c r="B163" s="52"/>
      <c r="C163" s="41"/>
      <c r="D163" s="42"/>
      <c r="E163" s="52"/>
      <c r="F163" s="46"/>
      <c r="G163" s="52"/>
      <c r="H163" s="42"/>
      <c r="I163" s="52"/>
      <c r="J163" s="41"/>
      <c r="K163" s="41"/>
      <c r="L163" s="41"/>
    </row>
    <row r="164" spans="1:12">
      <c r="A164" s="52"/>
      <c r="B164" s="52"/>
      <c r="C164" s="41"/>
      <c r="D164" s="42"/>
      <c r="E164" s="52"/>
      <c r="F164" s="46"/>
      <c r="G164" s="52"/>
      <c r="H164" s="42"/>
      <c r="I164" s="52"/>
      <c r="J164" s="41"/>
      <c r="K164" s="41"/>
      <c r="L164" s="41"/>
    </row>
    <row r="165" spans="1:12">
      <c r="A165" s="52"/>
      <c r="B165" s="52"/>
      <c r="C165" s="41"/>
      <c r="D165" s="42"/>
      <c r="E165" s="52"/>
      <c r="F165" s="46"/>
      <c r="G165" s="52"/>
      <c r="H165" s="42"/>
      <c r="I165" s="52"/>
      <c r="J165" s="41"/>
      <c r="K165" s="41"/>
      <c r="L165" s="41"/>
    </row>
    <row r="166" spans="1:12">
      <c r="A166" s="52"/>
      <c r="B166" s="52"/>
      <c r="C166" s="41"/>
      <c r="D166" s="42"/>
      <c r="E166" s="52"/>
      <c r="F166" s="46"/>
      <c r="G166" s="52"/>
      <c r="H166" s="42"/>
      <c r="I166" s="52"/>
      <c r="J166" s="41"/>
      <c r="K166" s="41"/>
      <c r="L166" s="41"/>
    </row>
    <row r="167" spans="1:12">
      <c r="A167" s="52"/>
      <c r="B167" s="52"/>
      <c r="C167" s="41"/>
      <c r="D167" s="42"/>
      <c r="E167" s="52"/>
      <c r="F167" s="46"/>
      <c r="G167" s="52"/>
      <c r="H167" s="42"/>
      <c r="I167" s="41"/>
      <c r="J167" s="41"/>
      <c r="K167" s="41"/>
    </row>
    <row r="168" spans="1:12">
      <c r="A168" s="52"/>
      <c r="B168" s="52"/>
      <c r="C168" s="41"/>
      <c r="D168" s="42"/>
      <c r="E168" s="52"/>
      <c r="F168" s="46"/>
      <c r="G168" s="52"/>
      <c r="H168" s="52"/>
      <c r="I168" s="41"/>
      <c r="J168" s="41"/>
      <c r="K168" s="41"/>
    </row>
    <row r="169" spans="1:12">
      <c r="A169" s="52"/>
      <c r="B169" s="52"/>
      <c r="C169" s="57"/>
      <c r="D169" s="63"/>
      <c r="E169" s="52"/>
      <c r="F169" s="46"/>
      <c r="G169" s="52"/>
      <c r="H169" s="52"/>
      <c r="I169" s="41"/>
      <c r="J169" s="41"/>
      <c r="K169" s="41"/>
    </row>
    <row r="170" spans="1:12">
      <c r="A170" s="52"/>
      <c r="B170" s="52"/>
      <c r="C170" s="57"/>
      <c r="D170" s="63"/>
      <c r="E170" s="52"/>
      <c r="F170" s="46"/>
      <c r="G170" s="52"/>
      <c r="H170" s="52"/>
      <c r="I170" s="41"/>
      <c r="J170" s="41"/>
      <c r="K170" s="41"/>
    </row>
    <row r="171" spans="1:12">
      <c r="C171" s="44"/>
      <c r="D171" s="63"/>
      <c r="E171" s="52"/>
    </row>
    <row r="172" spans="1:12">
      <c r="C172" s="24"/>
      <c r="D172" s="62"/>
    </row>
    <row r="173" spans="1:12">
      <c r="C173" s="26"/>
      <c r="D173" s="64"/>
    </row>
  </sheetData>
  <printOptions headings="1" gridLines="1"/>
  <pageMargins left="1" right="0" top="1" bottom="0" header="0.5" footer="0"/>
  <pageSetup scale="80" firstPageNumber="40" orientation="portrait" useFirstPageNumber="1" r:id="rId1"/>
  <headerFooter>
    <oddHeader>&amp;R&amp;P</oddHeader>
  </headerFooter>
  <drawing r:id="rId2"/>
</worksheet>
</file>

<file path=xl/worksheets/sheet7.xml><?xml version="1.0" encoding="utf-8"?>
<worksheet xmlns="http://schemas.openxmlformats.org/spreadsheetml/2006/main" xmlns:r="http://schemas.openxmlformats.org/officeDocument/2006/relationships">
  <dimension ref="A1:I309"/>
  <sheetViews>
    <sheetView workbookViewId="0">
      <selection activeCell="B32" sqref="B32"/>
    </sheetView>
  </sheetViews>
  <sheetFormatPr defaultRowHeight="15"/>
  <sheetData>
    <row r="1" spans="1:4">
      <c r="A1" s="1" t="s">
        <v>89</v>
      </c>
    </row>
    <row r="3" spans="1:4">
      <c r="A3" s="1" t="s">
        <v>170</v>
      </c>
    </row>
    <row r="5" spans="1:4">
      <c r="C5" s="11">
        <f>Design!G156</f>
        <v>50.81666666666667</v>
      </c>
      <c r="D5" t="s">
        <v>100</v>
      </c>
    </row>
    <row r="6" spans="1:4">
      <c r="C6" s="13">
        <v>0.5</v>
      </c>
      <c r="D6" t="s">
        <v>69</v>
      </c>
    </row>
    <row r="7" spans="1:4">
      <c r="C7">
        <v>2</v>
      </c>
      <c r="D7" t="s">
        <v>101</v>
      </c>
    </row>
    <row r="8" spans="1:4">
      <c r="C8" s="12">
        <f>Design!G154</f>
        <v>3049</v>
      </c>
      <c r="D8" t="s">
        <v>102</v>
      </c>
    </row>
    <row r="9" spans="1:4">
      <c r="C9">
        <f>C8*C7</f>
        <v>6098</v>
      </c>
      <c r="D9" t="s">
        <v>103</v>
      </c>
    </row>
    <row r="10" spans="1:4">
      <c r="C10">
        <v>0.03</v>
      </c>
      <c r="D10" t="s">
        <v>106</v>
      </c>
    </row>
    <row r="11" spans="1:4">
      <c r="C11">
        <v>138</v>
      </c>
      <c r="D11" t="s">
        <v>118</v>
      </c>
    </row>
    <row r="12" spans="1:4">
      <c r="C12">
        <v>3</v>
      </c>
      <c r="D12" t="s">
        <v>109</v>
      </c>
    </row>
    <row r="13" spans="1:4">
      <c r="C13">
        <f>C12+(C12*0.015)</f>
        <v>3.0449999999999999</v>
      </c>
      <c r="D13" t="s">
        <v>107</v>
      </c>
    </row>
    <row r="14" spans="1:4">
      <c r="D14" t="s">
        <v>108</v>
      </c>
    </row>
    <row r="17" spans="1:9">
      <c r="C17">
        <v>15</v>
      </c>
      <c r="D17" t="s">
        <v>104</v>
      </c>
    </row>
    <row r="18" spans="1:9">
      <c r="C18">
        <v>1530.6</v>
      </c>
      <c r="D18" t="s">
        <v>105</v>
      </c>
    </row>
    <row r="19" spans="1:9">
      <c r="C19">
        <v>10</v>
      </c>
      <c r="D19" t="s">
        <v>128</v>
      </c>
    </row>
    <row r="20" spans="1:9">
      <c r="C20" s="3">
        <f>C19/C18</f>
        <v>6.5333856004181371E-3</v>
      </c>
      <c r="D20" t="s">
        <v>129</v>
      </c>
    </row>
    <row r="21" spans="1:9">
      <c r="C21">
        <f>ROUNDDOWN(C18/C13,0)</f>
        <v>502</v>
      </c>
      <c r="D21" t="s">
        <v>110</v>
      </c>
    </row>
    <row r="22" spans="1:9">
      <c r="C22" s="13">
        <f>(C21*C6)/60</f>
        <v>4.1833333333333336</v>
      </c>
      <c r="D22" t="s">
        <v>114</v>
      </c>
    </row>
    <row r="24" spans="1:9">
      <c r="C24">
        <v>4</v>
      </c>
      <c r="D24" t="s">
        <v>111</v>
      </c>
    </row>
    <row r="25" spans="1:9">
      <c r="C25">
        <v>0.73</v>
      </c>
      <c r="D25" t="s">
        <v>112</v>
      </c>
    </row>
    <row r="26" spans="1:9">
      <c r="C26" s="11">
        <f>C24*(3.14*((C25/12)^2)/4)*448</f>
        <v>5.2058408888888881</v>
      </c>
      <c r="D26" t="s">
        <v>113</v>
      </c>
    </row>
    <row r="29" spans="1:9" ht="30">
      <c r="A29" s="23" t="s">
        <v>130</v>
      </c>
      <c r="B29" s="24" t="s">
        <v>122</v>
      </c>
      <c r="C29" s="23" t="s">
        <v>115</v>
      </c>
      <c r="D29" s="23" t="s">
        <v>116</v>
      </c>
      <c r="E29" s="25" t="s">
        <v>123</v>
      </c>
      <c r="F29" s="26" t="s">
        <v>117</v>
      </c>
      <c r="G29" s="27" t="s">
        <v>119</v>
      </c>
      <c r="H29" s="24" t="s">
        <v>120</v>
      </c>
      <c r="I29" s="24" t="s">
        <v>121</v>
      </c>
    </row>
    <row r="31" spans="1:9">
      <c r="A31">
        <v>1</v>
      </c>
      <c r="B31">
        <v>25</v>
      </c>
      <c r="C31">
        <v>3085</v>
      </c>
      <c r="D31">
        <f>$C$13</f>
        <v>3.0449999999999999</v>
      </c>
      <c r="E31" s="13">
        <f>C22</f>
        <v>4.1833333333333336</v>
      </c>
      <c r="F31">
        <v>0.72</v>
      </c>
      <c r="G31" s="21">
        <f>(1050*((E31/$C$11)^1.852)*(D31/100)*(F31^-4.87))/2.31</f>
        <v>0.10567175176953732</v>
      </c>
      <c r="H31" s="3">
        <f>(D31*$C$20)/2.31</f>
        <v>8.6121901096420893E-3</v>
      </c>
      <c r="I31" s="3">
        <f>H31-G31</f>
        <v>-9.7059561659895224E-2</v>
      </c>
    </row>
    <row r="32" spans="1:9">
      <c r="A32">
        <f>A31+1</f>
        <v>2</v>
      </c>
      <c r="B32" s="13">
        <f>B31+I31</f>
        <v>24.902940438340107</v>
      </c>
      <c r="C32" s="12">
        <f>C31-H31*2.31</f>
        <v>3084.9801058408466</v>
      </c>
      <c r="D32">
        <f>$C$13</f>
        <v>3.0449999999999999</v>
      </c>
      <c r="E32" s="13">
        <f>E31-($C$6/60)</f>
        <v>4.1749999999999998</v>
      </c>
      <c r="F32">
        <v>0.72</v>
      </c>
      <c r="G32" s="21">
        <f>(1050*((E32/$C$11)^1.852)*(D32/100)*(F32^-4.87))/2.31</f>
        <v>0.10528223385645065</v>
      </c>
      <c r="H32" s="3">
        <f t="shared" ref="H32:H95" si="0">(D32*$C$20)/2.31</f>
        <v>8.6121901096420893E-3</v>
      </c>
      <c r="I32" s="3">
        <f t="shared" ref="I32:I95" si="1">H32-G32</f>
        <v>-9.6670043746808557E-2</v>
      </c>
    </row>
    <row r="33" spans="1:9">
      <c r="A33">
        <f t="shared" ref="A33:A96" si="2">A32+1</f>
        <v>3</v>
      </c>
      <c r="B33" s="13">
        <f t="shared" ref="B33:B96" si="3">B32+I32</f>
        <v>24.806270394593298</v>
      </c>
      <c r="C33" s="12">
        <f t="shared" ref="C33:C96" si="4">C32-H32*2.31</f>
        <v>3084.9602116816932</v>
      </c>
      <c r="D33">
        <f t="shared" ref="D33:D96" si="5">$C$13</f>
        <v>3.0449999999999999</v>
      </c>
      <c r="E33" s="13">
        <f t="shared" ref="E33:E96" si="6">E32-($C$6/60)</f>
        <v>4.1666666666666661</v>
      </c>
      <c r="F33">
        <v>0.72</v>
      </c>
      <c r="G33" s="21">
        <f t="shared" ref="G33:G96" si="7">(1050*((E33/$C$11)^1.852)*(D33/100)*(F33^-4.87))/2.31</f>
        <v>0.10489337779438163</v>
      </c>
      <c r="H33" s="3">
        <f t="shared" si="0"/>
        <v>8.6121901096420893E-3</v>
      </c>
      <c r="I33" s="3">
        <f t="shared" si="1"/>
        <v>-9.6281187684739533E-2</v>
      </c>
    </row>
    <row r="34" spans="1:9">
      <c r="A34">
        <f t="shared" si="2"/>
        <v>4</v>
      </c>
      <c r="B34" s="13">
        <f t="shared" si="3"/>
        <v>24.70998920690856</v>
      </c>
      <c r="C34" s="12">
        <f t="shared" si="4"/>
        <v>3084.9403175225398</v>
      </c>
      <c r="D34">
        <f t="shared" si="5"/>
        <v>3.0449999999999999</v>
      </c>
      <c r="E34" s="13">
        <f t="shared" si="6"/>
        <v>4.1583333333333323</v>
      </c>
      <c r="F34">
        <v>0.72</v>
      </c>
      <c r="G34" s="21">
        <f t="shared" si="7"/>
        <v>0.10450518377907181</v>
      </c>
      <c r="H34" s="3">
        <f t="shared" si="0"/>
        <v>8.6121901096420893E-3</v>
      </c>
      <c r="I34" s="3">
        <f t="shared" si="1"/>
        <v>-9.5892993669429716E-2</v>
      </c>
    </row>
    <row r="35" spans="1:9">
      <c r="A35">
        <f t="shared" si="2"/>
        <v>5</v>
      </c>
      <c r="B35" s="13">
        <f t="shared" si="3"/>
        <v>24.614096213239129</v>
      </c>
      <c r="C35" s="12">
        <f t="shared" si="4"/>
        <v>3084.9204233633864</v>
      </c>
      <c r="D35">
        <f t="shared" si="5"/>
        <v>3.0449999999999999</v>
      </c>
      <c r="E35" s="13">
        <f t="shared" si="6"/>
        <v>4.1499999999999986</v>
      </c>
      <c r="F35">
        <v>0.72</v>
      </c>
      <c r="G35" s="21">
        <f t="shared" si="7"/>
        <v>0.10411765200671226</v>
      </c>
      <c r="H35" s="3">
        <f t="shared" si="0"/>
        <v>8.6121901096420893E-3</v>
      </c>
      <c r="I35" s="3">
        <f t="shared" si="1"/>
        <v>-9.5505461897070168E-2</v>
      </c>
    </row>
    <row r="36" spans="1:9">
      <c r="A36">
        <f t="shared" si="2"/>
        <v>6</v>
      </c>
      <c r="B36" s="13">
        <f t="shared" si="3"/>
        <v>24.51859075134206</v>
      </c>
      <c r="C36" s="12">
        <f t="shared" si="4"/>
        <v>3084.900529204233</v>
      </c>
      <c r="D36">
        <f t="shared" si="5"/>
        <v>3.0449999999999999</v>
      </c>
      <c r="E36" s="13">
        <f t="shared" si="6"/>
        <v>4.1416666666666648</v>
      </c>
      <c r="F36">
        <v>0.72</v>
      </c>
      <c r="G36" s="21">
        <f t="shared" si="7"/>
        <v>0.10373078267394628</v>
      </c>
      <c r="H36" s="3">
        <f t="shared" si="0"/>
        <v>8.6121901096420893E-3</v>
      </c>
      <c r="I36" s="3">
        <f t="shared" si="1"/>
        <v>-9.5118592564304189E-2</v>
      </c>
    </row>
    <row r="37" spans="1:9">
      <c r="A37">
        <f t="shared" si="2"/>
        <v>7</v>
      </c>
      <c r="B37" s="13">
        <f t="shared" si="3"/>
        <v>24.423472158777756</v>
      </c>
      <c r="C37" s="12">
        <f t="shared" si="4"/>
        <v>3084.8806350450795</v>
      </c>
      <c r="D37">
        <f t="shared" si="5"/>
        <v>3.0449999999999999</v>
      </c>
      <c r="E37" s="13">
        <f t="shared" si="6"/>
        <v>4.1333333333333311</v>
      </c>
      <c r="F37">
        <v>0.72</v>
      </c>
      <c r="G37" s="21">
        <f t="shared" si="7"/>
        <v>0.1033445759778707</v>
      </c>
      <c r="H37" s="3">
        <f t="shared" si="0"/>
        <v>8.6121901096420893E-3</v>
      </c>
      <c r="I37" s="3">
        <f t="shared" si="1"/>
        <v>-9.4732385868228602E-2</v>
      </c>
    </row>
    <row r="38" spans="1:9">
      <c r="A38">
        <f t="shared" si="2"/>
        <v>8</v>
      </c>
      <c r="B38" s="13">
        <f t="shared" si="3"/>
        <v>24.328739772909525</v>
      </c>
      <c r="C38" s="12">
        <f t="shared" si="4"/>
        <v>3084.8607408859261</v>
      </c>
      <c r="D38">
        <f t="shared" si="5"/>
        <v>3.0449999999999999</v>
      </c>
      <c r="E38" s="13">
        <f t="shared" si="6"/>
        <v>4.1249999999999973</v>
      </c>
      <c r="F38">
        <v>0.72</v>
      </c>
      <c r="G38" s="21">
        <f t="shared" si="7"/>
        <v>0.10295903211603852</v>
      </c>
      <c r="H38" s="3">
        <f t="shared" si="0"/>
        <v>8.6121901096420893E-3</v>
      </c>
      <c r="I38" s="3">
        <f t="shared" si="1"/>
        <v>-9.4346842006396425E-2</v>
      </c>
    </row>
    <row r="39" spans="1:9">
      <c r="A39">
        <f t="shared" si="2"/>
        <v>9</v>
      </c>
      <c r="B39" s="13">
        <f t="shared" si="3"/>
        <v>24.23439293090313</v>
      </c>
      <c r="C39" s="12">
        <f t="shared" si="4"/>
        <v>3084.8408467267727</v>
      </c>
      <c r="D39">
        <f t="shared" si="5"/>
        <v>3.0449999999999999</v>
      </c>
      <c r="E39" s="13">
        <f t="shared" si="6"/>
        <v>4.1166666666666636</v>
      </c>
      <c r="F39">
        <v>0.72</v>
      </c>
      <c r="G39" s="21">
        <f t="shared" si="7"/>
        <v>0.10257415128646023</v>
      </c>
      <c r="H39" s="3">
        <f t="shared" si="0"/>
        <v>8.6121901096420893E-3</v>
      </c>
      <c r="I39" s="3">
        <f t="shared" si="1"/>
        <v>-9.396196117681814E-2</v>
      </c>
    </row>
    <row r="40" spans="1:9">
      <c r="A40">
        <f t="shared" si="2"/>
        <v>10</v>
      </c>
      <c r="B40" s="13">
        <f t="shared" si="3"/>
        <v>24.140430969726314</v>
      </c>
      <c r="C40" s="12">
        <f t="shared" si="4"/>
        <v>3084.8209525676193</v>
      </c>
      <c r="D40">
        <f t="shared" si="5"/>
        <v>3.0449999999999999</v>
      </c>
      <c r="E40" s="13">
        <f t="shared" si="6"/>
        <v>4.1083333333333298</v>
      </c>
      <c r="F40">
        <v>0.72</v>
      </c>
      <c r="G40" s="21">
        <f t="shared" si="7"/>
        <v>0.10218993368760601</v>
      </c>
      <c r="H40" s="3">
        <f t="shared" si="0"/>
        <v>8.6121901096420893E-3</v>
      </c>
      <c r="I40" s="3">
        <f t="shared" si="1"/>
        <v>-9.3577743577963918E-2</v>
      </c>
    </row>
    <row r="41" spans="1:9">
      <c r="A41">
        <f t="shared" si="2"/>
        <v>11</v>
      </c>
      <c r="B41" s="13">
        <f t="shared" si="3"/>
        <v>24.04685322614835</v>
      </c>
      <c r="C41" s="12">
        <f t="shared" si="4"/>
        <v>3084.8010584084659</v>
      </c>
      <c r="D41">
        <f t="shared" si="5"/>
        <v>3.0449999999999999</v>
      </c>
      <c r="E41" s="13">
        <f t="shared" si="6"/>
        <v>4.0999999999999961</v>
      </c>
      <c r="F41">
        <v>0.72</v>
      </c>
      <c r="G41" s="21">
        <f t="shared" si="7"/>
        <v>0.1018063795184081</v>
      </c>
      <c r="H41" s="3">
        <f t="shared" si="0"/>
        <v>8.6121901096420893E-3</v>
      </c>
      <c r="I41" s="3">
        <f t="shared" si="1"/>
        <v>-9.3194189408766004E-2</v>
      </c>
    </row>
    <row r="42" spans="1:9">
      <c r="A42">
        <f t="shared" si="2"/>
        <v>12</v>
      </c>
      <c r="B42" s="13">
        <f t="shared" si="3"/>
        <v>23.953659036739584</v>
      </c>
      <c r="C42" s="12">
        <f t="shared" si="4"/>
        <v>3084.7811642493125</v>
      </c>
      <c r="D42">
        <f t="shared" si="5"/>
        <v>3.0449999999999999</v>
      </c>
      <c r="E42" s="13">
        <f t="shared" si="6"/>
        <v>4.0916666666666623</v>
      </c>
      <c r="F42">
        <v>0.72</v>
      </c>
      <c r="G42" s="21">
        <f t="shared" si="7"/>
        <v>0.1014234889782622</v>
      </c>
      <c r="H42" s="3">
        <f t="shared" si="0"/>
        <v>8.6121901096420893E-3</v>
      </c>
      <c r="I42" s="3">
        <f t="shared" si="1"/>
        <v>-9.2811298868620107E-2</v>
      </c>
    </row>
    <row r="43" spans="1:9">
      <c r="A43">
        <f t="shared" si="2"/>
        <v>13</v>
      </c>
      <c r="B43" s="13">
        <f t="shared" si="3"/>
        <v>23.860847737870962</v>
      </c>
      <c r="C43" s="12">
        <f t="shared" si="4"/>
        <v>3084.7612700901591</v>
      </c>
      <c r="D43">
        <f t="shared" si="5"/>
        <v>3.0449999999999999</v>
      </c>
      <c r="E43" s="13">
        <f t="shared" si="6"/>
        <v>4.0833333333333286</v>
      </c>
      <c r="F43">
        <v>0.72</v>
      </c>
      <c r="G43" s="21">
        <f t="shared" si="7"/>
        <v>0.10104126226703013</v>
      </c>
      <c r="H43" s="3">
        <f t="shared" si="0"/>
        <v>8.6121901096420893E-3</v>
      </c>
      <c r="I43" s="3">
        <f t="shared" si="1"/>
        <v>-9.2429072157388034E-2</v>
      </c>
    </row>
    <row r="44" spans="1:9">
      <c r="A44">
        <f t="shared" si="2"/>
        <v>14</v>
      </c>
      <c r="B44" s="13">
        <f t="shared" si="3"/>
        <v>23.768418665713575</v>
      </c>
      <c r="C44" s="12">
        <f t="shared" si="4"/>
        <v>3084.7413759310057</v>
      </c>
      <c r="D44">
        <f t="shared" si="5"/>
        <v>3.0449999999999999</v>
      </c>
      <c r="E44" s="13">
        <f t="shared" si="6"/>
        <v>4.0749999999999948</v>
      </c>
      <c r="F44">
        <v>0.72</v>
      </c>
      <c r="G44" s="21">
        <f t="shared" si="7"/>
        <v>0.10065969958504113</v>
      </c>
      <c r="H44" s="3">
        <f t="shared" si="0"/>
        <v>8.6121901096420893E-3</v>
      </c>
      <c r="I44" s="3">
        <f t="shared" si="1"/>
        <v>-9.2047509475399039E-2</v>
      </c>
    </row>
    <row r="45" spans="1:9">
      <c r="A45">
        <f t="shared" si="2"/>
        <v>15</v>
      </c>
      <c r="B45" s="13">
        <f t="shared" si="3"/>
        <v>23.676371156238176</v>
      </c>
      <c r="C45" s="12">
        <f t="shared" si="4"/>
        <v>3084.7214817718523</v>
      </c>
      <c r="D45">
        <f t="shared" si="5"/>
        <v>3.0449999999999999</v>
      </c>
      <c r="E45" s="13">
        <f t="shared" si="6"/>
        <v>4.0666666666666611</v>
      </c>
      <c r="F45">
        <v>0.72</v>
      </c>
      <c r="G45" s="21">
        <f t="shared" si="7"/>
        <v>0.10027880113309487</v>
      </c>
      <c r="H45" s="3">
        <f t="shared" si="0"/>
        <v>8.6121901096420893E-3</v>
      </c>
      <c r="I45" s="3">
        <f t="shared" si="1"/>
        <v>-9.1666611023452776E-2</v>
      </c>
    </row>
    <row r="46" spans="1:9">
      <c r="A46">
        <f t="shared" si="2"/>
        <v>16</v>
      </c>
      <c r="B46" s="13">
        <f t="shared" si="3"/>
        <v>23.584704545214723</v>
      </c>
      <c r="C46" s="12">
        <f t="shared" si="4"/>
        <v>3084.7015876126989</v>
      </c>
      <c r="D46">
        <f t="shared" si="5"/>
        <v>3.0449999999999999</v>
      </c>
      <c r="E46" s="13">
        <f t="shared" si="6"/>
        <v>4.0583333333333274</v>
      </c>
      <c r="F46">
        <v>0.72</v>
      </c>
      <c r="G46" s="21">
        <f t="shared" si="7"/>
        <v>9.9898567112462616E-2</v>
      </c>
      <c r="H46" s="3">
        <f t="shared" si="0"/>
        <v>8.6121901096420893E-3</v>
      </c>
      <c r="I46" s="3">
        <f t="shared" si="1"/>
        <v>-9.1286377002820523E-2</v>
      </c>
    </row>
    <row r="47" spans="1:9">
      <c r="A47">
        <f t="shared" si="2"/>
        <v>17</v>
      </c>
      <c r="B47" s="13">
        <f t="shared" si="3"/>
        <v>23.493418168211903</v>
      </c>
      <c r="C47" s="12">
        <f t="shared" si="4"/>
        <v>3084.6816934535454</v>
      </c>
      <c r="D47">
        <f t="shared" si="5"/>
        <v>3.0449999999999999</v>
      </c>
      <c r="E47" s="13">
        <f t="shared" si="6"/>
        <v>4.0499999999999936</v>
      </c>
      <c r="F47">
        <v>0.72</v>
      </c>
      <c r="G47" s="21">
        <f t="shared" si="7"/>
        <v>9.9518997724889521E-2</v>
      </c>
      <c r="H47" s="3">
        <f t="shared" si="0"/>
        <v>8.6121901096420893E-3</v>
      </c>
      <c r="I47" s="3">
        <f t="shared" si="1"/>
        <v>-9.0906807615247429E-2</v>
      </c>
    </row>
    <row r="48" spans="1:9">
      <c r="A48">
        <f t="shared" si="2"/>
        <v>18</v>
      </c>
      <c r="B48" s="13">
        <f t="shared" si="3"/>
        <v>23.402511360596655</v>
      </c>
      <c r="C48" s="12">
        <f t="shared" si="4"/>
        <v>3084.661799294392</v>
      </c>
      <c r="D48">
        <f t="shared" si="5"/>
        <v>3.0449999999999999</v>
      </c>
      <c r="E48" s="13">
        <f t="shared" si="6"/>
        <v>4.0416666666666599</v>
      </c>
      <c r="F48">
        <v>0.72</v>
      </c>
      <c r="G48" s="21">
        <f t="shared" si="7"/>
        <v>9.9140093172597379E-2</v>
      </c>
      <c r="H48" s="3">
        <f t="shared" si="0"/>
        <v>8.6121901096420893E-3</v>
      </c>
      <c r="I48" s="3">
        <f t="shared" si="1"/>
        <v>-9.0527903062955287E-2</v>
      </c>
    </row>
    <row r="49" spans="1:9">
      <c r="A49">
        <f t="shared" si="2"/>
        <v>19</v>
      </c>
      <c r="B49" s="13">
        <f t="shared" si="3"/>
        <v>23.311983457533699</v>
      </c>
      <c r="C49" s="12">
        <f t="shared" si="4"/>
        <v>3084.6419051352386</v>
      </c>
      <c r="D49">
        <f t="shared" si="5"/>
        <v>3.0449999999999999</v>
      </c>
      <c r="E49" s="13">
        <f t="shared" si="6"/>
        <v>4.0333333333333261</v>
      </c>
      <c r="F49">
        <v>0.72</v>
      </c>
      <c r="G49" s="21">
        <f t="shared" si="7"/>
        <v>9.8761853658285853E-2</v>
      </c>
      <c r="H49" s="3">
        <f t="shared" si="0"/>
        <v>8.6121901096420893E-3</v>
      </c>
      <c r="I49" s="3">
        <f t="shared" si="1"/>
        <v>-9.014966354864376E-2</v>
      </c>
    </row>
    <row r="50" spans="1:9">
      <c r="A50">
        <f t="shared" si="2"/>
        <v>20</v>
      </c>
      <c r="B50" s="13">
        <f t="shared" si="3"/>
        <v>23.221833793985056</v>
      </c>
      <c r="C50" s="12">
        <f t="shared" si="4"/>
        <v>3084.6220109760852</v>
      </c>
      <c r="D50">
        <f t="shared" si="5"/>
        <v>3.0449999999999999</v>
      </c>
      <c r="E50" s="13">
        <f t="shared" si="6"/>
        <v>4.0249999999999924</v>
      </c>
      <c r="F50">
        <v>0.72</v>
      </c>
      <c r="G50" s="21">
        <f t="shared" si="7"/>
        <v>9.8384279385135109E-2</v>
      </c>
      <c r="H50" s="3">
        <f t="shared" si="0"/>
        <v>8.6121901096420893E-3</v>
      </c>
      <c r="I50" s="3">
        <f t="shared" si="1"/>
        <v>-8.9772089275493017E-2</v>
      </c>
    </row>
    <row r="51" spans="1:9">
      <c r="A51">
        <f t="shared" si="2"/>
        <v>21</v>
      </c>
      <c r="B51" s="13">
        <f t="shared" si="3"/>
        <v>23.132061704709564</v>
      </c>
      <c r="C51" s="12">
        <f t="shared" si="4"/>
        <v>3084.6021168169318</v>
      </c>
      <c r="D51">
        <f t="shared" si="5"/>
        <v>3.0449999999999999</v>
      </c>
      <c r="E51" s="13">
        <f t="shared" si="6"/>
        <v>4.0166666666666586</v>
      </c>
      <c r="F51">
        <v>0.72</v>
      </c>
      <c r="G51" s="21">
        <f t="shared" si="7"/>
        <v>9.8007370556807777E-2</v>
      </c>
      <c r="H51" s="3">
        <f t="shared" si="0"/>
        <v>8.6121901096420893E-3</v>
      </c>
      <c r="I51" s="3">
        <f t="shared" si="1"/>
        <v>-8.9395180447165684E-2</v>
      </c>
    </row>
    <row r="52" spans="1:9">
      <c r="A52">
        <f t="shared" si="2"/>
        <v>22</v>
      </c>
      <c r="B52" s="13">
        <f t="shared" si="3"/>
        <v>23.042666524262398</v>
      </c>
      <c r="C52" s="12">
        <f t="shared" si="4"/>
        <v>3084.5822226577784</v>
      </c>
      <c r="D52">
        <f t="shared" si="5"/>
        <v>3.0449999999999999</v>
      </c>
      <c r="E52" s="13">
        <f t="shared" si="6"/>
        <v>4.0083333333333249</v>
      </c>
      <c r="F52">
        <v>0.72</v>
      </c>
      <c r="G52" s="21">
        <f t="shared" si="7"/>
        <v>9.7631127377451041E-2</v>
      </c>
      <c r="H52" s="3">
        <f t="shared" si="0"/>
        <v>8.6121901096420893E-3</v>
      </c>
      <c r="I52" s="3">
        <f t="shared" si="1"/>
        <v>-8.9018937267808948E-2</v>
      </c>
    </row>
    <row r="53" spans="1:9">
      <c r="A53">
        <f t="shared" si="2"/>
        <v>23</v>
      </c>
      <c r="B53" s="13">
        <f t="shared" si="3"/>
        <v>22.953647586994588</v>
      </c>
      <c r="C53" s="12">
        <f t="shared" si="4"/>
        <v>3084.562328498625</v>
      </c>
      <c r="D53">
        <f t="shared" si="5"/>
        <v>3.0449999999999999</v>
      </c>
      <c r="E53" s="13">
        <f t="shared" si="6"/>
        <v>3.9999999999999916</v>
      </c>
      <c r="F53">
        <v>0.72</v>
      </c>
      <c r="G53" s="21">
        <f t="shared" si="7"/>
        <v>9.7255550051699113E-2</v>
      </c>
      <c r="H53" s="3">
        <f t="shared" si="0"/>
        <v>8.6121901096420893E-3</v>
      </c>
      <c r="I53" s="3">
        <f t="shared" si="1"/>
        <v>-8.8643359942057021E-2</v>
      </c>
    </row>
    <row r="54" spans="1:9">
      <c r="A54">
        <f t="shared" si="2"/>
        <v>24</v>
      </c>
      <c r="B54" s="13">
        <f t="shared" si="3"/>
        <v>22.86500422705253</v>
      </c>
      <c r="C54" s="12">
        <f t="shared" si="4"/>
        <v>3084.5424343394716</v>
      </c>
      <c r="D54">
        <f t="shared" si="5"/>
        <v>3.0449999999999999</v>
      </c>
      <c r="E54" s="13">
        <f t="shared" si="6"/>
        <v>3.9916666666666583</v>
      </c>
      <c r="F54">
        <v>0.72</v>
      </c>
      <c r="G54" s="21">
        <f t="shared" si="7"/>
        <v>9.6880638784674816E-2</v>
      </c>
      <c r="H54" s="3">
        <f t="shared" si="0"/>
        <v>8.6121901096420893E-3</v>
      </c>
      <c r="I54" s="3">
        <f t="shared" si="1"/>
        <v>-8.8268448675032724E-2</v>
      </c>
    </row>
    <row r="55" spans="1:9">
      <c r="A55">
        <f t="shared" si="2"/>
        <v>25</v>
      </c>
      <c r="B55" s="13">
        <f t="shared" si="3"/>
        <v>22.776735778377496</v>
      </c>
      <c r="C55" s="12">
        <f t="shared" si="4"/>
        <v>3084.5225401803182</v>
      </c>
      <c r="D55">
        <f t="shared" si="5"/>
        <v>3.0449999999999999</v>
      </c>
      <c r="E55" s="13">
        <f t="shared" si="6"/>
        <v>3.983333333333325</v>
      </c>
      <c r="F55">
        <v>0.72</v>
      </c>
      <c r="G55" s="21">
        <f t="shared" si="7"/>
        <v>9.6506393781992605E-2</v>
      </c>
      <c r="H55" s="3">
        <f t="shared" si="0"/>
        <v>8.6121901096420893E-3</v>
      </c>
      <c r="I55" s="3">
        <f t="shared" si="1"/>
        <v>-8.7894203672350513E-2</v>
      </c>
    </row>
    <row r="56" spans="1:9">
      <c r="A56">
        <f t="shared" si="2"/>
        <v>26</v>
      </c>
      <c r="B56" s="13">
        <f t="shared" si="3"/>
        <v>22.688841574705144</v>
      </c>
      <c r="C56" s="12">
        <f t="shared" si="4"/>
        <v>3084.5026460211648</v>
      </c>
      <c r="D56">
        <f t="shared" si="5"/>
        <v>3.0449999999999999</v>
      </c>
      <c r="E56" s="13">
        <f t="shared" si="6"/>
        <v>3.9749999999999917</v>
      </c>
      <c r="F56">
        <v>0.72</v>
      </c>
      <c r="G56" s="21">
        <f t="shared" si="7"/>
        <v>9.6132815249760056E-2</v>
      </c>
      <c r="H56" s="3">
        <f t="shared" si="0"/>
        <v>8.6121901096420893E-3</v>
      </c>
      <c r="I56" s="3">
        <f t="shared" si="1"/>
        <v>-8.7520625140117964E-2</v>
      </c>
    </row>
    <row r="57" spans="1:9">
      <c r="A57">
        <f t="shared" si="2"/>
        <v>27</v>
      </c>
      <c r="B57" s="13">
        <f t="shared" si="3"/>
        <v>22.601320949565025</v>
      </c>
      <c r="C57" s="12">
        <f t="shared" si="4"/>
        <v>3084.4827518620114</v>
      </c>
      <c r="D57">
        <f t="shared" si="5"/>
        <v>3.0449999999999999</v>
      </c>
      <c r="E57" s="13">
        <f t="shared" si="6"/>
        <v>3.9666666666666583</v>
      </c>
      <c r="F57">
        <v>0.72</v>
      </c>
      <c r="G57" s="21">
        <f t="shared" si="7"/>
        <v>9.5759903394580265E-2</v>
      </c>
      <c r="H57" s="3">
        <f t="shared" si="0"/>
        <v>8.6121901096420893E-3</v>
      </c>
      <c r="I57" s="3">
        <f t="shared" si="1"/>
        <v>-8.7147713284938172E-2</v>
      </c>
    </row>
    <row r="58" spans="1:9">
      <c r="A58">
        <f t="shared" si="2"/>
        <v>28</v>
      </c>
      <c r="B58" s="13">
        <f t="shared" si="3"/>
        <v>22.514173236280087</v>
      </c>
      <c r="C58" s="12">
        <f t="shared" si="4"/>
        <v>3084.4628577028579</v>
      </c>
      <c r="D58">
        <f t="shared" si="5"/>
        <v>3.0449999999999999</v>
      </c>
      <c r="E58" s="13">
        <f t="shared" si="6"/>
        <v>3.958333333333325</v>
      </c>
      <c r="F58">
        <v>0.72</v>
      </c>
      <c r="G58" s="21">
        <f t="shared" si="7"/>
        <v>9.5387658423554442E-2</v>
      </c>
      <c r="H58" s="3">
        <f t="shared" si="0"/>
        <v>8.6121901096420893E-3</v>
      </c>
      <c r="I58" s="3">
        <f t="shared" si="1"/>
        <v>-8.6775468313912349E-2</v>
      </c>
    </row>
    <row r="59" spans="1:9">
      <c r="A59">
        <f t="shared" si="2"/>
        <v>29</v>
      </c>
      <c r="B59" s="13">
        <f t="shared" si="3"/>
        <v>22.427397767966173</v>
      </c>
      <c r="C59" s="12">
        <f t="shared" si="4"/>
        <v>3084.4429635437045</v>
      </c>
      <c r="D59">
        <f t="shared" si="5"/>
        <v>3.0449999999999999</v>
      </c>
      <c r="E59" s="13">
        <f t="shared" si="6"/>
        <v>3.9499999999999917</v>
      </c>
      <c r="F59">
        <v>0.72</v>
      </c>
      <c r="G59" s="21">
        <f t="shared" si="7"/>
        <v>9.5016080544283468E-2</v>
      </c>
      <c r="H59" s="3">
        <f t="shared" si="0"/>
        <v>8.6121901096420893E-3</v>
      </c>
      <c r="I59" s="3">
        <f t="shared" si="1"/>
        <v>-8.6403890434641376E-2</v>
      </c>
    </row>
    <row r="60" spans="1:9">
      <c r="A60">
        <f t="shared" si="2"/>
        <v>30</v>
      </c>
      <c r="B60" s="13">
        <f t="shared" si="3"/>
        <v>22.340993877531531</v>
      </c>
      <c r="C60" s="12">
        <f t="shared" si="4"/>
        <v>3084.4230693845511</v>
      </c>
      <c r="D60">
        <f t="shared" si="5"/>
        <v>3.0449999999999999</v>
      </c>
      <c r="E60" s="13">
        <f t="shared" si="6"/>
        <v>3.9416666666666584</v>
      </c>
      <c r="F60">
        <v>0.72</v>
      </c>
      <c r="G60" s="21">
        <f t="shared" si="7"/>
        <v>9.4645169964871073E-2</v>
      </c>
      <c r="H60" s="3">
        <f t="shared" si="0"/>
        <v>8.6121901096420893E-3</v>
      </c>
      <c r="I60" s="3">
        <f t="shared" si="1"/>
        <v>-8.603297985522898E-2</v>
      </c>
    </row>
    <row r="61" spans="1:9">
      <c r="A61">
        <f t="shared" si="2"/>
        <v>31</v>
      </c>
      <c r="B61" s="13">
        <f t="shared" si="3"/>
        <v>22.254960897676302</v>
      </c>
      <c r="C61" s="12">
        <f t="shared" si="4"/>
        <v>3084.4031752253977</v>
      </c>
      <c r="D61">
        <f t="shared" si="5"/>
        <v>3.0449999999999999</v>
      </c>
      <c r="E61" s="13">
        <f t="shared" si="6"/>
        <v>3.9333333333333251</v>
      </c>
      <c r="F61">
        <v>0.72</v>
      </c>
      <c r="G61" s="21">
        <f t="shared" si="7"/>
        <v>9.427492689392529E-2</v>
      </c>
      <c r="H61" s="3">
        <f t="shared" si="0"/>
        <v>8.6121901096420893E-3</v>
      </c>
      <c r="I61" s="3">
        <f t="shared" si="1"/>
        <v>-8.5662736784283197E-2</v>
      </c>
    </row>
    <row r="62" spans="1:9">
      <c r="A62">
        <f t="shared" si="2"/>
        <v>32</v>
      </c>
      <c r="B62" s="13">
        <f t="shared" si="3"/>
        <v>22.169298160892019</v>
      </c>
      <c r="C62" s="12">
        <f t="shared" si="4"/>
        <v>3084.3832810662443</v>
      </c>
      <c r="D62">
        <f t="shared" si="5"/>
        <v>3.0449999999999999</v>
      </c>
      <c r="E62" s="13">
        <f t="shared" si="6"/>
        <v>3.9249999999999918</v>
      </c>
      <c r="F62">
        <v>0.72</v>
      </c>
      <c r="G62" s="21">
        <f t="shared" si="7"/>
        <v>9.3905351540561011E-2</v>
      </c>
      <c r="H62" s="3">
        <f t="shared" si="0"/>
        <v>8.6121901096420893E-3</v>
      </c>
      <c r="I62" s="3">
        <f t="shared" si="1"/>
        <v>-8.5293161430918918E-2</v>
      </c>
    </row>
    <row r="63" spans="1:9">
      <c r="A63">
        <f t="shared" si="2"/>
        <v>33</v>
      </c>
      <c r="B63" s="13">
        <f t="shared" si="3"/>
        <v>22.084004999461101</v>
      </c>
      <c r="C63" s="12">
        <f t="shared" si="4"/>
        <v>3084.3633869070909</v>
      </c>
      <c r="D63">
        <f t="shared" si="5"/>
        <v>3.0449999999999999</v>
      </c>
      <c r="E63" s="13">
        <f t="shared" si="6"/>
        <v>3.9166666666666585</v>
      </c>
      <c r="F63">
        <v>0.72</v>
      </c>
      <c r="G63" s="21">
        <f t="shared" si="7"/>
        <v>9.3536444114402664E-2</v>
      </c>
      <c r="H63" s="3">
        <f t="shared" si="0"/>
        <v>8.6121901096420893E-3</v>
      </c>
      <c r="I63" s="3">
        <f t="shared" si="1"/>
        <v>-8.4924254004760572E-2</v>
      </c>
    </row>
    <row r="64" spans="1:9">
      <c r="A64">
        <f t="shared" si="2"/>
        <v>34</v>
      </c>
      <c r="B64" s="13">
        <f t="shared" si="3"/>
        <v>21.99908074545634</v>
      </c>
      <c r="C64" s="12">
        <f t="shared" si="4"/>
        <v>3084.3434927479375</v>
      </c>
      <c r="D64">
        <f t="shared" si="5"/>
        <v>3.0449999999999999</v>
      </c>
      <c r="E64" s="13">
        <f t="shared" si="6"/>
        <v>3.9083333333333252</v>
      </c>
      <c r="F64">
        <v>0.72</v>
      </c>
      <c r="G64" s="21">
        <f t="shared" si="7"/>
        <v>9.3168204825585924E-2</v>
      </c>
      <c r="H64" s="3">
        <f t="shared" si="0"/>
        <v>8.6121901096420893E-3</v>
      </c>
      <c r="I64" s="3">
        <f t="shared" si="1"/>
        <v>-8.4556014715943831E-2</v>
      </c>
    </row>
    <row r="65" spans="1:9">
      <c r="A65">
        <f t="shared" si="2"/>
        <v>35</v>
      </c>
      <c r="B65" s="13">
        <f t="shared" si="3"/>
        <v>21.914524730740396</v>
      </c>
      <c r="C65" s="12">
        <f t="shared" si="4"/>
        <v>3084.3235985887841</v>
      </c>
      <c r="D65">
        <f t="shared" si="5"/>
        <v>3.0449999999999999</v>
      </c>
      <c r="E65" s="13">
        <f t="shared" si="6"/>
        <v>3.8999999999999919</v>
      </c>
      <c r="F65">
        <v>0.72</v>
      </c>
      <c r="G65" s="21">
        <f t="shared" si="7"/>
        <v>9.2800633884760592E-2</v>
      </c>
      <c r="H65" s="3">
        <f t="shared" si="0"/>
        <v>8.6121901096420893E-3</v>
      </c>
      <c r="I65" s="3">
        <f t="shared" si="1"/>
        <v>-8.4188443775118499E-2</v>
      </c>
    </row>
    <row r="66" spans="1:9">
      <c r="A66">
        <f t="shared" si="2"/>
        <v>36</v>
      </c>
      <c r="B66" s="13">
        <f t="shared" si="3"/>
        <v>21.830336286965277</v>
      </c>
      <c r="C66" s="12">
        <f t="shared" si="4"/>
        <v>3084.3037044296307</v>
      </c>
      <c r="D66">
        <f t="shared" si="5"/>
        <v>3.0449999999999999</v>
      </c>
      <c r="E66" s="13">
        <f t="shared" si="6"/>
        <v>3.8916666666666586</v>
      </c>
      <c r="F66">
        <v>0.72</v>
      </c>
      <c r="G66" s="21">
        <f t="shared" si="7"/>
        <v>9.2433731503092545E-2</v>
      </c>
      <c r="H66" s="3">
        <f t="shared" si="0"/>
        <v>8.6121901096420893E-3</v>
      </c>
      <c r="I66" s="3">
        <f t="shared" si="1"/>
        <v>-8.3821541393450452E-2</v>
      </c>
    </row>
    <row r="67" spans="1:9">
      <c r="A67">
        <f t="shared" si="2"/>
        <v>37</v>
      </c>
      <c r="B67" s="13">
        <f t="shared" si="3"/>
        <v>21.746514745571826</v>
      </c>
      <c r="C67" s="12">
        <f t="shared" si="4"/>
        <v>3084.2838102704773</v>
      </c>
      <c r="D67">
        <f t="shared" si="5"/>
        <v>3.0449999999999999</v>
      </c>
      <c r="E67" s="13">
        <f t="shared" si="6"/>
        <v>3.8833333333333253</v>
      </c>
      <c r="F67">
        <v>0.72</v>
      </c>
      <c r="G67" s="21">
        <f t="shared" si="7"/>
        <v>9.206749789226655E-2</v>
      </c>
      <c r="H67" s="3">
        <f t="shared" si="0"/>
        <v>8.6121901096420893E-3</v>
      </c>
      <c r="I67" s="3">
        <f t="shared" si="1"/>
        <v>-8.3455307782624458E-2</v>
      </c>
    </row>
    <row r="68" spans="1:9">
      <c r="A68">
        <f t="shared" si="2"/>
        <v>38</v>
      </c>
      <c r="B68" s="13">
        <f t="shared" si="3"/>
        <v>21.663059437789201</v>
      </c>
      <c r="C68" s="12">
        <f t="shared" si="4"/>
        <v>3084.2639161113239</v>
      </c>
      <c r="D68">
        <f t="shared" si="5"/>
        <v>3.0449999999999999</v>
      </c>
      <c r="E68" s="13">
        <f t="shared" si="6"/>
        <v>3.874999999999992</v>
      </c>
      <c r="F68">
        <v>0.72</v>
      </c>
      <c r="G68" s="21">
        <f t="shared" si="7"/>
        <v>9.1701933264487931E-2</v>
      </c>
      <c r="H68" s="3">
        <f t="shared" si="0"/>
        <v>8.6121901096420893E-3</v>
      </c>
      <c r="I68" s="3">
        <f t="shared" si="1"/>
        <v>-8.3089743154845838E-2</v>
      </c>
    </row>
    <row r="69" spans="1:9">
      <c r="A69">
        <f t="shared" si="2"/>
        <v>39</v>
      </c>
      <c r="B69" s="13">
        <f t="shared" si="3"/>
        <v>21.579969694634354</v>
      </c>
      <c r="C69" s="12">
        <f t="shared" si="4"/>
        <v>3084.2440219521704</v>
      </c>
      <c r="D69">
        <f t="shared" si="5"/>
        <v>3.0449999999999999</v>
      </c>
      <c r="E69" s="13">
        <f t="shared" si="6"/>
        <v>3.8666666666666587</v>
      </c>
      <c r="F69">
        <v>0.72</v>
      </c>
      <c r="G69" s="21">
        <f t="shared" si="7"/>
        <v>9.1337037832485896E-2</v>
      </c>
      <c r="H69" s="3">
        <f t="shared" si="0"/>
        <v>8.6121901096420893E-3</v>
      </c>
      <c r="I69" s="3">
        <f t="shared" si="1"/>
        <v>-8.2724847722843803E-2</v>
      </c>
    </row>
    <row r="70" spans="1:9">
      <c r="A70">
        <f t="shared" si="2"/>
        <v>40</v>
      </c>
      <c r="B70" s="13">
        <f t="shared" si="3"/>
        <v>21.49724484691151</v>
      </c>
      <c r="C70" s="12">
        <f t="shared" si="4"/>
        <v>3084.224127793017</v>
      </c>
      <c r="D70">
        <f t="shared" si="5"/>
        <v>3.0449999999999999</v>
      </c>
      <c r="E70" s="13">
        <f t="shared" si="6"/>
        <v>3.8583333333333254</v>
      </c>
      <c r="F70">
        <v>0.72</v>
      </c>
      <c r="G70" s="21">
        <f t="shared" si="7"/>
        <v>9.0972811809515261E-2</v>
      </c>
      <c r="H70" s="3">
        <f t="shared" si="0"/>
        <v>8.6121901096420893E-3</v>
      </c>
      <c r="I70" s="3">
        <f t="shared" si="1"/>
        <v>-8.2360621699873168E-2</v>
      </c>
    </row>
    <row r="71" spans="1:9">
      <c r="A71">
        <f t="shared" si="2"/>
        <v>41</v>
      </c>
      <c r="B71" s="13">
        <f t="shared" si="3"/>
        <v>21.414884225211637</v>
      </c>
      <c r="C71" s="12">
        <f t="shared" si="4"/>
        <v>3084.2042336338636</v>
      </c>
      <c r="D71">
        <f t="shared" si="5"/>
        <v>3.0449999999999999</v>
      </c>
      <c r="E71" s="13">
        <f t="shared" si="6"/>
        <v>3.8499999999999921</v>
      </c>
      <c r="F71">
        <v>0.72</v>
      </c>
      <c r="G71" s="21">
        <f t="shared" si="7"/>
        <v>9.060925540935906E-2</v>
      </c>
      <c r="H71" s="3">
        <f t="shared" si="0"/>
        <v>8.6121901096420893E-3</v>
      </c>
      <c r="I71" s="3">
        <f t="shared" si="1"/>
        <v>-8.1997065299716967E-2</v>
      </c>
    </row>
    <row r="72" spans="1:9">
      <c r="A72">
        <f t="shared" si="2"/>
        <v>42</v>
      </c>
      <c r="B72" s="13">
        <f t="shared" si="3"/>
        <v>21.33288715991192</v>
      </c>
      <c r="C72" s="12">
        <f t="shared" si="4"/>
        <v>3084.1843394747102</v>
      </c>
      <c r="D72">
        <f t="shared" si="5"/>
        <v>3.0449999999999999</v>
      </c>
      <c r="E72" s="13">
        <f t="shared" si="6"/>
        <v>3.8416666666666588</v>
      </c>
      <c r="F72">
        <v>0.72</v>
      </c>
      <c r="G72" s="21">
        <f t="shared" si="7"/>
        <v>9.0246368846331415E-2</v>
      </c>
      <c r="H72" s="3">
        <f t="shared" si="0"/>
        <v>8.6121901096420893E-3</v>
      </c>
      <c r="I72" s="3">
        <f t="shared" si="1"/>
        <v>-8.1634178736689322E-2</v>
      </c>
    </row>
    <row r="73" spans="1:9">
      <c r="A73">
        <f t="shared" si="2"/>
        <v>43</v>
      </c>
      <c r="B73" s="13">
        <f t="shared" si="3"/>
        <v>21.251252981175231</v>
      </c>
      <c r="C73" s="12">
        <f t="shared" si="4"/>
        <v>3084.1644453155568</v>
      </c>
      <c r="D73">
        <f t="shared" si="5"/>
        <v>3.0449999999999999</v>
      </c>
      <c r="E73" s="13">
        <f t="shared" si="6"/>
        <v>3.8333333333333255</v>
      </c>
      <c r="F73">
        <v>0.72</v>
      </c>
      <c r="G73" s="21">
        <f t="shared" si="7"/>
        <v>8.9884152335279049E-2</v>
      </c>
      <c r="H73" s="3">
        <f t="shared" si="0"/>
        <v>8.6121901096420893E-3</v>
      </c>
      <c r="I73" s="3">
        <f t="shared" si="1"/>
        <v>-8.1271962225636957E-2</v>
      </c>
    </row>
    <row r="74" spans="1:9">
      <c r="A74">
        <f t="shared" si="2"/>
        <v>44</v>
      </c>
      <c r="B74" s="13">
        <f t="shared" si="3"/>
        <v>21.169981018949596</v>
      </c>
      <c r="C74" s="12">
        <f t="shared" si="4"/>
        <v>3084.1445511564034</v>
      </c>
      <c r="D74">
        <f t="shared" si="5"/>
        <v>3.0449999999999999</v>
      </c>
      <c r="E74" s="13">
        <f t="shared" si="6"/>
        <v>3.8249999999999922</v>
      </c>
      <c r="F74">
        <v>0.72</v>
      </c>
      <c r="G74" s="21">
        <f t="shared" si="7"/>
        <v>8.9522606091585022E-2</v>
      </c>
      <c r="H74" s="3">
        <f t="shared" si="0"/>
        <v>8.6121901096420893E-3</v>
      </c>
      <c r="I74" s="3">
        <f t="shared" si="1"/>
        <v>-8.0910415981942929E-2</v>
      </c>
    </row>
    <row r="75" spans="1:9">
      <c r="A75">
        <f t="shared" si="2"/>
        <v>45</v>
      </c>
      <c r="B75" s="13">
        <f t="shared" si="3"/>
        <v>21.089070602967652</v>
      </c>
      <c r="C75" s="12">
        <f t="shared" si="4"/>
        <v>3084.12465699725</v>
      </c>
      <c r="D75">
        <f t="shared" si="5"/>
        <v>3.0449999999999999</v>
      </c>
      <c r="E75" s="13">
        <f t="shared" si="6"/>
        <v>3.8166666666666589</v>
      </c>
      <c r="F75">
        <v>0.72</v>
      </c>
      <c r="G75" s="21">
        <f t="shared" si="7"/>
        <v>8.9161730331170072E-2</v>
      </c>
      <c r="H75" s="3">
        <f t="shared" si="0"/>
        <v>8.6121901096420893E-3</v>
      </c>
      <c r="I75" s="3">
        <f t="shared" si="1"/>
        <v>-8.0549540221527979E-2</v>
      </c>
    </row>
    <row r="76" spans="1:9">
      <c r="A76">
        <f t="shared" si="2"/>
        <v>46</v>
      </c>
      <c r="B76" s="13">
        <f t="shared" si="3"/>
        <v>21.008521062746123</v>
      </c>
      <c r="C76" s="12">
        <f t="shared" si="4"/>
        <v>3084.1047628380966</v>
      </c>
      <c r="D76">
        <f t="shared" si="5"/>
        <v>3.0449999999999999</v>
      </c>
      <c r="E76" s="13">
        <f t="shared" si="6"/>
        <v>3.8083333333333256</v>
      </c>
      <c r="F76">
        <v>0.72</v>
      </c>
      <c r="G76" s="21">
        <f t="shared" si="7"/>
        <v>8.8801525270495937E-2</v>
      </c>
      <c r="H76" s="3">
        <f t="shared" si="0"/>
        <v>8.6121901096420893E-3</v>
      </c>
      <c r="I76" s="3">
        <f t="shared" si="1"/>
        <v>-8.0189335160853845E-2</v>
      </c>
    </row>
    <row r="77" spans="1:9">
      <c r="A77">
        <f t="shared" si="2"/>
        <v>47</v>
      </c>
      <c r="B77" s="13">
        <f t="shared" si="3"/>
        <v>20.92833172758527</v>
      </c>
      <c r="C77" s="12">
        <f t="shared" si="4"/>
        <v>3084.0848686789432</v>
      </c>
      <c r="D77">
        <f t="shared" si="5"/>
        <v>3.0449999999999999</v>
      </c>
      <c r="E77" s="13">
        <f t="shared" si="6"/>
        <v>3.7999999999999923</v>
      </c>
      <c r="F77">
        <v>0.72</v>
      </c>
      <c r="G77" s="21">
        <f t="shared" si="7"/>
        <v>8.8441991126567601E-2</v>
      </c>
      <c r="H77" s="3">
        <f t="shared" si="0"/>
        <v>8.6121901096420893E-3</v>
      </c>
      <c r="I77" s="3">
        <f t="shared" si="1"/>
        <v>-7.9829801016925508E-2</v>
      </c>
    </row>
    <row r="78" spans="1:9">
      <c r="A78" s="29">
        <f t="shared" si="2"/>
        <v>48</v>
      </c>
      <c r="B78" s="30">
        <f t="shared" si="3"/>
        <v>20.848501926568346</v>
      </c>
      <c r="C78" s="12">
        <f t="shared" si="4"/>
        <v>3084.0649745197898</v>
      </c>
      <c r="D78" s="29">
        <f t="shared" si="5"/>
        <v>3.0449999999999999</v>
      </c>
      <c r="E78" s="30">
        <f t="shared" si="6"/>
        <v>3.791666666666659</v>
      </c>
      <c r="F78">
        <v>0.72</v>
      </c>
      <c r="G78" s="32">
        <f t="shared" si="7"/>
        <v>8.8083128116935624E-2</v>
      </c>
      <c r="H78" s="3">
        <f t="shared" si="0"/>
        <v>8.6121901096420893E-3</v>
      </c>
      <c r="I78" s="33">
        <f t="shared" si="1"/>
        <v>-7.9470938007293532E-2</v>
      </c>
    </row>
    <row r="79" spans="1:9">
      <c r="A79" s="29">
        <f t="shared" si="2"/>
        <v>49</v>
      </c>
      <c r="B79" s="30">
        <f t="shared" si="3"/>
        <v>20.769030988561052</v>
      </c>
      <c r="C79" s="12">
        <f t="shared" si="4"/>
        <v>3084.0450803606363</v>
      </c>
      <c r="D79" s="29">
        <f t="shared" si="5"/>
        <v>3.0449999999999999</v>
      </c>
      <c r="E79" s="30">
        <f t="shared" si="6"/>
        <v>3.7833333333333257</v>
      </c>
      <c r="F79">
        <v>0.72</v>
      </c>
      <c r="G79" s="32">
        <f t="shared" si="7"/>
        <v>8.7724936459699282E-2</v>
      </c>
      <c r="H79" s="3">
        <f t="shared" si="0"/>
        <v>8.6121901096420893E-3</v>
      </c>
      <c r="I79" s="33">
        <f t="shared" si="1"/>
        <v>-7.9112746350057189E-2</v>
      </c>
    </row>
    <row r="80" spans="1:9">
      <c r="A80">
        <f t="shared" si="2"/>
        <v>50</v>
      </c>
      <c r="B80" s="13">
        <f t="shared" si="3"/>
        <v>20.689918242210997</v>
      </c>
      <c r="C80" s="12">
        <f t="shared" si="4"/>
        <v>3084.0251862014829</v>
      </c>
      <c r="D80">
        <f t="shared" si="5"/>
        <v>3.0449999999999999</v>
      </c>
      <c r="E80" s="13">
        <f t="shared" si="6"/>
        <v>3.7749999999999924</v>
      </c>
      <c r="F80">
        <v>0.72</v>
      </c>
      <c r="G80" s="21">
        <f t="shared" si="7"/>
        <v>8.7367416373508588E-2</v>
      </c>
      <c r="H80" s="3">
        <f t="shared" si="0"/>
        <v>8.6121901096420893E-3</v>
      </c>
      <c r="I80" s="3">
        <f t="shared" si="1"/>
        <v>-7.8755226263866496E-2</v>
      </c>
    </row>
    <row r="81" spans="1:9">
      <c r="A81">
        <f t="shared" si="2"/>
        <v>51</v>
      </c>
      <c r="B81" s="13">
        <f t="shared" si="3"/>
        <v>20.611163015947131</v>
      </c>
      <c r="C81" s="12">
        <f t="shared" si="4"/>
        <v>3084.0052920423295</v>
      </c>
      <c r="D81">
        <f t="shared" si="5"/>
        <v>3.0449999999999999</v>
      </c>
      <c r="E81" s="13">
        <f t="shared" si="6"/>
        <v>3.7666666666666591</v>
      </c>
      <c r="F81">
        <v>0.72</v>
      </c>
      <c r="G81" s="21">
        <f t="shared" si="7"/>
        <v>8.7010568077567255E-2</v>
      </c>
      <c r="H81" s="3">
        <f t="shared" si="0"/>
        <v>8.6121901096420893E-3</v>
      </c>
      <c r="I81" s="3">
        <f t="shared" si="1"/>
        <v>-7.8398377967925162E-2</v>
      </c>
    </row>
    <row r="82" spans="1:9">
      <c r="A82">
        <f t="shared" si="2"/>
        <v>52</v>
      </c>
      <c r="B82" s="13">
        <f t="shared" si="3"/>
        <v>20.532764637979206</v>
      </c>
      <c r="C82" s="12">
        <f t="shared" si="4"/>
        <v>3083.9853978831761</v>
      </c>
      <c r="D82">
        <f t="shared" si="5"/>
        <v>3.0449999999999999</v>
      </c>
      <c r="E82" s="13">
        <f t="shared" si="6"/>
        <v>3.7583333333333258</v>
      </c>
      <c r="F82">
        <v>0.72</v>
      </c>
      <c r="G82" s="21">
        <f t="shared" si="7"/>
        <v>8.6654391791635144E-2</v>
      </c>
      <c r="H82" s="3">
        <f t="shared" si="0"/>
        <v>8.6121901096420893E-3</v>
      </c>
      <c r="I82" s="3">
        <f t="shared" si="1"/>
        <v>-7.8042201681993051E-2</v>
      </c>
    </row>
    <row r="83" spans="1:9">
      <c r="A83">
        <f t="shared" si="2"/>
        <v>53</v>
      </c>
      <c r="B83" s="13">
        <f t="shared" si="3"/>
        <v>20.454722436297214</v>
      </c>
      <c r="C83" s="12">
        <f t="shared" si="4"/>
        <v>3083.9655037240227</v>
      </c>
      <c r="D83">
        <f t="shared" si="5"/>
        <v>3.0449999999999999</v>
      </c>
      <c r="E83" s="13">
        <f t="shared" si="6"/>
        <v>3.7499999999999925</v>
      </c>
      <c r="F83">
        <v>0.72</v>
      </c>
      <c r="G83" s="21">
        <f t="shared" si="7"/>
        <v>8.6298887736031046E-2</v>
      </c>
      <c r="H83" s="3">
        <f t="shared" si="0"/>
        <v>8.6121901096420893E-3</v>
      </c>
      <c r="I83" s="3">
        <f t="shared" si="1"/>
        <v>-7.7686697626388954E-2</v>
      </c>
    </row>
    <row r="84" spans="1:9">
      <c r="A84">
        <f t="shared" si="2"/>
        <v>54</v>
      </c>
      <c r="B84" s="13">
        <f t="shared" si="3"/>
        <v>20.377035738670823</v>
      </c>
      <c r="C84" s="12">
        <f t="shared" si="4"/>
        <v>3083.9456095648693</v>
      </c>
      <c r="D84">
        <f t="shared" si="5"/>
        <v>3.0449999999999999</v>
      </c>
      <c r="E84" s="13">
        <f t="shared" si="6"/>
        <v>3.7416666666666591</v>
      </c>
      <c r="F84">
        <v>0.72</v>
      </c>
      <c r="G84" s="21">
        <f t="shared" si="7"/>
        <v>8.594405613163518E-2</v>
      </c>
      <c r="H84" s="3">
        <f t="shared" si="0"/>
        <v>8.6121901096420893E-3</v>
      </c>
      <c r="I84" s="3">
        <f t="shared" si="1"/>
        <v>-7.7331866021993087E-2</v>
      </c>
    </row>
    <row r="85" spans="1:9">
      <c r="A85">
        <f t="shared" si="2"/>
        <v>55</v>
      </c>
      <c r="B85" s="13">
        <f t="shared" si="3"/>
        <v>20.299703872648831</v>
      </c>
      <c r="C85" s="12">
        <f t="shared" si="4"/>
        <v>3083.9257154057159</v>
      </c>
      <c r="D85">
        <f t="shared" si="5"/>
        <v>3.0449999999999999</v>
      </c>
      <c r="E85" s="13">
        <f t="shared" si="6"/>
        <v>3.7333333333333258</v>
      </c>
      <c r="F85">
        <v>0.72</v>
      </c>
      <c r="G85" s="21">
        <f t="shared" si="7"/>
        <v>8.5589897199892087E-2</v>
      </c>
      <c r="H85" s="3">
        <f t="shared" si="0"/>
        <v>8.6121901096420893E-3</v>
      </c>
      <c r="I85" s="3">
        <f t="shared" si="1"/>
        <v>-7.6977707090249994E-2</v>
      </c>
    </row>
    <row r="86" spans="1:9">
      <c r="A86">
        <f t="shared" si="2"/>
        <v>56</v>
      </c>
      <c r="B86" s="13">
        <f t="shared" si="3"/>
        <v>20.22272616555858</v>
      </c>
      <c r="C86" s="12">
        <f t="shared" si="4"/>
        <v>3083.9058212465625</v>
      </c>
      <c r="D86">
        <f t="shared" si="5"/>
        <v>3.0449999999999999</v>
      </c>
      <c r="E86" s="13">
        <f t="shared" si="6"/>
        <v>3.7249999999999925</v>
      </c>
      <c r="F86">
        <v>0.72</v>
      </c>
      <c r="G86" s="21">
        <f t="shared" si="7"/>
        <v>8.5236411162813261E-2</v>
      </c>
      <c r="H86" s="3">
        <f t="shared" si="0"/>
        <v>8.6121901096420893E-3</v>
      </c>
      <c r="I86" s="3">
        <f t="shared" si="1"/>
        <v>-7.6624221053171168E-2</v>
      </c>
    </row>
    <row r="87" spans="1:9">
      <c r="A87">
        <f t="shared" si="2"/>
        <v>57</v>
      </c>
      <c r="B87" s="13">
        <f t="shared" si="3"/>
        <v>20.146101944505407</v>
      </c>
      <c r="C87" s="12">
        <f t="shared" si="4"/>
        <v>3083.8859270874091</v>
      </c>
      <c r="D87">
        <f t="shared" si="5"/>
        <v>3.0449999999999999</v>
      </c>
      <c r="E87" s="13">
        <f t="shared" si="6"/>
        <v>3.7166666666666592</v>
      </c>
      <c r="F87">
        <v>0.72</v>
      </c>
      <c r="G87" s="21">
        <f t="shared" si="7"/>
        <v>8.4883598242979502E-2</v>
      </c>
      <c r="H87" s="3">
        <f t="shared" si="0"/>
        <v>8.6121901096420893E-3</v>
      </c>
      <c r="I87" s="3">
        <f t="shared" si="1"/>
        <v>-7.6271408133337409E-2</v>
      </c>
    </row>
    <row r="88" spans="1:9">
      <c r="A88">
        <f t="shared" si="2"/>
        <v>58</v>
      </c>
      <c r="B88" s="13">
        <f t="shared" si="3"/>
        <v>20.06983053637207</v>
      </c>
      <c r="C88" s="12">
        <f t="shared" si="4"/>
        <v>3083.8660329282557</v>
      </c>
      <c r="D88">
        <f t="shared" si="5"/>
        <v>3.0449999999999999</v>
      </c>
      <c r="E88" s="13">
        <f t="shared" si="6"/>
        <v>3.7083333333333259</v>
      </c>
      <c r="F88">
        <v>0.72</v>
      </c>
      <c r="G88" s="21">
        <f t="shared" si="7"/>
        <v>8.4531458663544501E-2</v>
      </c>
      <c r="H88" s="3">
        <f t="shared" si="0"/>
        <v>8.6121901096420893E-3</v>
      </c>
      <c r="I88" s="3">
        <f t="shared" si="1"/>
        <v>-7.5919268553902408E-2</v>
      </c>
    </row>
    <row r="89" spans="1:9">
      <c r="A89">
        <f t="shared" si="2"/>
        <v>59</v>
      </c>
      <c r="B89" s="13">
        <f t="shared" si="3"/>
        <v>19.993911267818167</v>
      </c>
      <c r="C89" s="12">
        <f t="shared" si="4"/>
        <v>3083.8461387691023</v>
      </c>
      <c r="D89">
        <f t="shared" si="5"/>
        <v>3.0449999999999999</v>
      </c>
      <c r="E89" s="13">
        <f t="shared" si="6"/>
        <v>3.6999999999999926</v>
      </c>
      <c r="F89">
        <v>0.72</v>
      </c>
      <c r="G89" s="21">
        <f t="shared" si="7"/>
        <v>8.4179992648236668E-2</v>
      </c>
      <c r="H89" s="3">
        <f t="shared" si="0"/>
        <v>8.6121901096420893E-3</v>
      </c>
      <c r="I89" s="3">
        <f t="shared" si="1"/>
        <v>-7.5567802538594575E-2</v>
      </c>
    </row>
    <row r="90" spans="1:9">
      <c r="A90">
        <f t="shared" si="2"/>
        <v>60</v>
      </c>
      <c r="B90" s="13">
        <f t="shared" si="3"/>
        <v>19.918343465279573</v>
      </c>
      <c r="C90" s="12">
        <f t="shared" si="4"/>
        <v>3083.8262446099488</v>
      </c>
      <c r="D90">
        <f t="shared" si="5"/>
        <v>3.0449999999999999</v>
      </c>
      <c r="E90" s="13">
        <f t="shared" si="6"/>
        <v>3.6916666666666593</v>
      </c>
      <c r="F90">
        <v>0.72</v>
      </c>
      <c r="G90" s="21">
        <f t="shared" si="7"/>
        <v>8.3829200421362521E-2</v>
      </c>
      <c r="H90" s="3">
        <f t="shared" si="0"/>
        <v>8.6121901096420893E-3</v>
      </c>
      <c r="I90" s="3">
        <f t="shared" si="1"/>
        <v>-7.5217010311720428E-2</v>
      </c>
    </row>
    <row r="91" spans="1:9">
      <c r="A91">
        <f t="shared" si="2"/>
        <v>61</v>
      </c>
      <c r="B91" s="13">
        <f t="shared" si="3"/>
        <v>19.843126454967852</v>
      </c>
      <c r="C91" s="12">
        <f t="shared" si="4"/>
        <v>3083.8063504507954</v>
      </c>
      <c r="D91">
        <f t="shared" si="5"/>
        <v>3.0449999999999999</v>
      </c>
      <c r="E91" s="13">
        <f t="shared" si="6"/>
        <v>3.683333333333326</v>
      </c>
      <c r="F91">
        <v>0.72</v>
      </c>
      <c r="G91" s="21">
        <f t="shared" si="7"/>
        <v>8.3479082207809155E-2</v>
      </c>
      <c r="H91" s="3">
        <f t="shared" si="0"/>
        <v>8.6121901096420893E-3</v>
      </c>
      <c r="I91" s="3">
        <f t="shared" si="1"/>
        <v>-7.4866892098167062E-2</v>
      </c>
    </row>
    <row r="92" spans="1:9">
      <c r="A92">
        <f t="shared" si="2"/>
        <v>62</v>
      </c>
      <c r="B92" s="13">
        <f t="shared" si="3"/>
        <v>19.768259562869684</v>
      </c>
      <c r="C92" s="12">
        <f t="shared" si="4"/>
        <v>3083.786456291642</v>
      </c>
      <c r="D92">
        <f t="shared" si="5"/>
        <v>3.0449999999999999</v>
      </c>
      <c r="E92" s="13">
        <f t="shared" si="6"/>
        <v>3.6749999999999927</v>
      </c>
      <c r="F92">
        <v>0.72</v>
      </c>
      <c r="G92" s="21">
        <f t="shared" si="7"/>
        <v>8.3129638233047379E-2</v>
      </c>
      <c r="H92" s="3">
        <f t="shared" si="0"/>
        <v>8.6121901096420893E-3</v>
      </c>
      <c r="I92" s="3">
        <f t="shared" si="1"/>
        <v>-7.4517448123405286E-2</v>
      </c>
    </row>
    <row r="93" spans="1:9">
      <c r="A93">
        <f t="shared" si="2"/>
        <v>63</v>
      </c>
      <c r="B93" s="13">
        <f t="shared" si="3"/>
        <v>19.693742114746279</v>
      </c>
      <c r="C93" s="12">
        <f t="shared" si="4"/>
        <v>3083.7665621324886</v>
      </c>
      <c r="D93">
        <f t="shared" si="5"/>
        <v>3.0449999999999999</v>
      </c>
      <c r="E93" s="13">
        <f t="shared" si="6"/>
        <v>3.6666666666666594</v>
      </c>
      <c r="F93">
        <v>0.72</v>
      </c>
      <c r="G93" s="21">
        <f t="shared" si="7"/>
        <v>8.2780868723134379E-2</v>
      </c>
      <c r="H93" s="3">
        <f t="shared" si="0"/>
        <v>8.6121901096420893E-3</v>
      </c>
      <c r="I93" s="3">
        <f t="shared" si="1"/>
        <v>-7.4168678613492287E-2</v>
      </c>
    </row>
    <row r="94" spans="1:9">
      <c r="A94">
        <f t="shared" si="2"/>
        <v>64</v>
      </c>
      <c r="B94" s="13">
        <f t="shared" si="3"/>
        <v>19.619573436132786</v>
      </c>
      <c r="C94" s="12">
        <f t="shared" si="4"/>
        <v>3083.7466679733352</v>
      </c>
      <c r="D94">
        <f t="shared" si="5"/>
        <v>3.0449999999999999</v>
      </c>
      <c r="E94" s="13">
        <f t="shared" si="6"/>
        <v>3.6583333333333261</v>
      </c>
      <c r="F94">
        <v>0.72</v>
      </c>
      <c r="G94" s="21">
        <f t="shared" si="7"/>
        <v>8.2432773904716303E-2</v>
      </c>
      <c r="H94" s="3">
        <f t="shared" si="0"/>
        <v>8.6121901096420893E-3</v>
      </c>
      <c r="I94" s="3">
        <f t="shared" si="1"/>
        <v>-7.382058379507421E-2</v>
      </c>
    </row>
    <row r="95" spans="1:9">
      <c r="A95">
        <f t="shared" si="2"/>
        <v>65</v>
      </c>
      <c r="B95" s="13">
        <f t="shared" si="3"/>
        <v>19.54575285233771</v>
      </c>
      <c r="C95" s="12">
        <f t="shared" si="4"/>
        <v>3083.7267738141818</v>
      </c>
      <c r="D95">
        <f t="shared" si="5"/>
        <v>3.0449999999999999</v>
      </c>
      <c r="E95" s="13">
        <f t="shared" si="6"/>
        <v>3.6499999999999928</v>
      </c>
      <c r="F95">
        <v>0.72</v>
      </c>
      <c r="G95" s="21">
        <f t="shared" si="7"/>
        <v>8.2085354005031697E-2</v>
      </c>
      <c r="H95" s="3">
        <f t="shared" si="0"/>
        <v>8.6121901096420893E-3</v>
      </c>
      <c r="I95" s="3">
        <f t="shared" si="1"/>
        <v>-7.3473163895389604E-2</v>
      </c>
    </row>
    <row r="96" spans="1:9">
      <c r="A96">
        <f t="shared" si="2"/>
        <v>66</v>
      </c>
      <c r="B96" s="13">
        <f t="shared" si="3"/>
        <v>19.47227968844232</v>
      </c>
      <c r="C96" s="12">
        <f t="shared" si="4"/>
        <v>3083.7068796550284</v>
      </c>
      <c r="D96">
        <f t="shared" si="5"/>
        <v>3.0449999999999999</v>
      </c>
      <c r="E96" s="13">
        <f t="shared" si="6"/>
        <v>3.6416666666666595</v>
      </c>
      <c r="F96">
        <v>0.72</v>
      </c>
      <c r="G96" s="21">
        <f t="shared" si="7"/>
        <v>8.1738609251914021E-2</v>
      </c>
      <c r="H96" s="3">
        <f t="shared" ref="H96:H159" si="8">(D96*$C$20)/2.31</f>
        <v>8.6121901096420893E-3</v>
      </c>
      <c r="I96" s="3">
        <f t="shared" ref="I96:I159" si="9">H96-G96</f>
        <v>-7.3126419142271928E-2</v>
      </c>
    </row>
    <row r="97" spans="1:9">
      <c r="A97">
        <f t="shared" ref="A97:A160" si="10">A96+1</f>
        <v>67</v>
      </c>
      <c r="B97" s="13">
        <f t="shared" ref="B97:B160" si="11">B96+I96</f>
        <v>19.399153269300047</v>
      </c>
      <c r="C97" s="12">
        <f t="shared" ref="C97:C160" si="12">C96-H96*2.31</f>
        <v>3083.686985495875</v>
      </c>
      <c r="D97">
        <f t="shared" ref="D97:D160" si="13">$C$13</f>
        <v>3.0449999999999999</v>
      </c>
      <c r="E97" s="13">
        <f t="shared" ref="E97:E160" si="14">E96-($C$6/60)</f>
        <v>3.6333333333333262</v>
      </c>
      <c r="F97">
        <v>0.72</v>
      </c>
      <c r="G97" s="21">
        <f t="shared" ref="G97:G160" si="15">(1050*((E97/$C$11)^1.852)*(D97/100)*(F97^-4.87))/2.31</f>
        <v>8.1392539873794703E-2</v>
      </c>
      <c r="H97" s="3">
        <f t="shared" si="8"/>
        <v>8.6121901096420893E-3</v>
      </c>
      <c r="I97" s="3">
        <f t="shared" si="9"/>
        <v>-7.278034976415261E-2</v>
      </c>
    </row>
    <row r="98" spans="1:9">
      <c r="A98">
        <f t="shared" si="10"/>
        <v>68</v>
      </c>
      <c r="B98" s="13">
        <f t="shared" si="11"/>
        <v>19.326372919535896</v>
      </c>
      <c r="C98" s="12">
        <f t="shared" si="12"/>
        <v>3083.6670913367216</v>
      </c>
      <c r="D98">
        <f t="shared" si="13"/>
        <v>3.0449999999999999</v>
      </c>
      <c r="E98" s="13">
        <f t="shared" si="14"/>
        <v>3.6249999999999929</v>
      </c>
      <c r="F98">
        <v>0.72</v>
      </c>
      <c r="G98" s="21">
        <f t="shared" si="15"/>
        <v>8.1047146099706008E-2</v>
      </c>
      <c r="H98" s="3">
        <f t="shared" si="8"/>
        <v>8.6121901096420893E-3</v>
      </c>
      <c r="I98" s="3">
        <f t="shared" si="9"/>
        <v>-7.2434955990063915E-2</v>
      </c>
    </row>
    <row r="99" spans="1:9">
      <c r="A99">
        <f t="shared" si="10"/>
        <v>69</v>
      </c>
      <c r="B99" s="13">
        <f t="shared" si="11"/>
        <v>19.25393796354583</v>
      </c>
      <c r="C99" s="12">
        <f t="shared" si="12"/>
        <v>3083.6471971775682</v>
      </c>
      <c r="D99">
        <f t="shared" si="13"/>
        <v>3.0449999999999999</v>
      </c>
      <c r="E99" s="13">
        <f t="shared" si="14"/>
        <v>3.6166666666666596</v>
      </c>
      <c r="F99">
        <v>0.72</v>
      </c>
      <c r="G99" s="21">
        <f t="shared" si="15"/>
        <v>8.0702428159283954E-2</v>
      </c>
      <c r="H99" s="3">
        <f t="shared" si="8"/>
        <v>8.6121901096420893E-3</v>
      </c>
      <c r="I99" s="3">
        <f t="shared" si="9"/>
        <v>-7.2090238049641861E-2</v>
      </c>
    </row>
    <row r="100" spans="1:9">
      <c r="A100">
        <f t="shared" si="10"/>
        <v>70</v>
      </c>
      <c r="B100" s="13">
        <f t="shared" si="11"/>
        <v>19.181847725496187</v>
      </c>
      <c r="C100" s="12">
        <f t="shared" si="12"/>
        <v>3083.6273030184148</v>
      </c>
      <c r="D100">
        <f t="shared" si="13"/>
        <v>3.0449999999999999</v>
      </c>
      <c r="E100" s="13">
        <f t="shared" si="14"/>
        <v>3.6083333333333263</v>
      </c>
      <c r="F100">
        <v>0.72</v>
      </c>
      <c r="G100" s="21">
        <f t="shared" si="15"/>
        <v>8.0358386282771643E-2</v>
      </c>
      <c r="H100" s="3">
        <f t="shared" si="8"/>
        <v>8.6121901096420893E-3</v>
      </c>
      <c r="I100" s="3">
        <f t="shared" si="9"/>
        <v>-7.1746196173129551E-2</v>
      </c>
    </row>
    <row r="101" spans="1:9">
      <c r="A101">
        <f t="shared" si="10"/>
        <v>71</v>
      </c>
      <c r="B101" s="13">
        <f t="shared" si="11"/>
        <v>19.110101529323057</v>
      </c>
      <c r="C101" s="12">
        <f t="shared" si="12"/>
        <v>3083.6074088592613</v>
      </c>
      <c r="D101">
        <f t="shared" si="13"/>
        <v>3.0449999999999999</v>
      </c>
      <c r="E101" s="13">
        <f t="shared" si="14"/>
        <v>3.599999999999993</v>
      </c>
      <c r="F101">
        <v>0.72</v>
      </c>
      <c r="G101" s="21">
        <f t="shared" si="15"/>
        <v>8.0015020701021858E-2</v>
      </c>
      <c r="H101" s="3">
        <f t="shared" si="8"/>
        <v>8.6121901096420893E-3</v>
      </c>
      <c r="I101" s="3">
        <f t="shared" si="9"/>
        <v>-7.1402830591379765E-2</v>
      </c>
    </row>
    <row r="102" spans="1:9">
      <c r="A102">
        <f t="shared" si="10"/>
        <v>72</v>
      </c>
      <c r="B102" s="13">
        <f t="shared" si="11"/>
        <v>19.038698698731675</v>
      </c>
      <c r="C102" s="12">
        <f t="shared" si="12"/>
        <v>3083.5875147001079</v>
      </c>
      <c r="D102">
        <f t="shared" si="13"/>
        <v>3.0449999999999999</v>
      </c>
      <c r="E102" s="13">
        <f t="shared" si="14"/>
        <v>3.5916666666666597</v>
      </c>
      <c r="F102">
        <v>0.72</v>
      </c>
      <c r="G102" s="21">
        <f t="shared" si="15"/>
        <v>7.9672331645500236E-2</v>
      </c>
      <c r="H102" s="3">
        <f t="shared" si="8"/>
        <v>8.6121901096420893E-3</v>
      </c>
      <c r="I102" s="3">
        <f t="shared" si="9"/>
        <v>-7.1060141535858143E-2</v>
      </c>
    </row>
    <row r="103" spans="1:9">
      <c r="A103">
        <f t="shared" si="10"/>
        <v>73</v>
      </c>
      <c r="B103" s="13">
        <f t="shared" si="11"/>
        <v>18.967638557195816</v>
      </c>
      <c r="C103" s="12">
        <f t="shared" si="12"/>
        <v>3083.5676205409545</v>
      </c>
      <c r="D103">
        <f t="shared" si="13"/>
        <v>3.0449999999999999</v>
      </c>
      <c r="E103" s="13">
        <f t="shared" si="14"/>
        <v>3.5833333333333264</v>
      </c>
      <c r="F103">
        <v>0.72</v>
      </c>
      <c r="G103" s="21">
        <f t="shared" si="15"/>
        <v>7.9330319348288297E-2</v>
      </c>
      <c r="H103" s="3">
        <f t="shared" si="8"/>
        <v>8.6121901096420893E-3</v>
      </c>
      <c r="I103" s="3">
        <f t="shared" si="9"/>
        <v>-7.0718129238646205E-2</v>
      </c>
    </row>
    <row r="104" spans="1:9">
      <c r="A104">
        <f t="shared" si="10"/>
        <v>74</v>
      </c>
      <c r="B104" s="13">
        <f t="shared" si="11"/>
        <v>18.89692042795717</v>
      </c>
      <c r="C104" s="12">
        <f t="shared" si="12"/>
        <v>3083.5477263818011</v>
      </c>
      <c r="D104">
        <f t="shared" si="13"/>
        <v>3.0449999999999999</v>
      </c>
      <c r="E104" s="13">
        <f t="shared" si="14"/>
        <v>3.5749999999999931</v>
      </c>
      <c r="F104">
        <v>0.72</v>
      </c>
      <c r="G104" s="21">
        <f t="shared" si="15"/>
        <v>7.8988984042086735E-2</v>
      </c>
      <c r="H104" s="3">
        <f t="shared" si="8"/>
        <v>8.6121901096420893E-3</v>
      </c>
      <c r="I104" s="3">
        <f t="shared" si="9"/>
        <v>-7.0376793932444642E-2</v>
      </c>
    </row>
    <row r="105" spans="1:9">
      <c r="A105">
        <f t="shared" si="10"/>
        <v>75</v>
      </c>
      <c r="B105" s="13">
        <f t="shared" si="11"/>
        <v>18.826543634024727</v>
      </c>
      <c r="C105" s="12">
        <f t="shared" si="12"/>
        <v>3083.5278322226477</v>
      </c>
      <c r="D105">
        <f t="shared" si="13"/>
        <v>3.0449999999999999</v>
      </c>
      <c r="E105" s="13">
        <f t="shared" si="14"/>
        <v>3.5666666666666598</v>
      </c>
      <c r="F105">
        <v>0.72</v>
      </c>
      <c r="G105" s="21">
        <f t="shared" si="15"/>
        <v>7.8648325960218091E-2</v>
      </c>
      <c r="H105" s="3">
        <f t="shared" si="8"/>
        <v>8.6121901096420893E-3</v>
      </c>
      <c r="I105" s="3">
        <f t="shared" si="9"/>
        <v>-7.0036135850575998E-2</v>
      </c>
    </row>
    <row r="106" spans="1:9">
      <c r="A106">
        <f t="shared" si="10"/>
        <v>76</v>
      </c>
      <c r="B106" s="13">
        <f t="shared" si="11"/>
        <v>18.756507498174152</v>
      </c>
      <c r="C106" s="12">
        <f t="shared" si="12"/>
        <v>3083.5079380634943</v>
      </c>
      <c r="D106">
        <f t="shared" si="13"/>
        <v>3.0449999999999999</v>
      </c>
      <c r="E106" s="13">
        <f t="shared" si="14"/>
        <v>3.5583333333333265</v>
      </c>
      <c r="F106">
        <v>0.72</v>
      </c>
      <c r="G106" s="21">
        <f t="shared" si="15"/>
        <v>7.8308345336630253E-2</v>
      </c>
      <c r="H106" s="3">
        <f t="shared" si="8"/>
        <v>8.6121901096420893E-3</v>
      </c>
      <c r="I106" s="3">
        <f t="shared" si="9"/>
        <v>-6.969615522698816E-2</v>
      </c>
    </row>
    <row r="107" spans="1:9">
      <c r="A107">
        <f t="shared" si="10"/>
        <v>77</v>
      </c>
      <c r="B107" s="13">
        <f t="shared" si="11"/>
        <v>18.686811342947163</v>
      </c>
      <c r="C107" s="12">
        <f t="shared" si="12"/>
        <v>3083.4880439043409</v>
      </c>
      <c r="D107">
        <f t="shared" si="13"/>
        <v>3.0449999999999999</v>
      </c>
      <c r="E107" s="13">
        <f t="shared" si="14"/>
        <v>3.5499999999999932</v>
      </c>
      <c r="F107">
        <v>0.72</v>
      </c>
      <c r="G107" s="21">
        <f t="shared" si="15"/>
        <v>7.7969042405899552E-2</v>
      </c>
      <c r="H107" s="3">
        <f t="shared" si="8"/>
        <v>8.6121901096420893E-3</v>
      </c>
      <c r="I107" s="3">
        <f t="shared" si="9"/>
        <v>-6.935685229625746E-2</v>
      </c>
    </row>
    <row r="108" spans="1:9">
      <c r="A108">
        <f t="shared" si="10"/>
        <v>78</v>
      </c>
      <c r="B108" s="13">
        <f t="shared" si="11"/>
        <v>18.617454490650907</v>
      </c>
      <c r="C108" s="12">
        <f t="shared" si="12"/>
        <v>3083.4681497451875</v>
      </c>
      <c r="D108">
        <f t="shared" si="13"/>
        <v>3.0449999999999999</v>
      </c>
      <c r="E108" s="13">
        <f t="shared" si="14"/>
        <v>3.5416666666666599</v>
      </c>
      <c r="F108">
        <v>0.72</v>
      </c>
      <c r="G108" s="21">
        <f t="shared" si="15"/>
        <v>7.7630417403233634E-2</v>
      </c>
      <c r="H108" s="3">
        <f t="shared" si="8"/>
        <v>8.6121901096420893E-3</v>
      </c>
      <c r="I108" s="3">
        <f t="shared" si="9"/>
        <v>-6.9018227293591541E-2</v>
      </c>
    </row>
    <row r="109" spans="1:9">
      <c r="A109">
        <f t="shared" si="10"/>
        <v>79</v>
      </c>
      <c r="B109" s="13">
        <f t="shared" si="11"/>
        <v>18.548436263357317</v>
      </c>
      <c r="C109" s="12">
        <f t="shared" si="12"/>
        <v>3083.4482555860341</v>
      </c>
      <c r="D109">
        <f t="shared" si="13"/>
        <v>3.0449999999999999</v>
      </c>
      <c r="E109" s="13">
        <f t="shared" si="14"/>
        <v>3.5333333333333266</v>
      </c>
      <c r="F109">
        <v>0.72</v>
      </c>
      <c r="G109" s="21">
        <f t="shared" si="15"/>
        <v>7.7292470564474913E-2</v>
      </c>
      <c r="H109" s="3">
        <f t="shared" si="8"/>
        <v>8.6121901096420893E-3</v>
      </c>
      <c r="I109" s="3">
        <f t="shared" si="9"/>
        <v>-6.8680280454832821E-2</v>
      </c>
    </row>
    <row r="110" spans="1:9">
      <c r="A110">
        <f t="shared" si="10"/>
        <v>80</v>
      </c>
      <c r="B110" s="13">
        <f t="shared" si="11"/>
        <v>18.479755982902486</v>
      </c>
      <c r="C110" s="12">
        <f t="shared" si="12"/>
        <v>3083.4283614268807</v>
      </c>
      <c r="D110">
        <f t="shared" si="13"/>
        <v>3.0449999999999999</v>
      </c>
      <c r="E110" s="13">
        <f t="shared" si="14"/>
        <v>3.5249999999999932</v>
      </c>
      <c r="F110">
        <v>0.72</v>
      </c>
      <c r="G110" s="21">
        <f t="shared" si="15"/>
        <v>7.6955202126103794E-2</v>
      </c>
      <c r="H110" s="3">
        <f t="shared" si="8"/>
        <v>8.6121901096420893E-3</v>
      </c>
      <c r="I110" s="3">
        <f t="shared" si="9"/>
        <v>-6.8343012016461702E-2</v>
      </c>
    </row>
    <row r="111" spans="1:9">
      <c r="A111">
        <f t="shared" si="10"/>
        <v>81</v>
      </c>
      <c r="B111" s="13">
        <f t="shared" si="11"/>
        <v>18.411412970886023</v>
      </c>
      <c r="C111" s="12">
        <f t="shared" si="12"/>
        <v>3083.4084672677272</v>
      </c>
      <c r="D111">
        <f t="shared" si="13"/>
        <v>3.0449999999999999</v>
      </c>
      <c r="E111" s="13">
        <f t="shared" si="14"/>
        <v>3.5166666666666599</v>
      </c>
      <c r="F111">
        <v>0.72</v>
      </c>
      <c r="G111" s="21">
        <f t="shared" si="15"/>
        <v>7.6618612325241808E-2</v>
      </c>
      <c r="H111" s="3">
        <f t="shared" si="8"/>
        <v>8.6121901096420893E-3</v>
      </c>
      <c r="I111" s="3">
        <f t="shared" si="9"/>
        <v>-6.8006422215599716E-2</v>
      </c>
    </row>
    <row r="112" spans="1:9">
      <c r="A112">
        <f t="shared" si="10"/>
        <v>82</v>
      </c>
      <c r="B112" s="13">
        <f t="shared" si="11"/>
        <v>18.343406548670423</v>
      </c>
      <c r="C112" s="12">
        <f t="shared" si="12"/>
        <v>3083.3885731085738</v>
      </c>
      <c r="D112">
        <f t="shared" si="13"/>
        <v>3.0449999999999999</v>
      </c>
      <c r="E112" s="13">
        <f t="shared" si="14"/>
        <v>3.5083333333333266</v>
      </c>
      <c r="F112">
        <v>0.72</v>
      </c>
      <c r="G112" s="21">
        <f t="shared" si="15"/>
        <v>7.6282701399654734E-2</v>
      </c>
      <c r="H112" s="3">
        <f t="shared" si="8"/>
        <v>8.6121901096420893E-3</v>
      </c>
      <c r="I112" s="3">
        <f t="shared" si="9"/>
        <v>-6.7670511290012642E-2</v>
      </c>
    </row>
    <row r="113" spans="1:9">
      <c r="A113">
        <f t="shared" si="10"/>
        <v>83</v>
      </c>
      <c r="B113" s="13">
        <f t="shared" si="11"/>
        <v>18.275736037380412</v>
      </c>
      <c r="C113" s="12">
        <f t="shared" si="12"/>
        <v>3083.3686789494204</v>
      </c>
      <c r="D113">
        <f t="shared" si="13"/>
        <v>3.0449999999999999</v>
      </c>
      <c r="E113" s="13">
        <f t="shared" si="14"/>
        <v>3.4999999999999933</v>
      </c>
      <c r="F113">
        <v>0.72</v>
      </c>
      <c r="G113" s="21">
        <f t="shared" si="15"/>
        <v>7.5947469587756389E-2</v>
      </c>
      <c r="H113" s="3">
        <f t="shared" si="8"/>
        <v>8.6121901096420893E-3</v>
      </c>
      <c r="I113" s="3">
        <f t="shared" si="9"/>
        <v>-6.7335279478114296E-2</v>
      </c>
    </row>
    <row r="114" spans="1:9">
      <c r="A114">
        <f t="shared" si="10"/>
        <v>84</v>
      </c>
      <c r="B114" s="13">
        <f t="shared" si="11"/>
        <v>18.208400757902297</v>
      </c>
      <c r="C114" s="12">
        <f t="shared" si="12"/>
        <v>3083.348784790267</v>
      </c>
      <c r="D114">
        <f t="shared" si="13"/>
        <v>3.0449999999999999</v>
      </c>
      <c r="E114" s="13">
        <f t="shared" si="14"/>
        <v>3.49166666666666</v>
      </c>
      <c r="F114">
        <v>0.72</v>
      </c>
      <c r="G114" s="21">
        <f t="shared" si="15"/>
        <v>7.5612917128611221E-2</v>
      </c>
      <c r="H114" s="3">
        <f t="shared" si="8"/>
        <v>8.6121901096420893E-3</v>
      </c>
      <c r="I114" s="3">
        <f t="shared" si="9"/>
        <v>-6.7000727018969128E-2</v>
      </c>
    </row>
    <row r="115" spans="1:9" s="29" customFormat="1">
      <c r="A115" s="29">
        <f t="shared" si="10"/>
        <v>85</v>
      </c>
      <c r="B115" s="30">
        <f t="shared" si="11"/>
        <v>18.141400030883329</v>
      </c>
      <c r="C115" s="31">
        <f t="shared" si="12"/>
        <v>3083.3288906311136</v>
      </c>
      <c r="D115" s="29">
        <f t="shared" si="13"/>
        <v>3.0449999999999999</v>
      </c>
      <c r="E115" s="30">
        <f t="shared" si="14"/>
        <v>3.4833333333333267</v>
      </c>
      <c r="F115">
        <v>0.72</v>
      </c>
      <c r="G115" s="32">
        <f t="shared" si="15"/>
        <v>7.5279044261938266E-2</v>
      </c>
      <c r="H115" s="33">
        <f t="shared" si="8"/>
        <v>8.6121901096420893E-3</v>
      </c>
      <c r="I115" s="33">
        <f t="shared" si="9"/>
        <v>-6.6666854152296173E-2</v>
      </c>
    </row>
    <row r="116" spans="1:9">
      <c r="A116">
        <f t="shared" si="10"/>
        <v>86</v>
      </c>
      <c r="B116" s="13">
        <f t="shared" si="11"/>
        <v>18.074733176731034</v>
      </c>
      <c r="C116" s="12">
        <f t="shared" si="12"/>
        <v>3083.3089964719602</v>
      </c>
      <c r="D116">
        <f t="shared" si="13"/>
        <v>3.0449999999999999</v>
      </c>
      <c r="E116" s="13">
        <f t="shared" si="14"/>
        <v>3.4749999999999934</v>
      </c>
      <c r="F116">
        <v>0.72</v>
      </c>
      <c r="G116" s="21">
        <f t="shared" si="15"/>
        <v>7.4945851228114105E-2</v>
      </c>
      <c r="H116" s="3">
        <f t="shared" si="8"/>
        <v>8.6121901096420893E-3</v>
      </c>
      <c r="I116" s="3">
        <f t="shared" si="9"/>
        <v>-6.6333661118472012E-2</v>
      </c>
    </row>
    <row r="117" spans="1:9">
      <c r="A117">
        <f t="shared" si="10"/>
        <v>87</v>
      </c>
      <c r="B117" s="13">
        <f t="shared" si="11"/>
        <v>18.008399515612563</v>
      </c>
      <c r="C117" s="12">
        <f t="shared" si="12"/>
        <v>3083.2891023128068</v>
      </c>
      <c r="D117">
        <f t="shared" si="13"/>
        <v>3.0449999999999999</v>
      </c>
      <c r="E117" s="13">
        <f t="shared" si="14"/>
        <v>3.4666666666666601</v>
      </c>
      <c r="F117">
        <v>0.72</v>
      </c>
      <c r="G117" s="21">
        <f t="shared" si="15"/>
        <v>7.4613338268176621E-2</v>
      </c>
      <c r="H117" s="3">
        <f t="shared" si="8"/>
        <v>8.6121901096420893E-3</v>
      </c>
      <c r="I117" s="3">
        <f t="shared" si="9"/>
        <v>-6.6001148158534528E-2</v>
      </c>
    </row>
    <row r="118" spans="1:9">
      <c r="A118">
        <f t="shared" si="10"/>
        <v>88</v>
      </c>
      <c r="B118" s="13">
        <f t="shared" si="11"/>
        <v>17.942398367454029</v>
      </c>
      <c r="C118" s="12">
        <f t="shared" si="12"/>
        <v>3083.2692081536534</v>
      </c>
      <c r="D118">
        <f t="shared" si="13"/>
        <v>3.0449999999999999</v>
      </c>
      <c r="E118" s="13">
        <f t="shared" si="14"/>
        <v>3.4583333333333268</v>
      </c>
      <c r="F118">
        <v>0.72</v>
      </c>
      <c r="G118" s="21">
        <f t="shared" si="15"/>
        <v>7.4281505623827862E-2</v>
      </c>
      <c r="H118" s="3">
        <f t="shared" si="8"/>
        <v>8.6121901096420893E-3</v>
      </c>
      <c r="I118" s="3">
        <f t="shared" si="9"/>
        <v>-6.5669315514185769E-2</v>
      </c>
    </row>
    <row r="119" spans="1:9">
      <c r="A119" s="29">
        <f t="shared" si="10"/>
        <v>89</v>
      </c>
      <c r="B119" s="30">
        <f t="shared" si="11"/>
        <v>17.876729051939844</v>
      </c>
      <c r="C119" s="12">
        <f t="shared" si="12"/>
        <v>3083.2493139945</v>
      </c>
      <c r="D119" s="29">
        <f t="shared" si="13"/>
        <v>3.0449999999999999</v>
      </c>
      <c r="E119" s="30">
        <f t="shared" si="14"/>
        <v>3.4499999999999935</v>
      </c>
      <c r="F119">
        <v>0.72</v>
      </c>
      <c r="G119" s="32">
        <f t="shared" si="15"/>
        <v>7.3950353537438188E-2</v>
      </c>
      <c r="H119" s="3">
        <f t="shared" si="8"/>
        <v>8.6121901096420893E-3</v>
      </c>
      <c r="I119" s="33">
        <f t="shared" si="9"/>
        <v>-6.5338163427796095E-2</v>
      </c>
    </row>
    <row r="120" spans="1:9">
      <c r="A120" s="29">
        <f t="shared" si="10"/>
        <v>90</v>
      </c>
      <c r="B120" s="30">
        <f t="shared" si="11"/>
        <v>17.811390888512047</v>
      </c>
      <c r="C120" s="12">
        <f t="shared" si="12"/>
        <v>3083.2294198353466</v>
      </c>
      <c r="D120" s="29">
        <f t="shared" si="13"/>
        <v>3.0449999999999999</v>
      </c>
      <c r="E120" s="30">
        <f t="shared" si="14"/>
        <v>3.4416666666666602</v>
      </c>
      <c r="F120">
        <v>0.72</v>
      </c>
      <c r="G120" s="32">
        <f t="shared" si="15"/>
        <v>7.3619882252049004E-2</v>
      </c>
      <c r="H120" s="3">
        <f t="shared" si="8"/>
        <v>8.6121901096420893E-3</v>
      </c>
      <c r="I120" s="33">
        <f t="shared" si="9"/>
        <v>-6.5007692142406912E-2</v>
      </c>
    </row>
    <row r="121" spans="1:9">
      <c r="A121">
        <f t="shared" si="10"/>
        <v>91</v>
      </c>
      <c r="B121" s="13">
        <f t="shared" si="11"/>
        <v>17.746383196369642</v>
      </c>
      <c r="C121" s="12">
        <f t="shared" si="12"/>
        <v>3083.2095256761932</v>
      </c>
      <c r="D121">
        <f t="shared" si="13"/>
        <v>3.0449999999999999</v>
      </c>
      <c r="E121" s="13">
        <f t="shared" si="14"/>
        <v>3.4333333333333269</v>
      </c>
      <c r="F121">
        <v>0.72</v>
      </c>
      <c r="G121" s="21">
        <f t="shared" si="15"/>
        <v>7.3290092011376831E-2</v>
      </c>
      <c r="H121" s="3">
        <f t="shared" si="8"/>
        <v>8.6121901096420893E-3</v>
      </c>
      <c r="I121" s="3">
        <f t="shared" si="9"/>
        <v>-6.4677901901734738E-2</v>
      </c>
    </row>
    <row r="122" spans="1:9">
      <c r="A122">
        <f t="shared" si="10"/>
        <v>92</v>
      </c>
      <c r="B122" s="13">
        <f t="shared" si="11"/>
        <v>17.681705294467907</v>
      </c>
      <c r="C122" s="12">
        <f t="shared" si="12"/>
        <v>3083.1896315170397</v>
      </c>
      <c r="D122">
        <f t="shared" si="13"/>
        <v>3.0449999999999999</v>
      </c>
      <c r="E122" s="13">
        <f t="shared" si="14"/>
        <v>3.4249999999999936</v>
      </c>
      <c r="F122">
        <v>0.72</v>
      </c>
      <c r="G122" s="21">
        <f t="shared" si="15"/>
        <v>7.2960983059816326E-2</v>
      </c>
      <c r="H122" s="3">
        <f t="shared" si="8"/>
        <v>8.6121901096420893E-3</v>
      </c>
      <c r="I122" s="3">
        <f t="shared" si="9"/>
        <v>-6.4348792950174233E-2</v>
      </c>
    </row>
    <row r="123" spans="1:9">
      <c r="A123" s="29">
        <f t="shared" si="10"/>
        <v>93</v>
      </c>
      <c r="B123" s="30">
        <f t="shared" si="11"/>
        <v>17.617356501517733</v>
      </c>
      <c r="C123" s="12">
        <f t="shared" si="12"/>
        <v>3083.1697373578863</v>
      </c>
      <c r="D123" s="29">
        <f t="shared" si="13"/>
        <v>3.0449999999999999</v>
      </c>
      <c r="E123" s="30">
        <f t="shared" si="14"/>
        <v>3.4166666666666603</v>
      </c>
      <c r="F123">
        <v>0.72</v>
      </c>
      <c r="G123" s="32">
        <f t="shared" si="15"/>
        <v>7.2632555642444446E-2</v>
      </c>
      <c r="H123" s="3">
        <f t="shared" si="8"/>
        <v>8.6121901096420893E-3</v>
      </c>
      <c r="I123" s="33">
        <f t="shared" si="9"/>
        <v>-6.4020365532802354E-2</v>
      </c>
    </row>
    <row r="124" spans="1:9">
      <c r="A124">
        <f t="shared" si="10"/>
        <v>94</v>
      </c>
      <c r="B124" s="13">
        <f t="shared" si="11"/>
        <v>17.553336135984932</v>
      </c>
      <c r="C124" s="12">
        <f t="shared" si="12"/>
        <v>3083.1498431987329</v>
      </c>
      <c r="D124">
        <f t="shared" si="13"/>
        <v>3.0449999999999999</v>
      </c>
      <c r="E124" s="13">
        <f t="shared" si="14"/>
        <v>3.408333333333327</v>
      </c>
      <c r="F124">
        <v>0.72</v>
      </c>
      <c r="G124" s="21">
        <f t="shared" si="15"/>
        <v>7.2304810005023396E-2</v>
      </c>
      <c r="H124" s="3">
        <f t="shared" si="8"/>
        <v>8.6121901096420893E-3</v>
      </c>
      <c r="I124" s="3">
        <f t="shared" si="9"/>
        <v>-6.3692619895381303E-2</v>
      </c>
    </row>
    <row r="125" spans="1:9">
      <c r="A125">
        <f t="shared" si="10"/>
        <v>95</v>
      </c>
      <c r="B125" s="13">
        <f t="shared" si="11"/>
        <v>17.489643516089551</v>
      </c>
      <c r="C125" s="12">
        <f t="shared" si="12"/>
        <v>3083.1299490395795</v>
      </c>
      <c r="D125">
        <f t="shared" si="13"/>
        <v>3.0449999999999999</v>
      </c>
      <c r="E125" s="13">
        <f t="shared" si="14"/>
        <v>3.3999999999999937</v>
      </c>
      <c r="F125">
        <v>0.72</v>
      </c>
      <c r="G125" s="21">
        <f t="shared" si="15"/>
        <v>7.1977746394004463E-2</v>
      </c>
      <c r="H125" s="3">
        <f t="shared" si="8"/>
        <v>8.6121901096420893E-3</v>
      </c>
      <c r="I125" s="3">
        <f t="shared" si="9"/>
        <v>-6.336555628436237E-2</v>
      </c>
    </row>
    <row r="126" spans="1:9">
      <c r="A126">
        <f t="shared" si="10"/>
        <v>96</v>
      </c>
      <c r="B126" s="13">
        <f t="shared" si="11"/>
        <v>17.426277959805187</v>
      </c>
      <c r="C126" s="12">
        <f t="shared" si="12"/>
        <v>3083.1100548804261</v>
      </c>
      <c r="D126">
        <f t="shared" si="13"/>
        <v>3.0449999999999999</v>
      </c>
      <c r="E126" s="13">
        <f t="shared" si="14"/>
        <v>3.3916666666666604</v>
      </c>
      <c r="F126">
        <v>0.72</v>
      </c>
      <c r="G126" s="21">
        <f t="shared" si="15"/>
        <v>7.1651365056531829E-2</v>
      </c>
      <c r="H126" s="3">
        <f t="shared" si="8"/>
        <v>8.6121901096420893E-3</v>
      </c>
      <c r="I126" s="3">
        <f t="shared" si="9"/>
        <v>-6.3039174946889737E-2</v>
      </c>
    </row>
    <row r="127" spans="1:9">
      <c r="A127">
        <f t="shared" si="10"/>
        <v>97</v>
      </c>
      <c r="B127" s="13">
        <f t="shared" si="11"/>
        <v>17.363238784858297</v>
      </c>
      <c r="C127" s="12">
        <f t="shared" si="12"/>
        <v>3083.0901607212727</v>
      </c>
      <c r="D127">
        <f t="shared" si="13"/>
        <v>3.0449999999999999</v>
      </c>
      <c r="E127" s="13">
        <f t="shared" si="14"/>
        <v>3.3833333333333271</v>
      </c>
      <c r="F127">
        <v>0.72</v>
      </c>
      <c r="G127" s="21">
        <f t="shared" si="15"/>
        <v>7.1325666240445978E-2</v>
      </c>
      <c r="H127" s="3">
        <f t="shared" si="8"/>
        <v>8.6121901096420893E-3</v>
      </c>
      <c r="I127" s="3">
        <f t="shared" si="9"/>
        <v>-6.2713476130803886E-2</v>
      </c>
    </row>
    <row r="128" spans="1:9">
      <c r="A128">
        <f t="shared" si="10"/>
        <v>98</v>
      </c>
      <c r="B128" s="13">
        <f t="shared" si="11"/>
        <v>17.300525308727494</v>
      </c>
      <c r="C128" s="12">
        <f t="shared" si="12"/>
        <v>3083.0702665621193</v>
      </c>
      <c r="D128">
        <f t="shared" si="13"/>
        <v>3.0449999999999999</v>
      </c>
      <c r="E128" s="13">
        <f t="shared" si="14"/>
        <v>3.3749999999999938</v>
      </c>
      <c r="F128">
        <v>0.72</v>
      </c>
      <c r="G128" s="21">
        <f t="shared" si="15"/>
        <v>7.1000650194287335E-2</v>
      </c>
      <c r="H128" s="3">
        <f t="shared" si="8"/>
        <v>8.6121901096420893E-3</v>
      </c>
      <c r="I128" s="3">
        <f t="shared" si="9"/>
        <v>-6.2388460084645242E-2</v>
      </c>
    </row>
    <row r="129" spans="1:9">
      <c r="A129">
        <f t="shared" si="10"/>
        <v>99</v>
      </c>
      <c r="B129" s="13">
        <f t="shared" si="11"/>
        <v>17.238136848642849</v>
      </c>
      <c r="C129" s="12">
        <f t="shared" si="12"/>
        <v>3083.0503724029659</v>
      </c>
      <c r="D129">
        <f t="shared" si="13"/>
        <v>3.0449999999999999</v>
      </c>
      <c r="E129" s="13">
        <f t="shared" si="14"/>
        <v>3.3666666666666605</v>
      </c>
      <c r="F129">
        <v>0.72</v>
      </c>
      <c r="G129" s="21">
        <f t="shared" si="15"/>
        <v>7.0676317167300287E-2</v>
      </c>
      <c r="H129" s="3">
        <f t="shared" si="8"/>
        <v>8.6121901096420893E-3</v>
      </c>
      <c r="I129" s="3">
        <f t="shared" si="9"/>
        <v>-6.2064127057658194E-2</v>
      </c>
    </row>
    <row r="130" spans="1:9">
      <c r="A130">
        <f t="shared" si="10"/>
        <v>100</v>
      </c>
      <c r="B130" s="13">
        <f t="shared" si="11"/>
        <v>17.176072721585189</v>
      </c>
      <c r="C130" s="12">
        <f t="shared" si="12"/>
        <v>3083.0304782438125</v>
      </c>
      <c r="D130">
        <f t="shared" si="13"/>
        <v>3.0449999999999999</v>
      </c>
      <c r="E130" s="13">
        <f t="shared" si="14"/>
        <v>3.3583333333333272</v>
      </c>
      <c r="F130">
        <v>0.72</v>
      </c>
      <c r="G130" s="21">
        <f t="shared" si="15"/>
        <v>7.0352667409436534E-2</v>
      </c>
      <c r="H130" s="3">
        <f t="shared" si="8"/>
        <v>8.6121901096420893E-3</v>
      </c>
      <c r="I130" s="3">
        <f t="shared" si="9"/>
        <v>-6.1740477299794441E-2</v>
      </c>
    </row>
    <row r="131" spans="1:9">
      <c r="A131">
        <f t="shared" si="10"/>
        <v>101</v>
      </c>
      <c r="B131" s="13">
        <f t="shared" si="11"/>
        <v>17.114332244285396</v>
      </c>
      <c r="C131" s="12">
        <f t="shared" si="12"/>
        <v>3083.0105840846591</v>
      </c>
      <c r="D131">
        <f t="shared" si="13"/>
        <v>3.0449999999999999</v>
      </c>
      <c r="E131" s="13">
        <f t="shared" si="14"/>
        <v>3.3499999999999939</v>
      </c>
      <c r="F131">
        <v>0.72</v>
      </c>
      <c r="G131" s="21">
        <f t="shared" si="15"/>
        <v>7.0029701171359274E-2</v>
      </c>
      <c r="H131" s="3">
        <f t="shared" si="8"/>
        <v>8.6121901096420893E-3</v>
      </c>
      <c r="I131" s="3">
        <f t="shared" si="9"/>
        <v>-6.1417511061717181E-2</v>
      </c>
    </row>
    <row r="132" spans="1:9">
      <c r="A132" s="29">
        <f t="shared" si="10"/>
        <v>102</v>
      </c>
      <c r="B132" s="30">
        <f t="shared" si="11"/>
        <v>17.05291473322368</v>
      </c>
      <c r="C132" s="12">
        <f t="shared" si="12"/>
        <v>3082.9906899255056</v>
      </c>
      <c r="D132" s="29">
        <f t="shared" si="13"/>
        <v>3.0449999999999999</v>
      </c>
      <c r="E132" s="30">
        <f t="shared" si="14"/>
        <v>3.3416666666666606</v>
      </c>
      <c r="F132">
        <v>0.72</v>
      </c>
      <c r="G132" s="32">
        <f t="shared" si="15"/>
        <v>6.9707418704446536E-2</v>
      </c>
      <c r="H132" s="3">
        <f t="shared" si="8"/>
        <v>8.6121901096420893E-3</v>
      </c>
      <c r="I132" s="33">
        <f t="shared" si="9"/>
        <v>-6.1095228594804443E-2</v>
      </c>
    </row>
    <row r="133" spans="1:9">
      <c r="A133" s="29">
        <f t="shared" si="10"/>
        <v>103</v>
      </c>
      <c r="B133" s="30">
        <f t="shared" si="11"/>
        <v>16.991819504628875</v>
      </c>
      <c r="C133" s="12">
        <f t="shared" si="12"/>
        <v>3082.9707957663522</v>
      </c>
      <c r="D133" s="29">
        <f t="shared" si="13"/>
        <v>3.0449999999999999</v>
      </c>
      <c r="E133" s="30">
        <f t="shared" si="14"/>
        <v>3.3333333333333273</v>
      </c>
      <c r="F133">
        <v>0.72</v>
      </c>
      <c r="G133" s="32">
        <f t="shared" si="15"/>
        <v>6.9385820260795414E-2</v>
      </c>
      <c r="H133" s="3">
        <f t="shared" si="8"/>
        <v>8.6121901096420893E-3</v>
      </c>
      <c r="I133" s="33">
        <f t="shared" si="9"/>
        <v>-6.0773630151153321E-2</v>
      </c>
    </row>
    <row r="134" spans="1:9">
      <c r="A134">
        <f t="shared" si="10"/>
        <v>104</v>
      </c>
      <c r="B134" s="13">
        <f t="shared" si="11"/>
        <v>16.931045874477721</v>
      </c>
      <c r="C134" s="12">
        <f t="shared" si="12"/>
        <v>3082.9509016071988</v>
      </c>
      <c r="D134">
        <f t="shared" si="13"/>
        <v>3.0449999999999999</v>
      </c>
      <c r="E134" s="13">
        <f t="shared" si="14"/>
        <v>3.324999999999994</v>
      </c>
      <c r="F134">
        <v>0.72</v>
      </c>
      <c r="G134" s="21">
        <f t="shared" si="15"/>
        <v>6.9064906093225742E-2</v>
      </c>
      <c r="H134" s="3">
        <f t="shared" si="8"/>
        <v>8.6121901096420893E-3</v>
      </c>
      <c r="I134" s="3">
        <f t="shared" si="9"/>
        <v>-6.0452715983583649E-2</v>
      </c>
    </row>
    <row r="135" spans="1:9">
      <c r="A135">
        <f t="shared" si="10"/>
        <v>105</v>
      </c>
      <c r="B135" s="13">
        <f t="shared" si="11"/>
        <v>16.870593158494138</v>
      </c>
      <c r="C135" s="12">
        <f t="shared" si="12"/>
        <v>3082.9310074480454</v>
      </c>
      <c r="D135">
        <f t="shared" si="13"/>
        <v>3.0449999999999999</v>
      </c>
      <c r="E135" s="13">
        <f t="shared" si="14"/>
        <v>3.3166666666666607</v>
      </c>
      <c r="F135">
        <v>0.72</v>
      </c>
      <c r="G135" s="21">
        <f t="shared" si="15"/>
        <v>6.8744676455283787E-2</v>
      </c>
      <c r="H135" s="3">
        <f t="shared" si="8"/>
        <v>8.6121901096420893E-3</v>
      </c>
      <c r="I135" s="3">
        <f t="shared" si="9"/>
        <v>-6.0132486345641695E-2</v>
      </c>
    </row>
    <row r="136" spans="1:9">
      <c r="A136">
        <f t="shared" si="10"/>
        <v>106</v>
      </c>
      <c r="B136" s="13">
        <f t="shared" si="11"/>
        <v>16.810460672148498</v>
      </c>
      <c r="C136" s="12">
        <f t="shared" si="12"/>
        <v>3082.911113288892</v>
      </c>
      <c r="D136">
        <f t="shared" si="13"/>
        <v>3.0449999999999999</v>
      </c>
      <c r="E136" s="13">
        <f t="shared" si="14"/>
        <v>3.3083333333333274</v>
      </c>
      <c r="F136">
        <v>0.72</v>
      </c>
      <c r="G136" s="21">
        <f t="shared" si="15"/>
        <v>6.8425131601246636E-2</v>
      </c>
      <c r="H136" s="3">
        <f t="shared" si="8"/>
        <v>8.6121901096420893E-3</v>
      </c>
      <c r="I136" s="3">
        <f t="shared" si="9"/>
        <v>-5.9812941491604543E-2</v>
      </c>
    </row>
    <row r="137" spans="1:9">
      <c r="A137">
        <f t="shared" si="10"/>
        <v>107</v>
      </c>
      <c r="B137" s="13">
        <f t="shared" si="11"/>
        <v>16.750647730656894</v>
      </c>
      <c r="C137" s="12">
        <f t="shared" si="12"/>
        <v>3082.8912191297386</v>
      </c>
      <c r="D137">
        <f t="shared" si="13"/>
        <v>3.0449999999999999</v>
      </c>
      <c r="E137" s="13">
        <f t="shared" si="14"/>
        <v>3.299999999999994</v>
      </c>
      <c r="F137">
        <v>0.72</v>
      </c>
      <c r="G137" s="21">
        <f t="shared" si="15"/>
        <v>6.8106271786125702E-2</v>
      </c>
      <c r="H137" s="3">
        <f t="shared" si="8"/>
        <v>8.6121901096420893E-3</v>
      </c>
      <c r="I137" s="3">
        <f t="shared" si="9"/>
        <v>-5.9494081676483609E-2</v>
      </c>
    </row>
    <row r="138" spans="1:9">
      <c r="A138">
        <f t="shared" si="10"/>
        <v>108</v>
      </c>
      <c r="B138" s="13">
        <f t="shared" si="11"/>
        <v>16.691153648980411</v>
      </c>
      <c r="C138" s="12">
        <f t="shared" si="12"/>
        <v>3082.8713249705852</v>
      </c>
      <c r="D138">
        <f t="shared" si="13"/>
        <v>3.0449999999999999</v>
      </c>
      <c r="E138" s="13">
        <f t="shared" si="14"/>
        <v>3.2916666666666607</v>
      </c>
      <c r="F138">
        <v>0.72</v>
      </c>
      <c r="G138" s="21">
        <f t="shared" si="15"/>
        <v>6.778809726567106E-2</v>
      </c>
      <c r="H138" s="3">
        <f t="shared" si="8"/>
        <v>8.6121901096420893E-3</v>
      </c>
      <c r="I138" s="3">
        <f t="shared" si="9"/>
        <v>-5.9175907156028967E-2</v>
      </c>
    </row>
    <row r="139" spans="1:9">
      <c r="A139" s="29">
        <f t="shared" si="10"/>
        <v>109</v>
      </c>
      <c r="B139" s="30">
        <f t="shared" si="11"/>
        <v>16.631977741824382</v>
      </c>
      <c r="C139" s="12">
        <f t="shared" si="12"/>
        <v>3082.8514308114318</v>
      </c>
      <c r="D139" s="29">
        <f t="shared" si="13"/>
        <v>3.0449999999999999</v>
      </c>
      <c r="E139" s="30">
        <f t="shared" si="14"/>
        <v>3.2833333333333274</v>
      </c>
      <c r="F139">
        <v>0.72</v>
      </c>
      <c r="G139" s="32">
        <f t="shared" si="15"/>
        <v>6.747060829637512E-2</v>
      </c>
      <c r="H139" s="3">
        <f t="shared" si="8"/>
        <v>8.6121901096420893E-3</v>
      </c>
      <c r="I139" s="33">
        <f t="shared" si="9"/>
        <v>-5.8858418186733027E-2</v>
      </c>
    </row>
    <row r="140" spans="1:9">
      <c r="A140">
        <f t="shared" si="10"/>
        <v>110</v>
      </c>
      <c r="B140" s="13">
        <f t="shared" si="11"/>
        <v>16.573119323637648</v>
      </c>
      <c r="C140" s="12">
        <f t="shared" si="12"/>
        <v>3082.8315366522784</v>
      </c>
      <c r="D140">
        <f t="shared" si="13"/>
        <v>3.0449999999999999</v>
      </c>
      <c r="E140" s="13">
        <f t="shared" si="14"/>
        <v>3.2749999999999941</v>
      </c>
      <c r="F140">
        <v>0.72</v>
      </c>
      <c r="G140" s="21">
        <f t="shared" si="15"/>
        <v>6.7153805135476877E-2</v>
      </c>
      <c r="H140" s="3">
        <f t="shared" si="8"/>
        <v>8.6121901096420893E-3</v>
      </c>
      <c r="I140" s="3">
        <f t="shared" si="9"/>
        <v>-5.8541615025834784E-2</v>
      </c>
    </row>
    <row r="141" spans="1:9">
      <c r="A141">
        <f t="shared" si="10"/>
        <v>111</v>
      </c>
      <c r="B141" s="13">
        <f t="shared" si="11"/>
        <v>16.514577708611814</v>
      </c>
      <c r="C141" s="12">
        <f t="shared" si="12"/>
        <v>3082.811642493125</v>
      </c>
      <c r="D141">
        <f t="shared" si="13"/>
        <v>3.0449999999999999</v>
      </c>
      <c r="E141" s="13">
        <f t="shared" si="14"/>
        <v>3.2666666666666608</v>
      </c>
      <c r="F141">
        <v>0.72</v>
      </c>
      <c r="G141" s="21">
        <f t="shared" si="15"/>
        <v>6.6837688040965862E-2</v>
      </c>
      <c r="H141" s="3">
        <f t="shared" si="8"/>
        <v>8.6121901096420893E-3</v>
      </c>
      <c r="I141" s="3">
        <f t="shared" si="9"/>
        <v>-5.8225497931323769E-2</v>
      </c>
    </row>
    <row r="142" spans="1:9">
      <c r="A142">
        <f t="shared" si="10"/>
        <v>112</v>
      </c>
      <c r="B142" s="13">
        <f t="shared" si="11"/>
        <v>16.456352210680489</v>
      </c>
      <c r="C142" s="12">
        <f t="shared" si="12"/>
        <v>3082.7917483339716</v>
      </c>
      <c r="D142">
        <f t="shared" si="13"/>
        <v>3.0449999999999999</v>
      </c>
      <c r="E142" s="13">
        <f t="shared" si="14"/>
        <v>3.2583333333333275</v>
      </c>
      <c r="F142">
        <v>0.72</v>
      </c>
      <c r="G142" s="21">
        <f t="shared" si="15"/>
        <v>6.6522257271586505E-2</v>
      </c>
      <c r="H142" s="3">
        <f t="shared" si="8"/>
        <v>8.6121901096420893E-3</v>
      </c>
      <c r="I142" s="3">
        <f t="shared" si="9"/>
        <v>-5.7910067161944412E-2</v>
      </c>
    </row>
    <row r="143" spans="1:9">
      <c r="A143">
        <f t="shared" si="10"/>
        <v>113</v>
      </c>
      <c r="B143" s="13">
        <f t="shared" si="11"/>
        <v>16.398442143518544</v>
      </c>
      <c r="C143" s="12">
        <f t="shared" si="12"/>
        <v>3082.7718541748181</v>
      </c>
      <c r="D143">
        <f t="shared" si="13"/>
        <v>3.0449999999999999</v>
      </c>
      <c r="E143" s="13">
        <f t="shared" si="14"/>
        <v>3.2499999999999942</v>
      </c>
      <c r="F143">
        <v>0.72</v>
      </c>
      <c r="G143" s="21">
        <f t="shared" si="15"/>
        <v>6.6207513086841974E-2</v>
      </c>
      <c r="H143" s="3">
        <f t="shared" si="8"/>
        <v>8.6121901096420893E-3</v>
      </c>
      <c r="I143" s="3">
        <f t="shared" si="9"/>
        <v>-5.7595322977199881E-2</v>
      </c>
    </row>
    <row r="144" spans="1:9">
      <c r="A144">
        <f t="shared" si="10"/>
        <v>114</v>
      </c>
      <c r="B144" s="13">
        <f t="shared" si="11"/>
        <v>16.340846820541344</v>
      </c>
      <c r="C144" s="12">
        <f t="shared" si="12"/>
        <v>3082.7519600156647</v>
      </c>
      <c r="D144">
        <f t="shared" si="13"/>
        <v>3.0449999999999999</v>
      </c>
      <c r="E144" s="13">
        <f t="shared" si="14"/>
        <v>3.2416666666666609</v>
      </c>
      <c r="F144">
        <v>0.72</v>
      </c>
      <c r="G144" s="21">
        <f t="shared" si="15"/>
        <v>6.5893455746998633E-2</v>
      </c>
      <c r="H144" s="3">
        <f t="shared" si="8"/>
        <v>8.6121901096420893E-3</v>
      </c>
      <c r="I144" s="3">
        <f t="shared" si="9"/>
        <v>-5.728126563735654E-2</v>
      </c>
    </row>
    <row r="145" spans="1:9">
      <c r="A145">
        <f t="shared" si="10"/>
        <v>115</v>
      </c>
      <c r="B145" s="13">
        <f t="shared" si="11"/>
        <v>16.283565554903987</v>
      </c>
      <c r="C145" s="12">
        <f t="shared" si="12"/>
        <v>3082.7320658565113</v>
      </c>
      <c r="D145">
        <f t="shared" si="13"/>
        <v>3.0449999999999999</v>
      </c>
      <c r="E145" s="13">
        <f t="shared" si="14"/>
        <v>3.2333333333333276</v>
      </c>
      <c r="F145">
        <v>0.72</v>
      </c>
      <c r="G145" s="21">
        <f t="shared" si="15"/>
        <v>6.5580085513089706E-2</v>
      </c>
      <c r="H145" s="3">
        <f t="shared" si="8"/>
        <v>8.6121901096420893E-3</v>
      </c>
      <c r="I145" s="3">
        <f t="shared" si="9"/>
        <v>-5.6967895403447613E-2</v>
      </c>
    </row>
    <row r="146" spans="1:9">
      <c r="A146">
        <f t="shared" si="10"/>
        <v>116</v>
      </c>
      <c r="B146" s="13">
        <f t="shared" si="11"/>
        <v>16.226597659500538</v>
      </c>
      <c r="C146" s="12">
        <f t="shared" si="12"/>
        <v>3082.7121716973579</v>
      </c>
      <c r="D146">
        <f t="shared" si="13"/>
        <v>3.0449999999999999</v>
      </c>
      <c r="E146" s="13">
        <f t="shared" si="14"/>
        <v>3.2249999999999943</v>
      </c>
      <c r="F146">
        <v>0.72</v>
      </c>
      <c r="G146" s="21">
        <f t="shared" si="15"/>
        <v>6.5267402646920436E-2</v>
      </c>
      <c r="H146" s="3">
        <f t="shared" si="8"/>
        <v>8.6121901096420893E-3</v>
      </c>
      <c r="I146" s="3">
        <f t="shared" si="9"/>
        <v>-5.6655212537278343E-2</v>
      </c>
    </row>
    <row r="147" spans="1:9">
      <c r="A147">
        <f t="shared" si="10"/>
        <v>117</v>
      </c>
      <c r="B147" s="13">
        <f t="shared" si="11"/>
        <v>16.169942446963258</v>
      </c>
      <c r="C147" s="12">
        <f t="shared" si="12"/>
        <v>3082.6922775382045</v>
      </c>
      <c r="D147">
        <f t="shared" si="13"/>
        <v>3.0449999999999999</v>
      </c>
      <c r="E147" s="13">
        <f t="shared" si="14"/>
        <v>3.216666666666661</v>
      </c>
      <c r="F147">
        <v>0.72</v>
      </c>
      <c r="G147" s="21">
        <f t="shared" si="15"/>
        <v>6.4955407411071447E-2</v>
      </c>
      <c r="H147" s="3">
        <f t="shared" si="8"/>
        <v>8.6121901096420893E-3</v>
      </c>
      <c r="I147" s="3">
        <f t="shared" si="9"/>
        <v>-5.6343217301429355E-2</v>
      </c>
    </row>
    <row r="148" spans="1:9">
      <c r="A148">
        <f t="shared" si="10"/>
        <v>118</v>
      </c>
      <c r="B148" s="13">
        <f t="shared" si="11"/>
        <v>16.11359922966183</v>
      </c>
      <c r="C148" s="12">
        <f t="shared" si="12"/>
        <v>3082.6723833790511</v>
      </c>
      <c r="D148">
        <f t="shared" si="13"/>
        <v>3.0449999999999999</v>
      </c>
      <c r="E148" s="13">
        <f t="shared" si="14"/>
        <v>3.2083333333333277</v>
      </c>
      <c r="F148">
        <v>0.72</v>
      </c>
      <c r="G148" s="21">
        <f t="shared" si="15"/>
        <v>6.4644100068903573E-2</v>
      </c>
      <c r="H148" s="3">
        <f t="shared" si="8"/>
        <v>8.6121901096420893E-3</v>
      </c>
      <c r="I148" s="3">
        <f t="shared" si="9"/>
        <v>-5.6031909959261481E-2</v>
      </c>
    </row>
    <row r="149" spans="1:9">
      <c r="A149">
        <f t="shared" si="10"/>
        <v>119</v>
      </c>
      <c r="B149" s="13">
        <f t="shared" si="11"/>
        <v>16.057567319702567</v>
      </c>
      <c r="C149" s="12">
        <f t="shared" si="12"/>
        <v>3082.6524892198977</v>
      </c>
      <c r="D149">
        <f t="shared" si="13"/>
        <v>3.0449999999999999</v>
      </c>
      <c r="E149" s="13">
        <f t="shared" si="14"/>
        <v>3.1999999999999944</v>
      </c>
      <c r="F149">
        <v>0.72</v>
      </c>
      <c r="G149" s="21">
        <f t="shared" si="15"/>
        <v>6.4333480884562144E-2</v>
      </c>
      <c r="H149" s="3">
        <f t="shared" si="8"/>
        <v>8.6121901096420893E-3</v>
      </c>
      <c r="I149" s="3">
        <f t="shared" si="9"/>
        <v>-5.5721290774920051E-2</v>
      </c>
    </row>
    <row r="150" spans="1:9">
      <c r="A150">
        <f t="shared" si="10"/>
        <v>120</v>
      </c>
      <c r="B150" s="13">
        <f t="shared" si="11"/>
        <v>16.001846028927648</v>
      </c>
      <c r="C150" s="12">
        <f t="shared" si="12"/>
        <v>3082.6325950607443</v>
      </c>
      <c r="D150">
        <f t="shared" si="13"/>
        <v>3.0449999999999999</v>
      </c>
      <c r="E150" s="13">
        <f t="shared" si="14"/>
        <v>3.1916666666666611</v>
      </c>
      <c r="F150">
        <v>0.72</v>
      </c>
      <c r="G150" s="21">
        <f t="shared" si="15"/>
        <v>6.4023550122981221E-2</v>
      </c>
      <c r="H150" s="3">
        <f t="shared" si="8"/>
        <v>8.6121901096420893E-3</v>
      </c>
      <c r="I150" s="3">
        <f t="shared" si="9"/>
        <v>-5.5411360013339128E-2</v>
      </c>
    </row>
    <row r="151" spans="1:9">
      <c r="A151">
        <f t="shared" si="10"/>
        <v>121</v>
      </c>
      <c r="B151" s="13">
        <f t="shared" si="11"/>
        <v>15.946434668914309</v>
      </c>
      <c r="C151" s="12">
        <f t="shared" si="12"/>
        <v>3082.6127009015909</v>
      </c>
      <c r="D151">
        <f t="shared" si="13"/>
        <v>3.0449999999999999</v>
      </c>
      <c r="E151" s="13">
        <f t="shared" si="14"/>
        <v>3.1833333333333278</v>
      </c>
      <c r="F151">
        <v>0.72</v>
      </c>
      <c r="G151" s="21">
        <f t="shared" si="15"/>
        <v>6.3714308049888008E-2</v>
      </c>
      <c r="H151" s="3">
        <f t="shared" si="8"/>
        <v>8.6121901096420893E-3</v>
      </c>
      <c r="I151" s="3">
        <f t="shared" si="9"/>
        <v>-5.5102117940245915E-2</v>
      </c>
    </row>
    <row r="152" spans="1:9">
      <c r="A152">
        <f t="shared" si="10"/>
        <v>122</v>
      </c>
      <c r="B152" s="13">
        <f t="shared" si="11"/>
        <v>15.891332550974063</v>
      </c>
      <c r="C152" s="12">
        <f t="shared" si="12"/>
        <v>3082.5928067424375</v>
      </c>
      <c r="D152">
        <f t="shared" si="13"/>
        <v>3.0449999999999999</v>
      </c>
      <c r="E152" s="13">
        <f t="shared" si="14"/>
        <v>3.1749999999999945</v>
      </c>
      <c r="F152">
        <v>0.72</v>
      </c>
      <c r="G152" s="21">
        <f t="shared" si="15"/>
        <v>6.340575493180764E-2</v>
      </c>
      <c r="H152" s="3">
        <f t="shared" si="8"/>
        <v>8.6121901096420893E-3</v>
      </c>
      <c r="I152" s="3">
        <f t="shared" si="9"/>
        <v>-5.4793564822165547E-2</v>
      </c>
    </row>
    <row r="153" spans="1:9">
      <c r="A153">
        <f t="shared" si="10"/>
        <v>123</v>
      </c>
      <c r="B153" s="13">
        <f t="shared" si="11"/>
        <v>15.836538986151897</v>
      </c>
      <c r="C153" s="12">
        <f t="shared" si="12"/>
        <v>3082.5729125832841</v>
      </c>
      <c r="D153">
        <f t="shared" si="13"/>
        <v>3.0449999999999999</v>
      </c>
      <c r="E153" s="13">
        <f t="shared" si="14"/>
        <v>3.1666666666666612</v>
      </c>
      <c r="F153">
        <v>0.72</v>
      </c>
      <c r="G153" s="21">
        <f t="shared" si="15"/>
        <v>6.3097891036067111E-2</v>
      </c>
      <c r="H153" s="3">
        <f t="shared" si="8"/>
        <v>8.6121901096420893E-3</v>
      </c>
      <c r="I153" s="3">
        <f t="shared" si="9"/>
        <v>-5.4485700926425018E-2</v>
      </c>
    </row>
    <row r="154" spans="1:9">
      <c r="A154">
        <f t="shared" si="10"/>
        <v>124</v>
      </c>
      <c r="B154" s="13">
        <f t="shared" si="11"/>
        <v>15.782053285225473</v>
      </c>
      <c r="C154" s="12">
        <f t="shared" si="12"/>
        <v>3082.5530184241306</v>
      </c>
      <c r="D154">
        <f t="shared" si="13"/>
        <v>3.0449999999999999</v>
      </c>
      <c r="E154" s="13">
        <f t="shared" si="14"/>
        <v>3.1583333333333279</v>
      </c>
      <c r="F154">
        <v>0.72</v>
      </c>
      <c r="G154" s="21">
        <f t="shared" si="15"/>
        <v>6.2790716630800505E-2</v>
      </c>
      <c r="H154" s="3">
        <f t="shared" si="8"/>
        <v>8.6121901096420893E-3</v>
      </c>
      <c r="I154" s="3">
        <f t="shared" si="9"/>
        <v>-5.4178526521158413E-2</v>
      </c>
    </row>
    <row r="155" spans="1:9">
      <c r="A155">
        <f t="shared" si="10"/>
        <v>125</v>
      </c>
      <c r="B155" s="13">
        <f t="shared" si="11"/>
        <v>15.727874758704315</v>
      </c>
      <c r="C155" s="12">
        <f t="shared" si="12"/>
        <v>3082.5331242649772</v>
      </c>
      <c r="D155">
        <f t="shared" si="13"/>
        <v>3.0449999999999999</v>
      </c>
      <c r="E155" s="13">
        <f t="shared" si="14"/>
        <v>3.1499999999999946</v>
      </c>
      <c r="F155">
        <v>0.72</v>
      </c>
      <c r="G155" s="21">
        <f t="shared" si="15"/>
        <v>6.2484231984952822E-2</v>
      </c>
      <c r="H155" s="3">
        <f t="shared" si="8"/>
        <v>8.6121901096420893E-3</v>
      </c>
      <c r="I155" s="3">
        <f t="shared" si="9"/>
        <v>-5.3872041875310736E-2</v>
      </c>
    </row>
    <row r="156" spans="1:9">
      <c r="A156">
        <f t="shared" si="10"/>
        <v>126</v>
      </c>
      <c r="B156" s="13">
        <f t="shared" si="11"/>
        <v>15.674002716829005</v>
      </c>
      <c r="C156" s="12">
        <f t="shared" si="12"/>
        <v>3082.5132301058238</v>
      </c>
      <c r="D156">
        <f t="shared" si="13"/>
        <v>3.0449999999999999</v>
      </c>
      <c r="E156" s="13">
        <f t="shared" si="14"/>
        <v>3.1416666666666613</v>
      </c>
      <c r="F156">
        <v>0.72</v>
      </c>
      <c r="G156" s="21">
        <f t="shared" si="15"/>
        <v>6.2178437368285162E-2</v>
      </c>
      <c r="H156" s="3">
        <f t="shared" si="8"/>
        <v>8.6121901096420893E-3</v>
      </c>
      <c r="I156" s="3">
        <f t="shared" si="9"/>
        <v>-5.3566247258643077E-2</v>
      </c>
    </row>
    <row r="157" spans="1:9">
      <c r="A157">
        <f t="shared" si="10"/>
        <v>127</v>
      </c>
      <c r="B157" s="13">
        <f t="shared" si="11"/>
        <v>15.620436469570361</v>
      </c>
      <c r="C157" s="12">
        <f t="shared" si="12"/>
        <v>3082.4933359466704</v>
      </c>
      <c r="D157">
        <f t="shared" si="13"/>
        <v>3.0449999999999999</v>
      </c>
      <c r="E157" s="13">
        <f t="shared" si="14"/>
        <v>3.133333333333328</v>
      </c>
      <c r="F157">
        <v>0.72</v>
      </c>
      <c r="G157" s="21">
        <f t="shared" si="15"/>
        <v>6.1873333051379029E-2</v>
      </c>
      <c r="H157" s="3">
        <f t="shared" si="8"/>
        <v>8.6121901096420893E-3</v>
      </c>
      <c r="I157" s="3">
        <f t="shared" si="9"/>
        <v>-5.3261142941736936E-2</v>
      </c>
    </row>
    <row r="158" spans="1:9">
      <c r="A158">
        <f t="shared" si="10"/>
        <v>128</v>
      </c>
      <c r="B158" s="13">
        <f t="shared" si="11"/>
        <v>15.567175326628623</v>
      </c>
      <c r="C158" s="12">
        <f t="shared" si="12"/>
        <v>3082.473441787517</v>
      </c>
      <c r="D158">
        <f t="shared" si="13"/>
        <v>3.0449999999999999</v>
      </c>
      <c r="E158" s="13">
        <f t="shared" si="14"/>
        <v>3.1249999999999947</v>
      </c>
      <c r="F158">
        <v>0.72</v>
      </c>
      <c r="G158" s="21">
        <f t="shared" si="15"/>
        <v>6.1568919305641269E-2</v>
      </c>
      <c r="H158" s="3">
        <f t="shared" si="8"/>
        <v>8.6121901096420893E-3</v>
      </c>
      <c r="I158" s="3">
        <f t="shared" si="9"/>
        <v>-5.2956729195999183E-2</v>
      </c>
    </row>
    <row r="159" spans="1:9">
      <c r="A159">
        <f t="shared" si="10"/>
        <v>129</v>
      </c>
      <c r="B159" s="13">
        <f t="shared" si="11"/>
        <v>15.514218597432624</v>
      </c>
      <c r="C159" s="12">
        <f t="shared" si="12"/>
        <v>3082.4535476283636</v>
      </c>
      <c r="D159">
        <f t="shared" si="13"/>
        <v>3.0449999999999999</v>
      </c>
      <c r="E159" s="13">
        <f t="shared" si="14"/>
        <v>3.1166666666666614</v>
      </c>
      <c r="F159">
        <v>0.72</v>
      </c>
      <c r="G159" s="21">
        <f t="shared" si="15"/>
        <v>6.1265196403308471E-2</v>
      </c>
      <c r="H159" s="3">
        <f t="shared" si="8"/>
        <v>8.6121901096420893E-3</v>
      </c>
      <c r="I159" s="3">
        <f t="shared" si="9"/>
        <v>-5.2653006293666385E-2</v>
      </c>
    </row>
    <row r="160" spans="1:9">
      <c r="A160">
        <f t="shared" si="10"/>
        <v>130</v>
      </c>
      <c r="B160" s="13">
        <f t="shared" si="11"/>
        <v>15.461565591138957</v>
      </c>
      <c r="C160" s="12">
        <f t="shared" si="12"/>
        <v>3082.4336534692102</v>
      </c>
      <c r="D160">
        <f t="shared" si="13"/>
        <v>3.0449999999999999</v>
      </c>
      <c r="E160" s="13">
        <f t="shared" si="14"/>
        <v>3.1083333333333281</v>
      </c>
      <c r="F160">
        <v>0.72</v>
      </c>
      <c r="G160" s="21">
        <f t="shared" si="15"/>
        <v>6.0962164617452123E-2</v>
      </c>
      <c r="H160" s="3">
        <f t="shared" ref="H160:H223" si="16">(D160*$C$20)/2.31</f>
        <v>8.6121901096420893E-3</v>
      </c>
      <c r="I160" s="3">
        <f t="shared" ref="I160:I223" si="17">H160-G160</f>
        <v>-5.2349974507810038E-2</v>
      </c>
    </row>
    <row r="161" spans="1:9">
      <c r="A161">
        <f t="shared" ref="A161:A224" si="18">A160+1</f>
        <v>131</v>
      </c>
      <c r="B161" s="13">
        <f t="shared" ref="B161:B224" si="19">B160+I160</f>
        <v>15.409215616631146</v>
      </c>
      <c r="C161" s="12">
        <f t="shared" ref="C161:C224" si="20">C160-H160*2.31</f>
        <v>3082.4137593100568</v>
      </c>
      <c r="D161">
        <f t="shared" ref="D161:D224" si="21">$C$13</f>
        <v>3.0449999999999999</v>
      </c>
      <c r="E161" s="13">
        <f t="shared" ref="E161:E224" si="22">E160-($C$6/60)</f>
        <v>3.0999999999999948</v>
      </c>
      <c r="F161">
        <v>0.72</v>
      </c>
      <c r="G161" s="21">
        <f t="shared" ref="G161:G224" si="23">(1050*((E161/$C$11)^1.852)*(D161/100)*(F161^-4.87))/2.31</f>
        <v>6.0659824221982947E-2</v>
      </c>
      <c r="H161" s="3">
        <f t="shared" si="16"/>
        <v>8.6121901096420893E-3</v>
      </c>
      <c r="I161" s="3">
        <f t="shared" si="17"/>
        <v>-5.2047634112340854E-2</v>
      </c>
    </row>
    <row r="162" spans="1:9">
      <c r="A162">
        <f t="shared" si="18"/>
        <v>132</v>
      </c>
      <c r="B162" s="13">
        <f t="shared" si="19"/>
        <v>15.357167982518805</v>
      </c>
      <c r="C162" s="12">
        <f t="shared" si="20"/>
        <v>3082.3938651509034</v>
      </c>
      <c r="D162">
        <f t="shared" si="21"/>
        <v>3.0449999999999999</v>
      </c>
      <c r="E162" s="13">
        <f t="shared" si="22"/>
        <v>3.0916666666666615</v>
      </c>
      <c r="F162">
        <v>0.72</v>
      </c>
      <c r="G162" s="21">
        <f t="shared" si="23"/>
        <v>6.0358175491656271E-2</v>
      </c>
      <c r="H162" s="3">
        <f t="shared" si="16"/>
        <v>8.6121901096420893E-3</v>
      </c>
      <c r="I162" s="3">
        <f t="shared" si="17"/>
        <v>-5.1745985382014179E-2</v>
      </c>
    </row>
    <row r="163" spans="1:9">
      <c r="A163">
        <f t="shared" si="18"/>
        <v>133</v>
      </c>
      <c r="B163" s="13">
        <f t="shared" si="19"/>
        <v>15.30542199713679</v>
      </c>
      <c r="C163" s="12">
        <f t="shared" si="20"/>
        <v>3082.37397099175</v>
      </c>
      <c r="D163">
        <f t="shared" si="21"/>
        <v>3.0449999999999999</v>
      </c>
      <c r="E163" s="13">
        <f t="shared" si="22"/>
        <v>3.0833333333333282</v>
      </c>
      <c r="F163">
        <v>0.72</v>
      </c>
      <c r="G163" s="21">
        <f t="shared" si="23"/>
        <v>6.0057218702076469E-2</v>
      </c>
      <c r="H163" s="3">
        <f t="shared" si="16"/>
        <v>8.6121901096420893E-3</v>
      </c>
      <c r="I163" s="3">
        <f t="shared" si="17"/>
        <v>-5.1445028592434383E-2</v>
      </c>
    </row>
    <row r="164" spans="1:9">
      <c r="A164">
        <f t="shared" si="18"/>
        <v>134</v>
      </c>
      <c r="B164" s="13">
        <f t="shared" si="19"/>
        <v>15.253976968544356</v>
      </c>
      <c r="C164" s="12">
        <f t="shared" si="20"/>
        <v>3082.3540768325965</v>
      </c>
      <c r="D164">
        <f t="shared" si="21"/>
        <v>3.0449999999999999</v>
      </c>
      <c r="E164" s="13">
        <f t="shared" si="22"/>
        <v>3.0749999999999948</v>
      </c>
      <c r="F164">
        <v>0.72</v>
      </c>
      <c r="G164" s="21">
        <f t="shared" si="23"/>
        <v>5.9756954129701972E-2</v>
      </c>
      <c r="H164" s="3">
        <f t="shared" si="16"/>
        <v>8.6121901096420893E-3</v>
      </c>
      <c r="I164" s="3">
        <f t="shared" si="17"/>
        <v>-5.114476402005988E-2</v>
      </c>
    </row>
    <row r="165" spans="1:9">
      <c r="A165">
        <f t="shared" si="18"/>
        <v>135</v>
      </c>
      <c r="B165" s="13">
        <f t="shared" si="19"/>
        <v>15.202832204524295</v>
      </c>
      <c r="C165" s="12">
        <f t="shared" si="20"/>
        <v>3082.3341826734431</v>
      </c>
      <c r="D165">
        <f t="shared" si="21"/>
        <v>3.0449999999999999</v>
      </c>
      <c r="E165" s="13">
        <f t="shared" si="22"/>
        <v>3.0666666666666615</v>
      </c>
      <c r="F165">
        <v>0.72</v>
      </c>
      <c r="G165" s="21">
        <f t="shared" si="23"/>
        <v>5.9457382051850645E-2</v>
      </c>
      <c r="H165" s="3">
        <f t="shared" si="16"/>
        <v>8.6121901096420893E-3</v>
      </c>
      <c r="I165" s="3">
        <f t="shared" si="17"/>
        <v>-5.0845191942208559E-2</v>
      </c>
    </row>
    <row r="166" spans="1:9">
      <c r="A166">
        <f t="shared" si="18"/>
        <v>136</v>
      </c>
      <c r="B166" s="13">
        <f t="shared" si="19"/>
        <v>15.151987012582087</v>
      </c>
      <c r="C166" s="12">
        <f t="shared" si="20"/>
        <v>3082.3142885142897</v>
      </c>
      <c r="D166">
        <f t="shared" si="21"/>
        <v>3.0449999999999999</v>
      </c>
      <c r="E166" s="13">
        <f t="shared" si="22"/>
        <v>3.0583333333333282</v>
      </c>
      <c r="F166">
        <v>0.72</v>
      </c>
      <c r="G166" s="21">
        <f t="shared" si="23"/>
        <v>5.9158502746704048E-2</v>
      </c>
      <c r="H166" s="3">
        <f t="shared" si="16"/>
        <v>8.6121901096420893E-3</v>
      </c>
      <c r="I166" s="3">
        <f t="shared" si="17"/>
        <v>-5.0546312637061955E-2</v>
      </c>
    </row>
    <row r="167" spans="1:9">
      <c r="A167">
        <f t="shared" si="18"/>
        <v>137</v>
      </c>
      <c r="B167" s="13">
        <f t="shared" si="19"/>
        <v>15.101440699945025</v>
      </c>
      <c r="C167" s="12">
        <f t="shared" si="20"/>
        <v>3082.2943943551363</v>
      </c>
      <c r="D167">
        <f t="shared" si="21"/>
        <v>3.0449999999999999</v>
      </c>
      <c r="E167" s="13">
        <f t="shared" si="22"/>
        <v>3.0499999999999949</v>
      </c>
      <c r="F167">
        <v>0.72</v>
      </c>
      <c r="G167" s="21">
        <f t="shared" si="23"/>
        <v>5.8860316493313289E-2</v>
      </c>
      <c r="H167" s="3">
        <f t="shared" si="16"/>
        <v>8.6121901096420893E-3</v>
      </c>
      <c r="I167" s="3">
        <f t="shared" si="17"/>
        <v>-5.0248126383671196E-2</v>
      </c>
    </row>
    <row r="168" spans="1:9">
      <c r="A168">
        <f t="shared" si="18"/>
        <v>138</v>
      </c>
      <c r="B168" s="13">
        <f t="shared" si="19"/>
        <v>15.051192573561353</v>
      </c>
      <c r="C168" s="12">
        <f t="shared" si="20"/>
        <v>3082.2745001959829</v>
      </c>
      <c r="D168">
        <f t="shared" si="21"/>
        <v>3.0449999999999999</v>
      </c>
      <c r="E168" s="13">
        <f t="shared" si="22"/>
        <v>3.0416666666666616</v>
      </c>
      <c r="F168">
        <v>0.72</v>
      </c>
      <c r="G168" s="21">
        <f t="shared" si="23"/>
        <v>5.8562823571603438E-2</v>
      </c>
      <c r="H168" s="3">
        <f t="shared" si="16"/>
        <v>8.6121901096420893E-3</v>
      </c>
      <c r="I168" s="3">
        <f t="shared" si="17"/>
        <v>-4.9950633461961352E-2</v>
      </c>
    </row>
    <row r="169" spans="1:9">
      <c r="A169">
        <f t="shared" si="18"/>
        <v>139</v>
      </c>
      <c r="B169" s="13">
        <f t="shared" si="19"/>
        <v>15.001241940099392</v>
      </c>
      <c r="C169" s="12">
        <f t="shared" si="20"/>
        <v>3082.2546060368295</v>
      </c>
      <c r="D169">
        <f t="shared" si="21"/>
        <v>3.0449999999999999</v>
      </c>
      <c r="E169" s="13">
        <f t="shared" si="22"/>
        <v>3.0333333333333283</v>
      </c>
      <c r="F169">
        <v>0.72</v>
      </c>
      <c r="G169" s="21">
        <f t="shared" si="23"/>
        <v>5.826602426237909E-2</v>
      </c>
      <c r="H169" s="3">
        <f t="shared" si="16"/>
        <v>8.6121901096420893E-3</v>
      </c>
      <c r="I169" s="3">
        <f t="shared" si="17"/>
        <v>-4.9653834152736998E-2</v>
      </c>
    </row>
    <row r="170" spans="1:9">
      <c r="A170">
        <f t="shared" si="18"/>
        <v>140</v>
      </c>
      <c r="B170" s="13">
        <f t="shared" si="19"/>
        <v>14.951588105946655</v>
      </c>
      <c r="C170" s="12">
        <f t="shared" si="20"/>
        <v>3082.2347118776761</v>
      </c>
      <c r="D170">
        <f t="shared" si="21"/>
        <v>3.0449999999999999</v>
      </c>
      <c r="E170" s="13">
        <f t="shared" si="22"/>
        <v>3.024999999999995</v>
      </c>
      <c r="F170">
        <v>0.72</v>
      </c>
      <c r="G170" s="21">
        <f t="shared" si="23"/>
        <v>5.796991884732948E-2</v>
      </c>
      <c r="H170" s="3">
        <f t="shared" si="16"/>
        <v>8.6121901096420893E-3</v>
      </c>
      <c r="I170" s="3">
        <f t="shared" si="17"/>
        <v>-4.9357728737687387E-2</v>
      </c>
    </row>
    <row r="171" spans="1:9">
      <c r="A171">
        <f t="shared" si="18"/>
        <v>141</v>
      </c>
      <c r="B171" s="13">
        <f t="shared" si="19"/>
        <v>14.902230377208967</v>
      </c>
      <c r="C171" s="12">
        <f t="shared" si="20"/>
        <v>3082.2148177185227</v>
      </c>
      <c r="D171">
        <f t="shared" si="21"/>
        <v>3.0449999999999999</v>
      </c>
      <c r="E171" s="13">
        <f t="shared" si="22"/>
        <v>3.0166666666666617</v>
      </c>
      <c r="F171">
        <v>0.72</v>
      </c>
      <c r="G171" s="21">
        <f t="shared" si="23"/>
        <v>5.7674507609033566E-2</v>
      </c>
      <c r="H171" s="3">
        <f t="shared" si="16"/>
        <v>8.6121901096420893E-3</v>
      </c>
      <c r="I171" s="3">
        <f t="shared" si="17"/>
        <v>-4.9062317499391481E-2</v>
      </c>
    </row>
    <row r="172" spans="1:9">
      <c r="A172">
        <f t="shared" si="18"/>
        <v>142</v>
      </c>
      <c r="B172" s="13">
        <f t="shared" si="19"/>
        <v>14.853168059709576</v>
      </c>
      <c r="C172" s="12">
        <f t="shared" si="20"/>
        <v>3082.1949235593693</v>
      </c>
      <c r="D172">
        <f t="shared" si="21"/>
        <v>3.0449999999999999</v>
      </c>
      <c r="E172" s="13">
        <f t="shared" si="22"/>
        <v>3.0083333333333284</v>
      </c>
      <c r="F172">
        <v>0.72</v>
      </c>
      <c r="G172" s="21">
        <f t="shared" si="23"/>
        <v>5.7379790830965401E-2</v>
      </c>
      <c r="H172" s="3">
        <f t="shared" si="16"/>
        <v>8.6121901096420893E-3</v>
      </c>
      <c r="I172" s="3">
        <f t="shared" si="17"/>
        <v>-4.8767600721323315E-2</v>
      </c>
    </row>
    <row r="173" spans="1:9">
      <c r="A173">
        <f t="shared" si="18"/>
        <v>143</v>
      </c>
      <c r="B173" s="13">
        <f t="shared" si="19"/>
        <v>14.804400458988253</v>
      </c>
      <c r="C173" s="12">
        <f t="shared" si="20"/>
        <v>3082.1750294002159</v>
      </c>
      <c r="D173">
        <f t="shared" si="21"/>
        <v>3.0449999999999999</v>
      </c>
      <c r="E173" s="13">
        <f t="shared" si="22"/>
        <v>2.9999999999999951</v>
      </c>
      <c r="F173">
        <v>0.72</v>
      </c>
      <c r="G173" s="21">
        <f t="shared" si="23"/>
        <v>5.7085768797499506E-2</v>
      </c>
      <c r="H173" s="3">
        <f t="shared" si="16"/>
        <v>8.6121901096420893E-3</v>
      </c>
      <c r="I173" s="3">
        <f t="shared" si="17"/>
        <v>-4.8473578687857413E-2</v>
      </c>
    </row>
    <row r="174" spans="1:9">
      <c r="A174">
        <f t="shared" si="18"/>
        <v>144</v>
      </c>
      <c r="B174" s="13">
        <f t="shared" si="19"/>
        <v>14.755926880300395</v>
      </c>
      <c r="C174" s="12">
        <f t="shared" si="20"/>
        <v>3082.1551352410625</v>
      </c>
      <c r="D174">
        <f t="shared" si="21"/>
        <v>3.0449999999999999</v>
      </c>
      <c r="E174" s="13">
        <f t="shared" si="22"/>
        <v>2.9916666666666618</v>
      </c>
      <c r="F174">
        <v>0.72</v>
      </c>
      <c r="G174" s="21">
        <f t="shared" si="23"/>
        <v>5.6792441793916099E-2</v>
      </c>
      <c r="H174" s="3">
        <f t="shared" si="16"/>
        <v>8.6121901096420893E-3</v>
      </c>
      <c r="I174" s="3">
        <f t="shared" si="17"/>
        <v>-4.8180251684274006E-2</v>
      </c>
    </row>
    <row r="175" spans="1:9">
      <c r="A175">
        <f t="shared" si="18"/>
        <v>145</v>
      </c>
      <c r="B175" s="13">
        <f t="shared" si="19"/>
        <v>14.707746628616121</v>
      </c>
      <c r="C175" s="12">
        <f t="shared" si="20"/>
        <v>3082.135241081909</v>
      </c>
      <c r="D175">
        <f t="shared" si="21"/>
        <v>3.0449999999999999</v>
      </c>
      <c r="E175" s="13">
        <f t="shared" si="22"/>
        <v>2.9833333333333285</v>
      </c>
      <c r="F175">
        <v>0.72</v>
      </c>
      <c r="G175" s="21">
        <f t="shared" si="23"/>
        <v>5.6499810106406506E-2</v>
      </c>
      <c r="H175" s="3">
        <f t="shared" si="16"/>
        <v>8.6121901096420893E-3</v>
      </c>
      <c r="I175" s="3">
        <f t="shared" si="17"/>
        <v>-4.7887619996764413E-2</v>
      </c>
    </row>
    <row r="176" spans="1:9">
      <c r="A176">
        <f t="shared" si="18"/>
        <v>146</v>
      </c>
      <c r="B176" s="13">
        <f t="shared" si="19"/>
        <v>14.659859008619357</v>
      </c>
      <c r="C176" s="12">
        <f t="shared" si="20"/>
        <v>3082.1153469227556</v>
      </c>
      <c r="D176">
        <f t="shared" si="21"/>
        <v>3.0449999999999999</v>
      </c>
      <c r="E176" s="13">
        <f t="shared" si="22"/>
        <v>2.9749999999999952</v>
      </c>
      <c r="F176">
        <v>0.72</v>
      </c>
      <c r="G176" s="21">
        <f t="shared" si="23"/>
        <v>5.6207874022079003E-2</v>
      </c>
      <c r="H176" s="3">
        <f t="shared" si="16"/>
        <v>8.6121901096420893E-3</v>
      </c>
      <c r="I176" s="3">
        <f t="shared" si="17"/>
        <v>-4.7595683912436917E-2</v>
      </c>
    </row>
    <row r="177" spans="1:9">
      <c r="A177">
        <f t="shared" si="18"/>
        <v>147</v>
      </c>
      <c r="B177" s="13">
        <f t="shared" si="19"/>
        <v>14.61226332470692</v>
      </c>
      <c r="C177" s="12">
        <f t="shared" si="20"/>
        <v>3082.0954527636022</v>
      </c>
      <c r="D177">
        <f t="shared" si="21"/>
        <v>3.0449999999999999</v>
      </c>
      <c r="E177" s="13">
        <f t="shared" si="22"/>
        <v>2.9666666666666619</v>
      </c>
      <c r="F177">
        <v>0.72</v>
      </c>
      <c r="G177" s="21">
        <f t="shared" si="23"/>
        <v>5.5916633828963613E-2</v>
      </c>
      <c r="H177" s="3">
        <f t="shared" si="16"/>
        <v>8.6121901096420893E-3</v>
      </c>
      <c r="I177" s="3">
        <f t="shared" si="17"/>
        <v>-4.7304443719321521E-2</v>
      </c>
    </row>
    <row r="178" spans="1:9">
      <c r="A178">
        <f t="shared" si="18"/>
        <v>148</v>
      </c>
      <c r="B178" s="13">
        <f t="shared" si="19"/>
        <v>14.564958880987598</v>
      </c>
      <c r="C178" s="12">
        <f t="shared" si="20"/>
        <v>3082.0755586044488</v>
      </c>
      <c r="D178">
        <f t="shared" si="21"/>
        <v>3.0449999999999999</v>
      </c>
      <c r="E178" s="13">
        <f t="shared" si="22"/>
        <v>2.9583333333333286</v>
      </c>
      <c r="F178">
        <v>0.72</v>
      </c>
      <c r="G178" s="21">
        <f t="shared" si="23"/>
        <v>5.5626089816018423E-2</v>
      </c>
      <c r="H178" s="3">
        <f t="shared" si="16"/>
        <v>8.6121901096420893E-3</v>
      </c>
      <c r="I178" s="3">
        <f t="shared" si="17"/>
        <v>-4.701389970637633E-2</v>
      </c>
    </row>
    <row r="179" spans="1:9">
      <c r="A179">
        <f t="shared" si="18"/>
        <v>149</v>
      </c>
      <c r="B179" s="13">
        <f t="shared" si="19"/>
        <v>14.517944981281222</v>
      </c>
      <c r="C179" s="12">
        <f t="shared" si="20"/>
        <v>3082.0556644452954</v>
      </c>
      <c r="D179">
        <f t="shared" si="21"/>
        <v>3.0449999999999999</v>
      </c>
      <c r="E179" s="13">
        <f t="shared" si="22"/>
        <v>2.9499999999999953</v>
      </c>
      <c r="F179">
        <v>0.72</v>
      </c>
      <c r="G179" s="21">
        <f t="shared" si="23"/>
        <v>5.5336242273134557E-2</v>
      </c>
      <c r="H179" s="3">
        <f t="shared" si="16"/>
        <v>8.6121901096420893E-3</v>
      </c>
      <c r="I179" s="3">
        <f t="shared" si="17"/>
        <v>-4.6724052163492472E-2</v>
      </c>
    </row>
    <row r="180" spans="1:9">
      <c r="A180">
        <f t="shared" si="18"/>
        <v>150</v>
      </c>
      <c r="B180" s="13">
        <f t="shared" si="19"/>
        <v>14.471220929117729</v>
      </c>
      <c r="C180" s="12">
        <f t="shared" si="20"/>
        <v>3082.035770286142</v>
      </c>
      <c r="D180">
        <f t="shared" si="21"/>
        <v>3.0449999999999999</v>
      </c>
      <c r="E180" s="13">
        <f t="shared" si="22"/>
        <v>2.941666666666662</v>
      </c>
      <c r="F180">
        <v>0.72</v>
      </c>
      <c r="G180" s="21">
        <f t="shared" si="23"/>
        <v>5.5047091491142341E-2</v>
      </c>
      <c r="H180" s="3">
        <f t="shared" si="16"/>
        <v>8.6121901096420893E-3</v>
      </c>
      <c r="I180" s="3">
        <f t="shared" si="17"/>
        <v>-4.6434901381500249E-2</v>
      </c>
    </row>
    <row r="181" spans="1:9">
      <c r="A181">
        <f t="shared" si="18"/>
        <v>151</v>
      </c>
      <c r="B181" s="13">
        <f t="shared" si="19"/>
        <v>14.424786027736229</v>
      </c>
      <c r="C181" s="12">
        <f t="shared" si="20"/>
        <v>3082.0158761269886</v>
      </c>
      <c r="D181">
        <f t="shared" si="21"/>
        <v>3.0449999999999999</v>
      </c>
      <c r="E181" s="13">
        <f t="shared" si="22"/>
        <v>2.9333333333333287</v>
      </c>
      <c r="F181">
        <v>0.72</v>
      </c>
      <c r="G181" s="21">
        <f t="shared" si="23"/>
        <v>5.4758637761816623E-2</v>
      </c>
      <c r="H181" s="3">
        <f t="shared" si="16"/>
        <v>8.6121901096420893E-3</v>
      </c>
      <c r="I181" s="3">
        <f t="shared" si="17"/>
        <v>-4.614644765217453E-2</v>
      </c>
    </row>
    <row r="182" spans="1:9">
      <c r="A182">
        <f t="shared" si="18"/>
        <v>152</v>
      </c>
      <c r="B182" s="13">
        <f t="shared" si="19"/>
        <v>14.378639580084053</v>
      </c>
      <c r="C182" s="12">
        <f t="shared" si="20"/>
        <v>3081.9959819678352</v>
      </c>
      <c r="D182">
        <f t="shared" si="21"/>
        <v>3.0449999999999999</v>
      </c>
      <c r="E182" s="13">
        <f t="shared" si="22"/>
        <v>2.9249999999999954</v>
      </c>
      <c r="F182">
        <v>0.72</v>
      </c>
      <c r="G182" s="21">
        <f t="shared" si="23"/>
        <v>5.44708813778828E-2</v>
      </c>
      <c r="H182" s="3">
        <f t="shared" si="16"/>
        <v>8.6121901096420893E-3</v>
      </c>
      <c r="I182" s="3">
        <f t="shared" si="17"/>
        <v>-4.5858691268240714E-2</v>
      </c>
    </row>
    <row r="183" spans="1:9">
      <c r="A183">
        <f t="shared" si="18"/>
        <v>153</v>
      </c>
      <c r="B183" s="13">
        <f t="shared" si="19"/>
        <v>14.332780888815813</v>
      </c>
      <c r="C183" s="12">
        <f t="shared" si="20"/>
        <v>3081.9760878086818</v>
      </c>
      <c r="D183">
        <f t="shared" si="21"/>
        <v>3.0449999999999999</v>
      </c>
      <c r="E183" s="13">
        <f t="shared" si="22"/>
        <v>2.9166666666666621</v>
      </c>
      <c r="F183">
        <v>0.72</v>
      </c>
      <c r="G183" s="21">
        <f t="shared" si="23"/>
        <v>5.4183822633022391E-2</v>
      </c>
      <c r="H183" s="3">
        <f t="shared" si="16"/>
        <v>8.6121901096420893E-3</v>
      </c>
      <c r="I183" s="3">
        <f t="shared" si="17"/>
        <v>-4.5571632523380298E-2</v>
      </c>
    </row>
    <row r="184" spans="1:9">
      <c r="A184">
        <f t="shared" si="18"/>
        <v>154</v>
      </c>
      <c r="B184" s="13">
        <f t="shared" si="19"/>
        <v>14.287209256292433</v>
      </c>
      <c r="C184" s="12">
        <f t="shared" si="20"/>
        <v>3081.9561936495284</v>
      </c>
      <c r="D184">
        <f t="shared" si="21"/>
        <v>3.0449999999999999</v>
      </c>
      <c r="E184" s="13">
        <f t="shared" si="22"/>
        <v>2.9083333333333288</v>
      </c>
      <c r="F184">
        <v>0.72</v>
      </c>
      <c r="G184" s="21">
        <f t="shared" si="23"/>
        <v>5.3897461821879093E-2</v>
      </c>
      <c r="H184" s="3">
        <f t="shared" si="16"/>
        <v>8.6121901096420893E-3</v>
      </c>
      <c r="I184" s="3">
        <f t="shared" si="17"/>
        <v>-4.5285271712237007E-2</v>
      </c>
    </row>
    <row r="185" spans="1:9">
      <c r="A185">
        <f t="shared" si="18"/>
        <v>155</v>
      </c>
      <c r="B185" s="13">
        <f t="shared" si="19"/>
        <v>14.241923984580197</v>
      </c>
      <c r="C185" s="12">
        <f t="shared" si="20"/>
        <v>3081.9362994903749</v>
      </c>
      <c r="D185">
        <f t="shared" si="21"/>
        <v>3.0449999999999999</v>
      </c>
      <c r="E185" s="13">
        <f t="shared" si="22"/>
        <v>2.8999999999999955</v>
      </c>
      <c r="F185">
        <v>0.72</v>
      </c>
      <c r="G185" s="21">
        <f t="shared" si="23"/>
        <v>5.3611799240064741E-2</v>
      </c>
      <c r="H185" s="3">
        <f t="shared" si="16"/>
        <v>8.6121901096420893E-3</v>
      </c>
      <c r="I185" s="3">
        <f t="shared" si="17"/>
        <v>-4.4999609130422655E-2</v>
      </c>
    </row>
    <row r="186" spans="1:9">
      <c r="A186">
        <f t="shared" si="18"/>
        <v>156</v>
      </c>
      <c r="B186" s="13">
        <f t="shared" si="19"/>
        <v>14.196924375449774</v>
      </c>
      <c r="C186" s="12">
        <f t="shared" si="20"/>
        <v>3081.9164053312215</v>
      </c>
      <c r="D186">
        <f t="shared" si="21"/>
        <v>3.0449999999999999</v>
      </c>
      <c r="E186" s="13">
        <f t="shared" si="22"/>
        <v>2.8916666666666622</v>
      </c>
      <c r="F186">
        <v>0.72</v>
      </c>
      <c r="G186" s="21">
        <f t="shared" si="23"/>
        <v>5.3326835184164888E-2</v>
      </c>
      <c r="H186" s="3">
        <f t="shared" si="16"/>
        <v>8.6121901096420893E-3</v>
      </c>
      <c r="I186" s="3">
        <f t="shared" si="17"/>
        <v>-4.4714645074522802E-2</v>
      </c>
    </row>
    <row r="187" spans="1:9">
      <c r="A187">
        <f t="shared" si="18"/>
        <v>157</v>
      </c>
      <c r="B187" s="13">
        <f t="shared" si="19"/>
        <v>14.152209730375251</v>
      </c>
      <c r="C187" s="12">
        <f t="shared" si="20"/>
        <v>3081.8965111720681</v>
      </c>
      <c r="D187">
        <f t="shared" si="21"/>
        <v>3.0449999999999999</v>
      </c>
      <c r="E187" s="13">
        <f t="shared" si="22"/>
        <v>2.8833333333333289</v>
      </c>
      <c r="F187">
        <v>0.72</v>
      </c>
      <c r="G187" s="21">
        <f t="shared" si="23"/>
        <v>5.3042569951745333E-2</v>
      </c>
      <c r="H187" s="3">
        <f t="shared" si="16"/>
        <v>8.6121901096420893E-3</v>
      </c>
      <c r="I187" s="3">
        <f t="shared" si="17"/>
        <v>-4.443037984210324E-2</v>
      </c>
    </row>
    <row r="188" spans="1:9">
      <c r="A188">
        <f t="shared" si="18"/>
        <v>158</v>
      </c>
      <c r="B188" s="13">
        <f t="shared" si="19"/>
        <v>14.107779350533148</v>
      </c>
      <c r="C188" s="12">
        <f t="shared" si="20"/>
        <v>3081.8766170129147</v>
      </c>
      <c r="D188">
        <f t="shared" si="21"/>
        <v>3.0449999999999999</v>
      </c>
      <c r="E188" s="13">
        <f t="shared" si="22"/>
        <v>2.8749999999999956</v>
      </c>
      <c r="F188">
        <v>0.72</v>
      </c>
      <c r="G188" s="21">
        <f t="shared" si="23"/>
        <v>5.2759003841357871E-2</v>
      </c>
      <c r="H188" s="3">
        <f t="shared" si="16"/>
        <v>8.6121901096420893E-3</v>
      </c>
      <c r="I188" s="3">
        <f t="shared" si="17"/>
        <v>-4.4146813731715778E-2</v>
      </c>
    </row>
    <row r="189" spans="1:9">
      <c r="A189">
        <f t="shared" si="18"/>
        <v>159</v>
      </c>
      <c r="B189" s="13">
        <f t="shared" si="19"/>
        <v>14.063632536801432</v>
      </c>
      <c r="C189" s="12">
        <f t="shared" si="20"/>
        <v>3081.8567228537613</v>
      </c>
      <c r="D189">
        <f t="shared" si="21"/>
        <v>3.0449999999999999</v>
      </c>
      <c r="E189" s="13">
        <f t="shared" si="22"/>
        <v>2.8666666666666623</v>
      </c>
      <c r="F189">
        <v>0.72</v>
      </c>
      <c r="G189" s="21">
        <f t="shared" si="23"/>
        <v>5.2476137152546613E-2</v>
      </c>
      <c r="H189" s="3">
        <f t="shared" si="16"/>
        <v>8.6121901096420893E-3</v>
      </c>
      <c r="I189" s="3">
        <f t="shared" si="17"/>
        <v>-4.3863947042904528E-2</v>
      </c>
    </row>
    <row r="190" spans="1:9">
      <c r="A190">
        <f t="shared" si="18"/>
        <v>160</v>
      </c>
      <c r="B190" s="13">
        <f t="shared" si="19"/>
        <v>14.019768589758527</v>
      </c>
      <c r="C190" s="12">
        <f t="shared" si="20"/>
        <v>3081.8368286946079</v>
      </c>
      <c r="D190">
        <f t="shared" si="21"/>
        <v>3.0449999999999999</v>
      </c>
      <c r="E190" s="13">
        <f t="shared" si="22"/>
        <v>2.858333333333329</v>
      </c>
      <c r="F190">
        <v>0.72</v>
      </c>
      <c r="G190" s="21">
        <f t="shared" si="23"/>
        <v>5.2193970185853894E-2</v>
      </c>
      <c r="H190" s="3">
        <f t="shared" si="16"/>
        <v>8.6121901096420893E-3</v>
      </c>
      <c r="I190" s="3">
        <f t="shared" si="17"/>
        <v>-4.3581780076211801E-2</v>
      </c>
    </row>
    <row r="191" spans="1:9">
      <c r="A191">
        <f t="shared" si="18"/>
        <v>161</v>
      </c>
      <c r="B191" s="13">
        <f t="shared" si="19"/>
        <v>13.976186809682316</v>
      </c>
      <c r="C191" s="12">
        <f t="shared" si="20"/>
        <v>3081.8169345354545</v>
      </c>
      <c r="D191">
        <f t="shared" si="21"/>
        <v>3.0449999999999999</v>
      </c>
      <c r="E191" s="13">
        <f t="shared" si="22"/>
        <v>2.8499999999999956</v>
      </c>
      <c r="F191">
        <v>0.72</v>
      </c>
      <c r="G191" s="21">
        <f t="shared" si="23"/>
        <v>5.1912503242826875E-2</v>
      </c>
      <c r="H191" s="3">
        <f t="shared" si="16"/>
        <v>8.6121901096420893E-3</v>
      </c>
      <c r="I191" s="3">
        <f t="shared" si="17"/>
        <v>-4.330031313318479E-2</v>
      </c>
    </row>
    <row r="192" spans="1:9">
      <c r="A192">
        <f t="shared" si="18"/>
        <v>162</v>
      </c>
      <c r="B192" s="13">
        <f t="shared" si="19"/>
        <v>13.932886496549131</v>
      </c>
      <c r="C192" s="12">
        <f t="shared" si="20"/>
        <v>3081.7970403763011</v>
      </c>
      <c r="D192">
        <f t="shared" si="21"/>
        <v>3.0449999999999999</v>
      </c>
      <c r="E192" s="13">
        <f t="shared" si="22"/>
        <v>2.8416666666666623</v>
      </c>
      <c r="F192">
        <v>0.72</v>
      </c>
      <c r="G192" s="21">
        <f t="shared" si="23"/>
        <v>5.1631736626023578E-2</v>
      </c>
      <c r="H192" s="3">
        <f t="shared" si="16"/>
        <v>8.6121901096420893E-3</v>
      </c>
      <c r="I192" s="3">
        <f t="shared" si="17"/>
        <v>-4.3019546516381485E-2</v>
      </c>
    </row>
    <row r="193" spans="1:9">
      <c r="A193">
        <f t="shared" si="18"/>
        <v>163</v>
      </c>
      <c r="B193" s="13">
        <f t="shared" si="19"/>
        <v>13.889866950032749</v>
      </c>
      <c r="C193" s="12">
        <f t="shared" si="20"/>
        <v>3081.7771462171477</v>
      </c>
      <c r="D193">
        <f t="shared" si="21"/>
        <v>3.0449999999999999</v>
      </c>
      <c r="E193" s="13">
        <f t="shared" si="22"/>
        <v>2.833333333333329</v>
      </c>
      <c r="F193">
        <v>0.72</v>
      </c>
      <c r="G193" s="21">
        <f t="shared" si="23"/>
        <v>5.1351670639019346E-2</v>
      </c>
      <c r="H193" s="3">
        <f t="shared" si="16"/>
        <v>8.6121901096420893E-3</v>
      </c>
      <c r="I193" s="3">
        <f t="shared" si="17"/>
        <v>-4.2739480529377261E-2</v>
      </c>
    </row>
    <row r="194" spans="1:9">
      <c r="A194">
        <f t="shared" si="18"/>
        <v>164</v>
      </c>
      <c r="B194" s="13">
        <f t="shared" si="19"/>
        <v>13.847127469503372</v>
      </c>
      <c r="C194" s="12">
        <f t="shared" si="20"/>
        <v>3081.7572520579943</v>
      </c>
      <c r="D194">
        <f t="shared" si="21"/>
        <v>3.0449999999999999</v>
      </c>
      <c r="E194" s="13">
        <f t="shared" si="22"/>
        <v>2.8249999999999957</v>
      </c>
      <c r="F194">
        <v>0.72</v>
      </c>
      <c r="G194" s="21">
        <f t="shared" si="23"/>
        <v>5.1072305586413395E-2</v>
      </c>
      <c r="H194" s="3">
        <f t="shared" si="16"/>
        <v>8.6121901096420893E-3</v>
      </c>
      <c r="I194" s="3">
        <f t="shared" si="17"/>
        <v>-4.246011547677131E-2</v>
      </c>
    </row>
    <row r="195" spans="1:9">
      <c r="A195">
        <f t="shared" si="18"/>
        <v>165</v>
      </c>
      <c r="B195" s="13">
        <f t="shared" si="19"/>
        <v>13.8046673540266</v>
      </c>
      <c r="C195" s="12">
        <f t="shared" si="20"/>
        <v>3081.7373578988409</v>
      </c>
      <c r="D195">
        <f t="shared" si="21"/>
        <v>3.0449999999999999</v>
      </c>
      <c r="E195" s="13">
        <f t="shared" si="22"/>
        <v>2.8166666666666624</v>
      </c>
      <c r="F195">
        <v>0.72</v>
      </c>
      <c r="G195" s="21">
        <f t="shared" si="23"/>
        <v>5.0793641773834899E-2</v>
      </c>
      <c r="H195" s="3">
        <f t="shared" si="16"/>
        <v>8.6121901096420893E-3</v>
      </c>
      <c r="I195" s="3">
        <f t="shared" si="17"/>
        <v>-4.2181451664192807E-2</v>
      </c>
    </row>
    <row r="196" spans="1:9">
      <c r="A196">
        <f t="shared" si="18"/>
        <v>166</v>
      </c>
      <c r="B196" s="13">
        <f t="shared" si="19"/>
        <v>13.762485902362407</v>
      </c>
      <c r="C196" s="12">
        <f t="shared" si="20"/>
        <v>3081.7174637396874</v>
      </c>
      <c r="D196">
        <f t="shared" si="21"/>
        <v>3.0449999999999999</v>
      </c>
      <c r="E196" s="13">
        <f t="shared" si="22"/>
        <v>2.8083333333333291</v>
      </c>
      <c r="F196">
        <v>0.72</v>
      </c>
      <c r="G196" s="21">
        <f t="shared" si="23"/>
        <v>5.0515679507950009E-2</v>
      </c>
      <c r="H196" s="3">
        <f t="shared" si="16"/>
        <v>8.6121901096420893E-3</v>
      </c>
      <c r="I196" s="3">
        <f t="shared" si="17"/>
        <v>-4.1903489398307917E-2</v>
      </c>
    </row>
    <row r="197" spans="1:9">
      <c r="A197">
        <f t="shared" si="18"/>
        <v>167</v>
      </c>
      <c r="B197" s="13">
        <f t="shared" si="19"/>
        <v>13.720582412964099</v>
      </c>
      <c r="C197" s="12">
        <f t="shared" si="20"/>
        <v>3081.697569580534</v>
      </c>
      <c r="D197">
        <f t="shared" si="21"/>
        <v>3.0449999999999999</v>
      </c>
      <c r="E197" s="13">
        <f t="shared" si="22"/>
        <v>2.7999999999999958</v>
      </c>
      <c r="F197">
        <v>0.72</v>
      </c>
      <c r="G197" s="21">
        <f t="shared" si="23"/>
        <v>5.0238419096468145E-2</v>
      </c>
      <c r="H197" s="3">
        <f t="shared" si="16"/>
        <v>8.6121901096420893E-3</v>
      </c>
      <c r="I197" s="3">
        <f t="shared" si="17"/>
        <v>-4.1626228986826053E-2</v>
      </c>
    </row>
    <row r="198" spans="1:9">
      <c r="A198">
        <f t="shared" si="18"/>
        <v>168</v>
      </c>
      <c r="B198" s="13">
        <f t="shared" si="19"/>
        <v>13.678956183977272</v>
      </c>
      <c r="C198" s="12">
        <f t="shared" si="20"/>
        <v>3081.6776754213806</v>
      </c>
      <c r="D198">
        <f t="shared" si="21"/>
        <v>3.0449999999999999</v>
      </c>
      <c r="E198" s="13">
        <f t="shared" si="22"/>
        <v>2.7916666666666625</v>
      </c>
      <c r="F198">
        <v>0.72</v>
      </c>
      <c r="G198" s="21">
        <f t="shared" si="23"/>
        <v>4.9961860848148701E-2</v>
      </c>
      <c r="H198" s="3">
        <f t="shared" si="16"/>
        <v>8.6121901096420893E-3</v>
      </c>
      <c r="I198" s="3">
        <f t="shared" si="17"/>
        <v>-4.1349670738506608E-2</v>
      </c>
    </row>
    <row r="199" spans="1:9">
      <c r="A199">
        <f t="shared" si="18"/>
        <v>169</v>
      </c>
      <c r="B199" s="13">
        <f t="shared" si="19"/>
        <v>13.637606513238765</v>
      </c>
      <c r="C199" s="12">
        <f t="shared" si="20"/>
        <v>3081.6577812622272</v>
      </c>
      <c r="D199">
        <f t="shared" si="21"/>
        <v>3.0449999999999999</v>
      </c>
      <c r="E199" s="13">
        <f t="shared" si="22"/>
        <v>2.7833333333333292</v>
      </c>
      <c r="F199">
        <v>0.72</v>
      </c>
      <c r="G199" s="21">
        <f t="shared" si="23"/>
        <v>4.9686005072807925E-2</v>
      </c>
      <c r="H199" s="3">
        <f t="shared" si="16"/>
        <v>8.6121901096420893E-3</v>
      </c>
      <c r="I199" s="3">
        <f t="shared" si="17"/>
        <v>-4.1073814963165839E-2</v>
      </c>
    </row>
    <row r="200" spans="1:9">
      <c r="A200">
        <f t="shared" si="18"/>
        <v>170</v>
      </c>
      <c r="B200" s="13">
        <f t="shared" si="19"/>
        <v>13.596532698275599</v>
      </c>
      <c r="C200" s="12">
        <f t="shared" si="20"/>
        <v>3081.6378871030738</v>
      </c>
      <c r="D200">
        <f t="shared" si="21"/>
        <v>3.0449999999999999</v>
      </c>
      <c r="E200" s="13">
        <f t="shared" si="22"/>
        <v>2.7749999999999959</v>
      </c>
      <c r="F200">
        <v>0.72</v>
      </c>
      <c r="G200" s="21">
        <f t="shared" si="23"/>
        <v>4.9410852081325431E-2</v>
      </c>
      <c r="H200" s="3">
        <f t="shared" si="16"/>
        <v>8.6121901096420893E-3</v>
      </c>
      <c r="I200" s="3">
        <f t="shared" si="17"/>
        <v>-4.0798661971683345E-2</v>
      </c>
    </row>
    <row r="201" spans="1:9">
      <c r="A201">
        <f t="shared" si="18"/>
        <v>171</v>
      </c>
      <c r="B201" s="13">
        <f t="shared" si="19"/>
        <v>13.555734036303916</v>
      </c>
      <c r="C201" s="12">
        <f t="shared" si="20"/>
        <v>3081.6179929439204</v>
      </c>
      <c r="D201">
        <f t="shared" si="21"/>
        <v>3.0449999999999999</v>
      </c>
      <c r="E201" s="13">
        <f t="shared" si="22"/>
        <v>2.7666666666666626</v>
      </c>
      <c r="F201">
        <v>0.72</v>
      </c>
      <c r="G201" s="21">
        <f t="shared" si="23"/>
        <v>4.9136402185651358E-2</v>
      </c>
      <c r="H201" s="3">
        <f t="shared" si="16"/>
        <v>8.6121901096420893E-3</v>
      </c>
      <c r="I201" s="3">
        <f t="shared" si="17"/>
        <v>-4.0524212076009272E-2</v>
      </c>
    </row>
    <row r="202" spans="1:9">
      <c r="A202">
        <f t="shared" si="18"/>
        <v>172</v>
      </c>
      <c r="B202" s="13">
        <f t="shared" si="19"/>
        <v>13.515209824227906</v>
      </c>
      <c r="C202" s="12">
        <f t="shared" si="20"/>
        <v>3081.598098784767</v>
      </c>
      <c r="D202">
        <f t="shared" si="21"/>
        <v>3.0449999999999999</v>
      </c>
      <c r="E202" s="13">
        <f t="shared" si="22"/>
        <v>2.7583333333333293</v>
      </c>
      <c r="F202">
        <v>0.72</v>
      </c>
      <c r="G202" s="21">
        <f t="shared" si="23"/>
        <v>4.8862655698813033E-2</v>
      </c>
      <c r="H202" s="3">
        <f t="shared" si="16"/>
        <v>8.6121901096420893E-3</v>
      </c>
      <c r="I202" s="3">
        <f t="shared" si="17"/>
        <v>-4.0250465589170947E-2</v>
      </c>
    </row>
    <row r="203" spans="1:9">
      <c r="A203">
        <f t="shared" si="18"/>
        <v>173</v>
      </c>
      <c r="B203" s="13">
        <f t="shared" si="19"/>
        <v>13.474959358638735</v>
      </c>
      <c r="C203" s="12">
        <f t="shared" si="20"/>
        <v>3081.5782046256136</v>
      </c>
      <c r="D203">
        <f t="shared" si="21"/>
        <v>3.0449999999999999</v>
      </c>
      <c r="E203" s="13">
        <f t="shared" si="22"/>
        <v>2.749999999999996</v>
      </c>
      <c r="F203">
        <v>0.72</v>
      </c>
      <c r="G203" s="21">
        <f t="shared" si="23"/>
        <v>4.8589612934922158E-2</v>
      </c>
      <c r="H203" s="3">
        <f t="shared" si="16"/>
        <v>8.6121901096420893E-3</v>
      </c>
      <c r="I203" s="3">
        <f t="shared" si="17"/>
        <v>-3.9977422825280065E-2</v>
      </c>
    </row>
    <row r="204" spans="1:9">
      <c r="A204">
        <f t="shared" si="18"/>
        <v>174</v>
      </c>
      <c r="B204" s="13">
        <f t="shared" si="19"/>
        <v>13.434981935813454</v>
      </c>
      <c r="C204" s="12">
        <f t="shared" si="20"/>
        <v>3081.5583104664602</v>
      </c>
      <c r="D204">
        <f t="shared" si="21"/>
        <v>3.0449999999999999</v>
      </c>
      <c r="E204" s="13">
        <f t="shared" si="22"/>
        <v>2.7416666666666627</v>
      </c>
      <c r="F204">
        <v>0.72</v>
      </c>
      <c r="G204" s="21">
        <f t="shared" si="23"/>
        <v>4.8317274209181603E-2</v>
      </c>
      <c r="H204" s="3">
        <f t="shared" si="16"/>
        <v>8.6121901096420893E-3</v>
      </c>
      <c r="I204" s="3">
        <f t="shared" si="17"/>
        <v>-3.9705084099539517E-2</v>
      </c>
    </row>
    <row r="205" spans="1:9">
      <c r="A205" s="29">
        <f t="shared" si="18"/>
        <v>175</v>
      </c>
      <c r="B205" s="30">
        <f t="shared" si="19"/>
        <v>13.395276851713914</v>
      </c>
      <c r="C205" s="12">
        <f t="shared" si="20"/>
        <v>3081.5384163073068</v>
      </c>
      <c r="D205" s="29">
        <f t="shared" si="21"/>
        <v>3.0449999999999999</v>
      </c>
      <c r="E205" s="30">
        <f t="shared" si="22"/>
        <v>2.7333333333333294</v>
      </c>
      <c r="F205">
        <v>0.72</v>
      </c>
      <c r="G205" s="32">
        <f t="shared" si="23"/>
        <v>4.8045639837892909E-2</v>
      </c>
      <c r="H205" s="3">
        <f t="shared" si="16"/>
        <v>8.6121901096420893E-3</v>
      </c>
      <c r="I205" s="33">
        <f t="shared" si="17"/>
        <v>-3.9433449728250816E-2</v>
      </c>
    </row>
    <row r="206" spans="1:9">
      <c r="A206">
        <f t="shared" si="18"/>
        <v>176</v>
      </c>
      <c r="B206" s="13">
        <f t="shared" si="19"/>
        <v>13.355843401985664</v>
      </c>
      <c r="C206" s="12">
        <f t="shared" si="20"/>
        <v>3081.5185221481534</v>
      </c>
      <c r="D206">
        <f t="shared" si="21"/>
        <v>3.0449999999999999</v>
      </c>
      <c r="E206" s="13">
        <f t="shared" si="22"/>
        <v>2.7249999999999961</v>
      </c>
      <c r="F206">
        <v>0.72</v>
      </c>
      <c r="G206" s="21">
        <f t="shared" si="23"/>
        <v>4.7774710138462996E-2</v>
      </c>
      <c r="H206" s="3">
        <f t="shared" si="16"/>
        <v>8.6121901096420893E-3</v>
      </c>
      <c r="I206" s="3">
        <f t="shared" si="17"/>
        <v>-3.916252002882091E-2</v>
      </c>
    </row>
    <row r="207" spans="1:9">
      <c r="A207">
        <f t="shared" si="18"/>
        <v>177</v>
      </c>
      <c r="B207" s="13">
        <f t="shared" si="19"/>
        <v>13.316680881956843</v>
      </c>
      <c r="C207" s="12">
        <f t="shared" si="20"/>
        <v>3081.4986279889999</v>
      </c>
      <c r="D207">
        <f t="shared" si="21"/>
        <v>3.0449999999999999</v>
      </c>
      <c r="E207" s="13">
        <f t="shared" si="22"/>
        <v>2.7166666666666628</v>
      </c>
      <c r="F207">
        <v>0.72</v>
      </c>
      <c r="G207" s="21">
        <f t="shared" si="23"/>
        <v>4.7504485429411838E-2</v>
      </c>
      <c r="H207" s="3">
        <f t="shared" si="16"/>
        <v>8.6121901096420893E-3</v>
      </c>
      <c r="I207" s="3">
        <f t="shared" si="17"/>
        <v>-3.8892295319769746E-2</v>
      </c>
    </row>
    <row r="208" spans="1:9">
      <c r="A208">
        <f t="shared" si="18"/>
        <v>178</v>
      </c>
      <c r="B208" s="13">
        <f t="shared" si="19"/>
        <v>13.277788586637074</v>
      </c>
      <c r="C208" s="12">
        <f t="shared" si="20"/>
        <v>3081.4787338298465</v>
      </c>
      <c r="D208">
        <f t="shared" si="21"/>
        <v>3.0449999999999999</v>
      </c>
      <c r="E208" s="13">
        <f t="shared" si="22"/>
        <v>2.7083333333333295</v>
      </c>
      <c r="F208">
        <v>0.72</v>
      </c>
      <c r="G208" s="21">
        <f t="shared" si="23"/>
        <v>4.7234966030379542E-2</v>
      </c>
      <c r="H208" s="3">
        <f t="shared" si="16"/>
        <v>8.6121901096420893E-3</v>
      </c>
      <c r="I208" s="3">
        <f t="shared" si="17"/>
        <v>-3.8622775920737457E-2</v>
      </c>
    </row>
    <row r="209" spans="1:9">
      <c r="A209">
        <f t="shared" si="18"/>
        <v>179</v>
      </c>
      <c r="B209" s="13">
        <f t="shared" si="19"/>
        <v>13.239165810716337</v>
      </c>
      <c r="C209" s="12">
        <f t="shared" si="20"/>
        <v>3081.4588396706931</v>
      </c>
      <c r="D209">
        <f t="shared" si="21"/>
        <v>3.0449999999999999</v>
      </c>
      <c r="E209" s="13">
        <f t="shared" si="22"/>
        <v>2.6999999999999962</v>
      </c>
      <c r="F209">
        <v>0.72</v>
      </c>
      <c r="G209" s="21">
        <f t="shared" si="23"/>
        <v>4.6966152262133763E-2</v>
      </c>
      <c r="H209" s="3">
        <f t="shared" si="16"/>
        <v>8.6121901096420893E-3</v>
      </c>
      <c r="I209" s="3">
        <f t="shared" si="17"/>
        <v>-3.8353962152491677E-2</v>
      </c>
    </row>
    <row r="210" spans="1:9">
      <c r="A210">
        <f t="shared" si="18"/>
        <v>180</v>
      </c>
      <c r="B210" s="13">
        <f t="shared" si="19"/>
        <v>13.200811848563845</v>
      </c>
      <c r="C210" s="12">
        <f t="shared" si="20"/>
        <v>3081.4389455115397</v>
      </c>
      <c r="D210">
        <f t="shared" si="21"/>
        <v>3.0449999999999999</v>
      </c>
      <c r="E210" s="13">
        <f t="shared" si="22"/>
        <v>2.6916666666666629</v>
      </c>
      <c r="F210">
        <v>0.72</v>
      </c>
      <c r="G210" s="21">
        <f t="shared" si="23"/>
        <v>4.6698044446577332E-2</v>
      </c>
      <c r="H210" s="3">
        <f t="shared" si="16"/>
        <v>8.6121901096420893E-3</v>
      </c>
      <c r="I210" s="3">
        <f t="shared" si="17"/>
        <v>-3.8085854336935246E-2</v>
      </c>
    </row>
    <row r="211" spans="1:9">
      <c r="A211">
        <f t="shared" si="18"/>
        <v>181</v>
      </c>
      <c r="B211" s="13">
        <f t="shared" si="19"/>
        <v>13.162725994226909</v>
      </c>
      <c r="C211" s="12">
        <f t="shared" si="20"/>
        <v>3081.4190513523863</v>
      </c>
      <c r="D211">
        <f t="shared" si="21"/>
        <v>3.0449999999999999</v>
      </c>
      <c r="E211" s="13">
        <f t="shared" si="22"/>
        <v>2.6833333333333296</v>
      </c>
      <c r="F211">
        <v>0.72</v>
      </c>
      <c r="G211" s="21">
        <f t="shared" si="23"/>
        <v>4.6430642906755623E-2</v>
      </c>
      <c r="H211" s="3">
        <f t="shared" si="16"/>
        <v>8.6121901096420893E-3</v>
      </c>
      <c r="I211" s="3">
        <f t="shared" si="17"/>
        <v>-3.781845279711353E-2</v>
      </c>
    </row>
    <row r="212" spans="1:9">
      <c r="A212">
        <f t="shared" si="18"/>
        <v>182</v>
      </c>
      <c r="B212" s="13">
        <f t="shared" si="19"/>
        <v>13.124907541429796</v>
      </c>
      <c r="C212" s="12">
        <f t="shared" si="20"/>
        <v>3081.3991571932329</v>
      </c>
      <c r="D212">
        <f t="shared" si="21"/>
        <v>3.0449999999999999</v>
      </c>
      <c r="E212" s="13">
        <f t="shared" si="22"/>
        <v>2.6749999999999963</v>
      </c>
      <c r="F212">
        <v>0.72</v>
      </c>
      <c r="G212" s="21">
        <f t="shared" si="23"/>
        <v>4.6163947966864134E-2</v>
      </c>
      <c r="H212" s="3">
        <f t="shared" si="16"/>
        <v>8.6121901096420893E-3</v>
      </c>
      <c r="I212" s="3">
        <f t="shared" si="17"/>
        <v>-3.7551757857222048E-2</v>
      </c>
    </row>
    <row r="213" spans="1:9">
      <c r="A213">
        <f t="shared" si="18"/>
        <v>183</v>
      </c>
      <c r="B213" s="13">
        <f t="shared" si="19"/>
        <v>13.087355783572573</v>
      </c>
      <c r="C213" s="12">
        <f t="shared" si="20"/>
        <v>3081.3792630340795</v>
      </c>
      <c r="D213">
        <f t="shared" si="21"/>
        <v>3.0449999999999999</v>
      </c>
      <c r="E213" s="13">
        <f t="shared" si="22"/>
        <v>2.666666666666663</v>
      </c>
      <c r="F213">
        <v>0.72</v>
      </c>
      <c r="G213" s="21">
        <f t="shared" si="23"/>
        <v>4.5897959952256401E-2</v>
      </c>
      <c r="H213" s="3">
        <f t="shared" si="16"/>
        <v>8.6121901096420893E-3</v>
      </c>
      <c r="I213" s="3">
        <f t="shared" si="17"/>
        <v>-3.7285769842614308E-2</v>
      </c>
    </row>
    <row r="214" spans="1:9">
      <c r="A214">
        <f t="shared" si="18"/>
        <v>184</v>
      </c>
      <c r="B214" s="13">
        <f t="shared" si="19"/>
        <v>13.050070013729959</v>
      </c>
      <c r="C214" s="12">
        <f t="shared" si="20"/>
        <v>3081.3593688749261</v>
      </c>
      <c r="D214">
        <f t="shared" si="21"/>
        <v>3.0449999999999999</v>
      </c>
      <c r="E214" s="13">
        <f t="shared" si="22"/>
        <v>2.6583333333333297</v>
      </c>
      <c r="F214">
        <v>0.72</v>
      </c>
      <c r="G214" s="21">
        <f t="shared" si="23"/>
        <v>4.5632679189451561E-2</v>
      </c>
      <c r="H214" s="3">
        <f t="shared" si="16"/>
        <v>8.6121901096420893E-3</v>
      </c>
      <c r="I214" s="3">
        <f t="shared" si="17"/>
        <v>-3.7020489079809468E-2</v>
      </c>
    </row>
    <row r="215" spans="1:9">
      <c r="A215">
        <f t="shared" si="18"/>
        <v>185</v>
      </c>
      <c r="B215" s="13">
        <f t="shared" si="19"/>
        <v>13.01304952465015</v>
      </c>
      <c r="C215" s="12">
        <f t="shared" si="20"/>
        <v>3081.3394747157727</v>
      </c>
      <c r="D215">
        <f t="shared" si="21"/>
        <v>3.0449999999999999</v>
      </c>
      <c r="E215" s="13">
        <f t="shared" si="22"/>
        <v>2.6499999999999964</v>
      </c>
      <c r="F215">
        <v>0.72</v>
      </c>
      <c r="G215" s="21">
        <f t="shared" si="23"/>
        <v>4.5368106006142161E-2</v>
      </c>
      <c r="H215" s="3">
        <f t="shared" si="16"/>
        <v>8.6121901096420893E-3</v>
      </c>
      <c r="I215" s="3">
        <f t="shared" si="17"/>
        <v>-3.6755915896500069E-2</v>
      </c>
    </row>
    <row r="216" spans="1:9">
      <c r="A216">
        <f t="shared" si="18"/>
        <v>186</v>
      </c>
      <c r="B216" s="13">
        <f t="shared" si="19"/>
        <v>12.97629360875365</v>
      </c>
      <c r="C216" s="12">
        <f t="shared" si="20"/>
        <v>3081.3195805566193</v>
      </c>
      <c r="D216">
        <f t="shared" si="21"/>
        <v>3.0449999999999999</v>
      </c>
      <c r="E216" s="13">
        <f t="shared" si="22"/>
        <v>2.6416666666666631</v>
      </c>
      <c r="F216">
        <v>0.72</v>
      </c>
      <c r="G216" s="21">
        <f t="shared" si="23"/>
        <v>4.5104240731202394E-2</v>
      </c>
      <c r="H216" s="3">
        <f t="shared" si="16"/>
        <v>8.6121901096420893E-3</v>
      </c>
      <c r="I216" s="3">
        <f t="shared" si="17"/>
        <v>-3.6492050621560301E-2</v>
      </c>
    </row>
    <row r="217" spans="1:9">
      <c r="A217">
        <f t="shared" si="18"/>
        <v>187</v>
      </c>
      <c r="B217" s="13">
        <f t="shared" si="19"/>
        <v>12.939801558132089</v>
      </c>
      <c r="C217" s="12">
        <f t="shared" si="20"/>
        <v>3081.2996863974658</v>
      </c>
      <c r="D217">
        <f t="shared" si="21"/>
        <v>3.0449999999999999</v>
      </c>
      <c r="E217" s="13">
        <f t="shared" si="22"/>
        <v>2.6333333333333298</v>
      </c>
      <c r="F217">
        <v>0.72</v>
      </c>
      <c r="G217" s="21">
        <f t="shared" si="23"/>
        <v>4.484108369469559E-2</v>
      </c>
      <c r="H217" s="3">
        <f t="shared" si="16"/>
        <v>8.6121901096420893E-3</v>
      </c>
      <c r="I217" s="3">
        <f t="shared" si="17"/>
        <v>-3.6228893585053504E-2</v>
      </c>
    </row>
    <row r="218" spans="1:9">
      <c r="A218">
        <f t="shared" si="18"/>
        <v>188</v>
      </c>
      <c r="B218" s="13">
        <f t="shared" si="19"/>
        <v>12.903572664547035</v>
      </c>
      <c r="C218" s="12">
        <f t="shared" si="20"/>
        <v>3081.2797922383124</v>
      </c>
      <c r="D218">
        <f t="shared" si="21"/>
        <v>3.0449999999999999</v>
      </c>
      <c r="E218" s="13">
        <f t="shared" si="22"/>
        <v>2.6249999999999964</v>
      </c>
      <c r="F218">
        <v>0.72</v>
      </c>
      <c r="G218" s="21">
        <f t="shared" si="23"/>
        <v>4.4578635227882711E-2</v>
      </c>
      <c r="H218" s="3">
        <f t="shared" si="16"/>
        <v>8.6121901096420893E-3</v>
      </c>
      <c r="I218" s="3">
        <f t="shared" si="17"/>
        <v>-3.5966445118240625E-2</v>
      </c>
    </row>
    <row r="219" spans="1:9">
      <c r="A219">
        <f t="shared" si="18"/>
        <v>189</v>
      </c>
      <c r="B219" s="13">
        <f t="shared" si="19"/>
        <v>12.867606219428794</v>
      </c>
      <c r="C219" s="12">
        <f t="shared" si="20"/>
        <v>3081.259898079159</v>
      </c>
      <c r="D219">
        <f t="shared" si="21"/>
        <v>3.0449999999999999</v>
      </c>
      <c r="E219" s="13">
        <f t="shared" si="22"/>
        <v>2.6166666666666631</v>
      </c>
      <c r="F219">
        <v>0.72</v>
      </c>
      <c r="G219" s="21">
        <f t="shared" si="23"/>
        <v>4.4316895663230403E-2</v>
      </c>
      <c r="H219" s="3">
        <f t="shared" si="16"/>
        <v>8.6121901096420893E-3</v>
      </c>
      <c r="I219" s="3">
        <f t="shared" si="17"/>
        <v>-3.5704705553588317E-2</v>
      </c>
    </row>
    <row r="220" spans="1:9">
      <c r="A220">
        <f t="shared" si="18"/>
        <v>190</v>
      </c>
      <c r="B220" s="13">
        <f t="shared" si="19"/>
        <v>12.831901513875206</v>
      </c>
      <c r="C220" s="12">
        <f t="shared" si="20"/>
        <v>3081.2400039200056</v>
      </c>
      <c r="D220">
        <f t="shared" si="21"/>
        <v>3.0449999999999999</v>
      </c>
      <c r="E220" s="13">
        <f t="shared" si="22"/>
        <v>2.6083333333333298</v>
      </c>
      <c r="F220">
        <v>0.72</v>
      </c>
      <c r="G220" s="21">
        <f t="shared" si="23"/>
        <v>4.4055865334419041E-2</v>
      </c>
      <c r="H220" s="3">
        <f t="shared" si="16"/>
        <v>8.6121901096420893E-3</v>
      </c>
      <c r="I220" s="3">
        <f t="shared" si="17"/>
        <v>-3.5443675224776955E-2</v>
      </c>
    </row>
    <row r="221" spans="1:9">
      <c r="A221">
        <f t="shared" si="18"/>
        <v>191</v>
      </c>
      <c r="B221" s="13">
        <f t="shared" si="19"/>
        <v>12.796457838650429</v>
      </c>
      <c r="C221" s="12">
        <f t="shared" si="20"/>
        <v>3081.2201097608522</v>
      </c>
      <c r="D221">
        <f t="shared" si="21"/>
        <v>3.0449999999999999</v>
      </c>
      <c r="E221" s="13">
        <f t="shared" si="22"/>
        <v>2.5999999999999965</v>
      </c>
      <c r="F221">
        <v>0.72</v>
      </c>
      <c r="G221" s="21">
        <f t="shared" si="23"/>
        <v>4.3795544576351292E-2</v>
      </c>
      <c r="H221" s="3">
        <f t="shared" si="16"/>
        <v>8.6121901096420893E-3</v>
      </c>
      <c r="I221" s="3">
        <f t="shared" si="17"/>
        <v>-3.5183354466709199E-2</v>
      </c>
    </row>
    <row r="222" spans="1:9">
      <c r="A222">
        <f t="shared" si="18"/>
        <v>192</v>
      </c>
      <c r="B222" s="13">
        <f t="shared" si="19"/>
        <v>12.761274484183721</v>
      </c>
      <c r="C222" s="12">
        <f t="shared" si="20"/>
        <v>3081.2002156016988</v>
      </c>
      <c r="D222">
        <f t="shared" si="21"/>
        <v>3.0449999999999999</v>
      </c>
      <c r="E222" s="13">
        <f t="shared" si="22"/>
        <v>2.5916666666666632</v>
      </c>
      <c r="F222">
        <v>0.72</v>
      </c>
      <c r="G222" s="21">
        <f t="shared" si="23"/>
        <v>4.3535933725160403E-2</v>
      </c>
      <c r="H222" s="3">
        <f t="shared" si="16"/>
        <v>8.6121901096420893E-3</v>
      </c>
      <c r="I222" s="3">
        <f t="shared" si="17"/>
        <v>-3.492374361551831E-2</v>
      </c>
    </row>
    <row r="223" spans="1:9">
      <c r="A223">
        <f t="shared" si="18"/>
        <v>193</v>
      </c>
      <c r="B223" s="13">
        <f t="shared" si="19"/>
        <v>12.726350740568202</v>
      </c>
      <c r="C223" s="12">
        <f t="shared" si="20"/>
        <v>3081.1803214425454</v>
      </c>
      <c r="D223">
        <f t="shared" si="21"/>
        <v>3.0449999999999999</v>
      </c>
      <c r="E223" s="13">
        <f t="shared" si="22"/>
        <v>2.5833333333333299</v>
      </c>
      <c r="F223">
        <v>0.72</v>
      </c>
      <c r="G223" s="21">
        <f t="shared" si="23"/>
        <v>4.3277033118218719E-2</v>
      </c>
      <c r="H223" s="3">
        <f t="shared" si="16"/>
        <v>8.6121901096420893E-3</v>
      </c>
      <c r="I223" s="3">
        <f t="shared" si="17"/>
        <v>-3.4664843008576626E-2</v>
      </c>
    </row>
    <row r="224" spans="1:9">
      <c r="A224">
        <f t="shared" si="18"/>
        <v>194</v>
      </c>
      <c r="B224" s="13">
        <f t="shared" si="19"/>
        <v>12.691685897559626</v>
      </c>
      <c r="C224" s="12">
        <f t="shared" si="20"/>
        <v>3081.160427283392</v>
      </c>
      <c r="D224">
        <f t="shared" si="21"/>
        <v>3.0449999999999999</v>
      </c>
      <c r="E224" s="13">
        <f t="shared" si="22"/>
        <v>2.5749999999999966</v>
      </c>
      <c r="F224">
        <v>0.72</v>
      </c>
      <c r="G224" s="21">
        <f t="shared" si="23"/>
        <v>4.3018843094146171E-2</v>
      </c>
      <c r="H224" s="3">
        <f t="shared" ref="H224:H287" si="24">(D224*$C$20)/2.31</f>
        <v>8.6121901096420893E-3</v>
      </c>
      <c r="I224" s="3">
        <f t="shared" ref="I224:I287" si="25">H224-G224</f>
        <v>-3.4406652984504085E-2</v>
      </c>
    </row>
    <row r="225" spans="1:9">
      <c r="A225">
        <f t="shared" ref="A225:A288" si="26">A224+1</f>
        <v>195</v>
      </c>
      <c r="B225" s="13">
        <f t="shared" ref="B225:B288" si="27">B224+I224</f>
        <v>12.657279244575122</v>
      </c>
      <c r="C225" s="12">
        <f t="shared" ref="C225:C288" si="28">C224-H224*2.31</f>
        <v>3081.1405331242386</v>
      </c>
      <c r="D225">
        <f t="shared" ref="D225:D288" si="29">$C$13</f>
        <v>3.0449999999999999</v>
      </c>
      <c r="E225" s="13">
        <f t="shared" ref="E225:E288" si="30">E224-($C$6/60)</f>
        <v>2.5666666666666633</v>
      </c>
      <c r="F225">
        <v>0.72</v>
      </c>
      <c r="G225" s="21">
        <f t="shared" ref="G225:G288" si="31">(1050*((E225/$C$11)^1.852)*(D225/100)*(F225^-4.87))/2.31</f>
        <v>4.2761363992819053E-2</v>
      </c>
      <c r="H225" s="3">
        <f t="shared" si="24"/>
        <v>8.6121901096420893E-3</v>
      </c>
      <c r="I225" s="3">
        <f t="shared" si="25"/>
        <v>-3.4149173883176967E-2</v>
      </c>
    </row>
    <row r="226" spans="1:9">
      <c r="A226">
        <f t="shared" si="26"/>
        <v>196</v>
      </c>
      <c r="B226" s="13">
        <f t="shared" si="27"/>
        <v>12.623130070691944</v>
      </c>
      <c r="C226" s="12">
        <f t="shared" si="28"/>
        <v>3081.1206389650852</v>
      </c>
      <c r="D226">
        <f t="shared" si="29"/>
        <v>3.0449999999999999</v>
      </c>
      <c r="E226" s="13">
        <f t="shared" si="30"/>
        <v>2.55833333333333</v>
      </c>
      <c r="F226">
        <v>0.72</v>
      </c>
      <c r="G226" s="21">
        <f t="shared" si="31"/>
        <v>4.2504596155378785E-2</v>
      </c>
      <c r="H226" s="3">
        <f t="shared" si="24"/>
        <v>8.6121901096420893E-3</v>
      </c>
      <c r="I226" s="3">
        <f t="shared" si="25"/>
        <v>-3.3892406045736692E-2</v>
      </c>
    </row>
    <row r="227" spans="1:9">
      <c r="A227">
        <f t="shared" si="26"/>
        <v>197</v>
      </c>
      <c r="B227" s="13">
        <f t="shared" si="27"/>
        <v>12.589237664646207</v>
      </c>
      <c r="C227" s="12">
        <f t="shared" si="28"/>
        <v>3081.1007448059318</v>
      </c>
      <c r="D227">
        <f t="shared" si="29"/>
        <v>3.0449999999999999</v>
      </c>
      <c r="E227" s="13">
        <f t="shared" si="30"/>
        <v>2.5499999999999967</v>
      </c>
      <c r="F227">
        <v>0.72</v>
      </c>
      <c r="G227" s="21">
        <f t="shared" si="31"/>
        <v>4.2248539924240679E-2</v>
      </c>
      <c r="H227" s="3">
        <f t="shared" si="24"/>
        <v>8.6121901096420893E-3</v>
      </c>
      <c r="I227" s="3">
        <f t="shared" si="25"/>
        <v>-3.3636349814598593E-2</v>
      </c>
    </row>
    <row r="228" spans="1:9">
      <c r="A228">
        <f t="shared" si="26"/>
        <v>198</v>
      </c>
      <c r="B228" s="13">
        <f t="shared" si="27"/>
        <v>12.555601314831609</v>
      </c>
      <c r="C228" s="12">
        <f t="shared" si="28"/>
        <v>3081.0808506467783</v>
      </c>
      <c r="D228">
        <f t="shared" si="29"/>
        <v>3.0449999999999999</v>
      </c>
      <c r="E228" s="13">
        <f t="shared" si="30"/>
        <v>2.5416666666666634</v>
      </c>
      <c r="F228">
        <v>0.72</v>
      </c>
      <c r="G228" s="21">
        <f t="shared" si="31"/>
        <v>4.1993195643102742E-2</v>
      </c>
      <c r="H228" s="3">
        <f t="shared" si="24"/>
        <v>8.6121901096420893E-3</v>
      </c>
      <c r="I228" s="3">
        <f t="shared" si="25"/>
        <v>-3.3381005533460656E-2</v>
      </c>
    </row>
    <row r="229" spans="1:9">
      <c r="A229">
        <f t="shared" si="26"/>
        <v>199</v>
      </c>
      <c r="B229" s="13">
        <f t="shared" si="27"/>
        <v>12.522220309298149</v>
      </c>
      <c r="C229" s="12">
        <f t="shared" si="28"/>
        <v>3081.0609564876249</v>
      </c>
      <c r="D229">
        <f t="shared" si="29"/>
        <v>3.0449999999999999</v>
      </c>
      <c r="E229" s="13">
        <f t="shared" si="30"/>
        <v>2.5333333333333301</v>
      </c>
      <c r="F229">
        <v>0.72</v>
      </c>
      <c r="G229" s="21">
        <f t="shared" si="31"/>
        <v>4.173856365695499E-2</v>
      </c>
      <c r="H229" s="3">
        <f t="shared" si="24"/>
        <v>8.6121901096420893E-3</v>
      </c>
      <c r="I229" s="3">
        <f t="shared" si="25"/>
        <v>-3.3126373547312904E-2</v>
      </c>
    </row>
    <row r="230" spans="1:9">
      <c r="A230">
        <f t="shared" si="26"/>
        <v>200</v>
      </c>
      <c r="B230" s="13">
        <f t="shared" si="27"/>
        <v>12.489093935750835</v>
      </c>
      <c r="C230" s="12">
        <f t="shared" si="28"/>
        <v>3081.0410623284715</v>
      </c>
      <c r="D230">
        <f t="shared" si="29"/>
        <v>3.0449999999999999</v>
      </c>
      <c r="E230" s="13">
        <f t="shared" si="30"/>
        <v>2.5249999999999968</v>
      </c>
      <c r="F230">
        <v>0.72</v>
      </c>
      <c r="G230" s="21">
        <f t="shared" si="31"/>
        <v>4.1484644312088412E-2</v>
      </c>
      <c r="H230" s="3">
        <f t="shared" si="24"/>
        <v>8.6121901096420893E-3</v>
      </c>
      <c r="I230" s="3">
        <f t="shared" si="25"/>
        <v>-3.2872454202446319E-2</v>
      </c>
    </row>
    <row r="231" spans="1:9">
      <c r="A231">
        <f t="shared" si="26"/>
        <v>201</v>
      </c>
      <c r="B231" s="13">
        <f t="shared" si="27"/>
        <v>12.45622148154839</v>
      </c>
      <c r="C231" s="12">
        <f t="shared" si="28"/>
        <v>3081.0211681693181</v>
      </c>
      <c r="D231">
        <f t="shared" si="29"/>
        <v>3.0449999999999999</v>
      </c>
      <c r="E231" s="13">
        <f t="shared" si="30"/>
        <v>2.5166666666666635</v>
      </c>
      <c r="F231">
        <v>0.72</v>
      </c>
      <c r="G231" s="21">
        <f t="shared" si="31"/>
        <v>4.1231437956104143E-2</v>
      </c>
      <c r="H231" s="3">
        <f t="shared" si="24"/>
        <v>8.6121901096420893E-3</v>
      </c>
      <c r="I231" s="3">
        <f t="shared" si="25"/>
        <v>-3.2619247846462057E-2</v>
      </c>
    </row>
    <row r="232" spans="1:9">
      <c r="A232">
        <f t="shared" si="26"/>
        <v>202</v>
      </c>
      <c r="B232" s="13">
        <f t="shared" si="27"/>
        <v>12.423602233701928</v>
      </c>
      <c r="C232" s="12">
        <f t="shared" si="28"/>
        <v>3081.0012740101647</v>
      </c>
      <c r="D232">
        <f t="shared" si="29"/>
        <v>3.0449999999999999</v>
      </c>
      <c r="E232" s="13">
        <f t="shared" si="30"/>
        <v>2.5083333333333302</v>
      </c>
      <c r="F232">
        <v>0.72</v>
      </c>
      <c r="G232" s="21">
        <f t="shared" si="31"/>
        <v>4.0978944937922715E-2</v>
      </c>
      <c r="H232" s="3">
        <f t="shared" si="24"/>
        <v>8.6121901096420893E-3</v>
      </c>
      <c r="I232" s="3">
        <f t="shared" si="25"/>
        <v>-3.2366754828280622E-2</v>
      </c>
    </row>
    <row r="233" spans="1:9">
      <c r="A233">
        <f t="shared" si="26"/>
        <v>203</v>
      </c>
      <c r="B233" s="13">
        <f t="shared" si="27"/>
        <v>12.391235478873647</v>
      </c>
      <c r="C233" s="12">
        <f t="shared" si="28"/>
        <v>3080.9813798510113</v>
      </c>
      <c r="D233">
        <f t="shared" si="29"/>
        <v>3.0449999999999999</v>
      </c>
      <c r="E233" s="13">
        <f t="shared" si="30"/>
        <v>2.4999999999999969</v>
      </c>
      <c r="F233">
        <v>0.72</v>
      </c>
      <c r="G233" s="21">
        <f t="shared" si="31"/>
        <v>4.072716560779379E-2</v>
      </c>
      <c r="H233" s="3">
        <f t="shared" si="24"/>
        <v>8.6121901096420893E-3</v>
      </c>
      <c r="I233" s="3">
        <f t="shared" si="25"/>
        <v>-3.2114975498151704E-2</v>
      </c>
    </row>
    <row r="234" spans="1:9">
      <c r="A234">
        <f t="shared" si="26"/>
        <v>204</v>
      </c>
      <c r="B234" s="13">
        <f t="shared" si="27"/>
        <v>12.359120503375495</v>
      </c>
      <c r="C234" s="12">
        <f t="shared" si="28"/>
        <v>3080.9614856918579</v>
      </c>
      <c r="D234">
        <f t="shared" si="29"/>
        <v>3.0449999999999999</v>
      </c>
      <c r="E234" s="13">
        <f t="shared" si="30"/>
        <v>2.4916666666666636</v>
      </c>
      <c r="F234">
        <v>0.72</v>
      </c>
      <c r="G234" s="21">
        <f t="shared" si="31"/>
        <v>4.0476100317305141E-2</v>
      </c>
      <c r="H234" s="3">
        <f t="shared" si="24"/>
        <v>8.6121901096420893E-3</v>
      </c>
      <c r="I234" s="3">
        <f t="shared" si="25"/>
        <v>-3.1863910207663049E-2</v>
      </c>
    </row>
    <row r="235" spans="1:9">
      <c r="A235">
        <f t="shared" si="26"/>
        <v>205</v>
      </c>
      <c r="B235" s="13">
        <f t="shared" si="27"/>
        <v>12.327256593167832</v>
      </c>
      <c r="C235" s="12">
        <f t="shared" si="28"/>
        <v>3080.9415915327045</v>
      </c>
      <c r="D235">
        <f t="shared" si="29"/>
        <v>3.0449999999999999</v>
      </c>
      <c r="E235" s="13">
        <f t="shared" si="30"/>
        <v>2.4833333333333303</v>
      </c>
      <c r="F235">
        <v>0.72</v>
      </c>
      <c r="G235" s="21">
        <f t="shared" si="31"/>
        <v>4.0225749419392831E-2</v>
      </c>
      <c r="H235" s="3">
        <f t="shared" si="24"/>
        <v>8.6121901096420893E-3</v>
      </c>
      <c r="I235" s="3">
        <f t="shared" si="25"/>
        <v>-3.1613559309750738E-2</v>
      </c>
    </row>
    <row r="236" spans="1:9">
      <c r="A236">
        <f t="shared" si="26"/>
        <v>206</v>
      </c>
      <c r="B236" s="13">
        <f t="shared" si="27"/>
        <v>12.295643033858081</v>
      </c>
      <c r="C236" s="12">
        <f t="shared" si="28"/>
        <v>3080.9216973735511</v>
      </c>
      <c r="D236">
        <f t="shared" si="29"/>
        <v>3.0449999999999999</v>
      </c>
      <c r="E236" s="13">
        <f t="shared" si="30"/>
        <v>2.474999999999997</v>
      </c>
      <c r="F236">
        <v>0.72</v>
      </c>
      <c r="G236" s="21">
        <f t="shared" si="31"/>
        <v>3.9976113268350377E-2</v>
      </c>
      <c r="H236" s="3">
        <f t="shared" si="24"/>
        <v>8.6121901096420893E-3</v>
      </c>
      <c r="I236" s="3">
        <f t="shared" si="25"/>
        <v>-3.1363923158708285E-2</v>
      </c>
    </row>
    <row r="237" spans="1:9">
      <c r="A237">
        <f t="shared" si="26"/>
        <v>207</v>
      </c>
      <c r="B237" s="13">
        <f t="shared" si="27"/>
        <v>12.264279110699373</v>
      </c>
      <c r="C237" s="12">
        <f t="shared" si="28"/>
        <v>3080.9018032143977</v>
      </c>
      <c r="D237">
        <f t="shared" si="29"/>
        <v>3.0449999999999999</v>
      </c>
      <c r="E237" s="13">
        <f t="shared" si="30"/>
        <v>2.4666666666666637</v>
      </c>
      <c r="F237">
        <v>0.72</v>
      </c>
      <c r="G237" s="21">
        <f t="shared" si="31"/>
        <v>3.9727192219838808E-2</v>
      </c>
      <c r="H237" s="3">
        <f t="shared" si="24"/>
        <v>8.6121901096420893E-3</v>
      </c>
      <c r="I237" s="3">
        <f t="shared" si="25"/>
        <v>-3.1115002110196719E-2</v>
      </c>
    </row>
    <row r="238" spans="1:9">
      <c r="A238">
        <f t="shared" si="26"/>
        <v>208</v>
      </c>
      <c r="B238" s="13">
        <f t="shared" si="27"/>
        <v>12.233164108589177</v>
      </c>
      <c r="C238" s="12">
        <f t="shared" si="28"/>
        <v>3080.8819090552443</v>
      </c>
      <c r="D238">
        <f t="shared" si="29"/>
        <v>3.0449999999999999</v>
      </c>
      <c r="E238" s="13">
        <f t="shared" si="30"/>
        <v>2.4583333333333304</v>
      </c>
      <c r="F238">
        <v>0.72</v>
      </c>
      <c r="G238" s="21">
        <f t="shared" si="31"/>
        <v>3.9478986630896808E-2</v>
      </c>
      <c r="H238" s="3">
        <f t="shared" si="24"/>
        <v>8.6121901096420893E-3</v>
      </c>
      <c r="I238" s="3">
        <f t="shared" si="25"/>
        <v>-3.0866796521254718E-2</v>
      </c>
    </row>
    <row r="239" spans="1:9">
      <c r="A239">
        <f t="shared" si="26"/>
        <v>209</v>
      </c>
      <c r="B239" s="13">
        <f t="shared" si="27"/>
        <v>12.202297312067923</v>
      </c>
      <c r="C239" s="12">
        <f t="shared" si="28"/>
        <v>3080.8620148960908</v>
      </c>
      <c r="D239">
        <f t="shared" si="29"/>
        <v>3.0449999999999999</v>
      </c>
      <c r="E239" s="13">
        <f t="shared" si="30"/>
        <v>2.4499999999999971</v>
      </c>
      <c r="F239">
        <v>0.72</v>
      </c>
      <c r="G239" s="21">
        <f t="shared" si="31"/>
        <v>3.9231496859950331E-2</v>
      </c>
      <c r="H239" s="3">
        <f t="shared" si="24"/>
        <v>8.6121901096420893E-3</v>
      </c>
      <c r="I239" s="3">
        <f t="shared" si="25"/>
        <v>-3.0619306750308242E-2</v>
      </c>
    </row>
    <row r="240" spans="1:9">
      <c r="A240">
        <f t="shared" si="26"/>
        <v>210</v>
      </c>
      <c r="B240" s="13">
        <f t="shared" si="27"/>
        <v>12.171678005317615</v>
      </c>
      <c r="C240" s="12">
        <f t="shared" si="28"/>
        <v>3080.8421207369374</v>
      </c>
      <c r="D240">
        <f t="shared" si="29"/>
        <v>3.0449999999999999</v>
      </c>
      <c r="E240" s="13">
        <f t="shared" si="30"/>
        <v>2.4416666666666638</v>
      </c>
      <c r="F240">
        <v>0.72</v>
      </c>
      <c r="G240" s="21">
        <f t="shared" si="31"/>
        <v>3.8984723266822771E-2</v>
      </c>
      <c r="H240" s="3">
        <f t="shared" si="24"/>
        <v>8.6121901096420893E-3</v>
      </c>
      <c r="I240" s="3">
        <f t="shared" si="25"/>
        <v>-3.0372533157180682E-2</v>
      </c>
    </row>
    <row r="241" spans="1:9">
      <c r="A241">
        <f t="shared" si="26"/>
        <v>211</v>
      </c>
      <c r="B241" s="13">
        <f t="shared" si="27"/>
        <v>12.141305472160434</v>
      </c>
      <c r="C241" s="12">
        <f t="shared" si="28"/>
        <v>3080.822226577784</v>
      </c>
      <c r="D241">
        <f t="shared" si="29"/>
        <v>3.0449999999999999</v>
      </c>
      <c r="E241" s="13">
        <f t="shared" si="30"/>
        <v>2.4333333333333305</v>
      </c>
      <c r="F241">
        <v>0.72</v>
      </c>
      <c r="G241" s="21">
        <f t="shared" si="31"/>
        <v>3.8738666212745514E-2</v>
      </c>
      <c r="H241" s="3">
        <f t="shared" si="24"/>
        <v>8.6121901096420893E-3</v>
      </c>
      <c r="I241" s="3">
        <f t="shared" si="25"/>
        <v>-3.0126476103103424E-2</v>
      </c>
    </row>
    <row r="242" spans="1:9">
      <c r="A242">
        <f t="shared" si="26"/>
        <v>212</v>
      </c>
      <c r="B242" s="13">
        <f t="shared" si="27"/>
        <v>12.111178996057332</v>
      </c>
      <c r="C242" s="12">
        <f t="shared" si="28"/>
        <v>3080.8023324186306</v>
      </c>
      <c r="D242">
        <f t="shared" si="29"/>
        <v>3.0449999999999999</v>
      </c>
      <c r="E242" s="13">
        <f t="shared" si="30"/>
        <v>2.4249999999999972</v>
      </c>
      <c r="F242">
        <v>0.72</v>
      </c>
      <c r="G242" s="21">
        <f t="shared" si="31"/>
        <v>3.8493326060367983E-2</v>
      </c>
      <c r="H242" s="3">
        <f t="shared" si="24"/>
        <v>8.6121901096420893E-3</v>
      </c>
      <c r="I242" s="3">
        <f t="shared" si="25"/>
        <v>-2.9881135950725893E-2</v>
      </c>
    </row>
    <row r="243" spans="1:9">
      <c r="A243">
        <f t="shared" si="26"/>
        <v>213</v>
      </c>
      <c r="B243" s="13">
        <f t="shared" si="27"/>
        <v>12.081297860106606</v>
      </c>
      <c r="C243" s="12">
        <f t="shared" si="28"/>
        <v>3080.7824382594772</v>
      </c>
      <c r="D243">
        <f t="shared" si="29"/>
        <v>3.0449999999999999</v>
      </c>
      <c r="E243" s="13">
        <f t="shared" si="30"/>
        <v>2.4166666666666639</v>
      </c>
      <c r="F243">
        <v>0.72</v>
      </c>
      <c r="G243" s="21">
        <f t="shared" si="31"/>
        <v>3.824870317376803E-2</v>
      </c>
      <c r="H243" s="3">
        <f t="shared" si="24"/>
        <v>8.6121901096420893E-3</v>
      </c>
      <c r="I243" s="3">
        <f t="shared" si="25"/>
        <v>-2.963651306412594E-2</v>
      </c>
    </row>
    <row r="244" spans="1:9">
      <c r="A244">
        <f t="shared" si="26"/>
        <v>214</v>
      </c>
      <c r="B244" s="13">
        <f t="shared" si="27"/>
        <v>12.051661347042479</v>
      </c>
      <c r="C244" s="12">
        <f t="shared" si="28"/>
        <v>3080.7625441003238</v>
      </c>
      <c r="D244">
        <f t="shared" si="29"/>
        <v>3.0449999999999999</v>
      </c>
      <c r="E244" s="13">
        <f t="shared" si="30"/>
        <v>2.4083333333333306</v>
      </c>
      <c r="F244">
        <v>0.72</v>
      </c>
      <c r="G244" s="21">
        <f t="shared" si="31"/>
        <v>3.8004797918462986E-2</v>
      </c>
      <c r="H244" s="3">
        <f t="shared" si="24"/>
        <v>8.6121901096420893E-3</v>
      </c>
      <c r="I244" s="3">
        <f t="shared" si="25"/>
        <v>-2.9392607808820897E-2</v>
      </c>
    </row>
    <row r="245" spans="1:9">
      <c r="A245">
        <f t="shared" si="26"/>
        <v>215</v>
      </c>
      <c r="B245" s="13">
        <f t="shared" si="27"/>
        <v>12.022268739233658</v>
      </c>
      <c r="C245" s="12">
        <f t="shared" si="28"/>
        <v>3080.7426499411704</v>
      </c>
      <c r="D245">
        <f t="shared" si="29"/>
        <v>3.0449999999999999</v>
      </c>
      <c r="E245" s="13">
        <f t="shared" si="30"/>
        <v>2.3999999999999972</v>
      </c>
      <c r="F245">
        <v>0.72</v>
      </c>
      <c r="G245" s="21">
        <f t="shared" si="31"/>
        <v>3.7761610661419663E-2</v>
      </c>
      <c r="H245" s="3">
        <f t="shared" si="24"/>
        <v>8.6121901096420893E-3</v>
      </c>
      <c r="I245" s="3">
        <f t="shared" si="25"/>
        <v>-2.9149420551777574E-2</v>
      </c>
    </row>
    <row r="246" spans="1:9">
      <c r="A246">
        <f t="shared" si="26"/>
        <v>216</v>
      </c>
      <c r="B246" s="13">
        <f t="shared" si="27"/>
        <v>11.993119318681881</v>
      </c>
      <c r="C246" s="12">
        <f t="shared" si="28"/>
        <v>3080.722755782017</v>
      </c>
      <c r="D246">
        <f t="shared" si="29"/>
        <v>3.0449999999999999</v>
      </c>
      <c r="E246" s="13">
        <f t="shared" si="30"/>
        <v>2.3916666666666639</v>
      </c>
      <c r="F246">
        <v>0.72</v>
      </c>
      <c r="G246" s="21">
        <f t="shared" si="31"/>
        <v>3.7519141771065669E-2</v>
      </c>
      <c r="H246" s="3">
        <f t="shared" si="24"/>
        <v>8.6121901096420893E-3</v>
      </c>
      <c r="I246" s="3">
        <f t="shared" si="25"/>
        <v>-2.8906951661423579E-2</v>
      </c>
    </row>
    <row r="247" spans="1:9">
      <c r="A247">
        <f t="shared" si="26"/>
        <v>217</v>
      </c>
      <c r="B247" s="13">
        <f t="shared" si="27"/>
        <v>11.964212367020457</v>
      </c>
      <c r="C247" s="12">
        <f t="shared" si="28"/>
        <v>3080.7028616228636</v>
      </c>
      <c r="D247">
        <f t="shared" si="29"/>
        <v>3.0449999999999999</v>
      </c>
      <c r="E247" s="13">
        <f t="shared" si="30"/>
        <v>2.3833333333333306</v>
      </c>
      <c r="F247">
        <v>0.72</v>
      </c>
      <c r="G247" s="21">
        <f t="shared" si="31"/>
        <v>3.7277391617300072E-2</v>
      </c>
      <c r="H247" s="3">
        <f t="shared" si="24"/>
        <v>8.6121901096420893E-3</v>
      </c>
      <c r="I247" s="3">
        <f t="shared" si="25"/>
        <v>-2.8665201507657983E-2</v>
      </c>
    </row>
    <row r="248" spans="1:9">
      <c r="A248">
        <f t="shared" si="26"/>
        <v>218</v>
      </c>
      <c r="B248" s="13">
        <f t="shared" si="27"/>
        <v>11.935547165512798</v>
      </c>
      <c r="C248" s="12">
        <f t="shared" si="28"/>
        <v>3080.6829674637102</v>
      </c>
      <c r="D248">
        <f t="shared" si="29"/>
        <v>3.0449999999999999</v>
      </c>
      <c r="E248" s="13">
        <f t="shared" si="30"/>
        <v>2.3749999999999973</v>
      </c>
      <c r="F248">
        <v>0.72</v>
      </c>
      <c r="G248" s="21">
        <f t="shared" si="31"/>
        <v>3.7036360571504695E-2</v>
      </c>
      <c r="H248" s="3">
        <f t="shared" si="24"/>
        <v>8.6121901096420893E-3</v>
      </c>
      <c r="I248" s="3">
        <f t="shared" si="25"/>
        <v>-2.8424170461862606E-2</v>
      </c>
    </row>
    <row r="249" spans="1:9">
      <c r="A249">
        <f t="shared" si="26"/>
        <v>219</v>
      </c>
      <c r="B249" s="13">
        <f t="shared" si="27"/>
        <v>11.907122995050935</v>
      </c>
      <c r="C249" s="12">
        <f t="shared" si="28"/>
        <v>3080.6630733045567</v>
      </c>
      <c r="D249">
        <f t="shared" si="29"/>
        <v>3.0449999999999999</v>
      </c>
      <c r="E249" s="13">
        <f t="shared" si="30"/>
        <v>2.366666666666664</v>
      </c>
      <c r="F249">
        <v>0.72</v>
      </c>
      <c r="G249" s="21">
        <f t="shared" si="31"/>
        <v>3.6796049006554768E-2</v>
      </c>
      <c r="H249" s="3">
        <f t="shared" si="24"/>
        <v>8.6121901096420893E-3</v>
      </c>
      <c r="I249" s="3">
        <f t="shared" si="25"/>
        <v>-2.8183858896912679E-2</v>
      </c>
    </row>
    <row r="250" spans="1:9">
      <c r="A250">
        <f t="shared" si="26"/>
        <v>220</v>
      </c>
      <c r="B250" s="13">
        <f t="shared" si="27"/>
        <v>11.878939136154022</v>
      </c>
      <c r="C250" s="12">
        <f t="shared" si="28"/>
        <v>3080.6431791454033</v>
      </c>
      <c r="D250">
        <f t="shared" si="29"/>
        <v>3.0449999999999999</v>
      </c>
      <c r="E250" s="13">
        <f t="shared" si="30"/>
        <v>2.3583333333333307</v>
      </c>
      <c r="F250">
        <v>0.72</v>
      </c>
      <c r="G250" s="21">
        <f t="shared" si="31"/>
        <v>3.6556457296830831E-2</v>
      </c>
      <c r="H250" s="3">
        <f t="shared" si="24"/>
        <v>8.6121901096420893E-3</v>
      </c>
      <c r="I250" s="3">
        <f t="shared" si="25"/>
        <v>-2.7944267187188742E-2</v>
      </c>
    </row>
    <row r="251" spans="1:9">
      <c r="A251">
        <f t="shared" si="26"/>
        <v>221</v>
      </c>
      <c r="B251" s="13">
        <f t="shared" si="27"/>
        <v>11.850994868966833</v>
      </c>
      <c r="C251" s="12">
        <f t="shared" si="28"/>
        <v>3080.6232849862499</v>
      </c>
      <c r="D251">
        <f t="shared" si="29"/>
        <v>3.0449999999999999</v>
      </c>
      <c r="E251" s="13">
        <f t="shared" si="30"/>
        <v>2.3499999999999974</v>
      </c>
      <c r="F251">
        <v>0.72</v>
      </c>
      <c r="G251" s="21">
        <f t="shared" si="31"/>
        <v>3.631758581822965E-2</v>
      </c>
      <c r="H251" s="3">
        <f t="shared" si="24"/>
        <v>8.6121901096420893E-3</v>
      </c>
      <c r="I251" s="3">
        <f t="shared" si="25"/>
        <v>-2.7705395708587561E-2</v>
      </c>
    </row>
    <row r="252" spans="1:9">
      <c r="A252">
        <f t="shared" si="26"/>
        <v>222</v>
      </c>
      <c r="B252" s="13">
        <f t="shared" si="27"/>
        <v>11.823289473258246</v>
      </c>
      <c r="C252" s="12">
        <f t="shared" si="28"/>
        <v>3080.6033908270965</v>
      </c>
      <c r="D252">
        <f t="shared" si="29"/>
        <v>3.0449999999999999</v>
      </c>
      <c r="E252" s="13">
        <f t="shared" si="30"/>
        <v>2.3416666666666641</v>
      </c>
      <c r="F252">
        <v>0.72</v>
      </c>
      <c r="G252" s="21">
        <f t="shared" si="31"/>
        <v>3.6079434948175983E-2</v>
      </c>
      <c r="H252" s="3">
        <f t="shared" si="24"/>
        <v>8.6121901096420893E-3</v>
      </c>
      <c r="I252" s="3">
        <f t="shared" si="25"/>
        <v>-2.7467244838533893E-2</v>
      </c>
    </row>
    <row r="253" spans="1:9">
      <c r="A253">
        <f t="shared" si="26"/>
        <v>223</v>
      </c>
      <c r="B253" s="13">
        <f t="shared" si="27"/>
        <v>11.795822228419713</v>
      </c>
      <c r="C253" s="12">
        <f t="shared" si="28"/>
        <v>3080.5834966679431</v>
      </c>
      <c r="D253">
        <f t="shared" si="29"/>
        <v>3.0449999999999999</v>
      </c>
      <c r="E253" s="13">
        <f t="shared" si="30"/>
        <v>2.3333333333333308</v>
      </c>
      <c r="F253">
        <v>0.72</v>
      </c>
      <c r="G253" s="21">
        <f t="shared" si="31"/>
        <v>3.5842005065634348E-2</v>
      </c>
      <c r="H253" s="3">
        <f t="shared" si="24"/>
        <v>8.6121901096420893E-3</v>
      </c>
      <c r="I253" s="3">
        <f t="shared" si="25"/>
        <v>-2.7229814955992259E-2</v>
      </c>
    </row>
    <row r="254" spans="1:9">
      <c r="A254">
        <f t="shared" si="26"/>
        <v>224</v>
      </c>
      <c r="B254" s="13">
        <f t="shared" si="27"/>
        <v>11.76859241346372</v>
      </c>
      <c r="C254" s="12">
        <f t="shared" si="28"/>
        <v>3080.5636025087897</v>
      </c>
      <c r="D254">
        <f t="shared" si="29"/>
        <v>3.0449999999999999</v>
      </c>
      <c r="E254" s="13">
        <f t="shared" si="30"/>
        <v>2.3249999999999975</v>
      </c>
      <c r="F254">
        <v>0.72</v>
      </c>
      <c r="G254" s="21">
        <f t="shared" si="31"/>
        <v>3.5605296551120394E-2</v>
      </c>
      <c r="H254" s="3">
        <f t="shared" si="24"/>
        <v>8.6121901096420893E-3</v>
      </c>
      <c r="I254" s="3">
        <f t="shared" si="25"/>
        <v>-2.6993106441478305E-2</v>
      </c>
    </row>
    <row r="255" spans="1:9">
      <c r="A255">
        <f t="shared" si="26"/>
        <v>225</v>
      </c>
      <c r="B255" s="13">
        <f t="shared" si="27"/>
        <v>11.741599307022241</v>
      </c>
      <c r="C255" s="12">
        <f t="shared" si="28"/>
        <v>3080.5437083496363</v>
      </c>
      <c r="D255">
        <f t="shared" si="29"/>
        <v>3.0449999999999999</v>
      </c>
      <c r="E255" s="13">
        <f t="shared" si="30"/>
        <v>2.3166666666666642</v>
      </c>
      <c r="F255">
        <v>0.72</v>
      </c>
      <c r="G255" s="21">
        <f t="shared" si="31"/>
        <v>3.5369309786713335E-2</v>
      </c>
      <c r="H255" s="3">
        <f t="shared" si="24"/>
        <v>8.6121901096420893E-3</v>
      </c>
      <c r="I255" s="3">
        <f t="shared" si="25"/>
        <v>-2.6757119677071246E-2</v>
      </c>
    </row>
    <row r="256" spans="1:9">
      <c r="A256">
        <f t="shared" si="26"/>
        <v>226</v>
      </c>
      <c r="B256" s="13">
        <f t="shared" si="27"/>
        <v>11.71484218734517</v>
      </c>
      <c r="C256" s="12">
        <f t="shared" si="28"/>
        <v>3080.5238141904829</v>
      </c>
      <c r="D256">
        <f t="shared" si="29"/>
        <v>3.0449999999999999</v>
      </c>
      <c r="E256" s="13">
        <f t="shared" si="30"/>
        <v>2.3083333333333309</v>
      </c>
      <c r="F256">
        <v>0.72</v>
      </c>
      <c r="G256" s="21">
        <f t="shared" si="31"/>
        <v>3.5134045156067661E-2</v>
      </c>
      <c r="H256" s="3">
        <f t="shared" si="24"/>
        <v>8.6121901096420893E-3</v>
      </c>
      <c r="I256" s="3">
        <f t="shared" si="25"/>
        <v>-2.6521855046425572E-2</v>
      </c>
    </row>
    <row r="257" spans="1:9">
      <c r="A257">
        <f t="shared" si="26"/>
        <v>227</v>
      </c>
      <c r="B257" s="13">
        <f t="shared" si="27"/>
        <v>11.688320332298744</v>
      </c>
      <c r="C257" s="12">
        <f t="shared" si="28"/>
        <v>3080.5039200313295</v>
      </c>
      <c r="D257">
        <f t="shared" si="29"/>
        <v>3.0449999999999999</v>
      </c>
      <c r="E257" s="13">
        <f t="shared" si="30"/>
        <v>2.2999999999999976</v>
      </c>
      <c r="F257">
        <v>0.72</v>
      </c>
      <c r="G257" s="21">
        <f t="shared" si="31"/>
        <v>3.4899503044425462E-2</v>
      </c>
      <c r="H257" s="3">
        <f t="shared" si="24"/>
        <v>8.6121901096420893E-3</v>
      </c>
      <c r="I257" s="3">
        <f t="shared" si="25"/>
        <v>-2.6287312934783372E-2</v>
      </c>
    </row>
    <row r="258" spans="1:9">
      <c r="A258">
        <f t="shared" si="26"/>
        <v>228</v>
      </c>
      <c r="B258" s="13">
        <f t="shared" si="27"/>
        <v>11.66203301936396</v>
      </c>
      <c r="C258" s="12">
        <f t="shared" si="28"/>
        <v>3080.4840258721761</v>
      </c>
      <c r="D258">
        <f t="shared" si="29"/>
        <v>3.0449999999999999</v>
      </c>
      <c r="E258" s="13">
        <f t="shared" si="30"/>
        <v>2.2916666666666643</v>
      </c>
      <c r="F258">
        <v>0.72</v>
      </c>
      <c r="G258" s="21">
        <f t="shared" si="31"/>
        <v>3.4665683838628739E-2</v>
      </c>
      <c r="H258" s="3">
        <f t="shared" si="24"/>
        <v>8.6121901096420893E-3</v>
      </c>
      <c r="I258" s="3">
        <f t="shared" si="25"/>
        <v>-2.6053493728986649E-2</v>
      </c>
    </row>
    <row r="259" spans="1:9">
      <c r="A259">
        <f t="shared" si="26"/>
        <v>229</v>
      </c>
      <c r="B259" s="13">
        <f t="shared" si="27"/>
        <v>11.635979525634975</v>
      </c>
      <c r="C259" s="12">
        <f t="shared" si="28"/>
        <v>3080.4641317130227</v>
      </c>
      <c r="D259">
        <f t="shared" si="29"/>
        <v>3.0449999999999999</v>
      </c>
      <c r="E259" s="13">
        <f t="shared" si="30"/>
        <v>2.283333333333331</v>
      </c>
      <c r="F259">
        <v>0.72</v>
      </c>
      <c r="G259" s="21">
        <f t="shared" si="31"/>
        <v>3.4432587927131962E-2</v>
      </c>
      <c r="H259" s="3">
        <f t="shared" si="24"/>
        <v>8.6121901096420893E-3</v>
      </c>
      <c r="I259" s="3">
        <f t="shared" si="25"/>
        <v>-2.5820397817489873E-2</v>
      </c>
    </row>
    <row r="260" spans="1:9">
      <c r="A260">
        <f t="shared" si="26"/>
        <v>230</v>
      </c>
      <c r="B260" s="13">
        <f t="shared" si="27"/>
        <v>11.610159127817484</v>
      </c>
      <c r="C260" s="12">
        <f t="shared" si="28"/>
        <v>3080.4442375538692</v>
      </c>
      <c r="D260">
        <f t="shared" si="29"/>
        <v>3.0449999999999999</v>
      </c>
      <c r="E260" s="13">
        <f t="shared" si="30"/>
        <v>2.2749999999999977</v>
      </c>
      <c r="F260">
        <v>0.72</v>
      </c>
      <c r="G260" s="21">
        <f t="shared" si="31"/>
        <v>3.4200215700014545E-2</v>
      </c>
      <c r="H260" s="3">
        <f t="shared" si="24"/>
        <v>8.6121901096420893E-3</v>
      </c>
      <c r="I260" s="3">
        <f t="shared" si="25"/>
        <v>-2.5588025590372456E-2</v>
      </c>
    </row>
    <row r="261" spans="1:9">
      <c r="A261">
        <f t="shared" si="26"/>
        <v>231</v>
      </c>
      <c r="B261" s="13">
        <f t="shared" si="27"/>
        <v>11.584571102227111</v>
      </c>
      <c r="C261" s="12">
        <f t="shared" si="28"/>
        <v>3080.4243433947158</v>
      </c>
      <c r="D261">
        <f t="shared" si="29"/>
        <v>3.0449999999999999</v>
      </c>
      <c r="E261" s="13">
        <f t="shared" si="30"/>
        <v>2.2666666666666644</v>
      </c>
      <c r="F261">
        <v>0.72</v>
      </c>
      <c r="G261" s="21">
        <f t="shared" si="31"/>
        <v>3.3968567548993828E-2</v>
      </c>
      <c r="H261" s="3">
        <f t="shared" si="24"/>
        <v>8.6121901096420893E-3</v>
      </c>
      <c r="I261" s="3">
        <f t="shared" si="25"/>
        <v>-2.5356377439351738E-2</v>
      </c>
    </row>
    <row r="262" spans="1:9">
      <c r="A262">
        <f t="shared" si="26"/>
        <v>232</v>
      </c>
      <c r="B262" s="13">
        <f t="shared" si="27"/>
        <v>11.559214724787759</v>
      </c>
      <c r="C262" s="12">
        <f t="shared" si="28"/>
        <v>3080.4044492355624</v>
      </c>
      <c r="D262">
        <f t="shared" si="29"/>
        <v>3.0449999999999999</v>
      </c>
      <c r="E262" s="13">
        <f t="shared" si="30"/>
        <v>2.2583333333333311</v>
      </c>
      <c r="F262">
        <v>0.72</v>
      </c>
      <c r="G262" s="21">
        <f t="shared" si="31"/>
        <v>3.3737643867437626E-2</v>
      </c>
      <c r="H262" s="3">
        <f t="shared" si="24"/>
        <v>8.6121901096420893E-3</v>
      </c>
      <c r="I262" s="3">
        <f t="shared" si="25"/>
        <v>-2.5125453757795537E-2</v>
      </c>
    </row>
    <row r="263" spans="1:9">
      <c r="A263">
        <f t="shared" si="26"/>
        <v>233</v>
      </c>
      <c r="B263" s="13">
        <f t="shared" si="27"/>
        <v>11.534089271029965</v>
      </c>
      <c r="C263" s="12">
        <f t="shared" si="28"/>
        <v>3080.384555076409</v>
      </c>
      <c r="D263">
        <f t="shared" si="29"/>
        <v>3.0449999999999999</v>
      </c>
      <c r="E263" s="13">
        <f t="shared" si="30"/>
        <v>2.2499999999999978</v>
      </c>
      <c r="F263">
        <v>0.72</v>
      </c>
      <c r="G263" s="21">
        <f t="shared" si="31"/>
        <v>3.3507445050377727E-2</v>
      </c>
      <c r="H263" s="3">
        <f t="shared" si="24"/>
        <v>8.6121901096420893E-3</v>
      </c>
      <c r="I263" s="3">
        <f t="shared" si="25"/>
        <v>-2.4895254940735637E-2</v>
      </c>
    </row>
    <row r="264" spans="1:9">
      <c r="A264">
        <f t="shared" si="26"/>
        <v>234</v>
      </c>
      <c r="B264" s="13">
        <f t="shared" si="27"/>
        <v>11.509194016089229</v>
      </c>
      <c r="C264" s="12">
        <f t="shared" si="28"/>
        <v>3080.3646609172556</v>
      </c>
      <c r="D264">
        <f t="shared" si="29"/>
        <v>3.0449999999999999</v>
      </c>
      <c r="E264" s="13">
        <f t="shared" si="30"/>
        <v>2.2416666666666645</v>
      </c>
      <c r="F264">
        <v>0.72</v>
      </c>
      <c r="G264" s="21">
        <f t="shared" si="31"/>
        <v>3.3277971494522808E-2</v>
      </c>
      <c r="H264" s="3">
        <f t="shared" si="24"/>
        <v>8.6121901096420893E-3</v>
      </c>
      <c r="I264" s="3">
        <f t="shared" si="25"/>
        <v>-2.4665781384880719E-2</v>
      </c>
    </row>
    <row r="265" spans="1:9">
      <c r="A265">
        <f t="shared" si="26"/>
        <v>235</v>
      </c>
      <c r="B265" s="13">
        <f t="shared" si="27"/>
        <v>11.484528234704348</v>
      </c>
      <c r="C265" s="12">
        <f t="shared" si="28"/>
        <v>3080.3447667581022</v>
      </c>
      <c r="D265">
        <f t="shared" si="29"/>
        <v>3.0449999999999999</v>
      </c>
      <c r="E265" s="13">
        <f t="shared" si="30"/>
        <v>2.2333333333333312</v>
      </c>
      <c r="F265">
        <v>0.72</v>
      </c>
      <c r="G265" s="21">
        <f t="shared" si="31"/>
        <v>3.3049223598271928E-2</v>
      </c>
      <c r="H265" s="3">
        <f t="shared" si="24"/>
        <v>8.6121901096420893E-3</v>
      </c>
      <c r="I265" s="3">
        <f t="shared" si="25"/>
        <v>-2.4437033488629838E-2</v>
      </c>
    </row>
    <row r="266" spans="1:9">
      <c r="A266">
        <f t="shared" si="26"/>
        <v>236</v>
      </c>
      <c r="B266" s="13">
        <f t="shared" si="27"/>
        <v>11.460091201215718</v>
      </c>
      <c r="C266" s="12">
        <f t="shared" si="28"/>
        <v>3080.3248725989488</v>
      </c>
      <c r="D266">
        <f t="shared" si="29"/>
        <v>3.0449999999999999</v>
      </c>
      <c r="E266" s="13">
        <f t="shared" si="30"/>
        <v>2.2249999999999979</v>
      </c>
      <c r="F266">
        <v>0.72</v>
      </c>
      <c r="G266" s="21">
        <f t="shared" si="31"/>
        <v>3.2821201761728043E-2</v>
      </c>
      <c r="H266" s="3">
        <f t="shared" si="24"/>
        <v>8.6121901096420893E-3</v>
      </c>
      <c r="I266" s="3">
        <f t="shared" si="25"/>
        <v>-2.4209011652085954E-2</v>
      </c>
    </row>
    <row r="267" spans="1:9">
      <c r="A267">
        <f t="shared" si="26"/>
        <v>237</v>
      </c>
      <c r="B267" s="13">
        <f t="shared" si="27"/>
        <v>11.435882189563632</v>
      </c>
      <c r="C267" s="12">
        <f t="shared" si="28"/>
        <v>3080.3049784397954</v>
      </c>
      <c r="D267">
        <f t="shared" si="29"/>
        <v>3.0449999999999999</v>
      </c>
      <c r="E267" s="13">
        <f t="shared" si="30"/>
        <v>2.2166666666666646</v>
      </c>
      <c r="F267">
        <v>0.72</v>
      </c>
      <c r="G267" s="21">
        <f t="shared" si="31"/>
        <v>3.2593906386711578E-2</v>
      </c>
      <c r="H267" s="3">
        <f t="shared" si="24"/>
        <v>8.6121901096420893E-3</v>
      </c>
      <c r="I267" s="3">
        <f t="shared" si="25"/>
        <v>-2.3981716277069489E-2</v>
      </c>
    </row>
    <row r="268" spans="1:9">
      <c r="A268">
        <f t="shared" si="26"/>
        <v>238</v>
      </c>
      <c r="B268" s="13">
        <f t="shared" si="27"/>
        <v>11.411900473286563</v>
      </c>
      <c r="C268" s="12">
        <f t="shared" si="28"/>
        <v>3080.285084280642</v>
      </c>
      <c r="D268">
        <f t="shared" si="29"/>
        <v>3.0449999999999999</v>
      </c>
      <c r="E268" s="13">
        <f t="shared" si="30"/>
        <v>2.2083333333333313</v>
      </c>
      <c r="F268">
        <v>0.72</v>
      </c>
      <c r="G268" s="21">
        <f t="shared" si="31"/>
        <v>3.2367337876774468E-2</v>
      </c>
      <c r="H268" s="3">
        <f t="shared" si="24"/>
        <v>8.6121901096420893E-3</v>
      </c>
      <c r="I268" s="3">
        <f t="shared" si="25"/>
        <v>-2.3755147767132379E-2</v>
      </c>
    </row>
    <row r="269" spans="1:9">
      <c r="A269">
        <f t="shared" si="26"/>
        <v>239</v>
      </c>
      <c r="B269" s="13">
        <f t="shared" si="27"/>
        <v>11.38814532551943</v>
      </c>
      <c r="C269" s="12">
        <f t="shared" si="28"/>
        <v>3080.2651901214886</v>
      </c>
      <c r="D269">
        <f t="shared" si="29"/>
        <v>3.0449999999999999</v>
      </c>
      <c r="E269" s="13">
        <f t="shared" si="30"/>
        <v>2.199999999999998</v>
      </c>
      <c r="F269">
        <v>0.72</v>
      </c>
      <c r="G269" s="21">
        <f t="shared" si="31"/>
        <v>3.2141496637214051E-2</v>
      </c>
      <c r="H269" s="3">
        <f t="shared" si="24"/>
        <v>8.6121901096420893E-3</v>
      </c>
      <c r="I269" s="3">
        <f t="shared" si="25"/>
        <v>-2.3529306527571962E-2</v>
      </c>
    </row>
    <row r="270" spans="1:9">
      <c r="A270">
        <f t="shared" si="26"/>
        <v>240</v>
      </c>
      <c r="B270" s="13">
        <f t="shared" si="27"/>
        <v>11.364616018991859</v>
      </c>
      <c r="C270" s="12">
        <f t="shared" si="28"/>
        <v>3080.2452959623351</v>
      </c>
      <c r="D270">
        <f t="shared" si="29"/>
        <v>3.0449999999999999</v>
      </c>
      <c r="E270" s="13">
        <f t="shared" si="30"/>
        <v>2.1916666666666647</v>
      </c>
      <c r="F270">
        <v>0.72</v>
      </c>
      <c r="G270" s="21">
        <f t="shared" si="31"/>
        <v>3.1916383075087262E-2</v>
      </c>
      <c r="H270" s="3">
        <f t="shared" si="24"/>
        <v>8.6121901096420893E-3</v>
      </c>
      <c r="I270" s="3">
        <f t="shared" si="25"/>
        <v>-2.3304192965445173E-2</v>
      </c>
    </row>
    <row r="271" spans="1:9">
      <c r="A271">
        <f t="shared" si="26"/>
        <v>241</v>
      </c>
      <c r="B271" s="13">
        <f t="shared" si="27"/>
        <v>11.341311826026413</v>
      </c>
      <c r="C271" s="12">
        <f t="shared" si="28"/>
        <v>3080.2254018031817</v>
      </c>
      <c r="D271">
        <f t="shared" si="29"/>
        <v>3.0449999999999999</v>
      </c>
      <c r="E271" s="13">
        <f t="shared" si="30"/>
        <v>2.1833333333333313</v>
      </c>
      <c r="F271">
        <v>0.72</v>
      </c>
      <c r="G271" s="21">
        <f t="shared" si="31"/>
        <v>3.1691997599224898E-2</v>
      </c>
      <c r="H271" s="3">
        <f t="shared" si="24"/>
        <v>8.6121901096420893E-3</v>
      </c>
      <c r="I271" s="3">
        <f t="shared" si="25"/>
        <v>-2.3079807489582809E-2</v>
      </c>
    </row>
    <row r="272" spans="1:9">
      <c r="A272">
        <f t="shared" si="26"/>
        <v>242</v>
      </c>
      <c r="B272" s="13">
        <f t="shared" si="27"/>
        <v>11.318232018536831</v>
      </c>
      <c r="C272" s="12">
        <f t="shared" si="28"/>
        <v>3080.2055076440283</v>
      </c>
      <c r="D272">
        <f t="shared" si="29"/>
        <v>3.0449999999999999</v>
      </c>
      <c r="E272" s="13">
        <f t="shared" si="30"/>
        <v>2.174999999999998</v>
      </c>
      <c r="F272">
        <v>0.72</v>
      </c>
      <c r="G272" s="21">
        <f t="shared" si="31"/>
        <v>3.1468340620246456E-2</v>
      </c>
      <c r="H272" s="3">
        <f t="shared" si="24"/>
        <v>8.6121901096420893E-3</v>
      </c>
      <c r="I272" s="3">
        <f t="shared" si="25"/>
        <v>-2.2856150510604367E-2</v>
      </c>
    </row>
    <row r="273" spans="1:9">
      <c r="A273">
        <f t="shared" si="26"/>
        <v>243</v>
      </c>
      <c r="B273" s="13">
        <f t="shared" si="27"/>
        <v>11.295375868026227</v>
      </c>
      <c r="C273" s="12">
        <f t="shared" si="28"/>
        <v>3080.1856134848749</v>
      </c>
      <c r="D273">
        <f t="shared" si="29"/>
        <v>3.0449999999999999</v>
      </c>
      <c r="E273" s="13">
        <f t="shared" si="30"/>
        <v>2.1666666666666647</v>
      </c>
      <c r="F273">
        <v>0.72</v>
      </c>
      <c r="G273" s="21">
        <f t="shared" si="31"/>
        <v>3.1245412550574312E-2</v>
      </c>
      <c r="H273" s="3">
        <f t="shared" si="24"/>
        <v>8.6121901096420893E-3</v>
      </c>
      <c r="I273" s="3">
        <f t="shared" si="25"/>
        <v>-2.2633222440932223E-2</v>
      </c>
    </row>
    <row r="274" spans="1:9">
      <c r="A274">
        <f t="shared" si="26"/>
        <v>244</v>
      </c>
      <c r="B274" s="13">
        <f t="shared" si="27"/>
        <v>11.272742645585295</v>
      </c>
      <c r="C274" s="12">
        <f t="shared" si="28"/>
        <v>3080.1657193257215</v>
      </c>
      <c r="D274">
        <f t="shared" si="29"/>
        <v>3.0449999999999999</v>
      </c>
      <c r="E274" s="13">
        <f t="shared" si="30"/>
        <v>2.1583333333333314</v>
      </c>
      <c r="F274">
        <v>0.72</v>
      </c>
      <c r="G274" s="21">
        <f t="shared" si="31"/>
        <v>3.1023213804449133E-2</v>
      </c>
      <c r="H274" s="3">
        <f t="shared" si="24"/>
        <v>8.6121901096420893E-3</v>
      </c>
      <c r="I274" s="3">
        <f t="shared" si="25"/>
        <v>-2.2411023694807044E-2</v>
      </c>
    </row>
    <row r="275" spans="1:9">
      <c r="A275">
        <f t="shared" si="26"/>
        <v>245</v>
      </c>
      <c r="B275" s="13">
        <f t="shared" si="27"/>
        <v>11.250331621890487</v>
      </c>
      <c r="C275" s="12">
        <f t="shared" si="28"/>
        <v>3080.1458251665681</v>
      </c>
      <c r="D275">
        <f t="shared" si="29"/>
        <v>3.0449999999999999</v>
      </c>
      <c r="E275" s="13">
        <f t="shared" si="30"/>
        <v>2.1499999999999981</v>
      </c>
      <c r="F275">
        <v>0.72</v>
      </c>
      <c r="G275" s="21">
        <f t="shared" si="31"/>
        <v>3.0801744797944439E-2</v>
      </c>
      <c r="H275" s="3">
        <f t="shared" si="24"/>
        <v>8.6121901096420893E-3</v>
      </c>
      <c r="I275" s="3">
        <f t="shared" si="25"/>
        <v>-2.2189554688302349E-2</v>
      </c>
    </row>
    <row r="276" spans="1:9">
      <c r="A276">
        <f t="shared" si="26"/>
        <v>246</v>
      </c>
      <c r="B276" s="13">
        <f t="shared" si="27"/>
        <v>11.228142067202185</v>
      </c>
      <c r="C276" s="12">
        <f t="shared" si="28"/>
        <v>3080.1259310074147</v>
      </c>
      <c r="D276">
        <f t="shared" si="29"/>
        <v>3.0449999999999999</v>
      </c>
      <c r="E276" s="13">
        <f t="shared" si="30"/>
        <v>2.1416666666666648</v>
      </c>
      <c r="F276">
        <v>0.72</v>
      </c>
      <c r="G276" s="21">
        <f t="shared" si="31"/>
        <v>3.0581005948982356E-2</v>
      </c>
      <c r="H276" s="3">
        <f t="shared" si="24"/>
        <v>8.6121901096420893E-3</v>
      </c>
      <c r="I276" s="3">
        <f t="shared" si="25"/>
        <v>-2.1968815839340267E-2</v>
      </c>
    </row>
    <row r="277" spans="1:9">
      <c r="A277">
        <f t="shared" si="26"/>
        <v>247</v>
      </c>
      <c r="B277" s="13">
        <f t="shared" si="27"/>
        <v>11.206173251362845</v>
      </c>
      <c r="C277" s="12">
        <f t="shared" si="28"/>
        <v>3080.1060368482613</v>
      </c>
      <c r="D277">
        <f t="shared" si="29"/>
        <v>3.0449999999999999</v>
      </c>
      <c r="E277" s="13">
        <f t="shared" si="30"/>
        <v>2.1333333333333315</v>
      </c>
      <c r="F277">
        <v>0.72</v>
      </c>
      <c r="G277" s="21">
        <f t="shared" si="31"/>
        <v>3.0360997677348556E-2</v>
      </c>
      <c r="H277" s="3">
        <f t="shared" si="24"/>
        <v>8.6121901096420893E-3</v>
      </c>
      <c r="I277" s="3">
        <f t="shared" si="25"/>
        <v>-2.1748807567706467E-2</v>
      </c>
    </row>
    <row r="278" spans="1:9">
      <c r="A278">
        <f t="shared" si="26"/>
        <v>248</v>
      </c>
      <c r="B278" s="13">
        <f t="shared" si="27"/>
        <v>11.184424443795139</v>
      </c>
      <c r="C278" s="12">
        <f t="shared" si="28"/>
        <v>3080.0861426891079</v>
      </c>
      <c r="D278">
        <f t="shared" si="29"/>
        <v>3.0449999999999999</v>
      </c>
      <c r="E278" s="13">
        <f t="shared" si="30"/>
        <v>2.1249999999999982</v>
      </c>
      <c r="F278">
        <v>0.72</v>
      </c>
      <c r="G278" s="21">
        <f t="shared" si="31"/>
        <v>3.0141720404708066E-2</v>
      </c>
      <c r="H278" s="3">
        <f t="shared" si="24"/>
        <v>8.6121901096420893E-3</v>
      </c>
      <c r="I278" s="3">
        <f t="shared" si="25"/>
        <v>-2.1529530295065977E-2</v>
      </c>
    </row>
    <row r="279" spans="1:9">
      <c r="A279">
        <f t="shared" si="26"/>
        <v>249</v>
      </c>
      <c r="B279" s="13">
        <f t="shared" si="27"/>
        <v>11.162894913500073</v>
      </c>
      <c r="C279" s="12">
        <f t="shared" si="28"/>
        <v>3080.0662485299545</v>
      </c>
      <c r="D279">
        <f t="shared" si="29"/>
        <v>3.0449999999999999</v>
      </c>
      <c r="E279" s="13">
        <f t="shared" si="30"/>
        <v>2.1166666666666649</v>
      </c>
      <c r="F279">
        <v>0.72</v>
      </c>
      <c r="G279" s="21">
        <f t="shared" si="31"/>
        <v>2.992317455462119E-2</v>
      </c>
      <c r="H279" s="3">
        <f t="shared" si="24"/>
        <v>8.6121901096420893E-3</v>
      </c>
      <c r="I279" s="3">
        <f t="shared" si="25"/>
        <v>-2.13109844449791E-2</v>
      </c>
    </row>
    <row r="280" spans="1:9">
      <c r="A280">
        <f t="shared" si="26"/>
        <v>250</v>
      </c>
      <c r="B280" s="13">
        <f t="shared" si="27"/>
        <v>11.141583929055095</v>
      </c>
      <c r="C280" s="12">
        <f t="shared" si="28"/>
        <v>3080.0463543708011</v>
      </c>
      <c r="D280">
        <f t="shared" si="29"/>
        <v>3.0449999999999999</v>
      </c>
      <c r="E280" s="13">
        <f t="shared" si="30"/>
        <v>2.1083333333333316</v>
      </c>
      <c r="F280">
        <v>0.72</v>
      </c>
      <c r="G280" s="21">
        <f t="shared" si="31"/>
        <v>2.9705360552559412E-2</v>
      </c>
      <c r="H280" s="3">
        <f t="shared" si="24"/>
        <v>8.6121901096420893E-3</v>
      </c>
      <c r="I280" s="3">
        <f t="shared" si="25"/>
        <v>-2.1093170442917322E-2</v>
      </c>
    </row>
    <row r="281" spans="1:9">
      <c r="A281">
        <f t="shared" si="26"/>
        <v>251</v>
      </c>
      <c r="B281" s="13">
        <f t="shared" si="27"/>
        <v>11.120490758612178</v>
      </c>
      <c r="C281" s="12">
        <f t="shared" si="28"/>
        <v>3080.0264602116476</v>
      </c>
      <c r="D281">
        <f t="shared" si="29"/>
        <v>3.0449999999999999</v>
      </c>
      <c r="E281" s="13">
        <f t="shared" si="30"/>
        <v>2.0999999999999983</v>
      </c>
      <c r="F281">
        <v>0.72</v>
      </c>
      <c r="G281" s="21">
        <f t="shared" si="31"/>
        <v>2.9488278825921473E-2</v>
      </c>
      <c r="H281" s="3">
        <f t="shared" si="24"/>
        <v>8.6121901096420893E-3</v>
      </c>
      <c r="I281" s="3">
        <f t="shared" si="25"/>
        <v>-2.0876088716279384E-2</v>
      </c>
    </row>
    <row r="282" spans="1:9">
      <c r="A282">
        <f t="shared" si="26"/>
        <v>252</v>
      </c>
      <c r="B282" s="13">
        <f t="shared" si="27"/>
        <v>11.099614669895898</v>
      </c>
      <c r="C282" s="12">
        <f t="shared" si="28"/>
        <v>3080.0065660524942</v>
      </c>
      <c r="D282">
        <f t="shared" si="29"/>
        <v>3.0449999999999999</v>
      </c>
      <c r="E282" s="13">
        <f t="shared" si="30"/>
        <v>2.091666666666665</v>
      </c>
      <c r="F282">
        <v>0.72</v>
      </c>
      <c r="G282" s="21">
        <f t="shared" si="31"/>
        <v>2.9271929804049981E-2</v>
      </c>
      <c r="H282" s="3">
        <f t="shared" si="24"/>
        <v>8.6121901096420893E-3</v>
      </c>
      <c r="I282" s="3">
        <f t="shared" si="25"/>
        <v>-2.0659739694407892E-2</v>
      </c>
    </row>
    <row r="283" spans="1:9">
      <c r="A283">
        <f t="shared" si="26"/>
        <v>253</v>
      </c>
      <c r="B283" s="13">
        <f t="shared" si="27"/>
        <v>11.07895493020149</v>
      </c>
      <c r="C283" s="12">
        <f t="shared" si="28"/>
        <v>3079.9866718933408</v>
      </c>
      <c r="D283">
        <f t="shared" si="29"/>
        <v>3.0449999999999999</v>
      </c>
      <c r="E283" s="13">
        <f t="shared" si="30"/>
        <v>2.0833333333333317</v>
      </c>
      <c r="F283">
        <v>0.72</v>
      </c>
      <c r="G283" s="21">
        <f t="shared" si="31"/>
        <v>2.9056313918247836E-2</v>
      </c>
      <c r="H283" s="3">
        <f t="shared" si="24"/>
        <v>8.6121901096420893E-3</v>
      </c>
      <c r="I283" s="3">
        <f t="shared" si="25"/>
        <v>-2.0444123808605746E-2</v>
      </c>
    </row>
    <row r="284" spans="1:9">
      <c r="A284">
        <f t="shared" si="26"/>
        <v>254</v>
      </c>
      <c r="B284" s="13">
        <f t="shared" si="27"/>
        <v>11.058510806392885</v>
      </c>
      <c r="C284" s="12">
        <f t="shared" si="28"/>
        <v>3079.9667777341874</v>
      </c>
      <c r="D284">
        <f t="shared" si="29"/>
        <v>3.0449999999999999</v>
      </c>
      <c r="E284" s="13">
        <f t="shared" si="30"/>
        <v>2.0749999999999984</v>
      </c>
      <c r="F284">
        <v>0.72</v>
      </c>
      <c r="G284" s="21">
        <f t="shared" si="31"/>
        <v>2.8841431601795163E-2</v>
      </c>
      <c r="H284" s="3">
        <f t="shared" si="24"/>
        <v>8.6121901096420893E-3</v>
      </c>
      <c r="I284" s="3">
        <f t="shared" si="25"/>
        <v>-2.0229241492153074E-2</v>
      </c>
    </row>
    <row r="285" spans="1:9">
      <c r="A285">
        <f t="shared" si="26"/>
        <v>255</v>
      </c>
      <c r="B285" s="13">
        <f t="shared" si="27"/>
        <v>11.038281564900732</v>
      </c>
      <c r="C285" s="12">
        <f t="shared" si="28"/>
        <v>3079.946883575034</v>
      </c>
      <c r="D285">
        <f t="shared" si="29"/>
        <v>3.0449999999999999</v>
      </c>
      <c r="E285" s="13">
        <f t="shared" si="30"/>
        <v>2.0666666666666651</v>
      </c>
      <c r="F285">
        <v>0.72</v>
      </c>
      <c r="G285" s="21">
        <f t="shared" si="31"/>
        <v>2.8627283289966311E-2</v>
      </c>
      <c r="H285" s="3">
        <f t="shared" si="24"/>
        <v>8.6121901096420893E-3</v>
      </c>
      <c r="I285" s="3">
        <f t="shared" si="25"/>
        <v>-2.0015093180324222E-2</v>
      </c>
    </row>
    <row r="286" spans="1:9">
      <c r="A286">
        <f t="shared" si="26"/>
        <v>256</v>
      </c>
      <c r="B286" s="13">
        <f t="shared" si="27"/>
        <v>11.018266471720407</v>
      </c>
      <c r="C286" s="12">
        <f t="shared" si="28"/>
        <v>3079.9269894158806</v>
      </c>
      <c r="D286">
        <f t="shared" si="29"/>
        <v>3.0449999999999999</v>
      </c>
      <c r="E286" s="13">
        <f t="shared" si="30"/>
        <v>2.0583333333333318</v>
      </c>
      <c r="F286">
        <v>0.72</v>
      </c>
      <c r="G286" s="21">
        <f t="shared" si="31"/>
        <v>2.8413869420047155E-2</v>
      </c>
      <c r="H286" s="3">
        <f t="shared" si="24"/>
        <v>8.6121901096420893E-3</v>
      </c>
      <c r="I286" s="3">
        <f t="shared" si="25"/>
        <v>-1.9801679310405065E-2</v>
      </c>
    </row>
    <row r="287" spans="1:9">
      <c r="A287">
        <f t="shared" si="26"/>
        <v>257</v>
      </c>
      <c r="B287" s="13">
        <f t="shared" si="27"/>
        <v>10.998464792410003</v>
      </c>
      <c r="C287" s="12">
        <f t="shared" si="28"/>
        <v>3079.9070952567272</v>
      </c>
      <c r="D287">
        <f t="shared" si="29"/>
        <v>3.0449999999999999</v>
      </c>
      <c r="E287" s="13">
        <f t="shared" si="30"/>
        <v>2.0499999999999985</v>
      </c>
      <c r="F287">
        <v>0.72</v>
      </c>
      <c r="G287" s="21">
        <f t="shared" si="31"/>
        <v>2.8201190431352378E-2</v>
      </c>
      <c r="H287" s="3">
        <f t="shared" si="24"/>
        <v>8.6121901096420893E-3</v>
      </c>
      <c r="I287" s="3">
        <f t="shared" si="25"/>
        <v>-1.9589000321710289E-2</v>
      </c>
    </row>
    <row r="288" spans="1:9">
      <c r="A288">
        <f t="shared" si="26"/>
        <v>258</v>
      </c>
      <c r="B288" s="13">
        <f t="shared" si="27"/>
        <v>10.978875792088292</v>
      </c>
      <c r="C288" s="12">
        <f t="shared" si="28"/>
        <v>3079.8872010975738</v>
      </c>
      <c r="D288">
        <f t="shared" si="29"/>
        <v>3.0449999999999999</v>
      </c>
      <c r="E288" s="13">
        <f t="shared" si="30"/>
        <v>2.0416666666666652</v>
      </c>
      <c r="F288">
        <v>0.72</v>
      </c>
      <c r="G288" s="21">
        <f t="shared" si="31"/>
        <v>2.7989246765243309E-2</v>
      </c>
      <c r="H288" s="3">
        <f t="shared" ref="H288:H304" si="32">(D288*$C$20)/2.31</f>
        <v>8.6121901096420893E-3</v>
      </c>
      <c r="I288" s="3">
        <f t="shared" ref="I288:I304" si="33">H288-G288</f>
        <v>-1.9377056655601219E-2</v>
      </c>
    </row>
    <row r="289" spans="1:9">
      <c r="A289">
        <f t="shared" ref="A289:A304" si="34">A288+1</f>
        <v>259</v>
      </c>
      <c r="B289" s="13">
        <f t="shared" ref="B289:B304" si="35">B288+I288</f>
        <v>10.959498735432691</v>
      </c>
      <c r="C289" s="12">
        <f t="shared" ref="C289:C304" si="36">C288-H288*2.31</f>
        <v>3079.8673069384204</v>
      </c>
      <c r="D289">
        <f t="shared" ref="D289:D304" si="37">$C$13</f>
        <v>3.0449999999999999</v>
      </c>
      <c r="E289" s="13">
        <f t="shared" ref="E289:E304" si="38">E288-($C$6/60)</f>
        <v>2.0333333333333319</v>
      </c>
      <c r="F289">
        <v>0.72</v>
      </c>
      <c r="G289" s="21">
        <f t="shared" ref="G289:G304" si="39">(1050*((E289/$C$11)^1.852)*(D289/100)*(F289^-4.87))/2.31</f>
        <v>2.77780388651458E-2</v>
      </c>
      <c r="H289" s="3">
        <f t="shared" si="32"/>
        <v>8.6121901096420893E-3</v>
      </c>
      <c r="I289" s="3">
        <f t="shared" si="33"/>
        <v>-1.9165848755503711E-2</v>
      </c>
    </row>
    <row r="290" spans="1:9">
      <c r="A290">
        <f t="shared" si="34"/>
        <v>260</v>
      </c>
      <c r="B290" s="13">
        <f t="shared" si="35"/>
        <v>10.940332886677187</v>
      </c>
      <c r="C290" s="12">
        <f t="shared" si="36"/>
        <v>3079.847412779267</v>
      </c>
      <c r="D290">
        <f t="shared" si="37"/>
        <v>3.0449999999999999</v>
      </c>
      <c r="E290" s="13">
        <f t="shared" si="38"/>
        <v>2.0249999999999986</v>
      </c>
      <c r="F290">
        <v>0.72</v>
      </c>
      <c r="G290" s="21">
        <f t="shared" si="39"/>
        <v>2.7567567176568455E-2</v>
      </c>
      <c r="H290" s="3">
        <f t="shared" si="32"/>
        <v>8.6121901096420893E-3</v>
      </c>
      <c r="I290" s="3">
        <f t="shared" si="33"/>
        <v>-1.8955377066926366E-2</v>
      </c>
    </row>
    <row r="291" spans="1:9">
      <c r="A291">
        <f t="shared" si="34"/>
        <v>261</v>
      </c>
      <c r="B291" s="13">
        <f t="shared" si="35"/>
        <v>10.921377509610259</v>
      </c>
      <c r="C291" s="12">
        <f t="shared" si="36"/>
        <v>3079.8275186201136</v>
      </c>
      <c r="D291">
        <f t="shared" si="37"/>
        <v>3.0449999999999999</v>
      </c>
      <c r="E291" s="13">
        <f t="shared" si="38"/>
        <v>2.0166666666666653</v>
      </c>
      <c r="F291">
        <v>0.72</v>
      </c>
      <c r="G291" s="21">
        <f t="shared" si="39"/>
        <v>2.7357832147120741E-2</v>
      </c>
      <c r="H291" s="3">
        <f t="shared" si="32"/>
        <v>8.6121901096420893E-3</v>
      </c>
      <c r="I291" s="3">
        <f t="shared" si="33"/>
        <v>-1.8745642037478652E-2</v>
      </c>
    </row>
    <row r="292" spans="1:9">
      <c r="A292">
        <f t="shared" si="34"/>
        <v>262</v>
      </c>
      <c r="B292" s="13">
        <f t="shared" si="35"/>
        <v>10.902631867572781</v>
      </c>
      <c r="C292" s="12">
        <f t="shared" si="36"/>
        <v>3079.8076244609601</v>
      </c>
      <c r="D292">
        <f t="shared" si="37"/>
        <v>3.0449999999999999</v>
      </c>
      <c r="E292" s="13">
        <f t="shared" si="38"/>
        <v>2.008333333333332</v>
      </c>
      <c r="F292">
        <v>0.72</v>
      </c>
      <c r="G292" s="21">
        <f t="shared" si="39"/>
        <v>2.7148834226531967E-2</v>
      </c>
      <c r="H292" s="3">
        <f t="shared" si="32"/>
        <v>8.6121901096420893E-3</v>
      </c>
      <c r="I292" s="3">
        <f t="shared" si="33"/>
        <v>-1.8536644116889878E-2</v>
      </c>
    </row>
    <row r="293" spans="1:9">
      <c r="A293">
        <f t="shared" si="34"/>
        <v>263</v>
      </c>
      <c r="B293" s="13">
        <f t="shared" si="35"/>
        <v>10.884095223455891</v>
      </c>
      <c r="C293" s="12">
        <f t="shared" si="36"/>
        <v>3079.7877303018067</v>
      </c>
      <c r="D293">
        <f t="shared" si="37"/>
        <v>3.0449999999999999</v>
      </c>
      <c r="E293" s="13">
        <f t="shared" si="38"/>
        <v>1.9999999999999987</v>
      </c>
      <c r="F293">
        <v>0.72</v>
      </c>
      <c r="G293" s="21">
        <f t="shared" si="39"/>
        <v>2.6940573866669811E-2</v>
      </c>
      <c r="H293" s="3">
        <f t="shared" si="32"/>
        <v>8.6121901096420893E-3</v>
      </c>
      <c r="I293" s="3">
        <f t="shared" si="33"/>
        <v>-1.8328383757027722E-2</v>
      </c>
    </row>
    <row r="294" spans="1:9">
      <c r="A294">
        <f t="shared" si="34"/>
        <v>264</v>
      </c>
      <c r="B294" s="13">
        <f t="shared" si="35"/>
        <v>10.865766839698862</v>
      </c>
      <c r="C294" s="12">
        <f t="shared" si="36"/>
        <v>3079.7678361426533</v>
      </c>
      <c r="D294">
        <f t="shared" si="37"/>
        <v>3.0449999999999999</v>
      </c>
      <c r="E294" s="13">
        <f t="shared" si="38"/>
        <v>1.9916666666666654</v>
      </c>
      <c r="F294">
        <v>0.72</v>
      </c>
      <c r="G294" s="21">
        <f t="shared" si="39"/>
        <v>2.6733051521559654E-2</v>
      </c>
      <c r="H294" s="3">
        <f t="shared" si="32"/>
        <v>8.6121901096420893E-3</v>
      </c>
      <c r="I294" s="3">
        <f t="shared" si="33"/>
        <v>-1.8120861411917565E-2</v>
      </c>
    </row>
    <row r="295" spans="1:9">
      <c r="A295">
        <f t="shared" si="34"/>
        <v>265</v>
      </c>
      <c r="B295" s="13">
        <f t="shared" si="35"/>
        <v>10.847645978286945</v>
      </c>
      <c r="C295" s="12">
        <f t="shared" si="36"/>
        <v>3079.7479419834999</v>
      </c>
      <c r="D295">
        <f t="shared" si="37"/>
        <v>3.0449999999999999</v>
      </c>
      <c r="E295" s="13">
        <f t="shared" si="38"/>
        <v>1.9833333333333321</v>
      </c>
      <c r="F295">
        <v>0.72</v>
      </c>
      <c r="G295" s="21">
        <f t="shared" si="39"/>
        <v>2.652626764740388E-2</v>
      </c>
      <c r="H295" s="3">
        <f t="shared" si="32"/>
        <v>8.6121901096420893E-3</v>
      </c>
      <c r="I295" s="3">
        <f t="shared" si="33"/>
        <v>-1.791407753776179E-2</v>
      </c>
    </row>
    <row r="296" spans="1:9">
      <c r="A296">
        <f t="shared" si="34"/>
        <v>266</v>
      </c>
      <c r="B296" s="13">
        <f t="shared" si="35"/>
        <v>10.829731900749183</v>
      </c>
      <c r="C296" s="12">
        <f t="shared" si="36"/>
        <v>3079.7280478243465</v>
      </c>
      <c r="D296">
        <f t="shared" si="37"/>
        <v>3.0449999999999999</v>
      </c>
      <c r="E296" s="13">
        <f t="shared" si="38"/>
        <v>1.9749999999999988</v>
      </c>
      <c r="F296">
        <v>0.72</v>
      </c>
      <c r="G296" s="21">
        <f t="shared" si="39"/>
        <v>2.6320222702601394E-2</v>
      </c>
      <c r="H296" s="3">
        <f t="shared" si="32"/>
        <v>8.6121901096420893E-3</v>
      </c>
      <c r="I296" s="3">
        <f t="shared" si="33"/>
        <v>-1.7708032592959305E-2</v>
      </c>
    </row>
    <row r="297" spans="1:9">
      <c r="A297">
        <f t="shared" si="34"/>
        <v>267</v>
      </c>
      <c r="B297" s="13">
        <f t="shared" si="35"/>
        <v>10.812023868156222</v>
      </c>
      <c r="C297" s="12">
        <f t="shared" si="36"/>
        <v>3079.7081536651931</v>
      </c>
      <c r="D297">
        <f t="shared" si="37"/>
        <v>3.0449999999999999</v>
      </c>
      <c r="E297" s="13">
        <f t="shared" si="38"/>
        <v>1.9666666666666655</v>
      </c>
      <c r="F297">
        <v>0.72</v>
      </c>
      <c r="G297" s="21">
        <f t="shared" si="39"/>
        <v>2.6114917147767629E-2</v>
      </c>
      <c r="H297" s="3">
        <f t="shared" si="32"/>
        <v>8.6121901096420893E-3</v>
      </c>
      <c r="I297" s="3">
        <f t="shared" si="33"/>
        <v>-1.750272703812554E-2</v>
      </c>
    </row>
    <row r="298" spans="1:9">
      <c r="A298" s="29">
        <f t="shared" si="34"/>
        <v>268</v>
      </c>
      <c r="B298" s="30">
        <f t="shared" si="35"/>
        <v>10.794521141118096</v>
      </c>
      <c r="C298" s="12">
        <f t="shared" si="36"/>
        <v>3079.6882595060397</v>
      </c>
      <c r="D298" s="29">
        <f t="shared" si="37"/>
        <v>3.0449999999999999</v>
      </c>
      <c r="E298" s="30">
        <f t="shared" si="38"/>
        <v>1.9583333333333321</v>
      </c>
      <c r="F298">
        <v>0.72</v>
      </c>
      <c r="G298" s="32">
        <f t="shared" si="39"/>
        <v>2.5910351445754584E-2</v>
      </c>
      <c r="H298" s="3">
        <f t="shared" si="32"/>
        <v>8.6121901096420893E-3</v>
      </c>
      <c r="I298" s="33">
        <f t="shared" si="33"/>
        <v>-1.7298161336112495E-2</v>
      </c>
    </row>
    <row r="299" spans="1:9">
      <c r="A299" s="29">
        <f t="shared" si="34"/>
        <v>269</v>
      </c>
      <c r="B299" s="30">
        <f t="shared" si="35"/>
        <v>10.777222979781984</v>
      </c>
      <c r="C299" s="12">
        <f t="shared" si="36"/>
        <v>3079.6683653468863</v>
      </c>
      <c r="D299" s="29">
        <f t="shared" si="37"/>
        <v>3.0449999999999999</v>
      </c>
      <c r="E299" s="30">
        <f t="shared" si="38"/>
        <v>1.9499999999999988</v>
      </c>
      <c r="F299">
        <v>0.72</v>
      </c>
      <c r="G299" s="32">
        <f t="shared" si="39"/>
        <v>2.5706526061671228E-2</v>
      </c>
      <c r="H299" s="3">
        <f t="shared" si="32"/>
        <v>8.6121901096420893E-3</v>
      </c>
      <c r="I299" s="33">
        <f t="shared" si="33"/>
        <v>-1.7094335952029138E-2</v>
      </c>
    </row>
    <row r="300" spans="1:9">
      <c r="A300">
        <f t="shared" si="34"/>
        <v>270</v>
      </c>
      <c r="B300" s="13">
        <f t="shared" si="35"/>
        <v>10.760128643829955</v>
      </c>
      <c r="C300" s="12">
        <f t="shared" si="36"/>
        <v>3079.6484711877329</v>
      </c>
      <c r="D300">
        <f t="shared" si="37"/>
        <v>3.0449999999999999</v>
      </c>
      <c r="E300" s="13">
        <f t="shared" si="38"/>
        <v>1.9416666666666655</v>
      </c>
      <c r="F300">
        <v>0.72</v>
      </c>
      <c r="G300" s="21">
        <f t="shared" si="39"/>
        <v>2.5503441462904369E-2</v>
      </c>
      <c r="H300" s="3">
        <f t="shared" si="32"/>
        <v>8.6121901096420893E-3</v>
      </c>
      <c r="I300" s="3">
        <f t="shared" si="33"/>
        <v>-1.689125135326228E-2</v>
      </c>
    </row>
    <row r="301" spans="1:9">
      <c r="A301">
        <f t="shared" si="34"/>
        <v>271</v>
      </c>
      <c r="B301" s="13">
        <f t="shared" si="35"/>
        <v>10.743237392476692</v>
      </c>
      <c r="C301" s="12">
        <f t="shared" si="36"/>
        <v>3079.6285770285795</v>
      </c>
      <c r="D301">
        <f t="shared" si="37"/>
        <v>3.0449999999999999</v>
      </c>
      <c r="E301" s="13">
        <f t="shared" si="38"/>
        <v>1.9333333333333322</v>
      </c>
      <c r="F301">
        <v>0.72</v>
      </c>
      <c r="G301" s="21">
        <f t="shared" si="39"/>
        <v>2.5301098119139311E-2</v>
      </c>
      <c r="H301" s="3">
        <f t="shared" si="32"/>
        <v>8.6121901096420893E-3</v>
      </c>
      <c r="I301" s="3">
        <f t="shared" si="33"/>
        <v>-1.6688908009497221E-2</v>
      </c>
    </row>
    <row r="302" spans="1:9">
      <c r="A302">
        <f t="shared" si="34"/>
        <v>272</v>
      </c>
      <c r="B302" s="13">
        <f t="shared" si="35"/>
        <v>10.726548484467195</v>
      </c>
      <c r="C302" s="12">
        <f t="shared" si="36"/>
        <v>3079.608682869426</v>
      </c>
      <c r="D302">
        <f t="shared" si="37"/>
        <v>3.0449999999999999</v>
      </c>
      <c r="E302" s="13">
        <f t="shared" si="38"/>
        <v>1.9249999999999989</v>
      </c>
      <c r="F302">
        <v>0.72</v>
      </c>
      <c r="G302" s="21">
        <f t="shared" si="39"/>
        <v>2.5099496502381295E-2</v>
      </c>
      <c r="H302" s="3">
        <f t="shared" si="32"/>
        <v>8.6121901096420893E-3</v>
      </c>
      <c r="I302" s="3">
        <f t="shared" si="33"/>
        <v>-1.6487306392739206E-2</v>
      </c>
    </row>
    <row r="303" spans="1:9">
      <c r="A303">
        <f t="shared" si="34"/>
        <v>273</v>
      </c>
      <c r="B303" s="13">
        <f t="shared" si="35"/>
        <v>10.710061178074456</v>
      </c>
      <c r="C303" s="12">
        <f t="shared" si="36"/>
        <v>3079.5887887102726</v>
      </c>
      <c r="D303">
        <f t="shared" si="37"/>
        <v>3.0449999999999999</v>
      </c>
      <c r="E303" s="13">
        <f t="shared" si="38"/>
        <v>1.9166666666666656</v>
      </c>
      <c r="F303">
        <v>0.72</v>
      </c>
      <c r="G303" s="21">
        <f t="shared" si="39"/>
        <v>2.4898637086977041E-2</v>
      </c>
      <c r="H303" s="3">
        <f t="shared" si="32"/>
        <v>8.6121901096420893E-3</v>
      </c>
      <c r="I303" s="3">
        <f t="shared" si="33"/>
        <v>-1.6286446977334952E-2</v>
      </c>
    </row>
    <row r="304" spans="1:9">
      <c r="A304">
        <f t="shared" si="34"/>
        <v>274</v>
      </c>
      <c r="B304" s="13">
        <f t="shared" si="35"/>
        <v>10.693774731097122</v>
      </c>
      <c r="C304" s="12">
        <f t="shared" si="36"/>
        <v>3079.5688945511192</v>
      </c>
      <c r="D304">
        <f t="shared" si="37"/>
        <v>3.0449999999999999</v>
      </c>
      <c r="E304" s="13">
        <f t="shared" si="38"/>
        <v>1.9083333333333323</v>
      </c>
      <c r="F304">
        <v>0.72</v>
      </c>
      <c r="G304" s="21">
        <f t="shared" si="39"/>
        <v>2.4698520349636498E-2</v>
      </c>
      <c r="H304" s="3">
        <f t="shared" si="32"/>
        <v>8.6121901096420893E-3</v>
      </c>
      <c r="I304" s="3">
        <f t="shared" si="33"/>
        <v>-1.6086330239994409E-2</v>
      </c>
    </row>
    <row r="305" spans="1:9">
      <c r="B305" s="13"/>
      <c r="C305" s="12"/>
      <c r="E305" s="13"/>
      <c r="G305" s="21"/>
      <c r="H305" s="3"/>
      <c r="I305" s="3"/>
    </row>
    <row r="306" spans="1:9">
      <c r="A306" t="s">
        <v>124</v>
      </c>
      <c r="B306" s="13">
        <f>MIN(B31:B304)</f>
        <v>10.693774731097122</v>
      </c>
      <c r="C306" s="12" t="s">
        <v>127</v>
      </c>
      <c r="E306" s="13"/>
      <c r="G306" s="21"/>
      <c r="H306" s="3"/>
      <c r="I306" s="3"/>
    </row>
    <row r="307" spans="1:9">
      <c r="A307" t="s">
        <v>125</v>
      </c>
      <c r="B307" s="13">
        <f>MAX(B31:B304)</f>
        <v>25</v>
      </c>
      <c r="C307" s="12" t="s">
        <v>127</v>
      </c>
      <c r="E307" s="13"/>
      <c r="G307" s="21"/>
      <c r="H307" s="3"/>
      <c r="I307" s="3"/>
    </row>
    <row r="308" spans="1:9">
      <c r="A308" t="s">
        <v>126</v>
      </c>
      <c r="B308" s="13">
        <f>B307-B306</f>
        <v>14.306225268902878</v>
      </c>
      <c r="C308" s="12" t="s">
        <v>127</v>
      </c>
      <c r="E308" s="13"/>
      <c r="G308" s="21"/>
      <c r="H308" s="3"/>
      <c r="I308" s="3"/>
    </row>
    <row r="309" spans="1:9">
      <c r="B309" s="13"/>
      <c r="C309" s="12"/>
      <c r="E309" s="13"/>
      <c r="G309" s="21"/>
      <c r="H309" s="3"/>
      <c r="I309" s="3"/>
    </row>
  </sheetData>
  <printOptions headings="1" gridLines="1"/>
  <pageMargins left="0" right="0" top="0" bottom="0" header="0" footer="0"/>
  <pageSetup orientation="portrait" r:id="rId1"/>
</worksheet>
</file>

<file path=xl/worksheets/sheet8.xml><?xml version="1.0" encoding="utf-8"?>
<worksheet xmlns="http://schemas.openxmlformats.org/spreadsheetml/2006/main" xmlns:r="http://schemas.openxmlformats.org/officeDocument/2006/relationships">
  <dimension ref="A1:L86"/>
  <sheetViews>
    <sheetView topLeftCell="A13" workbookViewId="0">
      <selection activeCell="K25" sqref="K25"/>
    </sheetView>
  </sheetViews>
  <sheetFormatPr defaultRowHeight="15"/>
  <sheetData>
    <row r="1" spans="1:3">
      <c r="A1" s="1" t="s">
        <v>90</v>
      </c>
    </row>
    <row r="3" spans="1:3">
      <c r="A3" s="1" t="s">
        <v>171</v>
      </c>
    </row>
    <row r="4" spans="1:3">
      <c r="C4" s="11"/>
    </row>
    <row r="6" spans="1:3">
      <c r="B6">
        <v>150</v>
      </c>
      <c r="C6" t="s">
        <v>177</v>
      </c>
    </row>
    <row r="7" spans="1:3">
      <c r="B7">
        <v>145</v>
      </c>
      <c r="C7" t="s">
        <v>176</v>
      </c>
    </row>
    <row r="8" spans="1:3">
      <c r="B8">
        <v>140</v>
      </c>
      <c r="C8" t="s">
        <v>178</v>
      </c>
    </row>
    <row r="9" spans="1:3">
      <c r="B9">
        <v>0</v>
      </c>
      <c r="C9" t="s">
        <v>179</v>
      </c>
    </row>
    <row r="10" spans="1:3">
      <c r="B10">
        <f>80.2+117.4+290.3+130.5</f>
        <v>618.40000000000009</v>
      </c>
      <c r="C10" t="s">
        <v>180</v>
      </c>
    </row>
    <row r="11" spans="1:3">
      <c r="B11" s="3">
        <f>B9/B10</f>
        <v>0</v>
      </c>
      <c r="C11" t="s">
        <v>181</v>
      </c>
    </row>
    <row r="12" spans="1:3">
      <c r="B12">
        <v>0.5</v>
      </c>
      <c r="C12" t="s">
        <v>69</v>
      </c>
    </row>
    <row r="13" spans="1:3">
      <c r="B13" s="21">
        <f>B12/60</f>
        <v>8.3333333333333332E-3</v>
      </c>
      <c r="C13" t="s">
        <v>185</v>
      </c>
    </row>
    <row r="14" spans="1:3">
      <c r="B14" s="21">
        <f>3.045</f>
        <v>3.0449999999999999</v>
      </c>
      <c r="C14" t="s">
        <v>186</v>
      </c>
    </row>
    <row r="18" spans="1:12">
      <c r="B18" s="11" t="s">
        <v>330</v>
      </c>
    </row>
    <row r="19" spans="1:12">
      <c r="B19" s="11" t="s">
        <v>331</v>
      </c>
    </row>
    <row r="22" spans="1:12">
      <c r="A22" s="1" t="s">
        <v>201</v>
      </c>
    </row>
    <row r="23" spans="1:12" ht="30">
      <c r="A23" s="27" t="s">
        <v>173</v>
      </c>
      <c r="B23" s="44" t="s">
        <v>183</v>
      </c>
      <c r="C23" s="24" t="s">
        <v>184</v>
      </c>
      <c r="D23" s="24" t="s">
        <v>182</v>
      </c>
      <c r="E23" s="27" t="s">
        <v>116</v>
      </c>
      <c r="F23" s="24" t="s">
        <v>123</v>
      </c>
      <c r="G23" s="26" t="s">
        <v>175</v>
      </c>
      <c r="H23" s="24" t="s">
        <v>200</v>
      </c>
      <c r="I23" s="26" t="s">
        <v>187</v>
      </c>
      <c r="J23" s="27" t="s">
        <v>119</v>
      </c>
      <c r="K23" s="24" t="s">
        <v>120</v>
      </c>
      <c r="L23" s="24" t="s">
        <v>121</v>
      </c>
    </row>
    <row r="24" spans="1:12">
      <c r="A24" s="40" t="s">
        <v>174</v>
      </c>
      <c r="B24" s="47">
        <v>0</v>
      </c>
      <c r="C24" s="43">
        <v>0</v>
      </c>
      <c r="D24" s="43">
        <v>25</v>
      </c>
      <c r="E24" s="47">
        <v>0</v>
      </c>
      <c r="F24" s="42">
        <v>46.3</v>
      </c>
      <c r="G24" s="47">
        <v>2.1930000000000001</v>
      </c>
      <c r="H24" s="42">
        <f>(F24/448.8)/(3.14*((G24/12)^2)/4)</f>
        <v>3.9349907406354361</v>
      </c>
      <c r="I24" s="47">
        <f t="shared" ref="I24:I35" si="0">IF(G24&gt;5,$B$6,IF(5&gt;=G24&gt;1.5,$B$7,IF(1.5&gt;G24,$B$8,0)))</f>
        <v>145</v>
      </c>
      <c r="J24" s="46">
        <f t="shared" ref="J24:J35" si="1">(1050*((F24/I24)^1.852)*(E24/100)*(G24^-4.87))/2.31</f>
        <v>0</v>
      </c>
      <c r="K24" s="41">
        <f t="shared" ref="K24:K35" si="2">E24*$B$11</f>
        <v>0</v>
      </c>
      <c r="L24" s="41">
        <f>-K24-J24</f>
        <v>0</v>
      </c>
    </row>
    <row r="25" spans="1:12">
      <c r="A25" s="47">
        <v>1</v>
      </c>
      <c r="B25" s="47">
        <v>361.5</v>
      </c>
      <c r="C25" s="41">
        <f t="shared" ref="C25:C35" si="3">(B25/$B$14)*$B$13</f>
        <v>0.98932676518883411</v>
      </c>
      <c r="D25" s="42">
        <f t="shared" ref="D25:D35" si="4">D24+L24</f>
        <v>25</v>
      </c>
      <c r="E25" s="47">
        <v>2.2999999999999998</v>
      </c>
      <c r="F25" s="46">
        <f>F24-C25</f>
        <v>45.310673234811162</v>
      </c>
      <c r="G25" s="85">
        <v>2.1930000000000001</v>
      </c>
      <c r="H25" s="42">
        <f t="shared" ref="H25:H80" si="5">(F25/448.8)/(3.14*((G25/12)^2)/4)</f>
        <v>3.8509088473205146</v>
      </c>
      <c r="I25" s="47">
        <f t="shared" si="0"/>
        <v>145</v>
      </c>
      <c r="J25" s="41">
        <f t="shared" si="1"/>
        <v>2.6477491218769897E-2</v>
      </c>
      <c r="K25" s="41">
        <f t="shared" si="2"/>
        <v>0</v>
      </c>
      <c r="L25" s="41">
        <f t="shared" ref="L25:L80" si="6">-K25-J25</f>
        <v>-2.6477491218769897E-2</v>
      </c>
    </row>
    <row r="26" spans="1:12">
      <c r="A26" s="47">
        <f>A25+1</f>
        <v>2</v>
      </c>
      <c r="B26" s="47">
        <v>355.4</v>
      </c>
      <c r="C26" s="41">
        <f t="shared" si="3"/>
        <v>0.97263273125342087</v>
      </c>
      <c r="D26" s="42">
        <f t="shared" si="4"/>
        <v>24.97352250878123</v>
      </c>
      <c r="E26" s="47">
        <v>7.7</v>
      </c>
      <c r="F26" s="46">
        <f t="shared" ref="F26:F34" si="7">F25-C26</f>
        <v>44.338040503557743</v>
      </c>
      <c r="G26" s="85">
        <v>2.1930000000000001</v>
      </c>
      <c r="H26" s="42">
        <f t="shared" si="5"/>
        <v>3.7682457632703814</v>
      </c>
      <c r="I26" s="47">
        <f t="shared" si="0"/>
        <v>145</v>
      </c>
      <c r="J26" s="41">
        <f t="shared" si="1"/>
        <v>8.5150350141297765E-2</v>
      </c>
      <c r="K26" s="41">
        <f t="shared" si="2"/>
        <v>0</v>
      </c>
      <c r="L26" s="41">
        <f t="shared" si="6"/>
        <v>-8.5150350141297765E-2</v>
      </c>
    </row>
    <row r="27" spans="1:12">
      <c r="A27" s="47">
        <f t="shared" ref="A27:A44" si="8">A26+1</f>
        <v>3</v>
      </c>
      <c r="B27" s="47">
        <v>349.4</v>
      </c>
      <c r="C27" s="41">
        <f t="shared" si="3"/>
        <v>0.95621237000547332</v>
      </c>
      <c r="D27" s="42">
        <f t="shared" si="4"/>
        <v>24.888372158639932</v>
      </c>
      <c r="E27" s="47">
        <v>7.7</v>
      </c>
      <c r="F27" s="46">
        <f t="shared" si="7"/>
        <v>43.381828133552268</v>
      </c>
      <c r="G27" s="85">
        <v>2.1930000000000001</v>
      </c>
      <c r="H27" s="42">
        <f t="shared" si="5"/>
        <v>3.6869782293167614</v>
      </c>
      <c r="I27" s="47">
        <f t="shared" si="0"/>
        <v>145</v>
      </c>
      <c r="J27" s="41">
        <f t="shared" si="1"/>
        <v>8.1780640040448202E-2</v>
      </c>
      <c r="K27" s="41">
        <f t="shared" si="2"/>
        <v>0</v>
      </c>
      <c r="L27" s="41">
        <f t="shared" si="6"/>
        <v>-8.1780640040448202E-2</v>
      </c>
    </row>
    <row r="28" spans="1:12">
      <c r="A28" s="47">
        <f>A27+1</f>
        <v>4</v>
      </c>
      <c r="B28" s="47">
        <v>343.3</v>
      </c>
      <c r="C28" s="41">
        <f t="shared" si="3"/>
        <v>0.9395183360700603</v>
      </c>
      <c r="D28" s="42">
        <f t="shared" si="4"/>
        <v>24.806591518599483</v>
      </c>
      <c r="E28" s="47">
        <v>7.7</v>
      </c>
      <c r="F28" s="46">
        <f>F27-C28</f>
        <v>42.44230979748221</v>
      </c>
      <c r="G28" s="85">
        <v>2.1930000000000001</v>
      </c>
      <c r="H28" s="42">
        <f t="shared" si="5"/>
        <v>3.6071295046279301</v>
      </c>
      <c r="I28" s="47">
        <f t="shared" si="0"/>
        <v>145</v>
      </c>
      <c r="J28" s="41">
        <f t="shared" si="1"/>
        <v>7.853082075313926E-2</v>
      </c>
      <c r="K28" s="41">
        <f t="shared" si="2"/>
        <v>0</v>
      </c>
      <c r="L28" s="41">
        <f t="shared" si="6"/>
        <v>-7.853082075313926E-2</v>
      </c>
    </row>
    <row r="29" spans="1:12">
      <c r="A29" s="47">
        <f t="shared" si="8"/>
        <v>5</v>
      </c>
      <c r="B29" s="47">
        <v>337.2</v>
      </c>
      <c r="C29" s="41">
        <f t="shared" si="3"/>
        <v>0.92282430213464695</v>
      </c>
      <c r="D29" s="42">
        <f t="shared" si="4"/>
        <v>24.728060697846342</v>
      </c>
      <c r="E29" s="47">
        <v>7.7</v>
      </c>
      <c r="F29" s="46">
        <f t="shared" si="7"/>
        <v>41.51948549534756</v>
      </c>
      <c r="G29" s="85">
        <v>2.1930000000000001</v>
      </c>
      <c r="H29" s="42">
        <f t="shared" si="5"/>
        <v>3.5286995892038866</v>
      </c>
      <c r="I29" s="47">
        <f t="shared" si="0"/>
        <v>145</v>
      </c>
      <c r="J29" s="41">
        <f t="shared" si="1"/>
        <v>7.5397857243863955E-2</v>
      </c>
      <c r="K29" s="41">
        <f t="shared" si="2"/>
        <v>0</v>
      </c>
      <c r="L29" s="41">
        <f t="shared" si="6"/>
        <v>-7.5397857243863955E-2</v>
      </c>
    </row>
    <row r="30" spans="1:12">
      <c r="A30" s="47">
        <f t="shared" si="8"/>
        <v>6</v>
      </c>
      <c r="B30" s="47">
        <v>331.2</v>
      </c>
      <c r="C30" s="41">
        <f t="shared" si="3"/>
        <v>0.90640394088669951</v>
      </c>
      <c r="D30" s="42">
        <f t="shared" si="4"/>
        <v>24.652662840602478</v>
      </c>
      <c r="E30" s="47">
        <v>7.7</v>
      </c>
      <c r="F30" s="46">
        <f t="shared" si="7"/>
        <v>40.613081554460862</v>
      </c>
      <c r="G30" s="85">
        <v>2.1930000000000001</v>
      </c>
      <c r="H30" s="42">
        <f t="shared" si="5"/>
        <v>3.4516652238763572</v>
      </c>
      <c r="I30" s="47">
        <f t="shared" si="0"/>
        <v>145</v>
      </c>
      <c r="J30" s="41">
        <f t="shared" si="1"/>
        <v>7.2377852774923118E-2</v>
      </c>
      <c r="K30" s="41">
        <f t="shared" si="2"/>
        <v>0</v>
      </c>
      <c r="L30" s="41">
        <f t="shared" si="6"/>
        <v>-7.2377852774923118E-2</v>
      </c>
    </row>
    <row r="31" spans="1:12">
      <c r="A31" s="47">
        <f t="shared" si="8"/>
        <v>7</v>
      </c>
      <c r="B31" s="47">
        <v>325.10000000000002</v>
      </c>
      <c r="C31" s="41">
        <f t="shared" si="3"/>
        <v>0.88970990695128627</v>
      </c>
      <c r="D31" s="42">
        <f t="shared" si="4"/>
        <v>24.580284987827554</v>
      </c>
      <c r="E31" s="47">
        <v>7.7</v>
      </c>
      <c r="F31" s="46">
        <f t="shared" si="7"/>
        <v>39.723371647509573</v>
      </c>
      <c r="G31" s="85">
        <v>2.1930000000000001</v>
      </c>
      <c r="H31" s="42">
        <f t="shared" si="5"/>
        <v>3.3760496678136156</v>
      </c>
      <c r="I31" s="47">
        <f t="shared" si="0"/>
        <v>145</v>
      </c>
      <c r="J31" s="41">
        <f t="shared" si="1"/>
        <v>6.9468792751756339E-2</v>
      </c>
      <c r="K31" s="41">
        <f t="shared" si="2"/>
        <v>0</v>
      </c>
      <c r="L31" s="41">
        <f t="shared" si="6"/>
        <v>-6.9468792751756339E-2</v>
      </c>
    </row>
    <row r="32" spans="1:12">
      <c r="A32" s="47">
        <f t="shared" si="8"/>
        <v>8</v>
      </c>
      <c r="B32" s="47">
        <v>319.10000000000002</v>
      </c>
      <c r="C32" s="41">
        <f t="shared" si="3"/>
        <v>0.87328954570333883</v>
      </c>
      <c r="D32" s="42">
        <f t="shared" si="4"/>
        <v>24.510816195075797</v>
      </c>
      <c r="E32" s="47">
        <v>7.7</v>
      </c>
      <c r="F32" s="46">
        <f t="shared" si="7"/>
        <v>38.850082101806237</v>
      </c>
      <c r="G32" s="85">
        <v>2.1930000000000001</v>
      </c>
      <c r="H32" s="42">
        <f t="shared" si="5"/>
        <v>3.3018296618473877</v>
      </c>
      <c r="I32" s="47">
        <f t="shared" si="0"/>
        <v>145</v>
      </c>
      <c r="J32" s="41">
        <f t="shared" si="1"/>
        <v>6.6666897171584721E-2</v>
      </c>
      <c r="K32" s="41">
        <f t="shared" si="2"/>
        <v>0</v>
      </c>
      <c r="L32" s="41">
        <f t="shared" si="6"/>
        <v>-6.6666897171584721E-2</v>
      </c>
    </row>
    <row r="33" spans="1:12">
      <c r="A33" s="47">
        <f t="shared" si="8"/>
        <v>9</v>
      </c>
      <c r="B33" s="47">
        <v>313</v>
      </c>
      <c r="C33" s="41">
        <f t="shared" si="3"/>
        <v>0.85659551176792548</v>
      </c>
      <c r="D33" s="42">
        <f t="shared" si="4"/>
        <v>24.444149297904211</v>
      </c>
      <c r="E33" s="47">
        <v>7.7</v>
      </c>
      <c r="F33" s="46">
        <f t="shared" si="7"/>
        <v>37.993486590038309</v>
      </c>
      <c r="G33" s="85">
        <v>2.1930000000000001</v>
      </c>
      <c r="H33" s="42">
        <f t="shared" si="5"/>
        <v>3.2290284651459475</v>
      </c>
      <c r="I33" s="47">
        <f t="shared" si="0"/>
        <v>145</v>
      </c>
      <c r="J33" s="41">
        <f t="shared" si="1"/>
        <v>6.3970200704017113E-2</v>
      </c>
      <c r="K33" s="41">
        <f t="shared" si="2"/>
        <v>0</v>
      </c>
      <c r="L33" s="41">
        <f t="shared" si="6"/>
        <v>-6.3970200704017113E-2</v>
      </c>
    </row>
    <row r="34" spans="1:12">
      <c r="A34" s="47">
        <f t="shared" si="8"/>
        <v>10</v>
      </c>
      <c r="B34" s="47">
        <v>306.89999999999998</v>
      </c>
      <c r="C34" s="41">
        <f t="shared" si="3"/>
        <v>0.83990147783251223</v>
      </c>
      <c r="D34" s="42">
        <f t="shared" si="4"/>
        <v>24.380179097200195</v>
      </c>
      <c r="E34" s="47">
        <v>7.7</v>
      </c>
      <c r="F34" s="46">
        <f t="shared" si="7"/>
        <v>37.153585112205796</v>
      </c>
      <c r="G34" s="85">
        <v>2.1930000000000001</v>
      </c>
      <c r="H34" s="42">
        <f t="shared" si="5"/>
        <v>3.1576460777092961</v>
      </c>
      <c r="I34" s="47">
        <f t="shared" si="0"/>
        <v>145</v>
      </c>
      <c r="J34" s="41">
        <f t="shared" si="1"/>
        <v>6.1375877524780166E-2</v>
      </c>
      <c r="K34" s="41">
        <f t="shared" si="2"/>
        <v>0</v>
      </c>
      <c r="L34" s="41">
        <f t="shared" si="6"/>
        <v>-6.1375877524780166E-2</v>
      </c>
    </row>
    <row r="35" spans="1:12">
      <c r="A35" s="47">
        <f t="shared" si="8"/>
        <v>11</v>
      </c>
      <c r="B35" s="47">
        <v>300.89999999999998</v>
      </c>
      <c r="C35" s="41">
        <f t="shared" si="3"/>
        <v>0.8234811165845648</v>
      </c>
      <c r="D35" s="42">
        <f t="shared" si="4"/>
        <v>24.318803219675413</v>
      </c>
      <c r="E35" s="47">
        <v>7.7</v>
      </c>
      <c r="F35" s="46">
        <f>F34-C35</f>
        <v>36.330103995621229</v>
      </c>
      <c r="G35" s="85">
        <v>2.1930000000000001</v>
      </c>
      <c r="H35" s="42">
        <f t="shared" si="5"/>
        <v>3.0876592403691578</v>
      </c>
      <c r="I35" s="47">
        <f t="shared" si="0"/>
        <v>145</v>
      </c>
      <c r="J35" s="41">
        <f t="shared" si="1"/>
        <v>5.8880323461279457E-2</v>
      </c>
      <c r="K35" s="41">
        <f t="shared" si="2"/>
        <v>0</v>
      </c>
      <c r="L35" s="41">
        <f t="shared" si="6"/>
        <v>-5.8880323461279457E-2</v>
      </c>
    </row>
    <row r="36" spans="1:12">
      <c r="A36" s="49" t="s">
        <v>202</v>
      </c>
      <c r="B36" s="47"/>
      <c r="C36" s="41"/>
      <c r="D36" s="42"/>
      <c r="E36" s="47"/>
      <c r="F36" s="46"/>
      <c r="G36" s="85"/>
      <c r="H36" s="42"/>
      <c r="I36" s="47"/>
      <c r="J36" s="41"/>
      <c r="K36" s="41"/>
      <c r="L36" s="41"/>
    </row>
    <row r="37" spans="1:12">
      <c r="A37" s="47">
        <f>A35+1</f>
        <v>12</v>
      </c>
      <c r="B37" s="47">
        <v>525.5</v>
      </c>
      <c r="C37" s="41">
        <f t="shared" ref="C37:C47" si="9">(B37/$B$14)*$B$13</f>
        <v>1.4381499726327314</v>
      </c>
      <c r="D37" s="42">
        <v>25</v>
      </c>
      <c r="E37" s="47">
        <v>2.2999999999999998</v>
      </c>
      <c r="F37" s="46">
        <v>46.3</v>
      </c>
      <c r="G37" s="85">
        <v>2.1930000000000001</v>
      </c>
      <c r="H37" s="42">
        <f t="shared" si="5"/>
        <v>3.9349907406354361</v>
      </c>
      <c r="I37" s="47">
        <f t="shared" ref="I37:I47" si="10">IF(G37&gt;5,$B$6,IF(5&gt;=G37&gt;1.5,$B$7,IF(1.5&gt;G37,$B$8,0)))</f>
        <v>145</v>
      </c>
      <c r="J37" s="41">
        <f t="shared" ref="J37:J47" si="11">(1050*((F37/I37)^1.852)*(E37/100)*(G37^-4.87))/2.31</f>
        <v>2.755811284481283E-2</v>
      </c>
      <c r="K37" s="41">
        <f t="shared" ref="K37:K47" si="12">E37*$B$11</f>
        <v>0</v>
      </c>
      <c r="L37" s="41">
        <f>-K37-J37</f>
        <v>-2.755811284481283E-2</v>
      </c>
    </row>
    <row r="38" spans="1:12">
      <c r="A38" s="47">
        <f t="shared" si="8"/>
        <v>13</v>
      </c>
      <c r="B38" s="47">
        <v>526.20000000000005</v>
      </c>
      <c r="C38" s="41">
        <f t="shared" si="9"/>
        <v>1.4400656814449919</v>
      </c>
      <c r="D38" s="42">
        <f t="shared" ref="D38:D47" si="13">D37+L37</f>
        <v>24.972441887155188</v>
      </c>
      <c r="E38" s="47">
        <v>7.7</v>
      </c>
      <c r="F38" s="46">
        <f>F37-C38</f>
        <v>44.859934318555005</v>
      </c>
      <c r="G38" s="85">
        <v>2.1930000000000001</v>
      </c>
      <c r="H38" s="42">
        <f t="shared" si="5"/>
        <v>3.8126009971712267</v>
      </c>
      <c r="I38" s="47">
        <f t="shared" si="10"/>
        <v>145</v>
      </c>
      <c r="J38" s="41">
        <f t="shared" si="11"/>
        <v>8.7015888084363502E-2</v>
      </c>
      <c r="K38" s="41">
        <f t="shared" si="12"/>
        <v>0</v>
      </c>
      <c r="L38" s="41">
        <f t="shared" si="6"/>
        <v>-8.7015888084363502E-2</v>
      </c>
    </row>
    <row r="39" spans="1:12">
      <c r="A39" s="47">
        <f>A38+1</f>
        <v>14</v>
      </c>
      <c r="B39" s="47">
        <v>526.5</v>
      </c>
      <c r="C39" s="41">
        <f t="shared" si="9"/>
        <v>1.440886699507389</v>
      </c>
      <c r="D39" s="42">
        <f t="shared" si="13"/>
        <v>24.885425999070826</v>
      </c>
      <c r="E39" s="47">
        <v>7.7</v>
      </c>
      <c r="F39" s="46">
        <f t="shared" ref="F39:F80" si="14">F38-C39</f>
        <v>43.419047619047618</v>
      </c>
      <c r="G39" s="85">
        <v>2.1930000000000001</v>
      </c>
      <c r="H39" s="42">
        <f t="shared" si="5"/>
        <v>3.6901414762021916</v>
      </c>
      <c r="I39" s="47">
        <f t="shared" si="10"/>
        <v>145</v>
      </c>
      <c r="J39" s="41">
        <f t="shared" si="11"/>
        <v>8.1910630864451314E-2</v>
      </c>
      <c r="K39" s="41">
        <f t="shared" si="12"/>
        <v>0</v>
      </c>
      <c r="L39" s="41">
        <f t="shared" si="6"/>
        <v>-8.1910630864451314E-2</v>
      </c>
    </row>
    <row r="40" spans="1:12">
      <c r="A40" s="47">
        <f t="shared" si="8"/>
        <v>15</v>
      </c>
      <c r="B40" s="47">
        <v>526.79999999999995</v>
      </c>
      <c r="C40" s="41">
        <f t="shared" si="9"/>
        <v>1.4417077175697866</v>
      </c>
      <c r="D40" s="42">
        <f t="shared" si="13"/>
        <v>24.803515368206373</v>
      </c>
      <c r="E40" s="47">
        <v>7.7</v>
      </c>
      <c r="F40" s="46">
        <f t="shared" si="14"/>
        <v>41.977339901477833</v>
      </c>
      <c r="G40" s="85">
        <v>2.1930000000000001</v>
      </c>
      <c r="H40" s="42">
        <f t="shared" si="5"/>
        <v>3.5676121777283307</v>
      </c>
      <c r="I40" s="47">
        <f t="shared" si="10"/>
        <v>145</v>
      </c>
      <c r="J40" s="41">
        <f t="shared" si="11"/>
        <v>7.6944926395756938E-2</v>
      </c>
      <c r="K40" s="41">
        <f t="shared" si="12"/>
        <v>0</v>
      </c>
      <c r="L40" s="41">
        <f t="shared" si="6"/>
        <v>-7.6944926395756938E-2</v>
      </c>
    </row>
    <row r="41" spans="1:12">
      <c r="A41" s="47">
        <f t="shared" si="8"/>
        <v>16</v>
      </c>
      <c r="B41" s="47">
        <v>527</v>
      </c>
      <c r="C41" s="41">
        <f t="shared" si="9"/>
        <v>1.4422550629447182</v>
      </c>
      <c r="D41" s="42">
        <f t="shared" si="13"/>
        <v>24.726570441810615</v>
      </c>
      <c r="E41" s="47">
        <v>7.7</v>
      </c>
      <c r="F41" s="46">
        <f t="shared" si="14"/>
        <v>40.535084838533116</v>
      </c>
      <c r="G41" s="85">
        <v>2.1930000000000001</v>
      </c>
      <c r="H41" s="42">
        <f t="shared" si="5"/>
        <v>3.4450363609179195</v>
      </c>
      <c r="I41" s="47">
        <f t="shared" si="10"/>
        <v>145</v>
      </c>
      <c r="J41" s="41">
        <f t="shared" si="11"/>
        <v>7.212063465214362E-2</v>
      </c>
      <c r="K41" s="41">
        <f t="shared" si="12"/>
        <v>0</v>
      </c>
      <c r="L41" s="41">
        <f t="shared" si="6"/>
        <v>-7.212063465214362E-2</v>
      </c>
    </row>
    <row r="42" spans="1:12">
      <c r="A42" s="47">
        <f t="shared" si="8"/>
        <v>17</v>
      </c>
      <c r="B42" s="47">
        <v>527.29999999999995</v>
      </c>
      <c r="C42" s="41">
        <f t="shared" si="9"/>
        <v>1.4430760810071153</v>
      </c>
      <c r="D42" s="42">
        <f t="shared" si="13"/>
        <v>24.654449807158471</v>
      </c>
      <c r="E42" s="47">
        <v>7.7</v>
      </c>
      <c r="F42" s="46">
        <f t="shared" si="14"/>
        <v>39.092008757526003</v>
      </c>
      <c r="G42" s="85">
        <v>2.1930000000000001</v>
      </c>
      <c r="H42" s="42">
        <f t="shared" si="5"/>
        <v>3.3223907666026826</v>
      </c>
      <c r="I42" s="47">
        <f t="shared" si="10"/>
        <v>145</v>
      </c>
      <c r="J42" s="41">
        <f t="shared" si="11"/>
        <v>6.7437788599147439E-2</v>
      </c>
      <c r="K42" s="41">
        <f t="shared" si="12"/>
        <v>0</v>
      </c>
      <c r="L42" s="41">
        <f t="shared" si="6"/>
        <v>-6.7437788599147439E-2</v>
      </c>
    </row>
    <row r="43" spans="1:12">
      <c r="A43" s="47">
        <f t="shared" si="8"/>
        <v>18</v>
      </c>
      <c r="B43" s="47">
        <v>527.6</v>
      </c>
      <c r="C43" s="41">
        <f t="shared" si="9"/>
        <v>1.443897099069513</v>
      </c>
      <c r="D43" s="42">
        <f t="shared" si="13"/>
        <v>24.587012018559324</v>
      </c>
      <c r="E43" s="47">
        <v>7.7</v>
      </c>
      <c r="F43" s="46">
        <f t="shared" si="14"/>
        <v>37.648111658456493</v>
      </c>
      <c r="G43" s="85">
        <v>2.1930000000000001</v>
      </c>
      <c r="H43" s="42">
        <f t="shared" si="5"/>
        <v>3.1996753947826209</v>
      </c>
      <c r="I43" s="47">
        <f t="shared" si="10"/>
        <v>145</v>
      </c>
      <c r="J43" s="41">
        <f t="shared" si="11"/>
        <v>6.2897411167216713E-2</v>
      </c>
      <c r="K43" s="41">
        <f t="shared" si="12"/>
        <v>0</v>
      </c>
      <c r="L43" s="41">
        <f t="shared" si="6"/>
        <v>-6.2897411167216713E-2</v>
      </c>
    </row>
    <row r="44" spans="1:12">
      <c r="A44" s="47">
        <f t="shared" si="8"/>
        <v>19</v>
      </c>
      <c r="B44" s="47">
        <v>527.9</v>
      </c>
      <c r="C44" s="41">
        <f t="shared" si="9"/>
        <v>1.4447181171319101</v>
      </c>
      <c r="D44" s="42">
        <f t="shared" si="13"/>
        <v>24.524114607392107</v>
      </c>
      <c r="E44" s="47">
        <v>7.7</v>
      </c>
      <c r="F44" s="46">
        <f t="shared" si="14"/>
        <v>36.20339354132458</v>
      </c>
      <c r="G44" s="85">
        <v>2.1930000000000001</v>
      </c>
      <c r="H44" s="42">
        <f t="shared" si="5"/>
        <v>3.076890245457732</v>
      </c>
      <c r="I44" s="47">
        <f t="shared" si="10"/>
        <v>145</v>
      </c>
      <c r="J44" s="41">
        <f t="shared" si="11"/>
        <v>5.8500561800546948E-2</v>
      </c>
      <c r="K44" s="41">
        <f t="shared" si="12"/>
        <v>0</v>
      </c>
      <c r="L44" s="41">
        <f t="shared" si="6"/>
        <v>-5.8500561800546948E-2</v>
      </c>
    </row>
    <row r="45" spans="1:12">
      <c r="A45" s="47">
        <f>A44+1</f>
        <v>20</v>
      </c>
      <c r="B45" s="47">
        <v>528.1</v>
      </c>
      <c r="C45" s="41">
        <f t="shared" si="9"/>
        <v>1.445265462506842</v>
      </c>
      <c r="D45" s="42">
        <f t="shared" si="13"/>
        <v>24.465614045591561</v>
      </c>
      <c r="E45" s="47">
        <v>7.7</v>
      </c>
      <c r="F45" s="46">
        <f t="shared" si="14"/>
        <v>34.758128078817741</v>
      </c>
      <c r="G45" s="85">
        <v>2.1930000000000001</v>
      </c>
      <c r="H45" s="42">
        <f t="shared" si="5"/>
        <v>2.9540585777962938</v>
      </c>
      <c r="I45" s="47">
        <f t="shared" si="10"/>
        <v>145</v>
      </c>
      <c r="J45" s="41">
        <f t="shared" si="11"/>
        <v>5.4249130559288906E-2</v>
      </c>
      <c r="K45" s="41">
        <f t="shared" si="12"/>
        <v>0</v>
      </c>
      <c r="L45" s="41">
        <f t="shared" si="6"/>
        <v>-5.4249130559288906E-2</v>
      </c>
    </row>
    <row r="46" spans="1:12">
      <c r="A46" s="47">
        <f t="shared" ref="A46:A80" si="15">A45+1</f>
        <v>21</v>
      </c>
      <c r="B46" s="47">
        <v>528.4</v>
      </c>
      <c r="C46" s="41">
        <f t="shared" si="9"/>
        <v>1.4460864805692391</v>
      </c>
      <c r="D46" s="42">
        <f t="shared" si="13"/>
        <v>24.411364915032273</v>
      </c>
      <c r="E46" s="47">
        <v>7.7</v>
      </c>
      <c r="F46" s="46">
        <f t="shared" si="14"/>
        <v>33.312041598248499</v>
      </c>
      <c r="G46" s="85">
        <v>2.1930000000000001</v>
      </c>
      <c r="H46" s="42">
        <f t="shared" si="5"/>
        <v>2.8311571326300284</v>
      </c>
      <c r="I46" s="47">
        <f t="shared" si="10"/>
        <v>145</v>
      </c>
      <c r="J46" s="41">
        <f t="shared" si="11"/>
        <v>5.0143412127494541E-2</v>
      </c>
      <c r="K46" s="41">
        <f t="shared" si="12"/>
        <v>0</v>
      </c>
      <c r="L46" s="41">
        <f t="shared" si="6"/>
        <v>-5.0143412127494541E-2</v>
      </c>
    </row>
    <row r="47" spans="1:12">
      <c r="A47" s="47">
        <f t="shared" si="15"/>
        <v>22</v>
      </c>
      <c r="B47" s="47">
        <v>528.70000000000005</v>
      </c>
      <c r="C47" s="41">
        <f t="shared" si="9"/>
        <v>1.4469074986316366</v>
      </c>
      <c r="D47" s="42">
        <f t="shared" si="13"/>
        <v>24.36122150290478</v>
      </c>
      <c r="E47" s="47">
        <v>7.7</v>
      </c>
      <c r="F47" s="46">
        <f t="shared" si="14"/>
        <v>31.865134099616863</v>
      </c>
      <c r="G47" s="85">
        <v>2.1930000000000001</v>
      </c>
      <c r="H47" s="42">
        <f t="shared" si="5"/>
        <v>2.7081859099589387</v>
      </c>
      <c r="I47" s="47">
        <f t="shared" si="10"/>
        <v>145</v>
      </c>
      <c r="J47" s="41">
        <f t="shared" si="11"/>
        <v>4.61845948146066E-2</v>
      </c>
      <c r="K47" s="41">
        <f t="shared" si="12"/>
        <v>0</v>
      </c>
      <c r="L47" s="41">
        <f t="shared" si="6"/>
        <v>-4.61845948146066E-2</v>
      </c>
    </row>
    <row r="48" spans="1:12">
      <c r="A48" s="49" t="s">
        <v>188</v>
      </c>
      <c r="B48" s="47"/>
      <c r="C48" s="41"/>
      <c r="D48" s="42"/>
      <c r="E48" s="47"/>
      <c r="F48" s="46"/>
      <c r="G48" s="47"/>
      <c r="H48" s="42"/>
      <c r="I48" s="47"/>
      <c r="J48" s="41"/>
      <c r="K48" s="41"/>
      <c r="L48" s="41"/>
    </row>
    <row r="49" spans="1:12">
      <c r="A49" s="47">
        <f>A47+1</f>
        <v>23</v>
      </c>
      <c r="B49" s="47">
        <v>286.7</v>
      </c>
      <c r="C49" s="41">
        <f t="shared" ref="C49:C58" si="16">(B49/$B$14)*$B$13</f>
        <v>0.78461959496442246</v>
      </c>
      <c r="D49" s="42">
        <f>D47+L47</f>
        <v>24.315036908090175</v>
      </c>
      <c r="E49" s="47">
        <v>11.6</v>
      </c>
      <c r="F49" s="46">
        <f>F24-((F37-F47)+(F24-F35))</f>
        <v>21.895238095238096</v>
      </c>
      <c r="G49" s="47">
        <v>1.72</v>
      </c>
      <c r="H49" s="42">
        <f t="shared" si="5"/>
        <v>3.025051449756631</v>
      </c>
      <c r="I49" s="47">
        <f t="shared" ref="I49:I58" si="17">IF(G49&gt;5,$B$6,IF(5&gt;=G49&gt;1.5,$B$7,IF(1.5&gt;G49,$B$8,0)))</f>
        <v>145</v>
      </c>
      <c r="J49" s="41">
        <f t="shared" ref="J49:J58" si="18">(1050*((F49/I49)^1.852)*(E49/100)*(G49^-4.87))/2.31</f>
        <v>0.11336678348727393</v>
      </c>
      <c r="K49" s="41">
        <f t="shared" ref="K49:K58" si="19">E49*$B$11</f>
        <v>0</v>
      </c>
      <c r="L49" s="41">
        <f t="shared" si="6"/>
        <v>-0.11336678348727393</v>
      </c>
    </row>
    <row r="50" spans="1:12">
      <c r="A50" s="47">
        <f t="shared" si="15"/>
        <v>24</v>
      </c>
      <c r="B50" s="47">
        <v>272</v>
      </c>
      <c r="C50" s="41">
        <f t="shared" si="16"/>
        <v>0.7443897099069513</v>
      </c>
      <c r="D50" s="42">
        <f t="shared" ref="D50:D58" si="20">D49+L49</f>
        <v>24.201670124602902</v>
      </c>
      <c r="E50" s="47">
        <v>11.8</v>
      </c>
      <c r="F50" s="46">
        <f t="shared" si="14"/>
        <v>21.150848385331145</v>
      </c>
      <c r="G50" s="85">
        <v>1.72</v>
      </c>
      <c r="H50" s="42">
        <f t="shared" si="5"/>
        <v>2.9222063853940887</v>
      </c>
      <c r="I50" s="47">
        <f t="shared" si="17"/>
        <v>145</v>
      </c>
      <c r="J50" s="41">
        <f t="shared" si="18"/>
        <v>0.10816563916159611</v>
      </c>
      <c r="K50" s="41">
        <f t="shared" si="19"/>
        <v>0</v>
      </c>
      <c r="L50" s="41">
        <f t="shared" si="6"/>
        <v>-0.10816563916159611</v>
      </c>
    </row>
    <row r="51" spans="1:12">
      <c r="A51" s="47">
        <f t="shared" si="15"/>
        <v>25</v>
      </c>
      <c r="B51" s="47">
        <v>257.3</v>
      </c>
      <c r="C51" s="41">
        <f t="shared" si="16"/>
        <v>0.70415982484948003</v>
      </c>
      <c r="D51" s="42">
        <f t="shared" si="20"/>
        <v>24.093504485441308</v>
      </c>
      <c r="E51" s="47">
        <v>11.8</v>
      </c>
      <c r="F51" s="46">
        <f t="shared" si="14"/>
        <v>20.446688560481665</v>
      </c>
      <c r="G51" s="85">
        <v>1.72</v>
      </c>
      <c r="H51" s="42">
        <f t="shared" si="5"/>
        <v>2.8249194917893758</v>
      </c>
      <c r="I51" s="47">
        <f t="shared" si="17"/>
        <v>145</v>
      </c>
      <c r="J51" s="41">
        <f t="shared" si="18"/>
        <v>0.10159118180826548</v>
      </c>
      <c r="K51" s="41">
        <f t="shared" si="19"/>
        <v>0</v>
      </c>
      <c r="L51" s="41">
        <f t="shared" si="6"/>
        <v>-0.10159118180826548</v>
      </c>
    </row>
    <row r="52" spans="1:12">
      <c r="A52" s="47">
        <f>A51+1</f>
        <v>26</v>
      </c>
      <c r="B52" s="47">
        <v>242.5</v>
      </c>
      <c r="C52" s="41">
        <f t="shared" si="16"/>
        <v>0.66365626710454295</v>
      </c>
      <c r="D52" s="42">
        <f t="shared" si="20"/>
        <v>23.991913303633041</v>
      </c>
      <c r="E52" s="47">
        <v>11.8</v>
      </c>
      <c r="F52" s="46">
        <f t="shared" si="14"/>
        <v>19.783032293377122</v>
      </c>
      <c r="G52" s="85">
        <v>1.72</v>
      </c>
      <c r="H52" s="42">
        <f t="shared" si="5"/>
        <v>2.7332285796279185</v>
      </c>
      <c r="I52" s="47">
        <f t="shared" si="17"/>
        <v>145</v>
      </c>
      <c r="J52" s="41">
        <f t="shared" si="18"/>
        <v>9.5568908624524385E-2</v>
      </c>
      <c r="K52" s="41">
        <f t="shared" si="19"/>
        <v>0</v>
      </c>
      <c r="L52" s="41">
        <f t="shared" si="6"/>
        <v>-9.5568908624524385E-2</v>
      </c>
    </row>
    <row r="53" spans="1:12">
      <c r="A53" s="47">
        <f t="shared" si="15"/>
        <v>27</v>
      </c>
      <c r="B53" s="47">
        <v>227</v>
      </c>
      <c r="C53" s="41">
        <f t="shared" si="16"/>
        <v>0.62123700054734543</v>
      </c>
      <c r="D53" s="42">
        <f t="shared" si="20"/>
        <v>23.896344395008516</v>
      </c>
      <c r="E53" s="47">
        <v>11.8</v>
      </c>
      <c r="F53" s="46">
        <f t="shared" si="14"/>
        <v>19.161795292829776</v>
      </c>
      <c r="G53" s="85">
        <v>1.72</v>
      </c>
      <c r="H53" s="42">
        <f t="shared" si="5"/>
        <v>2.6473983237077086</v>
      </c>
      <c r="I53" s="47">
        <f t="shared" si="17"/>
        <v>145</v>
      </c>
      <c r="J53" s="41">
        <f t="shared" si="18"/>
        <v>9.0085332399243601E-2</v>
      </c>
      <c r="K53" s="41">
        <f t="shared" si="19"/>
        <v>0</v>
      </c>
      <c r="L53" s="41">
        <f t="shared" si="6"/>
        <v>-9.0085332399243601E-2</v>
      </c>
    </row>
    <row r="54" spans="1:12">
      <c r="A54" s="47">
        <f t="shared" si="15"/>
        <v>28</v>
      </c>
      <c r="B54" s="47">
        <v>189</v>
      </c>
      <c r="C54" s="41">
        <f t="shared" si="16"/>
        <v>0.51724137931034486</v>
      </c>
      <c r="D54" s="42">
        <f t="shared" si="20"/>
        <v>23.806259062609271</v>
      </c>
      <c r="E54" s="47">
        <v>11.8</v>
      </c>
      <c r="F54" s="46">
        <f t="shared" si="14"/>
        <v>18.644553913519431</v>
      </c>
      <c r="G54" s="85">
        <v>1.72</v>
      </c>
      <c r="H54" s="42">
        <f t="shared" si="5"/>
        <v>2.5759361282499129</v>
      </c>
      <c r="I54" s="47">
        <f t="shared" si="17"/>
        <v>145</v>
      </c>
      <c r="J54" s="41">
        <f t="shared" si="18"/>
        <v>8.5633668287507028E-2</v>
      </c>
      <c r="K54" s="41">
        <f t="shared" si="19"/>
        <v>0</v>
      </c>
      <c r="L54" s="41">
        <f t="shared" si="6"/>
        <v>-8.5633668287507028E-2</v>
      </c>
    </row>
    <row r="55" spans="1:12">
      <c r="A55" s="47">
        <f t="shared" si="15"/>
        <v>29</v>
      </c>
      <c r="B55" s="47">
        <v>151.1</v>
      </c>
      <c r="C55" s="41">
        <f t="shared" si="16"/>
        <v>0.41351943076081005</v>
      </c>
      <c r="D55" s="42">
        <f t="shared" si="20"/>
        <v>23.720625394321765</v>
      </c>
      <c r="E55" s="47">
        <v>11.8</v>
      </c>
      <c r="F55" s="46">
        <f t="shared" si="14"/>
        <v>18.23103448275862</v>
      </c>
      <c r="G55" s="85">
        <v>1.72</v>
      </c>
      <c r="H55" s="42">
        <f t="shared" si="5"/>
        <v>2.5188041825691037</v>
      </c>
      <c r="I55" s="47">
        <f t="shared" si="17"/>
        <v>145</v>
      </c>
      <c r="J55" s="41">
        <f t="shared" si="18"/>
        <v>8.2149476583432995E-2</v>
      </c>
      <c r="K55" s="41">
        <f t="shared" si="19"/>
        <v>0</v>
      </c>
      <c r="L55" s="41">
        <f t="shared" si="6"/>
        <v>-8.2149476583432995E-2</v>
      </c>
    </row>
    <row r="56" spans="1:12">
      <c r="A56" s="47">
        <f t="shared" si="15"/>
        <v>30</v>
      </c>
      <c r="B56" s="47">
        <v>113.1</v>
      </c>
      <c r="C56" s="41">
        <f t="shared" si="16"/>
        <v>0.30952380952380948</v>
      </c>
      <c r="D56" s="42">
        <f t="shared" si="20"/>
        <v>23.638475917738333</v>
      </c>
      <c r="E56" s="47">
        <v>11.8</v>
      </c>
      <c r="F56" s="46">
        <f t="shared" si="14"/>
        <v>17.92151067323481</v>
      </c>
      <c r="G56" s="85">
        <v>1.72</v>
      </c>
      <c r="H56" s="42">
        <f t="shared" si="5"/>
        <v>2.4760402973507087</v>
      </c>
      <c r="I56" s="47">
        <f t="shared" si="17"/>
        <v>145</v>
      </c>
      <c r="J56" s="41">
        <f t="shared" si="18"/>
        <v>7.9585149659473761E-2</v>
      </c>
      <c r="K56" s="41">
        <f t="shared" si="19"/>
        <v>0</v>
      </c>
      <c r="L56" s="41">
        <f t="shared" si="6"/>
        <v>-7.9585149659473761E-2</v>
      </c>
    </row>
    <row r="57" spans="1:12">
      <c r="A57" s="47">
        <f t="shared" si="15"/>
        <v>31</v>
      </c>
      <c r="B57" s="47">
        <v>75.2</v>
      </c>
      <c r="C57" s="41">
        <f t="shared" si="16"/>
        <v>0.20580186097427478</v>
      </c>
      <c r="D57" s="42">
        <f t="shared" si="20"/>
        <v>23.558890768078861</v>
      </c>
      <c r="E57" s="47">
        <v>11.8</v>
      </c>
      <c r="F57" s="46">
        <f t="shared" si="14"/>
        <v>17.715708812260534</v>
      </c>
      <c r="G57" s="85">
        <v>1.72</v>
      </c>
      <c r="H57" s="42">
        <f t="shared" si="5"/>
        <v>2.4476066619092998</v>
      </c>
      <c r="I57" s="47">
        <f t="shared" si="17"/>
        <v>145</v>
      </c>
      <c r="J57" s="41">
        <f t="shared" si="18"/>
        <v>7.7900860254173906E-2</v>
      </c>
      <c r="K57" s="41">
        <f t="shared" si="19"/>
        <v>0</v>
      </c>
      <c r="L57" s="41">
        <f t="shared" si="6"/>
        <v>-7.7900860254173906E-2</v>
      </c>
    </row>
    <row r="58" spans="1:12">
      <c r="A58" s="47">
        <f t="shared" si="15"/>
        <v>32</v>
      </c>
      <c r="B58" s="47">
        <v>37.299999999999997</v>
      </c>
      <c r="C58" s="41">
        <f t="shared" si="16"/>
        <v>0.10207991242474</v>
      </c>
      <c r="D58" s="42">
        <f t="shared" si="20"/>
        <v>23.480989907824686</v>
      </c>
      <c r="E58" s="47">
        <v>11.8</v>
      </c>
      <c r="F58" s="46">
        <f t="shared" si="14"/>
        <v>17.613628899835795</v>
      </c>
      <c r="G58" s="85">
        <v>1.72</v>
      </c>
      <c r="H58" s="42">
        <f t="shared" si="5"/>
        <v>2.4335032762448781</v>
      </c>
      <c r="I58" s="47">
        <f t="shared" si="17"/>
        <v>145</v>
      </c>
      <c r="J58" s="41">
        <f t="shared" si="18"/>
        <v>7.7071587625173243E-2</v>
      </c>
      <c r="K58" s="41">
        <f t="shared" si="19"/>
        <v>0</v>
      </c>
      <c r="L58" s="41">
        <f t="shared" si="6"/>
        <v>-7.7071587625173243E-2</v>
      </c>
    </row>
    <row r="59" spans="1:12">
      <c r="A59" s="49" t="s">
        <v>189</v>
      </c>
      <c r="B59" s="47"/>
      <c r="C59" s="41"/>
      <c r="D59" s="42"/>
      <c r="E59" s="47"/>
      <c r="F59" s="46"/>
      <c r="G59" s="47"/>
      <c r="H59" s="42"/>
      <c r="I59" s="47"/>
      <c r="J59" s="41"/>
      <c r="K59" s="41"/>
      <c r="L59" s="41"/>
    </row>
    <row r="60" spans="1:12">
      <c r="A60" s="47">
        <f>A58+1</f>
        <v>33</v>
      </c>
      <c r="B60" s="47">
        <v>501.5</v>
      </c>
      <c r="C60" s="41">
        <f t="shared" ref="C60:C68" si="21">(B60/$B$14)*$B$13</f>
        <v>1.3724685276409414</v>
      </c>
      <c r="D60" s="42">
        <v>33.700000000000003</v>
      </c>
      <c r="E60" s="47">
        <v>28.7</v>
      </c>
      <c r="F60" s="46">
        <v>21.9</v>
      </c>
      <c r="G60" s="47">
        <v>1.72</v>
      </c>
      <c r="H60" s="42">
        <f t="shared" si="5"/>
        <v>3.0257093556830674</v>
      </c>
      <c r="I60" s="47">
        <f t="shared" ref="I60:I68" si="22">IF(G60&gt;5,$B$6,IF(5&gt;=G60&gt;1.5,$B$7,IF(1.5&gt;G60,$B$8,0)))</f>
        <v>145</v>
      </c>
      <c r="J60" s="41">
        <f t="shared" ref="J60:J68" si="23">(1050*((F60/I60)^1.852)*(E60/100)*(G60^-4.87))/2.31</f>
        <v>0.28059804445543912</v>
      </c>
      <c r="K60" s="41">
        <f t="shared" ref="K60:K68" si="24">E60*$B$11</f>
        <v>0</v>
      </c>
      <c r="L60" s="41">
        <f t="shared" si="6"/>
        <v>-0.28059804445543912</v>
      </c>
    </row>
    <row r="61" spans="1:12">
      <c r="A61" s="47">
        <f t="shared" si="15"/>
        <v>34</v>
      </c>
      <c r="B61" s="47">
        <v>472.4</v>
      </c>
      <c r="C61" s="41">
        <f t="shared" si="21"/>
        <v>1.2928297755883962</v>
      </c>
      <c r="D61" s="42">
        <f t="shared" ref="D61:D68" si="25">D60+L60</f>
        <v>33.419401955544565</v>
      </c>
      <c r="E61" s="47">
        <v>30</v>
      </c>
      <c r="F61" s="46">
        <f t="shared" si="14"/>
        <v>20.607170224411604</v>
      </c>
      <c r="G61" s="85">
        <v>1.72</v>
      </c>
      <c r="H61" s="42">
        <f t="shared" si="5"/>
        <v>2.8470916777240061</v>
      </c>
      <c r="I61" s="47">
        <f t="shared" si="22"/>
        <v>145</v>
      </c>
      <c r="J61" s="41">
        <f t="shared" si="23"/>
        <v>0.26204959775741443</v>
      </c>
      <c r="K61" s="41">
        <f t="shared" si="24"/>
        <v>0</v>
      </c>
      <c r="L61" s="41">
        <f t="shared" si="6"/>
        <v>-0.26204959775741443</v>
      </c>
    </row>
    <row r="62" spans="1:12">
      <c r="A62" s="47">
        <f t="shared" si="15"/>
        <v>35</v>
      </c>
      <c r="B62" s="47">
        <v>443.4</v>
      </c>
      <c r="C62" s="41">
        <f t="shared" si="21"/>
        <v>1.2134646962233169</v>
      </c>
      <c r="D62" s="42">
        <f t="shared" si="25"/>
        <v>33.157352357787147</v>
      </c>
      <c r="E62" s="47">
        <v>30</v>
      </c>
      <c r="F62" s="46">
        <f t="shared" si="14"/>
        <v>19.393705528188288</v>
      </c>
      <c r="G62" s="85">
        <v>1.72</v>
      </c>
      <c r="H62" s="42">
        <f t="shared" si="5"/>
        <v>2.6794390985388921</v>
      </c>
      <c r="I62" s="47">
        <f t="shared" si="22"/>
        <v>145</v>
      </c>
      <c r="J62" s="41">
        <f t="shared" si="23"/>
        <v>0.2341905105831952</v>
      </c>
      <c r="K62" s="41">
        <f t="shared" si="24"/>
        <v>0</v>
      </c>
      <c r="L62" s="41">
        <f t="shared" si="6"/>
        <v>-0.2341905105831952</v>
      </c>
    </row>
    <row r="63" spans="1:12">
      <c r="A63" s="47">
        <f t="shared" si="15"/>
        <v>36</v>
      </c>
      <c r="B63" s="47">
        <v>414.4</v>
      </c>
      <c r="C63" s="41">
        <f t="shared" si="21"/>
        <v>1.1340996168582373</v>
      </c>
      <c r="D63" s="42">
        <f t="shared" si="25"/>
        <v>32.92316184720395</v>
      </c>
      <c r="E63" s="47">
        <v>30</v>
      </c>
      <c r="F63" s="46">
        <f t="shared" si="14"/>
        <v>18.259605911330052</v>
      </c>
      <c r="G63" s="85">
        <v>1.72</v>
      </c>
      <c r="H63" s="42">
        <f t="shared" si="5"/>
        <v>2.5227516181277254</v>
      </c>
      <c r="I63" s="47">
        <f t="shared" si="22"/>
        <v>145</v>
      </c>
      <c r="J63" s="41">
        <f t="shared" si="23"/>
        <v>0.20946119183568529</v>
      </c>
      <c r="K63" s="41">
        <f t="shared" si="24"/>
        <v>0</v>
      </c>
      <c r="L63" s="41">
        <f t="shared" si="6"/>
        <v>-0.20946119183568529</v>
      </c>
    </row>
    <row r="64" spans="1:12">
      <c r="A64" s="47">
        <f t="shared" si="15"/>
        <v>37</v>
      </c>
      <c r="B64" s="47">
        <v>385.4</v>
      </c>
      <c r="C64" s="41">
        <f t="shared" si="21"/>
        <v>1.054734537493158</v>
      </c>
      <c r="D64" s="42">
        <f t="shared" si="25"/>
        <v>32.713700655368264</v>
      </c>
      <c r="E64" s="47">
        <v>30</v>
      </c>
      <c r="F64" s="46">
        <f t="shared" si="14"/>
        <v>17.204871373836895</v>
      </c>
      <c r="G64" s="85">
        <v>1.72</v>
      </c>
      <c r="H64" s="42">
        <f t="shared" si="5"/>
        <v>2.3770292364905061</v>
      </c>
      <c r="I64" s="47">
        <f t="shared" si="22"/>
        <v>145</v>
      </c>
      <c r="J64" s="41">
        <f t="shared" si="23"/>
        <v>0.18760652790608098</v>
      </c>
      <c r="K64" s="41">
        <f t="shared" si="24"/>
        <v>0</v>
      </c>
      <c r="L64" s="41">
        <f t="shared" si="6"/>
        <v>-0.18760652790608098</v>
      </c>
    </row>
    <row r="65" spans="1:12">
      <c r="A65" s="47">
        <f t="shared" si="15"/>
        <v>38</v>
      </c>
      <c r="B65" s="47">
        <v>356.4</v>
      </c>
      <c r="C65" s="41">
        <f t="shared" si="21"/>
        <v>0.97536945812807874</v>
      </c>
      <c r="D65" s="42">
        <f t="shared" si="25"/>
        <v>32.52609412746218</v>
      </c>
      <c r="E65" s="47">
        <v>30</v>
      </c>
      <c r="F65" s="46">
        <f t="shared" si="14"/>
        <v>16.229501915708816</v>
      </c>
      <c r="G65" s="85">
        <v>1.72</v>
      </c>
      <c r="H65" s="42">
        <f t="shared" si="5"/>
        <v>2.2422719536272346</v>
      </c>
      <c r="I65" s="47">
        <f t="shared" si="22"/>
        <v>145</v>
      </c>
      <c r="J65" s="41">
        <f t="shared" si="23"/>
        <v>0.16838628364820818</v>
      </c>
      <c r="K65" s="41">
        <f t="shared" si="24"/>
        <v>0</v>
      </c>
      <c r="L65" s="41">
        <f t="shared" si="6"/>
        <v>-0.16838628364820818</v>
      </c>
    </row>
    <row r="66" spans="1:12">
      <c r="A66" s="47">
        <f t="shared" si="15"/>
        <v>39</v>
      </c>
      <c r="B66" s="47">
        <v>327.39999999999998</v>
      </c>
      <c r="C66" s="41">
        <f t="shared" si="21"/>
        <v>0.89600437876299943</v>
      </c>
      <c r="D66" s="42">
        <f t="shared" si="25"/>
        <v>32.357707843813969</v>
      </c>
      <c r="E66" s="47">
        <v>30</v>
      </c>
      <c r="F66" s="46">
        <f t="shared" si="14"/>
        <v>15.333497536945817</v>
      </c>
      <c r="G66" s="85">
        <v>1.72</v>
      </c>
      <c r="H66" s="42">
        <f t="shared" si="5"/>
        <v>2.1184797695379101</v>
      </c>
      <c r="I66" s="47">
        <f t="shared" si="22"/>
        <v>145</v>
      </c>
      <c r="J66" s="41">
        <f t="shared" si="23"/>
        <v>0.1515755145302142</v>
      </c>
      <c r="K66" s="41">
        <f t="shared" si="24"/>
        <v>0</v>
      </c>
      <c r="L66" s="41">
        <f t="shared" si="6"/>
        <v>-0.1515755145302142</v>
      </c>
    </row>
    <row r="67" spans="1:12">
      <c r="A67" s="47">
        <f t="shared" si="15"/>
        <v>40</v>
      </c>
      <c r="B67" s="47">
        <v>298.39999999999998</v>
      </c>
      <c r="C67" s="41">
        <f t="shared" si="21"/>
        <v>0.81663929939792002</v>
      </c>
      <c r="D67" s="42">
        <f t="shared" si="25"/>
        <v>32.206132329283754</v>
      </c>
      <c r="E67" s="47">
        <v>30</v>
      </c>
      <c r="F67" s="46">
        <f t="shared" si="14"/>
        <v>14.516858237547897</v>
      </c>
      <c r="G67" s="85">
        <v>1.72</v>
      </c>
      <c r="H67" s="42">
        <f t="shared" si="5"/>
        <v>2.0056526842225333</v>
      </c>
      <c r="I67" s="47">
        <f t="shared" si="22"/>
        <v>145</v>
      </c>
      <c r="J67" s="41">
        <f t="shared" si="23"/>
        <v>0.1369650053584863</v>
      </c>
      <c r="K67" s="41">
        <f t="shared" si="24"/>
        <v>0</v>
      </c>
      <c r="L67" s="41">
        <f t="shared" si="6"/>
        <v>-0.1369650053584863</v>
      </c>
    </row>
    <row r="68" spans="1:12">
      <c r="A68" s="47">
        <f t="shared" si="15"/>
        <v>41</v>
      </c>
      <c r="B68" s="47">
        <v>269.39999999999998</v>
      </c>
      <c r="C68" s="41">
        <f t="shared" si="21"/>
        <v>0.73727422003284071</v>
      </c>
      <c r="D68" s="42">
        <f t="shared" si="25"/>
        <v>32.069167323925271</v>
      </c>
      <c r="E68" s="47">
        <v>30</v>
      </c>
      <c r="F68" s="46">
        <f>F67-C68</f>
        <v>13.779584017515056</v>
      </c>
      <c r="G68" s="85">
        <v>1.72</v>
      </c>
      <c r="H68" s="42">
        <f t="shared" si="5"/>
        <v>1.9037906976811041</v>
      </c>
      <c r="I68" s="47">
        <f t="shared" si="22"/>
        <v>145</v>
      </c>
      <c r="J68" s="41">
        <f t="shared" si="23"/>
        <v>0.12436173368271312</v>
      </c>
      <c r="K68" s="41">
        <f t="shared" si="24"/>
        <v>0</v>
      </c>
      <c r="L68" s="41">
        <f t="shared" si="6"/>
        <v>-0.12436173368271312</v>
      </c>
    </row>
    <row r="69" spans="1:12">
      <c r="A69" s="49" t="s">
        <v>190</v>
      </c>
      <c r="B69" s="47"/>
      <c r="C69" s="41"/>
      <c r="D69" s="42"/>
      <c r="E69" s="47"/>
      <c r="F69" s="46"/>
      <c r="G69" s="47"/>
      <c r="H69" s="42"/>
      <c r="I69" s="47"/>
      <c r="J69" s="41"/>
      <c r="K69" s="41"/>
      <c r="L69" s="41"/>
    </row>
    <row r="70" spans="1:12">
      <c r="A70" s="47">
        <f>A68+1</f>
        <v>42</v>
      </c>
      <c r="B70" s="47">
        <v>245.6</v>
      </c>
      <c r="C70" s="41">
        <f t="shared" ref="C70:C80" si="26">(B70/$B$14)*$B$13</f>
        <v>0.67214012041598248</v>
      </c>
      <c r="D70" s="42">
        <f>D68+L68</f>
        <v>31.944805590242559</v>
      </c>
      <c r="E70" s="47">
        <v>25.3</v>
      </c>
      <c r="F70" s="46">
        <f>F68-C70</f>
        <v>13.107443897099074</v>
      </c>
      <c r="G70" s="47">
        <v>1.72</v>
      </c>
      <c r="H70" s="42">
        <f t="shared" si="5"/>
        <v>1.8109276542713972</v>
      </c>
      <c r="I70" s="47">
        <f t="shared" ref="I70:I80" si="27">IF(G70&gt;5,$B$6,IF(5&gt;=G70&gt;1.5,$B$7,IF(1.5&gt;G70,$B$8,0)))</f>
        <v>145</v>
      </c>
      <c r="J70" s="41">
        <f t="shared" ref="J70:J80" si="28">(1050*((F70/I70)^1.852)*(E70/100)*(G70^-4.87))/2.31</f>
        <v>9.5601369509755771E-2</v>
      </c>
      <c r="K70" s="41">
        <f t="shared" ref="K70:K80" si="29">E70*$B$11</f>
        <v>0</v>
      </c>
      <c r="L70" s="41">
        <f t="shared" si="6"/>
        <v>-9.5601369509755771E-2</v>
      </c>
    </row>
    <row r="71" spans="1:12">
      <c r="A71" s="47">
        <f t="shared" si="15"/>
        <v>43</v>
      </c>
      <c r="B71" s="47">
        <v>235.8</v>
      </c>
      <c r="C71" s="41">
        <f t="shared" si="26"/>
        <v>0.64532019704433496</v>
      </c>
      <c r="D71" s="42">
        <f t="shared" ref="D71:D80" si="30">D70+L70</f>
        <v>31.849204220732805</v>
      </c>
      <c r="E71" s="47">
        <v>12.5</v>
      </c>
      <c r="F71" s="46">
        <f t="shared" si="14"/>
        <v>12.46212370005474</v>
      </c>
      <c r="G71" s="85">
        <v>1.72</v>
      </c>
      <c r="H71" s="42">
        <f t="shared" si="5"/>
        <v>1.721770058033576</v>
      </c>
      <c r="I71" s="47">
        <f t="shared" si="27"/>
        <v>145</v>
      </c>
      <c r="J71" s="41">
        <f t="shared" si="28"/>
        <v>4.3017656426567762E-2</v>
      </c>
      <c r="K71" s="41">
        <f t="shared" si="29"/>
        <v>0</v>
      </c>
      <c r="L71" s="41">
        <f t="shared" si="6"/>
        <v>-4.3017656426567762E-2</v>
      </c>
    </row>
    <row r="72" spans="1:12">
      <c r="A72" s="47">
        <f>A71+1</f>
        <v>44</v>
      </c>
      <c r="B72" s="47">
        <v>226</v>
      </c>
      <c r="C72" s="41">
        <f t="shared" si="26"/>
        <v>0.61850027367268745</v>
      </c>
      <c r="D72" s="42">
        <f t="shared" si="30"/>
        <v>31.806186564306238</v>
      </c>
      <c r="E72" s="47">
        <v>12.5</v>
      </c>
      <c r="F72" s="46">
        <f>F71-C72</f>
        <v>11.843623426382052</v>
      </c>
      <c r="G72" s="85">
        <v>1.72</v>
      </c>
      <c r="H72" s="42">
        <f t="shared" si="5"/>
        <v>1.6363179089676405</v>
      </c>
      <c r="I72" s="47">
        <f t="shared" si="27"/>
        <v>145</v>
      </c>
      <c r="J72" s="41">
        <f t="shared" si="28"/>
        <v>3.9147471527339363E-2</v>
      </c>
      <c r="K72" s="41">
        <f t="shared" si="29"/>
        <v>0</v>
      </c>
      <c r="L72" s="41">
        <f t="shared" si="6"/>
        <v>-3.9147471527339363E-2</v>
      </c>
    </row>
    <row r="73" spans="1:12">
      <c r="A73" s="47">
        <f t="shared" si="15"/>
        <v>45</v>
      </c>
      <c r="B73" s="47">
        <v>216.3</v>
      </c>
      <c r="C73" s="41">
        <f t="shared" si="26"/>
        <v>0.59195402298850586</v>
      </c>
      <c r="D73" s="42">
        <f t="shared" si="30"/>
        <v>31.767039092778898</v>
      </c>
      <c r="E73" s="47">
        <v>12.5</v>
      </c>
      <c r="F73" s="46">
        <f t="shared" si="14"/>
        <v>11.251669403393546</v>
      </c>
      <c r="G73" s="85">
        <v>1.72</v>
      </c>
      <c r="H73" s="42">
        <f t="shared" si="5"/>
        <v>1.5545333963881633</v>
      </c>
      <c r="I73" s="47">
        <f t="shared" si="27"/>
        <v>145</v>
      </c>
      <c r="J73" s="41">
        <f t="shared" si="28"/>
        <v>3.5601153656211075E-2</v>
      </c>
      <c r="K73" s="41">
        <f t="shared" si="29"/>
        <v>0</v>
      </c>
      <c r="L73" s="41">
        <f t="shared" si="6"/>
        <v>-3.5601153656211075E-2</v>
      </c>
    </row>
    <row r="74" spans="1:12">
      <c r="A74" s="47">
        <f t="shared" si="15"/>
        <v>46</v>
      </c>
      <c r="B74" s="47">
        <v>206.5</v>
      </c>
      <c r="C74" s="41">
        <f t="shared" si="26"/>
        <v>0.56513409961685823</v>
      </c>
      <c r="D74" s="42">
        <f t="shared" si="30"/>
        <v>31.731437939122689</v>
      </c>
      <c r="E74" s="47">
        <v>12.5</v>
      </c>
      <c r="F74" s="46">
        <f t="shared" si="14"/>
        <v>10.686535303776688</v>
      </c>
      <c r="G74" s="85">
        <v>1.72</v>
      </c>
      <c r="H74" s="42">
        <f t="shared" si="5"/>
        <v>1.4764543309805715</v>
      </c>
      <c r="I74" s="47">
        <f t="shared" si="27"/>
        <v>145</v>
      </c>
      <c r="J74" s="41">
        <f t="shared" si="28"/>
        <v>3.2360575789098796E-2</v>
      </c>
      <c r="K74" s="41">
        <f t="shared" si="29"/>
        <v>0</v>
      </c>
      <c r="L74" s="41">
        <f t="shared" si="6"/>
        <v>-3.2360575789098796E-2</v>
      </c>
    </row>
    <row r="75" spans="1:12">
      <c r="A75" s="47">
        <f t="shared" si="15"/>
        <v>47</v>
      </c>
      <c r="B75" s="47">
        <v>196.8</v>
      </c>
      <c r="C75" s="41">
        <f t="shared" si="26"/>
        <v>0.53858784893267653</v>
      </c>
      <c r="D75" s="42">
        <f t="shared" si="30"/>
        <v>31.69907736333359</v>
      </c>
      <c r="E75" s="47">
        <v>12.5</v>
      </c>
      <c r="F75" s="46">
        <f t="shared" si="14"/>
        <v>10.147947454844012</v>
      </c>
      <c r="G75" s="85">
        <v>1.72</v>
      </c>
      <c r="H75" s="42">
        <f t="shared" si="5"/>
        <v>1.4020429020594385</v>
      </c>
      <c r="I75" s="47">
        <f t="shared" si="27"/>
        <v>145</v>
      </c>
      <c r="J75" s="41">
        <f t="shared" si="28"/>
        <v>2.9405102675346996E-2</v>
      </c>
      <c r="K75" s="41">
        <f t="shared" si="29"/>
        <v>0</v>
      </c>
      <c r="L75" s="41">
        <f t="shared" si="6"/>
        <v>-2.9405102675346996E-2</v>
      </c>
    </row>
    <row r="76" spans="1:12">
      <c r="A76" s="47">
        <f t="shared" si="15"/>
        <v>48</v>
      </c>
      <c r="B76" s="47">
        <v>187</v>
      </c>
      <c r="C76" s="41">
        <f t="shared" si="26"/>
        <v>0.51176792556102901</v>
      </c>
      <c r="D76" s="42">
        <f t="shared" si="30"/>
        <v>31.669672260658242</v>
      </c>
      <c r="E76" s="47">
        <v>12.5</v>
      </c>
      <c r="F76" s="46">
        <f t="shared" si="14"/>
        <v>9.6361795292829822</v>
      </c>
      <c r="G76" s="85">
        <v>1.72</v>
      </c>
      <c r="H76" s="42">
        <f t="shared" si="5"/>
        <v>1.3313369203101908</v>
      </c>
      <c r="I76" s="47">
        <f t="shared" si="27"/>
        <v>145</v>
      </c>
      <c r="J76" s="41">
        <f t="shared" si="28"/>
        <v>2.6717886355453555E-2</v>
      </c>
      <c r="K76" s="41">
        <f t="shared" si="29"/>
        <v>0</v>
      </c>
      <c r="L76" s="41">
        <f t="shared" si="6"/>
        <v>-2.6717886355453555E-2</v>
      </c>
    </row>
    <row r="77" spans="1:12">
      <c r="A77" s="47">
        <f t="shared" si="15"/>
        <v>49</v>
      </c>
      <c r="B77" s="47">
        <v>177.3</v>
      </c>
      <c r="C77" s="41">
        <f t="shared" si="26"/>
        <v>0.48522167487684731</v>
      </c>
      <c r="D77" s="42">
        <f t="shared" si="30"/>
        <v>31.642954374302789</v>
      </c>
      <c r="E77" s="47">
        <v>12.5</v>
      </c>
      <c r="F77" s="46">
        <f t="shared" si="14"/>
        <v>9.1509578544061352</v>
      </c>
      <c r="G77" s="85">
        <v>1.72</v>
      </c>
      <c r="H77" s="42">
        <f t="shared" si="5"/>
        <v>1.2642985750474016</v>
      </c>
      <c r="I77" s="47">
        <f t="shared" si="27"/>
        <v>145</v>
      </c>
      <c r="J77" s="41">
        <f t="shared" si="28"/>
        <v>2.4279867690359152E-2</v>
      </c>
      <c r="K77" s="41">
        <f t="shared" si="29"/>
        <v>0</v>
      </c>
      <c r="L77" s="41">
        <f t="shared" si="6"/>
        <v>-2.4279867690359152E-2</v>
      </c>
    </row>
    <row r="78" spans="1:12">
      <c r="A78" s="47">
        <f t="shared" si="15"/>
        <v>50</v>
      </c>
      <c r="B78" s="47">
        <v>167.5</v>
      </c>
      <c r="C78" s="41">
        <f t="shared" si="26"/>
        <v>0.45840175150519979</v>
      </c>
      <c r="D78" s="42">
        <f t="shared" si="30"/>
        <v>31.618674506612429</v>
      </c>
      <c r="E78" s="47">
        <v>12.5</v>
      </c>
      <c r="F78" s="46">
        <f t="shared" si="14"/>
        <v>8.6925561029009355</v>
      </c>
      <c r="G78" s="85">
        <v>1.72</v>
      </c>
      <c r="H78" s="42">
        <f t="shared" si="5"/>
        <v>1.200965676956498</v>
      </c>
      <c r="I78" s="47">
        <f t="shared" si="27"/>
        <v>145</v>
      </c>
      <c r="J78" s="41">
        <f t="shared" si="28"/>
        <v>2.2075544784004447E-2</v>
      </c>
      <c r="K78" s="41">
        <f t="shared" si="29"/>
        <v>0</v>
      </c>
      <c r="L78" s="41">
        <f t="shared" si="6"/>
        <v>-2.2075544784004447E-2</v>
      </c>
    </row>
    <row r="79" spans="1:12">
      <c r="A79" s="47">
        <f t="shared" si="15"/>
        <v>51</v>
      </c>
      <c r="B79" s="47">
        <v>157.80000000000001</v>
      </c>
      <c r="C79" s="41">
        <f t="shared" si="26"/>
        <v>0.43185550082101809</v>
      </c>
      <c r="D79" s="42">
        <f t="shared" si="30"/>
        <v>31.596598961828423</v>
      </c>
      <c r="E79" s="47">
        <v>12.5</v>
      </c>
      <c r="F79" s="46">
        <f t="shared" si="14"/>
        <v>8.2607006020799183</v>
      </c>
      <c r="G79" s="85">
        <v>1.72</v>
      </c>
      <c r="H79" s="42">
        <f t="shared" si="5"/>
        <v>1.141300415352053</v>
      </c>
      <c r="I79" s="47">
        <f t="shared" si="27"/>
        <v>145</v>
      </c>
      <c r="J79" s="41">
        <f t="shared" si="28"/>
        <v>2.0087482949140718E-2</v>
      </c>
      <c r="K79" s="41">
        <f t="shared" si="29"/>
        <v>0</v>
      </c>
      <c r="L79" s="41">
        <f t="shared" si="6"/>
        <v>-2.0087482949140718E-2</v>
      </c>
    </row>
    <row r="80" spans="1:12">
      <c r="A80" s="47">
        <f t="shared" si="15"/>
        <v>52</v>
      </c>
      <c r="B80" s="47">
        <v>148</v>
      </c>
      <c r="C80" s="41">
        <f t="shared" si="26"/>
        <v>0.40503557744937058</v>
      </c>
      <c r="D80" s="42">
        <f t="shared" si="30"/>
        <v>31.576511478879283</v>
      </c>
      <c r="E80" s="47">
        <v>12.5</v>
      </c>
      <c r="F80" s="46">
        <f t="shared" si="14"/>
        <v>7.8556650246305475</v>
      </c>
      <c r="G80" s="85">
        <v>1.72</v>
      </c>
      <c r="H80" s="42">
        <f t="shared" si="5"/>
        <v>1.0853406009194932</v>
      </c>
      <c r="I80" s="47">
        <f t="shared" si="27"/>
        <v>145</v>
      </c>
      <c r="J80" s="41">
        <f t="shared" si="28"/>
        <v>1.8301601328644935E-2</v>
      </c>
      <c r="K80" s="41">
        <f t="shared" si="29"/>
        <v>0</v>
      </c>
      <c r="L80" s="41">
        <f t="shared" si="6"/>
        <v>-1.8301601328644935E-2</v>
      </c>
    </row>
    <row r="81" spans="1:11">
      <c r="A81" s="47"/>
      <c r="B81" s="47"/>
      <c r="C81" s="41"/>
      <c r="D81" s="42"/>
      <c r="E81" s="47"/>
      <c r="F81" s="46"/>
      <c r="G81" s="47"/>
      <c r="H81" s="47"/>
      <c r="I81" s="41"/>
      <c r="J81" s="41"/>
      <c r="K81" s="41"/>
    </row>
    <row r="82" spans="1:11">
      <c r="A82" s="47"/>
      <c r="B82" s="47"/>
      <c r="C82" s="57" t="s">
        <v>124</v>
      </c>
      <c r="D82" s="63">
        <f>AVERAGE(D70:D80,D60:D68,D49:D58,D37:D47,D24:D35)</f>
        <v>27.365165361803211</v>
      </c>
      <c r="E82" s="47" t="s">
        <v>199</v>
      </c>
      <c r="F82" s="46"/>
      <c r="G82" s="47"/>
      <c r="H82" s="47"/>
      <c r="I82" s="41"/>
      <c r="J82" s="41"/>
      <c r="K82" s="41"/>
    </row>
    <row r="83" spans="1:11">
      <c r="A83" s="47"/>
      <c r="B83" s="47"/>
      <c r="C83" s="57" t="s">
        <v>125</v>
      </c>
      <c r="D83" s="63">
        <f>MAX(D70:D80,D60:D68,D49:D58,D37:D47,D24:D35)</f>
        <v>33.700000000000003</v>
      </c>
      <c r="E83" s="47" t="s">
        <v>199</v>
      </c>
      <c r="F83" s="46"/>
      <c r="G83" s="47"/>
      <c r="H83" s="47"/>
      <c r="I83" s="41"/>
      <c r="J83" s="41"/>
      <c r="K83" s="41"/>
    </row>
    <row r="84" spans="1:11" ht="30">
      <c r="C84" s="44" t="s">
        <v>194</v>
      </c>
      <c r="D84" s="63">
        <f>AVERAGE(D70:D80,D60:D68,D49:D58,D37:D47,D24:D35)</f>
        <v>27.365165361803211</v>
      </c>
      <c r="E84" s="47" t="s">
        <v>199</v>
      </c>
    </row>
    <row r="85" spans="1:11" ht="30">
      <c r="C85" s="24" t="s">
        <v>193</v>
      </c>
      <c r="D85" s="62">
        <f>SUM(C70:C80,C60:C68,C49:C58,C37:C47,C25:C35)</f>
        <v>46.325944170771763</v>
      </c>
    </row>
    <row r="86" spans="1:11" ht="60">
      <c r="C86" s="26" t="s">
        <v>195</v>
      </c>
      <c r="D86" s="62">
        <f>SUM(E70:E80,E60:E68,E49:E58,E37:E47,E25:E35)</f>
        <v>695.40000000000077</v>
      </c>
    </row>
  </sheetData>
  <printOptions headings="1" gridLines="1"/>
  <pageMargins left="1" right="0" top="1" bottom="0" header="0.5" footer="0"/>
  <pageSetup scale="80" firstPageNumber="53" orientation="portrait" useFirstPageNumber="1" r:id="rId1"/>
  <headerFooter>
    <oddHeader>&amp;R&amp;P</oddHeader>
  </headerFooter>
  <drawing r:id="rId2"/>
</worksheet>
</file>

<file path=xl/worksheets/sheet9.xml><?xml version="1.0" encoding="utf-8"?>
<worksheet xmlns="http://schemas.openxmlformats.org/spreadsheetml/2006/main" xmlns:r="http://schemas.openxmlformats.org/officeDocument/2006/relationships">
  <dimension ref="A1:L59"/>
  <sheetViews>
    <sheetView topLeftCell="A37" workbookViewId="0">
      <selection activeCell="F59" sqref="F59"/>
    </sheetView>
  </sheetViews>
  <sheetFormatPr defaultRowHeight="15"/>
  <sheetData>
    <row r="1" spans="1:3">
      <c r="A1" s="1" t="s">
        <v>91</v>
      </c>
    </row>
    <row r="3" spans="1:3">
      <c r="A3" s="1" t="s">
        <v>171</v>
      </c>
    </row>
    <row r="4" spans="1:3">
      <c r="C4" s="11"/>
    </row>
    <row r="5" spans="1:3">
      <c r="B5">
        <v>150</v>
      </c>
      <c r="C5" t="s">
        <v>177</v>
      </c>
    </row>
    <row r="6" spans="1:3">
      <c r="B6">
        <v>145</v>
      </c>
      <c r="C6" t="s">
        <v>176</v>
      </c>
    </row>
    <row r="7" spans="1:3">
      <c r="B7">
        <v>140</v>
      </c>
      <c r="C7" t="s">
        <v>178</v>
      </c>
    </row>
    <row r="8" spans="1:3">
      <c r="B8">
        <v>0</v>
      </c>
      <c r="C8" t="s">
        <v>179</v>
      </c>
    </row>
    <row r="9" spans="1:3">
      <c r="B9">
        <v>235.5</v>
      </c>
      <c r="C9" t="s">
        <v>180</v>
      </c>
    </row>
    <row r="10" spans="1:3">
      <c r="B10" s="3">
        <f>B8/B9</f>
        <v>0</v>
      </c>
      <c r="C10" t="s">
        <v>181</v>
      </c>
    </row>
    <row r="11" spans="1:3">
      <c r="B11">
        <v>0.5</v>
      </c>
      <c r="C11" t="s">
        <v>69</v>
      </c>
    </row>
    <row r="12" spans="1:3">
      <c r="B12" s="21">
        <f>B11/60</f>
        <v>8.3333333333333332E-3</v>
      </c>
      <c r="C12" t="s">
        <v>185</v>
      </c>
    </row>
    <row r="13" spans="1:3">
      <c r="B13" s="21">
        <f>3.045</f>
        <v>3.0449999999999999</v>
      </c>
      <c r="C13" t="s">
        <v>186</v>
      </c>
    </row>
    <row r="17" spans="1:12">
      <c r="B17" s="11" t="s">
        <v>330</v>
      </c>
    </row>
    <row r="18" spans="1:12">
      <c r="B18" s="11" t="s">
        <v>331</v>
      </c>
    </row>
    <row r="20" spans="1:12">
      <c r="A20" s="1" t="s">
        <v>201</v>
      </c>
    </row>
    <row r="21" spans="1:12" ht="30">
      <c r="A21" s="27" t="s">
        <v>173</v>
      </c>
      <c r="B21" s="44" t="s">
        <v>183</v>
      </c>
      <c r="C21" s="24" t="s">
        <v>184</v>
      </c>
      <c r="D21" s="24" t="s">
        <v>182</v>
      </c>
      <c r="E21" s="27" t="s">
        <v>116</v>
      </c>
      <c r="F21" s="24" t="s">
        <v>123</v>
      </c>
      <c r="G21" s="26" t="s">
        <v>175</v>
      </c>
      <c r="H21" s="24" t="s">
        <v>200</v>
      </c>
      <c r="I21" s="26" t="s">
        <v>187</v>
      </c>
      <c r="J21" s="27" t="s">
        <v>119</v>
      </c>
      <c r="K21" s="24" t="s">
        <v>120</v>
      </c>
      <c r="L21" s="24" t="s">
        <v>121</v>
      </c>
    </row>
    <row r="22" spans="1:12">
      <c r="A22" s="40" t="s">
        <v>174</v>
      </c>
      <c r="B22" s="47">
        <v>0</v>
      </c>
      <c r="C22" s="43">
        <v>0</v>
      </c>
      <c r="D22" s="43">
        <v>25</v>
      </c>
      <c r="E22" s="47">
        <v>0</v>
      </c>
      <c r="F22" s="42">
        <v>46.3</v>
      </c>
      <c r="G22" s="47">
        <v>2.1930000000000001</v>
      </c>
      <c r="H22" s="42">
        <f>(F22/448.8)/(3.14*((G22/12)^2)/4)</f>
        <v>3.9349907406354361</v>
      </c>
      <c r="I22" s="47">
        <f t="shared" ref="I22:I53" si="0">IF(G22&gt;5,$B$5,IF(5&gt;=G22&gt;1.5,$B$6,IF(1.5&gt;G22,$B$7,0)))</f>
        <v>145</v>
      </c>
      <c r="J22" s="46">
        <f t="shared" ref="J22:J33" si="1">(1050*((F22/I22)^1.852)*(E22/100)*(G22^-4.87))/2.31</f>
        <v>0</v>
      </c>
      <c r="K22" s="41">
        <f t="shared" ref="K22:K53" si="2">E22*$B$10</f>
        <v>0</v>
      </c>
      <c r="L22" s="41">
        <f>-K22-J22</f>
        <v>0</v>
      </c>
    </row>
    <row r="23" spans="1:12">
      <c r="A23" s="47">
        <v>1</v>
      </c>
      <c r="B23" s="47">
        <v>522</v>
      </c>
      <c r="C23" s="41">
        <f t="shared" ref="C23:C53" si="3">(B23/$B$13)*$B$12</f>
        <v>1.4285714285714286</v>
      </c>
      <c r="D23" s="42">
        <f t="shared" ref="D23:D53" si="4">D22+L22</f>
        <v>25</v>
      </c>
      <c r="E23" s="47">
        <v>2.2000000000000002</v>
      </c>
      <c r="F23" s="46">
        <f>F22-C23</f>
        <v>44.871428571428567</v>
      </c>
      <c r="G23" s="85">
        <v>2.1930000000000001</v>
      </c>
      <c r="H23" s="42">
        <f t="shared" ref="H23:H33" si="5">(F23/448.8)/(3.14*((G23/12)^2)/4)</f>
        <v>3.813577882238786</v>
      </c>
      <c r="I23" s="47">
        <f t="shared" si="0"/>
        <v>145</v>
      </c>
      <c r="J23" s="41">
        <f t="shared" si="1"/>
        <v>2.4873481195950072E-2</v>
      </c>
      <c r="K23" s="41">
        <f t="shared" si="2"/>
        <v>0</v>
      </c>
      <c r="L23" s="41">
        <f t="shared" ref="L23:L33" si="6">-K23-J23</f>
        <v>-2.4873481195950072E-2</v>
      </c>
    </row>
    <row r="24" spans="1:12">
      <c r="A24" s="47">
        <f>A23+1</f>
        <v>2</v>
      </c>
      <c r="B24" s="47">
        <v>522.1</v>
      </c>
      <c r="C24" s="41">
        <f t="shared" si="3"/>
        <v>1.4288451012588943</v>
      </c>
      <c r="D24" s="42">
        <f t="shared" si="4"/>
        <v>24.97512651880405</v>
      </c>
      <c r="E24" s="47">
        <v>7.7</v>
      </c>
      <c r="F24" s="46">
        <f t="shared" ref="F24:F53" si="7">F23-C24</f>
        <v>43.442583470169673</v>
      </c>
      <c r="G24" s="85">
        <v>2.1930000000000001</v>
      </c>
      <c r="H24" s="42">
        <f t="shared" si="5"/>
        <v>3.6921417646738606</v>
      </c>
      <c r="I24" s="47">
        <f t="shared" si="0"/>
        <v>145</v>
      </c>
      <c r="J24" s="41">
        <f t="shared" si="1"/>
        <v>8.1992879961858611E-2</v>
      </c>
      <c r="K24" s="41">
        <f t="shared" si="2"/>
        <v>0</v>
      </c>
      <c r="L24" s="41">
        <f t="shared" si="6"/>
        <v>-8.1992879961858611E-2</v>
      </c>
    </row>
    <row r="25" spans="1:12">
      <c r="A25" s="47">
        <f t="shared" ref="A25:A53" si="8">A24+1</f>
        <v>3</v>
      </c>
      <c r="B25" s="47">
        <v>522.20000000000005</v>
      </c>
      <c r="C25" s="41">
        <f t="shared" si="3"/>
        <v>1.4291187739463602</v>
      </c>
      <c r="D25" s="42">
        <f t="shared" si="4"/>
        <v>24.89313363884219</v>
      </c>
      <c r="E25" s="47">
        <v>7.7</v>
      </c>
      <c r="F25" s="46">
        <f t="shared" si="7"/>
        <v>42.013464696223309</v>
      </c>
      <c r="G25" s="85">
        <v>2.1930000000000001</v>
      </c>
      <c r="H25" s="42">
        <f t="shared" si="5"/>
        <v>3.5706823879406593</v>
      </c>
      <c r="I25" s="47">
        <f t="shared" si="0"/>
        <v>145</v>
      </c>
      <c r="J25" s="41">
        <f t="shared" si="1"/>
        <v>7.7067605507936884E-2</v>
      </c>
      <c r="K25" s="41">
        <f t="shared" si="2"/>
        <v>0</v>
      </c>
      <c r="L25" s="41">
        <f t="shared" si="6"/>
        <v>-7.7067605507936884E-2</v>
      </c>
    </row>
    <row r="26" spans="1:12">
      <c r="A26" s="47">
        <f>A25+1</f>
        <v>4</v>
      </c>
      <c r="B26" s="47">
        <v>522.29999999999995</v>
      </c>
      <c r="C26" s="41">
        <f t="shared" si="3"/>
        <v>1.4293924466338259</v>
      </c>
      <c r="D26" s="42">
        <f t="shared" si="4"/>
        <v>24.816066033334252</v>
      </c>
      <c r="E26" s="47">
        <v>7.7</v>
      </c>
      <c r="F26" s="46">
        <f t="shared" si="7"/>
        <v>40.584072249589482</v>
      </c>
      <c r="G26" s="85">
        <v>2.1930000000000001</v>
      </c>
      <c r="H26" s="42">
        <f t="shared" si="5"/>
        <v>3.4491997520391831</v>
      </c>
      <c r="I26" s="47">
        <f t="shared" si="0"/>
        <v>145</v>
      </c>
      <c r="J26" s="41">
        <f t="shared" si="1"/>
        <v>7.2282136479386389E-2</v>
      </c>
      <c r="K26" s="41">
        <f t="shared" si="2"/>
        <v>0</v>
      </c>
      <c r="L26" s="41">
        <f t="shared" si="6"/>
        <v>-7.2282136479386389E-2</v>
      </c>
    </row>
    <row r="27" spans="1:12">
      <c r="A27" s="47">
        <f t="shared" si="8"/>
        <v>5</v>
      </c>
      <c r="B27" s="47">
        <v>522.29999999999995</v>
      </c>
      <c r="C27" s="41">
        <f t="shared" si="3"/>
        <v>1.4293924466338259</v>
      </c>
      <c r="D27" s="42">
        <f t="shared" si="4"/>
        <v>24.743783896854865</v>
      </c>
      <c r="E27" s="47">
        <v>7.7</v>
      </c>
      <c r="F27" s="46">
        <f t="shared" si="7"/>
        <v>39.154679802955656</v>
      </c>
      <c r="G27" s="85">
        <v>2.1930000000000001</v>
      </c>
      <c r="H27" s="42">
        <f t="shared" si="5"/>
        <v>3.3277171161377068</v>
      </c>
      <c r="I27" s="47">
        <f t="shared" si="0"/>
        <v>145</v>
      </c>
      <c r="J27" s="41">
        <f t="shared" si="1"/>
        <v>6.7638152616751851E-2</v>
      </c>
      <c r="K27" s="41">
        <f t="shared" si="2"/>
        <v>0</v>
      </c>
      <c r="L27" s="41">
        <f t="shared" si="6"/>
        <v>-6.7638152616751851E-2</v>
      </c>
    </row>
    <row r="28" spans="1:12">
      <c r="A28" s="47">
        <f t="shared" si="8"/>
        <v>6</v>
      </c>
      <c r="B28" s="47">
        <v>522.4</v>
      </c>
      <c r="C28" s="41">
        <f t="shared" si="3"/>
        <v>1.4296661193212916</v>
      </c>
      <c r="D28" s="42">
        <f t="shared" si="4"/>
        <v>24.676145744238113</v>
      </c>
      <c r="E28" s="47">
        <v>7.7</v>
      </c>
      <c r="F28" s="46">
        <f t="shared" si="7"/>
        <v>37.725013683634366</v>
      </c>
      <c r="G28" s="85">
        <v>2.1930000000000001</v>
      </c>
      <c r="H28" s="42">
        <f t="shared" si="5"/>
        <v>3.2062112210679561</v>
      </c>
      <c r="I28" s="47">
        <f t="shared" si="0"/>
        <v>145</v>
      </c>
      <c r="J28" s="41">
        <f t="shared" si="1"/>
        <v>6.3135558674197165E-2</v>
      </c>
      <c r="K28" s="41">
        <f t="shared" si="2"/>
        <v>0</v>
      </c>
      <c r="L28" s="41">
        <f t="shared" si="6"/>
        <v>-6.3135558674197165E-2</v>
      </c>
    </row>
    <row r="29" spans="1:12">
      <c r="A29" s="47">
        <f t="shared" si="8"/>
        <v>7</v>
      </c>
      <c r="B29" s="47">
        <v>522.5</v>
      </c>
      <c r="C29" s="41">
        <f t="shared" si="3"/>
        <v>1.4299397920087575</v>
      </c>
      <c r="D29" s="42">
        <f t="shared" si="4"/>
        <v>24.613010185563915</v>
      </c>
      <c r="E29" s="47">
        <v>7.7</v>
      </c>
      <c r="F29" s="46">
        <f t="shared" si="7"/>
        <v>36.295073891625606</v>
      </c>
      <c r="G29" s="85">
        <v>2.1930000000000001</v>
      </c>
      <c r="H29" s="42">
        <f t="shared" si="5"/>
        <v>3.0846820668299295</v>
      </c>
      <c r="I29" s="47">
        <f t="shared" si="0"/>
        <v>145</v>
      </c>
      <c r="J29" s="41">
        <f t="shared" si="1"/>
        <v>5.8775222298536697E-2</v>
      </c>
      <c r="K29" s="41">
        <f t="shared" si="2"/>
        <v>0</v>
      </c>
      <c r="L29" s="41">
        <f t="shared" si="6"/>
        <v>-5.8775222298536697E-2</v>
      </c>
    </row>
    <row r="30" spans="1:12">
      <c r="A30" s="47">
        <f t="shared" si="8"/>
        <v>8</v>
      </c>
      <c r="B30" s="47">
        <v>522.6</v>
      </c>
      <c r="C30" s="41">
        <f t="shared" si="3"/>
        <v>1.4302134646962235</v>
      </c>
      <c r="D30" s="42">
        <f t="shared" si="4"/>
        <v>24.55423496326538</v>
      </c>
      <c r="E30" s="47">
        <v>7.7</v>
      </c>
      <c r="F30" s="46">
        <f t="shared" si="7"/>
        <v>34.864860426929383</v>
      </c>
      <c r="G30" s="51">
        <v>1.72</v>
      </c>
      <c r="H30" s="42">
        <f t="shared" si="5"/>
        <v>4.8169376428467841</v>
      </c>
      <c r="I30" s="47">
        <f t="shared" si="0"/>
        <v>145</v>
      </c>
      <c r="J30" s="41">
        <f t="shared" si="1"/>
        <v>0.17811209661349636</v>
      </c>
      <c r="K30" s="41">
        <f t="shared" si="2"/>
        <v>0</v>
      </c>
      <c r="L30" s="41">
        <f t="shared" si="6"/>
        <v>-0.17811209661349636</v>
      </c>
    </row>
    <row r="31" spans="1:12">
      <c r="A31" s="47">
        <f t="shared" si="8"/>
        <v>9</v>
      </c>
      <c r="B31" s="47">
        <v>522.70000000000005</v>
      </c>
      <c r="C31" s="41">
        <f t="shared" si="3"/>
        <v>1.4304871373836894</v>
      </c>
      <c r="D31" s="42">
        <f t="shared" si="4"/>
        <v>24.376122866651883</v>
      </c>
      <c r="E31" s="47">
        <v>7.7</v>
      </c>
      <c r="F31" s="46">
        <f t="shared" si="7"/>
        <v>33.434373289545697</v>
      </c>
      <c r="G31" s="85">
        <v>1.72</v>
      </c>
      <c r="H31" s="42">
        <f t="shared" si="5"/>
        <v>4.6193011901177394</v>
      </c>
      <c r="I31" s="47">
        <f t="shared" si="0"/>
        <v>145</v>
      </c>
      <c r="J31" s="41">
        <f t="shared" si="1"/>
        <v>0.16481500579411945</v>
      </c>
      <c r="K31" s="41">
        <f t="shared" si="2"/>
        <v>0</v>
      </c>
      <c r="L31" s="41">
        <f t="shared" si="6"/>
        <v>-0.16481500579411945</v>
      </c>
    </row>
    <row r="32" spans="1:12">
      <c r="A32" s="47">
        <f t="shared" si="8"/>
        <v>10</v>
      </c>
      <c r="B32" s="47">
        <v>522.79999999999995</v>
      </c>
      <c r="C32" s="41">
        <f t="shared" si="3"/>
        <v>1.4307608100711549</v>
      </c>
      <c r="D32" s="42">
        <f t="shared" si="4"/>
        <v>24.211307860857765</v>
      </c>
      <c r="E32" s="47">
        <v>7.7</v>
      </c>
      <c r="F32" s="46">
        <f t="shared" si="7"/>
        <v>32.00361247947454</v>
      </c>
      <c r="G32" s="85">
        <v>1.72</v>
      </c>
      <c r="H32" s="42">
        <f t="shared" si="5"/>
        <v>4.4216269267032651</v>
      </c>
      <c r="I32" s="47">
        <f t="shared" si="0"/>
        <v>145</v>
      </c>
      <c r="J32" s="41">
        <f t="shared" si="1"/>
        <v>0.15199157711953701</v>
      </c>
      <c r="K32" s="41">
        <f t="shared" si="2"/>
        <v>0</v>
      </c>
      <c r="L32" s="41">
        <f t="shared" si="6"/>
        <v>-0.15199157711953701</v>
      </c>
    </row>
    <row r="33" spans="1:12">
      <c r="A33" s="47">
        <f t="shared" si="8"/>
        <v>11</v>
      </c>
      <c r="B33" s="47">
        <v>522.9</v>
      </c>
      <c r="C33" s="41">
        <f t="shared" si="3"/>
        <v>1.4310344827586206</v>
      </c>
      <c r="D33" s="42">
        <f t="shared" si="4"/>
        <v>24.059316283738227</v>
      </c>
      <c r="E33" s="47">
        <v>7.7</v>
      </c>
      <c r="F33" s="46">
        <f t="shared" si="7"/>
        <v>30.572577996715921</v>
      </c>
      <c r="G33" s="85">
        <v>1.72</v>
      </c>
      <c r="H33" s="42">
        <f t="shared" si="5"/>
        <v>4.2239148526033636</v>
      </c>
      <c r="I33" s="47">
        <f t="shared" si="0"/>
        <v>145</v>
      </c>
      <c r="J33" s="41">
        <f t="shared" si="1"/>
        <v>0.13964517863882306</v>
      </c>
      <c r="K33" s="41">
        <f t="shared" si="2"/>
        <v>0</v>
      </c>
      <c r="L33" s="41">
        <f t="shared" si="6"/>
        <v>-0.13964517863882306</v>
      </c>
    </row>
    <row r="34" spans="1:12">
      <c r="A34" s="47">
        <f t="shared" si="8"/>
        <v>12</v>
      </c>
      <c r="B34" s="47">
        <v>523</v>
      </c>
      <c r="C34" s="41">
        <f t="shared" si="3"/>
        <v>1.4313081554460865</v>
      </c>
      <c r="D34" s="42">
        <f t="shared" si="4"/>
        <v>23.919671105099404</v>
      </c>
      <c r="E34" s="47">
        <v>7.7</v>
      </c>
      <c r="F34" s="46">
        <f t="shared" si="7"/>
        <v>29.141269841269835</v>
      </c>
      <c r="G34" s="85">
        <v>1.72</v>
      </c>
      <c r="H34" s="42">
        <f t="shared" ref="H34:H53" si="9">(F34/448.8)/(3.14*((G34/12)^2)/4)</f>
        <v>4.0261649678180351</v>
      </c>
      <c r="I34" s="47">
        <f t="shared" si="0"/>
        <v>145</v>
      </c>
      <c r="J34" s="41">
        <f t="shared" ref="J34:J53" si="10">(1050*((F34/I34)^1.852)*(E34/100)*(G34^-4.87))/2.31</f>
        <v>0.12777934530259355</v>
      </c>
      <c r="K34" s="41">
        <f t="shared" si="2"/>
        <v>0</v>
      </c>
      <c r="L34" s="41">
        <f t="shared" ref="L34:L53" si="11">-K34-J34</f>
        <v>-0.12777934530259355</v>
      </c>
    </row>
    <row r="35" spans="1:12">
      <c r="A35" s="47">
        <f t="shared" si="8"/>
        <v>13</v>
      </c>
      <c r="B35" s="47">
        <v>523.1</v>
      </c>
      <c r="C35" s="41">
        <f t="shared" si="3"/>
        <v>1.4315818281335524</v>
      </c>
      <c r="D35" s="42">
        <f t="shared" si="4"/>
        <v>23.791891759796812</v>
      </c>
      <c r="E35" s="47">
        <v>7.7</v>
      </c>
      <c r="F35" s="46">
        <f t="shared" si="7"/>
        <v>27.709688013136283</v>
      </c>
      <c r="G35" s="85">
        <v>1.72</v>
      </c>
      <c r="H35" s="42">
        <f t="shared" si="9"/>
        <v>3.8283772723472791</v>
      </c>
      <c r="I35" s="47">
        <f t="shared" si="0"/>
        <v>145</v>
      </c>
      <c r="J35" s="41">
        <f t="shared" si="10"/>
        <v>0.11639779618991784</v>
      </c>
      <c r="K35" s="41">
        <f t="shared" si="2"/>
        <v>0</v>
      </c>
      <c r="L35" s="41">
        <f t="shared" si="11"/>
        <v>-0.11639779618991784</v>
      </c>
    </row>
    <row r="36" spans="1:12">
      <c r="A36" s="47">
        <f t="shared" si="8"/>
        <v>14</v>
      </c>
      <c r="B36" s="47">
        <v>523.20000000000005</v>
      </c>
      <c r="C36" s="41">
        <f t="shared" si="3"/>
        <v>1.4318555008210183</v>
      </c>
      <c r="D36" s="42">
        <f t="shared" si="4"/>
        <v>23.675493963606893</v>
      </c>
      <c r="E36" s="47">
        <v>7.7</v>
      </c>
      <c r="F36" s="46">
        <f t="shared" si="7"/>
        <v>26.277832512315264</v>
      </c>
      <c r="G36" s="85">
        <v>1.72</v>
      </c>
      <c r="H36" s="42">
        <f t="shared" si="9"/>
        <v>3.6305517661910955</v>
      </c>
      <c r="I36" s="47">
        <f t="shared" si="0"/>
        <v>145</v>
      </c>
      <c r="J36" s="41">
        <f t="shared" si="10"/>
        <v>0.10550445448362093</v>
      </c>
      <c r="K36" s="41">
        <f t="shared" si="2"/>
        <v>0</v>
      </c>
      <c r="L36" s="41">
        <f t="shared" si="11"/>
        <v>-0.10550445448362093</v>
      </c>
    </row>
    <row r="37" spans="1:12">
      <c r="A37" s="47">
        <f t="shared" si="8"/>
        <v>15</v>
      </c>
      <c r="B37" s="47">
        <v>523.29999999999995</v>
      </c>
      <c r="C37" s="41">
        <f t="shared" si="3"/>
        <v>1.4321291735084836</v>
      </c>
      <c r="D37" s="42">
        <f t="shared" si="4"/>
        <v>23.569989509123271</v>
      </c>
      <c r="E37" s="47">
        <v>7.7</v>
      </c>
      <c r="F37" s="46">
        <f t="shared" si="7"/>
        <v>24.845703338806782</v>
      </c>
      <c r="G37" s="85">
        <v>1.72</v>
      </c>
      <c r="H37" s="42">
        <f t="shared" si="9"/>
        <v>3.4326884493494849</v>
      </c>
      <c r="I37" s="47">
        <f t="shared" si="0"/>
        <v>145</v>
      </c>
      <c r="J37" s="41">
        <f t="shared" si="10"/>
        <v>9.5103470803557258E-2</v>
      </c>
      <c r="K37" s="41">
        <f t="shared" si="2"/>
        <v>0</v>
      </c>
      <c r="L37" s="41">
        <f t="shared" si="11"/>
        <v>-9.5103470803557258E-2</v>
      </c>
    </row>
    <row r="38" spans="1:12">
      <c r="A38" s="47">
        <f t="shared" si="8"/>
        <v>16</v>
      </c>
      <c r="B38" s="47">
        <v>523.4</v>
      </c>
      <c r="C38" s="41">
        <f t="shared" si="3"/>
        <v>1.4324028461959495</v>
      </c>
      <c r="D38" s="42">
        <f t="shared" si="4"/>
        <v>23.474886038319713</v>
      </c>
      <c r="E38" s="47">
        <v>7.7</v>
      </c>
      <c r="F38" s="46">
        <f t="shared" si="7"/>
        <v>23.413300492610833</v>
      </c>
      <c r="G38" s="85">
        <v>1.72</v>
      </c>
      <c r="H38" s="42">
        <f t="shared" si="9"/>
        <v>3.2347873218224463</v>
      </c>
      <c r="I38" s="47">
        <f t="shared" si="0"/>
        <v>145</v>
      </c>
      <c r="J38" s="41">
        <f t="shared" si="10"/>
        <v>8.5199250684922498E-2</v>
      </c>
      <c r="K38" s="41">
        <f t="shared" si="2"/>
        <v>0</v>
      </c>
      <c r="L38" s="41">
        <f t="shared" si="11"/>
        <v>-8.5199250684922498E-2</v>
      </c>
    </row>
    <row r="39" spans="1:12">
      <c r="A39" s="47">
        <f t="shared" si="8"/>
        <v>17</v>
      </c>
      <c r="B39" s="47">
        <v>523.5</v>
      </c>
      <c r="C39" s="41">
        <f t="shared" si="3"/>
        <v>1.4326765188834154</v>
      </c>
      <c r="D39" s="42">
        <f t="shared" si="4"/>
        <v>23.38968678763479</v>
      </c>
      <c r="E39" s="47">
        <v>7.7</v>
      </c>
      <c r="F39" s="46">
        <f t="shared" si="7"/>
        <v>21.980623973727418</v>
      </c>
      <c r="G39" s="85">
        <v>1.72</v>
      </c>
      <c r="H39" s="42">
        <f t="shared" si="9"/>
        <v>3.0368483836099807</v>
      </c>
      <c r="I39" s="47">
        <f t="shared" si="0"/>
        <v>145</v>
      </c>
      <c r="J39" s="41">
        <f t="shared" si="10"/>
        <v>7.5796487231629447E-2</v>
      </c>
      <c r="K39" s="41">
        <f t="shared" si="2"/>
        <v>0</v>
      </c>
      <c r="L39" s="41">
        <f t="shared" si="11"/>
        <v>-7.5796487231629447E-2</v>
      </c>
    </row>
    <row r="40" spans="1:12">
      <c r="A40" s="47">
        <f t="shared" si="8"/>
        <v>18</v>
      </c>
      <c r="B40" s="47">
        <v>523.6</v>
      </c>
      <c r="C40" s="41">
        <f t="shared" si="3"/>
        <v>1.4329501915708813</v>
      </c>
      <c r="D40" s="42">
        <f t="shared" si="4"/>
        <v>23.313890300403163</v>
      </c>
      <c r="E40" s="47">
        <v>7.7</v>
      </c>
      <c r="F40" s="46">
        <f t="shared" si="7"/>
        <v>20.547673782156537</v>
      </c>
      <c r="G40" s="85">
        <v>1.72</v>
      </c>
      <c r="H40" s="42">
        <f t="shared" si="9"/>
        <v>2.8388716347120875</v>
      </c>
      <c r="I40" s="47">
        <f t="shared" si="0"/>
        <v>145</v>
      </c>
      <c r="J40" s="41">
        <f t="shared" si="10"/>
        <v>6.6900200313133026E-2</v>
      </c>
      <c r="K40" s="41">
        <f t="shared" si="2"/>
        <v>0</v>
      </c>
      <c r="L40" s="41">
        <f t="shared" si="11"/>
        <v>-6.6900200313133026E-2</v>
      </c>
    </row>
    <row r="41" spans="1:12">
      <c r="A41" s="47">
        <f t="shared" si="8"/>
        <v>19</v>
      </c>
      <c r="B41" s="47">
        <v>523.70000000000005</v>
      </c>
      <c r="C41" s="41">
        <f t="shared" si="3"/>
        <v>1.4332238642583472</v>
      </c>
      <c r="D41" s="42">
        <f t="shared" si="4"/>
        <v>23.246990100090031</v>
      </c>
      <c r="E41" s="47">
        <v>7.7</v>
      </c>
      <c r="F41" s="46">
        <f t="shared" si="7"/>
        <v>19.114449917898188</v>
      </c>
      <c r="G41" s="85">
        <v>1.72</v>
      </c>
      <c r="H41" s="42">
        <f t="shared" si="9"/>
        <v>2.6408570751287668</v>
      </c>
      <c r="I41" s="47">
        <f t="shared" si="0"/>
        <v>145</v>
      </c>
      <c r="J41" s="41">
        <f t="shared" si="10"/>
        <v>5.8515784153416024E-2</v>
      </c>
      <c r="K41" s="41">
        <f t="shared" si="2"/>
        <v>0</v>
      </c>
      <c r="L41" s="41">
        <f t="shared" si="11"/>
        <v>-5.8515784153416024E-2</v>
      </c>
    </row>
    <row r="42" spans="1:12">
      <c r="A42" s="47">
        <f t="shared" si="8"/>
        <v>20</v>
      </c>
      <c r="B42" s="47">
        <v>523.79999999999995</v>
      </c>
      <c r="C42" s="41">
        <f t="shared" si="3"/>
        <v>1.4334975369458127</v>
      </c>
      <c r="D42" s="42">
        <f t="shared" si="4"/>
        <v>23.188474315936613</v>
      </c>
      <c r="E42" s="47">
        <v>7.7</v>
      </c>
      <c r="F42" s="46">
        <f t="shared" si="7"/>
        <v>17.680952380952377</v>
      </c>
      <c r="G42" s="85">
        <v>1.72</v>
      </c>
      <c r="H42" s="42">
        <f t="shared" si="9"/>
        <v>2.442804704860019</v>
      </c>
      <c r="I42" s="47">
        <f t="shared" si="0"/>
        <v>145</v>
      </c>
      <c r="J42" s="41">
        <f t="shared" si="10"/>
        <v>5.0649065857578557E-2</v>
      </c>
      <c r="K42" s="41">
        <f t="shared" si="2"/>
        <v>0</v>
      </c>
      <c r="L42" s="41">
        <f t="shared" si="11"/>
        <v>-5.0649065857578557E-2</v>
      </c>
    </row>
    <row r="43" spans="1:12">
      <c r="A43" s="47">
        <f t="shared" si="8"/>
        <v>21</v>
      </c>
      <c r="B43" s="47">
        <v>523.9</v>
      </c>
      <c r="C43" s="41">
        <f t="shared" si="3"/>
        <v>1.4337712096332786</v>
      </c>
      <c r="D43" s="42">
        <f t="shared" si="4"/>
        <v>23.137825250079036</v>
      </c>
      <c r="E43" s="47">
        <v>7.7</v>
      </c>
      <c r="F43" s="46">
        <f t="shared" si="7"/>
        <v>16.247181171319099</v>
      </c>
      <c r="G43" s="85">
        <v>1.72</v>
      </c>
      <c r="H43" s="42">
        <f t="shared" si="9"/>
        <v>2.2447145239058437</v>
      </c>
      <c r="I43" s="47">
        <f t="shared" si="0"/>
        <v>145</v>
      </c>
      <c r="J43" s="41">
        <f t="shared" si="10"/>
        <v>4.3306378457126184E-2</v>
      </c>
      <c r="K43" s="41">
        <f t="shared" si="2"/>
        <v>0</v>
      </c>
      <c r="L43" s="41">
        <f t="shared" si="11"/>
        <v>-4.3306378457126184E-2</v>
      </c>
    </row>
    <row r="44" spans="1:12">
      <c r="A44" s="47">
        <f t="shared" si="8"/>
        <v>22</v>
      </c>
      <c r="B44" s="47">
        <v>524</v>
      </c>
      <c r="C44" s="41">
        <f t="shared" si="3"/>
        <v>1.4340448823207443</v>
      </c>
      <c r="D44" s="42">
        <f t="shared" si="4"/>
        <v>23.094518871621911</v>
      </c>
      <c r="E44" s="47">
        <v>7.7</v>
      </c>
      <c r="F44" s="46">
        <f t="shared" si="7"/>
        <v>14.813136288998354</v>
      </c>
      <c r="G44" s="85">
        <v>1.72</v>
      </c>
      <c r="H44" s="42">
        <f t="shared" si="9"/>
        <v>2.0465865322662409</v>
      </c>
      <c r="I44" s="47">
        <f t="shared" si="0"/>
        <v>145</v>
      </c>
      <c r="J44" s="41">
        <f t="shared" si="10"/>
        <v>3.6494653638153983E-2</v>
      </c>
      <c r="K44" s="41">
        <f t="shared" si="2"/>
        <v>0</v>
      </c>
      <c r="L44" s="41">
        <f t="shared" si="11"/>
        <v>-3.6494653638153983E-2</v>
      </c>
    </row>
    <row r="45" spans="1:12">
      <c r="A45" s="47">
        <f t="shared" si="8"/>
        <v>23</v>
      </c>
      <c r="B45" s="47">
        <v>524</v>
      </c>
      <c r="C45" s="41">
        <f t="shared" si="3"/>
        <v>1.4340448823207443</v>
      </c>
      <c r="D45" s="42">
        <f t="shared" si="4"/>
        <v>23.058024217983757</v>
      </c>
      <c r="E45" s="47">
        <v>7.7</v>
      </c>
      <c r="F45" s="46">
        <f t="shared" si="7"/>
        <v>13.37909140667761</v>
      </c>
      <c r="G45" s="85">
        <v>1.72</v>
      </c>
      <c r="H45" s="42">
        <f t="shared" si="9"/>
        <v>1.8484585406266383</v>
      </c>
      <c r="I45" s="47">
        <f t="shared" si="0"/>
        <v>145</v>
      </c>
      <c r="J45" s="41">
        <f t="shared" si="10"/>
        <v>3.0222686736003639E-2</v>
      </c>
      <c r="K45" s="41">
        <f t="shared" si="2"/>
        <v>0</v>
      </c>
      <c r="L45" s="41">
        <f t="shared" si="11"/>
        <v>-3.0222686736003639E-2</v>
      </c>
    </row>
    <row r="46" spans="1:12">
      <c r="A46" s="47">
        <f t="shared" si="8"/>
        <v>24</v>
      </c>
      <c r="B46" s="47">
        <v>524.1</v>
      </c>
      <c r="C46" s="41">
        <f t="shared" si="3"/>
        <v>1.4343185550082103</v>
      </c>
      <c r="D46" s="42">
        <f t="shared" si="4"/>
        <v>23.027801531247754</v>
      </c>
      <c r="E46" s="47">
        <v>7.7</v>
      </c>
      <c r="F46" s="46">
        <f t="shared" si="7"/>
        <v>11.944772851669399</v>
      </c>
      <c r="G46" s="85">
        <v>1.72</v>
      </c>
      <c r="H46" s="42">
        <f t="shared" si="9"/>
        <v>1.6502927383016082</v>
      </c>
      <c r="I46" s="47">
        <f t="shared" si="0"/>
        <v>145</v>
      </c>
      <c r="J46" s="41">
        <f t="shared" si="10"/>
        <v>2.4497650252254675E-2</v>
      </c>
      <c r="K46" s="41">
        <f t="shared" si="2"/>
        <v>0</v>
      </c>
      <c r="L46" s="41">
        <f t="shared" si="11"/>
        <v>-2.4497650252254675E-2</v>
      </c>
    </row>
    <row r="47" spans="1:12">
      <c r="A47" s="47">
        <f t="shared" si="8"/>
        <v>25</v>
      </c>
      <c r="B47" s="47">
        <v>524.20000000000005</v>
      </c>
      <c r="C47" s="41">
        <f t="shared" si="3"/>
        <v>1.434592227695676</v>
      </c>
      <c r="D47" s="42">
        <f t="shared" si="4"/>
        <v>23.003303880995499</v>
      </c>
      <c r="E47" s="47">
        <v>7.7</v>
      </c>
      <c r="F47" s="46">
        <f t="shared" si="7"/>
        <v>10.510180623973723</v>
      </c>
      <c r="G47" s="85">
        <v>1.72</v>
      </c>
      <c r="H47" s="42">
        <f t="shared" si="9"/>
        <v>1.4520891252911505</v>
      </c>
      <c r="I47" s="47">
        <f t="shared" si="0"/>
        <v>145</v>
      </c>
      <c r="J47" s="41">
        <f t="shared" si="10"/>
        <v>1.9329161761618342E-2</v>
      </c>
      <c r="K47" s="41">
        <f t="shared" si="2"/>
        <v>0</v>
      </c>
      <c r="L47" s="41">
        <f t="shared" si="11"/>
        <v>-1.9329161761618342E-2</v>
      </c>
    </row>
    <row r="48" spans="1:12">
      <c r="A48" s="47">
        <f t="shared" si="8"/>
        <v>26</v>
      </c>
      <c r="B48" s="47">
        <v>524.29999999999995</v>
      </c>
      <c r="C48" s="41">
        <f t="shared" si="3"/>
        <v>1.4348659003831417</v>
      </c>
      <c r="D48" s="42">
        <f t="shared" si="4"/>
        <v>22.983974719233881</v>
      </c>
      <c r="E48" s="47">
        <v>7.7</v>
      </c>
      <c r="F48" s="46">
        <f t="shared" si="7"/>
        <v>9.07531472359058</v>
      </c>
      <c r="G48" s="85">
        <v>1.72</v>
      </c>
      <c r="H48" s="42">
        <f t="shared" si="9"/>
        <v>1.2538477015952654</v>
      </c>
      <c r="I48" s="47">
        <f t="shared" si="0"/>
        <v>145</v>
      </c>
      <c r="J48" s="41">
        <f t="shared" si="10"/>
        <v>1.472823912682196E-2</v>
      </c>
      <c r="K48" s="41">
        <f t="shared" si="2"/>
        <v>0</v>
      </c>
      <c r="L48" s="41">
        <f t="shared" si="11"/>
        <v>-1.472823912682196E-2</v>
      </c>
    </row>
    <row r="49" spans="1:12">
      <c r="A49" s="47">
        <f t="shared" si="8"/>
        <v>27</v>
      </c>
      <c r="B49" s="47">
        <v>524.4</v>
      </c>
      <c r="C49" s="41">
        <f t="shared" si="3"/>
        <v>1.4351395730706076</v>
      </c>
      <c r="D49" s="42">
        <f t="shared" si="4"/>
        <v>22.96924648010706</v>
      </c>
      <c r="E49" s="47">
        <v>7.7</v>
      </c>
      <c r="F49" s="46">
        <f t="shared" si="7"/>
        <v>7.6401751505199726</v>
      </c>
      <c r="G49" s="85">
        <v>1.72</v>
      </c>
      <c r="H49" s="42">
        <f t="shared" si="9"/>
        <v>1.0555684672139529</v>
      </c>
      <c r="I49" s="47">
        <f t="shared" si="0"/>
        <v>145</v>
      </c>
      <c r="J49" s="41">
        <f t="shared" si="10"/>
        <v>1.070775207073855E-2</v>
      </c>
      <c r="K49" s="41">
        <f t="shared" si="2"/>
        <v>0</v>
      </c>
      <c r="L49" s="41">
        <f t="shared" si="11"/>
        <v>-1.070775207073855E-2</v>
      </c>
    </row>
    <row r="50" spans="1:12">
      <c r="A50" s="47">
        <f t="shared" si="8"/>
        <v>28</v>
      </c>
      <c r="B50" s="47">
        <v>524.5</v>
      </c>
      <c r="C50" s="41">
        <f t="shared" si="3"/>
        <v>1.4354132457580735</v>
      </c>
      <c r="D50" s="42">
        <f t="shared" si="4"/>
        <v>22.95853872803632</v>
      </c>
      <c r="E50" s="47">
        <v>7.7</v>
      </c>
      <c r="F50" s="46">
        <f t="shared" si="7"/>
        <v>6.2047619047618987</v>
      </c>
      <c r="G50" s="85">
        <v>1.72</v>
      </c>
      <c r="H50" s="42">
        <f t="shared" si="9"/>
        <v>0.85725142214721328</v>
      </c>
      <c r="I50" s="47">
        <f t="shared" si="0"/>
        <v>145</v>
      </c>
      <c r="J50" s="41">
        <f t="shared" si="10"/>
        <v>7.2831271469942192E-3</v>
      </c>
      <c r="K50" s="41">
        <f t="shared" si="2"/>
        <v>0</v>
      </c>
      <c r="L50" s="41">
        <f t="shared" si="11"/>
        <v>-7.2831271469942192E-3</v>
      </c>
    </row>
    <row r="51" spans="1:12">
      <c r="A51" s="47">
        <f t="shared" si="8"/>
        <v>29</v>
      </c>
      <c r="B51" s="47">
        <v>524.6</v>
      </c>
      <c r="C51" s="41">
        <f t="shared" si="3"/>
        <v>1.4356869184455394</v>
      </c>
      <c r="D51" s="42">
        <f t="shared" si="4"/>
        <v>22.951255600889326</v>
      </c>
      <c r="E51" s="47">
        <v>7.7</v>
      </c>
      <c r="F51" s="46">
        <f t="shared" si="7"/>
        <v>4.7690749863163591</v>
      </c>
      <c r="G51" s="85">
        <v>1.72</v>
      </c>
      <c r="H51" s="42">
        <f t="shared" si="9"/>
        <v>0.65889656639504601</v>
      </c>
      <c r="I51" s="47">
        <f t="shared" si="0"/>
        <v>145</v>
      </c>
      <c r="J51" s="41">
        <f t="shared" si="10"/>
        <v>4.473536813732689E-3</v>
      </c>
      <c r="K51" s="41">
        <f t="shared" si="2"/>
        <v>0</v>
      </c>
      <c r="L51" s="41">
        <f t="shared" si="11"/>
        <v>-4.473536813732689E-3</v>
      </c>
    </row>
    <row r="52" spans="1:12">
      <c r="A52" s="47">
        <f t="shared" si="8"/>
        <v>30</v>
      </c>
      <c r="B52" s="47">
        <v>524.70000000000005</v>
      </c>
      <c r="C52" s="41">
        <f t="shared" si="3"/>
        <v>1.4359605911330049</v>
      </c>
      <c r="D52" s="42">
        <f t="shared" si="4"/>
        <v>22.946782064075592</v>
      </c>
      <c r="E52" s="47">
        <v>7.7</v>
      </c>
      <c r="F52" s="46">
        <f t="shared" si="7"/>
        <v>3.3331143951833542</v>
      </c>
      <c r="G52" s="85">
        <v>1.72</v>
      </c>
      <c r="H52" s="42">
        <f t="shared" si="9"/>
        <v>0.46050389995745133</v>
      </c>
      <c r="I52" s="47">
        <f t="shared" si="0"/>
        <v>145</v>
      </c>
      <c r="J52" s="41">
        <f t="shared" si="10"/>
        <v>2.3041437693299693E-3</v>
      </c>
      <c r="K52" s="41">
        <f t="shared" si="2"/>
        <v>0</v>
      </c>
      <c r="L52" s="41">
        <f t="shared" si="11"/>
        <v>-2.3041437693299693E-3</v>
      </c>
    </row>
    <row r="53" spans="1:12">
      <c r="A53" s="47">
        <f t="shared" si="8"/>
        <v>31</v>
      </c>
      <c r="B53" s="47">
        <v>524.79999999999995</v>
      </c>
      <c r="C53" s="41">
        <f t="shared" si="3"/>
        <v>1.4362342638204706</v>
      </c>
      <c r="D53" s="42">
        <f t="shared" si="4"/>
        <v>22.944477920306262</v>
      </c>
      <c r="E53" s="47">
        <v>7.7</v>
      </c>
      <c r="F53" s="46">
        <f t="shared" si="7"/>
        <v>1.8968801313628836</v>
      </c>
      <c r="G53" s="85">
        <v>1.72</v>
      </c>
      <c r="H53" s="42">
        <f t="shared" si="9"/>
        <v>0.26207342283442941</v>
      </c>
      <c r="I53" s="47">
        <f t="shared" si="0"/>
        <v>145</v>
      </c>
      <c r="J53" s="41">
        <f t="shared" si="10"/>
        <v>8.1118673384770025E-4</v>
      </c>
      <c r="K53" s="41">
        <f t="shared" si="2"/>
        <v>0</v>
      </c>
      <c r="L53" s="41">
        <f t="shared" si="11"/>
        <v>-8.1118673384770025E-4</v>
      </c>
    </row>
    <row r="55" spans="1:12">
      <c r="C55" s="57" t="s">
        <v>124</v>
      </c>
      <c r="D55" s="62">
        <f>MIN(D23:D53)</f>
        <v>22.944477920306262</v>
      </c>
      <c r="E55" t="s">
        <v>199</v>
      </c>
    </row>
    <row r="56" spans="1:12">
      <c r="C56" s="57" t="s">
        <v>125</v>
      </c>
      <c r="D56" s="62">
        <f>MAX(D23:D53)</f>
        <v>25</v>
      </c>
      <c r="E56" t="s">
        <v>199</v>
      </c>
    </row>
    <row r="57" spans="1:12" ht="30">
      <c r="C57" s="44" t="s">
        <v>194</v>
      </c>
      <c r="D57" s="62">
        <f>AVERAGE(D23:D53)</f>
        <v>23.727902294733472</v>
      </c>
    </row>
    <row r="58" spans="1:12" ht="21.75" customHeight="1">
      <c r="B58" s="123" t="s">
        <v>193</v>
      </c>
      <c r="C58" s="123"/>
      <c r="D58" s="62">
        <f>SUM(C23:C53)</f>
        <v>44.403119868637106</v>
      </c>
    </row>
    <row r="59" spans="1:12" ht="36" customHeight="1">
      <c r="B59" s="123" t="s">
        <v>195</v>
      </c>
      <c r="C59" s="123"/>
      <c r="D59" s="65">
        <f>SUM(E23:E53)</f>
        <v>233.19999999999987</v>
      </c>
    </row>
  </sheetData>
  <mergeCells count="2">
    <mergeCell ref="B59:C59"/>
    <mergeCell ref="B58:C58"/>
  </mergeCells>
  <printOptions headings="1" gridLines="1"/>
  <pageMargins left="1" right="0" top="1" bottom="0" header="0.5" footer="0"/>
  <pageSetup scale="80" firstPageNumber="55" orientation="portrait" useFirstPageNumber="1" r:id="rId1"/>
  <headerFooter>
    <oddHeader>&amp;R&amp;P</oddHeader>
  </headerFooter>
  <drawing r:id="rId2"/>
</worksheet>
</file>

<file path=xl/worksheets/sheet10.xml><?xml version="1.0" encoding="utf-8"?>
<worksheet xmlns="http://schemas.openxmlformats.org/spreadsheetml/2006/main" xmlns:r="http://schemas.openxmlformats.org/officeDocument/2006/relationships">
  <dimension ref="A1:L65"/>
  <sheetViews>
    <sheetView topLeftCell="A16" workbookViewId="0">
      <selection activeCell="B68" sqref="B68"/>
    </sheetView>
  </sheetViews>
  <sheetFormatPr defaultRowHeight="15"/>
  <sheetData>
    <row r="1" spans="1:3">
      <c r="A1" s="1" t="s">
        <v>92</v>
      </c>
    </row>
    <row r="3" spans="1:3">
      <c r="A3" s="1" t="s">
        <v>171</v>
      </c>
      <c r="C3" s="11"/>
    </row>
    <row r="4" spans="1:3">
      <c r="C4" s="11"/>
    </row>
    <row r="5" spans="1:3">
      <c r="B5">
        <v>150</v>
      </c>
      <c r="C5" t="s">
        <v>177</v>
      </c>
    </row>
    <row r="6" spans="1:3">
      <c r="B6">
        <v>145</v>
      </c>
      <c r="C6" t="s">
        <v>176</v>
      </c>
    </row>
    <row r="7" spans="1:3">
      <c r="B7">
        <v>140</v>
      </c>
      <c r="C7" t="s">
        <v>178</v>
      </c>
    </row>
    <row r="8" spans="1:3">
      <c r="B8">
        <v>0</v>
      </c>
      <c r="C8" t="s">
        <v>179</v>
      </c>
    </row>
    <row r="9" spans="1:3">
      <c r="B9">
        <f>234.5+40.7+166.3+295.8</f>
        <v>737.3</v>
      </c>
      <c r="C9" t="s">
        <v>180</v>
      </c>
    </row>
    <row r="10" spans="1:3">
      <c r="B10" s="3">
        <f>B8/B9</f>
        <v>0</v>
      </c>
      <c r="C10" t="s">
        <v>181</v>
      </c>
    </row>
    <row r="11" spans="1:3">
      <c r="B11">
        <v>0.5</v>
      </c>
      <c r="C11" t="s">
        <v>69</v>
      </c>
    </row>
    <row r="12" spans="1:3">
      <c r="B12" s="21">
        <f>B11/60</f>
        <v>8.3333333333333332E-3</v>
      </c>
      <c r="C12" t="s">
        <v>185</v>
      </c>
    </row>
    <row r="13" spans="1:3">
      <c r="B13" s="21">
        <f>3.045</f>
        <v>3.0449999999999999</v>
      </c>
      <c r="C13" t="s">
        <v>186</v>
      </c>
    </row>
    <row r="17" spans="1:12">
      <c r="B17" s="11" t="s">
        <v>330</v>
      </c>
    </row>
    <row r="18" spans="1:12">
      <c r="B18" s="11" t="s">
        <v>331</v>
      </c>
    </row>
    <row r="19" spans="1:12">
      <c r="B19" s="11"/>
    </row>
    <row r="20" spans="1:12">
      <c r="A20" s="1" t="s">
        <v>172</v>
      </c>
    </row>
    <row r="21" spans="1:12" ht="30">
      <c r="A21" s="27" t="s">
        <v>173</v>
      </c>
      <c r="B21" s="44" t="s">
        <v>183</v>
      </c>
      <c r="C21" s="24" t="s">
        <v>184</v>
      </c>
      <c r="D21" s="24" t="s">
        <v>182</v>
      </c>
      <c r="E21" s="27" t="s">
        <v>116</v>
      </c>
      <c r="F21" s="24" t="s">
        <v>123</v>
      </c>
      <c r="G21" s="26" t="s">
        <v>175</v>
      </c>
      <c r="H21" s="24" t="s">
        <v>200</v>
      </c>
      <c r="I21" s="26" t="s">
        <v>187</v>
      </c>
      <c r="J21" s="27" t="s">
        <v>119</v>
      </c>
      <c r="K21" s="24" t="s">
        <v>120</v>
      </c>
      <c r="L21" s="24" t="s">
        <v>121</v>
      </c>
    </row>
    <row r="22" spans="1:12">
      <c r="A22" s="40" t="s">
        <v>174</v>
      </c>
      <c r="B22" s="47">
        <v>0</v>
      </c>
      <c r="C22" s="43">
        <v>0</v>
      </c>
      <c r="D22" s="43">
        <v>25</v>
      </c>
      <c r="E22" s="47">
        <v>0</v>
      </c>
      <c r="F22" s="42">
        <v>51</v>
      </c>
      <c r="G22" s="47">
        <v>2.1930000000000001</v>
      </c>
      <c r="H22" s="42">
        <f>(F22/448.8)/(3.14*((G22/12)^2)/4)</f>
        <v>4.3344390447604164</v>
      </c>
      <c r="I22" s="47">
        <f t="shared" ref="I22:I53" si="0">IF(G22&gt;5,$B$5,IF(5&gt;=G22&gt;1.5,$B$6,IF(1.5&gt;G22,$B$7,0)))</f>
        <v>145</v>
      </c>
      <c r="J22" s="46">
        <f t="shared" ref="J22:J33" si="1">(1050*((F22/I22)^1.852)*(E22/100)*(G22^-4.87))/2.31</f>
        <v>0</v>
      </c>
      <c r="K22" s="41">
        <f>E22*$B$105</f>
        <v>0</v>
      </c>
      <c r="L22" s="41">
        <f>-K22-J22</f>
        <v>0</v>
      </c>
    </row>
    <row r="23" spans="1:12">
      <c r="A23" s="47">
        <v>1</v>
      </c>
      <c r="B23" s="47">
        <v>179.2</v>
      </c>
      <c r="C23" s="41">
        <f t="shared" ref="C23:C53" si="2">(B23/$B$13)*$B$12</f>
        <v>0.49042145593869729</v>
      </c>
      <c r="D23" s="42">
        <f t="shared" ref="D23:D53" si="3">D22+L22</f>
        <v>25</v>
      </c>
      <c r="E23" s="47">
        <v>2.2000000000000002</v>
      </c>
      <c r="F23" s="46">
        <f>F22-C23</f>
        <v>50.509578544061306</v>
      </c>
      <c r="G23" s="85">
        <v>2.1930000000000001</v>
      </c>
      <c r="H23" s="42">
        <f t="shared" ref="H23:H53" si="4">(F23/448.8)/(3.14*((G23/12)^2)/4)</f>
        <v>4.2927586152112216</v>
      </c>
      <c r="I23" s="47">
        <f t="shared" si="0"/>
        <v>145</v>
      </c>
      <c r="J23" s="41">
        <f t="shared" si="1"/>
        <v>3.0969664375784547E-2</v>
      </c>
      <c r="K23" s="41">
        <f t="shared" ref="K23:K53" si="5">E23*$B$10</f>
        <v>0</v>
      </c>
      <c r="L23" s="41">
        <f t="shared" ref="L23:L53" si="6">-K23-J23</f>
        <v>-3.0969664375784547E-2</v>
      </c>
    </row>
    <row r="24" spans="1:12">
      <c r="A24" s="47">
        <f>A23+1</f>
        <v>2</v>
      </c>
      <c r="B24" s="47">
        <v>571.29999999999995</v>
      </c>
      <c r="C24" s="41">
        <f t="shared" si="2"/>
        <v>1.5634920634920635</v>
      </c>
      <c r="D24" s="42">
        <f t="shared" si="3"/>
        <v>24.969030335624215</v>
      </c>
      <c r="E24" s="47">
        <v>7.7</v>
      </c>
      <c r="F24" s="46">
        <f t="shared" ref="F24:F53" si="7">F23-C24</f>
        <v>48.946086480569242</v>
      </c>
      <c r="G24" s="85">
        <v>2.1930000000000001</v>
      </c>
      <c r="H24" s="42">
        <f t="shared" si="4"/>
        <v>4.1598789868548876</v>
      </c>
      <c r="I24" s="47">
        <f t="shared" si="0"/>
        <v>145</v>
      </c>
      <c r="J24" s="41">
        <f t="shared" si="1"/>
        <v>0.10226194633117446</v>
      </c>
      <c r="K24" s="41">
        <f t="shared" si="5"/>
        <v>0</v>
      </c>
      <c r="L24" s="41">
        <f t="shared" si="6"/>
        <v>-0.10226194633117446</v>
      </c>
    </row>
    <row r="25" spans="1:12">
      <c r="A25" s="47">
        <f t="shared" ref="A25:A53" si="8">A24+1</f>
        <v>3</v>
      </c>
      <c r="B25" s="47">
        <v>572.29999999999995</v>
      </c>
      <c r="C25" s="41">
        <f t="shared" si="2"/>
        <v>1.5662287903667214</v>
      </c>
      <c r="D25" s="42">
        <f t="shared" si="3"/>
        <v>24.866768389293039</v>
      </c>
      <c r="E25" s="47">
        <v>7.7</v>
      </c>
      <c r="F25" s="46">
        <f t="shared" si="7"/>
        <v>47.37985769020252</v>
      </c>
      <c r="G25" s="85">
        <v>2.1930000000000001</v>
      </c>
      <c r="H25" s="42">
        <f t="shared" si="4"/>
        <v>4.0267667668158014</v>
      </c>
      <c r="I25" s="47">
        <f t="shared" si="0"/>
        <v>145</v>
      </c>
      <c r="J25" s="41">
        <f t="shared" si="1"/>
        <v>9.6284415102021098E-2</v>
      </c>
      <c r="K25" s="41">
        <f t="shared" si="5"/>
        <v>0</v>
      </c>
      <c r="L25" s="41">
        <f t="shared" si="6"/>
        <v>-9.6284415102021098E-2</v>
      </c>
    </row>
    <row r="26" spans="1:12">
      <c r="A26" s="47">
        <f>A25+1</f>
        <v>4</v>
      </c>
      <c r="B26" s="47">
        <v>573.20000000000005</v>
      </c>
      <c r="C26" s="41">
        <f t="shared" si="2"/>
        <v>1.5686918445539138</v>
      </c>
      <c r="D26" s="42">
        <f t="shared" si="3"/>
        <v>24.770483974191016</v>
      </c>
      <c r="E26" s="47">
        <v>7.7</v>
      </c>
      <c r="F26" s="46">
        <f t="shared" si="7"/>
        <v>45.81116584564861</v>
      </c>
      <c r="G26" s="85">
        <v>2.1930000000000001</v>
      </c>
      <c r="H26" s="42">
        <f t="shared" si="4"/>
        <v>3.8934452142622384</v>
      </c>
      <c r="I26" s="47">
        <f t="shared" si="0"/>
        <v>145</v>
      </c>
      <c r="J26" s="41">
        <f t="shared" si="1"/>
        <v>9.0463898075335697E-2</v>
      </c>
      <c r="K26" s="41">
        <f t="shared" si="5"/>
        <v>0</v>
      </c>
      <c r="L26" s="41">
        <f t="shared" si="6"/>
        <v>-9.0463898075335697E-2</v>
      </c>
    </row>
    <row r="27" spans="1:12">
      <c r="A27" s="47">
        <f t="shared" si="8"/>
        <v>5</v>
      </c>
      <c r="B27" s="47">
        <v>574.20000000000005</v>
      </c>
      <c r="C27" s="41">
        <f t="shared" si="2"/>
        <v>1.5714285714285716</v>
      </c>
      <c r="D27" s="42">
        <f t="shared" si="3"/>
        <v>24.680020076115682</v>
      </c>
      <c r="E27" s="47">
        <v>7.7</v>
      </c>
      <c r="F27" s="46">
        <f t="shared" si="7"/>
        <v>44.23973727422004</v>
      </c>
      <c r="G27" s="85">
        <v>2.1930000000000001</v>
      </c>
      <c r="H27" s="42">
        <f t="shared" si="4"/>
        <v>3.7598910700259229</v>
      </c>
      <c r="I27" s="47">
        <f t="shared" si="0"/>
        <v>145</v>
      </c>
      <c r="J27" s="41">
        <f t="shared" si="1"/>
        <v>8.4801042343475075E-2</v>
      </c>
      <c r="K27" s="41">
        <f t="shared" si="5"/>
        <v>0</v>
      </c>
      <c r="L27" s="41">
        <f t="shared" si="6"/>
        <v>-8.4801042343475075E-2</v>
      </c>
    </row>
    <row r="28" spans="1:12">
      <c r="A28" s="47">
        <f t="shared" si="8"/>
        <v>6</v>
      </c>
      <c r="B28" s="47">
        <v>575.20000000000005</v>
      </c>
      <c r="C28" s="41">
        <f t="shared" si="2"/>
        <v>1.5741652983032295</v>
      </c>
      <c r="D28" s="42">
        <f t="shared" si="3"/>
        <v>24.595219033772207</v>
      </c>
      <c r="E28" s="47">
        <v>7.7</v>
      </c>
      <c r="F28" s="46">
        <f t="shared" si="7"/>
        <v>42.665571975916812</v>
      </c>
      <c r="G28" s="85">
        <v>2.1930000000000001</v>
      </c>
      <c r="H28" s="42">
        <f t="shared" si="4"/>
        <v>3.6261043341068557</v>
      </c>
      <c r="I28" s="47">
        <f t="shared" si="0"/>
        <v>145</v>
      </c>
      <c r="J28" s="41">
        <f t="shared" si="1"/>
        <v>7.9297597869014705E-2</v>
      </c>
      <c r="K28" s="41">
        <f t="shared" si="5"/>
        <v>0</v>
      </c>
      <c r="L28" s="41">
        <f t="shared" si="6"/>
        <v>-7.9297597869014705E-2</v>
      </c>
    </row>
    <row r="29" spans="1:12">
      <c r="A29" s="47">
        <f t="shared" si="8"/>
        <v>7</v>
      </c>
      <c r="B29" s="47">
        <v>576.20000000000005</v>
      </c>
      <c r="C29" s="41">
        <f t="shared" si="2"/>
        <v>1.5769020251778874</v>
      </c>
      <c r="D29" s="42">
        <f t="shared" si="3"/>
        <v>24.515921435903191</v>
      </c>
      <c r="E29" s="47">
        <v>7.7</v>
      </c>
      <c r="F29" s="46">
        <f t="shared" si="7"/>
        <v>41.088669950738925</v>
      </c>
      <c r="G29" s="85">
        <v>2.1930000000000001</v>
      </c>
      <c r="H29" s="42">
        <f t="shared" si="4"/>
        <v>3.4920850065050359</v>
      </c>
      <c r="I29" s="47">
        <f t="shared" si="0"/>
        <v>145</v>
      </c>
      <c r="J29" s="41">
        <f t="shared" si="1"/>
        <v>7.3955361824190283E-2</v>
      </c>
      <c r="K29" s="41">
        <f t="shared" si="5"/>
        <v>0</v>
      </c>
      <c r="L29" s="41">
        <f t="shared" si="6"/>
        <v>-7.3955361824190283E-2</v>
      </c>
    </row>
    <row r="30" spans="1:12">
      <c r="A30" s="47">
        <f t="shared" si="8"/>
        <v>8</v>
      </c>
      <c r="B30" s="47">
        <v>577.20000000000005</v>
      </c>
      <c r="C30" s="41">
        <f t="shared" si="2"/>
        <v>1.5796387520525454</v>
      </c>
      <c r="D30" s="42">
        <f t="shared" si="3"/>
        <v>24.441966074079001</v>
      </c>
      <c r="E30" s="47">
        <v>7.7</v>
      </c>
      <c r="F30" s="46">
        <f t="shared" si="7"/>
        <v>39.50903119868638</v>
      </c>
      <c r="G30" s="85">
        <v>2.1930000000000001</v>
      </c>
      <c r="H30" s="42">
        <f t="shared" si="4"/>
        <v>3.3578330872204645</v>
      </c>
      <c r="I30" s="47">
        <f t="shared" si="0"/>
        <v>145</v>
      </c>
      <c r="J30" s="41">
        <f t="shared" si="1"/>
        <v>6.877618225143281E-2</v>
      </c>
      <c r="K30" s="41">
        <f t="shared" si="5"/>
        <v>0</v>
      </c>
      <c r="L30" s="41">
        <f t="shared" si="6"/>
        <v>-6.877618225143281E-2</v>
      </c>
    </row>
    <row r="31" spans="1:12">
      <c r="A31" s="47">
        <f t="shared" si="8"/>
        <v>9</v>
      </c>
      <c r="B31" s="47">
        <v>578.20000000000005</v>
      </c>
      <c r="C31" s="41">
        <f t="shared" si="2"/>
        <v>1.5823754789272033</v>
      </c>
      <c r="D31" s="42">
        <f t="shared" si="3"/>
        <v>24.373189891827568</v>
      </c>
      <c r="E31" s="47">
        <v>7.7</v>
      </c>
      <c r="F31" s="46">
        <f t="shared" si="7"/>
        <v>37.926655719759175</v>
      </c>
      <c r="G31" s="85">
        <v>2.1930000000000001</v>
      </c>
      <c r="H31" s="42">
        <f t="shared" si="4"/>
        <v>3.22334857625314</v>
      </c>
      <c r="I31" s="47">
        <f t="shared" si="0"/>
        <v>145</v>
      </c>
      <c r="J31" s="41">
        <f t="shared" si="1"/>
        <v>6.3761962178974771E-2</v>
      </c>
      <c r="K31" s="41">
        <f t="shared" si="5"/>
        <v>0</v>
      </c>
      <c r="L31" s="41">
        <f t="shared" si="6"/>
        <v>-6.3761962178974771E-2</v>
      </c>
    </row>
    <row r="32" spans="1:12">
      <c r="A32" s="47">
        <f t="shared" si="8"/>
        <v>10</v>
      </c>
      <c r="B32" s="47">
        <v>579.1</v>
      </c>
      <c r="C32" s="41">
        <f t="shared" si="2"/>
        <v>1.5848385331143953</v>
      </c>
      <c r="D32" s="42">
        <f t="shared" si="3"/>
        <v>24.309427929648592</v>
      </c>
      <c r="E32" s="47">
        <v>7.7</v>
      </c>
      <c r="F32" s="46">
        <f t="shared" si="7"/>
        <v>36.341817186644782</v>
      </c>
      <c r="G32" s="85">
        <v>2.1930000000000001</v>
      </c>
      <c r="H32" s="42">
        <f t="shared" si="4"/>
        <v>3.0886547327713387</v>
      </c>
      <c r="I32" s="47">
        <f t="shared" si="0"/>
        <v>145</v>
      </c>
      <c r="J32" s="41">
        <f t="shared" si="1"/>
        <v>5.8915485933196177E-2</v>
      </c>
      <c r="K32" s="41">
        <f t="shared" si="5"/>
        <v>0</v>
      </c>
      <c r="L32" s="41">
        <f t="shared" si="6"/>
        <v>-5.8915485933196177E-2</v>
      </c>
    </row>
    <row r="33" spans="1:12">
      <c r="A33" s="47">
        <f t="shared" si="8"/>
        <v>11</v>
      </c>
      <c r="B33" s="47">
        <v>580.1</v>
      </c>
      <c r="C33" s="41">
        <f t="shared" si="2"/>
        <v>1.5875752599890531</v>
      </c>
      <c r="D33" s="42">
        <f t="shared" si="3"/>
        <v>24.250512443715397</v>
      </c>
      <c r="E33" s="47">
        <v>7.7</v>
      </c>
      <c r="F33" s="46">
        <f t="shared" si="7"/>
        <v>34.75424192665573</v>
      </c>
      <c r="G33" s="85">
        <v>2.1930000000000001</v>
      </c>
      <c r="H33" s="42">
        <f t="shared" si="4"/>
        <v>2.9537282976067858</v>
      </c>
      <c r="I33" s="47">
        <f t="shared" si="0"/>
        <v>145</v>
      </c>
      <c r="J33" s="41">
        <f t="shared" si="1"/>
        <v>5.4237898057380836E-2</v>
      </c>
      <c r="K33" s="41">
        <f t="shared" si="5"/>
        <v>0</v>
      </c>
      <c r="L33" s="41">
        <f t="shared" si="6"/>
        <v>-5.4237898057380836E-2</v>
      </c>
    </row>
    <row r="34" spans="1:12">
      <c r="A34" s="47">
        <f t="shared" si="8"/>
        <v>12</v>
      </c>
      <c r="B34" s="47">
        <v>581.1</v>
      </c>
      <c r="C34" s="41">
        <f t="shared" si="2"/>
        <v>1.590311986863711</v>
      </c>
      <c r="D34" s="42">
        <f t="shared" si="3"/>
        <v>24.196274545658017</v>
      </c>
      <c r="E34" s="47">
        <v>7.7</v>
      </c>
      <c r="F34" s="46">
        <f t="shared" si="7"/>
        <v>33.16392993979202</v>
      </c>
      <c r="G34" s="51">
        <v>1.72</v>
      </c>
      <c r="H34" s="42">
        <f t="shared" si="4"/>
        <v>4.5819366707783802</v>
      </c>
      <c r="I34" s="47">
        <f t="shared" si="0"/>
        <v>145</v>
      </c>
      <c r="J34" s="41">
        <f t="shared" ref="J34:J53" si="9">(1050*((F34/I34)^1.852)*(E34/100)*(G34^-4.87))/2.31</f>
        <v>0.1623545182773751</v>
      </c>
      <c r="K34" s="41">
        <f t="shared" si="5"/>
        <v>0</v>
      </c>
      <c r="L34" s="41">
        <f t="shared" si="6"/>
        <v>-0.1623545182773751</v>
      </c>
    </row>
    <row r="35" spans="1:12">
      <c r="A35" s="47">
        <f t="shared" si="8"/>
        <v>13</v>
      </c>
      <c r="B35" s="47">
        <v>582.1</v>
      </c>
      <c r="C35" s="41">
        <f t="shared" si="2"/>
        <v>1.5930487137383691</v>
      </c>
      <c r="D35" s="42">
        <f t="shared" si="3"/>
        <v>24.033920027380642</v>
      </c>
      <c r="E35" s="47">
        <v>7.7</v>
      </c>
      <c r="F35" s="46">
        <f t="shared" si="7"/>
        <v>31.57088122605365</v>
      </c>
      <c r="G35" s="85">
        <v>1.72</v>
      </c>
      <c r="H35" s="42">
        <f t="shared" si="4"/>
        <v>4.3618406709054538</v>
      </c>
      <c r="I35" s="47">
        <f t="shared" si="0"/>
        <v>145</v>
      </c>
      <c r="J35" s="41">
        <f t="shared" si="9"/>
        <v>0.14820741901587106</v>
      </c>
      <c r="K35" s="41">
        <f t="shared" si="5"/>
        <v>0</v>
      </c>
      <c r="L35" s="41">
        <f t="shared" si="6"/>
        <v>-0.14820741901587106</v>
      </c>
    </row>
    <row r="36" spans="1:12">
      <c r="A36" s="47">
        <f t="shared" si="8"/>
        <v>14</v>
      </c>
      <c r="B36" s="47">
        <v>583.1</v>
      </c>
      <c r="C36" s="41">
        <f t="shared" si="2"/>
        <v>1.595785440613027</v>
      </c>
      <c r="D36" s="42">
        <f t="shared" si="3"/>
        <v>23.88571260836477</v>
      </c>
      <c r="E36" s="47">
        <v>7.7</v>
      </c>
      <c r="F36" s="46">
        <f t="shared" si="7"/>
        <v>29.975095785440622</v>
      </c>
      <c r="G36" s="85">
        <v>1.72</v>
      </c>
      <c r="H36" s="42">
        <f t="shared" si="4"/>
        <v>4.1413665641782549</v>
      </c>
      <c r="I36" s="47">
        <f t="shared" si="0"/>
        <v>145</v>
      </c>
      <c r="J36" s="41">
        <f t="shared" si="9"/>
        <v>0.13463301175616321</v>
      </c>
      <c r="K36" s="41">
        <f t="shared" si="5"/>
        <v>0</v>
      </c>
      <c r="L36" s="41">
        <f t="shared" si="6"/>
        <v>-0.13463301175616321</v>
      </c>
    </row>
    <row r="37" spans="1:12">
      <c r="A37" s="47">
        <f t="shared" si="8"/>
        <v>15</v>
      </c>
      <c r="B37" s="47">
        <v>584.1</v>
      </c>
      <c r="C37" s="41">
        <f t="shared" si="2"/>
        <v>1.5985221674876848</v>
      </c>
      <c r="D37" s="42">
        <f t="shared" si="3"/>
        <v>23.751079596608605</v>
      </c>
      <c r="E37" s="47">
        <v>7.7</v>
      </c>
      <c r="F37" s="46">
        <f t="shared" si="7"/>
        <v>28.376573617952939</v>
      </c>
      <c r="G37" s="85">
        <v>1.72</v>
      </c>
      <c r="H37" s="42">
        <f t="shared" si="4"/>
        <v>3.9205143505967821</v>
      </c>
      <c r="I37" s="47">
        <f t="shared" si="0"/>
        <v>145</v>
      </c>
      <c r="J37" s="41">
        <f t="shared" si="9"/>
        <v>0.12163898951031105</v>
      </c>
      <c r="K37" s="41">
        <f t="shared" si="5"/>
        <v>0</v>
      </c>
      <c r="L37" s="41">
        <f t="shared" si="6"/>
        <v>-0.12163898951031105</v>
      </c>
    </row>
    <row r="38" spans="1:12">
      <c r="A38" s="47">
        <f t="shared" si="8"/>
        <v>16</v>
      </c>
      <c r="B38" s="47">
        <v>585.1</v>
      </c>
      <c r="C38" s="41">
        <f t="shared" si="2"/>
        <v>1.6012588943623427</v>
      </c>
      <c r="D38" s="42">
        <f t="shared" si="3"/>
        <v>23.629440607098292</v>
      </c>
      <c r="E38" s="47">
        <v>7.7</v>
      </c>
      <c r="F38" s="46">
        <f t="shared" si="7"/>
        <v>26.775314723590597</v>
      </c>
      <c r="G38" s="85">
        <v>1.72</v>
      </c>
      <c r="H38" s="42">
        <f t="shared" si="4"/>
        <v>3.6992840301610346</v>
      </c>
      <c r="I38" s="47">
        <f t="shared" si="0"/>
        <v>145</v>
      </c>
      <c r="J38" s="41">
        <f t="shared" si="9"/>
        <v>0.10923339151004871</v>
      </c>
      <c r="K38" s="41">
        <f t="shared" si="5"/>
        <v>0</v>
      </c>
      <c r="L38" s="41">
        <f t="shared" si="6"/>
        <v>-0.10923339151004871</v>
      </c>
    </row>
    <row r="39" spans="1:12">
      <c r="A39" s="47">
        <f t="shared" si="8"/>
        <v>17</v>
      </c>
      <c r="B39" s="47">
        <v>586</v>
      </c>
      <c r="C39" s="41">
        <f t="shared" si="2"/>
        <v>1.6037219485495346</v>
      </c>
      <c r="D39" s="42">
        <f t="shared" si="3"/>
        <v>23.520207215588243</v>
      </c>
      <c r="E39" s="47">
        <v>7.7</v>
      </c>
      <c r="F39" s="46">
        <f t="shared" si="7"/>
        <v>25.171592775041063</v>
      </c>
      <c r="G39" s="85">
        <v>1.72</v>
      </c>
      <c r="H39" s="42">
        <f t="shared" si="4"/>
        <v>3.4777134135564411</v>
      </c>
      <c r="I39" s="47">
        <f t="shared" si="0"/>
        <v>145</v>
      </c>
      <c r="J39" s="41">
        <f t="shared" si="9"/>
        <v>9.742660719844462E-2</v>
      </c>
      <c r="K39" s="41">
        <f t="shared" si="5"/>
        <v>0</v>
      </c>
      <c r="L39" s="41">
        <f t="shared" si="6"/>
        <v>-9.742660719844462E-2</v>
      </c>
    </row>
    <row r="40" spans="1:12">
      <c r="A40" s="47">
        <f t="shared" si="8"/>
        <v>18</v>
      </c>
      <c r="B40" s="47">
        <v>587</v>
      </c>
      <c r="C40" s="41">
        <f t="shared" si="2"/>
        <v>1.6064586754241927</v>
      </c>
      <c r="D40" s="42">
        <f t="shared" si="3"/>
        <v>23.4227806083898</v>
      </c>
      <c r="E40" s="47">
        <v>7.7</v>
      </c>
      <c r="F40" s="46">
        <f t="shared" si="7"/>
        <v>23.56513409961687</v>
      </c>
      <c r="G40" s="85">
        <v>1.72</v>
      </c>
      <c r="H40" s="42">
        <f t="shared" si="4"/>
        <v>3.255764690097573</v>
      </c>
      <c r="I40" s="47">
        <f t="shared" si="0"/>
        <v>145</v>
      </c>
      <c r="J40" s="41">
        <f t="shared" si="9"/>
        <v>8.6225327241100727E-2</v>
      </c>
      <c r="K40" s="41">
        <f t="shared" si="5"/>
        <v>0</v>
      </c>
      <c r="L40" s="41">
        <f t="shared" si="6"/>
        <v>-8.6225327241100727E-2</v>
      </c>
    </row>
    <row r="41" spans="1:12">
      <c r="A41" s="47">
        <f t="shared" si="8"/>
        <v>19</v>
      </c>
      <c r="B41" s="47">
        <v>588</v>
      </c>
      <c r="C41" s="41">
        <f t="shared" si="2"/>
        <v>1.6091954022988506</v>
      </c>
      <c r="D41" s="42">
        <f t="shared" si="3"/>
        <v>23.336555281148698</v>
      </c>
      <c r="E41" s="47">
        <v>7.7</v>
      </c>
      <c r="F41" s="46">
        <f t="shared" si="7"/>
        <v>21.955938697318018</v>
      </c>
      <c r="G41" s="85">
        <v>1.72</v>
      </c>
      <c r="H41" s="42">
        <f t="shared" si="4"/>
        <v>3.0334378597844305</v>
      </c>
      <c r="I41" s="47">
        <f t="shared" si="0"/>
        <v>145</v>
      </c>
      <c r="J41" s="41">
        <f t="shared" si="9"/>
        <v>7.5638914812210842E-2</v>
      </c>
      <c r="K41" s="41">
        <f t="shared" si="5"/>
        <v>0</v>
      </c>
      <c r="L41" s="41">
        <f t="shared" si="6"/>
        <v>-7.5638914812210842E-2</v>
      </c>
    </row>
    <row r="42" spans="1:12">
      <c r="A42" s="47">
        <f t="shared" si="8"/>
        <v>20</v>
      </c>
      <c r="B42" s="47">
        <v>590</v>
      </c>
      <c r="C42" s="41">
        <f t="shared" si="2"/>
        <v>1.6146688560481663</v>
      </c>
      <c r="D42" s="42">
        <f t="shared" si="3"/>
        <v>23.260916366336488</v>
      </c>
      <c r="E42" s="47">
        <v>7.7</v>
      </c>
      <c r="F42" s="46">
        <f t="shared" si="7"/>
        <v>20.341269841269852</v>
      </c>
      <c r="G42" s="85">
        <v>1.72</v>
      </c>
      <c r="H42" s="42">
        <f t="shared" si="4"/>
        <v>2.8103548157627407</v>
      </c>
      <c r="I42" s="47">
        <f t="shared" si="0"/>
        <v>145</v>
      </c>
      <c r="J42" s="41">
        <f t="shared" si="9"/>
        <v>6.5660946211266308E-2</v>
      </c>
      <c r="K42" s="41">
        <f t="shared" si="5"/>
        <v>0</v>
      </c>
      <c r="L42" s="41">
        <f t="shared" si="6"/>
        <v>-6.5660946211266308E-2</v>
      </c>
    </row>
    <row r="43" spans="1:12">
      <c r="A43" s="47">
        <f t="shared" si="8"/>
        <v>21</v>
      </c>
      <c r="B43" s="47">
        <v>590</v>
      </c>
      <c r="C43" s="41">
        <f t="shared" si="2"/>
        <v>1.6146688560481663</v>
      </c>
      <c r="D43" s="42">
        <f t="shared" si="3"/>
        <v>23.195255420125221</v>
      </c>
      <c r="E43" s="47">
        <v>7.7</v>
      </c>
      <c r="F43" s="46">
        <f t="shared" si="7"/>
        <v>18.726600985221687</v>
      </c>
      <c r="G43" s="85">
        <v>1.72</v>
      </c>
      <c r="H43" s="42">
        <f t="shared" si="4"/>
        <v>2.5872717717410509</v>
      </c>
      <c r="I43" s="47">
        <f t="shared" si="0"/>
        <v>145</v>
      </c>
      <c r="J43" s="41">
        <f t="shared" si="9"/>
        <v>5.633586356773021E-2</v>
      </c>
      <c r="K43" s="41">
        <f t="shared" si="5"/>
        <v>0</v>
      </c>
      <c r="L43" s="41">
        <f t="shared" si="6"/>
        <v>-5.633586356773021E-2</v>
      </c>
    </row>
    <row r="44" spans="1:12">
      <c r="A44" s="47">
        <f t="shared" si="8"/>
        <v>22</v>
      </c>
      <c r="B44" s="47">
        <v>591</v>
      </c>
      <c r="C44" s="41">
        <f t="shared" si="2"/>
        <v>1.6174055829228244</v>
      </c>
      <c r="D44" s="42">
        <f t="shared" si="3"/>
        <v>23.138919556557489</v>
      </c>
      <c r="E44" s="47">
        <v>7.7</v>
      </c>
      <c r="F44" s="46">
        <f t="shared" si="7"/>
        <v>17.109195402298862</v>
      </c>
      <c r="G44" s="85">
        <v>1.72</v>
      </c>
      <c r="H44" s="42">
        <f t="shared" si="4"/>
        <v>2.3638106208650864</v>
      </c>
      <c r="I44" s="47">
        <f t="shared" si="0"/>
        <v>145</v>
      </c>
      <c r="J44" s="41">
        <f t="shared" si="9"/>
        <v>4.7657599329726158E-2</v>
      </c>
      <c r="K44" s="41">
        <f t="shared" si="5"/>
        <v>0</v>
      </c>
      <c r="L44" s="41">
        <f t="shared" si="6"/>
        <v>-4.7657599329726158E-2</v>
      </c>
    </row>
    <row r="45" spans="1:12">
      <c r="A45" s="47">
        <f t="shared" si="8"/>
        <v>23</v>
      </c>
      <c r="B45" s="47">
        <v>591.9</v>
      </c>
      <c r="C45" s="41">
        <f t="shared" si="2"/>
        <v>1.6198686371100164</v>
      </c>
      <c r="D45" s="42">
        <f t="shared" si="3"/>
        <v>23.091261957227765</v>
      </c>
      <c r="E45" s="47">
        <v>7.7</v>
      </c>
      <c r="F45" s="46">
        <f t="shared" si="7"/>
        <v>15.489326765188846</v>
      </c>
      <c r="G45" s="85">
        <v>1.72</v>
      </c>
      <c r="H45" s="42">
        <f t="shared" si="4"/>
        <v>2.1400091738202756</v>
      </c>
      <c r="I45" s="47">
        <f t="shared" si="0"/>
        <v>145</v>
      </c>
      <c r="J45" s="41">
        <f t="shared" si="9"/>
        <v>3.9639779972771245E-2</v>
      </c>
      <c r="K45" s="41">
        <f t="shared" si="5"/>
        <v>0</v>
      </c>
      <c r="L45" s="41">
        <f t="shared" si="6"/>
        <v>-3.9639779972771245E-2</v>
      </c>
    </row>
    <row r="46" spans="1:12">
      <c r="A46" s="47">
        <f t="shared" si="8"/>
        <v>24</v>
      </c>
      <c r="B46" s="47">
        <v>592.9</v>
      </c>
      <c r="C46" s="41">
        <f t="shared" si="2"/>
        <v>1.6226053639846745</v>
      </c>
      <c r="D46" s="42">
        <f t="shared" si="3"/>
        <v>23.051622177254995</v>
      </c>
      <c r="E46" s="47">
        <v>7.7</v>
      </c>
      <c r="F46" s="46">
        <f t="shared" si="7"/>
        <v>13.86672140120417</v>
      </c>
      <c r="G46" s="85">
        <v>1.72</v>
      </c>
      <c r="H46" s="42">
        <f t="shared" si="4"/>
        <v>1.9158296199211906</v>
      </c>
      <c r="I46" s="47">
        <f t="shared" si="0"/>
        <v>145</v>
      </c>
      <c r="J46" s="41">
        <f t="shared" si="9"/>
        <v>3.2294341029648906E-2</v>
      </c>
      <c r="K46" s="41">
        <f t="shared" si="5"/>
        <v>0</v>
      </c>
      <c r="L46" s="41">
        <f t="shared" si="6"/>
        <v>-3.2294341029648906E-2</v>
      </c>
    </row>
    <row r="47" spans="1:12">
      <c r="A47" s="47">
        <f t="shared" si="8"/>
        <v>25</v>
      </c>
      <c r="B47" s="47">
        <v>593.9</v>
      </c>
      <c r="C47" s="41">
        <f t="shared" si="2"/>
        <v>1.6253420908593321</v>
      </c>
      <c r="D47" s="42">
        <f t="shared" si="3"/>
        <v>23.019327836225347</v>
      </c>
      <c r="E47" s="47">
        <v>7.7</v>
      </c>
      <c r="F47" s="46">
        <f t="shared" si="7"/>
        <v>12.241379310344838</v>
      </c>
      <c r="G47" s="85">
        <v>1.72</v>
      </c>
      <c r="H47" s="42">
        <f t="shared" si="4"/>
        <v>1.6912719591678318</v>
      </c>
      <c r="I47" s="47">
        <f t="shared" si="0"/>
        <v>145</v>
      </c>
      <c r="J47" s="41">
        <f t="shared" si="9"/>
        <v>2.5636148907668518E-2</v>
      </c>
      <c r="K47" s="41">
        <f t="shared" si="5"/>
        <v>0</v>
      </c>
      <c r="L47" s="41">
        <f t="shared" si="6"/>
        <v>-2.5636148907668518E-2</v>
      </c>
    </row>
    <row r="48" spans="1:12">
      <c r="A48" s="47">
        <f t="shared" si="8"/>
        <v>26</v>
      </c>
      <c r="B48" s="47">
        <v>594.9</v>
      </c>
      <c r="C48" s="41">
        <f t="shared" si="2"/>
        <v>1.62807881773399</v>
      </c>
      <c r="D48" s="42">
        <f t="shared" si="3"/>
        <v>22.993691687317678</v>
      </c>
      <c r="E48" s="47">
        <v>7.7</v>
      </c>
      <c r="F48" s="46">
        <f t="shared" si="7"/>
        <v>10.613300492610849</v>
      </c>
      <c r="G48" s="85">
        <v>1.72</v>
      </c>
      <c r="H48" s="42">
        <f t="shared" si="4"/>
        <v>1.4663361915601989</v>
      </c>
      <c r="I48" s="47">
        <f t="shared" si="0"/>
        <v>145</v>
      </c>
      <c r="J48" s="41">
        <f t="shared" si="9"/>
        <v>1.9681854668539656E-2</v>
      </c>
      <c r="K48" s="41">
        <f t="shared" si="5"/>
        <v>0</v>
      </c>
      <c r="L48" s="41">
        <f t="shared" si="6"/>
        <v>-1.9681854668539656E-2</v>
      </c>
    </row>
    <row r="49" spans="1:12">
      <c r="A49" s="47">
        <f t="shared" si="8"/>
        <v>27</v>
      </c>
      <c r="B49" s="47">
        <v>595.9</v>
      </c>
      <c r="C49" s="41">
        <f t="shared" si="2"/>
        <v>1.6308155446086481</v>
      </c>
      <c r="D49" s="42">
        <f t="shared" si="3"/>
        <v>22.974009832649138</v>
      </c>
      <c r="E49" s="47">
        <v>7.7</v>
      </c>
      <c r="F49" s="46">
        <f t="shared" si="7"/>
        <v>8.9824849480022007</v>
      </c>
      <c r="G49" s="85">
        <v>1.72</v>
      </c>
      <c r="H49" s="42">
        <f t="shared" si="4"/>
        <v>1.2410223170982919</v>
      </c>
      <c r="I49" s="47">
        <f t="shared" si="0"/>
        <v>145</v>
      </c>
      <c r="J49" s="41">
        <f t="shared" si="9"/>
        <v>1.4450447028029488E-2</v>
      </c>
      <c r="K49" s="41">
        <f t="shared" si="5"/>
        <v>0</v>
      </c>
      <c r="L49" s="41">
        <f t="shared" si="6"/>
        <v>-1.4450447028029488E-2</v>
      </c>
    </row>
    <row r="50" spans="1:12">
      <c r="A50" s="47">
        <f t="shared" si="8"/>
        <v>28</v>
      </c>
      <c r="B50" s="47">
        <v>312.89999999999998</v>
      </c>
      <c r="C50" s="41">
        <f t="shared" si="2"/>
        <v>0.85632183908045978</v>
      </c>
      <c r="D50" s="42">
        <f t="shared" si="3"/>
        <v>22.959559385621109</v>
      </c>
      <c r="E50" s="47">
        <v>7.7</v>
      </c>
      <c r="F50" s="46">
        <f t="shared" si="7"/>
        <v>8.126163108921741</v>
      </c>
      <c r="G50" s="85">
        <v>1.72</v>
      </c>
      <c r="H50" s="42">
        <f t="shared" si="4"/>
        <v>1.1227126823959412</v>
      </c>
      <c r="I50" s="47">
        <f t="shared" si="0"/>
        <v>145</v>
      </c>
      <c r="J50" s="41">
        <f t="shared" si="9"/>
        <v>1.2003253525069492E-2</v>
      </c>
      <c r="K50" s="41">
        <f t="shared" si="5"/>
        <v>0</v>
      </c>
      <c r="L50" s="41">
        <f t="shared" si="6"/>
        <v>-1.2003253525069492E-2</v>
      </c>
    </row>
    <row r="51" spans="1:12">
      <c r="A51" s="47">
        <f t="shared" si="8"/>
        <v>29</v>
      </c>
      <c r="B51" s="47">
        <v>293.39999999999998</v>
      </c>
      <c r="C51" s="41">
        <f t="shared" si="2"/>
        <v>0.80295566502463045</v>
      </c>
      <c r="D51" s="42">
        <f t="shared" si="3"/>
        <v>22.94755613209604</v>
      </c>
      <c r="E51" s="47">
        <v>7.7</v>
      </c>
      <c r="F51" s="46">
        <f t="shared" si="7"/>
        <v>7.3232074438971102</v>
      </c>
      <c r="G51" s="85">
        <v>1.72</v>
      </c>
      <c r="H51" s="42">
        <f t="shared" si="4"/>
        <v>1.0117761313519347</v>
      </c>
      <c r="I51" s="47">
        <f t="shared" si="0"/>
        <v>145</v>
      </c>
      <c r="J51" s="41">
        <f t="shared" si="9"/>
        <v>9.8996044687469451E-3</v>
      </c>
      <c r="K51" s="41">
        <f t="shared" si="5"/>
        <v>0</v>
      </c>
      <c r="L51" s="41">
        <f t="shared" si="6"/>
        <v>-9.8996044687469451E-3</v>
      </c>
    </row>
    <row r="52" spans="1:12">
      <c r="A52" s="47">
        <f t="shared" si="8"/>
        <v>30</v>
      </c>
      <c r="B52" s="47">
        <v>273.89999999999998</v>
      </c>
      <c r="C52" s="41">
        <f t="shared" si="2"/>
        <v>0.74958949096880134</v>
      </c>
      <c r="D52" s="42">
        <f t="shared" si="3"/>
        <v>22.937656527627293</v>
      </c>
      <c r="E52" s="47">
        <v>7.7</v>
      </c>
      <c r="F52" s="46">
        <f t="shared" si="7"/>
        <v>6.5736179529283092</v>
      </c>
      <c r="G52" s="85">
        <v>1.72</v>
      </c>
      <c r="H52" s="42">
        <f t="shared" si="4"/>
        <v>0.9082126639662722</v>
      </c>
      <c r="I52" s="47">
        <f t="shared" si="0"/>
        <v>145</v>
      </c>
      <c r="J52" s="41">
        <f t="shared" si="9"/>
        <v>8.1052203804305376E-3</v>
      </c>
      <c r="K52" s="41">
        <f t="shared" si="5"/>
        <v>0</v>
      </c>
      <c r="L52" s="41">
        <f t="shared" si="6"/>
        <v>-8.1052203804305376E-3</v>
      </c>
    </row>
    <row r="53" spans="1:12">
      <c r="A53" s="47">
        <f t="shared" si="8"/>
        <v>31</v>
      </c>
      <c r="B53" s="47">
        <v>254.4</v>
      </c>
      <c r="C53" s="41">
        <f t="shared" si="2"/>
        <v>0.69622331691297212</v>
      </c>
      <c r="D53" s="42">
        <f t="shared" si="3"/>
        <v>22.929551307246864</v>
      </c>
      <c r="E53" s="47">
        <v>7.7</v>
      </c>
      <c r="F53" s="46">
        <f t="shared" si="7"/>
        <v>5.8773946360153371</v>
      </c>
      <c r="G53" s="85">
        <v>1.72</v>
      </c>
      <c r="H53" s="42">
        <f t="shared" si="4"/>
        <v>0.81202228023895362</v>
      </c>
      <c r="I53" s="47">
        <f t="shared" si="0"/>
        <v>145</v>
      </c>
      <c r="J53" s="41">
        <f t="shared" si="9"/>
        <v>6.5875104048933666E-3</v>
      </c>
      <c r="K53" s="41">
        <f t="shared" si="5"/>
        <v>0</v>
      </c>
      <c r="L53" s="41">
        <f t="shared" si="6"/>
        <v>-6.5875104048933666E-3</v>
      </c>
    </row>
    <row r="54" spans="1:12">
      <c r="A54" s="49" t="s">
        <v>188</v>
      </c>
      <c r="B54" s="47"/>
      <c r="C54" s="41"/>
      <c r="D54" s="42"/>
      <c r="E54" s="47"/>
      <c r="F54" s="46"/>
      <c r="G54" s="47"/>
      <c r="H54" s="42"/>
      <c r="I54" s="47"/>
      <c r="J54" s="41"/>
      <c r="K54" s="41"/>
      <c r="L54" s="41"/>
    </row>
    <row r="55" spans="1:12">
      <c r="A55" s="47">
        <f>A53+1</f>
        <v>32</v>
      </c>
      <c r="B55" s="47">
        <v>319.2</v>
      </c>
      <c r="C55" s="41">
        <f>(B55/$B$13)*$B$12</f>
        <v>0.87356321839080464</v>
      </c>
      <c r="D55" s="42">
        <v>23</v>
      </c>
      <c r="E55" s="47">
        <f>166.3+40.7+44.8</f>
        <v>251.8</v>
      </c>
      <c r="F55" s="46">
        <v>51</v>
      </c>
      <c r="G55" s="47">
        <v>2.1930000000000001</v>
      </c>
      <c r="H55" s="42">
        <f t="shared" ref="H55:H58" si="10">(F55/448.8)/(3.14*((G55/12)^2)/4)</f>
        <v>4.3344390447604164</v>
      </c>
      <c r="I55" s="47">
        <f>IF(G55&gt;5,$B$5,IF(5&gt;=G55&gt;1.5,$B$6,IF(1.5&gt;G55,$B$7,0)))</f>
        <v>145</v>
      </c>
      <c r="J55" s="41">
        <f t="shared" ref="J55:J58" si="11">(1050*((F55/I55)^1.852)*(E55/100)*(G55^-4.87))/2.31</f>
        <v>3.6086215197279774</v>
      </c>
      <c r="K55" s="41">
        <f>E55*$B$10</f>
        <v>0</v>
      </c>
      <c r="L55" s="41">
        <f t="shared" ref="L55:L58" si="12">-K55-J55</f>
        <v>-3.6086215197279774</v>
      </c>
    </row>
    <row r="56" spans="1:12">
      <c r="A56" s="47">
        <f>A55+1</f>
        <v>33</v>
      </c>
      <c r="B56" s="47">
        <v>234.8</v>
      </c>
      <c r="C56" s="41">
        <f>(B56/$B$13)*$B$12</f>
        <v>0.6425834701696771</v>
      </c>
      <c r="D56" s="42">
        <f>D55+L55</f>
        <v>19.391378480272024</v>
      </c>
      <c r="E56" s="47">
        <v>83.7</v>
      </c>
      <c r="F56" s="46">
        <f t="shared" ref="F56:F58" si="13">F55-C56</f>
        <v>50.357416529830324</v>
      </c>
      <c r="G56" s="85">
        <v>2.1930000000000001</v>
      </c>
      <c r="H56" s="42">
        <f t="shared" si="10"/>
        <v>4.2798265176501982</v>
      </c>
      <c r="I56" s="47">
        <f>IF(G56&gt;5,$B$5,IF(5&gt;=G56&gt;1.5,$B$6,IF(1.5&gt;G56,$B$7,0)))</f>
        <v>145</v>
      </c>
      <c r="J56" s="41">
        <f t="shared" si="11"/>
        <v>1.1716896522891811</v>
      </c>
      <c r="K56" s="41">
        <f>E56*$B$10</f>
        <v>0</v>
      </c>
      <c r="L56" s="41">
        <f t="shared" si="12"/>
        <v>-1.1716896522891811</v>
      </c>
    </row>
    <row r="57" spans="1:12">
      <c r="A57" s="47">
        <f t="shared" ref="A57:A58" si="14">A56+1</f>
        <v>34</v>
      </c>
      <c r="B57" s="47">
        <v>150.4</v>
      </c>
      <c r="C57" s="41">
        <f>(B57/$B$13)*$B$12</f>
        <v>0.41160372194854955</v>
      </c>
      <c r="D57" s="42">
        <f>D56+L56</f>
        <v>18.219688827982843</v>
      </c>
      <c r="E57" s="47">
        <v>83.7</v>
      </c>
      <c r="F57" s="46">
        <f t="shared" si="13"/>
        <v>49.945812807881772</v>
      </c>
      <c r="G57" s="85">
        <v>2.1930000000000001</v>
      </c>
      <c r="H57" s="42">
        <f t="shared" si="10"/>
        <v>4.2448447285642672</v>
      </c>
      <c r="I57" s="47">
        <f>IF(G57&gt;5,$B$5,IF(5&gt;=G57&gt;1.5,$B$6,IF(1.5&gt;G57,$B$7,0)))</f>
        <v>145</v>
      </c>
      <c r="J57" s="41">
        <f t="shared" si="11"/>
        <v>1.1540148740100178</v>
      </c>
      <c r="K57" s="41">
        <f>E57*$B$10</f>
        <v>0</v>
      </c>
      <c r="L57" s="41">
        <f t="shared" si="12"/>
        <v>-1.1540148740100178</v>
      </c>
    </row>
    <row r="58" spans="1:12">
      <c r="A58" s="47">
        <f t="shared" si="14"/>
        <v>35</v>
      </c>
      <c r="B58" s="47">
        <v>66.099999999999994</v>
      </c>
      <c r="C58" s="41">
        <f>(B58/$B$13)*$B$12</f>
        <v>0.18089764641488779</v>
      </c>
      <c r="D58" s="42">
        <f>D57+L57</f>
        <v>17.065673953972826</v>
      </c>
      <c r="E58" s="47">
        <v>83.7</v>
      </c>
      <c r="F58" s="46">
        <f t="shared" si="13"/>
        <v>49.764915161466881</v>
      </c>
      <c r="G58" s="85">
        <v>2.1930000000000001</v>
      </c>
      <c r="H58" s="42">
        <f t="shared" si="10"/>
        <v>4.2294704183343459</v>
      </c>
      <c r="I58" s="47">
        <f>IF(G58&gt;5,$B$5,IF(5&gt;=G58&gt;1.5,$B$6,IF(1.5&gt;G58,$B$7,0)))</f>
        <v>145</v>
      </c>
      <c r="J58" s="41">
        <f t="shared" si="11"/>
        <v>1.1462860129362196</v>
      </c>
      <c r="K58" s="41">
        <f>E58*$B$10</f>
        <v>0</v>
      </c>
      <c r="L58" s="41">
        <f t="shared" si="12"/>
        <v>-1.1462860129362196</v>
      </c>
    </row>
    <row r="61" spans="1:12">
      <c r="C61" s="57" t="s">
        <v>124</v>
      </c>
      <c r="D61" s="62">
        <f>MIN(D23:D53,D55:D58)</f>
        <v>17.065673953972826</v>
      </c>
      <c r="E61" t="s">
        <v>199</v>
      </c>
    </row>
    <row r="62" spans="1:12">
      <c r="C62" s="57" t="s">
        <v>125</v>
      </c>
      <c r="D62" s="62">
        <f>MAX(D23:D53,D55:D58)</f>
        <v>25</v>
      </c>
      <c r="E62" t="s">
        <v>199</v>
      </c>
    </row>
    <row r="63" spans="1:12" ht="30">
      <c r="C63" s="44" t="s">
        <v>194</v>
      </c>
      <c r="D63" s="62">
        <f>AVERAGE(D23:D53,D55:D58)</f>
        <v>23.277845129226289</v>
      </c>
    </row>
    <row r="64" spans="1:12" ht="24" customHeight="1">
      <c r="B64" s="123" t="s">
        <v>193</v>
      </c>
      <c r="C64" s="123"/>
      <c r="D64" s="62">
        <f>SUM(C23:C53,C55:C58)</f>
        <v>47.231253420908608</v>
      </c>
    </row>
    <row r="65" spans="2:4" ht="32.25" customHeight="1">
      <c r="B65" s="123" t="s">
        <v>195</v>
      </c>
      <c r="C65" s="123"/>
      <c r="D65" s="65">
        <f>SUM(E23:E53,E55:E58)</f>
        <v>736.1</v>
      </c>
    </row>
  </sheetData>
  <mergeCells count="2">
    <mergeCell ref="B65:C65"/>
    <mergeCell ref="B64:C64"/>
  </mergeCells>
  <printOptions headings="1" gridLines="1"/>
  <pageMargins left="1" right="0" top="1" bottom="0" header="0.5" footer="0"/>
  <pageSetup scale="80" firstPageNumber="57" orientation="portrait" useFirstPageNumber="1" r:id="rId1"/>
  <headerFooter>
    <oddHeader>&amp;R&amp;P</oddHeader>
  </headerFooter>
  <drawing r:id="rId2"/>
</worksheet>
</file>

<file path=xl/worksheets/sheet11.xml><?xml version="1.0" encoding="utf-8"?>
<worksheet xmlns="http://schemas.openxmlformats.org/spreadsheetml/2006/main" xmlns:r="http://schemas.openxmlformats.org/officeDocument/2006/relationships">
  <dimension ref="A1:L75"/>
  <sheetViews>
    <sheetView topLeftCell="A55" workbookViewId="0">
      <selection activeCell="C76" sqref="C76"/>
    </sheetView>
  </sheetViews>
  <sheetFormatPr defaultRowHeight="15"/>
  <sheetData>
    <row r="1" spans="1:3">
      <c r="A1" s="1" t="s">
        <v>93</v>
      </c>
    </row>
    <row r="3" spans="1:3">
      <c r="A3" s="1" t="s">
        <v>171</v>
      </c>
      <c r="C3" s="11"/>
    </row>
    <row r="4" spans="1:3">
      <c r="C4" s="11"/>
    </row>
    <row r="5" spans="1:3">
      <c r="B5">
        <v>150</v>
      </c>
      <c r="C5" t="s">
        <v>177</v>
      </c>
    </row>
    <row r="6" spans="1:3">
      <c r="B6">
        <v>145</v>
      </c>
      <c r="C6" t="s">
        <v>176</v>
      </c>
    </row>
    <row r="7" spans="1:3">
      <c r="B7">
        <v>140</v>
      </c>
      <c r="C7" t="s">
        <v>178</v>
      </c>
    </row>
    <row r="8" spans="1:3">
      <c r="B8">
        <v>5</v>
      </c>
      <c r="C8" t="s">
        <v>179</v>
      </c>
    </row>
    <row r="9" spans="1:3">
      <c r="B9">
        <f>365.5+105.8+135.1</f>
        <v>606.4</v>
      </c>
      <c r="C9" t="s">
        <v>180</v>
      </c>
    </row>
    <row r="10" spans="1:3">
      <c r="B10" s="3">
        <f>B8/B9</f>
        <v>8.2453825857519789E-3</v>
      </c>
      <c r="C10" t="s">
        <v>181</v>
      </c>
    </row>
    <row r="11" spans="1:3">
      <c r="B11">
        <v>0.5</v>
      </c>
      <c r="C11" t="s">
        <v>69</v>
      </c>
    </row>
    <row r="12" spans="1:3">
      <c r="B12" s="21">
        <f>B11/60</f>
        <v>8.3333333333333332E-3</v>
      </c>
      <c r="C12" t="s">
        <v>185</v>
      </c>
    </row>
    <row r="13" spans="1:3">
      <c r="B13" s="21">
        <f>3.045</f>
        <v>3.0449999999999999</v>
      </c>
      <c r="C13" t="s">
        <v>186</v>
      </c>
    </row>
    <row r="17" spans="1:12">
      <c r="B17" s="11" t="s">
        <v>330</v>
      </c>
    </row>
    <row r="18" spans="1:12">
      <c r="B18" s="11" t="s">
        <v>331</v>
      </c>
    </row>
    <row r="20" spans="1:12">
      <c r="A20" s="1" t="s">
        <v>201</v>
      </c>
    </row>
    <row r="21" spans="1:12" ht="30">
      <c r="A21" s="27" t="s">
        <v>173</v>
      </c>
      <c r="B21" s="44" t="s">
        <v>183</v>
      </c>
      <c r="C21" s="24" t="s">
        <v>184</v>
      </c>
      <c r="D21" s="24" t="s">
        <v>182</v>
      </c>
      <c r="E21" s="27" t="s">
        <v>116</v>
      </c>
      <c r="F21" s="24" t="s">
        <v>123</v>
      </c>
      <c r="G21" s="26" t="s">
        <v>175</v>
      </c>
      <c r="H21" s="24" t="s">
        <v>200</v>
      </c>
      <c r="I21" s="26" t="s">
        <v>187</v>
      </c>
      <c r="J21" s="27" t="s">
        <v>119</v>
      </c>
      <c r="K21" s="24" t="s">
        <v>120</v>
      </c>
      <c r="L21" s="24" t="s">
        <v>121</v>
      </c>
    </row>
    <row r="22" spans="1:12">
      <c r="A22" s="40" t="s">
        <v>174</v>
      </c>
      <c r="B22" s="47">
        <v>0</v>
      </c>
      <c r="C22" s="43">
        <v>0</v>
      </c>
      <c r="D22" s="43">
        <v>25</v>
      </c>
      <c r="E22" s="47">
        <v>0</v>
      </c>
      <c r="F22" s="42">
        <v>42.7</v>
      </c>
      <c r="G22" s="47">
        <v>2.1930000000000001</v>
      </c>
      <c r="H22" s="42">
        <f>(F22/448.8)/(3.14*((G22/12)^2)/4)</f>
        <v>3.6290303374758781</v>
      </c>
      <c r="I22" s="47">
        <f t="shared" ref="I22:I37" si="0">IF(G22&gt;5,$B$5,IF(5&gt;=G22&gt;1.5,$B$6,IF(1.5&gt;G22,$B$7,0)))</f>
        <v>145</v>
      </c>
      <c r="J22" s="46">
        <f t="shared" ref="J22:J37" si="1">(1050*((F22/I22)^1.852)*(E22/100)*(G22^-4.87))/2.31</f>
        <v>0</v>
      </c>
      <c r="K22" s="41">
        <f t="shared" ref="K22:K37" si="2">E22*$B$10</f>
        <v>0</v>
      </c>
      <c r="L22" s="41">
        <f>-K22-J22</f>
        <v>0</v>
      </c>
    </row>
    <row r="23" spans="1:12">
      <c r="A23" s="47">
        <v>1</v>
      </c>
      <c r="B23" s="47">
        <v>144.69999999999999</v>
      </c>
      <c r="C23" s="41">
        <f t="shared" ref="C23:C37" si="3">(B23/$B$13)*$B$12</f>
        <v>0.39600437876299943</v>
      </c>
      <c r="D23" s="42">
        <f t="shared" ref="D23:D37" si="4">D22+L22</f>
        <v>25</v>
      </c>
      <c r="E23" s="47">
        <v>249.6</v>
      </c>
      <c r="F23" s="46">
        <f>F22-C23</f>
        <v>42.303995621237</v>
      </c>
      <c r="G23" s="85">
        <v>2.1930000000000001</v>
      </c>
      <c r="H23" s="42">
        <f t="shared" ref="H23:H69" si="5">(F23/448.8)/(3.14*((G23/12)^2)/4)</f>
        <v>3.5953743209816342</v>
      </c>
      <c r="I23" s="47">
        <f t="shared" si="0"/>
        <v>145</v>
      </c>
      <c r="J23" s="41">
        <f t="shared" si="1"/>
        <v>2.530279840275961</v>
      </c>
      <c r="K23" s="41">
        <f t="shared" si="2"/>
        <v>2.0580474934036941</v>
      </c>
      <c r="L23" s="41">
        <f>-K23-J23</f>
        <v>-4.5883273336796551</v>
      </c>
    </row>
    <row r="24" spans="1:12">
      <c r="A24" s="47">
        <f>A23+1</f>
        <v>2</v>
      </c>
      <c r="B24" s="47">
        <v>135.1</v>
      </c>
      <c r="C24" s="41">
        <f t="shared" si="3"/>
        <v>0.36973180076628348</v>
      </c>
      <c r="D24" s="42">
        <f t="shared" si="4"/>
        <v>20.411672666320346</v>
      </c>
      <c r="E24" s="47">
        <v>7.7</v>
      </c>
      <c r="F24" s="46">
        <f t="shared" ref="F24:F32" si="6">F23-C24</f>
        <v>41.934263820470719</v>
      </c>
      <c r="G24" s="85">
        <v>2.1930000000000001</v>
      </c>
      <c r="H24" s="42">
        <f t="shared" si="5"/>
        <v>3.5639511846418115</v>
      </c>
      <c r="I24" s="47">
        <f t="shared" si="0"/>
        <v>145</v>
      </c>
      <c r="J24" s="41">
        <f t="shared" si="1"/>
        <v>7.6798758384234708E-2</v>
      </c>
      <c r="K24" s="41">
        <f t="shared" si="2"/>
        <v>6.3489445910290238E-2</v>
      </c>
      <c r="L24" s="41">
        <f>-K24-J24</f>
        <v>-0.14028820429452493</v>
      </c>
    </row>
    <row r="25" spans="1:12">
      <c r="A25" s="47">
        <f t="shared" ref="A25:A41" si="7">A24+1</f>
        <v>3</v>
      </c>
      <c r="B25" s="47">
        <v>125.4</v>
      </c>
      <c r="C25" s="41">
        <f t="shared" si="3"/>
        <v>0.34318555008210183</v>
      </c>
      <c r="D25" s="42">
        <f t="shared" si="4"/>
        <v>20.271384462025821</v>
      </c>
      <c r="E25" s="47">
        <v>7.7</v>
      </c>
      <c r="F25" s="46">
        <f t="shared" si="6"/>
        <v>41.591078270388614</v>
      </c>
      <c r="G25" s="85">
        <v>2.1930000000000001</v>
      </c>
      <c r="H25" s="42">
        <f t="shared" si="5"/>
        <v>3.5347841876246844</v>
      </c>
      <c r="I25" s="47">
        <f t="shared" si="0"/>
        <v>145</v>
      </c>
      <c r="J25" s="41">
        <f t="shared" si="1"/>
        <v>7.5638812325792351E-2</v>
      </c>
      <c r="K25" s="41">
        <f t="shared" si="2"/>
        <v>6.3489445910290238E-2</v>
      </c>
      <c r="L25" s="41">
        <f t="shared" ref="L25:L69" si="8">-K25-J25</f>
        <v>-0.1391282582360826</v>
      </c>
    </row>
    <row r="26" spans="1:12">
      <c r="A26" s="47">
        <f>A25+1</f>
        <v>4</v>
      </c>
      <c r="B26" s="47">
        <v>115.8</v>
      </c>
      <c r="C26" s="41">
        <f t="shared" si="3"/>
        <v>0.31691297208538588</v>
      </c>
      <c r="D26" s="42">
        <f t="shared" si="4"/>
        <v>20.132256203789741</v>
      </c>
      <c r="E26" s="47">
        <v>7.7</v>
      </c>
      <c r="F26" s="46">
        <f>F25-C26</f>
        <v>41.274165298303231</v>
      </c>
      <c r="G26" s="85">
        <v>2.1930000000000001</v>
      </c>
      <c r="H26" s="42">
        <f t="shared" si="5"/>
        <v>3.5078500707619797</v>
      </c>
      <c r="I26" s="47">
        <f t="shared" si="0"/>
        <v>145</v>
      </c>
      <c r="J26" s="41">
        <f t="shared" si="1"/>
        <v>7.4574882531044981E-2</v>
      </c>
      <c r="K26" s="41">
        <f t="shared" si="2"/>
        <v>6.3489445910290238E-2</v>
      </c>
      <c r="L26" s="41">
        <f t="shared" si="8"/>
        <v>-0.1380643284413352</v>
      </c>
    </row>
    <row r="27" spans="1:12">
      <c r="A27" s="47">
        <f t="shared" si="7"/>
        <v>5</v>
      </c>
      <c r="B27" s="47">
        <v>106.1</v>
      </c>
      <c r="C27" s="41">
        <f t="shared" si="3"/>
        <v>0.29036672140120418</v>
      </c>
      <c r="D27" s="42">
        <f t="shared" si="4"/>
        <v>19.994191875348406</v>
      </c>
      <c r="E27" s="47">
        <v>7.7</v>
      </c>
      <c r="F27" s="46">
        <f t="shared" si="6"/>
        <v>40.983798576902025</v>
      </c>
      <c r="G27" s="85">
        <v>2.1930000000000001</v>
      </c>
      <c r="H27" s="42">
        <f t="shared" si="5"/>
        <v>3.4831720932219707</v>
      </c>
      <c r="I27" s="47">
        <f t="shared" si="0"/>
        <v>145</v>
      </c>
      <c r="J27" s="41">
        <f t="shared" si="1"/>
        <v>7.3606162814720474E-2</v>
      </c>
      <c r="K27" s="41">
        <f t="shared" si="2"/>
        <v>6.3489445910290238E-2</v>
      </c>
      <c r="L27" s="41">
        <f t="shared" si="8"/>
        <v>-0.1370956087250107</v>
      </c>
    </row>
    <row r="28" spans="1:12">
      <c r="A28" s="47">
        <f t="shared" si="7"/>
        <v>6</v>
      </c>
      <c r="B28" s="47">
        <v>96.5</v>
      </c>
      <c r="C28" s="41">
        <f t="shared" si="3"/>
        <v>0.26409414340448822</v>
      </c>
      <c r="D28" s="42">
        <f t="shared" si="4"/>
        <v>19.857096266623394</v>
      </c>
      <c r="E28" s="47">
        <v>7.7</v>
      </c>
      <c r="F28" s="46">
        <f t="shared" si="6"/>
        <v>40.71970443349754</v>
      </c>
      <c r="G28" s="85">
        <v>2.1930000000000001</v>
      </c>
      <c r="H28" s="42">
        <f t="shared" si="5"/>
        <v>3.4607269958363838</v>
      </c>
      <c r="I28" s="47">
        <f t="shared" si="0"/>
        <v>145</v>
      </c>
      <c r="J28" s="41">
        <f t="shared" si="1"/>
        <v>7.2730155916892761E-2</v>
      </c>
      <c r="K28" s="41">
        <f t="shared" si="2"/>
        <v>6.3489445910290238E-2</v>
      </c>
      <c r="L28" s="41">
        <f t="shared" si="8"/>
        <v>-0.13621960182718301</v>
      </c>
    </row>
    <row r="29" spans="1:12">
      <c r="A29" s="47">
        <f t="shared" si="7"/>
        <v>7</v>
      </c>
      <c r="B29" s="47">
        <v>86.8</v>
      </c>
      <c r="C29" s="41">
        <f t="shared" si="3"/>
        <v>0.23754789272030649</v>
      </c>
      <c r="D29" s="42">
        <f t="shared" si="4"/>
        <v>19.720876664796211</v>
      </c>
      <c r="E29" s="47">
        <v>7.7</v>
      </c>
      <c r="F29" s="46">
        <f t="shared" si="6"/>
        <v>40.482156540777233</v>
      </c>
      <c r="G29" s="85">
        <v>2.1930000000000001</v>
      </c>
      <c r="H29" s="42">
        <f t="shared" si="5"/>
        <v>3.440538037773492</v>
      </c>
      <c r="I29" s="47">
        <f t="shared" si="0"/>
        <v>145</v>
      </c>
      <c r="J29" s="41">
        <f t="shared" si="1"/>
        <v>7.1946327300091026E-2</v>
      </c>
      <c r="K29" s="41">
        <f t="shared" si="2"/>
        <v>6.3489445910290238E-2</v>
      </c>
      <c r="L29" s="41">
        <f t="shared" si="8"/>
        <v>-0.13543577321038125</v>
      </c>
    </row>
    <row r="30" spans="1:12">
      <c r="A30" s="47">
        <f t="shared" si="7"/>
        <v>8</v>
      </c>
      <c r="B30" s="47">
        <v>77.2</v>
      </c>
      <c r="C30" s="41">
        <f t="shared" si="3"/>
        <v>0.2112753147235906</v>
      </c>
      <c r="D30" s="42">
        <f t="shared" si="4"/>
        <v>19.585440891585829</v>
      </c>
      <c r="E30" s="47">
        <v>7.7</v>
      </c>
      <c r="F30" s="46">
        <f t="shared" si="6"/>
        <v>40.270881226053639</v>
      </c>
      <c r="G30" s="85">
        <v>2.1930000000000001</v>
      </c>
      <c r="H30" s="42">
        <f t="shared" si="5"/>
        <v>3.4225819598650218</v>
      </c>
      <c r="I30" s="47">
        <f t="shared" si="0"/>
        <v>145</v>
      </c>
      <c r="J30" s="41">
        <f t="shared" si="1"/>
        <v>7.1252473701790067E-2</v>
      </c>
      <c r="K30" s="41">
        <f t="shared" si="2"/>
        <v>6.3489445910290238E-2</v>
      </c>
      <c r="L30" s="41">
        <f t="shared" si="8"/>
        <v>-0.13474191961208032</v>
      </c>
    </row>
    <row r="31" spans="1:12">
      <c r="A31" s="47">
        <f t="shared" si="7"/>
        <v>9</v>
      </c>
      <c r="B31" s="47">
        <v>67.5</v>
      </c>
      <c r="C31" s="41">
        <f t="shared" si="3"/>
        <v>0.18472906403940886</v>
      </c>
      <c r="D31" s="42">
        <f t="shared" si="4"/>
        <v>19.45069897197375</v>
      </c>
      <c r="E31" s="47">
        <v>7.7</v>
      </c>
      <c r="F31" s="46">
        <f t="shared" si="6"/>
        <v>40.08615216201423</v>
      </c>
      <c r="G31" s="85">
        <v>2.1930000000000001</v>
      </c>
      <c r="H31" s="42">
        <f t="shared" si="5"/>
        <v>3.4068820212792477</v>
      </c>
      <c r="I31" s="47">
        <f t="shared" si="0"/>
        <v>145</v>
      </c>
      <c r="J31" s="41">
        <f t="shared" si="1"/>
        <v>7.0648336841488107E-2</v>
      </c>
      <c r="K31" s="41">
        <f t="shared" si="2"/>
        <v>6.3489445910290238E-2</v>
      </c>
      <c r="L31" s="41">
        <f t="shared" si="8"/>
        <v>-0.13413778275177834</v>
      </c>
    </row>
    <row r="32" spans="1:12">
      <c r="A32" s="47">
        <f t="shared" si="7"/>
        <v>10</v>
      </c>
      <c r="B32" s="47">
        <v>57.9</v>
      </c>
      <c r="C32" s="41">
        <f t="shared" si="3"/>
        <v>0.15845648604269294</v>
      </c>
      <c r="D32" s="42">
        <f t="shared" si="4"/>
        <v>19.316561189221972</v>
      </c>
      <c r="E32" s="47">
        <v>7.7</v>
      </c>
      <c r="F32" s="46">
        <f t="shared" si="6"/>
        <v>39.927695675971535</v>
      </c>
      <c r="G32" s="85">
        <v>2.1930000000000001</v>
      </c>
      <c r="H32" s="42">
        <f t="shared" si="5"/>
        <v>3.3934149628478956</v>
      </c>
      <c r="I32" s="47">
        <f t="shared" si="0"/>
        <v>145</v>
      </c>
      <c r="J32" s="41">
        <f t="shared" si="1"/>
        <v>7.0132007872885524E-2</v>
      </c>
      <c r="K32" s="41">
        <f t="shared" si="2"/>
        <v>6.3489445910290238E-2</v>
      </c>
      <c r="L32" s="41">
        <f t="shared" si="8"/>
        <v>-0.13362145378317575</v>
      </c>
    </row>
    <row r="33" spans="1:12">
      <c r="A33" s="47">
        <f t="shared" si="7"/>
        <v>11</v>
      </c>
      <c r="B33" s="47">
        <v>48.2</v>
      </c>
      <c r="C33" s="41">
        <f t="shared" si="3"/>
        <v>0.13191023535851124</v>
      </c>
      <c r="D33" s="42">
        <f t="shared" si="4"/>
        <v>19.182939735438797</v>
      </c>
      <c r="E33" s="47">
        <v>7.7</v>
      </c>
      <c r="F33" s="46">
        <f>F32-C33</f>
        <v>39.795785440613024</v>
      </c>
      <c r="G33" s="85">
        <v>2.1930000000000001</v>
      </c>
      <c r="H33" s="42">
        <f t="shared" si="5"/>
        <v>3.3822040437392387</v>
      </c>
      <c r="I33" s="47">
        <f t="shared" si="0"/>
        <v>145</v>
      </c>
      <c r="J33" s="41">
        <f t="shared" si="1"/>
        <v>6.970350893231092E-2</v>
      </c>
      <c r="K33" s="41">
        <f t="shared" si="2"/>
        <v>6.3489445910290238E-2</v>
      </c>
      <c r="L33" s="41">
        <f t="shared" si="8"/>
        <v>-0.13319295484260116</v>
      </c>
    </row>
    <row r="34" spans="1:12">
      <c r="A34" s="47">
        <f>A33+1</f>
        <v>12</v>
      </c>
      <c r="B34" s="47">
        <v>38.6</v>
      </c>
      <c r="C34" s="41">
        <f t="shared" si="3"/>
        <v>0.1056376573617953</v>
      </c>
      <c r="D34" s="42">
        <f t="shared" si="4"/>
        <v>19.049746780596195</v>
      </c>
      <c r="E34" s="47">
        <v>2.2999999999999998</v>
      </c>
      <c r="F34" s="46">
        <f t="shared" ref="F34:F37" si="9">F33-C34</f>
        <v>39.690147783251227</v>
      </c>
      <c r="G34" s="85">
        <v>2.1930000000000001</v>
      </c>
      <c r="H34" s="42">
        <f t="shared" si="5"/>
        <v>3.3732260047850038</v>
      </c>
      <c r="I34" s="47">
        <f t="shared" si="0"/>
        <v>145</v>
      </c>
      <c r="J34" s="41">
        <f t="shared" si="1"/>
        <v>2.0718288141620089E-2</v>
      </c>
      <c r="K34" s="41">
        <f t="shared" si="2"/>
        <v>1.8964379947229552E-2</v>
      </c>
      <c r="L34" s="41">
        <f>-K34-J34</f>
        <v>-3.968266808884964E-2</v>
      </c>
    </row>
    <row r="35" spans="1:12">
      <c r="A35" s="47">
        <f t="shared" si="7"/>
        <v>13</v>
      </c>
      <c r="B35" s="47">
        <v>28.9</v>
      </c>
      <c r="C35" s="41">
        <f t="shared" si="3"/>
        <v>7.9091406677613579E-2</v>
      </c>
      <c r="D35" s="42">
        <f t="shared" si="4"/>
        <v>19.010064112507344</v>
      </c>
      <c r="E35" s="47">
        <v>7.7</v>
      </c>
      <c r="F35" s="46">
        <f t="shared" si="9"/>
        <v>39.611056376573615</v>
      </c>
      <c r="G35" s="85">
        <v>2.1930000000000001</v>
      </c>
      <c r="H35" s="42">
        <f t="shared" si="5"/>
        <v>3.3665041051534654</v>
      </c>
      <c r="I35" s="47">
        <f t="shared" si="0"/>
        <v>145</v>
      </c>
      <c r="J35" s="41">
        <f t="shared" si="1"/>
        <v>6.9105463847670592E-2</v>
      </c>
      <c r="K35" s="41">
        <f t="shared" si="2"/>
        <v>6.3489445910290238E-2</v>
      </c>
      <c r="L35" s="41">
        <f t="shared" si="8"/>
        <v>-0.13259490975796084</v>
      </c>
    </row>
    <row r="36" spans="1:12">
      <c r="A36" s="47">
        <f>A35+1</f>
        <v>14</v>
      </c>
      <c r="B36" s="47">
        <v>19.3</v>
      </c>
      <c r="C36" s="41">
        <f t="shared" si="3"/>
        <v>5.2818828680897649E-2</v>
      </c>
      <c r="D36" s="42">
        <f t="shared" si="4"/>
        <v>18.877469202749381</v>
      </c>
      <c r="E36" s="47">
        <v>7.7</v>
      </c>
      <c r="F36" s="46">
        <f t="shared" si="9"/>
        <v>39.558237547892716</v>
      </c>
      <c r="G36" s="85">
        <v>2.1930000000000001</v>
      </c>
      <c r="H36" s="42">
        <f t="shared" si="5"/>
        <v>3.3620150856763473</v>
      </c>
      <c r="I36" s="47">
        <f t="shared" si="0"/>
        <v>145</v>
      </c>
      <c r="J36" s="41">
        <f t="shared" si="1"/>
        <v>6.8934903165092917E-2</v>
      </c>
      <c r="K36" s="41">
        <f t="shared" si="2"/>
        <v>6.3489445910290238E-2</v>
      </c>
      <c r="L36" s="41">
        <f>-K36-J36</f>
        <v>-0.13242434907538314</v>
      </c>
    </row>
    <row r="37" spans="1:12">
      <c r="A37" s="47">
        <f t="shared" si="7"/>
        <v>15</v>
      </c>
      <c r="B37" s="47">
        <v>9.6999999999999993</v>
      </c>
      <c r="C37" s="41">
        <f t="shared" si="3"/>
        <v>2.6546250684181715E-2</v>
      </c>
      <c r="D37" s="42">
        <f t="shared" si="4"/>
        <v>18.745044853673999</v>
      </c>
      <c r="E37" s="47">
        <v>7.7</v>
      </c>
      <c r="F37" s="46">
        <f t="shared" si="9"/>
        <v>39.531691297208532</v>
      </c>
      <c r="G37" s="85">
        <v>2.1930000000000001</v>
      </c>
      <c r="H37" s="42">
        <f t="shared" si="5"/>
        <v>3.3597589463536512</v>
      </c>
      <c r="I37" s="47">
        <f t="shared" si="0"/>
        <v>145</v>
      </c>
      <c r="J37" s="41">
        <f t="shared" si="1"/>
        <v>6.8849254177523495E-2</v>
      </c>
      <c r="K37" s="41">
        <f t="shared" si="2"/>
        <v>6.3489445910290238E-2</v>
      </c>
      <c r="L37" s="41">
        <f t="shared" si="8"/>
        <v>-0.13233870008781373</v>
      </c>
    </row>
    <row r="38" spans="1:12">
      <c r="A38" s="49" t="s">
        <v>202</v>
      </c>
      <c r="B38" s="47"/>
      <c r="C38" s="41"/>
      <c r="D38" s="42"/>
      <c r="E38" s="47"/>
      <c r="F38" s="46"/>
      <c r="G38" s="85"/>
      <c r="H38" s="42"/>
      <c r="I38" s="47"/>
      <c r="J38" s="41"/>
      <c r="K38" s="41"/>
      <c r="L38" s="41"/>
    </row>
    <row r="39" spans="1:12">
      <c r="A39" s="47">
        <f>A37+1</f>
        <v>16</v>
      </c>
      <c r="B39" s="47">
        <v>756.1</v>
      </c>
      <c r="C39" s="41">
        <f t="shared" ref="C39:C54" si="10">(B39/$B$13)*$B$12</f>
        <v>2.0692391899288451</v>
      </c>
      <c r="D39" s="42">
        <f>25</f>
        <v>25</v>
      </c>
      <c r="E39" s="47">
        <v>249.6</v>
      </c>
      <c r="F39" s="46">
        <v>42.7</v>
      </c>
      <c r="G39" s="47">
        <v>2.1930000000000001</v>
      </c>
      <c r="H39" s="42">
        <f t="shared" si="5"/>
        <v>3.6290303374758781</v>
      </c>
      <c r="I39" s="47">
        <f t="shared" ref="I39:I69" si="11">IF(G39&gt;5,$B$5,IF(5&gt;=G39&gt;1.5,$B$6,IF(1.5&gt;G39,$B$7,0)))</f>
        <v>145</v>
      </c>
      <c r="J39" s="41">
        <f t="shared" ref="J39:J54" si="12">(1050*((F39/I39)^1.852)*(E39/100)*(G39^-4.87))/2.31</f>
        <v>2.5743206969028263</v>
      </c>
      <c r="K39" s="41">
        <f t="shared" ref="K39:K54" si="13">E39*$B$10</f>
        <v>2.0580474934036941</v>
      </c>
      <c r="L39" s="41">
        <f t="shared" si="8"/>
        <v>-4.6323681903065204</v>
      </c>
    </row>
    <row r="40" spans="1:12">
      <c r="A40" s="47">
        <f t="shared" si="7"/>
        <v>17</v>
      </c>
      <c r="B40" s="47">
        <v>736.6</v>
      </c>
      <c r="C40" s="41">
        <f t="shared" si="10"/>
        <v>2.0158730158730158</v>
      </c>
      <c r="D40" s="42">
        <f t="shared" ref="D40:D54" si="14">D39+L39</f>
        <v>20.367631809693478</v>
      </c>
      <c r="E40" s="47">
        <v>7.7</v>
      </c>
      <c r="F40" s="46">
        <f t="shared" ref="F40:F69" si="15">F39-C40</f>
        <v>40.684126984126991</v>
      </c>
      <c r="G40" s="85">
        <v>2.1930000000000001</v>
      </c>
      <c r="H40" s="42">
        <f t="shared" si="5"/>
        <v>3.4577033039606055</v>
      </c>
      <c r="I40" s="47">
        <f t="shared" si="11"/>
        <v>145</v>
      </c>
      <c r="J40" s="41">
        <f t="shared" si="12"/>
        <v>7.261251348042537E-2</v>
      </c>
      <c r="K40" s="41">
        <f t="shared" si="13"/>
        <v>6.3489445910290238E-2</v>
      </c>
      <c r="L40" s="41">
        <f t="shared" si="8"/>
        <v>-0.13610195939071562</v>
      </c>
    </row>
    <row r="41" spans="1:12">
      <c r="A41" s="47">
        <f t="shared" si="7"/>
        <v>18</v>
      </c>
      <c r="B41" s="47">
        <v>717.1</v>
      </c>
      <c r="C41" s="41">
        <f t="shared" si="10"/>
        <v>1.9625068418171867</v>
      </c>
      <c r="D41" s="42">
        <f t="shared" si="14"/>
        <v>20.231529850302763</v>
      </c>
      <c r="E41" s="47">
        <v>7.7</v>
      </c>
      <c r="F41" s="46">
        <f t="shared" si="15"/>
        <v>38.721620142309803</v>
      </c>
      <c r="G41" s="85">
        <v>2.1930000000000001</v>
      </c>
      <c r="H41" s="42">
        <f t="shared" si="5"/>
        <v>3.2909118082589996</v>
      </c>
      <c r="I41" s="47">
        <f t="shared" si="11"/>
        <v>145</v>
      </c>
      <c r="J41" s="41">
        <f t="shared" si="12"/>
        <v>6.6259215167395677E-2</v>
      </c>
      <c r="K41" s="41">
        <f t="shared" si="13"/>
        <v>6.3489445910290238E-2</v>
      </c>
      <c r="L41" s="41">
        <f t="shared" si="8"/>
        <v>-0.1297486610776859</v>
      </c>
    </row>
    <row r="42" spans="1:12">
      <c r="A42" s="47">
        <f>A41+1</f>
        <v>19</v>
      </c>
      <c r="B42" s="47">
        <v>697.6</v>
      </c>
      <c r="C42" s="41">
        <f t="shared" si="10"/>
        <v>1.9091406677613574</v>
      </c>
      <c r="D42" s="42">
        <f t="shared" si="14"/>
        <v>20.101781189225079</v>
      </c>
      <c r="E42" s="47">
        <v>7.7</v>
      </c>
      <c r="F42" s="46">
        <f t="shared" si="15"/>
        <v>36.812479474548446</v>
      </c>
      <c r="G42" s="85">
        <v>2.1930000000000001</v>
      </c>
      <c r="H42" s="42">
        <f t="shared" si="5"/>
        <v>3.1286558503710626</v>
      </c>
      <c r="I42" s="47">
        <f t="shared" si="11"/>
        <v>145</v>
      </c>
      <c r="J42" s="41">
        <f t="shared" si="12"/>
        <v>6.0336378233089231E-2</v>
      </c>
      <c r="K42" s="41">
        <f t="shared" si="13"/>
        <v>6.3489445910290238E-2</v>
      </c>
      <c r="L42" s="41">
        <f t="shared" si="8"/>
        <v>-0.12382582414337948</v>
      </c>
    </row>
    <row r="43" spans="1:12">
      <c r="A43" s="47">
        <f t="shared" ref="A43:A69" si="16">A42+1</f>
        <v>20</v>
      </c>
      <c r="B43" s="47">
        <v>678.1</v>
      </c>
      <c r="C43" s="41">
        <f t="shared" si="10"/>
        <v>1.8557744937055283</v>
      </c>
      <c r="D43" s="42">
        <f t="shared" si="14"/>
        <v>19.977955365081698</v>
      </c>
      <c r="E43" s="47">
        <v>7.7</v>
      </c>
      <c r="F43" s="46">
        <f t="shared" si="15"/>
        <v>34.956704980842915</v>
      </c>
      <c r="G43" s="85">
        <v>2.1930000000000001</v>
      </c>
      <c r="H43" s="42">
        <f t="shared" si="5"/>
        <v>2.9709354302967932</v>
      </c>
      <c r="I43" s="47">
        <f t="shared" si="11"/>
        <v>145</v>
      </c>
      <c r="J43" s="41">
        <f t="shared" si="12"/>
        <v>5.4824519505386783E-2</v>
      </c>
      <c r="K43" s="41">
        <f t="shared" si="13"/>
        <v>6.3489445910290238E-2</v>
      </c>
      <c r="L43" s="41">
        <f t="shared" si="8"/>
        <v>-0.11831396541567701</v>
      </c>
    </row>
    <row r="44" spans="1:12">
      <c r="A44" s="47">
        <f t="shared" si="16"/>
        <v>21</v>
      </c>
      <c r="B44" s="47">
        <v>658.6</v>
      </c>
      <c r="C44" s="41">
        <f t="shared" si="10"/>
        <v>1.8024083196496992</v>
      </c>
      <c r="D44" s="42">
        <f t="shared" si="14"/>
        <v>19.859641399666021</v>
      </c>
      <c r="E44" s="47">
        <v>7.7</v>
      </c>
      <c r="F44" s="46">
        <f t="shared" si="15"/>
        <v>33.154296661193214</v>
      </c>
      <c r="G44" s="85">
        <v>2.1930000000000001</v>
      </c>
      <c r="H44" s="42">
        <f t="shared" si="5"/>
        <v>2.8177505480361917</v>
      </c>
      <c r="I44" s="47">
        <f t="shared" si="11"/>
        <v>145</v>
      </c>
      <c r="J44" s="41">
        <f t="shared" si="12"/>
        <v>4.9704546198931818E-2</v>
      </c>
      <c r="K44" s="41">
        <f t="shared" si="13"/>
        <v>6.3489445910290238E-2</v>
      </c>
      <c r="L44" s="41">
        <f t="shared" si="8"/>
        <v>-0.11319399210922206</v>
      </c>
    </row>
    <row r="45" spans="1:12">
      <c r="A45" s="47">
        <f>A44+1</f>
        <v>22</v>
      </c>
      <c r="B45" s="47">
        <v>639</v>
      </c>
      <c r="C45" s="41">
        <f t="shared" si="10"/>
        <v>1.7487684729064039</v>
      </c>
      <c r="D45" s="42">
        <f t="shared" si="14"/>
        <v>19.746447407556801</v>
      </c>
      <c r="E45" s="47">
        <v>7.7</v>
      </c>
      <c r="F45" s="46">
        <f t="shared" si="15"/>
        <v>31.405528188286809</v>
      </c>
      <c r="G45" s="85">
        <v>2.1930000000000001</v>
      </c>
      <c r="H45" s="42">
        <f t="shared" si="5"/>
        <v>2.6691244627575332</v>
      </c>
      <c r="I45" s="47">
        <f t="shared" si="11"/>
        <v>145</v>
      </c>
      <c r="J45" s="41">
        <f t="shared" si="12"/>
        <v>4.4958485063434299E-2</v>
      </c>
      <c r="K45" s="41">
        <f t="shared" si="13"/>
        <v>6.3489445910290238E-2</v>
      </c>
      <c r="L45" s="41">
        <f t="shared" si="8"/>
        <v>-0.10844793097372454</v>
      </c>
    </row>
    <row r="46" spans="1:12">
      <c r="A46" s="47">
        <f t="shared" si="16"/>
        <v>23</v>
      </c>
      <c r="B46" s="47">
        <v>619.5</v>
      </c>
      <c r="C46" s="41">
        <f t="shared" si="10"/>
        <v>1.6954022988505748</v>
      </c>
      <c r="D46" s="42">
        <f t="shared" si="14"/>
        <v>19.637999476583076</v>
      </c>
      <c r="E46" s="47">
        <v>7.7</v>
      </c>
      <c r="F46" s="46">
        <f t="shared" si="15"/>
        <v>29.710125889436235</v>
      </c>
      <c r="G46" s="85">
        <v>2.1930000000000001</v>
      </c>
      <c r="H46" s="42">
        <f t="shared" si="5"/>
        <v>2.5250339152925432</v>
      </c>
      <c r="I46" s="47">
        <f t="shared" si="11"/>
        <v>145</v>
      </c>
      <c r="J46" s="41">
        <f t="shared" si="12"/>
        <v>4.0567242407262158E-2</v>
      </c>
      <c r="K46" s="41">
        <f t="shared" si="13"/>
        <v>6.3489445910290238E-2</v>
      </c>
      <c r="L46" s="41">
        <f t="shared" si="8"/>
        <v>-0.1040566883175524</v>
      </c>
    </row>
    <row r="47" spans="1:12">
      <c r="A47" s="47">
        <f t="shared" si="16"/>
        <v>24</v>
      </c>
      <c r="B47" s="47">
        <v>600</v>
      </c>
      <c r="C47" s="41">
        <f t="shared" si="10"/>
        <v>1.6420361247947455</v>
      </c>
      <c r="D47" s="42">
        <f t="shared" si="14"/>
        <v>19.533942788265524</v>
      </c>
      <c r="E47" s="47">
        <v>7.7</v>
      </c>
      <c r="F47" s="46">
        <f t="shared" si="15"/>
        <v>28.068089764641488</v>
      </c>
      <c r="G47" s="85">
        <v>2.1930000000000001</v>
      </c>
      <c r="H47" s="42">
        <f t="shared" si="5"/>
        <v>2.3854789056412211</v>
      </c>
      <c r="I47" s="47">
        <f t="shared" si="11"/>
        <v>145</v>
      </c>
      <c r="J47" s="41">
        <f t="shared" si="12"/>
        <v>3.6512921100551321E-2</v>
      </c>
      <c r="K47" s="41">
        <f t="shared" si="13"/>
        <v>6.3489445910290238E-2</v>
      </c>
      <c r="L47" s="41">
        <f t="shared" si="8"/>
        <v>-0.10000236701084156</v>
      </c>
    </row>
    <row r="48" spans="1:12">
      <c r="A48" s="47">
        <f>A47+1</f>
        <v>25</v>
      </c>
      <c r="B48" s="47">
        <v>580.5</v>
      </c>
      <c r="C48" s="41">
        <f t="shared" si="10"/>
        <v>1.5886699507389161</v>
      </c>
      <c r="D48" s="42">
        <f t="shared" si="14"/>
        <v>19.433940421254682</v>
      </c>
      <c r="E48" s="47">
        <v>7.7</v>
      </c>
      <c r="F48" s="46">
        <f t="shared" si="15"/>
        <v>26.479419813902574</v>
      </c>
      <c r="G48" s="85">
        <v>2.1930000000000001</v>
      </c>
      <c r="H48" s="42">
        <f t="shared" si="5"/>
        <v>2.2504594338035666</v>
      </c>
      <c r="I48" s="47">
        <f t="shared" si="11"/>
        <v>145</v>
      </c>
      <c r="J48" s="41">
        <f t="shared" si="12"/>
        <v>3.2778029770288868E-2</v>
      </c>
      <c r="K48" s="41">
        <f t="shared" si="13"/>
        <v>6.3489445910290238E-2</v>
      </c>
      <c r="L48" s="41">
        <f t="shared" si="8"/>
        <v>-9.6267475680579112E-2</v>
      </c>
    </row>
    <row r="49" spans="1:12">
      <c r="A49" s="47">
        <f t="shared" si="16"/>
        <v>26</v>
      </c>
      <c r="B49" s="47">
        <v>561</v>
      </c>
      <c r="C49" s="41">
        <f t="shared" si="10"/>
        <v>1.535303776683087</v>
      </c>
      <c r="D49" s="42">
        <f t="shared" si="14"/>
        <v>19.337672945574102</v>
      </c>
      <c r="E49" s="47">
        <v>7.7</v>
      </c>
      <c r="F49" s="46">
        <f t="shared" si="15"/>
        <v>24.944116037219487</v>
      </c>
      <c r="G49" s="85">
        <v>2.1930000000000001</v>
      </c>
      <c r="H49" s="42">
        <f t="shared" si="5"/>
        <v>2.1199754997795806</v>
      </c>
      <c r="I49" s="47">
        <f t="shared" si="11"/>
        <v>145</v>
      </c>
      <c r="J49" s="41">
        <f t="shared" si="12"/>
        <v>2.9345487103749891E-2</v>
      </c>
      <c r="K49" s="41">
        <f t="shared" si="13"/>
        <v>6.3489445910290238E-2</v>
      </c>
      <c r="L49" s="41">
        <f t="shared" si="8"/>
        <v>-9.2834933014040125E-2</v>
      </c>
    </row>
    <row r="50" spans="1:12">
      <c r="A50" s="47">
        <f t="shared" si="16"/>
        <v>27</v>
      </c>
      <c r="B50" s="47">
        <v>548.9</v>
      </c>
      <c r="C50" s="41">
        <f t="shared" si="10"/>
        <v>1.5021893814997263</v>
      </c>
      <c r="D50" s="42">
        <f t="shared" si="14"/>
        <v>19.244838012560063</v>
      </c>
      <c r="E50" s="47">
        <v>7.7</v>
      </c>
      <c r="F50" s="46">
        <f t="shared" si="15"/>
        <v>23.441926655719762</v>
      </c>
      <c r="G50" s="85">
        <v>2.1930000000000001</v>
      </c>
      <c r="H50" s="42">
        <f t="shared" si="5"/>
        <v>1.9923059251168962</v>
      </c>
      <c r="I50" s="47">
        <f t="shared" si="11"/>
        <v>145</v>
      </c>
      <c r="J50" s="41">
        <f t="shared" si="12"/>
        <v>2.6156761034831066E-2</v>
      </c>
      <c r="K50" s="41">
        <f t="shared" si="13"/>
        <v>6.3489445910290238E-2</v>
      </c>
      <c r="L50" s="41">
        <f t="shared" si="8"/>
        <v>-8.9646206945121307E-2</v>
      </c>
    </row>
    <row r="51" spans="1:12">
      <c r="A51" s="47">
        <f t="shared" si="16"/>
        <v>28</v>
      </c>
      <c r="B51" s="47">
        <v>541.79999999999995</v>
      </c>
      <c r="C51" s="41">
        <f t="shared" si="10"/>
        <v>1.482758620689655</v>
      </c>
      <c r="D51" s="42">
        <f t="shared" si="14"/>
        <v>19.15519180561494</v>
      </c>
      <c r="E51" s="47">
        <v>7.7</v>
      </c>
      <c r="F51" s="46">
        <f t="shared" si="15"/>
        <v>21.959168035030107</v>
      </c>
      <c r="G51" s="85">
        <v>2.1930000000000001</v>
      </c>
      <c r="H51" s="42">
        <f t="shared" si="5"/>
        <v>1.8662877514017522</v>
      </c>
      <c r="I51" s="47">
        <f t="shared" si="11"/>
        <v>145</v>
      </c>
      <c r="J51" s="41">
        <f t="shared" si="12"/>
        <v>2.3175493000082113E-2</v>
      </c>
      <c r="K51" s="41">
        <f t="shared" si="13"/>
        <v>6.3489445910290238E-2</v>
      </c>
      <c r="L51" s="41">
        <f t="shared" si="8"/>
        <v>-8.6664938910372358E-2</v>
      </c>
    </row>
    <row r="52" spans="1:12">
      <c r="A52" s="47">
        <f t="shared" si="16"/>
        <v>29</v>
      </c>
      <c r="B52" s="47">
        <v>534.70000000000005</v>
      </c>
      <c r="C52" s="41">
        <f t="shared" si="10"/>
        <v>1.4633278598795842</v>
      </c>
      <c r="D52" s="42">
        <f t="shared" si="14"/>
        <v>19.06852686670457</v>
      </c>
      <c r="E52" s="47">
        <v>7.7</v>
      </c>
      <c r="F52" s="46">
        <f t="shared" si="15"/>
        <v>20.495840175150523</v>
      </c>
      <c r="G52" s="85">
        <v>2.1930000000000001</v>
      </c>
      <c r="H52" s="42">
        <f t="shared" si="5"/>
        <v>1.741920978634149</v>
      </c>
      <c r="I52" s="47">
        <f t="shared" si="11"/>
        <v>145</v>
      </c>
      <c r="J52" s="41">
        <f t="shared" si="12"/>
        <v>2.0396764997013102E-2</v>
      </c>
      <c r="K52" s="41">
        <f t="shared" si="13"/>
        <v>6.3489445910290238E-2</v>
      </c>
      <c r="L52" s="41">
        <f t="shared" si="8"/>
        <v>-8.3886210907303332E-2</v>
      </c>
    </row>
    <row r="53" spans="1:12">
      <c r="A53" s="47">
        <f t="shared" si="16"/>
        <v>30</v>
      </c>
      <c r="B53" s="47">
        <v>527.20000000000005</v>
      </c>
      <c r="C53" s="41">
        <f t="shared" si="10"/>
        <v>1.4428024083196498</v>
      </c>
      <c r="D53" s="42">
        <f t="shared" si="14"/>
        <v>18.984640655797268</v>
      </c>
      <c r="E53" s="47">
        <v>7.7</v>
      </c>
      <c r="F53" s="46">
        <f t="shared" si="15"/>
        <v>19.053037766830872</v>
      </c>
      <c r="G53" s="85">
        <v>2.1930000000000001</v>
      </c>
      <c r="H53" s="42">
        <f t="shared" si="5"/>
        <v>1.619298643487187</v>
      </c>
      <c r="I53" s="47">
        <f t="shared" si="11"/>
        <v>145</v>
      </c>
      <c r="J53" s="41">
        <f t="shared" si="12"/>
        <v>1.7817637492555528E-2</v>
      </c>
      <c r="K53" s="41">
        <f t="shared" si="13"/>
        <v>6.3489445910290238E-2</v>
      </c>
      <c r="L53" s="41">
        <f t="shared" si="8"/>
        <v>-8.1307083402845759E-2</v>
      </c>
    </row>
    <row r="54" spans="1:12">
      <c r="A54" s="47">
        <f t="shared" si="16"/>
        <v>31</v>
      </c>
      <c r="B54" s="47">
        <v>520.6</v>
      </c>
      <c r="C54" s="41">
        <f t="shared" si="10"/>
        <v>1.4247400109469077</v>
      </c>
      <c r="D54" s="42">
        <f t="shared" si="14"/>
        <v>18.903333572394423</v>
      </c>
      <c r="E54" s="47">
        <v>7.7</v>
      </c>
      <c r="F54" s="46">
        <f t="shared" si="15"/>
        <v>17.628297755883963</v>
      </c>
      <c r="G54" s="85">
        <v>2.1930000000000001</v>
      </c>
      <c r="H54" s="42">
        <f t="shared" si="5"/>
        <v>1.4982114134463898</v>
      </c>
      <c r="I54" s="47">
        <f t="shared" si="11"/>
        <v>145</v>
      </c>
      <c r="J54" s="41">
        <f t="shared" si="12"/>
        <v>1.5429007389108677E-2</v>
      </c>
      <c r="K54" s="41">
        <f t="shared" si="13"/>
        <v>6.3489445910290238E-2</v>
      </c>
      <c r="L54" s="41">
        <f t="shared" si="8"/>
        <v>-7.8918453299398922E-2</v>
      </c>
    </row>
    <row r="55" spans="1:12">
      <c r="A55" s="49" t="s">
        <v>188</v>
      </c>
      <c r="B55" s="47"/>
      <c r="C55" s="41"/>
      <c r="D55" s="42"/>
      <c r="E55" s="47"/>
      <c r="F55" s="46"/>
      <c r="G55" s="47"/>
      <c r="H55" s="42"/>
      <c r="I55" s="47">
        <f t="shared" si="11"/>
        <v>145</v>
      </c>
      <c r="J55" s="41"/>
      <c r="K55" s="41"/>
      <c r="L55" s="41"/>
    </row>
    <row r="56" spans="1:12">
      <c r="A56" s="47">
        <f>A54+1</f>
        <v>32</v>
      </c>
      <c r="B56" s="47">
        <v>503.8</v>
      </c>
      <c r="C56" s="41">
        <f t="shared" ref="C56:C63" si="17">(B56/$B$13)*$B$12</f>
        <v>1.3787629994526547</v>
      </c>
      <c r="D56" s="42">
        <f>D54+L54</f>
        <v>18.824415119095026</v>
      </c>
      <c r="E56" s="47">
        <v>12.4</v>
      </c>
      <c r="F56" s="46">
        <f>42.7-((F39-F54)+(F23-F37))</f>
        <v>14.855993431855495</v>
      </c>
      <c r="G56" s="47">
        <v>1.72</v>
      </c>
      <c r="H56" s="42">
        <f t="shared" si="5"/>
        <v>2.0525076856041724</v>
      </c>
      <c r="I56" s="47">
        <f t="shared" si="11"/>
        <v>145</v>
      </c>
      <c r="J56" s="41">
        <f t="shared" ref="J56:J63" si="18">(1050*((F56/I56)^1.852)*(E56/100)*(G56^-4.87))/2.31</f>
        <v>5.9085902541093666E-2</v>
      </c>
      <c r="K56" s="41">
        <f t="shared" ref="K56:K63" si="19">E56*$B$10</f>
        <v>0.10224274406332454</v>
      </c>
      <c r="L56" s="41">
        <f t="shared" si="8"/>
        <v>-0.1613286466044182</v>
      </c>
    </row>
    <row r="57" spans="1:12">
      <c r="A57" s="47">
        <f t="shared" si="16"/>
        <v>33</v>
      </c>
      <c r="B57" s="47">
        <v>487.1</v>
      </c>
      <c r="C57" s="41">
        <f t="shared" si="17"/>
        <v>1.3330596606458678</v>
      </c>
      <c r="D57" s="42">
        <f t="shared" ref="D57:D63" si="20">D56+L56</f>
        <v>18.663086472490608</v>
      </c>
      <c r="E57" s="47">
        <v>12.5</v>
      </c>
      <c r="F57" s="46">
        <f t="shared" si="15"/>
        <v>13.522933771209628</v>
      </c>
      <c r="G57" s="85">
        <v>1.72</v>
      </c>
      <c r="H57" s="42">
        <f t="shared" si="5"/>
        <v>1.8683318368872821</v>
      </c>
      <c r="I57" s="47">
        <f t="shared" si="11"/>
        <v>145</v>
      </c>
      <c r="J57" s="41">
        <f t="shared" si="18"/>
        <v>5.0044182758125146E-2</v>
      </c>
      <c r="K57" s="41">
        <f t="shared" si="19"/>
        <v>0.10306728232189974</v>
      </c>
      <c r="L57" s="41">
        <f t="shared" si="8"/>
        <v>-0.15311146508002488</v>
      </c>
    </row>
    <row r="58" spans="1:12">
      <c r="A58" s="47">
        <f t="shared" si="16"/>
        <v>34</v>
      </c>
      <c r="B58" s="47">
        <v>470.4</v>
      </c>
      <c r="C58" s="41">
        <f t="shared" si="17"/>
        <v>1.2873563218390804</v>
      </c>
      <c r="D58" s="42">
        <f t="shared" si="20"/>
        <v>18.509975007410585</v>
      </c>
      <c r="E58" s="47">
        <v>12.5</v>
      </c>
      <c r="F58" s="46">
        <f t="shared" si="15"/>
        <v>12.235577449370547</v>
      </c>
      <c r="G58" s="85">
        <v>1.72</v>
      </c>
      <c r="H58" s="42">
        <f t="shared" si="5"/>
        <v>1.6904703726367685</v>
      </c>
      <c r="I58" s="47">
        <f t="shared" si="11"/>
        <v>145</v>
      </c>
      <c r="J58" s="41">
        <f t="shared" si="18"/>
        <v>4.1580602196746509E-2</v>
      </c>
      <c r="K58" s="41">
        <f t="shared" si="19"/>
        <v>0.10306728232189974</v>
      </c>
      <c r="L58" s="41">
        <f t="shared" si="8"/>
        <v>-0.14464788451864624</v>
      </c>
    </row>
    <row r="59" spans="1:12">
      <c r="A59" s="47">
        <f t="shared" si="16"/>
        <v>35</v>
      </c>
      <c r="B59" s="47">
        <v>453.6</v>
      </c>
      <c r="C59" s="41">
        <f t="shared" si="17"/>
        <v>1.2413793103448278</v>
      </c>
      <c r="D59" s="42">
        <f t="shared" si="20"/>
        <v>18.365327122891937</v>
      </c>
      <c r="E59" s="47">
        <v>12.5</v>
      </c>
      <c r="F59" s="46">
        <f t="shared" si="15"/>
        <v>10.99419813902572</v>
      </c>
      <c r="G59" s="85">
        <v>1.72</v>
      </c>
      <c r="H59" s="42">
        <f t="shared" si="5"/>
        <v>1.518961103538059</v>
      </c>
      <c r="I59" s="47">
        <f t="shared" si="11"/>
        <v>145</v>
      </c>
      <c r="J59" s="41">
        <f t="shared" si="18"/>
        <v>3.4107129331765226E-2</v>
      </c>
      <c r="K59" s="41">
        <f t="shared" si="19"/>
        <v>0.10306728232189974</v>
      </c>
      <c r="L59" s="41">
        <f t="shared" si="8"/>
        <v>-0.13717441165366495</v>
      </c>
    </row>
    <row r="60" spans="1:12">
      <c r="A60" s="47">
        <f t="shared" si="16"/>
        <v>36</v>
      </c>
      <c r="B60" s="47">
        <v>436.9</v>
      </c>
      <c r="C60" s="41">
        <f t="shared" si="17"/>
        <v>1.1956759715380405</v>
      </c>
      <c r="D60" s="42">
        <f t="shared" si="20"/>
        <v>18.228152711238273</v>
      </c>
      <c r="E60" s="47">
        <v>12.5</v>
      </c>
      <c r="F60" s="46">
        <f t="shared" si="15"/>
        <v>9.798522167487679</v>
      </c>
      <c r="G60" s="85">
        <v>1.72</v>
      </c>
      <c r="H60" s="42">
        <f t="shared" si="5"/>
        <v>1.353766218905726</v>
      </c>
      <c r="I60" s="47">
        <f t="shared" si="11"/>
        <v>145</v>
      </c>
      <c r="J60" s="41">
        <f t="shared" si="18"/>
        <v>2.7557489385145909E-2</v>
      </c>
      <c r="K60" s="41">
        <f t="shared" si="19"/>
        <v>0.10306728232189974</v>
      </c>
      <c r="L60" s="41">
        <f t="shared" si="8"/>
        <v>-0.13062477170704564</v>
      </c>
    </row>
    <row r="61" spans="1:12">
      <c r="A61" s="47">
        <f t="shared" si="16"/>
        <v>37</v>
      </c>
      <c r="B61" s="47">
        <v>420.2</v>
      </c>
      <c r="C61" s="41">
        <f t="shared" si="17"/>
        <v>1.1499726327312534</v>
      </c>
      <c r="D61" s="42">
        <f t="shared" si="20"/>
        <v>18.097527939531229</v>
      </c>
      <c r="E61" s="47">
        <v>12.5</v>
      </c>
      <c r="F61" s="46">
        <f t="shared" si="15"/>
        <v>8.648549534756425</v>
      </c>
      <c r="G61" s="85">
        <v>1.72</v>
      </c>
      <c r="H61" s="42">
        <f t="shared" si="5"/>
        <v>1.1948857187397697</v>
      </c>
      <c r="I61" s="47">
        <f t="shared" si="11"/>
        <v>145</v>
      </c>
      <c r="J61" s="41">
        <f t="shared" si="18"/>
        <v>2.1869014118670711E-2</v>
      </c>
      <c r="K61" s="41">
        <f t="shared" si="19"/>
        <v>0.10306728232189974</v>
      </c>
      <c r="L61" s="41">
        <f t="shared" si="8"/>
        <v>-0.12493629644057044</v>
      </c>
    </row>
    <row r="62" spans="1:12">
      <c r="A62" s="47">
        <f t="shared" si="16"/>
        <v>38</v>
      </c>
      <c r="B62" s="47">
        <v>403.4</v>
      </c>
      <c r="C62" s="41">
        <f t="shared" si="17"/>
        <v>1.1039956212370006</v>
      </c>
      <c r="D62" s="42">
        <f t="shared" si="20"/>
        <v>17.972591643090659</v>
      </c>
      <c r="E62" s="47">
        <v>12.5</v>
      </c>
      <c r="F62" s="46">
        <f t="shared" si="15"/>
        <v>7.5445539135194242</v>
      </c>
      <c r="G62" s="85">
        <v>1.72</v>
      </c>
      <c r="H62" s="42">
        <f t="shared" si="5"/>
        <v>1.0423574137256175</v>
      </c>
      <c r="I62" s="47">
        <f t="shared" si="11"/>
        <v>145</v>
      </c>
      <c r="J62" s="41">
        <f t="shared" si="18"/>
        <v>1.6981952450006058E-2</v>
      </c>
      <c r="K62" s="41">
        <f t="shared" si="19"/>
        <v>0.10306728232189974</v>
      </c>
      <c r="L62" s="41">
        <f t="shared" si="8"/>
        <v>-0.12004923477190579</v>
      </c>
    </row>
    <row r="63" spans="1:12">
      <c r="A63" s="47">
        <f t="shared" si="16"/>
        <v>39</v>
      </c>
      <c r="B63" s="47">
        <v>380.4</v>
      </c>
      <c r="C63" s="41">
        <f t="shared" si="17"/>
        <v>1.0410509031198685</v>
      </c>
      <c r="D63" s="42">
        <f t="shared" si="20"/>
        <v>17.852542408318754</v>
      </c>
      <c r="E63" s="47">
        <v>12.5</v>
      </c>
      <c r="F63" s="46">
        <f t="shared" si="15"/>
        <v>6.5035030103995553</v>
      </c>
      <c r="G63" s="85">
        <v>1.72</v>
      </c>
      <c r="H63" s="42">
        <f t="shared" si="5"/>
        <v>0.89852556635976844</v>
      </c>
      <c r="I63" s="47">
        <f t="shared" si="11"/>
        <v>145</v>
      </c>
      <c r="J63" s="41">
        <f t="shared" si="18"/>
        <v>1.2899091982160016E-2</v>
      </c>
      <c r="K63" s="41">
        <f t="shared" si="19"/>
        <v>0.10306728232189974</v>
      </c>
      <c r="L63" s="41">
        <f t="shared" si="8"/>
        <v>-0.11596637430405976</v>
      </c>
    </row>
    <row r="64" spans="1:12">
      <c r="A64" s="49" t="s">
        <v>189</v>
      </c>
      <c r="B64" s="47"/>
      <c r="C64" s="41"/>
      <c r="D64" s="42"/>
      <c r="E64" s="47"/>
      <c r="F64" s="46"/>
      <c r="G64" s="47"/>
      <c r="H64" s="42"/>
      <c r="I64" s="47">
        <f t="shared" si="11"/>
        <v>145</v>
      </c>
      <c r="J64" s="41"/>
      <c r="K64" s="41"/>
      <c r="L64" s="41"/>
    </row>
    <row r="65" spans="1:12">
      <c r="A65" s="47">
        <f>A63+1</f>
        <v>40</v>
      </c>
      <c r="B65" s="47">
        <v>325.3</v>
      </c>
      <c r="C65" s="41">
        <f>(B65/$B$13)*$B$12</f>
        <v>0.89025725232621788</v>
      </c>
      <c r="D65" s="42">
        <f>D63+L63</f>
        <v>17.736576034014696</v>
      </c>
      <c r="E65" s="47">
        <f>6.2+15</f>
        <v>21.2</v>
      </c>
      <c r="F65" s="46">
        <f>F63-C65</f>
        <v>5.6132457580733375</v>
      </c>
      <c r="G65" s="47">
        <v>1.72</v>
      </c>
      <c r="H65" s="42">
        <f t="shared" si="5"/>
        <v>0.77552740666441966</v>
      </c>
      <c r="I65" s="47">
        <f t="shared" si="11"/>
        <v>145</v>
      </c>
      <c r="J65" s="41">
        <f>(1050*((F65/I65)^1.852)*(E65/100)*(G65^-4.87))/2.31</f>
        <v>1.6656376796705358E-2</v>
      </c>
      <c r="K65" s="41">
        <f>E65*$B$10</f>
        <v>0.17480211081794195</v>
      </c>
      <c r="L65" s="41">
        <f t="shared" si="8"/>
        <v>-0.19145848761464732</v>
      </c>
    </row>
    <row r="66" spans="1:12">
      <c r="A66" s="47">
        <f t="shared" si="16"/>
        <v>41</v>
      </c>
      <c r="B66" s="47">
        <v>260.5</v>
      </c>
      <c r="C66" s="41">
        <f>(B66/$B$13)*$B$12</f>
        <v>0.71291735084838537</v>
      </c>
      <c r="D66" s="42">
        <f>D65+L65</f>
        <v>17.54511754640005</v>
      </c>
      <c r="E66" s="47">
        <v>30</v>
      </c>
      <c r="F66" s="46">
        <f t="shared" si="15"/>
        <v>4.9003284072249524</v>
      </c>
      <c r="G66" s="85">
        <v>1.72</v>
      </c>
      <c r="H66" s="42">
        <f t="shared" si="5"/>
        <v>0.67703057112602938</v>
      </c>
      <c r="I66" s="47">
        <f t="shared" si="11"/>
        <v>145</v>
      </c>
      <c r="J66" s="41">
        <f>(1050*((F66/I66)^1.852)*(E66/100)*(G66^-4.87))/2.31</f>
        <v>1.8328146277885368E-2</v>
      </c>
      <c r="K66" s="41">
        <f>E66*$B$10</f>
        <v>0.24736147757255936</v>
      </c>
      <c r="L66" s="41">
        <f t="shared" si="8"/>
        <v>-0.2656896238504447</v>
      </c>
    </row>
    <row r="67" spans="1:12">
      <c r="A67" s="47">
        <f>A66+1</f>
        <v>42</v>
      </c>
      <c r="B67" s="47">
        <v>193.7</v>
      </c>
      <c r="C67" s="41">
        <f>(B67/$B$13)*$B$12</f>
        <v>0.530103995621237</v>
      </c>
      <c r="D67" s="42">
        <f>D66+L66</f>
        <v>17.279427922549605</v>
      </c>
      <c r="E67" s="47">
        <v>30</v>
      </c>
      <c r="F67" s="46">
        <f>F66-C67</f>
        <v>4.370224411603715</v>
      </c>
      <c r="G67" s="85">
        <v>1.72</v>
      </c>
      <c r="H67" s="42">
        <f t="shared" si="5"/>
        <v>0.60379127345314565</v>
      </c>
      <c r="I67" s="47">
        <f t="shared" si="11"/>
        <v>145</v>
      </c>
      <c r="J67" s="41">
        <f>(1050*((F67/I67)^1.852)*(E67/100)*(G67^-4.87))/2.31</f>
        <v>1.482635590999091E-2</v>
      </c>
      <c r="K67" s="41">
        <f>E67*$B$10</f>
        <v>0.24736147757255936</v>
      </c>
      <c r="L67" s="41">
        <f t="shared" si="8"/>
        <v>-0.26218783348255026</v>
      </c>
    </row>
    <row r="68" spans="1:12">
      <c r="A68" s="47">
        <f t="shared" si="16"/>
        <v>43</v>
      </c>
      <c r="B68" s="47">
        <v>126.3</v>
      </c>
      <c r="C68" s="41">
        <f>(B68/$B$13)*$B$12</f>
        <v>0.34564860426929395</v>
      </c>
      <c r="D68" s="42">
        <f>D67+L67</f>
        <v>17.017240089067055</v>
      </c>
      <c r="E68" s="47">
        <v>30</v>
      </c>
      <c r="F68" s="46">
        <f t="shared" si="15"/>
        <v>4.0245758073344211</v>
      </c>
      <c r="G68" s="85">
        <v>1.72</v>
      </c>
      <c r="H68" s="42">
        <f t="shared" si="5"/>
        <v>0.55603637775833303</v>
      </c>
      <c r="I68" s="47">
        <f t="shared" si="11"/>
        <v>145</v>
      </c>
      <c r="J68" s="41">
        <f>(1050*((F68/I68)^1.852)*(E68/100)*(G68^-4.87))/2.31</f>
        <v>1.2728087292509111E-2</v>
      </c>
      <c r="K68" s="41">
        <f>E68*$B$10</f>
        <v>0.24736147757255936</v>
      </c>
      <c r="L68" s="41">
        <f t="shared" si="8"/>
        <v>-0.26008956486506846</v>
      </c>
    </row>
    <row r="69" spans="1:12">
      <c r="A69" s="47">
        <f t="shared" si="16"/>
        <v>44</v>
      </c>
      <c r="B69" s="47">
        <v>58.9</v>
      </c>
      <c r="C69" s="41">
        <f>(B69/$B$13)*$B$12</f>
        <v>0.16119321291735084</v>
      </c>
      <c r="D69" s="42">
        <f>D68+L68</f>
        <v>16.757150524201986</v>
      </c>
      <c r="E69" s="47">
        <v>30</v>
      </c>
      <c r="F69" s="46">
        <f t="shared" si="15"/>
        <v>3.8633825944170703</v>
      </c>
      <c r="G69" s="85">
        <v>1.72</v>
      </c>
      <c r="H69" s="42">
        <f t="shared" si="5"/>
        <v>0.53376588404159142</v>
      </c>
      <c r="I69" s="47">
        <f t="shared" si="11"/>
        <v>145</v>
      </c>
      <c r="J69" s="41">
        <f>(1050*((F69/I69)^1.852)*(E69/100)*(G69^-4.87))/2.31</f>
        <v>1.1800100676724202E-2</v>
      </c>
      <c r="K69" s="41">
        <f>E69*$B$10</f>
        <v>0.24736147757255936</v>
      </c>
      <c r="L69" s="41">
        <f t="shared" si="8"/>
        <v>-0.25916157824928354</v>
      </c>
    </row>
    <row r="70" spans="1:12">
      <c r="A70" s="47"/>
      <c r="B70" s="47"/>
      <c r="C70" s="41"/>
      <c r="D70" s="42"/>
      <c r="E70" s="47"/>
      <c r="F70" s="46"/>
      <c r="G70" s="47"/>
      <c r="H70" s="47"/>
      <c r="I70" s="41"/>
      <c r="J70" s="41"/>
      <c r="K70" s="41"/>
    </row>
    <row r="71" spans="1:12">
      <c r="A71" s="47"/>
      <c r="B71" s="47"/>
      <c r="C71" s="57" t="s">
        <v>124</v>
      </c>
      <c r="D71" s="63">
        <f>MIN(D65:D69,D56:D63,D39:D54,D22:D37)</f>
        <v>16.757150524201986</v>
      </c>
      <c r="E71" s="47" t="s">
        <v>199</v>
      </c>
      <c r="F71" s="46"/>
      <c r="G71" s="47"/>
      <c r="H71" s="47"/>
      <c r="I71" s="41"/>
      <c r="J71" s="41"/>
      <c r="K71" s="41"/>
    </row>
    <row r="72" spans="1:12">
      <c r="A72" s="47"/>
      <c r="B72" s="47"/>
      <c r="C72" s="57" t="s">
        <v>125</v>
      </c>
      <c r="D72" s="63">
        <f>MAX(D65:D69,D56:D63,D39:D54,D22:D37)</f>
        <v>25</v>
      </c>
      <c r="E72" s="47" t="s">
        <v>199</v>
      </c>
      <c r="F72" s="46"/>
      <c r="G72" s="47"/>
      <c r="H72" s="47"/>
      <c r="I72" s="41"/>
      <c r="J72" s="41"/>
      <c r="K72" s="41"/>
    </row>
    <row r="73" spans="1:12" ht="30">
      <c r="C73" s="44" t="s">
        <v>194</v>
      </c>
      <c r="D73" s="63">
        <f>AVERAGE(D65:D69,D56:D63,D39:D54,D23:D37)</f>
        <v>19.319082908709692</v>
      </c>
      <c r="E73" s="47" t="s">
        <v>199</v>
      </c>
    </row>
    <row r="74" spans="1:12" ht="23.25" customHeight="1">
      <c r="B74" s="123" t="s">
        <v>193</v>
      </c>
      <c r="C74" s="123"/>
      <c r="D74" s="62">
        <f>SUM(C65:C69,C56:C63,C39:C54,C23:C37)</f>
        <v>42.680623973727435</v>
      </c>
    </row>
    <row r="75" spans="1:12" ht="31.5" customHeight="1">
      <c r="B75" s="123" t="s">
        <v>195</v>
      </c>
      <c r="C75" s="123"/>
      <c r="D75" s="64">
        <f>SUM(E65:E69,E56:E63,E39:E54)</f>
        <v>606.2000000000005</v>
      </c>
    </row>
  </sheetData>
  <mergeCells count="2">
    <mergeCell ref="B75:C75"/>
    <mergeCell ref="B74:C74"/>
  </mergeCells>
  <printOptions headings="1" gridLines="1"/>
  <pageMargins left="1" right="0" top="1" bottom="0" header="0.5" footer="0"/>
  <pageSetup scale="80" firstPageNumber="59" orientation="portrait" useFirstPageNumber="1" r:id="rId1"/>
  <headerFooter>
    <oddHeader>&amp;R&amp;P</oddHeader>
  </headerFooter>
  <drawing r:id="rId2"/>
</worksheet>
</file>

<file path=xl/worksheets/sheet12.xml><?xml version="1.0" encoding="utf-8"?>
<worksheet xmlns="http://schemas.openxmlformats.org/spreadsheetml/2006/main" xmlns:r="http://schemas.openxmlformats.org/officeDocument/2006/relationships">
  <dimension ref="A1:L601"/>
  <sheetViews>
    <sheetView workbookViewId="0">
      <selection activeCell="A22" sqref="A22"/>
    </sheetView>
  </sheetViews>
  <sheetFormatPr defaultRowHeight="15"/>
  <sheetData>
    <row r="1" spans="1:4">
      <c r="A1" s="1" t="s">
        <v>332</v>
      </c>
    </row>
    <row r="3" spans="1:4">
      <c r="A3" s="1" t="s">
        <v>329</v>
      </c>
    </row>
    <row r="5" spans="1:4">
      <c r="C5" s="11">
        <f>Design!G156</f>
        <v>50.81666666666667</v>
      </c>
      <c r="D5" t="s">
        <v>100</v>
      </c>
    </row>
    <row r="6" spans="1:4">
      <c r="C6" s="13">
        <v>0.5</v>
      </c>
      <c r="D6" t="s">
        <v>69</v>
      </c>
    </row>
    <row r="7" spans="1:4">
      <c r="C7">
        <v>2</v>
      </c>
      <c r="D7" t="s">
        <v>101</v>
      </c>
    </row>
    <row r="8" spans="1:4">
      <c r="C8" s="12">
        <f>Design!G154</f>
        <v>3049</v>
      </c>
      <c r="D8" t="s">
        <v>102</v>
      </c>
    </row>
    <row r="9" spans="1:4">
      <c r="C9">
        <f>C8*C7</f>
        <v>6098</v>
      </c>
      <c r="D9" t="s">
        <v>103</v>
      </c>
    </row>
    <row r="10" spans="1:4">
      <c r="C10">
        <v>0.03</v>
      </c>
      <c r="D10" t="s">
        <v>106</v>
      </c>
    </row>
    <row r="11" spans="1:4">
      <c r="C11">
        <v>138</v>
      </c>
      <c r="D11" t="s">
        <v>118</v>
      </c>
    </row>
    <row r="12" spans="1:4">
      <c r="C12">
        <v>3</v>
      </c>
      <c r="D12" t="s">
        <v>109</v>
      </c>
    </row>
    <row r="13" spans="1:4">
      <c r="C13">
        <f>C12+(C12*0.015)</f>
        <v>3.0449999999999999</v>
      </c>
      <c r="D13" t="s">
        <v>107</v>
      </c>
    </row>
    <row r="14" spans="1:4">
      <c r="D14" t="s">
        <v>108</v>
      </c>
    </row>
    <row r="16" spans="1:4">
      <c r="C16">
        <v>15</v>
      </c>
      <c r="D16" t="s">
        <v>104</v>
      </c>
    </row>
    <row r="17" spans="1:9">
      <c r="C17">
        <v>1530.6</v>
      </c>
      <c r="D17" t="s">
        <v>105</v>
      </c>
    </row>
    <row r="18" spans="1:9">
      <c r="C18">
        <v>10</v>
      </c>
      <c r="D18" t="s">
        <v>128</v>
      </c>
    </row>
    <row r="19" spans="1:9">
      <c r="C19" s="3">
        <f>C18/C17</f>
        <v>6.5333856004181371E-3</v>
      </c>
      <c r="D19" t="s">
        <v>129</v>
      </c>
    </row>
    <row r="20" spans="1:9">
      <c r="C20">
        <f>ROUNDDOWN(C17/C13,0)</f>
        <v>502</v>
      </c>
      <c r="D20" t="s">
        <v>110</v>
      </c>
    </row>
    <row r="21" spans="1:9">
      <c r="C21" s="13">
        <f>(C20*C6)/60</f>
        <v>4.1833333333333336</v>
      </c>
      <c r="D21" t="s">
        <v>114</v>
      </c>
    </row>
    <row r="23" spans="1:9">
      <c r="C23" s="11"/>
    </row>
    <row r="24" spans="1:9">
      <c r="C24" s="11"/>
    </row>
    <row r="25" spans="1:9">
      <c r="C25" s="11"/>
    </row>
    <row r="26" spans="1:9">
      <c r="C26" s="11" t="s">
        <v>330</v>
      </c>
    </row>
    <row r="27" spans="1:9">
      <c r="C27" s="11" t="s">
        <v>331</v>
      </c>
    </row>
    <row r="29" spans="1:9">
      <c r="A29" s="1" t="s">
        <v>333</v>
      </c>
    </row>
    <row r="30" spans="1:9" ht="30">
      <c r="A30" s="23" t="s">
        <v>130</v>
      </c>
      <c r="B30" s="24" t="s">
        <v>122</v>
      </c>
      <c r="C30" s="23" t="s">
        <v>115</v>
      </c>
      <c r="D30" s="23" t="s">
        <v>116</v>
      </c>
      <c r="E30" s="25" t="s">
        <v>123</v>
      </c>
      <c r="F30" s="26" t="s">
        <v>117</v>
      </c>
      <c r="G30" s="27" t="s">
        <v>119</v>
      </c>
      <c r="H30" s="24" t="s">
        <v>120</v>
      </c>
      <c r="I30" s="24" t="s">
        <v>121</v>
      </c>
    </row>
    <row r="32" spans="1:9">
      <c r="A32">
        <v>1</v>
      </c>
      <c r="B32">
        <v>25</v>
      </c>
      <c r="C32">
        <v>3083</v>
      </c>
      <c r="D32">
        <f>$C$13</f>
        <v>3.0449999999999999</v>
      </c>
      <c r="E32" s="13">
        <f>C21</f>
        <v>4.1833333333333336</v>
      </c>
      <c r="F32">
        <v>0.72</v>
      </c>
      <c r="G32" s="21">
        <f>(1050*((E32/$C$11)^1.852)*(D32/100)*(F32^-4.87))/2.31</f>
        <v>0.10567175176953732</v>
      </c>
      <c r="H32" s="3">
        <f>(D32*$C$19)/2.31</f>
        <v>8.6121901096420893E-3</v>
      </c>
      <c r="I32" s="3">
        <f>-H32-G32</f>
        <v>-0.11428394187917941</v>
      </c>
    </row>
    <row r="33" spans="1:9">
      <c r="A33">
        <f>A32+1</f>
        <v>2</v>
      </c>
      <c r="B33" s="13">
        <f>B32+I32</f>
        <v>24.885716058120821</v>
      </c>
      <c r="C33" s="12">
        <f>C32+H32*2.31</f>
        <v>3083.0198941591534</v>
      </c>
      <c r="D33">
        <f>$C$13</f>
        <v>3.0449999999999999</v>
      </c>
      <c r="E33" s="13">
        <f>E32-($C$6/60)</f>
        <v>4.1749999999999998</v>
      </c>
      <c r="F33">
        <v>0.72</v>
      </c>
      <c r="G33" s="21">
        <f>(1050*((E33/$C$11)^1.852)*(D33/100)*(F33^-4.87))/2.31</f>
        <v>0.10528223385645065</v>
      </c>
      <c r="H33" s="3">
        <f t="shared" ref="H33:H96" si="0">(D33*$C$19)/2.31</f>
        <v>8.6121901096420893E-3</v>
      </c>
      <c r="I33" s="3">
        <f t="shared" ref="I33:I96" si="1">-H33-G33</f>
        <v>-0.11389442396609274</v>
      </c>
    </row>
    <row r="34" spans="1:9">
      <c r="A34">
        <f t="shared" ref="A34:A97" si="2">A33+1</f>
        <v>3</v>
      </c>
      <c r="B34" s="13">
        <f t="shared" ref="B34:B97" si="3">B33+I33</f>
        <v>24.771821634154726</v>
      </c>
      <c r="C34" s="12">
        <f t="shared" ref="C34:C97" si="4">C33+H33*2.31</f>
        <v>3083.0397883183068</v>
      </c>
      <c r="D34">
        <f t="shared" ref="D34:D97" si="5">$C$13</f>
        <v>3.0449999999999999</v>
      </c>
      <c r="E34" s="13">
        <f t="shared" ref="E34:E97" si="6">E33-($C$6/60)</f>
        <v>4.1666666666666661</v>
      </c>
      <c r="F34">
        <v>0.72</v>
      </c>
      <c r="G34" s="21">
        <f t="shared" ref="G34:G97" si="7">(1050*((E34/$C$11)^1.852)*(D34/100)*(F34^-4.87))/2.31</f>
        <v>0.10489337779438163</v>
      </c>
      <c r="H34" s="3">
        <f t="shared" si="0"/>
        <v>8.6121901096420893E-3</v>
      </c>
      <c r="I34" s="3">
        <f t="shared" si="1"/>
        <v>-0.11350556790402372</v>
      </c>
    </row>
    <row r="35" spans="1:9">
      <c r="A35">
        <f t="shared" si="2"/>
        <v>4</v>
      </c>
      <c r="B35" s="13">
        <f t="shared" si="3"/>
        <v>24.658316066250702</v>
      </c>
      <c r="C35" s="12">
        <f t="shared" si="4"/>
        <v>3083.0596824774602</v>
      </c>
      <c r="D35">
        <f t="shared" si="5"/>
        <v>3.0449999999999999</v>
      </c>
      <c r="E35" s="13">
        <f t="shared" si="6"/>
        <v>4.1583333333333323</v>
      </c>
      <c r="F35">
        <v>0.72</v>
      </c>
      <c r="G35" s="21">
        <f t="shared" si="7"/>
        <v>0.10450518377907181</v>
      </c>
      <c r="H35" s="3">
        <f t="shared" si="0"/>
        <v>8.6121901096420893E-3</v>
      </c>
      <c r="I35" s="3">
        <f t="shared" si="1"/>
        <v>-0.1131173738887139</v>
      </c>
    </row>
    <row r="36" spans="1:9">
      <c r="A36">
        <f t="shared" si="2"/>
        <v>5</v>
      </c>
      <c r="B36" s="13">
        <f t="shared" si="3"/>
        <v>24.545198692361989</v>
      </c>
      <c r="C36" s="12">
        <f t="shared" si="4"/>
        <v>3083.0795766366136</v>
      </c>
      <c r="D36">
        <f t="shared" si="5"/>
        <v>3.0449999999999999</v>
      </c>
      <c r="E36" s="13">
        <f t="shared" si="6"/>
        <v>4.1499999999999986</v>
      </c>
      <c r="F36">
        <v>0.72</v>
      </c>
      <c r="G36" s="21">
        <f t="shared" si="7"/>
        <v>0.10411765200671226</v>
      </c>
      <c r="H36" s="3">
        <f t="shared" si="0"/>
        <v>8.6121901096420893E-3</v>
      </c>
      <c r="I36" s="3">
        <f t="shared" si="1"/>
        <v>-0.11272984211635435</v>
      </c>
    </row>
    <row r="37" spans="1:9">
      <c r="A37">
        <f t="shared" si="2"/>
        <v>6</v>
      </c>
      <c r="B37" s="13">
        <f t="shared" si="3"/>
        <v>24.432468850245634</v>
      </c>
      <c r="C37" s="12">
        <f t="shared" si="4"/>
        <v>3083.099470795767</v>
      </c>
      <c r="D37">
        <f t="shared" si="5"/>
        <v>3.0449999999999999</v>
      </c>
      <c r="E37" s="13">
        <f t="shared" si="6"/>
        <v>4.1416666666666648</v>
      </c>
      <c r="F37">
        <v>0.72</v>
      </c>
      <c r="G37" s="21">
        <f t="shared" si="7"/>
        <v>0.10373078267394628</v>
      </c>
      <c r="H37" s="3">
        <f t="shared" si="0"/>
        <v>8.6121901096420893E-3</v>
      </c>
      <c r="I37" s="3">
        <f t="shared" si="1"/>
        <v>-0.11234297278358837</v>
      </c>
    </row>
    <row r="38" spans="1:9">
      <c r="A38">
        <f t="shared" si="2"/>
        <v>7</v>
      </c>
      <c r="B38" s="13">
        <f t="shared" si="3"/>
        <v>24.320125877462047</v>
      </c>
      <c r="C38" s="12">
        <f t="shared" si="4"/>
        <v>3083.1193649549205</v>
      </c>
      <c r="D38">
        <f t="shared" si="5"/>
        <v>3.0449999999999999</v>
      </c>
      <c r="E38" s="13">
        <f t="shared" si="6"/>
        <v>4.1333333333333311</v>
      </c>
      <c r="F38">
        <v>0.72</v>
      </c>
      <c r="G38" s="21">
        <f t="shared" si="7"/>
        <v>0.1033445759778707</v>
      </c>
      <c r="H38" s="3">
        <f t="shared" si="0"/>
        <v>8.6121901096420893E-3</v>
      </c>
      <c r="I38" s="3">
        <f t="shared" si="1"/>
        <v>-0.11195676608751279</v>
      </c>
    </row>
    <row r="39" spans="1:9">
      <c r="A39">
        <f t="shared" si="2"/>
        <v>8</v>
      </c>
      <c r="B39" s="13">
        <f t="shared" si="3"/>
        <v>24.208169111374534</v>
      </c>
      <c r="C39" s="12">
        <f t="shared" si="4"/>
        <v>3083.1392591140739</v>
      </c>
      <c r="D39">
        <f t="shared" si="5"/>
        <v>3.0449999999999999</v>
      </c>
      <c r="E39" s="13">
        <f t="shared" si="6"/>
        <v>4.1249999999999973</v>
      </c>
      <c r="F39">
        <v>0.72</v>
      </c>
      <c r="G39" s="21">
        <f t="shared" si="7"/>
        <v>0.10295903211603852</v>
      </c>
      <c r="H39" s="3">
        <f t="shared" si="0"/>
        <v>8.6121901096420893E-3</v>
      </c>
      <c r="I39" s="3">
        <f t="shared" si="1"/>
        <v>-0.11157122222568061</v>
      </c>
    </row>
    <row r="40" spans="1:9">
      <c r="A40">
        <f t="shared" si="2"/>
        <v>9</v>
      </c>
      <c r="B40" s="13">
        <f t="shared" si="3"/>
        <v>24.096597889148853</v>
      </c>
      <c r="C40" s="12">
        <f t="shared" si="4"/>
        <v>3083.1591532732273</v>
      </c>
      <c r="D40">
        <f t="shared" si="5"/>
        <v>3.0449999999999999</v>
      </c>
      <c r="E40" s="13">
        <f t="shared" si="6"/>
        <v>4.1166666666666636</v>
      </c>
      <c r="F40">
        <v>0.72</v>
      </c>
      <c r="G40" s="21">
        <f t="shared" si="7"/>
        <v>0.10257415128646023</v>
      </c>
      <c r="H40" s="3">
        <f t="shared" si="0"/>
        <v>8.6121901096420893E-3</v>
      </c>
      <c r="I40" s="3">
        <f t="shared" si="1"/>
        <v>-0.11118634139610233</v>
      </c>
    </row>
    <row r="41" spans="1:9">
      <c r="A41">
        <f t="shared" si="2"/>
        <v>10</v>
      </c>
      <c r="B41" s="13">
        <f t="shared" si="3"/>
        <v>23.985411547752751</v>
      </c>
      <c r="C41" s="12">
        <f t="shared" si="4"/>
        <v>3083.1790474323807</v>
      </c>
      <c r="D41">
        <f t="shared" si="5"/>
        <v>3.0449999999999999</v>
      </c>
      <c r="E41" s="13">
        <f t="shared" si="6"/>
        <v>4.1083333333333298</v>
      </c>
      <c r="F41">
        <v>0.72</v>
      </c>
      <c r="G41" s="21">
        <f t="shared" si="7"/>
        <v>0.10218993368760601</v>
      </c>
      <c r="H41" s="3">
        <f t="shared" si="0"/>
        <v>8.6121901096420893E-3</v>
      </c>
      <c r="I41" s="3">
        <f t="shared" si="1"/>
        <v>-0.1108021237972481</v>
      </c>
    </row>
    <row r="42" spans="1:9">
      <c r="A42">
        <f t="shared" si="2"/>
        <v>11</v>
      </c>
      <c r="B42" s="13">
        <f t="shared" si="3"/>
        <v>23.874609423955501</v>
      </c>
      <c r="C42" s="12">
        <f t="shared" si="4"/>
        <v>3083.1989415915341</v>
      </c>
      <c r="D42">
        <f t="shared" si="5"/>
        <v>3.0449999999999999</v>
      </c>
      <c r="E42" s="13">
        <f t="shared" si="6"/>
        <v>4.0999999999999961</v>
      </c>
      <c r="F42">
        <v>0.72</v>
      </c>
      <c r="G42" s="21">
        <f t="shared" si="7"/>
        <v>0.1018063795184081</v>
      </c>
      <c r="H42" s="3">
        <f t="shared" si="0"/>
        <v>8.6121901096420893E-3</v>
      </c>
      <c r="I42" s="3">
        <f t="shared" si="1"/>
        <v>-0.11041856962805019</v>
      </c>
    </row>
    <row r="43" spans="1:9">
      <c r="A43">
        <f t="shared" si="2"/>
        <v>12</v>
      </c>
      <c r="B43" s="13">
        <f t="shared" si="3"/>
        <v>23.764190854327452</v>
      </c>
      <c r="C43" s="12">
        <f t="shared" si="4"/>
        <v>3083.2188357506875</v>
      </c>
      <c r="D43">
        <f t="shared" si="5"/>
        <v>3.0449999999999999</v>
      </c>
      <c r="E43" s="13">
        <f t="shared" si="6"/>
        <v>4.0916666666666623</v>
      </c>
      <c r="F43">
        <v>0.72</v>
      </c>
      <c r="G43" s="21">
        <f t="shared" si="7"/>
        <v>0.1014234889782622</v>
      </c>
      <c r="H43" s="3">
        <f t="shared" si="0"/>
        <v>8.6121901096420893E-3</v>
      </c>
      <c r="I43" s="3">
        <f t="shared" si="1"/>
        <v>-0.11003567908790429</v>
      </c>
    </row>
    <row r="44" spans="1:9">
      <c r="A44">
        <f t="shared" si="2"/>
        <v>13</v>
      </c>
      <c r="B44" s="13">
        <f t="shared" si="3"/>
        <v>23.654155175239548</v>
      </c>
      <c r="C44" s="12">
        <f t="shared" si="4"/>
        <v>3083.2387299098409</v>
      </c>
      <c r="D44">
        <f t="shared" si="5"/>
        <v>3.0449999999999999</v>
      </c>
      <c r="E44" s="13">
        <f t="shared" si="6"/>
        <v>4.0833333333333286</v>
      </c>
      <c r="F44">
        <v>0.72</v>
      </c>
      <c r="G44" s="21">
        <f t="shared" si="7"/>
        <v>0.10104126226703013</v>
      </c>
      <c r="H44" s="3">
        <f t="shared" si="0"/>
        <v>8.6121901096420893E-3</v>
      </c>
      <c r="I44" s="3">
        <f t="shared" si="1"/>
        <v>-0.10965345237667222</v>
      </c>
    </row>
    <row r="45" spans="1:9">
      <c r="A45">
        <f t="shared" si="2"/>
        <v>14</v>
      </c>
      <c r="B45" s="13">
        <f t="shared" si="3"/>
        <v>23.544501722862876</v>
      </c>
      <c r="C45" s="12">
        <f t="shared" si="4"/>
        <v>3083.2586240689943</v>
      </c>
      <c r="D45">
        <f t="shared" si="5"/>
        <v>3.0449999999999999</v>
      </c>
      <c r="E45" s="13">
        <f t="shared" si="6"/>
        <v>4.0749999999999948</v>
      </c>
      <c r="F45">
        <v>0.72</v>
      </c>
      <c r="G45" s="21">
        <f t="shared" si="7"/>
        <v>0.10065969958504113</v>
      </c>
      <c r="H45" s="3">
        <f t="shared" si="0"/>
        <v>8.6121901096420893E-3</v>
      </c>
      <c r="I45" s="3">
        <f t="shared" si="1"/>
        <v>-0.10927188969468322</v>
      </c>
    </row>
    <row r="46" spans="1:9">
      <c r="A46">
        <f t="shared" si="2"/>
        <v>15</v>
      </c>
      <c r="B46" s="13">
        <f t="shared" si="3"/>
        <v>23.435229833168194</v>
      </c>
      <c r="C46" s="12">
        <f t="shared" si="4"/>
        <v>3083.2785182281477</v>
      </c>
      <c r="D46">
        <f t="shared" si="5"/>
        <v>3.0449999999999999</v>
      </c>
      <c r="E46" s="13">
        <f t="shared" si="6"/>
        <v>4.0666666666666611</v>
      </c>
      <c r="F46">
        <v>0.72</v>
      </c>
      <c r="G46" s="21">
        <f t="shared" si="7"/>
        <v>0.10027880113309487</v>
      </c>
      <c r="H46" s="3">
        <f t="shared" si="0"/>
        <v>8.6121901096420893E-3</v>
      </c>
      <c r="I46" s="3">
        <f t="shared" si="1"/>
        <v>-0.10889099124273696</v>
      </c>
    </row>
    <row r="47" spans="1:9">
      <c r="A47">
        <f t="shared" si="2"/>
        <v>16</v>
      </c>
      <c r="B47" s="13">
        <f t="shared" si="3"/>
        <v>23.326338841925455</v>
      </c>
      <c r="C47" s="12">
        <f t="shared" si="4"/>
        <v>3083.2984123873011</v>
      </c>
      <c r="D47">
        <f t="shared" si="5"/>
        <v>3.0449999999999999</v>
      </c>
      <c r="E47" s="13">
        <f t="shared" si="6"/>
        <v>4.0583333333333274</v>
      </c>
      <c r="F47">
        <v>0.72</v>
      </c>
      <c r="G47" s="21">
        <f t="shared" si="7"/>
        <v>9.9898567112462616E-2</v>
      </c>
      <c r="H47" s="3">
        <f t="shared" si="0"/>
        <v>8.6121901096420893E-3</v>
      </c>
      <c r="I47" s="3">
        <f t="shared" si="1"/>
        <v>-0.10851075722210471</v>
      </c>
    </row>
    <row r="48" spans="1:9">
      <c r="A48">
        <f t="shared" si="2"/>
        <v>17</v>
      </c>
      <c r="B48" s="13">
        <f t="shared" si="3"/>
        <v>23.217828084703349</v>
      </c>
      <c r="C48" s="12">
        <f t="shared" si="4"/>
        <v>3083.3183065464546</v>
      </c>
      <c r="D48">
        <f t="shared" si="5"/>
        <v>3.0449999999999999</v>
      </c>
      <c r="E48" s="13">
        <f t="shared" si="6"/>
        <v>4.0499999999999936</v>
      </c>
      <c r="F48">
        <v>0.72</v>
      </c>
      <c r="G48" s="21">
        <f t="shared" si="7"/>
        <v>9.9518997724889521E-2</v>
      </c>
      <c r="H48" s="3">
        <f t="shared" si="0"/>
        <v>8.6121901096420893E-3</v>
      </c>
      <c r="I48" s="3">
        <f t="shared" si="1"/>
        <v>-0.10813118783453161</v>
      </c>
    </row>
    <row r="49" spans="1:9">
      <c r="A49">
        <f t="shared" si="2"/>
        <v>18</v>
      </c>
      <c r="B49" s="13">
        <f t="shared" si="3"/>
        <v>23.109696896868819</v>
      </c>
      <c r="C49" s="12">
        <f t="shared" si="4"/>
        <v>3083.338200705608</v>
      </c>
      <c r="D49">
        <f t="shared" si="5"/>
        <v>3.0449999999999999</v>
      </c>
      <c r="E49" s="13">
        <f t="shared" si="6"/>
        <v>4.0416666666666599</v>
      </c>
      <c r="F49">
        <v>0.72</v>
      </c>
      <c r="G49" s="21">
        <f t="shared" si="7"/>
        <v>9.9140093172597379E-2</v>
      </c>
      <c r="H49" s="3">
        <f t="shared" si="0"/>
        <v>8.6121901096420893E-3</v>
      </c>
      <c r="I49" s="3">
        <f t="shared" si="1"/>
        <v>-0.10775228328223947</v>
      </c>
    </row>
    <row r="50" spans="1:9">
      <c r="A50">
        <f t="shared" si="2"/>
        <v>19</v>
      </c>
      <c r="B50" s="13">
        <f t="shared" si="3"/>
        <v>23.001944613586581</v>
      </c>
      <c r="C50" s="12">
        <f t="shared" si="4"/>
        <v>3083.3580948647614</v>
      </c>
      <c r="D50">
        <f t="shared" si="5"/>
        <v>3.0449999999999999</v>
      </c>
      <c r="E50" s="13">
        <f t="shared" si="6"/>
        <v>4.0333333333333261</v>
      </c>
      <c r="F50">
        <v>0.72</v>
      </c>
      <c r="G50" s="21">
        <f t="shared" si="7"/>
        <v>9.8761853658285853E-2</v>
      </c>
      <c r="H50" s="3">
        <f t="shared" si="0"/>
        <v>8.6121901096420893E-3</v>
      </c>
      <c r="I50" s="3">
        <f t="shared" si="1"/>
        <v>-0.10737404376792795</v>
      </c>
    </row>
    <row r="51" spans="1:9">
      <c r="A51">
        <f t="shared" si="2"/>
        <v>20</v>
      </c>
      <c r="B51" s="13">
        <f t="shared" si="3"/>
        <v>22.894570569818654</v>
      </c>
      <c r="C51" s="12">
        <f t="shared" si="4"/>
        <v>3083.3779890239148</v>
      </c>
      <c r="D51">
        <f t="shared" si="5"/>
        <v>3.0449999999999999</v>
      </c>
      <c r="E51" s="13">
        <f t="shared" si="6"/>
        <v>4.0249999999999924</v>
      </c>
      <c r="F51">
        <v>0.72</v>
      </c>
      <c r="G51" s="21">
        <f t="shared" si="7"/>
        <v>9.8384279385135109E-2</v>
      </c>
      <c r="H51" s="3">
        <f t="shared" si="0"/>
        <v>8.6121901096420893E-3</v>
      </c>
      <c r="I51" s="3">
        <f t="shared" si="1"/>
        <v>-0.1069964694947772</v>
      </c>
    </row>
    <row r="52" spans="1:9">
      <c r="A52">
        <f t="shared" si="2"/>
        <v>21</v>
      </c>
      <c r="B52" s="13">
        <f t="shared" si="3"/>
        <v>22.787574100323877</v>
      </c>
      <c r="C52" s="12">
        <f t="shared" si="4"/>
        <v>3083.3978831830682</v>
      </c>
      <c r="D52">
        <f t="shared" si="5"/>
        <v>3.0449999999999999</v>
      </c>
      <c r="E52" s="13">
        <f t="shared" si="6"/>
        <v>4.0166666666666586</v>
      </c>
      <c r="F52">
        <v>0.72</v>
      </c>
      <c r="G52" s="21">
        <f t="shared" si="7"/>
        <v>9.8007370556807777E-2</v>
      </c>
      <c r="H52" s="3">
        <f t="shared" si="0"/>
        <v>8.6121901096420893E-3</v>
      </c>
      <c r="I52" s="3">
        <f t="shared" si="1"/>
        <v>-0.10661956066644987</v>
      </c>
    </row>
    <row r="53" spans="1:9">
      <c r="A53">
        <f t="shared" si="2"/>
        <v>22</v>
      </c>
      <c r="B53" s="13">
        <f t="shared" si="3"/>
        <v>22.680954539657428</v>
      </c>
      <c r="C53" s="12">
        <f t="shared" si="4"/>
        <v>3083.4177773422216</v>
      </c>
      <c r="D53">
        <f t="shared" si="5"/>
        <v>3.0449999999999999</v>
      </c>
      <c r="E53" s="13">
        <f t="shared" si="6"/>
        <v>4.0083333333333249</v>
      </c>
      <c r="F53">
        <v>0.72</v>
      </c>
      <c r="G53" s="21">
        <f t="shared" si="7"/>
        <v>9.7631127377451041E-2</v>
      </c>
      <c r="H53" s="3">
        <f t="shared" si="0"/>
        <v>8.6121901096420893E-3</v>
      </c>
      <c r="I53" s="3">
        <f t="shared" si="1"/>
        <v>-0.10624331748709313</v>
      </c>
    </row>
    <row r="54" spans="1:9">
      <c r="A54">
        <f t="shared" si="2"/>
        <v>23</v>
      </c>
      <c r="B54" s="13">
        <f t="shared" si="3"/>
        <v>22.574711222170336</v>
      </c>
      <c r="C54" s="12">
        <f t="shared" si="4"/>
        <v>3083.437671501375</v>
      </c>
      <c r="D54">
        <f t="shared" si="5"/>
        <v>3.0449999999999999</v>
      </c>
      <c r="E54" s="13">
        <f t="shared" si="6"/>
        <v>3.9999999999999916</v>
      </c>
      <c r="F54">
        <v>0.72</v>
      </c>
      <c r="G54" s="21">
        <f t="shared" si="7"/>
        <v>9.7255550051699113E-2</v>
      </c>
      <c r="H54" s="3">
        <f t="shared" si="0"/>
        <v>8.6121901096420893E-3</v>
      </c>
      <c r="I54" s="3">
        <f t="shared" si="1"/>
        <v>-0.10586774016134121</v>
      </c>
    </row>
    <row r="55" spans="1:9">
      <c r="A55">
        <f t="shared" si="2"/>
        <v>24</v>
      </c>
      <c r="B55" s="13">
        <f t="shared" si="3"/>
        <v>22.468843482008996</v>
      </c>
      <c r="C55" s="12">
        <f t="shared" si="4"/>
        <v>3083.4575656605284</v>
      </c>
      <c r="D55">
        <f t="shared" si="5"/>
        <v>3.0449999999999999</v>
      </c>
      <c r="E55" s="13">
        <f t="shared" si="6"/>
        <v>3.9916666666666583</v>
      </c>
      <c r="F55">
        <v>0.72</v>
      </c>
      <c r="G55" s="21">
        <f t="shared" si="7"/>
        <v>9.6880638784674816E-2</v>
      </c>
      <c r="H55" s="3">
        <f t="shared" si="0"/>
        <v>8.6121901096420893E-3</v>
      </c>
      <c r="I55" s="3">
        <f t="shared" si="1"/>
        <v>-0.10549282889431691</v>
      </c>
    </row>
    <row r="56" spans="1:9">
      <c r="A56">
        <f t="shared" si="2"/>
        <v>25</v>
      </c>
      <c r="B56" s="13">
        <f t="shared" si="3"/>
        <v>22.363350653114679</v>
      </c>
      <c r="C56" s="12">
        <f t="shared" si="4"/>
        <v>3083.4774598196818</v>
      </c>
      <c r="D56">
        <f t="shared" si="5"/>
        <v>3.0449999999999999</v>
      </c>
      <c r="E56" s="13">
        <f t="shared" si="6"/>
        <v>3.983333333333325</v>
      </c>
      <c r="F56">
        <v>0.72</v>
      </c>
      <c r="G56" s="21">
        <f t="shared" si="7"/>
        <v>9.6506393781992605E-2</v>
      </c>
      <c r="H56" s="3">
        <f t="shared" si="0"/>
        <v>8.6121901096420893E-3</v>
      </c>
      <c r="I56" s="3">
        <f t="shared" si="1"/>
        <v>-0.1051185838916347</v>
      </c>
    </row>
    <row r="57" spans="1:9">
      <c r="A57">
        <f t="shared" si="2"/>
        <v>26</v>
      </c>
      <c r="B57" s="13">
        <f t="shared" si="3"/>
        <v>22.258232069223045</v>
      </c>
      <c r="C57" s="12">
        <f t="shared" si="4"/>
        <v>3083.4973539788352</v>
      </c>
      <c r="D57">
        <f t="shared" si="5"/>
        <v>3.0449999999999999</v>
      </c>
      <c r="E57" s="13">
        <f t="shared" si="6"/>
        <v>3.9749999999999917</v>
      </c>
      <c r="F57">
        <v>0.72</v>
      </c>
      <c r="G57" s="21">
        <f t="shared" si="7"/>
        <v>9.6132815249760056E-2</v>
      </c>
      <c r="H57" s="3">
        <f t="shared" si="0"/>
        <v>8.6121901096420893E-3</v>
      </c>
      <c r="I57" s="3">
        <f t="shared" si="1"/>
        <v>-0.10474500535940215</v>
      </c>
    </row>
    <row r="58" spans="1:9">
      <c r="A58">
        <f t="shared" si="2"/>
        <v>27</v>
      </c>
      <c r="B58" s="13">
        <f t="shared" si="3"/>
        <v>22.153487063863643</v>
      </c>
      <c r="C58" s="12">
        <f t="shared" si="4"/>
        <v>3083.5172481379886</v>
      </c>
      <c r="D58">
        <f t="shared" si="5"/>
        <v>3.0449999999999999</v>
      </c>
      <c r="E58" s="13">
        <f t="shared" si="6"/>
        <v>3.9666666666666583</v>
      </c>
      <c r="F58">
        <v>0.72</v>
      </c>
      <c r="G58" s="21">
        <f t="shared" si="7"/>
        <v>9.5759903394580265E-2</v>
      </c>
      <c r="H58" s="3">
        <f t="shared" si="0"/>
        <v>8.6121901096420893E-3</v>
      </c>
      <c r="I58" s="3">
        <f t="shared" si="1"/>
        <v>-0.10437209350422236</v>
      </c>
    </row>
    <row r="59" spans="1:9">
      <c r="A59">
        <f t="shared" si="2"/>
        <v>28</v>
      </c>
      <c r="B59" s="13">
        <f t="shared" si="3"/>
        <v>22.049114970359422</v>
      </c>
      <c r="C59" s="12">
        <f t="shared" si="4"/>
        <v>3083.5371422971421</v>
      </c>
      <c r="D59">
        <f t="shared" si="5"/>
        <v>3.0449999999999999</v>
      </c>
      <c r="E59" s="13">
        <f t="shared" si="6"/>
        <v>3.958333333333325</v>
      </c>
      <c r="F59">
        <v>0.72</v>
      </c>
      <c r="G59" s="21">
        <f t="shared" si="7"/>
        <v>9.5387658423554442E-2</v>
      </c>
      <c r="H59" s="3">
        <f t="shared" si="0"/>
        <v>8.6121901096420893E-3</v>
      </c>
      <c r="I59" s="3">
        <f t="shared" si="1"/>
        <v>-0.10399984853319653</v>
      </c>
    </row>
    <row r="60" spans="1:9">
      <c r="A60">
        <f t="shared" si="2"/>
        <v>29</v>
      </c>
      <c r="B60" s="13">
        <f t="shared" si="3"/>
        <v>21.945115121826227</v>
      </c>
      <c r="C60" s="12">
        <f t="shared" si="4"/>
        <v>3083.5570364562955</v>
      </c>
      <c r="D60">
        <f t="shared" si="5"/>
        <v>3.0449999999999999</v>
      </c>
      <c r="E60" s="13">
        <f t="shared" si="6"/>
        <v>3.9499999999999917</v>
      </c>
      <c r="F60">
        <v>0.72</v>
      </c>
      <c r="G60" s="21">
        <f t="shared" si="7"/>
        <v>9.5016080544283468E-2</v>
      </c>
      <c r="H60" s="3">
        <f t="shared" si="0"/>
        <v>8.6121901096420893E-3</v>
      </c>
      <c r="I60" s="3">
        <f t="shared" si="1"/>
        <v>-0.10362827065392556</v>
      </c>
    </row>
    <row r="61" spans="1:9">
      <c r="A61">
        <f t="shared" si="2"/>
        <v>30</v>
      </c>
      <c r="B61" s="13">
        <f t="shared" si="3"/>
        <v>21.841486851172302</v>
      </c>
      <c r="C61" s="12">
        <f t="shared" si="4"/>
        <v>3083.5769306154489</v>
      </c>
      <c r="D61">
        <f t="shared" si="5"/>
        <v>3.0449999999999999</v>
      </c>
      <c r="E61" s="13">
        <f t="shared" si="6"/>
        <v>3.9416666666666584</v>
      </c>
      <c r="F61">
        <v>0.72</v>
      </c>
      <c r="G61" s="21">
        <f t="shared" si="7"/>
        <v>9.4645169964871073E-2</v>
      </c>
      <c r="H61" s="3">
        <f t="shared" si="0"/>
        <v>8.6121901096420893E-3</v>
      </c>
      <c r="I61" s="3">
        <f t="shared" si="1"/>
        <v>-0.10325736007451317</v>
      </c>
    </row>
    <row r="62" spans="1:9">
      <c r="A62">
        <f t="shared" si="2"/>
        <v>31</v>
      </c>
      <c r="B62" s="13">
        <f t="shared" si="3"/>
        <v>21.73822949109779</v>
      </c>
      <c r="C62" s="12">
        <f t="shared" si="4"/>
        <v>3083.5968247746023</v>
      </c>
      <c r="D62">
        <f t="shared" si="5"/>
        <v>3.0449999999999999</v>
      </c>
      <c r="E62" s="13">
        <f t="shared" si="6"/>
        <v>3.9333333333333251</v>
      </c>
      <c r="F62">
        <v>0.72</v>
      </c>
      <c r="G62" s="21">
        <f t="shared" si="7"/>
        <v>9.427492689392529E-2</v>
      </c>
      <c r="H62" s="3">
        <f t="shared" si="0"/>
        <v>8.6121901096420893E-3</v>
      </c>
      <c r="I62" s="3">
        <f t="shared" si="1"/>
        <v>-0.10288711700356738</v>
      </c>
    </row>
    <row r="63" spans="1:9">
      <c r="A63">
        <f t="shared" si="2"/>
        <v>32</v>
      </c>
      <c r="B63" s="13">
        <f t="shared" si="3"/>
        <v>21.635342374094222</v>
      </c>
      <c r="C63" s="12">
        <f t="shared" si="4"/>
        <v>3083.6167189337557</v>
      </c>
      <c r="D63">
        <f t="shared" si="5"/>
        <v>3.0449999999999999</v>
      </c>
      <c r="E63" s="13">
        <f t="shared" si="6"/>
        <v>3.9249999999999918</v>
      </c>
      <c r="F63">
        <v>0.72</v>
      </c>
      <c r="G63" s="21">
        <f t="shared" si="7"/>
        <v>9.3905351540561011E-2</v>
      </c>
      <c r="H63" s="3">
        <f t="shared" si="0"/>
        <v>8.6121901096420893E-3</v>
      </c>
      <c r="I63" s="3">
        <f t="shared" si="1"/>
        <v>-0.1025175416502031</v>
      </c>
    </row>
    <row r="64" spans="1:9">
      <c r="A64">
        <f t="shared" si="2"/>
        <v>33</v>
      </c>
      <c r="B64" s="13">
        <f t="shared" si="3"/>
        <v>21.532824832444017</v>
      </c>
      <c r="C64" s="12">
        <f t="shared" si="4"/>
        <v>3083.6366130929091</v>
      </c>
      <c r="D64">
        <f t="shared" si="5"/>
        <v>3.0449999999999999</v>
      </c>
      <c r="E64" s="13">
        <f t="shared" si="6"/>
        <v>3.9166666666666585</v>
      </c>
      <c r="F64">
        <v>0.72</v>
      </c>
      <c r="G64" s="21">
        <f t="shared" si="7"/>
        <v>9.3536444114402664E-2</v>
      </c>
      <c r="H64" s="3">
        <f t="shared" si="0"/>
        <v>8.6121901096420893E-3</v>
      </c>
      <c r="I64" s="3">
        <f t="shared" si="1"/>
        <v>-0.10214863422404476</v>
      </c>
    </row>
    <row r="65" spans="1:9">
      <c r="A65">
        <f t="shared" si="2"/>
        <v>34</v>
      </c>
      <c r="B65" s="13">
        <f t="shared" si="3"/>
        <v>21.430676198219974</v>
      </c>
      <c r="C65" s="12">
        <f t="shared" si="4"/>
        <v>3083.6565072520625</v>
      </c>
      <c r="D65">
        <f t="shared" si="5"/>
        <v>3.0449999999999999</v>
      </c>
      <c r="E65" s="13">
        <f t="shared" si="6"/>
        <v>3.9083333333333252</v>
      </c>
      <c r="F65">
        <v>0.72</v>
      </c>
      <c r="G65" s="21">
        <f t="shared" si="7"/>
        <v>9.3168204825585924E-2</v>
      </c>
      <c r="H65" s="3">
        <f t="shared" si="0"/>
        <v>8.6121901096420893E-3</v>
      </c>
      <c r="I65" s="3">
        <f t="shared" si="1"/>
        <v>-0.10178039493522802</v>
      </c>
    </row>
    <row r="66" spans="1:9">
      <c r="A66">
        <f t="shared" si="2"/>
        <v>35</v>
      </c>
      <c r="B66" s="13">
        <f t="shared" si="3"/>
        <v>21.328895803284745</v>
      </c>
      <c r="C66" s="12">
        <f t="shared" si="4"/>
        <v>3083.6764014112159</v>
      </c>
      <c r="D66">
        <f t="shared" si="5"/>
        <v>3.0449999999999999</v>
      </c>
      <c r="E66" s="13">
        <f t="shared" si="6"/>
        <v>3.8999999999999919</v>
      </c>
      <c r="F66">
        <v>0.72</v>
      </c>
      <c r="G66" s="21">
        <f t="shared" si="7"/>
        <v>9.2800633884760592E-2</v>
      </c>
      <c r="H66" s="3">
        <f t="shared" si="0"/>
        <v>8.6121901096420893E-3</v>
      </c>
      <c r="I66" s="3">
        <f t="shared" si="1"/>
        <v>-0.10141282399440268</v>
      </c>
    </row>
    <row r="67" spans="1:9">
      <c r="A67">
        <f t="shared" si="2"/>
        <v>36</v>
      </c>
      <c r="B67" s="13">
        <f t="shared" si="3"/>
        <v>21.227482979290343</v>
      </c>
      <c r="C67" s="12">
        <f t="shared" si="4"/>
        <v>3083.6962955703693</v>
      </c>
      <c r="D67">
        <f t="shared" si="5"/>
        <v>3.0449999999999999</v>
      </c>
      <c r="E67" s="13">
        <f t="shared" si="6"/>
        <v>3.8916666666666586</v>
      </c>
      <c r="F67">
        <v>0.72</v>
      </c>
      <c r="G67" s="21">
        <f t="shared" si="7"/>
        <v>9.2433731503092545E-2</v>
      </c>
      <c r="H67" s="3">
        <f t="shared" si="0"/>
        <v>8.6121901096420893E-3</v>
      </c>
      <c r="I67" s="3">
        <f t="shared" si="1"/>
        <v>-0.10104592161273464</v>
      </c>
    </row>
    <row r="68" spans="1:9">
      <c r="A68">
        <f t="shared" si="2"/>
        <v>37</v>
      </c>
      <c r="B68" s="13">
        <f t="shared" si="3"/>
        <v>21.126437057677609</v>
      </c>
      <c r="C68" s="12">
        <f t="shared" si="4"/>
        <v>3083.7161897295227</v>
      </c>
      <c r="D68">
        <f t="shared" si="5"/>
        <v>3.0449999999999999</v>
      </c>
      <c r="E68" s="13">
        <f t="shared" si="6"/>
        <v>3.8833333333333253</v>
      </c>
      <c r="F68">
        <v>0.72</v>
      </c>
      <c r="G68" s="21">
        <f t="shared" si="7"/>
        <v>9.206749789226655E-2</v>
      </c>
      <c r="H68" s="3">
        <f t="shared" si="0"/>
        <v>8.6121901096420893E-3</v>
      </c>
      <c r="I68" s="3">
        <f t="shared" si="1"/>
        <v>-0.10067968800190864</v>
      </c>
    </row>
    <row r="69" spans="1:9">
      <c r="A69">
        <f t="shared" si="2"/>
        <v>38</v>
      </c>
      <c r="B69" s="13">
        <f t="shared" si="3"/>
        <v>21.025757369675702</v>
      </c>
      <c r="C69" s="12">
        <f t="shared" si="4"/>
        <v>3083.7360838886761</v>
      </c>
      <c r="D69">
        <f t="shared" si="5"/>
        <v>3.0449999999999999</v>
      </c>
      <c r="E69" s="13">
        <f t="shared" si="6"/>
        <v>3.874999999999992</v>
      </c>
      <c r="F69">
        <v>0.72</v>
      </c>
      <c r="G69" s="21">
        <f t="shared" si="7"/>
        <v>9.1701933264487931E-2</v>
      </c>
      <c r="H69" s="3">
        <f t="shared" si="0"/>
        <v>8.6121901096420893E-3</v>
      </c>
      <c r="I69" s="3">
        <f t="shared" si="1"/>
        <v>-0.10031412337413002</v>
      </c>
    </row>
    <row r="70" spans="1:9">
      <c r="A70">
        <f t="shared" si="2"/>
        <v>39</v>
      </c>
      <c r="B70" s="13">
        <f t="shared" si="3"/>
        <v>20.925443246301572</v>
      </c>
      <c r="C70" s="12">
        <f t="shared" si="4"/>
        <v>3083.7559780478296</v>
      </c>
      <c r="D70">
        <f t="shared" si="5"/>
        <v>3.0449999999999999</v>
      </c>
      <c r="E70" s="13">
        <f t="shared" si="6"/>
        <v>3.8666666666666587</v>
      </c>
      <c r="F70">
        <v>0.72</v>
      </c>
      <c r="G70" s="21">
        <f t="shared" si="7"/>
        <v>9.1337037832485896E-2</v>
      </c>
      <c r="H70" s="3">
        <f t="shared" si="0"/>
        <v>8.6121901096420893E-3</v>
      </c>
      <c r="I70" s="3">
        <f t="shared" si="1"/>
        <v>-9.9949227942127988E-2</v>
      </c>
    </row>
    <row r="71" spans="1:9">
      <c r="A71">
        <f t="shared" si="2"/>
        <v>40</v>
      </c>
      <c r="B71" s="13">
        <f t="shared" si="3"/>
        <v>20.825494018359443</v>
      </c>
      <c r="C71" s="12">
        <f t="shared" si="4"/>
        <v>3083.775872206983</v>
      </c>
      <c r="D71">
        <f t="shared" si="5"/>
        <v>3.0449999999999999</v>
      </c>
      <c r="E71" s="13">
        <f t="shared" si="6"/>
        <v>3.8583333333333254</v>
      </c>
      <c r="F71">
        <v>0.72</v>
      </c>
      <c r="G71" s="21">
        <f t="shared" si="7"/>
        <v>9.0972811809515261E-2</v>
      </c>
      <c r="H71" s="3">
        <f t="shared" si="0"/>
        <v>8.6121901096420893E-3</v>
      </c>
      <c r="I71" s="3">
        <f t="shared" si="1"/>
        <v>-9.9585001919157354E-2</v>
      </c>
    </row>
    <row r="72" spans="1:9">
      <c r="A72">
        <f t="shared" si="2"/>
        <v>41</v>
      </c>
      <c r="B72" s="13">
        <f t="shared" si="3"/>
        <v>20.725909016440287</v>
      </c>
      <c r="C72" s="12">
        <f t="shared" si="4"/>
        <v>3083.7957663661364</v>
      </c>
      <c r="D72">
        <f t="shared" si="5"/>
        <v>3.0449999999999999</v>
      </c>
      <c r="E72" s="13">
        <f t="shared" si="6"/>
        <v>3.8499999999999921</v>
      </c>
      <c r="F72">
        <v>0.72</v>
      </c>
      <c r="G72" s="21">
        <f t="shared" si="7"/>
        <v>9.060925540935906E-2</v>
      </c>
      <c r="H72" s="3">
        <f t="shared" si="0"/>
        <v>8.6121901096420893E-3</v>
      </c>
      <c r="I72" s="3">
        <f t="shared" si="1"/>
        <v>-9.9221445519001153E-2</v>
      </c>
    </row>
    <row r="73" spans="1:9">
      <c r="A73">
        <f t="shared" si="2"/>
        <v>42</v>
      </c>
      <c r="B73" s="13">
        <f t="shared" si="3"/>
        <v>20.626687570921288</v>
      </c>
      <c r="C73" s="12">
        <f t="shared" si="4"/>
        <v>3083.8156605252898</v>
      </c>
      <c r="D73">
        <f t="shared" si="5"/>
        <v>3.0449999999999999</v>
      </c>
      <c r="E73" s="13">
        <f t="shared" si="6"/>
        <v>3.8416666666666588</v>
      </c>
      <c r="F73">
        <v>0.72</v>
      </c>
      <c r="G73" s="21">
        <f t="shared" si="7"/>
        <v>9.0246368846331415E-2</v>
      </c>
      <c r="H73" s="3">
        <f t="shared" si="0"/>
        <v>8.6121901096420893E-3</v>
      </c>
      <c r="I73" s="3">
        <f t="shared" si="1"/>
        <v>-9.8858558955973508E-2</v>
      </c>
    </row>
    <row r="74" spans="1:9">
      <c r="A74">
        <f t="shared" si="2"/>
        <v>43</v>
      </c>
      <c r="B74" s="13">
        <f t="shared" si="3"/>
        <v>20.527829011965313</v>
      </c>
      <c r="C74" s="12">
        <f t="shared" si="4"/>
        <v>3083.8355546844432</v>
      </c>
      <c r="D74">
        <f t="shared" si="5"/>
        <v>3.0449999999999999</v>
      </c>
      <c r="E74" s="13">
        <f t="shared" si="6"/>
        <v>3.8333333333333255</v>
      </c>
      <c r="F74">
        <v>0.72</v>
      </c>
      <c r="G74" s="21">
        <f t="shared" si="7"/>
        <v>8.9884152335279049E-2</v>
      </c>
      <c r="H74" s="3">
        <f t="shared" si="0"/>
        <v>8.6121901096420893E-3</v>
      </c>
      <c r="I74" s="3">
        <f t="shared" si="1"/>
        <v>-9.8496342444921142E-2</v>
      </c>
    </row>
    <row r="75" spans="1:9">
      <c r="A75">
        <f t="shared" si="2"/>
        <v>44</v>
      </c>
      <c r="B75" s="13">
        <f t="shared" si="3"/>
        <v>20.429332669520392</v>
      </c>
      <c r="C75" s="12">
        <f t="shared" si="4"/>
        <v>3083.8554488435966</v>
      </c>
      <c r="D75">
        <f t="shared" si="5"/>
        <v>3.0449999999999999</v>
      </c>
      <c r="E75" s="13">
        <f t="shared" si="6"/>
        <v>3.8249999999999922</v>
      </c>
      <c r="F75">
        <v>0.72</v>
      </c>
      <c r="G75" s="21">
        <f t="shared" si="7"/>
        <v>8.9522606091585022E-2</v>
      </c>
      <c r="H75" s="3">
        <f t="shared" si="0"/>
        <v>8.6121901096420893E-3</v>
      </c>
      <c r="I75" s="3">
        <f t="shared" si="1"/>
        <v>-9.8134796201227115E-2</v>
      </c>
    </row>
    <row r="76" spans="1:9">
      <c r="A76">
        <f t="shared" si="2"/>
        <v>45</v>
      </c>
      <c r="B76" s="13">
        <f t="shared" si="3"/>
        <v>20.331197873319166</v>
      </c>
      <c r="C76" s="12">
        <f t="shared" si="4"/>
        <v>3083.87534300275</v>
      </c>
      <c r="D76">
        <f t="shared" si="5"/>
        <v>3.0449999999999999</v>
      </c>
      <c r="E76" s="13">
        <f t="shared" si="6"/>
        <v>3.8166666666666589</v>
      </c>
      <c r="F76">
        <v>0.72</v>
      </c>
      <c r="G76" s="21">
        <f t="shared" si="7"/>
        <v>8.9161730331170072E-2</v>
      </c>
      <c r="H76" s="3">
        <f t="shared" si="0"/>
        <v>8.6121901096420893E-3</v>
      </c>
      <c r="I76" s="3">
        <f t="shared" si="1"/>
        <v>-9.7773920440812165E-2</v>
      </c>
    </row>
    <row r="77" spans="1:9">
      <c r="A77">
        <f t="shared" si="2"/>
        <v>46</v>
      </c>
      <c r="B77" s="13">
        <f t="shared" si="3"/>
        <v>20.233423952878354</v>
      </c>
      <c r="C77" s="12">
        <f t="shared" si="4"/>
        <v>3083.8952371619034</v>
      </c>
      <c r="D77">
        <f t="shared" si="5"/>
        <v>3.0449999999999999</v>
      </c>
      <c r="E77" s="13">
        <f t="shared" si="6"/>
        <v>3.8083333333333256</v>
      </c>
      <c r="F77">
        <v>0.72</v>
      </c>
      <c r="G77" s="21">
        <f t="shared" si="7"/>
        <v>8.8801525270495937E-2</v>
      </c>
      <c r="H77" s="3">
        <f t="shared" si="0"/>
        <v>8.6121901096420893E-3</v>
      </c>
      <c r="I77" s="3">
        <f t="shared" si="1"/>
        <v>-9.741371538013803E-2</v>
      </c>
    </row>
    <row r="78" spans="1:9">
      <c r="A78">
        <f t="shared" si="2"/>
        <v>47</v>
      </c>
      <c r="B78" s="13">
        <f t="shared" si="3"/>
        <v>20.136010237498216</v>
      </c>
      <c r="C78" s="12">
        <f t="shared" si="4"/>
        <v>3083.9151313210568</v>
      </c>
      <c r="D78">
        <f t="shared" si="5"/>
        <v>3.0449999999999999</v>
      </c>
      <c r="E78" s="13">
        <f t="shared" si="6"/>
        <v>3.7999999999999923</v>
      </c>
      <c r="F78">
        <v>0.72</v>
      </c>
      <c r="G78" s="21">
        <f t="shared" si="7"/>
        <v>8.8441991126567601E-2</v>
      </c>
      <c r="H78" s="3">
        <f t="shared" si="0"/>
        <v>8.6121901096420893E-3</v>
      </c>
      <c r="I78" s="3">
        <f t="shared" si="1"/>
        <v>-9.7054181236209694E-2</v>
      </c>
    </row>
    <row r="79" spans="1:9">
      <c r="A79" s="29">
        <f t="shared" si="2"/>
        <v>48</v>
      </c>
      <c r="B79" s="30">
        <f t="shared" si="3"/>
        <v>20.038956056262005</v>
      </c>
      <c r="C79" s="12">
        <f t="shared" si="4"/>
        <v>3083.9350254802102</v>
      </c>
      <c r="D79" s="29">
        <f t="shared" si="5"/>
        <v>3.0449999999999999</v>
      </c>
      <c r="E79" s="30">
        <f t="shared" si="6"/>
        <v>3.791666666666659</v>
      </c>
      <c r="F79">
        <v>0.72</v>
      </c>
      <c r="G79" s="32">
        <f t="shared" si="7"/>
        <v>8.8083128116935624E-2</v>
      </c>
      <c r="H79" s="3">
        <f t="shared" si="0"/>
        <v>8.6121901096420893E-3</v>
      </c>
      <c r="I79" s="3">
        <f t="shared" si="1"/>
        <v>-9.6695318226577717E-2</v>
      </c>
    </row>
    <row r="80" spans="1:9">
      <c r="A80" s="29">
        <f t="shared" si="2"/>
        <v>49</v>
      </c>
      <c r="B80" s="30">
        <f t="shared" si="3"/>
        <v>19.942260738035429</v>
      </c>
      <c r="C80" s="12">
        <f t="shared" si="4"/>
        <v>3083.9549196393637</v>
      </c>
      <c r="D80" s="29">
        <f t="shared" si="5"/>
        <v>3.0449999999999999</v>
      </c>
      <c r="E80" s="30">
        <f t="shared" si="6"/>
        <v>3.7833333333333257</v>
      </c>
      <c r="F80">
        <v>0.72</v>
      </c>
      <c r="G80" s="32">
        <f t="shared" si="7"/>
        <v>8.7724936459699282E-2</v>
      </c>
      <c r="H80" s="3">
        <f t="shared" si="0"/>
        <v>8.6121901096420893E-3</v>
      </c>
      <c r="I80" s="3">
        <f t="shared" si="1"/>
        <v>-9.6337126569341375E-2</v>
      </c>
    </row>
    <row r="81" spans="1:9">
      <c r="A81">
        <f t="shared" si="2"/>
        <v>50</v>
      </c>
      <c r="B81" s="13">
        <f t="shared" si="3"/>
        <v>19.845923611466088</v>
      </c>
      <c r="C81" s="12">
        <f t="shared" si="4"/>
        <v>3083.9748137985171</v>
      </c>
      <c r="D81">
        <f t="shared" si="5"/>
        <v>3.0449999999999999</v>
      </c>
      <c r="E81" s="13">
        <f t="shared" si="6"/>
        <v>3.7749999999999924</v>
      </c>
      <c r="F81">
        <v>0.72</v>
      </c>
      <c r="G81" s="21">
        <f t="shared" si="7"/>
        <v>8.7367416373508588E-2</v>
      </c>
      <c r="H81" s="3">
        <f t="shared" si="0"/>
        <v>8.6121901096420893E-3</v>
      </c>
      <c r="I81" s="3">
        <f t="shared" si="1"/>
        <v>-9.5979606483150681E-2</v>
      </c>
    </row>
    <row r="82" spans="1:9">
      <c r="A82">
        <f t="shared" si="2"/>
        <v>51</v>
      </c>
      <c r="B82" s="13">
        <f t="shared" si="3"/>
        <v>19.749944004982936</v>
      </c>
      <c r="C82" s="12">
        <f t="shared" si="4"/>
        <v>3083.9947079576705</v>
      </c>
      <c r="D82">
        <f t="shared" si="5"/>
        <v>3.0449999999999999</v>
      </c>
      <c r="E82" s="13">
        <f t="shared" si="6"/>
        <v>3.7666666666666591</v>
      </c>
      <c r="F82">
        <v>0.72</v>
      </c>
      <c r="G82" s="21">
        <f t="shared" si="7"/>
        <v>8.7010568077567255E-2</v>
      </c>
      <c r="H82" s="3">
        <f t="shared" si="0"/>
        <v>8.6121901096420893E-3</v>
      </c>
      <c r="I82" s="3">
        <f t="shared" si="1"/>
        <v>-9.5622758187209347E-2</v>
      </c>
    </row>
    <row r="83" spans="1:9">
      <c r="A83">
        <f t="shared" si="2"/>
        <v>52</v>
      </c>
      <c r="B83" s="13">
        <f t="shared" si="3"/>
        <v>19.654321246795728</v>
      </c>
      <c r="C83" s="12">
        <f t="shared" si="4"/>
        <v>3084.0146021168239</v>
      </c>
      <c r="D83">
        <f t="shared" si="5"/>
        <v>3.0449999999999999</v>
      </c>
      <c r="E83" s="13">
        <f t="shared" si="6"/>
        <v>3.7583333333333258</v>
      </c>
      <c r="F83">
        <v>0.72</v>
      </c>
      <c r="G83" s="21">
        <f t="shared" si="7"/>
        <v>8.6654391791635144E-2</v>
      </c>
      <c r="H83" s="3">
        <f t="shared" si="0"/>
        <v>8.6121901096420893E-3</v>
      </c>
      <c r="I83" s="3">
        <f t="shared" si="1"/>
        <v>-9.5266581901277236E-2</v>
      </c>
    </row>
    <row r="84" spans="1:9">
      <c r="A84">
        <f t="shared" si="2"/>
        <v>53</v>
      </c>
      <c r="B84" s="13">
        <f t="shared" si="3"/>
        <v>19.55905466489445</v>
      </c>
      <c r="C84" s="12">
        <f t="shared" si="4"/>
        <v>3084.0344962759773</v>
      </c>
      <c r="D84">
        <f t="shared" si="5"/>
        <v>3.0449999999999999</v>
      </c>
      <c r="E84" s="13">
        <f t="shared" si="6"/>
        <v>3.7499999999999925</v>
      </c>
      <c r="F84">
        <v>0.72</v>
      </c>
      <c r="G84" s="21">
        <f t="shared" si="7"/>
        <v>8.6298887736031046E-2</v>
      </c>
      <c r="H84" s="3">
        <f t="shared" si="0"/>
        <v>8.6121901096420893E-3</v>
      </c>
      <c r="I84" s="3">
        <f t="shared" si="1"/>
        <v>-9.4911077845673139E-2</v>
      </c>
    </row>
    <row r="85" spans="1:9">
      <c r="A85">
        <f t="shared" si="2"/>
        <v>54</v>
      </c>
      <c r="B85" s="13">
        <f t="shared" si="3"/>
        <v>19.464143587048778</v>
      </c>
      <c r="C85" s="12">
        <f t="shared" si="4"/>
        <v>3084.0543904351307</v>
      </c>
      <c r="D85">
        <f t="shared" si="5"/>
        <v>3.0449999999999999</v>
      </c>
      <c r="E85" s="13">
        <f t="shared" si="6"/>
        <v>3.7416666666666591</v>
      </c>
      <c r="F85">
        <v>0.72</v>
      </c>
      <c r="G85" s="21">
        <f t="shared" si="7"/>
        <v>8.594405613163518E-2</v>
      </c>
      <c r="H85" s="3">
        <f t="shared" si="0"/>
        <v>8.6121901096420893E-3</v>
      </c>
      <c r="I85" s="3">
        <f t="shared" si="1"/>
        <v>-9.4556246241277273E-2</v>
      </c>
    </row>
    <row r="86" spans="1:9">
      <c r="A86">
        <f t="shared" si="2"/>
        <v>55</v>
      </c>
      <c r="B86" s="13">
        <f t="shared" si="3"/>
        <v>19.369587340807499</v>
      </c>
      <c r="C86" s="12">
        <f t="shared" si="4"/>
        <v>3084.0742845942841</v>
      </c>
      <c r="D86">
        <f t="shared" si="5"/>
        <v>3.0449999999999999</v>
      </c>
      <c r="E86" s="13">
        <f t="shared" si="6"/>
        <v>3.7333333333333258</v>
      </c>
      <c r="F86">
        <v>0.72</v>
      </c>
      <c r="G86" s="21">
        <f t="shared" si="7"/>
        <v>8.5589897199892087E-2</v>
      </c>
      <c r="H86" s="3">
        <f t="shared" si="0"/>
        <v>8.6121901096420893E-3</v>
      </c>
      <c r="I86" s="3">
        <f t="shared" si="1"/>
        <v>-9.420208730953418E-2</v>
      </c>
    </row>
    <row r="87" spans="1:9">
      <c r="A87">
        <f t="shared" si="2"/>
        <v>56</v>
      </c>
      <c r="B87" s="13">
        <f t="shared" si="3"/>
        <v>19.275385253497966</v>
      </c>
      <c r="C87" s="12">
        <f t="shared" si="4"/>
        <v>3084.0941787534375</v>
      </c>
      <c r="D87">
        <f t="shared" si="5"/>
        <v>3.0449999999999999</v>
      </c>
      <c r="E87" s="13">
        <f t="shared" si="6"/>
        <v>3.7249999999999925</v>
      </c>
      <c r="F87">
        <v>0.72</v>
      </c>
      <c r="G87" s="21">
        <f t="shared" si="7"/>
        <v>8.5236411162813261E-2</v>
      </c>
      <c r="H87" s="3">
        <f t="shared" si="0"/>
        <v>8.6121901096420893E-3</v>
      </c>
      <c r="I87" s="3">
        <f t="shared" si="1"/>
        <v>-9.3848601272455354E-2</v>
      </c>
    </row>
    <row r="88" spans="1:9">
      <c r="A88">
        <f t="shared" si="2"/>
        <v>57</v>
      </c>
      <c r="B88" s="13">
        <f t="shared" si="3"/>
        <v>19.18153665222551</v>
      </c>
      <c r="C88" s="12">
        <f t="shared" si="4"/>
        <v>3084.1140729125909</v>
      </c>
      <c r="D88">
        <f t="shared" si="5"/>
        <v>3.0449999999999999</v>
      </c>
      <c r="E88" s="13">
        <f t="shared" si="6"/>
        <v>3.7166666666666592</v>
      </c>
      <c r="F88">
        <v>0.72</v>
      </c>
      <c r="G88" s="21">
        <f t="shared" si="7"/>
        <v>8.4883598242979502E-2</v>
      </c>
      <c r="H88" s="3">
        <f t="shared" si="0"/>
        <v>8.6121901096420893E-3</v>
      </c>
      <c r="I88" s="3">
        <f t="shared" si="1"/>
        <v>-9.3495788352621595E-2</v>
      </c>
    </row>
    <row r="89" spans="1:9">
      <c r="A89">
        <f t="shared" si="2"/>
        <v>58</v>
      </c>
      <c r="B89" s="13">
        <f t="shared" si="3"/>
        <v>19.088040863872887</v>
      </c>
      <c r="C89" s="12">
        <f t="shared" si="4"/>
        <v>3084.1339670717443</v>
      </c>
      <c r="D89">
        <f t="shared" si="5"/>
        <v>3.0449999999999999</v>
      </c>
      <c r="E89" s="13">
        <f t="shared" si="6"/>
        <v>3.7083333333333259</v>
      </c>
      <c r="F89">
        <v>0.72</v>
      </c>
      <c r="G89" s="21">
        <f t="shared" si="7"/>
        <v>8.4531458663544501E-2</v>
      </c>
      <c r="H89" s="3">
        <f t="shared" si="0"/>
        <v>8.6121901096420893E-3</v>
      </c>
      <c r="I89" s="3">
        <f t="shared" si="1"/>
        <v>-9.3143648773186594E-2</v>
      </c>
    </row>
    <row r="90" spans="1:9">
      <c r="A90">
        <f t="shared" si="2"/>
        <v>59</v>
      </c>
      <c r="B90" s="13">
        <f t="shared" si="3"/>
        <v>18.994897215099702</v>
      </c>
      <c r="C90" s="12">
        <f t="shared" si="4"/>
        <v>3084.1538612308977</v>
      </c>
      <c r="D90">
        <f t="shared" si="5"/>
        <v>3.0449999999999999</v>
      </c>
      <c r="E90" s="13">
        <f t="shared" si="6"/>
        <v>3.6999999999999926</v>
      </c>
      <c r="F90">
        <v>0.72</v>
      </c>
      <c r="G90" s="21">
        <f t="shared" si="7"/>
        <v>8.4179992648236668E-2</v>
      </c>
      <c r="H90" s="3">
        <f t="shared" si="0"/>
        <v>8.6121901096420893E-3</v>
      </c>
      <c r="I90" s="3">
        <f t="shared" si="1"/>
        <v>-9.2792182757878761E-2</v>
      </c>
    </row>
    <row r="91" spans="1:9">
      <c r="A91">
        <f t="shared" si="2"/>
        <v>60</v>
      </c>
      <c r="B91" s="13">
        <f t="shared" si="3"/>
        <v>18.902105032341822</v>
      </c>
      <c r="C91" s="12">
        <f t="shared" si="4"/>
        <v>3084.1737553900512</v>
      </c>
      <c r="D91">
        <f t="shared" si="5"/>
        <v>3.0449999999999999</v>
      </c>
      <c r="E91" s="13">
        <f t="shared" si="6"/>
        <v>3.6916666666666593</v>
      </c>
      <c r="F91">
        <v>0.72</v>
      </c>
      <c r="G91" s="21">
        <f t="shared" si="7"/>
        <v>8.3829200421362521E-2</v>
      </c>
      <c r="H91" s="3">
        <f t="shared" si="0"/>
        <v>8.6121901096420893E-3</v>
      </c>
      <c r="I91" s="3">
        <f t="shared" si="1"/>
        <v>-9.2441390531004614E-2</v>
      </c>
    </row>
    <row r="92" spans="1:9">
      <c r="A92">
        <f t="shared" si="2"/>
        <v>61</v>
      </c>
      <c r="B92" s="13">
        <f t="shared" si="3"/>
        <v>18.809663641810818</v>
      </c>
      <c r="C92" s="12">
        <f t="shared" si="4"/>
        <v>3084.1936495492046</v>
      </c>
      <c r="D92">
        <f t="shared" si="5"/>
        <v>3.0449999999999999</v>
      </c>
      <c r="E92" s="13">
        <f t="shared" si="6"/>
        <v>3.683333333333326</v>
      </c>
      <c r="F92">
        <v>0.72</v>
      </c>
      <c r="G92" s="21">
        <f t="shared" si="7"/>
        <v>8.3479082207809155E-2</v>
      </c>
      <c r="H92" s="3">
        <f t="shared" si="0"/>
        <v>8.6121901096420893E-3</v>
      </c>
      <c r="I92" s="3">
        <f t="shared" si="1"/>
        <v>-9.2091272317451248E-2</v>
      </c>
    </row>
    <row r="93" spans="1:9">
      <c r="A93">
        <f t="shared" si="2"/>
        <v>62</v>
      </c>
      <c r="B93" s="13">
        <f t="shared" si="3"/>
        <v>18.717572369493368</v>
      </c>
      <c r="C93" s="12">
        <f t="shared" si="4"/>
        <v>3084.213543708358</v>
      </c>
      <c r="D93">
        <f t="shared" si="5"/>
        <v>3.0449999999999999</v>
      </c>
      <c r="E93" s="13">
        <f t="shared" si="6"/>
        <v>3.6749999999999927</v>
      </c>
      <c r="F93">
        <v>0.72</v>
      </c>
      <c r="G93" s="21">
        <f t="shared" si="7"/>
        <v>8.3129638233047379E-2</v>
      </c>
      <c r="H93" s="3">
        <f t="shared" si="0"/>
        <v>8.6121901096420893E-3</v>
      </c>
      <c r="I93" s="3">
        <f t="shared" si="1"/>
        <v>-9.1741828342689472E-2</v>
      </c>
    </row>
    <row r="94" spans="1:9">
      <c r="A94">
        <f t="shared" si="2"/>
        <v>63</v>
      </c>
      <c r="B94" s="13">
        <f t="shared" si="3"/>
        <v>18.625830541150677</v>
      </c>
      <c r="C94" s="12">
        <f t="shared" si="4"/>
        <v>3084.2334378675114</v>
      </c>
      <c r="D94">
        <f t="shared" si="5"/>
        <v>3.0449999999999999</v>
      </c>
      <c r="E94" s="13">
        <f t="shared" si="6"/>
        <v>3.6666666666666594</v>
      </c>
      <c r="F94">
        <v>0.72</v>
      </c>
      <c r="G94" s="21">
        <f t="shared" si="7"/>
        <v>8.2780868723134379E-2</v>
      </c>
      <c r="H94" s="3">
        <f t="shared" si="0"/>
        <v>8.6121901096420893E-3</v>
      </c>
      <c r="I94" s="3">
        <f t="shared" si="1"/>
        <v>-9.1393058832776472E-2</v>
      </c>
    </row>
    <row r="95" spans="1:9">
      <c r="A95">
        <f t="shared" si="2"/>
        <v>64</v>
      </c>
      <c r="B95" s="13">
        <f t="shared" si="3"/>
        <v>18.534437482317902</v>
      </c>
      <c r="C95" s="12">
        <f t="shared" si="4"/>
        <v>3084.2533320266648</v>
      </c>
      <c r="D95">
        <f t="shared" si="5"/>
        <v>3.0449999999999999</v>
      </c>
      <c r="E95" s="13">
        <f t="shared" si="6"/>
        <v>3.6583333333333261</v>
      </c>
      <c r="F95">
        <v>0.72</v>
      </c>
      <c r="G95" s="21">
        <f t="shared" si="7"/>
        <v>8.2432773904716303E-2</v>
      </c>
      <c r="H95" s="3">
        <f t="shared" si="0"/>
        <v>8.6121901096420893E-3</v>
      </c>
      <c r="I95" s="3">
        <f t="shared" si="1"/>
        <v>-9.1044964014358395E-2</v>
      </c>
    </row>
    <row r="96" spans="1:9">
      <c r="A96">
        <f t="shared" si="2"/>
        <v>65</v>
      </c>
      <c r="B96" s="13">
        <f t="shared" si="3"/>
        <v>18.443392518303543</v>
      </c>
      <c r="C96" s="12">
        <f t="shared" si="4"/>
        <v>3084.2732261858182</v>
      </c>
      <c r="D96">
        <f t="shared" si="5"/>
        <v>3.0449999999999999</v>
      </c>
      <c r="E96" s="13">
        <f t="shared" si="6"/>
        <v>3.6499999999999928</v>
      </c>
      <c r="F96">
        <v>0.72</v>
      </c>
      <c r="G96" s="21">
        <f t="shared" si="7"/>
        <v>8.2085354005031697E-2</v>
      </c>
      <c r="H96" s="3">
        <f t="shared" si="0"/>
        <v>8.6121901096420893E-3</v>
      </c>
      <c r="I96" s="3">
        <f t="shared" si="1"/>
        <v>-9.0697544114673789E-2</v>
      </c>
    </row>
    <row r="97" spans="1:10">
      <c r="A97">
        <f t="shared" si="2"/>
        <v>66</v>
      </c>
      <c r="B97" s="13">
        <f t="shared" si="3"/>
        <v>18.352694974188871</v>
      </c>
      <c r="C97" s="12">
        <f t="shared" si="4"/>
        <v>3084.2931203449716</v>
      </c>
      <c r="D97">
        <f t="shared" si="5"/>
        <v>3.0449999999999999</v>
      </c>
      <c r="E97" s="13">
        <f t="shared" si="6"/>
        <v>3.6416666666666595</v>
      </c>
      <c r="F97">
        <v>0.72</v>
      </c>
      <c r="G97" s="21">
        <f t="shared" si="7"/>
        <v>8.1738609251914021E-2</v>
      </c>
      <c r="H97" s="3">
        <f t="shared" ref="H97:H160" si="8">(D97*$C$19)/2.31</f>
        <v>8.6121901096420893E-3</v>
      </c>
      <c r="I97" s="3">
        <f t="shared" ref="I97:I160" si="9">-H97-G97</f>
        <v>-9.0350799361556114E-2</v>
      </c>
    </row>
    <row r="98" spans="1:10">
      <c r="A98">
        <f t="shared" ref="A98:A161" si="10">A97+1</f>
        <v>67</v>
      </c>
      <c r="B98" s="13">
        <f t="shared" ref="B98:B161" si="11">B97+I97</f>
        <v>18.262344174827316</v>
      </c>
      <c r="C98" s="12">
        <f t="shared" ref="C98:C154" si="12">C97+H97*2.31</f>
        <v>3084.313014504125</v>
      </c>
      <c r="D98">
        <f t="shared" ref="D98:D161" si="13">$C$13</f>
        <v>3.0449999999999999</v>
      </c>
      <c r="E98" s="13">
        <f t="shared" ref="E98:E161" si="14">E97-($C$6/60)</f>
        <v>3.6333333333333262</v>
      </c>
      <c r="F98">
        <v>0.72</v>
      </c>
      <c r="G98" s="21">
        <f t="shared" ref="G98:G161" si="15">(1050*((E98/$C$11)^1.852)*(D98/100)*(F98^-4.87))/2.31</f>
        <v>8.1392539873794703E-2</v>
      </c>
      <c r="H98" s="3">
        <f t="shared" si="8"/>
        <v>8.6121901096420893E-3</v>
      </c>
      <c r="I98" s="3">
        <f t="shared" si="9"/>
        <v>-9.0004729983436796E-2</v>
      </c>
    </row>
    <row r="99" spans="1:10">
      <c r="A99">
        <f t="shared" si="10"/>
        <v>68</v>
      </c>
      <c r="B99" s="13">
        <f t="shared" si="11"/>
        <v>18.172339444843878</v>
      </c>
      <c r="C99" s="12">
        <f t="shared" si="12"/>
        <v>3084.3329086632784</v>
      </c>
      <c r="D99">
        <f t="shared" si="13"/>
        <v>3.0449999999999999</v>
      </c>
      <c r="E99" s="13">
        <f t="shared" si="14"/>
        <v>3.6249999999999929</v>
      </c>
      <c r="F99">
        <v>0.72</v>
      </c>
      <c r="G99" s="21">
        <f t="shared" si="15"/>
        <v>8.1047146099706008E-2</v>
      </c>
      <c r="H99" s="3">
        <f t="shared" si="8"/>
        <v>8.6121901096420893E-3</v>
      </c>
      <c r="I99" s="3">
        <f t="shared" si="9"/>
        <v>-8.9659336209348101E-2</v>
      </c>
    </row>
    <row r="100" spans="1:10">
      <c r="A100">
        <f t="shared" si="10"/>
        <v>69</v>
      </c>
      <c r="B100" s="13">
        <f t="shared" si="11"/>
        <v>18.082680108634531</v>
      </c>
      <c r="C100" s="12">
        <f t="shared" si="12"/>
        <v>3084.3528028224318</v>
      </c>
      <c r="D100">
        <f t="shared" si="13"/>
        <v>3.0449999999999999</v>
      </c>
      <c r="E100" s="13">
        <f t="shared" si="14"/>
        <v>3.6166666666666596</v>
      </c>
      <c r="F100">
        <v>0.72</v>
      </c>
      <c r="G100" s="21">
        <f t="shared" si="15"/>
        <v>8.0702428159283954E-2</v>
      </c>
      <c r="H100" s="3">
        <f t="shared" si="8"/>
        <v>8.6121901096420893E-3</v>
      </c>
      <c r="I100" s="3">
        <f t="shared" si="9"/>
        <v>-8.9314618268926046E-2</v>
      </c>
    </row>
    <row r="101" spans="1:10">
      <c r="A101">
        <f t="shared" si="10"/>
        <v>70</v>
      </c>
      <c r="B101" s="13">
        <f t="shared" si="11"/>
        <v>17.993365490365605</v>
      </c>
      <c r="C101" s="12">
        <f t="shared" si="12"/>
        <v>3084.3726969815852</v>
      </c>
      <c r="D101">
        <f t="shared" si="13"/>
        <v>3.0449999999999999</v>
      </c>
      <c r="E101" s="13">
        <f t="shared" si="14"/>
        <v>3.6083333333333263</v>
      </c>
      <c r="F101">
        <v>0.72</v>
      </c>
      <c r="G101" s="21">
        <f t="shared" si="15"/>
        <v>8.0358386282771643E-2</v>
      </c>
      <c r="H101" s="3">
        <f t="shared" si="8"/>
        <v>8.6121901096420893E-3</v>
      </c>
      <c r="I101" s="3">
        <f t="shared" si="9"/>
        <v>-8.8970576392413736E-2</v>
      </c>
    </row>
    <row r="102" spans="1:10">
      <c r="A102">
        <f t="shared" si="10"/>
        <v>71</v>
      </c>
      <c r="B102" s="13">
        <f t="shared" si="11"/>
        <v>17.904394913973192</v>
      </c>
      <c r="C102" s="12">
        <f t="shared" si="12"/>
        <v>3084.3925911407387</v>
      </c>
      <c r="D102">
        <f t="shared" si="13"/>
        <v>3.0449999999999999</v>
      </c>
      <c r="E102" s="13">
        <f t="shared" si="14"/>
        <v>3.599999999999993</v>
      </c>
      <c r="F102">
        <v>0.72</v>
      </c>
      <c r="G102" s="21">
        <f t="shared" si="15"/>
        <v>8.0015020701021858E-2</v>
      </c>
      <c r="H102" s="3">
        <f t="shared" si="8"/>
        <v>8.6121901096420893E-3</v>
      </c>
      <c r="I102" s="3">
        <f t="shared" si="9"/>
        <v>-8.8627210810663951E-2</v>
      </c>
    </row>
    <row r="103" spans="1:10">
      <c r="A103">
        <f t="shared" si="10"/>
        <v>72</v>
      </c>
      <c r="B103" s="13">
        <f t="shared" si="11"/>
        <v>17.815767703162528</v>
      </c>
      <c r="C103" s="12">
        <f t="shared" si="12"/>
        <v>3084.4124852998921</v>
      </c>
      <c r="D103">
        <f t="shared" si="13"/>
        <v>3.0449999999999999</v>
      </c>
      <c r="E103" s="13">
        <f t="shared" si="14"/>
        <v>3.5916666666666597</v>
      </c>
      <c r="F103">
        <v>0.72</v>
      </c>
      <c r="G103" s="21">
        <f t="shared" si="15"/>
        <v>7.9672331645500236E-2</v>
      </c>
      <c r="H103" s="3">
        <f t="shared" si="8"/>
        <v>8.6121901096420893E-3</v>
      </c>
      <c r="I103" s="3">
        <f t="shared" si="9"/>
        <v>-8.8284521755142328E-2</v>
      </c>
    </row>
    <row r="104" spans="1:10">
      <c r="A104">
        <f t="shared" si="10"/>
        <v>73</v>
      </c>
      <c r="B104" s="13">
        <f t="shared" si="11"/>
        <v>17.727483181407386</v>
      </c>
      <c r="C104" s="12">
        <f t="shared" si="12"/>
        <v>3084.4323794590455</v>
      </c>
      <c r="D104">
        <f t="shared" si="13"/>
        <v>3.0449999999999999</v>
      </c>
      <c r="E104" s="13">
        <f t="shared" si="14"/>
        <v>3.5833333333333264</v>
      </c>
      <c r="F104">
        <v>0.72</v>
      </c>
      <c r="G104" s="21">
        <f t="shared" si="15"/>
        <v>7.9330319348288297E-2</v>
      </c>
      <c r="H104" s="3">
        <f t="shared" si="8"/>
        <v>8.6121901096420893E-3</v>
      </c>
      <c r="I104" s="3">
        <f t="shared" si="9"/>
        <v>-8.794250945793039E-2</v>
      </c>
    </row>
    <row r="105" spans="1:10">
      <c r="A105">
        <f t="shared" si="10"/>
        <v>74</v>
      </c>
      <c r="B105" s="13">
        <f t="shared" si="11"/>
        <v>17.639540671949455</v>
      </c>
      <c r="C105" s="12">
        <f t="shared" si="12"/>
        <v>3084.4522736181989</v>
      </c>
      <c r="D105">
        <f t="shared" si="13"/>
        <v>3.0449999999999999</v>
      </c>
      <c r="E105" s="13">
        <f t="shared" si="14"/>
        <v>3.5749999999999931</v>
      </c>
      <c r="F105">
        <v>0.72</v>
      </c>
      <c r="G105" s="21">
        <f t="shared" si="15"/>
        <v>7.8988984042086735E-2</v>
      </c>
      <c r="H105" s="3">
        <f t="shared" si="8"/>
        <v>8.6121901096420893E-3</v>
      </c>
      <c r="I105" s="3">
        <f t="shared" si="9"/>
        <v>-8.7601174151728828E-2</v>
      </c>
    </row>
    <row r="106" spans="1:10">
      <c r="A106">
        <f t="shared" si="10"/>
        <v>75</v>
      </c>
      <c r="B106" s="13">
        <f t="shared" si="11"/>
        <v>17.551939497797726</v>
      </c>
      <c r="C106" s="12">
        <f t="shared" si="12"/>
        <v>3084.4721677773523</v>
      </c>
      <c r="D106">
        <f t="shared" si="13"/>
        <v>3.0449999999999999</v>
      </c>
      <c r="E106" s="13">
        <f t="shared" si="14"/>
        <v>3.5666666666666598</v>
      </c>
      <c r="F106">
        <v>0.72</v>
      </c>
      <c r="G106" s="21">
        <f t="shared" si="15"/>
        <v>7.8648325960218091E-2</v>
      </c>
      <c r="H106" s="3">
        <f t="shared" si="8"/>
        <v>8.6121901096420893E-3</v>
      </c>
      <c r="I106" s="3">
        <f t="shared" si="9"/>
        <v>-8.7260516069860183E-2</v>
      </c>
    </row>
    <row r="107" spans="1:10">
      <c r="A107">
        <f t="shared" si="10"/>
        <v>76</v>
      </c>
      <c r="B107" s="13">
        <f t="shared" si="11"/>
        <v>17.464678981727864</v>
      </c>
      <c r="C107" s="12">
        <f t="shared" si="12"/>
        <v>3084.4920619365057</v>
      </c>
      <c r="D107">
        <f t="shared" si="13"/>
        <v>3.0449999999999999</v>
      </c>
      <c r="E107" s="13">
        <f t="shared" si="14"/>
        <v>3.5583333333333265</v>
      </c>
      <c r="F107">
        <v>0.72</v>
      </c>
      <c r="G107" s="21">
        <f t="shared" si="15"/>
        <v>7.8308345336630253E-2</v>
      </c>
      <c r="H107" s="3">
        <f t="shared" si="8"/>
        <v>8.6121901096420893E-3</v>
      </c>
      <c r="I107" s="3">
        <f t="shared" si="9"/>
        <v>-8.6920535446272346E-2</v>
      </c>
    </row>
    <row r="108" spans="1:10">
      <c r="A108">
        <f t="shared" si="10"/>
        <v>77</v>
      </c>
      <c r="B108" s="13">
        <f t="shared" si="11"/>
        <v>17.377758446281593</v>
      </c>
      <c r="C108" s="12">
        <f t="shared" si="12"/>
        <v>3084.5119560956591</v>
      </c>
      <c r="D108">
        <f t="shared" si="13"/>
        <v>3.0449999999999999</v>
      </c>
      <c r="E108" s="13">
        <f t="shared" si="14"/>
        <v>3.5499999999999932</v>
      </c>
      <c r="F108">
        <v>0.72</v>
      </c>
      <c r="G108" s="21">
        <f t="shared" si="15"/>
        <v>7.7969042405899552E-2</v>
      </c>
      <c r="H108" s="3">
        <f t="shared" si="8"/>
        <v>8.6121901096420893E-3</v>
      </c>
      <c r="I108" s="3">
        <f t="shared" si="9"/>
        <v>-8.6581232515541645E-2</v>
      </c>
    </row>
    <row r="109" spans="1:10">
      <c r="A109">
        <f t="shared" si="10"/>
        <v>78</v>
      </c>
      <c r="B109" s="13">
        <f t="shared" si="11"/>
        <v>17.291177213766051</v>
      </c>
      <c r="C109" s="12">
        <f t="shared" si="12"/>
        <v>3084.5318502548125</v>
      </c>
      <c r="D109">
        <f t="shared" si="13"/>
        <v>3.0449999999999999</v>
      </c>
      <c r="E109" s="13">
        <f t="shared" si="14"/>
        <v>3.5416666666666599</v>
      </c>
      <c r="F109">
        <v>0.72</v>
      </c>
      <c r="G109" s="21">
        <f t="shared" si="15"/>
        <v>7.7630417403233634E-2</v>
      </c>
      <c r="H109" s="3">
        <f t="shared" si="8"/>
        <v>8.6121901096420893E-3</v>
      </c>
      <c r="I109" s="3">
        <f t="shared" si="9"/>
        <v>-8.6242607512875727E-2</v>
      </c>
    </row>
    <row r="110" spans="1:10">
      <c r="A110">
        <f t="shared" si="10"/>
        <v>79</v>
      </c>
      <c r="B110" s="13">
        <f t="shared" si="11"/>
        <v>17.204934606253175</v>
      </c>
      <c r="C110" s="12">
        <f t="shared" si="12"/>
        <v>3084.5517444139659</v>
      </c>
      <c r="D110">
        <f t="shared" si="13"/>
        <v>3.0449999999999999</v>
      </c>
      <c r="E110" s="13">
        <f t="shared" si="14"/>
        <v>3.5333333333333266</v>
      </c>
      <c r="F110">
        <v>0.72</v>
      </c>
      <c r="G110" s="21">
        <f t="shared" si="15"/>
        <v>7.7292470564474913E-2</v>
      </c>
      <c r="H110" s="3">
        <f t="shared" si="8"/>
        <v>8.6121901096420893E-3</v>
      </c>
      <c r="I110" s="3">
        <f t="shared" si="9"/>
        <v>-8.5904660674117006E-2</v>
      </c>
    </row>
    <row r="111" spans="1:10">
      <c r="A111">
        <f t="shared" si="10"/>
        <v>80</v>
      </c>
      <c r="B111" s="13">
        <f t="shared" si="11"/>
        <v>17.119029945579058</v>
      </c>
      <c r="C111" s="12">
        <f t="shared" si="12"/>
        <v>3084.5716385731193</v>
      </c>
      <c r="D111">
        <f t="shared" si="13"/>
        <v>3.0449999999999999</v>
      </c>
      <c r="E111" s="13">
        <f t="shared" si="14"/>
        <v>3.5249999999999932</v>
      </c>
      <c r="F111">
        <v>0.72</v>
      </c>
      <c r="G111" s="21">
        <f t="shared" si="15"/>
        <v>7.6955202126103794E-2</v>
      </c>
      <c r="H111" s="3">
        <f t="shared" si="8"/>
        <v>8.6121901096420893E-3</v>
      </c>
      <c r="I111" s="3">
        <f t="shared" si="9"/>
        <v>-8.5567392235745887E-2</v>
      </c>
      <c r="J111" s="29"/>
    </row>
    <row r="112" spans="1:10">
      <c r="A112">
        <f t="shared" si="10"/>
        <v>81</v>
      </c>
      <c r="B112" s="13">
        <f t="shared" si="11"/>
        <v>17.033462553343313</v>
      </c>
      <c r="C112" s="12">
        <f t="shared" si="12"/>
        <v>3084.5915327322728</v>
      </c>
      <c r="D112">
        <f t="shared" si="13"/>
        <v>3.0449999999999999</v>
      </c>
      <c r="E112" s="13">
        <f t="shared" si="14"/>
        <v>3.5166666666666599</v>
      </c>
      <c r="F112">
        <v>0.72</v>
      </c>
      <c r="G112" s="21">
        <f t="shared" si="15"/>
        <v>7.6618612325241808E-2</v>
      </c>
      <c r="H112" s="3">
        <f t="shared" si="8"/>
        <v>8.6121901096420893E-3</v>
      </c>
      <c r="I112" s="3">
        <f t="shared" si="9"/>
        <v>-8.5230802434883901E-2</v>
      </c>
    </row>
    <row r="113" spans="1:9">
      <c r="A113">
        <f t="shared" si="10"/>
        <v>82</v>
      </c>
      <c r="B113" s="13">
        <f t="shared" si="11"/>
        <v>16.94823175090843</v>
      </c>
      <c r="C113" s="12">
        <f t="shared" si="12"/>
        <v>3084.6114268914262</v>
      </c>
      <c r="D113">
        <f t="shared" si="13"/>
        <v>3.0449999999999999</v>
      </c>
      <c r="E113" s="13">
        <f t="shared" si="14"/>
        <v>3.5083333333333266</v>
      </c>
      <c r="F113">
        <v>0.72</v>
      </c>
      <c r="G113" s="21">
        <f t="shared" si="15"/>
        <v>7.6282701399654734E-2</v>
      </c>
      <c r="H113" s="3">
        <f t="shared" si="8"/>
        <v>8.6121901096420893E-3</v>
      </c>
      <c r="I113" s="3">
        <f t="shared" si="9"/>
        <v>-8.4894891509296827E-2</v>
      </c>
    </row>
    <row r="114" spans="1:9">
      <c r="A114">
        <f t="shared" si="10"/>
        <v>83</v>
      </c>
      <c r="B114" s="13">
        <f t="shared" si="11"/>
        <v>16.863336859399134</v>
      </c>
      <c r="C114" s="12">
        <f t="shared" si="12"/>
        <v>3084.6313210505796</v>
      </c>
      <c r="D114">
        <f t="shared" si="13"/>
        <v>3.0449999999999999</v>
      </c>
      <c r="E114" s="13">
        <f t="shared" si="14"/>
        <v>3.4999999999999933</v>
      </c>
      <c r="F114">
        <v>0.72</v>
      </c>
      <c r="G114" s="21">
        <f t="shared" si="15"/>
        <v>7.5947469587756389E-2</v>
      </c>
      <c r="H114" s="3">
        <f t="shared" si="8"/>
        <v>8.6121901096420893E-3</v>
      </c>
      <c r="I114" s="3">
        <f t="shared" si="9"/>
        <v>-8.4559659697398482E-2</v>
      </c>
    </row>
    <row r="115" spans="1:9">
      <c r="A115">
        <f t="shared" si="10"/>
        <v>84</v>
      </c>
      <c r="B115" s="13">
        <f t="shared" si="11"/>
        <v>16.778777199701736</v>
      </c>
      <c r="C115" s="12">
        <f t="shared" si="12"/>
        <v>3084.651215209733</v>
      </c>
      <c r="D115">
        <f t="shared" si="13"/>
        <v>3.0449999999999999</v>
      </c>
      <c r="E115" s="13">
        <f t="shared" si="14"/>
        <v>3.49166666666666</v>
      </c>
      <c r="F115">
        <v>0.72</v>
      </c>
      <c r="G115" s="21">
        <f t="shared" si="15"/>
        <v>7.5612917128611221E-2</v>
      </c>
      <c r="H115" s="3">
        <f t="shared" si="8"/>
        <v>8.6121901096420893E-3</v>
      </c>
      <c r="I115" s="3">
        <f t="shared" si="9"/>
        <v>-8.4225107238253313E-2</v>
      </c>
    </row>
    <row r="116" spans="1:9">
      <c r="A116" s="29">
        <f t="shared" si="10"/>
        <v>85</v>
      </c>
      <c r="B116" s="30">
        <f t="shared" si="11"/>
        <v>16.694552092463482</v>
      </c>
      <c r="C116" s="12">
        <f t="shared" si="12"/>
        <v>3084.6711093688864</v>
      </c>
      <c r="D116" s="29">
        <f t="shared" si="13"/>
        <v>3.0449999999999999</v>
      </c>
      <c r="E116" s="30">
        <f t="shared" si="14"/>
        <v>3.4833333333333267</v>
      </c>
      <c r="F116">
        <v>0.72</v>
      </c>
      <c r="G116" s="32">
        <f t="shared" si="15"/>
        <v>7.5279044261938266E-2</v>
      </c>
      <c r="H116" s="33">
        <f t="shared" si="8"/>
        <v>8.6121901096420893E-3</v>
      </c>
      <c r="I116" s="3">
        <f t="shared" si="9"/>
        <v>-8.3891234371580359E-2</v>
      </c>
    </row>
    <row r="117" spans="1:9">
      <c r="A117">
        <f t="shared" si="10"/>
        <v>86</v>
      </c>
      <c r="B117" s="13">
        <f t="shared" si="11"/>
        <v>16.610660858091901</v>
      </c>
      <c r="C117" s="12">
        <f t="shared" si="12"/>
        <v>3084.6910035280398</v>
      </c>
      <c r="D117">
        <f t="shared" si="13"/>
        <v>3.0449999999999999</v>
      </c>
      <c r="E117" s="13">
        <f t="shared" si="14"/>
        <v>3.4749999999999934</v>
      </c>
      <c r="F117">
        <v>0.72</v>
      </c>
      <c r="G117" s="21">
        <f t="shared" si="15"/>
        <v>7.4945851228114105E-2</v>
      </c>
      <c r="H117" s="3">
        <f t="shared" si="8"/>
        <v>8.6121901096420893E-3</v>
      </c>
      <c r="I117" s="3">
        <f t="shared" si="9"/>
        <v>-8.3558041337756198E-2</v>
      </c>
    </row>
    <row r="118" spans="1:9">
      <c r="A118">
        <f t="shared" si="10"/>
        <v>87</v>
      </c>
      <c r="B118" s="13">
        <f t="shared" si="11"/>
        <v>16.527102816754144</v>
      </c>
      <c r="C118" s="12">
        <f t="shared" si="12"/>
        <v>3084.7108976871932</v>
      </c>
      <c r="D118">
        <f t="shared" si="13"/>
        <v>3.0449999999999999</v>
      </c>
      <c r="E118" s="13">
        <f t="shared" si="14"/>
        <v>3.4666666666666601</v>
      </c>
      <c r="F118">
        <v>0.72</v>
      </c>
      <c r="G118" s="21">
        <f t="shared" si="15"/>
        <v>7.4613338268176621E-2</v>
      </c>
      <c r="H118" s="3">
        <f t="shared" si="8"/>
        <v>8.6121901096420893E-3</v>
      </c>
      <c r="I118" s="3">
        <f t="shared" si="9"/>
        <v>-8.3225528377818714E-2</v>
      </c>
    </row>
    <row r="119" spans="1:9">
      <c r="A119">
        <f t="shared" si="10"/>
        <v>88</v>
      </c>
      <c r="B119" s="13">
        <f t="shared" si="11"/>
        <v>16.443877288376324</v>
      </c>
      <c r="C119" s="12">
        <f t="shared" si="12"/>
        <v>3084.7307918463466</v>
      </c>
      <c r="D119">
        <f t="shared" si="13"/>
        <v>3.0449999999999999</v>
      </c>
      <c r="E119" s="13">
        <f t="shared" si="14"/>
        <v>3.4583333333333268</v>
      </c>
      <c r="F119">
        <v>0.72</v>
      </c>
      <c r="G119" s="21">
        <f t="shared" si="15"/>
        <v>7.4281505623827862E-2</v>
      </c>
      <c r="H119" s="3">
        <f t="shared" si="8"/>
        <v>8.6121901096420893E-3</v>
      </c>
      <c r="I119" s="3">
        <f t="shared" si="9"/>
        <v>-8.2893695733469955E-2</v>
      </c>
    </row>
    <row r="120" spans="1:9">
      <c r="A120" s="29">
        <f t="shared" si="10"/>
        <v>89</v>
      </c>
      <c r="B120" s="30">
        <f t="shared" si="11"/>
        <v>16.360983592642853</v>
      </c>
      <c r="C120" s="12">
        <f t="shared" si="12"/>
        <v>3084.7506860055</v>
      </c>
      <c r="D120" s="29">
        <f t="shared" si="13"/>
        <v>3.0449999999999999</v>
      </c>
      <c r="E120" s="30">
        <f t="shared" si="14"/>
        <v>3.4499999999999935</v>
      </c>
      <c r="F120">
        <v>0.72</v>
      </c>
      <c r="G120" s="32">
        <f t="shared" si="15"/>
        <v>7.3950353537438188E-2</v>
      </c>
      <c r="H120" s="3">
        <f t="shared" si="8"/>
        <v>8.6121901096420893E-3</v>
      </c>
      <c r="I120" s="3">
        <f t="shared" si="9"/>
        <v>-8.256254364708028E-2</v>
      </c>
    </row>
    <row r="121" spans="1:9">
      <c r="A121" s="29">
        <f t="shared" si="10"/>
        <v>90</v>
      </c>
      <c r="B121" s="30">
        <f t="shared" si="11"/>
        <v>16.278421048995774</v>
      </c>
      <c r="C121" s="12">
        <f t="shared" si="12"/>
        <v>3084.7705801646534</v>
      </c>
      <c r="D121" s="29">
        <f t="shared" si="13"/>
        <v>3.0449999999999999</v>
      </c>
      <c r="E121" s="30">
        <f t="shared" si="14"/>
        <v>3.4416666666666602</v>
      </c>
      <c r="F121">
        <v>0.72</v>
      </c>
      <c r="G121" s="32">
        <f t="shared" si="15"/>
        <v>7.3619882252049004E-2</v>
      </c>
      <c r="H121" s="3">
        <f t="shared" si="8"/>
        <v>8.6121901096420893E-3</v>
      </c>
      <c r="I121" s="3">
        <f t="shared" si="9"/>
        <v>-8.2232072361691097E-2</v>
      </c>
    </row>
    <row r="122" spans="1:9">
      <c r="A122">
        <f t="shared" si="10"/>
        <v>91</v>
      </c>
      <c r="B122" s="13">
        <f t="shared" si="11"/>
        <v>16.196188976634083</v>
      </c>
      <c r="C122" s="12">
        <f t="shared" si="12"/>
        <v>3084.7904743238068</v>
      </c>
      <c r="D122">
        <f t="shared" si="13"/>
        <v>3.0449999999999999</v>
      </c>
      <c r="E122" s="13">
        <f t="shared" si="14"/>
        <v>3.4333333333333269</v>
      </c>
      <c r="F122">
        <v>0.72</v>
      </c>
      <c r="G122" s="21">
        <f t="shared" si="15"/>
        <v>7.3290092011376831E-2</v>
      </c>
      <c r="H122" s="3">
        <f t="shared" si="8"/>
        <v>8.6121901096420893E-3</v>
      </c>
      <c r="I122" s="3">
        <f t="shared" si="9"/>
        <v>-8.1902282121018924E-2</v>
      </c>
    </row>
    <row r="123" spans="1:9">
      <c r="A123">
        <f t="shared" si="10"/>
        <v>92</v>
      </c>
      <c r="B123" s="13">
        <f t="shared" si="11"/>
        <v>16.114286694513066</v>
      </c>
      <c r="C123" s="12">
        <f t="shared" si="12"/>
        <v>3084.8103684829603</v>
      </c>
      <c r="D123">
        <f t="shared" si="13"/>
        <v>3.0449999999999999</v>
      </c>
      <c r="E123" s="13">
        <f t="shared" si="14"/>
        <v>3.4249999999999936</v>
      </c>
      <c r="F123">
        <v>0.72</v>
      </c>
      <c r="G123" s="21">
        <f t="shared" si="15"/>
        <v>7.2960983059816326E-2</v>
      </c>
      <c r="H123" s="3">
        <f t="shared" si="8"/>
        <v>8.6121901096420893E-3</v>
      </c>
      <c r="I123" s="3">
        <f t="shared" si="9"/>
        <v>-8.1573173169458418E-2</v>
      </c>
    </row>
    <row r="124" spans="1:9">
      <c r="A124" s="29">
        <f t="shared" si="10"/>
        <v>93</v>
      </c>
      <c r="B124" s="30">
        <f t="shared" si="11"/>
        <v>16.032713521343606</v>
      </c>
      <c r="C124" s="12">
        <f t="shared" si="12"/>
        <v>3084.8302626421137</v>
      </c>
      <c r="D124" s="29">
        <f t="shared" si="13"/>
        <v>3.0449999999999999</v>
      </c>
      <c r="E124" s="30">
        <f t="shared" si="14"/>
        <v>3.4166666666666603</v>
      </c>
      <c r="F124">
        <v>0.72</v>
      </c>
      <c r="G124" s="32">
        <f t="shared" si="15"/>
        <v>7.2632555642444446E-2</v>
      </c>
      <c r="H124" s="3">
        <f t="shared" si="8"/>
        <v>8.6121901096420893E-3</v>
      </c>
      <c r="I124" s="3">
        <f t="shared" si="9"/>
        <v>-8.1244745752086539E-2</v>
      </c>
    </row>
    <row r="125" spans="1:9">
      <c r="A125">
        <f t="shared" si="10"/>
        <v>94</v>
      </c>
      <c r="B125" s="13">
        <f t="shared" si="11"/>
        <v>15.95146877559152</v>
      </c>
      <c r="C125" s="12">
        <f t="shared" si="12"/>
        <v>3084.8501568012671</v>
      </c>
      <c r="D125">
        <f t="shared" si="13"/>
        <v>3.0449999999999999</v>
      </c>
      <c r="E125" s="13">
        <f t="shared" si="14"/>
        <v>3.408333333333327</v>
      </c>
      <c r="F125">
        <v>0.72</v>
      </c>
      <c r="G125" s="21">
        <f t="shared" si="15"/>
        <v>7.2304810005023396E-2</v>
      </c>
      <c r="H125" s="3">
        <f t="shared" si="8"/>
        <v>8.6121901096420893E-3</v>
      </c>
      <c r="I125" s="3">
        <f t="shared" si="9"/>
        <v>-8.0917000114665488E-2</v>
      </c>
    </row>
    <row r="126" spans="1:9">
      <c r="A126">
        <f t="shared" si="10"/>
        <v>95</v>
      </c>
      <c r="B126" s="13">
        <f t="shared" si="11"/>
        <v>15.870551775476855</v>
      </c>
      <c r="C126" s="12">
        <f t="shared" si="12"/>
        <v>3084.8700509604205</v>
      </c>
      <c r="D126">
        <f t="shared" si="13"/>
        <v>3.0449999999999999</v>
      </c>
      <c r="E126" s="13">
        <f t="shared" si="14"/>
        <v>3.3999999999999937</v>
      </c>
      <c r="F126">
        <v>0.72</v>
      </c>
      <c r="G126" s="21">
        <f t="shared" si="15"/>
        <v>7.1977746394004463E-2</v>
      </c>
      <c r="H126" s="3">
        <f t="shared" si="8"/>
        <v>8.6121901096420893E-3</v>
      </c>
      <c r="I126" s="3">
        <f t="shared" si="9"/>
        <v>-8.0589936503646556E-2</v>
      </c>
    </row>
    <row r="127" spans="1:9">
      <c r="A127">
        <f t="shared" si="10"/>
        <v>96</v>
      </c>
      <c r="B127" s="13">
        <f t="shared" si="11"/>
        <v>15.789961838973209</v>
      </c>
      <c r="C127" s="12">
        <f t="shared" si="12"/>
        <v>3084.8899451195739</v>
      </c>
      <c r="D127">
        <f t="shared" si="13"/>
        <v>3.0449999999999999</v>
      </c>
      <c r="E127" s="13">
        <f t="shared" si="14"/>
        <v>3.3916666666666604</v>
      </c>
      <c r="F127">
        <v>0.72</v>
      </c>
      <c r="G127" s="21">
        <f t="shared" si="15"/>
        <v>7.1651365056531829E-2</v>
      </c>
      <c r="H127" s="3">
        <f t="shared" si="8"/>
        <v>8.6121901096420893E-3</v>
      </c>
      <c r="I127" s="3">
        <f t="shared" si="9"/>
        <v>-8.0263555166173922E-2</v>
      </c>
    </row>
    <row r="128" spans="1:9">
      <c r="A128">
        <f t="shared" si="10"/>
        <v>97</v>
      </c>
      <c r="B128" s="13">
        <f t="shared" si="11"/>
        <v>15.709698283807034</v>
      </c>
      <c r="C128" s="12">
        <f t="shared" si="12"/>
        <v>3084.9098392787273</v>
      </c>
      <c r="D128">
        <f t="shared" si="13"/>
        <v>3.0449999999999999</v>
      </c>
      <c r="E128" s="13">
        <f t="shared" si="14"/>
        <v>3.3833333333333271</v>
      </c>
      <c r="F128">
        <v>0.72</v>
      </c>
      <c r="G128" s="21">
        <f t="shared" si="15"/>
        <v>7.1325666240445978E-2</v>
      </c>
      <c r="H128" s="3">
        <f t="shared" si="8"/>
        <v>8.6121901096420893E-3</v>
      </c>
      <c r="I128" s="3">
        <f t="shared" si="9"/>
        <v>-7.9937856350088071E-2</v>
      </c>
    </row>
    <row r="129" spans="1:9">
      <c r="A129">
        <f t="shared" si="10"/>
        <v>98</v>
      </c>
      <c r="B129" s="13">
        <f t="shared" si="11"/>
        <v>15.629760427456945</v>
      </c>
      <c r="C129" s="12">
        <f t="shared" si="12"/>
        <v>3084.9297334378807</v>
      </c>
      <c r="D129">
        <f t="shared" si="13"/>
        <v>3.0449999999999999</v>
      </c>
      <c r="E129" s="13">
        <f t="shared" si="14"/>
        <v>3.3749999999999938</v>
      </c>
      <c r="F129">
        <v>0.72</v>
      </c>
      <c r="G129" s="21">
        <f t="shared" si="15"/>
        <v>7.1000650194287335E-2</v>
      </c>
      <c r="H129" s="3">
        <f t="shared" si="8"/>
        <v>8.6121901096420893E-3</v>
      </c>
      <c r="I129" s="3">
        <f t="shared" si="9"/>
        <v>-7.9612840303929427E-2</v>
      </c>
    </row>
    <row r="130" spans="1:9">
      <c r="A130">
        <f t="shared" si="10"/>
        <v>99</v>
      </c>
      <c r="B130" s="13">
        <f t="shared" si="11"/>
        <v>15.550147587153017</v>
      </c>
      <c r="C130" s="12">
        <f t="shared" si="12"/>
        <v>3084.9496275970341</v>
      </c>
      <c r="D130">
        <f t="shared" si="13"/>
        <v>3.0449999999999999</v>
      </c>
      <c r="E130" s="13">
        <f t="shared" si="14"/>
        <v>3.3666666666666605</v>
      </c>
      <c r="F130">
        <v>0.72</v>
      </c>
      <c r="G130" s="21">
        <f t="shared" si="15"/>
        <v>7.0676317167300287E-2</v>
      </c>
      <c r="H130" s="3">
        <f t="shared" si="8"/>
        <v>8.6121901096420893E-3</v>
      </c>
      <c r="I130" s="3">
        <f t="shared" si="9"/>
        <v>-7.928850727694238E-2</v>
      </c>
    </row>
    <row r="131" spans="1:9">
      <c r="A131">
        <f t="shared" si="10"/>
        <v>100</v>
      </c>
      <c r="B131" s="13">
        <f t="shared" si="11"/>
        <v>15.470859079876075</v>
      </c>
      <c r="C131" s="12">
        <f t="shared" si="12"/>
        <v>3084.9695217561875</v>
      </c>
      <c r="D131">
        <f t="shared" si="13"/>
        <v>3.0449999999999999</v>
      </c>
      <c r="E131" s="13">
        <f t="shared" si="14"/>
        <v>3.3583333333333272</v>
      </c>
      <c r="F131">
        <v>0.72</v>
      </c>
      <c r="G131" s="21">
        <f t="shared" si="15"/>
        <v>7.0352667409436534E-2</v>
      </c>
      <c r="H131" s="3">
        <f t="shared" si="8"/>
        <v>8.6121901096420893E-3</v>
      </c>
      <c r="I131" s="3">
        <f t="shared" si="9"/>
        <v>-7.8964857519078627E-2</v>
      </c>
    </row>
    <row r="132" spans="1:9">
      <c r="A132">
        <f t="shared" si="10"/>
        <v>101</v>
      </c>
      <c r="B132" s="13">
        <f t="shared" si="11"/>
        <v>15.391894222356996</v>
      </c>
      <c r="C132" s="12">
        <f t="shared" si="12"/>
        <v>3084.9894159153409</v>
      </c>
      <c r="D132">
        <f t="shared" si="13"/>
        <v>3.0449999999999999</v>
      </c>
      <c r="E132" s="13">
        <f t="shared" si="14"/>
        <v>3.3499999999999939</v>
      </c>
      <c r="F132">
        <v>0.72</v>
      </c>
      <c r="G132" s="21">
        <f t="shared" si="15"/>
        <v>7.0029701171359274E-2</v>
      </c>
      <c r="H132" s="3">
        <f t="shared" si="8"/>
        <v>8.6121901096420893E-3</v>
      </c>
      <c r="I132" s="3">
        <f t="shared" si="9"/>
        <v>-7.8641891281001366E-2</v>
      </c>
    </row>
    <row r="133" spans="1:9">
      <c r="A133" s="29">
        <f t="shared" si="10"/>
        <v>102</v>
      </c>
      <c r="B133" s="30">
        <f t="shared" si="11"/>
        <v>15.313252331075994</v>
      </c>
      <c r="C133" s="12">
        <f t="shared" si="12"/>
        <v>3085.0093100744944</v>
      </c>
      <c r="D133" s="29">
        <f t="shared" si="13"/>
        <v>3.0449999999999999</v>
      </c>
      <c r="E133" s="30">
        <f t="shared" si="14"/>
        <v>3.3416666666666606</v>
      </c>
      <c r="F133">
        <v>0.72</v>
      </c>
      <c r="G133" s="32">
        <f t="shared" si="15"/>
        <v>6.9707418704446536E-2</v>
      </c>
      <c r="H133" s="3">
        <f t="shared" si="8"/>
        <v>8.6121901096420893E-3</v>
      </c>
      <c r="I133" s="3">
        <f t="shared" si="9"/>
        <v>-7.8319608814088629E-2</v>
      </c>
    </row>
    <row r="134" spans="1:9">
      <c r="A134" s="29">
        <f t="shared" si="10"/>
        <v>103</v>
      </c>
      <c r="B134" s="30">
        <f t="shared" si="11"/>
        <v>15.234932722261904</v>
      </c>
      <c r="C134" s="12">
        <f t="shared" si="12"/>
        <v>3085.0292042336478</v>
      </c>
      <c r="D134" s="29">
        <f t="shared" si="13"/>
        <v>3.0449999999999999</v>
      </c>
      <c r="E134" s="30">
        <f t="shared" si="14"/>
        <v>3.3333333333333273</v>
      </c>
      <c r="F134">
        <v>0.72</v>
      </c>
      <c r="G134" s="32">
        <f t="shared" si="15"/>
        <v>6.9385820260795414E-2</v>
      </c>
      <c r="H134" s="3">
        <f t="shared" si="8"/>
        <v>8.6121901096420893E-3</v>
      </c>
      <c r="I134" s="3">
        <f t="shared" si="9"/>
        <v>-7.7998010370437507E-2</v>
      </c>
    </row>
    <row r="135" spans="1:9">
      <c r="A135">
        <f t="shared" si="10"/>
        <v>104</v>
      </c>
      <c r="B135" s="13">
        <f t="shared" si="11"/>
        <v>15.156934711891466</v>
      </c>
      <c r="C135" s="12">
        <f t="shared" si="12"/>
        <v>3085.0490983928012</v>
      </c>
      <c r="D135">
        <f t="shared" si="13"/>
        <v>3.0449999999999999</v>
      </c>
      <c r="E135" s="13">
        <f t="shared" si="14"/>
        <v>3.324999999999994</v>
      </c>
      <c r="F135">
        <v>0.72</v>
      </c>
      <c r="G135" s="21">
        <f t="shared" si="15"/>
        <v>6.9064906093225742E-2</v>
      </c>
      <c r="H135" s="3">
        <f t="shared" si="8"/>
        <v>8.6121901096420893E-3</v>
      </c>
      <c r="I135" s="3">
        <f t="shared" si="9"/>
        <v>-7.7677096202867835E-2</v>
      </c>
    </row>
    <row r="136" spans="1:9">
      <c r="A136">
        <f t="shared" si="10"/>
        <v>105</v>
      </c>
      <c r="B136" s="13">
        <f t="shared" si="11"/>
        <v>15.079257615688599</v>
      </c>
      <c r="C136" s="12">
        <f t="shared" si="12"/>
        <v>3085.0689925519546</v>
      </c>
      <c r="D136">
        <f t="shared" si="13"/>
        <v>3.0449999999999999</v>
      </c>
      <c r="E136" s="13">
        <f t="shared" si="14"/>
        <v>3.3166666666666607</v>
      </c>
      <c r="F136">
        <v>0.72</v>
      </c>
      <c r="G136" s="21">
        <f t="shared" si="15"/>
        <v>6.8744676455283787E-2</v>
      </c>
      <c r="H136" s="3">
        <f t="shared" si="8"/>
        <v>8.6121901096420893E-3</v>
      </c>
      <c r="I136" s="3">
        <f t="shared" si="9"/>
        <v>-7.735686656492588E-2</v>
      </c>
    </row>
    <row r="137" spans="1:9">
      <c r="A137">
        <f t="shared" si="10"/>
        <v>106</v>
      </c>
      <c r="B137" s="13">
        <f t="shared" si="11"/>
        <v>15.001900749123672</v>
      </c>
      <c r="C137" s="12">
        <f t="shared" si="12"/>
        <v>3085.088886711108</v>
      </c>
      <c r="D137">
        <f t="shared" si="13"/>
        <v>3.0449999999999999</v>
      </c>
      <c r="E137" s="13">
        <f t="shared" si="14"/>
        <v>3.3083333333333274</v>
      </c>
      <c r="F137">
        <v>0.72</v>
      </c>
      <c r="G137" s="21">
        <f t="shared" si="15"/>
        <v>6.8425131601246636E-2</v>
      </c>
      <c r="H137" s="3">
        <f t="shared" si="8"/>
        <v>8.6121901096420893E-3</v>
      </c>
      <c r="I137" s="3">
        <f t="shared" si="9"/>
        <v>-7.7037321710888729E-2</v>
      </c>
    </row>
    <row r="138" spans="1:9">
      <c r="A138">
        <f t="shared" si="10"/>
        <v>107</v>
      </c>
      <c r="B138" s="13">
        <f t="shared" si="11"/>
        <v>14.924863427412784</v>
      </c>
      <c r="C138" s="12">
        <f t="shared" si="12"/>
        <v>3085.1087808702614</v>
      </c>
      <c r="D138">
        <f t="shared" si="13"/>
        <v>3.0449999999999999</v>
      </c>
      <c r="E138" s="13">
        <f t="shared" si="14"/>
        <v>3.299999999999994</v>
      </c>
      <c r="F138">
        <v>0.72</v>
      </c>
      <c r="G138" s="21">
        <f t="shared" si="15"/>
        <v>6.8106271786125702E-2</v>
      </c>
      <c r="H138" s="3">
        <f t="shared" si="8"/>
        <v>8.6121901096420893E-3</v>
      </c>
      <c r="I138" s="3">
        <f t="shared" si="9"/>
        <v>-7.6718461895767795E-2</v>
      </c>
    </row>
    <row r="139" spans="1:9">
      <c r="A139">
        <f t="shared" si="10"/>
        <v>108</v>
      </c>
      <c r="B139" s="13">
        <f t="shared" si="11"/>
        <v>14.848144965517017</v>
      </c>
      <c r="C139" s="12">
        <f t="shared" si="12"/>
        <v>3085.1286750294148</v>
      </c>
      <c r="D139">
        <f t="shared" si="13"/>
        <v>3.0449999999999999</v>
      </c>
      <c r="E139" s="13">
        <f t="shared" si="14"/>
        <v>3.2916666666666607</v>
      </c>
      <c r="F139">
        <v>0.72</v>
      </c>
      <c r="G139" s="21">
        <f t="shared" si="15"/>
        <v>6.778809726567106E-2</v>
      </c>
      <c r="H139" s="3">
        <f t="shared" si="8"/>
        <v>8.6121901096420893E-3</v>
      </c>
      <c r="I139" s="3">
        <f t="shared" si="9"/>
        <v>-7.6400287375313153E-2</v>
      </c>
    </row>
    <row r="140" spans="1:9">
      <c r="A140" s="29">
        <f t="shared" si="10"/>
        <v>109</v>
      </c>
      <c r="B140" s="30">
        <f t="shared" si="11"/>
        <v>14.771744678141705</v>
      </c>
      <c r="C140" s="12">
        <f t="shared" si="12"/>
        <v>3085.1485691885682</v>
      </c>
      <c r="D140" s="29">
        <f t="shared" si="13"/>
        <v>3.0449999999999999</v>
      </c>
      <c r="E140" s="30">
        <f t="shared" si="14"/>
        <v>3.2833333333333274</v>
      </c>
      <c r="F140">
        <v>0.72</v>
      </c>
      <c r="G140" s="32">
        <f t="shared" si="15"/>
        <v>6.747060829637512E-2</v>
      </c>
      <c r="H140" s="3">
        <f t="shared" si="8"/>
        <v>8.6121901096420893E-3</v>
      </c>
      <c r="I140" s="3">
        <f t="shared" si="9"/>
        <v>-7.6082798406017213E-2</v>
      </c>
    </row>
    <row r="141" spans="1:9">
      <c r="A141">
        <f t="shared" si="10"/>
        <v>110</v>
      </c>
      <c r="B141" s="13">
        <f t="shared" si="11"/>
        <v>14.695661879735688</v>
      </c>
      <c r="C141" s="12">
        <f t="shared" si="12"/>
        <v>3085.1684633477216</v>
      </c>
      <c r="D141">
        <f t="shared" si="13"/>
        <v>3.0449999999999999</v>
      </c>
      <c r="E141" s="13">
        <f t="shared" si="14"/>
        <v>3.2749999999999941</v>
      </c>
      <c r="F141">
        <v>0.72</v>
      </c>
      <c r="G141" s="21">
        <f t="shared" si="15"/>
        <v>6.7153805135476877E-2</v>
      </c>
      <c r="H141" s="3">
        <f t="shared" si="8"/>
        <v>8.6121901096420893E-3</v>
      </c>
      <c r="I141" s="3">
        <f t="shared" si="9"/>
        <v>-7.5765995245118969E-2</v>
      </c>
    </row>
    <row r="142" spans="1:9">
      <c r="A142">
        <f t="shared" si="10"/>
        <v>111</v>
      </c>
      <c r="B142" s="13">
        <f t="shared" si="11"/>
        <v>14.619895884490569</v>
      </c>
      <c r="C142" s="12">
        <f t="shared" si="12"/>
        <v>3085.188357506875</v>
      </c>
      <c r="D142">
        <f t="shared" si="13"/>
        <v>3.0449999999999999</v>
      </c>
      <c r="E142" s="13">
        <f t="shared" si="14"/>
        <v>3.2666666666666608</v>
      </c>
      <c r="F142">
        <v>0.72</v>
      </c>
      <c r="G142" s="21">
        <f t="shared" si="15"/>
        <v>6.6837688040965862E-2</v>
      </c>
      <c r="H142" s="3">
        <f t="shared" si="8"/>
        <v>8.6121901096420893E-3</v>
      </c>
      <c r="I142" s="3">
        <f t="shared" si="9"/>
        <v>-7.5449878150607955E-2</v>
      </c>
    </row>
    <row r="143" spans="1:9">
      <c r="A143">
        <f t="shared" si="10"/>
        <v>112</v>
      </c>
      <c r="B143" s="13">
        <f t="shared" si="11"/>
        <v>14.544446006339962</v>
      </c>
      <c r="C143" s="12">
        <f t="shared" si="12"/>
        <v>3085.2082516660284</v>
      </c>
      <c r="D143">
        <f t="shared" si="13"/>
        <v>3.0449999999999999</v>
      </c>
      <c r="E143" s="13">
        <f t="shared" si="14"/>
        <v>3.2583333333333275</v>
      </c>
      <c r="F143">
        <v>0.72</v>
      </c>
      <c r="G143" s="21">
        <f t="shared" si="15"/>
        <v>6.6522257271586505E-2</v>
      </c>
      <c r="H143" s="3">
        <f t="shared" si="8"/>
        <v>8.6121901096420893E-3</v>
      </c>
      <c r="I143" s="3">
        <f t="shared" si="9"/>
        <v>-7.5134447381228597E-2</v>
      </c>
    </row>
    <row r="144" spans="1:9">
      <c r="A144">
        <f t="shared" si="10"/>
        <v>113</v>
      </c>
      <c r="B144" s="13">
        <f t="shared" si="11"/>
        <v>14.469311558958733</v>
      </c>
      <c r="C144" s="12">
        <f t="shared" si="12"/>
        <v>3085.2281458251819</v>
      </c>
      <c r="D144">
        <f t="shared" si="13"/>
        <v>3.0449999999999999</v>
      </c>
      <c r="E144" s="13">
        <f t="shared" si="14"/>
        <v>3.2499999999999942</v>
      </c>
      <c r="F144">
        <v>0.72</v>
      </c>
      <c r="G144" s="21">
        <f t="shared" si="15"/>
        <v>6.6207513086841974E-2</v>
      </c>
      <c r="H144" s="3">
        <f t="shared" si="8"/>
        <v>8.6121901096420893E-3</v>
      </c>
      <c r="I144" s="3">
        <f t="shared" si="9"/>
        <v>-7.4819703196484066E-2</v>
      </c>
    </row>
    <row r="145" spans="1:9">
      <c r="A145">
        <f t="shared" si="10"/>
        <v>114</v>
      </c>
      <c r="B145" s="13">
        <f t="shared" si="11"/>
        <v>14.394491855762249</v>
      </c>
      <c r="C145" s="12">
        <f t="shared" si="12"/>
        <v>3085.2480399843353</v>
      </c>
      <c r="D145">
        <f t="shared" si="13"/>
        <v>3.0449999999999999</v>
      </c>
      <c r="E145" s="13">
        <f t="shared" si="14"/>
        <v>3.2416666666666609</v>
      </c>
      <c r="F145">
        <v>0.72</v>
      </c>
      <c r="G145" s="21">
        <f t="shared" si="15"/>
        <v>6.5893455746998633E-2</v>
      </c>
      <c r="H145" s="3">
        <f t="shared" si="8"/>
        <v>8.6121901096420893E-3</v>
      </c>
      <c r="I145" s="3">
        <f t="shared" si="9"/>
        <v>-7.4505645856640726E-2</v>
      </c>
    </row>
    <row r="146" spans="1:9">
      <c r="A146">
        <f t="shared" si="10"/>
        <v>115</v>
      </c>
      <c r="B146" s="13">
        <f t="shared" si="11"/>
        <v>14.319986209905608</v>
      </c>
      <c r="C146" s="12">
        <f t="shared" si="12"/>
        <v>3085.2679341434887</v>
      </c>
      <c r="D146">
        <f t="shared" si="13"/>
        <v>3.0449999999999999</v>
      </c>
      <c r="E146" s="13">
        <f t="shared" si="14"/>
        <v>3.2333333333333276</v>
      </c>
      <c r="F146">
        <v>0.72</v>
      </c>
      <c r="G146" s="21">
        <f t="shared" si="15"/>
        <v>6.5580085513089706E-2</v>
      </c>
      <c r="H146" s="3">
        <f t="shared" si="8"/>
        <v>8.6121901096420893E-3</v>
      </c>
      <c r="I146" s="3">
        <f t="shared" si="9"/>
        <v>-7.4192275622731799E-2</v>
      </c>
    </row>
    <row r="147" spans="1:9">
      <c r="A147">
        <f t="shared" si="10"/>
        <v>116</v>
      </c>
      <c r="B147" s="13">
        <f t="shared" si="11"/>
        <v>14.245793934282876</v>
      </c>
      <c r="C147" s="12">
        <f t="shared" si="12"/>
        <v>3085.2878283026421</v>
      </c>
      <c r="D147">
        <f t="shared" si="13"/>
        <v>3.0449999999999999</v>
      </c>
      <c r="E147" s="13">
        <f t="shared" si="14"/>
        <v>3.2249999999999943</v>
      </c>
      <c r="F147">
        <v>0.72</v>
      </c>
      <c r="G147" s="21">
        <f t="shared" si="15"/>
        <v>6.5267402646920436E-2</v>
      </c>
      <c r="H147" s="3">
        <f t="shared" si="8"/>
        <v>8.6121901096420893E-3</v>
      </c>
      <c r="I147" s="3">
        <f t="shared" si="9"/>
        <v>-7.3879592756562529E-2</v>
      </c>
    </row>
    <row r="148" spans="1:9">
      <c r="A148">
        <f t="shared" si="10"/>
        <v>117</v>
      </c>
      <c r="B148" s="13">
        <f t="shared" si="11"/>
        <v>14.171914341526314</v>
      </c>
      <c r="C148" s="12">
        <f t="shared" si="12"/>
        <v>3085.3077224617955</v>
      </c>
      <c r="D148">
        <f t="shared" si="13"/>
        <v>3.0449999999999999</v>
      </c>
      <c r="E148" s="13">
        <f t="shared" si="14"/>
        <v>3.216666666666661</v>
      </c>
      <c r="F148">
        <v>0.72</v>
      </c>
      <c r="G148" s="21">
        <f t="shared" si="15"/>
        <v>6.4955407411071447E-2</v>
      </c>
      <c r="H148" s="3">
        <f t="shared" si="8"/>
        <v>8.6121901096420893E-3</v>
      </c>
      <c r="I148" s="3">
        <f t="shared" si="9"/>
        <v>-7.356759752071354E-2</v>
      </c>
    </row>
    <row r="149" spans="1:9">
      <c r="A149">
        <f t="shared" si="10"/>
        <v>118</v>
      </c>
      <c r="B149" s="13">
        <f t="shared" si="11"/>
        <v>14.0983467440056</v>
      </c>
      <c r="C149" s="12">
        <f t="shared" si="12"/>
        <v>3085.3276166209489</v>
      </c>
      <c r="D149">
        <f t="shared" si="13"/>
        <v>3.0449999999999999</v>
      </c>
      <c r="E149" s="13">
        <f t="shared" si="14"/>
        <v>3.2083333333333277</v>
      </c>
      <c r="F149">
        <v>0.72</v>
      </c>
      <c r="G149" s="21">
        <f t="shared" si="15"/>
        <v>6.4644100068903573E-2</v>
      </c>
      <c r="H149" s="3">
        <f t="shared" si="8"/>
        <v>8.6121901096420893E-3</v>
      </c>
      <c r="I149" s="3">
        <f t="shared" si="9"/>
        <v>-7.3256290178545666E-2</v>
      </c>
    </row>
    <row r="150" spans="1:9">
      <c r="A150">
        <f t="shared" si="10"/>
        <v>119</v>
      </c>
      <c r="B150" s="13">
        <f t="shared" si="11"/>
        <v>14.025090453827055</v>
      </c>
      <c r="C150" s="12">
        <f t="shared" si="12"/>
        <v>3085.3475107801023</v>
      </c>
      <c r="D150">
        <f t="shared" si="13"/>
        <v>3.0449999999999999</v>
      </c>
      <c r="E150" s="13">
        <f t="shared" si="14"/>
        <v>3.1999999999999944</v>
      </c>
      <c r="F150">
        <v>0.72</v>
      </c>
      <c r="G150" s="21">
        <f t="shared" si="15"/>
        <v>6.4333480884562144E-2</v>
      </c>
      <c r="H150" s="3">
        <f t="shared" si="8"/>
        <v>8.6121901096420893E-3</v>
      </c>
      <c r="I150" s="3">
        <f t="shared" si="9"/>
        <v>-7.2945670994204237E-2</v>
      </c>
    </row>
    <row r="151" spans="1:9">
      <c r="A151">
        <f t="shared" si="10"/>
        <v>120</v>
      </c>
      <c r="B151" s="13">
        <f t="shared" si="11"/>
        <v>13.95214478283285</v>
      </c>
      <c r="C151" s="12">
        <f t="shared" si="12"/>
        <v>3085.3674049392557</v>
      </c>
      <c r="D151">
        <f t="shared" si="13"/>
        <v>3.0449999999999999</v>
      </c>
      <c r="E151" s="13">
        <f t="shared" si="14"/>
        <v>3.1916666666666611</v>
      </c>
      <c r="F151">
        <v>0.72</v>
      </c>
      <c r="G151" s="21">
        <f t="shared" si="15"/>
        <v>6.4023550122981221E-2</v>
      </c>
      <c r="H151" s="3">
        <f t="shared" si="8"/>
        <v>8.6121901096420893E-3</v>
      </c>
      <c r="I151" s="3">
        <f t="shared" si="9"/>
        <v>-7.2635740232623314E-2</v>
      </c>
    </row>
    <row r="152" spans="1:9">
      <c r="A152">
        <f t="shared" si="10"/>
        <v>121</v>
      </c>
      <c r="B152" s="13">
        <f t="shared" si="11"/>
        <v>13.879509042600226</v>
      </c>
      <c r="C152" s="12">
        <f t="shared" si="12"/>
        <v>3085.3872990984091</v>
      </c>
      <c r="D152">
        <f t="shared" si="13"/>
        <v>3.0449999999999999</v>
      </c>
      <c r="E152" s="13">
        <f t="shared" si="14"/>
        <v>3.1833333333333278</v>
      </c>
      <c r="F152">
        <v>0.72</v>
      </c>
      <c r="G152" s="21">
        <f t="shared" si="15"/>
        <v>6.3714308049888008E-2</v>
      </c>
      <c r="H152" s="3">
        <f t="shared" si="8"/>
        <v>8.6121901096420893E-3</v>
      </c>
      <c r="I152" s="3">
        <f t="shared" si="9"/>
        <v>-7.23264981595301E-2</v>
      </c>
    </row>
    <row r="153" spans="1:9">
      <c r="A153">
        <f t="shared" si="10"/>
        <v>122</v>
      </c>
      <c r="B153" s="13">
        <f t="shared" si="11"/>
        <v>13.807182544440696</v>
      </c>
      <c r="C153" s="12">
        <f t="shared" si="12"/>
        <v>3085.4071932575625</v>
      </c>
      <c r="D153">
        <f t="shared" si="13"/>
        <v>3.0449999999999999</v>
      </c>
      <c r="E153" s="13">
        <f t="shared" si="14"/>
        <v>3.1749999999999945</v>
      </c>
      <c r="F153">
        <v>0.72</v>
      </c>
      <c r="G153" s="21">
        <f t="shared" si="15"/>
        <v>6.340575493180764E-2</v>
      </c>
      <c r="H153" s="3">
        <f t="shared" si="8"/>
        <v>8.6121901096420893E-3</v>
      </c>
      <c r="I153" s="3">
        <f t="shared" si="9"/>
        <v>-7.2017945041449732E-2</v>
      </c>
    </row>
    <row r="154" spans="1:9">
      <c r="A154">
        <f t="shared" si="10"/>
        <v>123</v>
      </c>
      <c r="B154" s="13">
        <f t="shared" si="11"/>
        <v>13.735164599399246</v>
      </c>
      <c r="C154" s="12">
        <f t="shared" si="12"/>
        <v>3085.4270874167159</v>
      </c>
      <c r="D154">
        <f t="shared" si="13"/>
        <v>3.0449999999999999</v>
      </c>
      <c r="E154" s="13">
        <f t="shared" si="14"/>
        <v>3.1666666666666612</v>
      </c>
      <c r="F154">
        <v>0.72</v>
      </c>
      <c r="G154" s="21">
        <f t="shared" si="15"/>
        <v>6.3097891036067111E-2</v>
      </c>
      <c r="H154" s="3">
        <f t="shared" si="8"/>
        <v>8.6121901096420893E-3</v>
      </c>
      <c r="I154" s="3">
        <f t="shared" si="9"/>
        <v>-7.1710081145709204E-2</v>
      </c>
    </row>
    <row r="155" spans="1:9">
      <c r="A155">
        <f t="shared" si="10"/>
        <v>124</v>
      </c>
      <c r="B155" s="13">
        <f t="shared" si="11"/>
        <v>13.663454518253538</v>
      </c>
      <c r="C155" s="12">
        <v>3085</v>
      </c>
      <c r="D155">
        <f t="shared" si="13"/>
        <v>3.0449999999999999</v>
      </c>
      <c r="E155" s="13">
        <f t="shared" si="14"/>
        <v>3.1583333333333279</v>
      </c>
      <c r="F155">
        <v>0.72</v>
      </c>
      <c r="G155" s="21">
        <f t="shared" si="15"/>
        <v>6.2790716630800505E-2</v>
      </c>
      <c r="H155" s="3">
        <f t="shared" si="8"/>
        <v>8.6121901096420893E-3</v>
      </c>
      <c r="I155" s="3">
        <f t="shared" si="9"/>
        <v>-7.1402906740442598E-2</v>
      </c>
    </row>
    <row r="156" spans="1:9">
      <c r="A156">
        <f>A155+1</f>
        <v>125</v>
      </c>
      <c r="B156" s="13">
        <f t="shared" si="11"/>
        <v>13.592051611513096</v>
      </c>
      <c r="C156" s="12">
        <f>C155-H155*2.31</f>
        <v>3084.9801058408466</v>
      </c>
      <c r="D156">
        <f t="shared" si="13"/>
        <v>3.0449999999999999</v>
      </c>
      <c r="E156" s="13">
        <f>E155-($C$6/60)</f>
        <v>3.1499999999999946</v>
      </c>
      <c r="F156">
        <v>0.72</v>
      </c>
      <c r="G156" s="21">
        <f t="shared" si="15"/>
        <v>6.2484231984952822E-2</v>
      </c>
      <c r="H156" s="3">
        <f t="shared" si="8"/>
        <v>8.6121901096420893E-3</v>
      </c>
      <c r="I156" s="3">
        <f t="shared" si="9"/>
        <v>-7.1096422094594908E-2</v>
      </c>
    </row>
    <row r="157" spans="1:9">
      <c r="A157">
        <f t="shared" si="10"/>
        <v>126</v>
      </c>
      <c r="B157" s="13">
        <f t="shared" si="11"/>
        <v>13.520955189418501</v>
      </c>
      <c r="C157" s="12">
        <f t="shared" ref="C157:C161" si="16">C156-H156*2.31</f>
        <v>3084.9602116816932</v>
      </c>
      <c r="D157">
        <f t="shared" si="13"/>
        <v>3.0449999999999999</v>
      </c>
      <c r="E157" s="13">
        <f t="shared" si="14"/>
        <v>3.1416666666666613</v>
      </c>
      <c r="F157">
        <v>0.72</v>
      </c>
      <c r="G157" s="21">
        <f t="shared" si="15"/>
        <v>6.2178437368285162E-2</v>
      </c>
      <c r="H157" s="3">
        <f t="shared" si="8"/>
        <v>8.6121901096420893E-3</v>
      </c>
      <c r="I157" s="3">
        <f t="shared" si="9"/>
        <v>-7.0790627477927248E-2</v>
      </c>
    </row>
    <row r="158" spans="1:9">
      <c r="A158">
        <f t="shared" si="10"/>
        <v>127</v>
      </c>
      <c r="B158" s="13">
        <f t="shared" si="11"/>
        <v>13.450164561940573</v>
      </c>
      <c r="C158" s="12">
        <f t="shared" si="16"/>
        <v>3084.9403175225398</v>
      </c>
      <c r="D158">
        <f t="shared" si="13"/>
        <v>3.0449999999999999</v>
      </c>
      <c r="E158" s="13">
        <f t="shared" si="14"/>
        <v>3.133333333333328</v>
      </c>
      <c r="F158">
        <v>0.72</v>
      </c>
      <c r="G158" s="21">
        <f t="shared" si="15"/>
        <v>6.1873333051379029E-2</v>
      </c>
      <c r="H158" s="3">
        <f t="shared" si="8"/>
        <v>8.6121901096420893E-3</v>
      </c>
      <c r="I158" s="3">
        <f t="shared" si="9"/>
        <v>-7.0485523161021121E-2</v>
      </c>
    </row>
    <row r="159" spans="1:9">
      <c r="A159">
        <f t="shared" si="10"/>
        <v>128</v>
      </c>
      <c r="B159" s="13">
        <f t="shared" si="11"/>
        <v>13.379679038779551</v>
      </c>
      <c r="C159" s="12">
        <f t="shared" si="16"/>
        <v>3084.9204233633864</v>
      </c>
      <c r="D159">
        <f t="shared" si="13"/>
        <v>3.0449999999999999</v>
      </c>
      <c r="E159" s="13">
        <f t="shared" si="14"/>
        <v>3.1249999999999947</v>
      </c>
      <c r="F159">
        <v>0.72</v>
      </c>
      <c r="G159" s="21">
        <f t="shared" si="15"/>
        <v>6.1568919305641269E-2</v>
      </c>
      <c r="H159" s="3">
        <f t="shared" si="8"/>
        <v>8.6121901096420893E-3</v>
      </c>
      <c r="I159" s="3">
        <f t="shared" si="9"/>
        <v>-7.0181109415283355E-2</v>
      </c>
    </row>
    <row r="160" spans="1:9">
      <c r="A160">
        <f t="shared" si="10"/>
        <v>129</v>
      </c>
      <c r="B160" s="13">
        <f t="shared" si="11"/>
        <v>13.309497929364268</v>
      </c>
      <c r="C160" s="12">
        <f t="shared" si="16"/>
        <v>3084.900529204233</v>
      </c>
      <c r="D160">
        <f t="shared" si="13"/>
        <v>3.0449999999999999</v>
      </c>
      <c r="E160" s="13">
        <f t="shared" si="14"/>
        <v>3.1166666666666614</v>
      </c>
      <c r="F160">
        <v>0.72</v>
      </c>
      <c r="G160" s="21">
        <f t="shared" si="15"/>
        <v>6.1265196403308471E-2</v>
      </c>
      <c r="H160" s="3">
        <f t="shared" si="8"/>
        <v>8.6121901096420893E-3</v>
      </c>
      <c r="I160" s="3">
        <f t="shared" si="9"/>
        <v>-6.9877386512950557E-2</v>
      </c>
    </row>
    <row r="161" spans="1:9">
      <c r="A161">
        <f t="shared" si="10"/>
        <v>130</v>
      </c>
      <c r="B161" s="13">
        <f t="shared" si="11"/>
        <v>13.239620542851316</v>
      </c>
      <c r="C161" s="12">
        <f t="shared" si="16"/>
        <v>3084.8806350450795</v>
      </c>
      <c r="D161">
        <f t="shared" si="13"/>
        <v>3.0449999999999999</v>
      </c>
      <c r="E161" s="13">
        <f t="shared" si="14"/>
        <v>3.1083333333333281</v>
      </c>
      <c r="F161">
        <v>0.72</v>
      </c>
      <c r="G161" s="21">
        <f t="shared" si="15"/>
        <v>6.0962164617452123E-2</v>
      </c>
      <c r="H161" s="3">
        <f t="shared" ref="H161:H224" si="17">(D161*$C$19)/2.31</f>
        <v>8.6121901096420893E-3</v>
      </c>
      <c r="I161" s="3">
        <f t="shared" ref="I161:I224" si="18">-H161-G161</f>
        <v>-6.9574354727094209E-2</v>
      </c>
    </row>
    <row r="162" spans="1:9">
      <c r="A162">
        <f t="shared" ref="A162:A225" si="19">A161+1</f>
        <v>131</v>
      </c>
      <c r="B162" s="13">
        <f t="shared" ref="B162:B225" si="20">B161+I161</f>
        <v>13.170046188124221</v>
      </c>
      <c r="C162" s="12">
        <f t="shared" ref="C162:C225" si="21">C161-H161*2.31</f>
        <v>3084.8607408859261</v>
      </c>
      <c r="D162">
        <f t="shared" ref="D162:D225" si="22">$C$13</f>
        <v>3.0449999999999999</v>
      </c>
      <c r="E162" s="13">
        <f t="shared" ref="E162:E225" si="23">E161-($C$6/60)</f>
        <v>3.0999999999999948</v>
      </c>
      <c r="F162">
        <v>0.72</v>
      </c>
      <c r="G162" s="21">
        <f t="shared" ref="G162:G225" si="24">(1050*((E162/$C$11)^1.852)*(D162/100)*(F162^-4.87))/2.31</f>
        <v>6.0659824221982947E-2</v>
      </c>
      <c r="H162" s="3">
        <f t="shared" si="17"/>
        <v>8.6121901096420893E-3</v>
      </c>
      <c r="I162" s="3">
        <f t="shared" si="18"/>
        <v>-6.927201433162504E-2</v>
      </c>
    </row>
    <row r="163" spans="1:9">
      <c r="A163">
        <f t="shared" si="19"/>
        <v>132</v>
      </c>
      <c r="B163" s="13">
        <f t="shared" si="20"/>
        <v>13.100774173792596</v>
      </c>
      <c r="C163" s="12">
        <f t="shared" si="21"/>
        <v>3084.8408467267727</v>
      </c>
      <c r="D163">
        <f t="shared" si="22"/>
        <v>3.0449999999999999</v>
      </c>
      <c r="E163" s="13">
        <f t="shared" si="23"/>
        <v>3.0916666666666615</v>
      </c>
      <c r="F163">
        <v>0.72</v>
      </c>
      <c r="G163" s="21">
        <f t="shared" si="24"/>
        <v>6.0358175491656271E-2</v>
      </c>
      <c r="H163" s="3">
        <f t="shared" si="17"/>
        <v>8.6121901096420893E-3</v>
      </c>
      <c r="I163" s="3">
        <f t="shared" si="18"/>
        <v>-6.8970365601298364E-2</v>
      </c>
    </row>
    <row r="164" spans="1:9">
      <c r="A164">
        <f t="shared" si="19"/>
        <v>133</v>
      </c>
      <c r="B164" s="13">
        <f t="shared" si="20"/>
        <v>13.031803808191297</v>
      </c>
      <c r="C164" s="12">
        <f t="shared" si="21"/>
        <v>3084.8209525676193</v>
      </c>
      <c r="D164">
        <f t="shared" si="22"/>
        <v>3.0449999999999999</v>
      </c>
      <c r="E164" s="13">
        <f t="shared" si="23"/>
        <v>3.0833333333333282</v>
      </c>
      <c r="F164">
        <v>0.72</v>
      </c>
      <c r="G164" s="21">
        <f t="shared" si="24"/>
        <v>6.0057218702076469E-2</v>
      </c>
      <c r="H164" s="3">
        <f t="shared" si="17"/>
        <v>8.6121901096420893E-3</v>
      </c>
      <c r="I164" s="3">
        <f t="shared" si="18"/>
        <v>-6.8669408811718555E-2</v>
      </c>
    </row>
    <row r="165" spans="1:9">
      <c r="A165">
        <f t="shared" si="19"/>
        <v>134</v>
      </c>
      <c r="B165" s="13">
        <f t="shared" si="20"/>
        <v>12.963134399379578</v>
      </c>
      <c r="C165" s="12">
        <f t="shared" si="21"/>
        <v>3084.8010584084659</v>
      </c>
      <c r="D165">
        <f t="shared" si="22"/>
        <v>3.0449999999999999</v>
      </c>
      <c r="E165" s="13">
        <f t="shared" si="23"/>
        <v>3.0749999999999948</v>
      </c>
      <c r="F165">
        <v>0.72</v>
      </c>
      <c r="G165" s="21">
        <f t="shared" si="24"/>
        <v>5.9756954129701972E-2</v>
      </c>
      <c r="H165" s="3">
        <f t="shared" si="17"/>
        <v>8.6121901096420893E-3</v>
      </c>
      <c r="I165" s="3">
        <f t="shared" si="18"/>
        <v>-6.8369144239344065E-2</v>
      </c>
    </row>
    <row r="166" spans="1:9">
      <c r="A166">
        <f t="shared" si="19"/>
        <v>135</v>
      </c>
      <c r="B166" s="13">
        <f t="shared" si="20"/>
        <v>12.894765255140234</v>
      </c>
      <c r="C166" s="12">
        <f t="shared" si="21"/>
        <v>3084.7811642493125</v>
      </c>
      <c r="D166">
        <f t="shared" si="22"/>
        <v>3.0449999999999999</v>
      </c>
      <c r="E166" s="13">
        <f t="shared" si="23"/>
        <v>3.0666666666666615</v>
      </c>
      <c r="F166">
        <v>0.72</v>
      </c>
      <c r="G166" s="21">
        <f t="shared" si="24"/>
        <v>5.9457382051850645E-2</v>
      </c>
      <c r="H166" s="3">
        <f t="shared" si="17"/>
        <v>8.6121901096420893E-3</v>
      </c>
      <c r="I166" s="3">
        <f t="shared" si="18"/>
        <v>-6.8069572161492731E-2</v>
      </c>
    </row>
    <row r="167" spans="1:9">
      <c r="A167">
        <f t="shared" si="19"/>
        <v>136</v>
      </c>
      <c r="B167" s="13">
        <f t="shared" si="20"/>
        <v>12.826695682978741</v>
      </c>
      <c r="C167" s="12">
        <f t="shared" si="21"/>
        <v>3084.7612700901591</v>
      </c>
      <c r="D167">
        <f t="shared" si="22"/>
        <v>3.0449999999999999</v>
      </c>
      <c r="E167" s="13">
        <f t="shared" si="23"/>
        <v>3.0583333333333282</v>
      </c>
      <c r="F167">
        <v>0.72</v>
      </c>
      <c r="G167" s="21">
        <f t="shared" si="24"/>
        <v>5.9158502746704048E-2</v>
      </c>
      <c r="H167" s="3">
        <f t="shared" si="17"/>
        <v>8.6121901096420893E-3</v>
      </c>
      <c r="I167" s="3">
        <f t="shared" si="18"/>
        <v>-6.777069285634614E-2</v>
      </c>
    </row>
    <row r="168" spans="1:9">
      <c r="A168">
        <f t="shared" si="19"/>
        <v>137</v>
      </c>
      <c r="B168" s="13">
        <f t="shared" si="20"/>
        <v>12.758924990122395</v>
      </c>
      <c r="C168" s="12">
        <f t="shared" si="21"/>
        <v>3084.7413759310057</v>
      </c>
      <c r="D168">
        <f t="shared" si="22"/>
        <v>3.0449999999999999</v>
      </c>
      <c r="E168" s="13">
        <f t="shared" si="23"/>
        <v>3.0499999999999949</v>
      </c>
      <c r="F168">
        <v>0.72</v>
      </c>
      <c r="G168" s="21">
        <f t="shared" si="24"/>
        <v>5.8860316493313289E-2</v>
      </c>
      <c r="H168" s="3">
        <f t="shared" si="17"/>
        <v>8.6121901096420893E-3</v>
      </c>
      <c r="I168" s="3">
        <f t="shared" si="18"/>
        <v>-6.7472506602955382E-2</v>
      </c>
    </row>
    <row r="169" spans="1:9">
      <c r="A169">
        <f t="shared" si="19"/>
        <v>138</v>
      </c>
      <c r="B169" s="13">
        <f t="shared" si="20"/>
        <v>12.69145248351944</v>
      </c>
      <c r="C169" s="12">
        <f t="shared" si="21"/>
        <v>3084.7214817718523</v>
      </c>
      <c r="D169">
        <f t="shared" si="22"/>
        <v>3.0449999999999999</v>
      </c>
      <c r="E169" s="13">
        <f t="shared" si="23"/>
        <v>3.0416666666666616</v>
      </c>
      <c r="F169">
        <v>0.72</v>
      </c>
      <c r="G169" s="21">
        <f t="shared" si="24"/>
        <v>5.8562823571603438E-2</v>
      </c>
      <c r="H169" s="3">
        <f t="shared" si="17"/>
        <v>8.6121901096420893E-3</v>
      </c>
      <c r="I169" s="3">
        <f t="shared" si="18"/>
        <v>-6.7175013681245524E-2</v>
      </c>
    </row>
    <row r="170" spans="1:9">
      <c r="A170">
        <f t="shared" si="19"/>
        <v>139</v>
      </c>
      <c r="B170" s="13">
        <f t="shared" si="20"/>
        <v>12.624277469838194</v>
      </c>
      <c r="C170" s="12">
        <f t="shared" si="21"/>
        <v>3084.7015876126989</v>
      </c>
      <c r="D170">
        <f t="shared" si="22"/>
        <v>3.0449999999999999</v>
      </c>
      <c r="E170" s="13">
        <f t="shared" si="23"/>
        <v>3.0333333333333283</v>
      </c>
      <c r="F170">
        <v>0.72</v>
      </c>
      <c r="G170" s="21">
        <f t="shared" si="24"/>
        <v>5.826602426237909E-2</v>
      </c>
      <c r="H170" s="3">
        <f t="shared" si="17"/>
        <v>8.6121901096420893E-3</v>
      </c>
      <c r="I170" s="3">
        <f t="shared" si="18"/>
        <v>-6.6878214372021183E-2</v>
      </c>
    </row>
    <row r="171" spans="1:9">
      <c r="A171">
        <f t="shared" si="19"/>
        <v>140</v>
      </c>
      <c r="B171" s="13">
        <f t="shared" si="20"/>
        <v>12.557399255466173</v>
      </c>
      <c r="C171" s="12">
        <f t="shared" si="21"/>
        <v>3084.6816934535454</v>
      </c>
      <c r="D171">
        <f t="shared" si="22"/>
        <v>3.0449999999999999</v>
      </c>
      <c r="E171" s="13">
        <f t="shared" si="23"/>
        <v>3.024999999999995</v>
      </c>
      <c r="F171">
        <v>0.72</v>
      </c>
      <c r="G171" s="21">
        <f t="shared" si="24"/>
        <v>5.796991884732948E-2</v>
      </c>
      <c r="H171" s="3">
        <f t="shared" si="17"/>
        <v>8.6121901096420893E-3</v>
      </c>
      <c r="I171" s="3">
        <f t="shared" si="18"/>
        <v>-6.6582108956971572E-2</v>
      </c>
    </row>
    <row r="172" spans="1:9">
      <c r="A172">
        <f t="shared" si="19"/>
        <v>141</v>
      </c>
      <c r="B172" s="13">
        <f t="shared" si="20"/>
        <v>12.490817146509201</v>
      </c>
      <c r="C172" s="12">
        <f t="shared" si="21"/>
        <v>3084.661799294392</v>
      </c>
      <c r="D172">
        <f t="shared" si="22"/>
        <v>3.0449999999999999</v>
      </c>
      <c r="E172" s="13">
        <f t="shared" si="23"/>
        <v>3.0166666666666617</v>
      </c>
      <c r="F172">
        <v>0.72</v>
      </c>
      <c r="G172" s="21">
        <f t="shared" si="24"/>
        <v>5.7674507609033566E-2</v>
      </c>
      <c r="H172" s="3">
        <f t="shared" si="17"/>
        <v>8.6121901096420893E-3</v>
      </c>
      <c r="I172" s="3">
        <f t="shared" si="18"/>
        <v>-6.6286697718675652E-2</v>
      </c>
    </row>
    <row r="173" spans="1:9">
      <c r="A173">
        <f t="shared" si="19"/>
        <v>142</v>
      </c>
      <c r="B173" s="13">
        <f t="shared" si="20"/>
        <v>12.424530448790525</v>
      </c>
      <c r="C173" s="12">
        <f t="shared" si="21"/>
        <v>3084.6419051352386</v>
      </c>
      <c r="D173">
        <f t="shared" si="22"/>
        <v>3.0449999999999999</v>
      </c>
      <c r="E173" s="13">
        <f t="shared" si="23"/>
        <v>3.0083333333333284</v>
      </c>
      <c r="F173">
        <v>0.72</v>
      </c>
      <c r="G173" s="21">
        <f t="shared" si="24"/>
        <v>5.7379790830965401E-2</v>
      </c>
      <c r="H173" s="3">
        <f t="shared" si="17"/>
        <v>8.6121901096420893E-3</v>
      </c>
      <c r="I173" s="3">
        <f t="shared" si="18"/>
        <v>-6.5991980940607486E-2</v>
      </c>
    </row>
    <row r="174" spans="1:9">
      <c r="A174">
        <f t="shared" si="19"/>
        <v>143</v>
      </c>
      <c r="B174" s="13">
        <f t="shared" si="20"/>
        <v>12.358538467849918</v>
      </c>
      <c r="C174" s="12">
        <f t="shared" si="21"/>
        <v>3084.6220109760852</v>
      </c>
      <c r="D174">
        <f t="shared" si="22"/>
        <v>3.0449999999999999</v>
      </c>
      <c r="E174" s="13">
        <f t="shared" si="23"/>
        <v>2.9999999999999951</v>
      </c>
      <c r="F174">
        <v>0.72</v>
      </c>
      <c r="G174" s="21">
        <f t="shared" si="24"/>
        <v>5.7085768797499506E-2</v>
      </c>
      <c r="H174" s="3">
        <f t="shared" si="17"/>
        <v>8.6121901096420893E-3</v>
      </c>
      <c r="I174" s="3">
        <f t="shared" si="18"/>
        <v>-6.5697958907141599E-2</v>
      </c>
    </row>
    <row r="175" spans="1:9">
      <c r="A175">
        <f t="shared" si="19"/>
        <v>144</v>
      </c>
      <c r="B175" s="13">
        <f t="shared" si="20"/>
        <v>12.292840508942776</v>
      </c>
      <c r="C175" s="12">
        <f t="shared" si="21"/>
        <v>3084.6021168169318</v>
      </c>
      <c r="D175">
        <f t="shared" si="22"/>
        <v>3.0449999999999999</v>
      </c>
      <c r="E175" s="13">
        <f t="shared" si="23"/>
        <v>2.9916666666666618</v>
      </c>
      <c r="F175">
        <v>0.72</v>
      </c>
      <c r="G175" s="21">
        <f t="shared" si="24"/>
        <v>5.6792441793916099E-2</v>
      </c>
      <c r="H175" s="3">
        <f t="shared" si="17"/>
        <v>8.6121901096420893E-3</v>
      </c>
      <c r="I175" s="3">
        <f t="shared" si="18"/>
        <v>-6.5404631903558191E-2</v>
      </c>
    </row>
    <row r="176" spans="1:9">
      <c r="A176">
        <f t="shared" si="19"/>
        <v>145</v>
      </c>
      <c r="B176" s="13">
        <f t="shared" si="20"/>
        <v>12.227435877039218</v>
      </c>
      <c r="C176" s="12">
        <f t="shared" si="21"/>
        <v>3084.5822226577784</v>
      </c>
      <c r="D176">
        <f t="shared" si="22"/>
        <v>3.0449999999999999</v>
      </c>
      <c r="E176" s="13">
        <f t="shared" si="23"/>
        <v>2.9833333333333285</v>
      </c>
      <c r="F176">
        <v>0.72</v>
      </c>
      <c r="G176" s="21">
        <f t="shared" si="24"/>
        <v>5.6499810106406506E-2</v>
      </c>
      <c r="H176" s="3">
        <f t="shared" si="17"/>
        <v>8.6121901096420893E-3</v>
      </c>
      <c r="I176" s="3">
        <f t="shared" si="18"/>
        <v>-6.5112000216048599E-2</v>
      </c>
    </row>
    <row r="177" spans="1:9">
      <c r="A177">
        <f t="shared" si="19"/>
        <v>146</v>
      </c>
      <c r="B177" s="13">
        <f t="shared" si="20"/>
        <v>12.162323876823169</v>
      </c>
      <c r="C177" s="12">
        <f t="shared" si="21"/>
        <v>3084.562328498625</v>
      </c>
      <c r="D177">
        <f t="shared" si="22"/>
        <v>3.0449999999999999</v>
      </c>
      <c r="E177" s="13">
        <f t="shared" si="23"/>
        <v>2.9749999999999952</v>
      </c>
      <c r="F177">
        <v>0.72</v>
      </c>
      <c r="G177" s="21">
        <f t="shared" si="24"/>
        <v>5.6207874022079003E-2</v>
      </c>
      <c r="H177" s="3">
        <f t="shared" si="17"/>
        <v>8.6121901096420893E-3</v>
      </c>
      <c r="I177" s="3">
        <f t="shared" si="18"/>
        <v>-6.4820064131721089E-2</v>
      </c>
    </row>
    <row r="178" spans="1:9">
      <c r="A178">
        <f t="shared" si="19"/>
        <v>147</v>
      </c>
      <c r="B178" s="13">
        <f t="shared" si="20"/>
        <v>12.097503812691448</v>
      </c>
      <c r="C178" s="12">
        <f t="shared" si="21"/>
        <v>3084.5424343394716</v>
      </c>
      <c r="D178">
        <f t="shared" si="22"/>
        <v>3.0449999999999999</v>
      </c>
      <c r="E178" s="13">
        <f t="shared" si="23"/>
        <v>2.9666666666666619</v>
      </c>
      <c r="F178">
        <v>0.72</v>
      </c>
      <c r="G178" s="21">
        <f t="shared" si="24"/>
        <v>5.5916633828963613E-2</v>
      </c>
      <c r="H178" s="3">
        <f t="shared" si="17"/>
        <v>8.6121901096420893E-3</v>
      </c>
      <c r="I178" s="3">
        <f t="shared" si="18"/>
        <v>-6.4528823938605706E-2</v>
      </c>
    </row>
    <row r="179" spans="1:9">
      <c r="A179">
        <f t="shared" si="19"/>
        <v>148</v>
      </c>
      <c r="B179" s="13">
        <f t="shared" si="20"/>
        <v>12.032974988752843</v>
      </c>
      <c r="C179" s="12">
        <f t="shared" si="21"/>
        <v>3084.5225401803182</v>
      </c>
      <c r="D179">
        <f t="shared" si="22"/>
        <v>3.0449999999999999</v>
      </c>
      <c r="E179" s="13">
        <f t="shared" si="23"/>
        <v>2.9583333333333286</v>
      </c>
      <c r="F179">
        <v>0.72</v>
      </c>
      <c r="G179" s="21">
        <f t="shared" si="24"/>
        <v>5.5626089816018423E-2</v>
      </c>
      <c r="H179" s="3">
        <f t="shared" si="17"/>
        <v>8.6121901096420893E-3</v>
      </c>
      <c r="I179" s="3">
        <f t="shared" si="18"/>
        <v>-6.4238279925660516E-2</v>
      </c>
    </row>
    <row r="180" spans="1:9">
      <c r="A180">
        <f t="shared" si="19"/>
        <v>149</v>
      </c>
      <c r="B180" s="13">
        <f t="shared" si="20"/>
        <v>11.968736708827182</v>
      </c>
      <c r="C180" s="12">
        <f t="shared" si="21"/>
        <v>3084.5026460211648</v>
      </c>
      <c r="D180">
        <f t="shared" si="22"/>
        <v>3.0449999999999999</v>
      </c>
      <c r="E180" s="13">
        <f t="shared" si="23"/>
        <v>2.9499999999999953</v>
      </c>
      <c r="F180">
        <v>0.72</v>
      </c>
      <c r="G180" s="21">
        <f t="shared" si="24"/>
        <v>5.5336242273134557E-2</v>
      </c>
      <c r="H180" s="3">
        <f t="shared" si="17"/>
        <v>8.6121901096420893E-3</v>
      </c>
      <c r="I180" s="3">
        <f t="shared" si="18"/>
        <v>-6.3948432382776643E-2</v>
      </c>
    </row>
    <row r="181" spans="1:9">
      <c r="A181">
        <f t="shared" si="19"/>
        <v>150</v>
      </c>
      <c r="B181" s="13">
        <f t="shared" si="20"/>
        <v>11.904788276444405</v>
      </c>
      <c r="C181" s="12">
        <f t="shared" si="21"/>
        <v>3084.4827518620114</v>
      </c>
      <c r="D181">
        <f t="shared" si="22"/>
        <v>3.0449999999999999</v>
      </c>
      <c r="E181" s="13">
        <f t="shared" si="23"/>
        <v>2.941666666666662</v>
      </c>
      <c r="F181">
        <v>0.72</v>
      </c>
      <c r="G181" s="21">
        <f t="shared" si="24"/>
        <v>5.5047091491142341E-2</v>
      </c>
      <c r="H181" s="3">
        <f t="shared" si="17"/>
        <v>8.6121901096420893E-3</v>
      </c>
      <c r="I181" s="3">
        <f t="shared" si="18"/>
        <v>-6.3659281600784434E-2</v>
      </c>
    </row>
    <row r="182" spans="1:9">
      <c r="A182">
        <f t="shared" si="19"/>
        <v>151</v>
      </c>
      <c r="B182" s="13">
        <f t="shared" si="20"/>
        <v>11.84112899484362</v>
      </c>
      <c r="C182" s="12">
        <f t="shared" si="21"/>
        <v>3084.4628577028579</v>
      </c>
      <c r="D182">
        <f t="shared" si="22"/>
        <v>3.0449999999999999</v>
      </c>
      <c r="E182" s="13">
        <f t="shared" si="23"/>
        <v>2.9333333333333287</v>
      </c>
      <c r="F182">
        <v>0.72</v>
      </c>
      <c r="G182" s="21">
        <f t="shared" si="24"/>
        <v>5.4758637761816623E-2</v>
      </c>
      <c r="H182" s="3">
        <f t="shared" si="17"/>
        <v>8.6121901096420893E-3</v>
      </c>
      <c r="I182" s="3">
        <f t="shared" si="18"/>
        <v>-6.3370827871458715E-2</v>
      </c>
    </row>
    <row r="183" spans="1:9">
      <c r="A183">
        <f t="shared" si="19"/>
        <v>152</v>
      </c>
      <c r="B183" s="13">
        <f t="shared" si="20"/>
        <v>11.777758166972161</v>
      </c>
      <c r="C183" s="12">
        <f t="shared" si="21"/>
        <v>3084.4429635437045</v>
      </c>
      <c r="D183">
        <f t="shared" si="22"/>
        <v>3.0449999999999999</v>
      </c>
      <c r="E183" s="13">
        <f t="shared" si="23"/>
        <v>2.9249999999999954</v>
      </c>
      <c r="F183">
        <v>0.72</v>
      </c>
      <c r="G183" s="21">
        <f t="shared" si="24"/>
        <v>5.44708813778828E-2</v>
      </c>
      <c r="H183" s="3">
        <f t="shared" si="17"/>
        <v>8.6121901096420893E-3</v>
      </c>
      <c r="I183" s="3">
        <f t="shared" si="18"/>
        <v>-6.3083071487524886E-2</v>
      </c>
    </row>
    <row r="184" spans="1:9">
      <c r="A184">
        <f t="shared" si="19"/>
        <v>153</v>
      </c>
      <c r="B184" s="13">
        <f t="shared" si="20"/>
        <v>11.714675095484637</v>
      </c>
      <c r="C184" s="12">
        <f t="shared" si="21"/>
        <v>3084.4230693845511</v>
      </c>
      <c r="D184">
        <f t="shared" si="22"/>
        <v>3.0449999999999999</v>
      </c>
      <c r="E184" s="13">
        <f t="shared" si="23"/>
        <v>2.9166666666666621</v>
      </c>
      <c r="F184">
        <v>0.72</v>
      </c>
      <c r="G184" s="21">
        <f t="shared" si="24"/>
        <v>5.4183822633022391E-2</v>
      </c>
      <c r="H184" s="3">
        <f t="shared" si="17"/>
        <v>8.6121901096420893E-3</v>
      </c>
      <c r="I184" s="3">
        <f t="shared" si="18"/>
        <v>-6.2796012742664484E-2</v>
      </c>
    </row>
    <row r="185" spans="1:9">
      <c r="A185">
        <f t="shared" si="19"/>
        <v>154</v>
      </c>
      <c r="B185" s="13">
        <f t="shared" si="20"/>
        <v>11.651879082741972</v>
      </c>
      <c r="C185" s="12">
        <f t="shared" si="21"/>
        <v>3084.4031752253977</v>
      </c>
      <c r="D185">
        <f t="shared" si="22"/>
        <v>3.0449999999999999</v>
      </c>
      <c r="E185" s="13">
        <f t="shared" si="23"/>
        <v>2.9083333333333288</v>
      </c>
      <c r="F185">
        <v>0.72</v>
      </c>
      <c r="G185" s="21">
        <f t="shared" si="24"/>
        <v>5.3897461821879093E-2</v>
      </c>
      <c r="H185" s="3">
        <f t="shared" si="17"/>
        <v>8.6121901096420893E-3</v>
      </c>
      <c r="I185" s="3">
        <f t="shared" si="18"/>
        <v>-6.2509651931521179E-2</v>
      </c>
    </row>
    <row r="186" spans="1:9">
      <c r="A186">
        <f t="shared" si="19"/>
        <v>155</v>
      </c>
      <c r="B186" s="13">
        <f t="shared" si="20"/>
        <v>11.589369430810452</v>
      </c>
      <c r="C186" s="12">
        <f t="shared" si="21"/>
        <v>3084.3832810662443</v>
      </c>
      <c r="D186">
        <f t="shared" si="22"/>
        <v>3.0449999999999999</v>
      </c>
      <c r="E186" s="13">
        <f t="shared" si="23"/>
        <v>2.8999999999999955</v>
      </c>
      <c r="F186">
        <v>0.72</v>
      </c>
      <c r="G186" s="21">
        <f t="shared" si="24"/>
        <v>5.3611799240064741E-2</v>
      </c>
      <c r="H186" s="3">
        <f t="shared" si="17"/>
        <v>8.6121901096420893E-3</v>
      </c>
      <c r="I186" s="3">
        <f t="shared" si="18"/>
        <v>-6.2223989349706826E-2</v>
      </c>
    </row>
    <row r="187" spans="1:9">
      <c r="A187">
        <f t="shared" si="19"/>
        <v>156</v>
      </c>
      <c r="B187" s="13">
        <f t="shared" si="20"/>
        <v>11.527145441460744</v>
      </c>
      <c r="C187" s="12">
        <f t="shared" si="21"/>
        <v>3084.3633869070909</v>
      </c>
      <c r="D187">
        <f t="shared" si="22"/>
        <v>3.0449999999999999</v>
      </c>
      <c r="E187" s="13">
        <f t="shared" si="23"/>
        <v>2.8916666666666622</v>
      </c>
      <c r="F187">
        <v>0.72</v>
      </c>
      <c r="G187" s="21">
        <f t="shared" si="24"/>
        <v>5.3326835184164888E-2</v>
      </c>
      <c r="H187" s="3">
        <f t="shared" si="17"/>
        <v>8.6121901096420893E-3</v>
      </c>
      <c r="I187" s="3">
        <f t="shared" si="18"/>
        <v>-6.1939025293806974E-2</v>
      </c>
    </row>
    <row r="188" spans="1:9">
      <c r="A188">
        <f t="shared" si="19"/>
        <v>157</v>
      </c>
      <c r="B188" s="13">
        <f t="shared" si="20"/>
        <v>11.465206416166938</v>
      </c>
      <c r="C188" s="12">
        <f t="shared" si="21"/>
        <v>3084.3434927479375</v>
      </c>
      <c r="D188">
        <f t="shared" si="22"/>
        <v>3.0449999999999999</v>
      </c>
      <c r="E188" s="13">
        <f t="shared" si="23"/>
        <v>2.8833333333333289</v>
      </c>
      <c r="F188">
        <v>0.72</v>
      </c>
      <c r="G188" s="21">
        <f t="shared" si="24"/>
        <v>5.3042569951745333E-2</v>
      </c>
      <c r="H188" s="3">
        <f t="shared" si="17"/>
        <v>8.6121901096420893E-3</v>
      </c>
      <c r="I188" s="3">
        <f t="shared" si="18"/>
        <v>-6.1654760061387426E-2</v>
      </c>
    </row>
    <row r="189" spans="1:9">
      <c r="A189">
        <f t="shared" si="19"/>
        <v>158</v>
      </c>
      <c r="B189" s="13">
        <f t="shared" si="20"/>
        <v>11.403551656105551</v>
      </c>
      <c r="C189" s="12">
        <f t="shared" si="21"/>
        <v>3084.3235985887841</v>
      </c>
      <c r="D189">
        <f t="shared" si="22"/>
        <v>3.0449999999999999</v>
      </c>
      <c r="E189" s="13">
        <f t="shared" si="23"/>
        <v>2.8749999999999956</v>
      </c>
      <c r="F189">
        <v>0.72</v>
      </c>
      <c r="G189" s="21">
        <f t="shared" si="24"/>
        <v>5.2759003841357871E-2</v>
      </c>
      <c r="H189" s="3">
        <f t="shared" si="17"/>
        <v>8.6121901096420893E-3</v>
      </c>
      <c r="I189" s="3">
        <f t="shared" si="18"/>
        <v>-6.1371193950999964E-2</v>
      </c>
    </row>
    <row r="190" spans="1:9">
      <c r="A190">
        <f t="shared" si="19"/>
        <v>159</v>
      </c>
      <c r="B190" s="13">
        <f t="shared" si="20"/>
        <v>11.34218046215455</v>
      </c>
      <c r="C190" s="12">
        <f t="shared" si="21"/>
        <v>3084.3037044296307</v>
      </c>
      <c r="D190">
        <f t="shared" si="22"/>
        <v>3.0449999999999999</v>
      </c>
      <c r="E190" s="13">
        <f t="shared" si="23"/>
        <v>2.8666666666666623</v>
      </c>
      <c r="F190">
        <v>0.72</v>
      </c>
      <c r="G190" s="21">
        <f t="shared" si="24"/>
        <v>5.2476137152546613E-2</v>
      </c>
      <c r="H190" s="3">
        <f t="shared" si="17"/>
        <v>8.6121901096420893E-3</v>
      </c>
      <c r="I190" s="3">
        <f t="shared" si="18"/>
        <v>-6.1088327262188699E-2</v>
      </c>
    </row>
    <row r="191" spans="1:9">
      <c r="A191">
        <f t="shared" si="19"/>
        <v>160</v>
      </c>
      <c r="B191" s="13">
        <f t="shared" si="20"/>
        <v>11.281092134892361</v>
      </c>
      <c r="C191" s="12">
        <f t="shared" si="21"/>
        <v>3084.2838102704773</v>
      </c>
      <c r="D191">
        <f t="shared" si="22"/>
        <v>3.0449999999999999</v>
      </c>
      <c r="E191" s="13">
        <f t="shared" si="23"/>
        <v>2.858333333333329</v>
      </c>
      <c r="F191">
        <v>0.72</v>
      </c>
      <c r="G191" s="21">
        <f t="shared" si="24"/>
        <v>5.2193970185853894E-2</v>
      </c>
      <c r="H191" s="3">
        <f t="shared" si="17"/>
        <v>8.6121901096420893E-3</v>
      </c>
      <c r="I191" s="3">
        <f t="shared" si="18"/>
        <v>-6.0806160295495987E-2</v>
      </c>
    </row>
    <row r="192" spans="1:9">
      <c r="A192">
        <f t="shared" si="19"/>
        <v>161</v>
      </c>
      <c r="B192" s="13">
        <f t="shared" si="20"/>
        <v>11.220285974596866</v>
      </c>
      <c r="C192" s="12">
        <f t="shared" si="21"/>
        <v>3084.2639161113239</v>
      </c>
      <c r="D192">
        <f t="shared" si="22"/>
        <v>3.0449999999999999</v>
      </c>
      <c r="E192" s="13">
        <f t="shared" si="23"/>
        <v>2.8499999999999956</v>
      </c>
      <c r="F192">
        <v>0.72</v>
      </c>
      <c r="G192" s="21">
        <f t="shared" si="24"/>
        <v>5.1912503242826875E-2</v>
      </c>
      <c r="H192" s="3">
        <f t="shared" si="17"/>
        <v>8.6121901096420893E-3</v>
      </c>
      <c r="I192" s="3">
        <f t="shared" si="18"/>
        <v>-6.0524693352468961E-2</v>
      </c>
    </row>
    <row r="193" spans="1:9">
      <c r="A193">
        <f t="shared" si="19"/>
        <v>162</v>
      </c>
      <c r="B193" s="13">
        <f t="shared" si="20"/>
        <v>11.159761281244396</v>
      </c>
      <c r="C193" s="12">
        <f t="shared" si="21"/>
        <v>3084.2440219521704</v>
      </c>
      <c r="D193">
        <f t="shared" si="22"/>
        <v>3.0449999999999999</v>
      </c>
      <c r="E193" s="13">
        <f t="shared" si="23"/>
        <v>2.8416666666666623</v>
      </c>
      <c r="F193">
        <v>0.72</v>
      </c>
      <c r="G193" s="21">
        <f t="shared" si="24"/>
        <v>5.1631736626023578E-2</v>
      </c>
      <c r="H193" s="3">
        <f t="shared" si="17"/>
        <v>8.6121901096420893E-3</v>
      </c>
      <c r="I193" s="3">
        <f t="shared" si="18"/>
        <v>-6.024392673566567E-2</v>
      </c>
    </row>
    <row r="194" spans="1:9">
      <c r="A194">
        <f t="shared" si="19"/>
        <v>163</v>
      </c>
      <c r="B194" s="13">
        <f t="shared" si="20"/>
        <v>11.09951735450873</v>
      </c>
      <c r="C194" s="12">
        <f t="shared" si="21"/>
        <v>3084.224127793017</v>
      </c>
      <c r="D194">
        <f t="shared" si="22"/>
        <v>3.0449999999999999</v>
      </c>
      <c r="E194" s="13">
        <f t="shared" si="23"/>
        <v>2.833333333333329</v>
      </c>
      <c r="F194">
        <v>0.72</v>
      </c>
      <c r="G194" s="21">
        <f t="shared" si="24"/>
        <v>5.1351670639019346E-2</v>
      </c>
      <c r="H194" s="3">
        <f t="shared" si="17"/>
        <v>8.6121901096420893E-3</v>
      </c>
      <c r="I194" s="3">
        <f t="shared" si="18"/>
        <v>-5.9963860748661432E-2</v>
      </c>
    </row>
    <row r="195" spans="1:9">
      <c r="A195">
        <f t="shared" si="19"/>
        <v>164</v>
      </c>
      <c r="B195" s="13">
        <f t="shared" si="20"/>
        <v>11.039553493760069</v>
      </c>
      <c r="C195" s="12">
        <f t="shared" si="21"/>
        <v>3084.2042336338636</v>
      </c>
      <c r="D195">
        <f t="shared" si="22"/>
        <v>3.0449999999999999</v>
      </c>
      <c r="E195" s="13">
        <f t="shared" si="23"/>
        <v>2.8249999999999957</v>
      </c>
      <c r="F195">
        <v>0.72</v>
      </c>
      <c r="G195" s="21">
        <f t="shared" si="24"/>
        <v>5.1072305586413395E-2</v>
      </c>
      <c r="H195" s="3">
        <f t="shared" si="17"/>
        <v>8.6121901096420893E-3</v>
      </c>
      <c r="I195" s="3">
        <f t="shared" si="18"/>
        <v>-5.9684495696055481E-2</v>
      </c>
    </row>
    <row r="196" spans="1:9">
      <c r="A196">
        <f t="shared" si="19"/>
        <v>165</v>
      </c>
      <c r="B196" s="13">
        <f t="shared" si="20"/>
        <v>10.979868998064013</v>
      </c>
      <c r="C196" s="12">
        <f t="shared" si="21"/>
        <v>3084.1843394747102</v>
      </c>
      <c r="D196">
        <f t="shared" si="22"/>
        <v>3.0449999999999999</v>
      </c>
      <c r="E196" s="13">
        <f t="shared" si="23"/>
        <v>2.8166666666666624</v>
      </c>
      <c r="F196">
        <v>0.72</v>
      </c>
      <c r="G196" s="21">
        <f t="shared" si="24"/>
        <v>5.0793641773834899E-2</v>
      </c>
      <c r="H196" s="3">
        <f t="shared" si="17"/>
        <v>8.6121901096420893E-3</v>
      </c>
      <c r="I196" s="3">
        <f t="shared" si="18"/>
        <v>-5.9405831883476992E-2</v>
      </c>
    </row>
    <row r="197" spans="1:9">
      <c r="A197">
        <f t="shared" si="19"/>
        <v>166</v>
      </c>
      <c r="B197" s="13">
        <f t="shared" si="20"/>
        <v>10.920463166180536</v>
      </c>
      <c r="C197" s="12">
        <f t="shared" si="21"/>
        <v>3084.1644453155568</v>
      </c>
      <c r="D197">
        <f t="shared" si="22"/>
        <v>3.0449999999999999</v>
      </c>
      <c r="E197" s="13">
        <f t="shared" si="23"/>
        <v>2.8083333333333291</v>
      </c>
      <c r="F197">
        <v>0.72</v>
      </c>
      <c r="G197" s="21">
        <f t="shared" si="24"/>
        <v>5.0515679507950009E-2</v>
      </c>
      <c r="H197" s="3">
        <f t="shared" si="17"/>
        <v>8.6121901096420893E-3</v>
      </c>
      <c r="I197" s="3">
        <f t="shared" si="18"/>
        <v>-5.9127869617592102E-2</v>
      </c>
    </row>
    <row r="198" spans="1:9">
      <c r="A198">
        <f t="shared" si="19"/>
        <v>167</v>
      </c>
      <c r="B198" s="13">
        <f t="shared" si="20"/>
        <v>10.861335296562943</v>
      </c>
      <c r="C198" s="12">
        <f t="shared" si="21"/>
        <v>3084.1445511564034</v>
      </c>
      <c r="D198">
        <f t="shared" si="22"/>
        <v>3.0449999999999999</v>
      </c>
      <c r="E198" s="13">
        <f t="shared" si="23"/>
        <v>2.7999999999999958</v>
      </c>
      <c r="F198">
        <v>0.72</v>
      </c>
      <c r="G198" s="21">
        <f t="shared" si="24"/>
        <v>5.0238419096468145E-2</v>
      </c>
      <c r="H198" s="3">
        <f t="shared" si="17"/>
        <v>8.6121901096420893E-3</v>
      </c>
      <c r="I198" s="3">
        <f t="shared" si="18"/>
        <v>-5.8850609206110238E-2</v>
      </c>
    </row>
    <row r="199" spans="1:9">
      <c r="A199">
        <f t="shared" si="19"/>
        <v>168</v>
      </c>
      <c r="B199" s="13">
        <f t="shared" si="20"/>
        <v>10.802484687356833</v>
      </c>
      <c r="C199" s="12">
        <f t="shared" si="21"/>
        <v>3084.12465699725</v>
      </c>
      <c r="D199">
        <f t="shared" si="22"/>
        <v>3.0449999999999999</v>
      </c>
      <c r="E199" s="13">
        <f t="shared" si="23"/>
        <v>2.7916666666666625</v>
      </c>
      <c r="F199">
        <v>0.72</v>
      </c>
      <c r="G199" s="21">
        <f t="shared" si="24"/>
        <v>4.9961860848148701E-2</v>
      </c>
      <c r="H199" s="3">
        <f t="shared" si="17"/>
        <v>8.6121901096420893E-3</v>
      </c>
      <c r="I199" s="3">
        <f t="shared" si="18"/>
        <v>-5.8574050957790794E-2</v>
      </c>
    </row>
    <row r="200" spans="1:9">
      <c r="A200">
        <f t="shared" si="19"/>
        <v>169</v>
      </c>
      <c r="B200" s="13">
        <f t="shared" si="20"/>
        <v>10.743910636399042</v>
      </c>
      <c r="C200" s="12">
        <f t="shared" si="21"/>
        <v>3084.1047628380966</v>
      </c>
      <c r="D200">
        <f t="shared" si="22"/>
        <v>3.0449999999999999</v>
      </c>
      <c r="E200" s="13">
        <f t="shared" si="23"/>
        <v>2.7833333333333292</v>
      </c>
      <c r="F200">
        <v>0.72</v>
      </c>
      <c r="G200" s="21">
        <f t="shared" si="24"/>
        <v>4.9686005072807925E-2</v>
      </c>
      <c r="H200" s="3">
        <f t="shared" si="17"/>
        <v>8.6121901096420893E-3</v>
      </c>
      <c r="I200" s="3">
        <f t="shared" si="18"/>
        <v>-5.8298195182450011E-2</v>
      </c>
    </row>
    <row r="201" spans="1:9">
      <c r="A201">
        <f t="shared" si="19"/>
        <v>170</v>
      </c>
      <c r="B201" s="13">
        <f t="shared" si="20"/>
        <v>10.685612441216591</v>
      </c>
      <c r="C201" s="12">
        <f t="shared" si="21"/>
        <v>3084.0848686789432</v>
      </c>
      <c r="D201">
        <f t="shared" si="22"/>
        <v>3.0449999999999999</v>
      </c>
      <c r="E201" s="13">
        <f t="shared" si="23"/>
        <v>2.7749999999999959</v>
      </c>
      <c r="F201">
        <v>0.72</v>
      </c>
      <c r="G201" s="21">
        <f t="shared" si="24"/>
        <v>4.9410852081325431E-2</v>
      </c>
      <c r="H201" s="3">
        <f t="shared" si="17"/>
        <v>8.6121901096420893E-3</v>
      </c>
      <c r="I201" s="3">
        <f t="shared" si="18"/>
        <v>-5.8023042190967516E-2</v>
      </c>
    </row>
    <row r="202" spans="1:9">
      <c r="A202">
        <f t="shared" si="19"/>
        <v>171</v>
      </c>
      <c r="B202" s="13">
        <f t="shared" si="20"/>
        <v>10.627589399025624</v>
      </c>
      <c r="C202" s="12">
        <f t="shared" si="21"/>
        <v>3084.0649745197898</v>
      </c>
      <c r="D202">
        <f t="shared" si="22"/>
        <v>3.0449999999999999</v>
      </c>
      <c r="E202" s="13">
        <f t="shared" si="23"/>
        <v>2.7666666666666626</v>
      </c>
      <c r="F202">
        <v>0.72</v>
      </c>
      <c r="G202" s="21">
        <f t="shared" si="24"/>
        <v>4.9136402185651358E-2</v>
      </c>
      <c r="H202" s="3">
        <f t="shared" si="17"/>
        <v>8.6121901096420893E-3</v>
      </c>
      <c r="I202" s="3">
        <f t="shared" si="18"/>
        <v>-5.7748592295293444E-2</v>
      </c>
    </row>
    <row r="203" spans="1:9">
      <c r="A203">
        <f t="shared" si="19"/>
        <v>172</v>
      </c>
      <c r="B203" s="13">
        <f t="shared" si="20"/>
        <v>10.56984080673033</v>
      </c>
      <c r="C203" s="12">
        <f t="shared" si="21"/>
        <v>3084.0450803606363</v>
      </c>
      <c r="D203">
        <f t="shared" si="22"/>
        <v>3.0449999999999999</v>
      </c>
      <c r="E203" s="13">
        <f t="shared" si="23"/>
        <v>2.7583333333333293</v>
      </c>
      <c r="F203">
        <v>0.72</v>
      </c>
      <c r="G203" s="21">
        <f t="shared" si="24"/>
        <v>4.8862655698813033E-2</v>
      </c>
      <c r="H203" s="3">
        <f t="shared" si="17"/>
        <v>8.6121901096420893E-3</v>
      </c>
      <c r="I203" s="3">
        <f t="shared" si="18"/>
        <v>-5.7474845808455119E-2</v>
      </c>
    </row>
    <row r="204" spans="1:9">
      <c r="A204">
        <f t="shared" si="19"/>
        <v>173</v>
      </c>
      <c r="B204" s="13">
        <f t="shared" si="20"/>
        <v>10.512365960921874</v>
      </c>
      <c r="C204" s="12">
        <f t="shared" si="21"/>
        <v>3084.0251862014829</v>
      </c>
      <c r="D204">
        <f t="shared" si="22"/>
        <v>3.0449999999999999</v>
      </c>
      <c r="E204" s="13">
        <f t="shared" si="23"/>
        <v>2.749999999999996</v>
      </c>
      <c r="F204">
        <v>0.72</v>
      </c>
      <c r="G204" s="21">
        <f t="shared" si="24"/>
        <v>4.8589612934922158E-2</v>
      </c>
      <c r="H204" s="3">
        <f t="shared" si="17"/>
        <v>8.6121901096420893E-3</v>
      </c>
      <c r="I204" s="3">
        <f t="shared" si="18"/>
        <v>-5.7201803044564251E-2</v>
      </c>
    </row>
    <row r="205" spans="1:9">
      <c r="A205">
        <f t="shared" si="19"/>
        <v>174</v>
      </c>
      <c r="B205" s="13">
        <f t="shared" si="20"/>
        <v>10.455164157877309</v>
      </c>
      <c r="C205" s="12">
        <f t="shared" si="21"/>
        <v>3084.0052920423295</v>
      </c>
      <c r="D205">
        <f t="shared" si="22"/>
        <v>3.0449999999999999</v>
      </c>
      <c r="E205" s="13">
        <f t="shared" si="23"/>
        <v>2.7416666666666627</v>
      </c>
      <c r="F205">
        <v>0.72</v>
      </c>
      <c r="G205" s="21">
        <f t="shared" si="24"/>
        <v>4.8317274209181603E-2</v>
      </c>
      <c r="H205" s="3">
        <f t="shared" si="17"/>
        <v>8.6121901096420893E-3</v>
      </c>
      <c r="I205" s="3">
        <f t="shared" si="18"/>
        <v>-5.6929464318823689E-2</v>
      </c>
    </row>
    <row r="206" spans="1:9">
      <c r="A206" s="29">
        <f t="shared" si="19"/>
        <v>175</v>
      </c>
      <c r="B206" s="13">
        <f t="shared" si="20"/>
        <v>10.398234693558486</v>
      </c>
      <c r="C206" s="12">
        <f t="shared" si="21"/>
        <v>3083.9853978831761</v>
      </c>
      <c r="D206" s="29">
        <f t="shared" si="22"/>
        <v>3.0449999999999999</v>
      </c>
      <c r="E206" s="30">
        <f t="shared" si="23"/>
        <v>2.7333333333333294</v>
      </c>
      <c r="F206">
        <v>0.72</v>
      </c>
      <c r="G206" s="32">
        <f t="shared" si="24"/>
        <v>4.8045639837892909E-2</v>
      </c>
      <c r="H206" s="3">
        <f t="shared" si="17"/>
        <v>8.6121901096420893E-3</v>
      </c>
      <c r="I206" s="3">
        <f t="shared" si="18"/>
        <v>-5.6657829947535002E-2</v>
      </c>
    </row>
    <row r="207" spans="1:9">
      <c r="A207">
        <f t="shared" si="19"/>
        <v>176</v>
      </c>
      <c r="B207" s="13">
        <f t="shared" si="20"/>
        <v>10.341576863610952</v>
      </c>
      <c r="C207" s="12">
        <f t="shared" si="21"/>
        <v>3083.9655037240227</v>
      </c>
      <c r="D207">
        <f t="shared" si="22"/>
        <v>3.0449999999999999</v>
      </c>
      <c r="E207" s="13">
        <f t="shared" si="23"/>
        <v>2.7249999999999961</v>
      </c>
      <c r="F207">
        <v>0.72</v>
      </c>
      <c r="G207" s="21">
        <f t="shared" si="24"/>
        <v>4.7774710138462996E-2</v>
      </c>
      <c r="H207" s="3">
        <f t="shared" si="17"/>
        <v>8.6121901096420893E-3</v>
      </c>
      <c r="I207" s="3">
        <f t="shared" si="18"/>
        <v>-5.6386900248105082E-2</v>
      </c>
    </row>
    <row r="208" spans="1:9">
      <c r="A208">
        <f t="shared" si="19"/>
        <v>177</v>
      </c>
      <c r="B208" s="13">
        <f t="shared" si="20"/>
        <v>10.285189963362846</v>
      </c>
      <c r="C208" s="12">
        <f t="shared" si="21"/>
        <v>3083.9456095648693</v>
      </c>
      <c r="D208">
        <f t="shared" si="22"/>
        <v>3.0449999999999999</v>
      </c>
      <c r="E208" s="13">
        <f t="shared" si="23"/>
        <v>2.7166666666666628</v>
      </c>
      <c r="F208">
        <v>0.72</v>
      </c>
      <c r="G208" s="21">
        <f t="shared" si="24"/>
        <v>4.7504485429411838E-2</v>
      </c>
      <c r="H208" s="3">
        <f t="shared" si="17"/>
        <v>8.6121901096420893E-3</v>
      </c>
      <c r="I208" s="3">
        <f t="shared" si="18"/>
        <v>-5.6116675539053931E-2</v>
      </c>
    </row>
    <row r="209" spans="1:9">
      <c r="A209">
        <f t="shared" si="19"/>
        <v>178</v>
      </c>
      <c r="B209" s="13">
        <f t="shared" si="20"/>
        <v>10.229073287823793</v>
      </c>
      <c r="C209" s="12">
        <f t="shared" si="21"/>
        <v>3083.9257154057159</v>
      </c>
      <c r="D209">
        <f t="shared" si="22"/>
        <v>3.0449999999999999</v>
      </c>
      <c r="E209" s="13">
        <f t="shared" si="23"/>
        <v>2.7083333333333295</v>
      </c>
      <c r="F209">
        <v>0.72</v>
      </c>
      <c r="G209" s="21">
        <f t="shared" si="24"/>
        <v>4.7234966030379542E-2</v>
      </c>
      <c r="H209" s="3">
        <f t="shared" si="17"/>
        <v>8.6121901096420893E-3</v>
      </c>
      <c r="I209" s="3">
        <f t="shared" si="18"/>
        <v>-5.5847156140021628E-2</v>
      </c>
    </row>
    <row r="210" spans="1:9">
      <c r="A210">
        <f t="shared" si="19"/>
        <v>179</v>
      </c>
      <c r="B210" s="13">
        <f t="shared" si="20"/>
        <v>10.173226131683771</v>
      </c>
      <c r="C210" s="12">
        <f t="shared" si="21"/>
        <v>3083.9058212465625</v>
      </c>
      <c r="D210">
        <f t="shared" si="22"/>
        <v>3.0449999999999999</v>
      </c>
      <c r="E210" s="13">
        <f t="shared" si="23"/>
        <v>2.6999999999999962</v>
      </c>
      <c r="F210">
        <v>0.72</v>
      </c>
      <c r="G210" s="21">
        <f t="shared" si="24"/>
        <v>4.6966152262133763E-2</v>
      </c>
      <c r="H210" s="3">
        <f t="shared" si="17"/>
        <v>8.6121901096420893E-3</v>
      </c>
      <c r="I210" s="3">
        <f t="shared" si="18"/>
        <v>-5.5578342371775849E-2</v>
      </c>
    </row>
    <row r="211" spans="1:9">
      <c r="A211">
        <f t="shared" si="19"/>
        <v>180</v>
      </c>
      <c r="B211" s="13">
        <f t="shared" si="20"/>
        <v>10.117647789311995</v>
      </c>
      <c r="C211" s="12">
        <f t="shared" si="21"/>
        <v>3083.8859270874091</v>
      </c>
      <c r="D211">
        <f t="shared" si="22"/>
        <v>3.0449999999999999</v>
      </c>
      <c r="E211" s="13">
        <f t="shared" si="23"/>
        <v>2.6916666666666629</v>
      </c>
      <c r="F211">
        <v>0.72</v>
      </c>
      <c r="G211" s="21">
        <f t="shared" si="24"/>
        <v>4.6698044446577332E-2</v>
      </c>
      <c r="H211" s="3">
        <f t="shared" si="17"/>
        <v>8.6121901096420893E-3</v>
      </c>
      <c r="I211" s="3">
        <f t="shared" si="18"/>
        <v>-5.5310234556219418E-2</v>
      </c>
    </row>
    <row r="212" spans="1:9">
      <c r="A212">
        <f t="shared" si="19"/>
        <v>181</v>
      </c>
      <c r="B212" s="13">
        <f t="shared" si="20"/>
        <v>10.062337554755775</v>
      </c>
      <c r="C212" s="12">
        <f t="shared" si="21"/>
        <v>3083.8660329282557</v>
      </c>
      <c r="D212">
        <f t="shared" si="22"/>
        <v>3.0449999999999999</v>
      </c>
      <c r="E212" s="13">
        <f t="shared" si="23"/>
        <v>2.6833333333333296</v>
      </c>
      <c r="F212">
        <v>0.72</v>
      </c>
      <c r="G212" s="21">
        <f t="shared" si="24"/>
        <v>4.6430642906755623E-2</v>
      </c>
      <c r="H212" s="3">
        <f t="shared" si="17"/>
        <v>8.6121901096420893E-3</v>
      </c>
      <c r="I212" s="3">
        <f t="shared" si="18"/>
        <v>-5.5042833016397716E-2</v>
      </c>
    </row>
    <row r="213" spans="1:9">
      <c r="A213">
        <f t="shared" si="19"/>
        <v>182</v>
      </c>
      <c r="B213" s="13">
        <f t="shared" si="20"/>
        <v>10.007294721739378</v>
      </c>
      <c r="C213" s="12">
        <f t="shared" si="21"/>
        <v>3083.8461387691023</v>
      </c>
      <c r="D213">
        <f t="shared" si="22"/>
        <v>3.0449999999999999</v>
      </c>
      <c r="E213" s="13">
        <f t="shared" si="23"/>
        <v>2.6749999999999963</v>
      </c>
      <c r="F213">
        <v>0.72</v>
      </c>
      <c r="G213" s="21">
        <f t="shared" si="24"/>
        <v>4.6163947966864134E-2</v>
      </c>
      <c r="H213" s="3">
        <f t="shared" si="17"/>
        <v>8.6121901096420893E-3</v>
      </c>
      <c r="I213" s="3">
        <f t="shared" si="18"/>
        <v>-5.477613807650622E-2</v>
      </c>
    </row>
    <row r="214" spans="1:9">
      <c r="A214">
        <f t="shared" si="19"/>
        <v>183</v>
      </c>
      <c r="B214" s="13">
        <f t="shared" si="20"/>
        <v>9.9525185836628705</v>
      </c>
      <c r="C214" s="12">
        <f t="shared" si="21"/>
        <v>3083.8262446099488</v>
      </c>
      <c r="D214">
        <f t="shared" si="22"/>
        <v>3.0449999999999999</v>
      </c>
      <c r="E214" s="13">
        <f t="shared" si="23"/>
        <v>2.666666666666663</v>
      </c>
      <c r="F214">
        <v>0.72</v>
      </c>
      <c r="G214" s="21">
        <f t="shared" si="24"/>
        <v>4.5897959952256401E-2</v>
      </c>
      <c r="H214" s="3">
        <f t="shared" si="17"/>
        <v>8.6121901096420893E-3</v>
      </c>
      <c r="I214" s="3">
        <f t="shared" si="18"/>
        <v>-5.4510150061898494E-2</v>
      </c>
    </row>
    <row r="215" spans="1:9">
      <c r="A215">
        <f t="shared" si="19"/>
        <v>184</v>
      </c>
      <c r="B215" s="13">
        <f t="shared" si="20"/>
        <v>9.8980084336009728</v>
      </c>
      <c r="C215" s="12">
        <f t="shared" si="21"/>
        <v>3083.8063504507954</v>
      </c>
      <c r="D215">
        <f t="shared" si="22"/>
        <v>3.0449999999999999</v>
      </c>
      <c r="E215" s="13">
        <f t="shared" si="23"/>
        <v>2.6583333333333297</v>
      </c>
      <c r="F215">
        <v>0.72</v>
      </c>
      <c r="G215" s="21">
        <f t="shared" si="24"/>
        <v>4.5632679189451561E-2</v>
      </c>
      <c r="H215" s="3">
        <f t="shared" si="17"/>
        <v>8.6121901096420893E-3</v>
      </c>
      <c r="I215" s="3">
        <f t="shared" si="18"/>
        <v>-5.4244869299093654E-2</v>
      </c>
    </row>
    <row r="216" spans="1:9">
      <c r="A216">
        <f t="shared" si="19"/>
        <v>185</v>
      </c>
      <c r="B216" s="13">
        <f t="shared" si="20"/>
        <v>9.843763564301879</v>
      </c>
      <c r="C216" s="12">
        <f t="shared" si="21"/>
        <v>3083.786456291642</v>
      </c>
      <c r="D216">
        <f t="shared" si="22"/>
        <v>3.0449999999999999</v>
      </c>
      <c r="E216" s="13">
        <f t="shared" si="23"/>
        <v>2.6499999999999964</v>
      </c>
      <c r="F216">
        <v>0.72</v>
      </c>
      <c r="G216" s="21">
        <f t="shared" si="24"/>
        <v>4.5368106006142161E-2</v>
      </c>
      <c r="H216" s="3">
        <f t="shared" si="17"/>
        <v>8.6121901096420893E-3</v>
      </c>
      <c r="I216" s="3">
        <f t="shared" si="18"/>
        <v>-5.3980296115784254E-2</v>
      </c>
    </row>
    <row r="217" spans="1:9">
      <c r="A217">
        <f t="shared" si="19"/>
        <v>186</v>
      </c>
      <c r="B217" s="13">
        <f t="shared" si="20"/>
        <v>9.7897832681860955</v>
      </c>
      <c r="C217" s="12">
        <f t="shared" si="21"/>
        <v>3083.7665621324886</v>
      </c>
      <c r="D217">
        <f t="shared" si="22"/>
        <v>3.0449999999999999</v>
      </c>
      <c r="E217" s="13">
        <f t="shared" si="23"/>
        <v>2.6416666666666631</v>
      </c>
      <c r="F217">
        <v>0.72</v>
      </c>
      <c r="G217" s="21">
        <f t="shared" si="24"/>
        <v>4.5104240731202394E-2</v>
      </c>
      <c r="H217" s="3">
        <f t="shared" si="17"/>
        <v>8.6121901096420893E-3</v>
      </c>
      <c r="I217" s="3">
        <f t="shared" si="18"/>
        <v>-5.3716430840844487E-2</v>
      </c>
    </row>
    <row r="218" spans="1:9">
      <c r="A218">
        <f t="shared" si="19"/>
        <v>187</v>
      </c>
      <c r="B218" s="13">
        <f t="shared" si="20"/>
        <v>9.7360668373452501</v>
      </c>
      <c r="C218" s="12">
        <f t="shared" si="21"/>
        <v>3083.7466679733352</v>
      </c>
      <c r="D218">
        <f t="shared" si="22"/>
        <v>3.0449999999999999</v>
      </c>
      <c r="E218" s="13">
        <f t="shared" si="23"/>
        <v>2.6333333333333298</v>
      </c>
      <c r="F218">
        <v>0.72</v>
      </c>
      <c r="G218" s="21">
        <f t="shared" si="24"/>
        <v>4.484108369469559E-2</v>
      </c>
      <c r="H218" s="3">
        <f t="shared" si="17"/>
        <v>8.6121901096420893E-3</v>
      </c>
      <c r="I218" s="3">
        <f t="shared" si="18"/>
        <v>-5.3453273804337675E-2</v>
      </c>
    </row>
    <row r="219" spans="1:9">
      <c r="A219">
        <f t="shared" si="19"/>
        <v>188</v>
      </c>
      <c r="B219" s="13">
        <f t="shared" si="20"/>
        <v>9.6826135635409116</v>
      </c>
      <c r="C219" s="12">
        <f t="shared" si="21"/>
        <v>3083.7267738141818</v>
      </c>
      <c r="D219">
        <f t="shared" si="22"/>
        <v>3.0449999999999999</v>
      </c>
      <c r="E219" s="13">
        <f t="shared" si="23"/>
        <v>2.6249999999999964</v>
      </c>
      <c r="F219">
        <v>0.72</v>
      </c>
      <c r="G219" s="21">
        <f t="shared" si="24"/>
        <v>4.4578635227882711E-2</v>
      </c>
      <c r="H219" s="3">
        <f t="shared" si="17"/>
        <v>8.6121901096420893E-3</v>
      </c>
      <c r="I219" s="3">
        <f t="shared" si="18"/>
        <v>-5.3190825337524797E-2</v>
      </c>
    </row>
    <row r="220" spans="1:9">
      <c r="A220">
        <f t="shared" si="19"/>
        <v>189</v>
      </c>
      <c r="B220" s="13">
        <f t="shared" si="20"/>
        <v>9.6294227382033863</v>
      </c>
      <c r="C220" s="12">
        <f t="shared" si="21"/>
        <v>3083.7068796550284</v>
      </c>
      <c r="D220">
        <f t="shared" si="22"/>
        <v>3.0449999999999999</v>
      </c>
      <c r="E220" s="13">
        <f t="shared" si="23"/>
        <v>2.6166666666666631</v>
      </c>
      <c r="F220">
        <v>0.72</v>
      </c>
      <c r="G220" s="21">
        <f t="shared" si="24"/>
        <v>4.4316895663230403E-2</v>
      </c>
      <c r="H220" s="3">
        <f t="shared" si="17"/>
        <v>8.6121901096420893E-3</v>
      </c>
      <c r="I220" s="3">
        <f t="shared" si="18"/>
        <v>-5.2929085772872489E-2</v>
      </c>
    </row>
    <row r="221" spans="1:9">
      <c r="A221">
        <f t="shared" si="19"/>
        <v>190</v>
      </c>
      <c r="B221" s="13">
        <f t="shared" si="20"/>
        <v>9.5764936524305142</v>
      </c>
      <c r="C221" s="12">
        <f t="shared" si="21"/>
        <v>3083.686985495875</v>
      </c>
      <c r="D221">
        <f t="shared" si="22"/>
        <v>3.0449999999999999</v>
      </c>
      <c r="E221" s="13">
        <f t="shared" si="23"/>
        <v>2.6083333333333298</v>
      </c>
      <c r="F221">
        <v>0.72</v>
      </c>
      <c r="G221" s="21">
        <f t="shared" si="24"/>
        <v>4.4055865334419041E-2</v>
      </c>
      <c r="H221" s="3">
        <f t="shared" si="17"/>
        <v>8.6121901096420893E-3</v>
      </c>
      <c r="I221" s="3">
        <f t="shared" si="18"/>
        <v>-5.2668055444061126E-2</v>
      </c>
    </row>
    <row r="222" spans="1:9">
      <c r="A222">
        <f t="shared" si="19"/>
        <v>191</v>
      </c>
      <c r="B222" s="13">
        <f t="shared" si="20"/>
        <v>9.5238255969864536</v>
      </c>
      <c r="C222" s="12">
        <f t="shared" si="21"/>
        <v>3083.6670913367216</v>
      </c>
      <c r="D222">
        <f t="shared" si="22"/>
        <v>3.0449999999999999</v>
      </c>
      <c r="E222" s="13">
        <f t="shared" si="23"/>
        <v>2.5999999999999965</v>
      </c>
      <c r="F222">
        <v>0.72</v>
      </c>
      <c r="G222" s="21">
        <f t="shared" si="24"/>
        <v>4.3795544576351292E-2</v>
      </c>
      <c r="H222" s="3">
        <f t="shared" si="17"/>
        <v>8.6121901096420893E-3</v>
      </c>
      <c r="I222" s="3">
        <f t="shared" si="18"/>
        <v>-5.2407734685993385E-2</v>
      </c>
    </row>
    <row r="223" spans="1:9">
      <c r="A223">
        <f t="shared" si="19"/>
        <v>192</v>
      </c>
      <c r="B223" s="13">
        <f t="shared" si="20"/>
        <v>9.471417862300461</v>
      </c>
      <c r="C223" s="12">
        <f t="shared" si="21"/>
        <v>3083.6471971775682</v>
      </c>
      <c r="D223">
        <f t="shared" si="22"/>
        <v>3.0449999999999999</v>
      </c>
      <c r="E223" s="13">
        <f t="shared" si="23"/>
        <v>2.5916666666666632</v>
      </c>
      <c r="F223">
        <v>0.72</v>
      </c>
      <c r="G223" s="21">
        <f t="shared" si="24"/>
        <v>4.3535933725160403E-2</v>
      </c>
      <c r="H223" s="3">
        <f t="shared" si="17"/>
        <v>8.6121901096420893E-3</v>
      </c>
      <c r="I223" s="3">
        <f t="shared" si="18"/>
        <v>-5.2148123834802496E-2</v>
      </c>
    </row>
    <row r="224" spans="1:9">
      <c r="A224">
        <f t="shared" si="19"/>
        <v>193</v>
      </c>
      <c r="B224" s="13">
        <f t="shared" si="20"/>
        <v>9.4192697384656583</v>
      </c>
      <c r="C224" s="12">
        <f t="shared" si="21"/>
        <v>3083.6273030184148</v>
      </c>
      <c r="D224">
        <f t="shared" si="22"/>
        <v>3.0449999999999999</v>
      </c>
      <c r="E224" s="13">
        <f t="shared" si="23"/>
        <v>2.5833333333333299</v>
      </c>
      <c r="F224">
        <v>0.72</v>
      </c>
      <c r="G224" s="21">
        <f t="shared" si="24"/>
        <v>4.3277033118218719E-2</v>
      </c>
      <c r="H224" s="3">
        <f t="shared" si="17"/>
        <v>8.6121901096420893E-3</v>
      </c>
      <c r="I224" s="3">
        <f t="shared" si="18"/>
        <v>-5.1889223227860812E-2</v>
      </c>
    </row>
    <row r="225" spans="1:9">
      <c r="A225">
        <f t="shared" si="19"/>
        <v>194</v>
      </c>
      <c r="B225" s="13">
        <f t="shared" si="20"/>
        <v>9.367380515237798</v>
      </c>
      <c r="C225" s="12">
        <f t="shared" si="21"/>
        <v>3083.6074088592613</v>
      </c>
      <c r="D225">
        <f t="shared" si="22"/>
        <v>3.0449999999999999</v>
      </c>
      <c r="E225" s="13">
        <f t="shared" si="23"/>
        <v>2.5749999999999966</v>
      </c>
      <c r="F225">
        <v>0.72</v>
      </c>
      <c r="G225" s="21">
        <f t="shared" si="24"/>
        <v>4.3018843094146171E-2</v>
      </c>
      <c r="H225" s="3">
        <f t="shared" ref="H225:H295" si="25">(D225*$C$19)/2.31</f>
        <v>8.6121901096420893E-3</v>
      </c>
      <c r="I225" s="3">
        <f t="shared" ref="I225:I228" si="26">-H225-G225</f>
        <v>-5.1631033203788257E-2</v>
      </c>
    </row>
    <row r="226" spans="1:9">
      <c r="A226">
        <f t="shared" ref="A226:A296" si="27">A225+1</f>
        <v>195</v>
      </c>
      <c r="B226" s="13">
        <f t="shared" ref="B226:B228" si="28">B225+I225</f>
        <v>9.3157494820340094</v>
      </c>
      <c r="C226" s="12">
        <f t="shared" ref="C226:C296" si="29">C225-H225*2.31</f>
        <v>3083.5875147001079</v>
      </c>
      <c r="D226">
        <f t="shared" ref="D226:D296" si="30">$C$13</f>
        <v>3.0449999999999999</v>
      </c>
      <c r="E226" s="13">
        <f t="shared" ref="E226:E296" si="31">E225-($C$6/60)</f>
        <v>2.5666666666666633</v>
      </c>
      <c r="F226">
        <v>0.72</v>
      </c>
      <c r="G226" s="21">
        <f t="shared" ref="G226:G296" si="32">(1050*((E226/$C$11)^1.852)*(D226/100)*(F226^-4.87))/2.31</f>
        <v>4.2761363992819053E-2</v>
      </c>
      <c r="H226" s="3">
        <f t="shared" si="25"/>
        <v>8.6121901096420893E-3</v>
      </c>
      <c r="I226" s="3">
        <f t="shared" si="26"/>
        <v>-5.1373554102461139E-2</v>
      </c>
    </row>
    <row r="227" spans="1:9">
      <c r="A227">
        <f t="shared" si="27"/>
        <v>196</v>
      </c>
      <c r="B227" s="13">
        <f t="shared" si="28"/>
        <v>9.2643759279315478</v>
      </c>
      <c r="C227" s="12">
        <f t="shared" si="29"/>
        <v>3083.5676205409545</v>
      </c>
      <c r="D227">
        <f t="shared" si="30"/>
        <v>3.0449999999999999</v>
      </c>
      <c r="E227" s="13">
        <f t="shared" si="31"/>
        <v>2.55833333333333</v>
      </c>
      <c r="F227">
        <v>0.72</v>
      </c>
      <c r="G227" s="21">
        <f t="shared" si="32"/>
        <v>4.2504596155378785E-2</v>
      </c>
      <c r="H227" s="3">
        <f t="shared" si="25"/>
        <v>8.6121901096420893E-3</v>
      </c>
      <c r="I227" s="3">
        <f t="shared" si="26"/>
        <v>-5.1116786265020878E-2</v>
      </c>
    </row>
    <row r="228" spans="1:9">
      <c r="A228">
        <f t="shared" si="27"/>
        <v>197</v>
      </c>
      <c r="B228" s="13">
        <f t="shared" si="28"/>
        <v>9.2132591416665264</v>
      </c>
      <c r="C228" s="12">
        <f t="shared" si="29"/>
        <v>3083.5477263818011</v>
      </c>
      <c r="D228">
        <f t="shared" si="30"/>
        <v>3.0449999999999999</v>
      </c>
      <c r="E228" s="13">
        <f t="shared" si="31"/>
        <v>2.5499999999999967</v>
      </c>
      <c r="F228">
        <v>0.72</v>
      </c>
      <c r="G228" s="21">
        <f t="shared" si="32"/>
        <v>4.2248539924240679E-2</v>
      </c>
      <c r="H228" s="3">
        <f t="shared" si="25"/>
        <v>8.6121901096420893E-3</v>
      </c>
      <c r="I228" s="3">
        <f t="shared" si="26"/>
        <v>-5.0860730033882764E-2</v>
      </c>
    </row>
    <row r="229" spans="1:9">
      <c r="B229" s="13"/>
      <c r="C229" s="12"/>
      <c r="E229" s="13"/>
      <c r="G229" s="21"/>
      <c r="H229" s="3"/>
      <c r="I229" s="3"/>
    </row>
    <row r="230" spans="1:9">
      <c r="B230" t="s">
        <v>124</v>
      </c>
      <c r="C230" s="13">
        <f>MIN(B32:B228)</f>
        <v>9.2132591416665264</v>
      </c>
      <c r="D230" s="12" t="s">
        <v>127</v>
      </c>
      <c r="E230" s="13"/>
      <c r="G230" s="21"/>
      <c r="H230" s="3"/>
      <c r="I230" s="3"/>
    </row>
    <row r="231" spans="1:9">
      <c r="B231" t="s">
        <v>125</v>
      </c>
      <c r="C231" s="13">
        <f>MAX(B32:B228)</f>
        <v>25</v>
      </c>
      <c r="D231" s="12" t="s">
        <v>127</v>
      </c>
      <c r="E231" s="13"/>
      <c r="G231" s="21"/>
      <c r="H231" s="3"/>
      <c r="I231" s="3"/>
    </row>
    <row r="232" spans="1:9">
      <c r="B232" t="s">
        <v>126</v>
      </c>
      <c r="C232" s="13">
        <f>C231-C230</f>
        <v>15.786740858333474</v>
      </c>
      <c r="D232" s="12" t="s">
        <v>127</v>
      </c>
      <c r="E232" s="13"/>
      <c r="G232" s="21"/>
      <c r="H232" s="3"/>
      <c r="I232" s="3"/>
    </row>
    <row r="233" spans="1:9">
      <c r="G233" s="21"/>
      <c r="H233" s="3"/>
      <c r="I233" s="3"/>
    </row>
    <row r="234" spans="1:9">
      <c r="A234" s="87" t="s">
        <v>334</v>
      </c>
      <c r="B234" s="13"/>
      <c r="C234" s="12"/>
      <c r="E234" s="13"/>
      <c r="G234" s="21"/>
      <c r="H234" s="3"/>
      <c r="I234" s="3"/>
    </row>
    <row r="235" spans="1:9" ht="30">
      <c r="A235" s="23" t="s">
        <v>130</v>
      </c>
      <c r="B235" s="24" t="s">
        <v>122</v>
      </c>
      <c r="C235" s="23" t="s">
        <v>115</v>
      </c>
      <c r="D235" s="23" t="s">
        <v>116</v>
      </c>
      <c r="E235" s="25" t="s">
        <v>123</v>
      </c>
      <c r="F235" s="26" t="s">
        <v>117</v>
      </c>
      <c r="G235" s="27" t="s">
        <v>119</v>
      </c>
      <c r="H235" s="24" t="s">
        <v>120</v>
      </c>
      <c r="I235" s="24" t="s">
        <v>121</v>
      </c>
    </row>
    <row r="236" spans="1:9">
      <c r="A236">
        <f>A228+1</f>
        <v>198</v>
      </c>
      <c r="B236" s="13">
        <v>25</v>
      </c>
      <c r="C236" s="12">
        <f>C228-H228*2.31</f>
        <v>3083.5278322226477</v>
      </c>
      <c r="D236">
        <f t="shared" si="30"/>
        <v>3.0449999999999999</v>
      </c>
      <c r="E236" s="13">
        <f>E228-($C$6/60)</f>
        <v>2.5416666666666634</v>
      </c>
      <c r="F236">
        <v>0.72</v>
      </c>
      <c r="G236" s="21">
        <f t="shared" si="32"/>
        <v>4.1993195643102742E-2</v>
      </c>
      <c r="H236" s="3">
        <f t="shared" si="25"/>
        <v>8.6121901096420893E-3</v>
      </c>
      <c r="I236" s="3">
        <f t="shared" ref="I236:I295" si="33">H236-G236</f>
        <v>-3.3381005533460656E-2</v>
      </c>
    </row>
    <row r="237" spans="1:9">
      <c r="A237">
        <f t="shared" si="27"/>
        <v>199</v>
      </c>
      <c r="B237" s="13">
        <f t="shared" ref="B237:B296" si="34">B236+I236</f>
        <v>24.96661899446654</v>
      </c>
      <c r="C237" s="12">
        <f t="shared" si="29"/>
        <v>3083.5079380634943</v>
      </c>
      <c r="D237">
        <f t="shared" si="30"/>
        <v>3.0449999999999999</v>
      </c>
      <c r="E237" s="13">
        <f t="shared" si="31"/>
        <v>2.5333333333333301</v>
      </c>
      <c r="F237">
        <v>0.72</v>
      </c>
      <c r="G237" s="21">
        <f t="shared" si="32"/>
        <v>4.173856365695499E-2</v>
      </c>
      <c r="H237" s="3">
        <f t="shared" si="25"/>
        <v>8.6121901096420893E-3</v>
      </c>
      <c r="I237" s="3">
        <f t="shared" si="33"/>
        <v>-3.3126373547312904E-2</v>
      </c>
    </row>
    <row r="238" spans="1:9">
      <c r="A238">
        <f t="shared" si="27"/>
        <v>200</v>
      </c>
      <c r="B238" s="13">
        <f t="shared" si="34"/>
        <v>24.933492620919228</v>
      </c>
      <c r="C238" s="12">
        <f t="shared" si="29"/>
        <v>3083.4880439043409</v>
      </c>
      <c r="D238">
        <f t="shared" si="30"/>
        <v>3.0449999999999999</v>
      </c>
      <c r="E238" s="13">
        <f t="shared" si="31"/>
        <v>2.5249999999999968</v>
      </c>
      <c r="F238">
        <v>0.72</v>
      </c>
      <c r="G238" s="21">
        <f t="shared" si="32"/>
        <v>4.1484644312088412E-2</v>
      </c>
      <c r="H238" s="3">
        <f t="shared" si="25"/>
        <v>8.6121901096420893E-3</v>
      </c>
      <c r="I238" s="3">
        <f t="shared" si="33"/>
        <v>-3.2872454202446319E-2</v>
      </c>
    </row>
    <row r="239" spans="1:9">
      <c r="A239">
        <f t="shared" si="27"/>
        <v>201</v>
      </c>
      <c r="B239" s="13">
        <f t="shared" si="34"/>
        <v>24.900620166716781</v>
      </c>
      <c r="C239" s="12">
        <f t="shared" si="29"/>
        <v>3083.4681497451875</v>
      </c>
      <c r="D239">
        <f t="shared" si="30"/>
        <v>3.0449999999999999</v>
      </c>
      <c r="E239" s="13">
        <f t="shared" si="31"/>
        <v>2.5166666666666635</v>
      </c>
      <c r="F239">
        <v>0.72</v>
      </c>
      <c r="G239" s="21">
        <f t="shared" si="32"/>
        <v>4.1231437956104143E-2</v>
      </c>
      <c r="H239" s="3">
        <f t="shared" si="25"/>
        <v>8.6121901096420893E-3</v>
      </c>
      <c r="I239" s="3">
        <f t="shared" si="33"/>
        <v>-3.2619247846462057E-2</v>
      </c>
    </row>
    <row r="240" spans="1:9">
      <c r="A240">
        <f t="shared" si="27"/>
        <v>202</v>
      </c>
      <c r="B240" s="13">
        <f t="shared" si="34"/>
        <v>24.868000918870319</v>
      </c>
      <c r="C240" s="12">
        <f t="shared" si="29"/>
        <v>3083.4482555860341</v>
      </c>
      <c r="D240">
        <f t="shared" si="30"/>
        <v>3.0449999999999999</v>
      </c>
      <c r="E240" s="13">
        <f t="shared" si="31"/>
        <v>2.5083333333333302</v>
      </c>
      <c r="F240">
        <v>0.72</v>
      </c>
      <c r="G240" s="21">
        <f t="shared" si="32"/>
        <v>4.0978944937922715E-2</v>
      </c>
      <c r="H240" s="3">
        <f t="shared" si="25"/>
        <v>8.6121901096420893E-3</v>
      </c>
      <c r="I240" s="3">
        <f t="shared" si="33"/>
        <v>-3.2366754828280622E-2</v>
      </c>
    </row>
    <row r="241" spans="1:9">
      <c r="A241">
        <f t="shared" si="27"/>
        <v>203</v>
      </c>
      <c r="B241" s="13">
        <f t="shared" si="34"/>
        <v>24.835634164042037</v>
      </c>
      <c r="C241" s="12">
        <f t="shared" si="29"/>
        <v>3083.4283614268807</v>
      </c>
      <c r="D241">
        <f t="shared" si="30"/>
        <v>3.0449999999999999</v>
      </c>
      <c r="E241" s="13">
        <f t="shared" si="31"/>
        <v>2.4999999999999969</v>
      </c>
      <c r="F241">
        <v>0.72</v>
      </c>
      <c r="G241" s="21">
        <f t="shared" si="32"/>
        <v>4.072716560779379E-2</v>
      </c>
      <c r="H241" s="3">
        <f t="shared" si="25"/>
        <v>8.6121901096420893E-3</v>
      </c>
      <c r="I241" s="3">
        <f t="shared" si="33"/>
        <v>-3.2114975498151704E-2</v>
      </c>
    </row>
    <row r="242" spans="1:9">
      <c r="A242">
        <f t="shared" si="27"/>
        <v>204</v>
      </c>
      <c r="B242" s="13">
        <f t="shared" si="34"/>
        <v>24.803519188543884</v>
      </c>
      <c r="C242" s="12">
        <f t="shared" si="29"/>
        <v>3083.4084672677272</v>
      </c>
      <c r="D242">
        <f t="shared" si="30"/>
        <v>3.0449999999999999</v>
      </c>
      <c r="E242" s="13">
        <f t="shared" si="31"/>
        <v>2.4916666666666636</v>
      </c>
      <c r="F242">
        <v>0.72</v>
      </c>
      <c r="G242" s="21">
        <f t="shared" si="32"/>
        <v>4.0476100317305141E-2</v>
      </c>
      <c r="H242" s="3">
        <f t="shared" si="25"/>
        <v>8.6121901096420893E-3</v>
      </c>
      <c r="I242" s="3">
        <f t="shared" si="33"/>
        <v>-3.1863910207663049E-2</v>
      </c>
    </row>
    <row r="243" spans="1:9">
      <c r="A243">
        <f t="shared" si="27"/>
        <v>205</v>
      </c>
      <c r="B243" s="13">
        <f t="shared" si="34"/>
        <v>24.771655278336222</v>
      </c>
      <c r="C243" s="12">
        <f t="shared" si="29"/>
        <v>3083.3885731085738</v>
      </c>
      <c r="D243">
        <f t="shared" si="30"/>
        <v>3.0449999999999999</v>
      </c>
      <c r="E243" s="13">
        <f t="shared" si="31"/>
        <v>2.4833333333333303</v>
      </c>
      <c r="F243">
        <v>0.72</v>
      </c>
      <c r="G243" s="21">
        <f t="shared" si="32"/>
        <v>4.0225749419392831E-2</v>
      </c>
      <c r="H243" s="3">
        <f t="shared" si="25"/>
        <v>8.6121901096420893E-3</v>
      </c>
      <c r="I243" s="3">
        <f t="shared" si="33"/>
        <v>-3.1613559309750738E-2</v>
      </c>
    </row>
    <row r="244" spans="1:9">
      <c r="A244">
        <f t="shared" si="27"/>
        <v>206</v>
      </c>
      <c r="B244" s="13">
        <f t="shared" si="34"/>
        <v>24.740041719026472</v>
      </c>
      <c r="C244" s="12">
        <f t="shared" si="29"/>
        <v>3083.3686789494204</v>
      </c>
      <c r="D244">
        <f t="shared" si="30"/>
        <v>3.0449999999999999</v>
      </c>
      <c r="E244" s="13">
        <f t="shared" si="31"/>
        <v>2.474999999999997</v>
      </c>
      <c r="F244">
        <v>0.72</v>
      </c>
      <c r="G244" s="21">
        <f t="shared" si="32"/>
        <v>3.9976113268350377E-2</v>
      </c>
      <c r="H244" s="3">
        <f t="shared" si="25"/>
        <v>8.6121901096420893E-3</v>
      </c>
      <c r="I244" s="3">
        <f t="shared" si="33"/>
        <v>-3.1363923158708285E-2</v>
      </c>
    </row>
    <row r="245" spans="1:9">
      <c r="A245">
        <f t="shared" si="27"/>
        <v>207</v>
      </c>
      <c r="B245" s="13">
        <f t="shared" si="34"/>
        <v>24.708677795867764</v>
      </c>
      <c r="C245" s="12">
        <f t="shared" si="29"/>
        <v>3083.348784790267</v>
      </c>
      <c r="D245">
        <f t="shared" si="30"/>
        <v>3.0449999999999999</v>
      </c>
      <c r="E245" s="13">
        <f t="shared" si="31"/>
        <v>2.4666666666666637</v>
      </c>
      <c r="F245">
        <v>0.72</v>
      </c>
      <c r="G245" s="21">
        <f t="shared" si="32"/>
        <v>3.9727192219838808E-2</v>
      </c>
      <c r="H245" s="3">
        <f t="shared" si="25"/>
        <v>8.6121901096420893E-3</v>
      </c>
      <c r="I245" s="3">
        <f t="shared" si="33"/>
        <v>-3.1115002110196719E-2</v>
      </c>
    </row>
    <row r="246" spans="1:9">
      <c r="A246">
        <f t="shared" si="27"/>
        <v>208</v>
      </c>
      <c r="B246" s="13">
        <f t="shared" si="34"/>
        <v>24.677562793757566</v>
      </c>
      <c r="C246" s="12">
        <f t="shared" si="29"/>
        <v>3083.3288906311136</v>
      </c>
      <c r="D246">
        <f t="shared" si="30"/>
        <v>3.0449999999999999</v>
      </c>
      <c r="E246" s="13">
        <f t="shared" si="31"/>
        <v>2.4583333333333304</v>
      </c>
      <c r="F246">
        <v>0.72</v>
      </c>
      <c r="G246" s="21">
        <f t="shared" si="32"/>
        <v>3.9478986630896808E-2</v>
      </c>
      <c r="H246" s="3">
        <f t="shared" si="25"/>
        <v>8.6121901096420893E-3</v>
      </c>
      <c r="I246" s="3">
        <f t="shared" si="33"/>
        <v>-3.0866796521254718E-2</v>
      </c>
    </row>
    <row r="247" spans="1:9">
      <c r="A247">
        <f t="shared" si="27"/>
        <v>209</v>
      </c>
      <c r="B247" s="13">
        <f t="shared" si="34"/>
        <v>24.646695997236311</v>
      </c>
      <c r="C247" s="12">
        <f t="shared" si="29"/>
        <v>3083.3089964719602</v>
      </c>
      <c r="D247">
        <f t="shared" si="30"/>
        <v>3.0449999999999999</v>
      </c>
      <c r="E247" s="13">
        <f t="shared" si="31"/>
        <v>2.4499999999999971</v>
      </c>
      <c r="F247">
        <v>0.72</v>
      </c>
      <c r="G247" s="21">
        <f t="shared" si="32"/>
        <v>3.9231496859950331E-2</v>
      </c>
      <c r="H247" s="3">
        <f t="shared" si="25"/>
        <v>8.6121901096420893E-3</v>
      </c>
      <c r="I247" s="3">
        <f t="shared" si="33"/>
        <v>-3.0619306750308242E-2</v>
      </c>
    </row>
    <row r="248" spans="1:9">
      <c r="A248">
        <f t="shared" si="27"/>
        <v>210</v>
      </c>
      <c r="B248" s="13">
        <f t="shared" si="34"/>
        <v>24.616076690486004</v>
      </c>
      <c r="C248" s="12">
        <f t="shared" si="29"/>
        <v>3083.2891023128068</v>
      </c>
      <c r="D248">
        <f t="shared" si="30"/>
        <v>3.0449999999999999</v>
      </c>
      <c r="E248" s="13">
        <f t="shared" si="31"/>
        <v>2.4416666666666638</v>
      </c>
      <c r="F248">
        <v>0.72</v>
      </c>
      <c r="G248" s="21">
        <f t="shared" si="32"/>
        <v>3.8984723266822771E-2</v>
      </c>
      <c r="H248" s="3">
        <f t="shared" si="25"/>
        <v>8.6121901096420893E-3</v>
      </c>
      <c r="I248" s="3">
        <f t="shared" si="33"/>
        <v>-3.0372533157180682E-2</v>
      </c>
    </row>
    <row r="249" spans="1:9">
      <c r="A249">
        <f t="shared" si="27"/>
        <v>211</v>
      </c>
      <c r="B249" s="13">
        <f t="shared" si="34"/>
        <v>24.585704157328824</v>
      </c>
      <c r="C249" s="12">
        <f t="shared" si="29"/>
        <v>3083.2692081536534</v>
      </c>
      <c r="D249">
        <f t="shared" si="30"/>
        <v>3.0449999999999999</v>
      </c>
      <c r="E249" s="13">
        <f t="shared" si="31"/>
        <v>2.4333333333333305</v>
      </c>
      <c r="F249">
        <v>0.72</v>
      </c>
      <c r="G249" s="21">
        <f t="shared" si="32"/>
        <v>3.8738666212745514E-2</v>
      </c>
      <c r="H249" s="3">
        <f t="shared" si="25"/>
        <v>8.6121901096420893E-3</v>
      </c>
      <c r="I249" s="3">
        <f t="shared" si="33"/>
        <v>-3.0126476103103424E-2</v>
      </c>
    </row>
    <row r="250" spans="1:9">
      <c r="A250">
        <f t="shared" si="27"/>
        <v>212</v>
      </c>
      <c r="B250" s="13">
        <f t="shared" si="34"/>
        <v>24.555577681225721</v>
      </c>
      <c r="C250" s="12">
        <f t="shared" si="29"/>
        <v>3083.2493139945</v>
      </c>
      <c r="D250">
        <f t="shared" si="30"/>
        <v>3.0449999999999999</v>
      </c>
      <c r="E250" s="13">
        <f t="shared" si="31"/>
        <v>2.4249999999999972</v>
      </c>
      <c r="F250">
        <v>0.72</v>
      </c>
      <c r="G250" s="21">
        <f t="shared" si="32"/>
        <v>3.8493326060367983E-2</v>
      </c>
      <c r="H250" s="3">
        <f t="shared" si="25"/>
        <v>8.6121901096420893E-3</v>
      </c>
      <c r="I250" s="3">
        <f t="shared" si="33"/>
        <v>-2.9881135950725893E-2</v>
      </c>
    </row>
    <row r="251" spans="1:9">
      <c r="A251">
        <f t="shared" si="27"/>
        <v>213</v>
      </c>
      <c r="B251" s="13">
        <f t="shared" si="34"/>
        <v>24.525696545274993</v>
      </c>
      <c r="C251" s="12">
        <f t="shared" si="29"/>
        <v>3083.2294198353466</v>
      </c>
      <c r="D251">
        <f t="shared" si="30"/>
        <v>3.0449999999999999</v>
      </c>
      <c r="E251" s="13">
        <f t="shared" si="31"/>
        <v>2.4166666666666639</v>
      </c>
      <c r="F251">
        <v>0.72</v>
      </c>
      <c r="G251" s="21">
        <f t="shared" si="32"/>
        <v>3.824870317376803E-2</v>
      </c>
      <c r="H251" s="3">
        <f t="shared" si="25"/>
        <v>8.6121901096420893E-3</v>
      </c>
      <c r="I251" s="3">
        <f t="shared" si="33"/>
        <v>-2.963651306412594E-2</v>
      </c>
    </row>
    <row r="252" spans="1:9">
      <c r="A252">
        <f t="shared" si="27"/>
        <v>214</v>
      </c>
      <c r="B252" s="13">
        <f t="shared" si="34"/>
        <v>24.496060032210867</v>
      </c>
      <c r="C252" s="12">
        <f t="shared" si="29"/>
        <v>3083.2095256761932</v>
      </c>
      <c r="D252">
        <f t="shared" si="30"/>
        <v>3.0449999999999999</v>
      </c>
      <c r="E252" s="13">
        <f t="shared" si="31"/>
        <v>2.4083333333333306</v>
      </c>
      <c r="F252">
        <v>0.72</v>
      </c>
      <c r="G252" s="21">
        <f t="shared" si="32"/>
        <v>3.8004797918462986E-2</v>
      </c>
      <c r="H252" s="3">
        <f t="shared" si="25"/>
        <v>8.6121901096420893E-3</v>
      </c>
      <c r="I252" s="3">
        <f t="shared" si="33"/>
        <v>-2.9392607808820897E-2</v>
      </c>
    </row>
    <row r="253" spans="1:9">
      <c r="A253">
        <f t="shared" si="27"/>
        <v>215</v>
      </c>
      <c r="B253" s="13">
        <f t="shared" si="34"/>
        <v>24.466667424402047</v>
      </c>
      <c r="C253" s="12">
        <f t="shared" si="29"/>
        <v>3083.1896315170397</v>
      </c>
      <c r="D253">
        <f t="shared" si="30"/>
        <v>3.0449999999999999</v>
      </c>
      <c r="E253" s="13">
        <f t="shared" si="31"/>
        <v>2.3999999999999972</v>
      </c>
      <c r="F253">
        <v>0.72</v>
      </c>
      <c r="G253" s="21">
        <f t="shared" si="32"/>
        <v>3.7761610661419663E-2</v>
      </c>
      <c r="H253" s="3">
        <f t="shared" si="25"/>
        <v>8.6121901096420893E-3</v>
      </c>
      <c r="I253" s="3">
        <f t="shared" si="33"/>
        <v>-2.9149420551777574E-2</v>
      </c>
    </row>
    <row r="254" spans="1:9">
      <c r="A254">
        <f t="shared" si="27"/>
        <v>216</v>
      </c>
      <c r="B254" s="13">
        <f t="shared" si="34"/>
        <v>24.437518003850268</v>
      </c>
      <c r="C254" s="12">
        <f t="shared" si="29"/>
        <v>3083.1697373578863</v>
      </c>
      <c r="D254">
        <f t="shared" si="30"/>
        <v>3.0449999999999999</v>
      </c>
      <c r="E254" s="13">
        <f t="shared" si="31"/>
        <v>2.3916666666666639</v>
      </c>
      <c r="F254">
        <v>0.72</v>
      </c>
      <c r="G254" s="21">
        <f t="shared" si="32"/>
        <v>3.7519141771065669E-2</v>
      </c>
      <c r="H254" s="3">
        <f t="shared" si="25"/>
        <v>8.6121901096420893E-3</v>
      </c>
      <c r="I254" s="3">
        <f t="shared" si="33"/>
        <v>-2.8906951661423579E-2</v>
      </c>
    </row>
    <row r="255" spans="1:9">
      <c r="A255">
        <f t="shared" si="27"/>
        <v>217</v>
      </c>
      <c r="B255" s="13">
        <f t="shared" si="34"/>
        <v>24.408611052188846</v>
      </c>
      <c r="C255" s="12">
        <f t="shared" si="29"/>
        <v>3083.1498431987329</v>
      </c>
      <c r="D255">
        <f t="shared" si="30"/>
        <v>3.0449999999999999</v>
      </c>
      <c r="E255" s="13">
        <f t="shared" si="31"/>
        <v>2.3833333333333306</v>
      </c>
      <c r="F255">
        <v>0.72</v>
      </c>
      <c r="G255" s="21">
        <f t="shared" si="32"/>
        <v>3.7277391617300072E-2</v>
      </c>
      <c r="H255" s="3">
        <f t="shared" si="25"/>
        <v>8.6121901096420893E-3</v>
      </c>
      <c r="I255" s="3">
        <f t="shared" si="33"/>
        <v>-2.8665201507657983E-2</v>
      </c>
    </row>
    <row r="256" spans="1:9">
      <c r="A256">
        <f t="shared" si="27"/>
        <v>218</v>
      </c>
      <c r="B256" s="13">
        <f t="shared" si="34"/>
        <v>24.379945850681189</v>
      </c>
      <c r="C256" s="12">
        <f t="shared" si="29"/>
        <v>3083.1299490395795</v>
      </c>
      <c r="D256">
        <f t="shared" si="30"/>
        <v>3.0449999999999999</v>
      </c>
      <c r="E256" s="13">
        <f t="shared" si="31"/>
        <v>2.3749999999999973</v>
      </c>
      <c r="F256">
        <v>0.72</v>
      </c>
      <c r="G256" s="21">
        <f t="shared" si="32"/>
        <v>3.7036360571504695E-2</v>
      </c>
      <c r="H256" s="3">
        <f t="shared" si="25"/>
        <v>8.6121901096420893E-3</v>
      </c>
      <c r="I256" s="3">
        <f t="shared" si="33"/>
        <v>-2.8424170461862606E-2</v>
      </c>
    </row>
    <row r="257" spans="1:9">
      <c r="A257">
        <f t="shared" si="27"/>
        <v>219</v>
      </c>
      <c r="B257" s="13">
        <f t="shared" si="34"/>
        <v>24.351521680219328</v>
      </c>
      <c r="C257" s="12">
        <f t="shared" si="29"/>
        <v>3083.1100548804261</v>
      </c>
      <c r="D257">
        <f t="shared" si="30"/>
        <v>3.0449999999999999</v>
      </c>
      <c r="E257" s="13">
        <f t="shared" si="31"/>
        <v>2.366666666666664</v>
      </c>
      <c r="F257">
        <v>0.72</v>
      </c>
      <c r="G257" s="21">
        <f t="shared" si="32"/>
        <v>3.6796049006554768E-2</v>
      </c>
      <c r="H257" s="3">
        <f t="shared" si="25"/>
        <v>8.6121901096420893E-3</v>
      </c>
      <c r="I257" s="3">
        <f t="shared" si="33"/>
        <v>-2.8183858896912679E-2</v>
      </c>
    </row>
    <row r="258" spans="1:9">
      <c r="A258">
        <f t="shared" si="27"/>
        <v>220</v>
      </c>
      <c r="B258" s="13">
        <f t="shared" si="34"/>
        <v>24.323337821322415</v>
      </c>
      <c r="C258" s="12">
        <f t="shared" si="29"/>
        <v>3083.0901607212727</v>
      </c>
      <c r="D258">
        <f t="shared" si="30"/>
        <v>3.0449999999999999</v>
      </c>
      <c r="E258" s="13">
        <f t="shared" si="31"/>
        <v>2.3583333333333307</v>
      </c>
      <c r="F258">
        <v>0.72</v>
      </c>
      <c r="G258" s="21">
        <f t="shared" si="32"/>
        <v>3.6556457296830831E-2</v>
      </c>
      <c r="H258" s="3">
        <f t="shared" si="25"/>
        <v>8.6121901096420893E-3</v>
      </c>
      <c r="I258" s="3">
        <f t="shared" si="33"/>
        <v>-2.7944267187188742E-2</v>
      </c>
    </row>
    <row r="259" spans="1:9">
      <c r="A259">
        <f t="shared" si="27"/>
        <v>221</v>
      </c>
      <c r="B259" s="13">
        <f t="shared" si="34"/>
        <v>24.295393554135227</v>
      </c>
      <c r="C259" s="12">
        <f t="shared" si="29"/>
        <v>3083.0702665621193</v>
      </c>
      <c r="D259">
        <f t="shared" si="30"/>
        <v>3.0449999999999999</v>
      </c>
      <c r="E259" s="13">
        <f t="shared" si="31"/>
        <v>2.3499999999999974</v>
      </c>
      <c r="F259">
        <v>0.72</v>
      </c>
      <c r="G259" s="21">
        <f t="shared" si="32"/>
        <v>3.631758581822965E-2</v>
      </c>
      <c r="H259" s="3">
        <f t="shared" si="25"/>
        <v>8.6121901096420893E-3</v>
      </c>
      <c r="I259" s="3">
        <f t="shared" si="33"/>
        <v>-2.7705395708587561E-2</v>
      </c>
    </row>
    <row r="260" spans="1:9">
      <c r="A260">
        <f t="shared" si="27"/>
        <v>222</v>
      </c>
      <c r="B260" s="13">
        <f t="shared" si="34"/>
        <v>24.26768815842664</v>
      </c>
      <c r="C260" s="12">
        <f t="shared" si="29"/>
        <v>3083.0503724029659</v>
      </c>
      <c r="D260">
        <f t="shared" si="30"/>
        <v>3.0449999999999999</v>
      </c>
      <c r="E260" s="13">
        <f t="shared" si="31"/>
        <v>2.3416666666666641</v>
      </c>
      <c r="F260">
        <v>0.72</v>
      </c>
      <c r="G260" s="21">
        <f t="shared" si="32"/>
        <v>3.6079434948175983E-2</v>
      </c>
      <c r="H260" s="3">
        <f t="shared" si="25"/>
        <v>8.6121901096420893E-3</v>
      </c>
      <c r="I260" s="3">
        <f t="shared" si="33"/>
        <v>-2.7467244838533893E-2</v>
      </c>
    </row>
    <row r="261" spans="1:9">
      <c r="A261">
        <f t="shared" si="27"/>
        <v>223</v>
      </c>
      <c r="B261" s="13">
        <f t="shared" si="34"/>
        <v>24.240220913588107</v>
      </c>
      <c r="C261" s="12">
        <f t="shared" si="29"/>
        <v>3083.0304782438125</v>
      </c>
      <c r="D261">
        <f t="shared" si="30"/>
        <v>3.0449999999999999</v>
      </c>
      <c r="E261" s="13">
        <f t="shared" si="31"/>
        <v>2.3333333333333308</v>
      </c>
      <c r="F261">
        <v>0.72</v>
      </c>
      <c r="G261" s="21">
        <f t="shared" si="32"/>
        <v>3.5842005065634348E-2</v>
      </c>
      <c r="H261" s="3">
        <f t="shared" si="25"/>
        <v>8.6121901096420893E-3</v>
      </c>
      <c r="I261" s="3">
        <f t="shared" si="33"/>
        <v>-2.7229814955992259E-2</v>
      </c>
    </row>
    <row r="262" spans="1:9">
      <c r="A262">
        <f t="shared" si="27"/>
        <v>224</v>
      </c>
      <c r="B262" s="13">
        <f t="shared" si="34"/>
        <v>24.212991098632116</v>
      </c>
      <c r="C262" s="12">
        <f t="shared" si="29"/>
        <v>3083.0105840846591</v>
      </c>
      <c r="D262">
        <f t="shared" si="30"/>
        <v>3.0449999999999999</v>
      </c>
      <c r="E262" s="13">
        <f t="shared" si="31"/>
        <v>2.3249999999999975</v>
      </c>
      <c r="F262">
        <v>0.72</v>
      </c>
      <c r="G262" s="21">
        <f t="shared" si="32"/>
        <v>3.5605296551120394E-2</v>
      </c>
      <c r="H262" s="3">
        <f t="shared" si="25"/>
        <v>8.6121901096420893E-3</v>
      </c>
      <c r="I262" s="3">
        <f t="shared" si="33"/>
        <v>-2.6993106441478305E-2</v>
      </c>
    </row>
    <row r="263" spans="1:9">
      <c r="A263">
        <f t="shared" si="27"/>
        <v>225</v>
      </c>
      <c r="B263" s="13">
        <f t="shared" si="34"/>
        <v>24.185997992190639</v>
      </c>
      <c r="C263" s="12">
        <f t="shared" si="29"/>
        <v>3082.9906899255056</v>
      </c>
      <c r="D263">
        <f t="shared" si="30"/>
        <v>3.0449999999999999</v>
      </c>
      <c r="E263" s="13">
        <f t="shared" si="31"/>
        <v>2.3166666666666642</v>
      </c>
      <c r="F263">
        <v>0.72</v>
      </c>
      <c r="G263" s="21">
        <f t="shared" si="32"/>
        <v>3.5369309786713335E-2</v>
      </c>
      <c r="H263" s="3">
        <f t="shared" si="25"/>
        <v>8.6121901096420893E-3</v>
      </c>
      <c r="I263" s="3">
        <f t="shared" si="33"/>
        <v>-2.6757119677071246E-2</v>
      </c>
    </row>
    <row r="264" spans="1:9">
      <c r="A264">
        <f t="shared" si="27"/>
        <v>226</v>
      </c>
      <c r="B264" s="13">
        <f t="shared" si="34"/>
        <v>24.159240872513568</v>
      </c>
      <c r="C264" s="12">
        <f t="shared" si="29"/>
        <v>3082.9707957663522</v>
      </c>
      <c r="D264">
        <f t="shared" si="30"/>
        <v>3.0449999999999999</v>
      </c>
      <c r="E264" s="13">
        <f t="shared" si="31"/>
        <v>2.3083333333333309</v>
      </c>
      <c r="F264">
        <v>0.72</v>
      </c>
      <c r="G264" s="21">
        <f t="shared" si="32"/>
        <v>3.5134045156067661E-2</v>
      </c>
      <c r="H264" s="3">
        <f t="shared" si="25"/>
        <v>8.6121901096420893E-3</v>
      </c>
      <c r="I264" s="3">
        <f t="shared" si="33"/>
        <v>-2.6521855046425572E-2</v>
      </c>
    </row>
    <row r="265" spans="1:9">
      <c r="A265">
        <f t="shared" si="27"/>
        <v>227</v>
      </c>
      <c r="B265" s="13">
        <f t="shared" si="34"/>
        <v>24.132719017467142</v>
      </c>
      <c r="C265" s="12">
        <f t="shared" si="29"/>
        <v>3082.9509016071988</v>
      </c>
      <c r="D265">
        <f t="shared" si="30"/>
        <v>3.0449999999999999</v>
      </c>
      <c r="E265" s="13">
        <f t="shared" si="31"/>
        <v>2.2999999999999976</v>
      </c>
      <c r="F265">
        <v>0.72</v>
      </c>
      <c r="G265" s="21">
        <f t="shared" si="32"/>
        <v>3.4899503044425462E-2</v>
      </c>
      <c r="H265" s="3">
        <f t="shared" si="25"/>
        <v>8.6121901096420893E-3</v>
      </c>
      <c r="I265" s="3">
        <f t="shared" si="33"/>
        <v>-2.6287312934783372E-2</v>
      </c>
    </row>
    <row r="266" spans="1:9">
      <c r="A266">
        <f t="shared" si="27"/>
        <v>228</v>
      </c>
      <c r="B266" s="13">
        <f t="shared" si="34"/>
        <v>24.106431704532358</v>
      </c>
      <c r="C266" s="12">
        <f t="shared" si="29"/>
        <v>3082.9310074480454</v>
      </c>
      <c r="D266">
        <f t="shared" si="30"/>
        <v>3.0449999999999999</v>
      </c>
      <c r="E266" s="13">
        <f t="shared" si="31"/>
        <v>2.2916666666666643</v>
      </c>
      <c r="F266">
        <v>0.72</v>
      </c>
      <c r="G266" s="21">
        <f t="shared" si="32"/>
        <v>3.4665683838628739E-2</v>
      </c>
      <c r="H266" s="3">
        <f t="shared" si="25"/>
        <v>8.6121901096420893E-3</v>
      </c>
      <c r="I266" s="3">
        <f t="shared" si="33"/>
        <v>-2.6053493728986649E-2</v>
      </c>
    </row>
    <row r="267" spans="1:9">
      <c r="A267">
        <f t="shared" si="27"/>
        <v>229</v>
      </c>
      <c r="B267" s="13">
        <f t="shared" si="34"/>
        <v>24.080378210803371</v>
      </c>
      <c r="C267" s="12">
        <f t="shared" si="29"/>
        <v>3082.911113288892</v>
      </c>
      <c r="D267">
        <f t="shared" si="30"/>
        <v>3.0449999999999999</v>
      </c>
      <c r="E267" s="13">
        <f t="shared" si="31"/>
        <v>2.283333333333331</v>
      </c>
      <c r="F267">
        <v>0.72</v>
      </c>
      <c r="G267" s="21">
        <f t="shared" si="32"/>
        <v>3.4432587927131962E-2</v>
      </c>
      <c r="H267" s="3">
        <f t="shared" si="25"/>
        <v>8.6121901096420893E-3</v>
      </c>
      <c r="I267" s="3">
        <f t="shared" si="33"/>
        <v>-2.5820397817489873E-2</v>
      </c>
    </row>
    <row r="268" spans="1:9">
      <c r="A268">
        <f t="shared" si="27"/>
        <v>230</v>
      </c>
      <c r="B268" s="13">
        <f t="shared" si="34"/>
        <v>24.05455781298588</v>
      </c>
      <c r="C268" s="12">
        <f t="shared" si="29"/>
        <v>3082.8912191297386</v>
      </c>
      <c r="D268">
        <f t="shared" si="30"/>
        <v>3.0449999999999999</v>
      </c>
      <c r="E268" s="13">
        <f t="shared" si="31"/>
        <v>2.2749999999999977</v>
      </c>
      <c r="F268">
        <v>0.72</v>
      </c>
      <c r="G268" s="21">
        <f t="shared" si="32"/>
        <v>3.4200215700014545E-2</v>
      </c>
      <c r="H268" s="3">
        <f t="shared" si="25"/>
        <v>8.6121901096420893E-3</v>
      </c>
      <c r="I268" s="3">
        <f t="shared" si="33"/>
        <v>-2.5588025590372456E-2</v>
      </c>
    </row>
    <row r="269" spans="1:9">
      <c r="A269">
        <f t="shared" si="27"/>
        <v>231</v>
      </c>
      <c r="B269" s="13">
        <f t="shared" si="34"/>
        <v>24.028969787395507</v>
      </c>
      <c r="C269" s="12">
        <f t="shared" si="29"/>
        <v>3082.8713249705852</v>
      </c>
      <c r="D269">
        <f t="shared" si="30"/>
        <v>3.0449999999999999</v>
      </c>
      <c r="E269" s="13">
        <f t="shared" si="31"/>
        <v>2.2666666666666644</v>
      </c>
      <c r="F269">
        <v>0.72</v>
      </c>
      <c r="G269" s="21">
        <f t="shared" si="32"/>
        <v>3.3968567548993828E-2</v>
      </c>
      <c r="H269" s="3">
        <f t="shared" si="25"/>
        <v>8.6121901096420893E-3</v>
      </c>
      <c r="I269" s="3">
        <f t="shared" si="33"/>
        <v>-2.5356377439351738E-2</v>
      </c>
    </row>
    <row r="270" spans="1:9">
      <c r="A270">
        <f t="shared" si="27"/>
        <v>232</v>
      </c>
      <c r="B270" s="13">
        <f t="shared" si="34"/>
        <v>24.003613409956156</v>
      </c>
      <c r="C270" s="12">
        <f t="shared" si="29"/>
        <v>3082.8514308114318</v>
      </c>
      <c r="D270">
        <f t="shared" si="30"/>
        <v>3.0449999999999999</v>
      </c>
      <c r="E270" s="13">
        <f t="shared" si="31"/>
        <v>2.2583333333333311</v>
      </c>
      <c r="F270">
        <v>0.72</v>
      </c>
      <c r="G270" s="21">
        <f t="shared" si="32"/>
        <v>3.3737643867437626E-2</v>
      </c>
      <c r="H270" s="3">
        <f t="shared" si="25"/>
        <v>8.6121901096420893E-3</v>
      </c>
      <c r="I270" s="3">
        <f t="shared" si="33"/>
        <v>-2.5125453757795537E-2</v>
      </c>
    </row>
    <row r="271" spans="1:9">
      <c r="A271">
        <f t="shared" si="27"/>
        <v>233</v>
      </c>
      <c r="B271" s="13">
        <f t="shared" si="34"/>
        <v>23.978487956198361</v>
      </c>
      <c r="C271" s="12">
        <f t="shared" si="29"/>
        <v>3082.8315366522784</v>
      </c>
      <c r="D271">
        <f t="shared" si="30"/>
        <v>3.0449999999999999</v>
      </c>
      <c r="E271" s="13">
        <f t="shared" si="31"/>
        <v>2.2499999999999978</v>
      </c>
      <c r="F271">
        <v>0.72</v>
      </c>
      <c r="G271" s="21">
        <f t="shared" si="32"/>
        <v>3.3507445050377727E-2</v>
      </c>
      <c r="H271" s="3">
        <f t="shared" si="25"/>
        <v>8.6121901096420893E-3</v>
      </c>
      <c r="I271" s="3">
        <f t="shared" si="33"/>
        <v>-2.4895254940735637E-2</v>
      </c>
    </row>
    <row r="272" spans="1:9">
      <c r="A272">
        <f t="shared" si="27"/>
        <v>234</v>
      </c>
      <c r="B272" s="13">
        <f t="shared" si="34"/>
        <v>23.953592701257627</v>
      </c>
      <c r="C272" s="12">
        <f t="shared" si="29"/>
        <v>3082.811642493125</v>
      </c>
      <c r="D272">
        <f t="shared" si="30"/>
        <v>3.0449999999999999</v>
      </c>
      <c r="E272" s="13">
        <f t="shared" si="31"/>
        <v>2.2416666666666645</v>
      </c>
      <c r="F272">
        <v>0.72</v>
      </c>
      <c r="G272" s="21">
        <f t="shared" si="32"/>
        <v>3.3277971494522808E-2</v>
      </c>
      <c r="H272" s="3">
        <f t="shared" si="25"/>
        <v>8.6121901096420893E-3</v>
      </c>
      <c r="I272" s="3">
        <f t="shared" si="33"/>
        <v>-2.4665781384880719E-2</v>
      </c>
    </row>
    <row r="273" spans="1:9">
      <c r="A273">
        <f t="shared" si="27"/>
        <v>235</v>
      </c>
      <c r="B273" s="13">
        <f t="shared" si="34"/>
        <v>23.928926919872747</v>
      </c>
      <c r="C273" s="12">
        <f t="shared" si="29"/>
        <v>3082.7917483339716</v>
      </c>
      <c r="D273">
        <f t="shared" si="30"/>
        <v>3.0449999999999999</v>
      </c>
      <c r="E273" s="13">
        <f t="shared" si="31"/>
        <v>2.2333333333333312</v>
      </c>
      <c r="F273">
        <v>0.72</v>
      </c>
      <c r="G273" s="21">
        <f t="shared" si="32"/>
        <v>3.3049223598271928E-2</v>
      </c>
      <c r="H273" s="3">
        <f t="shared" si="25"/>
        <v>8.6121901096420893E-3</v>
      </c>
      <c r="I273" s="3">
        <f t="shared" si="33"/>
        <v>-2.4437033488629838E-2</v>
      </c>
    </row>
    <row r="274" spans="1:9">
      <c r="A274">
        <f t="shared" si="27"/>
        <v>236</v>
      </c>
      <c r="B274" s="13">
        <f t="shared" si="34"/>
        <v>23.904489886384116</v>
      </c>
      <c r="C274" s="12">
        <f t="shared" si="29"/>
        <v>3082.7718541748181</v>
      </c>
      <c r="D274">
        <f t="shared" si="30"/>
        <v>3.0449999999999999</v>
      </c>
      <c r="E274" s="13">
        <f t="shared" si="31"/>
        <v>2.2249999999999979</v>
      </c>
      <c r="F274">
        <v>0.72</v>
      </c>
      <c r="G274" s="21">
        <f t="shared" si="32"/>
        <v>3.2821201761728043E-2</v>
      </c>
      <c r="H274" s="3">
        <f t="shared" si="25"/>
        <v>8.6121901096420893E-3</v>
      </c>
      <c r="I274" s="3">
        <f t="shared" si="33"/>
        <v>-2.4209011652085954E-2</v>
      </c>
    </row>
    <row r="275" spans="1:9">
      <c r="A275">
        <f t="shared" si="27"/>
        <v>237</v>
      </c>
      <c r="B275" s="13">
        <f t="shared" si="34"/>
        <v>23.88028087473203</v>
      </c>
      <c r="C275" s="12">
        <f t="shared" si="29"/>
        <v>3082.7519600156647</v>
      </c>
      <c r="D275">
        <f t="shared" si="30"/>
        <v>3.0449999999999999</v>
      </c>
      <c r="E275" s="13">
        <f t="shared" si="31"/>
        <v>2.2166666666666646</v>
      </c>
      <c r="F275">
        <v>0.72</v>
      </c>
      <c r="G275" s="21">
        <f t="shared" si="32"/>
        <v>3.2593906386711578E-2</v>
      </c>
      <c r="H275" s="3">
        <f t="shared" si="25"/>
        <v>8.6121901096420893E-3</v>
      </c>
      <c r="I275" s="3">
        <f t="shared" si="33"/>
        <v>-2.3981716277069489E-2</v>
      </c>
    </row>
    <row r="276" spans="1:9">
      <c r="A276">
        <f t="shared" si="27"/>
        <v>238</v>
      </c>
      <c r="B276" s="13">
        <f t="shared" si="34"/>
        <v>23.856299158454959</v>
      </c>
      <c r="C276" s="12">
        <f t="shared" si="29"/>
        <v>3082.7320658565113</v>
      </c>
      <c r="D276">
        <f t="shared" si="30"/>
        <v>3.0449999999999999</v>
      </c>
      <c r="E276" s="13">
        <f t="shared" si="31"/>
        <v>2.2083333333333313</v>
      </c>
      <c r="F276">
        <v>0.72</v>
      </c>
      <c r="G276" s="21">
        <f t="shared" si="32"/>
        <v>3.2367337876774468E-2</v>
      </c>
      <c r="H276" s="3">
        <f t="shared" si="25"/>
        <v>8.6121901096420893E-3</v>
      </c>
      <c r="I276" s="3">
        <f t="shared" si="33"/>
        <v>-2.3755147767132379E-2</v>
      </c>
    </row>
    <row r="277" spans="1:9">
      <c r="A277">
        <f t="shared" si="27"/>
        <v>239</v>
      </c>
      <c r="B277" s="13">
        <f t="shared" si="34"/>
        <v>23.832544010687826</v>
      </c>
      <c r="C277" s="12">
        <f t="shared" si="29"/>
        <v>3082.7121716973579</v>
      </c>
      <c r="D277">
        <f t="shared" si="30"/>
        <v>3.0449999999999999</v>
      </c>
      <c r="E277" s="13">
        <f t="shared" si="31"/>
        <v>2.199999999999998</v>
      </c>
      <c r="F277">
        <v>0.72</v>
      </c>
      <c r="G277" s="21">
        <f t="shared" si="32"/>
        <v>3.2141496637214051E-2</v>
      </c>
      <c r="H277" s="3">
        <f t="shared" si="25"/>
        <v>8.6121901096420893E-3</v>
      </c>
      <c r="I277" s="3">
        <f t="shared" si="33"/>
        <v>-2.3529306527571962E-2</v>
      </c>
    </row>
    <row r="278" spans="1:9">
      <c r="A278">
        <f t="shared" si="27"/>
        <v>240</v>
      </c>
      <c r="B278" s="13">
        <f t="shared" si="34"/>
        <v>23.809014704160255</v>
      </c>
      <c r="C278" s="12">
        <f t="shared" si="29"/>
        <v>3082.6922775382045</v>
      </c>
      <c r="D278">
        <f t="shared" si="30"/>
        <v>3.0449999999999999</v>
      </c>
      <c r="E278" s="13">
        <f t="shared" si="31"/>
        <v>2.1916666666666647</v>
      </c>
      <c r="F278">
        <v>0.72</v>
      </c>
      <c r="G278" s="21">
        <f t="shared" si="32"/>
        <v>3.1916383075087262E-2</v>
      </c>
      <c r="H278" s="3">
        <f t="shared" si="25"/>
        <v>8.6121901096420893E-3</v>
      </c>
      <c r="I278" s="3">
        <f t="shared" si="33"/>
        <v>-2.3304192965445173E-2</v>
      </c>
    </row>
    <row r="279" spans="1:9">
      <c r="A279">
        <f t="shared" si="27"/>
        <v>241</v>
      </c>
      <c r="B279" s="13">
        <f t="shared" si="34"/>
        <v>23.785710511194811</v>
      </c>
      <c r="C279" s="12">
        <f t="shared" si="29"/>
        <v>3082.6723833790511</v>
      </c>
      <c r="D279">
        <f t="shared" si="30"/>
        <v>3.0449999999999999</v>
      </c>
      <c r="E279" s="13">
        <f t="shared" si="31"/>
        <v>2.1833333333333313</v>
      </c>
      <c r="F279">
        <v>0.72</v>
      </c>
      <c r="G279" s="21">
        <f t="shared" si="32"/>
        <v>3.1691997599224898E-2</v>
      </c>
      <c r="H279" s="3">
        <f t="shared" si="25"/>
        <v>8.6121901096420893E-3</v>
      </c>
      <c r="I279" s="3">
        <f t="shared" si="33"/>
        <v>-2.3079807489582809E-2</v>
      </c>
    </row>
    <row r="280" spans="1:9">
      <c r="A280">
        <f t="shared" si="27"/>
        <v>242</v>
      </c>
      <c r="B280" s="13">
        <f t="shared" si="34"/>
        <v>23.762630703705227</v>
      </c>
      <c r="C280" s="12">
        <f t="shared" si="29"/>
        <v>3082.6524892198977</v>
      </c>
      <c r="D280">
        <f t="shared" si="30"/>
        <v>3.0449999999999999</v>
      </c>
      <c r="E280" s="13">
        <f t="shared" si="31"/>
        <v>2.174999999999998</v>
      </c>
      <c r="F280">
        <v>0.72</v>
      </c>
      <c r="G280" s="21">
        <f t="shared" si="32"/>
        <v>3.1468340620246456E-2</v>
      </c>
      <c r="H280" s="3">
        <f t="shared" si="25"/>
        <v>8.6121901096420893E-3</v>
      </c>
      <c r="I280" s="3">
        <f t="shared" si="33"/>
        <v>-2.2856150510604367E-2</v>
      </c>
    </row>
    <row r="281" spans="1:9">
      <c r="A281">
        <f t="shared" si="27"/>
        <v>243</v>
      </c>
      <c r="B281" s="13">
        <f t="shared" si="34"/>
        <v>23.739774553194621</v>
      </c>
      <c r="C281" s="12">
        <f t="shared" si="29"/>
        <v>3082.6325950607443</v>
      </c>
      <c r="D281">
        <f t="shared" si="30"/>
        <v>3.0449999999999999</v>
      </c>
      <c r="E281" s="13">
        <f t="shared" si="31"/>
        <v>2.1666666666666647</v>
      </c>
      <c r="F281">
        <v>0.72</v>
      </c>
      <c r="G281" s="21">
        <f t="shared" si="32"/>
        <v>3.1245412550574312E-2</v>
      </c>
      <c r="H281" s="3">
        <f t="shared" si="25"/>
        <v>8.6121901096420893E-3</v>
      </c>
      <c r="I281" s="3">
        <f t="shared" si="33"/>
        <v>-2.2633222440932223E-2</v>
      </c>
    </row>
    <row r="282" spans="1:9">
      <c r="A282">
        <f t="shared" si="27"/>
        <v>244</v>
      </c>
      <c r="B282" s="13">
        <f t="shared" si="34"/>
        <v>23.717141330753691</v>
      </c>
      <c r="C282" s="12">
        <f t="shared" si="29"/>
        <v>3082.6127009015909</v>
      </c>
      <c r="D282">
        <f t="shared" si="30"/>
        <v>3.0449999999999999</v>
      </c>
      <c r="E282" s="13">
        <f t="shared" si="31"/>
        <v>2.1583333333333314</v>
      </c>
      <c r="F282">
        <v>0.72</v>
      </c>
      <c r="G282" s="21">
        <f t="shared" si="32"/>
        <v>3.1023213804449133E-2</v>
      </c>
      <c r="H282" s="3">
        <f t="shared" si="25"/>
        <v>8.6121901096420893E-3</v>
      </c>
      <c r="I282" s="3">
        <f t="shared" si="33"/>
        <v>-2.2411023694807044E-2</v>
      </c>
    </row>
    <row r="283" spans="1:9">
      <c r="A283">
        <f t="shared" si="27"/>
        <v>245</v>
      </c>
      <c r="B283" s="13">
        <f t="shared" si="34"/>
        <v>23.694730307058883</v>
      </c>
      <c r="C283" s="12">
        <f t="shared" si="29"/>
        <v>3082.5928067424375</v>
      </c>
      <c r="D283">
        <f t="shared" si="30"/>
        <v>3.0449999999999999</v>
      </c>
      <c r="E283" s="13">
        <f t="shared" si="31"/>
        <v>2.1499999999999981</v>
      </c>
      <c r="F283">
        <v>0.72</v>
      </c>
      <c r="G283" s="21">
        <f t="shared" si="32"/>
        <v>3.0801744797944439E-2</v>
      </c>
      <c r="H283" s="3">
        <f t="shared" si="25"/>
        <v>8.6121901096420893E-3</v>
      </c>
      <c r="I283" s="3">
        <f t="shared" si="33"/>
        <v>-2.2189554688302349E-2</v>
      </c>
    </row>
    <row r="284" spans="1:9">
      <c r="A284">
        <f t="shared" si="27"/>
        <v>246</v>
      </c>
      <c r="B284" s="13">
        <f t="shared" si="34"/>
        <v>23.67254075237058</v>
      </c>
      <c r="C284" s="12">
        <f t="shared" si="29"/>
        <v>3082.5729125832841</v>
      </c>
      <c r="D284">
        <f t="shared" si="30"/>
        <v>3.0449999999999999</v>
      </c>
      <c r="E284" s="13">
        <f t="shared" si="31"/>
        <v>2.1416666666666648</v>
      </c>
      <c r="F284">
        <v>0.72</v>
      </c>
      <c r="G284" s="21">
        <f t="shared" si="32"/>
        <v>3.0581005948982356E-2</v>
      </c>
      <c r="H284" s="3">
        <f t="shared" si="25"/>
        <v>8.6121901096420893E-3</v>
      </c>
      <c r="I284" s="3">
        <f t="shared" si="33"/>
        <v>-2.1968815839340267E-2</v>
      </c>
    </row>
    <row r="285" spans="1:9">
      <c r="A285">
        <f t="shared" si="27"/>
        <v>247</v>
      </c>
      <c r="B285" s="13">
        <f t="shared" si="34"/>
        <v>23.650571936531239</v>
      </c>
      <c r="C285" s="12">
        <f t="shared" si="29"/>
        <v>3082.5530184241306</v>
      </c>
      <c r="D285">
        <f t="shared" si="30"/>
        <v>3.0449999999999999</v>
      </c>
      <c r="E285" s="13">
        <f t="shared" si="31"/>
        <v>2.1333333333333315</v>
      </c>
      <c r="F285">
        <v>0.72</v>
      </c>
      <c r="G285" s="21">
        <f t="shared" si="32"/>
        <v>3.0360997677348556E-2</v>
      </c>
      <c r="H285" s="3">
        <f t="shared" si="25"/>
        <v>8.6121901096420893E-3</v>
      </c>
      <c r="I285" s="3">
        <f t="shared" si="33"/>
        <v>-2.1748807567706467E-2</v>
      </c>
    </row>
    <row r="286" spans="1:9">
      <c r="A286">
        <f t="shared" si="27"/>
        <v>248</v>
      </c>
      <c r="B286" s="13">
        <f t="shared" si="34"/>
        <v>23.628823128963532</v>
      </c>
      <c r="C286" s="12">
        <f t="shared" si="29"/>
        <v>3082.5331242649772</v>
      </c>
      <c r="D286">
        <f t="shared" si="30"/>
        <v>3.0449999999999999</v>
      </c>
      <c r="E286" s="13">
        <f t="shared" si="31"/>
        <v>2.1249999999999982</v>
      </c>
      <c r="F286">
        <v>0.72</v>
      </c>
      <c r="G286" s="21">
        <f t="shared" si="32"/>
        <v>3.0141720404708066E-2</v>
      </c>
      <c r="H286" s="3">
        <f t="shared" si="25"/>
        <v>8.6121901096420893E-3</v>
      </c>
      <c r="I286" s="3">
        <f t="shared" si="33"/>
        <v>-2.1529530295065977E-2</v>
      </c>
    </row>
    <row r="287" spans="1:9">
      <c r="A287">
        <f t="shared" si="27"/>
        <v>249</v>
      </c>
      <c r="B287" s="13">
        <f t="shared" si="34"/>
        <v>23.607293598668466</v>
      </c>
      <c r="C287" s="12">
        <f t="shared" si="29"/>
        <v>3082.5132301058238</v>
      </c>
      <c r="D287">
        <f t="shared" si="30"/>
        <v>3.0449999999999999</v>
      </c>
      <c r="E287" s="13">
        <f t="shared" si="31"/>
        <v>2.1166666666666649</v>
      </c>
      <c r="F287">
        <v>0.72</v>
      </c>
      <c r="G287" s="21">
        <f t="shared" si="32"/>
        <v>2.992317455462119E-2</v>
      </c>
      <c r="H287" s="3">
        <f t="shared" si="25"/>
        <v>8.6121901096420893E-3</v>
      </c>
      <c r="I287" s="3">
        <f t="shared" si="33"/>
        <v>-2.13109844449791E-2</v>
      </c>
    </row>
    <row r="288" spans="1:9">
      <c r="A288">
        <f t="shared" si="27"/>
        <v>250</v>
      </c>
      <c r="B288" s="13">
        <f t="shared" si="34"/>
        <v>23.585982614223486</v>
      </c>
      <c r="C288" s="12">
        <f t="shared" si="29"/>
        <v>3082.4933359466704</v>
      </c>
      <c r="D288">
        <f t="shared" si="30"/>
        <v>3.0449999999999999</v>
      </c>
      <c r="E288" s="13">
        <f t="shared" si="31"/>
        <v>2.1083333333333316</v>
      </c>
      <c r="F288">
        <v>0.72</v>
      </c>
      <c r="G288" s="21">
        <f t="shared" si="32"/>
        <v>2.9705360552559412E-2</v>
      </c>
      <c r="H288" s="3">
        <f t="shared" si="25"/>
        <v>8.6121901096420893E-3</v>
      </c>
      <c r="I288" s="3">
        <f t="shared" si="33"/>
        <v>-2.1093170442917322E-2</v>
      </c>
    </row>
    <row r="289" spans="1:9">
      <c r="A289">
        <f t="shared" si="27"/>
        <v>251</v>
      </c>
      <c r="B289" s="13">
        <f t="shared" si="34"/>
        <v>23.564889443780569</v>
      </c>
      <c r="C289" s="12">
        <f t="shared" si="29"/>
        <v>3082.473441787517</v>
      </c>
      <c r="D289">
        <f t="shared" si="30"/>
        <v>3.0449999999999999</v>
      </c>
      <c r="E289" s="13">
        <f t="shared" si="31"/>
        <v>2.0999999999999983</v>
      </c>
      <c r="F289">
        <v>0.72</v>
      </c>
      <c r="G289" s="21">
        <f t="shared" si="32"/>
        <v>2.9488278825921473E-2</v>
      </c>
      <c r="H289" s="3">
        <f t="shared" si="25"/>
        <v>8.6121901096420893E-3</v>
      </c>
      <c r="I289" s="3">
        <f t="shared" si="33"/>
        <v>-2.0876088716279384E-2</v>
      </c>
    </row>
    <row r="290" spans="1:9">
      <c r="A290">
        <f t="shared" si="27"/>
        <v>252</v>
      </c>
      <c r="B290" s="13">
        <f t="shared" si="34"/>
        <v>23.54401335506429</v>
      </c>
      <c r="C290" s="12">
        <f t="shared" si="29"/>
        <v>3082.4535476283636</v>
      </c>
      <c r="D290">
        <f t="shared" si="30"/>
        <v>3.0449999999999999</v>
      </c>
      <c r="E290" s="13">
        <f t="shared" si="31"/>
        <v>2.091666666666665</v>
      </c>
      <c r="F290">
        <v>0.72</v>
      </c>
      <c r="G290" s="21">
        <f t="shared" si="32"/>
        <v>2.9271929804049981E-2</v>
      </c>
      <c r="H290" s="3">
        <f t="shared" si="25"/>
        <v>8.6121901096420893E-3</v>
      </c>
      <c r="I290" s="3">
        <f t="shared" si="33"/>
        <v>-2.0659739694407892E-2</v>
      </c>
    </row>
    <row r="291" spans="1:9">
      <c r="A291">
        <f t="shared" si="27"/>
        <v>253</v>
      </c>
      <c r="B291" s="13">
        <f t="shared" si="34"/>
        <v>23.523353615369881</v>
      </c>
      <c r="C291" s="12">
        <f t="shared" si="29"/>
        <v>3082.4336534692102</v>
      </c>
      <c r="D291">
        <f t="shared" si="30"/>
        <v>3.0449999999999999</v>
      </c>
      <c r="E291" s="13">
        <f t="shared" si="31"/>
        <v>2.0833333333333317</v>
      </c>
      <c r="F291">
        <v>0.72</v>
      </c>
      <c r="G291" s="21">
        <f t="shared" si="32"/>
        <v>2.9056313918247836E-2</v>
      </c>
      <c r="H291" s="3">
        <f t="shared" si="25"/>
        <v>8.6121901096420893E-3</v>
      </c>
      <c r="I291" s="3">
        <f t="shared" si="33"/>
        <v>-2.0444123808605746E-2</v>
      </c>
    </row>
    <row r="292" spans="1:9">
      <c r="A292">
        <f t="shared" si="27"/>
        <v>254</v>
      </c>
      <c r="B292" s="13">
        <f t="shared" si="34"/>
        <v>23.502909491561276</v>
      </c>
      <c r="C292" s="12">
        <f t="shared" si="29"/>
        <v>3082.4137593100568</v>
      </c>
      <c r="D292">
        <f t="shared" si="30"/>
        <v>3.0449999999999999</v>
      </c>
      <c r="E292" s="13">
        <f t="shared" si="31"/>
        <v>2.0749999999999984</v>
      </c>
      <c r="F292">
        <v>0.72</v>
      </c>
      <c r="G292" s="21">
        <f t="shared" si="32"/>
        <v>2.8841431601795163E-2</v>
      </c>
      <c r="H292" s="3">
        <f t="shared" si="25"/>
        <v>8.6121901096420893E-3</v>
      </c>
      <c r="I292" s="3">
        <f t="shared" si="33"/>
        <v>-2.0229241492153074E-2</v>
      </c>
    </row>
    <row r="293" spans="1:9">
      <c r="A293">
        <f t="shared" si="27"/>
        <v>255</v>
      </c>
      <c r="B293" s="13">
        <f t="shared" si="34"/>
        <v>23.482680250069123</v>
      </c>
      <c r="C293" s="12">
        <f t="shared" si="29"/>
        <v>3082.3938651509034</v>
      </c>
      <c r="D293">
        <f t="shared" si="30"/>
        <v>3.0449999999999999</v>
      </c>
      <c r="E293" s="13">
        <f t="shared" si="31"/>
        <v>2.0666666666666651</v>
      </c>
      <c r="F293">
        <v>0.72</v>
      </c>
      <c r="G293" s="21">
        <f t="shared" si="32"/>
        <v>2.8627283289966311E-2</v>
      </c>
      <c r="H293" s="3">
        <f t="shared" si="25"/>
        <v>8.6121901096420893E-3</v>
      </c>
      <c r="I293" s="3">
        <f t="shared" si="33"/>
        <v>-2.0015093180324222E-2</v>
      </c>
    </row>
    <row r="294" spans="1:9">
      <c r="A294">
        <f t="shared" si="27"/>
        <v>256</v>
      </c>
      <c r="B294" s="13">
        <f t="shared" si="34"/>
        <v>23.4626651568888</v>
      </c>
      <c r="C294" s="12">
        <f t="shared" si="29"/>
        <v>3082.37397099175</v>
      </c>
      <c r="D294">
        <f t="shared" si="30"/>
        <v>3.0449999999999999</v>
      </c>
      <c r="E294" s="13">
        <f t="shared" si="31"/>
        <v>2.0583333333333318</v>
      </c>
      <c r="F294">
        <v>0.72</v>
      </c>
      <c r="G294" s="21">
        <f t="shared" si="32"/>
        <v>2.8413869420047155E-2</v>
      </c>
      <c r="H294" s="3">
        <f t="shared" si="25"/>
        <v>8.6121901096420893E-3</v>
      </c>
      <c r="I294" s="3">
        <f t="shared" si="33"/>
        <v>-1.9801679310405065E-2</v>
      </c>
    </row>
    <row r="295" spans="1:9">
      <c r="A295">
        <f t="shared" si="27"/>
        <v>257</v>
      </c>
      <c r="B295" s="13">
        <f t="shared" si="34"/>
        <v>23.442863477578396</v>
      </c>
      <c r="C295" s="12">
        <f t="shared" si="29"/>
        <v>3082.3540768325965</v>
      </c>
      <c r="D295">
        <f t="shared" si="30"/>
        <v>3.0449999999999999</v>
      </c>
      <c r="E295" s="13">
        <f t="shared" si="31"/>
        <v>2.0499999999999985</v>
      </c>
      <c r="F295">
        <v>0.72</v>
      </c>
      <c r="G295" s="21">
        <f t="shared" si="32"/>
        <v>2.8201190431352378E-2</v>
      </c>
      <c r="H295" s="3">
        <f t="shared" si="25"/>
        <v>8.6121901096420893E-3</v>
      </c>
      <c r="I295" s="3">
        <f t="shared" si="33"/>
        <v>-1.9589000321710289E-2</v>
      </c>
    </row>
    <row r="296" spans="1:9">
      <c r="A296">
        <f t="shared" si="27"/>
        <v>258</v>
      </c>
      <c r="B296" s="13">
        <f t="shared" si="34"/>
        <v>23.423274477256687</v>
      </c>
      <c r="C296" s="12">
        <f t="shared" si="29"/>
        <v>3082.3341826734431</v>
      </c>
      <c r="D296">
        <f t="shared" si="30"/>
        <v>3.0449999999999999</v>
      </c>
      <c r="E296" s="13">
        <f t="shared" si="31"/>
        <v>2.0416666666666652</v>
      </c>
      <c r="F296">
        <v>0.72</v>
      </c>
      <c r="G296" s="21">
        <f t="shared" si="32"/>
        <v>2.7989246765243309E-2</v>
      </c>
      <c r="H296" s="3">
        <f t="shared" ref="H296:H312" si="35">(D296*$C$19)/2.31</f>
        <v>8.6121901096420893E-3</v>
      </c>
      <c r="I296" s="3">
        <f t="shared" ref="I296:I312" si="36">H296-G296</f>
        <v>-1.9377056655601219E-2</v>
      </c>
    </row>
    <row r="297" spans="1:9">
      <c r="A297">
        <f t="shared" ref="A297:A360" si="37">A296+1</f>
        <v>259</v>
      </c>
      <c r="B297" s="13">
        <f t="shared" ref="B297:B312" si="38">B296+I296</f>
        <v>23.403897420601087</v>
      </c>
      <c r="C297" s="12">
        <f t="shared" ref="C297:C312" si="39">C296-H296*2.31</f>
        <v>3082.3142885142897</v>
      </c>
      <c r="D297">
        <f t="shared" ref="D297:D360" si="40">$C$13</f>
        <v>3.0449999999999999</v>
      </c>
      <c r="E297" s="13">
        <f t="shared" ref="E297:E360" si="41">E296-($C$6/60)</f>
        <v>2.0333333333333319</v>
      </c>
      <c r="F297">
        <v>0.72</v>
      </c>
      <c r="G297" s="21">
        <f t="shared" ref="G297:G312" si="42">(1050*((E297/$C$11)^1.852)*(D297/100)*(F297^-4.87))/2.31</f>
        <v>2.77780388651458E-2</v>
      </c>
      <c r="H297" s="3">
        <f t="shared" si="35"/>
        <v>8.6121901096420893E-3</v>
      </c>
      <c r="I297" s="3">
        <f t="shared" si="36"/>
        <v>-1.9165848755503711E-2</v>
      </c>
    </row>
    <row r="298" spans="1:9">
      <c r="A298">
        <f t="shared" si="37"/>
        <v>260</v>
      </c>
      <c r="B298" s="13">
        <f t="shared" si="38"/>
        <v>23.384731571845585</v>
      </c>
      <c r="C298" s="12">
        <f t="shared" si="39"/>
        <v>3082.2943943551363</v>
      </c>
      <c r="D298">
        <f t="shared" si="40"/>
        <v>3.0449999999999999</v>
      </c>
      <c r="E298" s="13">
        <f t="shared" si="41"/>
        <v>2.0249999999999986</v>
      </c>
      <c r="F298">
        <v>0.72</v>
      </c>
      <c r="G298" s="21">
        <f t="shared" si="42"/>
        <v>2.7567567176568455E-2</v>
      </c>
      <c r="H298" s="3">
        <f t="shared" si="35"/>
        <v>8.6121901096420893E-3</v>
      </c>
      <c r="I298" s="3">
        <f t="shared" si="36"/>
        <v>-1.8955377066926366E-2</v>
      </c>
    </row>
    <row r="299" spans="1:9">
      <c r="A299">
        <f t="shared" si="37"/>
        <v>261</v>
      </c>
      <c r="B299" s="13">
        <f t="shared" si="38"/>
        <v>23.365776194778658</v>
      </c>
      <c r="C299" s="12">
        <f t="shared" si="39"/>
        <v>3082.2745001959829</v>
      </c>
      <c r="D299">
        <f t="shared" si="40"/>
        <v>3.0449999999999999</v>
      </c>
      <c r="E299" s="13">
        <f t="shared" si="41"/>
        <v>2.0166666666666653</v>
      </c>
      <c r="F299">
        <v>0.72</v>
      </c>
      <c r="G299" s="21">
        <f t="shared" si="42"/>
        <v>2.7357832147120741E-2</v>
      </c>
      <c r="H299" s="3">
        <f t="shared" si="35"/>
        <v>8.6121901096420893E-3</v>
      </c>
      <c r="I299" s="3">
        <f t="shared" si="36"/>
        <v>-1.8745642037478652E-2</v>
      </c>
    </row>
    <row r="300" spans="1:9">
      <c r="A300">
        <f t="shared" si="37"/>
        <v>262</v>
      </c>
      <c r="B300" s="13">
        <f t="shared" si="38"/>
        <v>23.347030552741177</v>
      </c>
      <c r="C300" s="12">
        <f t="shared" si="39"/>
        <v>3082.2546060368295</v>
      </c>
      <c r="D300">
        <f t="shared" si="40"/>
        <v>3.0449999999999999</v>
      </c>
      <c r="E300" s="13">
        <f t="shared" si="41"/>
        <v>2.008333333333332</v>
      </c>
      <c r="F300">
        <v>0.72</v>
      </c>
      <c r="G300" s="21">
        <f t="shared" si="42"/>
        <v>2.7148834226531967E-2</v>
      </c>
      <c r="H300" s="3">
        <f t="shared" si="35"/>
        <v>8.6121901096420893E-3</v>
      </c>
      <c r="I300" s="3">
        <f t="shared" si="36"/>
        <v>-1.8536644116889878E-2</v>
      </c>
    </row>
    <row r="301" spans="1:9">
      <c r="A301">
        <f t="shared" si="37"/>
        <v>263</v>
      </c>
      <c r="B301" s="13">
        <f t="shared" si="38"/>
        <v>23.328493908624289</v>
      </c>
      <c r="C301" s="12">
        <f t="shared" si="39"/>
        <v>3082.2347118776761</v>
      </c>
      <c r="D301">
        <f t="shared" si="40"/>
        <v>3.0449999999999999</v>
      </c>
      <c r="E301" s="13">
        <f t="shared" si="41"/>
        <v>1.9999999999999987</v>
      </c>
      <c r="F301">
        <v>0.72</v>
      </c>
      <c r="G301" s="21">
        <f t="shared" si="42"/>
        <v>2.6940573866669811E-2</v>
      </c>
      <c r="H301" s="3">
        <f t="shared" si="35"/>
        <v>8.6121901096420893E-3</v>
      </c>
      <c r="I301" s="3">
        <f t="shared" si="36"/>
        <v>-1.8328383757027722E-2</v>
      </c>
    </row>
    <row r="302" spans="1:9">
      <c r="A302">
        <f t="shared" si="37"/>
        <v>264</v>
      </c>
      <c r="B302" s="13">
        <f t="shared" si="38"/>
        <v>23.310165524867262</v>
      </c>
      <c r="C302" s="12">
        <f t="shared" si="39"/>
        <v>3082.2148177185227</v>
      </c>
      <c r="D302">
        <f t="shared" si="40"/>
        <v>3.0449999999999999</v>
      </c>
      <c r="E302" s="13">
        <f t="shared" si="41"/>
        <v>1.9916666666666654</v>
      </c>
      <c r="F302">
        <v>0.72</v>
      </c>
      <c r="G302" s="21">
        <f t="shared" si="42"/>
        <v>2.6733051521559654E-2</v>
      </c>
      <c r="H302" s="3">
        <f t="shared" si="35"/>
        <v>8.6121901096420893E-3</v>
      </c>
      <c r="I302" s="3">
        <f t="shared" si="36"/>
        <v>-1.8120861411917565E-2</v>
      </c>
    </row>
    <row r="303" spans="1:9">
      <c r="A303">
        <f t="shared" si="37"/>
        <v>265</v>
      </c>
      <c r="B303" s="13">
        <f t="shared" si="38"/>
        <v>23.292044663455343</v>
      </c>
      <c r="C303" s="12">
        <f t="shared" si="39"/>
        <v>3082.1949235593693</v>
      </c>
      <c r="D303">
        <f t="shared" si="40"/>
        <v>3.0449999999999999</v>
      </c>
      <c r="E303" s="13">
        <f t="shared" si="41"/>
        <v>1.9833333333333321</v>
      </c>
      <c r="F303">
        <v>0.72</v>
      </c>
      <c r="G303" s="21">
        <f t="shared" si="42"/>
        <v>2.652626764740388E-2</v>
      </c>
      <c r="H303" s="3">
        <f t="shared" si="35"/>
        <v>8.6121901096420893E-3</v>
      </c>
      <c r="I303" s="3">
        <f t="shared" si="36"/>
        <v>-1.791407753776179E-2</v>
      </c>
    </row>
    <row r="304" spans="1:9">
      <c r="A304">
        <f t="shared" si="37"/>
        <v>266</v>
      </c>
      <c r="B304" s="13">
        <f t="shared" si="38"/>
        <v>23.274130585917582</v>
      </c>
      <c r="C304" s="12">
        <f t="shared" si="39"/>
        <v>3082.1750294002159</v>
      </c>
      <c r="D304">
        <f t="shared" si="40"/>
        <v>3.0449999999999999</v>
      </c>
      <c r="E304" s="13">
        <f t="shared" si="41"/>
        <v>1.9749999999999988</v>
      </c>
      <c r="F304">
        <v>0.72</v>
      </c>
      <c r="G304" s="21">
        <f t="shared" si="42"/>
        <v>2.6320222702601394E-2</v>
      </c>
      <c r="H304" s="3">
        <f t="shared" si="35"/>
        <v>8.6121901096420893E-3</v>
      </c>
      <c r="I304" s="3">
        <f t="shared" si="36"/>
        <v>-1.7708032592959305E-2</v>
      </c>
    </row>
    <row r="305" spans="1:9">
      <c r="A305">
        <f t="shared" si="37"/>
        <v>267</v>
      </c>
      <c r="B305" s="13">
        <f t="shared" si="38"/>
        <v>23.256422553324622</v>
      </c>
      <c r="C305" s="12">
        <f t="shared" si="39"/>
        <v>3082.1551352410625</v>
      </c>
      <c r="D305">
        <f t="shared" si="40"/>
        <v>3.0449999999999999</v>
      </c>
      <c r="E305" s="13">
        <f t="shared" si="41"/>
        <v>1.9666666666666655</v>
      </c>
      <c r="F305">
        <v>0.72</v>
      </c>
      <c r="G305" s="21">
        <f t="shared" si="42"/>
        <v>2.6114917147767629E-2</v>
      </c>
      <c r="H305" s="3">
        <f t="shared" si="35"/>
        <v>8.6121901096420893E-3</v>
      </c>
      <c r="I305" s="3">
        <f t="shared" si="36"/>
        <v>-1.750272703812554E-2</v>
      </c>
    </row>
    <row r="306" spans="1:9">
      <c r="A306" s="29">
        <f t="shared" si="37"/>
        <v>268</v>
      </c>
      <c r="B306" s="30">
        <f t="shared" si="38"/>
        <v>23.238919826286498</v>
      </c>
      <c r="C306" s="12">
        <f t="shared" si="39"/>
        <v>3082.135241081909</v>
      </c>
      <c r="D306" s="29">
        <f t="shared" si="40"/>
        <v>3.0449999999999999</v>
      </c>
      <c r="E306" s="30">
        <f t="shared" si="41"/>
        <v>1.9583333333333321</v>
      </c>
      <c r="F306">
        <v>0.72</v>
      </c>
      <c r="G306" s="32">
        <f t="shared" si="42"/>
        <v>2.5910351445754584E-2</v>
      </c>
      <c r="H306" s="3">
        <f t="shared" si="35"/>
        <v>8.6121901096420893E-3</v>
      </c>
      <c r="I306" s="33">
        <f t="shared" si="36"/>
        <v>-1.7298161336112495E-2</v>
      </c>
    </row>
    <row r="307" spans="1:9">
      <c r="A307" s="29">
        <f t="shared" si="37"/>
        <v>269</v>
      </c>
      <c r="B307" s="30">
        <f t="shared" si="38"/>
        <v>23.221621664950387</v>
      </c>
      <c r="C307" s="12">
        <f t="shared" si="39"/>
        <v>3082.1153469227556</v>
      </c>
      <c r="D307" s="29">
        <f t="shared" si="40"/>
        <v>3.0449999999999999</v>
      </c>
      <c r="E307" s="30">
        <f t="shared" si="41"/>
        <v>1.9499999999999988</v>
      </c>
      <c r="F307">
        <v>0.72</v>
      </c>
      <c r="G307" s="32">
        <f t="shared" si="42"/>
        <v>2.5706526061671228E-2</v>
      </c>
      <c r="H307" s="3">
        <f t="shared" si="35"/>
        <v>8.6121901096420893E-3</v>
      </c>
      <c r="I307" s="33">
        <f t="shared" si="36"/>
        <v>-1.7094335952029138E-2</v>
      </c>
    </row>
    <row r="308" spans="1:9">
      <c r="A308">
        <f t="shared" si="37"/>
        <v>270</v>
      </c>
      <c r="B308" s="13">
        <f t="shared" si="38"/>
        <v>23.204527328998356</v>
      </c>
      <c r="C308" s="12">
        <f t="shared" si="39"/>
        <v>3082.0954527636022</v>
      </c>
      <c r="D308">
        <f t="shared" si="40"/>
        <v>3.0449999999999999</v>
      </c>
      <c r="E308" s="13">
        <f t="shared" si="41"/>
        <v>1.9416666666666655</v>
      </c>
      <c r="F308">
        <v>0.72</v>
      </c>
      <c r="G308" s="21">
        <f t="shared" si="42"/>
        <v>2.5503441462904369E-2</v>
      </c>
      <c r="H308" s="3">
        <f t="shared" si="35"/>
        <v>8.6121901096420893E-3</v>
      </c>
      <c r="I308" s="3">
        <f t="shared" si="36"/>
        <v>-1.689125135326228E-2</v>
      </c>
    </row>
    <row r="309" spans="1:9">
      <c r="A309">
        <f t="shared" si="37"/>
        <v>271</v>
      </c>
      <c r="B309" s="13">
        <f t="shared" si="38"/>
        <v>23.187636077645095</v>
      </c>
      <c r="C309" s="12">
        <f t="shared" si="39"/>
        <v>3082.0755586044488</v>
      </c>
      <c r="D309">
        <f t="shared" si="40"/>
        <v>3.0449999999999999</v>
      </c>
      <c r="E309" s="13">
        <f t="shared" si="41"/>
        <v>1.9333333333333322</v>
      </c>
      <c r="F309">
        <v>0.72</v>
      </c>
      <c r="G309" s="21">
        <f t="shared" si="42"/>
        <v>2.5301098119139311E-2</v>
      </c>
      <c r="H309" s="3">
        <f t="shared" si="35"/>
        <v>8.6121901096420893E-3</v>
      </c>
      <c r="I309" s="3">
        <f t="shared" si="36"/>
        <v>-1.6688908009497221E-2</v>
      </c>
    </row>
    <row r="310" spans="1:9">
      <c r="A310">
        <f t="shared" si="37"/>
        <v>272</v>
      </c>
      <c r="B310" s="13">
        <f t="shared" si="38"/>
        <v>23.170947169635596</v>
      </c>
      <c r="C310" s="12">
        <f t="shared" si="39"/>
        <v>3082.0556644452954</v>
      </c>
      <c r="D310">
        <f t="shared" si="40"/>
        <v>3.0449999999999999</v>
      </c>
      <c r="E310" s="13">
        <f t="shared" si="41"/>
        <v>1.9249999999999989</v>
      </c>
      <c r="F310">
        <v>0.72</v>
      </c>
      <c r="G310" s="21">
        <f t="shared" si="42"/>
        <v>2.5099496502381295E-2</v>
      </c>
      <c r="H310" s="3">
        <f t="shared" si="35"/>
        <v>8.6121901096420893E-3</v>
      </c>
      <c r="I310" s="3">
        <f t="shared" si="36"/>
        <v>-1.6487306392739206E-2</v>
      </c>
    </row>
    <row r="311" spans="1:9">
      <c r="A311">
        <f t="shared" si="37"/>
        <v>273</v>
      </c>
      <c r="B311" s="13">
        <f t="shared" si="38"/>
        <v>23.154459863242856</v>
      </c>
      <c r="C311" s="12">
        <f t="shared" si="39"/>
        <v>3082.035770286142</v>
      </c>
      <c r="D311">
        <f t="shared" si="40"/>
        <v>3.0449999999999999</v>
      </c>
      <c r="E311" s="13">
        <f t="shared" si="41"/>
        <v>1.9166666666666656</v>
      </c>
      <c r="F311">
        <v>0.72</v>
      </c>
      <c r="G311" s="21">
        <f t="shared" si="42"/>
        <v>2.4898637086977041E-2</v>
      </c>
      <c r="H311" s="3">
        <f t="shared" si="35"/>
        <v>8.6121901096420893E-3</v>
      </c>
      <c r="I311" s="3">
        <f t="shared" si="36"/>
        <v>-1.6286446977334952E-2</v>
      </c>
    </row>
    <row r="312" spans="1:9">
      <c r="A312">
        <f t="shared" si="37"/>
        <v>274</v>
      </c>
      <c r="B312" s="13">
        <f t="shared" si="38"/>
        <v>23.13817341626552</v>
      </c>
      <c r="C312" s="12">
        <f t="shared" si="39"/>
        <v>3082.0158761269886</v>
      </c>
      <c r="D312">
        <f t="shared" si="40"/>
        <v>3.0449999999999999</v>
      </c>
      <c r="E312" s="13">
        <f t="shared" si="41"/>
        <v>1.9083333333333323</v>
      </c>
      <c r="F312">
        <v>0.72</v>
      </c>
      <c r="G312" s="21">
        <f t="shared" si="42"/>
        <v>2.4698520349636498E-2</v>
      </c>
      <c r="H312" s="3">
        <f t="shared" si="35"/>
        <v>8.6121901096420893E-3</v>
      </c>
      <c r="I312" s="3">
        <f t="shared" si="36"/>
        <v>-1.6086330239994409E-2</v>
      </c>
    </row>
    <row r="313" spans="1:9">
      <c r="A313">
        <f t="shared" si="37"/>
        <v>275</v>
      </c>
      <c r="B313" s="13">
        <f t="shared" ref="B313:B359" si="43">B312+I312</f>
        <v>23.122087086025527</v>
      </c>
      <c r="C313" s="12">
        <f t="shared" ref="C313:C359" si="44">C312-H312*2.31</f>
        <v>3081.9959819678352</v>
      </c>
      <c r="D313">
        <f t="shared" si="40"/>
        <v>3.0449999999999999</v>
      </c>
      <c r="E313" s="13">
        <f t="shared" si="41"/>
        <v>1.899999999999999</v>
      </c>
      <c r="F313">
        <v>0.72</v>
      </c>
      <c r="G313" s="21">
        <f t="shared" ref="G313:G359" si="45">(1050*((E313/$C$11)^1.852)*(D313/100)*(F313^-4.87))/2.31</f>
        <v>2.4499146769454944E-2</v>
      </c>
      <c r="H313" s="3">
        <f t="shared" ref="H313:H359" si="46">(D313*$C$19)/2.31</f>
        <v>8.6121901096420893E-3</v>
      </c>
      <c r="I313" s="3">
        <f t="shared" ref="I313:I359" si="47">H313-G313</f>
        <v>-1.5886956659812854E-2</v>
      </c>
    </row>
    <row r="314" spans="1:9">
      <c r="A314">
        <f t="shared" si="37"/>
        <v>276</v>
      </c>
      <c r="B314" s="13">
        <f t="shared" si="43"/>
        <v>23.106200129365714</v>
      </c>
      <c r="C314" s="12">
        <f t="shared" si="44"/>
        <v>3081.9760878086818</v>
      </c>
      <c r="D314">
        <f t="shared" si="40"/>
        <v>3.0449999999999999</v>
      </c>
      <c r="E314" s="13">
        <f t="shared" si="41"/>
        <v>1.8916666666666657</v>
      </c>
      <c r="F314">
        <v>0.72</v>
      </c>
      <c r="G314" s="21">
        <f t="shared" si="45"/>
        <v>2.4300516827935572E-2</v>
      </c>
      <c r="H314" s="3">
        <f t="shared" si="46"/>
        <v>8.6121901096420893E-3</v>
      </c>
      <c r="I314" s="3">
        <f t="shared" si="47"/>
        <v>-1.5688326718293483E-2</v>
      </c>
    </row>
    <row r="315" spans="1:9">
      <c r="A315">
        <f t="shared" si="37"/>
        <v>277</v>
      </c>
      <c r="B315" s="13">
        <f t="shared" si="43"/>
        <v>23.09051180264742</v>
      </c>
      <c r="C315" s="12">
        <f t="shared" si="44"/>
        <v>3081.9561936495284</v>
      </c>
      <c r="D315">
        <f t="shared" si="40"/>
        <v>3.0449999999999999</v>
      </c>
      <c r="E315" s="13">
        <f t="shared" si="41"/>
        <v>1.8833333333333324</v>
      </c>
      <c r="F315">
        <v>0.72</v>
      </c>
      <c r="G315" s="21">
        <f t="shared" si="45"/>
        <v>2.4102631009012013E-2</v>
      </c>
      <c r="H315" s="3">
        <f t="shared" si="46"/>
        <v>8.6121901096420893E-3</v>
      </c>
      <c r="I315" s="3">
        <f t="shared" si="47"/>
        <v>-1.5490440899369923E-2</v>
      </c>
    </row>
    <row r="316" spans="1:9">
      <c r="A316">
        <f t="shared" si="37"/>
        <v>278</v>
      </c>
      <c r="B316" s="13">
        <f t="shared" si="43"/>
        <v>23.07502136174805</v>
      </c>
      <c r="C316" s="12">
        <f t="shared" si="44"/>
        <v>3081.9362994903749</v>
      </c>
      <c r="D316">
        <f t="shared" si="40"/>
        <v>3.0449999999999999</v>
      </c>
      <c r="E316" s="13">
        <f t="shared" si="41"/>
        <v>1.8749999999999991</v>
      </c>
      <c r="F316">
        <v>0.72</v>
      </c>
      <c r="G316" s="21">
        <f t="shared" si="45"/>
        <v>2.3905489799071616E-2</v>
      </c>
      <c r="H316" s="3">
        <f t="shared" si="46"/>
        <v>8.6121901096420893E-3</v>
      </c>
      <c r="I316" s="3">
        <f t="shared" si="47"/>
        <v>-1.5293299689429527E-2</v>
      </c>
    </row>
    <row r="317" spans="1:9">
      <c r="A317">
        <f t="shared" si="37"/>
        <v>279</v>
      </c>
      <c r="B317" s="13">
        <f t="shared" si="43"/>
        <v>23.059728062058621</v>
      </c>
      <c r="C317" s="12">
        <f t="shared" si="44"/>
        <v>3081.9164053312215</v>
      </c>
      <c r="D317">
        <f t="shared" si="40"/>
        <v>3.0449999999999999</v>
      </c>
      <c r="E317" s="13">
        <f t="shared" si="41"/>
        <v>1.8666666666666658</v>
      </c>
      <c r="F317">
        <v>0.72</v>
      </c>
      <c r="G317" s="21">
        <f t="shared" si="45"/>
        <v>2.3709093686978596E-2</v>
      </c>
      <c r="H317" s="3">
        <f t="shared" si="46"/>
        <v>8.6121901096420893E-3</v>
      </c>
      <c r="I317" s="3">
        <f t="shared" si="47"/>
        <v>-1.5096903577336507E-2</v>
      </c>
    </row>
    <row r="318" spans="1:9">
      <c r="A318">
        <f t="shared" si="37"/>
        <v>280</v>
      </c>
      <c r="B318" s="13">
        <f t="shared" si="43"/>
        <v>23.044631158481284</v>
      </c>
      <c r="C318" s="12">
        <f t="shared" si="44"/>
        <v>3081.8965111720681</v>
      </c>
      <c r="D318">
        <f t="shared" si="40"/>
        <v>3.0449999999999999</v>
      </c>
      <c r="E318" s="13">
        <f t="shared" si="41"/>
        <v>1.8583333333333325</v>
      </c>
      <c r="F318">
        <v>0.72</v>
      </c>
      <c r="G318" s="21">
        <f t="shared" si="45"/>
        <v>2.3513443164098018E-2</v>
      </c>
      <c r="H318" s="3">
        <f t="shared" si="46"/>
        <v>8.6121901096420893E-3</v>
      </c>
      <c r="I318" s="3">
        <f t="shared" si="47"/>
        <v>-1.4901253054455929E-2</v>
      </c>
    </row>
    <row r="319" spans="1:9">
      <c r="A319">
        <f t="shared" si="37"/>
        <v>281</v>
      </c>
      <c r="B319" s="13">
        <f t="shared" si="43"/>
        <v>23.029729905426827</v>
      </c>
      <c r="C319" s="12">
        <f t="shared" si="44"/>
        <v>3081.8766170129147</v>
      </c>
      <c r="D319">
        <f t="shared" si="40"/>
        <v>3.0449999999999999</v>
      </c>
      <c r="E319" s="13">
        <f t="shared" si="41"/>
        <v>1.8499999999999992</v>
      </c>
      <c r="F319">
        <v>0.72</v>
      </c>
      <c r="G319" s="21">
        <f t="shared" si="45"/>
        <v>2.3318538724319545E-2</v>
      </c>
      <c r="H319" s="3">
        <f t="shared" si="46"/>
        <v>8.6121901096420893E-3</v>
      </c>
      <c r="I319" s="3">
        <f t="shared" si="47"/>
        <v>-1.4706348614677456E-2</v>
      </c>
    </row>
    <row r="320" spans="1:9">
      <c r="A320">
        <f t="shared" si="37"/>
        <v>282</v>
      </c>
      <c r="B320" s="13">
        <f t="shared" si="43"/>
        <v>23.01502355681215</v>
      </c>
      <c r="C320" s="12">
        <f t="shared" si="44"/>
        <v>3081.8567228537613</v>
      </c>
      <c r="D320">
        <f t="shared" si="40"/>
        <v>3.0449999999999999</v>
      </c>
      <c r="E320" s="13">
        <f t="shared" si="41"/>
        <v>1.8416666666666659</v>
      </c>
      <c r="F320">
        <v>0.72</v>
      </c>
      <c r="G320" s="21">
        <f t="shared" si="45"/>
        <v>2.3124380864082038E-2</v>
      </c>
      <c r="H320" s="3">
        <f t="shared" si="46"/>
        <v>8.6121901096420893E-3</v>
      </c>
      <c r="I320" s="3">
        <f t="shared" si="47"/>
        <v>-1.4512190754439949E-2</v>
      </c>
    </row>
    <row r="321" spans="1:9">
      <c r="A321">
        <f t="shared" si="37"/>
        <v>283</v>
      </c>
      <c r="B321" s="13">
        <f t="shared" si="43"/>
        <v>23.000511366057708</v>
      </c>
      <c r="C321" s="12">
        <f t="shared" si="44"/>
        <v>3081.8368286946079</v>
      </c>
      <c r="D321">
        <f t="shared" si="40"/>
        <v>3.0449999999999999</v>
      </c>
      <c r="E321" s="13">
        <f t="shared" si="41"/>
        <v>1.8333333333333326</v>
      </c>
      <c r="F321">
        <v>0.72</v>
      </c>
      <c r="G321" s="21">
        <f t="shared" si="45"/>
        <v>2.293097008239826E-2</v>
      </c>
      <c r="H321" s="3">
        <f t="shared" si="46"/>
        <v>8.6121901096420893E-3</v>
      </c>
      <c r="I321" s="3">
        <f t="shared" si="47"/>
        <v>-1.4318779972756171E-2</v>
      </c>
    </row>
    <row r="322" spans="1:9">
      <c r="A322">
        <f t="shared" si="37"/>
        <v>284</v>
      </c>
      <c r="B322" s="13">
        <f t="shared" si="43"/>
        <v>22.98619258608495</v>
      </c>
      <c r="C322" s="12">
        <f t="shared" si="44"/>
        <v>3081.8169345354545</v>
      </c>
      <c r="D322">
        <f t="shared" si="40"/>
        <v>3.0449999999999999</v>
      </c>
      <c r="E322" s="13">
        <f t="shared" si="41"/>
        <v>1.8249999999999993</v>
      </c>
      <c r="F322">
        <v>0.72</v>
      </c>
      <c r="G322" s="21">
        <f t="shared" si="45"/>
        <v>2.2738306880879793E-2</v>
      </c>
      <c r="H322" s="3">
        <f t="shared" si="46"/>
        <v>8.6121901096420893E-3</v>
      </c>
      <c r="I322" s="3">
        <f t="shared" si="47"/>
        <v>-1.4126116771237703E-2</v>
      </c>
    </row>
    <row r="323" spans="1:9">
      <c r="A323">
        <f t="shared" si="37"/>
        <v>285</v>
      </c>
      <c r="B323" s="13">
        <f t="shared" si="43"/>
        <v>22.972066469313713</v>
      </c>
      <c r="C323" s="12">
        <f t="shared" si="44"/>
        <v>3081.7970403763011</v>
      </c>
      <c r="D323">
        <f t="shared" si="40"/>
        <v>3.0449999999999999</v>
      </c>
      <c r="E323" s="13">
        <f t="shared" si="41"/>
        <v>1.816666666666666</v>
      </c>
      <c r="F323">
        <v>0.72</v>
      </c>
      <c r="G323" s="21">
        <f t="shared" si="45"/>
        <v>2.2546391763762639E-2</v>
      </c>
      <c r="H323" s="3">
        <f t="shared" si="46"/>
        <v>8.6121901096420893E-3</v>
      </c>
      <c r="I323" s="3">
        <f t="shared" si="47"/>
        <v>-1.393420165412055E-2</v>
      </c>
    </row>
    <row r="324" spans="1:9">
      <c r="A324">
        <f t="shared" si="37"/>
        <v>286</v>
      </c>
      <c r="B324" s="13">
        <f t="shared" si="43"/>
        <v>22.958132267659593</v>
      </c>
      <c r="C324" s="12">
        <f t="shared" si="44"/>
        <v>3081.7771462171477</v>
      </c>
      <c r="D324">
        <f t="shared" si="40"/>
        <v>3.0449999999999999</v>
      </c>
      <c r="E324" s="13">
        <f t="shared" si="41"/>
        <v>1.8083333333333327</v>
      </c>
      <c r="F324">
        <v>0.72</v>
      </c>
      <c r="G324" s="21">
        <f t="shared" si="45"/>
        <v>2.2355225237933079E-2</v>
      </c>
      <c r="H324" s="3">
        <f t="shared" si="46"/>
        <v>8.6121901096420893E-3</v>
      </c>
      <c r="I324" s="3">
        <f t="shared" si="47"/>
        <v>-1.374303512829099E-2</v>
      </c>
    </row>
    <row r="325" spans="1:9">
      <c r="A325">
        <f t="shared" si="37"/>
        <v>287</v>
      </c>
      <c r="B325" s="13">
        <f t="shared" si="43"/>
        <v>22.944389232531304</v>
      </c>
      <c r="C325" s="12">
        <f t="shared" si="44"/>
        <v>3081.7572520579943</v>
      </c>
      <c r="D325">
        <f t="shared" si="40"/>
        <v>3.0449999999999999</v>
      </c>
      <c r="E325" s="13">
        <f t="shared" si="41"/>
        <v>1.7999999999999994</v>
      </c>
      <c r="F325">
        <v>0.72</v>
      </c>
      <c r="G325" s="21">
        <f t="shared" si="45"/>
        <v>2.2164807812953567E-2</v>
      </c>
      <c r="H325" s="3">
        <f t="shared" si="46"/>
        <v>8.6121901096420893E-3</v>
      </c>
      <c r="I325" s="3">
        <f t="shared" si="47"/>
        <v>-1.3552617703311478E-2</v>
      </c>
    </row>
    <row r="326" spans="1:9">
      <c r="A326">
        <f t="shared" si="37"/>
        <v>288</v>
      </c>
      <c r="B326" s="13">
        <f t="shared" si="43"/>
        <v>22.930836614827992</v>
      </c>
      <c r="C326" s="12">
        <f t="shared" si="44"/>
        <v>3081.7373578988409</v>
      </c>
      <c r="D326">
        <f t="shared" si="40"/>
        <v>3.0449999999999999</v>
      </c>
      <c r="E326" s="13">
        <f t="shared" si="41"/>
        <v>1.7916666666666661</v>
      </c>
      <c r="F326">
        <v>0.72</v>
      </c>
      <c r="G326" s="21">
        <f t="shared" si="45"/>
        <v>2.1975140001089615E-2</v>
      </c>
      <c r="H326" s="3">
        <f t="shared" si="46"/>
        <v>8.6121901096420893E-3</v>
      </c>
      <c r="I326" s="3">
        <f t="shared" si="47"/>
        <v>-1.3362949891447526E-2</v>
      </c>
    </row>
    <row r="327" spans="1:9">
      <c r="A327">
        <f t="shared" si="37"/>
        <v>289</v>
      </c>
      <c r="B327" s="13">
        <f t="shared" si="43"/>
        <v>22.917473664936544</v>
      </c>
      <c r="C327" s="12">
        <f t="shared" si="44"/>
        <v>3081.7174637396874</v>
      </c>
      <c r="D327">
        <f t="shared" si="40"/>
        <v>3.0449999999999999</v>
      </c>
      <c r="E327" s="13">
        <f t="shared" si="41"/>
        <v>1.7833333333333328</v>
      </c>
      <c r="F327">
        <v>0.72</v>
      </c>
      <c r="G327" s="21">
        <f t="shared" si="45"/>
        <v>2.1786222317336641E-2</v>
      </c>
      <c r="H327" s="3">
        <f t="shared" si="46"/>
        <v>8.6121901096420893E-3</v>
      </c>
      <c r="I327" s="3">
        <f t="shared" si="47"/>
        <v>-1.3174032207694551E-2</v>
      </c>
    </row>
    <row r="328" spans="1:9">
      <c r="A328">
        <f t="shared" si="37"/>
        <v>290</v>
      </c>
      <c r="B328" s="13">
        <f t="shared" si="43"/>
        <v>22.904299632728851</v>
      </c>
      <c r="C328" s="12">
        <f t="shared" si="44"/>
        <v>3081.697569580534</v>
      </c>
      <c r="D328">
        <f t="shared" si="40"/>
        <v>3.0449999999999999</v>
      </c>
      <c r="E328" s="13">
        <f t="shared" si="41"/>
        <v>1.7749999999999995</v>
      </c>
      <c r="F328">
        <v>0.72</v>
      </c>
      <c r="G328" s="21">
        <f t="shared" si="45"/>
        <v>2.1598055279447238E-2</v>
      </c>
      <c r="H328" s="3">
        <f t="shared" si="46"/>
        <v>8.6121901096420893E-3</v>
      </c>
      <c r="I328" s="3">
        <f t="shared" si="47"/>
        <v>-1.2985865169805148E-2</v>
      </c>
    </row>
    <row r="329" spans="1:9">
      <c r="A329">
        <f t="shared" si="37"/>
        <v>291</v>
      </c>
      <c r="B329" s="13">
        <f t="shared" si="43"/>
        <v>22.891313767559044</v>
      </c>
      <c r="C329" s="12">
        <f t="shared" si="44"/>
        <v>3081.6776754213806</v>
      </c>
      <c r="D329">
        <f t="shared" si="40"/>
        <v>3.0449999999999999</v>
      </c>
      <c r="E329" s="13">
        <f t="shared" si="41"/>
        <v>1.7666666666666662</v>
      </c>
      <c r="F329">
        <v>0.72</v>
      </c>
      <c r="G329" s="21">
        <f t="shared" si="45"/>
        <v>2.1410639407959002E-2</v>
      </c>
      <c r="H329" s="3">
        <f t="shared" si="46"/>
        <v>8.6121901096420893E-3</v>
      </c>
      <c r="I329" s="3">
        <f t="shared" si="47"/>
        <v>-1.2798449298316913E-2</v>
      </c>
    </row>
    <row r="330" spans="1:9">
      <c r="A330">
        <f t="shared" si="37"/>
        <v>292</v>
      </c>
      <c r="B330" s="13">
        <f t="shared" si="43"/>
        <v>22.878515318260728</v>
      </c>
      <c r="C330" s="12">
        <f t="shared" si="44"/>
        <v>3081.6577812622272</v>
      </c>
      <c r="D330">
        <f t="shared" si="40"/>
        <v>3.0449999999999999</v>
      </c>
      <c r="E330" s="13">
        <f t="shared" si="41"/>
        <v>1.7583333333333329</v>
      </c>
      <c r="F330">
        <v>0.72</v>
      </c>
      <c r="G330" s="21">
        <f t="shared" si="45"/>
        <v>2.1223975226222609E-2</v>
      </c>
      <c r="H330" s="3">
        <f t="shared" si="46"/>
        <v>8.6121901096420893E-3</v>
      </c>
      <c r="I330" s="3">
        <f t="shared" si="47"/>
        <v>-1.261178511658052E-2</v>
      </c>
    </row>
    <row r="331" spans="1:9">
      <c r="A331">
        <f t="shared" si="37"/>
        <v>293</v>
      </c>
      <c r="B331" s="13">
        <f t="shared" si="43"/>
        <v>22.865903533144149</v>
      </c>
      <c r="C331" s="12">
        <f t="shared" si="44"/>
        <v>3081.6378871030738</v>
      </c>
      <c r="D331">
        <f t="shared" si="40"/>
        <v>3.0449999999999999</v>
      </c>
      <c r="E331" s="13">
        <f t="shared" si="41"/>
        <v>1.7499999999999996</v>
      </c>
      <c r="F331">
        <v>0.72</v>
      </c>
      <c r="G331" s="21">
        <f t="shared" si="45"/>
        <v>2.1038063260430475E-2</v>
      </c>
      <c r="H331" s="3">
        <f t="shared" si="46"/>
        <v>8.6121901096420893E-3</v>
      </c>
      <c r="I331" s="3">
        <f t="shared" si="47"/>
        <v>-1.2425873150788386E-2</v>
      </c>
    </row>
    <row r="332" spans="1:9">
      <c r="A332">
        <f t="shared" si="37"/>
        <v>294</v>
      </c>
      <c r="B332" s="13">
        <f t="shared" si="43"/>
        <v>22.853477659993359</v>
      </c>
      <c r="C332" s="12">
        <f t="shared" si="44"/>
        <v>3081.6179929439204</v>
      </c>
      <c r="D332">
        <f t="shared" si="40"/>
        <v>3.0449999999999999</v>
      </c>
      <c r="E332" s="13">
        <f t="shared" si="41"/>
        <v>1.7416666666666663</v>
      </c>
      <c r="F332">
        <v>0.72</v>
      </c>
      <c r="G332" s="21">
        <f t="shared" si="45"/>
        <v>2.0852904039645851E-2</v>
      </c>
      <c r="H332" s="3">
        <f t="shared" si="46"/>
        <v>8.6121901096420893E-3</v>
      </c>
      <c r="I332" s="3">
        <f t="shared" si="47"/>
        <v>-1.2240713930003762E-2</v>
      </c>
    </row>
    <row r="333" spans="1:9">
      <c r="A333">
        <f t="shared" si="37"/>
        <v>295</v>
      </c>
      <c r="B333" s="13">
        <f t="shared" si="43"/>
        <v>22.841236946063354</v>
      </c>
      <c r="C333" s="12">
        <f t="shared" si="44"/>
        <v>3081.598098784767</v>
      </c>
      <c r="D333">
        <f t="shared" si="40"/>
        <v>3.0449999999999999</v>
      </c>
      <c r="E333" s="13">
        <f t="shared" si="41"/>
        <v>1.7333333333333329</v>
      </c>
      <c r="F333">
        <v>0.72</v>
      </c>
      <c r="G333" s="21">
        <f t="shared" si="45"/>
        <v>2.0668498095831964E-2</v>
      </c>
      <c r="H333" s="3">
        <f t="shared" si="46"/>
        <v>8.6121901096420893E-3</v>
      </c>
      <c r="I333" s="3">
        <f t="shared" si="47"/>
        <v>-1.2056307986189875E-2</v>
      </c>
    </row>
    <row r="334" spans="1:9">
      <c r="A334">
        <f t="shared" si="37"/>
        <v>296</v>
      </c>
      <c r="B334" s="13">
        <f t="shared" si="43"/>
        <v>22.829180638077165</v>
      </c>
      <c r="C334" s="12">
        <f t="shared" si="44"/>
        <v>3081.5782046256136</v>
      </c>
      <c r="D334">
        <f t="shared" si="40"/>
        <v>3.0449999999999999</v>
      </c>
      <c r="E334" s="13">
        <f t="shared" si="41"/>
        <v>1.7249999999999996</v>
      </c>
      <c r="F334">
        <v>0.72</v>
      </c>
      <c r="G334" s="21">
        <f t="shared" si="45"/>
        <v>2.0484845963882285E-2</v>
      </c>
      <c r="H334" s="3">
        <f t="shared" si="46"/>
        <v>8.6121901096420893E-3</v>
      </c>
      <c r="I334" s="3">
        <f t="shared" si="47"/>
        <v>-1.1872655854240195E-2</v>
      </c>
    </row>
    <row r="335" spans="1:9">
      <c r="A335">
        <f t="shared" si="37"/>
        <v>297</v>
      </c>
      <c r="B335" s="13">
        <f t="shared" si="43"/>
        <v>22.817307982222925</v>
      </c>
      <c r="C335" s="12">
        <f t="shared" si="44"/>
        <v>3081.5583104664602</v>
      </c>
      <c r="D335">
        <f t="shared" si="40"/>
        <v>3.0449999999999999</v>
      </c>
      <c r="E335" s="13">
        <f t="shared" si="41"/>
        <v>1.7166666666666663</v>
      </c>
      <c r="F335">
        <v>0.72</v>
      </c>
      <c r="G335" s="21">
        <f t="shared" si="45"/>
        <v>2.0301948181650629E-2</v>
      </c>
      <c r="H335" s="3">
        <f t="shared" si="46"/>
        <v>8.6121901096420893E-3</v>
      </c>
      <c r="I335" s="3">
        <f t="shared" si="47"/>
        <v>-1.168975807200854E-2</v>
      </c>
    </row>
    <row r="336" spans="1:9">
      <c r="A336">
        <f t="shared" si="37"/>
        <v>298</v>
      </c>
      <c r="B336" s="13">
        <f t="shared" si="43"/>
        <v>22.805618224150916</v>
      </c>
      <c r="C336" s="12">
        <f t="shared" si="44"/>
        <v>3081.5384163073068</v>
      </c>
      <c r="D336">
        <f t="shared" si="40"/>
        <v>3.0449999999999999</v>
      </c>
      <c r="E336" s="13">
        <f t="shared" si="41"/>
        <v>1.708333333333333</v>
      </c>
      <c r="F336">
        <v>0.72</v>
      </c>
      <c r="G336" s="21">
        <f t="shared" si="45"/>
        <v>2.011980528998196E-2</v>
      </c>
      <c r="H336" s="3">
        <f t="shared" si="46"/>
        <v>8.6121901096420893E-3</v>
      </c>
      <c r="I336" s="3">
        <f t="shared" si="47"/>
        <v>-1.150761518033987E-2</v>
      </c>
    </row>
    <row r="337" spans="1:9">
      <c r="A337">
        <f t="shared" si="37"/>
        <v>299</v>
      </c>
      <c r="B337" s="13">
        <f t="shared" si="43"/>
        <v>22.794110608970577</v>
      </c>
      <c r="C337" s="12">
        <f t="shared" si="44"/>
        <v>3081.5185221481534</v>
      </c>
      <c r="D337">
        <f t="shared" si="40"/>
        <v>3.0449999999999999</v>
      </c>
      <c r="E337" s="13">
        <f t="shared" si="41"/>
        <v>1.6999999999999997</v>
      </c>
      <c r="F337">
        <v>0.72</v>
      </c>
      <c r="G337" s="21">
        <f t="shared" si="45"/>
        <v>1.9938417832743811E-2</v>
      </c>
      <c r="H337" s="3">
        <f t="shared" si="46"/>
        <v>8.6121901096420893E-3</v>
      </c>
      <c r="I337" s="3">
        <f t="shared" si="47"/>
        <v>-1.1326227723101722E-2</v>
      </c>
    </row>
    <row r="338" spans="1:9">
      <c r="A338">
        <f t="shared" si="37"/>
        <v>300</v>
      </c>
      <c r="B338" s="13">
        <f t="shared" si="43"/>
        <v>22.782784381247474</v>
      </c>
      <c r="C338" s="12">
        <f t="shared" si="44"/>
        <v>3081.4986279889999</v>
      </c>
      <c r="D338">
        <f t="shared" si="40"/>
        <v>3.0449999999999999</v>
      </c>
      <c r="E338" s="13">
        <f t="shared" si="41"/>
        <v>1.6916666666666664</v>
      </c>
      <c r="F338">
        <v>0.72</v>
      </c>
      <c r="G338" s="21">
        <f t="shared" si="45"/>
        <v>1.9757786356857904E-2</v>
      </c>
      <c r="H338" s="3">
        <f t="shared" si="46"/>
        <v>8.6121901096420893E-3</v>
      </c>
      <c r="I338" s="3">
        <f t="shared" si="47"/>
        <v>-1.1145596247215814E-2</v>
      </c>
    </row>
    <row r="339" spans="1:9">
      <c r="A339">
        <f t="shared" si="37"/>
        <v>301</v>
      </c>
      <c r="B339" s="13">
        <f t="shared" si="43"/>
        <v>22.77163878500026</v>
      </c>
      <c r="C339" s="12">
        <f t="shared" si="44"/>
        <v>3081.4787338298465</v>
      </c>
      <c r="D339">
        <f t="shared" si="40"/>
        <v>3.0449999999999999</v>
      </c>
      <c r="E339" s="13">
        <f t="shared" si="41"/>
        <v>1.6833333333333331</v>
      </c>
      <c r="F339">
        <v>0.72</v>
      </c>
      <c r="G339" s="21">
        <f t="shared" si="45"/>
        <v>1.957791141233254E-2</v>
      </c>
      <c r="H339" s="3">
        <f t="shared" si="46"/>
        <v>8.6121901096420893E-3</v>
      </c>
      <c r="I339" s="3">
        <f t="shared" si="47"/>
        <v>-1.096572130269045E-2</v>
      </c>
    </row>
    <row r="340" spans="1:9">
      <c r="A340">
        <f t="shared" si="37"/>
        <v>302</v>
      </c>
      <c r="B340" s="13">
        <f t="shared" si="43"/>
        <v>22.76067306369757</v>
      </c>
      <c r="C340" s="12">
        <f t="shared" si="44"/>
        <v>3081.4588396706931</v>
      </c>
      <c r="D340">
        <f t="shared" si="40"/>
        <v>3.0449999999999999</v>
      </c>
      <c r="E340" s="13">
        <f t="shared" si="41"/>
        <v>1.6749999999999998</v>
      </c>
      <c r="F340">
        <v>0.72</v>
      </c>
      <c r="G340" s="21">
        <f t="shared" si="45"/>
        <v>1.9398793552295159E-2</v>
      </c>
      <c r="H340" s="3">
        <f t="shared" si="46"/>
        <v>8.6121901096420893E-3</v>
      </c>
      <c r="I340" s="3">
        <f t="shared" si="47"/>
        <v>-1.0786603442653069E-2</v>
      </c>
    </row>
    <row r="341" spans="1:9">
      <c r="A341">
        <f t="shared" si="37"/>
        <v>303</v>
      </c>
      <c r="B341" s="13">
        <f t="shared" si="43"/>
        <v>22.749886460254917</v>
      </c>
      <c r="C341" s="12">
        <f t="shared" si="44"/>
        <v>3081.4389455115397</v>
      </c>
      <c r="D341">
        <f t="shared" si="40"/>
        <v>3.0449999999999999</v>
      </c>
      <c r="E341" s="13">
        <f t="shared" si="41"/>
        <v>1.6666666666666665</v>
      </c>
      <c r="F341">
        <v>0.72</v>
      </c>
      <c r="G341" s="21">
        <f t="shared" si="45"/>
        <v>1.9220433333025769E-2</v>
      </c>
      <c r="H341" s="3">
        <f t="shared" si="46"/>
        <v>8.6121901096420893E-3</v>
      </c>
      <c r="I341" s="3">
        <f t="shared" si="47"/>
        <v>-1.0608243223383679E-2</v>
      </c>
    </row>
    <row r="342" spans="1:9">
      <c r="A342">
        <f t="shared" si="37"/>
        <v>304</v>
      </c>
      <c r="B342" s="13">
        <f t="shared" si="43"/>
        <v>22.739278217031533</v>
      </c>
      <c r="C342" s="12">
        <f t="shared" si="44"/>
        <v>3081.4190513523863</v>
      </c>
      <c r="D342">
        <f t="shared" si="40"/>
        <v>3.0449999999999999</v>
      </c>
      <c r="E342" s="13">
        <f t="shared" si="41"/>
        <v>1.6583333333333332</v>
      </c>
      <c r="F342">
        <v>0.72</v>
      </c>
      <c r="G342" s="21">
        <f t="shared" si="45"/>
        <v>1.904283131399075E-2</v>
      </c>
      <c r="H342" s="3">
        <f t="shared" si="46"/>
        <v>8.6121901096420893E-3</v>
      </c>
      <c r="I342" s="3">
        <f t="shared" si="47"/>
        <v>-1.043064120434866E-2</v>
      </c>
    </row>
    <row r="343" spans="1:9">
      <c r="A343">
        <f t="shared" si="37"/>
        <v>305</v>
      </c>
      <c r="B343" s="13">
        <f t="shared" si="43"/>
        <v>22.728847575827185</v>
      </c>
      <c r="C343" s="12">
        <f t="shared" si="44"/>
        <v>3081.3991571932329</v>
      </c>
      <c r="D343">
        <f t="shared" si="40"/>
        <v>3.0449999999999999</v>
      </c>
      <c r="E343" s="13">
        <f t="shared" si="41"/>
        <v>1.65</v>
      </c>
      <c r="F343">
        <v>0.72</v>
      </c>
      <c r="G343" s="21">
        <f t="shared" si="45"/>
        <v>1.8865988057876985E-2</v>
      </c>
      <c r="H343" s="3">
        <f t="shared" si="46"/>
        <v>8.6121901096420893E-3</v>
      </c>
      <c r="I343" s="3">
        <f t="shared" si="47"/>
        <v>-1.0253797948234895E-2</v>
      </c>
    </row>
    <row r="344" spans="1:9">
      <c r="A344">
        <f t="shared" si="37"/>
        <v>306</v>
      </c>
      <c r="B344" s="13">
        <f t="shared" si="43"/>
        <v>22.718593777878951</v>
      </c>
      <c r="C344" s="12">
        <f t="shared" si="44"/>
        <v>3081.3792630340795</v>
      </c>
      <c r="D344">
        <f t="shared" si="40"/>
        <v>3.0449999999999999</v>
      </c>
      <c r="E344" s="13">
        <f t="shared" si="41"/>
        <v>1.6416666666666666</v>
      </c>
      <c r="F344">
        <v>0.72</v>
      </c>
      <c r="G344" s="21">
        <f t="shared" si="45"/>
        <v>1.8689904130626878E-2</v>
      </c>
      <c r="H344" s="3">
        <f t="shared" si="46"/>
        <v>8.6121901096420893E-3</v>
      </c>
      <c r="I344" s="3">
        <f t="shared" si="47"/>
        <v>-1.0077714020984788E-2</v>
      </c>
    </row>
    <row r="345" spans="1:9">
      <c r="A345">
        <f t="shared" si="37"/>
        <v>307</v>
      </c>
      <c r="B345" s="13">
        <f t="shared" si="43"/>
        <v>22.708516063857967</v>
      </c>
      <c r="C345" s="12">
        <f t="shared" si="44"/>
        <v>3081.3593688749261</v>
      </c>
      <c r="D345">
        <f t="shared" si="40"/>
        <v>3.0449999999999999</v>
      </c>
      <c r="E345" s="13">
        <f t="shared" si="41"/>
        <v>1.6333333333333333</v>
      </c>
      <c r="F345">
        <v>0.72</v>
      </c>
      <c r="G345" s="21">
        <f t="shared" si="45"/>
        <v>1.8514580101473801E-2</v>
      </c>
      <c r="H345" s="3">
        <f t="shared" si="46"/>
        <v>8.6121901096420893E-3</v>
      </c>
      <c r="I345" s="3">
        <f t="shared" si="47"/>
        <v>-9.9023899918317115E-3</v>
      </c>
    </row>
    <row r="346" spans="1:9">
      <c r="A346">
        <f t="shared" si="37"/>
        <v>308</v>
      </c>
      <c r="B346" s="13">
        <f t="shared" si="43"/>
        <v>22.698613673866134</v>
      </c>
      <c r="C346" s="12">
        <f t="shared" si="44"/>
        <v>3081.3394747157727</v>
      </c>
      <c r="D346">
        <f t="shared" si="40"/>
        <v>3.0449999999999999</v>
      </c>
      <c r="E346" s="13">
        <f t="shared" si="41"/>
        <v>1.625</v>
      </c>
      <c r="F346">
        <v>0.72</v>
      </c>
      <c r="G346" s="21">
        <f t="shared" si="45"/>
        <v>1.8340016542977886E-2</v>
      </c>
      <c r="H346" s="3">
        <f t="shared" si="46"/>
        <v>8.6121901096420893E-3</v>
      </c>
      <c r="I346" s="3">
        <f t="shared" si="47"/>
        <v>-9.7278264333357962E-3</v>
      </c>
    </row>
    <row r="347" spans="1:9">
      <c r="A347">
        <f t="shared" si="37"/>
        <v>309</v>
      </c>
      <c r="B347" s="13">
        <f t="shared" si="43"/>
        <v>22.6888858474328</v>
      </c>
      <c r="C347" s="12">
        <f t="shared" si="44"/>
        <v>3081.3195805566193</v>
      </c>
      <c r="D347">
        <f t="shared" si="40"/>
        <v>3.0449999999999999</v>
      </c>
      <c r="E347" s="13">
        <f t="shared" si="41"/>
        <v>1.6166666666666667</v>
      </c>
      <c r="F347">
        <v>0.72</v>
      </c>
      <c r="G347" s="21">
        <f t="shared" si="45"/>
        <v>1.816621403106293E-2</v>
      </c>
      <c r="H347" s="3">
        <f t="shared" si="46"/>
        <v>8.6121901096420893E-3</v>
      </c>
      <c r="I347" s="3">
        <f t="shared" si="47"/>
        <v>-9.5540239214208407E-3</v>
      </c>
    </row>
    <row r="348" spans="1:9">
      <c r="A348">
        <f t="shared" si="37"/>
        <v>310</v>
      </c>
      <c r="B348" s="13">
        <f t="shared" si="43"/>
        <v>22.679331823511379</v>
      </c>
      <c r="C348" s="12">
        <f t="shared" si="44"/>
        <v>3081.2996863974658</v>
      </c>
      <c r="D348">
        <f t="shared" si="40"/>
        <v>3.0449999999999999</v>
      </c>
      <c r="E348" s="13">
        <f t="shared" si="41"/>
        <v>1.6083333333333334</v>
      </c>
      <c r="F348">
        <v>0.72</v>
      </c>
      <c r="G348" s="21">
        <f t="shared" si="45"/>
        <v>1.799317314505312E-2</v>
      </c>
      <c r="H348" s="3">
        <f t="shared" si="46"/>
        <v>8.6121901096420893E-3</v>
      </c>
      <c r="I348" s="3">
        <f t="shared" si="47"/>
        <v>-9.3809830354110307E-3</v>
      </c>
    </row>
    <row r="349" spans="1:9">
      <c r="A349">
        <f t="shared" si="37"/>
        <v>311</v>
      </c>
      <c r="B349" s="13">
        <f t="shared" si="43"/>
        <v>22.66995084047597</v>
      </c>
      <c r="C349" s="12">
        <f t="shared" si="44"/>
        <v>3081.2797922383124</v>
      </c>
      <c r="D349">
        <f t="shared" si="40"/>
        <v>3.0449999999999999</v>
      </c>
      <c r="E349" s="13">
        <f t="shared" si="41"/>
        <v>1.6</v>
      </c>
      <c r="F349">
        <v>0.72</v>
      </c>
      <c r="G349" s="21">
        <f t="shared" si="45"/>
        <v>1.7820894467711238E-2</v>
      </c>
      <c r="H349" s="3">
        <f t="shared" si="46"/>
        <v>8.6121901096420893E-3</v>
      </c>
      <c r="I349" s="3">
        <f t="shared" si="47"/>
        <v>-9.2087043580691488E-3</v>
      </c>
    </row>
    <row r="350" spans="1:9">
      <c r="A350">
        <f t="shared" si="37"/>
        <v>312</v>
      </c>
      <c r="B350" s="13">
        <f t="shared" si="43"/>
        <v>22.6607421361179</v>
      </c>
      <c r="C350" s="12">
        <f t="shared" si="44"/>
        <v>3081.259898079159</v>
      </c>
      <c r="D350">
        <f t="shared" si="40"/>
        <v>3.0449999999999999</v>
      </c>
      <c r="E350" s="13">
        <f t="shared" si="41"/>
        <v>1.5916666666666668</v>
      </c>
      <c r="F350">
        <v>0.72</v>
      </c>
      <c r="G350" s="21">
        <f t="shared" si="45"/>
        <v>1.7649378585276702E-2</v>
      </c>
      <c r="H350" s="3">
        <f t="shared" si="46"/>
        <v>8.6121901096420893E-3</v>
      </c>
      <c r="I350" s="3">
        <f t="shared" si="47"/>
        <v>-9.0371884756346131E-3</v>
      </c>
    </row>
    <row r="351" spans="1:9">
      <c r="A351">
        <f t="shared" si="37"/>
        <v>313</v>
      </c>
      <c r="B351" s="13">
        <f t="shared" si="43"/>
        <v>22.651704947642266</v>
      </c>
      <c r="C351" s="12">
        <f t="shared" si="44"/>
        <v>3081.2400039200056</v>
      </c>
      <c r="D351">
        <f t="shared" si="40"/>
        <v>3.0449999999999999</v>
      </c>
      <c r="E351" s="13">
        <f t="shared" si="41"/>
        <v>1.5833333333333335</v>
      </c>
      <c r="F351">
        <v>0.72</v>
      </c>
      <c r="G351" s="21">
        <f t="shared" si="45"/>
        <v>1.7478626087504733E-2</v>
      </c>
      <c r="H351" s="3">
        <f t="shared" si="46"/>
        <v>8.6121901096420893E-3</v>
      </c>
      <c r="I351" s="3">
        <f t="shared" si="47"/>
        <v>-8.8664359778626439E-3</v>
      </c>
    </row>
    <row r="352" spans="1:9">
      <c r="A352">
        <f t="shared" si="37"/>
        <v>314</v>
      </c>
      <c r="B352" s="13">
        <f t="shared" si="43"/>
        <v>22.642838511664404</v>
      </c>
      <c r="C352" s="12">
        <f t="shared" si="44"/>
        <v>3081.2201097608522</v>
      </c>
      <c r="D352">
        <f t="shared" si="40"/>
        <v>3.0449999999999999</v>
      </c>
      <c r="E352" s="13">
        <f t="shared" si="41"/>
        <v>1.5750000000000002</v>
      </c>
      <c r="F352">
        <v>0.72</v>
      </c>
      <c r="G352" s="21">
        <f t="shared" si="45"/>
        <v>1.7308637567706047E-2</v>
      </c>
      <c r="H352" s="3">
        <f t="shared" si="46"/>
        <v>8.6121901096420893E-3</v>
      </c>
      <c r="I352" s="3">
        <f t="shared" si="47"/>
        <v>-8.6964474580639578E-3</v>
      </c>
    </row>
    <row r="353" spans="1:9">
      <c r="A353">
        <f t="shared" si="37"/>
        <v>315</v>
      </c>
      <c r="B353" s="13">
        <f t="shared" si="43"/>
        <v>22.63414206420634</v>
      </c>
      <c r="C353" s="12">
        <f t="shared" si="44"/>
        <v>3081.2002156016988</v>
      </c>
      <c r="D353">
        <f t="shared" si="40"/>
        <v>3.0449999999999999</v>
      </c>
      <c r="E353" s="13">
        <f t="shared" si="41"/>
        <v>1.5666666666666669</v>
      </c>
      <c r="F353">
        <v>0.72</v>
      </c>
      <c r="G353" s="21">
        <f t="shared" si="45"/>
        <v>1.713941362278705E-2</v>
      </c>
      <c r="H353" s="3">
        <f t="shared" si="46"/>
        <v>8.6121901096420893E-3</v>
      </c>
      <c r="I353" s="3">
        <f t="shared" si="47"/>
        <v>-8.527223513144961E-3</v>
      </c>
    </row>
    <row r="354" spans="1:9">
      <c r="A354">
        <f t="shared" si="37"/>
        <v>316</v>
      </c>
      <c r="B354" s="13">
        <f t="shared" si="43"/>
        <v>22.625614840693196</v>
      </c>
      <c r="C354" s="12">
        <f t="shared" si="44"/>
        <v>3081.1803214425454</v>
      </c>
      <c r="D354">
        <f t="shared" si="40"/>
        <v>3.0449999999999999</v>
      </c>
      <c r="E354" s="13">
        <f t="shared" si="41"/>
        <v>1.5583333333333336</v>
      </c>
      <c r="F354">
        <v>0.72</v>
      </c>
      <c r="G354" s="21">
        <f t="shared" si="45"/>
        <v>1.6970954853290983E-2</v>
      </c>
      <c r="H354" s="3">
        <f t="shared" si="46"/>
        <v>8.6121901096420893E-3</v>
      </c>
      <c r="I354" s="3">
        <f t="shared" si="47"/>
        <v>-8.3587647436488936E-3</v>
      </c>
    </row>
    <row r="355" spans="1:9">
      <c r="A355">
        <f t="shared" si="37"/>
        <v>317</v>
      </c>
      <c r="B355" s="13">
        <f t="shared" si="43"/>
        <v>22.617256075949548</v>
      </c>
      <c r="C355" s="12">
        <f t="shared" si="44"/>
        <v>3081.160427283392</v>
      </c>
      <c r="D355">
        <f t="shared" si="40"/>
        <v>3.0449999999999999</v>
      </c>
      <c r="E355" s="13">
        <f t="shared" si="41"/>
        <v>1.5500000000000003</v>
      </c>
      <c r="F355">
        <v>0.72</v>
      </c>
      <c r="G355" s="21">
        <f t="shared" si="45"/>
        <v>1.6803261863439424E-2</v>
      </c>
      <c r="H355" s="3">
        <f t="shared" si="46"/>
        <v>8.6121901096420893E-3</v>
      </c>
      <c r="I355" s="3">
        <f t="shared" si="47"/>
        <v>-8.1910717537973347E-3</v>
      </c>
    </row>
    <row r="356" spans="1:9">
      <c r="A356">
        <f t="shared" si="37"/>
        <v>318</v>
      </c>
      <c r="B356" s="13">
        <f t="shared" si="43"/>
        <v>22.609065004195752</v>
      </c>
      <c r="C356" s="12">
        <f t="shared" si="44"/>
        <v>3081.1405331242386</v>
      </c>
      <c r="D356">
        <f t="shared" si="40"/>
        <v>3.0449999999999999</v>
      </c>
      <c r="E356" s="13">
        <f t="shared" si="41"/>
        <v>1.541666666666667</v>
      </c>
      <c r="F356">
        <v>0.72</v>
      </c>
      <c r="G356" s="21">
        <f t="shared" si="45"/>
        <v>1.6636335261174827E-2</v>
      </c>
      <c r="H356" s="3">
        <f t="shared" si="46"/>
        <v>8.6121901096420893E-3</v>
      </c>
      <c r="I356" s="3">
        <f t="shared" si="47"/>
        <v>-8.0241451515327376E-3</v>
      </c>
    </row>
    <row r="357" spans="1:9">
      <c r="A357">
        <f t="shared" si="37"/>
        <v>319</v>
      </c>
      <c r="B357" s="13">
        <f t="shared" si="43"/>
        <v>22.601040859044218</v>
      </c>
      <c r="C357" s="12">
        <f t="shared" si="44"/>
        <v>3081.1206389650852</v>
      </c>
      <c r="D357">
        <f t="shared" si="40"/>
        <v>3.0449999999999999</v>
      </c>
      <c r="E357" s="13">
        <f t="shared" si="41"/>
        <v>1.5333333333333337</v>
      </c>
      <c r="F357">
        <v>0.72</v>
      </c>
      <c r="G357" s="21">
        <f t="shared" si="45"/>
        <v>1.6470175658203533E-2</v>
      </c>
      <c r="H357" s="3">
        <f t="shared" si="46"/>
        <v>8.6121901096420893E-3</v>
      </c>
      <c r="I357" s="3">
        <f t="shared" si="47"/>
        <v>-7.8579855485614442E-3</v>
      </c>
    </row>
    <row r="358" spans="1:9">
      <c r="A358">
        <f t="shared" si="37"/>
        <v>320</v>
      </c>
      <c r="B358" s="13">
        <f t="shared" si="43"/>
        <v>22.593182873495657</v>
      </c>
      <c r="C358" s="12">
        <f t="shared" si="44"/>
        <v>3081.1007448059318</v>
      </c>
      <c r="D358">
        <f t="shared" si="40"/>
        <v>3.0449999999999999</v>
      </c>
      <c r="E358" s="13">
        <f t="shared" si="41"/>
        <v>1.5250000000000004</v>
      </c>
      <c r="F358">
        <v>0.72</v>
      </c>
      <c r="G358" s="21">
        <f t="shared" si="45"/>
        <v>1.6304783670039694E-2</v>
      </c>
      <c r="H358" s="3">
        <f t="shared" si="46"/>
        <v>8.6121901096420893E-3</v>
      </c>
      <c r="I358" s="3">
        <f t="shared" si="47"/>
        <v>-7.6925935603976044E-3</v>
      </c>
    </row>
    <row r="359" spans="1:9">
      <c r="A359">
        <f t="shared" si="37"/>
        <v>321</v>
      </c>
      <c r="B359" s="13">
        <f t="shared" si="43"/>
        <v>22.585490279935261</v>
      </c>
      <c r="C359" s="12">
        <f t="shared" si="44"/>
        <v>3081.0808506467783</v>
      </c>
      <c r="D359">
        <f t="shared" si="40"/>
        <v>3.0449999999999999</v>
      </c>
      <c r="E359" s="13">
        <f t="shared" si="41"/>
        <v>1.5166666666666671</v>
      </c>
      <c r="F359">
        <v>0.72</v>
      </c>
      <c r="G359" s="21">
        <f t="shared" si="45"/>
        <v>1.6140159916049716E-2</v>
      </c>
      <c r="H359" s="3">
        <f t="shared" si="46"/>
        <v>8.6121901096420893E-3</v>
      </c>
      <c r="I359" s="3">
        <f t="shared" si="47"/>
        <v>-7.5279698064076271E-3</v>
      </c>
    </row>
    <row r="360" spans="1:9">
      <c r="A360">
        <f t="shared" si="37"/>
        <v>322</v>
      </c>
      <c r="B360" s="13">
        <f t="shared" ref="B360:B423" si="48">B359+I359</f>
        <v>22.577962310128854</v>
      </c>
      <c r="C360" s="12">
        <f t="shared" ref="C360:C423" si="49">C359-H359*2.31</f>
        <v>3081.0609564876249</v>
      </c>
      <c r="D360">
        <f t="shared" si="40"/>
        <v>3.0449999999999999</v>
      </c>
      <c r="E360" s="13">
        <f t="shared" si="41"/>
        <v>1.5083333333333337</v>
      </c>
      <c r="F360">
        <v>0.72</v>
      </c>
      <c r="G360" s="21">
        <f t="shared" ref="G360:G423" si="50">(1050*((E360/$C$11)^1.852)*(D360/100)*(F360^-4.87))/2.31</f>
        <v>1.5976305019497799E-2</v>
      </c>
      <c r="H360" s="3">
        <f t="shared" ref="H360:H423" si="51">(D360*$C$19)/2.31</f>
        <v>8.6121901096420893E-3</v>
      </c>
      <c r="I360" s="3">
        <f t="shared" ref="I360:I423" si="52">H360-G360</f>
        <v>-7.3641149098557096E-3</v>
      </c>
    </row>
    <row r="361" spans="1:9">
      <c r="A361">
        <f t="shared" ref="A361:A424" si="53">A360+1</f>
        <v>323</v>
      </c>
      <c r="B361" s="13">
        <f t="shared" si="48"/>
        <v>22.570598195218999</v>
      </c>
      <c r="C361" s="12">
        <f t="shared" si="49"/>
        <v>3081.0410623284715</v>
      </c>
      <c r="D361">
        <f t="shared" ref="D361:D424" si="54">$C$13</f>
        <v>3.0449999999999999</v>
      </c>
      <c r="E361" s="13">
        <f t="shared" ref="E361:E424" si="55">E360-($C$6/60)</f>
        <v>1.5000000000000004</v>
      </c>
      <c r="F361">
        <v>0.72</v>
      </c>
      <c r="G361" s="21">
        <f t="shared" si="50"/>
        <v>1.5813219607591994E-2</v>
      </c>
      <c r="H361" s="3">
        <f t="shared" si="51"/>
        <v>8.6121901096420893E-3</v>
      </c>
      <c r="I361" s="3">
        <f t="shared" si="52"/>
        <v>-7.2010294979499047E-3</v>
      </c>
    </row>
    <row r="362" spans="1:9">
      <c r="A362">
        <f t="shared" si="53"/>
        <v>324</v>
      </c>
      <c r="B362" s="13">
        <f t="shared" si="48"/>
        <v>22.563397165721049</v>
      </c>
      <c r="C362" s="12">
        <f t="shared" si="49"/>
        <v>3081.0211681693181</v>
      </c>
      <c r="D362">
        <f t="shared" si="54"/>
        <v>3.0449999999999999</v>
      </c>
      <c r="E362" s="13">
        <f t="shared" si="55"/>
        <v>1.4916666666666671</v>
      </c>
      <c r="F362">
        <v>0.72</v>
      </c>
      <c r="G362" s="21">
        <f t="shared" si="50"/>
        <v>1.5650904311531072E-2</v>
      </c>
      <c r="H362" s="3">
        <f t="shared" si="51"/>
        <v>8.6121901096420893E-3</v>
      </c>
      <c r="I362" s="3">
        <f t="shared" si="52"/>
        <v>-7.0387142018889827E-3</v>
      </c>
    </row>
    <row r="363" spans="1:9">
      <c r="A363">
        <f t="shared" si="53"/>
        <v>325</v>
      </c>
      <c r="B363" s="13">
        <f t="shared" si="48"/>
        <v>22.556358451519159</v>
      </c>
      <c r="C363" s="12">
        <f t="shared" si="49"/>
        <v>3081.0012740101647</v>
      </c>
      <c r="D363">
        <f t="shared" si="54"/>
        <v>3.0449999999999999</v>
      </c>
      <c r="E363" s="13">
        <f t="shared" si="55"/>
        <v>1.4833333333333338</v>
      </c>
      <c r="F363">
        <v>0.72</v>
      </c>
      <c r="G363" s="21">
        <f t="shared" si="50"/>
        <v>1.548935976655254E-2</v>
      </c>
      <c r="H363" s="3">
        <f t="shared" si="51"/>
        <v>8.6121901096420893E-3</v>
      </c>
      <c r="I363" s="3">
        <f t="shared" si="52"/>
        <v>-6.8771696569104503E-3</v>
      </c>
    </row>
    <row r="364" spans="1:9">
      <c r="A364">
        <f t="shared" si="53"/>
        <v>326</v>
      </c>
      <c r="B364" s="13">
        <f t="shared" si="48"/>
        <v>22.549481281862249</v>
      </c>
      <c r="C364" s="12">
        <f t="shared" si="49"/>
        <v>3080.9813798510113</v>
      </c>
      <c r="D364">
        <f t="shared" si="54"/>
        <v>3.0449999999999999</v>
      </c>
      <c r="E364" s="13">
        <f t="shared" si="55"/>
        <v>1.4750000000000005</v>
      </c>
      <c r="F364">
        <v>0.72</v>
      </c>
      <c r="G364" s="21">
        <f t="shared" si="50"/>
        <v>1.5328586611980964E-2</v>
      </c>
      <c r="H364" s="3">
        <f t="shared" si="51"/>
        <v>8.6121901096420893E-3</v>
      </c>
      <c r="I364" s="3">
        <f t="shared" si="52"/>
        <v>-6.7163965023388748E-3</v>
      </c>
    </row>
    <row r="365" spans="1:9">
      <c r="A365">
        <f t="shared" si="53"/>
        <v>327</v>
      </c>
      <c r="B365" s="13">
        <f t="shared" si="48"/>
        <v>22.542764885359912</v>
      </c>
      <c r="C365" s="12">
        <f t="shared" si="49"/>
        <v>3080.9614856918579</v>
      </c>
      <c r="D365">
        <f t="shared" si="54"/>
        <v>3.0449999999999999</v>
      </c>
      <c r="E365" s="13">
        <f t="shared" si="55"/>
        <v>1.4666666666666672</v>
      </c>
      <c r="F365">
        <v>0.72</v>
      </c>
      <c r="G365" s="21">
        <f t="shared" si="50"/>
        <v>1.5168585491277734E-2</v>
      </c>
      <c r="H365" s="3">
        <f t="shared" si="51"/>
        <v>8.6121901096420893E-3</v>
      </c>
      <c r="I365" s="3">
        <f t="shared" si="52"/>
        <v>-6.5563953816356445E-3</v>
      </c>
    </row>
    <row r="366" spans="1:9">
      <c r="A366">
        <f t="shared" si="53"/>
        <v>328</v>
      </c>
      <c r="B366" s="13">
        <f t="shared" si="48"/>
        <v>22.536208489978275</v>
      </c>
      <c r="C366" s="12">
        <f t="shared" si="49"/>
        <v>3080.9415915327045</v>
      </c>
      <c r="D366">
        <f t="shared" si="54"/>
        <v>3.0449999999999999</v>
      </c>
      <c r="E366" s="13">
        <f t="shared" si="55"/>
        <v>1.4583333333333339</v>
      </c>
      <c r="F366">
        <v>0.72</v>
      </c>
      <c r="G366" s="21">
        <f t="shared" si="50"/>
        <v>1.5009357052091164E-2</v>
      </c>
      <c r="H366" s="3">
        <f t="shared" si="51"/>
        <v>8.6121901096420893E-3</v>
      </c>
      <c r="I366" s="3">
        <f t="shared" si="52"/>
        <v>-6.3971669424490746E-3</v>
      </c>
    </row>
    <row r="367" spans="1:9">
      <c r="A367">
        <f t="shared" si="53"/>
        <v>329</v>
      </c>
      <c r="B367" s="13">
        <f t="shared" si="48"/>
        <v>22.529811323035826</v>
      </c>
      <c r="C367" s="12">
        <f t="shared" si="49"/>
        <v>3080.9216973735511</v>
      </c>
      <c r="D367">
        <f t="shared" si="54"/>
        <v>3.0449999999999999</v>
      </c>
      <c r="E367" s="13">
        <f t="shared" si="55"/>
        <v>1.4500000000000006</v>
      </c>
      <c r="F367">
        <v>0.72</v>
      </c>
      <c r="G367" s="21">
        <f t="shared" si="50"/>
        <v>1.4850901946308056E-2</v>
      </c>
      <c r="H367" s="3">
        <f t="shared" si="51"/>
        <v>8.6121901096420893E-3</v>
      </c>
      <c r="I367" s="3">
        <f t="shared" si="52"/>
        <v>-6.2387118366659666E-3</v>
      </c>
    </row>
    <row r="368" spans="1:9">
      <c r="A368">
        <f t="shared" si="53"/>
        <v>330</v>
      </c>
      <c r="B368" s="13">
        <f t="shared" si="48"/>
        <v>22.52357261119916</v>
      </c>
      <c r="C368" s="12">
        <f t="shared" si="49"/>
        <v>3080.9018032143977</v>
      </c>
      <c r="D368">
        <f t="shared" si="54"/>
        <v>3.0449999999999999</v>
      </c>
      <c r="E368" s="13">
        <f t="shared" si="55"/>
        <v>1.4416666666666673</v>
      </c>
      <c r="F368">
        <v>0.72</v>
      </c>
      <c r="G368" s="21">
        <f t="shared" si="50"/>
        <v>1.4693220830105521E-2</v>
      </c>
      <c r="H368" s="3">
        <f t="shared" si="51"/>
        <v>8.6121901096420893E-3</v>
      </c>
      <c r="I368" s="3">
        <f t="shared" si="52"/>
        <v>-6.0810307204634314E-3</v>
      </c>
    </row>
    <row r="369" spans="1:9">
      <c r="A369">
        <f t="shared" si="53"/>
        <v>331</v>
      </c>
      <c r="B369" s="13">
        <f t="shared" si="48"/>
        <v>22.517491580478698</v>
      </c>
      <c r="C369" s="12">
        <f t="shared" si="49"/>
        <v>3080.8819090552443</v>
      </c>
      <c r="D369">
        <f t="shared" si="54"/>
        <v>3.0449999999999999</v>
      </c>
      <c r="E369" s="13">
        <f t="shared" si="55"/>
        <v>1.433333333333334</v>
      </c>
      <c r="F369">
        <v>0.72</v>
      </c>
      <c r="G369" s="21">
        <f t="shared" si="50"/>
        <v>1.4536314364004571E-2</v>
      </c>
      <c r="H369" s="3">
        <f t="shared" si="51"/>
        <v>8.6121901096420893E-3</v>
      </c>
      <c r="I369" s="3">
        <f t="shared" si="52"/>
        <v>-5.9241242543624818E-3</v>
      </c>
    </row>
    <row r="370" spans="1:9">
      <c r="A370">
        <f t="shared" si="53"/>
        <v>332</v>
      </c>
      <c r="B370" s="13">
        <f t="shared" si="48"/>
        <v>22.511567456224334</v>
      </c>
      <c r="C370" s="12">
        <f t="shared" si="49"/>
        <v>3080.8620148960908</v>
      </c>
      <c r="D370">
        <f t="shared" si="54"/>
        <v>3.0449999999999999</v>
      </c>
      <c r="E370" s="13">
        <f t="shared" si="55"/>
        <v>1.4250000000000007</v>
      </c>
      <c r="F370">
        <v>0.72</v>
      </c>
      <c r="G370" s="21">
        <f t="shared" si="50"/>
        <v>1.4380183212923805E-2</v>
      </c>
      <c r="H370" s="3">
        <f t="shared" si="51"/>
        <v>8.6121901096420893E-3</v>
      </c>
      <c r="I370" s="3">
        <f t="shared" si="52"/>
        <v>-5.7679931032817156E-3</v>
      </c>
    </row>
    <row r="371" spans="1:9">
      <c r="A371">
        <f t="shared" si="53"/>
        <v>333</v>
      </c>
      <c r="B371" s="13">
        <f t="shared" si="48"/>
        <v>22.505799463121054</v>
      </c>
      <c r="C371" s="12">
        <f t="shared" si="49"/>
        <v>3080.8421207369374</v>
      </c>
      <c r="D371">
        <f t="shared" si="54"/>
        <v>3.0449999999999999</v>
      </c>
      <c r="E371" s="13">
        <f t="shared" si="55"/>
        <v>1.4166666666666674</v>
      </c>
      <c r="F371">
        <v>0.72</v>
      </c>
      <c r="G371" s="21">
        <f t="shared" si="50"/>
        <v>1.4224828046234806E-2</v>
      </c>
      <c r="H371" s="3">
        <f t="shared" si="51"/>
        <v>8.6121901096420893E-3</v>
      </c>
      <c r="I371" s="3">
        <f t="shared" si="52"/>
        <v>-5.6126379365927168E-3</v>
      </c>
    </row>
    <row r="372" spans="1:9">
      <c r="A372">
        <f t="shared" si="53"/>
        <v>334</v>
      </c>
      <c r="B372" s="13">
        <f t="shared" si="48"/>
        <v>22.500186825184461</v>
      </c>
      <c r="C372" s="12">
        <f t="shared" si="49"/>
        <v>3080.822226577784</v>
      </c>
      <c r="D372">
        <f t="shared" si="54"/>
        <v>3.0449999999999999</v>
      </c>
      <c r="E372" s="13">
        <f t="shared" si="55"/>
        <v>1.4083333333333341</v>
      </c>
      <c r="F372">
        <v>0.72</v>
      </c>
      <c r="G372" s="21">
        <f t="shared" si="50"/>
        <v>1.4070249537818123E-2</v>
      </c>
      <c r="H372" s="3">
        <f t="shared" si="51"/>
        <v>8.6121901096420893E-3</v>
      </c>
      <c r="I372" s="3">
        <f t="shared" si="52"/>
        <v>-5.458059428176034E-3</v>
      </c>
    </row>
    <row r="373" spans="1:9">
      <c r="A373">
        <f t="shared" si="53"/>
        <v>335</v>
      </c>
      <c r="B373" s="13">
        <f t="shared" si="48"/>
        <v>22.494728765756285</v>
      </c>
      <c r="C373" s="12">
        <f t="shared" si="49"/>
        <v>3080.8023324186306</v>
      </c>
      <c r="D373">
        <f t="shared" si="54"/>
        <v>3.0449999999999999</v>
      </c>
      <c r="E373" s="13">
        <f t="shared" si="55"/>
        <v>1.4000000000000008</v>
      </c>
      <c r="F373">
        <v>0.72</v>
      </c>
      <c r="G373" s="21">
        <f t="shared" si="50"/>
        <v>1.3916448366120479E-2</v>
      </c>
      <c r="H373" s="3">
        <f t="shared" si="51"/>
        <v>8.6121901096420893E-3</v>
      </c>
      <c r="I373" s="3">
        <f t="shared" si="52"/>
        <v>-5.3042582564783898E-3</v>
      </c>
    </row>
    <row r="374" spans="1:9">
      <c r="A374">
        <f t="shared" si="53"/>
        <v>336</v>
      </c>
      <c r="B374" s="13">
        <f t="shared" si="48"/>
        <v>22.489424507499805</v>
      </c>
      <c r="C374" s="12">
        <f t="shared" si="49"/>
        <v>3080.7824382594772</v>
      </c>
      <c r="D374">
        <f t="shared" si="54"/>
        <v>3.0449999999999999</v>
      </c>
      <c r="E374" s="13">
        <f t="shared" si="55"/>
        <v>1.3916666666666675</v>
      </c>
      <c r="F374">
        <v>0.72</v>
      </c>
      <c r="G374" s="21">
        <f t="shared" si="50"/>
        <v>1.3763425214213042E-2</v>
      </c>
      <c r="H374" s="3">
        <f t="shared" si="51"/>
        <v>8.6121901096420893E-3</v>
      </c>
      <c r="I374" s="3">
        <f t="shared" si="52"/>
        <v>-5.1512351045709531E-3</v>
      </c>
    </row>
    <row r="375" spans="1:9">
      <c r="A375">
        <f t="shared" si="53"/>
        <v>337</v>
      </c>
      <c r="B375" s="13">
        <f t="shared" si="48"/>
        <v>22.484273272395235</v>
      </c>
      <c r="C375" s="12">
        <f t="shared" si="49"/>
        <v>3080.7625441003238</v>
      </c>
      <c r="D375">
        <f t="shared" si="54"/>
        <v>3.0449999999999999</v>
      </c>
      <c r="E375" s="13">
        <f t="shared" si="55"/>
        <v>1.3833333333333342</v>
      </c>
      <c r="F375">
        <v>0.72</v>
      </c>
      <c r="G375" s="21">
        <f t="shared" si="50"/>
        <v>1.361118076985067E-2</v>
      </c>
      <c r="H375" s="3">
        <f t="shared" si="51"/>
        <v>8.6121901096420893E-3</v>
      </c>
      <c r="I375" s="3">
        <f t="shared" si="52"/>
        <v>-4.9989906602085805E-3</v>
      </c>
    </row>
    <row r="376" spans="1:9">
      <c r="A376">
        <f t="shared" si="53"/>
        <v>338</v>
      </c>
      <c r="B376" s="13">
        <f t="shared" si="48"/>
        <v>22.479274281735027</v>
      </c>
      <c r="C376" s="12">
        <f t="shared" si="49"/>
        <v>3080.7426499411704</v>
      </c>
      <c r="D376">
        <f t="shared" si="54"/>
        <v>3.0449999999999999</v>
      </c>
      <c r="E376" s="13">
        <f t="shared" si="55"/>
        <v>1.3750000000000009</v>
      </c>
      <c r="F376">
        <v>0.72</v>
      </c>
      <c r="G376" s="21">
        <f t="shared" si="50"/>
        <v>1.3459715725532473E-2</v>
      </c>
      <c r="H376" s="3">
        <f t="shared" si="51"/>
        <v>8.6121901096420893E-3</v>
      </c>
      <c r="I376" s="3">
        <f t="shared" si="52"/>
        <v>-4.8475256158903839E-3</v>
      </c>
    </row>
    <row r="377" spans="1:9">
      <c r="A377">
        <f t="shared" si="53"/>
        <v>339</v>
      </c>
      <c r="B377" s="13">
        <f t="shared" si="48"/>
        <v>22.474426756119136</v>
      </c>
      <c r="C377" s="12">
        <f t="shared" si="49"/>
        <v>3080.722755782017</v>
      </c>
      <c r="D377">
        <f t="shared" si="54"/>
        <v>3.0449999999999999</v>
      </c>
      <c r="E377" s="13">
        <f t="shared" si="55"/>
        <v>1.3666666666666676</v>
      </c>
      <c r="F377">
        <v>0.72</v>
      </c>
      <c r="G377" s="21">
        <f t="shared" si="50"/>
        <v>1.330903077856333E-2</v>
      </c>
      <c r="H377" s="3">
        <f t="shared" si="51"/>
        <v>8.6121901096420893E-3</v>
      </c>
      <c r="I377" s="3">
        <f t="shared" si="52"/>
        <v>-4.6968406689212403E-3</v>
      </c>
    </row>
    <row r="378" spans="1:9">
      <c r="A378">
        <f t="shared" si="53"/>
        <v>340</v>
      </c>
      <c r="B378" s="13">
        <f t="shared" si="48"/>
        <v>22.469729915450216</v>
      </c>
      <c r="C378" s="12">
        <f t="shared" si="49"/>
        <v>3080.7028616228636</v>
      </c>
      <c r="D378">
        <f t="shared" si="54"/>
        <v>3.0449999999999999</v>
      </c>
      <c r="E378" s="13">
        <f t="shared" si="55"/>
        <v>1.3583333333333343</v>
      </c>
      <c r="F378">
        <v>0.72</v>
      </c>
      <c r="G378" s="21">
        <f t="shared" si="50"/>
        <v>1.3159126631116645E-2</v>
      </c>
      <c r="H378" s="3">
        <f t="shared" si="51"/>
        <v>8.6121901096420893E-3</v>
      </c>
      <c r="I378" s="3">
        <f t="shared" si="52"/>
        <v>-4.5469365214745559E-3</v>
      </c>
    </row>
    <row r="379" spans="1:9">
      <c r="A379">
        <f t="shared" si="53"/>
        <v>341</v>
      </c>
      <c r="B379" s="13">
        <f t="shared" si="48"/>
        <v>22.465182978928741</v>
      </c>
      <c r="C379" s="12">
        <f t="shared" si="49"/>
        <v>3080.6829674637102</v>
      </c>
      <c r="D379">
        <f t="shared" si="54"/>
        <v>3.0449999999999999</v>
      </c>
      <c r="E379" s="13">
        <f t="shared" si="55"/>
        <v>1.350000000000001</v>
      </c>
      <c r="F379">
        <v>0.72</v>
      </c>
      <c r="G379" s="21">
        <f t="shared" si="50"/>
        <v>1.3010003990298497E-2</v>
      </c>
      <c r="H379" s="3">
        <f t="shared" si="51"/>
        <v>8.6121901096420893E-3</v>
      </c>
      <c r="I379" s="3">
        <f t="shared" si="52"/>
        <v>-4.3978138806564076E-3</v>
      </c>
    </row>
    <row r="380" spans="1:9">
      <c r="A380">
        <f t="shared" si="53"/>
        <v>342</v>
      </c>
      <c r="B380" s="13">
        <f t="shared" si="48"/>
        <v>22.460785165048083</v>
      </c>
      <c r="C380" s="12">
        <f t="shared" si="49"/>
        <v>3080.6630733045567</v>
      </c>
      <c r="D380">
        <f t="shared" si="54"/>
        <v>3.0449999999999999</v>
      </c>
      <c r="E380" s="13">
        <f t="shared" si="55"/>
        <v>1.3416666666666677</v>
      </c>
      <c r="F380">
        <v>0.72</v>
      </c>
      <c r="G380" s="21">
        <f t="shared" si="50"/>
        <v>1.2861663568212644E-2</v>
      </c>
      <c r="H380" s="3">
        <f t="shared" si="51"/>
        <v>8.6121901096420893E-3</v>
      </c>
      <c r="I380" s="3">
        <f t="shared" si="52"/>
        <v>-4.2494734585705549E-3</v>
      </c>
    </row>
    <row r="381" spans="1:9">
      <c r="A381">
        <f t="shared" si="53"/>
        <v>343</v>
      </c>
      <c r="B381" s="13">
        <f t="shared" si="48"/>
        <v>22.456535691589512</v>
      </c>
      <c r="C381" s="12">
        <f t="shared" si="49"/>
        <v>3080.6431791454033</v>
      </c>
      <c r="D381">
        <f t="shared" si="54"/>
        <v>3.0449999999999999</v>
      </c>
      <c r="E381" s="13">
        <f t="shared" si="55"/>
        <v>1.3333333333333344</v>
      </c>
      <c r="F381">
        <v>0.72</v>
      </c>
      <c r="G381" s="21">
        <f t="shared" si="50"/>
        <v>1.2714106082027313E-2</v>
      </c>
      <c r="H381" s="3">
        <f t="shared" si="51"/>
        <v>8.6121901096420893E-3</v>
      </c>
      <c r="I381" s="3">
        <f t="shared" si="52"/>
        <v>-4.1019159723852238E-3</v>
      </c>
    </row>
    <row r="382" spans="1:9">
      <c r="A382">
        <f t="shared" si="53"/>
        <v>344</v>
      </c>
      <c r="B382" s="13">
        <f t="shared" si="48"/>
        <v>22.452433775617127</v>
      </c>
      <c r="C382" s="12">
        <f t="shared" si="49"/>
        <v>3080.6232849862499</v>
      </c>
      <c r="D382">
        <f t="shared" si="54"/>
        <v>3.0449999999999999</v>
      </c>
      <c r="E382" s="13">
        <f t="shared" si="55"/>
        <v>1.3250000000000011</v>
      </c>
      <c r="F382">
        <v>0.72</v>
      </c>
      <c r="G382" s="21">
        <f t="shared" si="50"/>
        <v>1.256733225404269E-2</v>
      </c>
      <c r="H382" s="3">
        <f t="shared" si="51"/>
        <v>8.6121901096420893E-3</v>
      </c>
      <c r="I382" s="3">
        <f t="shared" si="52"/>
        <v>-3.9551421444006009E-3</v>
      </c>
    </row>
    <row r="383" spans="1:9">
      <c r="A383">
        <f t="shared" si="53"/>
        <v>345</v>
      </c>
      <c r="B383" s="13">
        <f t="shared" si="48"/>
        <v>22.448478633472728</v>
      </c>
      <c r="C383" s="12">
        <f t="shared" si="49"/>
        <v>3080.6033908270965</v>
      </c>
      <c r="D383">
        <f t="shared" si="54"/>
        <v>3.0449999999999999</v>
      </c>
      <c r="E383" s="13">
        <f t="shared" si="55"/>
        <v>1.3166666666666678</v>
      </c>
      <c r="F383">
        <v>0.72</v>
      </c>
      <c r="G383" s="21">
        <f t="shared" si="50"/>
        <v>1.242134281176034E-2</v>
      </c>
      <c r="H383" s="3">
        <f t="shared" si="51"/>
        <v>8.6121901096420893E-3</v>
      </c>
      <c r="I383" s="3">
        <f t="shared" si="52"/>
        <v>-3.8091527021182504E-3</v>
      </c>
    </row>
    <row r="384" spans="1:9">
      <c r="A384">
        <f t="shared" si="53"/>
        <v>346</v>
      </c>
      <c r="B384" s="13">
        <f t="shared" si="48"/>
        <v>22.44466948077061</v>
      </c>
      <c r="C384" s="12">
        <f t="shared" si="49"/>
        <v>3080.5834966679431</v>
      </c>
      <c r="D384">
        <f t="shared" si="54"/>
        <v>3.0449999999999999</v>
      </c>
      <c r="E384" s="13">
        <f t="shared" si="55"/>
        <v>1.3083333333333345</v>
      </c>
      <c r="F384">
        <v>0.72</v>
      </c>
      <c r="G384" s="21">
        <f t="shared" si="50"/>
        <v>1.2276138487953598E-2</v>
      </c>
      <c r="H384" s="3">
        <f t="shared" si="51"/>
        <v>8.6121901096420893E-3</v>
      </c>
      <c r="I384" s="3">
        <f t="shared" si="52"/>
        <v>-3.6639483783115091E-3</v>
      </c>
    </row>
    <row r="385" spans="1:9">
      <c r="A385">
        <f t="shared" si="53"/>
        <v>347</v>
      </c>
      <c r="B385" s="13">
        <f t="shared" si="48"/>
        <v>22.4410055323923</v>
      </c>
      <c r="C385" s="12">
        <f t="shared" si="49"/>
        <v>3080.5636025087897</v>
      </c>
      <c r="D385">
        <f t="shared" si="54"/>
        <v>3.0449999999999999</v>
      </c>
      <c r="E385" s="13">
        <f t="shared" si="55"/>
        <v>1.3000000000000012</v>
      </c>
      <c r="F385">
        <v>0.72</v>
      </c>
      <c r="G385" s="21">
        <f t="shared" si="50"/>
        <v>1.2131720020739437E-2</v>
      </c>
      <c r="H385" s="3">
        <f t="shared" si="51"/>
        <v>8.6121901096420893E-3</v>
      </c>
      <c r="I385" s="3">
        <f t="shared" si="52"/>
        <v>-3.5195299110973473E-3</v>
      </c>
    </row>
    <row r="386" spans="1:9">
      <c r="A386">
        <f t="shared" si="53"/>
        <v>348</v>
      </c>
      <c r="B386" s="13">
        <f t="shared" si="48"/>
        <v>22.437486002481201</v>
      </c>
      <c r="C386" s="12">
        <f t="shared" si="49"/>
        <v>3080.5437083496363</v>
      </c>
      <c r="D386">
        <f t="shared" si="54"/>
        <v>3.0449999999999999</v>
      </c>
      <c r="E386" s="13">
        <f t="shared" si="55"/>
        <v>1.2916666666666679</v>
      </c>
      <c r="F386">
        <v>0.72</v>
      </c>
      <c r="G386" s="21">
        <f t="shared" si="50"/>
        <v>1.1988088153652047E-2</v>
      </c>
      <c r="H386" s="3">
        <f t="shared" si="51"/>
        <v>8.6121901096420893E-3</v>
      </c>
      <c r="I386" s="3">
        <f t="shared" si="52"/>
        <v>-3.3758980440099576E-3</v>
      </c>
    </row>
    <row r="387" spans="1:9">
      <c r="A387">
        <f t="shared" si="53"/>
        <v>349</v>
      </c>
      <c r="B387" s="13">
        <f>B386+I386</f>
        <v>22.434110104437192</v>
      </c>
      <c r="C387" s="12">
        <f t="shared" si="49"/>
        <v>3080.5238141904829</v>
      </c>
      <c r="D387">
        <f t="shared" si="54"/>
        <v>3.0449999999999999</v>
      </c>
      <c r="E387" s="13">
        <f t="shared" si="55"/>
        <v>1.2833333333333345</v>
      </c>
      <c r="F387">
        <v>0.72</v>
      </c>
      <c r="G387" s="21">
        <f t="shared" si="50"/>
        <v>1.1845243635717562E-2</v>
      </c>
      <c r="H387" s="3">
        <f t="shared" si="51"/>
        <v>8.6121901096420893E-3</v>
      </c>
      <c r="I387" s="3">
        <f t="shared" si="52"/>
        <v>-3.2330535260754727E-3</v>
      </c>
    </row>
    <row r="388" spans="1:9">
      <c r="A388">
        <f t="shared" si="53"/>
        <v>350</v>
      </c>
      <c r="B388" s="13">
        <f t="shared" si="48"/>
        <v>22.430877050911118</v>
      </c>
      <c r="C388" s="12">
        <f t="shared" si="49"/>
        <v>3080.5039200313295</v>
      </c>
      <c r="D388">
        <f t="shared" si="54"/>
        <v>3.0449999999999999</v>
      </c>
      <c r="E388" s="13">
        <f t="shared" si="55"/>
        <v>1.2750000000000012</v>
      </c>
      <c r="F388">
        <v>0.72</v>
      </c>
      <c r="G388" s="21">
        <f t="shared" si="50"/>
        <v>1.1703187221530412E-2</v>
      </c>
      <c r="H388" s="3">
        <f t="shared" si="51"/>
        <v>8.6121901096420893E-3</v>
      </c>
      <c r="I388" s="3">
        <f t="shared" si="52"/>
        <v>-3.0909971118883231E-3</v>
      </c>
    </row>
    <row r="389" spans="1:9">
      <c r="A389">
        <f t="shared" si="53"/>
        <v>351</v>
      </c>
      <c r="B389" s="13">
        <f t="shared" si="48"/>
        <v>22.427786053799231</v>
      </c>
      <c r="C389" s="12">
        <f t="shared" si="49"/>
        <v>3080.4840258721761</v>
      </c>
      <c r="D389">
        <f t="shared" si="54"/>
        <v>3.0449999999999999</v>
      </c>
      <c r="E389" s="13">
        <f t="shared" si="55"/>
        <v>1.2666666666666679</v>
      </c>
      <c r="F389">
        <v>0.72</v>
      </c>
      <c r="G389" s="21">
        <f t="shared" si="50"/>
        <v>1.1561919671331423E-2</v>
      </c>
      <c r="H389" s="3">
        <f t="shared" si="51"/>
        <v>8.6121901096420893E-3</v>
      </c>
      <c r="I389" s="3">
        <f t="shared" si="52"/>
        <v>-2.9497295616893338E-3</v>
      </c>
    </row>
    <row r="390" spans="1:9">
      <c r="A390">
        <f t="shared" si="53"/>
        <v>352</v>
      </c>
      <c r="B390" s="13">
        <f t="shared" si="48"/>
        <v>22.424836324237543</v>
      </c>
      <c r="C390" s="12">
        <f t="shared" si="49"/>
        <v>3080.4641317130227</v>
      </c>
      <c r="D390">
        <f t="shared" si="54"/>
        <v>3.0449999999999999</v>
      </c>
      <c r="E390" s="13">
        <f t="shared" si="55"/>
        <v>1.2583333333333346</v>
      </c>
      <c r="F390">
        <v>0.72</v>
      </c>
      <c r="G390" s="21">
        <f t="shared" si="50"/>
        <v>1.1421441751087317E-2</v>
      </c>
      <c r="H390" s="3">
        <f t="shared" si="51"/>
        <v>8.6121901096420893E-3</v>
      </c>
      <c r="I390" s="3">
        <f t="shared" si="52"/>
        <v>-2.8092516414452273E-3</v>
      </c>
    </row>
    <row r="391" spans="1:9">
      <c r="A391">
        <f t="shared" si="53"/>
        <v>353</v>
      </c>
      <c r="B391" s="13">
        <f t="shared" si="48"/>
        <v>22.422027072596098</v>
      </c>
      <c r="C391" s="12">
        <f t="shared" si="49"/>
        <v>3080.4442375538692</v>
      </c>
      <c r="D391">
        <f t="shared" si="54"/>
        <v>3.0449999999999999</v>
      </c>
      <c r="E391" s="13">
        <f t="shared" si="55"/>
        <v>1.2500000000000013</v>
      </c>
      <c r="F391">
        <v>0.72</v>
      </c>
      <c r="G391" s="21">
        <f t="shared" si="50"/>
        <v>1.1281754232571911E-2</v>
      </c>
      <c r="H391" s="3">
        <f t="shared" si="51"/>
        <v>8.6121901096420893E-3</v>
      </c>
      <c r="I391" s="3">
        <f t="shared" si="52"/>
        <v>-2.6695641229298218E-3</v>
      </c>
    </row>
    <row r="392" spans="1:9">
      <c r="A392">
        <f t="shared" si="53"/>
        <v>354</v>
      </c>
      <c r="B392" s="13">
        <f t="shared" si="48"/>
        <v>22.419357508473169</v>
      </c>
      <c r="C392" s="12">
        <f t="shared" si="49"/>
        <v>3080.4243433947158</v>
      </c>
      <c r="D392">
        <f t="shared" si="54"/>
        <v>3.0449999999999999</v>
      </c>
      <c r="E392" s="13">
        <f t="shared" si="55"/>
        <v>1.241666666666668</v>
      </c>
      <c r="F392">
        <v>0.72</v>
      </c>
      <c r="G392" s="21">
        <f t="shared" si="50"/>
        <v>1.1142857893449043E-2</v>
      </c>
      <c r="H392" s="3">
        <f t="shared" si="51"/>
        <v>8.6121901096420893E-3</v>
      </c>
      <c r="I392" s="3">
        <f t="shared" si="52"/>
        <v>-2.5306677838069537E-3</v>
      </c>
    </row>
    <row r="393" spans="1:9">
      <c r="A393">
        <f t="shared" si="53"/>
        <v>355</v>
      </c>
      <c r="B393" s="13">
        <f t="shared" si="48"/>
        <v>22.416826840689364</v>
      </c>
      <c r="C393" s="12">
        <f t="shared" si="49"/>
        <v>3080.4044492355624</v>
      </c>
      <c r="D393">
        <f t="shared" si="54"/>
        <v>3.0449999999999999</v>
      </c>
      <c r="E393" s="13">
        <f t="shared" si="55"/>
        <v>1.2333333333333347</v>
      </c>
      <c r="F393">
        <v>0.72</v>
      </c>
      <c r="G393" s="21">
        <f t="shared" si="50"/>
        <v>1.1004753517357359E-2</v>
      </c>
      <c r="H393" s="3">
        <f t="shared" si="51"/>
        <v>8.6121901096420893E-3</v>
      </c>
      <c r="I393" s="3">
        <f t="shared" si="52"/>
        <v>-2.3925634077152699E-3</v>
      </c>
    </row>
    <row r="394" spans="1:9">
      <c r="A394">
        <f t="shared" si="53"/>
        <v>356</v>
      </c>
      <c r="B394" s="13">
        <f t="shared" si="48"/>
        <v>22.41443427728165</v>
      </c>
      <c r="C394" s="12">
        <f t="shared" si="49"/>
        <v>3080.384555076409</v>
      </c>
      <c r="D394">
        <f t="shared" si="54"/>
        <v>3.0449999999999999</v>
      </c>
      <c r="E394" s="13">
        <f t="shared" si="55"/>
        <v>1.2250000000000014</v>
      </c>
      <c r="F394">
        <v>0.72</v>
      </c>
      <c r="G394" s="21">
        <f t="shared" si="50"/>
        <v>1.0867441893996604E-2</v>
      </c>
      <c r="H394" s="3">
        <f t="shared" si="51"/>
        <v>8.6121901096420893E-3</v>
      </c>
      <c r="I394" s="3">
        <f t="shared" si="52"/>
        <v>-2.2552517843545151E-3</v>
      </c>
    </row>
    <row r="395" spans="1:9">
      <c r="A395">
        <f t="shared" si="53"/>
        <v>357</v>
      </c>
      <c r="B395" s="13">
        <f t="shared" si="48"/>
        <v>22.412179025497295</v>
      </c>
      <c r="C395" s="12">
        <f t="shared" si="49"/>
        <v>3080.3646609172556</v>
      </c>
      <c r="D395">
        <f t="shared" si="54"/>
        <v>3.0449999999999999</v>
      </c>
      <c r="E395" s="13">
        <f t="shared" si="55"/>
        <v>1.2166666666666681</v>
      </c>
      <c r="F395">
        <v>0.72</v>
      </c>
      <c r="G395" s="21">
        <f t="shared" si="50"/>
        <v>1.073092381921608E-2</v>
      </c>
      <c r="H395" s="3">
        <f t="shared" si="51"/>
        <v>8.6121901096420893E-3</v>
      </c>
      <c r="I395" s="3">
        <f t="shared" si="52"/>
        <v>-2.118733709573991E-3</v>
      </c>
    </row>
    <row r="396" spans="1:9">
      <c r="A396">
        <f t="shared" si="53"/>
        <v>358</v>
      </c>
      <c r="B396" s="13">
        <f t="shared" si="48"/>
        <v>22.410060291787723</v>
      </c>
      <c r="C396" s="12">
        <f t="shared" si="49"/>
        <v>3080.3447667581022</v>
      </c>
      <c r="D396">
        <f t="shared" si="54"/>
        <v>3.0449999999999999</v>
      </c>
      <c r="E396" s="13">
        <f t="shared" si="55"/>
        <v>1.2083333333333348</v>
      </c>
      <c r="F396">
        <v>0.72</v>
      </c>
      <c r="G396" s="21">
        <f t="shared" si="50"/>
        <v>1.0595200095104774E-2</v>
      </c>
      <c r="H396" s="3">
        <f t="shared" si="51"/>
        <v>8.6121901096420893E-3</v>
      </c>
      <c r="I396" s="3">
        <f t="shared" si="52"/>
        <v>-1.9830099854626845E-3</v>
      </c>
    </row>
    <row r="397" spans="1:9">
      <c r="A397">
        <f t="shared" si="53"/>
        <v>359</v>
      </c>
      <c r="B397" s="13">
        <f t="shared" si="48"/>
        <v>22.40807728180226</v>
      </c>
      <c r="C397" s="12">
        <f t="shared" si="49"/>
        <v>3080.3248725989488</v>
      </c>
      <c r="D397">
        <f t="shared" si="54"/>
        <v>3.0449999999999999</v>
      </c>
      <c r="E397" s="13">
        <f t="shared" si="55"/>
        <v>1.2000000000000015</v>
      </c>
      <c r="F397">
        <v>0.72</v>
      </c>
      <c r="G397" s="21">
        <f t="shared" si="50"/>
        <v>1.0460271530083547E-2</v>
      </c>
      <c r="H397" s="3">
        <f t="shared" si="51"/>
        <v>8.6121901096420893E-3</v>
      </c>
      <c r="I397" s="3">
        <f t="shared" si="52"/>
        <v>-1.8480814204414574E-3</v>
      </c>
    </row>
    <row r="398" spans="1:9">
      <c r="A398">
        <f t="shared" si="53"/>
        <v>360</v>
      </c>
      <c r="B398" s="13">
        <f t="shared" si="48"/>
        <v>22.406229200381819</v>
      </c>
      <c r="C398" s="12">
        <f t="shared" si="49"/>
        <v>3080.3049784397954</v>
      </c>
      <c r="D398">
        <f t="shared" si="54"/>
        <v>3.0449999999999999</v>
      </c>
      <c r="E398" s="13">
        <f t="shared" si="55"/>
        <v>1.1916666666666682</v>
      </c>
      <c r="F398">
        <v>0.72</v>
      </c>
      <c r="G398" s="21">
        <f t="shared" si="50"/>
        <v>1.0326138938999372E-2</v>
      </c>
      <c r="H398" s="3">
        <f t="shared" si="51"/>
        <v>8.6121901096420893E-3</v>
      </c>
      <c r="I398" s="3">
        <f t="shared" si="52"/>
        <v>-1.7139488293572824E-3</v>
      </c>
    </row>
    <row r="399" spans="1:9">
      <c r="A399">
        <f t="shared" si="53"/>
        <v>361</v>
      </c>
      <c r="B399" s="13">
        <f t="shared" si="48"/>
        <v>22.404515251552461</v>
      </c>
      <c r="C399" s="12">
        <f t="shared" si="49"/>
        <v>3080.285084280642</v>
      </c>
      <c r="D399">
        <f t="shared" si="54"/>
        <v>3.0449999999999999</v>
      </c>
      <c r="E399" s="13">
        <f t="shared" si="55"/>
        <v>1.1833333333333349</v>
      </c>
      <c r="F399">
        <v>0.72</v>
      </c>
      <c r="G399" s="21">
        <f t="shared" si="50"/>
        <v>1.0192803143221494E-2</v>
      </c>
      <c r="H399" s="3">
        <f t="shared" si="51"/>
        <v>8.6121901096420893E-3</v>
      </c>
      <c r="I399" s="3">
        <f t="shared" si="52"/>
        <v>-1.5806130335794047E-3</v>
      </c>
    </row>
    <row r="400" spans="1:9">
      <c r="A400">
        <f t="shared" si="53"/>
        <v>362</v>
      </c>
      <c r="B400" s="13">
        <f t="shared" si="48"/>
        <v>22.402934638518882</v>
      </c>
      <c r="C400" s="12">
        <f t="shared" si="49"/>
        <v>3080.2651901214886</v>
      </c>
      <c r="D400">
        <f t="shared" si="54"/>
        <v>3.0449999999999999</v>
      </c>
      <c r="E400" s="13">
        <f t="shared" si="55"/>
        <v>1.1750000000000016</v>
      </c>
      <c r="F400">
        <v>0.72</v>
      </c>
      <c r="G400" s="21">
        <f t="shared" si="50"/>
        <v>1.0060264970739785E-2</v>
      </c>
      <c r="H400" s="3">
        <f t="shared" si="51"/>
        <v>8.6121901096420893E-3</v>
      </c>
      <c r="I400" s="3">
        <f t="shared" si="52"/>
        <v>-1.4480748610976955E-3</v>
      </c>
    </row>
    <row r="401" spans="1:9">
      <c r="A401">
        <f t="shared" si="53"/>
        <v>363</v>
      </c>
      <c r="B401" s="13">
        <f t="shared" si="48"/>
        <v>22.401486563657784</v>
      </c>
      <c r="C401" s="12">
        <f t="shared" si="49"/>
        <v>3080.2452959623351</v>
      </c>
      <c r="D401">
        <f t="shared" si="54"/>
        <v>3.0449999999999999</v>
      </c>
      <c r="E401" s="13">
        <f t="shared" si="55"/>
        <v>1.1666666666666683</v>
      </c>
      <c r="F401">
        <v>0.72</v>
      </c>
      <c r="G401" s="21">
        <f t="shared" si="50"/>
        <v>9.9285252562653879E-3</v>
      </c>
      <c r="H401" s="3">
        <f t="shared" si="51"/>
        <v>8.6121901096420893E-3</v>
      </c>
      <c r="I401" s="3">
        <f t="shared" si="52"/>
        <v>-1.3163351466232986E-3</v>
      </c>
    </row>
    <row r="402" spans="1:9">
      <c r="A402">
        <f t="shared" si="53"/>
        <v>364</v>
      </c>
      <c r="B402" s="13">
        <f t="shared" si="48"/>
        <v>22.400170228511161</v>
      </c>
      <c r="C402" s="12">
        <f t="shared" si="49"/>
        <v>3080.2254018031817</v>
      </c>
      <c r="D402">
        <f t="shared" si="54"/>
        <v>3.0449999999999999</v>
      </c>
      <c r="E402" s="13">
        <f t="shared" si="55"/>
        <v>1.158333333333335</v>
      </c>
      <c r="F402">
        <v>0.72</v>
      </c>
      <c r="G402" s="21">
        <f t="shared" si="50"/>
        <v>9.7975848413335183E-3</v>
      </c>
      <c r="H402" s="3">
        <f t="shared" si="51"/>
        <v>8.6121901096420893E-3</v>
      </c>
      <c r="I402" s="3">
        <f t="shared" si="52"/>
        <v>-1.185394731691429E-3</v>
      </c>
    </row>
    <row r="403" spans="1:9">
      <c r="A403">
        <f t="shared" si="53"/>
        <v>365</v>
      </c>
      <c r="B403" s="13">
        <f t="shared" si="48"/>
        <v>22.398984833779469</v>
      </c>
      <c r="C403" s="12">
        <f t="shared" si="49"/>
        <v>3080.2055076440283</v>
      </c>
      <c r="D403">
        <f t="shared" si="54"/>
        <v>3.0449999999999999</v>
      </c>
      <c r="E403" s="13">
        <f t="shared" si="55"/>
        <v>1.1500000000000017</v>
      </c>
      <c r="F403">
        <v>0.72</v>
      </c>
      <c r="G403" s="21">
        <f t="shared" si="50"/>
        <v>9.6674445744085024E-3</v>
      </c>
      <c r="H403" s="3">
        <f t="shared" si="51"/>
        <v>8.6121901096420893E-3</v>
      </c>
      <c r="I403" s="3">
        <f t="shared" si="52"/>
        <v>-1.0552544647664131E-3</v>
      </c>
    </row>
    <row r="404" spans="1:9">
      <c r="A404">
        <f t="shared" si="53"/>
        <v>366</v>
      </c>
      <c r="B404" s="13">
        <f t="shared" si="48"/>
        <v>22.397929579314702</v>
      </c>
      <c r="C404" s="12">
        <f t="shared" si="49"/>
        <v>3080.1856134848749</v>
      </c>
      <c r="D404">
        <f t="shared" si="54"/>
        <v>3.0449999999999999</v>
      </c>
      <c r="E404" s="13">
        <f t="shared" si="55"/>
        <v>1.1416666666666684</v>
      </c>
      <c r="F404">
        <v>0.72</v>
      </c>
      <c r="G404" s="21">
        <f t="shared" si="50"/>
        <v>9.5381053109914217E-3</v>
      </c>
      <c r="H404" s="3">
        <f t="shared" si="51"/>
        <v>8.6121901096420893E-3</v>
      </c>
      <c r="I404" s="3">
        <f t="shared" si="52"/>
        <v>-9.2591520134933242E-4</v>
      </c>
    </row>
    <row r="405" spans="1:9">
      <c r="A405">
        <f t="shared" si="53"/>
        <v>367</v>
      </c>
      <c r="B405" s="13">
        <f t="shared" si="48"/>
        <v>22.397003664113353</v>
      </c>
      <c r="C405" s="12">
        <f t="shared" si="49"/>
        <v>3080.1657193257215</v>
      </c>
      <c r="D405">
        <f t="shared" si="54"/>
        <v>3.0449999999999999</v>
      </c>
      <c r="E405" s="13">
        <f t="shared" si="55"/>
        <v>1.1333333333333351</v>
      </c>
      <c r="F405">
        <v>0.72</v>
      </c>
      <c r="G405" s="21">
        <f t="shared" si="50"/>
        <v>9.4095679137300263E-3</v>
      </c>
      <c r="H405" s="3">
        <f t="shared" si="51"/>
        <v>8.6121901096420893E-3</v>
      </c>
      <c r="I405" s="3">
        <f t="shared" si="52"/>
        <v>-7.9737780408793701E-4</v>
      </c>
    </row>
    <row r="406" spans="1:9">
      <c r="A406">
        <f t="shared" si="53"/>
        <v>368</v>
      </c>
      <c r="B406" s="13">
        <f t="shared" si="48"/>
        <v>22.396206286309265</v>
      </c>
      <c r="C406" s="12">
        <f t="shared" si="49"/>
        <v>3080.1458251665681</v>
      </c>
      <c r="D406">
        <f t="shared" si="54"/>
        <v>3.0449999999999999</v>
      </c>
      <c r="E406" s="13">
        <f t="shared" si="55"/>
        <v>1.1250000000000018</v>
      </c>
      <c r="F406">
        <v>0.72</v>
      </c>
      <c r="G406" s="21">
        <f t="shared" si="50"/>
        <v>9.2818332525312942E-3</v>
      </c>
      <c r="H406" s="3">
        <f t="shared" si="51"/>
        <v>8.6121901096420893E-3</v>
      </c>
      <c r="I406" s="3">
        <f t="shared" si="52"/>
        <v>-6.6964314288920496E-4</v>
      </c>
    </row>
    <row r="407" spans="1:9">
      <c r="A407">
        <f t="shared" si="53"/>
        <v>369</v>
      </c>
      <c r="B407" s="13">
        <f t="shared" si="48"/>
        <v>22.395536643166377</v>
      </c>
      <c r="C407" s="12">
        <f t="shared" si="49"/>
        <v>3080.1259310074147</v>
      </c>
      <c r="D407">
        <f t="shared" si="54"/>
        <v>3.0449999999999999</v>
      </c>
      <c r="E407" s="13">
        <f t="shared" si="55"/>
        <v>1.1166666666666685</v>
      </c>
      <c r="F407">
        <v>0.72</v>
      </c>
      <c r="G407" s="21">
        <f t="shared" si="50"/>
        <v>9.1549022046765963E-3</v>
      </c>
      <c r="H407" s="3">
        <f t="shared" si="51"/>
        <v>8.6121901096420893E-3</v>
      </c>
      <c r="I407" s="3">
        <f t="shared" si="52"/>
        <v>-5.4271209503450706E-4</v>
      </c>
    </row>
    <row r="408" spans="1:9">
      <c r="A408">
        <f t="shared" si="53"/>
        <v>370</v>
      </c>
      <c r="B408" s="13">
        <f t="shared" si="48"/>
        <v>22.394993931071344</v>
      </c>
      <c r="C408" s="12">
        <f t="shared" si="49"/>
        <v>3080.1060368482613</v>
      </c>
      <c r="D408">
        <f t="shared" si="54"/>
        <v>3.0449999999999999</v>
      </c>
      <c r="E408" s="13">
        <f t="shared" si="55"/>
        <v>1.1083333333333352</v>
      </c>
      <c r="F408">
        <v>0.72</v>
      </c>
      <c r="G408" s="21">
        <f t="shared" si="50"/>
        <v>9.0287756549394561E-3</v>
      </c>
      <c r="H408" s="3">
        <f t="shared" si="51"/>
        <v>8.6121901096420893E-3</v>
      </c>
      <c r="I408" s="3">
        <f t="shared" si="52"/>
        <v>-4.1658554529736685E-4</v>
      </c>
    </row>
    <row r="409" spans="1:9">
      <c r="A409">
        <f t="shared" si="53"/>
        <v>371</v>
      </c>
      <c r="B409" s="13">
        <f t="shared" si="48"/>
        <v>22.394577345526045</v>
      </c>
      <c r="C409" s="12">
        <f t="shared" si="49"/>
        <v>3080.0861426891079</v>
      </c>
      <c r="D409">
        <f t="shared" si="54"/>
        <v>3.0449999999999999</v>
      </c>
      <c r="E409" s="13">
        <f t="shared" si="55"/>
        <v>1.1000000000000019</v>
      </c>
      <c r="F409">
        <v>0.72</v>
      </c>
      <c r="G409" s="21">
        <f t="shared" si="50"/>
        <v>8.9034544957062641E-3</v>
      </c>
      <c r="H409" s="3">
        <f t="shared" si="51"/>
        <v>8.6121901096420893E-3</v>
      </c>
      <c r="I409" s="3">
        <f t="shared" si="52"/>
        <v>-2.9126438606417483E-4</v>
      </c>
    </row>
    <row r="410" spans="1:9">
      <c r="A410">
        <f t="shared" si="53"/>
        <v>372</v>
      </c>
      <c r="B410" s="13">
        <f t="shared" si="48"/>
        <v>22.394286081139981</v>
      </c>
      <c r="C410" s="12">
        <f t="shared" si="49"/>
        <v>3080.0662485299545</v>
      </c>
      <c r="D410">
        <f t="shared" si="54"/>
        <v>3.0449999999999999</v>
      </c>
      <c r="E410" s="13">
        <f t="shared" si="55"/>
        <v>1.0916666666666686</v>
      </c>
      <c r="F410">
        <v>0.72</v>
      </c>
      <c r="G410" s="21">
        <f t="shared" si="50"/>
        <v>8.7789396270997293E-3</v>
      </c>
      <c r="H410" s="3">
        <f t="shared" si="51"/>
        <v>8.6121901096420893E-3</v>
      </c>
      <c r="I410" s="3">
        <f t="shared" si="52"/>
        <v>-1.6674951745764E-4</v>
      </c>
    </row>
    <row r="411" spans="1:9">
      <c r="A411">
        <f t="shared" si="53"/>
        <v>373</v>
      </c>
      <c r="B411" s="13">
        <f t="shared" si="48"/>
        <v>22.394119331622523</v>
      </c>
      <c r="C411" s="12">
        <f t="shared" si="49"/>
        <v>3080.0463543708011</v>
      </c>
      <c r="D411">
        <f t="shared" si="54"/>
        <v>3.0449999999999999</v>
      </c>
      <c r="E411" s="13">
        <f t="shared" si="55"/>
        <v>1.0833333333333353</v>
      </c>
      <c r="F411">
        <v>0.72</v>
      </c>
      <c r="G411" s="21">
        <f t="shared" si="50"/>
        <v>8.655231957105311E-3</v>
      </c>
      <c r="H411" s="3">
        <f t="shared" si="51"/>
        <v>8.6121901096420893E-3</v>
      </c>
      <c r="I411" s="3">
        <f t="shared" si="52"/>
        <v>-4.3041847463221733E-5</v>
      </c>
    </row>
    <row r="412" spans="1:9">
      <c r="A412">
        <f t="shared" si="53"/>
        <v>374</v>
      </c>
      <c r="B412" s="13">
        <f t="shared" si="48"/>
        <v>22.394076289775061</v>
      </c>
      <c r="C412" s="12">
        <f t="shared" si="49"/>
        <v>3080.0264602116476</v>
      </c>
      <c r="D412">
        <f t="shared" si="54"/>
        <v>3.0449999999999999</v>
      </c>
      <c r="E412" s="13">
        <f t="shared" si="55"/>
        <v>1.075000000000002</v>
      </c>
      <c r="F412">
        <v>0.72</v>
      </c>
      <c r="G412" s="21">
        <f t="shared" si="50"/>
        <v>8.532332401700711E-3</v>
      </c>
      <c r="H412" s="3">
        <f t="shared" si="51"/>
        <v>8.6121901096420893E-3</v>
      </c>
      <c r="I412" s="3">
        <f t="shared" si="52"/>
        <v>7.9857707941378281E-5</v>
      </c>
    </row>
    <row r="413" spans="1:9">
      <c r="A413">
        <f t="shared" si="53"/>
        <v>375</v>
      </c>
      <c r="B413" s="13">
        <f t="shared" si="48"/>
        <v>22.394156147483002</v>
      </c>
      <c r="C413" s="12">
        <f t="shared" si="49"/>
        <v>3080.0065660524942</v>
      </c>
      <c r="D413">
        <f t="shared" si="54"/>
        <v>3.0449999999999999</v>
      </c>
      <c r="E413" s="13">
        <f t="shared" si="55"/>
        <v>1.0666666666666687</v>
      </c>
      <c r="F413">
        <v>0.72</v>
      </c>
      <c r="G413" s="21">
        <f t="shared" si="50"/>
        <v>8.4102418849885657E-3</v>
      </c>
      <c r="H413" s="3">
        <f t="shared" si="51"/>
        <v>8.6121901096420893E-3</v>
      </c>
      <c r="I413" s="3">
        <f t="shared" si="52"/>
        <v>2.0194822465352362E-4</v>
      </c>
    </row>
    <row r="414" spans="1:9">
      <c r="A414">
        <f t="shared" si="53"/>
        <v>376</v>
      </c>
      <c r="B414" s="13">
        <f t="shared" si="48"/>
        <v>22.394358095707656</v>
      </c>
      <c r="C414" s="12">
        <f t="shared" si="49"/>
        <v>3079.9866718933408</v>
      </c>
      <c r="D414">
        <f t="shared" si="54"/>
        <v>3.0449999999999999</v>
      </c>
      <c r="E414" s="13">
        <f t="shared" si="55"/>
        <v>1.0583333333333353</v>
      </c>
      <c r="F414">
        <v>0.72</v>
      </c>
      <c r="G414" s="21">
        <f t="shared" si="50"/>
        <v>8.2889613393322733E-3</v>
      </c>
      <c r="H414" s="3">
        <f t="shared" si="51"/>
        <v>8.6121901096420893E-3</v>
      </c>
      <c r="I414" s="3">
        <f t="shared" si="52"/>
        <v>3.2322877030981599E-4</v>
      </c>
    </row>
    <row r="415" spans="1:9">
      <c r="A415">
        <f t="shared" si="53"/>
        <v>377</v>
      </c>
      <c r="B415" s="13">
        <f t="shared" si="48"/>
        <v>22.394681324477965</v>
      </c>
      <c r="C415" s="12">
        <f t="shared" si="49"/>
        <v>3079.9667777341874</v>
      </c>
      <c r="D415">
        <f t="shared" si="54"/>
        <v>3.0449999999999999</v>
      </c>
      <c r="E415" s="13">
        <f t="shared" si="55"/>
        <v>1.050000000000002</v>
      </c>
      <c r="F415">
        <v>0.72</v>
      </c>
      <c r="G415" s="21">
        <f t="shared" si="50"/>
        <v>8.1684917054953791E-3</v>
      </c>
      <c r="H415" s="3">
        <f t="shared" si="51"/>
        <v>8.6121901096420893E-3</v>
      </c>
      <c r="I415" s="3">
        <f t="shared" si="52"/>
        <v>4.436984041467102E-4</v>
      </c>
    </row>
    <row r="416" spans="1:9">
      <c r="A416">
        <f t="shared" si="53"/>
        <v>378</v>
      </c>
      <c r="B416" s="13">
        <f t="shared" si="48"/>
        <v>22.395125022882112</v>
      </c>
      <c r="C416" s="12">
        <f t="shared" si="49"/>
        <v>3079.946883575034</v>
      </c>
      <c r="D416">
        <f t="shared" si="54"/>
        <v>3.0449999999999999</v>
      </c>
      <c r="E416" s="13">
        <f t="shared" si="55"/>
        <v>1.0416666666666687</v>
      </c>
      <c r="F416">
        <v>0.72</v>
      </c>
      <c r="G416" s="21">
        <f t="shared" si="50"/>
        <v>8.048833932784159E-3</v>
      </c>
      <c r="H416" s="3">
        <f t="shared" si="51"/>
        <v>8.6121901096420893E-3</v>
      </c>
      <c r="I416" s="3">
        <f t="shared" si="52"/>
        <v>5.6335617685793031E-4</v>
      </c>
    </row>
    <row r="417" spans="1:9">
      <c r="A417">
        <f t="shared" si="53"/>
        <v>379</v>
      </c>
      <c r="B417" s="13">
        <f t="shared" si="48"/>
        <v>22.395688379058971</v>
      </c>
      <c r="C417" s="12">
        <f t="shared" si="49"/>
        <v>3079.9269894158806</v>
      </c>
      <c r="D417">
        <f t="shared" si="54"/>
        <v>3.0449999999999999</v>
      </c>
      <c r="E417" s="13">
        <f t="shared" si="55"/>
        <v>1.0333333333333354</v>
      </c>
      <c r="F417">
        <v>0.72</v>
      </c>
      <c r="G417" s="21">
        <f t="shared" si="50"/>
        <v>7.9299889791939731E-3</v>
      </c>
      <c r="H417" s="3">
        <f t="shared" si="51"/>
        <v>8.6121901096420893E-3</v>
      </c>
      <c r="I417" s="3">
        <f t="shared" si="52"/>
        <v>6.8220113044811619E-4</v>
      </c>
    </row>
    <row r="418" spans="1:9">
      <c r="A418">
        <f t="shared" si="53"/>
        <v>380</v>
      </c>
      <c r="B418" s="13">
        <f t="shared" si="48"/>
        <v>22.396370580189419</v>
      </c>
      <c r="C418" s="12">
        <f t="shared" si="49"/>
        <v>3079.9070952567272</v>
      </c>
      <c r="D418">
        <f t="shared" si="54"/>
        <v>3.0449999999999999</v>
      </c>
      <c r="E418" s="13">
        <f t="shared" si="55"/>
        <v>1.0250000000000021</v>
      </c>
      <c r="F418">
        <v>0.72</v>
      </c>
      <c r="G418" s="21">
        <f t="shared" si="50"/>
        <v>7.8119578115593549E-3</v>
      </c>
      <c r="H418" s="3">
        <f t="shared" si="51"/>
        <v>8.6121901096420893E-3</v>
      </c>
      <c r="I418" s="3">
        <f t="shared" si="52"/>
        <v>8.0023229808273439E-4</v>
      </c>
    </row>
    <row r="419" spans="1:9">
      <c r="A419">
        <f t="shared" si="53"/>
        <v>381</v>
      </c>
      <c r="B419" s="13">
        <f t="shared" si="48"/>
        <v>22.397170812487502</v>
      </c>
      <c r="C419" s="12">
        <f t="shared" si="49"/>
        <v>3079.8872010975738</v>
      </c>
      <c r="D419">
        <f t="shared" si="54"/>
        <v>3.0449999999999999</v>
      </c>
      <c r="E419" s="13">
        <f t="shared" si="55"/>
        <v>1.0166666666666688</v>
      </c>
      <c r="F419">
        <v>0.72</v>
      </c>
      <c r="G419" s="21">
        <f t="shared" si="50"/>
        <v>7.6947414057076981E-3</v>
      </c>
      <c r="H419" s="3">
        <f t="shared" si="51"/>
        <v>8.6121901096420893E-3</v>
      </c>
      <c r="I419" s="3">
        <f t="shared" si="52"/>
        <v>9.1744870393439121E-4</v>
      </c>
    </row>
    <row r="420" spans="1:9">
      <c r="A420">
        <f t="shared" si="53"/>
        <v>382</v>
      </c>
      <c r="B420" s="13">
        <f t="shared" si="48"/>
        <v>22.398088261191436</v>
      </c>
      <c r="C420" s="12">
        <f t="shared" si="49"/>
        <v>3079.8673069384204</v>
      </c>
      <c r="D420">
        <f t="shared" si="54"/>
        <v>3.0449999999999999</v>
      </c>
      <c r="E420" s="13">
        <f t="shared" si="55"/>
        <v>1.0083333333333355</v>
      </c>
      <c r="F420">
        <v>0.72</v>
      </c>
      <c r="G420" s="21">
        <f t="shared" si="50"/>
        <v>7.5783407466172232E-3</v>
      </c>
      <c r="H420" s="3">
        <f t="shared" si="51"/>
        <v>8.6121901096420893E-3</v>
      </c>
      <c r="I420" s="3">
        <f t="shared" si="52"/>
        <v>1.0338493630248661E-3</v>
      </c>
    </row>
    <row r="421" spans="1:9">
      <c r="A421">
        <f t="shared" si="53"/>
        <v>383</v>
      </c>
      <c r="B421" s="13">
        <f t="shared" si="48"/>
        <v>22.399122110554462</v>
      </c>
      <c r="C421" s="12">
        <f t="shared" si="49"/>
        <v>3079.847412779267</v>
      </c>
      <c r="D421">
        <f t="shared" si="54"/>
        <v>3.0449999999999999</v>
      </c>
      <c r="E421" s="13">
        <f t="shared" si="55"/>
        <v>1.0000000000000022</v>
      </c>
      <c r="F421">
        <v>0.72</v>
      </c>
      <c r="G421" s="21">
        <f t="shared" si="50"/>
        <v>7.4627568285786979E-3</v>
      </c>
      <c r="H421" s="3">
        <f t="shared" si="51"/>
        <v>8.6121901096420893E-3</v>
      </c>
      <c r="I421" s="3">
        <f t="shared" si="52"/>
        <v>1.1494332810633914E-3</v>
      </c>
    </row>
    <row r="422" spans="1:9">
      <c r="A422">
        <f t="shared" si="53"/>
        <v>384</v>
      </c>
      <c r="B422" s="13">
        <f t="shared" si="48"/>
        <v>22.400271543835526</v>
      </c>
      <c r="C422" s="12">
        <f t="shared" si="49"/>
        <v>3079.8275186201136</v>
      </c>
      <c r="D422">
        <f t="shared" si="54"/>
        <v>3.0449999999999999</v>
      </c>
      <c r="E422" s="13">
        <f t="shared" si="55"/>
        <v>0.99166666666666892</v>
      </c>
      <c r="F422">
        <v>0.72</v>
      </c>
      <c r="G422" s="21">
        <f t="shared" si="50"/>
        <v>7.3479906553616161E-3</v>
      </c>
      <c r="H422" s="3">
        <f t="shared" si="51"/>
        <v>8.6121901096420893E-3</v>
      </c>
      <c r="I422" s="3">
        <f t="shared" si="52"/>
        <v>1.2641994542804732E-3</v>
      </c>
    </row>
    <row r="423" spans="1:9">
      <c r="A423">
        <f t="shared" si="53"/>
        <v>385</v>
      </c>
      <c r="B423" s="13">
        <f t="shared" si="48"/>
        <v>22.401535743289806</v>
      </c>
      <c r="C423" s="12">
        <f t="shared" si="49"/>
        <v>3079.8076244609601</v>
      </c>
      <c r="D423">
        <f t="shared" si="54"/>
        <v>3.0449999999999999</v>
      </c>
      <c r="E423" s="13">
        <f t="shared" si="55"/>
        <v>0.98333333333333561</v>
      </c>
      <c r="F423">
        <v>0.72</v>
      </c>
      <c r="G423" s="21">
        <f t="shared" si="50"/>
        <v>7.2340432403847814E-3</v>
      </c>
      <c r="H423" s="3">
        <f t="shared" si="51"/>
        <v>8.6121901096420893E-3</v>
      </c>
      <c r="I423" s="3">
        <f t="shared" si="52"/>
        <v>1.3781468692573079E-3</v>
      </c>
    </row>
    <row r="424" spans="1:9">
      <c r="A424">
        <f t="shared" si="53"/>
        <v>386</v>
      </c>
      <c r="B424" s="13">
        <f t="shared" ref="B424:B440" si="56">B423+I423</f>
        <v>22.402913890159063</v>
      </c>
      <c r="C424" s="12">
        <f t="shared" ref="C424:C440" si="57">C423-H423*2.31</f>
        <v>3079.7877303018067</v>
      </c>
      <c r="D424">
        <f t="shared" si="54"/>
        <v>3.0449999999999999</v>
      </c>
      <c r="E424" s="13">
        <f t="shared" si="55"/>
        <v>0.97500000000000231</v>
      </c>
      <c r="F424">
        <v>0.72</v>
      </c>
      <c r="G424" s="21">
        <f t="shared" ref="G424:G440" si="58">(1050*((E424/$C$11)^1.852)*(D424/100)*(F424^-4.87))/2.31</f>
        <v>7.1209156068911617E-3</v>
      </c>
      <c r="H424" s="3">
        <f t="shared" ref="H424:H440" si="59">(D424*$C$19)/2.31</f>
        <v>8.6121901096420893E-3</v>
      </c>
      <c r="I424" s="3">
        <f t="shared" ref="I424:I440" si="60">H424-G424</f>
        <v>1.4912745027509276E-3</v>
      </c>
    </row>
    <row r="425" spans="1:9">
      <c r="A425">
        <f t="shared" ref="A425:A488" si="61">A424+1</f>
        <v>387</v>
      </c>
      <c r="B425" s="13">
        <f t="shared" si="56"/>
        <v>22.404405164661814</v>
      </c>
      <c r="C425" s="12">
        <f t="shared" si="57"/>
        <v>3079.7678361426533</v>
      </c>
      <c r="D425">
        <f t="shared" ref="D425:D488" si="62">$C$13</f>
        <v>3.0449999999999999</v>
      </c>
      <c r="E425" s="13">
        <f t="shared" ref="E425:E488" si="63">E424-($C$6/60)</f>
        <v>0.96666666666666901</v>
      </c>
      <c r="F425">
        <v>0.72</v>
      </c>
      <c r="G425" s="21">
        <f t="shared" si="58"/>
        <v>7.0086087881277266E-3</v>
      </c>
      <c r="H425" s="3">
        <f t="shared" si="59"/>
        <v>8.6121901096420893E-3</v>
      </c>
      <c r="I425" s="3">
        <f t="shared" si="60"/>
        <v>1.6035813215143626E-3</v>
      </c>
    </row>
    <row r="426" spans="1:9">
      <c r="A426">
        <f t="shared" si="61"/>
        <v>388</v>
      </c>
      <c r="B426" s="13">
        <f t="shared" si="56"/>
        <v>22.406008745983328</v>
      </c>
      <c r="C426" s="12">
        <f t="shared" si="57"/>
        <v>3079.7479419834999</v>
      </c>
      <c r="D426">
        <f t="shared" si="62"/>
        <v>3.0449999999999999</v>
      </c>
      <c r="E426" s="13">
        <f t="shared" si="63"/>
        <v>0.9583333333333357</v>
      </c>
      <c r="F426">
        <v>0.72</v>
      </c>
      <c r="G426" s="21">
        <f t="shared" si="58"/>
        <v>6.8971238275300209E-3</v>
      </c>
      <c r="H426" s="3">
        <f t="shared" si="59"/>
        <v>8.6121901096420893E-3</v>
      </c>
      <c r="I426" s="3">
        <f t="shared" si="60"/>
        <v>1.7150662821120684E-3</v>
      </c>
    </row>
    <row r="427" spans="1:9">
      <c r="A427">
        <f t="shared" si="61"/>
        <v>389</v>
      </c>
      <c r="B427" s="13">
        <f t="shared" si="56"/>
        <v>22.407723812265441</v>
      </c>
      <c r="C427" s="12">
        <f t="shared" si="57"/>
        <v>3079.7280478243465</v>
      </c>
      <c r="D427">
        <f t="shared" si="62"/>
        <v>3.0449999999999999</v>
      </c>
      <c r="E427" s="13">
        <f t="shared" si="63"/>
        <v>0.9500000000000024</v>
      </c>
      <c r="F427">
        <v>0.72</v>
      </c>
      <c r="G427" s="21">
        <f t="shared" si="58"/>
        <v>6.786461778911684E-3</v>
      </c>
      <c r="H427" s="3">
        <f t="shared" si="59"/>
        <v>8.6121901096420893E-3</v>
      </c>
      <c r="I427" s="3">
        <f t="shared" si="60"/>
        <v>1.8257283307304053E-3</v>
      </c>
    </row>
    <row r="428" spans="1:9">
      <c r="A428">
        <f t="shared" si="61"/>
        <v>390</v>
      </c>
      <c r="B428" s="13">
        <f t="shared" si="56"/>
        <v>22.409549540596171</v>
      </c>
      <c r="C428" s="12">
        <f t="shared" si="57"/>
        <v>3079.7081536651931</v>
      </c>
      <c r="D428">
        <f t="shared" si="62"/>
        <v>3.0449999999999999</v>
      </c>
      <c r="E428" s="13">
        <f t="shared" si="63"/>
        <v>0.94166666666666909</v>
      </c>
      <c r="F428">
        <v>0.72</v>
      </c>
      <c r="G428" s="21">
        <f t="shared" si="58"/>
        <v>6.6766237066594276E-3</v>
      </c>
      <c r="H428" s="3">
        <f t="shared" si="59"/>
        <v>8.6121901096420893E-3</v>
      </c>
      <c r="I428" s="3">
        <f t="shared" si="60"/>
        <v>1.9355664029826617E-3</v>
      </c>
    </row>
    <row r="429" spans="1:9">
      <c r="A429">
        <f t="shared" si="61"/>
        <v>391</v>
      </c>
      <c r="B429" s="13">
        <f t="shared" si="56"/>
        <v>22.411485106999152</v>
      </c>
      <c r="C429" s="12">
        <f t="shared" si="57"/>
        <v>3079.6882595060397</v>
      </c>
      <c r="D429">
        <f t="shared" si="62"/>
        <v>3.0449999999999999</v>
      </c>
      <c r="E429" s="13">
        <f t="shared" si="63"/>
        <v>0.93333333333333579</v>
      </c>
      <c r="F429">
        <v>0.72</v>
      </c>
      <c r="G429" s="21">
        <f t="shared" si="58"/>
        <v>6.5676106859331417E-3</v>
      </c>
      <c r="H429" s="3">
        <f t="shared" si="59"/>
        <v>8.6121901096420893E-3</v>
      </c>
      <c r="I429" s="3">
        <f t="shared" si="60"/>
        <v>2.0445794237089476E-3</v>
      </c>
    </row>
    <row r="430" spans="1:9">
      <c r="A430">
        <f t="shared" si="61"/>
        <v>392</v>
      </c>
      <c r="B430" s="13">
        <f t="shared" si="56"/>
        <v>22.413529686422862</v>
      </c>
      <c r="C430" s="12">
        <f t="shared" si="57"/>
        <v>3079.6683653468863</v>
      </c>
      <c r="D430">
        <f t="shared" si="62"/>
        <v>3.0449999999999999</v>
      </c>
      <c r="E430" s="13">
        <f t="shared" si="63"/>
        <v>0.92500000000000249</v>
      </c>
      <c r="F430">
        <v>0.72</v>
      </c>
      <c r="G430" s="21">
        <f t="shared" si="58"/>
        <v>6.4594238028717905E-3</v>
      </c>
      <c r="H430" s="3">
        <f t="shared" si="59"/>
        <v>8.6121901096420893E-3</v>
      </c>
      <c r="I430" s="3">
        <f t="shared" si="60"/>
        <v>2.1527663067702988E-3</v>
      </c>
    </row>
    <row r="431" spans="1:9">
      <c r="A431">
        <f t="shared" si="61"/>
        <v>393</v>
      </c>
      <c r="B431" s="13">
        <f t="shared" si="56"/>
        <v>22.415682452729634</v>
      </c>
      <c r="C431" s="12">
        <f t="shared" si="57"/>
        <v>3079.6484711877329</v>
      </c>
      <c r="D431">
        <f t="shared" si="62"/>
        <v>3.0449999999999999</v>
      </c>
      <c r="E431" s="13">
        <f t="shared" si="63"/>
        <v>0.91666666666666918</v>
      </c>
      <c r="F431">
        <v>0.72</v>
      </c>
      <c r="G431" s="21">
        <f t="shared" si="58"/>
        <v>6.3520641548050656E-3</v>
      </c>
      <c r="H431" s="3">
        <f t="shared" si="59"/>
        <v>8.6121901096420893E-3</v>
      </c>
      <c r="I431" s="3">
        <f t="shared" si="60"/>
        <v>2.2601259548370237E-3</v>
      </c>
    </row>
    <row r="432" spans="1:9">
      <c r="A432">
        <f t="shared" si="61"/>
        <v>394</v>
      </c>
      <c r="B432" s="13">
        <f t="shared" si="56"/>
        <v>22.417942578684471</v>
      </c>
      <c r="C432" s="12">
        <f t="shared" si="57"/>
        <v>3079.6285770285795</v>
      </c>
      <c r="D432">
        <f t="shared" si="62"/>
        <v>3.0449999999999999</v>
      </c>
      <c r="E432" s="13">
        <f t="shared" si="63"/>
        <v>0.90833333333333588</v>
      </c>
      <c r="F432">
        <v>0.72</v>
      </c>
      <c r="G432" s="21">
        <f t="shared" si="58"/>
        <v>6.2455328504711352E-3</v>
      </c>
      <c r="H432" s="3">
        <f t="shared" si="59"/>
        <v>8.6121901096420893E-3</v>
      </c>
      <c r="I432" s="3">
        <f t="shared" si="60"/>
        <v>2.3666572591709541E-3</v>
      </c>
    </row>
    <row r="433" spans="1:9">
      <c r="A433">
        <f t="shared" si="61"/>
        <v>395</v>
      </c>
      <c r="B433" s="13">
        <f t="shared" si="56"/>
        <v>22.420309235943641</v>
      </c>
      <c r="C433" s="12">
        <f t="shared" si="57"/>
        <v>3079.608682869426</v>
      </c>
      <c r="D433">
        <f t="shared" si="62"/>
        <v>3.0449999999999999</v>
      </c>
      <c r="E433" s="13">
        <f t="shared" si="63"/>
        <v>0.90000000000000258</v>
      </c>
      <c r="F433">
        <v>0.72</v>
      </c>
      <c r="G433" s="21">
        <f t="shared" si="58"/>
        <v>6.1398310102404752E-3</v>
      </c>
      <c r="H433" s="3">
        <f t="shared" si="59"/>
        <v>8.6121901096420893E-3</v>
      </c>
      <c r="I433" s="3">
        <f t="shared" si="60"/>
        <v>2.472359099401614E-3</v>
      </c>
    </row>
    <row r="434" spans="1:9">
      <c r="A434">
        <f t="shared" si="61"/>
        <v>396</v>
      </c>
      <c r="B434" s="13">
        <f t="shared" si="56"/>
        <v>22.422781595043041</v>
      </c>
      <c r="C434" s="12">
        <f t="shared" si="57"/>
        <v>3079.5887887102726</v>
      </c>
      <c r="D434">
        <f t="shared" si="62"/>
        <v>3.0449999999999999</v>
      </c>
      <c r="E434" s="13">
        <f t="shared" si="63"/>
        <v>0.89166666666666927</v>
      </c>
      <c r="F434">
        <v>0.72</v>
      </c>
      <c r="G434" s="21">
        <f t="shared" si="58"/>
        <v>6.0349597663464883E-3</v>
      </c>
      <c r="H434" s="3">
        <f t="shared" si="59"/>
        <v>8.6121901096420893E-3</v>
      </c>
      <c r="I434" s="3">
        <f t="shared" si="60"/>
        <v>2.5772303432956009E-3</v>
      </c>
    </row>
    <row r="435" spans="1:9">
      <c r="A435">
        <f t="shared" si="61"/>
        <v>397</v>
      </c>
      <c r="B435" s="13">
        <f t="shared" si="56"/>
        <v>22.425358825386336</v>
      </c>
      <c r="C435" s="12">
        <f t="shared" si="57"/>
        <v>3079.5688945511192</v>
      </c>
      <c r="D435">
        <f t="shared" si="62"/>
        <v>3.0449999999999999</v>
      </c>
      <c r="E435" s="13">
        <f t="shared" si="63"/>
        <v>0.88333333333333597</v>
      </c>
      <c r="F435">
        <v>0.72</v>
      </c>
      <c r="G435" s="21">
        <f t="shared" si="58"/>
        <v>5.9309202631225751E-3</v>
      </c>
      <c r="H435" s="3">
        <f t="shared" si="59"/>
        <v>8.6121901096420893E-3</v>
      </c>
      <c r="I435" s="3">
        <f t="shared" si="60"/>
        <v>2.6812698465195142E-3</v>
      </c>
    </row>
    <row r="436" spans="1:9">
      <c r="A436">
        <f t="shared" si="61"/>
        <v>398</v>
      </c>
      <c r="B436" s="13">
        <f t="shared" si="56"/>
        <v>22.428040095232856</v>
      </c>
      <c r="C436" s="12">
        <f t="shared" si="57"/>
        <v>3079.5490003919658</v>
      </c>
      <c r="D436">
        <f t="shared" si="62"/>
        <v>3.0449999999999999</v>
      </c>
      <c r="E436" s="13">
        <f t="shared" si="63"/>
        <v>0.87500000000000266</v>
      </c>
      <c r="F436">
        <v>0.72</v>
      </c>
      <c r="G436" s="21">
        <f t="shared" si="58"/>
        <v>5.82771365724645E-3</v>
      </c>
      <c r="H436" s="3">
        <f t="shared" si="59"/>
        <v>8.6121901096420893E-3</v>
      </c>
      <c r="I436" s="3">
        <f t="shared" si="60"/>
        <v>2.7844764523956393E-3</v>
      </c>
    </row>
    <row r="437" spans="1:9">
      <c r="A437">
        <f t="shared" si="61"/>
        <v>399</v>
      </c>
      <c r="B437" s="13">
        <f t="shared" si="56"/>
        <v>22.43082457168525</v>
      </c>
      <c r="C437" s="12">
        <f t="shared" si="57"/>
        <v>3079.5291062328124</v>
      </c>
      <c r="D437">
        <f t="shared" si="62"/>
        <v>3.0449999999999999</v>
      </c>
      <c r="E437" s="13">
        <f t="shared" si="63"/>
        <v>0.86666666666666936</v>
      </c>
      <c r="F437">
        <v>0.72</v>
      </c>
      <c r="G437" s="21">
        <f t="shared" si="58"/>
        <v>5.7253411179916461E-3</v>
      </c>
      <c r="H437" s="3">
        <f t="shared" si="59"/>
        <v>8.6121901096420893E-3</v>
      </c>
      <c r="I437" s="3">
        <f t="shared" si="60"/>
        <v>2.8868489916504432E-3</v>
      </c>
    </row>
    <row r="438" spans="1:9">
      <c r="A438">
        <f t="shared" si="61"/>
        <v>400</v>
      </c>
      <c r="B438" s="13">
        <f t="shared" si="56"/>
        <v>22.4337114206769</v>
      </c>
      <c r="C438" s="12">
        <f t="shared" si="57"/>
        <v>3079.509212073659</v>
      </c>
      <c r="D438">
        <f t="shared" si="62"/>
        <v>3.0449999999999999</v>
      </c>
      <c r="E438" s="13">
        <f t="shared" si="63"/>
        <v>0.85833333333333606</v>
      </c>
      <c r="F438">
        <v>0.72</v>
      </c>
      <c r="G438" s="21">
        <f t="shared" si="58"/>
        <v>5.6238038274866358E-3</v>
      </c>
      <c r="H438" s="3">
        <f t="shared" si="59"/>
        <v>8.6121901096420893E-3</v>
      </c>
      <c r="I438" s="3">
        <f t="shared" si="60"/>
        <v>2.9883862821554535E-3</v>
      </c>
    </row>
    <row r="439" spans="1:9">
      <c r="A439">
        <f t="shared" si="61"/>
        <v>401</v>
      </c>
      <c r="B439" s="13">
        <f t="shared" si="56"/>
        <v>22.436699806959055</v>
      </c>
      <c r="C439" s="12">
        <f t="shared" si="57"/>
        <v>3079.4893179145056</v>
      </c>
      <c r="D439">
        <f t="shared" si="62"/>
        <v>3.0449999999999999</v>
      </c>
      <c r="E439" s="13">
        <f t="shared" si="63"/>
        <v>0.85000000000000275</v>
      </c>
      <c r="F439">
        <v>0.72</v>
      </c>
      <c r="G439" s="21">
        <f t="shared" si="58"/>
        <v>5.5231029809817917E-3</v>
      </c>
      <c r="H439" s="3">
        <f t="shared" si="59"/>
        <v>8.6121901096420893E-3</v>
      </c>
      <c r="I439" s="3">
        <f t="shared" si="60"/>
        <v>3.0890871286602976E-3</v>
      </c>
    </row>
    <row r="440" spans="1:9">
      <c r="A440">
        <f t="shared" si="61"/>
        <v>402</v>
      </c>
      <c r="B440" s="13">
        <f t="shared" si="56"/>
        <v>22.439788894087716</v>
      </c>
      <c r="C440" s="12">
        <f t="shared" si="57"/>
        <v>3079.4694237553522</v>
      </c>
      <c r="D440">
        <f t="shared" si="62"/>
        <v>3.0449999999999999</v>
      </c>
      <c r="E440" s="13">
        <f t="shared" si="63"/>
        <v>0.84166666666666945</v>
      </c>
      <c r="F440">
        <v>0.72</v>
      </c>
      <c r="G440" s="21">
        <f t="shared" si="58"/>
        <v>5.4232397871246205E-3</v>
      </c>
      <c r="H440" s="3">
        <f t="shared" si="59"/>
        <v>8.6121901096420893E-3</v>
      </c>
      <c r="I440" s="3">
        <f t="shared" si="60"/>
        <v>3.1889503225174688E-3</v>
      </c>
    </row>
    <row r="441" spans="1:9">
      <c r="A441">
        <f t="shared" si="61"/>
        <v>403</v>
      </c>
      <c r="B441" s="13">
        <f t="shared" ref="B441:B504" si="64">B440+I440</f>
        <v>22.442977844410233</v>
      </c>
      <c r="C441" s="12">
        <f t="shared" ref="C441:C504" si="65">C440-H440*2.31</f>
        <v>3079.4495295961988</v>
      </c>
      <c r="D441">
        <f t="shared" si="62"/>
        <v>3.0449999999999999</v>
      </c>
      <c r="E441" s="13">
        <f t="shared" si="63"/>
        <v>0.83333333333333615</v>
      </c>
      <c r="F441">
        <v>0.72</v>
      </c>
      <c r="G441" s="21">
        <f t="shared" ref="G441:G504" si="66">(1050*((E441/$C$11)^1.852)*(D441/100)*(F441^-4.87))/2.31</f>
        <v>5.324215468243498E-3</v>
      </c>
      <c r="H441" s="3">
        <f t="shared" ref="H441:H504" si="67">(D441*$C$19)/2.31</f>
        <v>8.6121901096420893E-3</v>
      </c>
      <c r="I441" s="3">
        <f t="shared" ref="I441:I504" si="68">H441-G441</f>
        <v>3.2879746413985913E-3</v>
      </c>
    </row>
    <row r="442" spans="1:9">
      <c r="A442">
        <f t="shared" si="61"/>
        <v>404</v>
      </c>
      <c r="B442" s="13">
        <f t="shared" si="64"/>
        <v>22.446265819051632</v>
      </c>
      <c r="C442" s="12">
        <f t="shared" si="65"/>
        <v>3079.4296354370454</v>
      </c>
      <c r="D442">
        <f t="shared" si="62"/>
        <v>3.0449999999999999</v>
      </c>
      <c r="E442" s="13">
        <f t="shared" si="63"/>
        <v>0.82500000000000284</v>
      </c>
      <c r="F442">
        <v>0.72</v>
      </c>
      <c r="G442" s="21">
        <f t="shared" si="66"/>
        <v>5.2260312606403035E-3</v>
      </c>
      <c r="H442" s="3">
        <f t="shared" si="67"/>
        <v>8.6121901096420893E-3</v>
      </c>
      <c r="I442" s="3">
        <f t="shared" si="68"/>
        <v>3.3861588490017858E-3</v>
      </c>
    </row>
    <row r="443" spans="1:9">
      <c r="A443">
        <f t="shared" si="61"/>
        <v>405</v>
      </c>
      <c r="B443" s="13">
        <f t="shared" si="64"/>
        <v>22.449651977900633</v>
      </c>
      <c r="C443" s="12">
        <f t="shared" si="65"/>
        <v>3079.409741277892</v>
      </c>
      <c r="D443">
        <f t="shared" si="62"/>
        <v>3.0449999999999999</v>
      </c>
      <c r="E443" s="13">
        <f t="shared" si="63"/>
        <v>0.81666666666666954</v>
      </c>
      <c r="F443">
        <v>0.72</v>
      </c>
      <c r="G443" s="21">
        <f t="shared" si="66"/>
        <v>5.1286884148923437E-3</v>
      </c>
      <c r="H443" s="3">
        <f t="shared" si="67"/>
        <v>8.6121901096420893E-3</v>
      </c>
      <c r="I443" s="3">
        <f t="shared" si="68"/>
        <v>3.4835016947497455E-3</v>
      </c>
    </row>
    <row r="444" spans="1:9">
      <c r="A444">
        <f t="shared" si="61"/>
        <v>406</v>
      </c>
      <c r="B444" s="13">
        <f t="shared" si="64"/>
        <v>22.453135479595382</v>
      </c>
      <c r="C444" s="12">
        <f t="shared" si="65"/>
        <v>3079.3898471187385</v>
      </c>
      <c r="D444">
        <f t="shared" si="62"/>
        <v>3.0449999999999999</v>
      </c>
      <c r="E444" s="13">
        <f t="shared" si="63"/>
        <v>0.80833333333333623</v>
      </c>
      <c r="F444">
        <v>0.72</v>
      </c>
      <c r="G444" s="21">
        <f t="shared" si="66"/>
        <v>5.0321881961638837E-3</v>
      </c>
      <c r="H444" s="3">
        <f t="shared" si="67"/>
        <v>8.6121901096420893E-3</v>
      </c>
      <c r="I444" s="3">
        <f t="shared" si="68"/>
        <v>3.5800019134782056E-3</v>
      </c>
    </row>
    <row r="445" spans="1:9">
      <c r="A445">
        <f t="shared" si="61"/>
        <v>407</v>
      </c>
      <c r="B445" s="13">
        <f t="shared" si="64"/>
        <v>22.456715481508859</v>
      </c>
      <c r="C445" s="12">
        <f t="shared" si="65"/>
        <v>3079.3699529595851</v>
      </c>
      <c r="D445">
        <f t="shared" si="62"/>
        <v>3.0449999999999999</v>
      </c>
      <c r="E445" s="13">
        <f t="shared" si="63"/>
        <v>0.80000000000000293</v>
      </c>
      <c r="F445">
        <v>0.72</v>
      </c>
      <c r="G445" s="21">
        <f t="shared" si="66"/>
        <v>4.9365318845278183E-3</v>
      </c>
      <c r="H445" s="3">
        <f t="shared" si="67"/>
        <v>8.6121901096420893E-3</v>
      </c>
      <c r="I445" s="3">
        <f t="shared" si="68"/>
        <v>3.675658225114271E-3</v>
      </c>
    </row>
    <row r="446" spans="1:9">
      <c r="A446">
        <f t="shared" si="61"/>
        <v>408</v>
      </c>
      <c r="B446" s="13">
        <f t="shared" si="64"/>
        <v>22.460391139733971</v>
      </c>
      <c r="C446" s="12">
        <f t="shared" si="65"/>
        <v>3079.3500588004317</v>
      </c>
      <c r="D446">
        <f t="shared" si="62"/>
        <v>3.0449999999999999</v>
      </c>
      <c r="E446" s="13">
        <f t="shared" si="63"/>
        <v>0.79166666666666963</v>
      </c>
      <c r="F446">
        <v>0.72</v>
      </c>
      <c r="G446" s="21">
        <f t="shared" si="66"/>
        <v>4.8417207752977833E-3</v>
      </c>
      <c r="H446" s="3">
        <f t="shared" si="67"/>
        <v>8.6121901096420893E-3</v>
      </c>
      <c r="I446" s="3">
        <f t="shared" si="68"/>
        <v>3.770469334344306E-3</v>
      </c>
    </row>
    <row r="447" spans="1:9">
      <c r="A447">
        <f t="shared" si="61"/>
        <v>409</v>
      </c>
      <c r="B447" s="13">
        <f t="shared" si="64"/>
        <v>22.464161609068316</v>
      </c>
      <c r="C447" s="12">
        <f t="shared" si="65"/>
        <v>3079.3301646412783</v>
      </c>
      <c r="D447">
        <f t="shared" si="62"/>
        <v>3.0449999999999999</v>
      </c>
      <c r="E447" s="13">
        <f t="shared" si="63"/>
        <v>0.78333333333333632</v>
      </c>
      <c r="F447">
        <v>0.72</v>
      </c>
      <c r="G447" s="21">
        <f t="shared" si="66"/>
        <v>4.7477561793712536E-3</v>
      </c>
      <c r="H447" s="3">
        <f t="shared" si="67"/>
        <v>8.6121901096420893E-3</v>
      </c>
      <c r="I447" s="3">
        <f t="shared" si="68"/>
        <v>3.8644339302708356E-3</v>
      </c>
    </row>
    <row r="448" spans="1:9">
      <c r="A448">
        <f t="shared" si="61"/>
        <v>410</v>
      </c>
      <c r="B448" s="13">
        <f t="shared" si="64"/>
        <v>22.468026042998588</v>
      </c>
      <c r="C448" s="12">
        <f t="shared" si="65"/>
        <v>3079.3102704821249</v>
      </c>
      <c r="D448">
        <f t="shared" si="62"/>
        <v>3.0449999999999999</v>
      </c>
      <c r="E448" s="13">
        <f t="shared" si="63"/>
        <v>0.77500000000000302</v>
      </c>
      <c r="F448">
        <v>0.72</v>
      </c>
      <c r="G448" s="21">
        <f t="shared" si="66"/>
        <v>4.654639423584025E-3</v>
      </c>
      <c r="H448" s="3">
        <f t="shared" si="67"/>
        <v>8.6121901096420893E-3</v>
      </c>
      <c r="I448" s="3">
        <f t="shared" si="68"/>
        <v>3.9575506860580643E-3</v>
      </c>
    </row>
    <row r="449" spans="1:9">
      <c r="A449">
        <f t="shared" si="61"/>
        <v>411</v>
      </c>
      <c r="B449" s="13">
        <f t="shared" si="64"/>
        <v>22.471983593684644</v>
      </c>
      <c r="C449" s="12">
        <f t="shared" si="65"/>
        <v>3079.2903763229715</v>
      </c>
      <c r="D449">
        <f t="shared" si="62"/>
        <v>3.0449999999999999</v>
      </c>
      <c r="E449" s="13">
        <f t="shared" si="63"/>
        <v>0.76666666666666972</v>
      </c>
      <c r="F449">
        <v>0.72</v>
      </c>
      <c r="G449" s="21">
        <f t="shared" si="66"/>
        <v>4.5623718510767802E-3</v>
      </c>
      <c r="H449" s="3">
        <f t="shared" si="67"/>
        <v>8.6121901096420893E-3</v>
      </c>
      <c r="I449" s="3">
        <f t="shared" si="68"/>
        <v>4.0498182585653091E-3</v>
      </c>
    </row>
    <row r="450" spans="1:9">
      <c r="A450">
        <f t="shared" si="61"/>
        <v>412</v>
      </c>
      <c r="B450" s="13">
        <f t="shared" si="64"/>
        <v>22.476033411943209</v>
      </c>
      <c r="C450" s="12">
        <f t="shared" si="65"/>
        <v>3079.2704821638181</v>
      </c>
      <c r="D450">
        <f t="shared" si="62"/>
        <v>3.0449999999999999</v>
      </c>
      <c r="E450" s="13">
        <f t="shared" si="63"/>
        <v>0.75833333333333641</v>
      </c>
      <c r="F450">
        <v>0.72</v>
      </c>
      <c r="G450" s="21">
        <f t="shared" si="66"/>
        <v>4.470954821674018E-3</v>
      </c>
      <c r="H450" s="3">
        <f t="shared" si="67"/>
        <v>8.6121901096420893E-3</v>
      </c>
      <c r="I450" s="3">
        <f t="shared" si="68"/>
        <v>4.1412352879680713E-3</v>
      </c>
    </row>
    <row r="451" spans="1:9">
      <c r="A451">
        <f t="shared" si="61"/>
        <v>413</v>
      </c>
      <c r="B451" s="13">
        <f t="shared" si="64"/>
        <v>22.480174647231177</v>
      </c>
      <c r="C451" s="12">
        <f t="shared" si="65"/>
        <v>3079.2505880046647</v>
      </c>
      <c r="D451">
        <f t="shared" si="62"/>
        <v>3.0449999999999999</v>
      </c>
      <c r="E451" s="13">
        <f t="shared" si="63"/>
        <v>0.75000000000000311</v>
      </c>
      <c r="F451">
        <v>0.72</v>
      </c>
      <c r="G451" s="21">
        <f t="shared" si="66"/>
        <v>4.3803897122759857E-3</v>
      </c>
      <c r="H451" s="3">
        <f t="shared" si="67"/>
        <v>8.6121901096420893E-3</v>
      </c>
      <c r="I451" s="3">
        <f t="shared" si="68"/>
        <v>4.2318003973661035E-3</v>
      </c>
    </row>
    <row r="452" spans="1:9">
      <c r="A452">
        <f t="shared" si="61"/>
        <v>414</v>
      </c>
      <c r="B452" s="13">
        <f t="shared" si="64"/>
        <v>22.484406447628544</v>
      </c>
      <c r="C452" s="12">
        <f t="shared" si="65"/>
        <v>3079.2306938455113</v>
      </c>
      <c r="D452">
        <f t="shared" si="62"/>
        <v>3.0449999999999999</v>
      </c>
      <c r="E452" s="13">
        <f t="shared" si="63"/>
        <v>0.7416666666666698</v>
      </c>
      <c r="F452">
        <v>0.72</v>
      </c>
      <c r="G452" s="21">
        <f t="shared" si="66"/>
        <v>4.2906779172644594E-3</v>
      </c>
      <c r="H452" s="3">
        <f t="shared" si="67"/>
        <v>8.6121901096420893E-3</v>
      </c>
      <c r="I452" s="3">
        <f t="shared" si="68"/>
        <v>4.3215121923776299E-3</v>
      </c>
    </row>
    <row r="453" spans="1:9">
      <c r="A453">
        <f t="shared" si="61"/>
        <v>415</v>
      </c>
      <c r="B453" s="13">
        <f t="shared" si="64"/>
        <v>22.48872795982092</v>
      </c>
      <c r="C453" s="12">
        <f t="shared" si="65"/>
        <v>3079.2107996863579</v>
      </c>
      <c r="D453">
        <f t="shared" si="62"/>
        <v>3.0449999999999999</v>
      </c>
      <c r="E453" s="13">
        <f t="shared" si="63"/>
        <v>0.7333333333333365</v>
      </c>
      <c r="F453">
        <v>0.72</v>
      </c>
      <c r="G453" s="21">
        <f t="shared" si="66"/>
        <v>4.2018208489226112E-3</v>
      </c>
      <c r="H453" s="3">
        <f t="shared" si="67"/>
        <v>8.6121901096420893E-3</v>
      </c>
      <c r="I453" s="3">
        <f t="shared" si="68"/>
        <v>4.410369260719478E-3</v>
      </c>
    </row>
    <row r="454" spans="1:9">
      <c r="A454">
        <f t="shared" si="61"/>
        <v>416</v>
      </c>
      <c r="B454" s="13">
        <f t="shared" si="64"/>
        <v>22.493138329081638</v>
      </c>
      <c r="C454" s="12">
        <f t="shared" si="65"/>
        <v>3079.1909055272044</v>
      </c>
      <c r="D454">
        <f t="shared" si="62"/>
        <v>3.0449999999999999</v>
      </c>
      <c r="E454" s="13">
        <f t="shared" si="63"/>
        <v>0.7250000000000032</v>
      </c>
      <c r="F454">
        <v>0.72</v>
      </c>
      <c r="G454" s="21">
        <f t="shared" si="66"/>
        <v>4.1138199378699036E-3</v>
      </c>
      <c r="H454" s="3">
        <f t="shared" si="67"/>
        <v>8.6121901096420893E-3</v>
      </c>
      <c r="I454" s="3">
        <f t="shared" si="68"/>
        <v>4.4983701717721857E-3</v>
      </c>
    </row>
    <row r="455" spans="1:9">
      <c r="A455">
        <f t="shared" si="61"/>
        <v>417</v>
      </c>
      <c r="B455" s="13">
        <f t="shared" si="64"/>
        <v>22.497636699253409</v>
      </c>
      <c r="C455" s="12">
        <f t="shared" si="65"/>
        <v>3079.171011368051</v>
      </c>
      <c r="D455">
        <f t="shared" si="62"/>
        <v>3.0449999999999999</v>
      </c>
      <c r="E455" s="13">
        <f t="shared" si="63"/>
        <v>0.71666666666666989</v>
      </c>
      <c r="F455">
        <v>0.72</v>
      </c>
      <c r="G455" s="21">
        <f t="shared" si="66"/>
        <v>4.0266766335126901E-3</v>
      </c>
      <c r="H455" s="3">
        <f t="shared" si="67"/>
        <v>8.6121901096420893E-3</v>
      </c>
      <c r="I455" s="3">
        <f t="shared" si="68"/>
        <v>4.5855134761293992E-3</v>
      </c>
    </row>
    <row r="456" spans="1:9">
      <c r="A456">
        <f t="shared" si="61"/>
        <v>418</v>
      </c>
      <c r="B456" s="13">
        <f t="shared" si="64"/>
        <v>22.502222212729539</v>
      </c>
      <c r="C456" s="12">
        <f t="shared" si="65"/>
        <v>3079.1511172088976</v>
      </c>
      <c r="D456">
        <f t="shared" si="62"/>
        <v>3.0449999999999999</v>
      </c>
      <c r="E456" s="13">
        <f t="shared" si="63"/>
        <v>0.70833333333333659</v>
      </c>
      <c r="F456">
        <v>0.72</v>
      </c>
      <c r="G456" s="21">
        <f t="shared" si="66"/>
        <v>3.9403924045111312E-3</v>
      </c>
      <c r="H456" s="3">
        <f t="shared" si="67"/>
        <v>8.6121901096420893E-3</v>
      </c>
      <c r="I456" s="3">
        <f t="shared" si="68"/>
        <v>4.6717977051309581E-3</v>
      </c>
    </row>
    <row r="457" spans="1:9">
      <c r="A457">
        <f t="shared" si="61"/>
        <v>419</v>
      </c>
      <c r="B457" s="13">
        <f t="shared" si="64"/>
        <v>22.506894010434671</v>
      </c>
      <c r="C457" s="12">
        <f t="shared" si="65"/>
        <v>3079.1312230497442</v>
      </c>
      <c r="D457">
        <f t="shared" si="62"/>
        <v>3.0449999999999999</v>
      </c>
      <c r="E457" s="13">
        <f t="shared" si="63"/>
        <v>0.70000000000000329</v>
      </c>
      <c r="F457">
        <v>0.72</v>
      </c>
      <c r="G457" s="21">
        <f t="shared" si="66"/>
        <v>3.8549687392634016E-3</v>
      </c>
      <c r="H457" s="3">
        <f t="shared" si="67"/>
        <v>8.6121901096420893E-3</v>
      </c>
      <c r="I457" s="3">
        <f t="shared" si="68"/>
        <v>4.7572213703786876E-3</v>
      </c>
    </row>
    <row r="458" spans="1:9">
      <c r="A458">
        <f t="shared" si="61"/>
        <v>420</v>
      </c>
      <c r="B458" s="13">
        <f t="shared" si="64"/>
        <v>22.51165123180505</v>
      </c>
      <c r="C458" s="12">
        <f t="shared" si="65"/>
        <v>3079.1113288905908</v>
      </c>
      <c r="D458">
        <f t="shared" si="62"/>
        <v>3.0449999999999999</v>
      </c>
      <c r="E458" s="13">
        <f t="shared" si="63"/>
        <v>0.69166666666666998</v>
      </c>
      <c r="F458">
        <v>0.72</v>
      </c>
      <c r="G458" s="21">
        <f t="shared" si="66"/>
        <v>3.7704071464079282E-3</v>
      </c>
      <c r="H458" s="3">
        <f t="shared" si="67"/>
        <v>8.6121901096420893E-3</v>
      </c>
      <c r="I458" s="3">
        <f t="shared" si="68"/>
        <v>4.841782963234161E-3</v>
      </c>
    </row>
    <row r="459" spans="1:9">
      <c r="A459">
        <f t="shared" si="61"/>
        <v>421</v>
      </c>
      <c r="B459" s="13">
        <f t="shared" si="64"/>
        <v>22.516493014768283</v>
      </c>
      <c r="C459" s="12">
        <f t="shared" si="65"/>
        <v>3079.0914347314374</v>
      </c>
      <c r="D459">
        <f t="shared" si="62"/>
        <v>3.0449999999999999</v>
      </c>
      <c r="E459" s="13">
        <f t="shared" si="63"/>
        <v>0.68333333333333668</v>
      </c>
      <c r="F459">
        <v>0.72</v>
      </c>
      <c r="G459" s="21">
        <f t="shared" si="66"/>
        <v>3.6867091553445513E-3</v>
      </c>
      <c r="H459" s="3">
        <f t="shared" si="67"/>
        <v>8.6121901096420893E-3</v>
      </c>
      <c r="I459" s="3">
        <f t="shared" si="68"/>
        <v>4.925480954297538E-3</v>
      </c>
    </row>
    <row r="460" spans="1:9">
      <c r="A460">
        <f t="shared" si="61"/>
        <v>422</v>
      </c>
      <c r="B460" s="13">
        <f t="shared" si="64"/>
        <v>22.521418495722582</v>
      </c>
      <c r="C460" s="12">
        <f t="shared" si="65"/>
        <v>3079.071540572284</v>
      </c>
      <c r="D460">
        <f t="shared" si="62"/>
        <v>3.0449999999999999</v>
      </c>
      <c r="E460" s="13">
        <f t="shared" si="63"/>
        <v>0.67500000000000338</v>
      </c>
      <c r="F460">
        <v>0.72</v>
      </c>
      <c r="G460" s="21">
        <f t="shared" si="66"/>
        <v>3.6038763167756463E-3</v>
      </c>
      <c r="H460" s="3">
        <f t="shared" si="67"/>
        <v>8.6121901096420893E-3</v>
      </c>
      <c r="I460" s="3">
        <f t="shared" si="68"/>
        <v>5.008313792866443E-3</v>
      </c>
    </row>
    <row r="461" spans="1:9">
      <c r="A461">
        <f t="shared" si="61"/>
        <v>423</v>
      </c>
      <c r="B461" s="13">
        <f t="shared" si="64"/>
        <v>22.526426809515449</v>
      </c>
      <c r="C461" s="12">
        <f t="shared" si="65"/>
        <v>3079.0516464131306</v>
      </c>
      <c r="D461">
        <f t="shared" si="62"/>
        <v>3.0449999999999999</v>
      </c>
      <c r="E461" s="13">
        <f t="shared" si="63"/>
        <v>0.66666666666667007</v>
      </c>
      <c r="F461">
        <v>0.72</v>
      </c>
      <c r="G461" s="21">
        <f t="shared" si="66"/>
        <v>3.5219102032681368E-3</v>
      </c>
      <c r="H461" s="3">
        <f t="shared" si="67"/>
        <v>8.6121901096420893E-3</v>
      </c>
      <c r="I461" s="3">
        <f t="shared" si="68"/>
        <v>5.090279906373953E-3</v>
      </c>
    </row>
    <row r="462" spans="1:9">
      <c r="A462">
        <f t="shared" si="61"/>
        <v>424</v>
      </c>
      <c r="B462" s="13">
        <f t="shared" si="64"/>
        <v>22.531517089421822</v>
      </c>
      <c r="C462" s="12">
        <f t="shared" si="65"/>
        <v>3079.0317522539772</v>
      </c>
      <c r="D462">
        <f t="shared" si="62"/>
        <v>3.0449999999999999</v>
      </c>
      <c r="E462" s="13">
        <f t="shared" si="63"/>
        <v>0.65833333333333677</v>
      </c>
      <c r="F462">
        <v>0.72</v>
      </c>
      <c r="G462" s="21">
        <f t="shared" si="66"/>
        <v>3.4408124098375152E-3</v>
      </c>
      <c r="H462" s="3">
        <f t="shared" si="67"/>
        <v>8.6121901096420893E-3</v>
      </c>
      <c r="I462" s="3">
        <f t="shared" si="68"/>
        <v>5.1713776998045741E-3</v>
      </c>
    </row>
    <row r="463" spans="1:9">
      <c r="A463">
        <f t="shared" si="61"/>
        <v>425</v>
      </c>
      <c r="B463" s="13">
        <f t="shared" si="64"/>
        <v>22.536688467121625</v>
      </c>
      <c r="C463" s="12">
        <f t="shared" si="65"/>
        <v>3079.0118580948238</v>
      </c>
      <c r="D463">
        <f t="shared" si="62"/>
        <v>3.0449999999999999</v>
      </c>
      <c r="E463" s="13">
        <f t="shared" si="63"/>
        <v>0.65000000000000346</v>
      </c>
      <c r="F463">
        <v>0.72</v>
      </c>
      <c r="G463" s="21">
        <f t="shared" si="66"/>
        <v>3.3605845545549877E-3</v>
      </c>
      <c r="H463" s="3">
        <f t="shared" si="67"/>
        <v>8.6121901096420893E-3</v>
      </c>
      <c r="I463" s="3">
        <f t="shared" si="68"/>
        <v>5.2516055550871016E-3</v>
      </c>
    </row>
    <row r="464" spans="1:9">
      <c r="A464">
        <f t="shared" si="61"/>
        <v>426</v>
      </c>
      <c r="B464" s="13">
        <f t="shared" si="64"/>
        <v>22.541940072676713</v>
      </c>
      <c r="C464" s="12">
        <f t="shared" si="65"/>
        <v>3078.9919639356704</v>
      </c>
      <c r="D464">
        <f t="shared" si="62"/>
        <v>3.0449999999999999</v>
      </c>
      <c r="E464" s="13">
        <f t="shared" si="63"/>
        <v>0.64166666666667016</v>
      </c>
      <c r="F464">
        <v>0.72</v>
      </c>
      <c r="G464" s="21">
        <f t="shared" si="66"/>
        <v>3.2812282791790754E-3</v>
      </c>
      <c r="H464" s="3">
        <f t="shared" si="67"/>
        <v>8.6121901096420893E-3</v>
      </c>
      <c r="I464" s="3">
        <f t="shared" si="68"/>
        <v>5.3309618304630138E-3</v>
      </c>
    </row>
    <row r="465" spans="1:9">
      <c r="A465">
        <f t="shared" si="61"/>
        <v>427</v>
      </c>
      <c r="B465" s="13">
        <f t="shared" si="64"/>
        <v>22.547271034507176</v>
      </c>
      <c r="C465" s="12">
        <f t="shared" si="65"/>
        <v>3078.9720697765169</v>
      </c>
      <c r="D465">
        <f t="shared" si="62"/>
        <v>3.0449999999999999</v>
      </c>
      <c r="E465" s="13">
        <f t="shared" si="63"/>
        <v>0.63333333333333686</v>
      </c>
      <c r="F465">
        <v>0.72</v>
      </c>
      <c r="G465" s="21">
        <f t="shared" si="66"/>
        <v>3.202745249812788E-3</v>
      </c>
      <c r="H465" s="3">
        <f t="shared" si="67"/>
        <v>8.6121901096420893E-3</v>
      </c>
      <c r="I465" s="3">
        <f t="shared" si="68"/>
        <v>5.4094448598293009E-3</v>
      </c>
    </row>
    <row r="466" spans="1:9">
      <c r="A466">
        <f t="shared" si="61"/>
        <v>428</v>
      </c>
      <c r="B466" s="13">
        <f t="shared" si="64"/>
        <v>22.552680479367005</v>
      </c>
      <c r="C466" s="12">
        <f t="shared" si="65"/>
        <v>3078.9521756173635</v>
      </c>
      <c r="D466">
        <f t="shared" si="62"/>
        <v>3.0449999999999999</v>
      </c>
      <c r="E466" s="13">
        <f t="shared" si="63"/>
        <v>0.62500000000000355</v>
      </c>
      <c r="F466">
        <v>0.72</v>
      </c>
      <c r="G466" s="21">
        <f t="shared" si="66"/>
        <v>3.1251371575879545E-3</v>
      </c>
      <c r="H466" s="3">
        <f t="shared" si="67"/>
        <v>8.6121901096420893E-3</v>
      </c>
      <c r="I466" s="3">
        <f t="shared" si="68"/>
        <v>5.4870529520541344E-3</v>
      </c>
    </row>
    <row r="467" spans="1:9">
      <c r="A467">
        <f t="shared" si="61"/>
        <v>429</v>
      </c>
      <c r="B467" s="13">
        <f t="shared" si="64"/>
        <v>22.558167532319061</v>
      </c>
      <c r="C467" s="12">
        <f t="shared" si="65"/>
        <v>3078.9322814582101</v>
      </c>
      <c r="D467">
        <f t="shared" si="62"/>
        <v>3.0449999999999999</v>
      </c>
      <c r="E467" s="13">
        <f t="shared" si="63"/>
        <v>0.61666666666667025</v>
      </c>
      <c r="F467">
        <v>0.72</v>
      </c>
      <c r="G467" s="21">
        <f t="shared" si="66"/>
        <v>3.0484057193780924E-3</v>
      </c>
      <c r="H467" s="3">
        <f t="shared" si="67"/>
        <v>8.6121901096420893E-3</v>
      </c>
      <c r="I467" s="3">
        <f t="shared" si="68"/>
        <v>5.5637843902639969E-3</v>
      </c>
    </row>
    <row r="468" spans="1:9">
      <c r="A468">
        <f t="shared" si="61"/>
        <v>430</v>
      </c>
      <c r="B468" s="13">
        <f t="shared" si="64"/>
        <v>22.563731316709326</v>
      </c>
      <c r="C468" s="12">
        <f t="shared" si="65"/>
        <v>3078.9123872990567</v>
      </c>
      <c r="D468">
        <f t="shared" si="62"/>
        <v>3.0449999999999999</v>
      </c>
      <c r="E468" s="13">
        <f t="shared" si="63"/>
        <v>0.60833333333333695</v>
      </c>
      <c r="F468">
        <v>0.72</v>
      </c>
      <c r="G468" s="21">
        <f t="shared" si="66"/>
        <v>2.9725526785414355E-3</v>
      </c>
      <c r="H468" s="3">
        <f t="shared" si="67"/>
        <v>8.6121901096420893E-3</v>
      </c>
      <c r="I468" s="3">
        <f t="shared" si="68"/>
        <v>5.6396374311006537E-3</v>
      </c>
    </row>
    <row r="469" spans="1:9">
      <c r="A469">
        <f t="shared" si="61"/>
        <v>431</v>
      </c>
      <c r="B469" s="13">
        <f t="shared" si="64"/>
        <v>22.569370954140428</v>
      </c>
      <c r="C469" s="12">
        <f t="shared" si="65"/>
        <v>3078.8924931399033</v>
      </c>
      <c r="D469">
        <f t="shared" si="62"/>
        <v>3.0449999999999999</v>
      </c>
      <c r="E469" s="13">
        <f t="shared" si="63"/>
        <v>0.60000000000000364</v>
      </c>
      <c r="F469">
        <v>0.72</v>
      </c>
      <c r="G469" s="21">
        <f t="shared" si="66"/>
        <v>2.897579805695806E-3</v>
      </c>
      <c r="H469" s="3">
        <f t="shared" si="67"/>
        <v>8.6121901096420893E-3</v>
      </c>
      <c r="I469" s="3">
        <f t="shared" si="68"/>
        <v>5.7146103039462832E-3</v>
      </c>
    </row>
    <row r="470" spans="1:9">
      <c r="A470">
        <f t="shared" si="61"/>
        <v>432</v>
      </c>
      <c r="B470" s="13">
        <f t="shared" si="64"/>
        <v>22.575085564444375</v>
      </c>
      <c r="C470" s="12">
        <f t="shared" si="65"/>
        <v>3078.8725989807499</v>
      </c>
      <c r="D470">
        <f t="shared" si="62"/>
        <v>3.0449999999999999</v>
      </c>
      <c r="E470" s="13">
        <f t="shared" si="63"/>
        <v>0.59166666666667034</v>
      </c>
      <c r="F470">
        <v>0.72</v>
      </c>
      <c r="G470" s="21">
        <f t="shared" si="66"/>
        <v>2.8234888995271987E-3</v>
      </c>
      <c r="H470" s="3">
        <f t="shared" si="67"/>
        <v>8.6121901096420893E-3</v>
      </c>
      <c r="I470" s="3">
        <f t="shared" si="68"/>
        <v>5.788701210114891E-3</v>
      </c>
    </row>
    <row r="471" spans="1:9">
      <c r="A471">
        <f t="shared" si="61"/>
        <v>433</v>
      </c>
      <c r="B471" s="13">
        <f t="shared" si="64"/>
        <v>22.58087426565449</v>
      </c>
      <c r="C471" s="12">
        <f t="shared" si="65"/>
        <v>3078.8527048215965</v>
      </c>
      <c r="D471">
        <f t="shared" si="62"/>
        <v>3.0449999999999999</v>
      </c>
      <c r="E471" s="13">
        <f t="shared" si="63"/>
        <v>0.58333333333333703</v>
      </c>
      <c r="F471">
        <v>0.72</v>
      </c>
      <c r="G471" s="21">
        <f t="shared" si="66"/>
        <v>2.7502817876340147E-3</v>
      </c>
      <c r="H471" s="3">
        <f t="shared" si="67"/>
        <v>8.6121901096420893E-3</v>
      </c>
      <c r="I471" s="3">
        <f t="shared" si="68"/>
        <v>5.8619083220080746E-3</v>
      </c>
    </row>
    <row r="472" spans="1:9">
      <c r="A472">
        <f t="shared" si="61"/>
        <v>434</v>
      </c>
      <c r="B472" s="13">
        <f t="shared" si="64"/>
        <v>22.586736173976497</v>
      </c>
      <c r="C472" s="12">
        <f t="shared" si="65"/>
        <v>3078.8328106624431</v>
      </c>
      <c r="D472">
        <f t="shared" si="62"/>
        <v>3.0449999999999999</v>
      </c>
      <c r="E472" s="13">
        <f t="shared" si="63"/>
        <v>0.57500000000000373</v>
      </c>
      <c r="F472">
        <v>0.72</v>
      </c>
      <c r="G472" s="21">
        <f t="shared" si="66"/>
        <v>2.6779603274089984E-3</v>
      </c>
      <c r="H472" s="3">
        <f t="shared" si="67"/>
        <v>8.6121901096420893E-3</v>
      </c>
      <c r="I472" s="3">
        <f t="shared" si="68"/>
        <v>5.9342297822330909E-3</v>
      </c>
    </row>
    <row r="473" spans="1:9">
      <c r="A473">
        <f t="shared" si="61"/>
        <v>435</v>
      </c>
      <c r="B473" s="13">
        <f t="shared" si="64"/>
        <v>22.592670403758731</v>
      </c>
      <c r="C473" s="12">
        <f t="shared" si="65"/>
        <v>3078.8129165032897</v>
      </c>
      <c r="D473">
        <f t="shared" si="62"/>
        <v>3.0449999999999999</v>
      </c>
      <c r="E473" s="13">
        <f t="shared" si="63"/>
        <v>0.56666666666667043</v>
      </c>
      <c r="F473">
        <v>0.72</v>
      </c>
      <c r="G473" s="21">
        <f t="shared" si="66"/>
        <v>2.6065264069612096E-3</v>
      </c>
      <c r="H473" s="3">
        <f t="shared" si="67"/>
        <v>8.6121901096420893E-3</v>
      </c>
      <c r="I473" s="3">
        <f t="shared" si="68"/>
        <v>6.0056637026808801E-3</v>
      </c>
    </row>
    <row r="474" spans="1:9">
      <c r="A474">
        <f t="shared" si="61"/>
        <v>436</v>
      </c>
      <c r="B474" s="13">
        <f t="shared" si="64"/>
        <v>22.598676067461412</v>
      </c>
      <c r="C474" s="12">
        <f t="shared" si="65"/>
        <v>3078.7930223441363</v>
      </c>
      <c r="D474">
        <f t="shared" si="62"/>
        <v>3.0449999999999999</v>
      </c>
      <c r="E474" s="13">
        <f t="shared" si="63"/>
        <v>0.55833333333333712</v>
      </c>
      <c r="F474">
        <v>0.72</v>
      </c>
      <c r="G474" s="21">
        <f t="shared" si="66"/>
        <v>2.5359819460804229E-3</v>
      </c>
      <c r="H474" s="3">
        <f t="shared" si="67"/>
        <v>8.6121901096420893E-3</v>
      </c>
      <c r="I474" s="3">
        <f t="shared" si="68"/>
        <v>6.0762081635616664E-3</v>
      </c>
    </row>
    <row r="475" spans="1:9">
      <c r="A475">
        <f t="shared" si="61"/>
        <v>437</v>
      </c>
      <c r="B475" s="13">
        <f t="shared" si="64"/>
        <v>22.604752275624975</v>
      </c>
      <c r="C475" s="12">
        <f t="shared" si="65"/>
        <v>3078.7731281849829</v>
      </c>
      <c r="D475">
        <f t="shared" si="62"/>
        <v>3.0449999999999999</v>
      </c>
      <c r="E475" s="13">
        <f t="shared" si="63"/>
        <v>0.55000000000000382</v>
      </c>
      <c r="F475">
        <v>0.72</v>
      </c>
      <c r="G475" s="21">
        <f t="shared" si="66"/>
        <v>2.4663288972465091E-3</v>
      </c>
      <c r="H475" s="3">
        <f t="shared" si="67"/>
        <v>8.6121901096420893E-3</v>
      </c>
      <c r="I475" s="3">
        <f t="shared" si="68"/>
        <v>6.1458612123955801E-3</v>
      </c>
    </row>
    <row r="476" spans="1:9">
      <c r="A476">
        <f t="shared" si="61"/>
        <v>438</v>
      </c>
      <c r="B476" s="13">
        <f t="shared" si="64"/>
        <v>22.61089813683737</v>
      </c>
      <c r="C476" s="12">
        <f t="shared" si="65"/>
        <v>3078.7532340258294</v>
      </c>
      <c r="D476">
        <f t="shared" si="62"/>
        <v>3.0449999999999999</v>
      </c>
      <c r="E476" s="13">
        <f t="shared" si="63"/>
        <v>0.54166666666667052</v>
      </c>
      <c r="F476">
        <v>0.72</v>
      </c>
      <c r="G476" s="21">
        <f t="shared" si="66"/>
        <v>2.3975692466867609E-3</v>
      </c>
      <c r="H476" s="3">
        <f t="shared" si="67"/>
        <v>8.6121901096420893E-3</v>
      </c>
      <c r="I476" s="3">
        <f t="shared" si="68"/>
        <v>6.2146208629553284E-3</v>
      </c>
    </row>
    <row r="477" spans="1:9">
      <c r="A477">
        <f t="shared" si="61"/>
        <v>439</v>
      </c>
      <c r="B477" s="13">
        <f t="shared" si="64"/>
        <v>22.617112757700326</v>
      </c>
      <c r="C477" s="12">
        <f t="shared" si="65"/>
        <v>3078.733339866676</v>
      </c>
      <c r="D477">
        <f t="shared" si="62"/>
        <v>3.0449999999999999</v>
      </c>
      <c r="E477" s="13">
        <f t="shared" si="63"/>
        <v>0.53333333333333721</v>
      </c>
      <c r="F477">
        <v>0.72</v>
      </c>
      <c r="G477" s="21">
        <f t="shared" si="66"/>
        <v>2.3297050154839774E-3</v>
      </c>
      <c r="H477" s="3">
        <f t="shared" si="67"/>
        <v>8.6121901096420893E-3</v>
      </c>
      <c r="I477" s="3">
        <f t="shared" si="68"/>
        <v>6.2824850941581118E-3</v>
      </c>
    </row>
    <row r="478" spans="1:9">
      <c r="A478">
        <f t="shared" si="61"/>
        <v>440</v>
      </c>
      <c r="B478" s="13">
        <f t="shared" si="64"/>
        <v>22.623395242794484</v>
      </c>
      <c r="C478" s="12">
        <f t="shared" si="65"/>
        <v>3078.7134457075226</v>
      </c>
      <c r="D478">
        <f t="shared" si="62"/>
        <v>3.0449999999999999</v>
      </c>
      <c r="E478" s="13">
        <f t="shared" si="63"/>
        <v>0.52500000000000391</v>
      </c>
      <c r="F478">
        <v>0.72</v>
      </c>
      <c r="G478" s="21">
        <f t="shared" si="66"/>
        <v>2.2627382607388301E-3</v>
      </c>
      <c r="H478" s="3">
        <f t="shared" si="67"/>
        <v>8.6121901096420893E-3</v>
      </c>
      <c r="I478" s="3">
        <f t="shared" si="68"/>
        <v>6.3494518489032592E-3</v>
      </c>
    </row>
    <row r="479" spans="1:9">
      <c r="A479">
        <f t="shared" si="61"/>
        <v>441</v>
      </c>
      <c r="B479" s="13">
        <f t="shared" si="64"/>
        <v>22.629744694643385</v>
      </c>
      <c r="C479" s="12">
        <f t="shared" si="65"/>
        <v>3078.6935515483692</v>
      </c>
      <c r="D479">
        <f t="shared" si="62"/>
        <v>3.0449999999999999</v>
      </c>
      <c r="E479" s="13">
        <f t="shared" si="63"/>
        <v>0.5166666666666706</v>
      </c>
      <c r="F479">
        <v>0.72</v>
      </c>
      <c r="G479" s="21">
        <f t="shared" si="66"/>
        <v>2.196671076789846E-3</v>
      </c>
      <c r="H479" s="3">
        <f t="shared" si="67"/>
        <v>8.6121901096420893E-3</v>
      </c>
      <c r="I479" s="3">
        <f t="shared" si="68"/>
        <v>6.4155190328522432E-3</v>
      </c>
    </row>
    <row r="480" spans="1:9">
      <c r="A480">
        <f t="shared" si="61"/>
        <v>442</v>
      </c>
      <c r="B480" s="13">
        <f t="shared" si="64"/>
        <v>22.636160213676238</v>
      </c>
      <c r="C480" s="12">
        <f t="shared" si="65"/>
        <v>3078.6736573892158</v>
      </c>
      <c r="D480">
        <f t="shared" si="62"/>
        <v>3.0449999999999999</v>
      </c>
      <c r="E480" s="13">
        <f t="shared" si="63"/>
        <v>0.5083333333333373</v>
      </c>
      <c r="F480">
        <v>0.72</v>
      </c>
      <c r="G480" s="21">
        <f t="shared" si="66"/>
        <v>2.1315055964949681E-3</v>
      </c>
      <c r="H480" s="3">
        <f t="shared" si="67"/>
        <v>8.6121901096420893E-3</v>
      </c>
      <c r="I480" s="3">
        <f t="shared" si="68"/>
        <v>6.4806845131471207E-3</v>
      </c>
    </row>
    <row r="481" spans="1:9">
      <c r="A481">
        <f t="shared" si="61"/>
        <v>443</v>
      </c>
      <c r="B481" s="13">
        <f t="shared" si="64"/>
        <v>22.642640898189384</v>
      </c>
      <c r="C481" s="12">
        <f t="shared" si="65"/>
        <v>3078.6537632300624</v>
      </c>
      <c r="D481">
        <f t="shared" si="62"/>
        <v>3.0449999999999999</v>
      </c>
      <c r="E481" s="13">
        <f t="shared" si="63"/>
        <v>0.500000000000004</v>
      </c>
      <c r="F481">
        <v>0.72</v>
      </c>
      <c r="G481" s="21">
        <f t="shared" si="66"/>
        <v>2.0672439925787894E-3</v>
      </c>
      <c r="H481" s="3">
        <f t="shared" si="67"/>
        <v>8.6121901096420893E-3</v>
      </c>
      <c r="I481" s="3">
        <f t="shared" si="68"/>
        <v>6.5449461170632994E-3</v>
      </c>
    </row>
    <row r="482" spans="1:9">
      <c r="A482">
        <f t="shared" si="61"/>
        <v>444</v>
      </c>
      <c r="B482" s="13">
        <f t="shared" si="64"/>
        <v>22.649185844306448</v>
      </c>
      <c r="C482" s="12">
        <f t="shared" si="65"/>
        <v>3078.633869070909</v>
      </c>
      <c r="D482">
        <f t="shared" si="62"/>
        <v>3.0449999999999999</v>
      </c>
      <c r="E482" s="13">
        <f t="shared" si="63"/>
        <v>0.49166666666667064</v>
      </c>
      <c r="F482">
        <v>0.72</v>
      </c>
      <c r="G482" s="21">
        <f t="shared" si="66"/>
        <v>2.003888479050009E-3</v>
      </c>
      <c r="H482" s="3">
        <f t="shared" si="67"/>
        <v>8.6121901096420893E-3</v>
      </c>
      <c r="I482" s="3">
        <f t="shared" si="68"/>
        <v>6.6083016305920807E-3</v>
      </c>
    </row>
    <row r="483" spans="1:9">
      <c r="A483">
        <f t="shared" si="61"/>
        <v>445</v>
      </c>
      <c r="B483" s="13">
        <f t="shared" si="64"/>
        <v>22.65579414593704</v>
      </c>
      <c r="C483" s="12">
        <f t="shared" si="65"/>
        <v>3078.6139749117556</v>
      </c>
      <c r="D483">
        <f t="shared" si="62"/>
        <v>3.0449999999999999</v>
      </c>
      <c r="E483" s="13">
        <f t="shared" si="63"/>
        <v>0.48333333333333728</v>
      </c>
      <c r="F483">
        <v>0.72</v>
      </c>
      <c r="G483" s="21">
        <f t="shared" si="66"/>
        <v>1.9414413126940017E-3</v>
      </c>
      <c r="H483" s="3">
        <f t="shared" si="67"/>
        <v>8.6121901096420893E-3</v>
      </c>
      <c r="I483" s="3">
        <f t="shared" si="68"/>
        <v>6.670748796948088E-3</v>
      </c>
    </row>
    <row r="484" spans="1:9">
      <c r="A484">
        <f t="shared" si="61"/>
        <v>446</v>
      </c>
      <c r="B484" s="13">
        <f t="shared" si="64"/>
        <v>22.66246489473399</v>
      </c>
      <c r="C484" s="12">
        <f t="shared" si="65"/>
        <v>3078.5940807526022</v>
      </c>
      <c r="D484">
        <f t="shared" si="62"/>
        <v>3.0449999999999999</v>
      </c>
      <c r="E484" s="13">
        <f t="shared" si="63"/>
        <v>0.47500000000000392</v>
      </c>
      <c r="F484">
        <v>0.72</v>
      </c>
      <c r="G484" s="21">
        <f t="shared" si="66"/>
        <v>1.8799047946457955E-3</v>
      </c>
      <c r="H484" s="3">
        <f t="shared" si="67"/>
        <v>8.6121901096420893E-3</v>
      </c>
      <c r="I484" s="3">
        <f t="shared" si="68"/>
        <v>6.732285314996294E-3</v>
      </c>
    </row>
    <row r="485" spans="1:9">
      <c r="A485">
        <f t="shared" si="61"/>
        <v>447</v>
      </c>
      <c r="B485" s="13">
        <f t="shared" si="64"/>
        <v>22.669197180048986</v>
      </c>
      <c r="C485" s="12">
        <f t="shared" si="65"/>
        <v>3078.5741865934488</v>
      </c>
      <c r="D485">
        <f t="shared" si="62"/>
        <v>3.0449999999999999</v>
      </c>
      <c r="E485" s="13">
        <f t="shared" si="63"/>
        <v>0.46666666666667056</v>
      </c>
      <c r="F485">
        <v>0.72</v>
      </c>
      <c r="G485" s="21">
        <f t="shared" si="66"/>
        <v>1.8192812720493363E-3</v>
      </c>
      <c r="H485" s="3">
        <f t="shared" si="67"/>
        <v>8.6121901096420893E-3</v>
      </c>
      <c r="I485" s="3">
        <f t="shared" si="68"/>
        <v>6.7929088375927532E-3</v>
      </c>
    </row>
    <row r="486" spans="1:9">
      <c r="A486">
        <f t="shared" si="61"/>
        <v>448</v>
      </c>
      <c r="B486" s="13">
        <f t="shared" si="64"/>
        <v>22.675990088886579</v>
      </c>
      <c r="C486" s="12">
        <f t="shared" si="65"/>
        <v>3078.5542924342953</v>
      </c>
      <c r="D486">
        <f t="shared" si="62"/>
        <v>3.0449999999999999</v>
      </c>
      <c r="E486" s="13">
        <f t="shared" si="63"/>
        <v>0.4583333333333372</v>
      </c>
      <c r="F486">
        <v>0.72</v>
      </c>
      <c r="G486" s="21">
        <f t="shared" si="66"/>
        <v>1.7595731398093401E-3</v>
      </c>
      <c r="H486" s="3">
        <f t="shared" si="67"/>
        <v>8.6121901096420893E-3</v>
      </c>
      <c r="I486" s="3">
        <f t="shared" si="68"/>
        <v>6.8526169698327494E-3</v>
      </c>
    </row>
    <row r="487" spans="1:9">
      <c r="A487">
        <f t="shared" si="61"/>
        <v>449</v>
      </c>
      <c r="B487" s="13">
        <f t="shared" si="64"/>
        <v>22.682842705856412</v>
      </c>
      <c r="C487" s="12">
        <f t="shared" si="65"/>
        <v>3078.5343982751419</v>
      </c>
      <c r="D487">
        <f t="shared" si="62"/>
        <v>3.0449999999999999</v>
      </c>
      <c r="E487" s="13">
        <f t="shared" si="63"/>
        <v>0.45000000000000384</v>
      </c>
      <c r="F487">
        <v>0.72</v>
      </c>
      <c r="G487" s="21">
        <f t="shared" si="66"/>
        <v>1.7007828424426773E-3</v>
      </c>
      <c r="H487" s="3">
        <f t="shared" si="67"/>
        <v>8.6121901096420893E-3</v>
      </c>
      <c r="I487" s="3">
        <f t="shared" si="68"/>
        <v>6.9114072671994115E-3</v>
      </c>
    </row>
    <row r="488" spans="1:9">
      <c r="A488">
        <f t="shared" si="61"/>
        <v>450</v>
      </c>
      <c r="B488" s="13">
        <f t="shared" si="64"/>
        <v>22.689754113123612</v>
      </c>
      <c r="C488" s="12">
        <f t="shared" si="65"/>
        <v>3078.5145041159885</v>
      </c>
      <c r="D488">
        <f t="shared" si="62"/>
        <v>3.0449999999999999</v>
      </c>
      <c r="E488" s="13">
        <f t="shared" si="63"/>
        <v>0.44166666666667048</v>
      </c>
      <c r="F488">
        <v>0.72</v>
      </c>
      <c r="G488" s="21">
        <f t="shared" si="66"/>
        <v>1.6429128760368586E-3</v>
      </c>
      <c r="H488" s="3">
        <f t="shared" si="67"/>
        <v>8.6121901096420893E-3</v>
      </c>
      <c r="I488" s="3">
        <f t="shared" si="68"/>
        <v>6.9692772336052309E-3</v>
      </c>
    </row>
    <row r="489" spans="1:9">
      <c r="A489">
        <f t="shared" ref="A489:A540" si="69">A488+1</f>
        <v>451</v>
      </c>
      <c r="B489" s="13">
        <f t="shared" si="64"/>
        <v>22.696723390357217</v>
      </c>
      <c r="C489" s="12">
        <f t="shared" si="65"/>
        <v>3078.4946099568351</v>
      </c>
      <c r="D489">
        <f t="shared" ref="D489:D520" si="70">$C$13</f>
        <v>3.0449999999999999</v>
      </c>
      <c r="E489" s="13">
        <f t="shared" ref="E489:E520" si="71">E488-($C$6/60)</f>
        <v>0.43333333333333712</v>
      </c>
      <c r="F489">
        <v>0.72</v>
      </c>
      <c r="G489" s="21">
        <f t="shared" si="66"/>
        <v>1.5859657903239887E-3</v>
      </c>
      <c r="H489" s="3">
        <f t="shared" si="67"/>
        <v>8.6121901096420893E-3</v>
      </c>
      <c r="I489" s="3">
        <f t="shared" si="68"/>
        <v>7.0262243193181008E-3</v>
      </c>
    </row>
    <row r="490" spans="1:9">
      <c r="A490">
        <f t="shared" si="69"/>
        <v>452</v>
      </c>
      <c r="B490" s="13">
        <f t="shared" si="64"/>
        <v>22.703749614676536</v>
      </c>
      <c r="C490" s="12">
        <f t="shared" si="65"/>
        <v>3078.4747157976817</v>
      </c>
      <c r="D490">
        <f t="shared" si="70"/>
        <v>3.0449999999999999</v>
      </c>
      <c r="E490" s="13">
        <f t="shared" si="71"/>
        <v>0.42500000000000376</v>
      </c>
      <c r="F490">
        <v>0.72</v>
      </c>
      <c r="G490" s="21">
        <f t="shared" si="66"/>
        <v>1.5299441908792739E-3</v>
      </c>
      <c r="H490" s="3">
        <f t="shared" si="67"/>
        <v>8.6121901096420893E-3</v>
      </c>
      <c r="I490" s="3">
        <f t="shared" si="68"/>
        <v>7.082245918762815E-3</v>
      </c>
    </row>
    <row r="491" spans="1:9">
      <c r="A491">
        <f t="shared" si="69"/>
        <v>453</v>
      </c>
      <c r="B491" s="13">
        <f t="shared" si="64"/>
        <v>22.710831860595299</v>
      </c>
      <c r="C491" s="12">
        <f t="shared" si="65"/>
        <v>3078.4548216385283</v>
      </c>
      <c r="D491">
        <f t="shared" si="70"/>
        <v>3.0449999999999999</v>
      </c>
      <c r="E491" s="13">
        <f t="shared" si="71"/>
        <v>0.4166666666666704</v>
      </c>
      <c r="F491">
        <v>0.72</v>
      </c>
      <c r="G491" s="21">
        <f t="shared" si="66"/>
        <v>1.4748507414541637E-3</v>
      </c>
      <c r="H491" s="3">
        <f t="shared" si="67"/>
        <v>8.6121901096420893E-3</v>
      </c>
      <c r="I491" s="3">
        <f t="shared" si="68"/>
        <v>7.1373393681879258E-3</v>
      </c>
    </row>
    <row r="492" spans="1:9">
      <c r="A492">
        <f t="shared" si="69"/>
        <v>454</v>
      </c>
      <c r="B492" s="13">
        <f t="shared" si="64"/>
        <v>22.717969199963488</v>
      </c>
      <c r="C492" s="12">
        <f t="shared" si="65"/>
        <v>3078.4349274793749</v>
      </c>
      <c r="D492">
        <f t="shared" si="70"/>
        <v>3.0449999999999999</v>
      </c>
      <c r="E492" s="13">
        <f t="shared" si="71"/>
        <v>0.40833333333333705</v>
      </c>
      <c r="F492">
        <v>0.72</v>
      </c>
      <c r="G492" s="21">
        <f t="shared" si="66"/>
        <v>1.4206881664552155E-3</v>
      </c>
      <c r="H492" s="3">
        <f t="shared" si="67"/>
        <v>8.6121901096420893E-3</v>
      </c>
      <c r="I492" s="3">
        <f t="shared" si="68"/>
        <v>7.1915019431868735E-3</v>
      </c>
    </row>
    <row r="493" spans="1:9">
      <c r="A493">
        <f t="shared" si="69"/>
        <v>455</v>
      </c>
      <c r="B493" s="13">
        <f t="shared" si="64"/>
        <v>22.725160701906674</v>
      </c>
      <c r="C493" s="12">
        <f t="shared" si="65"/>
        <v>3078.4150333202215</v>
      </c>
      <c r="D493">
        <f t="shared" si="70"/>
        <v>3.0449999999999999</v>
      </c>
      <c r="E493" s="13">
        <f t="shared" si="71"/>
        <v>0.40000000000000369</v>
      </c>
      <c r="F493">
        <v>0.72</v>
      </c>
      <c r="G493" s="21">
        <f t="shared" si="66"/>
        <v>1.3674592535808717E-3</v>
      </c>
      <c r="H493" s="3">
        <f t="shared" si="67"/>
        <v>8.6121901096420893E-3</v>
      </c>
      <c r="I493" s="3">
        <f t="shared" si="68"/>
        <v>7.244730856061218E-3</v>
      </c>
    </row>
    <row r="494" spans="1:9">
      <c r="A494">
        <f t="shared" si="69"/>
        <v>456</v>
      </c>
      <c r="B494" s="13">
        <f t="shared" si="64"/>
        <v>22.732405432762736</v>
      </c>
      <c r="C494" s="12">
        <f t="shared" si="65"/>
        <v>3078.3951391610681</v>
      </c>
      <c r="D494">
        <f t="shared" si="70"/>
        <v>3.0449999999999999</v>
      </c>
      <c r="E494" s="13">
        <f t="shared" si="71"/>
        <v>0.39166666666667033</v>
      </c>
      <c r="F494">
        <v>0.72</v>
      </c>
      <c r="G494" s="21">
        <f t="shared" si="66"/>
        <v>1.3151668566297478E-3</v>
      </c>
      <c r="H494" s="3">
        <f t="shared" si="67"/>
        <v>8.6121901096420893E-3</v>
      </c>
      <c r="I494" s="3">
        <f t="shared" si="68"/>
        <v>7.2970232530123417E-3</v>
      </c>
    </row>
    <row r="495" spans="1:9">
      <c r="A495">
        <f t="shared" si="69"/>
        <v>457</v>
      </c>
      <c r="B495" s="13">
        <f t="shared" si="64"/>
        <v>22.739702456015749</v>
      </c>
      <c r="C495" s="12">
        <f t="shared" si="65"/>
        <v>3078.3752450019147</v>
      </c>
      <c r="D495">
        <f t="shared" si="70"/>
        <v>3.0449999999999999</v>
      </c>
      <c r="E495" s="13">
        <f t="shared" si="71"/>
        <v>0.38333333333333697</v>
      </c>
      <c r="F495">
        <v>0.72</v>
      </c>
      <c r="G495" s="21">
        <f t="shared" si="66"/>
        <v>1.2638138984953776E-3</v>
      </c>
      <c r="H495" s="3">
        <f t="shared" si="67"/>
        <v>8.6121901096420893E-3</v>
      </c>
      <c r="I495" s="3">
        <f t="shared" si="68"/>
        <v>7.3483762111467114E-3</v>
      </c>
    </row>
    <row r="496" spans="1:9">
      <c r="A496">
        <f t="shared" si="69"/>
        <v>458</v>
      </c>
      <c r="B496" s="13">
        <f t="shared" si="64"/>
        <v>22.747050832226897</v>
      </c>
      <c r="C496" s="12">
        <f t="shared" si="65"/>
        <v>3078.3553508427613</v>
      </c>
      <c r="D496">
        <f t="shared" si="70"/>
        <v>3.0449999999999999</v>
      </c>
      <c r="E496" s="13">
        <f t="shared" si="71"/>
        <v>0.37500000000000361</v>
      </c>
      <c r="F496">
        <v>0.72</v>
      </c>
      <c r="G496" s="21">
        <f t="shared" si="66"/>
        <v>1.2134033743641437E-3</v>
      </c>
      <c r="H496" s="3">
        <f t="shared" si="67"/>
        <v>8.6121901096420893E-3</v>
      </c>
      <c r="I496" s="3">
        <f t="shared" si="68"/>
        <v>7.3987867352779454E-3</v>
      </c>
    </row>
    <row r="497" spans="1:9">
      <c r="A497">
        <f t="shared" si="69"/>
        <v>459</v>
      </c>
      <c r="B497" s="13">
        <f t="shared" si="64"/>
        <v>22.754449618962173</v>
      </c>
      <c r="C497" s="12">
        <f t="shared" si="65"/>
        <v>3078.3354566836078</v>
      </c>
      <c r="D497">
        <f t="shared" si="70"/>
        <v>3.0449999999999999</v>
      </c>
      <c r="E497" s="13">
        <f t="shared" si="71"/>
        <v>0.36666666666667025</v>
      </c>
      <c r="F497">
        <v>0.72</v>
      </c>
      <c r="G497" s="21">
        <f t="shared" si="66"/>
        <v>1.1639383551348907E-3</v>
      </c>
      <c r="H497" s="3">
        <f t="shared" si="67"/>
        <v>8.6121901096420893E-3</v>
      </c>
      <c r="I497" s="3">
        <f t="shared" si="68"/>
        <v>7.4482517545071984E-3</v>
      </c>
    </row>
    <row r="498" spans="1:9">
      <c r="A498">
        <f t="shared" si="69"/>
        <v>460</v>
      </c>
      <c r="B498" s="13">
        <f t="shared" si="64"/>
        <v>22.76189787071668</v>
      </c>
      <c r="C498" s="12">
        <f t="shared" si="65"/>
        <v>3078.3155625244544</v>
      </c>
      <c r="D498">
        <f t="shared" si="70"/>
        <v>3.0449999999999999</v>
      </c>
      <c r="E498" s="13">
        <f t="shared" si="71"/>
        <v>0.35833333333333689</v>
      </c>
      <c r="F498">
        <v>0.72</v>
      </c>
      <c r="G498" s="21">
        <f t="shared" si="66"/>
        <v>1.1154219910809858E-3</v>
      </c>
      <c r="H498" s="3">
        <f t="shared" si="67"/>
        <v>8.6121901096420893E-3</v>
      </c>
      <c r="I498" s="3">
        <f t="shared" si="68"/>
        <v>7.4967681185611037E-3</v>
      </c>
    </row>
    <row r="499" spans="1:9">
      <c r="A499">
        <f t="shared" si="69"/>
        <v>461</v>
      </c>
      <c r="B499" s="13">
        <f t="shared" si="64"/>
        <v>22.769394638835241</v>
      </c>
      <c r="C499" s="12">
        <f t="shared" si="65"/>
        <v>3078.295668365301</v>
      </c>
      <c r="D499">
        <f t="shared" si="70"/>
        <v>3.0449999999999999</v>
      </c>
      <c r="E499" s="13">
        <f t="shared" si="71"/>
        <v>0.35000000000000353</v>
      </c>
      <c r="F499">
        <v>0.72</v>
      </c>
      <c r="G499" s="21">
        <f t="shared" si="66"/>
        <v>1.0678575157779902E-3</v>
      </c>
      <c r="H499" s="3">
        <f t="shared" si="67"/>
        <v>8.6121901096420893E-3</v>
      </c>
      <c r="I499" s="3">
        <f t="shared" si="68"/>
        <v>7.5443325938640993E-3</v>
      </c>
    </row>
    <row r="500" spans="1:9">
      <c r="A500">
        <f t="shared" si="69"/>
        <v>462</v>
      </c>
      <c r="B500" s="13">
        <f t="shared" si="64"/>
        <v>22.776938971429104</v>
      </c>
      <c r="C500" s="12">
        <f t="shared" si="65"/>
        <v>3078.2757742061476</v>
      </c>
      <c r="D500">
        <f t="shared" si="70"/>
        <v>3.0449999999999999</v>
      </c>
      <c r="E500" s="13">
        <f t="shared" si="71"/>
        <v>0.34166666666667017</v>
      </c>
      <c r="F500">
        <v>0.72</v>
      </c>
      <c r="G500" s="21">
        <f t="shared" si="66"/>
        <v>1.021248250322895E-3</v>
      </c>
      <c r="H500" s="3">
        <f t="shared" si="67"/>
        <v>8.6121901096420893E-3</v>
      </c>
      <c r="I500" s="3">
        <f t="shared" si="68"/>
        <v>7.5909418593191943E-3</v>
      </c>
    </row>
    <row r="501" spans="1:9">
      <c r="A501">
        <f t="shared" si="69"/>
        <v>463</v>
      </c>
      <c r="B501" s="13">
        <f t="shared" si="64"/>
        <v>22.784529913288424</v>
      </c>
      <c r="C501" s="12">
        <f t="shared" si="65"/>
        <v>3078.2558800469942</v>
      </c>
      <c r="D501">
        <f t="shared" si="70"/>
        <v>3.0449999999999999</v>
      </c>
      <c r="E501" s="13">
        <f t="shared" si="71"/>
        <v>0.33333333333333681</v>
      </c>
      <c r="F501">
        <v>0.72</v>
      </c>
      <c r="G501" s="21">
        <f t="shared" si="66"/>
        <v>9.7559760787416694E-4</v>
      </c>
      <c r="H501" s="3">
        <f t="shared" si="67"/>
        <v>8.6121901096420893E-3</v>
      </c>
      <c r="I501" s="3">
        <f t="shared" si="68"/>
        <v>7.6365925017679226E-3</v>
      </c>
    </row>
    <row r="502" spans="1:9">
      <c r="A502">
        <f t="shared" si="69"/>
        <v>464</v>
      </c>
      <c r="B502" s="13">
        <f t="shared" si="64"/>
        <v>22.792166505790192</v>
      </c>
      <c r="C502" s="12">
        <f t="shared" si="65"/>
        <v>3078.2359858878408</v>
      </c>
      <c r="D502">
        <f t="shared" si="70"/>
        <v>3.0449999999999999</v>
      </c>
      <c r="E502" s="13">
        <f t="shared" si="71"/>
        <v>0.32500000000000345</v>
      </c>
      <c r="F502">
        <v>0.72</v>
      </c>
      <c r="G502" s="21">
        <f t="shared" si="66"/>
        <v>9.3090909854555133E-4</v>
      </c>
      <c r="H502" s="3">
        <f t="shared" si="67"/>
        <v>8.6121901096420893E-3</v>
      </c>
      <c r="I502" s="3">
        <f t="shared" si="68"/>
        <v>7.6812810110965376E-3</v>
      </c>
    </row>
    <row r="503" spans="1:9">
      <c r="A503">
        <f t="shared" si="69"/>
        <v>465</v>
      </c>
      <c r="B503" s="13">
        <f t="shared" si="64"/>
        <v>22.799847786801287</v>
      </c>
      <c r="C503" s="12">
        <f t="shared" si="65"/>
        <v>3078.2160917286874</v>
      </c>
      <c r="D503">
        <f t="shared" si="70"/>
        <v>3.0449999999999999</v>
      </c>
      <c r="E503" s="13">
        <f t="shared" si="71"/>
        <v>0.31666666666667009</v>
      </c>
      <c r="F503">
        <v>0.72</v>
      </c>
      <c r="G503" s="21">
        <f t="shared" si="66"/>
        <v>8.8718633469083243E-4</v>
      </c>
      <c r="H503" s="3">
        <f t="shared" si="67"/>
        <v>8.6121901096420893E-3</v>
      </c>
      <c r="I503" s="3">
        <f t="shared" si="68"/>
        <v>7.7250037749512571E-3</v>
      </c>
    </row>
    <row r="504" spans="1:9">
      <c r="A504">
        <f t="shared" si="69"/>
        <v>466</v>
      </c>
      <c r="B504" s="13">
        <f t="shared" si="64"/>
        <v>22.807572790576238</v>
      </c>
      <c r="C504" s="12">
        <f t="shared" si="65"/>
        <v>3078.196197569534</v>
      </c>
      <c r="D504">
        <f t="shared" si="70"/>
        <v>3.0449999999999999</v>
      </c>
      <c r="E504" s="13">
        <f t="shared" si="71"/>
        <v>0.30833333333333673</v>
      </c>
      <c r="F504">
        <v>0.72</v>
      </c>
      <c r="G504" s="21">
        <f t="shared" si="66"/>
        <v>8.4443303662185215E-4</v>
      </c>
      <c r="H504" s="3">
        <f t="shared" si="67"/>
        <v>8.6121901096420893E-3</v>
      </c>
      <c r="I504" s="3">
        <f t="shared" si="68"/>
        <v>7.7677570730202376E-3</v>
      </c>
    </row>
    <row r="505" spans="1:9">
      <c r="A505">
        <f t="shared" si="69"/>
        <v>467</v>
      </c>
      <c r="B505" s="13">
        <f t="shared" ref="B505:B540" si="72">B504+I504</f>
        <v>22.815340547649257</v>
      </c>
      <c r="C505" s="12">
        <f t="shared" ref="C505:C540" si="73">C504-H504*2.31</f>
        <v>3078.1763034103806</v>
      </c>
      <c r="D505">
        <f t="shared" si="70"/>
        <v>3.0449999999999999</v>
      </c>
      <c r="E505" s="13">
        <f t="shared" si="71"/>
        <v>0.30000000000000338</v>
      </c>
      <c r="F505">
        <v>0.72</v>
      </c>
      <c r="G505" s="21">
        <f t="shared" ref="G505:G540" si="74">(1050*((E505/$C$11)^1.852)*(D505/100)*(F505^-4.87))/2.31</f>
        <v>8.0265303880778756E-4</v>
      </c>
      <c r="H505" s="3">
        <f t="shared" ref="H505:H540" si="75">(D505*$C$19)/2.31</f>
        <v>8.6121901096420893E-3</v>
      </c>
      <c r="I505" s="3">
        <f t="shared" ref="I505:I540" si="76">H505-G505</f>
        <v>7.809537070834302E-3</v>
      </c>
    </row>
    <row r="506" spans="1:9">
      <c r="A506">
        <f t="shared" si="69"/>
        <v>468</v>
      </c>
      <c r="B506" s="13">
        <f t="shared" si="72"/>
        <v>22.823150084720091</v>
      </c>
      <c r="C506" s="12">
        <f t="shared" si="73"/>
        <v>3078.1564092512272</v>
      </c>
      <c r="D506">
        <f t="shared" si="70"/>
        <v>3.0449999999999999</v>
      </c>
      <c r="E506" s="13">
        <f t="shared" si="71"/>
        <v>0.29166666666667002</v>
      </c>
      <c r="F506">
        <v>0.72</v>
      </c>
      <c r="G506" s="21">
        <f t="shared" si="74"/>
        <v>7.6185029661057302E-4</v>
      </c>
      <c r="H506" s="3">
        <f t="shared" si="75"/>
        <v>8.6121901096420893E-3</v>
      </c>
      <c r="I506" s="3">
        <f t="shared" si="76"/>
        <v>7.8503398130315167E-3</v>
      </c>
    </row>
    <row r="507" spans="1:9">
      <c r="A507">
        <f t="shared" si="69"/>
        <v>469</v>
      </c>
      <c r="B507" s="13">
        <f t="shared" si="72"/>
        <v>22.831000424533123</v>
      </c>
      <c r="C507" s="12">
        <f t="shared" si="73"/>
        <v>3078.1365150920738</v>
      </c>
      <c r="D507">
        <f t="shared" si="70"/>
        <v>3.0449999999999999</v>
      </c>
      <c r="E507" s="13">
        <f t="shared" si="71"/>
        <v>0.28333333333333666</v>
      </c>
      <c r="F507">
        <v>0.72</v>
      </c>
      <c r="G507" s="21">
        <f t="shared" si="74"/>
        <v>7.2202889361929639E-4</v>
      </c>
      <c r="H507" s="3">
        <f t="shared" si="75"/>
        <v>8.6121901096420893E-3</v>
      </c>
      <c r="I507" s="3">
        <f t="shared" si="76"/>
        <v>7.8901612160227931E-3</v>
      </c>
    </row>
    <row r="508" spans="1:9">
      <c r="A508">
        <f t="shared" si="69"/>
        <v>470</v>
      </c>
      <c r="B508" s="13">
        <f t="shared" si="72"/>
        <v>22.838890585749144</v>
      </c>
      <c r="C508" s="12">
        <f t="shared" si="73"/>
        <v>3078.1166209329203</v>
      </c>
      <c r="D508">
        <f t="shared" si="70"/>
        <v>3.0449999999999999</v>
      </c>
      <c r="E508" s="13">
        <f t="shared" si="71"/>
        <v>0.2750000000000033</v>
      </c>
      <c r="F508">
        <v>0.72</v>
      </c>
      <c r="G508" s="21">
        <f t="shared" si="74"/>
        <v>6.8319304965579739E-4</v>
      </c>
      <c r="H508" s="3">
        <f t="shared" si="75"/>
        <v>8.6121901096420893E-3</v>
      </c>
      <c r="I508" s="3">
        <f t="shared" si="76"/>
        <v>7.9289970599862921E-3</v>
      </c>
    </row>
    <row r="509" spans="1:9">
      <c r="A509">
        <f t="shared" si="69"/>
        <v>471</v>
      </c>
      <c r="B509" s="13">
        <f t="shared" si="72"/>
        <v>22.846819582809132</v>
      </c>
      <c r="C509" s="12">
        <f t="shared" si="73"/>
        <v>3078.0967267737669</v>
      </c>
      <c r="D509">
        <f t="shared" si="70"/>
        <v>3.0449999999999999</v>
      </c>
      <c r="E509" s="13">
        <f t="shared" si="71"/>
        <v>0.26666666666666994</v>
      </c>
      <c r="F509">
        <v>0.72</v>
      </c>
      <c r="G509" s="21">
        <f t="shared" si="74"/>
        <v>6.4534712953485723E-4</v>
      </c>
      <c r="H509" s="3">
        <f t="shared" si="75"/>
        <v>8.6121901096420893E-3</v>
      </c>
      <c r="I509" s="3">
        <f t="shared" si="76"/>
        <v>7.9668429801072315E-3</v>
      </c>
    </row>
    <row r="510" spans="1:9">
      <c r="A510">
        <f t="shared" si="69"/>
        <v>472</v>
      </c>
      <c r="B510" s="13">
        <f t="shared" si="72"/>
        <v>22.854786425789239</v>
      </c>
      <c r="C510" s="12">
        <f t="shared" si="73"/>
        <v>3078.0768326146135</v>
      </c>
      <c r="D510">
        <f t="shared" si="70"/>
        <v>3.0449999999999999</v>
      </c>
      <c r="E510" s="13">
        <f t="shared" si="71"/>
        <v>0.25833333333333658</v>
      </c>
      <c r="F510">
        <v>0.72</v>
      </c>
      <c r="G510" s="21">
        <f t="shared" si="74"/>
        <v>6.0849565267561193E-4</v>
      </c>
      <c r="H510" s="3">
        <f t="shared" si="75"/>
        <v>8.6121901096420893E-3</v>
      </c>
      <c r="I510" s="3">
        <f t="shared" si="76"/>
        <v>8.0036944569664772E-3</v>
      </c>
    </row>
    <row r="511" spans="1:9">
      <c r="A511">
        <f t="shared" si="69"/>
        <v>473</v>
      </c>
      <c r="B511" s="13">
        <f t="shared" si="72"/>
        <v>22.862790120246206</v>
      </c>
      <c r="C511" s="12">
        <f t="shared" si="73"/>
        <v>3078.0569384554601</v>
      </c>
      <c r="D511">
        <f t="shared" si="70"/>
        <v>3.0449999999999999</v>
      </c>
      <c r="E511" s="13">
        <f t="shared" si="71"/>
        <v>0.25000000000000322</v>
      </c>
      <c r="F511">
        <v>0.72</v>
      </c>
      <c r="G511" s="21">
        <f t="shared" si="74"/>
        <v>5.7264330367668933E-4</v>
      </c>
      <c r="H511" s="3">
        <f t="shared" si="75"/>
        <v>8.6121901096420893E-3</v>
      </c>
      <c r="I511" s="3">
        <f t="shared" si="76"/>
        <v>8.0395468059654002E-3</v>
      </c>
    </row>
    <row r="512" spans="1:9">
      <c r="A512">
        <f t="shared" si="69"/>
        <v>474</v>
      </c>
      <c r="B512" s="13">
        <f t="shared" si="72"/>
        <v>22.87082966705217</v>
      </c>
      <c r="C512" s="12">
        <f t="shared" si="73"/>
        <v>3078.0370442963067</v>
      </c>
      <c r="D512">
        <f t="shared" si="70"/>
        <v>3.0449999999999999</v>
      </c>
      <c r="E512" s="13">
        <f t="shared" si="71"/>
        <v>0.24166666666666989</v>
      </c>
      <c r="F512">
        <v>0.72</v>
      </c>
      <c r="G512" s="21">
        <f t="shared" si="74"/>
        <v>5.3779494398657974E-4</v>
      </c>
      <c r="H512" s="3">
        <f t="shared" si="75"/>
        <v>8.6121901096420893E-3</v>
      </c>
      <c r="I512" s="3">
        <f t="shared" si="76"/>
        <v>8.07439516565551E-3</v>
      </c>
    </row>
    <row r="513" spans="1:9">
      <c r="A513">
        <f t="shared" si="69"/>
        <v>475</v>
      </c>
      <c r="B513" s="13">
        <f t="shared" si="72"/>
        <v>22.878904062217828</v>
      </c>
      <c r="C513" s="12">
        <f t="shared" si="73"/>
        <v>3078.0171501371533</v>
      </c>
      <c r="D513">
        <f t="shared" si="70"/>
        <v>3.0449999999999999</v>
      </c>
      <c r="E513" s="13">
        <f t="shared" si="71"/>
        <v>0.23333333333333656</v>
      </c>
      <c r="F513">
        <v>0.72</v>
      </c>
      <c r="G513" s="21">
        <f t="shared" si="74"/>
        <v>5.0395562482388365E-4</v>
      </c>
      <c r="H513" s="3">
        <f t="shared" si="75"/>
        <v>8.6121901096420893E-3</v>
      </c>
      <c r="I513" s="3">
        <f t="shared" si="76"/>
        <v>8.1082344848182053E-3</v>
      </c>
    </row>
    <row r="514" spans="1:9">
      <c r="A514">
        <f t="shared" si="69"/>
        <v>476</v>
      </c>
      <c r="B514" s="13">
        <f t="shared" si="72"/>
        <v>22.887012296702647</v>
      </c>
      <c r="C514" s="12">
        <f t="shared" si="73"/>
        <v>3077.9972559779999</v>
      </c>
      <c r="D514">
        <f t="shared" si="70"/>
        <v>3.0449999999999999</v>
      </c>
      <c r="E514" s="13">
        <f t="shared" si="71"/>
        <v>0.22500000000000323</v>
      </c>
      <c r="F514">
        <v>0.72</v>
      </c>
      <c r="G514" s="21">
        <f t="shared" si="74"/>
        <v>4.7113060153004002E-4</v>
      </c>
      <c r="H514" s="3">
        <f t="shared" si="75"/>
        <v>8.6121901096420893E-3</v>
      </c>
      <c r="I514" s="3">
        <f t="shared" si="76"/>
        <v>8.1410595081120498E-3</v>
      </c>
    </row>
    <row r="515" spans="1:9">
      <c r="A515">
        <f t="shared" si="69"/>
        <v>477</v>
      </c>
      <c r="B515" s="13">
        <f t="shared" si="72"/>
        <v>22.895153356210759</v>
      </c>
      <c r="C515" s="12">
        <f t="shared" si="73"/>
        <v>3077.9773618188465</v>
      </c>
      <c r="D515">
        <f t="shared" si="70"/>
        <v>3.0449999999999999</v>
      </c>
      <c r="E515" s="13">
        <f t="shared" si="71"/>
        <v>0.21666666666666989</v>
      </c>
      <c r="F515">
        <v>0.72</v>
      </c>
      <c r="G515" s="21">
        <f t="shared" si="74"/>
        <v>4.3932534957154035E-4</v>
      </c>
      <c r="H515" s="3">
        <f t="shared" si="75"/>
        <v>8.6121901096420893E-3</v>
      </c>
      <c r="I515" s="3">
        <f t="shared" si="76"/>
        <v>8.1728647600705483E-3</v>
      </c>
    </row>
    <row r="516" spans="1:9">
      <c r="A516">
        <f t="shared" si="69"/>
        <v>478</v>
      </c>
      <c r="B516" s="13">
        <f t="shared" si="72"/>
        <v>22.903326220970829</v>
      </c>
      <c r="C516" s="12">
        <f t="shared" si="73"/>
        <v>3077.9574676596931</v>
      </c>
      <c r="D516">
        <f t="shared" si="70"/>
        <v>3.0449999999999999</v>
      </c>
      <c r="E516" s="13">
        <f t="shared" si="71"/>
        <v>0.20833333333333656</v>
      </c>
      <c r="F516">
        <v>0.72</v>
      </c>
      <c r="G516" s="21">
        <f t="shared" si="74"/>
        <v>4.085455824509506E-4</v>
      </c>
      <c r="H516" s="3">
        <f t="shared" si="75"/>
        <v>8.6121901096420893E-3</v>
      </c>
      <c r="I516" s="3">
        <f t="shared" si="76"/>
        <v>8.2036445271911392E-3</v>
      </c>
    </row>
    <row r="517" spans="1:9">
      <c r="A517">
        <f t="shared" si="69"/>
        <v>479</v>
      </c>
      <c r="B517" s="13">
        <f t="shared" si="72"/>
        <v>22.911529865498022</v>
      </c>
      <c r="C517" s="12">
        <f t="shared" si="73"/>
        <v>3077.9375735005397</v>
      </c>
      <c r="D517">
        <f t="shared" si="70"/>
        <v>3.0449999999999999</v>
      </c>
      <c r="E517" s="13">
        <f t="shared" si="71"/>
        <v>0.20000000000000323</v>
      </c>
      <c r="F517">
        <v>0.72</v>
      </c>
      <c r="G517" s="21">
        <f t="shared" si="74"/>
        <v>3.78797271838713E-4</v>
      </c>
      <c r="H517" s="3">
        <f t="shared" si="75"/>
        <v>8.6121901096420893E-3</v>
      </c>
      <c r="I517" s="3">
        <f t="shared" si="76"/>
        <v>8.2333928378033761E-3</v>
      </c>
    </row>
    <row r="518" spans="1:9">
      <c r="A518">
        <f t="shared" si="69"/>
        <v>480</v>
      </c>
      <c r="B518" s="13">
        <f t="shared" si="72"/>
        <v>22.919763258335824</v>
      </c>
      <c r="C518" s="12">
        <f t="shared" si="73"/>
        <v>3077.9176793413862</v>
      </c>
      <c r="D518">
        <f t="shared" si="70"/>
        <v>3.0449999999999999</v>
      </c>
      <c r="E518" s="13">
        <f t="shared" si="71"/>
        <v>0.1916666666666699</v>
      </c>
      <c r="F518">
        <v>0.72</v>
      </c>
      <c r="G518" s="21">
        <f t="shared" si="74"/>
        <v>3.5008667030354411E-4</v>
      </c>
      <c r="H518" s="3">
        <f t="shared" si="75"/>
        <v>8.6121901096420893E-3</v>
      </c>
      <c r="I518" s="3">
        <f t="shared" si="76"/>
        <v>8.2621034393385445E-3</v>
      </c>
    </row>
    <row r="519" spans="1:9">
      <c r="A519">
        <f t="shared" si="69"/>
        <v>481</v>
      </c>
      <c r="B519" s="13">
        <f t="shared" si="72"/>
        <v>22.928025361775163</v>
      </c>
      <c r="C519" s="12">
        <f t="shared" si="73"/>
        <v>3077.8977851822328</v>
      </c>
      <c r="D519">
        <f t="shared" si="70"/>
        <v>3.0449999999999999</v>
      </c>
      <c r="E519" s="13">
        <f t="shared" si="71"/>
        <v>0.18333333333333657</v>
      </c>
      <c r="F519">
        <v>0.72</v>
      </c>
      <c r="G519" s="21">
        <f t="shared" si="74"/>
        <v>3.2242033710254289E-4</v>
      </c>
      <c r="H519" s="3">
        <f t="shared" si="75"/>
        <v>8.6121901096420893E-3</v>
      </c>
      <c r="I519" s="3">
        <f t="shared" si="76"/>
        <v>8.2897697725395469E-3</v>
      </c>
    </row>
    <row r="520" spans="1:9">
      <c r="A520">
        <f t="shared" si="69"/>
        <v>482</v>
      </c>
      <c r="B520" s="13">
        <f t="shared" si="72"/>
        <v>22.936315131547701</v>
      </c>
      <c r="C520" s="12">
        <f t="shared" si="73"/>
        <v>3077.8778910230794</v>
      </c>
      <c r="D520">
        <f t="shared" si="70"/>
        <v>3.0449999999999999</v>
      </c>
      <c r="E520" s="13">
        <f t="shared" si="71"/>
        <v>0.17500000000000324</v>
      </c>
      <c r="F520">
        <v>0.72</v>
      </c>
      <c r="G520" s="21">
        <f t="shared" si="74"/>
        <v>2.9580516759817834E-4</v>
      </c>
      <c r="H520" s="3">
        <f t="shared" si="75"/>
        <v>8.6121901096420893E-3</v>
      </c>
      <c r="I520" s="3">
        <f t="shared" si="76"/>
        <v>8.3163849420439112E-3</v>
      </c>
    </row>
    <row r="521" spans="1:9">
      <c r="A521">
        <f t="shared" si="69"/>
        <v>483</v>
      </c>
      <c r="B521" s="13">
        <f t="shared" si="72"/>
        <v>22.944631516489746</v>
      </c>
      <c r="C521" s="12">
        <f t="shared" si="73"/>
        <v>3077.857996863926</v>
      </c>
      <c r="D521">
        <f t="shared" ref="D521:D540" si="77">$C$13</f>
        <v>3.0449999999999999</v>
      </c>
      <c r="E521" s="13">
        <f t="shared" ref="E521:E540" si="78">E520-($C$6/60)</f>
        <v>0.1666666666666699</v>
      </c>
      <c r="F521">
        <v>0.72</v>
      </c>
      <c r="G521" s="21">
        <f t="shared" si="74"/>
        <v>2.7024842700605964E-4</v>
      </c>
      <c r="H521" s="3">
        <f t="shared" si="75"/>
        <v>8.6121901096420893E-3</v>
      </c>
      <c r="I521" s="3">
        <f t="shared" si="76"/>
        <v>8.3419416826360296E-3</v>
      </c>
    </row>
    <row r="522" spans="1:9">
      <c r="A522">
        <f t="shared" si="69"/>
        <v>484</v>
      </c>
      <c r="B522" s="13">
        <f t="shared" si="72"/>
        <v>22.952973458172384</v>
      </c>
      <c r="C522" s="12">
        <f t="shared" si="73"/>
        <v>3077.8381027047726</v>
      </c>
      <c r="D522">
        <f t="shared" si="77"/>
        <v>3.0449999999999999</v>
      </c>
      <c r="E522" s="13">
        <f t="shared" si="78"/>
        <v>0.15833333333333657</v>
      </c>
      <c r="F522">
        <v>0.72</v>
      </c>
      <c r="G522" s="21">
        <f t="shared" si="74"/>
        <v>2.4575778935529476E-4</v>
      </c>
      <c r="H522" s="3">
        <f t="shared" si="75"/>
        <v>8.6121901096420893E-3</v>
      </c>
      <c r="I522" s="3">
        <f t="shared" si="76"/>
        <v>8.3664323202867937E-3</v>
      </c>
    </row>
    <row r="523" spans="1:9">
      <c r="A523">
        <f t="shared" si="69"/>
        <v>485</v>
      </c>
      <c r="B523" s="13">
        <f t="shared" si="72"/>
        <v>22.96133989049267</v>
      </c>
      <c r="C523" s="12">
        <f t="shared" si="73"/>
        <v>3077.8182085456192</v>
      </c>
      <c r="D523">
        <f t="shared" si="77"/>
        <v>3.0449999999999999</v>
      </c>
      <c r="E523" s="13">
        <f t="shared" si="78"/>
        <v>0.15000000000000324</v>
      </c>
      <c r="F523">
        <v>0.72</v>
      </c>
      <c r="G523" s="21">
        <f t="shared" si="74"/>
        <v>2.2234138277778205E-4</v>
      </c>
      <c r="H523" s="3">
        <f t="shared" si="75"/>
        <v>8.6121901096420893E-3</v>
      </c>
      <c r="I523" s="3">
        <f t="shared" si="76"/>
        <v>8.3898487268643067E-3</v>
      </c>
    </row>
    <row r="524" spans="1:9">
      <c r="A524">
        <f t="shared" si="69"/>
        <v>486</v>
      </c>
      <c r="B524" s="13">
        <f t="shared" si="72"/>
        <v>22.969729739219535</v>
      </c>
      <c r="C524" s="12">
        <f t="shared" si="73"/>
        <v>3077.7983143864658</v>
      </c>
      <c r="D524">
        <f t="shared" si="77"/>
        <v>3.0449999999999999</v>
      </c>
      <c r="E524" s="13">
        <f t="shared" si="78"/>
        <v>0.14166666666666991</v>
      </c>
      <c r="F524">
        <v>0.72</v>
      </c>
      <c r="G524" s="21">
        <f t="shared" si="74"/>
        <v>2.0000784255583035E-4</v>
      </c>
      <c r="H524" s="3">
        <f t="shared" si="75"/>
        <v>8.6121901096420893E-3</v>
      </c>
      <c r="I524" s="3">
        <f t="shared" si="76"/>
        <v>8.4121822670862583E-3</v>
      </c>
    </row>
    <row r="525" spans="1:9">
      <c r="A525">
        <f t="shared" si="69"/>
        <v>487</v>
      </c>
      <c r="B525" s="13">
        <f t="shared" si="72"/>
        <v>22.978141921486621</v>
      </c>
      <c r="C525" s="12">
        <f t="shared" si="73"/>
        <v>3077.7784202273124</v>
      </c>
      <c r="D525">
        <f t="shared" si="77"/>
        <v>3.0449999999999999</v>
      </c>
      <c r="E525" s="13">
        <f t="shared" si="78"/>
        <v>0.13333333333333658</v>
      </c>
      <c r="F525">
        <v>0.72</v>
      </c>
      <c r="G525" s="21">
        <f t="shared" si="74"/>
        <v>1.7876637378160323E-4</v>
      </c>
      <c r="H525" s="3">
        <f t="shared" si="75"/>
        <v>8.6121901096420893E-3</v>
      </c>
      <c r="I525" s="3">
        <f t="shared" si="76"/>
        <v>8.433423735860486E-3</v>
      </c>
    </row>
    <row r="526" spans="1:9">
      <c r="A526">
        <f t="shared" si="69"/>
        <v>488</v>
      </c>
      <c r="B526" s="13">
        <f t="shared" si="72"/>
        <v>22.98657534522248</v>
      </c>
      <c r="C526" s="12">
        <f t="shared" si="73"/>
        <v>3077.758526068159</v>
      </c>
      <c r="D526">
        <f t="shared" si="77"/>
        <v>3.0449999999999999</v>
      </c>
      <c r="E526" s="13">
        <f t="shared" si="78"/>
        <v>0.12500000000000325</v>
      </c>
      <c r="F526">
        <v>0.72</v>
      </c>
      <c r="G526" s="21">
        <f t="shared" si="74"/>
        <v>1.5862682606550621E-4</v>
      </c>
      <c r="H526" s="3">
        <f t="shared" si="75"/>
        <v>8.6121901096420893E-3</v>
      </c>
      <c r="I526" s="3">
        <f t="shared" si="76"/>
        <v>8.4535632835765831E-3</v>
      </c>
    </row>
    <row r="527" spans="1:9">
      <c r="A527">
        <f t="shared" si="69"/>
        <v>489</v>
      </c>
      <c r="B527" s="13">
        <f t="shared" si="72"/>
        <v>22.995028908506058</v>
      </c>
      <c r="C527" s="12">
        <f t="shared" si="73"/>
        <v>3077.7386319090056</v>
      </c>
      <c r="D527">
        <f t="shared" si="77"/>
        <v>3.0449999999999999</v>
      </c>
      <c r="E527" s="13">
        <f t="shared" si="78"/>
        <v>0.11666666666666992</v>
      </c>
      <c r="F527">
        <v>0.72</v>
      </c>
      <c r="G527" s="21">
        <f t="shared" si="74"/>
        <v>1.395997835483394E-4</v>
      </c>
      <c r="H527" s="3">
        <f t="shared" si="75"/>
        <v>8.6121901096420893E-3</v>
      </c>
      <c r="I527" s="3">
        <f t="shared" si="76"/>
        <v>8.4725903260937496E-3</v>
      </c>
    </row>
    <row r="528" spans="1:9">
      <c r="A528">
        <f t="shared" si="69"/>
        <v>490</v>
      </c>
      <c r="B528" s="13">
        <f t="shared" si="72"/>
        <v>23.003501498832151</v>
      </c>
      <c r="C528" s="12">
        <f t="shared" si="73"/>
        <v>3077.7187377498522</v>
      </c>
      <c r="D528">
        <f t="shared" si="77"/>
        <v>3.0449999999999999</v>
      </c>
      <c r="E528" s="13">
        <f t="shared" si="78"/>
        <v>0.10833333333333658</v>
      </c>
      <c r="F528">
        <v>0.72</v>
      </c>
      <c r="G528" s="21">
        <f t="shared" si="74"/>
        <v>1.2169667464058687E-4</v>
      </c>
      <c r="H528" s="3">
        <f t="shared" si="75"/>
        <v>8.6121901096420893E-3</v>
      </c>
      <c r="I528" s="3">
        <f t="shared" si="76"/>
        <v>8.4904934350015018E-3</v>
      </c>
    </row>
    <row r="529" spans="1:9">
      <c r="A529">
        <f t="shared" si="69"/>
        <v>491</v>
      </c>
      <c r="B529" s="13">
        <f t="shared" si="72"/>
        <v>23.011991992267152</v>
      </c>
      <c r="C529" s="12">
        <f t="shared" si="73"/>
        <v>3077.6988435906987</v>
      </c>
      <c r="D529">
        <f t="shared" si="77"/>
        <v>3.0449999999999999</v>
      </c>
      <c r="E529" s="13">
        <f t="shared" si="78"/>
        <v>0.10000000000000325</v>
      </c>
      <c r="F529">
        <v>0.72</v>
      </c>
      <c r="G529" s="21">
        <f t="shared" si="74"/>
        <v>1.0492990762007268E-4</v>
      </c>
      <c r="H529" s="3">
        <f t="shared" si="75"/>
        <v>8.6121901096420893E-3</v>
      </c>
      <c r="I529" s="3">
        <f t="shared" si="76"/>
        <v>8.5072602020220163E-3</v>
      </c>
    </row>
    <row r="530" spans="1:9">
      <c r="A530">
        <f t="shared" si="69"/>
        <v>492</v>
      </c>
      <c r="B530" s="13">
        <f t="shared" si="72"/>
        <v>23.020499252469175</v>
      </c>
      <c r="C530" s="12">
        <f t="shared" si="73"/>
        <v>3077.6789494315453</v>
      </c>
      <c r="D530">
        <f t="shared" si="77"/>
        <v>3.0449999999999999</v>
      </c>
      <c r="E530" s="13">
        <f t="shared" si="78"/>
        <v>9.1666666666669921E-2</v>
      </c>
      <c r="F530">
        <v>0.72</v>
      </c>
      <c r="G530" s="21">
        <f t="shared" si="74"/>
        <v>8.9313040779785788E-5</v>
      </c>
      <c r="H530" s="3">
        <f t="shared" si="75"/>
        <v>8.6121901096420893E-3</v>
      </c>
      <c r="I530" s="3">
        <f t="shared" si="76"/>
        <v>8.5228770688623029E-3</v>
      </c>
    </row>
    <row r="531" spans="1:9">
      <c r="A531">
        <f t="shared" si="69"/>
        <v>493</v>
      </c>
      <c r="B531" s="13">
        <f t="shared" si="72"/>
        <v>23.029022129538038</v>
      </c>
      <c r="C531" s="12">
        <f t="shared" si="73"/>
        <v>3077.6590552723919</v>
      </c>
      <c r="D531">
        <f t="shared" si="77"/>
        <v>3.0449999999999999</v>
      </c>
      <c r="E531" s="13">
        <f t="shared" si="78"/>
        <v>8.333333333333659E-2</v>
      </c>
      <c r="F531">
        <v>0.72</v>
      </c>
      <c r="G531" s="21">
        <f t="shared" si="74"/>
        <v>7.4860999770584542E-5</v>
      </c>
      <c r="H531" s="3">
        <f t="shared" si="75"/>
        <v>8.6121901096420893E-3</v>
      </c>
      <c r="I531" s="3">
        <f t="shared" si="76"/>
        <v>8.537329109871504E-3</v>
      </c>
    </row>
    <row r="532" spans="1:9">
      <c r="A532">
        <f t="shared" si="69"/>
        <v>494</v>
      </c>
      <c r="B532" s="13">
        <f t="shared" si="72"/>
        <v>23.037559458647909</v>
      </c>
      <c r="C532" s="12">
        <f t="shared" si="73"/>
        <v>3077.6391611132385</v>
      </c>
      <c r="D532">
        <f t="shared" si="77"/>
        <v>3.0449999999999999</v>
      </c>
      <c r="E532" s="13">
        <f t="shared" si="78"/>
        <v>7.5000000000003259E-2</v>
      </c>
      <c r="F532">
        <v>0.72</v>
      </c>
      <c r="G532" s="21">
        <f t="shared" si="74"/>
        <v>6.1590361096702464E-5</v>
      </c>
      <c r="H532" s="3">
        <f t="shared" si="75"/>
        <v>8.6121901096420893E-3</v>
      </c>
      <c r="I532" s="3">
        <f t="shared" si="76"/>
        <v>8.5505997485453861E-3</v>
      </c>
    </row>
    <row r="533" spans="1:9">
      <c r="A533">
        <f t="shared" si="69"/>
        <v>495</v>
      </c>
      <c r="B533" s="13">
        <f t="shared" si="72"/>
        <v>23.046110058396454</v>
      </c>
      <c r="C533" s="12">
        <f t="shared" si="73"/>
        <v>3077.6192669540851</v>
      </c>
      <c r="D533">
        <f t="shared" si="77"/>
        <v>3.0449999999999999</v>
      </c>
      <c r="E533" s="13">
        <f t="shared" si="78"/>
        <v>6.6666666666669927E-2</v>
      </c>
      <c r="F533">
        <v>0.72</v>
      </c>
      <c r="G533" s="21">
        <f t="shared" si="74"/>
        <v>4.9519731215134508E-5</v>
      </c>
      <c r="H533" s="3">
        <f t="shared" si="75"/>
        <v>8.6121901096420893E-3</v>
      </c>
      <c r="I533" s="3">
        <f t="shared" si="76"/>
        <v>8.5626703784269544E-3</v>
      </c>
    </row>
    <row r="534" spans="1:9">
      <c r="A534">
        <f t="shared" si="69"/>
        <v>496</v>
      </c>
      <c r="B534" s="13">
        <f t="shared" si="72"/>
        <v>23.054672728774882</v>
      </c>
      <c r="C534" s="12">
        <f t="shared" si="73"/>
        <v>3077.5993727949317</v>
      </c>
      <c r="D534">
        <f t="shared" si="77"/>
        <v>3.0449999999999999</v>
      </c>
      <c r="E534" s="13">
        <f t="shared" si="78"/>
        <v>5.8333333333336596E-2</v>
      </c>
      <c r="F534">
        <v>0.72</v>
      </c>
      <c r="G534" s="21">
        <f t="shared" si="74"/>
        <v>3.8670268981627588E-5</v>
      </c>
      <c r="H534" s="3">
        <f t="shared" si="75"/>
        <v>8.6121901096420893E-3</v>
      </c>
      <c r="I534" s="3">
        <f t="shared" si="76"/>
        <v>8.5735198406604613E-3</v>
      </c>
    </row>
    <row r="535" spans="1:9">
      <c r="A535">
        <f t="shared" si="69"/>
        <v>497</v>
      </c>
      <c r="B535" s="13">
        <f t="shared" si="72"/>
        <v>23.063246248615542</v>
      </c>
      <c r="C535" s="12">
        <f t="shared" si="73"/>
        <v>3077.5794786357783</v>
      </c>
      <c r="D535">
        <f t="shared" si="77"/>
        <v>3.0449999999999999</v>
      </c>
      <c r="E535" s="13">
        <f t="shared" si="78"/>
        <v>5.0000000000003264E-2</v>
      </c>
      <c r="F535">
        <v>0.72</v>
      </c>
      <c r="G535" s="21">
        <f t="shared" si="74"/>
        <v>2.9066432975381452E-5</v>
      </c>
      <c r="H535" s="3">
        <f t="shared" si="75"/>
        <v>8.6121901096420893E-3</v>
      </c>
      <c r="I535" s="3">
        <f t="shared" si="76"/>
        <v>8.5831236766667086E-3</v>
      </c>
    </row>
    <row r="536" spans="1:9">
      <c r="A536">
        <f t="shared" si="69"/>
        <v>498</v>
      </c>
      <c r="B536" s="13">
        <f t="shared" si="72"/>
        <v>23.071829372292207</v>
      </c>
      <c r="C536" s="12">
        <f t="shared" si="73"/>
        <v>3077.5595844766249</v>
      </c>
      <c r="D536">
        <f t="shared" si="77"/>
        <v>3.0449999999999999</v>
      </c>
      <c r="E536" s="13">
        <f t="shared" si="78"/>
        <v>4.1666666666669933E-2</v>
      </c>
      <c r="F536">
        <v>0.72</v>
      </c>
      <c r="G536" s="21">
        <f t="shared" si="74"/>
        <v>2.0737102334830637E-5</v>
      </c>
      <c r="H536" s="3">
        <f t="shared" si="75"/>
        <v>8.6121901096420893E-3</v>
      </c>
      <c r="I536" s="3">
        <f t="shared" si="76"/>
        <v>8.5914530073072579E-3</v>
      </c>
    </row>
    <row r="537" spans="1:9">
      <c r="A537">
        <f t="shared" si="69"/>
        <v>499</v>
      </c>
      <c r="B537" s="13">
        <f t="shared" si="72"/>
        <v>23.080420825299516</v>
      </c>
      <c r="C537" s="12">
        <f t="shared" si="73"/>
        <v>3077.5396903174715</v>
      </c>
      <c r="D537">
        <f t="shared" si="77"/>
        <v>3.0449999999999999</v>
      </c>
      <c r="E537" s="13">
        <f t="shared" si="78"/>
        <v>3.3333333333336601E-2</v>
      </c>
      <c r="F537">
        <v>0.72</v>
      </c>
      <c r="G537" s="21">
        <f t="shared" si="74"/>
        <v>1.3717366010987614E-5</v>
      </c>
      <c r="H537" s="3">
        <f t="shared" si="75"/>
        <v>8.6121901096420893E-3</v>
      </c>
      <c r="I537" s="3">
        <f t="shared" si="76"/>
        <v>8.5984727436311022E-3</v>
      </c>
    </row>
    <row r="538" spans="1:9">
      <c r="A538">
        <f t="shared" si="69"/>
        <v>500</v>
      </c>
      <c r="B538" s="13">
        <f t="shared" si="72"/>
        <v>23.089019298043148</v>
      </c>
      <c r="C538" s="12">
        <f t="shared" si="73"/>
        <v>3077.5197961583181</v>
      </c>
      <c r="D538">
        <f t="shared" si="77"/>
        <v>3.0449999999999999</v>
      </c>
      <c r="E538" s="13">
        <f t="shared" si="78"/>
        <v>2.500000000000327E-2</v>
      </c>
      <c r="F538">
        <v>0.72</v>
      </c>
      <c r="G538" s="21">
        <f t="shared" si="74"/>
        <v>8.0516369934435826E-6</v>
      </c>
      <c r="H538" s="3">
        <f t="shared" si="75"/>
        <v>8.6121901096420893E-3</v>
      </c>
      <c r="I538" s="3">
        <f t="shared" si="76"/>
        <v>8.6041384726486449E-3</v>
      </c>
    </row>
    <row r="539" spans="1:9">
      <c r="A539">
        <f t="shared" si="69"/>
        <v>501</v>
      </c>
      <c r="B539" s="13">
        <f t="shared" si="72"/>
        <v>23.097623436515796</v>
      </c>
      <c r="C539" s="12">
        <f t="shared" si="73"/>
        <v>3077.4999019991646</v>
      </c>
      <c r="D539">
        <f t="shared" si="77"/>
        <v>3.0449999999999999</v>
      </c>
      <c r="E539" s="13">
        <f t="shared" si="78"/>
        <v>1.6666666666669938E-2</v>
      </c>
      <c r="F539">
        <v>0.72</v>
      </c>
      <c r="G539" s="21">
        <f t="shared" si="74"/>
        <v>3.7998213169199822E-6</v>
      </c>
      <c r="H539" s="3">
        <f t="shared" si="75"/>
        <v>8.6121901096420893E-3</v>
      </c>
      <c r="I539" s="3">
        <f t="shared" si="76"/>
        <v>8.6083902883251698E-3</v>
      </c>
    </row>
    <row r="540" spans="1:9">
      <c r="A540">
        <f t="shared" si="69"/>
        <v>502</v>
      </c>
      <c r="B540" s="13">
        <f t="shared" si="72"/>
        <v>23.106231826804123</v>
      </c>
      <c r="C540" s="12">
        <f t="shared" si="73"/>
        <v>3077.4800078400112</v>
      </c>
      <c r="D540">
        <f t="shared" si="77"/>
        <v>3.0449999999999999</v>
      </c>
      <c r="E540" s="13">
        <f t="shared" si="78"/>
        <v>8.3333333333366049E-3</v>
      </c>
      <c r="F540">
        <v>0.72</v>
      </c>
      <c r="G540" s="21">
        <f t="shared" si="74"/>
        <v>1.0525812338138929E-6</v>
      </c>
      <c r="H540" s="3">
        <f t="shared" si="75"/>
        <v>8.6121901096420893E-3</v>
      </c>
      <c r="I540" s="3">
        <f t="shared" si="76"/>
        <v>8.6111375284082751E-3</v>
      </c>
    </row>
    <row r="541" spans="1:9">
      <c r="B541" s="13"/>
      <c r="C541" s="12"/>
      <c r="E541" s="13"/>
      <c r="G541" s="21"/>
      <c r="H541" s="3"/>
      <c r="I541" s="3"/>
    </row>
    <row r="542" spans="1:9">
      <c r="B542" t="s">
        <v>124</v>
      </c>
      <c r="C542" s="13">
        <f>MIN(B236:B540)</f>
        <v>22.394076289775061</v>
      </c>
      <c r="D542" s="12" t="s">
        <v>127</v>
      </c>
      <c r="E542" s="13"/>
      <c r="G542" s="21"/>
      <c r="H542" s="3"/>
      <c r="I542" s="3"/>
    </row>
    <row r="543" spans="1:9">
      <c r="B543" t="s">
        <v>125</v>
      </c>
      <c r="C543" s="13">
        <f>MAX(B32:B312)</f>
        <v>25</v>
      </c>
      <c r="D543" s="12" t="s">
        <v>127</v>
      </c>
      <c r="E543" s="13"/>
      <c r="G543" s="21"/>
      <c r="H543" s="3"/>
      <c r="I543" s="3"/>
    </row>
    <row r="544" spans="1:9">
      <c r="B544" t="s">
        <v>126</v>
      </c>
      <c r="C544" s="13">
        <f>C543-C542</f>
        <v>2.6059237102249391</v>
      </c>
      <c r="D544" s="12" t="s">
        <v>127</v>
      </c>
      <c r="E544" s="13"/>
      <c r="G544" s="21"/>
      <c r="H544" s="3"/>
      <c r="I544" s="3"/>
    </row>
    <row r="546" spans="1:6">
      <c r="A546" s="8" t="s">
        <v>159</v>
      </c>
      <c r="B546" s="8"/>
      <c r="C546" s="22">
        <f>SUM(D32:D228)</f>
        <v>599.86499999999967</v>
      </c>
      <c r="D546" s="8" t="s">
        <v>160</v>
      </c>
      <c r="E546" s="8"/>
      <c r="F546" s="8"/>
    </row>
    <row r="548" spans="1:6">
      <c r="A548" s="1" t="s">
        <v>171</v>
      </c>
    </row>
    <row r="551" spans="1:6">
      <c r="B551">
        <v>150</v>
      </c>
      <c r="C551" t="s">
        <v>177</v>
      </c>
    </row>
    <row r="552" spans="1:6">
      <c r="B552">
        <v>145</v>
      </c>
      <c r="C552" t="s">
        <v>176</v>
      </c>
    </row>
    <row r="553" spans="1:6">
      <c r="B553">
        <v>140</v>
      </c>
      <c r="C553" t="s">
        <v>178</v>
      </c>
    </row>
    <row r="554" spans="1:6">
      <c r="B554" s="11">
        <f>C332</f>
        <v>3081.6179929439204</v>
      </c>
      <c r="C554" t="s">
        <v>123</v>
      </c>
    </row>
    <row r="555" spans="1:6">
      <c r="B555">
        <v>0</v>
      </c>
      <c r="C555" t="s">
        <v>179</v>
      </c>
    </row>
    <row r="556" spans="1:6">
      <c r="B556">
        <f>234.5+40.7+166.3+295.8</f>
        <v>737.3</v>
      </c>
      <c r="C556" t="s">
        <v>180</v>
      </c>
    </row>
    <row r="557" spans="1:6">
      <c r="B557" s="3">
        <f>B555/B556</f>
        <v>0</v>
      </c>
      <c r="C557" t="s">
        <v>181</v>
      </c>
    </row>
    <row r="558" spans="1:6">
      <c r="B558">
        <v>0.5</v>
      </c>
      <c r="C558" t="s">
        <v>69</v>
      </c>
    </row>
    <row r="559" spans="1:6">
      <c r="B559" s="21">
        <f>B558/60</f>
        <v>8.3333333333333332E-3</v>
      </c>
      <c r="C559" t="s">
        <v>185</v>
      </c>
    </row>
    <row r="560" spans="1:6">
      <c r="B560" s="21">
        <f>3.045</f>
        <v>3.0449999999999999</v>
      </c>
      <c r="C560" t="s">
        <v>186</v>
      </c>
    </row>
    <row r="562" spans="1:12">
      <c r="A562" s="1" t="s">
        <v>201</v>
      </c>
    </row>
    <row r="563" spans="1:12" ht="30">
      <c r="A563" s="27" t="s">
        <v>173</v>
      </c>
      <c r="B563" s="44" t="s">
        <v>183</v>
      </c>
      <c r="C563" s="24" t="s">
        <v>184</v>
      </c>
      <c r="D563" s="24" t="s">
        <v>182</v>
      </c>
      <c r="E563" s="27" t="s">
        <v>116</v>
      </c>
      <c r="F563" s="24" t="s">
        <v>123</v>
      </c>
      <c r="G563" s="26" t="s">
        <v>175</v>
      </c>
      <c r="H563" s="24" t="s">
        <v>200</v>
      </c>
      <c r="I563" s="26" t="s">
        <v>187</v>
      </c>
      <c r="J563" s="27" t="s">
        <v>119</v>
      </c>
      <c r="K563" s="24" t="s">
        <v>120</v>
      </c>
      <c r="L563" s="24" t="s">
        <v>121</v>
      </c>
    </row>
    <row r="564" spans="1:12">
      <c r="A564" s="40" t="s">
        <v>174</v>
      </c>
      <c r="B564" s="47">
        <v>0</v>
      </c>
      <c r="C564" s="43">
        <v>0</v>
      </c>
      <c r="D564" s="43">
        <v>25</v>
      </c>
      <c r="E564" s="47">
        <v>0</v>
      </c>
      <c r="F564" s="42">
        <v>27</v>
      </c>
      <c r="G564" s="47">
        <v>2.1930000000000001</v>
      </c>
      <c r="H564" s="42">
        <f>(F564/448.8)/(3.14*((G564/12)^2)/4)</f>
        <v>2.294703023696691</v>
      </c>
      <c r="I564" s="47">
        <f>IF(G564&gt;5,$B$551,IF(5&gt;=G564&gt;1.5,$B$552,IF(1.5&gt;G564,$B$553,0)))</f>
        <v>145</v>
      </c>
      <c r="J564" s="46">
        <f t="shared" ref="J564:J575" si="79">(1050*((F564/I564)^1.852)*(E564/100)*(G564^-4.87))/2.31</f>
        <v>0</v>
      </c>
      <c r="K564" s="41">
        <f>E564*$B$557</f>
        <v>0</v>
      </c>
      <c r="L564" s="41">
        <f>-K564-J564</f>
        <v>0</v>
      </c>
    </row>
    <row r="565" spans="1:12">
      <c r="A565" s="47">
        <v>1</v>
      </c>
      <c r="B565" s="47">
        <v>600</v>
      </c>
      <c r="C565" s="41">
        <f>(B565/$B$560)*$B$559</f>
        <v>1.6420361247947455</v>
      </c>
      <c r="D565" s="42">
        <f t="shared" ref="D565:D579" si="80">D564+L564</f>
        <v>25</v>
      </c>
      <c r="E565" s="47">
        <v>13.2</v>
      </c>
      <c r="F565" s="46">
        <f>F564-C565</f>
        <v>25.357963875205254</v>
      </c>
      <c r="G565" s="85">
        <v>2.1930000000000001</v>
      </c>
      <c r="H565" s="42">
        <f t="shared" ref="H565:H595" si="81">(F565/448.8)/(3.14*((G565/12)^2)/4)</f>
        <v>2.1551480140453685</v>
      </c>
      <c r="I565" s="47">
        <f t="shared" ref="I565:I595" si="82">IF(G565&gt;5,$B$551,IF(5&gt;=G565&gt;1.5,$B$552,IF(1.5&gt;G565,$B$553,0)))</f>
        <v>145</v>
      </c>
      <c r="J565" s="41">
        <f t="shared" si="79"/>
        <v>5.1863211221504169E-2</v>
      </c>
      <c r="K565" s="41">
        <f t="shared" ref="K565:K595" si="83">E565*$B$557</f>
        <v>0</v>
      </c>
      <c r="L565" s="41">
        <f t="shared" ref="L565:L595" si="84">-K565-J565</f>
        <v>-5.1863211221504169E-2</v>
      </c>
    </row>
    <row r="566" spans="1:12">
      <c r="A566" s="47">
        <f>A565+1</f>
        <v>2</v>
      </c>
      <c r="B566" s="47">
        <v>606</v>
      </c>
      <c r="C566" s="41">
        <f t="shared" ref="C566:C595" si="85">(B566/$B$560)*$B$559</f>
        <v>1.6584564860426929</v>
      </c>
      <c r="D566" s="42">
        <f t="shared" si="80"/>
        <v>24.948136788778495</v>
      </c>
      <c r="E566" s="47">
        <v>7.7</v>
      </c>
      <c r="F566" s="46">
        <f t="shared" ref="F566:F579" si="86">F565-C566</f>
        <v>23.699507389162562</v>
      </c>
      <c r="G566" s="85">
        <v>2.1930000000000001</v>
      </c>
      <c r="H566" s="42">
        <f t="shared" si="81"/>
        <v>2.0141974542975332</v>
      </c>
      <c r="I566" s="47">
        <f t="shared" si="82"/>
        <v>145</v>
      </c>
      <c r="J566" s="41">
        <f t="shared" si="79"/>
        <v>2.6691537238326075E-2</v>
      </c>
      <c r="K566" s="41">
        <f t="shared" si="83"/>
        <v>0</v>
      </c>
      <c r="L566" s="41">
        <f t="shared" si="84"/>
        <v>-2.6691537238326075E-2</v>
      </c>
    </row>
    <row r="567" spans="1:12">
      <c r="A567" s="47">
        <f t="shared" ref="A567:A595" si="87">A566+1</f>
        <v>3</v>
      </c>
      <c r="B567" s="47">
        <v>612.1</v>
      </c>
      <c r="C567" s="41">
        <f t="shared" si="85"/>
        <v>1.6751505199781063</v>
      </c>
      <c r="D567" s="42">
        <f t="shared" si="80"/>
        <v>24.92144525154017</v>
      </c>
      <c r="E567" s="47">
        <v>7.7</v>
      </c>
      <c r="F567" s="46">
        <f t="shared" si="86"/>
        <v>22.024356869184455</v>
      </c>
      <c r="G567" s="85">
        <v>2.1930000000000001</v>
      </c>
      <c r="H567" s="42">
        <f t="shared" si="81"/>
        <v>1.8718280852849094</v>
      </c>
      <c r="I567" s="47">
        <f t="shared" si="82"/>
        <v>145</v>
      </c>
      <c r="J567" s="41">
        <f t="shared" si="79"/>
        <v>2.3303071089754778E-2</v>
      </c>
      <c r="K567" s="41">
        <f t="shared" si="83"/>
        <v>0</v>
      </c>
      <c r="L567" s="41">
        <f t="shared" si="84"/>
        <v>-2.3303071089754778E-2</v>
      </c>
    </row>
    <row r="568" spans="1:12">
      <c r="A568" s="47">
        <f>A567+1</f>
        <v>4</v>
      </c>
      <c r="B568" s="47">
        <v>618.1</v>
      </c>
      <c r="C568" s="41">
        <f t="shared" si="85"/>
        <v>1.6915708812260537</v>
      </c>
      <c r="D568" s="42">
        <f t="shared" si="80"/>
        <v>24.898142180450417</v>
      </c>
      <c r="E568" s="47">
        <v>7.7</v>
      </c>
      <c r="F568" s="46">
        <f t="shared" si="86"/>
        <v>20.332785987958403</v>
      </c>
      <c r="G568" s="85">
        <v>2.1930000000000001</v>
      </c>
      <c r="H568" s="42">
        <f t="shared" si="81"/>
        <v>1.7280631661757724</v>
      </c>
      <c r="I568" s="47">
        <f t="shared" si="82"/>
        <v>145</v>
      </c>
      <c r="J568" s="41">
        <f t="shared" si="79"/>
        <v>2.0097267232257642E-2</v>
      </c>
      <c r="K568" s="41">
        <f t="shared" si="83"/>
        <v>0</v>
      </c>
      <c r="L568" s="41">
        <f t="shared" si="84"/>
        <v>-2.0097267232257642E-2</v>
      </c>
    </row>
    <row r="569" spans="1:12">
      <c r="A569" s="47">
        <f t="shared" si="87"/>
        <v>5</v>
      </c>
      <c r="B569" s="47">
        <v>624.20000000000005</v>
      </c>
      <c r="C569" s="41">
        <f t="shared" si="85"/>
        <v>1.7082649151614671</v>
      </c>
      <c r="D569" s="42">
        <f t="shared" si="80"/>
        <v>24.878044913218158</v>
      </c>
      <c r="E569" s="47">
        <v>7.7</v>
      </c>
      <c r="F569" s="46">
        <f t="shared" si="86"/>
        <v>18.624521072796934</v>
      </c>
      <c r="G569" s="85">
        <v>2.1930000000000001</v>
      </c>
      <c r="H569" s="42">
        <f t="shared" si="81"/>
        <v>1.5828794378018467</v>
      </c>
      <c r="I569" s="47">
        <f t="shared" si="82"/>
        <v>145</v>
      </c>
      <c r="J569" s="41">
        <f t="shared" si="79"/>
        <v>1.7082601056445018E-2</v>
      </c>
      <c r="K569" s="41">
        <f t="shared" si="83"/>
        <v>0</v>
      </c>
      <c r="L569" s="41">
        <f t="shared" si="84"/>
        <v>-1.7082601056445018E-2</v>
      </c>
    </row>
    <row r="570" spans="1:12">
      <c r="A570" s="47">
        <f t="shared" si="87"/>
        <v>6</v>
      </c>
      <c r="B570" s="47">
        <v>630.20000000000005</v>
      </c>
      <c r="C570" s="41">
        <f t="shared" si="85"/>
        <v>1.7246852764094145</v>
      </c>
      <c r="D570" s="42">
        <f t="shared" si="80"/>
        <v>24.860962312161714</v>
      </c>
      <c r="E570" s="47">
        <v>7.7</v>
      </c>
      <c r="F570" s="46">
        <f t="shared" si="86"/>
        <v>16.899835796387521</v>
      </c>
      <c r="G570" s="85">
        <v>2.1930000000000001</v>
      </c>
      <c r="H570" s="42">
        <f t="shared" si="81"/>
        <v>1.4363001593314082</v>
      </c>
      <c r="I570" s="47">
        <f t="shared" si="82"/>
        <v>145</v>
      </c>
      <c r="J570" s="41">
        <f t="shared" si="79"/>
        <v>1.4269039164880072E-2</v>
      </c>
      <c r="K570" s="41">
        <f t="shared" si="83"/>
        <v>0</v>
      </c>
      <c r="L570" s="41">
        <f t="shared" si="84"/>
        <v>-1.4269039164880072E-2</v>
      </c>
    </row>
    <row r="571" spans="1:12">
      <c r="A571" s="47">
        <f t="shared" si="87"/>
        <v>7</v>
      </c>
      <c r="B571" s="47">
        <v>636.29999999999995</v>
      </c>
      <c r="C571" s="41">
        <f t="shared" si="85"/>
        <v>1.7413793103448274</v>
      </c>
      <c r="D571" s="42">
        <f t="shared" si="80"/>
        <v>24.846693272996834</v>
      </c>
      <c r="E571" s="47">
        <v>7.7</v>
      </c>
      <c r="F571" s="46">
        <f t="shared" si="86"/>
        <v>15.158456486042693</v>
      </c>
      <c r="G571" s="85">
        <v>2.1930000000000001</v>
      </c>
      <c r="H571" s="42">
        <f t="shared" si="81"/>
        <v>1.2883020715961808</v>
      </c>
      <c r="I571" s="47">
        <f t="shared" si="82"/>
        <v>145</v>
      </c>
      <c r="J571" s="41">
        <f t="shared" si="79"/>
        <v>1.1666199354724113E-2</v>
      </c>
      <c r="K571" s="41">
        <f t="shared" si="83"/>
        <v>0</v>
      </c>
      <c r="L571" s="41">
        <f t="shared" si="84"/>
        <v>-1.1666199354724113E-2</v>
      </c>
    </row>
    <row r="572" spans="1:12">
      <c r="A572" s="47">
        <f t="shared" si="87"/>
        <v>8</v>
      </c>
      <c r="B572" s="47">
        <v>642.29999999999995</v>
      </c>
      <c r="C572" s="41">
        <f t="shared" si="85"/>
        <v>1.7577996715927748</v>
      </c>
      <c r="D572" s="42">
        <f t="shared" si="80"/>
        <v>24.835027073642109</v>
      </c>
      <c r="E572" s="47">
        <v>7.7</v>
      </c>
      <c r="F572" s="46">
        <f t="shared" si="86"/>
        <v>13.400656814449919</v>
      </c>
      <c r="G572" s="85">
        <v>2.1930000000000001</v>
      </c>
      <c r="H572" s="42">
        <f t="shared" si="81"/>
        <v>1.1389084337644406</v>
      </c>
      <c r="I572" s="47">
        <f t="shared" si="82"/>
        <v>145</v>
      </c>
      <c r="J572" s="41">
        <f t="shared" si="79"/>
        <v>9.2852559097344762E-3</v>
      </c>
      <c r="K572" s="41">
        <f t="shared" si="83"/>
        <v>0</v>
      </c>
      <c r="L572" s="41">
        <f t="shared" si="84"/>
        <v>-9.2852559097344762E-3</v>
      </c>
    </row>
    <row r="573" spans="1:12">
      <c r="A573" s="47">
        <f t="shared" si="87"/>
        <v>9</v>
      </c>
      <c r="B573" s="47">
        <v>648.4</v>
      </c>
      <c r="C573" s="41">
        <f t="shared" si="85"/>
        <v>1.7744937055281882</v>
      </c>
      <c r="D573" s="42">
        <f t="shared" si="80"/>
        <v>24.825741817732375</v>
      </c>
      <c r="E573" s="47">
        <v>7.7</v>
      </c>
      <c r="F573" s="46">
        <f t="shared" si="86"/>
        <v>11.62616310892173</v>
      </c>
      <c r="G573" s="85">
        <v>2.1930000000000001</v>
      </c>
      <c r="H573" s="42">
        <f t="shared" si="81"/>
        <v>0.98809598666791165</v>
      </c>
      <c r="I573" s="47">
        <f t="shared" si="82"/>
        <v>145</v>
      </c>
      <c r="J573" s="41">
        <f t="shared" si="79"/>
        <v>7.1374750347997385E-3</v>
      </c>
      <c r="K573" s="41">
        <f t="shared" si="83"/>
        <v>0</v>
      </c>
      <c r="L573" s="41">
        <f t="shared" si="84"/>
        <v>-7.1374750347997385E-3</v>
      </c>
    </row>
    <row r="574" spans="1:12">
      <c r="A574" s="47">
        <f t="shared" si="87"/>
        <v>10</v>
      </c>
      <c r="B574" s="47">
        <v>654.4</v>
      </c>
      <c r="C574" s="41">
        <f t="shared" si="85"/>
        <v>1.7909140667761356</v>
      </c>
      <c r="D574" s="42">
        <f t="shared" si="80"/>
        <v>24.818604342697576</v>
      </c>
      <c r="E574" s="47">
        <v>7.7</v>
      </c>
      <c r="F574" s="46">
        <f t="shared" si="86"/>
        <v>9.8352490421455947</v>
      </c>
      <c r="G574" s="85">
        <v>2.1930000000000001</v>
      </c>
      <c r="H574" s="42">
        <f t="shared" si="81"/>
        <v>0.83588798947486953</v>
      </c>
      <c r="I574" s="47">
        <f t="shared" si="82"/>
        <v>145</v>
      </c>
      <c r="J574" s="41">
        <f t="shared" si="79"/>
        <v>5.2359423620135515E-3</v>
      </c>
      <c r="K574" s="41">
        <f t="shared" si="83"/>
        <v>0</v>
      </c>
      <c r="L574" s="41">
        <f t="shared" si="84"/>
        <v>-5.2359423620135515E-3</v>
      </c>
    </row>
    <row r="575" spans="1:12">
      <c r="A575" s="47">
        <f t="shared" si="87"/>
        <v>11</v>
      </c>
      <c r="B575" s="47">
        <v>651.6</v>
      </c>
      <c r="C575" s="41">
        <f t="shared" si="85"/>
        <v>1.7832512315270936</v>
      </c>
      <c r="D575" s="42">
        <f t="shared" si="80"/>
        <v>24.813368400335563</v>
      </c>
      <c r="E575" s="47">
        <v>7.7</v>
      </c>
      <c r="F575" s="46">
        <f t="shared" si="86"/>
        <v>8.0519978106185004</v>
      </c>
      <c r="G575" s="85">
        <v>2.1930000000000001</v>
      </c>
      <c r="H575" s="42">
        <f t="shared" si="81"/>
        <v>0.68433124899353359</v>
      </c>
      <c r="I575" s="47">
        <f t="shared" si="82"/>
        <v>145</v>
      </c>
      <c r="J575" s="41">
        <f t="shared" si="79"/>
        <v>3.6148470329972543E-3</v>
      </c>
      <c r="K575" s="41">
        <f t="shared" si="83"/>
        <v>0</v>
      </c>
      <c r="L575" s="41">
        <f t="shared" si="84"/>
        <v>-3.6148470329972543E-3</v>
      </c>
    </row>
    <row r="576" spans="1:12">
      <c r="A576" s="47">
        <f t="shared" si="87"/>
        <v>12</v>
      </c>
      <c r="B576" s="47">
        <v>642.6</v>
      </c>
      <c r="C576" s="41">
        <f t="shared" si="85"/>
        <v>1.7586206896551724</v>
      </c>
      <c r="D576" s="42">
        <f t="shared" si="80"/>
        <v>24.809753553302567</v>
      </c>
      <c r="E576" s="47">
        <v>7.7</v>
      </c>
      <c r="F576" s="46">
        <f t="shared" si="86"/>
        <v>6.2933771209633278</v>
      </c>
      <c r="G576" s="85">
        <v>2.1930000000000001</v>
      </c>
      <c r="H576" s="42">
        <f t="shared" si="81"/>
        <v>0.53486783365696755</v>
      </c>
      <c r="I576" s="47">
        <f t="shared" si="82"/>
        <v>145</v>
      </c>
      <c r="J576" s="41">
        <f t="shared" ref="J576:J595" si="88">(1050*((F576/I576)^1.852)*(E576/100)*(G576^-4.87))/2.31</f>
        <v>2.2902826643341448E-3</v>
      </c>
      <c r="K576" s="41">
        <f t="shared" si="83"/>
        <v>0</v>
      </c>
      <c r="L576" s="41">
        <f t="shared" si="84"/>
        <v>-2.2902826643341448E-3</v>
      </c>
    </row>
    <row r="577" spans="1:12">
      <c r="A577" s="47">
        <f t="shared" si="87"/>
        <v>13</v>
      </c>
      <c r="B577" s="47">
        <v>633.5</v>
      </c>
      <c r="C577" s="41">
        <f t="shared" si="85"/>
        <v>1.7337164750957854</v>
      </c>
      <c r="D577" s="42">
        <f t="shared" si="80"/>
        <v>24.807463270638234</v>
      </c>
      <c r="E577" s="47">
        <v>7.7</v>
      </c>
      <c r="F577" s="46">
        <f t="shared" si="86"/>
        <v>4.5596606458675426</v>
      </c>
      <c r="G577" s="85">
        <v>2.1930000000000001</v>
      </c>
      <c r="H577" s="42">
        <f t="shared" si="81"/>
        <v>0.38752100263344652</v>
      </c>
      <c r="I577" s="47">
        <f t="shared" si="82"/>
        <v>145</v>
      </c>
      <c r="J577" s="41">
        <f t="shared" si="88"/>
        <v>1.260954446705153E-3</v>
      </c>
      <c r="K577" s="41">
        <f t="shared" si="83"/>
        <v>0</v>
      </c>
      <c r="L577" s="41">
        <f t="shared" si="84"/>
        <v>-1.260954446705153E-3</v>
      </c>
    </row>
    <row r="578" spans="1:12">
      <c r="A578" s="47">
        <f t="shared" si="87"/>
        <v>14</v>
      </c>
      <c r="B578" s="47">
        <v>624.4</v>
      </c>
      <c r="C578" s="41">
        <f t="shared" si="85"/>
        <v>1.7088122605363985</v>
      </c>
      <c r="D578" s="42">
        <f t="shared" si="80"/>
        <v>24.806202316191527</v>
      </c>
      <c r="E578" s="47">
        <v>7.7</v>
      </c>
      <c r="F578" s="46">
        <f t="shared" si="86"/>
        <v>2.8508483853311439</v>
      </c>
      <c r="G578" s="85">
        <v>2.1930000000000001</v>
      </c>
      <c r="H578" s="42">
        <f t="shared" si="81"/>
        <v>0.24229075592297056</v>
      </c>
      <c r="I578" s="47">
        <f t="shared" si="82"/>
        <v>145</v>
      </c>
      <c r="J578" s="41">
        <f t="shared" si="88"/>
        <v>5.2840685164057266E-4</v>
      </c>
      <c r="K578" s="41">
        <f t="shared" si="83"/>
        <v>0</v>
      </c>
      <c r="L578" s="41">
        <f t="shared" si="84"/>
        <v>-5.2840685164057266E-4</v>
      </c>
    </row>
    <row r="579" spans="1:12">
      <c r="A579" s="47">
        <f t="shared" si="87"/>
        <v>15</v>
      </c>
      <c r="B579" s="47">
        <v>615.4</v>
      </c>
      <c r="C579" s="41">
        <f t="shared" si="85"/>
        <v>1.6841817186644772</v>
      </c>
      <c r="D579" s="42">
        <f t="shared" si="80"/>
        <v>24.805673909339887</v>
      </c>
      <c r="E579" s="47">
        <v>7.7</v>
      </c>
      <c r="F579" s="46">
        <f t="shared" si="86"/>
        <v>1.1666666666666667</v>
      </c>
      <c r="G579" s="85">
        <v>2.1930000000000001</v>
      </c>
      <c r="H579" s="42">
        <f t="shared" si="81"/>
        <v>9.9153834357264423E-2</v>
      </c>
      <c r="I579" s="47">
        <f t="shared" si="82"/>
        <v>145</v>
      </c>
      <c r="J579" s="41">
        <f t="shared" si="88"/>
        <v>1.0100475565024513E-4</v>
      </c>
      <c r="K579" s="41">
        <f t="shared" si="83"/>
        <v>0</v>
      </c>
      <c r="L579" s="41">
        <f t="shared" si="84"/>
        <v>-1.0100475565024513E-4</v>
      </c>
    </row>
    <row r="580" spans="1:12">
      <c r="A580" s="1" t="s">
        <v>202</v>
      </c>
      <c r="B580" s="47"/>
      <c r="C580" s="41"/>
      <c r="D580" s="42"/>
      <c r="E580" s="47"/>
      <c r="F580" s="46"/>
      <c r="G580" s="85"/>
      <c r="H580" s="42"/>
      <c r="I580" s="47"/>
      <c r="J580" s="41"/>
      <c r="K580" s="41"/>
      <c r="L580" s="41"/>
    </row>
    <row r="581" spans="1:12">
      <c r="A581" s="47">
        <f>A579+1</f>
        <v>16</v>
      </c>
      <c r="B581" s="47">
        <v>930.6</v>
      </c>
      <c r="C581" s="41">
        <f t="shared" si="85"/>
        <v>2.5467980295566504</v>
      </c>
      <c r="D581" s="42">
        <v>25</v>
      </c>
      <c r="E581" s="47">
        <v>13.2</v>
      </c>
      <c r="F581" s="46">
        <v>27</v>
      </c>
      <c r="G581" s="85">
        <v>2.1930000000000001</v>
      </c>
      <c r="H581" s="42">
        <f t="shared" si="81"/>
        <v>2.294703023696691</v>
      </c>
      <c r="I581" s="47">
        <f t="shared" si="82"/>
        <v>145</v>
      </c>
      <c r="J581" s="41">
        <f t="shared" si="88"/>
        <v>5.8253934773800531E-2</v>
      </c>
      <c r="K581" s="41">
        <f t="shared" si="83"/>
        <v>0</v>
      </c>
      <c r="L581" s="41">
        <f t="shared" si="84"/>
        <v>-5.8253934773800531E-2</v>
      </c>
    </row>
    <row r="582" spans="1:12">
      <c r="A582" s="47">
        <f t="shared" si="87"/>
        <v>17</v>
      </c>
      <c r="B582" s="47">
        <v>879.5</v>
      </c>
      <c r="C582" s="41">
        <f t="shared" si="85"/>
        <v>2.4069512862616311</v>
      </c>
      <c r="D582" s="42">
        <f t="shared" ref="D582:D595" si="89">D581+L581</f>
        <v>24.941746065226198</v>
      </c>
      <c r="E582" s="47">
        <v>7.7</v>
      </c>
      <c r="F582" s="46">
        <f t="shared" ref="F582:F595" si="90">F581-C582</f>
        <v>24.593048713738369</v>
      </c>
      <c r="G582" s="85">
        <v>2.1930000000000001</v>
      </c>
      <c r="H582" s="42">
        <f t="shared" si="81"/>
        <v>2.0901386387161276</v>
      </c>
      <c r="I582" s="47">
        <f t="shared" si="82"/>
        <v>145</v>
      </c>
      <c r="J582" s="41">
        <f t="shared" si="88"/>
        <v>2.8585176442370203E-2</v>
      </c>
      <c r="K582" s="41">
        <f t="shared" si="83"/>
        <v>0</v>
      </c>
      <c r="L582" s="41">
        <f t="shared" si="84"/>
        <v>-2.8585176442370203E-2</v>
      </c>
    </row>
    <row r="583" spans="1:12">
      <c r="A583" s="47">
        <f t="shared" si="87"/>
        <v>18</v>
      </c>
      <c r="B583" s="47">
        <v>828.4</v>
      </c>
      <c r="C583" s="41">
        <f t="shared" si="85"/>
        <v>2.2671045429666119</v>
      </c>
      <c r="D583" s="42">
        <f t="shared" si="89"/>
        <v>24.913160888783828</v>
      </c>
      <c r="E583" s="47">
        <v>7.7</v>
      </c>
      <c r="F583" s="46">
        <f t="shared" si="90"/>
        <v>22.325944170771756</v>
      </c>
      <c r="G583" s="85">
        <v>2.1930000000000001</v>
      </c>
      <c r="H583" s="42">
        <f t="shared" si="81"/>
        <v>1.8974596887242023</v>
      </c>
      <c r="I583" s="47">
        <f t="shared" si="82"/>
        <v>145</v>
      </c>
      <c r="J583" s="41">
        <f t="shared" si="88"/>
        <v>2.3897484094978341E-2</v>
      </c>
      <c r="K583" s="41">
        <f t="shared" si="83"/>
        <v>0</v>
      </c>
      <c r="L583" s="41">
        <f t="shared" si="84"/>
        <v>-2.3897484094978341E-2</v>
      </c>
    </row>
    <row r="584" spans="1:12">
      <c r="A584" s="47">
        <f t="shared" si="87"/>
        <v>19</v>
      </c>
      <c r="B584" s="47">
        <v>777.4</v>
      </c>
      <c r="C584" s="41">
        <f t="shared" si="85"/>
        <v>2.1275314723590584</v>
      </c>
      <c r="D584" s="42">
        <f t="shared" si="89"/>
        <v>24.889263404688851</v>
      </c>
      <c r="E584" s="47">
        <v>7.7</v>
      </c>
      <c r="F584" s="46">
        <f t="shared" si="90"/>
        <v>20.198412698412696</v>
      </c>
      <c r="G584" s="85">
        <v>2.1930000000000001</v>
      </c>
      <c r="H584" s="42">
        <f t="shared" si="81"/>
        <v>1.716642914552639</v>
      </c>
      <c r="I584" s="47">
        <f t="shared" si="82"/>
        <v>145</v>
      </c>
      <c r="J584" s="41">
        <f t="shared" si="88"/>
        <v>1.9851983213885035E-2</v>
      </c>
      <c r="K584" s="41">
        <f t="shared" si="83"/>
        <v>0</v>
      </c>
      <c r="L584" s="41">
        <f t="shared" si="84"/>
        <v>-1.9851983213885035E-2</v>
      </c>
    </row>
    <row r="585" spans="1:12">
      <c r="A585" s="47">
        <f t="shared" si="87"/>
        <v>20</v>
      </c>
      <c r="B585" s="47">
        <v>726.3</v>
      </c>
      <c r="C585" s="41">
        <f t="shared" si="85"/>
        <v>1.9876847290640394</v>
      </c>
      <c r="D585" s="42">
        <f t="shared" si="89"/>
        <v>24.869411421474965</v>
      </c>
      <c r="E585" s="47">
        <v>7.7</v>
      </c>
      <c r="F585" s="46">
        <f t="shared" si="90"/>
        <v>18.210727969348657</v>
      </c>
      <c r="G585" s="85">
        <v>2.1930000000000001</v>
      </c>
      <c r="H585" s="42">
        <f t="shared" si="81"/>
        <v>1.5477115753697133</v>
      </c>
      <c r="I585" s="47">
        <f t="shared" si="82"/>
        <v>145</v>
      </c>
      <c r="J585" s="41">
        <f t="shared" si="88"/>
        <v>1.6386361832509692E-2</v>
      </c>
      <c r="K585" s="41">
        <f t="shared" si="83"/>
        <v>0</v>
      </c>
      <c r="L585" s="41">
        <f t="shared" si="84"/>
        <v>-1.6386361832509692E-2</v>
      </c>
    </row>
    <row r="586" spans="1:12">
      <c r="A586" s="47">
        <f t="shared" si="87"/>
        <v>21</v>
      </c>
      <c r="B586" s="47">
        <v>675.3</v>
      </c>
      <c r="C586" s="41">
        <f t="shared" si="85"/>
        <v>1.8481116584564858</v>
      </c>
      <c r="D586" s="42">
        <f t="shared" si="89"/>
        <v>24.853025059642455</v>
      </c>
      <c r="E586" s="47">
        <v>7.7</v>
      </c>
      <c r="F586" s="46">
        <f t="shared" si="90"/>
        <v>16.362616310892172</v>
      </c>
      <c r="G586" s="85">
        <v>2.1930000000000001</v>
      </c>
      <c r="H586" s="42">
        <f t="shared" si="81"/>
        <v>1.3906424120071503</v>
      </c>
      <c r="I586" s="47">
        <f t="shared" si="82"/>
        <v>145</v>
      </c>
      <c r="J586" s="41">
        <f t="shared" si="88"/>
        <v>1.3440383314082913E-2</v>
      </c>
      <c r="K586" s="41">
        <f t="shared" si="83"/>
        <v>0</v>
      </c>
      <c r="L586" s="41">
        <f t="shared" si="84"/>
        <v>-1.3440383314082913E-2</v>
      </c>
    </row>
    <row r="587" spans="1:12">
      <c r="A587" s="47">
        <f t="shared" si="87"/>
        <v>22</v>
      </c>
      <c r="B587" s="47">
        <v>624.20000000000005</v>
      </c>
      <c r="C587" s="41">
        <f t="shared" si="85"/>
        <v>1.7082649151614671</v>
      </c>
      <c r="D587" s="42">
        <f t="shared" si="89"/>
        <v>24.839584676328371</v>
      </c>
      <c r="E587" s="47">
        <v>7.7</v>
      </c>
      <c r="F587" s="46">
        <f t="shared" si="90"/>
        <v>14.654351395730705</v>
      </c>
      <c r="G587" s="85">
        <v>2.1930000000000001</v>
      </c>
      <c r="H587" s="42">
        <f t="shared" si="81"/>
        <v>1.2454586836332247</v>
      </c>
      <c r="I587" s="47">
        <f t="shared" si="82"/>
        <v>145</v>
      </c>
      <c r="J587" s="41">
        <f t="shared" si="88"/>
        <v>1.095787932618931E-2</v>
      </c>
      <c r="K587" s="41">
        <f t="shared" si="83"/>
        <v>0</v>
      </c>
      <c r="L587" s="41">
        <f t="shared" si="84"/>
        <v>-1.095787932618931E-2</v>
      </c>
    </row>
    <row r="588" spans="1:12">
      <c r="A588" s="47">
        <f t="shared" si="87"/>
        <v>23</v>
      </c>
      <c r="B588" s="47">
        <v>573.1</v>
      </c>
      <c r="C588" s="41">
        <f t="shared" si="85"/>
        <v>1.5684181718664478</v>
      </c>
      <c r="D588" s="42">
        <f t="shared" si="89"/>
        <v>24.828626797002183</v>
      </c>
      <c r="E588" s="47">
        <v>7.7</v>
      </c>
      <c r="F588" s="46">
        <f t="shared" si="90"/>
        <v>13.085933223864258</v>
      </c>
      <c r="G588" s="85">
        <v>2.1930000000000001</v>
      </c>
      <c r="H588" s="42">
        <f t="shared" si="81"/>
        <v>1.1121603902479369</v>
      </c>
      <c r="I588" s="47">
        <f t="shared" si="82"/>
        <v>145</v>
      </c>
      <c r="J588" s="41">
        <f t="shared" si="88"/>
        <v>8.8854345453619234E-3</v>
      </c>
      <c r="K588" s="41">
        <f t="shared" si="83"/>
        <v>0</v>
      </c>
      <c r="L588" s="41">
        <f t="shared" si="84"/>
        <v>-8.8854345453619234E-3</v>
      </c>
    </row>
    <row r="589" spans="1:12">
      <c r="A589" s="47">
        <f t="shared" si="87"/>
        <v>24</v>
      </c>
      <c r="B589" s="47">
        <v>522.1</v>
      </c>
      <c r="C589" s="41">
        <f t="shared" si="85"/>
        <v>1.4288451012588943</v>
      </c>
      <c r="D589" s="42">
        <f t="shared" si="89"/>
        <v>24.819741362456821</v>
      </c>
      <c r="E589" s="47">
        <v>7.7</v>
      </c>
      <c r="F589" s="46">
        <f t="shared" si="90"/>
        <v>11.657088122605364</v>
      </c>
      <c r="G589" s="85">
        <v>2.1930000000000001</v>
      </c>
      <c r="H589" s="42">
        <f t="shared" si="81"/>
        <v>0.99072427268301155</v>
      </c>
      <c r="I589" s="47">
        <f t="shared" si="82"/>
        <v>145</v>
      </c>
      <c r="J589" s="41">
        <f t="shared" si="88"/>
        <v>7.1726756980289878E-3</v>
      </c>
      <c r="K589" s="41">
        <f t="shared" si="83"/>
        <v>0</v>
      </c>
      <c r="L589" s="41">
        <f t="shared" si="84"/>
        <v>-7.1726756980289878E-3</v>
      </c>
    </row>
    <row r="590" spans="1:12">
      <c r="A590" s="47">
        <f t="shared" si="87"/>
        <v>25</v>
      </c>
      <c r="B590" s="47">
        <v>471</v>
      </c>
      <c r="C590" s="41">
        <f t="shared" si="85"/>
        <v>1.2889983579638753</v>
      </c>
      <c r="D590" s="42">
        <f t="shared" si="89"/>
        <v>24.812568686758791</v>
      </c>
      <c r="E590" s="47">
        <v>7.7</v>
      </c>
      <c r="F590" s="46">
        <f t="shared" si="90"/>
        <v>10.368089764641489</v>
      </c>
      <c r="G590" s="85">
        <v>2.1930000000000001</v>
      </c>
      <c r="H590" s="42">
        <f t="shared" si="81"/>
        <v>0.88117359010672358</v>
      </c>
      <c r="I590" s="47">
        <f t="shared" si="82"/>
        <v>145</v>
      </c>
      <c r="J590" s="41">
        <f t="shared" si="88"/>
        <v>5.7733840795752105E-3</v>
      </c>
      <c r="K590" s="41">
        <f t="shared" si="83"/>
        <v>0</v>
      </c>
      <c r="L590" s="41">
        <f t="shared" si="84"/>
        <v>-5.7733840795752105E-3</v>
      </c>
    </row>
    <row r="591" spans="1:12">
      <c r="A591" s="47">
        <f t="shared" si="87"/>
        <v>26</v>
      </c>
      <c r="B591" s="47">
        <v>420</v>
      </c>
      <c r="C591" s="41">
        <f t="shared" si="85"/>
        <v>1.149425287356322</v>
      </c>
      <c r="D591" s="42">
        <f t="shared" si="89"/>
        <v>24.806795302679216</v>
      </c>
      <c r="E591" s="47">
        <v>7.7</v>
      </c>
      <c r="F591" s="46">
        <f t="shared" si="90"/>
        <v>9.2186644772851665</v>
      </c>
      <c r="G591" s="85">
        <v>2.1930000000000001</v>
      </c>
      <c r="H591" s="42">
        <f t="shared" si="81"/>
        <v>0.78348508335079803</v>
      </c>
      <c r="I591" s="47">
        <f t="shared" si="82"/>
        <v>145</v>
      </c>
      <c r="J591" s="41">
        <f t="shared" si="88"/>
        <v>4.6443134170405442E-3</v>
      </c>
      <c r="K591" s="41">
        <f t="shared" si="83"/>
        <v>0</v>
      </c>
      <c r="L591" s="41">
        <f t="shared" si="84"/>
        <v>-4.6443134170405442E-3</v>
      </c>
    </row>
    <row r="592" spans="1:12">
      <c r="A592" s="47">
        <f t="shared" si="87"/>
        <v>27</v>
      </c>
      <c r="B592" s="47">
        <v>368.9</v>
      </c>
      <c r="C592" s="41">
        <f t="shared" si="85"/>
        <v>1.0095785440613028</v>
      </c>
      <c r="D592" s="42">
        <f t="shared" si="89"/>
        <v>24.802150989262177</v>
      </c>
      <c r="E592" s="47">
        <v>7.7</v>
      </c>
      <c r="F592" s="46">
        <f t="shared" si="90"/>
        <v>8.2090859332238644</v>
      </c>
      <c r="G592" s="85">
        <v>2.1930000000000001</v>
      </c>
      <c r="H592" s="42">
        <f t="shared" si="81"/>
        <v>0.69768201158351018</v>
      </c>
      <c r="I592" s="47">
        <f t="shared" si="82"/>
        <v>145</v>
      </c>
      <c r="J592" s="41">
        <f t="shared" si="88"/>
        <v>3.7465397185108659E-3</v>
      </c>
      <c r="K592" s="41">
        <f t="shared" si="83"/>
        <v>0</v>
      </c>
      <c r="L592" s="41">
        <f t="shared" si="84"/>
        <v>-3.7465397185108659E-3</v>
      </c>
    </row>
    <row r="593" spans="1:12">
      <c r="A593" s="47">
        <f t="shared" si="87"/>
        <v>28</v>
      </c>
      <c r="B593" s="47">
        <v>317.8</v>
      </c>
      <c r="C593" s="41">
        <f t="shared" si="85"/>
        <v>0.86973180076628354</v>
      </c>
      <c r="D593" s="42">
        <f t="shared" si="89"/>
        <v>24.798404449543668</v>
      </c>
      <c r="E593" s="47">
        <v>7.7</v>
      </c>
      <c r="F593" s="46">
        <f t="shared" si="90"/>
        <v>7.3393541324575811</v>
      </c>
      <c r="G593" s="85">
        <v>2.1930000000000001</v>
      </c>
      <c r="H593" s="42">
        <f t="shared" si="81"/>
        <v>0.6237643748048598</v>
      </c>
      <c r="I593" s="47">
        <f t="shared" si="82"/>
        <v>145</v>
      </c>
      <c r="J593" s="41">
        <f t="shared" si="88"/>
        <v>3.0447714167898387E-3</v>
      </c>
      <c r="K593" s="41">
        <f t="shared" si="83"/>
        <v>0</v>
      </c>
      <c r="L593" s="41">
        <f t="shared" si="84"/>
        <v>-3.0447714167898387E-3</v>
      </c>
    </row>
    <row r="594" spans="1:12">
      <c r="A594" s="47">
        <f t="shared" si="87"/>
        <v>29</v>
      </c>
      <c r="B594" s="47">
        <v>289.7</v>
      </c>
      <c r="C594" s="41">
        <f t="shared" si="85"/>
        <v>0.79282977558839629</v>
      </c>
      <c r="D594" s="42">
        <f t="shared" si="89"/>
        <v>24.795359678126879</v>
      </c>
      <c r="E594" s="47">
        <v>7.7</v>
      </c>
      <c r="F594" s="46">
        <f t="shared" si="90"/>
        <v>6.5465243568691847</v>
      </c>
      <c r="G594" s="85">
        <v>2.1930000000000001</v>
      </c>
      <c r="H594" s="42">
        <f t="shared" si="81"/>
        <v>0.55638256431154631</v>
      </c>
      <c r="I594" s="47">
        <f t="shared" si="82"/>
        <v>145</v>
      </c>
      <c r="J594" s="41">
        <f t="shared" si="88"/>
        <v>2.4638164322902845E-3</v>
      </c>
      <c r="K594" s="41">
        <f t="shared" si="83"/>
        <v>0</v>
      </c>
      <c r="L594" s="41">
        <f t="shared" si="84"/>
        <v>-2.4638164322902845E-3</v>
      </c>
    </row>
    <row r="595" spans="1:12">
      <c r="A595" s="47">
        <f t="shared" si="87"/>
        <v>30</v>
      </c>
      <c r="B595" s="47">
        <v>270.5</v>
      </c>
      <c r="C595" s="41">
        <f t="shared" si="85"/>
        <v>0.7402846195949645</v>
      </c>
      <c r="D595" s="42">
        <f t="shared" si="89"/>
        <v>24.792895861694589</v>
      </c>
      <c r="E595" s="47">
        <v>7.7</v>
      </c>
      <c r="F595" s="46">
        <f t="shared" si="90"/>
        <v>5.80623973727422</v>
      </c>
      <c r="G595" s="85">
        <v>2.1930000000000001</v>
      </c>
      <c r="H595" s="42">
        <f t="shared" si="81"/>
        <v>0.49346651412707526</v>
      </c>
      <c r="I595" s="47">
        <f t="shared" si="82"/>
        <v>145</v>
      </c>
      <c r="J595" s="41">
        <f t="shared" si="88"/>
        <v>1.9728308053720855E-3</v>
      </c>
      <c r="K595" s="41">
        <f t="shared" si="83"/>
        <v>0</v>
      </c>
      <c r="L595" s="41">
        <f t="shared" si="84"/>
        <v>-1.9728308053720855E-3</v>
      </c>
    </row>
    <row r="596" spans="1:12">
      <c r="F596" s="13"/>
    </row>
    <row r="597" spans="1:12">
      <c r="C597" s="57" t="s">
        <v>124</v>
      </c>
      <c r="D597" s="62">
        <f>MIN(D581:D595,D564:D579)</f>
        <v>24.792895861694589</v>
      </c>
      <c r="E597" t="s">
        <v>199</v>
      </c>
    </row>
    <row r="598" spans="1:12">
      <c r="C598" s="57" t="s">
        <v>125</v>
      </c>
      <c r="D598" s="62">
        <f>MAX(D581:D595,D565:D579)</f>
        <v>25</v>
      </c>
      <c r="E598" t="s">
        <v>199</v>
      </c>
    </row>
    <row r="599" spans="1:12" ht="30">
      <c r="C599" s="44" t="s">
        <v>194</v>
      </c>
      <c r="D599" s="62">
        <f>AVERAGE(D581:D595,D565:D579)</f>
        <v>24.854599801556489</v>
      </c>
    </row>
    <row r="600" spans="1:12" ht="22.5" customHeight="1">
      <c r="B600" s="123" t="s">
        <v>193</v>
      </c>
      <c r="C600" s="123"/>
      <c r="D600" s="62">
        <f>SUM(C581:C595,C565:C579)</f>
        <v>49.573891625615765</v>
      </c>
    </row>
    <row r="601" spans="1:12" ht="32.25" customHeight="1">
      <c r="B601" s="123" t="s">
        <v>195</v>
      </c>
      <c r="C601" s="123"/>
      <c r="D601" s="65">
        <f>SUM(E565:E579)</f>
        <v>121.00000000000003</v>
      </c>
    </row>
  </sheetData>
  <mergeCells count="2">
    <mergeCell ref="B601:C601"/>
    <mergeCell ref="B600:C600"/>
  </mergeCells>
  <printOptions headings="1" gridLines="1"/>
  <pageMargins left="1" right="0" top="1" bottom="0" header="0.5" footer="0"/>
  <pageSetup scale="80" firstPageNumber="42" orientation="portrait" useFirstPageNumber="1" r:id="rId1"/>
  <headerFooter>
    <oddHeader>&amp;R&amp;P</oddHeader>
  </headerFooter>
  <drawing r:id="rId2"/>
</worksheet>
</file>

<file path=xl/worksheets/sheet13.xml><?xml version="1.0" encoding="utf-8"?>
<worksheet xmlns="http://schemas.openxmlformats.org/spreadsheetml/2006/main" xmlns:r="http://schemas.openxmlformats.org/officeDocument/2006/relationships">
  <dimension ref="A1:G24"/>
  <sheetViews>
    <sheetView workbookViewId="0">
      <selection activeCell="I32" sqref="I32"/>
    </sheetView>
  </sheetViews>
  <sheetFormatPr defaultRowHeight="15"/>
  <sheetData>
    <row r="1" spans="1:7">
      <c r="A1" s="35" t="s">
        <v>137</v>
      </c>
    </row>
    <row r="3" spans="1:7">
      <c r="A3" s="36" t="s">
        <v>138</v>
      </c>
    </row>
    <row r="4" spans="1:7">
      <c r="A4" s="35"/>
    </row>
    <row r="5" spans="1:7">
      <c r="A5" s="35"/>
    </row>
    <row r="10" spans="1:7">
      <c r="A10" s="36" t="s">
        <v>139</v>
      </c>
    </row>
    <row r="11" spans="1:7" ht="60" customHeight="1">
      <c r="A11" s="124" t="s">
        <v>140</v>
      </c>
      <c r="B11" s="126" t="s">
        <v>141</v>
      </c>
      <c r="C11" s="127"/>
      <c r="D11" s="126" t="s">
        <v>142</v>
      </c>
      <c r="E11" s="127"/>
      <c r="F11" s="124" t="s">
        <v>143</v>
      </c>
      <c r="G11" s="124" t="s">
        <v>144</v>
      </c>
    </row>
    <row r="12" spans="1:7">
      <c r="A12" s="125"/>
      <c r="B12" s="37" t="s">
        <v>145</v>
      </c>
      <c r="C12" s="37" t="s">
        <v>146</v>
      </c>
      <c r="D12" s="37" t="s">
        <v>145</v>
      </c>
      <c r="E12" s="37" t="s">
        <v>146</v>
      </c>
      <c r="F12" s="125"/>
      <c r="G12" s="125"/>
    </row>
    <row r="13" spans="1:7">
      <c r="A13" s="38" t="s">
        <v>147</v>
      </c>
      <c r="B13" s="38">
        <v>0.625</v>
      </c>
      <c r="C13" s="38">
        <v>0.61499999999999999</v>
      </c>
      <c r="D13" s="38">
        <v>4.8000000000000001E-2</v>
      </c>
      <c r="E13" s="38">
        <v>4.2999999999999997E-2</v>
      </c>
      <c r="F13" s="38">
        <v>0.53</v>
      </c>
      <c r="G13" s="38">
        <v>66.5</v>
      </c>
    </row>
    <row r="14" spans="1:7">
      <c r="A14" s="38" t="s">
        <v>148</v>
      </c>
      <c r="B14" s="38">
        <v>0.625</v>
      </c>
      <c r="C14" s="38">
        <v>0.61499999999999999</v>
      </c>
      <c r="D14" s="38">
        <v>0.05</v>
      </c>
      <c r="E14" s="38">
        <v>4.4999999999999998E-2</v>
      </c>
      <c r="F14" s="38">
        <v>0.52500000000000002</v>
      </c>
      <c r="G14" s="38">
        <v>70.7</v>
      </c>
    </row>
    <row r="15" spans="1:7">
      <c r="A15" s="38" t="s">
        <v>149</v>
      </c>
      <c r="B15" s="38">
        <v>0.7</v>
      </c>
      <c r="C15" s="38">
        <v>0.69</v>
      </c>
      <c r="D15" s="38">
        <v>4.8000000000000001E-2</v>
      </c>
      <c r="E15" s="38">
        <v>4.2999999999999997E-2</v>
      </c>
      <c r="F15" s="38">
        <v>0.60499999999999998</v>
      </c>
      <c r="G15" s="38">
        <v>58.8</v>
      </c>
    </row>
    <row r="16" spans="1:7">
      <c r="A16" s="38" t="s">
        <v>150</v>
      </c>
      <c r="B16" s="38">
        <v>0.7</v>
      </c>
      <c r="C16" s="38">
        <v>0.69</v>
      </c>
      <c r="D16" s="38">
        <v>0.05</v>
      </c>
      <c r="E16" s="38">
        <v>4.4999999999999998E-2</v>
      </c>
      <c r="F16" s="38">
        <v>0.6</v>
      </c>
      <c r="G16" s="38">
        <v>62.5</v>
      </c>
    </row>
    <row r="17" spans="1:7">
      <c r="A17" s="38" t="s">
        <v>151</v>
      </c>
      <c r="B17" s="38">
        <v>0.7</v>
      </c>
      <c r="C17" s="38">
        <v>0.69</v>
      </c>
      <c r="D17" s="38">
        <v>5.5E-2</v>
      </c>
      <c r="E17" s="38">
        <v>0.05</v>
      </c>
      <c r="F17" s="38">
        <v>0.59</v>
      </c>
      <c r="G17" s="38">
        <v>70</v>
      </c>
    </row>
    <row r="18" spans="1:7">
      <c r="A18" s="38" t="s">
        <v>152</v>
      </c>
      <c r="B18" s="38">
        <v>0.72</v>
      </c>
      <c r="C18" s="38">
        <v>0.71</v>
      </c>
      <c r="D18" s="38">
        <v>4.8000000000000001E-2</v>
      </c>
      <c r="E18" s="38">
        <v>4.2999999999999997E-2</v>
      </c>
      <c r="F18" s="38">
        <v>0.625</v>
      </c>
      <c r="G18" s="38">
        <v>57</v>
      </c>
    </row>
    <row r="19" spans="1:7">
      <c r="A19" s="38" t="s">
        <v>153</v>
      </c>
      <c r="B19" s="38">
        <v>0.79500000000000004</v>
      </c>
      <c r="C19" s="38">
        <v>0.78500000000000003</v>
      </c>
      <c r="D19" s="38">
        <v>5.2999999999999999E-2</v>
      </c>
      <c r="E19" s="38">
        <v>4.8000000000000001E-2</v>
      </c>
      <c r="F19" s="38">
        <v>0.69</v>
      </c>
      <c r="G19" s="38">
        <v>57.1</v>
      </c>
    </row>
    <row r="20" spans="1:7">
      <c r="A20" s="38" t="s">
        <v>154</v>
      </c>
      <c r="B20" s="38">
        <v>0.83499999999999996</v>
      </c>
      <c r="C20" s="38">
        <v>0.82499999999999996</v>
      </c>
      <c r="D20" s="38">
        <v>5.2999999999999999E-2</v>
      </c>
      <c r="E20" s="38">
        <v>4.8000000000000001E-2</v>
      </c>
      <c r="F20" s="38">
        <v>0.73</v>
      </c>
      <c r="G20" s="38">
        <v>54.7</v>
      </c>
    </row>
    <row r="21" spans="1:7">
      <c r="A21" s="38" t="s">
        <v>155</v>
      </c>
      <c r="B21" s="38">
        <v>0.93500000000000005</v>
      </c>
      <c r="C21" s="38">
        <v>0.92300000000000004</v>
      </c>
      <c r="D21" s="38">
        <v>6.3E-2</v>
      </c>
      <c r="E21" s="38">
        <v>5.6000000000000001E-2</v>
      </c>
      <c r="F21" s="38">
        <v>0.81100000000000005</v>
      </c>
      <c r="G21" s="38">
        <v>57.4</v>
      </c>
    </row>
    <row r="22" spans="1:7">
      <c r="A22" s="38" t="s">
        <v>156</v>
      </c>
      <c r="B22" s="38">
        <v>0.93500000000000005</v>
      </c>
      <c r="C22" s="38">
        <v>0.92300000000000004</v>
      </c>
      <c r="D22" s="38">
        <v>5.8999999999999997E-2</v>
      </c>
      <c r="E22" s="38">
        <v>5.1999999999999998E-2</v>
      </c>
      <c r="F22" s="38">
        <v>0.81799999999999995</v>
      </c>
      <c r="G22" s="38">
        <v>53.5</v>
      </c>
    </row>
    <row r="23" spans="1:7">
      <c r="A23" s="38" t="s">
        <v>157</v>
      </c>
      <c r="B23" s="38">
        <v>1.1950000000000001</v>
      </c>
      <c r="C23" s="38">
        <v>1.181</v>
      </c>
      <c r="D23" s="38">
        <v>7.2999999999999995E-2</v>
      </c>
      <c r="E23" s="38">
        <v>6.6000000000000003E-2</v>
      </c>
      <c r="F23" s="38">
        <v>1.05</v>
      </c>
      <c r="G23" s="38">
        <v>52.6</v>
      </c>
    </row>
    <row r="24" spans="1:7">
      <c r="A24" s="38" t="s">
        <v>158</v>
      </c>
      <c r="B24" s="38">
        <v>1.1950000000000001</v>
      </c>
      <c r="C24" s="38">
        <v>1.181</v>
      </c>
      <c r="D24" s="38">
        <v>6.9000000000000006E-2</v>
      </c>
      <c r="E24" s="38">
        <v>6.2E-2</v>
      </c>
      <c r="F24" s="38">
        <v>1.0569999999999999</v>
      </c>
      <c r="G24" s="38">
        <v>49.6</v>
      </c>
    </row>
  </sheetData>
  <mergeCells count="5">
    <mergeCell ref="A11:A12"/>
    <mergeCell ref="B11:C11"/>
    <mergeCell ref="D11:E11"/>
    <mergeCell ref="F11:F12"/>
    <mergeCell ref="G11:G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Design</vt:lpstr>
      <vt:lpstr>Block 1</vt:lpstr>
      <vt:lpstr>Block 2</vt:lpstr>
      <vt:lpstr>Block 3</vt:lpstr>
      <vt:lpstr>Block 4</vt:lpstr>
      <vt:lpstr>Block 5</vt:lpstr>
      <vt:lpstr>Block 6</vt:lpstr>
      <vt:lpstr>Block 7</vt:lpstr>
      <vt:lpstr>Block 8</vt:lpstr>
      <vt:lpstr>Block 9</vt:lpstr>
      <vt:lpstr>Block 10</vt:lpstr>
      <vt:lpstr>Block 6 Readjustment</vt:lpstr>
      <vt:lpstr>Hose Diameters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Cal Poly User</cp:lastModifiedBy>
  <cp:lastPrinted>2010-06-03T17:41:38Z</cp:lastPrinted>
  <dcterms:created xsi:type="dcterms:W3CDTF">2010-04-20T19:53:02Z</dcterms:created>
  <dcterms:modified xsi:type="dcterms:W3CDTF">2010-06-04T21:37:15Z</dcterms:modified>
</cp:coreProperties>
</file>