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8040" yWindow="1080" windowWidth="20720" windowHeight="15340" tabRatio="500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I74" i="1"/>
  <c r="I73"/>
  <c r="I72"/>
  <c r="I71"/>
  <c r="I70"/>
  <c r="I69"/>
  <c r="I68"/>
  <c r="I67"/>
  <c r="I66"/>
  <c r="I65"/>
  <c r="I64"/>
  <c r="I63"/>
  <c r="I62"/>
  <c r="I61"/>
  <c r="I60"/>
  <c r="I59"/>
  <c r="I58"/>
  <c r="I57"/>
  <c r="I56"/>
  <c r="I55"/>
  <c r="I54"/>
  <c r="I53"/>
  <c r="I52"/>
  <c r="I51"/>
  <c r="I50"/>
  <c r="I49"/>
  <c r="I48"/>
  <c r="I47"/>
  <c r="I46"/>
  <c r="I45"/>
  <c r="I44"/>
  <c r="I43"/>
  <c r="I42"/>
  <c r="I41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I9"/>
  <c r="I8"/>
  <c r="I7"/>
  <c r="I6"/>
  <c r="I5"/>
  <c r="I4"/>
  <c r="I3"/>
  <c r="I2"/>
</calcChain>
</file>

<file path=xl/sharedStrings.xml><?xml version="1.0" encoding="utf-8"?>
<sst xmlns="http://schemas.openxmlformats.org/spreadsheetml/2006/main" count="363" uniqueCount="76">
  <si>
    <t>OTOP1,TMEM128,LYAR,ZBTB49,D4S234E,STX18,MSX1,CYTL1,STK32B,C4orf6,EVC2,EVC,CRMP1,JAKMIP1,WFS1,PPP2R2C,MAN2B2,MRFAP1,LOC93622,S100P,MRFAP1L1,CNO,KIAA0232,TBC1D14,LOC100129931,CCDC96,TADA2B,GRPEL1,FLJ36777,SORCS2,PSAPL1,MIR4274,AFAP1AS,AFAP1</t>
  </si>
  <si>
    <t>FISH dup(4)(p16.1)</t>
  </si>
  <si>
    <t>RP11-89K12++</t>
  </si>
  <si>
    <t>CC2D2B</t>
  </si>
  <si>
    <t>AGBL2</t>
  </si>
  <si>
    <t>PTPRJ, OR4B1, OR4X2, OR4X1, OR4C3, OR4C3, OR4C45</t>
  </si>
  <si>
    <t>RABGAP1L</t>
  </si>
  <si>
    <t>EDARADD</t>
  </si>
  <si>
    <t>PLA2G12A, CFI</t>
  </si>
  <si>
    <t>BC041448</t>
  </si>
  <si>
    <t>GTF3C6, BXDC1</t>
  </si>
  <si>
    <t>AK128161, C8orf83</t>
  </si>
  <si>
    <t>ASTN2</t>
  </si>
  <si>
    <t>CACNA1C</t>
  </si>
  <si>
    <t>VAT1L</t>
  </si>
  <si>
    <t>Hs00614751_cn</t>
  </si>
  <si>
    <t>SPAG9</t>
  </si>
  <si>
    <t>x</t>
  </si>
  <si>
    <t>Cohort Subgroup</t>
  </si>
  <si>
    <t>Family ID</t>
  </si>
  <si>
    <t>Individual ID</t>
  </si>
  <si>
    <t>Copy Number State</t>
  </si>
  <si>
    <t>Loss/Gain</t>
  </si>
  <si>
    <t>Chr</t>
  </si>
  <si>
    <t>Start</t>
  </si>
  <si>
    <t>END</t>
  </si>
  <si>
    <t>SIZE_KB</t>
  </si>
  <si>
    <t>Mode of Transmission</t>
  </si>
  <si>
    <t>Refseq Genename</t>
  </si>
  <si>
    <t>Independent Confirmation Method and FiSH description</t>
  </si>
  <si>
    <t>Used Probe ID</t>
  </si>
  <si>
    <t>Affected LS-CHD</t>
  </si>
  <si>
    <t>Gain</t>
  </si>
  <si>
    <t>de novo</t>
  </si>
  <si>
    <t>LIX1L,RBM8A,GNRHR2,PEX11B,ITGA10,ANKRD35,PIAS3,NUDT17,POLR3C,RNF115,CD160,PDZK1,GPR89A,GPR89C,PDZK1P1,NBPF11,NBPF24</t>
  </si>
  <si>
    <t>QPCR</t>
  </si>
  <si>
    <t>Hs01569494_cn</t>
  </si>
  <si>
    <t>BOLA3, MOBL1B, MTHFD2, SLC4A5</t>
  </si>
  <si>
    <t>Hs00538426_cn</t>
  </si>
  <si>
    <t>CTHRC1, SLC25A32, DCAF13, RIMS2</t>
  </si>
  <si>
    <t>Hs02243422_cn</t>
  </si>
  <si>
    <t>Loss</t>
  </si>
  <si>
    <t>none</t>
  </si>
  <si>
    <t>FISH (del(11)(p12))</t>
  </si>
  <si>
    <t>RP11-97G22</t>
  </si>
  <si>
    <t>ADORA2B,ZSWIM7,TTC19,NCOR1,PIGL,MIR1288,CENPV,UBB,TRPV2,NCRNA00188,SNORD49B,SNORD49A,SNORD65,C17orf76,ZNF287,ZNF624,CCDC144A,LOC162632,FAM106C,KRT16P2,TNFRSF13B,MPRIP,PLD6,FLCN,COPS3,NT5M,MED9,RASD1,PEMT,RAI1,SMCR5,SREBF1,MIR33B,TOM1L2,LRRC48,ATPAF2,C17orf39,DRG2,MYO15A,ALKBH5,LLGL1,FLII,SMCR7,TOP3A,SMCR8,SHMT1,EVPLL,LOC339240,LGALS9C,LOC220594,FAM106A,CCDC144B,TBC1D28,ZNF286B,FOXO3B,TRIM16L,FBXW10,FAM18B,PRPSAP2,SLC5A10,FAM83G,GRAP,GRAPL,EPN2,B9D1,MIR1180,MAPK7,MFAP4,RNF112,SLC47A1,SNORA59A,SNORA59B,ALDH3A2,SLC47A2,ALDH3A1,ULK2,AKAP10,CYTSB,CCDC144C,LGALS9B,KRT16P3,CDRT15L2</t>
  </si>
  <si>
    <t>QPCR/FISH dup(17)(p11.2)</t>
  </si>
  <si>
    <t>Hs02551777_cn, SMS++</t>
  </si>
  <si>
    <t>X</t>
  </si>
  <si>
    <t>PLCXD1,PPP2R3B,SHOX,CRLF2,CSF2RA,IL3RA,SLC25A6,ASMTLAS,ASMTL,P2RY8,SFRS17A,ASMT,DHRSX,ZBED1,NCRNA00103,CD99,XG,XGPY2,GYG2</t>
  </si>
  <si>
    <t>N/A</t>
  </si>
  <si>
    <t>IQSEC2, SMC1A, RIBC1, HSD17B10</t>
  </si>
  <si>
    <t>QPCR/FiSH ins(X;9)(p11.22;q12)</t>
  </si>
  <si>
    <t>Hs01754886_cn, RP11-52N6+</t>
  </si>
  <si>
    <t>inherited</t>
  </si>
  <si>
    <t>LIMS1</t>
  </si>
  <si>
    <t>Hs02848736_cn</t>
  </si>
  <si>
    <t>NGEF</t>
  </si>
  <si>
    <t>Hs00651977_cn</t>
  </si>
  <si>
    <t>Parp14, HSPBAP1, DIRC2, SEMA5B</t>
  </si>
  <si>
    <t>Hs01755081_cn</t>
  </si>
  <si>
    <t>Hs06707014_cn</t>
  </si>
  <si>
    <t>NDUFAF2, C5orf43</t>
  </si>
  <si>
    <t>GMDS</t>
  </si>
  <si>
    <t>Hs04886930_cn</t>
  </si>
  <si>
    <t>BC040327</t>
  </si>
  <si>
    <t>PXDNL</t>
  </si>
  <si>
    <t>Hs03040889_cn</t>
  </si>
  <si>
    <t>C8orf47, HRSP12, POP1</t>
  </si>
  <si>
    <t>GJA3</t>
  </si>
  <si>
    <t>Hs01210797_cn</t>
  </si>
  <si>
    <t>TPP2, C13orf39, C13orf40, C13orf27, KDELC1, BIVM, ERCC5</t>
  </si>
  <si>
    <t>Hs00678783_cn</t>
  </si>
  <si>
    <t>OR6S1, ANG, RNASE4</t>
  </si>
  <si>
    <t>Hs02296376_cn</t>
  </si>
  <si>
    <t>BC016970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</si>
</sst>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5">
    <font>
      <sz val="10"/>
      <name val="Verdana"/>
    </font>
    <font>
      <sz val="8"/>
      <name val="Verdana"/>
    </font>
    <font>
      <b/>
      <sz val="8"/>
      <name val="Arial"/>
      <family val="2"/>
    </font>
    <font>
      <sz val="8"/>
      <name val="Arial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2" fillId="0" borderId="0" xfId="0" applyNumberFormat="1" applyFont="1" applyBorder="1" applyAlignment="1" applyProtection="1">
      <alignment horizontal="center" vertical="center" wrapText="1"/>
    </xf>
    <xf numFmtId="0" fontId="3" fillId="0" borderId="0" xfId="0" applyNumberFormat="1" applyFont="1" applyBorder="1" applyAlignment="1">
      <alignment horizontal="center" vertical="center" wrapText="1"/>
    </xf>
    <xf numFmtId="1" fontId="3" fillId="0" borderId="0" xfId="0" applyNumberFormat="1" applyFont="1" applyBorder="1" applyAlignment="1">
      <alignment horizontal="center" vertical="center" wrapText="1"/>
    </xf>
    <xf numFmtId="0" fontId="3" fillId="0" borderId="0" xfId="0" applyNumberFormat="1" applyFont="1" applyBorder="1" applyAlignment="1"/>
    <xf numFmtId="1" fontId="3" fillId="0" borderId="0" xfId="0" applyNumberFormat="1" applyFont="1" applyBorder="1" applyAlignment="1" applyProtection="1">
      <alignment horizontal="center" vertical="center" wrapText="1"/>
    </xf>
    <xf numFmtId="1" fontId="3" fillId="0" borderId="0" xfId="0" applyNumberFormat="1" applyFont="1" applyBorder="1" applyAlignment="1" applyProtection="1">
      <alignment horizontal="center" vertical="center"/>
    </xf>
    <xf numFmtId="1" fontId="4" fillId="0" borderId="0" xfId="0" applyNumberFormat="1" applyFont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AMJ74"/>
  <sheetViews>
    <sheetView tabSelected="1" view="pageLayout" workbookViewId="0">
      <selection sqref="A1:XFD1048576"/>
    </sheetView>
  </sheetViews>
  <sheetFormatPr baseColWidth="10" defaultColWidth="7.5703125" defaultRowHeight="13"/>
  <sheetData>
    <row r="1" spans="1:1024" ht="60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</row>
    <row r="2" spans="1:1024" ht="130">
      <c r="A2" s="2" t="s">
        <v>31</v>
      </c>
      <c r="B2" s="2">
        <v>54</v>
      </c>
      <c r="C2" s="2">
        <v>390</v>
      </c>
      <c r="D2" s="2">
        <v>3</v>
      </c>
      <c r="E2" s="2" t="s">
        <v>32</v>
      </c>
      <c r="F2" s="2">
        <v>1</v>
      </c>
      <c r="G2" s="2">
        <v>144191802</v>
      </c>
      <c r="H2" s="2">
        <v>144946222</v>
      </c>
      <c r="I2" s="3">
        <f>(H2-G2)/1000</f>
        <v>754.42</v>
      </c>
      <c r="J2" s="3" t="s">
        <v>33</v>
      </c>
      <c r="K2" s="2" t="s">
        <v>34</v>
      </c>
      <c r="L2" s="2" t="s">
        <v>35</v>
      </c>
      <c r="M2" s="2" t="s">
        <v>36</v>
      </c>
      <c r="AMJ2" s="4"/>
    </row>
    <row r="3" spans="1:1024" ht="40">
      <c r="A3" s="5" t="s">
        <v>31</v>
      </c>
      <c r="B3" s="5">
        <v>79</v>
      </c>
      <c r="C3" s="5">
        <v>834</v>
      </c>
      <c r="D3" s="5">
        <v>3</v>
      </c>
      <c r="E3" s="5" t="s">
        <v>32</v>
      </c>
      <c r="F3" s="5">
        <v>2</v>
      </c>
      <c r="G3" s="5">
        <v>74218356</v>
      </c>
      <c r="H3" s="5">
        <v>74330695</v>
      </c>
      <c r="I3" s="5">
        <f>(H3-G3)/1000</f>
        <v>112.339</v>
      </c>
      <c r="J3" s="5" t="s">
        <v>33</v>
      </c>
      <c r="K3" s="5" t="s">
        <v>37</v>
      </c>
      <c r="L3" s="5" t="s">
        <v>35</v>
      </c>
      <c r="M3" s="5" t="s">
        <v>38</v>
      </c>
    </row>
    <row r="4" spans="1:1024" ht="40">
      <c r="A4" s="5" t="s">
        <v>31</v>
      </c>
      <c r="B4" s="5">
        <v>34</v>
      </c>
      <c r="C4" s="5">
        <v>243</v>
      </c>
      <c r="D4" s="5">
        <v>3</v>
      </c>
      <c r="E4" s="5" t="s">
        <v>32</v>
      </c>
      <c r="F4" s="5">
        <v>8</v>
      </c>
      <c r="G4" s="5">
        <v>104431363</v>
      </c>
      <c r="H4" s="5">
        <v>104947521</v>
      </c>
      <c r="I4" s="5">
        <f>(H4-G4)/1000</f>
        <v>516.15800000000002</v>
      </c>
      <c r="J4" s="5" t="s">
        <v>33</v>
      </c>
      <c r="K4" s="5" t="s">
        <v>39</v>
      </c>
      <c r="L4" s="5" t="s">
        <v>35</v>
      </c>
      <c r="M4" s="5" t="s">
        <v>40</v>
      </c>
    </row>
    <row r="5" spans="1:1024" ht="30">
      <c r="A5" s="5" t="s">
        <v>31</v>
      </c>
      <c r="B5" s="5">
        <v>65</v>
      </c>
      <c r="C5" s="5">
        <v>679</v>
      </c>
      <c r="D5" s="5">
        <v>1</v>
      </c>
      <c r="E5" s="5" t="s">
        <v>41</v>
      </c>
      <c r="F5" s="5">
        <v>11</v>
      </c>
      <c r="G5" s="5">
        <v>42726476</v>
      </c>
      <c r="H5" s="5">
        <v>42976567</v>
      </c>
      <c r="I5" s="5">
        <f>(H5-G5)/1000</f>
        <v>250.09100000000001</v>
      </c>
      <c r="J5" s="5" t="s">
        <v>33</v>
      </c>
      <c r="K5" s="5" t="s">
        <v>42</v>
      </c>
      <c r="L5" s="5" t="s">
        <v>43</v>
      </c>
      <c r="M5" s="5" t="s">
        <v>44</v>
      </c>
    </row>
    <row r="6" spans="1:1024" ht="409.5">
      <c r="A6" s="5" t="s">
        <v>31</v>
      </c>
      <c r="B6" s="5">
        <v>8</v>
      </c>
      <c r="C6" s="5">
        <v>607</v>
      </c>
      <c r="D6" s="5">
        <v>3</v>
      </c>
      <c r="E6" s="5" t="s">
        <v>32</v>
      </c>
      <c r="F6" s="5">
        <v>17</v>
      </c>
      <c r="G6" s="5">
        <v>15694406</v>
      </c>
      <c r="H6" s="5">
        <v>20495220</v>
      </c>
      <c r="I6" s="5">
        <f>((H6-G6)/1000)</f>
        <v>4800.8140000000003</v>
      </c>
      <c r="J6" s="5" t="s">
        <v>33</v>
      </c>
      <c r="K6" s="5" t="s">
        <v>45</v>
      </c>
      <c r="L6" s="5" t="s">
        <v>46</v>
      </c>
      <c r="M6" s="5" t="s">
        <v>47</v>
      </c>
    </row>
    <row r="7" spans="1:1024" ht="130">
      <c r="A7" s="5" t="s">
        <v>31</v>
      </c>
      <c r="B7" s="5">
        <v>4</v>
      </c>
      <c r="C7" s="5">
        <v>26</v>
      </c>
      <c r="D7" s="5">
        <v>1</v>
      </c>
      <c r="E7" s="5" t="s">
        <v>41</v>
      </c>
      <c r="F7" s="5" t="s">
        <v>48</v>
      </c>
      <c r="G7" s="5">
        <v>108477</v>
      </c>
      <c r="H7" s="5">
        <v>2821400</v>
      </c>
      <c r="I7" s="5">
        <f>(H7-G7)/1000</f>
        <v>2712.9229999999998</v>
      </c>
      <c r="J7" s="5" t="s">
        <v>33</v>
      </c>
      <c r="K7" s="5" t="s">
        <v>49</v>
      </c>
    </row>
    <row r="8" spans="1:1024" ht="40">
      <c r="A8" s="5" t="s">
        <v>31</v>
      </c>
      <c r="B8" s="5">
        <v>5</v>
      </c>
      <c r="C8" s="5">
        <v>20</v>
      </c>
      <c r="D8" s="5">
        <v>2</v>
      </c>
      <c r="E8" s="5" t="s">
        <v>32</v>
      </c>
      <c r="F8" s="5" t="s">
        <v>48</v>
      </c>
      <c r="G8" s="5">
        <v>53335297</v>
      </c>
      <c r="H8" s="5">
        <v>53482009</v>
      </c>
      <c r="I8" s="5">
        <f>(H8-G8)/1000</f>
        <v>146.71199999999999</v>
      </c>
      <c r="J8" s="5" t="s">
        <v>50</v>
      </c>
      <c r="K8" s="5" t="s">
        <v>51</v>
      </c>
      <c r="L8" s="5" t="s">
        <v>52</v>
      </c>
      <c r="M8" s="5" t="s">
        <v>53</v>
      </c>
    </row>
    <row r="9" spans="1:1024" ht="20">
      <c r="A9" s="5" t="s">
        <v>31</v>
      </c>
      <c r="B9" s="5">
        <v>38</v>
      </c>
      <c r="C9" s="5">
        <v>228</v>
      </c>
      <c r="D9" s="5">
        <v>1</v>
      </c>
      <c r="E9" s="5" t="s">
        <v>41</v>
      </c>
      <c r="F9" s="5">
        <v>1</v>
      </c>
      <c r="G9" s="5">
        <v>73753866</v>
      </c>
      <c r="H9" s="5">
        <v>73779001</v>
      </c>
      <c r="I9" s="5">
        <f>((H9-G9)/1000)</f>
        <v>25.135000000000002</v>
      </c>
      <c r="J9" s="5" t="s">
        <v>54</v>
      </c>
      <c r="K9" s="5" t="s">
        <v>42</v>
      </c>
    </row>
    <row r="10" spans="1:1024" ht="20">
      <c r="A10" s="5" t="s">
        <v>31</v>
      </c>
      <c r="B10" s="5">
        <v>54</v>
      </c>
      <c r="C10" s="5">
        <v>389</v>
      </c>
      <c r="D10" s="5">
        <v>1</v>
      </c>
      <c r="E10" s="5" t="s">
        <v>41</v>
      </c>
      <c r="F10" s="5">
        <v>2</v>
      </c>
      <c r="G10" s="5">
        <v>108598687</v>
      </c>
      <c r="H10" s="5">
        <v>108680879</v>
      </c>
      <c r="I10" s="5">
        <f t="shared" ref="I10:I37" si="0">(H10-G10)/1000</f>
        <v>82.191999999999993</v>
      </c>
      <c r="J10" s="5" t="s">
        <v>54</v>
      </c>
      <c r="K10" s="5" t="s">
        <v>55</v>
      </c>
      <c r="L10" s="5" t="s">
        <v>35</v>
      </c>
      <c r="M10" s="5" t="s">
        <v>56</v>
      </c>
    </row>
    <row r="11" spans="1:1024" ht="20">
      <c r="A11" s="5" t="s">
        <v>31</v>
      </c>
      <c r="B11" s="5">
        <v>21</v>
      </c>
      <c r="C11" s="5">
        <v>106</v>
      </c>
      <c r="D11" s="5">
        <v>1</v>
      </c>
      <c r="E11" s="5" t="s">
        <v>41</v>
      </c>
      <c r="F11" s="5">
        <v>2</v>
      </c>
      <c r="G11" s="5">
        <v>233488430</v>
      </c>
      <c r="H11" s="5">
        <v>233543898</v>
      </c>
      <c r="I11" s="5">
        <f t="shared" si="0"/>
        <v>55.468000000000004</v>
      </c>
      <c r="J11" s="5" t="s">
        <v>54</v>
      </c>
      <c r="K11" s="5" t="s">
        <v>57</v>
      </c>
      <c r="L11" s="5" t="s">
        <v>35</v>
      </c>
      <c r="M11" s="5" t="s">
        <v>58</v>
      </c>
    </row>
    <row r="12" spans="1:1024" ht="40">
      <c r="A12" s="5" t="s">
        <v>31</v>
      </c>
      <c r="B12" s="5">
        <v>54</v>
      </c>
      <c r="C12" s="5">
        <v>389</v>
      </c>
      <c r="D12" s="5">
        <v>3</v>
      </c>
      <c r="E12" s="5" t="s">
        <v>32</v>
      </c>
      <c r="F12" s="5">
        <v>3</v>
      </c>
      <c r="G12" s="5">
        <v>123892898</v>
      </c>
      <c r="H12" s="5">
        <v>124232468</v>
      </c>
      <c r="I12" s="5">
        <f t="shared" si="0"/>
        <v>339.57</v>
      </c>
      <c r="J12" s="5" t="s">
        <v>54</v>
      </c>
      <c r="K12" s="5" t="s">
        <v>59</v>
      </c>
      <c r="L12" s="5" t="s">
        <v>35</v>
      </c>
      <c r="M12" s="5" t="s">
        <v>60</v>
      </c>
    </row>
    <row r="13" spans="1:1024" ht="20">
      <c r="A13" s="5" t="s">
        <v>31</v>
      </c>
      <c r="B13" s="5">
        <v>24</v>
      </c>
      <c r="C13" s="5">
        <v>120</v>
      </c>
      <c r="D13" s="5">
        <v>3</v>
      </c>
      <c r="E13" s="5" t="s">
        <v>32</v>
      </c>
      <c r="F13" s="5">
        <v>4</v>
      </c>
      <c r="G13" s="5">
        <v>63926513</v>
      </c>
      <c r="H13" s="5">
        <v>64176145</v>
      </c>
      <c r="I13" s="5">
        <f t="shared" si="0"/>
        <v>249.63200000000001</v>
      </c>
      <c r="J13" s="5" t="s">
        <v>54</v>
      </c>
      <c r="K13" s="5" t="s">
        <v>42</v>
      </c>
      <c r="L13" s="5" t="s">
        <v>35</v>
      </c>
      <c r="M13" s="5" t="s">
        <v>61</v>
      </c>
    </row>
    <row r="14" spans="1:1024" ht="20">
      <c r="A14" s="5" t="s">
        <v>31</v>
      </c>
      <c r="B14" s="5">
        <v>60</v>
      </c>
      <c r="C14" s="5">
        <v>426</v>
      </c>
      <c r="D14" s="5">
        <v>3</v>
      </c>
      <c r="E14" s="5" t="s">
        <v>32</v>
      </c>
      <c r="F14" s="5">
        <v>4</v>
      </c>
      <c r="G14" s="5">
        <v>131644212</v>
      </c>
      <c r="H14" s="5">
        <v>131739372</v>
      </c>
      <c r="I14" s="5">
        <f t="shared" si="0"/>
        <v>95.16</v>
      </c>
      <c r="J14" s="5" t="s">
        <v>54</v>
      </c>
      <c r="K14" s="5" t="s">
        <v>42</v>
      </c>
    </row>
    <row r="15" spans="1:1024" ht="20">
      <c r="A15" s="5" t="s">
        <v>31</v>
      </c>
      <c r="B15" s="5">
        <v>5</v>
      </c>
      <c r="C15" s="5">
        <v>17</v>
      </c>
      <c r="D15" s="5">
        <v>1</v>
      </c>
      <c r="E15" s="5" t="s">
        <v>41</v>
      </c>
      <c r="F15" s="5">
        <v>5</v>
      </c>
      <c r="G15" s="5">
        <v>51389031</v>
      </c>
      <c r="H15" s="5">
        <v>51554613</v>
      </c>
      <c r="I15" s="5">
        <f t="shared" si="0"/>
        <v>165.58199999999999</v>
      </c>
      <c r="J15" s="5" t="s">
        <v>54</v>
      </c>
      <c r="K15" s="5" t="s">
        <v>42</v>
      </c>
    </row>
    <row r="16" spans="1:1024" ht="20">
      <c r="A16" s="5" t="s">
        <v>31</v>
      </c>
      <c r="B16" s="5">
        <v>5</v>
      </c>
      <c r="C16" s="5">
        <v>16</v>
      </c>
      <c r="D16" s="5">
        <v>1</v>
      </c>
      <c r="E16" s="5" t="s">
        <v>41</v>
      </c>
      <c r="F16" s="5">
        <v>5</v>
      </c>
      <c r="G16" s="5">
        <v>51389031</v>
      </c>
      <c r="H16" s="5">
        <v>51557404</v>
      </c>
      <c r="I16" s="5">
        <f t="shared" si="0"/>
        <v>168.37299999999999</v>
      </c>
      <c r="J16" s="5" t="s">
        <v>54</v>
      </c>
      <c r="K16" s="5" t="s">
        <v>42</v>
      </c>
    </row>
    <row r="17" spans="1:1024" ht="20">
      <c r="A17" s="5" t="s">
        <v>31</v>
      </c>
      <c r="B17" s="5">
        <v>77</v>
      </c>
      <c r="C17" s="5">
        <v>722</v>
      </c>
      <c r="D17" s="5">
        <v>1</v>
      </c>
      <c r="E17" s="5" t="s">
        <v>41</v>
      </c>
      <c r="F17" s="5">
        <v>5</v>
      </c>
      <c r="G17" s="5">
        <v>60317732</v>
      </c>
      <c r="H17" s="5">
        <v>60498913</v>
      </c>
      <c r="I17" s="5">
        <f t="shared" si="0"/>
        <v>181.18100000000001</v>
      </c>
      <c r="J17" s="5" t="s">
        <v>54</v>
      </c>
      <c r="K17" s="5" t="s">
        <v>62</v>
      </c>
    </row>
    <row r="18" spans="1:1024" ht="20">
      <c r="A18" s="5" t="s">
        <v>31</v>
      </c>
      <c r="B18" s="5">
        <v>20</v>
      </c>
      <c r="C18" s="5">
        <v>103</v>
      </c>
      <c r="D18" s="5">
        <v>1</v>
      </c>
      <c r="E18" s="5" t="s">
        <v>41</v>
      </c>
      <c r="F18" s="5">
        <v>5</v>
      </c>
      <c r="G18" s="5">
        <v>78479491</v>
      </c>
      <c r="H18" s="5">
        <v>78521698</v>
      </c>
      <c r="I18" s="5">
        <f t="shared" si="0"/>
        <v>42.207000000000001</v>
      </c>
      <c r="J18" s="5" t="s">
        <v>54</v>
      </c>
      <c r="K18" s="5" t="s">
        <v>42</v>
      </c>
    </row>
    <row r="19" spans="1:1024" ht="20">
      <c r="A19" s="5" t="s">
        <v>31</v>
      </c>
      <c r="B19" s="5">
        <v>20</v>
      </c>
      <c r="C19" s="5">
        <v>101</v>
      </c>
      <c r="D19" s="5">
        <v>1</v>
      </c>
      <c r="E19" s="5" t="s">
        <v>41</v>
      </c>
      <c r="F19" s="5">
        <v>5</v>
      </c>
      <c r="G19" s="5">
        <v>78481215</v>
      </c>
      <c r="H19" s="5">
        <v>78521698</v>
      </c>
      <c r="I19" s="5">
        <f t="shared" si="0"/>
        <v>40.482999999999997</v>
      </c>
      <c r="J19" s="5" t="s">
        <v>54</v>
      </c>
      <c r="K19" s="5" t="s">
        <v>42</v>
      </c>
    </row>
    <row r="20" spans="1:1024" ht="20">
      <c r="A20" s="5" t="s">
        <v>31</v>
      </c>
      <c r="B20" s="5">
        <v>20</v>
      </c>
      <c r="C20" s="5">
        <v>102</v>
      </c>
      <c r="D20" s="5">
        <v>1</v>
      </c>
      <c r="E20" s="5" t="s">
        <v>41</v>
      </c>
      <c r="F20" s="5">
        <v>5</v>
      </c>
      <c r="G20" s="5">
        <v>78486684</v>
      </c>
      <c r="H20" s="5">
        <v>78521698</v>
      </c>
      <c r="I20" s="5">
        <f t="shared" si="0"/>
        <v>35.014000000000003</v>
      </c>
      <c r="J20" s="5" t="s">
        <v>54</v>
      </c>
      <c r="K20" s="5" t="s">
        <v>42</v>
      </c>
    </row>
    <row r="21" spans="1:1024" ht="20">
      <c r="A21" s="5" t="s">
        <v>31</v>
      </c>
      <c r="B21" s="5">
        <v>39</v>
      </c>
      <c r="C21" s="5">
        <v>244</v>
      </c>
      <c r="D21" s="5">
        <v>3</v>
      </c>
      <c r="E21" s="5" t="s">
        <v>32</v>
      </c>
      <c r="F21" s="5">
        <v>5</v>
      </c>
      <c r="G21" s="5">
        <v>101223293</v>
      </c>
      <c r="H21" s="5">
        <v>101283816</v>
      </c>
      <c r="I21" s="5">
        <f t="shared" si="0"/>
        <v>60.523000000000003</v>
      </c>
      <c r="J21" s="5" t="s">
        <v>54</v>
      </c>
      <c r="K21" s="5" t="s">
        <v>42</v>
      </c>
    </row>
    <row r="22" spans="1:1024" ht="20">
      <c r="A22" s="5" t="s">
        <v>31</v>
      </c>
      <c r="B22" s="5">
        <v>25</v>
      </c>
      <c r="C22" s="5">
        <v>124</v>
      </c>
      <c r="D22" s="5">
        <v>3</v>
      </c>
      <c r="E22" s="5" t="s">
        <v>32</v>
      </c>
      <c r="F22" s="5">
        <v>6</v>
      </c>
      <c r="G22" s="5">
        <v>1601083</v>
      </c>
      <c r="H22" s="5">
        <v>1666913</v>
      </c>
      <c r="I22" s="5">
        <f t="shared" si="0"/>
        <v>65.83</v>
      </c>
      <c r="J22" s="5" t="s">
        <v>54</v>
      </c>
      <c r="K22" s="5" t="s">
        <v>63</v>
      </c>
      <c r="L22" s="5" t="s">
        <v>35</v>
      </c>
      <c r="M22" s="5" t="s">
        <v>64</v>
      </c>
    </row>
    <row r="23" spans="1:1024" ht="20">
      <c r="A23" s="5" t="s">
        <v>31</v>
      </c>
      <c r="B23" s="5">
        <v>51</v>
      </c>
      <c r="C23" s="5">
        <v>375</v>
      </c>
      <c r="D23" s="5">
        <v>3</v>
      </c>
      <c r="E23" s="5" t="s">
        <v>32</v>
      </c>
      <c r="F23" s="5">
        <v>7</v>
      </c>
      <c r="G23" s="5">
        <v>11200879</v>
      </c>
      <c r="H23" s="5">
        <v>11349701</v>
      </c>
      <c r="I23" s="5">
        <f t="shared" si="0"/>
        <v>148.822</v>
      </c>
      <c r="J23" s="5" t="s">
        <v>54</v>
      </c>
      <c r="K23" s="5" t="s">
        <v>65</v>
      </c>
    </row>
    <row r="24" spans="1:1024" ht="20">
      <c r="A24" s="5" t="s">
        <v>31</v>
      </c>
      <c r="B24" s="5">
        <v>5</v>
      </c>
      <c r="C24" s="5">
        <v>17</v>
      </c>
      <c r="D24" s="5">
        <v>3</v>
      </c>
      <c r="E24" s="5" t="s">
        <v>32</v>
      </c>
      <c r="F24" s="5">
        <v>8</v>
      </c>
      <c r="G24" s="5">
        <v>52441446</v>
      </c>
      <c r="H24" s="5">
        <v>52519681</v>
      </c>
      <c r="I24" s="5">
        <f t="shared" si="0"/>
        <v>78.234999999999999</v>
      </c>
      <c r="J24" s="5" t="s">
        <v>54</v>
      </c>
      <c r="K24" s="5" t="s">
        <v>66</v>
      </c>
      <c r="L24" s="5" t="s">
        <v>35</v>
      </c>
      <c r="M24" s="5" t="s">
        <v>67</v>
      </c>
    </row>
    <row r="25" spans="1:1024" ht="30">
      <c r="A25" s="5" t="s">
        <v>31</v>
      </c>
      <c r="B25" s="5">
        <v>46</v>
      </c>
      <c r="C25" s="5">
        <v>285</v>
      </c>
      <c r="D25" s="5">
        <v>3</v>
      </c>
      <c r="E25" s="5" t="s">
        <v>32</v>
      </c>
      <c r="F25" s="5">
        <v>8</v>
      </c>
      <c r="G25" s="5">
        <v>99168617</v>
      </c>
      <c r="H25" s="5">
        <v>99210425</v>
      </c>
      <c r="I25" s="5">
        <f t="shared" si="0"/>
        <v>41.808</v>
      </c>
      <c r="J25" s="5" t="s">
        <v>54</v>
      </c>
      <c r="K25" s="5" t="s">
        <v>68</v>
      </c>
    </row>
    <row r="26" spans="1:1024" ht="20">
      <c r="A26" s="5" t="s">
        <v>31</v>
      </c>
      <c r="B26" s="5">
        <v>24</v>
      </c>
      <c r="C26" s="5">
        <v>120</v>
      </c>
      <c r="D26" s="5">
        <v>1</v>
      </c>
      <c r="E26" s="5" t="s">
        <v>41</v>
      </c>
      <c r="F26" s="5">
        <v>9</v>
      </c>
      <c r="G26" s="5">
        <v>92468016</v>
      </c>
      <c r="H26" s="5">
        <v>92504026</v>
      </c>
      <c r="I26" s="5">
        <f t="shared" si="0"/>
        <v>36.01</v>
      </c>
      <c r="J26" s="5" t="s">
        <v>54</v>
      </c>
      <c r="K26" s="5" t="s">
        <v>42</v>
      </c>
    </row>
    <row r="27" spans="1:1024" ht="20">
      <c r="A27" s="5" t="s">
        <v>31</v>
      </c>
      <c r="B27" s="5">
        <v>20</v>
      </c>
      <c r="C27" s="5">
        <v>101</v>
      </c>
      <c r="D27" s="5">
        <v>3</v>
      </c>
      <c r="E27" s="5" t="s">
        <v>32</v>
      </c>
      <c r="F27" s="5">
        <v>13</v>
      </c>
      <c r="G27" s="5">
        <v>19597296</v>
      </c>
      <c r="H27" s="5">
        <v>19638023</v>
      </c>
      <c r="I27" s="5">
        <f t="shared" si="0"/>
        <v>40.726999999999997</v>
      </c>
      <c r="J27" s="5" t="s">
        <v>54</v>
      </c>
      <c r="K27" s="5" t="s">
        <v>69</v>
      </c>
      <c r="L27" s="5" t="s">
        <v>35</v>
      </c>
      <c r="M27" s="5" t="s">
        <v>70</v>
      </c>
    </row>
    <row r="28" spans="1:1024" ht="20">
      <c r="A28" s="5" t="s">
        <v>31</v>
      </c>
      <c r="B28" s="5">
        <v>20</v>
      </c>
      <c r="C28" s="5">
        <v>103</v>
      </c>
      <c r="D28" s="5">
        <v>3</v>
      </c>
      <c r="E28" s="5" t="s">
        <v>32</v>
      </c>
      <c r="F28" s="5">
        <v>13</v>
      </c>
      <c r="G28" s="5">
        <v>19602443</v>
      </c>
      <c r="H28" s="5">
        <v>19639168</v>
      </c>
      <c r="I28" s="5">
        <f t="shared" si="0"/>
        <v>36.725000000000001</v>
      </c>
      <c r="J28" s="5" t="s">
        <v>54</v>
      </c>
      <c r="K28" s="5" t="s">
        <v>69</v>
      </c>
      <c r="L28" s="5" t="s">
        <v>35</v>
      </c>
      <c r="M28" s="5" t="s">
        <v>70</v>
      </c>
    </row>
    <row r="29" spans="1:1024" ht="70">
      <c r="A29" s="5" t="s">
        <v>31</v>
      </c>
      <c r="B29" s="5">
        <v>18</v>
      </c>
      <c r="C29" s="5">
        <v>92</v>
      </c>
      <c r="D29" s="5">
        <v>3</v>
      </c>
      <c r="E29" s="5" t="s">
        <v>32</v>
      </c>
      <c r="F29" s="5">
        <v>13</v>
      </c>
      <c r="G29" s="5">
        <v>101933444</v>
      </c>
      <c r="H29" s="5">
        <v>102326338</v>
      </c>
      <c r="I29" s="5">
        <f t="shared" si="0"/>
        <v>392.89400000000001</v>
      </c>
      <c r="J29" s="5" t="s">
        <v>54</v>
      </c>
      <c r="K29" s="5" t="s">
        <v>71</v>
      </c>
      <c r="L29" s="5" t="s">
        <v>35</v>
      </c>
      <c r="M29" s="5" t="s">
        <v>72</v>
      </c>
    </row>
    <row r="30" spans="1:1024" ht="30">
      <c r="A30" s="5" t="s">
        <v>31</v>
      </c>
      <c r="B30" s="5">
        <v>39</v>
      </c>
      <c r="C30" s="5">
        <v>244</v>
      </c>
      <c r="D30" s="5">
        <v>1</v>
      </c>
      <c r="E30" s="5" t="s">
        <v>41</v>
      </c>
      <c r="F30" s="5">
        <v>14</v>
      </c>
      <c r="G30" s="5">
        <v>20179566</v>
      </c>
      <c r="H30" s="5">
        <v>20252782</v>
      </c>
      <c r="I30" s="5">
        <f t="shared" si="0"/>
        <v>73.215999999999994</v>
      </c>
      <c r="J30" s="5" t="s">
        <v>54</v>
      </c>
      <c r="K30" s="5" t="s">
        <v>73</v>
      </c>
      <c r="L30" s="5" t="s">
        <v>35</v>
      </c>
      <c r="M30" s="5" t="s">
        <v>74</v>
      </c>
    </row>
    <row r="31" spans="1:1024" ht="20">
      <c r="A31" s="5" t="s">
        <v>31</v>
      </c>
      <c r="B31" s="5">
        <v>29</v>
      </c>
      <c r="C31" s="5">
        <v>615</v>
      </c>
      <c r="D31" s="5">
        <v>1</v>
      </c>
      <c r="E31" s="5" t="s">
        <v>41</v>
      </c>
      <c r="F31" s="5">
        <v>15</v>
      </c>
      <c r="G31" s="5">
        <v>64745866</v>
      </c>
      <c r="H31" s="5">
        <v>64767039</v>
      </c>
      <c r="I31" s="5">
        <f t="shared" si="0"/>
        <v>21.172999999999998</v>
      </c>
      <c r="J31" s="5" t="s">
        <v>54</v>
      </c>
      <c r="K31" s="5" t="s">
        <v>75</v>
      </c>
    </row>
    <row r="32" spans="1:1024" ht="40">
      <c r="A32" s="5" t="s">
        <v>31</v>
      </c>
      <c r="B32" s="5">
        <v>5</v>
      </c>
      <c r="C32" s="5">
        <v>17</v>
      </c>
      <c r="D32" s="5">
        <v>2</v>
      </c>
      <c r="E32" s="5" t="s">
        <v>32</v>
      </c>
      <c r="F32" s="5" t="s">
        <v>48</v>
      </c>
      <c r="G32" s="5">
        <v>53335297</v>
      </c>
      <c r="H32" s="5">
        <v>53482009</v>
      </c>
      <c r="I32" s="5">
        <f t="shared" si="0"/>
        <v>146.71199999999999</v>
      </c>
      <c r="J32" s="5" t="s">
        <v>54</v>
      </c>
      <c r="K32" s="5" t="s">
        <v>51</v>
      </c>
      <c r="L32" s="5" t="s">
        <v>52</v>
      </c>
      <c r="M32" s="5" t="s">
        <v>53</v>
      </c>
      <c r="AMJ32" s="2"/>
    </row>
    <row r="33" spans="1:13" ht="250">
      <c r="A33" s="5" t="s">
        <v>31</v>
      </c>
      <c r="B33" s="5">
        <v>43</v>
      </c>
      <c r="C33" s="5">
        <v>599</v>
      </c>
      <c r="D33" s="5">
        <v>3</v>
      </c>
      <c r="E33" s="5" t="s">
        <v>32</v>
      </c>
      <c r="F33" s="5">
        <v>4</v>
      </c>
      <c r="G33" s="5">
        <v>4060257</v>
      </c>
      <c r="H33" s="5">
        <v>7883171</v>
      </c>
      <c r="I33" s="5">
        <f t="shared" si="0"/>
        <v>3822.9140000000002</v>
      </c>
      <c r="J33" s="5" t="s">
        <v>50</v>
      </c>
      <c r="K33" s="5" t="s">
        <v>0</v>
      </c>
      <c r="L33" s="5" t="s">
        <v>1</v>
      </c>
      <c r="M33" s="6" t="s">
        <v>2</v>
      </c>
    </row>
    <row r="34" spans="1:13" ht="20">
      <c r="A34" s="5" t="s">
        <v>31</v>
      </c>
      <c r="B34" s="6">
        <v>1</v>
      </c>
      <c r="C34" s="6">
        <v>1</v>
      </c>
      <c r="D34" s="6">
        <v>1</v>
      </c>
      <c r="E34" s="5" t="s">
        <v>41</v>
      </c>
      <c r="F34" s="6">
        <v>5</v>
      </c>
      <c r="G34" s="6">
        <v>4011474</v>
      </c>
      <c r="H34" s="6">
        <v>4033081</v>
      </c>
      <c r="I34" s="5">
        <f t="shared" si="0"/>
        <v>21.606999999999999</v>
      </c>
      <c r="J34" s="5" t="s">
        <v>50</v>
      </c>
      <c r="K34" s="5" t="s">
        <v>42</v>
      </c>
    </row>
    <row r="35" spans="1:13" ht="20">
      <c r="A35" s="5" t="s">
        <v>31</v>
      </c>
      <c r="B35" s="6">
        <v>25</v>
      </c>
      <c r="C35" s="6">
        <v>124</v>
      </c>
      <c r="D35" s="6">
        <v>1</v>
      </c>
      <c r="E35" s="5" t="s">
        <v>41</v>
      </c>
      <c r="F35" s="6">
        <v>10</v>
      </c>
      <c r="G35" s="6">
        <v>97709510</v>
      </c>
      <c r="H35" s="6">
        <v>97738030</v>
      </c>
      <c r="I35" s="5">
        <f t="shared" si="0"/>
        <v>28.52</v>
      </c>
      <c r="J35" s="5" t="s">
        <v>50</v>
      </c>
      <c r="K35" s="7" t="s">
        <v>3</v>
      </c>
    </row>
    <row r="36" spans="1:13" ht="20">
      <c r="A36" s="5" t="s">
        <v>31</v>
      </c>
      <c r="B36" s="6">
        <v>20</v>
      </c>
      <c r="C36" s="6">
        <v>102</v>
      </c>
      <c r="D36" s="6">
        <v>4</v>
      </c>
      <c r="E36" s="5" t="s">
        <v>32</v>
      </c>
      <c r="F36" s="6">
        <v>11</v>
      </c>
      <c r="G36" s="6">
        <v>47650914</v>
      </c>
      <c r="H36" s="6">
        <v>47678797</v>
      </c>
      <c r="I36" s="5">
        <f t="shared" si="0"/>
        <v>27.882999999999999</v>
      </c>
      <c r="J36" s="5" t="s">
        <v>50</v>
      </c>
      <c r="K36" s="7" t="s">
        <v>4</v>
      </c>
    </row>
    <row r="37" spans="1:13" ht="70">
      <c r="A37" s="5" t="s">
        <v>31</v>
      </c>
      <c r="B37" s="6">
        <v>46</v>
      </c>
      <c r="C37" s="6">
        <v>285</v>
      </c>
      <c r="D37" s="6">
        <v>3</v>
      </c>
      <c r="E37" s="5" t="s">
        <v>32</v>
      </c>
      <c r="F37" s="6">
        <v>11</v>
      </c>
      <c r="G37" s="6">
        <v>48145324</v>
      </c>
      <c r="H37" s="6">
        <v>48360733</v>
      </c>
      <c r="I37" s="5">
        <f t="shared" si="0"/>
        <v>215.40899999999999</v>
      </c>
      <c r="J37" s="5" t="s">
        <v>50</v>
      </c>
      <c r="K37" s="5" t="s">
        <v>5</v>
      </c>
    </row>
    <row r="38" spans="1:13" ht="20">
      <c r="A38" s="5" t="s">
        <v>31</v>
      </c>
      <c r="B38" s="5">
        <v>38</v>
      </c>
      <c r="C38" s="5">
        <v>230</v>
      </c>
      <c r="D38" s="5">
        <v>1</v>
      </c>
      <c r="E38" s="5" t="s">
        <v>41</v>
      </c>
      <c r="F38" s="5">
        <v>1</v>
      </c>
      <c r="G38" s="5">
        <v>73754532</v>
      </c>
      <c r="H38" s="5">
        <v>73779001</v>
      </c>
      <c r="I38" s="5">
        <f>((H38-G38)/1000)</f>
        <v>24.469000000000001</v>
      </c>
      <c r="J38" s="5" t="s">
        <v>50</v>
      </c>
      <c r="K38" s="5" t="s">
        <v>42</v>
      </c>
    </row>
    <row r="39" spans="1:13" ht="20">
      <c r="A39" s="5" t="s">
        <v>31</v>
      </c>
      <c r="B39" s="6">
        <v>53</v>
      </c>
      <c r="C39" s="6">
        <v>388</v>
      </c>
      <c r="D39" s="6">
        <v>3</v>
      </c>
      <c r="E39" s="5" t="s">
        <v>32</v>
      </c>
      <c r="F39" s="6">
        <v>1</v>
      </c>
      <c r="G39" s="6">
        <v>172319728</v>
      </c>
      <c r="H39" s="6">
        <v>172466199</v>
      </c>
      <c r="I39" s="5">
        <f t="shared" ref="I39:I74" si="1">(H39-G39)/1000</f>
        <v>146.471</v>
      </c>
      <c r="J39" s="5" t="s">
        <v>50</v>
      </c>
      <c r="K39" s="7" t="s">
        <v>6</v>
      </c>
    </row>
    <row r="40" spans="1:13" ht="20">
      <c r="A40" s="5" t="s">
        <v>31</v>
      </c>
      <c r="B40" s="5">
        <v>46</v>
      </c>
      <c r="C40" s="5">
        <v>672</v>
      </c>
      <c r="D40" s="5">
        <v>1</v>
      </c>
      <c r="E40" s="5" t="s">
        <v>41</v>
      </c>
      <c r="F40" s="5">
        <v>1</v>
      </c>
      <c r="G40" s="5">
        <v>180116760</v>
      </c>
      <c r="H40" s="5">
        <v>180163034</v>
      </c>
      <c r="I40" s="5">
        <f t="shared" si="1"/>
        <v>46.274000000000001</v>
      </c>
      <c r="J40" s="5" t="s">
        <v>50</v>
      </c>
      <c r="K40" s="5" t="s">
        <v>42</v>
      </c>
    </row>
    <row r="41" spans="1:13" ht="20">
      <c r="A41" s="5" t="s">
        <v>31</v>
      </c>
      <c r="B41" s="5">
        <v>39</v>
      </c>
      <c r="C41" s="5">
        <v>246</v>
      </c>
      <c r="D41" s="5">
        <v>3</v>
      </c>
      <c r="E41" s="5" t="s">
        <v>32</v>
      </c>
      <c r="F41" s="5">
        <v>1</v>
      </c>
      <c r="G41" s="5">
        <v>234610890</v>
      </c>
      <c r="H41" s="5">
        <v>234695332</v>
      </c>
      <c r="I41" s="5">
        <f t="shared" si="1"/>
        <v>84.441999999999993</v>
      </c>
      <c r="J41" s="5" t="s">
        <v>50</v>
      </c>
      <c r="K41" s="5" t="s">
        <v>7</v>
      </c>
    </row>
    <row r="42" spans="1:13" ht="20">
      <c r="A42" s="5" t="s">
        <v>31</v>
      </c>
      <c r="B42" s="5">
        <v>54</v>
      </c>
      <c r="C42" s="5">
        <v>390</v>
      </c>
      <c r="D42" s="5">
        <v>1</v>
      </c>
      <c r="E42" s="5" t="s">
        <v>41</v>
      </c>
      <c r="F42" s="5">
        <v>2</v>
      </c>
      <c r="G42" s="5">
        <v>108600625</v>
      </c>
      <c r="H42" s="5">
        <v>108681384</v>
      </c>
      <c r="I42" s="5">
        <f t="shared" si="1"/>
        <v>80.759</v>
      </c>
      <c r="J42" s="5" t="s">
        <v>50</v>
      </c>
      <c r="K42" s="5" t="s">
        <v>55</v>
      </c>
      <c r="L42" s="5" t="s">
        <v>35</v>
      </c>
      <c r="M42" s="5" t="s">
        <v>56</v>
      </c>
    </row>
    <row r="43" spans="1:13" ht="20">
      <c r="A43" s="5" t="s">
        <v>31</v>
      </c>
      <c r="B43" s="5">
        <v>39</v>
      </c>
      <c r="C43" s="5">
        <v>246</v>
      </c>
      <c r="D43" s="5">
        <v>1</v>
      </c>
      <c r="E43" s="5" t="s">
        <v>41</v>
      </c>
      <c r="F43" s="5">
        <v>2</v>
      </c>
      <c r="G43" s="5">
        <v>123772424</v>
      </c>
      <c r="H43" s="5">
        <v>123798371</v>
      </c>
      <c r="I43" s="5">
        <f t="shared" si="1"/>
        <v>25.946999999999999</v>
      </c>
      <c r="J43" s="5" t="s">
        <v>50</v>
      </c>
      <c r="K43" s="5" t="s">
        <v>42</v>
      </c>
    </row>
    <row r="44" spans="1:13" ht="20">
      <c r="A44" s="5" t="s">
        <v>31</v>
      </c>
      <c r="B44" s="5">
        <v>21</v>
      </c>
      <c r="C44" s="5">
        <v>107</v>
      </c>
      <c r="D44" s="5">
        <v>1</v>
      </c>
      <c r="E44" s="5" t="s">
        <v>41</v>
      </c>
      <c r="F44" s="5">
        <v>2</v>
      </c>
      <c r="G44" s="5">
        <v>233493259</v>
      </c>
      <c r="H44" s="5">
        <v>233540754</v>
      </c>
      <c r="I44" s="5">
        <f t="shared" si="1"/>
        <v>47.494999999999997</v>
      </c>
      <c r="J44" s="5" t="s">
        <v>50</v>
      </c>
      <c r="K44" s="5" t="s">
        <v>57</v>
      </c>
      <c r="L44" s="5" t="s">
        <v>35</v>
      </c>
      <c r="M44" s="5" t="s">
        <v>58</v>
      </c>
    </row>
    <row r="45" spans="1:13" ht="40">
      <c r="A45" s="5" t="s">
        <v>31</v>
      </c>
      <c r="B45" s="5">
        <v>54</v>
      </c>
      <c r="C45" s="5">
        <v>390</v>
      </c>
      <c r="D45" s="5">
        <v>3</v>
      </c>
      <c r="E45" s="5" t="s">
        <v>32</v>
      </c>
      <c r="F45" s="5">
        <v>3</v>
      </c>
      <c r="G45" s="5">
        <v>123892898</v>
      </c>
      <c r="H45" s="5">
        <v>124233095</v>
      </c>
      <c r="I45" s="5">
        <f t="shared" si="1"/>
        <v>340.197</v>
      </c>
      <c r="J45" s="5" t="s">
        <v>50</v>
      </c>
      <c r="K45" s="5" t="s">
        <v>59</v>
      </c>
      <c r="L45" s="5" t="s">
        <v>35</v>
      </c>
      <c r="M45" s="5" t="s">
        <v>60</v>
      </c>
    </row>
    <row r="46" spans="1:13" ht="20">
      <c r="A46" s="5" t="s">
        <v>31</v>
      </c>
      <c r="B46" s="5">
        <v>24</v>
      </c>
      <c r="C46" s="5">
        <v>123</v>
      </c>
      <c r="D46" s="5">
        <v>3</v>
      </c>
      <c r="E46" s="5" t="s">
        <v>32</v>
      </c>
      <c r="F46" s="5">
        <v>4</v>
      </c>
      <c r="G46" s="5">
        <v>63924540</v>
      </c>
      <c r="H46" s="5">
        <v>64176145</v>
      </c>
      <c r="I46" s="5">
        <f t="shared" si="1"/>
        <v>251.60499999999999</v>
      </c>
      <c r="J46" s="5" t="s">
        <v>50</v>
      </c>
      <c r="K46" s="5" t="s">
        <v>42</v>
      </c>
      <c r="L46" s="5" t="s">
        <v>35</v>
      </c>
      <c r="M46" s="5" t="s">
        <v>61</v>
      </c>
    </row>
    <row r="47" spans="1:13" ht="20">
      <c r="A47" s="5" t="s">
        <v>31</v>
      </c>
      <c r="B47" s="5">
        <v>78</v>
      </c>
      <c r="C47" s="5">
        <v>717</v>
      </c>
      <c r="D47" s="5">
        <v>1</v>
      </c>
      <c r="E47" s="5" t="s">
        <v>41</v>
      </c>
      <c r="F47" s="5">
        <v>4</v>
      </c>
      <c r="G47" s="5">
        <v>110868747</v>
      </c>
      <c r="H47" s="5">
        <v>110888710</v>
      </c>
      <c r="I47" s="5">
        <f t="shared" si="1"/>
        <v>19.963000000000001</v>
      </c>
      <c r="J47" s="5" t="s">
        <v>50</v>
      </c>
      <c r="K47" s="5" t="s">
        <v>8</v>
      </c>
    </row>
    <row r="48" spans="1:13" ht="20">
      <c r="A48" s="5" t="s">
        <v>31</v>
      </c>
      <c r="B48" s="5">
        <v>39</v>
      </c>
      <c r="C48" s="5">
        <v>246</v>
      </c>
      <c r="D48" s="5">
        <v>1</v>
      </c>
      <c r="E48" s="5" t="s">
        <v>41</v>
      </c>
      <c r="F48" s="5">
        <v>4</v>
      </c>
      <c r="G48" s="5">
        <v>130959465</v>
      </c>
      <c r="H48" s="5">
        <v>130986341</v>
      </c>
      <c r="I48" s="5">
        <f t="shared" si="1"/>
        <v>26.876000000000001</v>
      </c>
      <c r="J48" s="5" t="s">
        <v>50</v>
      </c>
      <c r="K48" s="5" t="s">
        <v>9</v>
      </c>
    </row>
    <row r="49" spans="1:13" ht="20">
      <c r="A49" s="5" t="s">
        <v>31</v>
      </c>
      <c r="B49" s="5">
        <v>60</v>
      </c>
      <c r="C49" s="5">
        <v>428</v>
      </c>
      <c r="D49" s="5">
        <v>3</v>
      </c>
      <c r="E49" s="5" t="s">
        <v>32</v>
      </c>
      <c r="F49" s="5">
        <v>4</v>
      </c>
      <c r="G49" s="5">
        <v>131644212</v>
      </c>
      <c r="H49" s="5">
        <v>131739372</v>
      </c>
      <c r="I49" s="5">
        <f t="shared" si="1"/>
        <v>95.16</v>
      </c>
      <c r="J49" s="5" t="s">
        <v>50</v>
      </c>
      <c r="K49" s="5" t="s">
        <v>42</v>
      </c>
    </row>
    <row r="50" spans="1:13" ht="20">
      <c r="A50" s="5" t="s">
        <v>31</v>
      </c>
      <c r="B50" s="6">
        <v>43</v>
      </c>
      <c r="C50" s="6">
        <v>347</v>
      </c>
      <c r="D50" s="6">
        <v>1</v>
      </c>
      <c r="E50" s="5" t="s">
        <v>41</v>
      </c>
      <c r="F50" s="6">
        <v>4</v>
      </c>
      <c r="G50" s="6">
        <v>158769197</v>
      </c>
      <c r="H50" s="6">
        <v>158790961</v>
      </c>
      <c r="I50" s="5">
        <f t="shared" si="1"/>
        <v>21.763999999999999</v>
      </c>
      <c r="J50" s="5" t="s">
        <v>50</v>
      </c>
      <c r="K50" s="5" t="s">
        <v>42</v>
      </c>
    </row>
    <row r="51" spans="1:13" ht="20">
      <c r="A51" s="5" t="s">
        <v>31</v>
      </c>
      <c r="B51" s="5">
        <v>54</v>
      </c>
      <c r="C51" s="5">
        <v>389</v>
      </c>
      <c r="D51" s="5">
        <v>3</v>
      </c>
      <c r="E51" s="5" t="s">
        <v>32</v>
      </c>
      <c r="F51" s="5">
        <v>4</v>
      </c>
      <c r="G51" s="5">
        <v>171600811</v>
      </c>
      <c r="H51" s="5">
        <v>171704105</v>
      </c>
      <c r="I51" s="5">
        <f t="shared" si="1"/>
        <v>103.294</v>
      </c>
      <c r="J51" s="5" t="s">
        <v>50</v>
      </c>
      <c r="K51" s="5" t="s">
        <v>42</v>
      </c>
    </row>
    <row r="52" spans="1:13" ht="20">
      <c r="A52" s="5" t="s">
        <v>31</v>
      </c>
      <c r="B52" s="6">
        <v>41</v>
      </c>
      <c r="C52" s="6">
        <v>298</v>
      </c>
      <c r="D52" s="6">
        <v>1</v>
      </c>
      <c r="E52" s="5" t="s">
        <v>41</v>
      </c>
      <c r="F52" s="6">
        <v>5</v>
      </c>
      <c r="G52" s="6">
        <v>4011474</v>
      </c>
      <c r="H52" s="6">
        <v>4031902</v>
      </c>
      <c r="I52" s="5">
        <f t="shared" si="1"/>
        <v>20.428000000000001</v>
      </c>
      <c r="J52" s="5" t="s">
        <v>50</v>
      </c>
      <c r="K52" s="5" t="s">
        <v>42</v>
      </c>
    </row>
    <row r="53" spans="1:13" ht="20">
      <c r="A53" s="5" t="s">
        <v>31</v>
      </c>
      <c r="B53" s="5">
        <v>5</v>
      </c>
      <c r="C53" s="5">
        <v>20</v>
      </c>
      <c r="D53" s="5">
        <v>1</v>
      </c>
      <c r="E53" s="5" t="s">
        <v>41</v>
      </c>
      <c r="F53" s="5">
        <v>5</v>
      </c>
      <c r="G53" s="5">
        <v>51389031</v>
      </c>
      <c r="H53" s="5">
        <v>51554613</v>
      </c>
      <c r="I53" s="5">
        <f t="shared" si="1"/>
        <v>165.58199999999999</v>
      </c>
      <c r="J53" s="5" t="s">
        <v>50</v>
      </c>
      <c r="K53" s="5" t="s">
        <v>42</v>
      </c>
    </row>
    <row r="54" spans="1:13" ht="20">
      <c r="A54" s="5" t="s">
        <v>31</v>
      </c>
      <c r="B54" s="5">
        <v>77</v>
      </c>
      <c r="C54" s="5">
        <v>723</v>
      </c>
      <c r="D54" s="5">
        <v>1</v>
      </c>
      <c r="E54" s="5" t="s">
        <v>41</v>
      </c>
      <c r="F54" s="5">
        <v>5</v>
      </c>
      <c r="G54" s="5">
        <v>60317720</v>
      </c>
      <c r="H54" s="5">
        <v>60503249</v>
      </c>
      <c r="I54" s="5">
        <f t="shared" si="1"/>
        <v>185.529</v>
      </c>
      <c r="J54" s="5" t="s">
        <v>50</v>
      </c>
      <c r="K54" s="5" t="s">
        <v>62</v>
      </c>
    </row>
    <row r="55" spans="1:13" ht="20">
      <c r="A55" s="5" t="s">
        <v>31</v>
      </c>
      <c r="B55" s="5">
        <v>39</v>
      </c>
      <c r="C55" s="5">
        <v>246</v>
      </c>
      <c r="D55" s="5">
        <v>3</v>
      </c>
      <c r="E55" s="5" t="s">
        <v>32</v>
      </c>
      <c r="F55" s="5">
        <v>5</v>
      </c>
      <c r="G55" s="5">
        <v>101230797</v>
      </c>
      <c r="H55" s="5">
        <v>101283816</v>
      </c>
      <c r="I55" s="5">
        <f t="shared" si="1"/>
        <v>53.018999999999998</v>
      </c>
      <c r="J55" s="5" t="s">
        <v>50</v>
      </c>
      <c r="K55" s="5" t="s">
        <v>42</v>
      </c>
    </row>
    <row r="56" spans="1:13" ht="20">
      <c r="A56" s="5" t="s">
        <v>31</v>
      </c>
      <c r="B56" s="5">
        <v>25</v>
      </c>
      <c r="C56" s="5">
        <v>127</v>
      </c>
      <c r="D56" s="5">
        <v>3</v>
      </c>
      <c r="E56" s="5" t="s">
        <v>32</v>
      </c>
      <c r="F56" s="5">
        <v>6</v>
      </c>
      <c r="G56" s="5">
        <v>1602414</v>
      </c>
      <c r="H56" s="5">
        <v>1674591</v>
      </c>
      <c r="I56" s="5">
        <f t="shared" si="1"/>
        <v>72.177000000000007</v>
      </c>
      <c r="J56" s="5" t="s">
        <v>50</v>
      </c>
      <c r="K56" s="5" t="s">
        <v>63</v>
      </c>
      <c r="L56" s="5" t="s">
        <v>35</v>
      </c>
      <c r="M56" s="5" t="s">
        <v>64</v>
      </c>
    </row>
    <row r="57" spans="1:13" ht="20">
      <c r="A57" s="5" t="s">
        <v>31</v>
      </c>
      <c r="B57" s="5">
        <v>41</v>
      </c>
      <c r="C57" s="5">
        <v>297</v>
      </c>
      <c r="D57" s="5">
        <v>4</v>
      </c>
      <c r="E57" s="5" t="s">
        <v>32</v>
      </c>
      <c r="F57" s="5">
        <v>6</v>
      </c>
      <c r="G57" s="5">
        <v>111394713</v>
      </c>
      <c r="H57" s="5">
        <v>111459392</v>
      </c>
      <c r="I57" s="5">
        <f t="shared" si="1"/>
        <v>64.679000000000002</v>
      </c>
      <c r="J57" s="5" t="s">
        <v>50</v>
      </c>
      <c r="K57" s="5" t="s">
        <v>10</v>
      </c>
    </row>
    <row r="58" spans="1:13" ht="20">
      <c r="A58" s="5" t="s">
        <v>31</v>
      </c>
      <c r="B58" s="5">
        <v>51</v>
      </c>
      <c r="C58" s="5">
        <v>499</v>
      </c>
      <c r="D58" s="5">
        <v>3</v>
      </c>
      <c r="E58" s="5" t="s">
        <v>32</v>
      </c>
      <c r="F58" s="5">
        <v>7</v>
      </c>
      <c r="G58" s="5">
        <v>11209468</v>
      </c>
      <c r="H58" s="6">
        <v>11349545</v>
      </c>
      <c r="I58" s="5">
        <f t="shared" si="1"/>
        <v>140.077</v>
      </c>
      <c r="J58" s="5" t="s">
        <v>50</v>
      </c>
      <c r="K58" s="5" t="s">
        <v>65</v>
      </c>
    </row>
    <row r="59" spans="1:13" ht="20">
      <c r="A59" s="5" t="s">
        <v>31</v>
      </c>
      <c r="B59" s="5">
        <v>5</v>
      </c>
      <c r="C59" s="5">
        <v>19</v>
      </c>
      <c r="D59" s="5">
        <v>3</v>
      </c>
      <c r="E59" s="5" t="s">
        <v>32</v>
      </c>
      <c r="F59" s="5">
        <v>8</v>
      </c>
      <c r="G59" s="5">
        <v>52441446</v>
      </c>
      <c r="H59" s="5">
        <v>52519681</v>
      </c>
      <c r="I59" s="5">
        <f t="shared" si="1"/>
        <v>78.234999999999999</v>
      </c>
      <c r="J59" s="5" t="s">
        <v>50</v>
      </c>
      <c r="K59" s="5" t="s">
        <v>66</v>
      </c>
      <c r="L59" s="5" t="s">
        <v>35</v>
      </c>
      <c r="M59" s="5" t="s">
        <v>67</v>
      </c>
    </row>
    <row r="60" spans="1:13" ht="20">
      <c r="A60" s="5" t="s">
        <v>31</v>
      </c>
      <c r="B60" s="5">
        <v>46</v>
      </c>
      <c r="C60" s="5">
        <v>671</v>
      </c>
      <c r="D60" s="5">
        <v>1</v>
      </c>
      <c r="E60" s="5" t="s">
        <v>41</v>
      </c>
      <c r="F60" s="5">
        <v>8</v>
      </c>
      <c r="G60" s="5">
        <v>93908877</v>
      </c>
      <c r="H60" s="5">
        <v>93967374</v>
      </c>
      <c r="I60" s="5">
        <f t="shared" si="1"/>
        <v>58.497</v>
      </c>
      <c r="J60" s="5" t="s">
        <v>50</v>
      </c>
      <c r="K60" s="5" t="s">
        <v>11</v>
      </c>
    </row>
    <row r="61" spans="1:13" ht="30">
      <c r="A61" s="5" t="s">
        <v>31</v>
      </c>
      <c r="B61" s="5">
        <v>46</v>
      </c>
      <c r="C61" s="5">
        <v>671</v>
      </c>
      <c r="D61" s="5">
        <v>3</v>
      </c>
      <c r="E61" s="5" t="s">
        <v>32</v>
      </c>
      <c r="F61" s="5">
        <v>8</v>
      </c>
      <c r="G61" s="5">
        <v>99174902</v>
      </c>
      <c r="H61" s="5">
        <v>99210425</v>
      </c>
      <c r="I61" s="5">
        <f t="shared" si="1"/>
        <v>35.523000000000003</v>
      </c>
      <c r="J61" s="5" t="s">
        <v>50</v>
      </c>
      <c r="K61" s="5" t="s">
        <v>68</v>
      </c>
    </row>
    <row r="62" spans="1:13" ht="20">
      <c r="A62" s="5" t="s">
        <v>31</v>
      </c>
      <c r="B62" s="6">
        <v>1000</v>
      </c>
      <c r="C62" s="6">
        <v>3069</v>
      </c>
      <c r="D62" s="6">
        <v>3</v>
      </c>
      <c r="E62" s="5" t="s">
        <v>32</v>
      </c>
      <c r="F62" s="6">
        <v>8</v>
      </c>
      <c r="G62" s="6">
        <v>123571823</v>
      </c>
      <c r="H62" s="6">
        <v>123624421</v>
      </c>
      <c r="I62" s="5">
        <f t="shared" si="1"/>
        <v>52.597999999999999</v>
      </c>
      <c r="J62" s="5" t="s">
        <v>50</v>
      </c>
      <c r="K62" s="5" t="s">
        <v>42</v>
      </c>
    </row>
    <row r="63" spans="1:13" ht="20">
      <c r="A63" s="5" t="s">
        <v>31</v>
      </c>
      <c r="B63" s="5">
        <v>24</v>
      </c>
      <c r="C63" s="5">
        <v>123</v>
      </c>
      <c r="D63" s="5">
        <v>1</v>
      </c>
      <c r="E63" s="5" t="s">
        <v>41</v>
      </c>
      <c r="F63" s="5">
        <v>9</v>
      </c>
      <c r="G63" s="5">
        <v>92472731</v>
      </c>
      <c r="H63" s="5">
        <v>92504026</v>
      </c>
      <c r="I63" s="5">
        <f t="shared" si="1"/>
        <v>31.295000000000002</v>
      </c>
      <c r="J63" s="5" t="s">
        <v>50</v>
      </c>
      <c r="K63" s="5" t="s">
        <v>42</v>
      </c>
    </row>
    <row r="64" spans="1:13" ht="20">
      <c r="A64" s="5" t="s">
        <v>31</v>
      </c>
      <c r="B64" s="5">
        <v>34</v>
      </c>
      <c r="C64" s="5">
        <v>303</v>
      </c>
      <c r="D64" s="5">
        <v>1</v>
      </c>
      <c r="E64" s="5" t="s">
        <v>41</v>
      </c>
      <c r="F64" s="5">
        <v>9</v>
      </c>
      <c r="G64" s="5">
        <v>118728421</v>
      </c>
      <c r="H64" s="5">
        <v>118748644</v>
      </c>
      <c r="I64" s="5">
        <f t="shared" si="1"/>
        <v>20.222999999999999</v>
      </c>
      <c r="J64" s="5" t="s">
        <v>50</v>
      </c>
      <c r="K64" s="5" t="s">
        <v>12</v>
      </c>
    </row>
    <row r="65" spans="1:13" ht="20">
      <c r="A65" s="5" t="s">
        <v>31</v>
      </c>
      <c r="B65" s="5">
        <v>90</v>
      </c>
      <c r="C65" s="5">
        <v>853</v>
      </c>
      <c r="D65" s="5">
        <v>3</v>
      </c>
      <c r="E65" s="5" t="s">
        <v>32</v>
      </c>
      <c r="F65" s="5">
        <v>11</v>
      </c>
      <c r="G65" s="5">
        <v>23743657</v>
      </c>
      <c r="H65" s="5">
        <v>23828785</v>
      </c>
      <c r="I65" s="5">
        <f t="shared" si="1"/>
        <v>85.128</v>
      </c>
      <c r="J65" s="5" t="s">
        <v>50</v>
      </c>
      <c r="K65" s="5" t="s">
        <v>42</v>
      </c>
    </row>
    <row r="66" spans="1:13" ht="20">
      <c r="A66" s="5" t="s">
        <v>31</v>
      </c>
      <c r="B66" s="6">
        <v>16</v>
      </c>
      <c r="C66" s="6">
        <v>84</v>
      </c>
      <c r="D66" s="6">
        <v>1</v>
      </c>
      <c r="E66" s="5" t="s">
        <v>41</v>
      </c>
      <c r="F66" s="6">
        <v>12</v>
      </c>
      <c r="G66" s="6">
        <v>2116111</v>
      </c>
      <c r="H66" s="6">
        <v>2140540</v>
      </c>
      <c r="I66" s="5">
        <f t="shared" si="1"/>
        <v>24.428999999999998</v>
      </c>
      <c r="J66" s="5" t="s">
        <v>50</v>
      </c>
      <c r="K66" s="7" t="s">
        <v>13</v>
      </c>
    </row>
    <row r="67" spans="1:13" ht="20">
      <c r="A67" s="5" t="s">
        <v>31</v>
      </c>
      <c r="B67" s="5">
        <v>82</v>
      </c>
      <c r="C67" s="5">
        <v>818</v>
      </c>
      <c r="D67" s="5">
        <v>3</v>
      </c>
      <c r="E67" s="5" t="s">
        <v>32</v>
      </c>
      <c r="F67" s="5">
        <v>13</v>
      </c>
      <c r="G67" s="5">
        <v>75431225</v>
      </c>
      <c r="H67" s="5">
        <v>75459484</v>
      </c>
      <c r="I67" s="5">
        <f t="shared" si="1"/>
        <v>28.259</v>
      </c>
      <c r="J67" s="5" t="s">
        <v>50</v>
      </c>
      <c r="K67" s="5" t="s">
        <v>42</v>
      </c>
    </row>
    <row r="68" spans="1:13" ht="70">
      <c r="A68" s="5" t="s">
        <v>31</v>
      </c>
      <c r="B68" s="5">
        <v>18</v>
      </c>
      <c r="C68" s="5">
        <v>96</v>
      </c>
      <c r="D68" s="5">
        <v>3</v>
      </c>
      <c r="E68" s="5" t="s">
        <v>32</v>
      </c>
      <c r="F68" s="5">
        <v>13</v>
      </c>
      <c r="G68" s="5">
        <v>101933444</v>
      </c>
      <c r="H68" s="5">
        <v>102322146</v>
      </c>
      <c r="I68" s="5">
        <f t="shared" si="1"/>
        <v>388.702</v>
      </c>
      <c r="J68" s="5" t="s">
        <v>50</v>
      </c>
      <c r="K68" s="5" t="s">
        <v>71</v>
      </c>
      <c r="L68" s="5" t="s">
        <v>35</v>
      </c>
      <c r="M68" s="5" t="s">
        <v>72</v>
      </c>
    </row>
    <row r="69" spans="1:13" ht="30">
      <c r="A69" s="5" t="s">
        <v>31</v>
      </c>
      <c r="B69" s="5">
        <v>39</v>
      </c>
      <c r="C69" s="5">
        <v>245</v>
      </c>
      <c r="D69" s="5">
        <v>1</v>
      </c>
      <c r="E69" s="5" t="s">
        <v>41</v>
      </c>
      <c r="F69" s="5">
        <v>14</v>
      </c>
      <c r="G69" s="5">
        <v>20179566</v>
      </c>
      <c r="H69" s="5">
        <v>20258525</v>
      </c>
      <c r="I69" s="5">
        <f t="shared" si="1"/>
        <v>78.959000000000003</v>
      </c>
      <c r="J69" s="5" t="s">
        <v>50</v>
      </c>
      <c r="K69" s="5" t="s">
        <v>73</v>
      </c>
      <c r="L69" s="5" t="s">
        <v>35</v>
      </c>
      <c r="M69" s="5" t="s">
        <v>74</v>
      </c>
    </row>
    <row r="70" spans="1:13" ht="20">
      <c r="A70" s="5" t="s">
        <v>31</v>
      </c>
      <c r="B70" s="5">
        <v>29</v>
      </c>
      <c r="C70" s="5">
        <v>144</v>
      </c>
      <c r="D70" s="5">
        <v>1</v>
      </c>
      <c r="E70" s="5" t="s">
        <v>41</v>
      </c>
      <c r="F70" s="5">
        <v>15</v>
      </c>
      <c r="G70" s="5">
        <v>64745866</v>
      </c>
      <c r="H70" s="5">
        <v>64767039</v>
      </c>
      <c r="I70" s="5">
        <f t="shared" si="1"/>
        <v>21.172999999999998</v>
      </c>
      <c r="J70" s="5" t="s">
        <v>50</v>
      </c>
      <c r="K70" s="5" t="s">
        <v>75</v>
      </c>
    </row>
    <row r="71" spans="1:13" ht="20">
      <c r="A71" s="5" t="s">
        <v>31</v>
      </c>
      <c r="B71" s="5">
        <v>16</v>
      </c>
      <c r="C71" s="5">
        <v>81</v>
      </c>
      <c r="D71" s="5">
        <v>1</v>
      </c>
      <c r="E71" s="5" t="s">
        <v>41</v>
      </c>
      <c r="F71" s="5">
        <v>16</v>
      </c>
      <c r="G71" s="5">
        <v>72328136</v>
      </c>
      <c r="H71" s="5">
        <v>72380055</v>
      </c>
      <c r="I71" s="5">
        <f t="shared" si="1"/>
        <v>51.918999999999997</v>
      </c>
      <c r="J71" s="5" t="s">
        <v>50</v>
      </c>
      <c r="K71" s="5" t="s">
        <v>42</v>
      </c>
    </row>
    <row r="72" spans="1:13" ht="20">
      <c r="A72" s="5" t="s">
        <v>31</v>
      </c>
      <c r="B72" s="5">
        <v>52</v>
      </c>
      <c r="C72" s="5">
        <v>382</v>
      </c>
      <c r="D72" s="5">
        <v>1</v>
      </c>
      <c r="E72" s="5" t="s">
        <v>41</v>
      </c>
      <c r="F72" s="5">
        <v>16</v>
      </c>
      <c r="G72" s="5">
        <v>76510100</v>
      </c>
      <c r="H72" s="5">
        <v>76590709</v>
      </c>
      <c r="I72" s="5">
        <f t="shared" si="1"/>
        <v>80.608999999999995</v>
      </c>
      <c r="J72" s="5" t="s">
        <v>50</v>
      </c>
      <c r="K72" s="5" t="s">
        <v>14</v>
      </c>
      <c r="L72" s="5" t="s">
        <v>35</v>
      </c>
      <c r="M72" s="5" t="s">
        <v>15</v>
      </c>
    </row>
    <row r="73" spans="1:13" ht="20">
      <c r="A73" s="5" t="s">
        <v>31</v>
      </c>
      <c r="B73" s="5">
        <v>30</v>
      </c>
      <c r="C73" s="5">
        <v>151</v>
      </c>
      <c r="D73" s="5">
        <v>3</v>
      </c>
      <c r="E73" s="5" t="s">
        <v>32</v>
      </c>
      <c r="F73" s="5">
        <v>17</v>
      </c>
      <c r="G73" s="5">
        <v>46508751</v>
      </c>
      <c r="H73" s="5">
        <v>46574631</v>
      </c>
      <c r="I73" s="5">
        <f t="shared" si="1"/>
        <v>65.88</v>
      </c>
      <c r="J73" s="5" t="s">
        <v>50</v>
      </c>
      <c r="K73" s="5" t="s">
        <v>16</v>
      </c>
    </row>
    <row r="74" spans="1:13" ht="20">
      <c r="A74" s="5" t="s">
        <v>31</v>
      </c>
      <c r="B74" s="7">
        <v>24</v>
      </c>
      <c r="C74" s="7">
        <v>122</v>
      </c>
      <c r="D74" s="7">
        <v>4</v>
      </c>
      <c r="E74" s="5" t="s">
        <v>32</v>
      </c>
      <c r="F74" s="7" t="s">
        <v>17</v>
      </c>
      <c r="G74" s="7">
        <v>297864</v>
      </c>
      <c r="H74" s="7">
        <v>371142</v>
      </c>
      <c r="I74" s="5">
        <f t="shared" si="1"/>
        <v>73.278000000000006</v>
      </c>
      <c r="J74" s="5" t="s">
        <v>50</v>
      </c>
      <c r="K74" s="5" t="s">
        <v>42</v>
      </c>
    </row>
  </sheetData>
  <sheetCalcPr fullCalcOnLoad="1"/>
  <phoneticPr fontId="1" type="noConversion"/>
  <pageMargins left="0.75" right="0.75" top="1" bottom="1" header="0.5" footer="0.5"/>
  <pageSetup paperSize="10"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Sanger Institute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Marc-Phillip Hitz</dc:creator>
  <cp:lastModifiedBy>Marc-Phillip Hitz</cp:lastModifiedBy>
  <dcterms:created xsi:type="dcterms:W3CDTF">2012-07-15T19:08:57Z</dcterms:created>
  <dcterms:modified xsi:type="dcterms:W3CDTF">2012-07-15T19:09:25Z</dcterms:modified>
</cp:coreProperties>
</file>