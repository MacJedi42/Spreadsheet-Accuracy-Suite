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17955" windowHeight="11025"/>
  </bookViews>
  <sheets>
    <sheet name="Pro forma Income Statement" sheetId="1" r:id="rId1"/>
  </sheets>
  <externalReferences>
    <externalReference r:id="rId2"/>
    <externalReference r:id="rId3"/>
    <externalReference r:id="rId4"/>
    <externalReference r:id="rId5"/>
  </externalReferences>
  <definedNames>
    <definedName name="_Key1" localSheetId="0" hidden="1">#REF!</definedName>
    <definedName name="_Key1" hidden="1">#REF!</definedName>
    <definedName name="_Key2" localSheetId="0" hidden="1">#REF!</definedName>
    <definedName name="_Order1" hidden="1">255</definedName>
    <definedName name="_Order2" hidden="1">0</definedName>
    <definedName name="_Sort" localSheetId="0" hidden="1">#REF!</definedName>
    <definedName name="_Sort" hidden="1">#REF!</definedName>
    <definedName name="Acquisitions">[2]Acquisitions!$A$1</definedName>
    <definedName name="AFS_Investments">'[2]AFS Investment'!$A$1</definedName>
    <definedName name="Assets_held_for_sale">'[2]Assets for sale'!$A$1</definedName>
    <definedName name="Brands">[3]Sheet2!#REF!</definedName>
    <definedName name="Brands1">[3]Sheet2!$B$1:$B$6</definedName>
    <definedName name="Cash_and_cash_equivalents">[2]Cash!$A$1</definedName>
    <definedName name="Client_liabilities_and_progressive_prize_pools">'[2]Client liab'!$A$1</definedName>
    <definedName name="Commitments_for_capital_expenditure">[2]Commitments!$A$1</definedName>
    <definedName name="Company_balance_sheet">[2]Company!$A$1</definedName>
    <definedName name="Comparative">[3]Sheet2!$D$1:$D$3</definedName>
    <definedName name="Consolidated_balance_sheet">'[2]Consol BS'!$A$1</definedName>
    <definedName name="Consolidated_income_statement">'[2]Consol Inc'!$A$1</definedName>
    <definedName name="Contingent_liabilities">[2]Contingent!$A$1</definedName>
    <definedName name="Currency">[3]Sheet2!$C$1:$C$2</definedName>
    <definedName name="Deferred_tax">'[2]Def tax'!$A$1</definedName>
    <definedName name="Deferredtax">'[4]Deferred tax'!$A$1</definedName>
    <definedName name="Discontinued_operations">[2]Discontinued!$A$1</definedName>
    <definedName name="Earnings_per_Share___EPS">[2]EPS!$A$1</definedName>
    <definedName name="Events_after">[4]Control!$A$25</definedName>
    <definedName name="Finance_income_and_costs">[2]Interest!$A$1</definedName>
    <definedName name="Financial_instruments_and_risk_management">[2]Risk1!$A$1</definedName>
    <definedName name="Intangible_assets">[2]Intangibles!$A$1</definedName>
    <definedName name="Investments">[2]Investments!$A$1</definedName>
    <definedName name="Loans_and_borrowings">[2]Loans!$A$1</definedName>
    <definedName name="Operating_lease_commitments">'[2]Op leases'!$A$1</definedName>
    <definedName name="Other_Operating_Expenses">'[2]Other Op Exps'!$A$1</definedName>
    <definedName name="Otherop">'[4]Other op inc exp'!$A$1</definedName>
    <definedName name="_xlnm.Print_Area" localSheetId="0">'Pro forma Income Statement'!$A$1:$J$151</definedName>
    <definedName name="Profit_from_operating_activities">[2]Profit!$A$1</definedName>
    <definedName name="Property__plant_and_equipment">[2]PPE!$A$1</definedName>
    <definedName name="qqq" localSheetId="0" hidden="1">#REF!</definedName>
    <definedName name="Related_parties">[2]Related!$A$1</definedName>
    <definedName name="Reserves">[2]Reserves!$A$1</definedName>
    <definedName name="Revenue_and_business_segment_information">[2]Segmental!$A$1</definedName>
    <definedName name="Share_based_payments">'[2]Share options'!$A$1</definedName>
    <definedName name="Share_based_payments_PL">[2]Options!$A$1</definedName>
    <definedName name="Share_capital">'[2]Share capital'!$A$1</definedName>
    <definedName name="Share_options">'[2]Share options'!$A$1</definedName>
    <definedName name="Short_term_investments">[2]STI!$A$1</definedName>
    <definedName name="Staff_costs">[2]Staff!$A$1</definedName>
    <definedName name="TableName">"Dummy"</definedName>
    <definedName name="Tables_prior_to_financial_information">[2]Review!$A$1</definedName>
    <definedName name="Tax">[2]Tax!$A$1</definedName>
    <definedName name="Trade_and_other_payables">'[2]Trade pay'!$A$1</definedName>
    <definedName name="Trade_and_other_receivables">'[2]Trade rec'!$A$1</definedName>
    <definedName name="Variance">[3]Sheet2!$A$1:$A$2</definedName>
    <definedName name="ww" localSheetId="0" hidden="1">#REF!</definedName>
  </definedNames>
  <calcPr calcId="145621"/>
</workbook>
</file>

<file path=xl/calcChain.xml><?xml version="1.0" encoding="utf-8"?>
<calcChain xmlns="http://schemas.openxmlformats.org/spreadsheetml/2006/main">
  <c r="G139" i="1" l="1"/>
  <c r="C139" i="1"/>
  <c r="D139" i="1" s="1"/>
  <c r="F138" i="1"/>
  <c r="G138" i="1" s="1"/>
  <c r="C138" i="1"/>
  <c r="D138" i="1" s="1"/>
  <c r="G137" i="1"/>
  <c r="D137" i="1"/>
  <c r="G136" i="1"/>
  <c r="D136" i="1"/>
  <c r="C136" i="1"/>
  <c r="B136" i="1"/>
  <c r="G135" i="1"/>
  <c r="E135" i="1"/>
  <c r="C135" i="1"/>
  <c r="B135" i="1"/>
  <c r="F129" i="1"/>
  <c r="G129" i="1" s="1"/>
  <c r="D129" i="1"/>
  <c r="G128" i="1"/>
  <c r="F128" i="1"/>
  <c r="D128" i="1"/>
  <c r="F127" i="1"/>
  <c r="G127" i="1" s="1"/>
  <c r="C127" i="1"/>
  <c r="B127" i="1"/>
  <c r="D127" i="1" s="1"/>
  <c r="G126" i="1"/>
  <c r="F126" i="1"/>
  <c r="C126" i="1"/>
  <c r="B126" i="1"/>
  <c r="D126" i="1" s="1"/>
  <c r="E125" i="1"/>
  <c r="C125" i="1"/>
  <c r="B125" i="1"/>
  <c r="D125" i="1" s="1"/>
  <c r="E124" i="1"/>
  <c r="G124" i="1" s="1"/>
  <c r="D124" i="1"/>
  <c r="C124" i="1"/>
  <c r="B124" i="1"/>
  <c r="G123" i="1"/>
  <c r="D123" i="1"/>
  <c r="E122" i="1"/>
  <c r="C122" i="1"/>
  <c r="B122" i="1"/>
  <c r="D122" i="1" s="1"/>
  <c r="H121" i="1"/>
  <c r="E121" i="1"/>
  <c r="D121" i="1"/>
  <c r="C121" i="1"/>
  <c r="B121" i="1"/>
  <c r="E110" i="1"/>
  <c r="E106" i="1"/>
  <c r="E98" i="1"/>
  <c r="B88" i="1"/>
  <c r="E85" i="1"/>
  <c r="G83" i="1"/>
  <c r="C83" i="1"/>
  <c r="B82" i="1"/>
  <c r="F73" i="1"/>
  <c r="D73" i="1"/>
  <c r="H135" i="1"/>
  <c r="F66" i="1"/>
  <c r="F135" i="1" s="1"/>
  <c r="D66" i="1"/>
  <c r="D135" i="1" s="1"/>
  <c r="F62" i="1"/>
  <c r="D62" i="1"/>
  <c r="F58" i="1"/>
  <c r="D58" i="1"/>
  <c r="F57" i="1"/>
  <c r="D57" i="1"/>
  <c r="F53" i="1"/>
  <c r="F121" i="1" s="1"/>
  <c r="D53" i="1"/>
  <c r="H125" i="1"/>
  <c r="F52" i="1"/>
  <c r="F125" i="1" s="1"/>
  <c r="D52" i="1"/>
  <c r="F51" i="1"/>
  <c r="D51" i="1"/>
  <c r="F50" i="1"/>
  <c r="D50" i="1"/>
  <c r="F49" i="1"/>
  <c r="D49" i="1"/>
  <c r="H122" i="1"/>
  <c r="F48" i="1"/>
  <c r="F122" i="1" s="1"/>
  <c r="D48" i="1"/>
  <c r="H124" i="1"/>
  <c r="F47" i="1"/>
  <c r="F124" i="1" s="1"/>
  <c r="D47" i="1"/>
  <c r="D46" i="1"/>
  <c r="H41" i="1"/>
  <c r="G41" i="1"/>
  <c r="E41" i="1"/>
  <c r="E113" i="1" s="1"/>
  <c r="C41" i="1"/>
  <c r="B41" i="1"/>
  <c r="F38" i="1"/>
  <c r="D38" i="1"/>
  <c r="F37" i="1"/>
  <c r="D37" i="1"/>
  <c r="F36" i="1"/>
  <c r="D36" i="1"/>
  <c r="F35" i="1"/>
  <c r="D35" i="1"/>
  <c r="F34" i="1"/>
  <c r="D34" i="1"/>
  <c r="G31" i="1"/>
  <c r="E31" i="1"/>
  <c r="E103" i="1" s="1"/>
  <c r="C31" i="1"/>
  <c r="B31" i="1"/>
  <c r="F28" i="1"/>
  <c r="D28" i="1"/>
  <c r="F27" i="1"/>
  <c r="D27" i="1"/>
  <c r="F26" i="1"/>
  <c r="D26" i="1"/>
  <c r="H31" i="1"/>
  <c r="F25" i="1"/>
  <c r="D25" i="1"/>
  <c r="D31" i="1" s="1"/>
  <c r="F23" i="1"/>
  <c r="D23" i="1"/>
  <c r="F17" i="1"/>
  <c r="D17" i="1"/>
  <c r="E16" i="1"/>
  <c r="E108" i="1" s="1"/>
  <c r="B16" i="1"/>
  <c r="B99" i="1" s="1"/>
  <c r="F13" i="1"/>
  <c r="D13" i="1"/>
  <c r="H12" i="1"/>
  <c r="G12" i="1"/>
  <c r="G85" i="1" s="1"/>
  <c r="E12" i="1"/>
  <c r="E83" i="1" s="1"/>
  <c r="C12" i="1"/>
  <c r="C85" i="1" s="1"/>
  <c r="B12" i="1"/>
  <c r="B84" i="1" s="1"/>
  <c r="F9" i="1"/>
  <c r="D9" i="1"/>
  <c r="F8" i="1"/>
  <c r="D8" i="1"/>
  <c r="H83" i="1"/>
  <c r="F7" i="1"/>
  <c r="D7" i="1"/>
  <c r="F6" i="1"/>
  <c r="F12" i="1" s="1"/>
  <c r="F16" i="1" s="1"/>
  <c r="D6" i="1"/>
  <c r="F20" i="1" l="1"/>
  <c r="F99" i="1"/>
  <c r="F107" i="1"/>
  <c r="D85" i="1"/>
  <c r="H88" i="1"/>
  <c r="H16" i="1"/>
  <c r="F97" i="1"/>
  <c r="C103" i="1"/>
  <c r="B107" i="1"/>
  <c r="H82" i="1"/>
  <c r="D12" i="1"/>
  <c r="D84" i="1" s="1"/>
  <c r="F83" i="1"/>
  <c r="F98" i="1"/>
  <c r="H99" i="1"/>
  <c r="B103" i="1"/>
  <c r="F108" i="1"/>
  <c r="F88" i="1"/>
  <c r="G125" i="1"/>
  <c r="H113" i="1"/>
  <c r="F41" i="1"/>
  <c r="F113" i="1" s="1"/>
  <c r="F106" i="1"/>
  <c r="F110" i="1"/>
  <c r="D41" i="1"/>
  <c r="B109" i="1"/>
  <c r="B97" i="1"/>
  <c r="B20" i="1"/>
  <c r="B44" i="1" s="1"/>
  <c r="B113" i="1"/>
  <c r="B110" i="1"/>
  <c r="B106" i="1"/>
  <c r="B98" i="1"/>
  <c r="B108" i="1"/>
  <c r="B100" i="1"/>
  <c r="H98" i="1"/>
  <c r="H108" i="1"/>
  <c r="C113" i="1"/>
  <c r="F82" i="1"/>
  <c r="H84" i="1"/>
  <c r="F85" i="1"/>
  <c r="F100" i="1"/>
  <c r="H107" i="1"/>
  <c r="F84" i="1"/>
  <c r="H85" i="1"/>
  <c r="H100" i="1"/>
  <c r="F31" i="1"/>
  <c r="F103" i="1" s="1"/>
  <c r="H106" i="1"/>
  <c r="F109" i="1"/>
  <c r="H110" i="1"/>
  <c r="G121" i="1"/>
  <c r="G122" i="1"/>
  <c r="E82" i="1"/>
  <c r="B83" i="1"/>
  <c r="C84" i="1"/>
  <c r="G84" i="1"/>
  <c r="E88" i="1"/>
  <c r="E99" i="1"/>
  <c r="E107" i="1"/>
  <c r="C82" i="1"/>
  <c r="G82" i="1"/>
  <c r="E84" i="1"/>
  <c r="B85" i="1"/>
  <c r="C88" i="1"/>
  <c r="G88" i="1"/>
  <c r="E97" i="1"/>
  <c r="E109" i="1"/>
  <c r="C16" i="1"/>
  <c r="G16" i="1"/>
  <c r="G113" i="1" s="1"/>
  <c r="E20" i="1"/>
  <c r="E44" i="1" s="1"/>
  <c r="E100" i="1"/>
  <c r="D82" i="1" l="1"/>
  <c r="G110" i="1"/>
  <c r="G106" i="1"/>
  <c r="G98" i="1"/>
  <c r="G108" i="1"/>
  <c r="G107" i="1"/>
  <c r="G99" i="1"/>
  <c r="G109" i="1"/>
  <c r="G97" i="1"/>
  <c r="G20" i="1"/>
  <c r="G44" i="1" s="1"/>
  <c r="G100" i="1"/>
  <c r="E94" i="1"/>
  <c r="E56" i="1"/>
  <c r="E61" i="1" s="1"/>
  <c r="E65" i="1" s="1"/>
  <c r="D88" i="1"/>
  <c r="D16" i="1"/>
  <c r="C110" i="1"/>
  <c r="C106" i="1"/>
  <c r="C98" i="1"/>
  <c r="C107" i="1"/>
  <c r="C99" i="1"/>
  <c r="C108" i="1"/>
  <c r="C109" i="1"/>
  <c r="C97" i="1"/>
  <c r="C20" i="1"/>
  <c r="C44" i="1" s="1"/>
  <c r="C100" i="1"/>
  <c r="D83" i="1"/>
  <c r="B94" i="1"/>
  <c r="B56" i="1"/>
  <c r="B61" i="1" s="1"/>
  <c r="B65" i="1" s="1"/>
  <c r="G103" i="1"/>
  <c r="H109" i="1"/>
  <c r="H97" i="1"/>
  <c r="H20" i="1"/>
  <c r="H44" i="1" s="1"/>
  <c r="H103" i="1"/>
  <c r="F44" i="1"/>
  <c r="D20" i="1" l="1"/>
  <c r="D44" i="1" s="1"/>
  <c r="D99" i="1"/>
  <c r="D106" i="1"/>
  <c r="D100" i="1"/>
  <c r="D97" i="1"/>
  <c r="D103" i="1"/>
  <c r="D107" i="1"/>
  <c r="D110" i="1"/>
  <c r="D109" i="1"/>
  <c r="D98" i="1"/>
  <c r="D108" i="1"/>
  <c r="D113" i="1"/>
  <c r="E120" i="1"/>
  <c r="E69" i="1"/>
  <c r="E76" i="1" s="1"/>
  <c r="E72" i="1" s="1"/>
  <c r="E148" i="1" s="1"/>
  <c r="G56" i="1"/>
  <c r="G61" i="1" s="1"/>
  <c r="G65" i="1" s="1"/>
  <c r="G69" i="1" s="1"/>
  <c r="G76" i="1" s="1"/>
  <c r="G72" i="1" s="1"/>
  <c r="G148" i="1" s="1"/>
  <c r="G94" i="1"/>
  <c r="F94" i="1"/>
  <c r="F56" i="1"/>
  <c r="F61" i="1" s="1"/>
  <c r="F65" i="1" s="1"/>
  <c r="H94" i="1"/>
  <c r="H56" i="1"/>
  <c r="H61" i="1" s="1"/>
  <c r="H65" i="1" s="1"/>
  <c r="B120" i="1"/>
  <c r="B69" i="1"/>
  <c r="B76" i="1" s="1"/>
  <c r="B72" i="1" s="1"/>
  <c r="B148" i="1" s="1"/>
  <c r="C56" i="1"/>
  <c r="C61" i="1" s="1"/>
  <c r="C65" i="1" s="1"/>
  <c r="C94" i="1"/>
  <c r="C120" i="1" l="1"/>
  <c r="C69" i="1"/>
  <c r="C76" i="1" s="1"/>
  <c r="C72" i="1" s="1"/>
  <c r="C148" i="1" s="1"/>
  <c r="F120" i="1"/>
  <c r="F69" i="1"/>
  <c r="F76" i="1" s="1"/>
  <c r="F72" i="1" s="1"/>
  <c r="F148" i="1" s="1"/>
  <c r="H69" i="1"/>
  <c r="H76" i="1" s="1"/>
  <c r="H72" i="1" s="1"/>
  <c r="H148" i="1" s="1"/>
  <c r="H120" i="1"/>
  <c r="B150" i="1"/>
  <c r="D120" i="1"/>
  <c r="B132" i="1"/>
  <c r="E150" i="1"/>
  <c r="G120" i="1"/>
  <c r="E132" i="1"/>
  <c r="D94" i="1"/>
  <c r="D56" i="1"/>
  <c r="D61" i="1" s="1"/>
  <c r="D65" i="1" s="1"/>
  <c r="D69" i="1" s="1"/>
  <c r="D76" i="1" s="1"/>
  <c r="D72" i="1" s="1"/>
  <c r="D148" i="1" s="1"/>
  <c r="G150" i="1" l="1"/>
  <c r="G132" i="1"/>
  <c r="F132" i="1"/>
  <c r="F150" i="1"/>
  <c r="E141" i="1"/>
  <c r="E149" i="1" s="1"/>
  <c r="E151" i="1"/>
  <c r="D132" i="1"/>
  <c r="D150" i="1"/>
  <c r="H132" i="1"/>
  <c r="H150" i="1"/>
  <c r="B151" i="1"/>
  <c r="B141" i="1"/>
  <c r="B149" i="1" s="1"/>
  <c r="C150" i="1"/>
  <c r="C132" i="1"/>
  <c r="D151" i="1" l="1"/>
  <c r="D141" i="1"/>
  <c r="D149" i="1" s="1"/>
  <c r="F151" i="1"/>
  <c r="F141" i="1"/>
  <c r="F149" i="1" s="1"/>
  <c r="C141" i="1"/>
  <c r="C149" i="1" s="1"/>
  <c r="C151" i="1"/>
  <c r="G141" i="1"/>
  <c r="G149" i="1" s="1"/>
  <c r="G151" i="1"/>
  <c r="H151" i="1"/>
  <c r="H141" i="1"/>
  <c r="H149" i="1" s="1"/>
</calcChain>
</file>

<file path=xl/sharedStrings.xml><?xml version="1.0" encoding="utf-8"?>
<sst xmlns="http://schemas.openxmlformats.org/spreadsheetml/2006/main" count="126" uniqueCount="75">
  <si>
    <t xml:space="preserve">H110 </t>
  </si>
  <si>
    <t xml:space="preserve">H210 </t>
  </si>
  <si>
    <t xml:space="preserve">2010 </t>
  </si>
  <si>
    <t xml:space="preserve">H111 </t>
  </si>
  <si>
    <t xml:space="preserve">H211 </t>
  </si>
  <si>
    <t xml:space="preserve">H112 </t>
  </si>
  <si>
    <t>Pro forma income statement</t>
  </si>
  <si>
    <t xml:space="preserve">€million </t>
  </si>
  <si>
    <t>Continuing operations</t>
  </si>
  <si>
    <t>Sports betting</t>
  </si>
  <si>
    <t>Casino and Games</t>
  </si>
  <si>
    <t>Poker</t>
  </si>
  <si>
    <t>Bingo</t>
  </si>
  <si>
    <t>Net revenue</t>
  </si>
  <si>
    <t>Other revenue</t>
  </si>
  <si>
    <t>Total revenue</t>
  </si>
  <si>
    <t>Cost of sales</t>
  </si>
  <si>
    <t>Gross profit</t>
  </si>
  <si>
    <t>Other operating income (expense)</t>
  </si>
  <si>
    <t>Transaction fees</t>
  </si>
  <si>
    <t>Staff costs</t>
  </si>
  <si>
    <t>Outsourced services</t>
  </si>
  <si>
    <t>Other overheads</t>
  </si>
  <si>
    <t>Clean EBITDA administrative expenses</t>
  </si>
  <si>
    <t>Customer acquisition and retention</t>
  </si>
  <si>
    <t>Affiliates</t>
  </si>
  <si>
    <t>Customer bad debts</t>
  </si>
  <si>
    <t>Third-party content</t>
  </si>
  <si>
    <t>Webhosting and technical services</t>
  </si>
  <si>
    <t>Clean EBITDA distribution expenses</t>
  </si>
  <si>
    <t>Clean EBITDA</t>
  </si>
  <si>
    <t>Cost of sales - Spanish back taxes</t>
  </si>
  <si>
    <t>Other operating income (expense) - exchange gains (losses)</t>
  </si>
  <si>
    <t>Other operating income (expense) - merger and acquisition costs</t>
  </si>
  <si>
    <t>Administrative expenses - amortisation</t>
  </si>
  <si>
    <t>Administrative expenses - depreciation</t>
  </si>
  <si>
    <t>Administrative expenses - impairment (losses) reversal of losses</t>
  </si>
  <si>
    <t>Administrative expenses - share-based payments</t>
  </si>
  <si>
    <t>Administrative expenses - reorganisation costs</t>
  </si>
  <si>
    <t>Profit (loss) from operating activities</t>
  </si>
  <si>
    <t>Net finance income (expense)</t>
  </si>
  <si>
    <t>Share of profit (loss) of associate</t>
  </si>
  <si>
    <t>Profit (loss) before tax</t>
  </si>
  <si>
    <t>Tax</t>
  </si>
  <si>
    <t>Profit (loss) after tax from Continuing operations</t>
  </si>
  <si>
    <t>Profit (loss) after tax from Discontinued operations</t>
  </si>
  <si>
    <t>Profit (loss) for the year</t>
  </si>
  <si>
    <t>Equity holders of the parent</t>
  </si>
  <si>
    <t>Non-controlling interests</t>
  </si>
  <si>
    <t>Proforma net revenue</t>
  </si>
  <si>
    <t>H112</t>
  </si>
  <si>
    <r>
      <t xml:space="preserve">Proforma clean EBITDA margins </t>
    </r>
    <r>
      <rPr>
        <i/>
        <sz val="11"/>
        <color rgb="FF323963"/>
        <rFont val="Arial"/>
        <family val="2"/>
      </rPr>
      <t xml:space="preserve"> (cost / total revenue)</t>
    </r>
  </si>
  <si>
    <t>Basic EPS</t>
  </si>
  <si>
    <t>2011</t>
  </si>
  <si>
    <t>Continuing profit (loss) for the year - equity holders of the parent</t>
  </si>
  <si>
    <t>Reorganisation expenses</t>
  </si>
  <si>
    <t>Merger and acquisition costs</t>
  </si>
  <si>
    <t>Retroactive taxes and associated charges</t>
  </si>
  <si>
    <t>Exchange differences</t>
  </si>
  <si>
    <t>Share-based payments</t>
  </si>
  <si>
    <t>Amortisation on acquired intangible assets</t>
  </si>
  <si>
    <t>Tax on amortisation on acquired intangible assets</t>
  </si>
  <si>
    <t>Impairment on acquired intangible assets</t>
  </si>
  <si>
    <t>Tax on impairment on acquired intangible assets</t>
  </si>
  <si>
    <t>Continuing Clean net earnings exc amortisation on acquisitions</t>
  </si>
  <si>
    <t>Discontinued profit (loss) for the year</t>
  </si>
  <si>
    <t>Unwinding of NPA discount</t>
  </si>
  <si>
    <t>Clean net earnings exc amortisation on acquisitions</t>
  </si>
  <si>
    <t>Weighted average number of shares</t>
  </si>
  <si>
    <t>Basic (m)</t>
  </si>
  <si>
    <t>Basic EPS (€ cents)</t>
  </si>
  <si>
    <t>Standard</t>
  </si>
  <si>
    <t>Standard Clean exc amortisation and impairments on acquisitions</t>
  </si>
  <si>
    <t>Continuing</t>
  </si>
  <si>
    <t>Continuing Clean exc amortisation and impairments on acquisitions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</si>
</sst>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2">
    <numFmt numFmtId="43" formatCode="_-* #,##0.00_-;\-* #,##0.00_-;_-* &quot;-&quot;??_-;_-@_-"/>
    <numFmt numFmtId="164" formatCode="#,##0.0_);\(#,##0.0\);\-_)"/>
    <numFmt numFmtId="165" formatCode="[$GBP]\ #,##0"/>
    <numFmt numFmtId="166" formatCode="#,##0.0_);[Red]\(#,##0.0\);\-_)"/>
    <numFmt numFmtId="167" formatCode="#,##0.0"/>
    <numFmt numFmtId="168" formatCode="0.0%"/>
    <numFmt numFmtId="169" formatCode="#,##0.00_ ;[Red]\-#,##0.00;\-"/>
    <numFmt numFmtId="170" formatCode="[$€-1809]#,##0.0"/>
    <numFmt numFmtId="171" formatCode="_([$€-2]* #,##0.00_);_([$€-2]* \(#,##0.00\);_([$€-2]* &quot;-&quot;??_)"/>
    <numFmt numFmtId="172" formatCode="[$€-2]\ #,##0;[Red]\-[$€-2]\ #,##0"/>
    <numFmt numFmtId="173" formatCode="#,##0.000"/>
    <numFmt numFmtId="174" formatCode="#,##0;\(#,##0\);&quot; - &quot;"/>
    <numFmt numFmtId="175" formatCode="###0_);[Red]\(###0\)"/>
    <numFmt numFmtId="176" formatCode="#,##0.00;\-#,##0.00;&quot;-&quot;"/>
    <numFmt numFmtId="177" formatCode="#,##0%;\-#,##0%;&quot;- &quot;"/>
    <numFmt numFmtId="178" formatCode="_-* #,##0\ _F_B_-;\-* #,##0\ _F_B_-;_-* &quot;-&quot;\ _F_B_-;_-@_-"/>
    <numFmt numFmtId="179" formatCode="_-* #,##0.00\ &quot;FB&quot;_-;\-* #,##0.00\ &quot;FB&quot;_-;_-* &quot;-&quot;??\ &quot;FB&quot;_-;_-@_-"/>
    <numFmt numFmtId="180" formatCode="#,##0;\-#,##0;&quot;-&quot;"/>
    <numFmt numFmtId="181" formatCode="_-* #,##0.00\ _F_B_-;\-* #,##0.00\ _F_B_-;_-* &quot;-&quot;??\ _F_B_-;_-@_-"/>
    <numFmt numFmtId="182" formatCode="_(* #,##0.00_);_(* \(#,##0.00\);_(* &quot;-&quot;??_);_(@_)"/>
    <numFmt numFmtId="183" formatCode="_-* #,##0.000_-;\-* #,##0.000_-;_-* &quot;-&quot;??_-;_-@_-"/>
    <numFmt numFmtId="184" formatCode="_(* #,##0_);_(* \(#,##0\);_(* &quot;-&quot;_);_(@_)"/>
    <numFmt numFmtId="185" formatCode="#,##0.0;\(#,##0.0\)"/>
    <numFmt numFmtId="186" formatCode="0.0%;\(0.0%\)"/>
    <numFmt numFmtId="187" formatCode="#,##0.0%;\(#,##0.0\)%"/>
    <numFmt numFmtId="188" formatCode="#,##0.0_);[Red]\(#,##0.0\)"/>
    <numFmt numFmtId="189" formatCode="#,##0.0_);\(#,##0.0\)"/>
    <numFmt numFmtId="190" formatCode="_-* #,##0\ _€_-;\-* #,##0\ _€_-;_-* &quot;-&quot;\ _€_-;_-@_-"/>
    <numFmt numFmtId="191" formatCode="_-* #,##0.00\ _€_-;\-* #,##0.00\ _€_-;_-* &quot;-&quot;??\ _€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€&quot;_-;\-* #,##0\ &quot;€&quot;_-;_-* &quot;-&quot;\ &quot;€&quot;_-;_-@_-"/>
    <numFmt numFmtId="195" formatCode="_-* #,##0.00\ &quot;€&quot;_-;\-* #,##0.00\ &quot;€&quot;_-;_-* &quot;-&quot;??\ &quot;€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(&quot;$&quot;* #,##0.00_);_(&quot;$&quot;* \(#,##0.00\);_(&quot;$&quot;* &quot;-&quot;??_);_(@_)"/>
    <numFmt numFmtId="199" formatCode="0.00_)"/>
    <numFmt numFmtId="200" formatCode="#,##0.00;[Red]\(#,##0.00\)"/>
    <numFmt numFmtId="201" formatCode="&quot;$&quot;#,##0_);\(&quot;$&quot;#,##0\)"/>
    <numFmt numFmtId="202" formatCode="mm/dd/yy"/>
    <numFmt numFmtId="203" formatCode="dd\-mmm\-yyyy"/>
    <numFmt numFmtId="204" formatCode="_(&quot;$&quot;* #,##0_);_(&quot;$&quot;* \(#,##0\);_(&quot;$&quot;* &quot;-&quot;_);_(@_)"/>
  </numFmts>
  <fonts count="10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1"/>
      <name val="Arial"/>
      <family val="2"/>
    </font>
    <font>
      <sz val="10"/>
      <color rgb="FF323963"/>
      <name val="Arial"/>
      <family val="2"/>
    </font>
    <font>
      <sz val="10"/>
      <color rgb="FF002060"/>
      <name val="Arial"/>
      <family val="2"/>
    </font>
    <font>
      <b/>
      <sz val="10"/>
      <color rgb="FF323963"/>
      <name val="Arial"/>
      <family val="2"/>
    </font>
    <font>
      <sz val="8"/>
      <color rgb="FF323963"/>
      <name val="Arial"/>
      <family val="2"/>
    </font>
    <font>
      <b/>
      <sz val="8"/>
      <color rgb="FF323963"/>
      <name val="Arial"/>
      <family val="2"/>
    </font>
    <font>
      <b/>
      <sz val="11"/>
      <color rgb="FF323963"/>
      <name val="Arial"/>
      <family val="2"/>
    </font>
    <font>
      <i/>
      <sz val="10"/>
      <color rgb="FF323963"/>
      <name val="Arial"/>
      <family val="2"/>
    </font>
    <font>
      <b/>
      <i/>
      <sz val="10"/>
      <color rgb="FF323963"/>
      <name val="Arial"/>
      <family val="2"/>
    </font>
    <font>
      <i/>
      <sz val="11"/>
      <color rgb="FF32396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i/>
      <sz val="10"/>
      <name val="Arial"/>
      <family val="2"/>
    </font>
    <font>
      <i/>
      <sz val="10"/>
      <color indexed="13"/>
      <name val="Arial"/>
      <family val="2"/>
    </font>
    <font>
      <b/>
      <i/>
      <sz val="10"/>
      <name val="Arial"/>
      <family val="2"/>
    </font>
    <font>
      <sz val="10"/>
      <color indexed="13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8"/>
      <name val="Times New Roman"/>
      <family val="1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8"/>
      <name val="Arial"/>
      <family val="2"/>
    </font>
    <font>
      <b/>
      <sz val="11"/>
      <color indexed="52"/>
      <name val="Calibri"/>
      <family val="2"/>
    </font>
    <font>
      <b/>
      <sz val="7"/>
      <name val="Zurich Cn BT"/>
    </font>
    <font>
      <sz val="10"/>
      <color indexed="8"/>
      <name val="Arial"/>
      <family val="2"/>
    </font>
    <font>
      <b/>
      <sz val="11"/>
      <color indexed="5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9.75"/>
      <name val="Abadi MT Condensed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name val="BERNHARD"/>
    </font>
    <font>
      <sz val="10"/>
      <name val="Helv"/>
    </font>
    <font>
      <sz val="10"/>
      <name val="MS Serif"/>
      <family val="1"/>
    </font>
    <font>
      <sz val="10"/>
      <name val="Courier"/>
      <family val="3"/>
    </font>
    <font>
      <i/>
      <sz val="12"/>
      <name val="Arial Narrow"/>
      <family val="2"/>
    </font>
    <font>
      <sz val="10"/>
      <color indexed="47"/>
      <name val="Arial"/>
      <family val="2"/>
    </font>
    <font>
      <sz val="8"/>
      <color indexed="47"/>
      <name val="Arial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9"/>
      <name val="Arial Narrow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theme="3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2"/>
      <name val="Helv"/>
    </font>
    <font>
      <u/>
      <sz val="7.5"/>
      <color indexed="12"/>
      <name val="Arial"/>
      <family val="2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sz val="11"/>
      <color indexed="53"/>
      <name val="Calibri"/>
      <family val="2"/>
    </font>
    <font>
      <sz val="12"/>
      <color indexed="9"/>
      <name val="Helv"/>
    </font>
    <font>
      <sz val="11"/>
      <color indexed="60"/>
      <name val="Calibri"/>
      <family val="2"/>
    </font>
    <font>
      <b/>
      <i/>
      <sz val="16"/>
      <name val="Helv"/>
    </font>
    <font>
      <sz val="10"/>
      <name val="Arial Narrow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sz val="10"/>
      <color indexed="10"/>
      <name val="Arial"/>
      <family val="2"/>
    </font>
    <font>
      <sz val="10"/>
      <name val="Tms Rmn"/>
    </font>
    <font>
      <sz val="10"/>
      <name val="MS Sans Serif"/>
      <family val="2"/>
    </font>
    <font>
      <b/>
      <sz val="10"/>
      <name val="MS Sans Serif"/>
      <family val="2"/>
    </font>
    <font>
      <sz val="8"/>
      <name val="Wingdings"/>
      <charset val="2"/>
    </font>
    <font>
      <b/>
      <sz val="12"/>
      <color indexed="8"/>
      <name val="Arial"/>
      <family val="2"/>
    </font>
    <font>
      <sz val="8"/>
      <name val="Helv"/>
    </font>
    <font>
      <sz val="10"/>
      <name val="Abadi MT Condensed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10"/>
      <color indexed="62"/>
      <name val="Times New Roman"/>
      <family val="1"/>
    </font>
    <font>
      <i/>
      <sz val="8"/>
      <color indexed="62"/>
      <name val="Times New Roman"/>
      <family val="1"/>
    </font>
    <font>
      <sz val="8"/>
      <name val="MS Sans Serif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22"/>
      <color indexed="18"/>
      <name val="Abadi MT Condensed Extra Bold"/>
      <family val="2"/>
    </font>
    <font>
      <sz val="8"/>
      <color indexed="8"/>
      <name val="Wingdings"/>
      <charset val="2"/>
    </font>
    <font>
      <sz val="10"/>
      <name val="Times New Roman Cyr"/>
      <charset val="204"/>
    </font>
  </fonts>
  <fills count="7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5"/>
        <bgColor indexed="29"/>
      </patternFill>
    </fill>
    <fill>
      <patternFill patternType="solid">
        <fgColor indexed="28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12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15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darkVertical"/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323963"/>
      </top>
      <bottom/>
      <diagonal/>
    </border>
    <border>
      <left/>
      <right/>
      <top/>
      <bottom style="thick">
        <color rgb="FF323963"/>
      </bottom>
      <diagonal/>
    </border>
    <border>
      <left/>
      <right/>
      <top/>
      <bottom style="thin">
        <color rgb="FF323963"/>
      </bottom>
      <diagonal/>
    </border>
    <border>
      <left/>
      <right/>
      <top style="thick">
        <color rgb="FF323963"/>
      </top>
      <bottom style="thick">
        <color rgb="FF323963"/>
      </bottom>
      <diagonal/>
    </border>
    <border>
      <left/>
      <right/>
      <top/>
      <bottom style="hair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3479">
    <xf numFmtId="0" fontId="0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/>
    <xf numFmtId="0" fontId="16" fillId="4" borderId="0"/>
    <xf numFmtId="0" fontId="16" fillId="4" borderId="0"/>
    <xf numFmtId="0" fontId="16" fillId="4" borderId="0"/>
    <xf numFmtId="0" fontId="17" fillId="4" borderId="0"/>
    <xf numFmtId="0" fontId="18" fillId="5" borderId="0"/>
    <xf numFmtId="0" fontId="19" fillId="4" borderId="0"/>
    <xf numFmtId="0" fontId="20" fillId="6" borderId="0"/>
    <xf numFmtId="0" fontId="21" fillId="4" borderId="0"/>
    <xf numFmtId="0" fontId="22" fillId="7" borderId="0"/>
    <xf numFmtId="0" fontId="23" fillId="4" borderId="0"/>
    <xf numFmtId="0" fontId="23" fillId="0" borderId="0"/>
    <xf numFmtId="0" fontId="24" fillId="4" borderId="0"/>
    <xf numFmtId="0" fontId="24" fillId="0" borderId="0"/>
    <xf numFmtId="0" fontId="25" fillId="4" borderId="0"/>
    <xf numFmtId="0" fontId="25" fillId="0" borderId="0"/>
    <xf numFmtId="169" fontId="16" fillId="8" borderId="10"/>
    <xf numFmtId="169" fontId="16" fillId="8" borderId="10"/>
    <xf numFmtId="4" fontId="16" fillId="8" borderId="0"/>
    <xf numFmtId="4" fontId="16" fillId="8" borderId="0"/>
    <xf numFmtId="0" fontId="19" fillId="8" borderId="0"/>
    <xf numFmtId="0" fontId="19" fillId="9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7" fillId="4" borderId="0"/>
    <xf numFmtId="0" fontId="18" fillId="5" borderId="0"/>
    <xf numFmtId="0" fontId="19" fillId="4" borderId="0"/>
    <xf numFmtId="0" fontId="20" fillId="6" borderId="0"/>
    <xf numFmtId="0" fontId="16" fillId="4" borderId="0"/>
    <xf numFmtId="0" fontId="22" fillId="7" borderId="0"/>
    <xf numFmtId="0" fontId="23" fillId="4" borderId="0"/>
    <xf numFmtId="0" fontId="23" fillId="0" borderId="0"/>
    <xf numFmtId="0" fontId="24" fillId="4" borderId="0"/>
    <xf numFmtId="0" fontId="24" fillId="0" borderId="0"/>
    <xf numFmtId="0" fontId="25" fillId="4" borderId="0"/>
    <xf numFmtId="0" fontId="25" fillId="0" borderId="0"/>
    <xf numFmtId="170" fontId="16" fillId="0" borderId="0"/>
    <xf numFmtId="171" fontId="16" fillId="0" borderId="0"/>
    <xf numFmtId="172" fontId="26" fillId="0" borderId="0"/>
    <xf numFmtId="170" fontId="27" fillId="10" borderId="0" applyNumberFormat="0" applyBorder="0" applyAlignment="0" applyProtection="0"/>
    <xf numFmtId="170" fontId="27" fillId="10" borderId="0" applyNumberFormat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0" fontId="27" fillId="10" borderId="0" applyNumberFormat="0" applyBorder="0" applyAlignment="0" applyProtection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0" fontId="27" fillId="10" borderId="0" applyNumberFormat="0" applyBorder="0" applyAlignment="0" applyProtection="0"/>
    <xf numFmtId="170" fontId="27" fillId="13" borderId="0" applyNumberFormat="0" applyBorder="0" applyAlignment="0" applyProtection="0"/>
    <xf numFmtId="170" fontId="27" fillId="13" borderId="0" applyNumberFormat="0" applyBorder="0" applyAlignment="0" applyProtection="0"/>
    <xf numFmtId="171" fontId="28" fillId="0" borderId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0" fontId="27" fillId="13" borderId="0" applyNumberFormat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0" fontId="27" fillId="13" borderId="0" applyNumberFormat="0" applyBorder="0" applyAlignment="0" applyProtection="0"/>
    <xf numFmtId="170" fontId="27" fillId="14" borderId="0" applyNumberFormat="0" applyBorder="0" applyAlignment="0" applyProtection="0"/>
    <xf numFmtId="170" fontId="27" fillId="14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8" fillId="0" borderId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0" fontId="27" fillId="14" borderId="0" applyNumberFormat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0" fontId="27" fillId="14" borderId="0" applyNumberFormat="0" applyBorder="0" applyAlignment="0" applyProtection="0"/>
    <xf numFmtId="170" fontId="27" fillId="15" borderId="0" applyNumberFormat="0" applyBorder="0" applyAlignment="0" applyProtection="0"/>
    <xf numFmtId="170" fontId="27" fillId="15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8" fillId="0" borderId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0" fontId="27" fillId="15" borderId="0" applyNumberFormat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0" fontId="27" fillId="15" borderId="0" applyNumberFormat="0" applyBorder="0" applyAlignment="0" applyProtection="0"/>
    <xf numFmtId="170" fontId="27" fillId="16" borderId="0" applyNumberFormat="0" applyBorder="0" applyAlignment="0" applyProtection="0"/>
    <xf numFmtId="170" fontId="27" fillId="16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0" fontId="27" fillId="16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0" fontId="27" fillId="16" borderId="0" applyNumberFormat="0" applyBorder="0" applyAlignment="0" applyProtection="0"/>
    <xf numFmtId="170" fontId="27" fillId="17" borderId="0" applyNumberFormat="0" applyBorder="0" applyAlignment="0" applyProtection="0"/>
    <xf numFmtId="170" fontId="27" fillId="17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0" fontId="27" fillId="17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0" fontId="27" fillId="17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7" borderId="0" applyNumberFormat="0" applyBorder="0" applyAlignment="0" applyProtection="0"/>
    <xf numFmtId="171" fontId="27" fillId="18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9" borderId="0" applyNumberFormat="0" applyBorder="0" applyAlignment="0" applyProtection="0"/>
    <xf numFmtId="171" fontId="27" fillId="20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21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3" fontId="25" fillId="0" borderId="0">
      <alignment horizontal="right"/>
    </xf>
    <xf numFmtId="170" fontId="27" fillId="23" borderId="0" applyNumberFormat="0" applyBorder="0" applyAlignment="0" applyProtection="0"/>
    <xf numFmtId="170" fontId="27" fillId="23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0" fontId="27" fillId="23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0" fontId="27" fillId="23" borderId="0" applyNumberFormat="0" applyBorder="0" applyAlignment="0" applyProtection="0"/>
    <xf numFmtId="170" fontId="27" fillId="25" borderId="0" applyNumberFormat="0" applyBorder="0" applyAlignment="0" applyProtection="0"/>
    <xf numFmtId="170" fontId="27" fillId="25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0" fontId="27" fillId="25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0" fontId="27" fillId="25" borderId="0" applyNumberFormat="0" applyBorder="0" applyAlignment="0" applyProtection="0"/>
    <xf numFmtId="170" fontId="27" fillId="26" borderId="0" applyNumberFormat="0" applyBorder="0" applyAlignment="0" applyProtection="0"/>
    <xf numFmtId="170" fontId="27" fillId="26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0" fontId="27" fillId="26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1" fontId="27" fillId="27" borderId="0" applyNumberFormat="0" applyBorder="0" applyAlignment="0" applyProtection="0"/>
    <xf numFmtId="170" fontId="27" fillId="26" borderId="0" applyNumberFormat="0" applyBorder="0" applyAlignment="0" applyProtection="0"/>
    <xf numFmtId="170" fontId="27" fillId="15" borderId="0" applyNumberFormat="0" applyBorder="0" applyAlignment="0" applyProtection="0"/>
    <xf numFmtId="170" fontId="27" fillId="15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0" fontId="27" fillId="15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1" fontId="27" fillId="24" borderId="0" applyNumberFormat="0" applyBorder="0" applyAlignment="0" applyProtection="0"/>
    <xf numFmtId="170" fontId="27" fillId="15" borderId="0" applyNumberFormat="0" applyBorder="0" applyAlignment="0" applyProtection="0"/>
    <xf numFmtId="170" fontId="27" fillId="23" borderId="0" applyNumberFormat="0" applyBorder="0" applyAlignment="0" applyProtection="0"/>
    <xf numFmtId="170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0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1" fontId="27" fillId="23" borderId="0" applyNumberFormat="0" applyBorder="0" applyAlignment="0" applyProtection="0"/>
    <xf numFmtId="170" fontId="27" fillId="23" borderId="0" applyNumberFormat="0" applyBorder="0" applyAlignment="0" applyProtection="0"/>
    <xf numFmtId="170" fontId="27" fillId="28" borderId="0" applyNumberFormat="0" applyBorder="0" applyAlignment="0" applyProtection="0"/>
    <xf numFmtId="170" fontId="27" fillId="28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0" fontId="27" fillId="28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15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15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0" fontId="29" fillId="29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0" fontId="29" fillId="29" borderId="0" applyNumberFormat="0" applyBorder="0" applyAlignment="0" applyProtection="0"/>
    <xf numFmtId="170" fontId="29" fillId="25" borderId="0" applyNumberFormat="0" applyBorder="0" applyAlignment="0" applyProtection="0"/>
    <xf numFmtId="170" fontId="29" fillId="25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0" fontId="29" fillId="25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0" fontId="29" fillId="25" borderId="0" applyNumberFormat="0" applyBorder="0" applyAlignment="0" applyProtection="0"/>
    <xf numFmtId="170" fontId="29" fillId="26" borderId="0" applyNumberFormat="0" applyBorder="0" applyAlignment="0" applyProtection="0"/>
    <xf numFmtId="170" fontId="29" fillId="26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0" fontId="29" fillId="26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1" fontId="29" fillId="29" borderId="0" applyNumberFormat="0" applyBorder="0" applyAlignment="0" applyProtection="0"/>
    <xf numFmtId="170" fontId="29" fillId="26" borderId="0" applyNumberFormat="0" applyBorder="0" applyAlignment="0" applyProtection="0"/>
    <xf numFmtId="170" fontId="29" fillId="31" borderId="0" applyNumberFormat="0" applyBorder="0" applyAlignment="0" applyProtection="0"/>
    <xf numFmtId="170" fontId="29" fillId="31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0" fontId="29" fillId="31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1" fontId="29" fillId="24" borderId="0" applyNumberFormat="0" applyBorder="0" applyAlignment="0" applyProtection="0"/>
    <xf numFmtId="170" fontId="29" fillId="31" borderId="0" applyNumberFormat="0" applyBorder="0" applyAlignment="0" applyProtection="0"/>
    <xf numFmtId="170" fontId="29" fillId="30" borderId="0" applyNumberFormat="0" applyBorder="0" applyAlignment="0" applyProtection="0"/>
    <xf numFmtId="170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0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1" fontId="29" fillId="30" borderId="0" applyNumberFormat="0" applyBorder="0" applyAlignment="0" applyProtection="0"/>
    <xf numFmtId="170" fontId="29" fillId="30" borderId="0" applyNumberFormat="0" applyBorder="0" applyAlignment="0" applyProtection="0"/>
    <xf numFmtId="170" fontId="29" fillId="32" borderId="0" applyNumberFormat="0" applyBorder="0" applyAlignment="0" applyProtection="0"/>
    <xf numFmtId="170" fontId="29" fillId="32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0" fontId="29" fillId="32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1" fontId="29" fillId="17" borderId="0" applyNumberFormat="0" applyBorder="0" applyAlignment="0" applyProtection="0"/>
    <xf numFmtId="170" fontId="29" fillId="32" borderId="0" applyNumberFormat="0" applyBorder="0" applyAlignment="0" applyProtection="0"/>
    <xf numFmtId="0" fontId="29" fillId="29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0" borderId="0" applyNumberFormat="0" applyBorder="0" applyAlignment="0" applyProtection="0"/>
    <xf numFmtId="0" fontId="29" fillId="32" borderId="0" applyNumberFormat="0" applyBorder="0" applyAlignment="0" applyProtection="0"/>
    <xf numFmtId="0" fontId="29" fillId="29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0" borderId="0" applyNumberFormat="0" applyBorder="0" applyAlignment="0" applyProtection="0"/>
    <xf numFmtId="0" fontId="29" fillId="32" borderId="0" applyNumberFormat="0" applyBorder="0" applyAlignment="0" applyProtection="0"/>
    <xf numFmtId="171" fontId="27" fillId="33" borderId="0" applyNumberFormat="0" applyBorder="0" applyAlignment="0" applyProtection="0"/>
    <xf numFmtId="171" fontId="27" fillId="33" borderId="0" applyNumberFormat="0" applyBorder="0" applyAlignment="0" applyProtection="0"/>
    <xf numFmtId="171" fontId="29" fillId="34" borderId="0" applyNumberFormat="0" applyBorder="0" applyAlignment="0" applyProtection="0"/>
    <xf numFmtId="170" fontId="29" fillId="35" borderId="0" applyNumberFormat="0" applyBorder="0" applyAlignment="0" applyProtection="0"/>
    <xf numFmtId="171" fontId="29" fillId="36" borderId="0" applyNumberFormat="0" applyBorder="0" applyAlignment="0" applyProtection="0"/>
    <xf numFmtId="171" fontId="29" fillId="37" borderId="0" applyNumberFormat="0" applyBorder="0" applyAlignment="0" applyProtection="0"/>
    <xf numFmtId="171" fontId="29" fillId="37" borderId="0" applyNumberFormat="0" applyBorder="0" applyAlignment="0" applyProtection="0"/>
    <xf numFmtId="171" fontId="29" fillId="37" borderId="0" applyNumberFormat="0" applyBorder="0" applyAlignment="0" applyProtection="0"/>
    <xf numFmtId="171" fontId="29" fillId="37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0" fontId="29" fillId="35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0" fontId="29" fillId="35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0" fontId="29" fillId="35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7" fillId="38" borderId="0" applyNumberFormat="0" applyBorder="0" applyAlignment="0" applyProtection="0"/>
    <xf numFmtId="171" fontId="27" fillId="39" borderId="0" applyNumberFormat="0" applyBorder="0" applyAlignment="0" applyProtection="0"/>
    <xf numFmtId="171" fontId="29" fillId="40" borderId="0" applyNumberFormat="0" applyBorder="0" applyAlignment="0" applyProtection="0"/>
    <xf numFmtId="170" fontId="29" fillId="41" borderId="0" applyNumberFormat="0" applyBorder="0" applyAlignment="0" applyProtection="0"/>
    <xf numFmtId="171" fontId="29" fillId="42" borderId="0" applyNumberFormat="0" applyBorder="0" applyAlignment="0" applyProtection="0"/>
    <xf numFmtId="171" fontId="29" fillId="43" borderId="0" applyNumberFormat="0" applyBorder="0" applyAlignment="0" applyProtection="0"/>
    <xf numFmtId="171" fontId="29" fillId="43" borderId="0" applyNumberFormat="0" applyBorder="0" applyAlignment="0" applyProtection="0"/>
    <xf numFmtId="171" fontId="29" fillId="43" borderId="0" applyNumberFormat="0" applyBorder="0" applyAlignment="0" applyProtection="0"/>
    <xf numFmtId="171" fontId="29" fillId="43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0" fontId="29" fillId="41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0" fontId="29" fillId="41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0" fontId="29" fillId="41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9" fillId="42" borderId="0" applyNumberFormat="0" applyBorder="0" applyAlignment="0" applyProtection="0"/>
    <xf numFmtId="171" fontId="27" fillId="38" borderId="0" applyNumberFormat="0" applyBorder="0" applyAlignment="0" applyProtection="0"/>
    <xf numFmtId="171" fontId="27" fillId="44" borderId="0" applyNumberFormat="0" applyBorder="0" applyAlignment="0" applyProtection="0"/>
    <xf numFmtId="171" fontId="29" fillId="39" borderId="0" applyNumberFormat="0" applyBorder="0" applyAlignment="0" applyProtection="0"/>
    <xf numFmtId="170" fontId="29" fillId="45" borderId="0" applyNumberFormat="0" applyBorder="0" applyAlignment="0" applyProtection="0"/>
    <xf numFmtId="171" fontId="29" fillId="40" borderId="0" applyNumberFormat="0" applyBorder="0" applyAlignment="0" applyProtection="0"/>
    <xf numFmtId="171" fontId="29" fillId="46" borderId="0" applyNumberFormat="0" applyBorder="0" applyAlignment="0" applyProtection="0"/>
    <xf numFmtId="171" fontId="29" fillId="46" borderId="0" applyNumberFormat="0" applyBorder="0" applyAlignment="0" applyProtection="0"/>
    <xf numFmtId="171" fontId="29" fillId="46" borderId="0" applyNumberFormat="0" applyBorder="0" applyAlignment="0" applyProtection="0"/>
    <xf numFmtId="171" fontId="29" fillId="46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0" fontId="29" fillId="45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0" fontId="29" fillId="45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0" fontId="29" fillId="45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9" fillId="40" borderId="0" applyNumberFormat="0" applyBorder="0" applyAlignment="0" applyProtection="0"/>
    <xf numFmtId="171" fontId="27" fillId="33" borderId="0" applyNumberFormat="0" applyBorder="0" applyAlignment="0" applyProtection="0"/>
    <xf numFmtId="171" fontId="27" fillId="39" borderId="0" applyNumberFormat="0" applyBorder="0" applyAlignment="0" applyProtection="0"/>
    <xf numFmtId="171" fontId="29" fillId="39" borderId="0" applyNumberFormat="0" applyBorder="0" applyAlignment="0" applyProtection="0"/>
    <xf numFmtId="170" fontId="29" fillId="31" borderId="0" applyNumberFormat="0" applyBorder="0" applyAlignment="0" applyProtection="0"/>
    <xf numFmtId="171" fontId="29" fillId="36" borderId="0" applyNumberFormat="0" applyBorder="0" applyAlignment="0" applyProtection="0"/>
    <xf numFmtId="171" fontId="29" fillId="47" borderId="0" applyNumberFormat="0" applyBorder="0" applyAlignment="0" applyProtection="0"/>
    <xf numFmtId="171" fontId="29" fillId="47" borderId="0" applyNumberFormat="0" applyBorder="0" applyAlignment="0" applyProtection="0"/>
    <xf numFmtId="171" fontId="29" fillId="47" borderId="0" applyNumberFormat="0" applyBorder="0" applyAlignment="0" applyProtection="0"/>
    <xf numFmtId="171" fontId="29" fillId="47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0" fontId="29" fillId="31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0" fontId="29" fillId="31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0" fontId="29" fillId="31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9" fillId="36" borderId="0" applyNumberFormat="0" applyBorder="0" applyAlignment="0" applyProtection="0"/>
    <xf numFmtId="171" fontId="27" fillId="48" borderId="0" applyNumberFormat="0" applyBorder="0" applyAlignment="0" applyProtection="0"/>
    <xf numFmtId="171" fontId="27" fillId="33" borderId="0" applyNumberFormat="0" applyBorder="0" applyAlignment="0" applyProtection="0"/>
    <xf numFmtId="171" fontId="29" fillId="34" borderId="0" applyNumberFormat="0" applyBorder="0" applyAlignment="0" applyProtection="0"/>
    <xf numFmtId="170" fontId="29" fillId="30" borderId="0" applyNumberFormat="0" applyBorder="0" applyAlignment="0" applyProtection="0"/>
    <xf numFmtId="171" fontId="29" fillId="49" borderId="0" applyNumberFormat="0" applyBorder="0" applyAlignment="0" applyProtection="0"/>
    <xf numFmtId="171" fontId="29" fillId="50" borderId="0" applyNumberFormat="0" applyBorder="0" applyAlignment="0" applyProtection="0"/>
    <xf numFmtId="171" fontId="29" fillId="50" borderId="0" applyNumberFormat="0" applyBorder="0" applyAlignment="0" applyProtection="0"/>
    <xf numFmtId="171" fontId="29" fillId="50" borderId="0" applyNumberFormat="0" applyBorder="0" applyAlignment="0" applyProtection="0"/>
    <xf numFmtId="171" fontId="29" fillId="50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0" fontId="29" fillId="30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0" fontId="29" fillId="30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0" fontId="29" fillId="30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9" fillId="49" borderId="0" applyNumberFormat="0" applyBorder="0" applyAlignment="0" applyProtection="0"/>
    <xf numFmtId="171" fontId="27" fillId="38" borderId="0" applyNumberFormat="0" applyBorder="0" applyAlignment="0" applyProtection="0"/>
    <xf numFmtId="171" fontId="27" fillId="51" borderId="0" applyNumberFormat="0" applyBorder="0" applyAlignment="0" applyProtection="0"/>
    <xf numFmtId="171" fontId="29" fillId="51" borderId="0" applyNumberFormat="0" applyBorder="0" applyAlignment="0" applyProtection="0"/>
    <xf numFmtId="170" fontId="29" fillId="52" borderId="0" applyNumberFormat="0" applyBorder="0" applyAlignment="0" applyProtection="0"/>
    <xf numFmtId="171" fontId="29" fillId="53" borderId="0" applyNumberFormat="0" applyBorder="0" applyAlignment="0" applyProtection="0"/>
    <xf numFmtId="171" fontId="29" fillId="54" borderId="0" applyNumberFormat="0" applyBorder="0" applyAlignment="0" applyProtection="0"/>
    <xf numFmtId="171" fontId="29" fillId="54" borderId="0" applyNumberFormat="0" applyBorder="0" applyAlignment="0" applyProtection="0"/>
    <xf numFmtId="171" fontId="29" fillId="54" borderId="0" applyNumberFormat="0" applyBorder="0" applyAlignment="0" applyProtection="0"/>
    <xf numFmtId="171" fontId="29" fillId="54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0" fontId="29" fillId="52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0" fontId="29" fillId="52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0" fontId="29" fillId="52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1" fontId="29" fillId="53" borderId="0" applyNumberFormat="0" applyBorder="0" applyAlignment="0" applyProtection="0"/>
    <xf numFmtId="170" fontId="25" fillId="0" borderId="0" applyNumberFormat="0" applyAlignment="0"/>
    <xf numFmtId="0" fontId="29" fillId="35" borderId="0" applyNumberFormat="0" applyBorder="0" applyAlignment="0" applyProtection="0"/>
    <xf numFmtId="0" fontId="29" fillId="41" borderId="0" applyNumberFormat="0" applyBorder="0" applyAlignment="0" applyProtection="0"/>
    <xf numFmtId="0" fontId="29" fillId="45" borderId="0" applyNumberFormat="0" applyBorder="0" applyAlignment="0" applyProtection="0"/>
    <xf numFmtId="0" fontId="29" fillId="31" borderId="0" applyNumberFormat="0" applyBorder="0" applyAlignment="0" applyProtection="0"/>
    <xf numFmtId="0" fontId="29" fillId="30" borderId="0" applyNumberFormat="0" applyBorder="0" applyAlignment="0" applyProtection="0"/>
    <xf numFmtId="0" fontId="29" fillId="52" borderId="0" applyNumberFormat="0" applyBorder="0" applyAlignment="0" applyProtection="0"/>
    <xf numFmtId="170" fontId="30" fillId="0" borderId="0">
      <alignment horizontal="center" wrapText="1"/>
      <protection locked="0"/>
    </xf>
    <xf numFmtId="0" fontId="31" fillId="24" borderId="11" applyNumberFormat="0" applyAlignment="0" applyProtection="0"/>
    <xf numFmtId="170" fontId="32" fillId="13" borderId="0" applyNumberFormat="0" applyBorder="0" applyAlignment="0" applyProtection="0"/>
    <xf numFmtId="171" fontId="33" fillId="55" borderId="0" applyNumberFormat="0" applyBorder="0" applyAlignment="0" applyProtection="0"/>
    <xf numFmtId="171" fontId="32" fillId="18" borderId="0" applyNumberFormat="0" applyBorder="0" applyAlignment="0" applyProtection="0"/>
    <xf numFmtId="171" fontId="32" fillId="18" borderId="0" applyNumberFormat="0" applyBorder="0" applyAlignment="0" applyProtection="0"/>
    <xf numFmtId="171" fontId="32" fillId="18" borderId="0" applyNumberFormat="0" applyBorder="0" applyAlignment="0" applyProtection="0"/>
    <xf numFmtId="171" fontId="32" fillId="18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0" fontId="32" fillId="13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0" fontId="32" fillId="13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0" fontId="32" fillId="13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3" fillId="55" borderId="0" applyNumberFormat="0" applyBorder="0" applyAlignment="0" applyProtection="0"/>
    <xf numFmtId="171" fontId="34" fillId="4" borderId="12">
      <alignment horizontal="center" vertical="center"/>
    </xf>
    <xf numFmtId="0" fontId="35" fillId="24" borderId="13" applyNumberFormat="0" applyAlignment="0" applyProtection="0"/>
    <xf numFmtId="174" fontId="36" fillId="0" borderId="0" applyAlignment="0"/>
    <xf numFmtId="175" fontId="16" fillId="0" borderId="0" applyFill="0" applyBorder="0" applyAlignment="0"/>
    <xf numFmtId="176" fontId="37" fillId="0" borderId="0" applyFill="0" applyBorder="0" applyAlignment="0"/>
    <xf numFmtId="177" fontId="37" fillId="0" borderId="0" applyFill="0" applyBorder="0" applyAlignment="0"/>
    <xf numFmtId="178" fontId="16" fillId="0" borderId="0" applyFill="0" applyBorder="0" applyAlignment="0"/>
    <xf numFmtId="179" fontId="16" fillId="0" borderId="0" applyFill="0" applyBorder="0" applyAlignment="0"/>
    <xf numFmtId="180" fontId="37" fillId="0" borderId="0" applyFill="0" applyBorder="0" applyAlignment="0"/>
    <xf numFmtId="181" fontId="16" fillId="0" borderId="0" applyFill="0" applyBorder="0" applyAlignment="0"/>
    <xf numFmtId="176" fontId="37" fillId="0" borderId="0" applyFill="0" applyBorder="0" applyAlignment="0"/>
    <xf numFmtId="0" fontId="35" fillId="24" borderId="13" applyNumberFormat="0" applyAlignment="0" applyProtection="0"/>
    <xf numFmtId="170" fontId="35" fillId="24" borderId="13" applyNumberFormat="0" applyAlignment="0" applyProtection="0"/>
    <xf numFmtId="171" fontId="38" fillId="56" borderId="13" applyNumberFormat="0" applyAlignment="0" applyProtection="0"/>
    <xf numFmtId="171" fontId="35" fillId="57" borderId="13" applyNumberFormat="0" applyAlignment="0" applyProtection="0"/>
    <xf numFmtId="171" fontId="35" fillId="57" borderId="13" applyNumberFormat="0" applyAlignment="0" applyProtection="0"/>
    <xf numFmtId="171" fontId="35" fillId="57" borderId="13" applyNumberFormat="0" applyAlignment="0" applyProtection="0"/>
    <xf numFmtId="171" fontId="35" fillId="57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0" fontId="35" fillId="24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0" fontId="35" fillId="24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0" fontId="35" fillId="24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171" fontId="38" fillId="56" borderId="13" applyNumberFormat="0" applyAlignment="0" applyProtection="0"/>
    <xf numFmtId="0" fontId="39" fillId="0" borderId="14" applyNumberFormat="0" applyFill="0" applyAlignment="0" applyProtection="0"/>
    <xf numFmtId="0" fontId="40" fillId="58" borderId="15" applyNumberFormat="0" applyAlignment="0" applyProtection="0"/>
    <xf numFmtId="170" fontId="40" fillId="58" borderId="15" applyNumberFormat="0" applyAlignment="0" applyProtection="0"/>
    <xf numFmtId="171" fontId="40" fillId="40" borderId="15" applyNumberFormat="0" applyAlignment="0" applyProtection="0"/>
    <xf numFmtId="171" fontId="40" fillId="59" borderId="15" applyNumberFormat="0" applyAlignment="0" applyProtection="0"/>
    <xf numFmtId="171" fontId="40" fillId="59" borderId="15" applyNumberFormat="0" applyAlignment="0" applyProtection="0"/>
    <xf numFmtId="171" fontId="40" fillId="59" borderId="15" applyNumberFormat="0" applyAlignment="0" applyProtection="0"/>
    <xf numFmtId="171" fontId="40" fillId="59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0" fontId="40" fillId="58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0" fontId="40" fillId="58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0" fontId="40" fillId="58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171" fontId="40" fillId="40" borderId="15" applyNumberFormat="0" applyAlignment="0" applyProtection="0"/>
    <xf numFmtId="0" fontId="29" fillId="35" borderId="0" applyNumberFormat="0" applyBorder="0" applyAlignment="0" applyProtection="0"/>
    <xf numFmtId="0" fontId="29" fillId="41" borderId="0" applyNumberFormat="0" applyBorder="0" applyAlignment="0" applyProtection="0"/>
    <xf numFmtId="0" fontId="29" fillId="45" borderId="0" applyNumberFormat="0" applyBorder="0" applyAlignment="0" applyProtection="0"/>
    <xf numFmtId="0" fontId="29" fillId="31" borderId="0" applyNumberFormat="0" applyBorder="0" applyAlignment="0" applyProtection="0"/>
    <xf numFmtId="0" fontId="29" fillId="30" borderId="0" applyNumberFormat="0" applyBorder="0" applyAlignment="0" applyProtection="0"/>
    <xf numFmtId="0" fontId="29" fillId="52" borderId="0" applyNumberFormat="0" applyBorder="0" applyAlignment="0" applyProtection="0"/>
    <xf numFmtId="170" fontId="41" fillId="0" borderId="16">
      <alignment horizontal="center"/>
    </xf>
    <xf numFmtId="170" fontId="42" fillId="60" borderId="0">
      <alignment horizontal="left"/>
    </xf>
    <xf numFmtId="170" fontId="43" fillId="60" borderId="0">
      <alignment horizontal="right"/>
    </xf>
    <xf numFmtId="170" fontId="44" fillId="11" borderId="0">
      <alignment horizontal="center"/>
    </xf>
    <xf numFmtId="170" fontId="43" fillId="60" borderId="0">
      <alignment horizontal="right"/>
    </xf>
    <xf numFmtId="170" fontId="45" fillId="11" borderId="0">
      <alignment horizontal="left"/>
    </xf>
    <xf numFmtId="180" fontId="16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16" fillId="0" borderId="0" applyFont="0" applyFill="0" applyBorder="0" applyAlignment="0" applyProtection="0"/>
    <xf numFmtId="170" fontId="46" fillId="0" borderId="0"/>
    <xf numFmtId="170" fontId="47" fillId="0" borderId="0"/>
    <xf numFmtId="170" fontId="46" fillId="0" borderId="0"/>
    <xf numFmtId="170" fontId="47" fillId="0" borderId="0"/>
    <xf numFmtId="170" fontId="48" fillId="0" borderId="0" applyNumberFormat="0" applyAlignment="0">
      <alignment horizontal="left"/>
    </xf>
    <xf numFmtId="170" fontId="49" fillId="0" borderId="0" applyNumberFormat="0" applyAlignment="0"/>
    <xf numFmtId="0" fontId="50" fillId="0" borderId="17">
      <alignment horizontal="left"/>
    </xf>
    <xf numFmtId="176" fontId="16" fillId="0" borderId="0" applyFont="0" applyFill="0" applyBorder="0" applyAlignment="0" applyProtection="0"/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83" fontId="25" fillId="0" borderId="0">
      <alignment horizontal="right"/>
    </xf>
    <xf numFmtId="14" fontId="37" fillId="0" borderId="0" applyFill="0" applyBorder="0" applyAlignment="0"/>
    <xf numFmtId="184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5" fontId="51" fillId="0" borderId="0" applyFill="0" applyBorder="0" applyAlignment="0" applyProtection="0"/>
    <xf numFmtId="186" fontId="25" fillId="0" borderId="0" applyFill="0" applyBorder="0" applyProtection="0">
      <alignment vertical="top"/>
    </xf>
    <xf numFmtId="187" fontId="52" fillId="4" borderId="0" applyBorder="0" applyProtection="0">
      <alignment horizontal="right" vertical="top"/>
    </xf>
    <xf numFmtId="185" fontId="16" fillId="0" borderId="0" applyFill="0" applyBorder="0" applyProtection="0">
      <alignment vertical="top"/>
    </xf>
    <xf numFmtId="0" fontId="53" fillId="17" borderId="13" applyNumberFormat="0" applyAlignment="0" applyProtection="0"/>
    <xf numFmtId="171" fontId="54" fillId="61" borderId="0" applyNumberFormat="0" applyBorder="0" applyAlignment="0" applyProtection="0"/>
    <xf numFmtId="171" fontId="54" fillId="62" borderId="0" applyNumberFormat="0" applyBorder="0" applyAlignment="0" applyProtection="0"/>
    <xf numFmtId="171" fontId="54" fillId="63" borderId="0" applyNumberFormat="0" applyBorder="0" applyAlignment="0" applyProtection="0"/>
    <xf numFmtId="180" fontId="55" fillId="0" borderId="0" applyFill="0" applyBorder="0" applyAlignment="0"/>
    <xf numFmtId="176" fontId="55" fillId="0" borderId="0" applyFill="0" applyBorder="0" applyAlignment="0"/>
    <xf numFmtId="180" fontId="55" fillId="0" borderId="0" applyFill="0" applyBorder="0" applyAlignment="0"/>
    <xf numFmtId="181" fontId="16" fillId="0" borderId="0" applyFill="0" applyBorder="0" applyAlignment="0"/>
    <xf numFmtId="176" fontId="55" fillId="0" borderId="0" applyFill="0" applyBorder="0" applyAlignment="0"/>
    <xf numFmtId="170" fontId="56" fillId="0" borderId="0" applyNumberFormat="0" applyAlignment="0">
      <alignment horizontal="left"/>
    </xf>
    <xf numFmtId="0" fontId="54" fillId="0" borderId="18" applyNumberFormat="0" applyFill="0" applyAlignment="0" applyProtection="0"/>
    <xf numFmtId="0" fontId="57" fillId="0" borderId="0" applyNumberFormat="0" applyFill="0" applyBorder="0" applyAlignment="0" applyProtection="0"/>
    <xf numFmtId="170" fontId="16" fillId="0" borderId="0" applyFont="0" applyFill="0" applyBorder="0" applyAlignment="0" applyProtection="0"/>
    <xf numFmtId="170" fontId="57" fillId="0" borderId="0" applyNumberFormat="0" applyFill="0" applyBorder="0" applyAlignment="0" applyProtection="0"/>
    <xf numFmtId="170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0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1" fontId="57" fillId="0" borderId="0" applyNumberFormat="0" applyFill="0" applyBorder="0" applyAlignment="0" applyProtection="0"/>
    <xf numFmtId="170" fontId="57" fillId="0" borderId="0" applyNumberFormat="0" applyFill="0" applyBorder="0" applyAlignment="0" applyProtection="0"/>
    <xf numFmtId="170" fontId="58" fillId="14" borderId="0" applyNumberFormat="0" applyBorder="0" applyAlignment="0" applyProtection="0"/>
    <xf numFmtId="171" fontId="58" fillId="44" borderId="0" applyNumberFormat="0" applyBorder="0" applyAlignment="0" applyProtection="0"/>
    <xf numFmtId="171" fontId="58" fillId="20" borderId="0" applyNumberFormat="0" applyBorder="0" applyAlignment="0" applyProtection="0"/>
    <xf numFmtId="171" fontId="58" fillId="20" borderId="0" applyNumberFormat="0" applyBorder="0" applyAlignment="0" applyProtection="0"/>
    <xf numFmtId="171" fontId="58" fillId="20" borderId="0" applyNumberFormat="0" applyBorder="0" applyAlignment="0" applyProtection="0"/>
    <xf numFmtId="171" fontId="58" fillId="20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0" fontId="58" fillId="1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0" fontId="58" fillId="1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0" fontId="58" fillId="1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171" fontId="58" fillId="44" borderId="0" applyNumberFormat="0" applyBorder="0" applyAlignment="0" applyProtection="0"/>
    <xf numFmtId="38" fontId="25" fillId="4" borderId="0" applyNumberFormat="0" applyBorder="0" applyAlignment="0" applyProtection="0"/>
    <xf numFmtId="0" fontId="58" fillId="14" borderId="0" applyNumberFormat="0" applyBorder="0" applyAlignment="0" applyProtection="0"/>
    <xf numFmtId="188" fontId="59" fillId="64" borderId="19">
      <alignment horizontal="left" vertical="center"/>
    </xf>
    <xf numFmtId="170" fontId="60" fillId="0" borderId="20" applyNumberFormat="0" applyAlignment="0" applyProtection="0">
      <alignment horizontal="left" vertical="center"/>
    </xf>
    <xf numFmtId="170" fontId="60" fillId="0" borderId="12">
      <alignment horizontal="left" vertical="center"/>
    </xf>
    <xf numFmtId="171" fontId="2" fillId="0" borderId="1" applyNumberFormat="0" applyFill="0" applyAlignment="0" applyProtection="0"/>
    <xf numFmtId="170" fontId="61" fillId="0" borderId="21" applyNumberFormat="0" applyFill="0" applyAlignment="0" applyProtection="0"/>
    <xf numFmtId="171" fontId="62" fillId="0" borderId="1" applyNumberFormat="0" applyFill="0" applyAlignment="0" applyProtection="0"/>
    <xf numFmtId="171" fontId="63" fillId="0" borderId="22" applyNumberFormat="0" applyFill="0" applyAlignment="0" applyProtection="0"/>
    <xf numFmtId="171" fontId="61" fillId="0" borderId="21" applyNumberFormat="0" applyFill="0" applyAlignment="0" applyProtection="0"/>
    <xf numFmtId="171" fontId="61" fillId="0" borderId="21" applyNumberFormat="0" applyFill="0" applyAlignment="0" applyProtection="0"/>
    <xf numFmtId="171" fontId="61" fillId="0" borderId="21" applyNumberFormat="0" applyFill="0" applyAlignment="0" applyProtection="0"/>
    <xf numFmtId="171" fontId="61" fillId="0" borderId="21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0" fontId="61" fillId="0" borderId="21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0" fontId="61" fillId="0" borderId="21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0" fontId="61" fillId="0" borderId="21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63" fillId="0" borderId="22" applyNumberFormat="0" applyFill="0" applyAlignment="0" applyProtection="0"/>
    <xf numFmtId="171" fontId="3" fillId="0" borderId="2" applyNumberFormat="0" applyFill="0" applyAlignment="0" applyProtection="0"/>
    <xf numFmtId="170" fontId="64" fillId="0" borderId="23" applyNumberFormat="0" applyFill="0" applyAlignment="0" applyProtection="0"/>
    <xf numFmtId="171" fontId="65" fillId="0" borderId="23" applyNumberFormat="0" applyFill="0" applyAlignment="0" applyProtection="0"/>
    <xf numFmtId="171" fontId="64" fillId="0" borderId="23" applyNumberFormat="0" applyFill="0" applyAlignment="0" applyProtection="0"/>
    <xf numFmtId="171" fontId="64" fillId="0" borderId="23" applyNumberFormat="0" applyFill="0" applyAlignment="0" applyProtection="0"/>
    <xf numFmtId="171" fontId="64" fillId="0" borderId="23" applyNumberFormat="0" applyFill="0" applyAlignment="0" applyProtection="0"/>
    <xf numFmtId="171" fontId="64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0" fontId="64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0" fontId="64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0" fontId="64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65" fillId="0" borderId="23" applyNumberFormat="0" applyFill="0" applyAlignment="0" applyProtection="0"/>
    <xf numFmtId="171" fontId="4" fillId="0" borderId="3" applyNumberFormat="0" applyFill="0" applyAlignment="0" applyProtection="0"/>
    <xf numFmtId="170" fontId="66" fillId="0" borderId="24" applyNumberFormat="0" applyFill="0" applyAlignment="0" applyProtection="0"/>
    <xf numFmtId="171" fontId="67" fillId="0" borderId="25" applyNumberFormat="0" applyFill="0" applyAlignment="0" applyProtection="0"/>
    <xf numFmtId="171" fontId="66" fillId="0" borderId="24" applyNumberFormat="0" applyFill="0" applyAlignment="0" applyProtection="0"/>
    <xf numFmtId="171" fontId="66" fillId="0" borderId="24" applyNumberFormat="0" applyFill="0" applyAlignment="0" applyProtection="0"/>
    <xf numFmtId="171" fontId="66" fillId="0" borderId="24" applyNumberFormat="0" applyFill="0" applyAlignment="0" applyProtection="0"/>
    <xf numFmtId="171" fontId="66" fillId="0" borderId="24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0" fontId="66" fillId="0" borderId="24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0" fontId="66" fillId="0" borderId="24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0" fontId="66" fillId="0" borderId="24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0" fontId="4" fillId="0" borderId="3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1" fontId="67" fillId="0" borderId="25" applyNumberFormat="0" applyFill="0" applyAlignment="0" applyProtection="0"/>
    <xf numFmtId="170" fontId="66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6" fillId="0" borderId="0" applyNumberFormat="0" applyFill="0" applyBorder="0" applyAlignment="0" applyProtection="0"/>
    <xf numFmtId="171" fontId="66" fillId="0" borderId="0" applyNumberFormat="0" applyFill="0" applyBorder="0" applyAlignment="0" applyProtection="0"/>
    <xf numFmtId="171" fontId="66" fillId="0" borderId="0" applyNumberFormat="0" applyFill="0" applyBorder="0" applyAlignment="0" applyProtection="0"/>
    <xf numFmtId="171" fontId="66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0" fontId="66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0" fontId="66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0" fontId="66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170" fontId="68" fillId="0" borderId="16">
      <alignment horizontal="center"/>
    </xf>
    <xf numFmtId="170" fontId="68" fillId="0" borderId="0">
      <alignment horizontal="center"/>
    </xf>
    <xf numFmtId="170" fontId="16" fillId="65" borderId="0">
      <alignment vertical="center"/>
    </xf>
    <xf numFmtId="170" fontId="69" fillId="0" borderId="0" applyNumberFormat="0" applyFill="0" applyBorder="0" applyAlignment="0" applyProtection="0">
      <alignment vertical="top"/>
      <protection locked="0"/>
    </xf>
    <xf numFmtId="10" fontId="25" fillId="8" borderId="26" applyNumberFormat="0" applyBorder="0" applyAlignment="0" applyProtection="0"/>
    <xf numFmtId="170" fontId="53" fillId="17" borderId="13" applyNumberFormat="0" applyAlignment="0" applyProtection="0"/>
    <xf numFmtId="171" fontId="53" fillId="51" borderId="13" applyNumberFormat="0" applyAlignment="0" applyProtection="0"/>
    <xf numFmtId="171" fontId="53" fillId="66" borderId="13" applyNumberFormat="0" applyAlignment="0" applyProtection="0"/>
    <xf numFmtId="171" fontId="53" fillId="66" borderId="13" applyNumberFormat="0" applyAlignment="0" applyProtection="0"/>
    <xf numFmtId="171" fontId="53" fillId="66" borderId="13" applyNumberFormat="0" applyAlignment="0" applyProtection="0"/>
    <xf numFmtId="171" fontId="53" fillId="66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0" fontId="53" fillId="17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0" fontId="53" fillId="17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0" fontId="53" fillId="17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71" fontId="53" fillId="51" borderId="13" applyNumberFormat="0" applyAlignment="0" applyProtection="0"/>
    <xf numFmtId="189" fontId="70" fillId="67" borderId="0"/>
    <xf numFmtId="170" fontId="71" fillId="0" borderId="0" applyNumberFormat="0" applyFill="0" applyBorder="0" applyAlignment="0" applyProtection="0">
      <alignment vertical="top"/>
      <protection locked="0"/>
    </xf>
    <xf numFmtId="170" fontId="42" fillId="60" borderId="0">
      <alignment horizontal="left"/>
    </xf>
    <xf numFmtId="170" fontId="72" fillId="11" borderId="0">
      <alignment horizontal="left"/>
    </xf>
    <xf numFmtId="180" fontId="73" fillId="0" borderId="0" applyFill="0" applyBorder="0" applyAlignment="0"/>
    <xf numFmtId="176" fontId="73" fillId="0" borderId="0" applyFill="0" applyBorder="0" applyAlignment="0"/>
    <xf numFmtId="180" fontId="73" fillId="0" borderId="0" applyFill="0" applyBorder="0" applyAlignment="0"/>
    <xf numFmtId="181" fontId="16" fillId="0" borderId="0" applyFill="0" applyBorder="0" applyAlignment="0"/>
    <xf numFmtId="176" fontId="73" fillId="0" borderId="0" applyFill="0" applyBorder="0" applyAlignment="0"/>
    <xf numFmtId="170" fontId="39" fillId="0" borderId="14" applyNumberFormat="0" applyFill="0" applyAlignment="0" applyProtection="0"/>
    <xf numFmtId="171" fontId="74" fillId="0" borderId="14" applyNumberFormat="0" applyFill="0" applyAlignment="0" applyProtection="0"/>
    <xf numFmtId="171" fontId="39" fillId="0" borderId="14" applyNumberFormat="0" applyFill="0" applyAlignment="0" applyProtection="0"/>
    <xf numFmtId="171" fontId="39" fillId="0" borderId="14" applyNumberFormat="0" applyFill="0" applyAlignment="0" applyProtection="0"/>
    <xf numFmtId="171" fontId="39" fillId="0" borderId="14" applyNumberFormat="0" applyFill="0" applyAlignment="0" applyProtection="0"/>
    <xf numFmtId="171" fontId="39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0" fontId="39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0" fontId="39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0" fontId="39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71" fontId="74" fillId="0" borderId="14" applyNumberFormat="0" applyFill="0" applyAlignment="0" applyProtection="0"/>
    <xf numFmtId="189" fontId="75" fillId="60" borderId="0"/>
    <xf numFmtId="190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16" fillId="0" borderId="0" applyFont="0" applyFill="0" applyBorder="0" applyAlignment="0" applyProtection="0"/>
    <xf numFmtId="193" fontId="16" fillId="0" borderId="0" applyFont="0" applyFill="0" applyBorder="0" applyAlignment="0" applyProtection="0"/>
    <xf numFmtId="194" fontId="25" fillId="0" borderId="0" applyFont="0" applyFill="0" applyBorder="0" applyAlignment="0" applyProtection="0"/>
    <xf numFmtId="195" fontId="25" fillId="0" borderId="0" applyFont="0" applyFill="0" applyBorder="0" applyAlignment="0" applyProtection="0"/>
    <xf numFmtId="196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98" fontId="42" fillId="68" borderId="0">
      <alignment vertical="top"/>
    </xf>
    <xf numFmtId="170" fontId="76" fillId="69" borderId="0" applyNumberFormat="0" applyBorder="0" applyAlignment="0" applyProtection="0"/>
    <xf numFmtId="171" fontId="76" fillId="70" borderId="0" applyNumberFormat="0" applyBorder="0" applyAlignment="0" applyProtection="0"/>
    <xf numFmtId="171" fontId="76" fillId="71" borderId="0" applyNumberFormat="0" applyBorder="0" applyAlignment="0" applyProtection="0"/>
    <xf numFmtId="171" fontId="76" fillId="71" borderId="0" applyNumberFormat="0" applyBorder="0" applyAlignment="0" applyProtection="0"/>
    <xf numFmtId="171" fontId="76" fillId="71" borderId="0" applyNumberFormat="0" applyBorder="0" applyAlignment="0" applyProtection="0"/>
    <xf numFmtId="171" fontId="76" fillId="71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0" fontId="76" fillId="69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0" fontId="76" fillId="69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0" fontId="76" fillId="69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171" fontId="76" fillId="70" borderId="0" applyNumberFormat="0" applyBorder="0" applyAlignment="0" applyProtection="0"/>
    <xf numFmtId="0" fontId="76" fillId="69" borderId="0" applyNumberFormat="0" applyBorder="0" applyAlignment="0" applyProtection="0"/>
    <xf numFmtId="199" fontId="77" fillId="0" borderId="0"/>
    <xf numFmtId="170" fontId="16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1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8" fillId="0" borderId="0"/>
    <xf numFmtId="170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0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0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0" fontId="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6" fillId="0" borderId="0"/>
    <xf numFmtId="0" fontId="16" fillId="0" borderId="0"/>
    <xf numFmtId="171" fontId="16" fillId="0" borderId="0"/>
    <xf numFmtId="172" fontId="16" fillId="0" borderId="0"/>
    <xf numFmtId="172" fontId="16" fillId="0" borderId="0"/>
    <xf numFmtId="172" fontId="6" fillId="0" borderId="0"/>
    <xf numFmtId="0" fontId="6" fillId="0" borderId="0"/>
    <xf numFmtId="170" fontId="16" fillId="0" borderId="0"/>
    <xf numFmtId="165" fontId="16" fillId="0" borderId="0"/>
    <xf numFmtId="170" fontId="6" fillId="0" borderId="0"/>
    <xf numFmtId="0" fontId="16" fillId="0" borderId="0"/>
    <xf numFmtId="0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0" fontId="37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65" fontId="37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2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0" fontId="16" fillId="0" borderId="0"/>
    <xf numFmtId="165" fontId="16" fillId="0" borderId="0"/>
    <xf numFmtId="171" fontId="1" fillId="0" borderId="0"/>
    <xf numFmtId="171" fontId="1" fillId="0" borderId="0"/>
    <xf numFmtId="171" fontId="6" fillId="0" borderId="0"/>
    <xf numFmtId="171" fontId="28" fillId="0" borderId="0"/>
    <xf numFmtId="171" fontId="28" fillId="0" borderId="0"/>
    <xf numFmtId="0" fontId="1" fillId="0" borderId="0"/>
    <xf numFmtId="17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6" fillId="0" borderId="0"/>
    <xf numFmtId="17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6" fillId="0" borderId="0"/>
    <xf numFmtId="171" fontId="16" fillId="0" borderId="0"/>
    <xf numFmtId="171" fontId="49" fillId="0" borderId="0"/>
    <xf numFmtId="171" fontId="49" fillId="0" borderId="0"/>
    <xf numFmtId="171" fontId="28" fillId="0" borderId="0"/>
    <xf numFmtId="171" fontId="16" fillId="0" borderId="0"/>
    <xf numFmtId="171" fontId="6" fillId="0" borderId="0"/>
    <xf numFmtId="171" fontId="6" fillId="0" borderId="0"/>
    <xf numFmtId="172" fontId="1" fillId="0" borderId="0"/>
    <xf numFmtId="170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2" fontId="1" fillId="0" borderId="0"/>
    <xf numFmtId="0" fontId="16" fillId="0" borderId="0"/>
    <xf numFmtId="17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0" fontId="16" fillId="0" borderId="0"/>
    <xf numFmtId="171" fontId="28" fillId="0" borderId="0"/>
    <xf numFmtId="171" fontId="28" fillId="0" borderId="0"/>
    <xf numFmtId="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0" fontId="16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0" fontId="16" fillId="0" borderId="0"/>
    <xf numFmtId="171" fontId="28" fillId="0" borderId="0"/>
    <xf numFmtId="171" fontId="28" fillId="0" borderId="0"/>
    <xf numFmtId="171" fontId="1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171" fontId="28" fillId="0" borderId="0"/>
    <xf numFmtId="0" fontId="16" fillId="27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0" fontId="27" fillId="27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0" fontId="27" fillId="27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7" fillId="72" borderId="27" applyNumberFormat="0" applyAlignment="0" applyProtection="0"/>
    <xf numFmtId="171" fontId="27" fillId="72" borderId="27" applyNumberForma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0" fontId="27" fillId="27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0" fontId="27" fillId="27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1" fillId="3" borderId="5" applyNumberFormat="0" applyFont="0" applyAlignment="0" applyProtection="0"/>
    <xf numFmtId="171" fontId="6" fillId="3" borderId="5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171" fontId="28" fillId="38" borderId="27" applyNumberFormat="0" applyFont="0" applyAlignment="0" applyProtection="0"/>
    <xf numFmtId="0" fontId="37" fillId="27" borderId="27" applyNumberFormat="0" applyFont="0" applyAlignment="0" applyProtection="0"/>
    <xf numFmtId="189" fontId="78" fillId="0" borderId="0"/>
    <xf numFmtId="182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171" fontId="5" fillId="2" borderId="4" applyNumberFormat="0" applyAlignment="0" applyProtection="0"/>
    <xf numFmtId="170" fontId="31" fillId="24" borderId="11" applyNumberFormat="0" applyAlignment="0" applyProtection="0"/>
    <xf numFmtId="171" fontId="31" fillId="56" borderId="11" applyNumberFormat="0" applyAlignment="0" applyProtection="0"/>
    <xf numFmtId="171" fontId="31" fillId="57" borderId="11" applyNumberFormat="0" applyAlignment="0" applyProtection="0"/>
    <xf numFmtId="171" fontId="31" fillId="57" borderId="11" applyNumberFormat="0" applyAlignment="0" applyProtection="0"/>
    <xf numFmtId="171" fontId="31" fillId="57" borderId="11" applyNumberFormat="0" applyAlignment="0" applyProtection="0"/>
    <xf numFmtId="171" fontId="31" fillId="57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0" fontId="31" fillId="24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0" fontId="31" fillId="24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0" fontId="31" fillId="24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171" fontId="31" fillId="56" borderId="11" applyNumberFormat="0" applyAlignment="0" applyProtection="0"/>
    <xf numFmtId="200" fontId="37" fillId="11" borderId="0">
      <alignment horizontal="right"/>
    </xf>
    <xf numFmtId="170" fontId="79" fillId="73" borderId="0">
      <alignment horizontal="center"/>
    </xf>
    <xf numFmtId="170" fontId="42" fillId="74" borderId="0"/>
    <xf numFmtId="170" fontId="80" fillId="11" borderId="0" applyBorder="0">
      <alignment horizontal="centerContinuous"/>
    </xf>
    <xf numFmtId="170" fontId="81" fillId="74" borderId="0" applyBorder="0">
      <alignment horizontal="centerContinuous"/>
    </xf>
    <xf numFmtId="14" fontId="30" fillId="0" borderId="0">
      <alignment horizontal="center" wrapText="1"/>
      <protection locked="0"/>
    </xf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71" fontId="28" fillId="0" borderId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8" fillId="0" borderId="0"/>
    <xf numFmtId="171" fontId="2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9" fontId="16" fillId="0" borderId="0" applyFont="0" applyFill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8" fillId="0" borderId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8" fillId="0" borderId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8" fillId="0" borderId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 applyNumberFormat="0" applyFill="0" applyBorder="0" applyAlignment="0" applyProtection="0"/>
    <xf numFmtId="171" fontId="28" fillId="0" borderId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9" fontId="16" fillId="0" borderId="0" applyFont="0" applyFill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2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7" borderId="0" applyNumberFormat="0" applyBorder="0" applyAlignment="0" applyProtection="0"/>
    <xf numFmtId="171" fontId="27" fillId="18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9" fontId="16" fillId="0" borderId="0" applyFont="0" applyFill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9" borderId="0" applyNumberFormat="0" applyBorder="0" applyAlignment="0" applyProtection="0"/>
    <xf numFmtId="171" fontId="27" fillId="20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9" fontId="1" fillId="0" borderId="0" applyFont="0" applyFill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9" borderId="0" applyNumberFormat="0" applyBorder="0" applyAlignment="0" applyProtection="0"/>
    <xf numFmtId="171" fontId="27" fillId="11" borderId="0" applyNumberFormat="0" applyBorder="0" applyAlignment="0" applyProtection="0"/>
    <xf numFmtId="9" fontId="6" fillId="0" borderId="0" applyFont="0" applyFill="0" applyBorder="0" applyAlignment="0" applyProtection="0"/>
    <xf numFmtId="180" fontId="82" fillId="0" borderId="0" applyFill="0" applyBorder="0" applyAlignment="0"/>
    <xf numFmtId="176" fontId="82" fillId="0" borderId="0" applyFill="0" applyBorder="0" applyAlignment="0"/>
    <xf numFmtId="180" fontId="82" fillId="0" borderId="0" applyFill="0" applyBorder="0" applyAlignment="0"/>
    <xf numFmtId="181" fontId="16" fillId="0" borderId="0" applyFill="0" applyBorder="0" applyAlignment="0"/>
    <xf numFmtId="176" fontId="82" fillId="0" borderId="0" applyFill="0" applyBorder="0" applyAlignment="0"/>
    <xf numFmtId="201" fontId="83" fillId="0" borderId="0"/>
    <xf numFmtId="170" fontId="84" fillId="0" borderId="0" applyNumberFormat="0" applyFont="0" applyFill="0" applyBorder="0" applyAlignment="0" applyProtection="0">
      <alignment horizontal="left"/>
    </xf>
    <xf numFmtId="15" fontId="84" fillId="0" borderId="0" applyFont="0" applyFill="0" applyBorder="0" applyAlignment="0" applyProtection="0"/>
    <xf numFmtId="4" fontId="84" fillId="0" borderId="0" applyFont="0" applyFill="0" applyBorder="0" applyAlignment="0" applyProtection="0"/>
    <xf numFmtId="170" fontId="85" fillId="0" borderId="16">
      <alignment horizontal="center"/>
    </xf>
    <xf numFmtId="3" fontId="84" fillId="0" borderId="0" applyFont="0" applyFill="0" applyBorder="0" applyAlignment="0" applyProtection="0"/>
    <xf numFmtId="170" fontId="84" fillId="75" borderId="0" applyNumberFormat="0" applyFont="0" applyBorder="0" applyAlignment="0" applyProtection="0"/>
    <xf numFmtId="170" fontId="86" fillId="76" borderId="0" applyNumberFormat="0" applyFont="0" applyBorder="0" applyAlignment="0">
      <alignment horizontal="center"/>
    </xf>
    <xf numFmtId="170" fontId="72" fillId="69" borderId="0">
      <alignment horizontal="center"/>
    </xf>
    <xf numFmtId="49" fontId="87" fillId="11" borderId="0">
      <alignment horizontal="center"/>
    </xf>
    <xf numFmtId="202" fontId="88" fillId="0" borderId="0" applyNumberFormat="0" applyFill="0" applyBorder="0" applyAlignment="0" applyProtection="0">
      <alignment horizontal="left"/>
    </xf>
    <xf numFmtId="170" fontId="89" fillId="0" borderId="0">
      <alignment horizontal="right"/>
    </xf>
    <xf numFmtId="170" fontId="43" fillId="60" borderId="0">
      <alignment horizontal="center"/>
    </xf>
    <xf numFmtId="170" fontId="43" fillId="60" borderId="0">
      <alignment horizontal="centerContinuous"/>
    </xf>
    <xf numFmtId="170" fontId="90" fillId="11" borderId="0">
      <alignment horizontal="left"/>
    </xf>
    <xf numFmtId="49" fontId="90" fillId="11" borderId="0">
      <alignment horizontal="center"/>
    </xf>
    <xf numFmtId="170" fontId="42" fillId="60" borderId="0">
      <alignment horizontal="left"/>
    </xf>
    <xf numFmtId="49" fontId="90" fillId="11" borderId="0">
      <alignment horizontal="left"/>
    </xf>
    <xf numFmtId="170" fontId="42" fillId="60" borderId="0">
      <alignment horizontal="centerContinuous"/>
    </xf>
    <xf numFmtId="170" fontId="42" fillId="60" borderId="0">
      <alignment horizontal="right"/>
    </xf>
    <xf numFmtId="49" fontId="72" fillId="11" borderId="0">
      <alignment horizontal="left"/>
    </xf>
    <xf numFmtId="170" fontId="43" fillId="60" borderId="0">
      <alignment horizontal="right"/>
    </xf>
    <xf numFmtId="170" fontId="90" fillId="17" borderId="0">
      <alignment horizontal="center"/>
    </xf>
    <xf numFmtId="170" fontId="91" fillId="17" borderId="0">
      <alignment horizontal="center"/>
    </xf>
    <xf numFmtId="4" fontId="25" fillId="30" borderId="28" applyNumberFormat="0" applyProtection="0">
      <alignment horizontal="left" vertical="center" indent="1"/>
    </xf>
    <xf numFmtId="0" fontId="32" fillId="13" borderId="0" applyNumberFormat="0" applyBorder="0" applyAlignment="0" applyProtection="0"/>
    <xf numFmtId="170" fontId="86" fillId="1" borderId="12" applyNumberFormat="0" applyFont="0" applyAlignment="0">
      <alignment horizontal="center"/>
    </xf>
    <xf numFmtId="171" fontId="27" fillId="11" borderId="0" applyNumberFormat="0" applyBorder="0" applyAlignment="0" applyProtection="0"/>
    <xf numFmtId="203" fontId="92" fillId="0" borderId="0"/>
    <xf numFmtId="170" fontId="93" fillId="0" borderId="0"/>
    <xf numFmtId="37" fontId="92" fillId="0" borderId="0"/>
    <xf numFmtId="170" fontId="94" fillId="0" borderId="0" applyNumberFormat="0" applyFill="0" applyBorder="0" applyAlignment="0">
      <alignment horizontal="center"/>
    </xf>
    <xf numFmtId="0" fontId="16" fillId="0" borderId="0"/>
    <xf numFmtId="170" fontId="16" fillId="0" borderId="0"/>
    <xf numFmtId="170" fontId="37" fillId="0" borderId="0" applyNumberFormat="0" applyBorder="0" applyAlignment="0"/>
    <xf numFmtId="40" fontId="95" fillId="0" borderId="0" applyBorder="0">
      <alignment horizontal="right"/>
    </xf>
    <xf numFmtId="0" fontId="9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8" fillId="0" borderId="29">
      <alignment horizontal="left"/>
    </xf>
    <xf numFmtId="49" fontId="37" fillId="0" borderId="0" applyFill="0" applyBorder="0" applyAlignment="0"/>
    <xf numFmtId="180" fontId="16" fillId="0" borderId="0" applyFill="0" applyBorder="0" applyAlignment="0"/>
    <xf numFmtId="170" fontId="97" fillId="0" borderId="0" applyNumberFormat="0" applyFill="0" applyBorder="0" applyAlignment="0" applyProtection="0"/>
    <xf numFmtId="170" fontId="97" fillId="0" borderId="0" applyNumberFormat="0" applyFill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0" fontId="97" fillId="0" borderId="0" applyNumberFormat="0" applyFill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11" borderId="0" applyNumberFormat="0" applyBorder="0" applyAlignment="0" applyProtection="0"/>
    <xf numFmtId="171" fontId="27" fillId="22" borderId="0" applyNumberFormat="0" applyBorder="0" applyAlignment="0" applyProtection="0"/>
    <xf numFmtId="171" fontId="27" fillId="21" borderId="0" applyNumberFormat="0" applyBorder="0" applyAlignment="0" applyProtection="0"/>
    <xf numFmtId="171" fontId="27" fillId="22" borderId="0" applyNumberFormat="0" applyBorder="0" applyAlignment="0" applyProtection="0"/>
    <xf numFmtId="170" fontId="97" fillId="0" borderId="0" applyNumberFormat="0" applyFill="0" applyBorder="0" applyAlignment="0" applyProtection="0"/>
    <xf numFmtId="170" fontId="98" fillId="4" borderId="30">
      <alignment horizontal="left"/>
    </xf>
    <xf numFmtId="38" fontId="98" fillId="4" borderId="31">
      <alignment horizontal="left"/>
    </xf>
    <xf numFmtId="0" fontId="97" fillId="0" borderId="0" applyNumberFormat="0" applyFill="0" applyBorder="0" applyAlignment="0" applyProtection="0"/>
    <xf numFmtId="0" fontId="61" fillId="0" borderId="21" applyNumberFormat="0" applyFill="0" applyAlignment="0" applyProtection="0"/>
    <xf numFmtId="0" fontId="64" fillId="0" borderId="23" applyNumberFormat="0" applyFill="0" applyAlignment="0" applyProtection="0"/>
    <xf numFmtId="0" fontId="66" fillId="0" borderId="24" applyNumberFormat="0" applyFill="0" applyAlignment="0" applyProtection="0"/>
    <xf numFmtId="0" fontId="66" fillId="0" borderId="0" applyNumberFormat="0" applyFill="0" applyBorder="0" applyAlignment="0" applyProtection="0"/>
    <xf numFmtId="170" fontId="54" fillId="0" borderId="18" applyNumberFormat="0" applyFill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0" fontId="54" fillId="0" borderId="18" applyNumberFormat="0" applyFill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0" fontId="54" fillId="0" borderId="18" applyNumberFormat="0" applyFill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1" fontId="27" fillId="22" borderId="0" applyNumberFormat="0" applyBorder="0" applyAlignment="0" applyProtection="0"/>
    <xf numFmtId="170" fontId="54" fillId="0" borderId="18" applyNumberFormat="0" applyFill="0" applyAlignment="0" applyProtection="0"/>
    <xf numFmtId="171" fontId="27" fillId="66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0" fontId="54" fillId="0" borderId="18" applyNumberFormat="0" applyFill="0" applyAlignment="0" applyProtection="0"/>
    <xf numFmtId="0" fontId="97" fillId="0" borderId="0" applyNumberFormat="0" applyFill="0" applyBorder="0" applyAlignment="0" applyProtection="0"/>
    <xf numFmtId="0" fontId="61" fillId="0" borderId="21" applyNumberFormat="0" applyFill="0" applyAlignment="0" applyProtection="0"/>
    <xf numFmtId="0" fontId="64" fillId="0" borderId="23" applyNumberFormat="0" applyFill="0" applyAlignment="0" applyProtection="0"/>
    <xf numFmtId="0" fontId="66" fillId="0" borderId="24" applyNumberFormat="0" applyFill="0" applyAlignment="0" applyProtection="0"/>
    <xf numFmtId="0" fontId="66" fillId="0" borderId="0" applyNumberFormat="0" applyFill="0" applyBorder="0" applyAlignment="0" applyProtection="0"/>
    <xf numFmtId="170" fontId="99" fillId="11" borderId="0">
      <alignment horizontal="center"/>
    </xf>
    <xf numFmtId="0" fontId="32" fillId="13" borderId="0" applyNumberFormat="0" applyBorder="0" applyAlignment="0" applyProtection="0"/>
    <xf numFmtId="0" fontId="58" fillId="14" borderId="0" applyNumberFormat="0" applyBorder="0" applyAlignment="0" applyProtection="0"/>
    <xf numFmtId="0" fontId="39" fillId="0" borderId="14" applyNumberFormat="0" applyFill="0" applyAlignment="0" applyProtection="0"/>
    <xf numFmtId="204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0" fontId="96" fillId="0" borderId="0" applyNumberFormat="0" applyFill="0" applyBorder="0" applyAlignment="0" applyProtection="0"/>
    <xf numFmtId="170" fontId="96" fillId="0" borderId="0" applyNumberFormat="0" applyFill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0" fontId="96" fillId="0" borderId="0" applyNumberFormat="0" applyFill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0" fontId="96" fillId="0" borderId="0" applyNumberFormat="0" applyFill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171" fontId="27" fillId="17" borderId="0" applyNumberFormat="0" applyBorder="0" applyAlignment="0" applyProtection="0"/>
    <xf numFmtId="4" fontId="25" fillId="0" borderId="0">
      <alignment horizontal="right"/>
    </xf>
    <xf numFmtId="170" fontId="96" fillId="0" borderId="0" applyNumberFormat="0" applyFill="0" applyBorder="0" applyAlignment="0" applyProtection="0"/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4" fontId="25" fillId="0" borderId="0">
      <alignment horizontal="right"/>
    </xf>
    <xf numFmtId="0" fontId="40" fillId="58" borderId="15" applyNumberFormat="0" applyAlignment="0" applyProtection="0"/>
    <xf numFmtId="4" fontId="25" fillId="0" borderId="0">
      <alignment horizontal="right"/>
    </xf>
    <xf numFmtId="170" fontId="100" fillId="0" borderId="0"/>
  </cellStyleXfs>
  <cellXfs count="35">
    <xf numFmtId="0" fontId="0" fillId="0" borderId="0" xfId="0"/>
    <xf numFmtId="0" fontId="7" fillId="0" borderId="0" xfId="1" applyFont="1" applyFill="1"/>
    <xf numFmtId="0" fontId="7" fillId="0" borderId="0" xfId="1" applyFont="1" applyFill="1" applyBorder="1"/>
    <xf numFmtId="0" fontId="8" fillId="0" borderId="0" xfId="1" applyFont="1"/>
    <xf numFmtId="0" fontId="9" fillId="0" borderId="0" xfId="1" applyFont="1" applyFill="1" applyBorder="1"/>
    <xf numFmtId="0" fontId="10" fillId="0" borderId="6" xfId="1" quotePrefix="1" applyFont="1" applyFill="1" applyBorder="1" applyAlignment="1">
      <alignment horizontal="right"/>
    </xf>
    <xf numFmtId="0" fontId="11" fillId="0" borderId="6" xfId="1" quotePrefix="1" applyFont="1" applyFill="1" applyBorder="1" applyAlignment="1">
      <alignment horizontal="right"/>
    </xf>
    <xf numFmtId="0" fontId="12" fillId="0" borderId="0" xfId="1" applyFont="1" applyFill="1"/>
    <xf numFmtId="0" fontId="10" fillId="0" borderId="7" xfId="1" applyFont="1" applyFill="1" applyBorder="1" applyAlignment="1">
      <alignment horizontal="right"/>
    </xf>
    <xf numFmtId="0" fontId="11" fillId="0" borderId="7" xfId="1" applyFont="1" applyFill="1" applyBorder="1" applyAlignment="1">
      <alignment horizontal="right"/>
    </xf>
    <xf numFmtId="0" fontId="11" fillId="0" borderId="0" xfId="1" applyFont="1" applyFill="1" applyBorder="1" applyAlignment="1">
      <alignment horizontal="right"/>
    </xf>
    <xf numFmtId="164" fontId="7" fillId="0" borderId="0" xfId="1" applyNumberFormat="1" applyFont="1" applyFill="1" applyBorder="1"/>
    <xf numFmtId="164" fontId="9" fillId="0" borderId="0" xfId="1" applyNumberFormat="1" applyFont="1" applyFill="1" applyBorder="1"/>
    <xf numFmtId="164" fontId="8" fillId="0" borderId="0" xfId="1" applyNumberFormat="1" applyFont="1"/>
    <xf numFmtId="164" fontId="7" fillId="0" borderId="8" xfId="1" applyNumberFormat="1" applyFont="1" applyFill="1" applyBorder="1"/>
    <xf numFmtId="164" fontId="9" fillId="0" borderId="8" xfId="1" applyNumberFormat="1" applyFont="1" applyFill="1" applyBorder="1"/>
    <xf numFmtId="165" fontId="9" fillId="0" borderId="0" xfId="1" applyNumberFormat="1" applyFont="1" applyFill="1" applyBorder="1"/>
    <xf numFmtId="166" fontId="9" fillId="0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1" applyFont="1" applyFill="1" applyBorder="1" applyAlignment="1">
      <alignment vertical="top" wrapText="1"/>
    </xf>
    <xf numFmtId="165" fontId="7" fillId="0" borderId="0" xfId="1" applyNumberFormat="1" applyFont="1" applyFill="1"/>
    <xf numFmtId="167" fontId="7" fillId="0" borderId="0" xfId="1" applyNumberFormat="1" applyFont="1" applyFill="1"/>
    <xf numFmtId="0" fontId="7" fillId="0" borderId="7" xfId="1" applyFont="1" applyFill="1" applyBorder="1"/>
    <xf numFmtId="0" fontId="8" fillId="0" borderId="0" xfId="1" applyFont="1" applyFill="1"/>
    <xf numFmtId="0" fontId="12" fillId="0" borderId="0" xfId="1" applyFont="1" applyFill="1" applyBorder="1"/>
    <xf numFmtId="0" fontId="10" fillId="0" borderId="9" xfId="1" quotePrefix="1" applyFont="1" applyFill="1" applyBorder="1" applyAlignment="1">
      <alignment horizontal="right"/>
    </xf>
    <xf numFmtId="0" fontId="11" fillId="0" borderId="9" xfId="1" quotePrefix="1" applyFont="1" applyFill="1" applyBorder="1" applyAlignment="1">
      <alignment horizontal="right"/>
    </xf>
    <xf numFmtId="168" fontId="13" fillId="0" borderId="0" xfId="2" applyNumberFormat="1" applyFont="1" applyFill="1" applyBorder="1"/>
    <xf numFmtId="168" fontId="14" fillId="0" borderId="0" xfId="2" applyNumberFormat="1" applyFont="1" applyFill="1" applyBorder="1"/>
    <xf numFmtId="164" fontId="7" fillId="0" borderId="0" xfId="3" applyNumberFormat="1" applyFont="1" applyFill="1" applyBorder="1"/>
    <xf numFmtId="165" fontId="7" fillId="0" borderId="0" xfId="3" applyNumberFormat="1" applyFont="1" applyFill="1"/>
    <xf numFmtId="0" fontId="8" fillId="0" borderId="0" xfId="0" applyFont="1" applyFill="1" applyBorder="1"/>
    <xf numFmtId="0" fontId="9" fillId="0" borderId="0" xfId="1" applyFont="1" applyFill="1"/>
    <xf numFmtId="164" fontId="8" fillId="0" borderId="0" xfId="1" applyNumberFormat="1" applyFont="1" applyFill="1" applyBorder="1"/>
    <xf numFmtId="0" fontId="8" fillId="0" borderId="0" xfId="1" applyFont="1" applyFill="1" applyBorder="1"/>
  </cellXfs>
  <cellStyles count="3479">
    <cellStyle name="_Column1" xfId="4"/>
    <cellStyle name="_Column1_MIS3" xfId="5"/>
    <cellStyle name="_Column1_MIS3 2" xfId="6"/>
    <cellStyle name="_Column2" xfId="7"/>
    <cellStyle name="_Column2_MIS3" xfId="8"/>
    <cellStyle name="_Column3" xfId="9"/>
    <cellStyle name="_Column3_MIS3" xfId="10"/>
    <cellStyle name="_Column4" xfId="11"/>
    <cellStyle name="_Column4_MIS3" xfId="12"/>
    <cellStyle name="_Column5" xfId="13"/>
    <cellStyle name="_Column5_MIS3" xfId="14"/>
    <cellStyle name="_Column6" xfId="15"/>
    <cellStyle name="_Column6_MIS3" xfId="16"/>
    <cellStyle name="_Column7" xfId="17"/>
    <cellStyle name="_Column7_MIS3" xfId="18"/>
    <cellStyle name="_Data" xfId="19"/>
    <cellStyle name="_Data_2009 Gioco Digitale impairment model" xfId="20"/>
    <cellStyle name="_Data_MIS3" xfId="21"/>
    <cellStyle name="_Data_MIS3 2" xfId="22"/>
    <cellStyle name="_Header" xfId="23"/>
    <cellStyle name="_Header_MIS3" xfId="24"/>
    <cellStyle name="_Row1" xfId="25"/>
    <cellStyle name="_Row1 2" xfId="26"/>
    <cellStyle name="_Row1_MIS3" xfId="27"/>
    <cellStyle name="_Row1_MIS3 2" xfId="28"/>
    <cellStyle name="_Row2" xfId="29"/>
    <cellStyle name="_Row2_MIS3" xfId="30"/>
    <cellStyle name="_Row3" xfId="31"/>
    <cellStyle name="_Row3_MIS3" xfId="32"/>
    <cellStyle name="_Row4" xfId="33"/>
    <cellStyle name="_Row4_MIS3" xfId="34"/>
    <cellStyle name="_Row5" xfId="35"/>
    <cellStyle name="_Row5_MIS3" xfId="36"/>
    <cellStyle name="_Row6" xfId="37"/>
    <cellStyle name="_Row6_MIS3" xfId="38"/>
    <cellStyle name="_Row7" xfId="39"/>
    <cellStyle name="_Row7_MIS3" xfId="40"/>
    <cellStyle name="0,0_x000d__x000a_NA_x000d__x000a_" xfId="41"/>
    <cellStyle name="0,0_x000d__x000a_NA_x000d__x000a_ 2" xfId="42"/>
    <cellStyle name="0,0_x000d__x000a_NA_x000d__x000a_ 3" xfId="43"/>
    <cellStyle name="20% - Accent1 2" xfId="44"/>
    <cellStyle name="20% - Accent1 3" xfId="45"/>
    <cellStyle name="20% - Accent1 3 10" xfId="46"/>
    <cellStyle name="20% - Accent1 3 11" xfId="47"/>
    <cellStyle name="20% - Accent1 3 12" xfId="48"/>
    <cellStyle name="20% - Accent1 3 13" xfId="49"/>
    <cellStyle name="20% - Accent1 3 2" xfId="50"/>
    <cellStyle name="20% - Accent1 3 3" xfId="51"/>
    <cellStyle name="20% - Accent1 3 4" xfId="52"/>
    <cellStyle name="20% - Accent1 3 5" xfId="53"/>
    <cellStyle name="20% - Accent1 3 6" xfId="54"/>
    <cellStyle name="20% - Accent1 3 7" xfId="55"/>
    <cellStyle name="20% - Accent1 3 8" xfId="56"/>
    <cellStyle name="20% - Accent1 3 9" xfId="57"/>
    <cellStyle name="20% - Accent1 4" xfId="58"/>
    <cellStyle name="20% - Accent1 4 10" xfId="59"/>
    <cellStyle name="20% - Accent1 4 11" xfId="60"/>
    <cellStyle name="20% - Accent1 4 12" xfId="61"/>
    <cellStyle name="20% - Accent1 4 13" xfId="62"/>
    <cellStyle name="20% - Accent1 4 2" xfId="63"/>
    <cellStyle name="20% - Accent1 4 3" xfId="64"/>
    <cellStyle name="20% - Accent1 4 4" xfId="65"/>
    <cellStyle name="20% - Accent1 4 5" xfId="66"/>
    <cellStyle name="20% - Accent1 4 6" xfId="67"/>
    <cellStyle name="20% - Accent1 4 7" xfId="68"/>
    <cellStyle name="20% - Accent1 4 8" xfId="69"/>
    <cellStyle name="20% - Accent1 4 9" xfId="70"/>
    <cellStyle name="20% - Accent1 5" xfId="71"/>
    <cellStyle name="20% - Accent2 2" xfId="72"/>
    <cellStyle name="20% - Accent2 3" xfId="73"/>
    <cellStyle name="20% - Accent2 3 10" xfId="74"/>
    <cellStyle name="20% - Accent2 3 11" xfId="75"/>
    <cellStyle name="20% - Accent2 3 12" xfId="76"/>
    <cellStyle name="20% - Accent2 3 13" xfId="77"/>
    <cellStyle name="20% - Accent2 3 2" xfId="78"/>
    <cellStyle name="20% - Accent2 3 3" xfId="79"/>
    <cellStyle name="20% - Accent2 3 4" xfId="80"/>
    <cellStyle name="20% - Accent2 3 5" xfId="81"/>
    <cellStyle name="20% - Accent2 3 6" xfId="82"/>
    <cellStyle name="20% - Accent2 3 7" xfId="83"/>
    <cellStyle name="20% - Accent2 3 8" xfId="84"/>
    <cellStyle name="20% - Accent2 3 9" xfId="85"/>
    <cellStyle name="20% - Accent2 4" xfId="86"/>
    <cellStyle name="20% - Accent2 4 10" xfId="87"/>
    <cellStyle name="20% - Accent2 4 11" xfId="88"/>
    <cellStyle name="20% - Accent2 4 12" xfId="89"/>
    <cellStyle name="20% - Accent2 4 13" xfId="90"/>
    <cellStyle name="20% - Accent2 4 2" xfId="91"/>
    <cellStyle name="20% - Accent2 4 3" xfId="92"/>
    <cellStyle name="20% - Accent2 4 4" xfId="93"/>
    <cellStyle name="20% - Accent2 4 5" xfId="94"/>
    <cellStyle name="20% - Accent2 4 6" xfId="95"/>
    <cellStyle name="20% - Accent2 4 7" xfId="96"/>
    <cellStyle name="20% - Accent2 4 8" xfId="97"/>
    <cellStyle name="20% - Accent2 4 9" xfId="98"/>
    <cellStyle name="20% - Accent2 5" xfId="99"/>
    <cellStyle name="20% - Accent3 2" xfId="100"/>
    <cellStyle name="20% - Accent3 3" xfId="101"/>
    <cellStyle name="20% - Accent3 3 10" xfId="102"/>
    <cellStyle name="20% - Accent3 3 11" xfId="103"/>
    <cellStyle name="20% - Accent3 3 12" xfId="104"/>
    <cellStyle name="20% - Accent3 3 13" xfId="105"/>
    <cellStyle name="20% - Accent3 3 2" xfId="106"/>
    <cellStyle name="20% - Accent3 3 3" xfId="107"/>
    <cellStyle name="20% - Accent3 3 4" xfId="108"/>
    <cellStyle name="20% - Accent3 3 5" xfId="109"/>
    <cellStyle name="20% - Accent3 3 6" xfId="110"/>
    <cellStyle name="20% - Accent3 3 7" xfId="111"/>
    <cellStyle name="20% - Accent3 3 8" xfId="112"/>
    <cellStyle name="20% - Accent3 3 9" xfId="113"/>
    <cellStyle name="20% - Accent3 4" xfId="114"/>
    <cellStyle name="20% - Accent3 4 10" xfId="115"/>
    <cellStyle name="20% - Accent3 4 11" xfId="116"/>
    <cellStyle name="20% - Accent3 4 12" xfId="117"/>
    <cellStyle name="20% - Accent3 4 13" xfId="118"/>
    <cellStyle name="20% - Accent3 4 2" xfId="119"/>
    <cellStyle name="20% - Accent3 4 3" xfId="120"/>
    <cellStyle name="20% - Accent3 4 4" xfId="121"/>
    <cellStyle name="20% - Accent3 4 5" xfId="122"/>
    <cellStyle name="20% - Accent3 4 6" xfId="123"/>
    <cellStyle name="20% - Accent3 4 7" xfId="124"/>
    <cellStyle name="20% - Accent3 4 8" xfId="125"/>
    <cellStyle name="20% - Accent3 4 9" xfId="126"/>
    <cellStyle name="20% - Accent3 5" xfId="127"/>
    <cellStyle name="20% - Accent4 2" xfId="128"/>
    <cellStyle name="20% - Accent4 3" xfId="129"/>
    <cellStyle name="20% - Accent4 3 10" xfId="130"/>
    <cellStyle name="20% - Accent4 3 11" xfId="131"/>
    <cellStyle name="20% - Accent4 3 12" xfId="132"/>
    <cellStyle name="20% - Accent4 3 13" xfId="133"/>
    <cellStyle name="20% - Accent4 3 2" xfId="134"/>
    <cellStyle name="20% - Accent4 3 3" xfId="135"/>
    <cellStyle name="20% - Accent4 3 4" xfId="136"/>
    <cellStyle name="20% - Accent4 3 5" xfId="137"/>
    <cellStyle name="20% - Accent4 3 6" xfId="138"/>
    <cellStyle name="20% - Accent4 3 7" xfId="139"/>
    <cellStyle name="20% - Accent4 3 8" xfId="140"/>
    <cellStyle name="20% - Accent4 3 9" xfId="141"/>
    <cellStyle name="20% - Accent4 4" xfId="142"/>
    <cellStyle name="20% - Accent4 4 10" xfId="143"/>
    <cellStyle name="20% - Accent4 4 11" xfId="144"/>
    <cellStyle name="20% - Accent4 4 12" xfId="145"/>
    <cellStyle name="20% - Accent4 4 13" xfId="146"/>
    <cellStyle name="20% - Accent4 4 2" xfId="147"/>
    <cellStyle name="20% - Accent4 4 3" xfId="148"/>
    <cellStyle name="20% - Accent4 4 4" xfId="149"/>
    <cellStyle name="20% - Accent4 4 5" xfId="150"/>
    <cellStyle name="20% - Accent4 4 6" xfId="151"/>
    <cellStyle name="20% - Accent4 4 7" xfId="152"/>
    <cellStyle name="20% - Accent4 4 8" xfId="153"/>
    <cellStyle name="20% - Accent4 4 9" xfId="154"/>
    <cellStyle name="20% - Accent4 5" xfId="155"/>
    <cellStyle name="20% - Accent5 2" xfId="156"/>
    <cellStyle name="20% - Accent5 3" xfId="157"/>
    <cellStyle name="20% - Accent5 3 10" xfId="158"/>
    <cellStyle name="20% - Accent5 3 11" xfId="159"/>
    <cellStyle name="20% - Accent5 3 12" xfId="160"/>
    <cellStyle name="20% - Accent5 3 13" xfId="161"/>
    <cellStyle name="20% - Accent5 3 2" xfId="162"/>
    <cellStyle name="20% - Accent5 3 3" xfId="163"/>
    <cellStyle name="20% - Accent5 3 4" xfId="164"/>
    <cellStyle name="20% - Accent5 3 5" xfId="165"/>
    <cellStyle name="20% - Accent5 3 6" xfId="166"/>
    <cellStyle name="20% - Accent5 3 7" xfId="167"/>
    <cellStyle name="20% - Accent5 3 8" xfId="168"/>
    <cellStyle name="20% - Accent5 3 9" xfId="169"/>
    <cellStyle name="20% - Accent5 4" xfId="170"/>
    <cellStyle name="20% - Accent5 4 10" xfId="171"/>
    <cellStyle name="20% - Accent5 4 11" xfId="172"/>
    <cellStyle name="20% - Accent5 4 12" xfId="173"/>
    <cellStyle name="20% - Accent5 4 13" xfId="174"/>
    <cellStyle name="20% - Accent5 4 2" xfId="175"/>
    <cellStyle name="20% - Accent5 4 3" xfId="176"/>
    <cellStyle name="20% - Accent5 4 4" xfId="177"/>
    <cellStyle name="20% - Accent5 4 5" xfId="178"/>
    <cellStyle name="20% - Accent5 4 6" xfId="179"/>
    <cellStyle name="20% - Accent5 4 7" xfId="180"/>
    <cellStyle name="20% - Accent5 4 8" xfId="181"/>
    <cellStyle name="20% - Accent5 4 9" xfId="182"/>
    <cellStyle name="20% - Accent5 5" xfId="183"/>
    <cellStyle name="20% - Accent6 2" xfId="184"/>
    <cellStyle name="20% - Accent6 3" xfId="185"/>
    <cellStyle name="20% - Accent6 3 10" xfId="186"/>
    <cellStyle name="20% - Accent6 3 11" xfId="187"/>
    <cellStyle name="20% - Accent6 3 12" xfId="188"/>
    <cellStyle name="20% - Accent6 3 13" xfId="189"/>
    <cellStyle name="20% - Accent6 3 2" xfId="190"/>
    <cellStyle name="20% - Accent6 3 3" xfId="191"/>
    <cellStyle name="20% - Accent6 3 4" xfId="192"/>
    <cellStyle name="20% - Accent6 3 5" xfId="193"/>
    <cellStyle name="20% - Accent6 3 6" xfId="194"/>
    <cellStyle name="20% - Accent6 3 7" xfId="195"/>
    <cellStyle name="20% - Accent6 3 8" xfId="196"/>
    <cellStyle name="20% - Accent6 3 9" xfId="197"/>
    <cellStyle name="20% - Accent6 4" xfId="198"/>
    <cellStyle name="20% - Accent6 4 10" xfId="199"/>
    <cellStyle name="20% - Accent6 4 11" xfId="200"/>
    <cellStyle name="20% - Accent6 4 12" xfId="201"/>
    <cellStyle name="20% - Accent6 4 13" xfId="202"/>
    <cellStyle name="20% - Accent6 4 2" xfId="203"/>
    <cellStyle name="20% - Accent6 4 3" xfId="204"/>
    <cellStyle name="20% - Accent6 4 4" xfId="205"/>
    <cellStyle name="20% - Accent6 4 5" xfId="206"/>
    <cellStyle name="20% - Accent6 4 6" xfId="207"/>
    <cellStyle name="20% - Accent6 4 7" xfId="208"/>
    <cellStyle name="20% - Accent6 4 8" xfId="209"/>
    <cellStyle name="20% - Accent6 4 9" xfId="210"/>
    <cellStyle name="20% - Accent6 5" xfId="211"/>
    <cellStyle name="20% - Akzent1" xfId="212"/>
    <cellStyle name="20% - Akzent2" xfId="213"/>
    <cellStyle name="20% - Akzent3" xfId="214"/>
    <cellStyle name="20% - Akzent4" xfId="215"/>
    <cellStyle name="20% - Akzent5" xfId="216"/>
    <cellStyle name="20% - Akzent6" xfId="217"/>
    <cellStyle name="20% - Colore 1" xfId="218"/>
    <cellStyle name="20% - Colore 2" xfId="219"/>
    <cellStyle name="20% - Colore 3" xfId="220"/>
    <cellStyle name="20% - Colore 4" xfId="221"/>
    <cellStyle name="20% - Colore 5" xfId="222"/>
    <cellStyle name="20% - Colore 6" xfId="223"/>
    <cellStyle name="2DC" xfId="224"/>
    <cellStyle name="2DC 10" xfId="225"/>
    <cellStyle name="2DC 11" xfId="226"/>
    <cellStyle name="2DC 12" xfId="227"/>
    <cellStyle name="2DC 13" xfId="228"/>
    <cellStyle name="2DC 14" xfId="229"/>
    <cellStyle name="2DC 15" xfId="230"/>
    <cellStyle name="2DC 16" xfId="231"/>
    <cellStyle name="2DC 17" xfId="232"/>
    <cellStyle name="2DC 18" xfId="233"/>
    <cellStyle name="2DC 19" xfId="234"/>
    <cellStyle name="2DC 2" xfId="235"/>
    <cellStyle name="2DC 20" xfId="236"/>
    <cellStyle name="2DC 21" xfId="237"/>
    <cellStyle name="2DC 22" xfId="238"/>
    <cellStyle name="2DC 23" xfId="239"/>
    <cellStyle name="2DC 24" xfId="240"/>
    <cellStyle name="2DC 25" xfId="241"/>
    <cellStyle name="2DC 26" xfId="242"/>
    <cellStyle name="2DC 27" xfId="243"/>
    <cellStyle name="2DC 28" xfId="244"/>
    <cellStyle name="2DC 29" xfId="245"/>
    <cellStyle name="2DC 3" xfId="246"/>
    <cellStyle name="2DC 30" xfId="247"/>
    <cellStyle name="2DC 31" xfId="248"/>
    <cellStyle name="2DC 32" xfId="249"/>
    <cellStyle name="2DC 33" xfId="250"/>
    <cellStyle name="2DC 34" xfId="251"/>
    <cellStyle name="2DC 35" xfId="252"/>
    <cellStyle name="2DC 36" xfId="253"/>
    <cellStyle name="2DC 37" xfId="254"/>
    <cellStyle name="2DC 38" xfId="255"/>
    <cellStyle name="2DC 39" xfId="256"/>
    <cellStyle name="2DC 4" xfId="257"/>
    <cellStyle name="2DC 40" xfId="258"/>
    <cellStyle name="2DC 41" xfId="259"/>
    <cellStyle name="2DC 42" xfId="260"/>
    <cellStyle name="2DC 43" xfId="261"/>
    <cellStyle name="2DC 44" xfId="262"/>
    <cellStyle name="2DC 45" xfId="263"/>
    <cellStyle name="2DC 46" xfId="264"/>
    <cellStyle name="2DC 47" xfId="265"/>
    <cellStyle name="2DC 48" xfId="266"/>
    <cellStyle name="2DC 49" xfId="267"/>
    <cellStyle name="2DC 5" xfId="268"/>
    <cellStyle name="2DC 50" xfId="269"/>
    <cellStyle name="2DC 51" xfId="270"/>
    <cellStyle name="2DC 52" xfId="271"/>
    <cellStyle name="2DC 53" xfId="272"/>
    <cellStyle name="2DC 54" xfId="273"/>
    <cellStyle name="2DC 55" xfId="274"/>
    <cellStyle name="2DC 56" xfId="275"/>
    <cellStyle name="2DC 57" xfId="276"/>
    <cellStyle name="2DC 58" xfId="277"/>
    <cellStyle name="2DC 59" xfId="278"/>
    <cellStyle name="2DC 6" xfId="279"/>
    <cellStyle name="2DC 60" xfId="280"/>
    <cellStyle name="2DC 61" xfId="281"/>
    <cellStyle name="2DC 62" xfId="282"/>
    <cellStyle name="2DC 63" xfId="283"/>
    <cellStyle name="2DC 64" xfId="284"/>
    <cellStyle name="2DC 65" xfId="285"/>
    <cellStyle name="2DC 66" xfId="286"/>
    <cellStyle name="2DC 67" xfId="287"/>
    <cellStyle name="2DC 68" xfId="288"/>
    <cellStyle name="2DC 7" xfId="289"/>
    <cellStyle name="2DC 8" xfId="290"/>
    <cellStyle name="2DC 9" xfId="291"/>
    <cellStyle name="2DC_Bingo" xfId="292"/>
    <cellStyle name="3DC" xfId="293"/>
    <cellStyle name="3DC 10" xfId="294"/>
    <cellStyle name="3DC 11" xfId="295"/>
    <cellStyle name="3DC 12" xfId="296"/>
    <cellStyle name="3DC 13" xfId="297"/>
    <cellStyle name="3DC 14" xfId="298"/>
    <cellStyle name="3DC 15" xfId="299"/>
    <cellStyle name="3DC 16" xfId="300"/>
    <cellStyle name="3DC 17" xfId="301"/>
    <cellStyle name="3DC 18" xfId="302"/>
    <cellStyle name="3DC 19" xfId="303"/>
    <cellStyle name="3DC 2" xfId="304"/>
    <cellStyle name="3DC 20" xfId="305"/>
    <cellStyle name="3DC 21" xfId="306"/>
    <cellStyle name="3DC 22" xfId="307"/>
    <cellStyle name="3DC 23" xfId="308"/>
    <cellStyle name="3DC 24" xfId="309"/>
    <cellStyle name="3DC 25" xfId="310"/>
    <cellStyle name="3DC 26" xfId="311"/>
    <cellStyle name="3DC 27" xfId="312"/>
    <cellStyle name="3DC 28" xfId="313"/>
    <cellStyle name="3DC 29" xfId="314"/>
    <cellStyle name="3DC 3" xfId="315"/>
    <cellStyle name="3DC 30" xfId="316"/>
    <cellStyle name="3DC 31" xfId="317"/>
    <cellStyle name="3DC 32" xfId="318"/>
    <cellStyle name="3DC 33" xfId="319"/>
    <cellStyle name="3DC 34" xfId="320"/>
    <cellStyle name="3DC 35" xfId="321"/>
    <cellStyle name="3DC 36" xfId="322"/>
    <cellStyle name="3DC 37" xfId="323"/>
    <cellStyle name="3DC 38" xfId="324"/>
    <cellStyle name="3DC 39" xfId="325"/>
    <cellStyle name="3DC 4" xfId="326"/>
    <cellStyle name="3DC 40" xfId="327"/>
    <cellStyle name="3DC 41" xfId="328"/>
    <cellStyle name="3DC 42" xfId="329"/>
    <cellStyle name="3DC 43" xfId="330"/>
    <cellStyle name="3DC 44" xfId="331"/>
    <cellStyle name="3DC 45" xfId="332"/>
    <cellStyle name="3DC 46" xfId="333"/>
    <cellStyle name="3DC 47" xfId="334"/>
    <cellStyle name="3DC 48" xfId="335"/>
    <cellStyle name="3DC 49" xfId="336"/>
    <cellStyle name="3DC 5" xfId="337"/>
    <cellStyle name="3DC 50" xfId="338"/>
    <cellStyle name="3DC 51" xfId="339"/>
    <cellStyle name="3DC 52" xfId="340"/>
    <cellStyle name="3DC 53" xfId="341"/>
    <cellStyle name="3DC 54" xfId="342"/>
    <cellStyle name="3DC 55" xfId="343"/>
    <cellStyle name="3DC 56" xfId="344"/>
    <cellStyle name="3DC 57" xfId="345"/>
    <cellStyle name="3DC 58" xfId="346"/>
    <cellStyle name="3DC 59" xfId="347"/>
    <cellStyle name="3DC 6" xfId="348"/>
    <cellStyle name="3DC 60" xfId="349"/>
    <cellStyle name="3DC 61" xfId="350"/>
    <cellStyle name="3DC 62" xfId="351"/>
    <cellStyle name="3DC 63" xfId="352"/>
    <cellStyle name="3DC 64" xfId="353"/>
    <cellStyle name="3DC 65" xfId="354"/>
    <cellStyle name="3DC 66" xfId="355"/>
    <cellStyle name="3DC 67" xfId="356"/>
    <cellStyle name="3DC 68" xfId="357"/>
    <cellStyle name="3DC 7" xfId="358"/>
    <cellStyle name="3DC 8" xfId="359"/>
    <cellStyle name="3DC 9" xfId="360"/>
    <cellStyle name="3DC_Bingo" xfId="361"/>
    <cellStyle name="40% - Accent1 2" xfId="362"/>
    <cellStyle name="40% - Accent1 3" xfId="363"/>
    <cellStyle name="40% - Accent1 3 10" xfId="364"/>
    <cellStyle name="40% - Accent1 3 11" xfId="365"/>
    <cellStyle name="40% - Accent1 3 12" xfId="366"/>
    <cellStyle name="40% - Accent1 3 13" xfId="367"/>
    <cellStyle name="40% - Accent1 3 2" xfId="368"/>
    <cellStyle name="40% - Accent1 3 3" xfId="369"/>
    <cellStyle name="40% - Accent1 3 4" xfId="370"/>
    <cellStyle name="40% - Accent1 3 5" xfId="371"/>
    <cellStyle name="40% - Accent1 3 6" xfId="372"/>
    <cellStyle name="40% - Accent1 3 7" xfId="373"/>
    <cellStyle name="40% - Accent1 3 8" xfId="374"/>
    <cellStyle name="40% - Accent1 3 9" xfId="375"/>
    <cellStyle name="40% - Accent1 4" xfId="376"/>
    <cellStyle name="40% - Accent1 4 10" xfId="377"/>
    <cellStyle name="40% - Accent1 4 11" xfId="378"/>
    <cellStyle name="40% - Accent1 4 12" xfId="379"/>
    <cellStyle name="40% - Accent1 4 13" xfId="380"/>
    <cellStyle name="40% - Accent1 4 2" xfId="381"/>
    <cellStyle name="40% - Accent1 4 3" xfId="382"/>
    <cellStyle name="40% - Accent1 4 4" xfId="383"/>
    <cellStyle name="40% - Accent1 4 5" xfId="384"/>
    <cellStyle name="40% - Accent1 4 6" xfId="385"/>
    <cellStyle name="40% - Accent1 4 7" xfId="386"/>
    <cellStyle name="40% - Accent1 4 8" xfId="387"/>
    <cellStyle name="40% - Accent1 4 9" xfId="388"/>
    <cellStyle name="40% - Accent1 5" xfId="389"/>
    <cellStyle name="40% - Accent2 2" xfId="390"/>
    <cellStyle name="40% - Accent2 3" xfId="391"/>
    <cellStyle name="40% - Accent2 3 10" xfId="392"/>
    <cellStyle name="40% - Accent2 3 11" xfId="393"/>
    <cellStyle name="40% - Accent2 3 12" xfId="394"/>
    <cellStyle name="40% - Accent2 3 13" xfId="395"/>
    <cellStyle name="40% - Accent2 3 2" xfId="396"/>
    <cellStyle name="40% - Accent2 3 3" xfId="397"/>
    <cellStyle name="40% - Accent2 3 4" xfId="398"/>
    <cellStyle name="40% - Accent2 3 5" xfId="399"/>
    <cellStyle name="40% - Accent2 3 6" xfId="400"/>
    <cellStyle name="40% - Accent2 3 7" xfId="401"/>
    <cellStyle name="40% - Accent2 3 8" xfId="402"/>
    <cellStyle name="40% - Accent2 3 9" xfId="403"/>
    <cellStyle name="40% - Accent2 4" xfId="404"/>
    <cellStyle name="40% - Accent2 4 10" xfId="405"/>
    <cellStyle name="40% - Accent2 4 11" xfId="406"/>
    <cellStyle name="40% - Accent2 4 12" xfId="407"/>
    <cellStyle name="40% - Accent2 4 13" xfId="408"/>
    <cellStyle name="40% - Accent2 4 2" xfId="409"/>
    <cellStyle name="40% - Accent2 4 3" xfId="410"/>
    <cellStyle name="40% - Accent2 4 4" xfId="411"/>
    <cellStyle name="40% - Accent2 4 5" xfId="412"/>
    <cellStyle name="40% - Accent2 4 6" xfId="413"/>
    <cellStyle name="40% - Accent2 4 7" xfId="414"/>
    <cellStyle name="40% - Accent2 4 8" xfId="415"/>
    <cellStyle name="40% - Accent2 4 9" xfId="416"/>
    <cellStyle name="40% - Accent2 5" xfId="417"/>
    <cellStyle name="40% - Accent3 2" xfId="418"/>
    <cellStyle name="40% - Accent3 3" xfId="419"/>
    <cellStyle name="40% - Accent3 3 10" xfId="420"/>
    <cellStyle name="40% - Accent3 3 11" xfId="421"/>
    <cellStyle name="40% - Accent3 3 12" xfId="422"/>
    <cellStyle name="40% - Accent3 3 13" xfId="423"/>
    <cellStyle name="40% - Accent3 3 2" xfId="424"/>
    <cellStyle name="40% - Accent3 3 3" xfId="425"/>
    <cellStyle name="40% - Accent3 3 4" xfId="426"/>
    <cellStyle name="40% - Accent3 3 5" xfId="427"/>
    <cellStyle name="40% - Accent3 3 6" xfId="428"/>
    <cellStyle name="40% - Accent3 3 7" xfId="429"/>
    <cellStyle name="40% - Accent3 3 8" xfId="430"/>
    <cellStyle name="40% - Accent3 3 9" xfId="431"/>
    <cellStyle name="40% - Accent3 4" xfId="432"/>
    <cellStyle name="40% - Accent3 4 10" xfId="433"/>
    <cellStyle name="40% - Accent3 4 11" xfId="434"/>
    <cellStyle name="40% - Accent3 4 12" xfId="435"/>
    <cellStyle name="40% - Accent3 4 13" xfId="436"/>
    <cellStyle name="40% - Accent3 4 2" xfId="437"/>
    <cellStyle name="40% - Accent3 4 3" xfId="438"/>
    <cellStyle name="40% - Accent3 4 4" xfId="439"/>
    <cellStyle name="40% - Accent3 4 5" xfId="440"/>
    <cellStyle name="40% - Accent3 4 6" xfId="441"/>
    <cellStyle name="40% - Accent3 4 7" xfId="442"/>
    <cellStyle name="40% - Accent3 4 8" xfId="443"/>
    <cellStyle name="40% - Accent3 4 9" xfId="444"/>
    <cellStyle name="40% - Accent3 5" xfId="445"/>
    <cellStyle name="40% - Accent4 2" xfId="446"/>
    <cellStyle name="40% - Accent4 3" xfId="447"/>
    <cellStyle name="40% - Accent4 3 10" xfId="448"/>
    <cellStyle name="40% - Accent4 3 11" xfId="449"/>
    <cellStyle name="40% - Accent4 3 12" xfId="450"/>
    <cellStyle name="40% - Accent4 3 13" xfId="451"/>
    <cellStyle name="40% - Accent4 3 2" xfId="452"/>
    <cellStyle name="40% - Accent4 3 3" xfId="453"/>
    <cellStyle name="40% - Accent4 3 4" xfId="454"/>
    <cellStyle name="40% - Accent4 3 5" xfId="455"/>
    <cellStyle name="40% - Accent4 3 6" xfId="456"/>
    <cellStyle name="40% - Accent4 3 7" xfId="457"/>
    <cellStyle name="40% - Accent4 3 8" xfId="458"/>
    <cellStyle name="40% - Accent4 3 9" xfId="459"/>
    <cellStyle name="40% - Accent4 4" xfId="460"/>
    <cellStyle name="40% - Accent4 4 10" xfId="461"/>
    <cellStyle name="40% - Accent4 4 11" xfId="462"/>
    <cellStyle name="40% - Accent4 4 12" xfId="463"/>
    <cellStyle name="40% - Accent4 4 13" xfId="464"/>
    <cellStyle name="40% - Accent4 4 2" xfId="465"/>
    <cellStyle name="40% - Accent4 4 3" xfId="466"/>
    <cellStyle name="40% - Accent4 4 4" xfId="467"/>
    <cellStyle name="40% - Accent4 4 5" xfId="468"/>
    <cellStyle name="40% - Accent4 4 6" xfId="469"/>
    <cellStyle name="40% - Accent4 4 7" xfId="470"/>
    <cellStyle name="40% - Accent4 4 8" xfId="471"/>
    <cellStyle name="40% - Accent4 4 9" xfId="472"/>
    <cellStyle name="40% - Accent4 5" xfId="473"/>
    <cellStyle name="40% - Accent5 2" xfId="474"/>
    <cellStyle name="40% - Accent5 3" xfId="475"/>
    <cellStyle name="40% - Accent5 3 10" xfId="476"/>
    <cellStyle name="40% - Accent5 3 11" xfId="477"/>
    <cellStyle name="40% - Accent5 3 12" xfId="478"/>
    <cellStyle name="40% - Accent5 3 13" xfId="479"/>
    <cellStyle name="40% - Accent5 3 2" xfId="480"/>
    <cellStyle name="40% - Accent5 3 3" xfId="481"/>
    <cellStyle name="40% - Accent5 3 4" xfId="482"/>
    <cellStyle name="40% - Accent5 3 5" xfId="483"/>
    <cellStyle name="40% - Accent5 3 6" xfId="484"/>
    <cellStyle name="40% - Accent5 3 7" xfId="485"/>
    <cellStyle name="40% - Accent5 3 8" xfId="486"/>
    <cellStyle name="40% - Accent5 3 9" xfId="487"/>
    <cellStyle name="40% - Accent5 4" xfId="488"/>
    <cellStyle name="40% - Accent5 4 10" xfId="489"/>
    <cellStyle name="40% - Accent5 4 11" xfId="490"/>
    <cellStyle name="40% - Accent5 4 12" xfId="491"/>
    <cellStyle name="40% - Accent5 4 13" xfId="492"/>
    <cellStyle name="40% - Accent5 4 2" xfId="493"/>
    <cellStyle name="40% - Accent5 4 3" xfId="494"/>
    <cellStyle name="40% - Accent5 4 4" xfId="495"/>
    <cellStyle name="40% - Accent5 4 5" xfId="496"/>
    <cellStyle name="40% - Accent5 4 6" xfId="497"/>
    <cellStyle name="40% - Accent5 4 7" xfId="498"/>
    <cellStyle name="40% - Accent5 4 8" xfId="499"/>
    <cellStyle name="40% - Accent5 4 9" xfId="500"/>
    <cellStyle name="40% - Accent5 5" xfId="501"/>
    <cellStyle name="40% - Accent6 2" xfId="502"/>
    <cellStyle name="40% - Accent6 3" xfId="503"/>
    <cellStyle name="40% - Accent6 3 10" xfId="504"/>
    <cellStyle name="40% - Accent6 3 11" xfId="505"/>
    <cellStyle name="40% - Accent6 3 12" xfId="506"/>
    <cellStyle name="40% - Accent6 3 13" xfId="507"/>
    <cellStyle name="40% - Accent6 3 2" xfId="508"/>
    <cellStyle name="40% - Accent6 3 3" xfId="509"/>
    <cellStyle name="40% - Accent6 3 4" xfId="510"/>
    <cellStyle name="40% - Accent6 3 5" xfId="511"/>
    <cellStyle name="40% - Accent6 3 6" xfId="512"/>
    <cellStyle name="40% - Accent6 3 7" xfId="513"/>
    <cellStyle name="40% - Accent6 3 8" xfId="514"/>
    <cellStyle name="40% - Accent6 3 9" xfId="515"/>
    <cellStyle name="40% - Accent6 4" xfId="516"/>
    <cellStyle name="40% - Accent6 4 10" xfId="517"/>
    <cellStyle name="40% - Accent6 4 11" xfId="518"/>
    <cellStyle name="40% - Accent6 4 12" xfId="519"/>
    <cellStyle name="40% - Accent6 4 13" xfId="520"/>
    <cellStyle name="40% - Accent6 4 2" xfId="521"/>
    <cellStyle name="40% - Accent6 4 3" xfId="522"/>
    <cellStyle name="40% - Accent6 4 4" xfId="523"/>
    <cellStyle name="40% - Accent6 4 5" xfId="524"/>
    <cellStyle name="40% - Accent6 4 6" xfId="525"/>
    <cellStyle name="40% - Accent6 4 7" xfId="526"/>
    <cellStyle name="40% - Accent6 4 8" xfId="527"/>
    <cellStyle name="40% - Accent6 4 9" xfId="528"/>
    <cellStyle name="40% - Accent6 5" xfId="529"/>
    <cellStyle name="40% - Akzent1" xfId="530"/>
    <cellStyle name="40% - Akzent2" xfId="531"/>
    <cellStyle name="40% - Akzent3" xfId="532"/>
    <cellStyle name="40% - Akzent4" xfId="533"/>
    <cellStyle name="40% - Akzent5" xfId="534"/>
    <cellStyle name="40% - Akzent6" xfId="535"/>
    <cellStyle name="40% - Colore 1" xfId="536"/>
    <cellStyle name="40% - Colore 2" xfId="537"/>
    <cellStyle name="40% - Colore 3" xfId="538"/>
    <cellStyle name="40% - Colore 4" xfId="539"/>
    <cellStyle name="40% - Colore 5" xfId="540"/>
    <cellStyle name="40% - Colore 6" xfId="541"/>
    <cellStyle name="60% - Accent1 2" xfId="542"/>
    <cellStyle name="60% - Accent1 3" xfId="543"/>
    <cellStyle name="60% - Accent1 3 10" xfId="544"/>
    <cellStyle name="60% - Accent1 3 11" xfId="545"/>
    <cellStyle name="60% - Accent1 3 12" xfId="546"/>
    <cellStyle name="60% - Accent1 3 13" xfId="547"/>
    <cellStyle name="60% - Accent1 3 2" xfId="548"/>
    <cellStyle name="60% - Accent1 3 3" xfId="549"/>
    <cellStyle name="60% - Accent1 3 4" xfId="550"/>
    <cellStyle name="60% - Accent1 3 5" xfId="551"/>
    <cellStyle name="60% - Accent1 3 6" xfId="552"/>
    <cellStyle name="60% - Accent1 3 7" xfId="553"/>
    <cellStyle name="60% - Accent1 3 8" xfId="554"/>
    <cellStyle name="60% - Accent1 3 9" xfId="555"/>
    <cellStyle name="60% - Accent1 4" xfId="556"/>
    <cellStyle name="60% - Accent1 4 10" xfId="557"/>
    <cellStyle name="60% - Accent1 4 11" xfId="558"/>
    <cellStyle name="60% - Accent1 4 12" xfId="559"/>
    <cellStyle name="60% - Accent1 4 13" xfId="560"/>
    <cellStyle name="60% - Accent1 4 2" xfId="561"/>
    <cellStyle name="60% - Accent1 4 3" xfId="562"/>
    <cellStyle name="60% - Accent1 4 4" xfId="563"/>
    <cellStyle name="60% - Accent1 4 5" xfId="564"/>
    <cellStyle name="60% - Accent1 4 6" xfId="565"/>
    <cellStyle name="60% - Accent1 4 7" xfId="566"/>
    <cellStyle name="60% - Accent1 4 8" xfId="567"/>
    <cellStyle name="60% - Accent1 4 9" xfId="568"/>
    <cellStyle name="60% - Accent1 5" xfId="569"/>
    <cellStyle name="60% - Accent2 2" xfId="570"/>
    <cellStyle name="60% - Accent2 3" xfId="571"/>
    <cellStyle name="60% - Accent2 3 10" xfId="572"/>
    <cellStyle name="60% - Accent2 3 11" xfId="573"/>
    <cellStyle name="60% - Accent2 3 12" xfId="574"/>
    <cellStyle name="60% - Accent2 3 13" xfId="575"/>
    <cellStyle name="60% - Accent2 3 2" xfId="576"/>
    <cellStyle name="60% - Accent2 3 3" xfId="577"/>
    <cellStyle name="60% - Accent2 3 4" xfId="578"/>
    <cellStyle name="60% - Accent2 3 5" xfId="579"/>
    <cellStyle name="60% - Accent2 3 6" xfId="580"/>
    <cellStyle name="60% - Accent2 3 7" xfId="581"/>
    <cellStyle name="60% - Accent2 3 8" xfId="582"/>
    <cellStyle name="60% - Accent2 3 9" xfId="583"/>
    <cellStyle name="60% - Accent2 4" xfId="584"/>
    <cellStyle name="60% - Accent2 4 10" xfId="585"/>
    <cellStyle name="60% - Accent2 4 11" xfId="586"/>
    <cellStyle name="60% - Accent2 4 12" xfId="587"/>
    <cellStyle name="60% - Accent2 4 13" xfId="588"/>
    <cellStyle name="60% - Accent2 4 2" xfId="589"/>
    <cellStyle name="60% - Accent2 4 3" xfId="590"/>
    <cellStyle name="60% - Accent2 4 4" xfId="591"/>
    <cellStyle name="60% - Accent2 4 5" xfId="592"/>
    <cellStyle name="60% - Accent2 4 6" xfId="593"/>
    <cellStyle name="60% - Accent2 4 7" xfId="594"/>
    <cellStyle name="60% - Accent2 4 8" xfId="595"/>
    <cellStyle name="60% - Accent2 4 9" xfId="596"/>
    <cellStyle name="60% - Accent2 5" xfId="597"/>
    <cellStyle name="60% - Accent3 2" xfId="598"/>
    <cellStyle name="60% - Accent3 3" xfId="599"/>
    <cellStyle name="60% - Accent3 3 10" xfId="600"/>
    <cellStyle name="60% - Accent3 3 11" xfId="601"/>
    <cellStyle name="60% - Accent3 3 12" xfId="602"/>
    <cellStyle name="60% - Accent3 3 13" xfId="603"/>
    <cellStyle name="60% - Accent3 3 2" xfId="604"/>
    <cellStyle name="60% - Accent3 3 3" xfId="605"/>
    <cellStyle name="60% - Accent3 3 4" xfId="606"/>
    <cellStyle name="60% - Accent3 3 5" xfId="607"/>
    <cellStyle name="60% - Accent3 3 6" xfId="608"/>
    <cellStyle name="60% - Accent3 3 7" xfId="609"/>
    <cellStyle name="60% - Accent3 3 8" xfId="610"/>
    <cellStyle name="60% - Accent3 3 9" xfId="611"/>
    <cellStyle name="60% - Accent3 4" xfId="612"/>
    <cellStyle name="60% - Accent3 4 10" xfId="613"/>
    <cellStyle name="60% - Accent3 4 11" xfId="614"/>
    <cellStyle name="60% - Accent3 4 12" xfId="615"/>
    <cellStyle name="60% - Accent3 4 13" xfId="616"/>
    <cellStyle name="60% - Accent3 4 2" xfId="617"/>
    <cellStyle name="60% - Accent3 4 3" xfId="618"/>
    <cellStyle name="60% - Accent3 4 4" xfId="619"/>
    <cellStyle name="60% - Accent3 4 5" xfId="620"/>
    <cellStyle name="60% - Accent3 4 6" xfId="621"/>
    <cellStyle name="60% - Accent3 4 7" xfId="622"/>
    <cellStyle name="60% - Accent3 4 8" xfId="623"/>
    <cellStyle name="60% - Accent3 4 9" xfId="624"/>
    <cellStyle name="60% - Accent3 5" xfId="625"/>
    <cellStyle name="60% - Accent4 2" xfId="626"/>
    <cellStyle name="60% - Accent4 3" xfId="627"/>
    <cellStyle name="60% - Accent4 3 10" xfId="628"/>
    <cellStyle name="60% - Accent4 3 11" xfId="629"/>
    <cellStyle name="60% - Accent4 3 12" xfId="630"/>
    <cellStyle name="60% - Accent4 3 13" xfId="631"/>
    <cellStyle name="60% - Accent4 3 2" xfId="632"/>
    <cellStyle name="60% - Accent4 3 3" xfId="633"/>
    <cellStyle name="60% - Accent4 3 4" xfId="634"/>
    <cellStyle name="60% - Accent4 3 5" xfId="635"/>
    <cellStyle name="60% - Accent4 3 6" xfId="636"/>
    <cellStyle name="60% - Accent4 3 7" xfId="637"/>
    <cellStyle name="60% - Accent4 3 8" xfId="638"/>
    <cellStyle name="60% - Accent4 3 9" xfId="639"/>
    <cellStyle name="60% - Accent4 4" xfId="640"/>
    <cellStyle name="60% - Accent4 4 10" xfId="641"/>
    <cellStyle name="60% - Accent4 4 11" xfId="642"/>
    <cellStyle name="60% - Accent4 4 12" xfId="643"/>
    <cellStyle name="60% - Accent4 4 13" xfId="644"/>
    <cellStyle name="60% - Accent4 4 2" xfId="645"/>
    <cellStyle name="60% - Accent4 4 3" xfId="646"/>
    <cellStyle name="60% - Accent4 4 4" xfId="647"/>
    <cellStyle name="60% - Accent4 4 5" xfId="648"/>
    <cellStyle name="60% - Accent4 4 6" xfId="649"/>
    <cellStyle name="60% - Accent4 4 7" xfId="650"/>
    <cellStyle name="60% - Accent4 4 8" xfId="651"/>
    <cellStyle name="60% - Accent4 4 9" xfId="652"/>
    <cellStyle name="60% - Accent4 5" xfId="653"/>
    <cellStyle name="60% - Accent5 2" xfId="654"/>
    <cellStyle name="60% - Accent5 3" xfId="655"/>
    <cellStyle name="60% - Accent5 3 10" xfId="656"/>
    <cellStyle name="60% - Accent5 3 11" xfId="657"/>
    <cellStyle name="60% - Accent5 3 12" xfId="658"/>
    <cellStyle name="60% - Accent5 3 13" xfId="659"/>
    <cellStyle name="60% - Accent5 3 2" xfId="660"/>
    <cellStyle name="60% - Accent5 3 3" xfId="661"/>
    <cellStyle name="60% - Accent5 3 4" xfId="662"/>
    <cellStyle name="60% - Accent5 3 5" xfId="663"/>
    <cellStyle name="60% - Accent5 3 6" xfId="664"/>
    <cellStyle name="60% - Accent5 3 7" xfId="665"/>
    <cellStyle name="60% - Accent5 3 8" xfId="666"/>
    <cellStyle name="60% - Accent5 3 9" xfId="667"/>
    <cellStyle name="60% - Accent5 4" xfId="668"/>
    <cellStyle name="60% - Accent5 4 10" xfId="669"/>
    <cellStyle name="60% - Accent5 4 11" xfId="670"/>
    <cellStyle name="60% - Accent5 4 12" xfId="671"/>
    <cellStyle name="60% - Accent5 4 13" xfId="672"/>
    <cellStyle name="60% - Accent5 4 2" xfId="673"/>
    <cellStyle name="60% - Accent5 4 3" xfId="674"/>
    <cellStyle name="60% - Accent5 4 4" xfId="675"/>
    <cellStyle name="60% - Accent5 4 5" xfId="676"/>
    <cellStyle name="60% - Accent5 4 6" xfId="677"/>
    <cellStyle name="60% - Accent5 4 7" xfId="678"/>
    <cellStyle name="60% - Accent5 4 8" xfId="679"/>
    <cellStyle name="60% - Accent5 4 9" xfId="680"/>
    <cellStyle name="60% - Accent5 5" xfId="681"/>
    <cellStyle name="60% - Accent6 2" xfId="682"/>
    <cellStyle name="60% - Accent6 3" xfId="683"/>
    <cellStyle name="60% - Accent6 3 10" xfId="684"/>
    <cellStyle name="60% - Accent6 3 11" xfId="685"/>
    <cellStyle name="60% - Accent6 3 12" xfId="686"/>
    <cellStyle name="60% - Accent6 3 13" xfId="687"/>
    <cellStyle name="60% - Accent6 3 2" xfId="688"/>
    <cellStyle name="60% - Accent6 3 3" xfId="689"/>
    <cellStyle name="60% - Accent6 3 4" xfId="690"/>
    <cellStyle name="60% - Accent6 3 5" xfId="691"/>
    <cellStyle name="60% - Accent6 3 6" xfId="692"/>
    <cellStyle name="60% - Accent6 3 7" xfId="693"/>
    <cellStyle name="60% - Accent6 3 8" xfId="694"/>
    <cellStyle name="60% - Accent6 3 9" xfId="695"/>
    <cellStyle name="60% - Accent6 4" xfId="696"/>
    <cellStyle name="60% - Accent6 4 10" xfId="697"/>
    <cellStyle name="60% - Accent6 4 11" xfId="698"/>
    <cellStyle name="60% - Accent6 4 12" xfId="699"/>
    <cellStyle name="60% - Accent6 4 13" xfId="700"/>
    <cellStyle name="60% - Accent6 4 2" xfId="701"/>
    <cellStyle name="60% - Accent6 4 3" xfId="702"/>
    <cellStyle name="60% - Accent6 4 4" xfId="703"/>
    <cellStyle name="60% - Accent6 4 5" xfId="704"/>
    <cellStyle name="60% - Accent6 4 6" xfId="705"/>
    <cellStyle name="60% - Accent6 4 7" xfId="706"/>
    <cellStyle name="60% - Accent6 4 8" xfId="707"/>
    <cellStyle name="60% - Accent6 4 9" xfId="708"/>
    <cellStyle name="60% - Accent6 5" xfId="709"/>
    <cellStyle name="60% - Akzent1" xfId="710"/>
    <cellStyle name="60% - Akzent2" xfId="711"/>
    <cellStyle name="60% - Akzent3" xfId="712"/>
    <cellStyle name="60% - Akzent4" xfId="713"/>
    <cellStyle name="60% - Akzent5" xfId="714"/>
    <cellStyle name="60% - Akzent6" xfId="715"/>
    <cellStyle name="60% - Colore 1" xfId="716"/>
    <cellStyle name="60% - Colore 2" xfId="717"/>
    <cellStyle name="60% - Colore 3" xfId="718"/>
    <cellStyle name="60% - Colore 4" xfId="719"/>
    <cellStyle name="60% - Colore 5" xfId="720"/>
    <cellStyle name="60% - Colore 6" xfId="721"/>
    <cellStyle name="Accent1 - 20%" xfId="722"/>
    <cellStyle name="Accent1 - 40%" xfId="723"/>
    <cellStyle name="Accent1 - 60%" xfId="724"/>
    <cellStyle name="Accent1 2" xfId="725"/>
    <cellStyle name="Accent1 2 2" xfId="726"/>
    <cellStyle name="Accent1 2 2 2" xfId="727"/>
    <cellStyle name="Accent1 2 2_Nations" xfId="728"/>
    <cellStyle name="Accent1 2 3" xfId="729"/>
    <cellStyle name="Accent1 2 4" xfId="730"/>
    <cellStyle name="Accent1 2 5" xfId="731"/>
    <cellStyle name="Accent1 2 6" xfId="732"/>
    <cellStyle name="Accent1 2 7" xfId="733"/>
    <cellStyle name="Accent1 2 8" xfId="734"/>
    <cellStyle name="Accent1 2 9" xfId="735"/>
    <cellStyle name="Accent1 3" xfId="736"/>
    <cellStyle name="Accent1 3 2" xfId="737"/>
    <cellStyle name="Accent1 3 3" xfId="738"/>
    <cellStyle name="Accent1 3 4" xfId="739"/>
    <cellStyle name="Accent1 3 5" xfId="740"/>
    <cellStyle name="Accent1 3 6" xfId="741"/>
    <cellStyle name="Accent1 4" xfId="742"/>
    <cellStyle name="Accent1 4 2" xfId="743"/>
    <cellStyle name="Accent1 4 3" xfId="744"/>
    <cellStyle name="Accent1 4 4" xfId="745"/>
    <cellStyle name="Accent1 4 5" xfId="746"/>
    <cellStyle name="Accent1 4 6" xfId="747"/>
    <cellStyle name="Accent1 5" xfId="748"/>
    <cellStyle name="Accent1 5 2" xfId="749"/>
    <cellStyle name="Accent1 5 3" xfId="750"/>
    <cellStyle name="Accent1 5 4" xfId="751"/>
    <cellStyle name="Accent1 6" xfId="752"/>
    <cellStyle name="Accent1 6 2" xfId="753"/>
    <cellStyle name="Accent1 6 3" xfId="754"/>
    <cellStyle name="Accent1 6 4" xfId="755"/>
    <cellStyle name="Accent1 7" xfId="756"/>
    <cellStyle name="Accent1 8" xfId="757"/>
    <cellStyle name="Accent1 9" xfId="758"/>
    <cellStyle name="Accent2 - 20%" xfId="759"/>
    <cellStyle name="Accent2 - 40%" xfId="760"/>
    <cellStyle name="Accent2 - 60%" xfId="761"/>
    <cellStyle name="Accent2 2" xfId="762"/>
    <cellStyle name="Accent2 2 2" xfId="763"/>
    <cellStyle name="Accent2 2 2 2" xfId="764"/>
    <cellStyle name="Accent2 2 2_Nations" xfId="765"/>
    <cellStyle name="Accent2 2 3" xfId="766"/>
    <cellStyle name="Accent2 2 4" xfId="767"/>
    <cellStyle name="Accent2 2 5" xfId="768"/>
    <cellStyle name="Accent2 2 6" xfId="769"/>
    <cellStyle name="Accent2 2 7" xfId="770"/>
    <cellStyle name="Accent2 2 8" xfId="771"/>
    <cellStyle name="Accent2 2 9" xfId="772"/>
    <cellStyle name="Accent2 3" xfId="773"/>
    <cellStyle name="Accent2 3 2" xfId="774"/>
    <cellStyle name="Accent2 3 3" xfId="775"/>
    <cellStyle name="Accent2 3 4" xfId="776"/>
    <cellStyle name="Accent2 3 5" xfId="777"/>
    <cellStyle name="Accent2 3 6" xfId="778"/>
    <cellStyle name="Accent2 4" xfId="779"/>
    <cellStyle name="Accent2 4 2" xfId="780"/>
    <cellStyle name="Accent2 4 3" xfId="781"/>
    <cellStyle name="Accent2 4 4" xfId="782"/>
    <cellStyle name="Accent2 4 5" xfId="783"/>
    <cellStyle name="Accent2 4 6" xfId="784"/>
    <cellStyle name="Accent2 5" xfId="785"/>
    <cellStyle name="Accent2 5 2" xfId="786"/>
    <cellStyle name="Accent2 5 3" xfId="787"/>
    <cellStyle name="Accent2 5 4" xfId="788"/>
    <cellStyle name="Accent2 6" xfId="789"/>
    <cellStyle name="Accent2 6 2" xfId="790"/>
    <cellStyle name="Accent2 6 3" xfId="791"/>
    <cellStyle name="Accent2 6 4" xfId="792"/>
    <cellStyle name="Accent2 7" xfId="793"/>
    <cellStyle name="Accent2 8" xfId="794"/>
    <cellStyle name="Accent2 9" xfId="795"/>
    <cellStyle name="Accent3 - 20%" xfId="796"/>
    <cellStyle name="Accent3 - 40%" xfId="797"/>
    <cellStyle name="Accent3 - 60%" xfId="798"/>
    <cellStyle name="Accent3 2" xfId="799"/>
    <cellStyle name="Accent3 2 2" xfId="800"/>
    <cellStyle name="Accent3 2 2 2" xfId="801"/>
    <cellStyle name="Accent3 2 2_Nations" xfId="802"/>
    <cellStyle name="Accent3 2 3" xfId="803"/>
    <cellStyle name="Accent3 2 4" xfId="804"/>
    <cellStyle name="Accent3 2 5" xfId="805"/>
    <cellStyle name="Accent3 2 6" xfId="806"/>
    <cellStyle name="Accent3 2 7" xfId="807"/>
    <cellStyle name="Accent3 2 8" xfId="808"/>
    <cellStyle name="Accent3 2 9" xfId="809"/>
    <cellStyle name="Accent3 3" xfId="810"/>
    <cellStyle name="Accent3 3 2" xfId="811"/>
    <cellStyle name="Accent3 3 3" xfId="812"/>
    <cellStyle name="Accent3 3 4" xfId="813"/>
    <cellStyle name="Accent3 3 5" xfId="814"/>
    <cellStyle name="Accent3 3 6" xfId="815"/>
    <cellStyle name="Accent3 4" xfId="816"/>
    <cellStyle name="Accent3 4 2" xfId="817"/>
    <cellStyle name="Accent3 4 3" xfId="818"/>
    <cellStyle name="Accent3 4 4" xfId="819"/>
    <cellStyle name="Accent3 4 5" xfId="820"/>
    <cellStyle name="Accent3 4 6" xfId="821"/>
    <cellStyle name="Accent3 5" xfId="822"/>
    <cellStyle name="Accent3 5 2" xfId="823"/>
    <cellStyle name="Accent3 5 3" xfId="824"/>
    <cellStyle name="Accent3 5 4" xfId="825"/>
    <cellStyle name="Accent3 6" xfId="826"/>
    <cellStyle name="Accent3 6 2" xfId="827"/>
    <cellStyle name="Accent3 6 3" xfId="828"/>
    <cellStyle name="Accent3 6 4" xfId="829"/>
    <cellStyle name="Accent3 7" xfId="830"/>
    <cellStyle name="Accent3 8" xfId="831"/>
    <cellStyle name="Accent3 9" xfId="832"/>
    <cellStyle name="Accent4 - 20%" xfId="833"/>
    <cellStyle name="Accent4 - 40%" xfId="834"/>
    <cellStyle name="Accent4 - 60%" xfId="835"/>
    <cellStyle name="Accent4 2" xfId="836"/>
    <cellStyle name="Accent4 2 2" xfId="837"/>
    <cellStyle name="Accent4 2 2 2" xfId="838"/>
    <cellStyle name="Accent4 2 2_Nations" xfId="839"/>
    <cellStyle name="Accent4 2 3" xfId="840"/>
    <cellStyle name="Accent4 2 4" xfId="841"/>
    <cellStyle name="Accent4 2 5" xfId="842"/>
    <cellStyle name="Accent4 2 6" xfId="843"/>
    <cellStyle name="Accent4 2 7" xfId="844"/>
    <cellStyle name="Accent4 2 8" xfId="845"/>
    <cellStyle name="Accent4 2 9" xfId="846"/>
    <cellStyle name="Accent4 3" xfId="847"/>
    <cellStyle name="Accent4 3 2" xfId="848"/>
    <cellStyle name="Accent4 3 3" xfId="849"/>
    <cellStyle name="Accent4 3 4" xfId="850"/>
    <cellStyle name="Accent4 3 5" xfId="851"/>
    <cellStyle name="Accent4 3 6" xfId="852"/>
    <cellStyle name="Accent4 4" xfId="853"/>
    <cellStyle name="Accent4 4 2" xfId="854"/>
    <cellStyle name="Accent4 4 3" xfId="855"/>
    <cellStyle name="Accent4 4 4" xfId="856"/>
    <cellStyle name="Accent4 4 5" xfId="857"/>
    <cellStyle name="Accent4 4 6" xfId="858"/>
    <cellStyle name="Accent4 5" xfId="859"/>
    <cellStyle name="Accent4 5 2" xfId="860"/>
    <cellStyle name="Accent4 5 3" xfId="861"/>
    <cellStyle name="Accent4 5 4" xfId="862"/>
    <cellStyle name="Accent4 6" xfId="863"/>
    <cellStyle name="Accent4 6 2" xfId="864"/>
    <cellStyle name="Accent4 6 3" xfId="865"/>
    <cellStyle name="Accent4 6 4" xfId="866"/>
    <cellStyle name="Accent4 7" xfId="867"/>
    <cellStyle name="Accent4 8" xfId="868"/>
    <cellStyle name="Accent4 9" xfId="869"/>
    <cellStyle name="Accent5 - 20%" xfId="870"/>
    <cellStyle name="Accent5 - 40%" xfId="871"/>
    <cellStyle name="Accent5 - 60%" xfId="872"/>
    <cellStyle name="Accent5 2" xfId="873"/>
    <cellStyle name="Accent5 2 2" xfId="874"/>
    <cellStyle name="Accent5 2 2 2" xfId="875"/>
    <cellStyle name="Accent5 2 2_Nations" xfId="876"/>
    <cellStyle name="Accent5 2 3" xfId="877"/>
    <cellStyle name="Accent5 2 4" xfId="878"/>
    <cellStyle name="Accent5 2 5" xfId="879"/>
    <cellStyle name="Accent5 2 6" xfId="880"/>
    <cellStyle name="Accent5 2 7" xfId="881"/>
    <cellStyle name="Accent5 2 8" xfId="882"/>
    <cellStyle name="Accent5 2 9" xfId="883"/>
    <cellStyle name="Accent5 3" xfId="884"/>
    <cellStyle name="Accent5 3 2" xfId="885"/>
    <cellStyle name="Accent5 3 3" xfId="886"/>
    <cellStyle name="Accent5 3 4" xfId="887"/>
    <cellStyle name="Accent5 3 5" xfId="888"/>
    <cellStyle name="Accent5 3 6" xfId="889"/>
    <cellStyle name="Accent5 4" xfId="890"/>
    <cellStyle name="Accent5 4 2" xfId="891"/>
    <cellStyle name="Accent5 4 3" xfId="892"/>
    <cellStyle name="Accent5 4 4" xfId="893"/>
    <cellStyle name="Accent5 4 5" xfId="894"/>
    <cellStyle name="Accent5 4 6" xfId="895"/>
    <cellStyle name="Accent5 5" xfId="896"/>
    <cellStyle name="Accent5 5 2" xfId="897"/>
    <cellStyle name="Accent5 5 3" xfId="898"/>
    <cellStyle name="Accent5 5 4" xfId="899"/>
    <cellStyle name="Accent5 6" xfId="900"/>
    <cellStyle name="Accent5 6 2" xfId="901"/>
    <cellStyle name="Accent5 6 3" xfId="902"/>
    <cellStyle name="Accent5 6 4" xfId="903"/>
    <cellStyle name="Accent5 7" xfId="904"/>
    <cellStyle name="Accent5 8" xfId="905"/>
    <cellStyle name="Accent5 9" xfId="906"/>
    <cellStyle name="Accent6 - 20%" xfId="907"/>
    <cellStyle name="Accent6 - 40%" xfId="908"/>
    <cellStyle name="Accent6 - 60%" xfId="909"/>
    <cellStyle name="Accent6 2" xfId="910"/>
    <cellStyle name="Accent6 2 2" xfId="911"/>
    <cellStyle name="Accent6 2 2 2" xfId="912"/>
    <cellStyle name="Accent6 2 2_Nations" xfId="913"/>
    <cellStyle name="Accent6 2 3" xfId="914"/>
    <cellStyle name="Accent6 2 4" xfId="915"/>
    <cellStyle name="Accent6 2 5" xfId="916"/>
    <cellStyle name="Accent6 2 6" xfId="917"/>
    <cellStyle name="Accent6 2 7" xfId="918"/>
    <cellStyle name="Accent6 2 8" xfId="919"/>
    <cellStyle name="Accent6 2 9" xfId="920"/>
    <cellStyle name="Accent6 3" xfId="921"/>
    <cellStyle name="Accent6 3 2" xfId="922"/>
    <cellStyle name="Accent6 3 3" xfId="923"/>
    <cellStyle name="Accent6 3 4" xfId="924"/>
    <cellStyle name="Accent6 3 5" xfId="925"/>
    <cellStyle name="Accent6 3 6" xfId="926"/>
    <cellStyle name="Accent6 4" xfId="927"/>
    <cellStyle name="Accent6 4 2" xfId="928"/>
    <cellStyle name="Accent6 4 3" xfId="929"/>
    <cellStyle name="Accent6 4 4" xfId="930"/>
    <cellStyle name="Accent6 4 5" xfId="931"/>
    <cellStyle name="Accent6 4 6" xfId="932"/>
    <cellStyle name="Accent6 5" xfId="933"/>
    <cellStyle name="Accent6 5 2" xfId="934"/>
    <cellStyle name="Accent6 5 3" xfId="935"/>
    <cellStyle name="Accent6 5 4" xfId="936"/>
    <cellStyle name="Accent6 6" xfId="937"/>
    <cellStyle name="Accent6 6 2" xfId="938"/>
    <cellStyle name="Accent6 6 3" xfId="939"/>
    <cellStyle name="Accent6 6 4" xfId="940"/>
    <cellStyle name="Accent6 7" xfId="941"/>
    <cellStyle name="Accent6 8" xfId="942"/>
    <cellStyle name="Accent6 9" xfId="943"/>
    <cellStyle name="active" xfId="944"/>
    <cellStyle name="Akzent1" xfId="945"/>
    <cellStyle name="Akzent2" xfId="946"/>
    <cellStyle name="Akzent3" xfId="947"/>
    <cellStyle name="Akzent4" xfId="948"/>
    <cellStyle name="Akzent5" xfId="949"/>
    <cellStyle name="Akzent6" xfId="950"/>
    <cellStyle name="args.style" xfId="951"/>
    <cellStyle name="Ausgabe" xfId="952"/>
    <cellStyle name="Bad 2" xfId="953"/>
    <cellStyle name="Bad 2 2" xfId="954"/>
    <cellStyle name="Bad 2 2 2" xfId="955"/>
    <cellStyle name="Bad 2 2_Nations" xfId="956"/>
    <cellStyle name="Bad 2 3" xfId="957"/>
    <cellStyle name="Bad 2 4" xfId="958"/>
    <cellStyle name="Bad 2 5" xfId="959"/>
    <cellStyle name="Bad 2 6" xfId="960"/>
    <cellStyle name="Bad 2 7" xfId="961"/>
    <cellStyle name="Bad 2 8" xfId="962"/>
    <cellStyle name="Bad 2 9" xfId="963"/>
    <cellStyle name="Bad 3" xfId="964"/>
    <cellStyle name="Bad 3 2" xfId="965"/>
    <cellStyle name="Bad 3 3" xfId="966"/>
    <cellStyle name="Bad 3 4" xfId="967"/>
    <cellStyle name="Bad 3 5" xfId="968"/>
    <cellStyle name="Bad 3 6" xfId="969"/>
    <cellStyle name="Bad 4" xfId="970"/>
    <cellStyle name="Bad 4 2" xfId="971"/>
    <cellStyle name="Bad 4 3" xfId="972"/>
    <cellStyle name="Bad 4 4" xfId="973"/>
    <cellStyle name="Bad 4 5" xfId="974"/>
    <cellStyle name="Bad 4 6" xfId="975"/>
    <cellStyle name="Bad 5" xfId="976"/>
    <cellStyle name="Bad 5 2" xfId="977"/>
    <cellStyle name="Bad 5 3" xfId="978"/>
    <cellStyle name="Bad 5 4" xfId="979"/>
    <cellStyle name="Bad 6" xfId="980"/>
    <cellStyle name="Bad 6 2" xfId="981"/>
    <cellStyle name="Bad 6 3" xfId="982"/>
    <cellStyle name="Bad 6 4" xfId="983"/>
    <cellStyle name="Bad 7" xfId="984"/>
    <cellStyle name="Bad 8" xfId="985"/>
    <cellStyle name="Bad 9" xfId="986"/>
    <cellStyle name="bar_header" xfId="987"/>
    <cellStyle name="Berechnung" xfId="988"/>
    <cellStyle name="Bold" xfId="989"/>
    <cellStyle name="Calc Currency (0)" xfId="990"/>
    <cellStyle name="Calc Currency (2)" xfId="991"/>
    <cellStyle name="Calc Percent (0)" xfId="992"/>
    <cellStyle name="Calc Percent (1)" xfId="993"/>
    <cellStyle name="Calc Percent (2)" xfId="994"/>
    <cellStyle name="Calc Units (0)" xfId="995"/>
    <cellStyle name="Calc Units (1)" xfId="996"/>
    <cellStyle name="Calc Units (2)" xfId="997"/>
    <cellStyle name="Calcolo" xfId="998"/>
    <cellStyle name="Calculation 2" xfId="999"/>
    <cellStyle name="Calculation 2 2" xfId="1000"/>
    <cellStyle name="Calculation 2 2 2" xfId="1001"/>
    <cellStyle name="Calculation 2 2_Nations" xfId="1002"/>
    <cellStyle name="Calculation 2 3" xfId="1003"/>
    <cellStyle name="Calculation 2 4" xfId="1004"/>
    <cellStyle name="Calculation 2 5" xfId="1005"/>
    <cellStyle name="Calculation 2 6" xfId="1006"/>
    <cellStyle name="Calculation 2 7" xfId="1007"/>
    <cellStyle name="Calculation 2 8" xfId="1008"/>
    <cellStyle name="Calculation 2 9" xfId="1009"/>
    <cellStyle name="Calculation 3" xfId="1010"/>
    <cellStyle name="Calculation 3 2" xfId="1011"/>
    <cellStyle name="Calculation 3 3" xfId="1012"/>
    <cellStyle name="Calculation 3 4" xfId="1013"/>
    <cellStyle name="Calculation 3 5" xfId="1014"/>
    <cellStyle name="Calculation 3 6" xfId="1015"/>
    <cellStyle name="Calculation 4" xfId="1016"/>
    <cellStyle name="Calculation 4 2" xfId="1017"/>
    <cellStyle name="Calculation 4 3" xfId="1018"/>
    <cellStyle name="Calculation 4 4" xfId="1019"/>
    <cellStyle name="Calculation 4 5" xfId="1020"/>
    <cellStyle name="Calculation 4 6" xfId="1021"/>
    <cellStyle name="Calculation 5" xfId="1022"/>
    <cellStyle name="Calculation 5 2" xfId="1023"/>
    <cellStyle name="Calculation 5 3" xfId="1024"/>
    <cellStyle name="Calculation 5 4" xfId="1025"/>
    <cellStyle name="Calculation 6" xfId="1026"/>
    <cellStyle name="Calculation 6 2" xfId="1027"/>
    <cellStyle name="Calculation 6 3" xfId="1028"/>
    <cellStyle name="Calculation 6 4" xfId="1029"/>
    <cellStyle name="Calculation 7" xfId="1030"/>
    <cellStyle name="Calculation 8" xfId="1031"/>
    <cellStyle name="Calculation 9" xfId="1032"/>
    <cellStyle name="Cella collegata" xfId="1033"/>
    <cellStyle name="Cella da controllare" xfId="1034"/>
    <cellStyle name="Check Cell 2" xfId="1035"/>
    <cellStyle name="Check Cell 2 2" xfId="1036"/>
    <cellStyle name="Check Cell 2 2 2" xfId="1037"/>
    <cellStyle name="Check Cell 2 2_Nations" xfId="1038"/>
    <cellStyle name="Check Cell 2 3" xfId="1039"/>
    <cellStyle name="Check Cell 2 4" xfId="1040"/>
    <cellStyle name="Check Cell 2 5" xfId="1041"/>
    <cellStyle name="Check Cell 2 6" xfId="1042"/>
    <cellStyle name="Check Cell 2 7" xfId="1043"/>
    <cellStyle name="Check Cell 2 8" xfId="1044"/>
    <cellStyle name="Check Cell 2 9" xfId="1045"/>
    <cellStyle name="Check Cell 3" xfId="1046"/>
    <cellStyle name="Check Cell 3 2" xfId="1047"/>
    <cellStyle name="Check Cell 3 3" xfId="1048"/>
    <cellStyle name="Check Cell 3 4" xfId="1049"/>
    <cellStyle name="Check Cell 3 5" xfId="1050"/>
    <cellStyle name="Check Cell 3 6" xfId="1051"/>
    <cellStyle name="Check Cell 4" xfId="1052"/>
    <cellStyle name="Check Cell 4 2" xfId="1053"/>
    <cellStyle name="Check Cell 4 3" xfId="1054"/>
    <cellStyle name="Check Cell 4 4" xfId="1055"/>
    <cellStyle name="Check Cell 4 5" xfId="1056"/>
    <cellStyle name="Check Cell 4 6" xfId="1057"/>
    <cellStyle name="Check Cell 5" xfId="1058"/>
    <cellStyle name="Check Cell 5 2" xfId="1059"/>
    <cellStyle name="Check Cell 5 3" xfId="1060"/>
    <cellStyle name="Check Cell 5 4" xfId="1061"/>
    <cellStyle name="Check Cell 6" xfId="1062"/>
    <cellStyle name="Check Cell 6 2" xfId="1063"/>
    <cellStyle name="Check Cell 6 3" xfId="1064"/>
    <cellStyle name="Check Cell 6 4" xfId="1065"/>
    <cellStyle name="Check Cell 7" xfId="1066"/>
    <cellStyle name="Check Cell 8" xfId="1067"/>
    <cellStyle name="Check Cell 9" xfId="1068"/>
    <cellStyle name="Colore 1" xfId="1069"/>
    <cellStyle name="Colore 2" xfId="1070"/>
    <cellStyle name="Colore 3" xfId="1071"/>
    <cellStyle name="Colore 4" xfId="1072"/>
    <cellStyle name="Colore 5" xfId="1073"/>
    <cellStyle name="Colore 6" xfId="1074"/>
    <cellStyle name="Column Header" xfId="1075"/>
    <cellStyle name="ColumnAttributeAbovePrompt" xfId="1076"/>
    <cellStyle name="ColumnAttributePrompt" xfId="1077"/>
    <cellStyle name="ColumnAttributeValue" xfId="1078"/>
    <cellStyle name="ColumnHeadingPrompt" xfId="1079"/>
    <cellStyle name="ColumnHeadingValue" xfId="1080"/>
    <cellStyle name="Comma [00]" xfId="1081"/>
    <cellStyle name="Comma 10" xfId="1082"/>
    <cellStyle name="Comma 11" xfId="1083"/>
    <cellStyle name="Comma 12" xfId="1084"/>
    <cellStyle name="Comma 13" xfId="1085"/>
    <cellStyle name="Comma 14" xfId="1086"/>
    <cellStyle name="Comma 15" xfId="1087"/>
    <cellStyle name="Comma 16" xfId="1088"/>
    <cellStyle name="Comma 16 10" xfId="1089"/>
    <cellStyle name="Comma 16 11" xfId="1090"/>
    <cellStyle name="Comma 16 12" xfId="1091"/>
    <cellStyle name="Comma 16 13" xfId="1092"/>
    <cellStyle name="Comma 16 14" xfId="1093"/>
    <cellStyle name="Comma 16 15" xfId="1094"/>
    <cellStyle name="Comma 16 16" xfId="1095"/>
    <cellStyle name="Comma 16 17" xfId="1096"/>
    <cellStyle name="Comma 16 18" xfId="1097"/>
    <cellStyle name="Comma 16 19" xfId="1098"/>
    <cellStyle name="Comma 16 2" xfId="1099"/>
    <cellStyle name="Comma 16 2 2" xfId="1100"/>
    <cellStyle name="Comma 16 2_Nations" xfId="1101"/>
    <cellStyle name="Comma 16 20" xfId="1102"/>
    <cellStyle name="Comma 16 21" xfId="1103"/>
    <cellStyle name="Comma 16 3" xfId="1104"/>
    <cellStyle name="Comma 16 4" xfId="1105"/>
    <cellStyle name="Comma 16 5" xfId="1106"/>
    <cellStyle name="Comma 16 6" xfId="1107"/>
    <cellStyle name="Comma 16 7" xfId="1108"/>
    <cellStyle name="Comma 16 8" xfId="1109"/>
    <cellStyle name="Comma 16 9" xfId="1110"/>
    <cellStyle name="Comma 16_Bingo" xfId="1111"/>
    <cellStyle name="Comma 17" xfId="1112"/>
    <cellStyle name="Comma 18" xfId="1113"/>
    <cellStyle name="Comma 19" xfId="1114"/>
    <cellStyle name="Comma 2" xfId="1115"/>
    <cellStyle name="Comma 2 2" xfId="1116"/>
    <cellStyle name="Comma 20" xfId="1117"/>
    <cellStyle name="Comma 21" xfId="1118"/>
    <cellStyle name="Comma 22" xfId="1119"/>
    <cellStyle name="Comma 23" xfId="1120"/>
    <cellStyle name="Comma 24" xfId="1121"/>
    <cellStyle name="Comma 25" xfId="1122"/>
    <cellStyle name="Comma 26" xfId="1123"/>
    <cellStyle name="Comma 27" xfId="1124"/>
    <cellStyle name="Comma 28" xfId="1125"/>
    <cellStyle name="Comma 29" xfId="1126"/>
    <cellStyle name="Comma 3" xfId="1127"/>
    <cellStyle name="Comma 30" xfId="1128"/>
    <cellStyle name="Comma 31" xfId="1129"/>
    <cellStyle name="Comma 32" xfId="1130"/>
    <cellStyle name="Comma 33" xfId="1131"/>
    <cellStyle name="Comma 34" xfId="1132"/>
    <cellStyle name="Comma 35" xfId="1133"/>
    <cellStyle name="Comma 36" xfId="1134"/>
    <cellStyle name="Comma 37" xfId="1135"/>
    <cellStyle name="Comma 38" xfId="1136"/>
    <cellStyle name="Comma 39" xfId="1137"/>
    <cellStyle name="Comma 4" xfId="1138"/>
    <cellStyle name="Comma 40" xfId="1139"/>
    <cellStyle name="Comma 41" xfId="1140"/>
    <cellStyle name="Comma 42" xfId="1141"/>
    <cellStyle name="Comma 43" xfId="1142"/>
    <cellStyle name="Comma 44" xfId="1143"/>
    <cellStyle name="Comma 45" xfId="1144"/>
    <cellStyle name="Comma 46" xfId="1145"/>
    <cellStyle name="Comma 47" xfId="1146"/>
    <cellStyle name="Comma 48" xfId="1147"/>
    <cellStyle name="Comma 49" xfId="1148"/>
    <cellStyle name="Comma 5" xfId="1149"/>
    <cellStyle name="Comma 50" xfId="1150"/>
    <cellStyle name="Comma 50 2" xfId="1151"/>
    <cellStyle name="Comma 50_Nations" xfId="1152"/>
    <cellStyle name="Comma 51" xfId="1153"/>
    <cellStyle name="Comma 52" xfId="1154"/>
    <cellStyle name="Comma 53" xfId="1155"/>
    <cellStyle name="Comma 54" xfId="1156"/>
    <cellStyle name="Comma 55" xfId="1157"/>
    <cellStyle name="Comma 56" xfId="1158"/>
    <cellStyle name="Comma 6" xfId="1159"/>
    <cellStyle name="Comma 7" xfId="1160"/>
    <cellStyle name="Comma 8" xfId="1161"/>
    <cellStyle name="Comma 9" xfId="1162"/>
    <cellStyle name="Comma0 - Modelo1" xfId="1163"/>
    <cellStyle name="Comma0 - Style1" xfId="1164"/>
    <cellStyle name="Comma1 - Modelo2" xfId="1165"/>
    <cellStyle name="Comma1 - Style2" xfId="1166"/>
    <cellStyle name="Copied" xfId="1167"/>
    <cellStyle name="COST1" xfId="1168"/>
    <cellStyle name="Curr" xfId="1169"/>
    <cellStyle name="Currency [00]" xfId="1170"/>
    <cellStyle name="Dash" xfId="1171"/>
    <cellStyle name="Dash 10" xfId="1172"/>
    <cellStyle name="Dash 11" xfId="1173"/>
    <cellStyle name="Dash 12" xfId="1174"/>
    <cellStyle name="Dash 13" xfId="1175"/>
    <cellStyle name="Dash 14" xfId="1176"/>
    <cellStyle name="Dash 15" xfId="1177"/>
    <cellStyle name="Dash 16" xfId="1178"/>
    <cellStyle name="Dash 17" xfId="1179"/>
    <cellStyle name="Dash 18" xfId="1180"/>
    <cellStyle name="Dash 19" xfId="1181"/>
    <cellStyle name="Dash 2" xfId="1182"/>
    <cellStyle name="Dash 20" xfId="1183"/>
    <cellStyle name="Dash 21" xfId="1184"/>
    <cellStyle name="Dash 22" xfId="1185"/>
    <cellStyle name="Dash 23" xfId="1186"/>
    <cellStyle name="Dash 24" xfId="1187"/>
    <cellStyle name="Dash 25" xfId="1188"/>
    <cellStyle name="Dash 26" xfId="1189"/>
    <cellStyle name="Dash 27" xfId="1190"/>
    <cellStyle name="Dash 28" xfId="1191"/>
    <cellStyle name="Dash 29" xfId="1192"/>
    <cellStyle name="Dash 3" xfId="1193"/>
    <cellStyle name="Dash 30" xfId="1194"/>
    <cellStyle name="Dash 31" xfId="1195"/>
    <cellStyle name="Dash 32" xfId="1196"/>
    <cellStyle name="Dash 33" xfId="1197"/>
    <cellStyle name="Dash 34" xfId="1198"/>
    <cellStyle name="Dash 35" xfId="1199"/>
    <cellStyle name="Dash 36" xfId="1200"/>
    <cellStyle name="Dash 37" xfId="1201"/>
    <cellStyle name="Dash 38" xfId="1202"/>
    <cellStyle name="Dash 39" xfId="1203"/>
    <cellStyle name="Dash 4" xfId="1204"/>
    <cellStyle name="Dash 40" xfId="1205"/>
    <cellStyle name="Dash 41" xfId="1206"/>
    <cellStyle name="Dash 42" xfId="1207"/>
    <cellStyle name="Dash 43" xfId="1208"/>
    <cellStyle name="Dash 44" xfId="1209"/>
    <cellStyle name="Dash 45" xfId="1210"/>
    <cellStyle name="Dash 46" xfId="1211"/>
    <cellStyle name="Dash 47" xfId="1212"/>
    <cellStyle name="Dash 48" xfId="1213"/>
    <cellStyle name="Dash 49" xfId="1214"/>
    <cellStyle name="Dash 5" xfId="1215"/>
    <cellStyle name="Dash 50" xfId="1216"/>
    <cellStyle name="Dash 51" xfId="1217"/>
    <cellStyle name="Dash 52" xfId="1218"/>
    <cellStyle name="Dash 53" xfId="1219"/>
    <cellStyle name="Dash 54" xfId="1220"/>
    <cellStyle name="Dash 55" xfId="1221"/>
    <cellStyle name="Dash 56" xfId="1222"/>
    <cellStyle name="Dash 57" xfId="1223"/>
    <cellStyle name="Dash 58" xfId="1224"/>
    <cellStyle name="Dash 59" xfId="1225"/>
    <cellStyle name="Dash 6" xfId="1226"/>
    <cellStyle name="Dash 60" xfId="1227"/>
    <cellStyle name="Dash 61" xfId="1228"/>
    <cellStyle name="Dash 62" xfId="1229"/>
    <cellStyle name="Dash 63" xfId="1230"/>
    <cellStyle name="Dash 64" xfId="1231"/>
    <cellStyle name="Dash 65" xfId="1232"/>
    <cellStyle name="Dash 66" xfId="1233"/>
    <cellStyle name="Dash 67" xfId="1234"/>
    <cellStyle name="Dash 68" xfId="1235"/>
    <cellStyle name="Dash 7" xfId="1236"/>
    <cellStyle name="Dash 8" xfId="1237"/>
    <cellStyle name="Dash 9" xfId="1238"/>
    <cellStyle name="Dash_Bingo" xfId="1239"/>
    <cellStyle name="Date Short" xfId="1240"/>
    <cellStyle name="Dezimal [0]_CAR" xfId="1241"/>
    <cellStyle name="Dezimal_CAR" xfId="1242"/>
    <cellStyle name="DrKW Input" xfId="1243"/>
    <cellStyle name="DrKW Percent 8pt" xfId="1244"/>
    <cellStyle name="DrKW Percent Assumption 8pt" xfId="1245"/>
    <cellStyle name="DrKW Standard format" xfId="1246"/>
    <cellStyle name="Eingabe" xfId="1247"/>
    <cellStyle name="Emphasis 1" xfId="1248"/>
    <cellStyle name="Emphasis 2" xfId="1249"/>
    <cellStyle name="Emphasis 3" xfId="1250"/>
    <cellStyle name="Enter Currency (0)" xfId="1251"/>
    <cellStyle name="Enter Currency (2)" xfId="1252"/>
    <cellStyle name="Enter Units (0)" xfId="1253"/>
    <cellStyle name="Enter Units (1)" xfId="1254"/>
    <cellStyle name="Enter Units (2)" xfId="1255"/>
    <cellStyle name="Entered" xfId="1256"/>
    <cellStyle name="Ergebnis" xfId="1257"/>
    <cellStyle name="Erklärender Text" xfId="1258"/>
    <cellStyle name="Euro" xfId="1259"/>
    <cellStyle name="Explanatory Text 2" xfId="1260"/>
    <cellStyle name="Explanatory Text 3" xfId="1261"/>
    <cellStyle name="Explanatory Text 3 10" xfId="1262"/>
    <cellStyle name="Explanatory Text 3 11" xfId="1263"/>
    <cellStyle name="Explanatory Text 3 12" xfId="1264"/>
    <cellStyle name="Explanatory Text 3 13" xfId="1265"/>
    <cellStyle name="Explanatory Text 3 2" xfId="1266"/>
    <cellStyle name="Explanatory Text 3 3" xfId="1267"/>
    <cellStyle name="Explanatory Text 3 4" xfId="1268"/>
    <cellStyle name="Explanatory Text 3 5" xfId="1269"/>
    <cellStyle name="Explanatory Text 3 6" xfId="1270"/>
    <cellStyle name="Explanatory Text 3 7" xfId="1271"/>
    <cellStyle name="Explanatory Text 3 8" xfId="1272"/>
    <cellStyle name="Explanatory Text 3 9" xfId="1273"/>
    <cellStyle name="Explanatory Text 4" xfId="1274"/>
    <cellStyle name="Explanatory Text 4 10" xfId="1275"/>
    <cellStyle name="Explanatory Text 4 11" xfId="1276"/>
    <cellStyle name="Explanatory Text 4 12" xfId="1277"/>
    <cellStyle name="Explanatory Text 4 13" xfId="1278"/>
    <cellStyle name="Explanatory Text 4 2" xfId="1279"/>
    <cellStyle name="Explanatory Text 4 3" xfId="1280"/>
    <cellStyle name="Explanatory Text 4 4" xfId="1281"/>
    <cellStyle name="Explanatory Text 4 5" xfId="1282"/>
    <cellStyle name="Explanatory Text 4 6" xfId="1283"/>
    <cellStyle name="Explanatory Text 4 7" xfId="1284"/>
    <cellStyle name="Explanatory Text 4 8" xfId="1285"/>
    <cellStyle name="Explanatory Text 4 9" xfId="1286"/>
    <cellStyle name="Explanatory Text 5" xfId="1287"/>
    <cellStyle name="Good 2" xfId="1288"/>
    <cellStyle name="Good 2 2" xfId="1289"/>
    <cellStyle name="Good 2 2 2" xfId="1290"/>
    <cellStyle name="Good 2 2_Nations" xfId="1291"/>
    <cellStyle name="Good 2 3" xfId="1292"/>
    <cellStyle name="Good 2 4" xfId="1293"/>
    <cellStyle name="Good 2 5" xfId="1294"/>
    <cellStyle name="Good 2 6" xfId="1295"/>
    <cellStyle name="Good 2 7" xfId="1296"/>
    <cellStyle name="Good 2 8" xfId="1297"/>
    <cellStyle name="Good 2 9" xfId="1298"/>
    <cellStyle name="Good 3" xfId="1299"/>
    <cellStyle name="Good 3 2" xfId="1300"/>
    <cellStyle name="Good 3 3" xfId="1301"/>
    <cellStyle name="Good 3 4" xfId="1302"/>
    <cellStyle name="Good 3 5" xfId="1303"/>
    <cellStyle name="Good 3 6" xfId="1304"/>
    <cellStyle name="Good 4" xfId="1305"/>
    <cellStyle name="Good 4 2" xfId="1306"/>
    <cellStyle name="Good 4 3" xfId="1307"/>
    <cellStyle name="Good 4 4" xfId="1308"/>
    <cellStyle name="Good 4 5" xfId="1309"/>
    <cellStyle name="Good 4 6" xfId="1310"/>
    <cellStyle name="Good 5" xfId="1311"/>
    <cellStyle name="Good 5 2" xfId="1312"/>
    <cellStyle name="Good 5 3" xfId="1313"/>
    <cellStyle name="Good 5 4" xfId="1314"/>
    <cellStyle name="Good 6" xfId="1315"/>
    <cellStyle name="Good 6 2" xfId="1316"/>
    <cellStyle name="Good 6 3" xfId="1317"/>
    <cellStyle name="Good 6 4" xfId="1318"/>
    <cellStyle name="Good 7" xfId="1319"/>
    <cellStyle name="Good 8" xfId="1320"/>
    <cellStyle name="Good 9" xfId="1321"/>
    <cellStyle name="Grey" xfId="1322"/>
    <cellStyle name="Gut" xfId="1323"/>
    <cellStyle name="Header" xfId="1324"/>
    <cellStyle name="Header1" xfId="1325"/>
    <cellStyle name="Header2" xfId="1326"/>
    <cellStyle name="Heading 1 10" xfId="1327"/>
    <cellStyle name="Heading 1 2" xfId="1328"/>
    <cellStyle name="Heading 1 2 10" xfId="1329"/>
    <cellStyle name="Heading 1 2 2" xfId="1330"/>
    <cellStyle name="Heading 1 2 2 2" xfId="1331"/>
    <cellStyle name="Heading 1 2 2_Nations" xfId="1332"/>
    <cellStyle name="Heading 1 2 3" xfId="1333"/>
    <cellStyle name="Heading 1 2 4" xfId="1334"/>
    <cellStyle name="Heading 1 2 5" xfId="1335"/>
    <cellStyle name="Heading 1 2 6" xfId="1336"/>
    <cellStyle name="Heading 1 2 7" xfId="1337"/>
    <cellStyle name="Heading 1 2 8" xfId="1338"/>
    <cellStyle name="Heading 1 2 9" xfId="1339"/>
    <cellStyle name="Heading 1 3" xfId="1340"/>
    <cellStyle name="Heading 1 3 2" xfId="1341"/>
    <cellStyle name="Heading 1 3 3" xfId="1342"/>
    <cellStyle name="Heading 1 3 4" xfId="1343"/>
    <cellStyle name="Heading 1 3 5" xfId="1344"/>
    <cellStyle name="Heading 1 3 6" xfId="1345"/>
    <cellStyle name="Heading 1 4" xfId="1346"/>
    <cellStyle name="Heading 1 4 2" xfId="1347"/>
    <cellStyle name="Heading 1 4 3" xfId="1348"/>
    <cellStyle name="Heading 1 4 4" xfId="1349"/>
    <cellStyle name="Heading 1 4 5" xfId="1350"/>
    <cellStyle name="Heading 1 4 6" xfId="1351"/>
    <cellStyle name="Heading 1 5" xfId="1352"/>
    <cellStyle name="Heading 1 5 2" xfId="1353"/>
    <cellStyle name="Heading 1 5 3" xfId="1354"/>
    <cellStyle name="Heading 1 5 4" xfId="1355"/>
    <cellStyle name="Heading 1 6" xfId="1356"/>
    <cellStyle name="Heading 1 6 2" xfId="1357"/>
    <cellStyle name="Heading 1 6 3" xfId="1358"/>
    <cellStyle name="Heading 1 6 4" xfId="1359"/>
    <cellStyle name="Heading 1 7" xfId="1360"/>
    <cellStyle name="Heading 1 8" xfId="1361"/>
    <cellStyle name="Heading 1 9" xfId="1362"/>
    <cellStyle name="Heading 2 10" xfId="1363"/>
    <cellStyle name="Heading 2 2" xfId="1364"/>
    <cellStyle name="Heading 2 2 2" xfId="1365"/>
    <cellStyle name="Heading 2 2 2 2" xfId="1366"/>
    <cellStyle name="Heading 2 2 2_Nations" xfId="1367"/>
    <cellStyle name="Heading 2 2 3" xfId="1368"/>
    <cellStyle name="Heading 2 2 4" xfId="1369"/>
    <cellStyle name="Heading 2 2 5" xfId="1370"/>
    <cellStyle name="Heading 2 2 6" xfId="1371"/>
    <cellStyle name="Heading 2 2 7" xfId="1372"/>
    <cellStyle name="Heading 2 2 8" xfId="1373"/>
    <cellStyle name="Heading 2 2 9" xfId="1374"/>
    <cellStyle name="Heading 2 3" xfId="1375"/>
    <cellStyle name="Heading 2 3 2" xfId="1376"/>
    <cellStyle name="Heading 2 3 3" xfId="1377"/>
    <cellStyle name="Heading 2 3 4" xfId="1378"/>
    <cellStyle name="Heading 2 3 5" xfId="1379"/>
    <cellStyle name="Heading 2 3 6" xfId="1380"/>
    <cellStyle name="Heading 2 4" xfId="1381"/>
    <cellStyle name="Heading 2 4 2" xfId="1382"/>
    <cellStyle name="Heading 2 4 3" xfId="1383"/>
    <cellStyle name="Heading 2 4 4" xfId="1384"/>
    <cellStyle name="Heading 2 4 5" xfId="1385"/>
    <cellStyle name="Heading 2 4 6" xfId="1386"/>
    <cellStyle name="Heading 2 5" xfId="1387"/>
    <cellStyle name="Heading 2 5 2" xfId="1388"/>
    <cellStyle name="Heading 2 5 3" xfId="1389"/>
    <cellStyle name="Heading 2 5 4" xfId="1390"/>
    <cellStyle name="Heading 2 6" xfId="1391"/>
    <cellStyle name="Heading 2 6 2" xfId="1392"/>
    <cellStyle name="Heading 2 6 3" xfId="1393"/>
    <cellStyle name="Heading 2 6 4" xfId="1394"/>
    <cellStyle name="Heading 2 7" xfId="1395"/>
    <cellStyle name="Heading 2 8" xfId="1396"/>
    <cellStyle name="Heading 2 9" xfId="1397"/>
    <cellStyle name="Heading 3 10" xfId="1398"/>
    <cellStyle name="Heading 3 2" xfId="1399"/>
    <cellStyle name="Heading 3 2 2" xfId="1400"/>
    <cellStyle name="Heading 3 2 2 2" xfId="1401"/>
    <cellStyle name="Heading 3 2 2_Nations" xfId="1402"/>
    <cellStyle name="Heading 3 2 3" xfId="1403"/>
    <cellStyle name="Heading 3 2 4" xfId="1404"/>
    <cellStyle name="Heading 3 2 5" xfId="1405"/>
    <cellStyle name="Heading 3 2 6" xfId="1406"/>
    <cellStyle name="Heading 3 2 7" xfId="1407"/>
    <cellStyle name="Heading 3 2 8" xfId="1408"/>
    <cellStyle name="Heading 3 2 9" xfId="1409"/>
    <cellStyle name="Heading 3 3" xfId="1410"/>
    <cellStyle name="Heading 3 3 2" xfId="1411"/>
    <cellStyle name="Heading 3 3 3" xfId="1412"/>
    <cellStyle name="Heading 3 3 4" xfId="1413"/>
    <cellStyle name="Heading 3 3 5" xfId="1414"/>
    <cellStyle name="Heading 3 3 6" xfId="1415"/>
    <cellStyle name="Heading 3 4" xfId="1416"/>
    <cellStyle name="Heading 3 4 2" xfId="1417"/>
    <cellStyle name="Heading 3 4 3" xfId="1418"/>
    <cellStyle name="Heading 3 4 4" xfId="1419"/>
    <cellStyle name="Heading 3 4 5" xfId="1420"/>
    <cellStyle name="Heading 3 4 6" xfId="1421"/>
    <cellStyle name="Heading 3 5" xfId="1422"/>
    <cellStyle name="Heading 3 5 2" xfId="1423"/>
    <cellStyle name="Heading 3 5 3" xfId="1424"/>
    <cellStyle name="Heading 3 5 4" xfId="1425"/>
    <cellStyle name="Heading 3 6" xfId="1426"/>
    <cellStyle name="Heading 3 6 2" xfId="1427"/>
    <cellStyle name="Heading 3 6 3" xfId="1428"/>
    <cellStyle name="Heading 3 6 4" xfId="1429"/>
    <cellStyle name="Heading 3 7" xfId="1430"/>
    <cellStyle name="Heading 3 8" xfId="1431"/>
    <cellStyle name="Heading 3 9" xfId="1432"/>
    <cellStyle name="Heading 4 2" xfId="1433"/>
    <cellStyle name="Heading 4 2 2" xfId="1434"/>
    <cellStyle name="Heading 4 2 2 2" xfId="1435"/>
    <cellStyle name="Heading 4 2 2_Nations" xfId="1436"/>
    <cellStyle name="Heading 4 2 3" xfId="1437"/>
    <cellStyle name="Heading 4 2 4" xfId="1438"/>
    <cellStyle name="Heading 4 2 5" xfId="1439"/>
    <cellStyle name="Heading 4 2 6" xfId="1440"/>
    <cellStyle name="Heading 4 2 7" xfId="1441"/>
    <cellStyle name="Heading 4 2 8" xfId="1442"/>
    <cellStyle name="Heading 4 2 9" xfId="1443"/>
    <cellStyle name="Heading 4 3" xfId="1444"/>
    <cellStyle name="Heading 4 3 2" xfId="1445"/>
    <cellStyle name="Heading 4 3 3" xfId="1446"/>
    <cellStyle name="Heading 4 3 4" xfId="1447"/>
    <cellStyle name="Heading 4 3 5" xfId="1448"/>
    <cellStyle name="Heading 4 3 6" xfId="1449"/>
    <cellStyle name="Heading 4 4" xfId="1450"/>
    <cellStyle name="Heading 4 4 2" xfId="1451"/>
    <cellStyle name="Heading 4 4 3" xfId="1452"/>
    <cellStyle name="Heading 4 4 4" xfId="1453"/>
    <cellStyle name="Heading 4 4 5" xfId="1454"/>
    <cellStyle name="Heading 4 4 6" xfId="1455"/>
    <cellStyle name="Heading 4 5" xfId="1456"/>
    <cellStyle name="Heading 4 5 2" xfId="1457"/>
    <cellStyle name="Heading 4 5 3" xfId="1458"/>
    <cellStyle name="Heading 4 5 4" xfId="1459"/>
    <cellStyle name="Heading 4 6" xfId="1460"/>
    <cellStyle name="Heading 4 6 2" xfId="1461"/>
    <cellStyle name="Heading 4 6 3" xfId="1462"/>
    <cellStyle name="Heading 4 6 4" xfId="1463"/>
    <cellStyle name="Heading 4 7" xfId="1464"/>
    <cellStyle name="Heading 4 8" xfId="1465"/>
    <cellStyle name="Heading 4 9" xfId="1466"/>
    <cellStyle name="HEADINGS" xfId="1467"/>
    <cellStyle name="HEADINGSTOP" xfId="1468"/>
    <cellStyle name="Hidden" xfId="1469"/>
    <cellStyle name="Hyperlink 2" xfId="1470"/>
    <cellStyle name="Input [yellow]" xfId="1471"/>
    <cellStyle name="Input 2" xfId="1472"/>
    <cellStyle name="Input 2 2" xfId="1473"/>
    <cellStyle name="Input 2 2 2" xfId="1474"/>
    <cellStyle name="Input 2 2_Nations" xfId="1475"/>
    <cellStyle name="Input 2 3" xfId="1476"/>
    <cellStyle name="Input 2 4" xfId="1477"/>
    <cellStyle name="Input 2 5" xfId="1478"/>
    <cellStyle name="Input 2 6" xfId="1479"/>
    <cellStyle name="Input 2 7" xfId="1480"/>
    <cellStyle name="Input 2 8" xfId="1481"/>
    <cellStyle name="Input 2 9" xfId="1482"/>
    <cellStyle name="Input 3" xfId="1483"/>
    <cellStyle name="Input 3 2" xfId="1484"/>
    <cellStyle name="Input 3 3" xfId="1485"/>
    <cellStyle name="Input 3 4" xfId="1486"/>
    <cellStyle name="Input 3 5" xfId="1487"/>
    <cellStyle name="Input 3 6" xfId="1488"/>
    <cellStyle name="Input 4" xfId="1489"/>
    <cellStyle name="Input 4 2" xfId="1490"/>
    <cellStyle name="Input 4 3" xfId="1491"/>
    <cellStyle name="Input 4 4" xfId="1492"/>
    <cellStyle name="Input 4 5" xfId="1493"/>
    <cellStyle name="Input 4 6" xfId="1494"/>
    <cellStyle name="Input 5" xfId="1495"/>
    <cellStyle name="Input 5 2" xfId="1496"/>
    <cellStyle name="Input 5 3" xfId="1497"/>
    <cellStyle name="Input 5 4" xfId="1498"/>
    <cellStyle name="Input 6" xfId="1499"/>
    <cellStyle name="Input 6 2" xfId="1500"/>
    <cellStyle name="Input 6 3" xfId="1501"/>
    <cellStyle name="Input 6 4" xfId="1502"/>
    <cellStyle name="Input 7" xfId="1503"/>
    <cellStyle name="Input 8" xfId="1504"/>
    <cellStyle name="Input 9" xfId="1505"/>
    <cellStyle name="Input Cells" xfId="1506"/>
    <cellStyle name="Lien hypertexte_PERSONAL" xfId="1507"/>
    <cellStyle name="LineItemPrompt" xfId="1508"/>
    <cellStyle name="LineItemValue" xfId="1509"/>
    <cellStyle name="Link Currency (0)" xfId="1510"/>
    <cellStyle name="Link Currency (2)" xfId="1511"/>
    <cellStyle name="Link Units (0)" xfId="1512"/>
    <cellStyle name="Link Units (1)" xfId="1513"/>
    <cellStyle name="Link Units (2)" xfId="1514"/>
    <cellStyle name="Linked Cell 2" xfId="1515"/>
    <cellStyle name="Linked Cell 2 2" xfId="1516"/>
    <cellStyle name="Linked Cell 2 2 2" xfId="1517"/>
    <cellStyle name="Linked Cell 2 2_Nations" xfId="1518"/>
    <cellStyle name="Linked Cell 2 3" xfId="1519"/>
    <cellStyle name="Linked Cell 2 4" xfId="1520"/>
    <cellStyle name="Linked Cell 2 5" xfId="1521"/>
    <cellStyle name="Linked Cell 2 6" xfId="1522"/>
    <cellStyle name="Linked Cell 2 7" xfId="1523"/>
    <cellStyle name="Linked Cell 2 8" xfId="1524"/>
    <cellStyle name="Linked Cell 2 9" xfId="1525"/>
    <cellStyle name="Linked Cell 3" xfId="1526"/>
    <cellStyle name="Linked Cell 3 2" xfId="1527"/>
    <cellStyle name="Linked Cell 3 3" xfId="1528"/>
    <cellStyle name="Linked Cell 3 4" xfId="1529"/>
    <cellStyle name="Linked Cell 3 5" xfId="1530"/>
    <cellStyle name="Linked Cell 3 6" xfId="1531"/>
    <cellStyle name="Linked Cell 4" xfId="1532"/>
    <cellStyle name="Linked Cell 4 2" xfId="1533"/>
    <cellStyle name="Linked Cell 4 3" xfId="1534"/>
    <cellStyle name="Linked Cell 4 4" xfId="1535"/>
    <cellStyle name="Linked Cell 4 5" xfId="1536"/>
    <cellStyle name="Linked Cell 4 6" xfId="1537"/>
    <cellStyle name="Linked Cell 5" xfId="1538"/>
    <cellStyle name="Linked Cell 5 2" xfId="1539"/>
    <cellStyle name="Linked Cell 5 3" xfId="1540"/>
    <cellStyle name="Linked Cell 5 4" xfId="1541"/>
    <cellStyle name="Linked Cell 6" xfId="1542"/>
    <cellStyle name="Linked Cell 6 2" xfId="1543"/>
    <cellStyle name="Linked Cell 6 3" xfId="1544"/>
    <cellStyle name="Linked Cell 6 4" xfId="1545"/>
    <cellStyle name="Linked Cell 7" xfId="1546"/>
    <cellStyle name="Linked Cell 8" xfId="1547"/>
    <cellStyle name="Linked Cell 9" xfId="1548"/>
    <cellStyle name="Linked Cells" xfId="1549"/>
    <cellStyle name="Millares [0]_Stat2_01" xfId="1550"/>
    <cellStyle name="Millares_Stat2_01" xfId="1551"/>
    <cellStyle name="Milliers [0]_!!!GO" xfId="1552"/>
    <cellStyle name="Milliers_!!!GO" xfId="1553"/>
    <cellStyle name="Moneda [0]_Stat2_01" xfId="1554"/>
    <cellStyle name="Moneda_Stat2_01" xfId="1555"/>
    <cellStyle name="Monétaire [0]_!!!GO" xfId="1556"/>
    <cellStyle name="Monétaire_!!!GO" xfId="1557"/>
    <cellStyle name="Needs Work" xfId="1558"/>
    <cellStyle name="Neutral 2" xfId="1559"/>
    <cellStyle name="Neutral 2 2" xfId="1560"/>
    <cellStyle name="Neutral 2 2 2" xfId="1561"/>
    <cellStyle name="Neutral 2 2_Nations" xfId="1562"/>
    <cellStyle name="Neutral 2 3" xfId="1563"/>
    <cellStyle name="Neutral 2 4" xfId="1564"/>
    <cellStyle name="Neutral 2 5" xfId="1565"/>
    <cellStyle name="Neutral 2 6" xfId="1566"/>
    <cellStyle name="Neutral 2 7" xfId="1567"/>
    <cellStyle name="Neutral 2 8" xfId="1568"/>
    <cellStyle name="Neutral 2 9" xfId="1569"/>
    <cellStyle name="Neutral 3" xfId="1570"/>
    <cellStyle name="Neutral 3 2" xfId="1571"/>
    <cellStyle name="Neutral 3 3" xfId="1572"/>
    <cellStyle name="Neutral 3 4" xfId="1573"/>
    <cellStyle name="Neutral 3 5" xfId="1574"/>
    <cellStyle name="Neutral 3 6" xfId="1575"/>
    <cellStyle name="Neutral 4" xfId="1576"/>
    <cellStyle name="Neutral 4 2" xfId="1577"/>
    <cellStyle name="Neutral 4 3" xfId="1578"/>
    <cellStyle name="Neutral 4 4" xfId="1579"/>
    <cellStyle name="Neutral 4 5" xfId="1580"/>
    <cellStyle name="Neutral 4 6" xfId="1581"/>
    <cellStyle name="Neutral 5" xfId="1582"/>
    <cellStyle name="Neutral 5 2" xfId="1583"/>
    <cellStyle name="Neutral 5 3" xfId="1584"/>
    <cellStyle name="Neutral 5 4" xfId="1585"/>
    <cellStyle name="Neutral 6" xfId="1586"/>
    <cellStyle name="Neutral 6 2" xfId="1587"/>
    <cellStyle name="Neutral 6 3" xfId="1588"/>
    <cellStyle name="Neutral 6 4" xfId="1589"/>
    <cellStyle name="Neutral 7" xfId="1590"/>
    <cellStyle name="Neutral 8" xfId="1591"/>
    <cellStyle name="Neutral 9" xfId="1592"/>
    <cellStyle name="Neutrale" xfId="1593"/>
    <cellStyle name="Normal" xfId="0" builtinId="0"/>
    <cellStyle name="Normal - Style1" xfId="1594"/>
    <cellStyle name="Normal 10" xfId="1595"/>
    <cellStyle name="Normal 10 10" xfId="1596"/>
    <cellStyle name="Normal 10 11" xfId="1597"/>
    <cellStyle name="Normal 10 12" xfId="1598"/>
    <cellStyle name="Normal 10 13" xfId="1599"/>
    <cellStyle name="Normal 10 14" xfId="1600"/>
    <cellStyle name="Normal 10 15" xfId="1601"/>
    <cellStyle name="Normal 10 16" xfId="1602"/>
    <cellStyle name="Normal 10 17" xfId="1603"/>
    <cellStyle name="Normal 10 2" xfId="1604"/>
    <cellStyle name="Normal 10 3" xfId="1605"/>
    <cellStyle name="Normal 10 4" xfId="1606"/>
    <cellStyle name="Normal 10 5" xfId="1607"/>
    <cellStyle name="Normal 10 6" xfId="1608"/>
    <cellStyle name="Normal 10 7" xfId="1609"/>
    <cellStyle name="Normal 10 8" xfId="1610"/>
    <cellStyle name="Normal 10 9" xfId="1611"/>
    <cellStyle name="Normal 10_Nations" xfId="1612"/>
    <cellStyle name="Normal 11" xfId="1613"/>
    <cellStyle name="Normal 11 10" xfId="1614"/>
    <cellStyle name="Normal 11 11" xfId="1615"/>
    <cellStyle name="Normal 11 12" xfId="1616"/>
    <cellStyle name="Normal 11 13" xfId="1617"/>
    <cellStyle name="Normal 11 14" xfId="1618"/>
    <cellStyle name="Normal 11 15" xfId="1619"/>
    <cellStyle name="Normal 11 16" xfId="1620"/>
    <cellStyle name="Normal 11 17" xfId="1621"/>
    <cellStyle name="Normal 11 18" xfId="1622"/>
    <cellStyle name="Normal 11 19" xfId="1623"/>
    <cellStyle name="Normal 11 2" xfId="1624"/>
    <cellStyle name="Normal 11 20" xfId="1625"/>
    <cellStyle name="Normal 11 21" xfId="1626"/>
    <cellStyle name="Normal 11 22" xfId="1627"/>
    <cellStyle name="Normal 11 3" xfId="1628"/>
    <cellStyle name="Normal 11 4" xfId="1629"/>
    <cellStyle name="Normal 11 5" xfId="1630"/>
    <cellStyle name="Normal 11 6" xfId="1631"/>
    <cellStyle name="Normal 11 7" xfId="1632"/>
    <cellStyle name="Normal 11 8" xfId="1633"/>
    <cellStyle name="Normal 11 9" xfId="1634"/>
    <cellStyle name="Normal 11_Bingo" xfId="1635"/>
    <cellStyle name="Normal 12" xfId="1636"/>
    <cellStyle name="Normal 12 10" xfId="1637"/>
    <cellStyle name="Normal 12 11" xfId="1638"/>
    <cellStyle name="Normal 12 12" xfId="1639"/>
    <cellStyle name="Normal 12 13" xfId="1640"/>
    <cellStyle name="Normal 12 14" xfId="1641"/>
    <cellStyle name="Normal 12 15" xfId="1642"/>
    <cellStyle name="Normal 12 16" xfId="1643"/>
    <cellStyle name="Normal 12 17" xfId="1644"/>
    <cellStyle name="Normal 12 18" xfId="1645"/>
    <cellStyle name="Normal 12 19" xfId="1646"/>
    <cellStyle name="Normal 12 2" xfId="1647"/>
    <cellStyle name="Normal 12 20" xfId="1648"/>
    <cellStyle name="Normal 12 21" xfId="1649"/>
    <cellStyle name="Normal 12 3" xfId="1650"/>
    <cellStyle name="Normal 12 4" xfId="1651"/>
    <cellStyle name="Normal 12 5" xfId="1652"/>
    <cellStyle name="Normal 12 6" xfId="1653"/>
    <cellStyle name="Normal 12 7" xfId="1654"/>
    <cellStyle name="Normal 12 8" xfId="1655"/>
    <cellStyle name="Normal 12 9" xfId="1656"/>
    <cellStyle name="Normal 12_Bingo" xfId="1657"/>
    <cellStyle name="Normal 13" xfId="1658"/>
    <cellStyle name="Normal 13 10" xfId="1659"/>
    <cellStyle name="Normal 13 11" xfId="1660"/>
    <cellStyle name="Normal 13 12" xfId="1661"/>
    <cellStyle name="Normal 13 13" xfId="1662"/>
    <cellStyle name="Normal 13 14" xfId="1663"/>
    <cellStyle name="Normal 13 15" xfId="1664"/>
    <cellStyle name="Normal 13 16" xfId="1665"/>
    <cellStyle name="Normal 13 17" xfId="1666"/>
    <cellStyle name="Normal 13 18" xfId="1667"/>
    <cellStyle name="Normal 13 19" xfId="1668"/>
    <cellStyle name="Normal 13 2" xfId="1669"/>
    <cellStyle name="Normal 13 20" xfId="1670"/>
    <cellStyle name="Normal 13 21" xfId="1671"/>
    <cellStyle name="Normal 13 3" xfId="1672"/>
    <cellStyle name="Normal 13 4" xfId="1673"/>
    <cellStyle name="Normal 13 5" xfId="1674"/>
    <cellStyle name="Normal 13 6" xfId="1675"/>
    <cellStyle name="Normal 13 7" xfId="1676"/>
    <cellStyle name="Normal 13 8" xfId="1677"/>
    <cellStyle name="Normal 13 9" xfId="1678"/>
    <cellStyle name="Normal 13_Bingo" xfId="1679"/>
    <cellStyle name="Normal 14" xfId="1680"/>
    <cellStyle name="Normal 14 10" xfId="1681"/>
    <cellStyle name="Normal 14 11" xfId="1682"/>
    <cellStyle name="Normal 14 12" xfId="1683"/>
    <cellStyle name="Normal 14 13" xfId="1684"/>
    <cellStyle name="Normal 14 14" xfId="1685"/>
    <cellStyle name="Normal 14 15" xfId="1686"/>
    <cellStyle name="Normal 14 16" xfId="1687"/>
    <cellStyle name="Normal 14 17" xfId="1688"/>
    <cellStyle name="Normal 14 18" xfId="1689"/>
    <cellStyle name="Normal 14 19" xfId="1690"/>
    <cellStyle name="Normal 14 2" xfId="1691"/>
    <cellStyle name="Normal 14 20" xfId="1692"/>
    <cellStyle name="Normal 14 21" xfId="1693"/>
    <cellStyle name="Normal 14 22" xfId="1694"/>
    <cellStyle name="Normal 14 3" xfId="1695"/>
    <cellStyle name="Normal 14 4" xfId="1696"/>
    <cellStyle name="Normal 14 5" xfId="1697"/>
    <cellStyle name="Normal 14 6" xfId="1698"/>
    <cellStyle name="Normal 14 7" xfId="1699"/>
    <cellStyle name="Normal 14 8" xfId="1700"/>
    <cellStyle name="Normal 14 9" xfId="1701"/>
    <cellStyle name="Normal 14_Bingo" xfId="1702"/>
    <cellStyle name="Normal 15" xfId="1703"/>
    <cellStyle name="Normal 15 10" xfId="1704"/>
    <cellStyle name="Normal 15 11" xfId="1705"/>
    <cellStyle name="Normal 15 12" xfId="1706"/>
    <cellStyle name="Normal 15 13" xfId="1707"/>
    <cellStyle name="Normal 15 14" xfId="1708"/>
    <cellStyle name="Normal 15 15" xfId="1709"/>
    <cellStyle name="Normal 15 16" xfId="1710"/>
    <cellStyle name="Normal 15 17" xfId="1711"/>
    <cellStyle name="Normal 15 18" xfId="1712"/>
    <cellStyle name="Normal 15 19" xfId="1713"/>
    <cellStyle name="Normal 15 2" xfId="1714"/>
    <cellStyle name="Normal 15 20" xfId="1715"/>
    <cellStyle name="Normal 15 21" xfId="1716"/>
    <cellStyle name="Normal 15 3" xfId="1717"/>
    <cellStyle name="Normal 15 4" xfId="1718"/>
    <cellStyle name="Normal 15 5" xfId="1719"/>
    <cellStyle name="Normal 15 6" xfId="1720"/>
    <cellStyle name="Normal 15 7" xfId="1721"/>
    <cellStyle name="Normal 15 8" xfId="1722"/>
    <cellStyle name="Normal 15 9" xfId="1723"/>
    <cellStyle name="Normal 15_Bingo" xfId="1724"/>
    <cellStyle name="Normal 16" xfId="1725"/>
    <cellStyle name="Normal 16 2" xfId="1726"/>
    <cellStyle name="Normal 16 3" xfId="1727"/>
    <cellStyle name="Normal 16 4" xfId="1728"/>
    <cellStyle name="Normal 16 5" xfId="1729"/>
    <cellStyle name="Normal 16 6" xfId="1730"/>
    <cellStyle name="Normal 16_Nations" xfId="1731"/>
    <cellStyle name="Normal 17" xfId="1732"/>
    <cellStyle name="Normal 17 2" xfId="1733"/>
    <cellStyle name="Normal 17 3" xfId="1734"/>
    <cellStyle name="Normal 17 4" xfId="1735"/>
    <cellStyle name="Normal 17 5" xfId="1736"/>
    <cellStyle name="Normal 17 6" xfId="1737"/>
    <cellStyle name="Normal 17_Bingo" xfId="1738"/>
    <cellStyle name="Normal 18" xfId="1739"/>
    <cellStyle name="Normal 18 2" xfId="1740"/>
    <cellStyle name="Normal 18 3" xfId="1741"/>
    <cellStyle name="Normal 18 4" xfId="1742"/>
    <cellStyle name="Normal 18 5" xfId="1743"/>
    <cellStyle name="Normal 18 6" xfId="1744"/>
    <cellStyle name="Normal 18 7" xfId="1745"/>
    <cellStyle name="Normal 18 8" xfId="1746"/>
    <cellStyle name="Normal 18_Nations" xfId="1747"/>
    <cellStyle name="Normal 19" xfId="1748"/>
    <cellStyle name="Normal 19 10" xfId="1749"/>
    <cellStyle name="Normal 19 2" xfId="1750"/>
    <cellStyle name="Normal 19 22" xfId="1751"/>
    <cellStyle name="Normal 19 3" xfId="1752"/>
    <cellStyle name="Normal 19 4" xfId="1753"/>
    <cellStyle name="Normal 19 5" xfId="1754"/>
    <cellStyle name="Normal 19 6" xfId="1755"/>
    <cellStyle name="Normal 19 7" xfId="1756"/>
    <cellStyle name="Normal 19 8" xfId="1757"/>
    <cellStyle name="Normal 19_Nations" xfId="1758"/>
    <cellStyle name="Normal 2" xfId="1"/>
    <cellStyle name="Normal 2 10" xfId="1759"/>
    <cellStyle name="Normal 2 11" xfId="1760"/>
    <cellStyle name="Normal 2 12" xfId="1761"/>
    <cellStyle name="Normal 2 13" xfId="1762"/>
    <cellStyle name="Normal 2 14" xfId="1763"/>
    <cellStyle name="Normal 2 15" xfId="1764"/>
    <cellStyle name="Normal 2 16" xfId="1765"/>
    <cellStyle name="Normal 2 17" xfId="1766"/>
    <cellStyle name="Normal 2 18" xfId="1767"/>
    <cellStyle name="Normal 2 19" xfId="1768"/>
    <cellStyle name="Normal 2 2" xfId="1769"/>
    <cellStyle name="Normal 2 2 2" xfId="1770"/>
    <cellStyle name="Normal 2 2 3" xfId="1771"/>
    <cellStyle name="Normal 2 2 4" xfId="1772"/>
    <cellStyle name="Normal 2 2 5" xfId="1773"/>
    <cellStyle name="Normal 2 2 6" xfId="1774"/>
    <cellStyle name="Normal 2 2_Bingo" xfId="1775"/>
    <cellStyle name="Normal 2 20" xfId="1776"/>
    <cellStyle name="Normal 2 21" xfId="1777"/>
    <cellStyle name="Normal 2 22" xfId="1778"/>
    <cellStyle name="Normal 2 23" xfId="1779"/>
    <cellStyle name="Normal 2 24" xfId="1780"/>
    <cellStyle name="Normal 2 25" xfId="1781"/>
    <cellStyle name="Normal 2 25 2" xfId="1782"/>
    <cellStyle name="Normal 2 26" xfId="1783"/>
    <cellStyle name="Normal 2 27" xfId="1784"/>
    <cellStyle name="Normal 2 27 2" xfId="1785"/>
    <cellStyle name="Normal 2 28" xfId="1786"/>
    <cellStyle name="Normal 2 29" xfId="1787"/>
    <cellStyle name="Normal 2 3" xfId="1788"/>
    <cellStyle name="Normal 2 3 2" xfId="1789"/>
    <cellStyle name="Normal 2 4" xfId="1790"/>
    <cellStyle name="Normal 2 5" xfId="3"/>
    <cellStyle name="Normal 2 5 2" xfId="1791"/>
    <cellStyle name="Normal 2 5 3" xfId="1792"/>
    <cellStyle name="Normal 2 6" xfId="1793"/>
    <cellStyle name="Normal 2 7" xfId="1794"/>
    <cellStyle name="Normal 2 8" xfId="1795"/>
    <cellStyle name="Normal 2 9" xfId="1796"/>
    <cellStyle name="Normal 2_Bingo" xfId="1797"/>
    <cellStyle name="Normal 20" xfId="1798"/>
    <cellStyle name="Normal 20 10" xfId="1799"/>
    <cellStyle name="Normal 20 17" xfId="1800"/>
    <cellStyle name="Normal 20 18" xfId="1801"/>
    <cellStyle name="Normal 20 2" xfId="1802"/>
    <cellStyle name="Normal 20 3" xfId="1803"/>
    <cellStyle name="Normal 20 4" xfId="1804"/>
    <cellStyle name="Normal 20 5" xfId="1805"/>
    <cellStyle name="Normal 20 6" xfId="1806"/>
    <cellStyle name="Normal 20_Nations" xfId="1807"/>
    <cellStyle name="Normal 21" xfId="1808"/>
    <cellStyle name="Normal 21 10" xfId="1809"/>
    <cellStyle name="Normal 21 11" xfId="1810"/>
    <cellStyle name="Normal 21 12" xfId="1811"/>
    <cellStyle name="Normal 21 13" xfId="1812"/>
    <cellStyle name="Normal 21 2" xfId="1813"/>
    <cellStyle name="Normal 21 3" xfId="1814"/>
    <cellStyle name="Normal 21 4" xfId="1815"/>
    <cellStyle name="Normal 21 5" xfId="1816"/>
    <cellStyle name="Normal 21 6" xfId="1817"/>
    <cellStyle name="Normal 21 7" xfId="1818"/>
    <cellStyle name="Normal 21 8" xfId="1819"/>
    <cellStyle name="Normal 21 9" xfId="1820"/>
    <cellStyle name="Normal 21_Nations" xfId="1821"/>
    <cellStyle name="Normal 22" xfId="1822"/>
    <cellStyle name="Normal 22 10" xfId="1823"/>
    <cellStyle name="Normal 22 11" xfId="1824"/>
    <cellStyle name="Normal 22 12" xfId="1825"/>
    <cellStyle name="Normal 22 13" xfId="1826"/>
    <cellStyle name="Normal 22 2" xfId="1827"/>
    <cellStyle name="Normal 22 3" xfId="1828"/>
    <cellStyle name="Normal 22 4" xfId="1829"/>
    <cellStyle name="Normal 22 5" xfId="1830"/>
    <cellStyle name="Normal 22 6" xfId="1831"/>
    <cellStyle name="Normal 22 7" xfId="1832"/>
    <cellStyle name="Normal 22 8" xfId="1833"/>
    <cellStyle name="Normal 22 9" xfId="1834"/>
    <cellStyle name="Normal 22_Nations" xfId="1835"/>
    <cellStyle name="Normal 23" xfId="1836"/>
    <cellStyle name="Normal 23 2" xfId="1837"/>
    <cellStyle name="Normal 23 3" xfId="1838"/>
    <cellStyle name="Normal 23 4" xfId="1839"/>
    <cellStyle name="Normal 23 5" xfId="1840"/>
    <cellStyle name="Normal 23 6" xfId="1841"/>
    <cellStyle name="Normal 23_Nations" xfId="1842"/>
    <cellStyle name="Normal 24" xfId="1843"/>
    <cellStyle name="Normal 24 10" xfId="1844"/>
    <cellStyle name="Normal 24 11" xfId="1845"/>
    <cellStyle name="Normal 24 12" xfId="1846"/>
    <cellStyle name="Normal 24 13" xfId="1847"/>
    <cellStyle name="Normal 24 2" xfId="1848"/>
    <cellStyle name="Normal 24 3" xfId="1849"/>
    <cellStyle name="Normal 24 4" xfId="1850"/>
    <cellStyle name="Normal 24 5" xfId="1851"/>
    <cellStyle name="Normal 24 6" xfId="1852"/>
    <cellStyle name="Normal 24 7" xfId="1853"/>
    <cellStyle name="Normal 24 8" xfId="1854"/>
    <cellStyle name="Normal 24 9" xfId="1855"/>
    <cellStyle name="Normal 24_Nations" xfId="1856"/>
    <cellStyle name="Normal 25" xfId="1857"/>
    <cellStyle name="Normal 25 10" xfId="1858"/>
    <cellStyle name="Normal 25 11" xfId="1859"/>
    <cellStyle name="Normal 25 2" xfId="1860"/>
    <cellStyle name="Normal 25 3" xfId="1861"/>
    <cellStyle name="Normal 25 4" xfId="1862"/>
    <cellStyle name="Normal 25 5" xfId="1863"/>
    <cellStyle name="Normal 25 6" xfId="1864"/>
    <cellStyle name="Normal 25 7" xfId="1865"/>
    <cellStyle name="Normal 25 8" xfId="1866"/>
    <cellStyle name="Normal 25 9" xfId="1867"/>
    <cellStyle name="Normal 25_Nations" xfId="1868"/>
    <cellStyle name="Normal 26" xfId="1869"/>
    <cellStyle name="Normal 26 10" xfId="1870"/>
    <cellStyle name="Normal 26 11" xfId="1871"/>
    <cellStyle name="Normal 26 12" xfId="1872"/>
    <cellStyle name="Normal 26 13" xfId="1873"/>
    <cellStyle name="Normal 26 2" xfId="1874"/>
    <cellStyle name="Normal 26 3" xfId="1875"/>
    <cellStyle name="Normal 26 4" xfId="1876"/>
    <cellStyle name="Normal 26 5" xfId="1877"/>
    <cellStyle name="Normal 26 6" xfId="1878"/>
    <cellStyle name="Normal 26 7" xfId="1879"/>
    <cellStyle name="Normal 26 8" xfId="1880"/>
    <cellStyle name="Normal 26 9" xfId="1881"/>
    <cellStyle name="Normal 26_Nations" xfId="1882"/>
    <cellStyle name="Normal 27" xfId="1883"/>
    <cellStyle name="Normal 28" xfId="1884"/>
    <cellStyle name="Normal 28 2" xfId="1885"/>
    <cellStyle name="Normal 28 3" xfId="1886"/>
    <cellStyle name="Normal 28 4" xfId="1887"/>
    <cellStyle name="Normal 28 5" xfId="1888"/>
    <cellStyle name="Normal 28 6" xfId="1889"/>
    <cellStyle name="Normal 28 7" xfId="1890"/>
    <cellStyle name="Normal 28 8" xfId="1891"/>
    <cellStyle name="Normal 29" xfId="1892"/>
    <cellStyle name="Normal 29 2" xfId="1893"/>
    <cellStyle name="Normal 29 3" xfId="1894"/>
    <cellStyle name="Normal 29 4" xfId="1895"/>
    <cellStyle name="Normal 29 5" xfId="1896"/>
    <cellStyle name="Normal 29 6" xfId="1897"/>
    <cellStyle name="Normal 29 7" xfId="1898"/>
    <cellStyle name="Normal 29 8" xfId="1899"/>
    <cellStyle name="Normal 3" xfId="1900"/>
    <cellStyle name="Normal 3 10" xfId="1901"/>
    <cellStyle name="Normal 3 11" xfId="1902"/>
    <cellStyle name="Normal 3 12" xfId="1903"/>
    <cellStyle name="Normal 3 13" xfId="1904"/>
    <cellStyle name="Normal 3 14" xfId="1905"/>
    <cellStyle name="Normal 3 15" xfId="1906"/>
    <cellStyle name="Normal 3 16" xfId="1907"/>
    <cellStyle name="Normal 3 17" xfId="1908"/>
    <cellStyle name="Normal 3 18" xfId="1909"/>
    <cellStyle name="Normal 3 19" xfId="1910"/>
    <cellStyle name="Normal 3 2" xfId="1911"/>
    <cellStyle name="Normal 3 20" xfId="1912"/>
    <cellStyle name="Normal 3 21" xfId="1913"/>
    <cellStyle name="Normal 3 22" xfId="1914"/>
    <cellStyle name="Normal 3 23" xfId="1915"/>
    <cellStyle name="Normal 3 24" xfId="1916"/>
    <cellStyle name="Normal 3 25" xfId="1917"/>
    <cellStyle name="Normal 3 3" xfId="1918"/>
    <cellStyle name="Normal 3 4" xfId="1919"/>
    <cellStyle name="Normal 3 5" xfId="1920"/>
    <cellStyle name="Normal 3 6" xfId="1921"/>
    <cellStyle name="Normal 3 7" xfId="1922"/>
    <cellStyle name="Normal 3 8" xfId="1923"/>
    <cellStyle name="Normal 3 9" xfId="1924"/>
    <cellStyle name="Normal 3_Bingo" xfId="1925"/>
    <cellStyle name="Normal 30" xfId="1926"/>
    <cellStyle name="Normal 30 2" xfId="1927"/>
    <cellStyle name="Normal 30 3" xfId="1928"/>
    <cellStyle name="Normal 30 4" xfId="1929"/>
    <cellStyle name="Normal 30 5" xfId="1930"/>
    <cellStyle name="Normal 30 6" xfId="1931"/>
    <cellStyle name="Normal 30 7" xfId="1932"/>
    <cellStyle name="Normal 30 8" xfId="1933"/>
    <cellStyle name="Normal 31" xfId="1934"/>
    <cellStyle name="Normal 32" xfId="1935"/>
    <cellStyle name="Normal 33" xfId="1936"/>
    <cellStyle name="Normal 34" xfId="1937"/>
    <cellStyle name="Normal 35" xfId="1938"/>
    <cellStyle name="Normal 36" xfId="1939"/>
    <cellStyle name="Normal 37" xfId="1940"/>
    <cellStyle name="Normal 37 2" xfId="1941"/>
    <cellStyle name="Normal 37 3" xfId="1942"/>
    <cellStyle name="Normal 37 4" xfId="1943"/>
    <cellStyle name="Normal 37 5" xfId="1944"/>
    <cellStyle name="Normal 37 6" xfId="1945"/>
    <cellStyle name="Normal 37 7" xfId="1946"/>
    <cellStyle name="Normal 37 8" xfId="1947"/>
    <cellStyle name="Normal 38" xfId="1948"/>
    <cellStyle name="Normal 38 2" xfId="1949"/>
    <cellStyle name="Normal 38 3" xfId="1950"/>
    <cellStyle name="Normal 38 4" xfId="1951"/>
    <cellStyle name="Normal 38 5" xfId="1952"/>
    <cellStyle name="Normal 38 6" xfId="1953"/>
    <cellStyle name="Normal 38 7" xfId="1954"/>
    <cellStyle name="Normal 38 8" xfId="1955"/>
    <cellStyle name="Normal 39" xfId="1956"/>
    <cellStyle name="Normal 4" xfId="1957"/>
    <cellStyle name="Normal 4 10" xfId="1958"/>
    <cellStyle name="Normal 4 11" xfId="1959"/>
    <cellStyle name="Normal 4 12" xfId="1960"/>
    <cellStyle name="Normal 4 13" xfId="1961"/>
    <cellStyle name="Normal 4 14" xfId="1962"/>
    <cellStyle name="Normal 4 15" xfId="1963"/>
    <cellStyle name="Normal 4 16" xfId="1964"/>
    <cellStyle name="Normal 4 17" xfId="1965"/>
    <cellStyle name="Normal 4 18" xfId="1966"/>
    <cellStyle name="Normal 4 19" xfId="1967"/>
    <cellStyle name="Normal 4 2" xfId="1968"/>
    <cellStyle name="Normal 4 2 2" xfId="1969"/>
    <cellStyle name="Normal 4 2 2 2" xfId="1970"/>
    <cellStyle name="Normal 4 2 2 3" xfId="1971"/>
    <cellStyle name="Normal 4 2 3" xfId="1972"/>
    <cellStyle name="Normal 4 20" xfId="1973"/>
    <cellStyle name="Normal 4 21" xfId="1974"/>
    <cellStyle name="Normal 4 22" xfId="1975"/>
    <cellStyle name="Normal 4 3" xfId="1976"/>
    <cellStyle name="Normal 4 4" xfId="1977"/>
    <cellStyle name="Normal 4 5" xfId="1978"/>
    <cellStyle name="Normal 4 6" xfId="1979"/>
    <cellStyle name="Normal 4 7" xfId="1980"/>
    <cellStyle name="Normal 4 8" xfId="1981"/>
    <cellStyle name="Normal 4 9" xfId="1982"/>
    <cellStyle name="Normal 4_Bingo" xfId="1983"/>
    <cellStyle name="Normal 40" xfId="1984"/>
    <cellStyle name="Normal 41" xfId="1985"/>
    <cellStyle name="Normal 42" xfId="1986"/>
    <cellStyle name="Normal 43" xfId="1987"/>
    <cellStyle name="Normal 44" xfId="1988"/>
    <cellStyle name="Normal 45" xfId="1989"/>
    <cellStyle name="Normal 46" xfId="1990"/>
    <cellStyle name="Normal 47" xfId="1991"/>
    <cellStyle name="Normal 48" xfId="1992"/>
    <cellStyle name="Normal 49" xfId="1993"/>
    <cellStyle name="Normal 5" xfId="1994"/>
    <cellStyle name="Normal 5 10" xfId="1995"/>
    <cellStyle name="Normal 5 11" xfId="1996"/>
    <cellStyle name="Normal 5 12" xfId="1997"/>
    <cellStyle name="Normal 5 13" xfId="1998"/>
    <cellStyle name="Normal 5 14" xfId="1999"/>
    <cellStyle name="Normal 5 15" xfId="2000"/>
    <cellStyle name="Normal 5 16" xfId="2001"/>
    <cellStyle name="Normal 5 17" xfId="2002"/>
    <cellStyle name="Normal 5 18" xfId="2003"/>
    <cellStyle name="Normal 5 19" xfId="2004"/>
    <cellStyle name="Normal 5 2" xfId="2005"/>
    <cellStyle name="Normal 5 20" xfId="2006"/>
    <cellStyle name="Normal 5 21" xfId="2007"/>
    <cellStyle name="Normal 5 22" xfId="2008"/>
    <cellStyle name="Normal 5 3" xfId="2009"/>
    <cellStyle name="Normal 5 4" xfId="2010"/>
    <cellStyle name="Normal 5 5" xfId="2011"/>
    <cellStyle name="Normal 5 6" xfId="2012"/>
    <cellStyle name="Normal 5 7" xfId="2013"/>
    <cellStyle name="Normal 5 8" xfId="2014"/>
    <cellStyle name="Normal 5 9" xfId="2015"/>
    <cellStyle name="Normal 5_Bingo" xfId="2016"/>
    <cellStyle name="Normal 50" xfId="2017"/>
    <cellStyle name="Normal 51" xfId="2018"/>
    <cellStyle name="Normal 52" xfId="2019"/>
    <cellStyle name="Normal 53" xfId="2020"/>
    <cellStyle name="Normal 54" xfId="2021"/>
    <cellStyle name="Normal 55" xfId="2022"/>
    <cellStyle name="Normal 56" xfId="2023"/>
    <cellStyle name="Normal 57" xfId="2024"/>
    <cellStyle name="Normal 58" xfId="2025"/>
    <cellStyle name="Normal 59" xfId="2026"/>
    <cellStyle name="Normal 6" xfId="2027"/>
    <cellStyle name="Normal 6 10" xfId="2028"/>
    <cellStyle name="Normal 6 11" xfId="2029"/>
    <cellStyle name="Normal 6 12" xfId="2030"/>
    <cellStyle name="Normal 6 13" xfId="2031"/>
    <cellStyle name="Normal 6 14" xfId="2032"/>
    <cellStyle name="Normal 6 15" xfId="2033"/>
    <cellStyle name="Normal 6 16" xfId="2034"/>
    <cellStyle name="Normal 6 17" xfId="2035"/>
    <cellStyle name="Normal 6 18" xfId="2036"/>
    <cellStyle name="Normal 6 19" xfId="2037"/>
    <cellStyle name="Normal 6 2" xfId="2038"/>
    <cellStyle name="Normal 6 20" xfId="2039"/>
    <cellStyle name="Normal 6 21" xfId="2040"/>
    <cellStyle name="Normal 6 3" xfId="2041"/>
    <cellStyle name="Normal 6 4" xfId="2042"/>
    <cellStyle name="Normal 6 5" xfId="2043"/>
    <cellStyle name="Normal 6 6" xfId="2044"/>
    <cellStyle name="Normal 6 7" xfId="2045"/>
    <cellStyle name="Normal 6 8" xfId="2046"/>
    <cellStyle name="Normal 6 9" xfId="2047"/>
    <cellStyle name="Normal 6_Bingo" xfId="2048"/>
    <cellStyle name="Normal 60" xfId="2049"/>
    <cellStyle name="Normal 61" xfId="2050"/>
    <cellStyle name="Normal 62" xfId="2051"/>
    <cellStyle name="Normal 63" xfId="2052"/>
    <cellStyle name="Normal 64" xfId="2053"/>
    <cellStyle name="Normal 65" xfId="2054"/>
    <cellStyle name="Normal 66" xfId="2055"/>
    <cellStyle name="Normal 67" xfId="2056"/>
    <cellStyle name="Normal 68" xfId="2057"/>
    <cellStyle name="Normal 69" xfId="2058"/>
    <cellStyle name="Normal 7" xfId="2059"/>
    <cellStyle name="Normal 7 10" xfId="2060"/>
    <cellStyle name="Normal 7 11" xfId="2061"/>
    <cellStyle name="Normal 7 12" xfId="2062"/>
    <cellStyle name="Normal 7 13" xfId="2063"/>
    <cellStyle name="Normal 7 14" xfId="2064"/>
    <cellStyle name="Normal 7 15" xfId="2065"/>
    <cellStyle name="Normal 7 16" xfId="2066"/>
    <cellStyle name="Normal 7 17" xfId="2067"/>
    <cellStyle name="Normal 7 18" xfId="2068"/>
    <cellStyle name="Normal 7 19" xfId="2069"/>
    <cellStyle name="Normal 7 2" xfId="2070"/>
    <cellStyle name="Normal 7 20" xfId="2071"/>
    <cellStyle name="Normal 7 21" xfId="2072"/>
    <cellStyle name="Normal 7 22" xfId="2073"/>
    <cellStyle name="Normal 7 3" xfId="2074"/>
    <cellStyle name="Normal 7 4" xfId="2075"/>
    <cellStyle name="Normal 7 5" xfId="2076"/>
    <cellStyle name="Normal 7 6" xfId="2077"/>
    <cellStyle name="Normal 7 7" xfId="2078"/>
    <cellStyle name="Normal 7 8" xfId="2079"/>
    <cellStyle name="Normal 7 9" xfId="2080"/>
    <cellStyle name="Normal 7_Bingo" xfId="2081"/>
    <cellStyle name="Normal 70" xfId="2082"/>
    <cellStyle name="Normal 71" xfId="2083"/>
    <cellStyle name="Normal 72" xfId="2084"/>
    <cellStyle name="Normal 8" xfId="2085"/>
    <cellStyle name="Normal 8 10" xfId="2086"/>
    <cellStyle name="Normal 8 11" xfId="2087"/>
    <cellStyle name="Normal 8 12" xfId="2088"/>
    <cellStyle name="Normal 8 13" xfId="2089"/>
    <cellStyle name="Normal 8 14" xfId="2090"/>
    <cellStyle name="Normal 8 15" xfId="2091"/>
    <cellStyle name="Normal 8 16" xfId="2092"/>
    <cellStyle name="Normal 8 17" xfId="2093"/>
    <cellStyle name="Normal 8 18" xfId="2094"/>
    <cellStyle name="Normal 8 19" xfId="2095"/>
    <cellStyle name="Normal 8 2" xfId="2096"/>
    <cellStyle name="Normal 8 20" xfId="2097"/>
    <cellStyle name="Normal 8 21" xfId="2098"/>
    <cellStyle name="Normal 8 22" xfId="2099"/>
    <cellStyle name="Normal 8 3" xfId="2100"/>
    <cellStyle name="Normal 8 4" xfId="2101"/>
    <cellStyle name="Normal 8 5" xfId="2102"/>
    <cellStyle name="Normal 8 6" xfId="2103"/>
    <cellStyle name="Normal 8 7" xfId="2104"/>
    <cellStyle name="Normal 8 8" xfId="2105"/>
    <cellStyle name="Normal 8 9" xfId="2106"/>
    <cellStyle name="Normal 8_Bingo" xfId="2107"/>
    <cellStyle name="Normal 9" xfId="2108"/>
    <cellStyle name="Normal 9 10" xfId="2109"/>
    <cellStyle name="Normal 9 11" xfId="2110"/>
    <cellStyle name="Normal 9 12" xfId="2111"/>
    <cellStyle name="Normal 9 13" xfId="2112"/>
    <cellStyle name="Normal 9 14" xfId="2113"/>
    <cellStyle name="Normal 9 15" xfId="2114"/>
    <cellStyle name="Normal 9 16" xfId="2115"/>
    <cellStyle name="Normal 9 17" xfId="2116"/>
    <cellStyle name="Normal 9 18" xfId="2117"/>
    <cellStyle name="Normal 9 19" xfId="2118"/>
    <cellStyle name="Normal 9 2" xfId="2119"/>
    <cellStyle name="Normal 9 20" xfId="2120"/>
    <cellStyle name="Normal 9 21" xfId="2121"/>
    <cellStyle name="Normal 9 22" xfId="2122"/>
    <cellStyle name="Normal 9 3" xfId="2123"/>
    <cellStyle name="Normal 9 4" xfId="2124"/>
    <cellStyle name="Normal 9 5" xfId="2125"/>
    <cellStyle name="Normal 9 6" xfId="2126"/>
    <cellStyle name="Normal 9 7" xfId="2127"/>
    <cellStyle name="Normal 9 8" xfId="2128"/>
    <cellStyle name="Normal 9 9" xfId="2129"/>
    <cellStyle name="Normal 9_Bingo" xfId="2130"/>
    <cellStyle name="Nota" xfId="2131"/>
    <cellStyle name="Note 10" xfId="2132"/>
    <cellStyle name="Note 10 10" xfId="2133"/>
    <cellStyle name="Note 10 11" xfId="2134"/>
    <cellStyle name="Note 10 12" xfId="2135"/>
    <cellStyle name="Note 10 13" xfId="2136"/>
    <cellStyle name="Note 10 14" xfId="2137"/>
    <cellStyle name="Note 10 15" xfId="2138"/>
    <cellStyle name="Note 10 16" xfId="2139"/>
    <cellStyle name="Note 10 17" xfId="2140"/>
    <cellStyle name="Note 10 18" xfId="2141"/>
    <cellStyle name="Note 10 19" xfId="2142"/>
    <cellStyle name="Note 10 2" xfId="2143"/>
    <cellStyle name="Note 10 2 2" xfId="2144"/>
    <cellStyle name="Note 10 20" xfId="2145"/>
    <cellStyle name="Note 10 21" xfId="2146"/>
    <cellStyle name="Note 10 3" xfId="2147"/>
    <cellStyle name="Note 10 4" xfId="2148"/>
    <cellStyle name="Note 10 5" xfId="2149"/>
    <cellStyle name="Note 10 6" xfId="2150"/>
    <cellStyle name="Note 10 7" xfId="2151"/>
    <cellStyle name="Note 10 8" xfId="2152"/>
    <cellStyle name="Note 10 9" xfId="2153"/>
    <cellStyle name="Note 11" xfId="2154"/>
    <cellStyle name="Note 11 10" xfId="2155"/>
    <cellStyle name="Note 11 11" xfId="2156"/>
    <cellStyle name="Note 11 12" xfId="2157"/>
    <cellStyle name="Note 11 13" xfId="2158"/>
    <cellStyle name="Note 11 14" xfId="2159"/>
    <cellStyle name="Note 11 15" xfId="2160"/>
    <cellStyle name="Note 11 16" xfId="2161"/>
    <cellStyle name="Note 11 17" xfId="2162"/>
    <cellStyle name="Note 11 18" xfId="2163"/>
    <cellStyle name="Note 11 19" xfId="2164"/>
    <cellStyle name="Note 11 2" xfId="2165"/>
    <cellStyle name="Note 11 2 2" xfId="2166"/>
    <cellStyle name="Note 11 20" xfId="2167"/>
    <cellStyle name="Note 11 21" xfId="2168"/>
    <cellStyle name="Note 11 3" xfId="2169"/>
    <cellStyle name="Note 11 4" xfId="2170"/>
    <cellStyle name="Note 11 5" xfId="2171"/>
    <cellStyle name="Note 11 6" xfId="2172"/>
    <cellStyle name="Note 11 7" xfId="2173"/>
    <cellStyle name="Note 11 8" xfId="2174"/>
    <cellStyle name="Note 11 9" xfId="2175"/>
    <cellStyle name="Note 12" xfId="2176"/>
    <cellStyle name="Note 12 10" xfId="2177"/>
    <cellStyle name="Note 12 11" xfId="2178"/>
    <cellStyle name="Note 12 12" xfId="2179"/>
    <cellStyle name="Note 12 13" xfId="2180"/>
    <cellStyle name="Note 12 14" xfId="2181"/>
    <cellStyle name="Note 12 15" xfId="2182"/>
    <cellStyle name="Note 12 16" xfId="2183"/>
    <cellStyle name="Note 12 17" xfId="2184"/>
    <cellStyle name="Note 12 18" xfId="2185"/>
    <cellStyle name="Note 12 19" xfId="2186"/>
    <cellStyle name="Note 12 2" xfId="2187"/>
    <cellStyle name="Note 12 2 2" xfId="2188"/>
    <cellStyle name="Note 12 20" xfId="2189"/>
    <cellStyle name="Note 12 21" xfId="2190"/>
    <cellStyle name="Note 12 3" xfId="2191"/>
    <cellStyle name="Note 12 4" xfId="2192"/>
    <cellStyle name="Note 12 5" xfId="2193"/>
    <cellStyle name="Note 12 6" xfId="2194"/>
    <cellStyle name="Note 12 7" xfId="2195"/>
    <cellStyle name="Note 12 8" xfId="2196"/>
    <cellStyle name="Note 12 9" xfId="2197"/>
    <cellStyle name="Note 13" xfId="2198"/>
    <cellStyle name="Note 13 10" xfId="2199"/>
    <cellStyle name="Note 13 11" xfId="2200"/>
    <cellStyle name="Note 13 12" xfId="2201"/>
    <cellStyle name="Note 13 13" xfId="2202"/>
    <cellStyle name="Note 13 14" xfId="2203"/>
    <cellStyle name="Note 13 15" xfId="2204"/>
    <cellStyle name="Note 13 16" xfId="2205"/>
    <cellStyle name="Note 13 17" xfId="2206"/>
    <cellStyle name="Note 13 18" xfId="2207"/>
    <cellStyle name="Note 13 19" xfId="2208"/>
    <cellStyle name="Note 13 2" xfId="2209"/>
    <cellStyle name="Note 13 2 2" xfId="2210"/>
    <cellStyle name="Note 13 20" xfId="2211"/>
    <cellStyle name="Note 13 21" xfId="2212"/>
    <cellStyle name="Note 13 3" xfId="2213"/>
    <cellStyle name="Note 13 4" xfId="2214"/>
    <cellStyle name="Note 13 5" xfId="2215"/>
    <cellStyle name="Note 13 6" xfId="2216"/>
    <cellStyle name="Note 13 7" xfId="2217"/>
    <cellStyle name="Note 13 8" xfId="2218"/>
    <cellStyle name="Note 13 9" xfId="2219"/>
    <cellStyle name="Note 14" xfId="2220"/>
    <cellStyle name="Note 14 10" xfId="2221"/>
    <cellStyle name="Note 14 11" xfId="2222"/>
    <cellStyle name="Note 14 12" xfId="2223"/>
    <cellStyle name="Note 14 13" xfId="2224"/>
    <cellStyle name="Note 14 14" xfId="2225"/>
    <cellStyle name="Note 14 15" xfId="2226"/>
    <cellStyle name="Note 14 16" xfId="2227"/>
    <cellStyle name="Note 14 17" xfId="2228"/>
    <cellStyle name="Note 14 18" xfId="2229"/>
    <cellStyle name="Note 14 19" xfId="2230"/>
    <cellStyle name="Note 14 2" xfId="2231"/>
    <cellStyle name="Note 14 2 2" xfId="2232"/>
    <cellStyle name="Note 14 20" xfId="2233"/>
    <cellStyle name="Note 14 21" xfId="2234"/>
    <cellStyle name="Note 14 3" xfId="2235"/>
    <cellStyle name="Note 14 4" xfId="2236"/>
    <cellStyle name="Note 14 5" xfId="2237"/>
    <cellStyle name="Note 14 6" xfId="2238"/>
    <cellStyle name="Note 14 7" xfId="2239"/>
    <cellStyle name="Note 14 8" xfId="2240"/>
    <cellStyle name="Note 14 9" xfId="2241"/>
    <cellStyle name="Note 15" xfId="2242"/>
    <cellStyle name="Note 15 10" xfId="2243"/>
    <cellStyle name="Note 15 11" xfId="2244"/>
    <cellStyle name="Note 15 12" xfId="2245"/>
    <cellStyle name="Note 15 13" xfId="2246"/>
    <cellStyle name="Note 15 14" xfId="2247"/>
    <cellStyle name="Note 15 15" xfId="2248"/>
    <cellStyle name="Note 15 16" xfId="2249"/>
    <cellStyle name="Note 15 17" xfId="2250"/>
    <cellStyle name="Note 15 18" xfId="2251"/>
    <cellStyle name="Note 15 19" xfId="2252"/>
    <cellStyle name="Note 15 2" xfId="2253"/>
    <cellStyle name="Note 15 2 2" xfId="2254"/>
    <cellStyle name="Note 15 20" xfId="2255"/>
    <cellStyle name="Note 15 21" xfId="2256"/>
    <cellStyle name="Note 15 3" xfId="2257"/>
    <cellStyle name="Note 15 4" xfId="2258"/>
    <cellStyle name="Note 15 5" xfId="2259"/>
    <cellStyle name="Note 15 6" xfId="2260"/>
    <cellStyle name="Note 15 7" xfId="2261"/>
    <cellStyle name="Note 15 8" xfId="2262"/>
    <cellStyle name="Note 15 9" xfId="2263"/>
    <cellStyle name="Note 16" xfId="2264"/>
    <cellStyle name="Note 16 10" xfId="2265"/>
    <cellStyle name="Note 16 11" xfId="2266"/>
    <cellStyle name="Note 16 12" xfId="2267"/>
    <cellStyle name="Note 16 13" xfId="2268"/>
    <cellStyle name="Note 16 14" xfId="2269"/>
    <cellStyle name="Note 16 15" xfId="2270"/>
    <cellStyle name="Note 16 16" xfId="2271"/>
    <cellStyle name="Note 16 17" xfId="2272"/>
    <cellStyle name="Note 16 18" xfId="2273"/>
    <cellStyle name="Note 16 19" xfId="2274"/>
    <cellStyle name="Note 16 2" xfId="2275"/>
    <cellStyle name="Note 16 2 2" xfId="2276"/>
    <cellStyle name="Note 16 20" xfId="2277"/>
    <cellStyle name="Note 16 21" xfId="2278"/>
    <cellStyle name="Note 16 3" xfId="2279"/>
    <cellStyle name="Note 16 4" xfId="2280"/>
    <cellStyle name="Note 16 5" xfId="2281"/>
    <cellStyle name="Note 16 6" xfId="2282"/>
    <cellStyle name="Note 16 7" xfId="2283"/>
    <cellStyle name="Note 16 8" xfId="2284"/>
    <cellStyle name="Note 16 9" xfId="2285"/>
    <cellStyle name="Note 17" xfId="2286"/>
    <cellStyle name="Note 17 10" xfId="2287"/>
    <cellStyle name="Note 17 11" xfId="2288"/>
    <cellStyle name="Note 17 12" xfId="2289"/>
    <cellStyle name="Note 17 13" xfId="2290"/>
    <cellStyle name="Note 17 14" xfId="2291"/>
    <cellStyle name="Note 17 15" xfId="2292"/>
    <cellStyle name="Note 17 16" xfId="2293"/>
    <cellStyle name="Note 17 17" xfId="2294"/>
    <cellStyle name="Note 17 18" xfId="2295"/>
    <cellStyle name="Note 17 19" xfId="2296"/>
    <cellStyle name="Note 17 2" xfId="2297"/>
    <cellStyle name="Note 17 20" xfId="2298"/>
    <cellStyle name="Note 17 21" xfId="2299"/>
    <cellStyle name="Note 17 3" xfId="2300"/>
    <cellStyle name="Note 17 4" xfId="2301"/>
    <cellStyle name="Note 17 5" xfId="2302"/>
    <cellStyle name="Note 17 6" xfId="2303"/>
    <cellStyle name="Note 17 7" xfId="2304"/>
    <cellStyle name="Note 17 8" xfId="2305"/>
    <cellStyle name="Note 17 9" xfId="2306"/>
    <cellStyle name="Note 18" xfId="2307"/>
    <cellStyle name="Note 18 10" xfId="2308"/>
    <cellStyle name="Note 18 11" xfId="2309"/>
    <cellStyle name="Note 18 12" xfId="2310"/>
    <cellStyle name="Note 18 13" xfId="2311"/>
    <cellStyle name="Note 18 14" xfId="2312"/>
    <cellStyle name="Note 18 15" xfId="2313"/>
    <cellStyle name="Note 18 16" xfId="2314"/>
    <cellStyle name="Note 18 17" xfId="2315"/>
    <cellStyle name="Note 18 18" xfId="2316"/>
    <cellStyle name="Note 18 19" xfId="2317"/>
    <cellStyle name="Note 18 2" xfId="2318"/>
    <cellStyle name="Note 18 20" xfId="2319"/>
    <cellStyle name="Note 18 21" xfId="2320"/>
    <cellStyle name="Note 18 3" xfId="2321"/>
    <cellStyle name="Note 18 4" xfId="2322"/>
    <cellStyle name="Note 18 5" xfId="2323"/>
    <cellStyle name="Note 18 6" xfId="2324"/>
    <cellStyle name="Note 18 7" xfId="2325"/>
    <cellStyle name="Note 18 8" xfId="2326"/>
    <cellStyle name="Note 18 9" xfId="2327"/>
    <cellStyle name="Note 19" xfId="2328"/>
    <cellStyle name="Note 19 10" xfId="2329"/>
    <cellStyle name="Note 19 11" xfId="2330"/>
    <cellStyle name="Note 19 12" xfId="2331"/>
    <cellStyle name="Note 19 13" xfId="2332"/>
    <cellStyle name="Note 19 14" xfId="2333"/>
    <cellStyle name="Note 19 15" xfId="2334"/>
    <cellStyle name="Note 19 16" xfId="2335"/>
    <cellStyle name="Note 19 17" xfId="2336"/>
    <cellStyle name="Note 19 18" xfId="2337"/>
    <cellStyle name="Note 19 19" xfId="2338"/>
    <cellStyle name="Note 19 2" xfId="2339"/>
    <cellStyle name="Note 19 20" xfId="2340"/>
    <cellStyle name="Note 19 21" xfId="2341"/>
    <cellStyle name="Note 19 3" xfId="2342"/>
    <cellStyle name="Note 19 4" xfId="2343"/>
    <cellStyle name="Note 19 5" xfId="2344"/>
    <cellStyle name="Note 19 6" xfId="2345"/>
    <cellStyle name="Note 19 7" xfId="2346"/>
    <cellStyle name="Note 19 8" xfId="2347"/>
    <cellStyle name="Note 19 9" xfId="2348"/>
    <cellStyle name="Note 2" xfId="2349"/>
    <cellStyle name="Note 2 10" xfId="2350"/>
    <cellStyle name="Note 2 11" xfId="2351"/>
    <cellStyle name="Note 2 12" xfId="2352"/>
    <cellStyle name="Note 2 13" xfId="2353"/>
    <cellStyle name="Note 2 14" xfId="2354"/>
    <cellStyle name="Note 2 15" xfId="2355"/>
    <cellStyle name="Note 2 16" xfId="2356"/>
    <cellStyle name="Note 2 17" xfId="2357"/>
    <cellStyle name="Note 2 18" xfId="2358"/>
    <cellStyle name="Note 2 19" xfId="2359"/>
    <cellStyle name="Note 2 2" xfId="2360"/>
    <cellStyle name="Note 2 2 10" xfId="2361"/>
    <cellStyle name="Note 2 2 11" xfId="2362"/>
    <cellStyle name="Note 2 2 12" xfId="2363"/>
    <cellStyle name="Note 2 2 13" xfId="2364"/>
    <cellStyle name="Note 2 2 14" xfId="2365"/>
    <cellStyle name="Note 2 2 15" xfId="2366"/>
    <cellStyle name="Note 2 2 16" xfId="2367"/>
    <cellStyle name="Note 2 2 17" xfId="2368"/>
    <cellStyle name="Note 2 2 18" xfId="2369"/>
    <cellStyle name="Note 2 2 19" xfId="2370"/>
    <cellStyle name="Note 2 2 2" xfId="2371"/>
    <cellStyle name="Note 2 2 20" xfId="2372"/>
    <cellStyle name="Note 2 2 3" xfId="2373"/>
    <cellStyle name="Note 2 2 4" xfId="2374"/>
    <cellStyle name="Note 2 2 5" xfId="2375"/>
    <cellStyle name="Note 2 2 6" xfId="2376"/>
    <cellStyle name="Note 2 2 7" xfId="2377"/>
    <cellStyle name="Note 2 2 8" xfId="2378"/>
    <cellStyle name="Note 2 2 9" xfId="2379"/>
    <cellStyle name="Note 2 20" xfId="2380"/>
    <cellStyle name="Note 2 21" xfId="2381"/>
    <cellStyle name="Note 2 22" xfId="2382"/>
    <cellStyle name="Note 2 23" xfId="2383"/>
    <cellStyle name="Note 2 24" xfId="2384"/>
    <cellStyle name="Note 2 25" xfId="2385"/>
    <cellStyle name="Note 2 26" xfId="2386"/>
    <cellStyle name="Note 2 27" xfId="2387"/>
    <cellStyle name="Note 2 28" xfId="2388"/>
    <cellStyle name="Note 2 29" xfId="2389"/>
    <cellStyle name="Note 2 3" xfId="2390"/>
    <cellStyle name="Note 2 30" xfId="2391"/>
    <cellStyle name="Note 2 31" xfId="2392"/>
    <cellStyle name="Note 2 32" xfId="2393"/>
    <cellStyle name="Note 2 33" xfId="2394"/>
    <cellStyle name="Note 2 34" xfId="2395"/>
    <cellStyle name="Note 2 35" xfId="2396"/>
    <cellStyle name="Note 2 36" xfId="2397"/>
    <cellStyle name="Note 2 37" xfId="2398"/>
    <cellStyle name="Note 2 38" xfId="2399"/>
    <cellStyle name="Note 2 39" xfId="2400"/>
    <cellStyle name="Note 2 4" xfId="2401"/>
    <cellStyle name="Note 2 40" xfId="2402"/>
    <cellStyle name="Note 2 41" xfId="2403"/>
    <cellStyle name="Note 2 42" xfId="2404"/>
    <cellStyle name="Note 2 43" xfId="2405"/>
    <cellStyle name="Note 2 44" xfId="2406"/>
    <cellStyle name="Note 2 45" xfId="2407"/>
    <cellStyle name="Note 2 46" xfId="2408"/>
    <cellStyle name="Note 2 47" xfId="2409"/>
    <cellStyle name="Note 2 48" xfId="2410"/>
    <cellStyle name="Note 2 49" xfId="2411"/>
    <cellStyle name="Note 2 5" xfId="2412"/>
    <cellStyle name="Note 2 50" xfId="2413"/>
    <cellStyle name="Note 2 51" xfId="2414"/>
    <cellStyle name="Note 2 52" xfId="2415"/>
    <cellStyle name="Note 2 53" xfId="2416"/>
    <cellStyle name="Note 2 54" xfId="2417"/>
    <cellStyle name="Note 2 55" xfId="2418"/>
    <cellStyle name="Note 2 56" xfId="2419"/>
    <cellStyle name="Note 2 57" xfId="2420"/>
    <cellStyle name="Note 2 58" xfId="2421"/>
    <cellStyle name="Note 2 59" xfId="2422"/>
    <cellStyle name="Note 2 6" xfId="2423"/>
    <cellStyle name="Note 2 60" xfId="2424"/>
    <cellStyle name="Note 2 61" xfId="2425"/>
    <cellStyle name="Note 2 7" xfId="2426"/>
    <cellStyle name="Note 2 8" xfId="2427"/>
    <cellStyle name="Note 2 9" xfId="2428"/>
    <cellStyle name="Note 20" xfId="2429"/>
    <cellStyle name="Note 20 10" xfId="2430"/>
    <cellStyle name="Note 20 11" xfId="2431"/>
    <cellStyle name="Note 20 12" xfId="2432"/>
    <cellStyle name="Note 20 13" xfId="2433"/>
    <cellStyle name="Note 20 14" xfId="2434"/>
    <cellStyle name="Note 20 15" xfId="2435"/>
    <cellStyle name="Note 20 16" xfId="2436"/>
    <cellStyle name="Note 20 17" xfId="2437"/>
    <cellStyle name="Note 20 18" xfId="2438"/>
    <cellStyle name="Note 20 19" xfId="2439"/>
    <cellStyle name="Note 20 2" xfId="2440"/>
    <cellStyle name="Note 20 20" xfId="2441"/>
    <cellStyle name="Note 20 21" xfId="2442"/>
    <cellStyle name="Note 20 3" xfId="2443"/>
    <cellStyle name="Note 20 4" xfId="2444"/>
    <cellStyle name="Note 20 5" xfId="2445"/>
    <cellStyle name="Note 20 6" xfId="2446"/>
    <cellStyle name="Note 20 7" xfId="2447"/>
    <cellStyle name="Note 20 8" xfId="2448"/>
    <cellStyle name="Note 20 9" xfId="2449"/>
    <cellStyle name="Note 21" xfId="2450"/>
    <cellStyle name="Note 21 10" xfId="2451"/>
    <cellStyle name="Note 21 11" xfId="2452"/>
    <cellStyle name="Note 21 12" xfId="2453"/>
    <cellStyle name="Note 21 13" xfId="2454"/>
    <cellStyle name="Note 21 14" xfId="2455"/>
    <cellStyle name="Note 21 15" xfId="2456"/>
    <cellStyle name="Note 21 16" xfId="2457"/>
    <cellStyle name="Note 21 17" xfId="2458"/>
    <cellStyle name="Note 21 18" xfId="2459"/>
    <cellStyle name="Note 21 19" xfId="2460"/>
    <cellStyle name="Note 21 2" xfId="2461"/>
    <cellStyle name="Note 21 20" xfId="2462"/>
    <cellStyle name="Note 21 21" xfId="2463"/>
    <cellStyle name="Note 21 3" xfId="2464"/>
    <cellStyle name="Note 21 4" xfId="2465"/>
    <cellStyle name="Note 21 5" xfId="2466"/>
    <cellStyle name="Note 21 6" xfId="2467"/>
    <cellStyle name="Note 21 7" xfId="2468"/>
    <cellStyle name="Note 21 8" xfId="2469"/>
    <cellStyle name="Note 21 9" xfId="2470"/>
    <cellStyle name="Note 22" xfId="2471"/>
    <cellStyle name="Note 22 10" xfId="2472"/>
    <cellStyle name="Note 22 11" xfId="2473"/>
    <cellStyle name="Note 22 12" xfId="2474"/>
    <cellStyle name="Note 22 13" xfId="2475"/>
    <cellStyle name="Note 22 14" xfId="2476"/>
    <cellStyle name="Note 22 15" xfId="2477"/>
    <cellStyle name="Note 22 16" xfId="2478"/>
    <cellStyle name="Note 22 17" xfId="2479"/>
    <cellStyle name="Note 22 18" xfId="2480"/>
    <cellStyle name="Note 22 19" xfId="2481"/>
    <cellStyle name="Note 22 2" xfId="2482"/>
    <cellStyle name="Note 22 20" xfId="2483"/>
    <cellStyle name="Note 22 21" xfId="2484"/>
    <cellStyle name="Note 22 3" xfId="2485"/>
    <cellStyle name="Note 22 4" xfId="2486"/>
    <cellStyle name="Note 22 5" xfId="2487"/>
    <cellStyle name="Note 22 6" xfId="2488"/>
    <cellStyle name="Note 22 7" xfId="2489"/>
    <cellStyle name="Note 22 8" xfId="2490"/>
    <cellStyle name="Note 22 9" xfId="2491"/>
    <cellStyle name="Note 23" xfId="2492"/>
    <cellStyle name="Note 23 10" xfId="2493"/>
    <cellStyle name="Note 23 11" xfId="2494"/>
    <cellStyle name="Note 23 12" xfId="2495"/>
    <cellStyle name="Note 23 13" xfId="2496"/>
    <cellStyle name="Note 23 14" xfId="2497"/>
    <cellStyle name="Note 23 15" xfId="2498"/>
    <cellStyle name="Note 23 16" xfId="2499"/>
    <cellStyle name="Note 23 17" xfId="2500"/>
    <cellStyle name="Note 23 18" xfId="2501"/>
    <cellStyle name="Note 23 19" xfId="2502"/>
    <cellStyle name="Note 23 2" xfId="2503"/>
    <cellStyle name="Note 23 20" xfId="2504"/>
    <cellStyle name="Note 23 21" xfId="2505"/>
    <cellStyle name="Note 23 3" xfId="2506"/>
    <cellStyle name="Note 23 4" xfId="2507"/>
    <cellStyle name="Note 23 5" xfId="2508"/>
    <cellStyle name="Note 23 6" xfId="2509"/>
    <cellStyle name="Note 23 7" xfId="2510"/>
    <cellStyle name="Note 23 8" xfId="2511"/>
    <cellStyle name="Note 23 9" xfId="2512"/>
    <cellStyle name="Note 24" xfId="2513"/>
    <cellStyle name="Note 24 10" xfId="2514"/>
    <cellStyle name="Note 24 11" xfId="2515"/>
    <cellStyle name="Note 24 12" xfId="2516"/>
    <cellStyle name="Note 24 13" xfId="2517"/>
    <cellStyle name="Note 24 14" xfId="2518"/>
    <cellStyle name="Note 24 15" xfId="2519"/>
    <cellStyle name="Note 24 16" xfId="2520"/>
    <cellStyle name="Note 24 17" xfId="2521"/>
    <cellStyle name="Note 24 18" xfId="2522"/>
    <cellStyle name="Note 24 19" xfId="2523"/>
    <cellStyle name="Note 24 2" xfId="2524"/>
    <cellStyle name="Note 24 20" xfId="2525"/>
    <cellStyle name="Note 24 21" xfId="2526"/>
    <cellStyle name="Note 24 3" xfId="2527"/>
    <cellStyle name="Note 24 4" xfId="2528"/>
    <cellStyle name="Note 24 5" xfId="2529"/>
    <cellStyle name="Note 24 6" xfId="2530"/>
    <cellStyle name="Note 24 7" xfId="2531"/>
    <cellStyle name="Note 24 8" xfId="2532"/>
    <cellStyle name="Note 24 9" xfId="2533"/>
    <cellStyle name="Note 25" xfId="2534"/>
    <cellStyle name="Note 25 10" xfId="2535"/>
    <cellStyle name="Note 25 11" xfId="2536"/>
    <cellStyle name="Note 25 12" xfId="2537"/>
    <cellStyle name="Note 25 13" xfId="2538"/>
    <cellStyle name="Note 25 14" xfId="2539"/>
    <cellStyle name="Note 25 15" xfId="2540"/>
    <cellStyle name="Note 25 16" xfId="2541"/>
    <cellStyle name="Note 25 17" xfId="2542"/>
    <cellStyle name="Note 25 18" xfId="2543"/>
    <cellStyle name="Note 25 19" xfId="2544"/>
    <cellStyle name="Note 25 2" xfId="2545"/>
    <cellStyle name="Note 25 20" xfId="2546"/>
    <cellStyle name="Note 25 21" xfId="2547"/>
    <cellStyle name="Note 25 3" xfId="2548"/>
    <cellStyle name="Note 25 4" xfId="2549"/>
    <cellStyle name="Note 25 5" xfId="2550"/>
    <cellStyle name="Note 25 6" xfId="2551"/>
    <cellStyle name="Note 25 7" xfId="2552"/>
    <cellStyle name="Note 25 8" xfId="2553"/>
    <cellStyle name="Note 25 9" xfId="2554"/>
    <cellStyle name="Note 26" xfId="2555"/>
    <cellStyle name="Note 26 10" xfId="2556"/>
    <cellStyle name="Note 26 11" xfId="2557"/>
    <cellStyle name="Note 26 12" xfId="2558"/>
    <cellStyle name="Note 26 13" xfId="2559"/>
    <cellStyle name="Note 26 14" xfId="2560"/>
    <cellStyle name="Note 26 15" xfId="2561"/>
    <cellStyle name="Note 26 16" xfId="2562"/>
    <cellStyle name="Note 26 17" xfId="2563"/>
    <cellStyle name="Note 26 18" xfId="2564"/>
    <cellStyle name="Note 26 19" xfId="2565"/>
    <cellStyle name="Note 26 2" xfId="2566"/>
    <cellStyle name="Note 26 20" xfId="2567"/>
    <cellStyle name="Note 26 21" xfId="2568"/>
    <cellStyle name="Note 26 3" xfId="2569"/>
    <cellStyle name="Note 26 4" xfId="2570"/>
    <cellStyle name="Note 26 5" xfId="2571"/>
    <cellStyle name="Note 26 6" xfId="2572"/>
    <cellStyle name="Note 26 7" xfId="2573"/>
    <cellStyle name="Note 26 8" xfId="2574"/>
    <cellStyle name="Note 26 9" xfId="2575"/>
    <cellStyle name="Note 27" xfId="2576"/>
    <cellStyle name="Note 27 10" xfId="2577"/>
    <cellStyle name="Note 27 11" xfId="2578"/>
    <cellStyle name="Note 27 12" xfId="2579"/>
    <cellStyle name="Note 27 13" xfId="2580"/>
    <cellStyle name="Note 27 14" xfId="2581"/>
    <cellStyle name="Note 27 15" xfId="2582"/>
    <cellStyle name="Note 27 16" xfId="2583"/>
    <cellStyle name="Note 27 17" xfId="2584"/>
    <cellStyle name="Note 27 18" xfId="2585"/>
    <cellStyle name="Note 27 19" xfId="2586"/>
    <cellStyle name="Note 27 2" xfId="2587"/>
    <cellStyle name="Note 27 20" xfId="2588"/>
    <cellStyle name="Note 27 21" xfId="2589"/>
    <cellStyle name="Note 27 3" xfId="2590"/>
    <cellStyle name="Note 27 4" xfId="2591"/>
    <cellStyle name="Note 27 5" xfId="2592"/>
    <cellStyle name="Note 27 6" xfId="2593"/>
    <cellStyle name="Note 27 7" xfId="2594"/>
    <cellStyle name="Note 27 8" xfId="2595"/>
    <cellStyle name="Note 27 9" xfId="2596"/>
    <cellStyle name="Note 28" xfId="2597"/>
    <cellStyle name="Note 28 10" xfId="2598"/>
    <cellStyle name="Note 28 11" xfId="2599"/>
    <cellStyle name="Note 28 12" xfId="2600"/>
    <cellStyle name="Note 28 13" xfId="2601"/>
    <cellStyle name="Note 28 14" xfId="2602"/>
    <cellStyle name="Note 28 15" xfId="2603"/>
    <cellStyle name="Note 28 16" xfId="2604"/>
    <cellStyle name="Note 28 17" xfId="2605"/>
    <cellStyle name="Note 28 18" xfId="2606"/>
    <cellStyle name="Note 28 19" xfId="2607"/>
    <cellStyle name="Note 28 2" xfId="2608"/>
    <cellStyle name="Note 28 20" xfId="2609"/>
    <cellStyle name="Note 28 21" xfId="2610"/>
    <cellStyle name="Note 28 3" xfId="2611"/>
    <cellStyle name="Note 28 4" xfId="2612"/>
    <cellStyle name="Note 28 5" xfId="2613"/>
    <cellStyle name="Note 28 6" xfId="2614"/>
    <cellStyle name="Note 28 7" xfId="2615"/>
    <cellStyle name="Note 28 8" xfId="2616"/>
    <cellStyle name="Note 28 9" xfId="2617"/>
    <cellStyle name="Note 29" xfId="2618"/>
    <cellStyle name="Note 29 10" xfId="2619"/>
    <cellStyle name="Note 29 11" xfId="2620"/>
    <cellStyle name="Note 29 12" xfId="2621"/>
    <cellStyle name="Note 29 13" xfId="2622"/>
    <cellStyle name="Note 29 14" xfId="2623"/>
    <cellStyle name="Note 29 15" xfId="2624"/>
    <cellStyle name="Note 29 16" xfId="2625"/>
    <cellStyle name="Note 29 17" xfId="2626"/>
    <cellStyle name="Note 29 18" xfId="2627"/>
    <cellStyle name="Note 29 19" xfId="2628"/>
    <cellStyle name="Note 29 2" xfId="2629"/>
    <cellStyle name="Note 29 20" xfId="2630"/>
    <cellStyle name="Note 29 21" xfId="2631"/>
    <cellStyle name="Note 29 3" xfId="2632"/>
    <cellStyle name="Note 29 4" xfId="2633"/>
    <cellStyle name="Note 29 5" xfId="2634"/>
    <cellStyle name="Note 29 6" xfId="2635"/>
    <cellStyle name="Note 29 7" xfId="2636"/>
    <cellStyle name="Note 29 8" xfId="2637"/>
    <cellStyle name="Note 29 9" xfId="2638"/>
    <cellStyle name="Note 3" xfId="2639"/>
    <cellStyle name="Note 3 10" xfId="2640"/>
    <cellStyle name="Note 3 11" xfId="2641"/>
    <cellStyle name="Note 3 12" xfId="2642"/>
    <cellStyle name="Note 3 13" xfId="2643"/>
    <cellStyle name="Note 3 14" xfId="2644"/>
    <cellStyle name="Note 3 15" xfId="2645"/>
    <cellStyle name="Note 3 16" xfId="2646"/>
    <cellStyle name="Note 3 17" xfId="2647"/>
    <cellStyle name="Note 3 18" xfId="2648"/>
    <cellStyle name="Note 3 19" xfId="2649"/>
    <cellStyle name="Note 3 2" xfId="2650"/>
    <cellStyle name="Note 3 2 2" xfId="2651"/>
    <cellStyle name="Note 3 20" xfId="2652"/>
    <cellStyle name="Note 3 21" xfId="2653"/>
    <cellStyle name="Note 3 3" xfId="2654"/>
    <cellStyle name="Note 3 4" xfId="2655"/>
    <cellStyle name="Note 3 5" xfId="2656"/>
    <cellStyle name="Note 3 6" xfId="2657"/>
    <cellStyle name="Note 3 7" xfId="2658"/>
    <cellStyle name="Note 3 8" xfId="2659"/>
    <cellStyle name="Note 3 9" xfId="2660"/>
    <cellStyle name="Note 30" xfId="2661"/>
    <cellStyle name="Note 30 10" xfId="2662"/>
    <cellStyle name="Note 30 11" xfId="2663"/>
    <cellStyle name="Note 30 12" xfId="2664"/>
    <cellStyle name="Note 30 13" xfId="2665"/>
    <cellStyle name="Note 30 14" xfId="2666"/>
    <cellStyle name="Note 30 15" xfId="2667"/>
    <cellStyle name="Note 30 16" xfId="2668"/>
    <cellStyle name="Note 30 17" xfId="2669"/>
    <cellStyle name="Note 30 18" xfId="2670"/>
    <cellStyle name="Note 30 19" xfId="2671"/>
    <cellStyle name="Note 30 2" xfId="2672"/>
    <cellStyle name="Note 30 20" xfId="2673"/>
    <cellStyle name="Note 30 21" xfId="2674"/>
    <cellStyle name="Note 30 3" xfId="2675"/>
    <cellStyle name="Note 30 4" xfId="2676"/>
    <cellStyle name="Note 30 5" xfId="2677"/>
    <cellStyle name="Note 30 6" xfId="2678"/>
    <cellStyle name="Note 30 7" xfId="2679"/>
    <cellStyle name="Note 30 8" xfId="2680"/>
    <cellStyle name="Note 30 9" xfId="2681"/>
    <cellStyle name="Note 31" xfId="2682"/>
    <cellStyle name="Note 31 2" xfId="2683"/>
    <cellStyle name="Note 31 2 2" xfId="2684"/>
    <cellStyle name="Note 31_Nations" xfId="2685"/>
    <cellStyle name="Note 32" xfId="2686"/>
    <cellStyle name="Note 32 2" xfId="2687"/>
    <cellStyle name="Note 32 3" xfId="2688"/>
    <cellStyle name="Note 32 4" xfId="2689"/>
    <cellStyle name="Note 32 5" xfId="2690"/>
    <cellStyle name="Note 32 6" xfId="2691"/>
    <cellStyle name="Note 33" xfId="2692"/>
    <cellStyle name="Note 33 2" xfId="2693"/>
    <cellStyle name="Note 33 3" xfId="2694"/>
    <cellStyle name="Note 33 4" xfId="2695"/>
    <cellStyle name="Note 33 5" xfId="2696"/>
    <cellStyle name="Note 33 6" xfId="2697"/>
    <cellStyle name="Note 34" xfId="2698"/>
    <cellStyle name="Note 34 10" xfId="2699"/>
    <cellStyle name="Note 34 11" xfId="2700"/>
    <cellStyle name="Note 34 12" xfId="2701"/>
    <cellStyle name="Note 34 13" xfId="2702"/>
    <cellStyle name="Note 34 14" xfId="2703"/>
    <cellStyle name="Note 34 2" xfId="2704"/>
    <cellStyle name="Note 34 3" xfId="2705"/>
    <cellStyle name="Note 34 4" xfId="2706"/>
    <cellStyle name="Note 34 5" xfId="2707"/>
    <cellStyle name="Note 34 6" xfId="2708"/>
    <cellStyle name="Note 34 7" xfId="2709"/>
    <cellStyle name="Note 34 8" xfId="2710"/>
    <cellStyle name="Note 34 9" xfId="2711"/>
    <cellStyle name="Note 35" xfId="2712"/>
    <cellStyle name="Note 35 10" xfId="2713"/>
    <cellStyle name="Note 35 11" xfId="2714"/>
    <cellStyle name="Note 35 12" xfId="2715"/>
    <cellStyle name="Note 35 13" xfId="2716"/>
    <cellStyle name="Note 35 2" xfId="2717"/>
    <cellStyle name="Note 35 3" xfId="2718"/>
    <cellStyle name="Note 35 4" xfId="2719"/>
    <cellStyle name="Note 35 5" xfId="2720"/>
    <cellStyle name="Note 35 6" xfId="2721"/>
    <cellStyle name="Note 35 7" xfId="2722"/>
    <cellStyle name="Note 35 8" xfId="2723"/>
    <cellStyle name="Note 35 9" xfId="2724"/>
    <cellStyle name="Note 36" xfId="2725"/>
    <cellStyle name="Note 36 10" xfId="2726"/>
    <cellStyle name="Note 36 11" xfId="2727"/>
    <cellStyle name="Note 36 12" xfId="2728"/>
    <cellStyle name="Note 36 13" xfId="2729"/>
    <cellStyle name="Note 36 2" xfId="2730"/>
    <cellStyle name="Note 36 3" xfId="2731"/>
    <cellStyle name="Note 36 4" xfId="2732"/>
    <cellStyle name="Note 36 5" xfId="2733"/>
    <cellStyle name="Note 36 6" xfId="2734"/>
    <cellStyle name="Note 36 7" xfId="2735"/>
    <cellStyle name="Note 36 8" xfId="2736"/>
    <cellStyle name="Note 36 9" xfId="2737"/>
    <cellStyle name="Note 37" xfId="2738"/>
    <cellStyle name="Note 37 2" xfId="2739"/>
    <cellStyle name="Note 37 3" xfId="2740"/>
    <cellStyle name="Note 37 4" xfId="2741"/>
    <cellStyle name="Note 37 5" xfId="2742"/>
    <cellStyle name="Note 37 6" xfId="2743"/>
    <cellStyle name="Note 37 7" xfId="2744"/>
    <cellStyle name="Note 37 8" xfId="2745"/>
    <cellStyle name="Note 38" xfId="2746"/>
    <cellStyle name="Note 38 2" xfId="2747"/>
    <cellStyle name="Note 38 3" xfId="2748"/>
    <cellStyle name="Note 38 4" xfId="2749"/>
    <cellStyle name="Note 38 5" xfId="2750"/>
    <cellStyle name="Note 38 6" xfId="2751"/>
    <cellStyle name="Note 38 7" xfId="2752"/>
    <cellStyle name="Note 38 8" xfId="2753"/>
    <cellStyle name="Note 39" xfId="2754"/>
    <cellStyle name="Note 39 2" xfId="2755"/>
    <cellStyle name="Note 39 3" xfId="2756"/>
    <cellStyle name="Note 39 4" xfId="2757"/>
    <cellStyle name="Note 39 5" xfId="2758"/>
    <cellStyle name="Note 39 6" xfId="2759"/>
    <cellStyle name="Note 39 7" xfId="2760"/>
    <cellStyle name="Note 39 8" xfId="2761"/>
    <cellStyle name="Note 4" xfId="2762"/>
    <cellStyle name="Note 4 10" xfId="2763"/>
    <cellStyle name="Note 4 11" xfId="2764"/>
    <cellStyle name="Note 4 12" xfId="2765"/>
    <cellStyle name="Note 4 13" xfId="2766"/>
    <cellStyle name="Note 4 14" xfId="2767"/>
    <cellStyle name="Note 4 15" xfId="2768"/>
    <cellStyle name="Note 4 16" xfId="2769"/>
    <cellStyle name="Note 4 17" xfId="2770"/>
    <cellStyle name="Note 4 18" xfId="2771"/>
    <cellStyle name="Note 4 19" xfId="2772"/>
    <cellStyle name="Note 4 2" xfId="2773"/>
    <cellStyle name="Note 4 2 2" xfId="2774"/>
    <cellStyle name="Note 4 20" xfId="2775"/>
    <cellStyle name="Note 4 21" xfId="2776"/>
    <cellStyle name="Note 4 3" xfId="2777"/>
    <cellStyle name="Note 4 4" xfId="2778"/>
    <cellStyle name="Note 4 5" xfId="2779"/>
    <cellStyle name="Note 4 6" xfId="2780"/>
    <cellStyle name="Note 4 7" xfId="2781"/>
    <cellStyle name="Note 4 8" xfId="2782"/>
    <cellStyle name="Note 4 9" xfId="2783"/>
    <cellStyle name="Note 40" xfId="2784"/>
    <cellStyle name="Note 40 2" xfId="2785"/>
    <cellStyle name="Note 40 3" xfId="2786"/>
    <cellStyle name="Note 40 4" xfId="2787"/>
    <cellStyle name="Note 40 5" xfId="2788"/>
    <cellStyle name="Note 40 6" xfId="2789"/>
    <cellStyle name="Note 40 7" xfId="2790"/>
    <cellStyle name="Note 40 8" xfId="2791"/>
    <cellStyle name="Note 41" xfId="2792"/>
    <cellStyle name="Note 41 2" xfId="2793"/>
    <cellStyle name="Note 41 3" xfId="2794"/>
    <cellStyle name="Note 41 4" xfId="2795"/>
    <cellStyle name="Note 41 5" xfId="2796"/>
    <cellStyle name="Note 41 6" xfId="2797"/>
    <cellStyle name="Note 41 7" xfId="2798"/>
    <cellStyle name="Note 41 8" xfId="2799"/>
    <cellStyle name="Note 42" xfId="2800"/>
    <cellStyle name="Note 42 2" xfId="2801"/>
    <cellStyle name="Note 42 3" xfId="2802"/>
    <cellStyle name="Note 42 4" xfId="2803"/>
    <cellStyle name="Note 42 5" xfId="2804"/>
    <cellStyle name="Note 42 6" xfId="2805"/>
    <cellStyle name="Note 42 7" xfId="2806"/>
    <cellStyle name="Note 42 8" xfId="2807"/>
    <cellStyle name="Note 43" xfId="2808"/>
    <cellStyle name="Note 43 2" xfId="2809"/>
    <cellStyle name="Note 43 3" xfId="2810"/>
    <cellStyle name="Note 43 4" xfId="2811"/>
    <cellStyle name="Note 43 5" xfId="2812"/>
    <cellStyle name="Note 43 6" xfId="2813"/>
    <cellStyle name="Note 43 7" xfId="2814"/>
    <cellStyle name="Note 43 8" xfId="2815"/>
    <cellStyle name="Note 44" xfId="2816"/>
    <cellStyle name="Note 44 2" xfId="2817"/>
    <cellStyle name="Note 44 3" xfId="2818"/>
    <cellStyle name="Note 44 4" xfId="2819"/>
    <cellStyle name="Note 44 5" xfId="2820"/>
    <cellStyle name="Note 44 6" xfId="2821"/>
    <cellStyle name="Note 44 7" xfId="2822"/>
    <cellStyle name="Note 44 8" xfId="2823"/>
    <cellStyle name="Note 45" xfId="2824"/>
    <cellStyle name="Note 45 2" xfId="2825"/>
    <cellStyle name="Note 45 3" xfId="2826"/>
    <cellStyle name="Note 45 4" xfId="2827"/>
    <cellStyle name="Note 45 5" xfId="2828"/>
    <cellStyle name="Note 45 6" xfId="2829"/>
    <cellStyle name="Note 45 7" xfId="2830"/>
    <cellStyle name="Note 45 8" xfId="2831"/>
    <cellStyle name="Note 46" xfId="2832"/>
    <cellStyle name="Note 46 2" xfId="2833"/>
    <cellStyle name="Note 46 3" xfId="2834"/>
    <cellStyle name="Note 46 4" xfId="2835"/>
    <cellStyle name="Note 46 5" xfId="2836"/>
    <cellStyle name="Note 46 6" xfId="2837"/>
    <cellStyle name="Note 46 7" xfId="2838"/>
    <cellStyle name="Note 46 8" xfId="2839"/>
    <cellStyle name="Note 47" xfId="2840"/>
    <cellStyle name="Note 47 2" xfId="2841"/>
    <cellStyle name="Note 47 3" xfId="2842"/>
    <cellStyle name="Note 47 4" xfId="2843"/>
    <cellStyle name="Note 47 5" xfId="2844"/>
    <cellStyle name="Note 47 6" xfId="2845"/>
    <cellStyle name="Note 47 7" xfId="2846"/>
    <cellStyle name="Note 47 8" xfId="2847"/>
    <cellStyle name="Note 48" xfId="2848"/>
    <cellStyle name="Note 48 2" xfId="2849"/>
    <cellStyle name="Note 48 3" xfId="2850"/>
    <cellStyle name="Note 48 4" xfId="2851"/>
    <cellStyle name="Note 49" xfId="2852"/>
    <cellStyle name="Note 49 2" xfId="2853"/>
    <cellStyle name="Note 5" xfId="2854"/>
    <cellStyle name="Note 5 10" xfId="2855"/>
    <cellStyle name="Note 5 11" xfId="2856"/>
    <cellStyle name="Note 5 12" xfId="2857"/>
    <cellStyle name="Note 5 13" xfId="2858"/>
    <cellStyle name="Note 5 14" xfId="2859"/>
    <cellStyle name="Note 5 15" xfId="2860"/>
    <cellStyle name="Note 5 16" xfId="2861"/>
    <cellStyle name="Note 5 17" xfId="2862"/>
    <cellStyle name="Note 5 18" xfId="2863"/>
    <cellStyle name="Note 5 19" xfId="2864"/>
    <cellStyle name="Note 5 2" xfId="2865"/>
    <cellStyle name="Note 5 2 2" xfId="2866"/>
    <cellStyle name="Note 5 20" xfId="2867"/>
    <cellStyle name="Note 5 21" xfId="2868"/>
    <cellStyle name="Note 5 3" xfId="2869"/>
    <cellStyle name="Note 5 4" xfId="2870"/>
    <cellStyle name="Note 5 5" xfId="2871"/>
    <cellStyle name="Note 5 6" xfId="2872"/>
    <cellStyle name="Note 5 7" xfId="2873"/>
    <cellStyle name="Note 5 8" xfId="2874"/>
    <cellStyle name="Note 5 9" xfId="2875"/>
    <cellStyle name="Note 50" xfId="2876"/>
    <cellStyle name="Note 50 2" xfId="2877"/>
    <cellStyle name="Note 51" xfId="2878"/>
    <cellStyle name="Note 51 2" xfId="2879"/>
    <cellStyle name="Note 52" xfId="2880"/>
    <cellStyle name="Note 52 2" xfId="2881"/>
    <cellStyle name="Note 53" xfId="2882"/>
    <cellStyle name="Note 54" xfId="2883"/>
    <cellStyle name="Note 55" xfId="2884"/>
    <cellStyle name="Note 6" xfId="2885"/>
    <cellStyle name="Note 6 10" xfId="2886"/>
    <cellStyle name="Note 6 11" xfId="2887"/>
    <cellStyle name="Note 6 12" xfId="2888"/>
    <cellStyle name="Note 6 13" xfId="2889"/>
    <cellStyle name="Note 6 14" xfId="2890"/>
    <cellStyle name="Note 6 15" xfId="2891"/>
    <cellStyle name="Note 6 16" xfId="2892"/>
    <cellStyle name="Note 6 17" xfId="2893"/>
    <cellStyle name="Note 6 18" xfId="2894"/>
    <cellStyle name="Note 6 19" xfId="2895"/>
    <cellStyle name="Note 6 2" xfId="2896"/>
    <cellStyle name="Note 6 2 2" xfId="2897"/>
    <cellStyle name="Note 6 20" xfId="2898"/>
    <cellStyle name="Note 6 21" xfId="2899"/>
    <cellStyle name="Note 6 3" xfId="2900"/>
    <cellStyle name="Note 6 4" xfId="2901"/>
    <cellStyle name="Note 6 5" xfId="2902"/>
    <cellStyle name="Note 6 6" xfId="2903"/>
    <cellStyle name="Note 6 7" xfId="2904"/>
    <cellStyle name="Note 6 8" xfId="2905"/>
    <cellStyle name="Note 6 9" xfId="2906"/>
    <cellStyle name="Note 7" xfId="2907"/>
    <cellStyle name="Note 7 10" xfId="2908"/>
    <cellStyle name="Note 7 11" xfId="2909"/>
    <cellStyle name="Note 7 12" xfId="2910"/>
    <cellStyle name="Note 7 13" xfId="2911"/>
    <cellStyle name="Note 7 14" xfId="2912"/>
    <cellStyle name="Note 7 15" xfId="2913"/>
    <cellStyle name="Note 7 16" xfId="2914"/>
    <cellStyle name="Note 7 17" xfId="2915"/>
    <cellStyle name="Note 7 18" xfId="2916"/>
    <cellStyle name="Note 7 19" xfId="2917"/>
    <cellStyle name="Note 7 2" xfId="2918"/>
    <cellStyle name="Note 7 2 2" xfId="2919"/>
    <cellStyle name="Note 7 20" xfId="2920"/>
    <cellStyle name="Note 7 21" xfId="2921"/>
    <cellStyle name="Note 7 3" xfId="2922"/>
    <cellStyle name="Note 7 4" xfId="2923"/>
    <cellStyle name="Note 7 5" xfId="2924"/>
    <cellStyle name="Note 7 6" xfId="2925"/>
    <cellStyle name="Note 7 7" xfId="2926"/>
    <cellStyle name="Note 7 8" xfId="2927"/>
    <cellStyle name="Note 7 9" xfId="2928"/>
    <cellStyle name="Note 8" xfId="2929"/>
    <cellStyle name="Note 8 10" xfId="2930"/>
    <cellStyle name="Note 8 11" xfId="2931"/>
    <cellStyle name="Note 8 12" xfId="2932"/>
    <cellStyle name="Note 8 13" xfId="2933"/>
    <cellStyle name="Note 8 14" xfId="2934"/>
    <cellStyle name="Note 8 15" xfId="2935"/>
    <cellStyle name="Note 8 16" xfId="2936"/>
    <cellStyle name="Note 8 17" xfId="2937"/>
    <cellStyle name="Note 8 18" xfId="2938"/>
    <cellStyle name="Note 8 19" xfId="2939"/>
    <cellStyle name="Note 8 2" xfId="2940"/>
    <cellStyle name="Note 8 2 2" xfId="2941"/>
    <cellStyle name="Note 8 20" xfId="2942"/>
    <cellStyle name="Note 8 21" xfId="2943"/>
    <cellStyle name="Note 8 3" xfId="2944"/>
    <cellStyle name="Note 8 4" xfId="2945"/>
    <cellStyle name="Note 8 5" xfId="2946"/>
    <cellStyle name="Note 8 6" xfId="2947"/>
    <cellStyle name="Note 8 7" xfId="2948"/>
    <cellStyle name="Note 8 8" xfId="2949"/>
    <cellStyle name="Note 8 9" xfId="2950"/>
    <cellStyle name="Note 9" xfId="2951"/>
    <cellStyle name="Note 9 10" xfId="2952"/>
    <cellStyle name="Note 9 11" xfId="2953"/>
    <cellStyle name="Note 9 12" xfId="2954"/>
    <cellStyle name="Note 9 13" xfId="2955"/>
    <cellStyle name="Note 9 14" xfId="2956"/>
    <cellStyle name="Note 9 15" xfId="2957"/>
    <cellStyle name="Note 9 16" xfId="2958"/>
    <cellStyle name="Note 9 17" xfId="2959"/>
    <cellStyle name="Note 9 18" xfId="2960"/>
    <cellStyle name="Note 9 19" xfId="2961"/>
    <cellStyle name="Note 9 2" xfId="2962"/>
    <cellStyle name="Note 9 2 2" xfId="2963"/>
    <cellStyle name="Note 9 20" xfId="2964"/>
    <cellStyle name="Note 9 21" xfId="2965"/>
    <cellStyle name="Note 9 3" xfId="2966"/>
    <cellStyle name="Note 9 4" xfId="2967"/>
    <cellStyle name="Note 9 5" xfId="2968"/>
    <cellStyle name="Note 9 6" xfId="2969"/>
    <cellStyle name="Note 9 7" xfId="2970"/>
    <cellStyle name="Note 9 8" xfId="2971"/>
    <cellStyle name="Note 9 9" xfId="2972"/>
    <cellStyle name="Notiz" xfId="2973"/>
    <cellStyle name="Number" xfId="2974"/>
    <cellStyle name="Œ…‹æØ‚è [0.00]_Region Orders (2)" xfId="2975"/>
    <cellStyle name="Œ…‹æØ‚è_Region Orders (2)" xfId="2976"/>
    <cellStyle name="Output 10" xfId="2977"/>
    <cellStyle name="Output 2" xfId="2978"/>
    <cellStyle name="Output 2 2" xfId="2979"/>
    <cellStyle name="Output 2 2 2" xfId="2980"/>
    <cellStyle name="Output 2 2_Nations" xfId="2981"/>
    <cellStyle name="Output 2 3" xfId="2982"/>
    <cellStyle name="Output 2 4" xfId="2983"/>
    <cellStyle name="Output 2 5" xfId="2984"/>
    <cellStyle name="Output 2 6" xfId="2985"/>
    <cellStyle name="Output 2 7" xfId="2986"/>
    <cellStyle name="Output 2 8" xfId="2987"/>
    <cellStyle name="Output 2 9" xfId="2988"/>
    <cellStyle name="Output 3" xfId="2989"/>
    <cellStyle name="Output 3 2" xfId="2990"/>
    <cellStyle name="Output 3 3" xfId="2991"/>
    <cellStyle name="Output 3 4" xfId="2992"/>
    <cellStyle name="Output 3 5" xfId="2993"/>
    <cellStyle name="Output 3 6" xfId="2994"/>
    <cellStyle name="Output 4" xfId="2995"/>
    <cellStyle name="Output 4 2" xfId="2996"/>
    <cellStyle name="Output 4 3" xfId="2997"/>
    <cellStyle name="Output 4 4" xfId="2998"/>
    <cellStyle name="Output 4 5" xfId="2999"/>
    <cellStyle name="Output 4 6" xfId="3000"/>
    <cellStyle name="Output 5" xfId="3001"/>
    <cellStyle name="Output 5 2" xfId="3002"/>
    <cellStyle name="Output 5 3" xfId="3003"/>
    <cellStyle name="Output 5 4" xfId="3004"/>
    <cellStyle name="Output 6" xfId="3005"/>
    <cellStyle name="Output 6 2" xfId="3006"/>
    <cellStyle name="Output 6 3" xfId="3007"/>
    <cellStyle name="Output 6 4" xfId="3008"/>
    <cellStyle name="Output 7" xfId="3009"/>
    <cellStyle name="Output 8" xfId="3010"/>
    <cellStyle name="Output 9" xfId="3011"/>
    <cellStyle name="OUTPUT AMOUNTS" xfId="3012"/>
    <cellStyle name="OUTPUT COLUMN HEADINGS" xfId="3013"/>
    <cellStyle name="OUTPUT LINE ITEMS" xfId="3014"/>
    <cellStyle name="OUTPUT REPORT HEADING" xfId="3015"/>
    <cellStyle name="OUTPUT REPORT TITLE" xfId="3016"/>
    <cellStyle name="per.style" xfId="3017"/>
    <cellStyle name="Percent [0]" xfId="3018"/>
    <cellStyle name="Percent [00]" xfId="3019"/>
    <cellStyle name="Percent [2]" xfId="3020"/>
    <cellStyle name="Percent 10" xfId="3021"/>
    <cellStyle name="Percent 10 10" xfId="3022"/>
    <cellStyle name="Percent 11" xfId="3023"/>
    <cellStyle name="Percent 12" xfId="3024"/>
    <cellStyle name="Percent 13" xfId="3025"/>
    <cellStyle name="Percent 14" xfId="3026"/>
    <cellStyle name="Percent 15" xfId="3027"/>
    <cellStyle name="Percent 16" xfId="3028"/>
    <cellStyle name="Percent 16 2" xfId="3029"/>
    <cellStyle name="Percent 16 3" xfId="3030"/>
    <cellStyle name="Percent 16 4" xfId="3031"/>
    <cellStyle name="Percent 16 5" xfId="3032"/>
    <cellStyle name="Percent 16 6" xfId="3033"/>
    <cellStyle name="Percent 16 7" xfId="3034"/>
    <cellStyle name="Percent 16 8" xfId="3035"/>
    <cellStyle name="Percent 17" xfId="3036"/>
    <cellStyle name="Percent 18" xfId="3037"/>
    <cellStyle name="Percent 18 10" xfId="3038"/>
    <cellStyle name="Percent 18 11" xfId="3039"/>
    <cellStyle name="Percent 18 12" xfId="3040"/>
    <cellStyle name="Percent 18 13" xfId="3041"/>
    <cellStyle name="Percent 18 14" xfId="3042"/>
    <cellStyle name="Percent 18 15" xfId="3043"/>
    <cellStyle name="Percent 18 16" xfId="3044"/>
    <cellStyle name="Percent 18 17" xfId="3045"/>
    <cellStyle name="Percent 18 18" xfId="3046"/>
    <cellStyle name="Percent 18 19" xfId="3047"/>
    <cellStyle name="Percent 18 2" xfId="3048"/>
    <cellStyle name="Percent 18 20" xfId="3049"/>
    <cellStyle name="Percent 18 21" xfId="3050"/>
    <cellStyle name="Percent 18 3" xfId="3051"/>
    <cellStyle name="Percent 18 4" xfId="3052"/>
    <cellStyle name="Percent 18 5" xfId="3053"/>
    <cellStyle name="Percent 18 6" xfId="3054"/>
    <cellStyle name="Percent 18 7" xfId="3055"/>
    <cellStyle name="Percent 18 8" xfId="3056"/>
    <cellStyle name="Percent 18 9" xfId="3057"/>
    <cellStyle name="Percent 19" xfId="3058"/>
    <cellStyle name="Percent 2" xfId="3059"/>
    <cellStyle name="Percent 2 10" xfId="3060"/>
    <cellStyle name="Percent 2 11" xfId="3061"/>
    <cellStyle name="Percent 2 12" xfId="3062"/>
    <cellStyle name="Percent 2 13" xfId="3063"/>
    <cellStyle name="Percent 2 14" xfId="3064"/>
    <cellStyle name="Percent 2 15" xfId="3065"/>
    <cellStyle name="Percent 2 16" xfId="3066"/>
    <cellStyle name="Percent 2 17" xfId="3067"/>
    <cellStyle name="Percent 2 18" xfId="3068"/>
    <cellStyle name="Percent 2 19" xfId="3069"/>
    <cellStyle name="Percent 2 2" xfId="3070"/>
    <cellStyle name="Percent 2 2 2" xfId="3071"/>
    <cellStyle name="Percent 2 2 3" xfId="3072"/>
    <cellStyle name="Percent 2 2 4" xfId="3073"/>
    <cellStyle name="Percent 2 2_Sheet2" xfId="3074"/>
    <cellStyle name="Percent 2 20" xfId="3075"/>
    <cellStyle name="Percent 2 21" xfId="3076"/>
    <cellStyle name="Percent 2 22" xfId="3077"/>
    <cellStyle name="Percent 2 23" xfId="3078"/>
    <cellStyle name="Percent 2 24" xfId="3079"/>
    <cellStyle name="Percent 2 25" xfId="3080"/>
    <cellStyle name="Percent 2 26" xfId="3081"/>
    <cellStyle name="Percent 2 27" xfId="3082"/>
    <cellStyle name="Percent 2 28" xfId="3083"/>
    <cellStyle name="Percent 2 29" xfId="3084"/>
    <cellStyle name="Percent 2 3" xfId="3085"/>
    <cellStyle name="Percent 2 30" xfId="3086"/>
    <cellStyle name="Percent 2 31" xfId="3087"/>
    <cellStyle name="Percent 2 32" xfId="3088"/>
    <cellStyle name="Percent 2 33" xfId="3089"/>
    <cellStyle name="Percent 2 34" xfId="3090"/>
    <cellStyle name="Percent 2 35" xfId="3091"/>
    <cellStyle name="Percent 2 36" xfId="3092"/>
    <cellStyle name="Percent 2 37" xfId="3093"/>
    <cellStyle name="Percent 2 38" xfId="3094"/>
    <cellStyle name="Percent 2 39" xfId="3095"/>
    <cellStyle name="Percent 2 4" xfId="3096"/>
    <cellStyle name="Percent 2 40" xfId="3097"/>
    <cellStyle name="Percent 2 41" xfId="3098"/>
    <cellStyle name="Percent 2 5" xfId="3099"/>
    <cellStyle name="Percent 2 6" xfId="3100"/>
    <cellStyle name="Percent 2 7" xfId="3101"/>
    <cellStyle name="Percent 2 8" xfId="3102"/>
    <cellStyle name="Percent 2 9" xfId="3103"/>
    <cellStyle name="Percent 20" xfId="3104"/>
    <cellStyle name="Percent 21" xfId="3105"/>
    <cellStyle name="Percent 22" xfId="3106"/>
    <cellStyle name="Percent 23" xfId="3107"/>
    <cellStyle name="Percent 24" xfId="3108"/>
    <cellStyle name="Percent 24 10" xfId="3109"/>
    <cellStyle name="Percent 24 11" xfId="3110"/>
    <cellStyle name="Percent 24 12" xfId="3111"/>
    <cellStyle name="Percent 24 13" xfId="3112"/>
    <cellStyle name="Percent 24 14" xfId="3113"/>
    <cellStyle name="Percent 24 15" xfId="3114"/>
    <cellStyle name="Percent 24 16" xfId="3115"/>
    <cellStyle name="Percent 24 17" xfId="3116"/>
    <cellStyle name="Percent 24 18" xfId="3117"/>
    <cellStyle name="Percent 24 19" xfId="3118"/>
    <cellStyle name="Percent 24 2" xfId="3119"/>
    <cellStyle name="Percent 24 20" xfId="3120"/>
    <cellStyle name="Percent 24 21" xfId="3121"/>
    <cellStyle name="Percent 24 3" xfId="3122"/>
    <cellStyle name="Percent 24 4" xfId="3123"/>
    <cellStyle name="Percent 24 5" xfId="3124"/>
    <cellStyle name="Percent 24 6" xfId="3125"/>
    <cellStyle name="Percent 24 7" xfId="3126"/>
    <cellStyle name="Percent 24 8" xfId="3127"/>
    <cellStyle name="Percent 24 9" xfId="3128"/>
    <cellStyle name="Percent 25" xfId="3129"/>
    <cellStyle name="Percent 25 10" xfId="3130"/>
    <cellStyle name="Percent 25 11" xfId="3131"/>
    <cellStyle name="Percent 25 12" xfId="3132"/>
    <cellStyle name="Percent 25 13" xfId="3133"/>
    <cellStyle name="Percent 25 14" xfId="3134"/>
    <cellStyle name="Percent 25 15" xfId="3135"/>
    <cellStyle name="Percent 25 16" xfId="3136"/>
    <cellStyle name="Percent 25 17" xfId="3137"/>
    <cellStyle name="Percent 25 18" xfId="3138"/>
    <cellStyle name="Percent 25 19" xfId="3139"/>
    <cellStyle name="Percent 25 2" xfId="3140"/>
    <cellStyle name="Percent 25 20" xfId="3141"/>
    <cellStyle name="Percent 25 21" xfId="3142"/>
    <cellStyle name="Percent 25 3" xfId="3143"/>
    <cellStyle name="Percent 25 4" xfId="3144"/>
    <cellStyle name="Percent 25 5" xfId="3145"/>
    <cellStyle name="Percent 25 6" xfId="3146"/>
    <cellStyle name="Percent 25 7" xfId="3147"/>
    <cellStyle name="Percent 25 8" xfId="3148"/>
    <cellStyle name="Percent 25 9" xfId="3149"/>
    <cellStyle name="Percent 26" xfId="3150"/>
    <cellStyle name="Percent 26 10" xfId="3151"/>
    <cellStyle name="Percent 26 11" xfId="3152"/>
    <cellStyle name="Percent 26 12" xfId="3153"/>
    <cellStyle name="Percent 26 13" xfId="3154"/>
    <cellStyle name="Percent 26 14" xfId="3155"/>
    <cellStyle name="Percent 26 15" xfId="3156"/>
    <cellStyle name="Percent 26 16" xfId="3157"/>
    <cellStyle name="Percent 26 17" xfId="3158"/>
    <cellStyle name="Percent 26 18" xfId="3159"/>
    <cellStyle name="Percent 26 19" xfId="3160"/>
    <cellStyle name="Percent 26 2" xfId="3161"/>
    <cellStyle name="Percent 26 20" xfId="3162"/>
    <cellStyle name="Percent 26 21" xfId="3163"/>
    <cellStyle name="Percent 26 3" xfId="3164"/>
    <cellStyle name="Percent 26 4" xfId="3165"/>
    <cellStyle name="Percent 26 5" xfId="3166"/>
    <cellStyle name="Percent 26 6" xfId="3167"/>
    <cellStyle name="Percent 26 7" xfId="3168"/>
    <cellStyle name="Percent 26 8" xfId="3169"/>
    <cellStyle name="Percent 26 9" xfId="3170"/>
    <cellStyle name="Percent 27" xfId="3171"/>
    <cellStyle name="Percent 27 10" xfId="3172"/>
    <cellStyle name="Percent 27 11" xfId="3173"/>
    <cellStyle name="Percent 27 12" xfId="3174"/>
    <cellStyle name="Percent 27 13" xfId="3175"/>
    <cellStyle name="Percent 27 14" xfId="3176"/>
    <cellStyle name="Percent 27 15" xfId="3177"/>
    <cellStyle name="Percent 27 16" xfId="3178"/>
    <cellStyle name="Percent 27 17" xfId="3179"/>
    <cellStyle name="Percent 27 18" xfId="3180"/>
    <cellStyle name="Percent 27 19" xfId="3181"/>
    <cellStyle name="Percent 27 2" xfId="3182"/>
    <cellStyle name="Percent 27 20" xfId="3183"/>
    <cellStyle name="Percent 27 21" xfId="3184"/>
    <cellStyle name="Percent 27 3" xfId="3185"/>
    <cellStyle name="Percent 27 4" xfId="3186"/>
    <cellStyle name="Percent 27 5" xfId="3187"/>
    <cellStyle name="Percent 27 6" xfId="3188"/>
    <cellStyle name="Percent 27 7" xfId="3189"/>
    <cellStyle name="Percent 27 8" xfId="3190"/>
    <cellStyle name="Percent 27 9" xfId="3191"/>
    <cellStyle name="Percent 28" xfId="3192"/>
    <cellStyle name="Percent 28 10" xfId="3193"/>
    <cellStyle name="Percent 28 11" xfId="3194"/>
    <cellStyle name="Percent 28 12" xfId="3195"/>
    <cellStyle name="Percent 28 13" xfId="3196"/>
    <cellStyle name="Percent 28 14" xfId="3197"/>
    <cellStyle name="Percent 28 15" xfId="3198"/>
    <cellStyle name="Percent 28 16" xfId="3199"/>
    <cellStyle name="Percent 28 17" xfId="3200"/>
    <cellStyle name="Percent 28 18" xfId="3201"/>
    <cellStyle name="Percent 28 19" xfId="3202"/>
    <cellStyle name="Percent 28 2" xfId="3203"/>
    <cellStyle name="Percent 28 20" xfId="3204"/>
    <cellStyle name="Percent 28 21" xfId="3205"/>
    <cellStyle name="Percent 28 3" xfId="3206"/>
    <cellStyle name="Percent 28 4" xfId="3207"/>
    <cellStyle name="Percent 28 5" xfId="3208"/>
    <cellStyle name="Percent 28 6" xfId="3209"/>
    <cellStyle name="Percent 28 7" xfId="3210"/>
    <cellStyle name="Percent 28 8" xfId="3211"/>
    <cellStyle name="Percent 28 9" xfId="3212"/>
    <cellStyle name="Percent 29" xfId="3213"/>
    <cellStyle name="Percent 3" xfId="3214"/>
    <cellStyle name="Percent 30" xfId="3215"/>
    <cellStyle name="Percent 30 10" xfId="3216"/>
    <cellStyle name="Percent 30 11" xfId="3217"/>
    <cellStyle name="Percent 30 12" xfId="3218"/>
    <cellStyle name="Percent 30 13" xfId="3219"/>
    <cellStyle name="Percent 30 14" xfId="3220"/>
    <cellStyle name="Percent 30 15" xfId="3221"/>
    <cellStyle name="Percent 30 16" xfId="3222"/>
    <cellStyle name="Percent 30 17" xfId="3223"/>
    <cellStyle name="Percent 30 18" xfId="3224"/>
    <cellStyle name="Percent 30 19" xfId="3225"/>
    <cellStyle name="Percent 30 2" xfId="3226"/>
    <cellStyle name="Percent 30 20" xfId="3227"/>
    <cellStyle name="Percent 30 21" xfId="3228"/>
    <cellStyle name="Percent 30 3" xfId="3229"/>
    <cellStyle name="Percent 30 4" xfId="3230"/>
    <cellStyle name="Percent 30 5" xfId="3231"/>
    <cellStyle name="Percent 30 6" xfId="3232"/>
    <cellStyle name="Percent 30 7" xfId="3233"/>
    <cellStyle name="Percent 30 8" xfId="3234"/>
    <cellStyle name="Percent 30 9" xfId="3235"/>
    <cellStyle name="Percent 31" xfId="3236"/>
    <cellStyle name="Percent 32" xfId="3237"/>
    <cellStyle name="Percent 33" xfId="3238"/>
    <cellStyle name="Percent 34" xfId="3239"/>
    <cellStyle name="Percent 35" xfId="3240"/>
    <cellStyle name="Percent 36" xfId="3241"/>
    <cellStyle name="Percent 37" xfId="3242"/>
    <cellStyle name="Percent 38" xfId="3243"/>
    <cellStyle name="Percent 39" xfId="3244"/>
    <cellStyle name="Percent 4" xfId="3245"/>
    <cellStyle name="Percent 4 2" xfId="3246"/>
    <cellStyle name="Percent 4 3" xfId="3247"/>
    <cellStyle name="Percent 4 4" xfId="3248"/>
    <cellStyle name="Percent 40" xfId="3249"/>
    <cellStyle name="Percent 41" xfId="3250"/>
    <cellStyle name="Percent 42" xfId="3251"/>
    <cellStyle name="Percent 43" xfId="3252"/>
    <cellStyle name="Percent 44" xfId="3253"/>
    <cellStyle name="Percent 45" xfId="3254"/>
    <cellStyle name="Percent 46" xfId="3255"/>
    <cellStyle name="Percent 47" xfId="3256"/>
    <cellStyle name="Percent 48" xfId="3257"/>
    <cellStyle name="Percent 49" xfId="3258"/>
    <cellStyle name="Percent 5" xfId="3259"/>
    <cellStyle name="Percent 5 10" xfId="3260"/>
    <cellStyle name="Percent 5 2" xfId="3261"/>
    <cellStyle name="Percent 5 3" xfId="3262"/>
    <cellStyle name="Percent 5 4" xfId="3263"/>
    <cellStyle name="Percent 5 5" xfId="3264"/>
    <cellStyle name="Percent 5 6" xfId="3265"/>
    <cellStyle name="Percent 5 7" xfId="3266"/>
    <cellStyle name="Percent 5 8" xfId="3267"/>
    <cellStyle name="Percent 5 9" xfId="3268"/>
    <cellStyle name="Percent 50" xfId="3269"/>
    <cellStyle name="Percent 50 10" xfId="3270"/>
    <cellStyle name="Percent 50 11" xfId="3271"/>
    <cellStyle name="Percent 50 12" xfId="3272"/>
    <cellStyle name="Percent 50 13" xfId="3273"/>
    <cellStyle name="Percent 50 2" xfId="3274"/>
    <cellStyle name="Percent 50 3" xfId="3275"/>
    <cellStyle name="Percent 50 4" xfId="3276"/>
    <cellStyle name="Percent 50 5" xfId="3277"/>
    <cellStyle name="Percent 50 6" xfId="3278"/>
    <cellStyle name="Percent 50 7" xfId="3279"/>
    <cellStyle name="Percent 50 8" xfId="3280"/>
    <cellStyle name="Percent 50 9" xfId="3281"/>
    <cellStyle name="Percent 51" xfId="3282"/>
    <cellStyle name="Percent 52" xfId="3283"/>
    <cellStyle name="Percent 52 10" xfId="3284"/>
    <cellStyle name="Percent 52 11" xfId="3285"/>
    <cellStyle name="Percent 52 12" xfId="3286"/>
    <cellStyle name="Percent 52 13" xfId="3287"/>
    <cellStyle name="Percent 52 2" xfId="3288"/>
    <cellStyle name="Percent 52 3" xfId="3289"/>
    <cellStyle name="Percent 52 4" xfId="3290"/>
    <cellStyle name="Percent 52 5" xfId="3291"/>
    <cellStyle name="Percent 52 6" xfId="3292"/>
    <cellStyle name="Percent 52 7" xfId="3293"/>
    <cellStyle name="Percent 52 8" xfId="3294"/>
    <cellStyle name="Percent 52 9" xfId="3295"/>
    <cellStyle name="Percent 53" xfId="3296"/>
    <cellStyle name="Percent 54" xfId="3297"/>
    <cellStyle name="Percent 55" xfId="2"/>
    <cellStyle name="Percent 56" xfId="3298"/>
    <cellStyle name="Percent 57" xfId="3299"/>
    <cellStyle name="Percent 58" xfId="3300"/>
    <cellStyle name="Percent 6" xfId="3301"/>
    <cellStyle name="Percent 7" xfId="3302"/>
    <cellStyle name="Percent 7 2" xfId="3303"/>
    <cellStyle name="Percent 7 3" xfId="3304"/>
    <cellStyle name="Percent 7 4" xfId="3305"/>
    <cellStyle name="Percent 7 5" xfId="3306"/>
    <cellStyle name="Percent 7 6" xfId="3307"/>
    <cellStyle name="Percent 7 7" xfId="3308"/>
    <cellStyle name="Percent 7 8" xfId="3309"/>
    <cellStyle name="Percent 8" xfId="3310"/>
    <cellStyle name="Percent 8 2" xfId="3311"/>
    <cellStyle name="Percent 8 3" xfId="3312"/>
    <cellStyle name="Percent 8 4" xfId="3313"/>
    <cellStyle name="Percent 8 5" xfId="3314"/>
    <cellStyle name="Percent 8 6" xfId="3315"/>
    <cellStyle name="Percent 8 7" xfId="3316"/>
    <cellStyle name="Percent 8 8" xfId="3317"/>
    <cellStyle name="Percent 9" xfId="3318"/>
    <cellStyle name="PrePop Currency (0)" xfId="3319"/>
    <cellStyle name="PrePop Currency (2)" xfId="3320"/>
    <cellStyle name="PrePop Units (0)" xfId="3321"/>
    <cellStyle name="PrePop Units (1)" xfId="3322"/>
    <cellStyle name="PrePop Units (2)" xfId="3323"/>
    <cellStyle name="pricing" xfId="3324"/>
    <cellStyle name="PSChar" xfId="3325"/>
    <cellStyle name="PSDate" xfId="3326"/>
    <cellStyle name="PSDec" xfId="3327"/>
    <cellStyle name="PSHeading" xfId="3328"/>
    <cellStyle name="PSInt" xfId="3329"/>
    <cellStyle name="PSSpacer" xfId="3330"/>
    <cellStyle name="regstoresfromspecstores" xfId="3331"/>
    <cellStyle name="ReportTitlePrompt" xfId="3332"/>
    <cellStyle name="ReportTitleValue" xfId="3333"/>
    <cellStyle name="RevList" xfId="3334"/>
    <cellStyle name="Row Lvl 2" xfId="3335"/>
    <cellStyle name="RowAcctAbovePrompt" xfId="3336"/>
    <cellStyle name="RowAcctSOBAbovePrompt" xfId="3337"/>
    <cellStyle name="RowAcctSOBValue" xfId="3338"/>
    <cellStyle name="RowAcctValue" xfId="3339"/>
    <cellStyle name="RowAttrAbovePrompt" xfId="3340"/>
    <cellStyle name="RowAttrValue" xfId="3341"/>
    <cellStyle name="RowColSetAbovePrompt" xfId="3342"/>
    <cellStyle name="RowColSetLeftPrompt" xfId="3343"/>
    <cellStyle name="RowColSetValue" xfId="3344"/>
    <cellStyle name="RowLeftPrompt" xfId="3345"/>
    <cellStyle name="SampleUsingFormatMask" xfId="3346"/>
    <cellStyle name="SampleWithNoFormatMask" xfId="3347"/>
    <cellStyle name="SAPBEXstdItem" xfId="3348"/>
    <cellStyle name="Schlecht" xfId="3349"/>
    <cellStyle name="SHADEDSTORES" xfId="3350"/>
    <cellStyle name="Sheet Title" xfId="3351"/>
    <cellStyle name="SMS Date" xfId="3352"/>
    <cellStyle name="SMS Label" xfId="3353"/>
    <cellStyle name="SMS Standard" xfId="3354"/>
    <cellStyle name="specstores" xfId="3355"/>
    <cellStyle name="Standard_KREDFIPL" xfId="3356"/>
    <cellStyle name="Style 1" xfId="3357"/>
    <cellStyle name="STYLE1" xfId="3358"/>
    <cellStyle name="Subtotal" xfId="3359"/>
    <cellStyle name="Testo avviso" xfId="3360"/>
    <cellStyle name="Testo descrittivo" xfId="3361"/>
    <cellStyle name="Text" xfId="3362"/>
    <cellStyle name="Text Indent A" xfId="3363"/>
    <cellStyle name="Text Indent B" xfId="3364"/>
    <cellStyle name="Title 2" xfId="3365"/>
    <cellStyle name="Title 3" xfId="3366"/>
    <cellStyle name="Title 3 10" xfId="3367"/>
    <cellStyle name="Title 3 11" xfId="3368"/>
    <cellStyle name="Title 3 12" xfId="3369"/>
    <cellStyle name="Title 3 13" xfId="3370"/>
    <cellStyle name="Title 3 2" xfId="3371"/>
    <cellStyle name="Title 3 3" xfId="3372"/>
    <cellStyle name="Title 3 4" xfId="3373"/>
    <cellStyle name="Title 3 5" xfId="3374"/>
    <cellStyle name="Title 3 6" xfId="3375"/>
    <cellStyle name="Title 3 7" xfId="3376"/>
    <cellStyle name="Title 3 8" xfId="3377"/>
    <cellStyle name="Title 3 9" xfId="3378"/>
    <cellStyle name="Title 4" xfId="3379"/>
    <cellStyle name="Title 4 10" xfId="3380"/>
    <cellStyle name="Title 4 11" xfId="3381"/>
    <cellStyle name="Title 4 12" xfId="3382"/>
    <cellStyle name="Title 4 13" xfId="3383"/>
    <cellStyle name="Title 4 2" xfId="3384"/>
    <cellStyle name="Title 4 3" xfId="3385"/>
    <cellStyle name="Title 4 4" xfId="3386"/>
    <cellStyle name="Title 4 5" xfId="3387"/>
    <cellStyle name="Title 4 6" xfId="3388"/>
    <cellStyle name="Title 4 7" xfId="3389"/>
    <cellStyle name="Title 4 8" xfId="3390"/>
    <cellStyle name="Title 4 9" xfId="3391"/>
    <cellStyle name="Title 5" xfId="3392"/>
    <cellStyle name="Title Left" xfId="3393"/>
    <cellStyle name="Title Right" xfId="3394"/>
    <cellStyle name="Titolo" xfId="3395"/>
    <cellStyle name="Titolo 1" xfId="3396"/>
    <cellStyle name="Titolo 2" xfId="3397"/>
    <cellStyle name="Titolo 3" xfId="3398"/>
    <cellStyle name="Titolo 4" xfId="3399"/>
    <cellStyle name="Total 2" xfId="3400"/>
    <cellStyle name="Total 2 2" xfId="3401"/>
    <cellStyle name="Total 2 2 2" xfId="3402"/>
    <cellStyle name="Total 2 2_Nations" xfId="3403"/>
    <cellStyle name="Total 2 3" xfId="3404"/>
    <cellStyle name="Total 2 4" xfId="3405"/>
    <cellStyle name="Total 2 5" xfId="3406"/>
    <cellStyle name="Total 2 6" xfId="3407"/>
    <cellStyle name="Total 2 7" xfId="3408"/>
    <cellStyle name="Total 2 8" xfId="3409"/>
    <cellStyle name="Total 2 9" xfId="3410"/>
    <cellStyle name="Total 3" xfId="3411"/>
    <cellStyle name="Total 3 2" xfId="3412"/>
    <cellStyle name="Total 3 3" xfId="3413"/>
    <cellStyle name="Total 3 4" xfId="3414"/>
    <cellStyle name="Total 3 5" xfId="3415"/>
    <cellStyle name="Total 3 6" xfId="3416"/>
    <cellStyle name="Total 4" xfId="3417"/>
    <cellStyle name="Total 4 2" xfId="3418"/>
    <cellStyle name="Total 4 3" xfId="3419"/>
    <cellStyle name="Total 4 4" xfId="3420"/>
    <cellStyle name="Total 4 5" xfId="3421"/>
    <cellStyle name="Total 4 6" xfId="3422"/>
    <cellStyle name="Total 5" xfId="3423"/>
    <cellStyle name="Total 5 2" xfId="3424"/>
    <cellStyle name="Total 5 3" xfId="3425"/>
    <cellStyle name="Total 5 4" xfId="3426"/>
    <cellStyle name="Total 6" xfId="3427"/>
    <cellStyle name="Total 6 2" xfId="3428"/>
    <cellStyle name="Total 6 3" xfId="3429"/>
    <cellStyle name="Total 6 4" xfId="3430"/>
    <cellStyle name="Total 7" xfId="3431"/>
    <cellStyle name="Total 8" xfId="3432"/>
    <cellStyle name="Total 9" xfId="3433"/>
    <cellStyle name="Totale" xfId="3434"/>
    <cellStyle name="Überschrift" xfId="3435"/>
    <cellStyle name="Überschrift 1" xfId="3436"/>
    <cellStyle name="Überschrift 2" xfId="3437"/>
    <cellStyle name="Überschrift 3" xfId="3438"/>
    <cellStyle name="Überschrift 4" xfId="3439"/>
    <cellStyle name="UploadThisRowValue" xfId="3440"/>
    <cellStyle name="Valore non valido" xfId="3441"/>
    <cellStyle name="Valore valido" xfId="3442"/>
    <cellStyle name="Verknüpfte Zelle" xfId="3443"/>
    <cellStyle name="Währung [0]_CAR" xfId="3444"/>
    <cellStyle name="Währung_CAR" xfId="3445"/>
    <cellStyle name="Warnender Text" xfId="3446"/>
    <cellStyle name="Warning Text 2" xfId="3447"/>
    <cellStyle name="Warning Text 2 2" xfId="3448"/>
    <cellStyle name="Warning Text 2 3" xfId="3449"/>
    <cellStyle name="Warning Text 2 4" xfId="3450"/>
    <cellStyle name="Warning Text 2 5" xfId="3451"/>
    <cellStyle name="Warning Text 2 6" xfId="3452"/>
    <cellStyle name="Warning Text 3" xfId="3453"/>
    <cellStyle name="Warning Text 3 2" xfId="3454"/>
    <cellStyle name="Warning Text 3 3" xfId="3455"/>
    <cellStyle name="Warning Text 3 4" xfId="3456"/>
    <cellStyle name="Warning Text 3 5" xfId="3457"/>
    <cellStyle name="Warning Text 3 6" xfId="3458"/>
    <cellStyle name="Warning Text 4" xfId="3459"/>
    <cellStyle name="Warning Text 4 2" xfId="3460"/>
    <cellStyle name="Warning Text 4 3" xfId="3461"/>
    <cellStyle name="Warning Text 4 4" xfId="3462"/>
    <cellStyle name="Warning Text 4 5" xfId="3463"/>
    <cellStyle name="Warning Text 4 6" xfId="3464"/>
    <cellStyle name="Warning Text 5" xfId="3465"/>
    <cellStyle name="Warning Text 5 2" xfId="3466"/>
    <cellStyle name="Warning Text 5 3" xfId="3467"/>
    <cellStyle name="Warning Text 5 4" xfId="3468"/>
    <cellStyle name="Warning Text 6" xfId="3469"/>
    <cellStyle name="Warning Text 6 2" xfId="3470"/>
    <cellStyle name="Warning Text 6 3" xfId="3471"/>
    <cellStyle name="Warning Text 6 4" xfId="3472"/>
    <cellStyle name="Warning Text 7" xfId="3473"/>
    <cellStyle name="Warning Text 8" xfId="3474"/>
    <cellStyle name="Warning Text 9" xfId="3475"/>
    <cellStyle name="Zelle überprüfen" xfId="3476"/>
    <cellStyle name="zERO" xfId="3477"/>
    <cellStyle name="Обычный_blank" xfId="34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2314575</xdr:colOff>
      <xdr:row>2</xdr:row>
      <xdr:rowOff>154793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4575" cy="3548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TI%2020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udit\YE\BO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obduliob\Application%20Data\Microsoft\Excel\Forecast%20ORC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udit\YE\CurBOTI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mental Table (New)"/>
      <sheetName val="WP - CF"/>
      <sheetName val="WP - TB"/>
      <sheetName val="Play Area"/>
      <sheetName val="Segmental Tables"/>
      <sheetName val="Review"/>
      <sheetName val="Pro forma Income Statement"/>
      <sheetName val="Consol Inc (New format)"/>
      <sheetName val="Consol BS"/>
      <sheetName val="Consol Equity"/>
      <sheetName val="Consol CF"/>
      <sheetName val="3. Segment information"/>
      <sheetName val="4. Other operating expenses"/>
      <sheetName val="5. Retroactive taxes"/>
      <sheetName val="6. Tax"/>
      <sheetName val="7. Discontinued operations"/>
      <sheetName val="WP - CF (Discops)"/>
      <sheetName val="8. Earnings per share ('EPS')"/>
      <sheetName val="9. Intangible assets"/>
      <sheetName val="10. Trade and other receivables"/>
      <sheetName val="11. Trade and other payables"/>
      <sheetName val="12. Client liability"/>
      <sheetName val="13. Provisions"/>
      <sheetName val="14. Loans and borrowings"/>
      <sheetName val="15. Deferred tax"/>
      <sheetName val="16. Share capital"/>
      <sheetName val="BP - Loans"/>
      <sheetName val="BP - NPA"/>
      <sheetName val="BP - Deferred consideration"/>
      <sheetName val="BP - Share movements"/>
      <sheetName val="BP - Share movements (Trust)"/>
      <sheetName val="BP - Provisions"/>
      <sheetName val="BP - Investments"/>
      <sheetName val="WP - Provision Disc"/>
      <sheetName val="WP - Short-term investments"/>
      <sheetName val="WP - KPIs"/>
      <sheetName val="WP - FX Rates"/>
      <sheetName val="ORC - PL &amp; BS"/>
      <sheetName val="ORC - Cashflow FX"/>
      <sheetName val="ORC - Provisions"/>
      <sheetName val="ORC - Chargebacks"/>
      <sheetName val="ORC - Equity"/>
      <sheetName val="ORC - Own Shares"/>
      <sheetName val="ORC - Deferred tax"/>
      <sheetName val="ORC - Other revenue"/>
      <sheetName val="ORC - Cost of sales"/>
      <sheetName val="ORC - Revenue by country"/>
      <sheetName val="ORC - Net Revenue by country"/>
      <sheetName val="ORC - Revenue (Bwin Q111)"/>
      <sheetName val="ORC - Investments"/>
      <sheetName val="ORC - Asset Clearing"/>
      <sheetName val="ORC - Other asset additions"/>
      <sheetName val="ORC - GST Provision"/>
      <sheetName val="BS Date"/>
      <sheetName val="Last uploa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ies outstanding"/>
      <sheetName val="Control"/>
      <sheetName val="Words"/>
      <sheetName val="Review"/>
      <sheetName val="Consol Inc"/>
      <sheetName val="Consol BS"/>
      <sheetName val="Reserves"/>
      <sheetName val="Consol CF"/>
      <sheetName val="Segmental"/>
      <sheetName val="Other Op Exps"/>
      <sheetName val="Options"/>
      <sheetName val="Profit"/>
      <sheetName val="Staff"/>
      <sheetName val="Interest"/>
      <sheetName val="Tax"/>
      <sheetName val="Discontinued"/>
      <sheetName val="EPS"/>
      <sheetName val="Intangibles"/>
      <sheetName val="Impairment"/>
      <sheetName val="PPE"/>
      <sheetName val="Commitments"/>
      <sheetName val="AFS Investment"/>
      <sheetName val="Assets for sale"/>
      <sheetName val="Trade rec"/>
      <sheetName val="STI"/>
      <sheetName val="Cash"/>
      <sheetName val="Trade pay"/>
      <sheetName val="Client liab"/>
      <sheetName val="Loans"/>
      <sheetName val="Def tax"/>
      <sheetName val="Op leases"/>
      <sheetName val="Contingent"/>
      <sheetName val="Share capital"/>
      <sheetName val="Risk1"/>
      <sheetName val="Risk2"/>
      <sheetName val="Related"/>
      <sheetName val="Share options"/>
      <sheetName val="Investments"/>
      <sheetName val="Acquisitions"/>
      <sheetName val="PBSE"/>
      <sheetName val="Divs"/>
      <sheetName val="Company"/>
      <sheetName val="BP - Merger Costs"/>
      <sheetName val="BP - Goodwill and Acq Int"/>
      <sheetName val="BP - NPA"/>
      <sheetName val="BP - Deferred consideration"/>
      <sheetName val="BP - Loans and Borrowings"/>
      <sheetName val="BP - Deferred tax"/>
      <sheetName val="WP - KPIs"/>
      <sheetName val="WP - TB"/>
      <sheetName val="WP - PL and BS"/>
      <sheetName val="WP - CF"/>
      <sheetName val="WP - CF Opening FX"/>
      <sheetName val="WP - Deferred payments"/>
      <sheetName val="WP - Segmental"/>
      <sheetName val="WP - Seg PG"/>
      <sheetName val="WP - Seg PG Marketing"/>
      <sheetName val="WP - Seg Cashcade"/>
      <sheetName val="WP - Seg WPT"/>
      <sheetName val="WP - Geog Inc"/>
      <sheetName val="WP - Geog NCA"/>
      <sheetName val="WP - Share option cost"/>
      <sheetName val="WP - Dirs and Key Management"/>
      <sheetName val="WP - Prod Dev"/>
      <sheetName val="WP - BDO UK"/>
      <sheetName val="WP - Staff"/>
      <sheetName val="WP - Shares"/>
      <sheetName val="WP - Dilutive"/>
      <sheetName val="WP - NCA"/>
      <sheetName val="WP - NCA 2010"/>
      <sheetName val="WP - PPE Depn"/>
      <sheetName val="WP - PPE Movements"/>
      <sheetName val="WP - Cap Comms"/>
      <sheetName val="WP - Assets Held For Sale"/>
      <sheetName val="WP - Provisions"/>
      <sheetName val="WP - Trade Creditor Days"/>
      <sheetName val="WP - Op Leases"/>
      <sheetName val="WP - Credit Risk PSPs"/>
      <sheetName val="WP - PSP Impairments"/>
      <sheetName val="WP - Risk Credit and interest"/>
      <sheetName val="WP - Risk Currency"/>
      <sheetName val="WP - RPT"/>
      <sheetName val="WP - Share Plans"/>
      <sheetName val="WP - Av days"/>
      <sheetName val="WP - Exercisable"/>
      <sheetName val="WP - Av Exercise Price"/>
      <sheetName val="WP - Investments"/>
      <sheetName val="WP - plc TB"/>
      <sheetName val="WP - plc PL and BS"/>
      <sheetName val="WP - plc CF"/>
      <sheetName val="WP - plc CF Opening FX"/>
      <sheetName val="WP - plc Ico Opening FX"/>
      <sheetName val="WP - plc Ico"/>
      <sheetName val="WP - Ico costs"/>
      <sheetName val="WP - FX Rates"/>
      <sheetName val="WP - FX Not Posted"/>
      <sheetName val="WP - Other revenue"/>
      <sheetName val="Play - ORC"/>
      <sheetName val="Play - Options"/>
      <sheetName val="Play - Option Charg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 xml:space="preserve">Review of 2011 </v>
          </cell>
        </row>
      </sheetData>
      <sheetData sheetId="4" refreshError="1">
        <row r="1">
          <cell r="A1" t="str">
            <v xml:space="preserve">Consolidated statement of comprehensive income </v>
          </cell>
        </row>
      </sheetData>
      <sheetData sheetId="5" refreshError="1">
        <row r="1">
          <cell r="A1" t="str">
            <v>Condensed statement of financial position</v>
          </cell>
        </row>
      </sheetData>
      <sheetData sheetId="6" refreshError="1">
        <row r="1">
          <cell r="A1" t="str">
            <v>Consolidated statement of changes in equity</v>
          </cell>
        </row>
      </sheetData>
      <sheetData sheetId="7" refreshError="1"/>
      <sheetData sheetId="8" refreshError="1">
        <row r="1">
          <cell r="A1" t="str">
            <v>2. Segment information</v>
          </cell>
        </row>
      </sheetData>
      <sheetData sheetId="9" refreshError="1">
        <row r="1">
          <cell r="A1" t="str">
            <v>3. Other operating expenses</v>
          </cell>
        </row>
      </sheetData>
      <sheetData sheetId="10" refreshError="1">
        <row r="1">
          <cell r="A1" t="str">
            <v>4. Share-based payments</v>
          </cell>
        </row>
      </sheetData>
      <sheetData sheetId="11" refreshError="1">
        <row r="1">
          <cell r="A1" t="str">
            <v>5. Profit from operating activities</v>
          </cell>
        </row>
      </sheetData>
      <sheetData sheetId="12" refreshError="1">
        <row r="1">
          <cell r="A1" t="str">
            <v>6. Staff costs</v>
          </cell>
        </row>
      </sheetData>
      <sheetData sheetId="13" refreshError="1">
        <row r="1">
          <cell r="A1" t="str">
            <v>7. Finance income and expense</v>
          </cell>
        </row>
      </sheetData>
      <sheetData sheetId="14" refreshError="1">
        <row r="1">
          <cell r="A1" t="str">
            <v>8. Tax</v>
          </cell>
        </row>
      </sheetData>
      <sheetData sheetId="15" refreshError="1">
        <row r="1">
          <cell r="A1" t="str">
            <v>9. Discontinued operations</v>
          </cell>
        </row>
      </sheetData>
      <sheetData sheetId="16" refreshError="1">
        <row r="1">
          <cell r="A1" t="str">
            <v>10. Earnings per share ('EPS')</v>
          </cell>
        </row>
      </sheetData>
      <sheetData sheetId="17" refreshError="1">
        <row r="1">
          <cell r="A1" t="str">
            <v>11. Intangible assets</v>
          </cell>
        </row>
      </sheetData>
      <sheetData sheetId="18" refreshError="1"/>
      <sheetData sheetId="19" refreshError="1">
        <row r="1">
          <cell r="A1" t="str">
            <v>12. Property, plant and equipment</v>
          </cell>
        </row>
      </sheetData>
      <sheetData sheetId="20" refreshError="1">
        <row r="1">
          <cell r="A1" t="str">
            <v>13. Commitments for capital expenditure</v>
          </cell>
        </row>
      </sheetData>
      <sheetData sheetId="21" refreshError="1">
        <row r="1">
          <cell r="A1" t="str">
            <v>14. Investments</v>
          </cell>
        </row>
      </sheetData>
      <sheetData sheetId="22" refreshError="1">
        <row r="1">
          <cell r="A1" t="str">
            <v>15. Assets held for sale</v>
          </cell>
        </row>
      </sheetData>
      <sheetData sheetId="23" refreshError="1">
        <row r="1">
          <cell r="A1" t="str">
            <v>16. Trade and other receivables</v>
          </cell>
        </row>
      </sheetData>
      <sheetData sheetId="24" refreshError="1">
        <row r="1">
          <cell r="A1" t="str">
            <v>17. Short-term investments</v>
          </cell>
        </row>
      </sheetData>
      <sheetData sheetId="25" refreshError="1">
        <row r="1">
          <cell r="A1" t="str">
            <v>18. Cash and cash equivalents</v>
          </cell>
        </row>
      </sheetData>
      <sheetData sheetId="26" refreshError="1">
        <row r="1">
          <cell r="A1" t="str">
            <v>19. Trade and other payables</v>
          </cell>
        </row>
      </sheetData>
      <sheetData sheetId="27" refreshError="1">
        <row r="1">
          <cell r="A1" t="str">
            <v>20. Client liabilities and progressive prize pools</v>
          </cell>
        </row>
      </sheetData>
      <sheetData sheetId="28" refreshError="1">
        <row r="1">
          <cell r="A1" t="str">
            <v>21. Loans and borrowings</v>
          </cell>
        </row>
      </sheetData>
      <sheetData sheetId="29" refreshError="1">
        <row r="1">
          <cell r="A1" t="str">
            <v>22. Deferred tax</v>
          </cell>
        </row>
      </sheetData>
      <sheetData sheetId="30" refreshError="1">
        <row r="1">
          <cell r="A1" t="str">
            <v>23. Operating lease commitments</v>
          </cell>
        </row>
      </sheetData>
      <sheetData sheetId="31" refreshError="1">
        <row r="1">
          <cell r="A1" t="str">
            <v>24. Contingent liabilities</v>
          </cell>
        </row>
      </sheetData>
      <sheetData sheetId="32" refreshError="1">
        <row r="1">
          <cell r="A1" t="str">
            <v>25. Share capital</v>
          </cell>
        </row>
      </sheetData>
      <sheetData sheetId="33" refreshError="1">
        <row r="1">
          <cell r="A1" t="str">
            <v>26. Financial instruments and risk management</v>
          </cell>
        </row>
      </sheetData>
      <sheetData sheetId="34" refreshError="1"/>
      <sheetData sheetId="35" refreshError="1">
        <row r="1">
          <cell r="A1" t="str">
            <v>27. Related parties</v>
          </cell>
        </row>
      </sheetData>
      <sheetData sheetId="36" refreshError="1">
        <row r="1">
          <cell r="A1" t="str">
            <v>28. Share options</v>
          </cell>
        </row>
      </sheetData>
      <sheetData sheetId="37" refreshError="1">
        <row r="1">
          <cell r="A1" t="str">
            <v>29. Investments in subsidiaries</v>
          </cell>
        </row>
      </sheetData>
      <sheetData sheetId="38" refreshError="1">
        <row r="1">
          <cell r="A1" t="str">
            <v>30. Acquisitions made during the prior year</v>
          </cell>
        </row>
      </sheetData>
      <sheetData sheetId="39" refreshError="1"/>
      <sheetData sheetId="40" refreshError="1"/>
      <sheetData sheetId="41" refreshError="1">
        <row r="1">
          <cell r="A1" t="str">
            <v>Company statement of financial position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ive Summary"/>
      <sheetName val="Forecast Monthly"/>
      <sheetName val="Sheet2"/>
      <sheetName val="Cashflow Summary"/>
      <sheetName val="Balance Sheet Summary"/>
      <sheetName val="Cashflow"/>
      <sheetName val="Balance sheet"/>
      <sheetName val="Forecast Variances"/>
      <sheetName val="Brandwise Variances"/>
      <sheetName val="Brandwise Annual Forecast"/>
      <sheetName val="Forecast 2010 (USD)"/>
      <sheetName val="BUDGET 2010"/>
      <sheetName val="Forecast 2010 (EUR)"/>
      <sheetName val="Actuals 2009 (USD)"/>
      <sheetName val="Actuals 2009 (EUR)"/>
      <sheetName val="EUR Cube by Brand"/>
      <sheetName val="EUR Cube"/>
      <sheetName val="Forecast Input"/>
      <sheetName val="Forecast Input by Brand"/>
      <sheetName val="Input by Brand (2009)"/>
      <sheetName val="KPI Input by Brand (2009)"/>
      <sheetName val="KPI Input by Brand"/>
      <sheetName val="KPI Inputs"/>
      <sheetName val="Play Area"/>
    </sheetNames>
    <sheetDataSet>
      <sheetData sheetId="0"/>
      <sheetData sheetId="1"/>
      <sheetData sheetId="2">
        <row r="1">
          <cell r="A1" t="str">
            <v>Budget</v>
          </cell>
          <cell r="B1" t="str">
            <v>Total Group</v>
          </cell>
          <cell r="C1" t="str">
            <v>EUR</v>
          </cell>
          <cell r="D1" t="str">
            <v>Budget</v>
          </cell>
        </row>
        <row r="2">
          <cell r="A2" t="str">
            <v>Prior Year</v>
          </cell>
          <cell r="B2" t="str">
            <v>Party Brands</v>
          </cell>
          <cell r="C2" t="str">
            <v>USD</v>
          </cell>
          <cell r="D2" t="str">
            <v>Prior Forecast</v>
          </cell>
        </row>
        <row r="3">
          <cell r="B3" t="str">
            <v>IOG Brands</v>
          </cell>
          <cell r="D3" t="str">
            <v>Prior Year</v>
          </cell>
        </row>
        <row r="4">
          <cell r="B4" t="str">
            <v>Cashcade</v>
          </cell>
        </row>
        <row r="5">
          <cell r="B5" t="str">
            <v>WPT</v>
          </cell>
        </row>
        <row r="6">
          <cell r="B6" t="str">
            <v>B2B</v>
          </cell>
        </row>
      </sheetData>
      <sheetData sheetId="3"/>
      <sheetData sheetId="4"/>
      <sheetData sheetId="5"/>
      <sheetData sheetId="6"/>
      <sheetData sheetId="7">
        <row r="1">
          <cell r="A1" t="str">
            <v>Budget</v>
          </cell>
        </row>
      </sheetData>
      <sheetData sheetId="8"/>
      <sheetData sheetId="9"/>
      <sheetData sheetId="10">
        <row r="66">
          <cell r="D66">
            <v>0.25105465886503697</v>
          </cell>
        </row>
      </sheetData>
      <sheetData sheetId="11">
        <row r="66">
          <cell r="D66">
            <v>0.21010128661374214</v>
          </cell>
        </row>
      </sheetData>
      <sheetData sheetId="12"/>
      <sheetData sheetId="13">
        <row r="66">
          <cell r="D66">
            <v>0.15870643737106313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ies outstanding"/>
      <sheetName val="Control"/>
      <sheetName val="OS"/>
      <sheetName val="Review"/>
      <sheetName val="Words"/>
      <sheetName val="WP - Current trading"/>
      <sheetName val="WP - Clean EBITDA 2010"/>
      <sheetName val="WP - PL and Proforma"/>
      <sheetName val="WP - Outsourced H111"/>
      <sheetName val="WP - Outsourced H110"/>
      <sheetName val="WP - 2010 bwin"/>
      <sheetName val="WP - KPIs"/>
      <sheetName val="Consol Inc"/>
      <sheetName val="Consol BS"/>
      <sheetName val="Consol Equity"/>
      <sheetName val="Consol CF"/>
      <sheetName val="WP - CF"/>
      <sheetName val="Trial Balance"/>
      <sheetName val="WP - Closing BS"/>
      <sheetName val="WP - CF FX"/>
      <sheetName val="WP - bwin PPE Additions"/>
      <sheetName val="WP - PG PPE Additions"/>
      <sheetName val="Segmental"/>
      <sheetName val="WP - Seg PG"/>
      <sheetName val="WP - Seg exc WPT and Cashca (2)"/>
      <sheetName val="WP - Seg exc WPT and Cashcade"/>
      <sheetName val="WP - Seg PG Marketing"/>
      <sheetName val="WP - Seg Cashcade"/>
      <sheetName val="WP - Seg WPT"/>
      <sheetName val="WP - Seg bwin"/>
      <sheetName val="WP - Seg bwin H1"/>
      <sheetName val="WP - Seg bwin Q2"/>
      <sheetName val="WP - Geo inc"/>
      <sheetName val="WP - PG geo"/>
      <sheetName val="WP - bwin geo"/>
      <sheetName val="Other op inc exp"/>
      <sheetName val="Tax"/>
      <sheetName val="Discontinued"/>
      <sheetName val="WP - Ongame B2B Cashflow"/>
      <sheetName val="WP - Sale of Ongame"/>
      <sheetName val="EPS"/>
      <sheetName val="Intangibles"/>
      <sheetName val="BP - Goodwill and Acq Int"/>
      <sheetName val="WP - PG Intangible Adds"/>
      <sheetName val="WP - PG Amortisation"/>
      <sheetName val="Trade rec"/>
      <sheetName val="WP - PG Bad debts"/>
      <sheetName val="WP - bwin Bad debts"/>
      <sheetName val="Trade pay"/>
      <sheetName val="BP - NPA"/>
      <sheetName val="BP - Deferred consideration"/>
      <sheetName val="Client liab"/>
      <sheetName val="Provisions"/>
      <sheetName val="BP - Provisions"/>
      <sheetName val="WP - Provision Disc"/>
      <sheetName val="WP - VAT"/>
      <sheetName val="Loans"/>
      <sheetName val="BP - Loans"/>
      <sheetName val="Deferred tax"/>
      <sheetName val="Share capital"/>
      <sheetName val="WP - Shares"/>
      <sheetName val="WP - Treasury Shares"/>
      <sheetName val="Related"/>
      <sheetName val="WP - RPTs owed"/>
      <sheetName val="WP - Gibtel and Paysafecard"/>
      <sheetName val="Acquisitions"/>
      <sheetName val="Share options"/>
      <sheetName val="WP - Dirs and Key Management"/>
      <sheetName val="WP - Shares summary"/>
      <sheetName val="WP - BSP"/>
      <sheetName val="WP - BBP"/>
      <sheetName val="WP - VCP"/>
      <sheetName val="WP - VCP Inputs"/>
      <sheetName val="WP - Dilution"/>
      <sheetName val="WP - Other Share options "/>
      <sheetName val="WP - Option Prices"/>
      <sheetName val="WP - Restricted cash"/>
      <sheetName val="WP - FVA"/>
      <sheetName val="TB - PG"/>
      <sheetName val="TB - PG Discops"/>
      <sheetName val="TB - bwin"/>
      <sheetName val="TB - bwin Reorg"/>
      <sheetName val="TB - bwin Preacq"/>
      <sheetName val="WP - FX Rates"/>
      <sheetName val="Play - PG"/>
      <sheetName val="Play - bwin"/>
    </sheetNames>
    <sheetDataSet>
      <sheetData sheetId="0" refreshError="1"/>
      <sheetData sheetId="1">
        <row r="21">
          <cell r="A21" t="str">
            <v>16. Contingent liabilities</v>
          </cell>
        </row>
        <row r="25">
          <cell r="A25" t="str">
            <v>19. Events after the reporting 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A1" t="str">
            <v>Condensed consolidated statement of comprehensive income (unaudited)</v>
          </cell>
        </row>
      </sheetData>
      <sheetData sheetId="13">
        <row r="1">
          <cell r="A1" t="str">
            <v>Condensed consolidated statement of financial position (unaudited)</v>
          </cell>
        </row>
      </sheetData>
      <sheetData sheetId="14">
        <row r="1">
          <cell r="A1" t="str">
            <v>Condensed consolidated statement of changes in equity (unaudited)</v>
          </cell>
        </row>
      </sheetData>
      <sheetData sheetId="15" refreshError="1"/>
      <sheetData sheetId="16" refreshError="1"/>
      <sheetData sheetId="17">
        <row r="4">
          <cell r="O4">
            <v>-1.4</v>
          </cell>
        </row>
      </sheetData>
      <sheetData sheetId="18">
        <row r="5">
          <cell r="A5" t="str">
            <v xml:space="preserve">Local Amount </v>
          </cell>
        </row>
      </sheetData>
      <sheetData sheetId="19">
        <row r="6">
          <cell r="A6" t="str">
            <v>Year</v>
          </cell>
        </row>
      </sheetData>
      <sheetData sheetId="20">
        <row r="6">
          <cell r="A6" t="str">
            <v xml:space="preserve">EUR </v>
          </cell>
        </row>
      </sheetData>
      <sheetData sheetId="21">
        <row r="7">
          <cell r="A7" t="str">
            <v xml:space="preserve">EUR </v>
          </cell>
        </row>
      </sheetData>
      <sheetData sheetId="22">
        <row r="1">
          <cell r="A1" t="str">
            <v>3. Segment information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">
          <cell r="A1" t="str">
            <v>4. Other operating expenses</v>
          </cell>
        </row>
      </sheetData>
      <sheetData sheetId="36">
        <row r="1">
          <cell r="A1" t="str">
            <v>5. Tax</v>
          </cell>
        </row>
      </sheetData>
      <sheetData sheetId="37">
        <row r="1">
          <cell r="A1" t="str">
            <v>6. Discontinued operations</v>
          </cell>
        </row>
      </sheetData>
      <sheetData sheetId="38" refreshError="1"/>
      <sheetData sheetId="39" refreshError="1"/>
      <sheetData sheetId="40">
        <row r="1">
          <cell r="A1" t="str">
            <v>7. Earnings per Share ('EPS')</v>
          </cell>
        </row>
      </sheetData>
      <sheetData sheetId="41">
        <row r="1">
          <cell r="A1" t="str">
            <v>8. Intangible assets</v>
          </cell>
        </row>
      </sheetData>
      <sheetData sheetId="42">
        <row r="35">
          <cell r="I35">
            <v>240009000</v>
          </cell>
        </row>
      </sheetData>
      <sheetData sheetId="43" refreshError="1"/>
      <sheetData sheetId="44" refreshError="1"/>
      <sheetData sheetId="45">
        <row r="1">
          <cell r="A1" t="str">
            <v>9. Trade and other receivables</v>
          </cell>
        </row>
      </sheetData>
      <sheetData sheetId="46" refreshError="1"/>
      <sheetData sheetId="47" refreshError="1"/>
      <sheetData sheetId="48">
        <row r="1">
          <cell r="A1" t="str">
            <v>10. Trade and other payables</v>
          </cell>
        </row>
      </sheetData>
      <sheetData sheetId="49" refreshError="1"/>
      <sheetData sheetId="50" refreshError="1"/>
      <sheetData sheetId="51">
        <row r="1">
          <cell r="A1" t="str">
            <v>11. Client liabilities and progressive prize pools</v>
          </cell>
        </row>
      </sheetData>
      <sheetData sheetId="52">
        <row r="1">
          <cell r="A1" t="str">
            <v>12. Provisions</v>
          </cell>
        </row>
      </sheetData>
      <sheetData sheetId="53">
        <row r="6">
          <cell r="B6">
            <v>0</v>
          </cell>
        </row>
      </sheetData>
      <sheetData sheetId="54" refreshError="1"/>
      <sheetData sheetId="55" refreshError="1"/>
      <sheetData sheetId="56">
        <row r="1">
          <cell r="A1" t="str">
            <v>13. Loans and borrowings</v>
          </cell>
        </row>
      </sheetData>
      <sheetData sheetId="57">
        <row r="5">
          <cell r="H5">
            <v>4196077.3878700547</v>
          </cell>
        </row>
      </sheetData>
      <sheetData sheetId="58">
        <row r="1">
          <cell r="A1" t="str">
            <v>14. Deferred tax</v>
          </cell>
        </row>
      </sheetData>
      <sheetData sheetId="59">
        <row r="1">
          <cell r="A1" t="str">
            <v>15. Share capital</v>
          </cell>
        </row>
      </sheetData>
      <sheetData sheetId="60" refreshError="1"/>
      <sheetData sheetId="61" refreshError="1"/>
      <sheetData sheetId="62">
        <row r="1">
          <cell r="A1" t="str">
            <v>17. Related parties</v>
          </cell>
        </row>
      </sheetData>
      <sheetData sheetId="63" refreshError="1"/>
      <sheetData sheetId="64" refreshError="1"/>
      <sheetData sheetId="65">
        <row r="1">
          <cell r="A1" t="str">
            <v>18. Acquisitions during the period</v>
          </cell>
        </row>
      </sheetData>
      <sheetData sheetId="66">
        <row r="1">
          <cell r="A1" t="str">
            <v>19. Share options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>
        <row r="11">
          <cell r="F11">
            <v>30.6</v>
          </cell>
        </row>
      </sheetData>
      <sheetData sheetId="77">
        <row r="28">
          <cell r="M28">
            <v>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3">
          <cell r="B3" t="str">
            <v>Dec-10</v>
          </cell>
        </row>
      </sheetData>
      <sheetData sheetId="84" refreshError="1"/>
      <sheetData sheetId="8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3963"/>
    <pageSetUpPr fitToPage="1"/>
  </sheetPr>
  <dimension ref="A1:M154"/>
  <sheetViews>
    <sheetView showGridLines="0" tabSelected="1" zoomScaleNormal="100" workbookViewId="0">
      <selection activeCell="F49" sqref="F49"/>
    </sheetView>
  </sheetViews>
  <sheetFormatPr defaultRowHeight="12.75"/>
  <cols>
    <col min="1" max="1" width="70.5703125" style="23" bestFit="1" customWidth="1"/>
    <col min="2" max="3" width="8.7109375" style="23" customWidth="1"/>
    <col min="4" max="4" width="8.7109375" style="34" customWidth="1"/>
    <col min="5" max="6" width="8.7109375" style="23" customWidth="1"/>
    <col min="7" max="7" width="8.7109375" style="34" customWidth="1"/>
    <col min="8" max="8" width="8.7109375" style="23" customWidth="1"/>
    <col min="9" max="9" width="1.28515625" style="3" customWidth="1"/>
    <col min="10" max="16384" width="9.140625" style="3"/>
  </cols>
  <sheetData>
    <row r="1" spans="1:13">
      <c r="A1" s="1"/>
      <c r="B1" s="1"/>
      <c r="C1" s="1"/>
      <c r="D1" s="2"/>
      <c r="E1" s="1"/>
      <c r="F1" s="1"/>
      <c r="G1" s="2"/>
      <c r="H1" s="1"/>
    </row>
    <row r="2" spans="1:13" ht="3" customHeight="1" thickBot="1">
      <c r="A2" s="2"/>
      <c r="B2" s="1"/>
      <c r="C2" s="1"/>
      <c r="D2" s="2"/>
      <c r="E2" s="1"/>
      <c r="F2" s="1"/>
      <c r="G2" s="2"/>
      <c r="H2" s="1"/>
    </row>
    <row r="3" spans="1:13" ht="13.5" thickTop="1">
      <c r="A3" s="4"/>
      <c r="B3" s="5" t="s">
        <v>0</v>
      </c>
      <c r="C3" s="5" t="s">
        <v>1</v>
      </c>
      <c r="D3" s="6" t="s">
        <v>2</v>
      </c>
      <c r="E3" s="5" t="s">
        <v>3</v>
      </c>
      <c r="F3" s="5" t="s">
        <v>4</v>
      </c>
      <c r="G3" s="6">
        <v>2011</v>
      </c>
      <c r="H3" s="5" t="s">
        <v>5</v>
      </c>
    </row>
    <row r="4" spans="1:13" ht="15.75" thickBot="1">
      <c r="A4" s="7" t="s">
        <v>6</v>
      </c>
      <c r="B4" s="8" t="s">
        <v>7</v>
      </c>
      <c r="C4" s="8" t="s">
        <v>7</v>
      </c>
      <c r="D4" s="9" t="s">
        <v>7</v>
      </c>
      <c r="E4" s="8" t="s">
        <v>7</v>
      </c>
      <c r="F4" s="8" t="s">
        <v>7</v>
      </c>
      <c r="G4" s="9" t="s">
        <v>7</v>
      </c>
      <c r="H4" s="8" t="s">
        <v>7</v>
      </c>
    </row>
    <row r="5" spans="1:13" ht="13.5" thickTop="1">
      <c r="A5" s="4" t="s">
        <v>8</v>
      </c>
      <c r="B5" s="10"/>
      <c r="C5" s="10"/>
      <c r="D5" s="10"/>
      <c r="E5" s="10"/>
      <c r="F5" s="10"/>
      <c r="G5" s="10"/>
      <c r="H5" s="10"/>
    </row>
    <row r="6" spans="1:13">
      <c r="A6" s="2" t="s">
        <v>9</v>
      </c>
      <c r="B6" s="11">
        <v>128.1</v>
      </c>
      <c r="C6" s="11">
        <v>130.5</v>
      </c>
      <c r="D6" s="12">
        <f>SUM(B6:C6)</f>
        <v>258.60000000000002</v>
      </c>
      <c r="E6" s="11">
        <v>125.7</v>
      </c>
      <c r="F6" s="11">
        <f>G6-E6</f>
        <v>134.00000000000006</v>
      </c>
      <c r="G6" s="12">
        <v>259.70000000000005</v>
      </c>
      <c r="H6" s="11">
        <v>128.1</v>
      </c>
      <c r="M6" s="13"/>
    </row>
    <row r="7" spans="1:13">
      <c r="A7" s="2" t="s">
        <v>10</v>
      </c>
      <c r="B7" s="11">
        <v>121.9</v>
      </c>
      <c r="C7" s="11">
        <v>119.1</v>
      </c>
      <c r="D7" s="12">
        <f>SUM(B7:C7)</f>
        <v>241</v>
      </c>
      <c r="E7" s="11">
        <v>124.3</v>
      </c>
      <c r="F7" s="11">
        <f>G7-E7</f>
        <v>138.39999999999998</v>
      </c>
      <c r="G7" s="12">
        <v>262.7</v>
      </c>
      <c r="H7" s="11">
        <v>139.69999999999999</v>
      </c>
      <c r="M7" s="13"/>
    </row>
    <row r="8" spans="1:13">
      <c r="A8" s="2" t="s">
        <v>11</v>
      </c>
      <c r="B8" s="11">
        <v>116.5</v>
      </c>
      <c r="C8" s="11">
        <v>109.80000000000001</v>
      </c>
      <c r="D8" s="12">
        <f>SUM(B8:C8)</f>
        <v>226.3</v>
      </c>
      <c r="E8" s="11">
        <v>104.9</v>
      </c>
      <c r="F8" s="11">
        <f>G8-E8</f>
        <v>104.80000000000001</v>
      </c>
      <c r="G8" s="12">
        <v>209.70000000000002</v>
      </c>
      <c r="H8" s="11">
        <v>96.399999999999991</v>
      </c>
      <c r="M8" s="13"/>
    </row>
    <row r="9" spans="1:13">
      <c r="A9" s="2" t="s">
        <v>12</v>
      </c>
      <c r="B9" s="11">
        <v>36</v>
      </c>
      <c r="C9" s="11">
        <v>35.300000000000011</v>
      </c>
      <c r="D9" s="12">
        <f>SUM(B9:C9)</f>
        <v>71.300000000000011</v>
      </c>
      <c r="E9" s="11">
        <v>33</v>
      </c>
      <c r="F9" s="11">
        <f>G9-E9</f>
        <v>30.700000000000003</v>
      </c>
      <c r="G9" s="12">
        <v>63.7</v>
      </c>
      <c r="H9" s="11">
        <v>31.5</v>
      </c>
      <c r="M9" s="13"/>
    </row>
    <row r="10" spans="1:13" ht="3.95" customHeight="1">
      <c r="A10" s="11"/>
      <c r="B10" s="14"/>
      <c r="C10" s="14"/>
      <c r="D10" s="15"/>
      <c r="E10" s="14"/>
      <c r="F10" s="14"/>
      <c r="G10" s="15"/>
      <c r="H10" s="14"/>
    </row>
    <row r="11" spans="1:13" ht="3.95" customHeight="1">
      <c r="A11" s="11"/>
      <c r="B11" s="11"/>
      <c r="C11" s="11"/>
      <c r="D11" s="12"/>
      <c r="E11" s="11"/>
      <c r="F11" s="11"/>
      <c r="G11" s="12"/>
      <c r="H11" s="11"/>
    </row>
    <row r="12" spans="1:13">
      <c r="A12" s="4" t="s">
        <v>13</v>
      </c>
      <c r="B12" s="12">
        <f t="shared" ref="B12:H12" si="0">SUM(B6:B9)</f>
        <v>402.5</v>
      </c>
      <c r="C12" s="12">
        <f t="shared" si="0"/>
        <v>394.7</v>
      </c>
      <c r="D12" s="12">
        <f t="shared" si="0"/>
        <v>797.2</v>
      </c>
      <c r="E12" s="12">
        <f t="shared" si="0"/>
        <v>387.9</v>
      </c>
      <c r="F12" s="12">
        <f t="shared" si="0"/>
        <v>407.90000000000003</v>
      </c>
      <c r="G12" s="12">
        <f t="shared" si="0"/>
        <v>795.80000000000018</v>
      </c>
      <c r="H12" s="12">
        <f t="shared" si="0"/>
        <v>395.69999999999993</v>
      </c>
      <c r="M12" s="13"/>
    </row>
    <row r="13" spans="1:13">
      <c r="A13" s="2" t="s">
        <v>14</v>
      </c>
      <c r="B13" s="11">
        <v>7.6</v>
      </c>
      <c r="C13" s="11">
        <v>9.1999999999999993</v>
      </c>
      <c r="D13" s="12">
        <f>SUM(B13:C13)</f>
        <v>16.799999999999997</v>
      </c>
      <c r="E13" s="11">
        <v>10.1</v>
      </c>
      <c r="F13" s="11">
        <f>G13-E13</f>
        <v>10.100000000000003</v>
      </c>
      <c r="G13" s="12">
        <v>20.200000000000003</v>
      </c>
      <c r="H13" s="11">
        <v>14.3</v>
      </c>
      <c r="M13" s="13"/>
    </row>
    <row r="14" spans="1:13" ht="3.95" customHeight="1">
      <c r="A14" s="11"/>
      <c r="B14" s="14"/>
      <c r="C14" s="14"/>
      <c r="D14" s="15"/>
      <c r="E14" s="14"/>
      <c r="F14" s="14"/>
      <c r="G14" s="15"/>
      <c r="H14" s="14"/>
    </row>
    <row r="15" spans="1:13" ht="3.95" customHeight="1">
      <c r="A15" s="11"/>
      <c r="B15" s="11"/>
      <c r="C15" s="11"/>
      <c r="D15" s="12"/>
      <c r="E15" s="11"/>
      <c r="F15" s="11"/>
      <c r="G15" s="12"/>
      <c r="H15" s="11"/>
    </row>
    <row r="16" spans="1:13">
      <c r="A16" s="4" t="s">
        <v>15</v>
      </c>
      <c r="B16" s="12">
        <f t="shared" ref="B16:H16" si="1">SUM(B12:B13)</f>
        <v>410.1</v>
      </c>
      <c r="C16" s="12">
        <f t="shared" si="1"/>
        <v>403.9</v>
      </c>
      <c r="D16" s="12">
        <f t="shared" si="1"/>
        <v>814</v>
      </c>
      <c r="E16" s="12">
        <f t="shared" si="1"/>
        <v>398</v>
      </c>
      <c r="F16" s="12">
        <f t="shared" si="1"/>
        <v>418.00000000000006</v>
      </c>
      <c r="G16" s="12">
        <f t="shared" si="1"/>
        <v>816.00000000000023</v>
      </c>
      <c r="H16" s="12">
        <f t="shared" si="1"/>
        <v>409.99999999999994</v>
      </c>
    </row>
    <row r="17" spans="1:8">
      <c r="A17" s="2" t="s">
        <v>16</v>
      </c>
      <c r="B17" s="11">
        <v>-15.100000000000023</v>
      </c>
      <c r="C17" s="11">
        <v>-26.799999999999976</v>
      </c>
      <c r="D17" s="12">
        <f>SUM(B17:C17)</f>
        <v>-41.9</v>
      </c>
      <c r="E17" s="11">
        <v>-32.700000000000003</v>
      </c>
      <c r="F17" s="11">
        <f>G17-E17</f>
        <v>-36.700000000000003</v>
      </c>
      <c r="G17" s="12">
        <v>-69.400000000000006</v>
      </c>
      <c r="H17" s="11">
        <v>-37</v>
      </c>
    </row>
    <row r="18" spans="1:8" ht="3.95" customHeight="1">
      <c r="A18" s="11"/>
      <c r="B18" s="14"/>
      <c r="C18" s="14"/>
      <c r="D18" s="15"/>
      <c r="E18" s="14"/>
      <c r="F18" s="14"/>
      <c r="G18" s="15"/>
      <c r="H18" s="14"/>
    </row>
    <row r="19" spans="1:8" ht="3.95" customHeight="1">
      <c r="A19" s="11"/>
      <c r="B19" s="11"/>
      <c r="C19" s="11"/>
      <c r="D19" s="12"/>
      <c r="E19" s="11"/>
      <c r="F19" s="11"/>
      <c r="G19" s="12"/>
      <c r="H19" s="11"/>
    </row>
    <row r="20" spans="1:8">
      <c r="A20" s="4" t="s">
        <v>17</v>
      </c>
      <c r="B20" s="12">
        <f t="shared" ref="B20:H20" si="2">SUM(B16:B17)</f>
        <v>395</v>
      </c>
      <c r="C20" s="12">
        <f t="shared" si="2"/>
        <v>377.1</v>
      </c>
      <c r="D20" s="12">
        <f t="shared" si="2"/>
        <v>772.1</v>
      </c>
      <c r="E20" s="12">
        <f t="shared" si="2"/>
        <v>365.3</v>
      </c>
      <c r="F20" s="12">
        <f t="shared" si="2"/>
        <v>381.30000000000007</v>
      </c>
      <c r="G20" s="12">
        <f t="shared" si="2"/>
        <v>746.60000000000025</v>
      </c>
      <c r="H20" s="12">
        <f t="shared" si="2"/>
        <v>372.99999999999994</v>
      </c>
    </row>
    <row r="21" spans="1:8" ht="3.95" customHeight="1">
      <c r="A21" s="11"/>
      <c r="B21" s="14"/>
      <c r="C21" s="14"/>
      <c r="D21" s="15"/>
      <c r="E21" s="14"/>
      <c r="F21" s="14"/>
      <c r="G21" s="15"/>
      <c r="H21" s="14"/>
    </row>
    <row r="22" spans="1:8" ht="3.95" customHeight="1">
      <c r="A22" s="11"/>
      <c r="B22" s="11"/>
      <c r="C22" s="11"/>
      <c r="D22" s="12"/>
      <c r="E22" s="11"/>
      <c r="F22" s="11"/>
      <c r="G22" s="12"/>
      <c r="H22" s="11"/>
    </row>
    <row r="23" spans="1:8">
      <c r="A23" s="16" t="s">
        <v>18</v>
      </c>
      <c r="B23" s="12">
        <v>0</v>
      </c>
      <c r="C23" s="17">
        <v>0.2</v>
      </c>
      <c r="D23" s="12">
        <f>SUM(B23:C23)</f>
        <v>0.2</v>
      </c>
      <c r="E23" s="12">
        <v>0</v>
      </c>
      <c r="F23" s="11">
        <f t="shared" ref="F23:F28" si="3">G23-E23</f>
        <v>0.7</v>
      </c>
      <c r="G23" s="12">
        <v>0.7</v>
      </c>
      <c r="H23" s="11">
        <v>0.4</v>
      </c>
    </row>
    <row r="24" spans="1:8" ht="5.0999999999999996" customHeight="1">
      <c r="A24" s="18"/>
      <c r="B24" s="11"/>
      <c r="C24" s="11"/>
      <c r="D24" s="12"/>
      <c r="E24" s="11"/>
      <c r="F24" s="11"/>
      <c r="G24" s="12"/>
      <c r="H24" s="11"/>
    </row>
    <row r="25" spans="1:8" ht="12.75" customHeight="1">
      <c r="A25" s="19" t="s">
        <v>19</v>
      </c>
      <c r="B25" s="11">
        <v>-22</v>
      </c>
      <c r="C25" s="11">
        <v>-20.5</v>
      </c>
      <c r="D25" s="12">
        <f>SUM(B25:C25)</f>
        <v>-42.5</v>
      </c>
      <c r="E25" s="11">
        <v>-20.9</v>
      </c>
      <c r="F25" s="11">
        <f t="shared" si="3"/>
        <v>-22.200000000000003</v>
      </c>
      <c r="G25" s="12">
        <v>-43.1</v>
      </c>
      <c r="H25" s="11">
        <v>-22.4</v>
      </c>
    </row>
    <row r="26" spans="1:8">
      <c r="A26" s="19" t="s">
        <v>20</v>
      </c>
      <c r="B26" s="11">
        <v>-64.7</v>
      </c>
      <c r="C26" s="11">
        <v>-66.099999999999994</v>
      </c>
      <c r="D26" s="12">
        <f>SUM(B26:C26)</f>
        <v>-130.80000000000001</v>
      </c>
      <c r="E26" s="11">
        <v>-67</v>
      </c>
      <c r="F26" s="11">
        <f t="shared" si="3"/>
        <v>-63.199999999999989</v>
      </c>
      <c r="G26" s="12">
        <v>-130.19999999999999</v>
      </c>
      <c r="H26" s="11">
        <v>-64</v>
      </c>
    </row>
    <row r="27" spans="1:8">
      <c r="A27" s="19" t="s">
        <v>21</v>
      </c>
      <c r="B27" s="11">
        <v>-9.5</v>
      </c>
      <c r="C27" s="11">
        <v>-13.1</v>
      </c>
      <c r="D27" s="12">
        <f>SUM(B27:C27)</f>
        <v>-22.6</v>
      </c>
      <c r="E27" s="11">
        <v>-13.5</v>
      </c>
      <c r="F27" s="11">
        <f t="shared" si="3"/>
        <v>-6.8999999999999986</v>
      </c>
      <c r="G27" s="12">
        <v>-20.399999999999999</v>
      </c>
      <c r="H27" s="11">
        <v>-14.4</v>
      </c>
    </row>
    <row r="28" spans="1:8">
      <c r="A28" s="19" t="s">
        <v>22</v>
      </c>
      <c r="B28" s="11">
        <v>-39.1</v>
      </c>
      <c r="C28" s="11">
        <v>-49.4</v>
      </c>
      <c r="D28" s="12">
        <f>SUM(B28:C28)</f>
        <v>-88.5</v>
      </c>
      <c r="E28" s="11">
        <v>-36.4</v>
      </c>
      <c r="F28" s="11">
        <f t="shared" si="3"/>
        <v>-36.500000000000007</v>
      </c>
      <c r="G28" s="12">
        <v>-72.900000000000006</v>
      </c>
      <c r="H28" s="11">
        <v>-34.200000000000003</v>
      </c>
    </row>
    <row r="29" spans="1:8" ht="3.95" customHeight="1">
      <c r="A29" s="11"/>
      <c r="B29" s="14"/>
      <c r="C29" s="14"/>
      <c r="D29" s="15"/>
      <c r="E29" s="14"/>
      <c r="F29" s="14"/>
      <c r="G29" s="15"/>
      <c r="H29" s="14"/>
    </row>
    <row r="30" spans="1:8" ht="3.95" customHeight="1">
      <c r="A30" s="11"/>
      <c r="B30" s="11"/>
      <c r="C30" s="11"/>
      <c r="D30" s="12"/>
      <c r="E30" s="11"/>
      <c r="F30" s="11"/>
      <c r="G30" s="12"/>
      <c r="H30" s="11"/>
    </row>
    <row r="31" spans="1:8">
      <c r="A31" s="4" t="s">
        <v>23</v>
      </c>
      <c r="B31" s="12">
        <f t="shared" ref="B31:H31" si="4">SUM(B25:B30)</f>
        <v>-135.30000000000001</v>
      </c>
      <c r="C31" s="12">
        <f t="shared" si="4"/>
        <v>-149.1</v>
      </c>
      <c r="D31" s="12">
        <f t="shared" si="4"/>
        <v>-284.39999999999998</v>
      </c>
      <c r="E31" s="12">
        <f t="shared" si="4"/>
        <v>-137.80000000000001</v>
      </c>
      <c r="F31" s="12">
        <f t="shared" si="4"/>
        <v>-128.79999999999998</v>
      </c>
      <c r="G31" s="12">
        <f t="shared" si="4"/>
        <v>-266.60000000000002</v>
      </c>
      <c r="H31" s="12">
        <f t="shared" si="4"/>
        <v>-135</v>
      </c>
    </row>
    <row r="32" spans="1:8" ht="3.95" customHeight="1">
      <c r="A32" s="11"/>
      <c r="B32" s="14"/>
      <c r="C32" s="14"/>
      <c r="D32" s="15"/>
      <c r="E32" s="14"/>
      <c r="F32" s="14"/>
      <c r="G32" s="15"/>
      <c r="H32" s="14"/>
    </row>
    <row r="33" spans="1:8" ht="3.95" customHeight="1">
      <c r="A33" s="11"/>
      <c r="B33" s="11"/>
      <c r="C33" s="11"/>
      <c r="D33" s="12"/>
      <c r="E33" s="11"/>
      <c r="F33" s="11"/>
      <c r="G33" s="12"/>
      <c r="H33" s="11"/>
    </row>
    <row r="34" spans="1:8" ht="12.75" customHeight="1">
      <c r="A34" s="19" t="s">
        <v>24</v>
      </c>
      <c r="B34" s="11">
        <v>-91.5</v>
      </c>
      <c r="C34" s="11">
        <v>-80.600000000000009</v>
      </c>
      <c r="D34" s="12">
        <f>SUM(B34:C34)</f>
        <v>-172.10000000000002</v>
      </c>
      <c r="E34" s="11">
        <v>-83.4</v>
      </c>
      <c r="F34" s="11">
        <f>G34-E34</f>
        <v>-64.900000000000006</v>
      </c>
      <c r="G34" s="12">
        <v>-148.30000000000001</v>
      </c>
      <c r="H34" s="11">
        <v>-82.9</v>
      </c>
    </row>
    <row r="35" spans="1:8">
      <c r="A35" s="19" t="s">
        <v>25</v>
      </c>
      <c r="B35" s="11">
        <v>-33.9</v>
      </c>
      <c r="C35" s="11">
        <v>-30.8</v>
      </c>
      <c r="D35" s="12">
        <f>SUM(B35:C35)</f>
        <v>-64.7</v>
      </c>
      <c r="E35" s="11">
        <v>-33.700000000000003</v>
      </c>
      <c r="F35" s="11">
        <f>G35-E35</f>
        <v>-36</v>
      </c>
      <c r="G35" s="12">
        <v>-69.7</v>
      </c>
      <c r="H35" s="11">
        <v>-30.1</v>
      </c>
    </row>
    <row r="36" spans="1:8">
      <c r="A36" s="19" t="s">
        <v>26</v>
      </c>
      <c r="B36" s="11">
        <v>-4</v>
      </c>
      <c r="C36" s="11">
        <v>-2.5</v>
      </c>
      <c r="D36" s="12">
        <f>SUM(B36:C36)</f>
        <v>-6.5</v>
      </c>
      <c r="E36" s="11">
        <v>-3.6</v>
      </c>
      <c r="F36" s="11">
        <f>G36-E36</f>
        <v>-4.8000000000000007</v>
      </c>
      <c r="G36" s="12">
        <v>-8.4</v>
      </c>
      <c r="H36" s="11">
        <v>-2.7</v>
      </c>
    </row>
    <row r="37" spans="1:8">
      <c r="A37" s="19" t="s">
        <v>27</v>
      </c>
      <c r="B37" s="11">
        <v>-17.2</v>
      </c>
      <c r="C37" s="11">
        <v>-14.600000000000005</v>
      </c>
      <c r="D37" s="12">
        <f>SUM(B37:C37)</f>
        <v>-31.800000000000004</v>
      </c>
      <c r="E37" s="11">
        <v>-14.3</v>
      </c>
      <c r="F37" s="11">
        <f>G37-E37</f>
        <v>-18.999999999999996</v>
      </c>
      <c r="G37" s="12">
        <v>-33.299999999999997</v>
      </c>
      <c r="H37" s="11">
        <v>-17.7</v>
      </c>
    </row>
    <row r="38" spans="1:8">
      <c r="A38" s="19" t="s">
        <v>28</v>
      </c>
      <c r="B38" s="11">
        <v>-9</v>
      </c>
      <c r="C38" s="11">
        <v>-10.600000000000001</v>
      </c>
      <c r="D38" s="12">
        <f>SUM(B38:C38)</f>
        <v>-19.600000000000001</v>
      </c>
      <c r="E38" s="11">
        <v>-10.6</v>
      </c>
      <c r="F38" s="11">
        <f>G38-E38</f>
        <v>-11.1</v>
      </c>
      <c r="G38" s="12">
        <v>-21.7</v>
      </c>
      <c r="H38" s="11">
        <v>-12.7</v>
      </c>
    </row>
    <row r="39" spans="1:8" ht="3.95" customHeight="1">
      <c r="A39" s="11"/>
      <c r="B39" s="14"/>
      <c r="C39" s="14"/>
      <c r="D39" s="15"/>
      <c r="E39" s="14"/>
      <c r="F39" s="14"/>
      <c r="G39" s="15"/>
      <c r="H39" s="14"/>
    </row>
    <row r="40" spans="1:8" ht="3.95" customHeight="1">
      <c r="A40" s="11"/>
      <c r="B40" s="11"/>
      <c r="C40" s="11"/>
      <c r="D40" s="12"/>
      <c r="E40" s="11"/>
      <c r="F40" s="11"/>
      <c r="G40" s="12"/>
      <c r="H40" s="11"/>
    </row>
    <row r="41" spans="1:8">
      <c r="A41" s="4" t="s">
        <v>29</v>
      </c>
      <c r="B41" s="12">
        <f t="shared" ref="B41:H41" si="5">SUM(B34:B40)</f>
        <v>-155.6</v>
      </c>
      <c r="C41" s="12">
        <f t="shared" si="5"/>
        <v>-139.1</v>
      </c>
      <c r="D41" s="12">
        <f t="shared" si="5"/>
        <v>-294.70000000000005</v>
      </c>
      <c r="E41" s="12">
        <f t="shared" si="5"/>
        <v>-145.6</v>
      </c>
      <c r="F41" s="12">
        <f t="shared" si="5"/>
        <v>-135.80000000000001</v>
      </c>
      <c r="G41" s="12">
        <f t="shared" si="5"/>
        <v>-281.39999999999998</v>
      </c>
      <c r="H41" s="12">
        <f t="shared" si="5"/>
        <v>-146.1</v>
      </c>
    </row>
    <row r="42" spans="1:8" ht="3.95" customHeight="1">
      <c r="A42" s="11"/>
      <c r="B42" s="14"/>
      <c r="C42" s="14"/>
      <c r="D42" s="15"/>
      <c r="E42" s="14"/>
      <c r="F42" s="14"/>
      <c r="G42" s="15"/>
      <c r="H42" s="14"/>
    </row>
    <row r="43" spans="1:8" ht="3.95" customHeight="1">
      <c r="A43" s="11"/>
      <c r="B43" s="11"/>
      <c r="C43" s="11"/>
      <c r="D43" s="12"/>
      <c r="E43" s="11"/>
      <c r="F43" s="11"/>
      <c r="G43" s="12"/>
      <c r="H43" s="11"/>
    </row>
    <row r="44" spans="1:8">
      <c r="A44" s="12" t="s">
        <v>30</v>
      </c>
      <c r="B44" s="12">
        <f t="shared" ref="B44:H44" si="6">+B20+B23+B31+B41</f>
        <v>104.1</v>
      </c>
      <c r="C44" s="12">
        <f t="shared" si="6"/>
        <v>89.100000000000023</v>
      </c>
      <c r="D44" s="12">
        <f t="shared" si="6"/>
        <v>193.20000000000005</v>
      </c>
      <c r="E44" s="12">
        <f t="shared" si="6"/>
        <v>81.900000000000006</v>
      </c>
      <c r="F44" s="12">
        <f t="shared" si="6"/>
        <v>117.40000000000006</v>
      </c>
      <c r="G44" s="12">
        <f t="shared" si="6"/>
        <v>199.3000000000003</v>
      </c>
      <c r="H44" s="12">
        <f t="shared" si="6"/>
        <v>92.299999999999926</v>
      </c>
    </row>
    <row r="45" spans="1:8" ht="3.75" customHeight="1">
      <c r="A45" s="11"/>
      <c r="B45" s="11"/>
      <c r="C45" s="11"/>
      <c r="D45" s="12"/>
      <c r="E45" s="11"/>
      <c r="F45" s="11"/>
      <c r="G45" s="12"/>
      <c r="H45" s="11"/>
    </row>
    <row r="46" spans="1:8">
      <c r="A46" s="20" t="s">
        <v>31</v>
      </c>
      <c r="B46" s="11">
        <v>0</v>
      </c>
      <c r="C46" s="11">
        <v>0</v>
      </c>
      <c r="D46" s="12">
        <f t="shared" ref="D46:D53" si="7">SUM(B46:C46)</f>
        <v>0</v>
      </c>
      <c r="E46" s="11">
        <v>0</v>
      </c>
      <c r="F46" s="11">
        <v>0</v>
      </c>
      <c r="G46" s="12">
        <v>0</v>
      </c>
      <c r="H46" s="11">
        <v>-31.5</v>
      </c>
    </row>
    <row r="47" spans="1:8">
      <c r="A47" s="20" t="s">
        <v>32</v>
      </c>
      <c r="B47" s="11">
        <v>1.1000000000000001</v>
      </c>
      <c r="C47" s="11">
        <v>2.5999999999999996</v>
      </c>
      <c r="D47" s="12">
        <f t="shared" si="7"/>
        <v>3.6999999999999997</v>
      </c>
      <c r="E47" s="11">
        <v>-2.1</v>
      </c>
      <c r="F47" s="11">
        <f t="shared" ref="F47:F53" si="8">G47-E47</f>
        <v>-2.6</v>
      </c>
      <c r="G47" s="12">
        <v>-4.7</v>
      </c>
      <c r="H47" s="11">
        <v>-2.1</v>
      </c>
    </row>
    <row r="48" spans="1:8">
      <c r="A48" s="20" t="s">
        <v>33</v>
      </c>
      <c r="B48" s="11">
        <v>-1.2</v>
      </c>
      <c r="C48" s="11">
        <v>-10.7</v>
      </c>
      <c r="D48" s="12">
        <f t="shared" si="7"/>
        <v>-11.899999999999999</v>
      </c>
      <c r="E48" s="11">
        <v>-16.899999999999999</v>
      </c>
      <c r="F48" s="11">
        <f t="shared" si="8"/>
        <v>-0.5</v>
      </c>
      <c r="G48" s="12">
        <v>-17.399999999999999</v>
      </c>
      <c r="H48" s="11">
        <v>-0.1</v>
      </c>
    </row>
    <row r="49" spans="1:11">
      <c r="A49" s="2" t="s">
        <v>34</v>
      </c>
      <c r="B49" s="11">
        <v>-31.1</v>
      </c>
      <c r="C49" s="11">
        <v>-29.9</v>
      </c>
      <c r="D49" s="12">
        <f t="shared" si="7"/>
        <v>-61</v>
      </c>
      <c r="E49" s="11">
        <v>-60.8</v>
      </c>
      <c r="F49" s="11">
        <f t="shared" si="8"/>
        <v>-71.7</v>
      </c>
      <c r="G49" s="12">
        <v>-132.5</v>
      </c>
      <c r="H49" s="11">
        <v>-52.1</v>
      </c>
    </row>
    <row r="50" spans="1:11">
      <c r="A50" s="2" t="s">
        <v>35</v>
      </c>
      <c r="B50" s="11">
        <v>-7.3</v>
      </c>
      <c r="C50" s="11">
        <v>-7.6999999999999993</v>
      </c>
      <c r="D50" s="12">
        <f t="shared" si="7"/>
        <v>-15</v>
      </c>
      <c r="E50" s="11">
        <v>-7.2</v>
      </c>
      <c r="F50" s="11">
        <f t="shared" si="8"/>
        <v>-13.7</v>
      </c>
      <c r="G50" s="12">
        <v>-20.9</v>
      </c>
      <c r="H50" s="11">
        <v>-8.6999999999999993</v>
      </c>
    </row>
    <row r="51" spans="1:11">
      <c r="A51" s="2" t="s">
        <v>36</v>
      </c>
      <c r="B51" s="11">
        <v>0</v>
      </c>
      <c r="C51" s="11">
        <v>-0.1</v>
      </c>
      <c r="D51" s="12">
        <f t="shared" si="7"/>
        <v>-0.1</v>
      </c>
      <c r="E51" s="11">
        <v>-15.3</v>
      </c>
      <c r="F51" s="11">
        <f t="shared" si="8"/>
        <v>-393.4</v>
      </c>
      <c r="G51" s="12">
        <v>-408.7</v>
      </c>
      <c r="H51" s="11">
        <v>0</v>
      </c>
      <c r="J51" s="21"/>
      <c r="K51" s="13"/>
    </row>
    <row r="52" spans="1:11">
      <c r="A52" s="2" t="s">
        <v>37</v>
      </c>
      <c r="B52" s="11">
        <v>-6.3</v>
      </c>
      <c r="C52" s="11">
        <v>-10.7</v>
      </c>
      <c r="D52" s="12">
        <f t="shared" si="7"/>
        <v>-17</v>
      </c>
      <c r="E52" s="11">
        <v>-7.5</v>
      </c>
      <c r="F52" s="11">
        <f t="shared" si="8"/>
        <v>-5</v>
      </c>
      <c r="G52" s="12">
        <v>-12.5</v>
      </c>
      <c r="H52" s="11">
        <v>-9.4</v>
      </c>
    </row>
    <row r="53" spans="1:11">
      <c r="A53" s="2" t="s">
        <v>38</v>
      </c>
      <c r="B53" s="11">
        <v>0</v>
      </c>
      <c r="C53" s="11">
        <v>-0.7</v>
      </c>
      <c r="D53" s="12">
        <f t="shared" si="7"/>
        <v>-0.7</v>
      </c>
      <c r="E53" s="11">
        <v>-2.2000000000000002</v>
      </c>
      <c r="F53" s="11">
        <f t="shared" si="8"/>
        <v>-4.2</v>
      </c>
      <c r="G53" s="12">
        <v>-6.4</v>
      </c>
      <c r="H53" s="11">
        <v>-2.4</v>
      </c>
    </row>
    <row r="54" spans="1:11" ht="3.95" customHeight="1">
      <c r="A54" s="11"/>
      <c r="B54" s="14"/>
      <c r="C54" s="14"/>
      <c r="D54" s="15"/>
      <c r="E54" s="14"/>
      <c r="F54" s="14"/>
      <c r="G54" s="15"/>
      <c r="H54" s="14"/>
    </row>
    <row r="55" spans="1:11" ht="3.95" customHeight="1">
      <c r="A55" s="11"/>
      <c r="B55" s="11"/>
      <c r="C55" s="11"/>
      <c r="D55" s="12"/>
      <c r="E55" s="11"/>
      <c r="F55" s="11"/>
      <c r="G55" s="12"/>
      <c r="H55" s="11"/>
    </row>
    <row r="56" spans="1:11">
      <c r="A56" s="16" t="s">
        <v>39</v>
      </c>
      <c r="B56" s="12">
        <f t="shared" ref="B56:H56" si="9">SUM(B44:B53)</f>
        <v>59.299999999999983</v>
      </c>
      <c r="C56" s="12">
        <f t="shared" si="9"/>
        <v>31.900000000000023</v>
      </c>
      <c r="D56" s="12">
        <f t="shared" si="9"/>
        <v>91.200000000000031</v>
      </c>
      <c r="E56" s="12">
        <f t="shared" si="9"/>
        <v>-30.099999999999984</v>
      </c>
      <c r="F56" s="12">
        <f t="shared" si="9"/>
        <v>-373.69999999999987</v>
      </c>
      <c r="G56" s="12">
        <f t="shared" si="9"/>
        <v>-403.79999999999967</v>
      </c>
      <c r="H56" s="12">
        <f t="shared" si="9"/>
        <v>-14.000000000000078</v>
      </c>
    </row>
    <row r="57" spans="1:11">
      <c r="A57" s="18" t="s">
        <v>40</v>
      </c>
      <c r="B57" s="11">
        <v>-1</v>
      </c>
      <c r="C57" s="11">
        <v>-1.2</v>
      </c>
      <c r="D57" s="12">
        <f>SUM(B57:C57)</f>
        <v>-2.2000000000000002</v>
      </c>
      <c r="E57" s="11">
        <v>-3.1</v>
      </c>
      <c r="F57" s="11">
        <f>G57-E57</f>
        <v>0.4000000000000008</v>
      </c>
      <c r="G57" s="12">
        <v>-2.6999999999999993</v>
      </c>
      <c r="H57" s="11">
        <v>-3.3000000000000003</v>
      </c>
    </row>
    <row r="58" spans="1:11">
      <c r="A58" s="18" t="s">
        <v>41</v>
      </c>
      <c r="B58" s="11">
        <v>-0.3</v>
      </c>
      <c r="C58" s="11">
        <v>-2.9000000000000004</v>
      </c>
      <c r="D58" s="12">
        <f>SUM(B58:C58)</f>
        <v>-3.2</v>
      </c>
      <c r="E58" s="11">
        <v>-1.8</v>
      </c>
      <c r="F58" s="11">
        <f>G58-E58</f>
        <v>0.5</v>
      </c>
      <c r="G58" s="12">
        <v>-1.3</v>
      </c>
      <c r="H58" s="11">
        <v>2</v>
      </c>
    </row>
    <row r="59" spans="1:11" ht="3.95" customHeight="1">
      <c r="A59" s="11"/>
      <c r="B59" s="14"/>
      <c r="C59" s="14"/>
      <c r="D59" s="15"/>
      <c r="E59" s="14"/>
      <c r="F59" s="14"/>
      <c r="G59" s="15"/>
      <c r="H59" s="14"/>
    </row>
    <row r="60" spans="1:11" ht="3.95" customHeight="1">
      <c r="A60" s="11"/>
      <c r="B60" s="11"/>
      <c r="C60" s="11"/>
      <c r="D60" s="12"/>
      <c r="E60" s="11"/>
      <c r="F60" s="11"/>
      <c r="G60" s="12"/>
      <c r="H60" s="11"/>
    </row>
    <row r="61" spans="1:11">
      <c r="A61" s="16" t="s">
        <v>42</v>
      </c>
      <c r="B61" s="12">
        <f t="shared" ref="B61:H61" si="10">SUM(B56:B58)</f>
        <v>57.999999999999986</v>
      </c>
      <c r="C61" s="12">
        <f t="shared" si="10"/>
        <v>27.800000000000026</v>
      </c>
      <c r="D61" s="12">
        <f t="shared" si="10"/>
        <v>85.800000000000026</v>
      </c>
      <c r="E61" s="12">
        <f t="shared" si="10"/>
        <v>-34.999999999999979</v>
      </c>
      <c r="F61" s="12">
        <f t="shared" si="10"/>
        <v>-372.7999999999999</v>
      </c>
      <c r="G61" s="12">
        <f t="shared" si="10"/>
        <v>-407.79999999999967</v>
      </c>
      <c r="H61" s="12">
        <f t="shared" si="10"/>
        <v>-15.300000000000079</v>
      </c>
    </row>
    <row r="62" spans="1:11">
      <c r="A62" s="2" t="s">
        <v>43</v>
      </c>
      <c r="B62" s="11">
        <v>-1.6</v>
      </c>
      <c r="C62" s="11">
        <v>1.5000000000000002</v>
      </c>
      <c r="D62" s="12">
        <f>SUM(B62:C62)</f>
        <v>-9.9999999999999867E-2</v>
      </c>
      <c r="E62" s="11">
        <v>6.7</v>
      </c>
      <c r="F62" s="11">
        <f>G62-E62</f>
        <v>0.89999999999999947</v>
      </c>
      <c r="G62" s="12">
        <v>7.6</v>
      </c>
      <c r="H62" s="11">
        <v>1.1000000000000005</v>
      </c>
    </row>
    <row r="63" spans="1:11" ht="3.95" customHeight="1">
      <c r="A63" s="11"/>
      <c r="B63" s="14"/>
      <c r="C63" s="14"/>
      <c r="D63" s="15"/>
      <c r="E63" s="14"/>
      <c r="F63" s="14"/>
      <c r="G63" s="15"/>
      <c r="H63" s="14"/>
    </row>
    <row r="64" spans="1:11" ht="3.95" customHeight="1">
      <c r="A64" s="11"/>
      <c r="B64" s="11"/>
      <c r="C64" s="11"/>
      <c r="D64" s="12"/>
      <c r="E64" s="11"/>
      <c r="F64" s="11"/>
      <c r="G64" s="12"/>
      <c r="H64" s="11"/>
    </row>
    <row r="65" spans="1:8">
      <c r="A65" s="16" t="s">
        <v>44</v>
      </c>
      <c r="B65" s="12">
        <f t="shared" ref="B65:H65" si="11">SUM(B61:B62)</f>
        <v>56.399999999999984</v>
      </c>
      <c r="C65" s="12">
        <f t="shared" si="11"/>
        <v>29.300000000000026</v>
      </c>
      <c r="D65" s="12">
        <f t="shared" si="11"/>
        <v>85.700000000000031</v>
      </c>
      <c r="E65" s="12">
        <f t="shared" si="11"/>
        <v>-28.299999999999979</v>
      </c>
      <c r="F65" s="12">
        <f t="shared" si="11"/>
        <v>-371.89999999999992</v>
      </c>
      <c r="G65" s="12">
        <f t="shared" si="11"/>
        <v>-400.19999999999965</v>
      </c>
      <c r="H65" s="12">
        <f t="shared" si="11"/>
        <v>-14.200000000000077</v>
      </c>
    </row>
    <row r="66" spans="1:8">
      <c r="A66" s="18" t="s">
        <v>45</v>
      </c>
      <c r="B66" s="11">
        <v>-21.4</v>
      </c>
      <c r="C66" s="11">
        <v>-13.899999999999999</v>
      </c>
      <c r="D66" s="12">
        <f>SUM(B66:C66)</f>
        <v>-35.299999999999997</v>
      </c>
      <c r="E66" s="11">
        <v>-11.7</v>
      </c>
      <c r="F66" s="11">
        <f>G66-E66</f>
        <v>-9.4000000000000021</v>
      </c>
      <c r="G66" s="12">
        <v>-21.1</v>
      </c>
      <c r="H66" s="11">
        <v>-7.0999999999999988</v>
      </c>
    </row>
    <row r="67" spans="1:8" ht="3.95" customHeight="1">
      <c r="A67" s="11"/>
      <c r="B67" s="14"/>
      <c r="C67" s="14"/>
      <c r="D67" s="15"/>
      <c r="E67" s="14"/>
      <c r="F67" s="14"/>
      <c r="G67" s="15"/>
      <c r="H67" s="14"/>
    </row>
    <row r="68" spans="1:8" ht="3.95" customHeight="1">
      <c r="A68" s="11"/>
      <c r="B68" s="11"/>
      <c r="C68" s="11"/>
      <c r="D68" s="12"/>
      <c r="E68" s="11"/>
      <c r="F68" s="11"/>
      <c r="G68" s="12"/>
      <c r="H68" s="11"/>
    </row>
    <row r="69" spans="1:8">
      <c r="A69" s="16" t="s">
        <v>46</v>
      </c>
      <c r="B69" s="12">
        <f t="shared" ref="B69:H69" si="12">SUM(B65:B66)</f>
        <v>34.999999999999986</v>
      </c>
      <c r="C69" s="12">
        <f t="shared" si="12"/>
        <v>15.400000000000027</v>
      </c>
      <c r="D69" s="12">
        <f t="shared" si="12"/>
        <v>50.400000000000034</v>
      </c>
      <c r="E69" s="12">
        <f t="shared" si="12"/>
        <v>-39.999999999999979</v>
      </c>
      <c r="F69" s="12">
        <f t="shared" si="12"/>
        <v>-381.2999999999999</v>
      </c>
      <c r="G69" s="12">
        <f t="shared" si="12"/>
        <v>-421.29999999999967</v>
      </c>
      <c r="H69" s="12">
        <f t="shared" si="12"/>
        <v>-21.300000000000075</v>
      </c>
    </row>
    <row r="70" spans="1:8" ht="3.95" customHeight="1" thickBot="1">
      <c r="A70" s="2"/>
      <c r="B70" s="22"/>
      <c r="C70" s="22"/>
      <c r="D70" s="22"/>
      <c r="E70" s="22"/>
      <c r="F70" s="22"/>
      <c r="G70" s="22"/>
      <c r="H70" s="22"/>
    </row>
    <row r="71" spans="1:8" ht="13.5" thickTop="1">
      <c r="A71" s="16"/>
      <c r="B71" s="11"/>
      <c r="C71" s="11"/>
      <c r="D71" s="12"/>
      <c r="E71" s="11"/>
      <c r="F71" s="11"/>
      <c r="G71" s="12"/>
      <c r="H71" s="11"/>
    </row>
    <row r="72" spans="1:8">
      <c r="A72" s="18" t="s">
        <v>47</v>
      </c>
      <c r="B72" s="11">
        <f t="shared" ref="B72:H72" si="13">+B76-B73</f>
        <v>34.999999999999986</v>
      </c>
      <c r="C72" s="11">
        <f t="shared" si="13"/>
        <v>17.800000000000026</v>
      </c>
      <c r="D72" s="12">
        <f t="shared" si="13"/>
        <v>52.800000000000033</v>
      </c>
      <c r="E72" s="11">
        <f t="shared" si="13"/>
        <v>-38.199999999999982</v>
      </c>
      <c r="F72" s="11">
        <f t="shared" si="13"/>
        <v>-380.2999999999999</v>
      </c>
      <c r="G72" s="12">
        <f t="shared" si="13"/>
        <v>-418.49999999999966</v>
      </c>
      <c r="H72" s="11">
        <f t="shared" si="13"/>
        <v>-20.800000000000075</v>
      </c>
    </row>
    <row r="73" spans="1:8">
      <c r="A73" s="18" t="s">
        <v>48</v>
      </c>
      <c r="B73" s="11">
        <v>0</v>
      </c>
      <c r="C73" s="11">
        <v>-2.4</v>
      </c>
      <c r="D73" s="12">
        <f>SUM(B73:C73)</f>
        <v>-2.4</v>
      </c>
      <c r="E73" s="11">
        <v>-1.8</v>
      </c>
      <c r="F73" s="11">
        <f>G73-E73</f>
        <v>-0.99999999999999978</v>
      </c>
      <c r="G73" s="12">
        <v>-2.8</v>
      </c>
      <c r="H73" s="11">
        <v>-0.5</v>
      </c>
    </row>
    <row r="74" spans="1:8" ht="3.95" customHeight="1">
      <c r="A74" s="11"/>
      <c r="B74" s="14"/>
      <c r="C74" s="14"/>
      <c r="D74" s="15"/>
      <c r="E74" s="14"/>
      <c r="F74" s="14"/>
      <c r="G74" s="15"/>
      <c r="H74" s="14"/>
    </row>
    <row r="75" spans="1:8" ht="3.95" customHeight="1">
      <c r="A75" s="11"/>
      <c r="B75" s="11"/>
      <c r="C75" s="11"/>
      <c r="D75" s="12"/>
      <c r="E75" s="11"/>
      <c r="F75" s="11"/>
      <c r="G75" s="12"/>
      <c r="H75" s="11"/>
    </row>
    <row r="76" spans="1:8">
      <c r="A76" s="16" t="s">
        <v>46</v>
      </c>
      <c r="B76" s="12">
        <f t="shared" ref="B76:H76" si="14">+B69</f>
        <v>34.999999999999986</v>
      </c>
      <c r="C76" s="12">
        <f t="shared" si="14"/>
        <v>15.400000000000027</v>
      </c>
      <c r="D76" s="12">
        <f t="shared" si="14"/>
        <v>50.400000000000034</v>
      </c>
      <c r="E76" s="12">
        <f t="shared" si="14"/>
        <v>-39.999999999999979</v>
      </c>
      <c r="F76" s="12">
        <f t="shared" si="14"/>
        <v>-381.2999999999999</v>
      </c>
      <c r="G76" s="12">
        <f t="shared" si="14"/>
        <v>-421.29999999999967</v>
      </c>
      <c r="H76" s="12">
        <f t="shared" si="14"/>
        <v>-21.300000000000075</v>
      </c>
    </row>
    <row r="77" spans="1:8" ht="3.95" customHeight="1" thickBot="1">
      <c r="A77" s="2"/>
      <c r="B77" s="22"/>
      <c r="C77" s="22"/>
      <c r="D77" s="22"/>
      <c r="E77" s="22"/>
      <c r="F77" s="22"/>
      <c r="G77" s="22"/>
      <c r="H77" s="22"/>
    </row>
    <row r="78" spans="1:8" ht="6" customHeight="1" thickTop="1">
      <c r="A78" s="11"/>
      <c r="B78" s="11"/>
      <c r="C78" s="11"/>
      <c r="D78" s="11"/>
      <c r="E78" s="11"/>
      <c r="F78" s="11"/>
      <c r="G78" s="11"/>
      <c r="H78" s="11"/>
    </row>
    <row r="79" spans="1:8" ht="6" customHeight="1" thickBot="1">
      <c r="B79" s="1"/>
      <c r="C79" s="1"/>
      <c r="D79" s="2"/>
      <c r="E79" s="1"/>
      <c r="F79" s="1"/>
      <c r="G79" s="2"/>
      <c r="H79" s="1"/>
    </row>
    <row r="80" spans="1:8" ht="16.5" thickTop="1" thickBot="1">
      <c r="A80" s="24" t="s">
        <v>49</v>
      </c>
      <c r="B80" s="25" t="s">
        <v>0</v>
      </c>
      <c r="C80" s="25" t="s">
        <v>1</v>
      </c>
      <c r="D80" s="26" t="s">
        <v>2</v>
      </c>
      <c r="E80" s="25" t="s">
        <v>3</v>
      </c>
      <c r="F80" s="25" t="s">
        <v>4</v>
      </c>
      <c r="G80" s="26">
        <v>2011</v>
      </c>
      <c r="H80" s="25" t="s">
        <v>50</v>
      </c>
    </row>
    <row r="81" spans="1:8" ht="13.5" thickTop="1">
      <c r="A81" s="1"/>
      <c r="B81" s="1"/>
      <c r="C81" s="1"/>
      <c r="D81" s="2"/>
      <c r="E81" s="1"/>
      <c r="F81" s="1"/>
      <c r="G81" s="2"/>
      <c r="H81" s="1"/>
    </row>
    <row r="82" spans="1:8" ht="12.75" customHeight="1">
      <c r="A82" s="2" t="s">
        <v>9</v>
      </c>
      <c r="B82" s="27">
        <f t="shared" ref="B82:H85" si="15">+B6/B$12</f>
        <v>0.31826086956521737</v>
      </c>
      <c r="C82" s="27">
        <f t="shared" si="15"/>
        <v>0.33063085888016214</v>
      </c>
      <c r="D82" s="28">
        <f t="shared" si="15"/>
        <v>0.32438534872052183</v>
      </c>
      <c r="E82" s="27">
        <f t="shared" si="15"/>
        <v>0.32405259087393662</v>
      </c>
      <c r="F82" s="27">
        <f t="shared" si="15"/>
        <v>0.32851189016915922</v>
      </c>
      <c r="G82" s="28">
        <f t="shared" si="15"/>
        <v>0.32633827594873083</v>
      </c>
      <c r="H82" s="27">
        <f t="shared" si="15"/>
        <v>0.32373009855951485</v>
      </c>
    </row>
    <row r="83" spans="1:8">
      <c r="A83" s="2" t="s">
        <v>10</v>
      </c>
      <c r="B83" s="27">
        <f t="shared" si="15"/>
        <v>0.30285714285714288</v>
      </c>
      <c r="C83" s="27">
        <f t="shared" si="15"/>
        <v>0.30174816316189512</v>
      </c>
      <c r="D83" s="28">
        <f t="shared" si="15"/>
        <v>0.30230807827395884</v>
      </c>
      <c r="E83" s="27">
        <f t="shared" si="15"/>
        <v>0.32044341325083786</v>
      </c>
      <c r="F83" s="27">
        <f t="shared" si="15"/>
        <v>0.33929884775680308</v>
      </c>
      <c r="G83" s="28">
        <f t="shared" si="15"/>
        <v>0.33010806735360637</v>
      </c>
      <c r="H83" s="27">
        <f t="shared" si="15"/>
        <v>0.3530452362901188</v>
      </c>
    </row>
    <row r="84" spans="1:8" ht="12.75" customHeight="1">
      <c r="A84" s="2" t="s">
        <v>11</v>
      </c>
      <c r="B84" s="27">
        <f t="shared" si="15"/>
        <v>0.28944099378881988</v>
      </c>
      <c r="C84" s="27">
        <f t="shared" si="15"/>
        <v>0.27818596402330886</v>
      </c>
      <c r="D84" s="28">
        <f t="shared" si="15"/>
        <v>0.28386853988961364</v>
      </c>
      <c r="E84" s="27">
        <f t="shared" si="15"/>
        <v>0.2704305233307554</v>
      </c>
      <c r="F84" s="27">
        <f t="shared" si="15"/>
        <v>0.25692571708752143</v>
      </c>
      <c r="G84" s="28">
        <f t="shared" si="15"/>
        <v>0.2635084192008042</v>
      </c>
      <c r="H84" s="27">
        <f t="shared" si="15"/>
        <v>0.24361890320950216</v>
      </c>
    </row>
    <row r="85" spans="1:8">
      <c r="A85" s="2" t="s">
        <v>12</v>
      </c>
      <c r="B85" s="27">
        <f t="shared" si="15"/>
        <v>8.9440993788819881E-2</v>
      </c>
      <c r="C85" s="27">
        <f t="shared" si="15"/>
        <v>8.9435013934633933E-2</v>
      </c>
      <c r="D85" s="28">
        <f t="shared" si="15"/>
        <v>8.9438033115905674E-2</v>
      </c>
      <c r="E85" s="27">
        <f t="shared" si="15"/>
        <v>8.507347254447023E-2</v>
      </c>
      <c r="F85" s="27">
        <f t="shared" si="15"/>
        <v>7.5263544986516301E-2</v>
      </c>
      <c r="G85" s="28">
        <f t="shared" si="15"/>
        <v>8.004523749685849E-2</v>
      </c>
      <c r="H85" s="27">
        <f t="shared" si="15"/>
        <v>7.96057619408643E-2</v>
      </c>
    </row>
    <row r="86" spans="1:8" ht="3.95" customHeight="1">
      <c r="A86" s="11"/>
      <c r="B86" s="14"/>
      <c r="C86" s="14"/>
      <c r="D86" s="15"/>
      <c r="E86" s="14"/>
      <c r="F86" s="14"/>
      <c r="G86" s="15"/>
      <c r="H86" s="14"/>
    </row>
    <row r="87" spans="1:8" ht="3.95" customHeight="1">
      <c r="A87" s="11"/>
      <c r="B87" s="11"/>
      <c r="C87" s="11"/>
      <c r="D87" s="12"/>
      <c r="E87" s="11"/>
      <c r="F87" s="11"/>
      <c r="G87" s="12"/>
      <c r="H87" s="11"/>
    </row>
    <row r="88" spans="1:8">
      <c r="A88" s="4" t="s">
        <v>13</v>
      </c>
      <c r="B88" s="28">
        <f t="shared" ref="B88:H88" si="16">+B12/B$12</f>
        <v>1</v>
      </c>
      <c r="C88" s="28">
        <f t="shared" si="16"/>
        <v>1</v>
      </c>
      <c r="D88" s="28">
        <f t="shared" si="16"/>
        <v>1</v>
      </c>
      <c r="E88" s="28">
        <f t="shared" si="16"/>
        <v>1</v>
      </c>
      <c r="F88" s="28">
        <f t="shared" si="16"/>
        <v>1</v>
      </c>
      <c r="G88" s="28">
        <f t="shared" si="16"/>
        <v>1</v>
      </c>
      <c r="H88" s="28">
        <f t="shared" si="16"/>
        <v>1</v>
      </c>
    </row>
    <row r="89" spans="1:8" ht="3.95" customHeight="1" thickBot="1">
      <c r="A89" s="2"/>
      <c r="B89" s="22"/>
      <c r="C89" s="22"/>
      <c r="D89" s="22"/>
      <c r="E89" s="22"/>
      <c r="F89" s="22"/>
      <c r="G89" s="22"/>
      <c r="H89" s="22"/>
    </row>
    <row r="90" spans="1:8" ht="6" customHeight="1" thickTop="1">
      <c r="A90" s="2"/>
      <c r="B90" s="2"/>
      <c r="C90" s="2"/>
      <c r="D90" s="2"/>
      <c r="E90" s="2"/>
      <c r="F90" s="2"/>
      <c r="G90" s="2"/>
      <c r="H90" s="2"/>
    </row>
    <row r="91" spans="1:8" ht="6" customHeight="1" thickBot="1">
      <c r="A91" s="2"/>
      <c r="B91" s="2"/>
      <c r="C91" s="2"/>
      <c r="D91" s="2"/>
      <c r="E91" s="2"/>
      <c r="F91" s="2"/>
      <c r="G91" s="2"/>
      <c r="H91" s="2"/>
    </row>
    <row r="92" spans="1:8" ht="16.5" thickTop="1" thickBot="1">
      <c r="A92" s="7" t="s">
        <v>51</v>
      </c>
      <c r="B92" s="25" t="s">
        <v>0</v>
      </c>
      <c r="C92" s="25" t="s">
        <v>1</v>
      </c>
      <c r="D92" s="26" t="s">
        <v>2</v>
      </c>
      <c r="E92" s="25" t="s">
        <v>3</v>
      </c>
      <c r="F92" s="25" t="s">
        <v>4</v>
      </c>
      <c r="G92" s="26">
        <v>2011</v>
      </c>
      <c r="H92" s="25" t="s">
        <v>50</v>
      </c>
    </row>
    <row r="93" spans="1:8" ht="13.5" thickTop="1">
      <c r="A93" s="1"/>
      <c r="B93" s="1"/>
      <c r="C93" s="1"/>
      <c r="D93" s="2"/>
      <c r="E93" s="1"/>
      <c r="F93" s="1"/>
      <c r="G93" s="2"/>
      <c r="H93" s="1"/>
    </row>
    <row r="94" spans="1:8">
      <c r="A94" s="4" t="s">
        <v>30</v>
      </c>
      <c r="B94" s="28">
        <f t="shared" ref="B94:H94" si="17">+B44/B16</f>
        <v>0.25384052670080465</v>
      </c>
      <c r="C94" s="28">
        <f t="shared" si="17"/>
        <v>0.22059915820747716</v>
      </c>
      <c r="D94" s="28">
        <f t="shared" si="17"/>
        <v>0.2373464373464374</v>
      </c>
      <c r="E94" s="28">
        <f t="shared" si="17"/>
        <v>0.20577889447236183</v>
      </c>
      <c r="F94" s="28">
        <f t="shared" si="17"/>
        <v>0.28086124401913887</v>
      </c>
      <c r="G94" s="28">
        <f t="shared" si="17"/>
        <v>0.24424019607843167</v>
      </c>
      <c r="H94" s="28">
        <f t="shared" si="17"/>
        <v>0.22512195121951203</v>
      </c>
    </row>
    <row r="95" spans="1:8" ht="3.95" customHeight="1" thickBot="1">
      <c r="A95" s="2"/>
      <c r="B95" s="22"/>
      <c r="C95" s="22"/>
      <c r="D95" s="22"/>
      <c r="E95" s="22"/>
      <c r="F95" s="22"/>
      <c r="G95" s="22"/>
      <c r="H95" s="22"/>
    </row>
    <row r="96" spans="1:8" ht="13.5" thickTop="1">
      <c r="A96" s="1"/>
      <c r="B96" s="1"/>
      <c r="C96" s="1"/>
      <c r="D96" s="2"/>
      <c r="E96" s="1"/>
      <c r="F96" s="1"/>
      <c r="G96" s="2"/>
      <c r="H96" s="1"/>
    </row>
    <row r="97" spans="1:8" ht="12.75" customHeight="1">
      <c r="A97" s="19" t="s">
        <v>19</v>
      </c>
      <c r="B97" s="27">
        <f t="shared" ref="B97:H100" si="18">-B25/B$16</f>
        <v>5.3645452328700313E-2</v>
      </c>
      <c r="C97" s="27">
        <f t="shared" si="18"/>
        <v>5.0755137410250062E-2</v>
      </c>
      <c r="D97" s="28">
        <f t="shared" si="18"/>
        <v>5.2211302211302213E-2</v>
      </c>
      <c r="E97" s="27">
        <f t="shared" si="18"/>
        <v>5.2512562814070352E-2</v>
      </c>
      <c r="F97" s="27">
        <f t="shared" si="18"/>
        <v>5.3110047846889955E-2</v>
      </c>
      <c r="G97" s="28">
        <f t="shared" si="18"/>
        <v>5.2818627450980378E-2</v>
      </c>
      <c r="H97" s="27">
        <f t="shared" si="18"/>
        <v>5.4634146341463422E-2</v>
      </c>
    </row>
    <row r="98" spans="1:8">
      <c r="A98" s="19" t="s">
        <v>20</v>
      </c>
      <c r="B98" s="27">
        <f t="shared" si="18"/>
        <v>0.15776639843940501</v>
      </c>
      <c r="C98" s="27">
        <f t="shared" si="18"/>
        <v>0.16365436989353799</v>
      </c>
      <c r="D98" s="28">
        <f t="shared" si="18"/>
        <v>0.16068796068796071</v>
      </c>
      <c r="E98" s="27">
        <f t="shared" si="18"/>
        <v>0.16834170854271358</v>
      </c>
      <c r="F98" s="27">
        <f t="shared" si="18"/>
        <v>0.15119617224880377</v>
      </c>
      <c r="G98" s="28">
        <f t="shared" si="18"/>
        <v>0.1595588235294117</v>
      </c>
      <c r="H98" s="27">
        <f t="shared" si="18"/>
        <v>0.15609756097560978</v>
      </c>
    </row>
    <row r="99" spans="1:8">
      <c r="A99" s="19" t="s">
        <v>21</v>
      </c>
      <c r="B99" s="27">
        <f t="shared" si="18"/>
        <v>2.3165081687393316E-2</v>
      </c>
      <c r="C99" s="27">
        <f t="shared" si="18"/>
        <v>3.2433770735330526E-2</v>
      </c>
      <c r="D99" s="28">
        <f t="shared" si="18"/>
        <v>2.7764127764127768E-2</v>
      </c>
      <c r="E99" s="27">
        <f t="shared" si="18"/>
        <v>3.391959798994975E-2</v>
      </c>
      <c r="F99" s="27">
        <f t="shared" si="18"/>
        <v>1.6507177033492818E-2</v>
      </c>
      <c r="G99" s="28">
        <f t="shared" si="18"/>
        <v>2.4999999999999991E-2</v>
      </c>
      <c r="H99" s="27">
        <f t="shared" si="18"/>
        <v>3.5121951219512199E-2</v>
      </c>
    </row>
    <row r="100" spans="1:8">
      <c r="A100" s="19" t="s">
        <v>22</v>
      </c>
      <c r="B100" s="27">
        <f t="shared" si="18"/>
        <v>9.5342599366008293E-2</v>
      </c>
      <c r="C100" s="27">
        <f t="shared" si="18"/>
        <v>0.12230750185689528</v>
      </c>
      <c r="D100" s="28">
        <f t="shared" si="18"/>
        <v>0.10872235872235872</v>
      </c>
      <c r="E100" s="27">
        <f t="shared" si="18"/>
        <v>9.1457286432160806E-2</v>
      </c>
      <c r="F100" s="27">
        <f t="shared" si="18"/>
        <v>8.7320574162679437E-2</v>
      </c>
      <c r="G100" s="28">
        <f t="shared" si="18"/>
        <v>8.9338235294117635E-2</v>
      </c>
      <c r="H100" s="27">
        <f t="shared" si="18"/>
        <v>8.3414634146341482E-2</v>
      </c>
    </row>
    <row r="101" spans="1:8" ht="3.95" customHeight="1">
      <c r="A101" s="11"/>
      <c r="B101" s="14"/>
      <c r="C101" s="14"/>
      <c r="D101" s="15"/>
      <c r="E101" s="14"/>
      <c r="F101" s="14"/>
      <c r="G101" s="15"/>
      <c r="H101" s="14"/>
    </row>
    <row r="102" spans="1:8" ht="3.95" customHeight="1">
      <c r="A102" s="11"/>
      <c r="B102" s="11"/>
      <c r="C102" s="11"/>
      <c r="D102" s="12"/>
      <c r="E102" s="11"/>
      <c r="F102" s="11"/>
      <c r="G102" s="12"/>
      <c r="H102" s="11"/>
    </row>
    <row r="103" spans="1:8">
      <c r="A103" s="4" t="s">
        <v>23</v>
      </c>
      <c r="B103" s="28">
        <f t="shared" ref="B103:H103" si="19">-B31/B$16</f>
        <v>0.32991953182150696</v>
      </c>
      <c r="C103" s="28">
        <f t="shared" si="19"/>
        <v>0.36915077989601386</v>
      </c>
      <c r="D103" s="28">
        <f t="shared" si="19"/>
        <v>0.34938574938574934</v>
      </c>
      <c r="E103" s="28">
        <f t="shared" si="19"/>
        <v>0.34623115577889452</v>
      </c>
      <c r="F103" s="28">
        <f t="shared" si="19"/>
        <v>0.30813397129186593</v>
      </c>
      <c r="G103" s="28">
        <f t="shared" si="19"/>
        <v>0.32671568627450975</v>
      </c>
      <c r="H103" s="28">
        <f t="shared" si="19"/>
        <v>0.3292682926829269</v>
      </c>
    </row>
    <row r="104" spans="1:8" ht="3.95" customHeight="1" thickBot="1">
      <c r="A104" s="2"/>
      <c r="B104" s="22"/>
      <c r="C104" s="22"/>
      <c r="D104" s="22"/>
      <c r="E104" s="22"/>
      <c r="F104" s="22"/>
      <c r="G104" s="22"/>
      <c r="H104" s="22"/>
    </row>
    <row r="105" spans="1:8" ht="13.5" thickTop="1">
      <c r="A105" s="2"/>
      <c r="B105" s="2"/>
      <c r="C105" s="2"/>
      <c r="D105" s="2"/>
      <c r="E105" s="2"/>
      <c r="F105" s="2"/>
      <c r="G105" s="2"/>
      <c r="H105" s="2"/>
    </row>
    <row r="106" spans="1:8" ht="12.75" customHeight="1">
      <c r="A106" s="19" t="s">
        <v>24</v>
      </c>
      <c r="B106" s="27">
        <f t="shared" ref="B106:H110" si="20">-B34/B$16</f>
        <v>0.22311631309436722</v>
      </c>
      <c r="C106" s="27">
        <f t="shared" si="20"/>
        <v>0.19955434513493442</v>
      </c>
      <c r="D106" s="28">
        <f t="shared" si="20"/>
        <v>0.21142506142506146</v>
      </c>
      <c r="E106" s="27">
        <f t="shared" si="20"/>
        <v>0.20954773869346735</v>
      </c>
      <c r="F106" s="27">
        <f t="shared" si="20"/>
        <v>0.15526315789473683</v>
      </c>
      <c r="G106" s="28">
        <f t="shared" si="20"/>
        <v>0.18174019607843134</v>
      </c>
      <c r="H106" s="27">
        <f t="shared" si="20"/>
        <v>0.20219512195121955</v>
      </c>
    </row>
    <row r="107" spans="1:8">
      <c r="A107" s="19" t="s">
        <v>25</v>
      </c>
      <c r="B107" s="27">
        <f t="shared" si="20"/>
        <v>8.2662765179224565E-2</v>
      </c>
      <c r="C107" s="27">
        <f t="shared" si="20"/>
        <v>7.6256499133448882E-2</v>
      </c>
      <c r="D107" s="28">
        <f t="shared" si="20"/>
        <v>7.9484029484029481E-2</v>
      </c>
      <c r="E107" s="27">
        <f t="shared" si="20"/>
        <v>8.4673366834170857E-2</v>
      </c>
      <c r="F107" s="27">
        <f t="shared" si="20"/>
        <v>8.612440191387559E-2</v>
      </c>
      <c r="G107" s="28">
        <f t="shared" si="20"/>
        <v>8.5416666666666641E-2</v>
      </c>
      <c r="H107" s="27">
        <f t="shared" si="20"/>
        <v>7.3414634146341473E-2</v>
      </c>
    </row>
    <row r="108" spans="1:8">
      <c r="A108" s="19" t="s">
        <v>26</v>
      </c>
      <c r="B108" s="27">
        <f t="shared" si="20"/>
        <v>9.7537186052182381E-3</v>
      </c>
      <c r="C108" s="27">
        <f t="shared" si="20"/>
        <v>6.1896509036890321E-3</v>
      </c>
      <c r="D108" s="28">
        <f t="shared" si="20"/>
        <v>7.9852579852579854E-3</v>
      </c>
      <c r="E108" s="27">
        <f t="shared" si="20"/>
        <v>9.0452261306532659E-3</v>
      </c>
      <c r="F108" s="27">
        <f t="shared" si="20"/>
        <v>1.1483253588516746E-2</v>
      </c>
      <c r="G108" s="28">
        <f t="shared" si="20"/>
        <v>1.0294117647058822E-2</v>
      </c>
      <c r="H108" s="27">
        <f t="shared" si="20"/>
        <v>6.5853658536585381E-3</v>
      </c>
    </row>
    <row r="109" spans="1:8">
      <c r="A109" s="19" t="s">
        <v>27</v>
      </c>
      <c r="B109" s="27">
        <f t="shared" si="20"/>
        <v>4.1940990002438429E-2</v>
      </c>
      <c r="C109" s="27">
        <f t="shared" si="20"/>
        <v>3.6147561277543962E-2</v>
      </c>
      <c r="D109" s="28">
        <f t="shared" si="20"/>
        <v>3.9066339066339072E-2</v>
      </c>
      <c r="E109" s="27">
        <f t="shared" si="20"/>
        <v>3.5929648241206029E-2</v>
      </c>
      <c r="F109" s="27">
        <f t="shared" si="20"/>
        <v>4.5454545454545442E-2</v>
      </c>
      <c r="G109" s="28">
        <f t="shared" si="20"/>
        <v>4.0808823529411752E-2</v>
      </c>
      <c r="H109" s="27">
        <f t="shared" si="20"/>
        <v>4.3170731707317077E-2</v>
      </c>
    </row>
    <row r="110" spans="1:8">
      <c r="A110" s="19" t="s">
        <v>28</v>
      </c>
      <c r="B110" s="27">
        <f t="shared" si="20"/>
        <v>2.1945866861741038E-2</v>
      </c>
      <c r="C110" s="27">
        <f t="shared" si="20"/>
        <v>2.6244119831641502E-2</v>
      </c>
      <c r="D110" s="28">
        <f t="shared" si="20"/>
        <v>2.4078624078624079E-2</v>
      </c>
      <c r="E110" s="27">
        <f t="shared" si="20"/>
        <v>2.6633165829145728E-2</v>
      </c>
      <c r="F110" s="27">
        <f t="shared" si="20"/>
        <v>2.655502392344497E-2</v>
      </c>
      <c r="G110" s="28">
        <f t="shared" si="20"/>
        <v>2.6593137254901953E-2</v>
      </c>
      <c r="H110" s="27">
        <f t="shared" si="20"/>
        <v>3.0975609756097564E-2</v>
      </c>
    </row>
    <row r="111" spans="1:8" ht="3.95" customHeight="1">
      <c r="A111" s="11"/>
      <c r="B111" s="14"/>
      <c r="C111" s="14"/>
      <c r="D111" s="15"/>
      <c r="E111" s="14"/>
      <c r="F111" s="14"/>
      <c r="G111" s="15"/>
      <c r="H111" s="14"/>
    </row>
    <row r="112" spans="1:8" ht="3.95" customHeight="1">
      <c r="A112" s="11"/>
      <c r="B112" s="11"/>
      <c r="C112" s="11"/>
      <c r="D112" s="12"/>
      <c r="E112" s="11"/>
      <c r="F112" s="11"/>
      <c r="G112" s="12"/>
      <c r="H112" s="11"/>
    </row>
    <row r="113" spans="1:8">
      <c r="A113" s="4" t="s">
        <v>29</v>
      </c>
      <c r="B113" s="28">
        <f t="shared" ref="B113:H113" si="21">-B41/B$16</f>
        <v>0.37941965374298947</v>
      </c>
      <c r="C113" s="28">
        <f t="shared" si="21"/>
        <v>0.34439217628125773</v>
      </c>
      <c r="D113" s="28">
        <f t="shared" si="21"/>
        <v>0.36203931203931211</v>
      </c>
      <c r="E113" s="28">
        <f t="shared" si="21"/>
        <v>0.36582914572864322</v>
      </c>
      <c r="F113" s="28">
        <f t="shared" si="21"/>
        <v>0.3248803827751196</v>
      </c>
      <c r="G113" s="28">
        <f t="shared" si="21"/>
        <v>0.34485294117647047</v>
      </c>
      <c r="H113" s="28">
        <f t="shared" si="21"/>
        <v>0.35634146341463419</v>
      </c>
    </row>
    <row r="114" spans="1:8" ht="3.95" customHeight="1" thickBot="1">
      <c r="A114" s="2"/>
      <c r="B114" s="22"/>
      <c r="C114" s="22"/>
      <c r="D114" s="22"/>
      <c r="E114" s="22"/>
      <c r="F114" s="22"/>
      <c r="G114" s="22"/>
      <c r="H114" s="22"/>
    </row>
    <row r="115" spans="1:8" ht="6" customHeight="1" thickTop="1">
      <c r="A115" s="2"/>
      <c r="B115" s="2"/>
      <c r="C115" s="2"/>
      <c r="D115" s="2"/>
      <c r="E115" s="2"/>
      <c r="F115" s="2"/>
      <c r="G115" s="2"/>
      <c r="H115" s="2"/>
    </row>
    <row r="116" spans="1:8" ht="6" customHeight="1" thickBot="1">
      <c r="A116" s="2"/>
      <c r="B116" s="2"/>
      <c r="C116" s="2"/>
      <c r="D116" s="2"/>
      <c r="E116" s="2"/>
      <c r="F116" s="2"/>
      <c r="G116" s="2"/>
      <c r="H116" s="2"/>
    </row>
    <row r="117" spans="1:8" ht="15.75" thickTop="1">
      <c r="A117" s="7" t="s">
        <v>52</v>
      </c>
      <c r="B117" s="5" t="s">
        <v>0</v>
      </c>
      <c r="C117" s="5" t="s">
        <v>1</v>
      </c>
      <c r="D117" s="6" t="s">
        <v>2</v>
      </c>
      <c r="E117" s="5" t="s">
        <v>3</v>
      </c>
      <c r="F117" s="5" t="s">
        <v>4</v>
      </c>
      <c r="G117" s="6" t="s">
        <v>53</v>
      </c>
      <c r="H117" s="5" t="s">
        <v>5</v>
      </c>
    </row>
    <row r="118" spans="1:8" ht="13.5" thickBot="1">
      <c r="A118" s="1"/>
      <c r="B118" s="8" t="s">
        <v>7</v>
      </c>
      <c r="C118" s="8" t="s">
        <v>7</v>
      </c>
      <c r="D118" s="9" t="s">
        <v>7</v>
      </c>
      <c r="E118" s="8" t="s">
        <v>7</v>
      </c>
      <c r="F118" s="8" t="s">
        <v>7</v>
      </c>
      <c r="G118" s="9" t="s">
        <v>7</v>
      </c>
      <c r="H118" s="8" t="s">
        <v>7</v>
      </c>
    </row>
    <row r="119" spans="1:8" ht="13.5" thickTop="1">
      <c r="A119" s="1"/>
      <c r="B119" s="1"/>
      <c r="C119" s="1"/>
      <c r="D119" s="2"/>
      <c r="E119" s="1"/>
      <c r="F119" s="1"/>
      <c r="G119" s="2"/>
      <c r="H119" s="1"/>
    </row>
    <row r="120" spans="1:8">
      <c r="A120" s="16" t="s">
        <v>54</v>
      </c>
      <c r="B120" s="12">
        <f>+B65-B73</f>
        <v>56.399999999999984</v>
      </c>
      <c r="C120" s="12">
        <f>+C65-C73</f>
        <v>31.700000000000024</v>
      </c>
      <c r="D120" s="12">
        <f t="shared" ref="D120:D129" si="22">SUM(B120:C120)</f>
        <v>88.100000000000009</v>
      </c>
      <c r="E120" s="12">
        <f>+E65-E73</f>
        <v>-26.499999999999979</v>
      </c>
      <c r="F120" s="12">
        <f>+F65-F73</f>
        <v>-370.89999999999992</v>
      </c>
      <c r="G120" s="12">
        <f t="shared" ref="G120:G129" si="23">SUM(E120:F120)</f>
        <v>-397.39999999999992</v>
      </c>
      <c r="H120" s="12">
        <f>+H65-H73</f>
        <v>-13.700000000000077</v>
      </c>
    </row>
    <row r="121" spans="1:8">
      <c r="A121" s="20" t="s">
        <v>55</v>
      </c>
      <c r="B121" s="29">
        <f>-B53</f>
        <v>0</v>
      </c>
      <c r="C121" s="29">
        <f>-C53</f>
        <v>0.7</v>
      </c>
      <c r="D121" s="12">
        <f t="shared" si="22"/>
        <v>0.7</v>
      </c>
      <c r="E121" s="29">
        <f>-E53</f>
        <v>2.2000000000000002</v>
      </c>
      <c r="F121" s="29">
        <f>-F53</f>
        <v>4.2</v>
      </c>
      <c r="G121" s="12">
        <f t="shared" si="23"/>
        <v>6.4</v>
      </c>
      <c r="H121" s="29">
        <f>-H53</f>
        <v>2.4</v>
      </c>
    </row>
    <row r="122" spans="1:8">
      <c r="A122" s="20" t="s">
        <v>56</v>
      </c>
      <c r="B122" s="29">
        <f>-B48</f>
        <v>1.2</v>
      </c>
      <c r="C122" s="29">
        <f>-C48</f>
        <v>10.7</v>
      </c>
      <c r="D122" s="12">
        <f t="shared" si="22"/>
        <v>11.899999999999999</v>
      </c>
      <c r="E122" s="29">
        <f>-E48</f>
        <v>16.899999999999999</v>
      </c>
      <c r="F122" s="29">
        <f>-F48</f>
        <v>0.5</v>
      </c>
      <c r="G122" s="12">
        <f t="shared" si="23"/>
        <v>17.399999999999999</v>
      </c>
      <c r="H122" s="29">
        <f>-H48</f>
        <v>0.1</v>
      </c>
    </row>
    <row r="123" spans="1:8">
      <c r="A123" s="20" t="s">
        <v>57</v>
      </c>
      <c r="B123" s="29">
        <v>0</v>
      </c>
      <c r="C123" s="29">
        <v>0</v>
      </c>
      <c r="D123" s="12">
        <f t="shared" si="22"/>
        <v>0</v>
      </c>
      <c r="E123" s="11">
        <v>0</v>
      </c>
      <c r="F123" s="11">
        <v>0</v>
      </c>
      <c r="G123" s="12">
        <f t="shared" si="23"/>
        <v>0</v>
      </c>
      <c r="H123" s="11">
        <v>31.5</v>
      </c>
    </row>
    <row r="124" spans="1:8">
      <c r="A124" s="2" t="s">
        <v>58</v>
      </c>
      <c r="B124" s="29">
        <f>-B47</f>
        <v>-1.1000000000000001</v>
      </c>
      <c r="C124" s="29">
        <f>-C47</f>
        <v>-2.5999999999999996</v>
      </c>
      <c r="D124" s="12">
        <f t="shared" si="22"/>
        <v>-3.6999999999999997</v>
      </c>
      <c r="E124" s="29">
        <f t="shared" ref="E124:F124" si="24">-E47</f>
        <v>2.1</v>
      </c>
      <c r="F124" s="29">
        <f t="shared" si="24"/>
        <v>2.6</v>
      </c>
      <c r="G124" s="12">
        <f t="shared" si="23"/>
        <v>4.7</v>
      </c>
      <c r="H124" s="29">
        <f>-H47</f>
        <v>2.1</v>
      </c>
    </row>
    <row r="125" spans="1:8">
      <c r="A125" s="2" t="s">
        <v>59</v>
      </c>
      <c r="B125" s="29">
        <f>-B52</f>
        <v>6.3</v>
      </c>
      <c r="C125" s="29">
        <f>-C52</f>
        <v>10.7</v>
      </c>
      <c r="D125" s="12">
        <f t="shared" si="22"/>
        <v>17</v>
      </c>
      <c r="E125" s="29">
        <f>-E52</f>
        <v>7.5</v>
      </c>
      <c r="F125" s="29">
        <f>-F52</f>
        <v>5</v>
      </c>
      <c r="G125" s="12">
        <f t="shared" si="23"/>
        <v>12.5</v>
      </c>
      <c r="H125" s="29">
        <f>-H52</f>
        <v>9.4</v>
      </c>
    </row>
    <row r="126" spans="1:8">
      <c r="A126" s="2" t="s">
        <v>60</v>
      </c>
      <c r="B126" s="29">
        <f>51.4/2</f>
        <v>25.7</v>
      </c>
      <c r="C126" s="29">
        <f>51.4/2</f>
        <v>25.7</v>
      </c>
      <c r="D126" s="12">
        <f t="shared" si="22"/>
        <v>51.4</v>
      </c>
      <c r="E126" s="29">
        <v>59.3</v>
      </c>
      <c r="F126" s="29">
        <f>124.3-E126</f>
        <v>65</v>
      </c>
      <c r="G126" s="12">
        <f t="shared" si="23"/>
        <v>124.3</v>
      </c>
      <c r="H126" s="29">
        <v>50</v>
      </c>
    </row>
    <row r="127" spans="1:8">
      <c r="A127" s="2" t="s">
        <v>61</v>
      </c>
      <c r="B127" s="29">
        <f>-4.7/2</f>
        <v>-2.35</v>
      </c>
      <c r="C127" s="29">
        <f>-4.7/2</f>
        <v>-2.35</v>
      </c>
      <c r="D127" s="12">
        <f t="shared" si="22"/>
        <v>-4.7</v>
      </c>
      <c r="E127" s="29">
        <v>-9.9</v>
      </c>
      <c r="F127" s="29">
        <f>-15.1-E127</f>
        <v>-5.1999999999999993</v>
      </c>
      <c r="G127" s="12">
        <f t="shared" si="23"/>
        <v>-15.1</v>
      </c>
      <c r="H127" s="29">
        <v>-6.2</v>
      </c>
    </row>
    <row r="128" spans="1:8">
      <c r="A128" s="2" t="s">
        <v>62</v>
      </c>
      <c r="B128" s="29">
        <v>0</v>
      </c>
      <c r="C128" s="29">
        <v>0</v>
      </c>
      <c r="D128" s="12">
        <f t="shared" si="22"/>
        <v>0</v>
      </c>
      <c r="E128" s="29">
        <v>15.3</v>
      </c>
      <c r="F128" s="29">
        <f>408.7-E128</f>
        <v>393.4</v>
      </c>
      <c r="G128" s="12">
        <f t="shared" si="23"/>
        <v>408.7</v>
      </c>
      <c r="H128" s="29">
        <v>0</v>
      </c>
    </row>
    <row r="129" spans="1:8">
      <c r="A129" s="2" t="s">
        <v>63</v>
      </c>
      <c r="B129" s="29">
        <v>0</v>
      </c>
      <c r="C129" s="29">
        <v>0</v>
      </c>
      <c r="D129" s="12">
        <f t="shared" si="22"/>
        <v>0</v>
      </c>
      <c r="E129" s="29">
        <v>-3.6</v>
      </c>
      <c r="F129" s="29">
        <f>-5.5-E129</f>
        <v>-1.9</v>
      </c>
      <c r="G129" s="12">
        <f t="shared" si="23"/>
        <v>-5.5</v>
      </c>
      <c r="H129" s="29">
        <v>0</v>
      </c>
    </row>
    <row r="130" spans="1:8" ht="3.95" customHeight="1">
      <c r="A130" s="11"/>
      <c r="B130" s="14"/>
      <c r="C130" s="14"/>
      <c r="D130" s="15"/>
      <c r="E130" s="14"/>
      <c r="F130" s="14"/>
      <c r="G130" s="15"/>
      <c r="H130" s="14"/>
    </row>
    <row r="131" spans="1:8" ht="3.95" customHeight="1">
      <c r="A131" s="11"/>
      <c r="B131" s="11"/>
      <c r="C131" s="11"/>
      <c r="D131" s="12"/>
      <c r="E131" s="11"/>
      <c r="F131" s="11"/>
      <c r="G131" s="12"/>
      <c r="H131" s="11"/>
    </row>
    <row r="132" spans="1:8">
      <c r="A132" s="4" t="s">
        <v>64</v>
      </c>
      <c r="B132" s="12">
        <f t="shared" ref="B132:G132" si="25">SUM(B120:B131)</f>
        <v>86.149999999999991</v>
      </c>
      <c r="C132" s="12">
        <f t="shared" si="25"/>
        <v>74.550000000000026</v>
      </c>
      <c r="D132" s="12">
        <f t="shared" si="25"/>
        <v>160.70000000000002</v>
      </c>
      <c r="E132" s="12">
        <f t="shared" si="25"/>
        <v>63.300000000000018</v>
      </c>
      <c r="F132" s="12">
        <f t="shared" si="25"/>
        <v>92.700000000000074</v>
      </c>
      <c r="G132" s="12">
        <f t="shared" si="25"/>
        <v>156.00000000000003</v>
      </c>
      <c r="H132" s="12">
        <f t="shared" ref="H132" si="26">SUM(H120:H131)</f>
        <v>75.599999999999923</v>
      </c>
    </row>
    <row r="133" spans="1:8" ht="3.95" customHeight="1" thickBot="1">
      <c r="A133" s="2"/>
      <c r="B133" s="22"/>
      <c r="C133" s="22"/>
      <c r="D133" s="22"/>
      <c r="E133" s="22"/>
      <c r="F133" s="22"/>
      <c r="G133" s="22"/>
      <c r="H133" s="22"/>
    </row>
    <row r="134" spans="1:8" ht="3.75" customHeight="1" thickTop="1">
      <c r="A134" s="1"/>
      <c r="B134" s="1"/>
      <c r="C134" s="1"/>
      <c r="D134" s="2"/>
      <c r="E134" s="1"/>
      <c r="F134" s="1"/>
      <c r="G134" s="2"/>
      <c r="H134" s="1"/>
    </row>
    <row r="135" spans="1:8">
      <c r="A135" s="4" t="s">
        <v>65</v>
      </c>
      <c r="B135" s="12">
        <f t="shared" ref="B135:H135" si="27">+B66</f>
        <v>-21.4</v>
      </c>
      <c r="C135" s="12">
        <f t="shared" si="27"/>
        <v>-13.899999999999999</v>
      </c>
      <c r="D135" s="12">
        <f t="shared" si="27"/>
        <v>-35.299999999999997</v>
      </c>
      <c r="E135" s="12">
        <f t="shared" si="27"/>
        <v>-11.7</v>
      </c>
      <c r="F135" s="12">
        <f t="shared" si="27"/>
        <v>-9.4000000000000021</v>
      </c>
      <c r="G135" s="12">
        <f t="shared" si="27"/>
        <v>-21.1</v>
      </c>
      <c r="H135" s="12">
        <f t="shared" si="27"/>
        <v>-7.0999999999999988</v>
      </c>
    </row>
    <row r="136" spans="1:8">
      <c r="A136" s="30" t="s">
        <v>66</v>
      </c>
      <c r="B136" s="29">
        <f>1.3/2</f>
        <v>0.65</v>
      </c>
      <c r="C136" s="29">
        <f>1.3/2</f>
        <v>0.65</v>
      </c>
      <c r="D136" s="12">
        <f t="shared" ref="D136:D139" si="28">SUM(B136:C136)</f>
        <v>1.3</v>
      </c>
      <c r="E136" s="29">
        <v>0.4</v>
      </c>
      <c r="F136" s="29">
        <v>-0.4</v>
      </c>
      <c r="G136" s="12">
        <f t="shared" ref="G136:G139" si="29">SUM(E136:F136)</f>
        <v>0</v>
      </c>
      <c r="H136" s="29">
        <v>0</v>
      </c>
    </row>
    <row r="137" spans="1:8">
      <c r="A137" s="31" t="s">
        <v>56</v>
      </c>
      <c r="B137" s="29">
        <v>0</v>
      </c>
      <c r="C137" s="29">
        <v>0</v>
      </c>
      <c r="D137" s="12">
        <f t="shared" si="28"/>
        <v>0</v>
      </c>
      <c r="E137" s="29">
        <v>0</v>
      </c>
      <c r="F137" s="29">
        <v>0.3</v>
      </c>
      <c r="G137" s="12">
        <f t="shared" si="29"/>
        <v>0.3</v>
      </c>
      <c r="H137" s="29">
        <v>-0.1</v>
      </c>
    </row>
    <row r="138" spans="1:8">
      <c r="A138" s="31" t="s">
        <v>58</v>
      </c>
      <c r="B138" s="29">
        <v>4.3</v>
      </c>
      <c r="C138" s="29">
        <f>0.9-B138</f>
        <v>-3.4</v>
      </c>
      <c r="D138" s="12">
        <f t="shared" si="28"/>
        <v>0.89999999999999991</v>
      </c>
      <c r="E138" s="29">
        <v>-0.6</v>
      </c>
      <c r="F138" s="29">
        <f>-1.7-E138</f>
        <v>-1.1000000000000001</v>
      </c>
      <c r="G138" s="12">
        <f t="shared" si="29"/>
        <v>-1.7000000000000002</v>
      </c>
      <c r="H138" s="29">
        <v>0.4</v>
      </c>
    </row>
    <row r="139" spans="1:8">
      <c r="A139" s="31" t="s">
        <v>59</v>
      </c>
      <c r="B139" s="29">
        <v>0.5</v>
      </c>
      <c r="C139" s="29">
        <f>0.9-B139</f>
        <v>0.4</v>
      </c>
      <c r="D139" s="12">
        <f t="shared" si="28"/>
        <v>0.9</v>
      </c>
      <c r="E139" s="29">
        <v>0</v>
      </c>
      <c r="F139" s="29">
        <v>0.2</v>
      </c>
      <c r="G139" s="12">
        <f t="shared" si="29"/>
        <v>0.2</v>
      </c>
      <c r="H139" s="29">
        <v>0.1</v>
      </c>
    </row>
    <row r="140" spans="1:8" ht="3.95" customHeight="1">
      <c r="A140" s="11"/>
      <c r="B140" s="11"/>
      <c r="C140" s="11"/>
      <c r="D140" s="12"/>
      <c r="E140" s="11"/>
      <c r="F140" s="11"/>
      <c r="G140" s="12"/>
      <c r="H140" s="11"/>
    </row>
    <row r="141" spans="1:8">
      <c r="A141" s="4" t="s">
        <v>67</v>
      </c>
      <c r="B141" s="12">
        <f>+B132+SUM(B135:B139)</f>
        <v>70.199999999999989</v>
      </c>
      <c r="C141" s="12">
        <f t="shared" ref="C141:H141" si="30">+C132+SUM(C135:C139)</f>
        <v>58.300000000000026</v>
      </c>
      <c r="D141" s="12">
        <f t="shared" si="30"/>
        <v>128.5</v>
      </c>
      <c r="E141" s="12">
        <f t="shared" si="30"/>
        <v>51.40000000000002</v>
      </c>
      <c r="F141" s="12">
        <f t="shared" si="30"/>
        <v>82.300000000000068</v>
      </c>
      <c r="G141" s="12">
        <f t="shared" si="30"/>
        <v>133.70000000000002</v>
      </c>
      <c r="H141" s="12">
        <f t="shared" si="30"/>
        <v>68.89999999999992</v>
      </c>
    </row>
    <row r="142" spans="1:8" ht="3.95" customHeight="1" thickBot="1">
      <c r="A142" s="2"/>
      <c r="B142" s="22"/>
      <c r="C142" s="22"/>
      <c r="D142" s="22"/>
      <c r="E142" s="22"/>
      <c r="F142" s="22"/>
      <c r="G142" s="22"/>
      <c r="H142" s="22"/>
    </row>
    <row r="143" spans="1:8" ht="13.5" thickTop="1">
      <c r="A143" s="2"/>
      <c r="B143" s="11"/>
      <c r="C143" s="11"/>
      <c r="D143" s="12"/>
      <c r="E143" s="11"/>
      <c r="F143" s="11"/>
      <c r="G143" s="12"/>
      <c r="H143" s="11"/>
    </row>
    <row r="144" spans="1:8">
      <c r="A144" s="4" t="s">
        <v>68</v>
      </c>
      <c r="B144" s="1"/>
      <c r="C144" s="1"/>
      <c r="D144" s="2"/>
      <c r="E144" s="1"/>
      <c r="F144" s="1"/>
      <c r="G144" s="2"/>
      <c r="H144" s="1"/>
    </row>
    <row r="145" spans="1:8">
      <c r="A145" s="2" t="s">
        <v>69</v>
      </c>
      <c r="B145" s="11">
        <v>843.9</v>
      </c>
      <c r="C145" s="11">
        <v>847.9</v>
      </c>
      <c r="D145" s="12">
        <v>845.5</v>
      </c>
      <c r="E145" s="11">
        <v>848</v>
      </c>
      <c r="F145" s="11">
        <v>843</v>
      </c>
      <c r="G145" s="12">
        <v>845.5</v>
      </c>
      <c r="H145" s="11">
        <v>820.6</v>
      </c>
    </row>
    <row r="146" spans="1:8">
      <c r="A146" s="1"/>
      <c r="B146" s="11"/>
      <c r="C146" s="11"/>
      <c r="D146" s="12"/>
      <c r="E146" s="11"/>
      <c r="F146" s="11"/>
      <c r="G146" s="12"/>
      <c r="H146" s="11"/>
    </row>
    <row r="147" spans="1:8">
      <c r="A147" s="32" t="s">
        <v>70</v>
      </c>
      <c r="B147" s="11"/>
      <c r="C147" s="11"/>
      <c r="D147" s="12"/>
      <c r="E147" s="11"/>
      <c r="F147" s="11"/>
      <c r="G147" s="12"/>
      <c r="H147" s="11"/>
    </row>
    <row r="148" spans="1:8">
      <c r="A148" s="1" t="s">
        <v>71</v>
      </c>
      <c r="B148" s="11">
        <f t="shared" ref="B148:H148" si="31">+B72/B145*100</f>
        <v>4.1474108306671393</v>
      </c>
      <c r="C148" s="11">
        <f t="shared" si="31"/>
        <v>2.0993041632267988</v>
      </c>
      <c r="D148" s="12">
        <f t="shared" si="31"/>
        <v>6.2448255470136056</v>
      </c>
      <c r="E148" s="11">
        <f t="shared" si="31"/>
        <v>-4.5047169811320735</v>
      </c>
      <c r="F148" s="11">
        <f t="shared" si="31"/>
        <v>-45.112692763938306</v>
      </c>
      <c r="G148" s="12">
        <f t="shared" si="31"/>
        <v>-49.497338852749813</v>
      </c>
      <c r="H148" s="11">
        <f t="shared" si="31"/>
        <v>-2.5347306848647424</v>
      </c>
    </row>
    <row r="149" spans="1:8">
      <c r="A149" s="2" t="s">
        <v>72</v>
      </c>
      <c r="B149" s="11">
        <f t="shared" ref="B149:H149" si="32">+B141/B145*100</f>
        <v>8.3185211517952364</v>
      </c>
      <c r="C149" s="11">
        <f t="shared" si="32"/>
        <v>6.8758108267484408</v>
      </c>
      <c r="D149" s="12">
        <f t="shared" si="32"/>
        <v>15.198107628622118</v>
      </c>
      <c r="E149" s="11">
        <f t="shared" si="32"/>
        <v>6.0613207547169834</v>
      </c>
      <c r="F149" s="11">
        <f t="shared" si="32"/>
        <v>9.7627520759193445</v>
      </c>
      <c r="G149" s="12">
        <f t="shared" si="32"/>
        <v>15.813128326434065</v>
      </c>
      <c r="H149" s="11">
        <f t="shared" si="32"/>
        <v>8.3962953936144178</v>
      </c>
    </row>
    <row r="150" spans="1:8">
      <c r="A150" s="1" t="s">
        <v>73</v>
      </c>
      <c r="B150" s="11">
        <f t="shared" ref="B150:H150" si="33">+B120/B145*100</f>
        <v>6.6832563099893338</v>
      </c>
      <c r="C150" s="11">
        <f t="shared" si="33"/>
        <v>3.7386484255218804</v>
      </c>
      <c r="D150" s="12">
        <f t="shared" si="33"/>
        <v>10.419869899467772</v>
      </c>
      <c r="E150" s="11">
        <f t="shared" si="33"/>
        <v>-3.1249999999999978</v>
      </c>
      <c r="F150" s="11">
        <f t="shared" si="33"/>
        <v>-43.997627520759188</v>
      </c>
      <c r="G150" s="12">
        <f t="shared" si="33"/>
        <v>-47.001774098166756</v>
      </c>
      <c r="H150" s="11">
        <f t="shared" si="33"/>
        <v>-1.6695101145503384</v>
      </c>
    </row>
    <row r="151" spans="1:8">
      <c r="A151" s="2" t="s">
        <v>74</v>
      </c>
      <c r="B151" s="11">
        <f t="shared" ref="B151:H151" si="34">+B132/B145*100</f>
        <v>10.208555516056403</v>
      </c>
      <c r="C151" s="11">
        <f t="shared" si="34"/>
        <v>8.7923104139639143</v>
      </c>
      <c r="D151" s="12">
        <f t="shared" si="34"/>
        <v>19.006505026611475</v>
      </c>
      <c r="E151" s="11">
        <f t="shared" si="34"/>
        <v>7.4646226415094361</v>
      </c>
      <c r="F151" s="11">
        <f t="shared" si="34"/>
        <v>10.996441281138798</v>
      </c>
      <c r="G151" s="12">
        <f t="shared" si="34"/>
        <v>18.450620934358373</v>
      </c>
      <c r="H151" s="11">
        <f t="shared" si="34"/>
        <v>9.2127711430660391</v>
      </c>
    </row>
    <row r="154" spans="1:8">
      <c r="D154" s="33">
        <v>0</v>
      </c>
      <c r="G154" s="33"/>
    </row>
  </sheetData>
  <pageMargins left="0.43307086614173229" right="0.6692913385826772" top="0.19685039370078741" bottom="0.15748031496062992" header="0.19685039370078741" footer="0.15748031496062992"/>
  <pageSetup paperSize="9" scale="61" orientation="portrait" horizontalDpi="300" verticalDpi="300" r:id="rId1"/>
  <headerFooter>
    <oddFooter>&amp;R&amp;"Times New Roman"&amp;07&amp;T &amp;D&amp;L&amp;"Times New Roman"&amp;07C:\Documents and Settings\jacksp\Local Settings\Temporary Internet Files\Content.Outlook\8VMC77XW\Proforma revenue-Clean EBITDA-Income-EPS-Cashflow.xlsx[&amp;A]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 forma Income Statement</vt:lpstr>
      <vt:lpstr>'Pro forma Income Statement'!Print_Area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Delgado</dc:creator>
  <cp:lastModifiedBy>Damien Delgado</cp:lastModifiedBy>
  <dcterms:created xsi:type="dcterms:W3CDTF">2012-08-30T15:27:22Z</dcterms:created>
  <dcterms:modified xsi:type="dcterms:W3CDTF">2012-08-30T15:27:51Z</dcterms:modified>
</cp:coreProperties>
</file>