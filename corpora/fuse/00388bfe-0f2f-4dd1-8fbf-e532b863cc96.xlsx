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435" windowWidth="17955" windowHeight="11535"/>
  </bookViews>
  <sheets>
    <sheet name="Sheet1" sheetId="1" r:id="rId1"/>
    <sheet name="Sheet2" sheetId="2" r:id="rId2"/>
    <sheet name="Sheet3" sheetId="3" r:id="rId3"/>
  </sheets>
  <definedNames>
    <definedName name="_xlnm.Print_Area" localSheetId="0">Sheet1!$B$1:$H$34</definedName>
  </definedNames>
  <calcPr calcId="145621" iterateDelta="9.9999999999994451E-4" concurrentCalc="0"/>
</workbook>
</file>

<file path=xl/calcChain.xml><?xml version="1.0" encoding="utf-8"?>
<calcChain xmlns="http://schemas.openxmlformats.org/spreadsheetml/2006/main">
  <c r="H27" i="1" l="1"/>
  <c r="H29" i="1"/>
  <c r="I10" i="1"/>
  <c r="I9" i="1"/>
  <c r="I8" i="1"/>
  <c r="I7" i="1"/>
  <c r="I6" i="1"/>
  <c r="H24" i="1"/>
  <c r="H10" i="1"/>
  <c r="H26" i="1"/>
  <c r="H28" i="1"/>
  <c r="H19" i="1"/>
  <c r="H16" i="1"/>
  <c r="H32" i="1"/>
</calcChain>
</file>

<file path=xl/comments1.xml><?xml version="1.0" encoding="utf-8"?>
<comments xmlns="http://schemas.openxmlformats.org/spreadsheetml/2006/main">
  <authors>
    <author>Kiley, Brian</author>
  </authors>
  <commentList>
    <comment ref="G29" authorId="0">
      <text>
        <r>
          <rPr>
            <b/>
            <sz val="9"/>
            <color indexed="81"/>
            <rFont val="Tahoma"/>
            <family val="2"/>
          </rPr>
          <t>Kiley, Brian:</t>
        </r>
        <r>
          <rPr>
            <sz val="9"/>
            <color indexed="81"/>
            <rFont val="Tahoma"/>
            <family val="2"/>
          </rPr>
          <t xml:space="preserve">
What if study IS Break even?
</t>
        </r>
      </text>
    </comment>
  </commentList>
</comments>
</file>

<file path=xl/sharedStrings.xml><?xml version="1.0" encoding="utf-8"?>
<sst xmlns="http://schemas.openxmlformats.org/spreadsheetml/2006/main" count="67" uniqueCount="60">
  <si>
    <t>Short Title:</t>
  </si>
  <si>
    <t>PI Name:</t>
  </si>
  <si>
    <t>Study Number:</t>
  </si>
  <si>
    <t>Factor</t>
  </si>
  <si>
    <t>Points Available</t>
  </si>
  <si>
    <t>LCCC IIT</t>
  </si>
  <si>
    <t xml:space="preserve"> Externally  Peer Reviewed</t>
  </si>
  <si>
    <t>Cooperative Group</t>
  </si>
  <si>
    <t>**to be provided to PI by Finance. Trials with insufficient funding will be reviewed by POEC.</t>
  </si>
  <si>
    <t>LCCC Prioritization Checklist for New Trials</t>
  </si>
  <si>
    <t>Total Points</t>
  </si>
  <si>
    <t>Expected accrual 5, 10 or greater.</t>
  </si>
  <si>
    <t>Calculated Points</t>
  </si>
  <si>
    <t>Non-UNC IIT</t>
  </si>
  <si>
    <r>
      <t>Sponsor Type:</t>
    </r>
    <r>
      <rPr>
        <sz val="11"/>
        <color theme="1"/>
        <rFont val="Calibri"/>
        <family val="2"/>
        <scheme val="minor"/>
      </rPr>
      <t xml:space="preserve"> </t>
    </r>
  </si>
  <si>
    <r>
      <rPr>
        <sz val="11"/>
        <color rgb="FFFF0000"/>
        <rFont val="Calibri"/>
        <family val="2"/>
        <scheme val="minor"/>
      </rPr>
      <t>(</t>
    </r>
    <r>
      <rPr>
        <i/>
        <sz val="11"/>
        <color rgb="FFFF0000"/>
        <rFont val="Calibri"/>
        <family val="2"/>
        <scheme val="minor"/>
      </rPr>
      <t xml:space="preserve">please place an </t>
    </r>
    <r>
      <rPr>
        <b/>
        <i/>
        <sz val="11"/>
        <color rgb="FFFF0000"/>
        <rFont val="Calibri"/>
        <family val="2"/>
        <scheme val="minor"/>
      </rPr>
      <t xml:space="preserve">"x" </t>
    </r>
    <r>
      <rPr>
        <i/>
        <sz val="11"/>
        <color rgb="FFFF0000"/>
        <rFont val="Calibri"/>
        <family val="2"/>
        <scheme val="minor"/>
      </rPr>
      <t>beside the applicable entry)</t>
    </r>
  </si>
  <si>
    <t>Collaboration:</t>
  </si>
  <si>
    <t>Science</t>
  </si>
  <si>
    <t>Phase I Trial</t>
  </si>
  <si>
    <t>Income &amp; Clinical Potential</t>
  </si>
  <si>
    <t>Enter Target Accrual #</t>
  </si>
  <si>
    <t>LCCC IIT multicenter with academic sites</t>
  </si>
  <si>
    <t>LCCC IIT multicenter with community sites</t>
  </si>
  <si>
    <t>Provides Support for LCCC correlative research?                                                                                          Explain&gt;&gt;</t>
  </si>
  <si>
    <t>Phase II for UNC Cancer Network?</t>
  </si>
  <si>
    <t>Builds on Previous/Existing LCCC Research or continues prior phase trial completed here.                Explain&gt;&gt;</t>
  </si>
  <si>
    <t>….If not, is trial projected to break even? (revenue = costs)</t>
  </si>
  <si>
    <t>Sub-Factors</t>
  </si>
  <si>
    <t>Finance comment:</t>
  </si>
  <si>
    <t>Authorship Potential</t>
  </si>
  <si>
    <t xml:space="preserve">UNC Authorship Potential: </t>
  </si>
  <si>
    <t>No Authorship Potential (respond No to both above)</t>
  </si>
  <si>
    <t>Collaboration outside of LCCC with in UNC?                                                                                                  Explain&gt;&gt;</t>
  </si>
  <si>
    <t>Involves named Consortia?                                       (Indicate name:  ACCRU, Aptium, BTTC,SEP2C, TBCRC)&gt;&gt;</t>
  </si>
  <si>
    <r>
      <t xml:space="preserve">Yes, UNC PI </t>
    </r>
    <r>
      <rPr>
        <b/>
        <sz val="11"/>
        <color theme="1"/>
        <rFont val="Arial Narrow"/>
        <family val="2"/>
      </rPr>
      <t xml:space="preserve">will </t>
    </r>
    <r>
      <rPr>
        <sz val="11"/>
        <color theme="1"/>
        <rFont val="Arial Narrow"/>
        <family val="2"/>
      </rPr>
      <t>be first author</t>
    </r>
  </si>
  <si>
    <r>
      <t xml:space="preserve">Yes, UNC PI </t>
    </r>
    <r>
      <rPr>
        <b/>
        <sz val="11"/>
        <color theme="1"/>
        <rFont val="Arial Narrow"/>
        <family val="2"/>
      </rPr>
      <t xml:space="preserve">will not </t>
    </r>
    <r>
      <rPr>
        <sz val="11"/>
        <color theme="1"/>
        <rFont val="Arial Narrow"/>
        <family val="2"/>
      </rPr>
      <t>be first author</t>
    </r>
  </si>
  <si>
    <t>PI is Study Chair  for Cooperative Group Trial</t>
  </si>
  <si>
    <t>Budget (Expected Revenue)</t>
  </si>
  <si>
    <t>Minimum Score for CPO implentation = 4</t>
  </si>
  <si>
    <t>x=3</t>
  </si>
  <si>
    <t>x=1</t>
  </si>
  <si>
    <t>X=6</t>
  </si>
  <si>
    <t>X=3</t>
  </si>
  <si>
    <t>Projected Trial Income will exceed costs</t>
  </si>
  <si>
    <r>
      <t>Compelling clinical need</t>
    </r>
    <r>
      <rPr>
        <sz val="11"/>
        <color theme="1"/>
        <rFont val="Calibri"/>
        <family val="2"/>
        <scheme val="minor"/>
      </rPr>
      <t xml:space="preserve"> </t>
    </r>
    <r>
      <rPr>
        <sz val="10"/>
        <color theme="1"/>
        <rFont val="Calibri"/>
        <family val="2"/>
        <scheme val="minor"/>
      </rPr>
      <t>(i.e.</t>
    </r>
    <r>
      <rPr>
        <i/>
        <sz val="10"/>
        <color theme="1"/>
        <rFont val="Calibri"/>
        <family val="2"/>
        <scheme val="minor"/>
      </rPr>
      <t xml:space="preserve"> drug with documented efficacy that is not yet commercially available)</t>
    </r>
    <r>
      <rPr>
        <sz val="10"/>
        <color theme="1"/>
        <rFont val="Calibri"/>
        <family val="2"/>
        <scheme val="minor"/>
      </rPr>
      <t xml:space="preserve">.                                                                                                                </t>
    </r>
    <r>
      <rPr>
        <sz val="12"/>
        <color theme="1"/>
        <rFont val="Arial Narrow"/>
        <family val="2"/>
      </rPr>
      <t>Explain&gt;&gt;</t>
    </r>
  </si>
  <si>
    <t>(added by POEC only)</t>
  </si>
  <si>
    <t>POEC Bonus</t>
  </si>
  <si>
    <t>POD Leader to Validate score at sign off.</t>
  </si>
  <si>
    <t>Inter Institutional Collaboration.</t>
  </si>
  <si>
    <t>Version 10-30-2014</t>
  </si>
  <si>
    <t>* For Industry sponsored studies, budgets will be negotiated at  break even or  at a surplus when possible. If during negotiation it is determined that the study budget is not projected to break even  the PI will be consulted for direction and or advice. For prioritization purposes, all Industry studies will be scored as break even.</t>
  </si>
  <si>
    <t>Score of 1 for &gt;=5, 3 for &gt;=10</t>
  </si>
  <si>
    <r>
      <t>Score of 1 for</t>
    </r>
    <r>
      <rPr>
        <b/>
        <sz val="11"/>
        <color theme="1"/>
        <rFont val="Arial Narrow"/>
        <family val="2"/>
      </rPr>
      <t xml:space="preserve"> Yes</t>
    </r>
    <r>
      <rPr>
        <sz val="11"/>
        <color theme="1"/>
        <rFont val="Arial Narrow"/>
        <family val="2"/>
      </rPr>
      <t xml:space="preserve">, 0 for </t>
    </r>
    <r>
      <rPr>
        <b/>
        <sz val="11"/>
        <color theme="1"/>
        <rFont val="Arial Narrow"/>
        <family val="2"/>
      </rPr>
      <t>No</t>
    </r>
  </si>
  <si>
    <r>
      <t xml:space="preserve">Score of 3  for </t>
    </r>
    <r>
      <rPr>
        <b/>
        <sz val="11"/>
        <color theme="1"/>
        <rFont val="Arial Narrow"/>
        <family val="2"/>
      </rPr>
      <t>Yes,</t>
    </r>
    <r>
      <rPr>
        <sz val="11"/>
        <color theme="1"/>
        <rFont val="Arial Narrow"/>
        <family val="2"/>
      </rPr>
      <t xml:space="preserve"> 0 for </t>
    </r>
    <r>
      <rPr>
        <b/>
        <sz val="11"/>
        <color theme="1"/>
        <rFont val="Arial Narrow"/>
        <family val="2"/>
      </rPr>
      <t>No</t>
    </r>
  </si>
  <si>
    <r>
      <t xml:space="preserve">Score of 2 for </t>
    </r>
    <r>
      <rPr>
        <b/>
        <sz val="11"/>
        <color theme="1"/>
        <rFont val="Arial Narrow"/>
        <family val="2"/>
      </rPr>
      <t>Yes</t>
    </r>
    <r>
      <rPr>
        <sz val="11"/>
        <color theme="1"/>
        <rFont val="Arial Narrow"/>
        <family val="2"/>
      </rPr>
      <t xml:space="preserve">, 0 for </t>
    </r>
    <r>
      <rPr>
        <b/>
        <sz val="11"/>
        <color theme="1"/>
        <rFont val="Arial Narrow"/>
        <family val="2"/>
      </rPr>
      <t>No</t>
    </r>
  </si>
  <si>
    <r>
      <t xml:space="preserve">Score of 1 for </t>
    </r>
    <r>
      <rPr>
        <b/>
        <sz val="11"/>
        <color theme="1"/>
        <rFont val="Arial Narrow"/>
        <family val="2"/>
      </rPr>
      <t>Yes</t>
    </r>
    <r>
      <rPr>
        <sz val="11"/>
        <color theme="1"/>
        <rFont val="Arial Narrow"/>
        <family val="2"/>
      </rPr>
      <t xml:space="preserve">, 0 for </t>
    </r>
    <r>
      <rPr>
        <b/>
        <sz val="11"/>
        <color theme="1"/>
        <rFont val="Arial Narrow"/>
        <family val="2"/>
      </rPr>
      <t>No</t>
    </r>
  </si>
  <si>
    <r>
      <t>Score of 1 for</t>
    </r>
    <r>
      <rPr>
        <b/>
        <sz val="11"/>
        <color theme="1"/>
        <rFont val="Arial Narrow"/>
        <family val="2"/>
      </rPr>
      <t xml:space="preserve"> Yes</t>
    </r>
    <r>
      <rPr>
        <sz val="11"/>
        <color theme="1"/>
        <rFont val="Arial Narrow"/>
        <family val="2"/>
      </rPr>
      <t>, 0 for No</t>
    </r>
  </si>
  <si>
    <r>
      <t xml:space="preserve">Score of 3 for </t>
    </r>
    <r>
      <rPr>
        <b/>
        <sz val="11"/>
        <color theme="1"/>
        <rFont val="Arial Narrow"/>
        <family val="2"/>
      </rPr>
      <t>Yes</t>
    </r>
    <r>
      <rPr>
        <sz val="11"/>
        <color theme="1"/>
        <rFont val="Arial Narrow"/>
        <family val="2"/>
      </rPr>
      <t xml:space="preserve">, 0 for </t>
    </r>
    <r>
      <rPr>
        <b/>
        <sz val="11"/>
        <color theme="1"/>
        <rFont val="Arial Narrow"/>
        <family val="2"/>
      </rPr>
      <t>No</t>
    </r>
  </si>
  <si>
    <r>
      <t xml:space="preserve">Score of 2 for </t>
    </r>
    <r>
      <rPr>
        <b/>
        <sz val="11"/>
        <color theme="1"/>
        <rFont val="Arial Narrow"/>
        <family val="2"/>
      </rPr>
      <t>Yes,</t>
    </r>
    <r>
      <rPr>
        <sz val="11"/>
        <color theme="1"/>
        <rFont val="Arial Narrow"/>
        <family val="2"/>
      </rPr>
      <t xml:space="preserve"> 0 for </t>
    </r>
    <r>
      <rPr>
        <b/>
        <sz val="11"/>
        <color theme="1"/>
        <rFont val="Arial Narrow"/>
        <family val="2"/>
      </rPr>
      <t>No</t>
    </r>
  </si>
  <si>
    <t>Industry *</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</si>
</sst>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Calibri"/>
      <family val="2"/>
      <scheme val="minor"/>
    </font>
    <font>
      <sz val="11"/>
      <color rgb="FFFF0000"/>
      <name val="Calibri"/>
      <family val="2"/>
      <scheme val="minor"/>
    </font>
    <font>
      <b/>
      <sz val="11"/>
      <color theme="1"/>
      <name val="Calibri"/>
      <family val="2"/>
      <scheme val="minor"/>
    </font>
    <font>
      <sz val="22"/>
      <color theme="1"/>
      <name val="Aharoni"/>
      <charset val="177"/>
    </font>
    <font>
      <b/>
      <sz val="14"/>
      <color theme="1"/>
      <name val="Calibri"/>
      <family val="2"/>
      <scheme val="minor"/>
    </font>
    <font>
      <b/>
      <sz val="12"/>
      <color theme="1"/>
      <name val="Arial Narrow"/>
      <family val="2"/>
    </font>
    <font>
      <b/>
      <sz val="11"/>
      <color theme="1"/>
      <name val="Arial Narrow"/>
      <family val="2"/>
    </font>
    <font>
      <sz val="10"/>
      <color theme="1"/>
      <name val="Calibri"/>
      <family val="2"/>
      <scheme val="minor"/>
    </font>
    <font>
      <b/>
      <sz val="14"/>
      <color theme="1"/>
      <name val="Arial Narrow"/>
      <family val="2"/>
    </font>
    <font>
      <sz val="11"/>
      <color theme="1"/>
      <name val="Arial Narrow"/>
      <family val="2"/>
    </font>
    <font>
      <i/>
      <sz val="10"/>
      <color rgb="FFFF0000"/>
      <name val="Calibri"/>
      <family val="2"/>
      <scheme val="minor"/>
    </font>
    <font>
      <b/>
      <sz val="11"/>
      <color rgb="FFFF0000"/>
      <name val="Calibri"/>
      <family val="2"/>
      <scheme val="minor"/>
    </font>
    <font>
      <sz val="9"/>
      <color indexed="81"/>
      <name val="Tahoma"/>
      <family val="2"/>
    </font>
    <font>
      <b/>
      <sz val="9"/>
      <color indexed="81"/>
      <name val="Tahoma"/>
      <family val="2"/>
    </font>
    <font>
      <i/>
      <sz val="11"/>
      <color rgb="FFFF0000"/>
      <name val="Calibri"/>
      <family val="2"/>
      <scheme val="minor"/>
    </font>
    <font>
      <b/>
      <i/>
      <sz val="11"/>
      <color rgb="FFFF0000"/>
      <name val="Calibri"/>
      <family val="2"/>
      <scheme val="minor"/>
    </font>
    <font>
      <sz val="12"/>
      <color theme="1"/>
      <name val="Arial Narrow"/>
      <family val="2"/>
    </font>
    <font>
      <sz val="11"/>
      <color theme="0"/>
      <name val="Calibri"/>
      <family val="2"/>
      <scheme val="minor"/>
    </font>
    <font>
      <i/>
      <sz val="10"/>
      <color theme="1"/>
      <name val="Calibri"/>
      <family val="2"/>
      <scheme val="minor"/>
    </font>
    <font>
      <i/>
      <sz val="12"/>
      <color rgb="FFFF0000"/>
      <name val="Calibri"/>
      <family val="2"/>
      <scheme val="minor"/>
    </font>
    <font>
      <sz val="12"/>
      <color theme="0"/>
      <name val="Calibri"/>
      <family val="2"/>
      <scheme val="minor"/>
    </font>
    <font>
      <b/>
      <sz val="11"/>
      <color theme="0"/>
      <name val="Arial Narrow"/>
      <family val="2"/>
    </font>
    <font>
      <b/>
      <i/>
      <sz val="11"/>
      <color theme="1"/>
      <name val="Arial Narrow"/>
      <family val="2"/>
    </font>
    <font>
      <b/>
      <sz val="20"/>
      <color theme="1"/>
      <name val="Arial Narrow"/>
      <family val="2"/>
    </font>
    <font>
      <b/>
      <i/>
      <sz val="11"/>
      <color rgb="FFFF0000"/>
      <name val="Arial Narrow"/>
      <family val="2"/>
    </font>
  </fonts>
  <fills count="10">
    <fill>
      <patternFill patternType="none"/>
    </fill>
    <fill>
      <patternFill patternType="gray125"/>
    </fill>
    <fill>
      <patternFill patternType="solid">
        <fgColor rgb="FFFFFF99"/>
        <bgColor indexed="64"/>
      </patternFill>
    </fill>
    <fill>
      <patternFill patternType="solid">
        <fgColor theme="0" tint="-0.34998626667073579"/>
        <bgColor indexed="64"/>
      </patternFill>
    </fill>
    <fill>
      <patternFill patternType="solid">
        <fgColor theme="0" tint="-0.249977111117893"/>
        <bgColor indexed="64"/>
      </patternFill>
    </fill>
    <fill>
      <patternFill patternType="lightUp"/>
    </fill>
    <fill>
      <patternFill patternType="solid">
        <fgColor theme="0" tint="-0.14999847407452621"/>
        <bgColor indexed="64"/>
      </patternFill>
    </fill>
    <fill>
      <patternFill patternType="solid">
        <fgColor indexed="65"/>
        <bgColor indexed="64"/>
      </patternFill>
    </fill>
    <fill>
      <patternFill patternType="solid">
        <fgColor theme="0"/>
        <bgColor indexed="64"/>
      </patternFill>
    </fill>
    <fill>
      <patternFill patternType="lightUp">
        <bgColor theme="0"/>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right/>
      <top style="thin">
        <color indexed="64"/>
      </top>
      <bottom/>
      <diagonal/>
    </border>
    <border>
      <left style="medium">
        <color indexed="64"/>
      </left>
      <right style="thin">
        <color indexed="64"/>
      </right>
      <top/>
      <bottom style="thin">
        <color indexed="64"/>
      </bottom>
      <diagonal/>
    </border>
    <border>
      <left/>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right/>
      <top style="thin">
        <color indexed="64"/>
      </top>
      <bottom style="thin">
        <color indexed="64"/>
      </bottom>
      <diagonal/>
    </border>
  </borders>
  <cellStyleXfs count="1">
    <xf numFmtId="0" fontId="0" fillId="0" borderId="0"/>
  </cellStyleXfs>
  <cellXfs count="118">
    <xf numFmtId="0" fontId="0" fillId="0" borderId="0" xfId="0"/>
    <xf numFmtId="0" fontId="0" fillId="0" borderId="0" xfId="0" applyBorder="1"/>
    <xf numFmtId="0" fontId="2" fillId="0" borderId="0" xfId="0" applyFont="1" applyBorder="1"/>
    <xf numFmtId="0" fontId="9" fillId="0" borderId="2" xfId="0" applyFont="1" applyBorder="1"/>
    <xf numFmtId="0" fontId="9" fillId="0" borderId="3" xfId="0" applyFont="1" applyBorder="1"/>
    <xf numFmtId="0" fontId="9" fillId="0" borderId="2" xfId="0" applyFont="1" applyFill="1" applyBorder="1"/>
    <xf numFmtId="0" fontId="9" fillId="0" borderId="1" xfId="0" applyFont="1" applyBorder="1" applyAlignment="1">
      <alignment horizontal="center"/>
    </xf>
    <xf numFmtId="0" fontId="9" fillId="0" borderId="10" xfId="0" applyFont="1" applyBorder="1" applyAlignment="1">
      <alignment horizontal="center"/>
    </xf>
    <xf numFmtId="0" fontId="9" fillId="0" borderId="3" xfId="0" applyFont="1" applyBorder="1" applyAlignment="1">
      <alignment horizontal="center"/>
    </xf>
    <xf numFmtId="0" fontId="9" fillId="0" borderId="7" xfId="0" applyFont="1" applyBorder="1"/>
    <xf numFmtId="0" fontId="9" fillId="0" borderId="9" xfId="0" applyFont="1" applyBorder="1"/>
    <xf numFmtId="0" fontId="0" fillId="0" borderId="14" xfId="0" applyBorder="1"/>
    <xf numFmtId="0" fontId="6" fillId="0" borderId="17" xfId="0" applyFont="1" applyBorder="1" applyAlignment="1">
      <alignment horizontal="center"/>
    </xf>
    <xf numFmtId="0" fontId="0" fillId="0" borderId="18" xfId="0" applyBorder="1"/>
    <xf numFmtId="0" fontId="6" fillId="0" borderId="19" xfId="0" applyFont="1" applyBorder="1" applyAlignment="1">
      <alignment horizontal="center"/>
    </xf>
    <xf numFmtId="0" fontId="0" fillId="0" borderId="21" xfId="0" applyBorder="1"/>
    <xf numFmtId="0" fontId="6" fillId="0" borderId="23" xfId="0" applyFont="1" applyBorder="1" applyAlignment="1">
      <alignment horizontal="center"/>
    </xf>
    <xf numFmtId="0" fontId="10" fillId="0" borderId="20" xfId="0" applyFont="1" applyBorder="1" applyAlignment="1"/>
    <xf numFmtId="0" fontId="9" fillId="5" borderId="15" xfId="0" applyFont="1" applyFill="1" applyBorder="1"/>
    <xf numFmtId="0" fontId="9" fillId="5" borderId="28" xfId="0" applyFont="1" applyFill="1" applyBorder="1"/>
    <xf numFmtId="0" fontId="9" fillId="0" borderId="12" xfId="0" applyFont="1" applyBorder="1" applyAlignment="1">
      <alignment horizontal="center"/>
    </xf>
    <xf numFmtId="0" fontId="6" fillId="2" borderId="26" xfId="0" applyFont="1" applyFill="1" applyBorder="1" applyAlignment="1">
      <alignment vertical="top" wrapText="1"/>
    </xf>
    <xf numFmtId="0" fontId="6" fillId="0" borderId="26" xfId="0" applyFont="1" applyBorder="1" applyAlignment="1">
      <alignment horizontal="center" vertical="top" wrapText="1"/>
    </xf>
    <xf numFmtId="0" fontId="6" fillId="0" borderId="25" xfId="0" applyFont="1" applyBorder="1" applyAlignment="1">
      <alignment horizontal="center" vertical="top" wrapText="1"/>
    </xf>
    <xf numFmtId="0" fontId="6" fillId="3" borderId="1" xfId="0" applyFont="1" applyFill="1" applyBorder="1" applyAlignment="1">
      <alignment horizontal="center"/>
    </xf>
    <xf numFmtId="0" fontId="6" fillId="3" borderId="11" xfId="0" applyFont="1" applyFill="1" applyBorder="1" applyAlignment="1">
      <alignment horizontal="center"/>
    </xf>
    <xf numFmtId="0" fontId="6" fillId="3" borderId="24" xfId="0" applyFont="1" applyFill="1" applyBorder="1" applyAlignment="1">
      <alignment horizontal="center"/>
    </xf>
    <xf numFmtId="0" fontId="6" fillId="3" borderId="12" xfId="0" applyFont="1" applyFill="1" applyBorder="1" applyAlignment="1">
      <alignment horizontal="center"/>
    </xf>
    <xf numFmtId="0" fontId="9" fillId="5" borderId="4" xfId="0" applyFont="1" applyFill="1" applyBorder="1"/>
    <xf numFmtId="0" fontId="9" fillId="5" borderId="5" xfId="0" applyFont="1" applyFill="1" applyBorder="1"/>
    <xf numFmtId="0" fontId="9" fillId="5" borderId="31" xfId="0" applyFont="1" applyFill="1" applyBorder="1"/>
    <xf numFmtId="0" fontId="6" fillId="0" borderId="32" xfId="0" applyFont="1" applyBorder="1" applyAlignment="1">
      <alignment horizontal="center"/>
    </xf>
    <xf numFmtId="0" fontId="9" fillId="5" borderId="16" xfId="0" applyFont="1" applyFill="1" applyBorder="1"/>
    <xf numFmtId="0" fontId="2" fillId="0" borderId="33" xfId="0" applyFont="1" applyBorder="1" applyAlignment="1">
      <alignment horizontal="center"/>
    </xf>
    <xf numFmtId="0" fontId="5" fillId="4" borderId="13" xfId="0" applyFont="1" applyFill="1" applyBorder="1"/>
    <xf numFmtId="0" fontId="11" fillId="0" borderId="0" xfId="0" applyFont="1" applyBorder="1" applyAlignment="1"/>
    <xf numFmtId="0" fontId="5" fillId="4" borderId="14" xfId="0" applyFont="1" applyFill="1" applyBorder="1"/>
    <xf numFmtId="0" fontId="5" fillId="4" borderId="14" xfId="0" applyFont="1" applyFill="1" applyBorder="1" applyAlignment="1">
      <alignment horizontal="center"/>
    </xf>
    <xf numFmtId="0" fontId="5" fillId="4" borderId="17" xfId="0" applyFont="1" applyFill="1" applyBorder="1" applyAlignment="1">
      <alignment horizontal="center"/>
    </xf>
    <xf numFmtId="0" fontId="11" fillId="0" borderId="14" xfId="0" applyFont="1" applyBorder="1" applyAlignment="1"/>
    <xf numFmtId="0" fontId="11" fillId="0" borderId="18" xfId="0" applyFont="1" applyBorder="1" applyAlignment="1"/>
    <xf numFmtId="0" fontId="9" fillId="0" borderId="8" xfId="0" applyFont="1" applyBorder="1"/>
    <xf numFmtId="0" fontId="6" fillId="0" borderId="29" xfId="0" applyFont="1" applyBorder="1" applyAlignment="1">
      <alignment horizontal="right" vertical="top"/>
    </xf>
    <xf numFmtId="0" fontId="9" fillId="0" borderId="6" xfId="0" applyFont="1" applyBorder="1"/>
    <xf numFmtId="0" fontId="9" fillId="0" borderId="30" xfId="0" applyFont="1" applyBorder="1"/>
    <xf numFmtId="0" fontId="9" fillId="0" borderId="18" xfId="0" applyFont="1" applyBorder="1"/>
    <xf numFmtId="0" fontId="9" fillId="0" borderId="20" xfId="0" applyFont="1" applyBorder="1"/>
    <xf numFmtId="0" fontId="9" fillId="8" borderId="12" xfId="0" applyFont="1" applyFill="1" applyBorder="1" applyAlignment="1">
      <alignment horizontal="center"/>
    </xf>
    <xf numFmtId="0" fontId="6" fillId="3" borderId="7" xfId="0" applyFont="1" applyFill="1" applyBorder="1" applyAlignment="1">
      <alignment horizontal="center"/>
    </xf>
    <xf numFmtId="0" fontId="0" fillId="5" borderId="15" xfId="0" applyFill="1" applyBorder="1"/>
    <xf numFmtId="0" fontId="6" fillId="9" borderId="28" xfId="0" applyFont="1" applyFill="1" applyBorder="1" applyAlignment="1">
      <alignment horizontal="center"/>
    </xf>
    <xf numFmtId="0" fontId="0" fillId="5" borderId="16" xfId="0" applyFill="1" applyBorder="1"/>
    <xf numFmtId="0" fontId="9" fillId="8" borderId="24" xfId="0" applyFont="1" applyFill="1" applyBorder="1" applyAlignment="1">
      <alignment horizontal="center"/>
    </xf>
    <xf numFmtId="0" fontId="11" fillId="0" borderId="27" xfId="0" applyFont="1" applyBorder="1" applyAlignment="1">
      <alignment horizontal="center"/>
    </xf>
    <xf numFmtId="0" fontId="9" fillId="0" borderId="8" xfId="0" applyFont="1" applyFill="1" applyBorder="1"/>
    <xf numFmtId="0" fontId="9" fillId="0" borderId="11" xfId="0" applyFont="1" applyBorder="1" applyAlignment="1">
      <alignment horizontal="center"/>
    </xf>
    <xf numFmtId="0" fontId="9" fillId="0" borderId="22" xfId="0" applyFont="1" applyBorder="1" applyAlignment="1">
      <alignment horizontal="center"/>
    </xf>
    <xf numFmtId="0" fontId="9" fillId="0" borderId="0" xfId="0" applyFont="1" applyBorder="1"/>
    <xf numFmtId="0" fontId="0" fillId="0" borderId="18" xfId="0" applyFont="1" applyBorder="1"/>
    <xf numFmtId="0" fontId="0" fillId="5" borderId="2" xfId="0" applyFill="1" applyBorder="1"/>
    <xf numFmtId="0" fontId="9" fillId="5" borderId="3" xfId="0" applyFont="1" applyFill="1" applyBorder="1"/>
    <xf numFmtId="0" fontId="2" fillId="0" borderId="37" xfId="0" applyFont="1" applyBorder="1" applyAlignment="1">
      <alignment horizontal="center"/>
    </xf>
    <xf numFmtId="0" fontId="9" fillId="5" borderId="38" xfId="0" applyFont="1" applyFill="1" applyBorder="1"/>
    <xf numFmtId="0" fontId="9" fillId="0" borderId="14" xfId="0" applyFont="1" applyBorder="1"/>
    <xf numFmtId="0" fontId="6" fillId="3" borderId="39" xfId="0" applyFont="1" applyFill="1" applyBorder="1" applyAlignment="1">
      <alignment horizontal="center"/>
    </xf>
    <xf numFmtId="0" fontId="9" fillId="0" borderId="10" xfId="0" applyFont="1" applyFill="1" applyBorder="1" applyAlignment="1">
      <alignment horizontal="center"/>
    </xf>
    <xf numFmtId="0" fontId="9" fillId="5" borderId="18" xfId="0" applyFont="1" applyFill="1" applyBorder="1"/>
    <xf numFmtId="0" fontId="0" fillId="5" borderId="9" xfId="0" applyFill="1" applyBorder="1"/>
    <xf numFmtId="0" fontId="0" fillId="5" borderId="8" xfId="0" applyFill="1" applyBorder="1"/>
    <xf numFmtId="0" fontId="6" fillId="9" borderId="38" xfId="0" applyFont="1" applyFill="1" applyBorder="1" applyAlignment="1">
      <alignment horizontal="center"/>
    </xf>
    <xf numFmtId="0" fontId="0" fillId="0" borderId="20" xfId="0" applyBorder="1"/>
    <xf numFmtId="0" fontId="9" fillId="0" borderId="40" xfId="0" applyFont="1" applyBorder="1"/>
    <xf numFmtId="0" fontId="9" fillId="0" borderId="39" xfId="0" applyFont="1" applyBorder="1"/>
    <xf numFmtId="0" fontId="20" fillId="0" borderId="0" xfId="0" applyFont="1" applyBorder="1"/>
    <xf numFmtId="0" fontId="21" fillId="0" borderId="0" xfId="0" applyFont="1" applyBorder="1" applyAlignment="1">
      <alignment horizontal="center"/>
    </xf>
    <xf numFmtId="0" fontId="17" fillId="0" borderId="0" xfId="0" applyFont="1" applyBorder="1"/>
    <xf numFmtId="0" fontId="9" fillId="0" borderId="21" xfId="0" applyFont="1" applyBorder="1"/>
    <xf numFmtId="0" fontId="6" fillId="0" borderId="42" xfId="0" applyFont="1" applyBorder="1" applyAlignment="1">
      <alignment horizontal="center"/>
    </xf>
    <xf numFmtId="0" fontId="6" fillId="0" borderId="43" xfId="0" applyFont="1" applyBorder="1" applyAlignment="1">
      <alignment horizontal="center"/>
    </xf>
    <xf numFmtId="0" fontId="6" fillId="3" borderId="41" xfId="0" applyFont="1" applyFill="1" applyBorder="1" applyAlignment="1">
      <alignment horizontal="center"/>
    </xf>
    <xf numFmtId="0" fontId="9" fillId="0" borderId="7" xfId="0" applyFont="1" applyBorder="1" applyAlignment="1">
      <alignment horizontal="center"/>
    </xf>
    <xf numFmtId="0" fontId="9" fillId="0" borderId="7" xfId="0" applyFont="1" applyFill="1" applyBorder="1" applyAlignment="1">
      <alignment horizontal="center"/>
    </xf>
    <xf numFmtId="0" fontId="9" fillId="0" borderId="44" xfId="0" applyFont="1" applyBorder="1"/>
    <xf numFmtId="0" fontId="9" fillId="8" borderId="45" xfId="0" applyFont="1" applyFill="1" applyBorder="1" applyAlignment="1">
      <alignment horizontal="center"/>
    </xf>
    <xf numFmtId="0" fontId="9" fillId="0" borderId="35" xfId="0" applyFont="1" applyBorder="1" applyAlignment="1">
      <alignment horizontal="center"/>
    </xf>
    <xf numFmtId="0" fontId="2" fillId="0" borderId="36" xfId="0" applyFont="1" applyBorder="1"/>
    <xf numFmtId="0" fontId="9" fillId="5" borderId="7" xfId="0" applyFont="1" applyFill="1" applyBorder="1"/>
    <xf numFmtId="0" fontId="9" fillId="7" borderId="7" xfId="0" applyFont="1" applyFill="1" applyBorder="1" applyAlignment="1">
      <alignment wrapText="1"/>
    </xf>
    <xf numFmtId="0" fontId="9" fillId="7" borderId="11" xfId="0" applyFont="1" applyFill="1" applyBorder="1" applyAlignment="1">
      <alignment wrapText="1"/>
    </xf>
    <xf numFmtId="0" fontId="9" fillId="0" borderId="46" xfId="0" applyFont="1" applyBorder="1"/>
    <xf numFmtId="0" fontId="6" fillId="3" borderId="12" xfId="0" applyFont="1" applyFill="1" applyBorder="1" applyAlignment="1">
      <alignment horizontal="center" vertical="center"/>
    </xf>
    <xf numFmtId="0" fontId="23" fillId="3" borderId="3" xfId="0" applyFont="1" applyFill="1" applyBorder="1" applyAlignment="1">
      <alignment horizontal="center"/>
    </xf>
    <xf numFmtId="0" fontId="7" fillId="0" borderId="0" xfId="0" applyFont="1" applyAlignment="1">
      <alignment horizontal="right"/>
    </xf>
    <xf numFmtId="0" fontId="3" fillId="0" borderId="0" xfId="0" applyFont="1" applyAlignment="1">
      <alignment horizontal="center"/>
    </xf>
    <xf numFmtId="0" fontId="9" fillId="0" borderId="1" xfId="0" applyFont="1" applyFill="1" applyBorder="1" applyAlignment="1">
      <alignment horizontal="right" vertical="top" wrapText="1"/>
    </xf>
    <xf numFmtId="0" fontId="0" fillId="0" borderId="1" xfId="0" applyBorder="1" applyAlignment="1">
      <alignment horizontal="right" vertical="top" wrapText="1"/>
    </xf>
    <xf numFmtId="0" fontId="9" fillId="0" borderId="18" xfId="0" applyFont="1" applyBorder="1" applyAlignment="1"/>
    <xf numFmtId="0" fontId="0" fillId="0" borderId="7" xfId="0" applyBorder="1" applyAlignment="1"/>
    <xf numFmtId="0" fontId="0" fillId="0" borderId="2" xfId="0" applyBorder="1" applyAlignment="1">
      <alignment wrapText="1"/>
    </xf>
    <xf numFmtId="0" fontId="0" fillId="0" borderId="3" xfId="0" applyBorder="1" applyAlignment="1">
      <alignment wrapText="1"/>
    </xf>
    <xf numFmtId="0" fontId="9" fillId="0" borderId="18" xfId="0" applyFont="1" applyBorder="1" applyAlignment="1">
      <alignment horizontal="right" vertical="top" wrapText="1"/>
    </xf>
    <xf numFmtId="0" fontId="0" fillId="0" borderId="7" xfId="0" applyBorder="1" applyAlignment="1">
      <alignment horizontal="right" wrapText="1"/>
    </xf>
    <xf numFmtId="0" fontId="6" fillId="2" borderId="25" xfId="0" applyFont="1" applyFill="1" applyBorder="1" applyAlignment="1">
      <alignment vertical="top" wrapText="1"/>
    </xf>
    <xf numFmtId="0" fontId="0" fillId="0" borderId="27" xfId="0" applyBorder="1" applyAlignment="1">
      <alignment vertical="top" wrapText="1"/>
    </xf>
    <xf numFmtId="0" fontId="9" fillId="7" borderId="4" xfId="0" applyFont="1" applyFill="1" applyBorder="1" applyAlignment="1">
      <alignment horizontal="right"/>
    </xf>
    <xf numFmtId="0" fontId="0" fillId="0" borderId="5" xfId="0" applyBorder="1" applyAlignment="1">
      <alignment horizontal="right"/>
    </xf>
    <xf numFmtId="0" fontId="9" fillId="0" borderId="22" xfId="0" applyFont="1" applyBorder="1" applyAlignment="1">
      <alignment horizontal="right" vertical="top"/>
    </xf>
    <xf numFmtId="0" fontId="0" fillId="0" borderId="22" xfId="0" applyBorder="1" applyAlignment="1">
      <alignment horizontal="right" vertical="top"/>
    </xf>
    <xf numFmtId="0" fontId="4" fillId="4" borderId="34" xfId="0" applyFont="1" applyFill="1" applyBorder="1" applyAlignment="1">
      <alignment horizontal="center" vertical="center"/>
    </xf>
    <xf numFmtId="0" fontId="8" fillId="6" borderId="0" xfId="0" applyFont="1" applyFill="1" applyAlignment="1">
      <alignment horizontal="center" vertical="center"/>
    </xf>
    <xf numFmtId="0" fontId="24" fillId="8" borderId="0" xfId="0" applyFont="1" applyFill="1"/>
    <xf numFmtId="0" fontId="2" fillId="0" borderId="47" xfId="0" applyFont="1" applyBorder="1" applyAlignment="1">
      <alignment horizontal="center"/>
    </xf>
    <xf numFmtId="0" fontId="19" fillId="0" borderId="41" xfId="0" applyFont="1" applyBorder="1"/>
    <xf numFmtId="0" fontId="9" fillId="5" borderId="44" xfId="0" applyFont="1" applyFill="1" applyBorder="1"/>
    <xf numFmtId="0" fontId="9" fillId="5" borderId="14" xfId="0" applyFont="1" applyFill="1" applyBorder="1"/>
    <xf numFmtId="0" fontId="22" fillId="8" borderId="2" xfId="0" applyFont="1" applyFill="1" applyBorder="1" applyAlignment="1">
      <alignment wrapText="1"/>
    </xf>
    <xf numFmtId="0" fontId="0" fillId="0" borderId="48" xfId="0" applyBorder="1" applyAlignment="1">
      <alignment wrapText="1"/>
    </xf>
    <xf numFmtId="0" fontId="8" fillId="8" borderId="3" xfId="0" applyFont="1" applyFill="1" applyBorder="1"/>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4</xdr:col>
      <xdr:colOff>1924050</xdr:colOff>
      <xdr:row>4</xdr:row>
      <xdr:rowOff>28576</xdr:rowOff>
    </xdr:from>
    <xdr:to>
      <xdr:col>6</xdr:col>
      <xdr:colOff>485776</xdr:colOff>
      <xdr:row>4</xdr:row>
      <xdr:rowOff>600076</xdr:rowOff>
    </xdr:to>
    <xdr:sp macro="" textlink="">
      <xdr:nvSpPr>
        <xdr:cNvPr id="3" name="Down Arrow 2"/>
        <xdr:cNvSpPr/>
      </xdr:nvSpPr>
      <xdr:spPr>
        <a:xfrm>
          <a:off x="9172575" y="1228726"/>
          <a:ext cx="1362076" cy="571500"/>
        </a:xfrm>
        <a:prstGeom prst="downArrow">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t>Make      Entries</a:t>
          </a:r>
        </a:p>
        <a:p>
          <a:pPr algn="ctr"/>
          <a:endParaRPr lang="en-US" sz="11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I34"/>
  <sheetViews>
    <sheetView tabSelected="1" workbookViewId="0">
      <selection activeCell="D10" sqref="D10"/>
    </sheetView>
  </sheetViews>
  <sheetFormatPr defaultRowHeight="15" x14ac:dyDescent="0.25"/>
  <cols>
    <col min="2" max="2" width="27.7109375" customWidth="1"/>
    <col min="3" max="3" width="58.140625" customWidth="1"/>
    <col min="4" max="4" width="13.7109375" customWidth="1"/>
    <col min="5" max="5" width="35.5703125" customWidth="1"/>
    <col min="6" max="6" width="6.42578125" customWidth="1"/>
    <col min="7" max="7" width="26.140625" customWidth="1"/>
    <col min="8" max="8" width="35.85546875" customWidth="1"/>
    <col min="9" max="9" width="7.7109375" hidden="1" customWidth="1"/>
  </cols>
  <sheetData>
    <row r="1" spans="2:9" ht="27.75" x14ac:dyDescent="0.4">
      <c r="B1" s="93"/>
      <c r="C1" s="93"/>
      <c r="D1" s="93"/>
      <c r="E1" s="93"/>
      <c r="F1" s="93"/>
      <c r="G1" s="93"/>
      <c r="H1" s="93"/>
    </row>
    <row r="2" spans="2:9" ht="27.75" x14ac:dyDescent="0.4">
      <c r="B2" s="93" t="s">
        <v>9</v>
      </c>
      <c r="C2" s="93"/>
      <c r="D2" s="93"/>
      <c r="E2" s="93"/>
      <c r="F2" s="93"/>
      <c r="G2" s="93"/>
      <c r="H2" s="93"/>
    </row>
    <row r="3" spans="2:9" ht="4.5" customHeight="1" thickBot="1" x14ac:dyDescent="0.3"/>
    <row r="4" spans="2:9" ht="34.5" customHeight="1" thickBot="1" x14ac:dyDescent="0.3">
      <c r="B4" s="42" t="s">
        <v>1</v>
      </c>
      <c r="C4" s="21"/>
      <c r="D4" s="22" t="s">
        <v>2</v>
      </c>
      <c r="E4" s="21"/>
      <c r="F4" s="23" t="s">
        <v>0</v>
      </c>
      <c r="G4" s="102"/>
      <c r="H4" s="103"/>
    </row>
    <row r="5" spans="2:9" ht="49.5" customHeight="1" thickBot="1" x14ac:dyDescent="0.3">
      <c r="B5" s="34"/>
      <c r="C5" s="36" t="s">
        <v>3</v>
      </c>
      <c r="D5" s="36" t="s">
        <v>27</v>
      </c>
      <c r="E5" s="36"/>
      <c r="F5" s="36"/>
      <c r="G5" s="37" t="s">
        <v>4</v>
      </c>
      <c r="H5" s="38" t="s">
        <v>12</v>
      </c>
      <c r="I5" s="73"/>
    </row>
    <row r="6" spans="2:9" ht="16.5" x14ac:dyDescent="0.3">
      <c r="B6" s="33" t="s">
        <v>14</v>
      </c>
      <c r="C6" s="39" t="s">
        <v>15</v>
      </c>
      <c r="D6" s="82" t="s">
        <v>5</v>
      </c>
      <c r="E6" s="63"/>
      <c r="F6" s="79"/>
      <c r="G6" s="83" t="s">
        <v>41</v>
      </c>
      <c r="H6" s="77"/>
      <c r="I6" s="74">
        <f>IF(F6="X",6,0)</f>
        <v>0</v>
      </c>
    </row>
    <row r="7" spans="2:9" ht="16.5" x14ac:dyDescent="0.3">
      <c r="B7" s="40"/>
      <c r="C7" s="35"/>
      <c r="D7" s="43" t="s">
        <v>13</v>
      </c>
      <c r="E7" s="57"/>
      <c r="F7" s="25"/>
      <c r="G7" s="80" t="s">
        <v>42</v>
      </c>
      <c r="H7" s="31"/>
      <c r="I7" s="74">
        <f>IF(F7="X",3,0)</f>
        <v>0</v>
      </c>
    </row>
    <row r="8" spans="2:9" ht="16.5" x14ac:dyDescent="0.3">
      <c r="B8" s="13"/>
      <c r="C8" s="1"/>
      <c r="D8" s="43" t="s">
        <v>6</v>
      </c>
      <c r="E8" s="57"/>
      <c r="F8" s="25"/>
      <c r="G8" s="80" t="s">
        <v>42</v>
      </c>
      <c r="H8" s="31"/>
      <c r="I8" s="74">
        <f>IF(F8="X",3,0)</f>
        <v>0</v>
      </c>
    </row>
    <row r="9" spans="2:9" ht="16.5" x14ac:dyDescent="0.3">
      <c r="B9" s="13"/>
      <c r="C9" s="1"/>
      <c r="D9" s="43" t="s">
        <v>7</v>
      </c>
      <c r="E9" s="57"/>
      <c r="F9" s="25"/>
      <c r="G9" s="81" t="s">
        <v>39</v>
      </c>
      <c r="H9" s="31"/>
      <c r="I9" s="74">
        <f>IF(F9="X",3,0)</f>
        <v>0</v>
      </c>
    </row>
    <row r="10" spans="2:9" ht="17.25" thickBot="1" x14ac:dyDescent="0.35">
      <c r="B10" s="70"/>
      <c r="C10" s="15"/>
      <c r="D10" s="44" t="s">
        <v>59</v>
      </c>
      <c r="E10" s="76"/>
      <c r="F10" s="26"/>
      <c r="G10" s="84" t="s">
        <v>40</v>
      </c>
      <c r="H10" s="78">
        <f>SUM(I6:I10)</f>
        <v>0</v>
      </c>
      <c r="I10" s="74">
        <f>IF(F10="X",1,0)</f>
        <v>0</v>
      </c>
    </row>
    <row r="11" spans="2:9" ht="16.5" x14ac:dyDescent="0.3">
      <c r="B11" s="61" t="s">
        <v>16</v>
      </c>
      <c r="C11" s="1"/>
      <c r="D11" s="68"/>
      <c r="E11" s="62"/>
      <c r="F11" s="69"/>
      <c r="G11" s="67"/>
      <c r="H11" s="14"/>
      <c r="I11" s="75"/>
    </row>
    <row r="12" spans="2:9" ht="16.5" x14ac:dyDescent="0.3">
      <c r="B12" s="45" t="s">
        <v>24</v>
      </c>
      <c r="C12" s="1"/>
      <c r="D12" s="41" t="s">
        <v>22</v>
      </c>
      <c r="E12" s="10"/>
      <c r="F12" s="48"/>
      <c r="G12" s="20" t="s">
        <v>54</v>
      </c>
      <c r="H12" s="14"/>
      <c r="I12" s="75"/>
    </row>
    <row r="13" spans="2:9" ht="16.5" x14ac:dyDescent="0.3">
      <c r="B13" s="96" t="s">
        <v>48</v>
      </c>
      <c r="C13" s="97"/>
      <c r="D13" s="41" t="s">
        <v>21</v>
      </c>
      <c r="E13" s="4"/>
      <c r="F13" s="48"/>
      <c r="G13" s="20" t="s">
        <v>55</v>
      </c>
      <c r="H13" s="14"/>
      <c r="I13" s="75"/>
    </row>
    <row r="14" spans="2:9" ht="16.5" x14ac:dyDescent="0.3">
      <c r="B14" s="45" t="s">
        <v>23</v>
      </c>
      <c r="C14" s="1"/>
      <c r="D14" s="3"/>
      <c r="E14" s="4"/>
      <c r="F14" s="48"/>
      <c r="G14" s="6" t="s">
        <v>54</v>
      </c>
      <c r="H14" s="14"/>
    </row>
    <row r="15" spans="2:9" ht="16.5" x14ac:dyDescent="0.3">
      <c r="B15" s="45" t="s">
        <v>32</v>
      </c>
      <c r="C15" s="1"/>
      <c r="D15" s="3"/>
      <c r="E15" s="4"/>
      <c r="F15" s="48"/>
      <c r="G15" s="6" t="s">
        <v>56</v>
      </c>
      <c r="H15" s="14"/>
    </row>
    <row r="16" spans="2:9" ht="17.25" thickBot="1" x14ac:dyDescent="0.35">
      <c r="B16" s="46" t="s">
        <v>33</v>
      </c>
      <c r="C16" s="15"/>
      <c r="D16" s="71"/>
      <c r="E16" s="72"/>
      <c r="F16" s="48"/>
      <c r="G16" s="56" t="s">
        <v>57</v>
      </c>
      <c r="H16" s="16">
        <f>IF(F12="yes",2,0)+IF(F13="yes",1,0)+IF(F14="yes",2,0)+IF(F15="yes",1,0)+IF(F16="yes",3,0)</f>
        <v>0</v>
      </c>
    </row>
    <row r="17" spans="2:8" ht="16.5" x14ac:dyDescent="0.3">
      <c r="B17" s="33" t="s">
        <v>17</v>
      </c>
      <c r="C17" s="11"/>
      <c r="D17" s="49"/>
      <c r="E17" s="19"/>
      <c r="F17" s="50"/>
      <c r="G17" s="51"/>
      <c r="H17" s="12"/>
    </row>
    <row r="18" spans="2:8" ht="16.5" x14ac:dyDescent="0.3">
      <c r="B18" s="45" t="s">
        <v>18</v>
      </c>
      <c r="C18" s="57"/>
      <c r="D18" s="59"/>
      <c r="E18" s="60"/>
      <c r="F18" s="48"/>
      <c r="G18" s="55" t="s">
        <v>57</v>
      </c>
      <c r="H18" s="14"/>
    </row>
    <row r="19" spans="2:8" ht="17.25" customHeight="1" thickBot="1" x14ac:dyDescent="0.35">
      <c r="B19" s="45" t="s">
        <v>25</v>
      </c>
      <c r="C19" s="45"/>
      <c r="D19" s="43"/>
      <c r="E19" s="9"/>
      <c r="F19" s="48"/>
      <c r="G19" s="7" t="s">
        <v>54</v>
      </c>
      <c r="H19" s="14">
        <f>IF(F18="yes",3,0)+IF(F19="yes",2,0)</f>
        <v>0</v>
      </c>
    </row>
    <row r="20" spans="2:8" ht="17.25" customHeight="1" x14ac:dyDescent="0.3">
      <c r="B20" s="33" t="s">
        <v>29</v>
      </c>
      <c r="C20" s="63"/>
      <c r="D20" s="49"/>
      <c r="E20" s="19"/>
      <c r="F20" s="19"/>
      <c r="G20" s="32"/>
      <c r="H20" s="12"/>
    </row>
    <row r="21" spans="2:8" ht="16.5" x14ac:dyDescent="0.3">
      <c r="B21" s="58" t="s">
        <v>30</v>
      </c>
      <c r="C21" s="1"/>
      <c r="D21" s="54" t="s">
        <v>34</v>
      </c>
      <c r="E21" s="10"/>
      <c r="F21" s="48"/>
      <c r="G21" s="55" t="s">
        <v>57</v>
      </c>
      <c r="H21" s="14"/>
    </row>
    <row r="22" spans="2:8" ht="16.5" x14ac:dyDescent="0.3">
      <c r="B22" s="13"/>
      <c r="C22" s="1"/>
      <c r="D22" s="5" t="s">
        <v>35</v>
      </c>
      <c r="E22" s="4"/>
      <c r="F22" s="48"/>
      <c r="G22" s="7" t="s">
        <v>55</v>
      </c>
      <c r="H22" s="14"/>
    </row>
    <row r="23" spans="2:8" ht="16.5" x14ac:dyDescent="0.3">
      <c r="B23" s="13"/>
      <c r="C23" s="1"/>
      <c r="D23" s="5" t="s">
        <v>31</v>
      </c>
      <c r="E23" s="4"/>
      <c r="F23" s="24"/>
      <c r="G23" s="7"/>
      <c r="H23" s="14"/>
    </row>
    <row r="24" spans="2:8" ht="17.25" thickBot="1" x14ac:dyDescent="0.35">
      <c r="B24" s="58" t="s">
        <v>36</v>
      </c>
      <c r="C24" s="1"/>
      <c r="D24" s="28"/>
      <c r="E24" s="29"/>
      <c r="F24" s="48"/>
      <c r="G24" s="65" t="s">
        <v>58</v>
      </c>
      <c r="H24" s="14">
        <f>IF(F21="yes",3,0)+IF(F22="yes",1,0)+IF(F23="yes",0,0)+IF(F24="yes",2,0)</f>
        <v>0</v>
      </c>
    </row>
    <row r="25" spans="2:8" ht="16.5" x14ac:dyDescent="0.3">
      <c r="B25" s="33" t="s">
        <v>19</v>
      </c>
      <c r="C25" s="11"/>
      <c r="D25" s="18"/>
      <c r="E25" s="19"/>
      <c r="F25" s="19"/>
      <c r="G25" s="32"/>
      <c r="H25" s="12"/>
    </row>
    <row r="26" spans="2:8" ht="34.5" customHeight="1" x14ac:dyDescent="0.3">
      <c r="B26" s="100" t="s">
        <v>44</v>
      </c>
      <c r="C26" s="101"/>
      <c r="D26" s="98"/>
      <c r="E26" s="99"/>
      <c r="F26" s="90"/>
      <c r="G26" s="47" t="s">
        <v>52</v>
      </c>
      <c r="H26" s="14">
        <f>IF(F26="yes",1,0)</f>
        <v>0</v>
      </c>
    </row>
    <row r="27" spans="2:8" ht="16.5" x14ac:dyDescent="0.3">
      <c r="B27" s="45" t="s">
        <v>11</v>
      </c>
      <c r="C27" s="2"/>
      <c r="D27" s="104" t="s">
        <v>20</v>
      </c>
      <c r="E27" s="105"/>
      <c r="F27" s="27"/>
      <c r="G27" s="20" t="s">
        <v>51</v>
      </c>
      <c r="H27" s="31">
        <f>IF(F27&lt;1,0,IF(27&lt;6,1,3))</f>
        <v>0</v>
      </c>
    </row>
    <row r="28" spans="2:8" ht="25.5" x14ac:dyDescent="0.35">
      <c r="B28" s="89" t="s">
        <v>37</v>
      </c>
      <c r="C28" s="85"/>
      <c r="D28" s="94" t="s">
        <v>43</v>
      </c>
      <c r="E28" s="95"/>
      <c r="F28" s="91"/>
      <c r="G28" s="8" t="s">
        <v>53</v>
      </c>
      <c r="H28" s="14">
        <f>IF(F28="yes",3,0)</f>
        <v>0</v>
      </c>
    </row>
    <row r="29" spans="2:8" ht="17.25" thickBot="1" x14ac:dyDescent="0.35">
      <c r="B29" s="17" t="s">
        <v>8</v>
      </c>
      <c r="C29" s="15"/>
      <c r="D29" s="106" t="s">
        <v>26</v>
      </c>
      <c r="E29" s="107"/>
      <c r="F29" s="64"/>
      <c r="G29" s="52" t="s">
        <v>52</v>
      </c>
      <c r="H29" s="16">
        <f>IF(F29="yes",1,0)</f>
        <v>0</v>
      </c>
    </row>
    <row r="30" spans="2:8" ht="33.75" thickBot="1" x14ac:dyDescent="0.35">
      <c r="B30" s="66"/>
      <c r="C30" s="86"/>
      <c r="D30" s="87" t="s">
        <v>28</v>
      </c>
      <c r="E30" s="88"/>
      <c r="F30" s="86"/>
      <c r="G30" s="86"/>
      <c r="H30" s="14"/>
    </row>
    <row r="31" spans="2:8" ht="17.25" thickBot="1" x14ac:dyDescent="0.35">
      <c r="B31" s="111" t="s">
        <v>46</v>
      </c>
      <c r="C31" s="112" t="s">
        <v>45</v>
      </c>
      <c r="D31" s="113"/>
      <c r="E31" s="114"/>
      <c r="F31" s="114"/>
      <c r="G31" s="30"/>
      <c r="H31" s="53"/>
    </row>
    <row r="32" spans="2:8" ht="55.5" customHeight="1" thickBot="1" x14ac:dyDescent="0.35">
      <c r="B32" s="115" t="s">
        <v>50</v>
      </c>
      <c r="C32" s="116"/>
      <c r="D32" s="116"/>
      <c r="E32" s="116"/>
      <c r="F32" s="117"/>
      <c r="G32" s="109" t="s">
        <v>10</v>
      </c>
      <c r="H32" s="108">
        <f>SUM(H6:H31)</f>
        <v>0</v>
      </c>
    </row>
    <row r="33" spans="2:8" ht="16.5" x14ac:dyDescent="0.3">
      <c r="B33" s="110" t="s">
        <v>49</v>
      </c>
      <c r="F33" s="92" t="s">
        <v>38</v>
      </c>
      <c r="G33" s="92"/>
      <c r="H33" s="92"/>
    </row>
    <row r="34" spans="2:8" x14ac:dyDescent="0.25">
      <c r="F34" s="92" t="s">
        <v>47</v>
      </c>
      <c r="G34" s="92"/>
      <c r="H34" s="92"/>
    </row>
  </sheetData>
  <mergeCells count="12">
    <mergeCell ref="F34:H34"/>
    <mergeCell ref="B2:H2"/>
    <mergeCell ref="B1:H1"/>
    <mergeCell ref="D28:E28"/>
    <mergeCell ref="B13:C13"/>
    <mergeCell ref="D26:E26"/>
    <mergeCell ref="B26:C26"/>
    <mergeCell ref="G4:H4"/>
    <mergeCell ref="D27:E27"/>
    <mergeCell ref="D29:E29"/>
    <mergeCell ref="F33:H33"/>
    <mergeCell ref="B32:E32"/>
  </mergeCells>
  <pageMargins left="0.7" right="0.7" top="0.75" bottom="0.75" header="0.3" footer="0.3"/>
  <pageSetup scale="61"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The University of North Carolina at Chapel Hill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Kiley, Brian</dc:creator>
  <cp:lastModifiedBy>Kiley, Brian</cp:lastModifiedBy>
  <cp:lastPrinted>2014-11-03T19:44:37Z</cp:lastPrinted>
  <dcterms:created xsi:type="dcterms:W3CDTF">2013-02-13T15:43:02Z</dcterms:created>
  <dcterms:modified xsi:type="dcterms:W3CDTF">2014-11-18T13:38:45Z</dcterms:modified>
</cp:coreProperties>
</file>