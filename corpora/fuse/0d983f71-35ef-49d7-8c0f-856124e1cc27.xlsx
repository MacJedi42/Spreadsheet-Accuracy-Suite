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fileSharing readOnlyRecommended="1"/>
  <workbookPr showInkAnnotation="0" autoCompressPictures="0"/>
  <bookViews>
    <workbookView xWindow="4900" yWindow="8000" windowWidth="34740" windowHeight="9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6" i="1" l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<sst xmlns="http://schemas.openxmlformats.org/spreadsheetml/2006/main" count="64" uniqueCount="20">
  <si>
    <t>CERTIFICATION TEST PASS RATES*  (Revised and Updated 11/7/11)</t>
  </si>
  <si>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</si>
  <si>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</si>
  <si>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</si>
  <si>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</si>
  <si>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</si>
  <si>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</si>
  <si>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COMPLETION YEAR 2011</t>
  </si>
  <si>
    <t>INITIAL</t>
  </si>
  <si>
    <t>FINAL</t>
  </si>
  <si>
    <t>Name of Test</t>
  </si>
  <si>
    <t>Tests Taken</t>
  </si>
  <si>
    <t>Tests Passed</t>
  </si>
  <si>
    <t>Pass Rate</t>
  </si>
  <si>
    <t>Tests taken</t>
  </si>
  <si>
    <t>Generalist EC-4</t>
  </si>
  <si>
    <t>-</t>
  </si>
  <si>
    <t>Generalist EC-6 (New 2009)</t>
  </si>
  <si>
    <t>*Data obtained from Texas Education Agency's Accountability System for Educator Preparation (ASEP) report on pass rates sorted by Test.</t>
  </si>
  <si>
    <t>*2010 Texas Education Agency starting using one yearly pass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</si>
</sst>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0" fillId="2" borderId="7" xfId="0" applyNumberFormat="1" applyFont="1" applyFill="1" applyBorder="1" applyAlignment="1">
      <alignment horizontal="centerContinuous" wrapText="1"/>
    </xf>
    <xf numFmtId="9" fontId="0" fillId="2" borderId="8" xfId="0" applyNumberFormat="1" applyFont="1" applyFill="1" applyBorder="1" applyAlignment="1">
      <alignment horizontal="centerContinuous" wrapText="1"/>
    </xf>
    <xf numFmtId="9" fontId="0" fillId="2" borderId="9" xfId="0" applyNumberFormat="1" applyFont="1" applyFill="1" applyBorder="1" applyAlignment="1">
      <alignment horizontal="centerContinuous" wrapText="1"/>
    </xf>
    <xf numFmtId="9" fontId="0" fillId="2" borderId="7" xfId="0" applyNumberFormat="1" applyFill="1" applyBorder="1" applyAlignment="1">
      <alignment horizontal="centerContinuous" wrapText="1"/>
    </xf>
    <xf numFmtId="9" fontId="0" fillId="2" borderId="8" xfId="0" applyNumberFormat="1" applyFill="1" applyBorder="1" applyAlignment="1">
      <alignment horizontal="centerContinuous" wrapText="1"/>
    </xf>
    <xf numFmtId="9" fontId="0" fillId="2" borderId="10" xfId="0" applyNumberFormat="1" applyFill="1" applyBorder="1" applyAlignment="1">
      <alignment horizontal="centerContinuous" wrapText="1"/>
    </xf>
    <xf numFmtId="9" fontId="2" fillId="0" borderId="11" xfId="0" applyNumberFormat="1" applyFont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13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4" xfId="0" applyFill="1" applyBorder="1" applyAlignment="1">
      <alignment horizontal="centerContinuous" wrapText="1"/>
    </xf>
    <xf numFmtId="0" fontId="0" fillId="3" borderId="15" xfId="0" applyFill="1" applyBorder="1" applyAlignment="1">
      <alignment horizontal="centerContinuous" wrapText="1"/>
    </xf>
    <xf numFmtId="0" fontId="0" fillId="3" borderId="16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9" fontId="0" fillId="3" borderId="12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17" xfId="0" applyNumberFormat="1" applyFont="1" applyFill="1" applyBorder="1" applyAlignment="1">
      <alignment horizontal="centerContinuous" wrapText="1"/>
    </xf>
    <xf numFmtId="9" fontId="0" fillId="3" borderId="12" xfId="0" applyNumberForma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9" fontId="0" fillId="3" borderId="18" xfId="0" applyNumberFormat="1" applyFill="1" applyBorder="1" applyAlignment="1">
      <alignment horizontal="centerContinuous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2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9" fontId="0" fillId="2" borderId="22" xfId="0" applyNumberFormat="1" applyFill="1" applyBorder="1" applyAlignment="1">
      <alignment horizontal="center" wrapText="1"/>
    </xf>
    <xf numFmtId="9" fontId="0" fillId="2" borderId="23" xfId="0" applyNumberForma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0" fontId="0" fillId="2" borderId="15" xfId="0" applyFont="1" applyFill="1" applyBorder="1" applyAlignment="1">
      <alignment horizontal="center" wrapText="1"/>
    </xf>
    <xf numFmtId="9" fontId="0" fillId="2" borderId="25" xfId="0" applyNumberFormat="1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9" fontId="0" fillId="2" borderId="26" xfId="0" applyNumberFormat="1" applyFill="1" applyBorder="1" applyAlignment="1">
      <alignment horizontal="center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right" wrapText="1"/>
    </xf>
    <xf numFmtId="0" fontId="0" fillId="0" borderId="29" xfId="0" applyBorder="1" applyAlignment="1">
      <alignment horizontal="right" wrapText="1"/>
    </xf>
    <xf numFmtId="9" fontId="0" fillId="0" borderId="30" xfId="0" applyNumberFormat="1" applyBorder="1" applyAlignment="1">
      <alignment horizontal="right" wrapText="1"/>
    </xf>
    <xf numFmtId="1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9" fontId="0" fillId="0" borderId="31" xfId="0" applyNumberFormat="1" applyBorder="1" applyAlignment="1">
      <alignment horizontal="right" wrapText="1"/>
    </xf>
    <xf numFmtId="1" fontId="0" fillId="0" borderId="32" xfId="0" applyNumberFormat="1" applyBorder="1" applyAlignment="1">
      <alignment horizontal="right" wrapText="1"/>
    </xf>
    <xf numFmtId="0" fontId="3" fillId="0" borderId="28" xfId="0" applyFont="1" applyBorder="1" applyAlignment="1">
      <alignment horizontal="right" wrapText="1"/>
    </xf>
    <xf numFmtId="0" fontId="3" fillId="0" borderId="29" xfId="0" applyFont="1" applyBorder="1" applyAlignment="1">
      <alignment horizontal="right" wrapText="1"/>
    </xf>
    <xf numFmtId="0" fontId="3" fillId="0" borderId="30" xfId="0" applyFont="1" applyBorder="1" applyAlignment="1">
      <alignment horizontal="right" wrapText="1"/>
    </xf>
    <xf numFmtId="0" fontId="0" fillId="0" borderId="28" xfId="0" applyFill="1" applyBorder="1" applyAlignment="1">
      <alignment horizontal="right" wrapText="1"/>
    </xf>
    <xf numFmtId="9" fontId="2" fillId="0" borderId="13" xfId="0" applyNumberFormat="1" applyFont="1" applyBorder="1" applyAlignment="1">
      <alignment horizontal="centerContinuous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tabSelected="1" workbookViewId="0">
      <selection activeCell="A8" sqref="A8:A9"/>
    </sheetView>
  </sheetViews>
  <sheetFormatPr baseColWidth="10" defaultRowHeight="15" x14ac:dyDescent="0"/>
  <cols>
    <col min="1" max="1" width="41.6640625" customWidth="1"/>
    <col min="2" max="2" width="7.83203125" customWidth="1"/>
    <col min="3" max="3" width="8" customWidth="1"/>
    <col min="4" max="4" width="7.83203125" customWidth="1"/>
    <col min="5" max="5" width="7.5" customWidth="1"/>
    <col min="6" max="6" width="8.33203125" customWidth="1"/>
    <col min="7" max="7" width="7.5" customWidth="1"/>
    <col min="8" max="8" width="8" customWidth="1"/>
    <col min="9" max="9" width="8.5" customWidth="1"/>
    <col min="10" max="12" width="8.1640625" customWidth="1"/>
    <col min="13" max="13" width="7" customWidth="1"/>
    <col min="14" max="14" width="7.1640625" customWidth="1"/>
    <col min="15" max="15" width="7.5" customWidth="1"/>
    <col min="16" max="16" width="7.83203125" customWidth="1"/>
    <col min="17" max="18" width="7.6640625" customWidth="1"/>
    <col min="19" max="19" width="8.1640625" customWidth="1"/>
    <col min="20" max="20" width="8" customWidth="1"/>
    <col min="21" max="21" width="7.83203125" customWidth="1"/>
    <col min="22" max="23" width="7.6640625" customWidth="1"/>
    <col min="24" max="24" width="8.1640625" customWidth="1"/>
    <col min="25" max="25" width="8.33203125" customWidth="1"/>
    <col min="26" max="26" width="8.1640625" customWidth="1"/>
    <col min="27" max="27" width="9.33203125" customWidth="1"/>
    <col min="28" max="28" width="8.1640625" customWidth="1"/>
    <col min="29" max="29" width="8" customWidth="1"/>
    <col min="30" max="30" width="8.5" customWidth="1"/>
    <col min="31" max="31" width="8.33203125" customWidth="1"/>
    <col min="32" max="32" width="8" customWidth="1"/>
    <col min="33" max="33" width="9.6640625" customWidth="1"/>
    <col min="34" max="34" width="8.33203125" customWidth="1"/>
    <col min="35" max="35" width="8.83203125" customWidth="1"/>
    <col min="36" max="36" width="8.6640625" customWidth="1"/>
    <col min="37" max="37" width="8.33203125" customWidth="1"/>
  </cols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1</v>
      </c>
      <c r="C3" s="8"/>
      <c r="D3" s="8"/>
      <c r="E3" s="8"/>
      <c r="F3" s="8"/>
      <c r="G3" s="9"/>
      <c r="H3" s="8" t="s">
        <v>2</v>
      </c>
      <c r="I3" s="8"/>
      <c r="J3" s="8"/>
      <c r="K3" s="8"/>
      <c r="L3" s="8"/>
      <c r="M3" s="9"/>
      <c r="N3" s="10" t="s">
        <v>3</v>
      </c>
      <c r="O3" s="11"/>
      <c r="P3" s="11"/>
      <c r="Q3" s="11"/>
      <c r="R3" s="11"/>
      <c r="S3" s="12"/>
      <c r="T3" s="13" t="s">
        <v>4</v>
      </c>
      <c r="U3" s="14"/>
      <c r="V3" s="14"/>
      <c r="W3" s="14"/>
      <c r="X3" s="14"/>
      <c r="Y3" s="15"/>
      <c r="Z3" s="13" t="s">
        <v>5</v>
      </c>
      <c r="AA3" s="14"/>
      <c r="AB3" s="14"/>
      <c r="AC3" s="14"/>
      <c r="AD3" s="14"/>
      <c r="AE3" s="14"/>
      <c r="AF3" s="16" t="s">
        <v>6</v>
      </c>
      <c r="AG3" s="17"/>
      <c r="AH3" s="18"/>
      <c r="AI3" s="19" t="s">
        <v>7</v>
      </c>
      <c r="AJ3" s="20"/>
      <c r="AK3" s="21"/>
    </row>
    <row r="4" spans="1:37" ht="16" thickBot="1">
      <c r="A4" s="22"/>
      <c r="B4" s="23" t="s">
        <v>8</v>
      </c>
      <c r="C4" s="24"/>
      <c r="D4" s="25"/>
      <c r="E4" s="23" t="s">
        <v>9</v>
      </c>
      <c r="F4" s="24"/>
      <c r="G4" s="25"/>
      <c r="H4" s="26" t="s">
        <v>8</v>
      </c>
      <c r="I4" s="27"/>
      <c r="J4" s="28"/>
      <c r="K4" s="26" t="s">
        <v>9</v>
      </c>
      <c r="L4" s="27"/>
      <c r="M4" s="27"/>
      <c r="N4" s="29" t="s">
        <v>8</v>
      </c>
      <c r="O4" s="30"/>
      <c r="P4" s="31"/>
      <c r="Q4" s="29" t="s">
        <v>9</v>
      </c>
      <c r="R4" s="30"/>
      <c r="S4" s="31"/>
      <c r="T4" s="27" t="s">
        <v>8</v>
      </c>
      <c r="U4" s="27"/>
      <c r="V4" s="27"/>
      <c r="W4" s="32" t="s">
        <v>9</v>
      </c>
      <c r="X4" s="33"/>
      <c r="Y4" s="34"/>
      <c r="Z4" s="33" t="s">
        <v>8</v>
      </c>
      <c r="AA4" s="33"/>
      <c r="AB4" s="33"/>
      <c r="AC4" s="32" t="s">
        <v>9</v>
      </c>
      <c r="AD4" s="33"/>
      <c r="AE4" s="33"/>
      <c r="AF4" s="35" t="s">
        <v>9</v>
      </c>
      <c r="AG4" s="36"/>
      <c r="AH4" s="37"/>
      <c r="AI4" s="38" t="s">
        <v>9</v>
      </c>
      <c r="AJ4" s="39"/>
      <c r="AK4" s="40"/>
    </row>
    <row r="5" spans="1:37" ht="31" thickBot="1">
      <c r="A5" s="41" t="s">
        <v>10</v>
      </c>
      <c r="B5" s="42" t="s">
        <v>11</v>
      </c>
      <c r="C5" s="43" t="s">
        <v>12</v>
      </c>
      <c r="D5" s="44" t="s">
        <v>13</v>
      </c>
      <c r="E5" s="42" t="s">
        <v>14</v>
      </c>
      <c r="F5" s="43" t="s">
        <v>12</v>
      </c>
      <c r="G5" s="44" t="s">
        <v>13</v>
      </c>
      <c r="H5" s="42" t="s">
        <v>14</v>
      </c>
      <c r="I5" s="43" t="s">
        <v>12</v>
      </c>
      <c r="J5" s="44" t="s">
        <v>13</v>
      </c>
      <c r="K5" s="42" t="s">
        <v>14</v>
      </c>
      <c r="L5" s="43" t="s">
        <v>12</v>
      </c>
      <c r="M5" s="45" t="s">
        <v>13</v>
      </c>
      <c r="N5" s="42" t="s">
        <v>14</v>
      </c>
      <c r="O5" s="43" t="s">
        <v>12</v>
      </c>
      <c r="P5" s="44" t="s">
        <v>13</v>
      </c>
      <c r="Q5" s="42" t="s">
        <v>14</v>
      </c>
      <c r="R5" s="43" t="s">
        <v>12</v>
      </c>
      <c r="S5" s="44" t="s">
        <v>13</v>
      </c>
      <c r="T5" s="46" t="s">
        <v>14</v>
      </c>
      <c r="U5" s="43" t="s">
        <v>12</v>
      </c>
      <c r="V5" s="45" t="s">
        <v>13</v>
      </c>
      <c r="W5" s="42" t="s">
        <v>14</v>
      </c>
      <c r="X5" s="43" t="s">
        <v>12</v>
      </c>
      <c r="Y5" s="47" t="s">
        <v>13</v>
      </c>
      <c r="Z5" s="46" t="s">
        <v>14</v>
      </c>
      <c r="AA5" s="43" t="s">
        <v>12</v>
      </c>
      <c r="AB5" s="48" t="s">
        <v>13</v>
      </c>
      <c r="AC5" s="42" t="s">
        <v>14</v>
      </c>
      <c r="AD5" s="43" t="s">
        <v>12</v>
      </c>
      <c r="AE5" s="48" t="s">
        <v>13</v>
      </c>
      <c r="AF5" s="49" t="s">
        <v>14</v>
      </c>
      <c r="AG5" s="50" t="s">
        <v>12</v>
      </c>
      <c r="AH5" s="51" t="s">
        <v>13</v>
      </c>
      <c r="AI5" s="52" t="s">
        <v>14</v>
      </c>
      <c r="AJ5" s="53" t="s">
        <v>12</v>
      </c>
      <c r="AK5" s="54" t="s">
        <v>13</v>
      </c>
    </row>
    <row r="6" spans="1:37">
      <c r="A6" s="55" t="s">
        <v>15</v>
      </c>
      <c r="B6" s="56">
        <v>119</v>
      </c>
      <c r="C6" s="57">
        <v>117</v>
      </c>
      <c r="D6" s="58">
        <f>C6/B6</f>
        <v>0.98319327731092432</v>
      </c>
      <c r="E6" s="59">
        <v>119</v>
      </c>
      <c r="F6" s="60">
        <v>117</v>
      </c>
      <c r="G6" s="58">
        <f t="shared" ref="G6:G7" si="0">(F6/E6)</f>
        <v>0.98319327731092432</v>
      </c>
      <c r="H6" s="59">
        <v>89</v>
      </c>
      <c r="I6" s="60">
        <v>88</v>
      </c>
      <c r="J6" s="58">
        <f t="shared" ref="J6:J7" si="1">I6/H6</f>
        <v>0.9887640449438202</v>
      </c>
      <c r="K6" s="59">
        <v>89</v>
      </c>
      <c r="L6" s="60">
        <v>88</v>
      </c>
      <c r="M6" s="61">
        <f t="shared" ref="M6:M7" si="2">L6/K6</f>
        <v>0.9887640449438202</v>
      </c>
      <c r="N6" s="59">
        <v>92</v>
      </c>
      <c r="O6" s="60">
        <v>86</v>
      </c>
      <c r="P6" s="58">
        <f t="shared" ref="P6:P7" si="3">O6/N6</f>
        <v>0.93478260869565222</v>
      </c>
      <c r="Q6" s="59">
        <v>93</v>
      </c>
      <c r="R6" s="60">
        <v>88</v>
      </c>
      <c r="S6" s="58">
        <f t="shared" ref="S6:S7" si="4">R6/Q6</f>
        <v>0.94623655913978499</v>
      </c>
      <c r="T6" s="62">
        <v>88</v>
      </c>
      <c r="U6" s="60">
        <v>88</v>
      </c>
      <c r="V6" s="61">
        <f t="shared" ref="V6:V7" si="5">U6/T6</f>
        <v>1</v>
      </c>
      <c r="W6" s="56">
        <v>89</v>
      </c>
      <c r="X6" s="57">
        <v>89</v>
      </c>
      <c r="Y6" s="61">
        <v>1</v>
      </c>
      <c r="Z6" s="56">
        <v>89</v>
      </c>
      <c r="AA6" s="57">
        <v>88</v>
      </c>
      <c r="AB6" s="58">
        <v>0.98899999999999999</v>
      </c>
      <c r="AC6" s="56">
        <v>89</v>
      </c>
      <c r="AD6" s="57">
        <v>88</v>
      </c>
      <c r="AE6" s="61">
        <v>0.98899999999999999</v>
      </c>
      <c r="AF6" s="56">
        <v>44</v>
      </c>
      <c r="AG6" s="57">
        <v>43</v>
      </c>
      <c r="AH6" s="61">
        <v>0.97699999999999998</v>
      </c>
      <c r="AI6" s="63" t="s">
        <v>16</v>
      </c>
      <c r="AJ6" s="64" t="s">
        <v>16</v>
      </c>
      <c r="AK6" s="65" t="s">
        <v>16</v>
      </c>
    </row>
    <row r="7" spans="1:37">
      <c r="A7" s="55" t="s">
        <v>17</v>
      </c>
      <c r="B7" s="56"/>
      <c r="C7" s="57"/>
      <c r="D7" s="58"/>
      <c r="E7" s="59"/>
      <c r="F7" s="60"/>
      <c r="G7" s="58"/>
      <c r="H7" s="59"/>
      <c r="I7" s="60"/>
      <c r="J7" s="58"/>
      <c r="K7" s="59"/>
      <c r="L7" s="60"/>
      <c r="M7" s="61"/>
      <c r="N7" s="59"/>
      <c r="O7" s="60"/>
      <c r="P7" s="58"/>
      <c r="Q7" s="59"/>
      <c r="R7" s="60"/>
      <c r="S7" s="58"/>
      <c r="T7" s="62"/>
      <c r="U7" s="60"/>
      <c r="V7" s="61"/>
      <c r="W7" s="56"/>
      <c r="X7" s="57"/>
      <c r="Y7" s="61"/>
      <c r="Z7" s="56"/>
      <c r="AA7" s="57"/>
      <c r="AB7" s="58"/>
      <c r="AC7" s="56"/>
      <c r="AD7" s="57"/>
      <c r="AE7" s="61"/>
      <c r="AF7" s="56">
        <v>28</v>
      </c>
      <c r="AG7" s="57">
        <v>26</v>
      </c>
      <c r="AH7" s="61">
        <v>0.92900000000000005</v>
      </c>
      <c r="AI7" s="66">
        <v>73</v>
      </c>
      <c r="AJ7" s="57">
        <v>65</v>
      </c>
      <c r="AK7" s="58">
        <v>0.89</v>
      </c>
    </row>
    <row r="8" spans="1:37" ht="37">
      <c r="A8" s="67" t="s">
        <v>18</v>
      </c>
    </row>
    <row r="9" spans="1:37" ht="30">
      <c r="A9" s="68" t="s">
        <v>19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2012-05-09T21:07:07Z</dcterms:created>
  <dcterms:modified xsi:type="dcterms:W3CDTF">2012-05-09T21:13:12Z</dcterms:modified>
</cp:coreProperties>
</file>