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3920" yWindow="100" windowWidth="20820" windowHeight="21000"/>
  </bookViews>
  <sheets>
    <sheet name="CDAR" sheetId="1" r:id="rId1"/>
  </sheets>
  <externalReferences>
    <externalReference r:id="rId2"/>
  </externalReferences>
  <definedNames>
    <definedName name="ADJSIZE">#REF!</definedName>
    <definedName name="ADSIZE2">#REF!</definedName>
    <definedName name="BLDGREMO">#REF!</definedName>
    <definedName name="CONCOST">#REF!</definedName>
    <definedName name="dept" localSheetId="0">'[1]LIBRARY Tab'!$A$3:$B$230</definedName>
    <definedName name="dept">#REF!</definedName>
    <definedName name="ENR">#REF!</definedName>
    <definedName name="Print_Area_MI">#REF!</definedName>
    <definedName name="TOTBLDG">#REF!</definedName>
    <definedName name="TOTCONST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G16" i="1"/>
  <c r="I16" i="1"/>
  <c r="G20" i="1"/>
  <c r="I20" i="1"/>
  <c r="G19" i="1"/>
  <c r="I19" i="1"/>
  <c r="G18" i="1"/>
  <c r="I18" i="1"/>
  <c r="G17" i="1"/>
  <c r="I17" i="1"/>
  <c r="G15" i="1"/>
  <c r="I15" i="1"/>
  <c r="G14" i="1"/>
  <c r="I14" i="1"/>
  <c r="G13" i="1"/>
  <c r="I13" i="1"/>
  <c r="G12" i="1"/>
  <c r="I12" i="1"/>
  <c r="B22" i="1"/>
  <c r="C22" i="1"/>
  <c r="E22" i="1"/>
  <c r="F22" i="1"/>
  <c r="G22" i="1"/>
  <c r="H22" i="1"/>
  <c r="I22" i="1"/>
</calcChain>
</file>

<file path=xl/comments1.xml><?xml version="1.0" encoding="utf-8"?>
<comments xmlns="http://schemas.openxmlformats.org/spreadsheetml/2006/main">
  <authors>
    <author>Thomas J. Bittner</author>
  </authors>
  <commentList>
    <comment ref="D12" authorId="0">
      <text>
        <r>
          <rPr>
            <b/>
            <sz val="8"/>
            <color indexed="81"/>
            <rFont val="Swis721 Cn BT"/>
            <family val="2"/>
          </rPr>
          <t>67% PLANNED OCCUPANCY
TC: 25 ASF/user
Includes rooms with capacities between 001 - 020.</t>
        </r>
      </text>
    </comment>
    <comment ref="D13" authorId="0">
      <text>
        <r>
          <rPr>
            <b/>
            <sz val="8"/>
            <color indexed="81"/>
            <rFont val="Swis721 Cn BT"/>
            <family val="2"/>
          </rPr>
          <t>67% PLANNED OCCUPANCY
TC: 25 ASF/user
Includes rooms with capacities between 021 - 040.</t>
        </r>
      </text>
    </comment>
    <comment ref="D14" authorId="0">
      <text>
        <r>
          <rPr>
            <b/>
            <sz val="8"/>
            <color indexed="81"/>
            <rFont val="Swis721 Cn BT"/>
            <family val="2"/>
          </rPr>
          <t>67% PLANNED OCCUPANCY
TC: 25 ASF/user
Includes rooms with capacities between 041 - 055.</t>
        </r>
      </text>
    </comment>
    <comment ref="D15" authorId="0">
      <text>
        <r>
          <rPr>
            <b/>
            <sz val="8"/>
            <color indexed="81"/>
            <rFont val="Swis721 Cn BT"/>
            <family val="2"/>
          </rPr>
          <t>75% PLANNED OCCUPANCY
TC: 25 ASF/user
Includes rooms with capacities between 056 - 070.</t>
        </r>
      </text>
    </comment>
    <comment ref="D16" authorId="0">
      <text>
        <r>
          <rPr>
            <b/>
            <sz val="8"/>
            <color indexed="81"/>
            <rFont val="Swis721 Cn BT"/>
            <family val="2"/>
          </rPr>
          <t>75% PLANNED OCCUPANCY
TM: 20 ASF/user
Includes rooms with capacities between 071 - 090.</t>
        </r>
      </text>
    </comment>
    <comment ref="D17" authorId="0">
      <text>
        <r>
          <rPr>
            <b/>
            <sz val="8"/>
            <color indexed="81"/>
            <rFont val="Swis721 Cn BT"/>
            <family val="2"/>
          </rPr>
          <t>80% PLANNED OCCUPANCY
TM: 20 ASF/user
Includes rooms with capacities between 091 - 110.</t>
        </r>
      </text>
    </comment>
    <comment ref="D18" authorId="0">
      <text>
        <r>
          <rPr>
            <b/>
            <sz val="8"/>
            <color indexed="81"/>
            <rFont val="Swis721 Cn BT"/>
            <family val="2"/>
          </rPr>
          <t>87% PLANNED OCCUPANCY
TC: 20 ASF/user
Includes rooms with capacities between 111 - 150.</t>
        </r>
      </text>
    </comment>
    <comment ref="D19" authorId="0">
      <text>
        <r>
          <rPr>
            <b/>
            <sz val="8"/>
            <color indexed="81"/>
            <rFont val="Swis721 Cn BT"/>
            <family val="2"/>
          </rPr>
          <t>87% PLANNED OCCUPANCY
TC: 20 ASF/user
Includes rooms with capacities between 151 - 200.</t>
        </r>
      </text>
    </comment>
    <comment ref="D20" authorId="0">
      <text>
        <r>
          <rPr>
            <b/>
            <sz val="8"/>
            <color indexed="81"/>
            <rFont val="Swis721 Cn BT"/>
            <family val="2"/>
          </rPr>
          <t>87% PLANNED OCCUPANCY
TC: 25 ASF/user
Includes rooms with capacities between 201 - 225.</t>
        </r>
      </text>
    </comment>
  </commentList>
</comments>
</file>

<file path=xl/sharedStrings.xml><?xml version="1.0" encoding="utf-8"?>
<sst xmlns="http://schemas.openxmlformats.org/spreadsheetml/2006/main" count="53" uniqueCount="47">
  <si>
    <t>TOTAL</t>
  </si>
  <si>
    <t>REQUIRED</t>
  </si>
  <si>
    <t>MAXIMUM</t>
  </si>
  <si>
    <t>NO. OF</t>
  </si>
  <si>
    <t>SECTION</t>
  </si>
  <si>
    <t>ROOM</t>
  </si>
  <si>
    <t>AVAILABLE</t>
  </si>
  <si>
    <t>PLANNED</t>
  </si>
  <si>
    <t>ADJUSTED</t>
  </si>
  <si>
    <t>SIZE</t>
  </si>
  <si>
    <t>SECTIONS</t>
  </si>
  <si>
    <t>PERIODS</t>
  </si>
  <si>
    <t>CAPACITY</t>
  </si>
  <si>
    <t>ROOMS</t>
  </si>
  <si>
    <t>BALANCE</t>
  </si>
  <si>
    <t>ADJUST</t>
  </si>
  <si>
    <t>014 - 027</t>
  </si>
  <si>
    <t>028 - 040</t>
  </si>
  <si>
    <t>TOTALS</t>
  </si>
  <si>
    <t>NOTES:</t>
  </si>
  <si>
    <t>CLASSROOM DEMAND ANALYSIS REPORT</t>
  </si>
  <si>
    <r>
      <t>SECTION SIZE =</t>
    </r>
    <r>
      <rPr>
        <sz val="10"/>
        <rFont val="Arial Narrow"/>
        <family val="2"/>
      </rPr>
      <t xml:space="preserve"> range for number of students enrolled in a scheduled class section</t>
    </r>
  </si>
  <si>
    <r>
      <t>TOTAL SECTIONS =</t>
    </r>
    <r>
      <rPr>
        <sz val="10"/>
        <rFont val="Arial Narrow"/>
        <family val="2"/>
      </rPr>
      <t xml:space="preserve"> total number of scheduled class sections in a particular size range</t>
    </r>
  </si>
  <si>
    <r>
      <t xml:space="preserve">NO. OF AVAILABLE ROOMS = </t>
    </r>
    <r>
      <rPr>
        <sz val="10"/>
        <rFont val="Arial Narrow"/>
        <family val="2"/>
      </rPr>
      <t>number of rooms available for scheduled class sections in a particular size range</t>
    </r>
  </si>
  <si>
    <r>
      <t>ADJUSTMENT =</t>
    </r>
    <r>
      <rPr>
        <sz val="10"/>
        <rFont val="Arial Narrow"/>
        <family val="2"/>
      </rPr>
      <t xml:space="preserve"> proposed adjustments to classroom sizes to accomodate class scheduling needs</t>
    </r>
  </si>
  <si>
    <t>001 - 013</t>
  </si>
  <si>
    <t>UW -</t>
  </si>
  <si>
    <t>[INSERT YOUR INSTITUTION'S NAME HERE]</t>
  </si>
  <si>
    <t>DATE:</t>
  </si>
  <si>
    <t>[INSERT TODAY'S DATE HERE]</t>
  </si>
  <si>
    <t>ACADEMIC TERM:</t>
  </si>
  <si>
    <t>[INSERT FALL/SPRING 200# HERE]</t>
  </si>
  <si>
    <t>041 - 053</t>
  </si>
  <si>
    <t>054 - 068</t>
  </si>
  <si>
    <t>069 - 088</t>
  </si>
  <si>
    <t>089 - 131</t>
  </si>
  <si>
    <t>132 - 174</t>
  </si>
  <si>
    <t>175 - 196</t>
  </si>
  <si>
    <r>
      <t>TOTAL REQUIRED ROOMS =</t>
    </r>
    <r>
      <rPr>
        <sz val="10"/>
        <rFont val="Arial Narrow"/>
        <family val="2"/>
      </rPr>
      <t xml:space="preserve"> </t>
    </r>
    <r>
      <rPr>
        <sz val="10"/>
        <color indexed="10"/>
        <rFont val="Arial Narrow"/>
        <family val="2"/>
      </rPr>
      <t>TOTAL ROOM PERIODS</t>
    </r>
    <r>
      <rPr>
        <sz val="10"/>
        <rFont val="Arial Narrow"/>
        <family val="2"/>
      </rPr>
      <t xml:space="preserve"> / </t>
    </r>
    <r>
      <rPr>
        <sz val="10"/>
        <color indexed="10"/>
        <rFont val="Arial Narrow"/>
        <family val="2"/>
      </rPr>
      <t>CLASSROOM USE STANDARD</t>
    </r>
  </si>
  <si>
    <r>
      <t>BALANCE =</t>
    </r>
    <r>
      <rPr>
        <sz val="10"/>
        <rFont val="Arial Narrow"/>
        <family val="2"/>
      </rPr>
      <t xml:space="preserve"> </t>
    </r>
    <r>
      <rPr>
        <sz val="10"/>
        <color indexed="10"/>
        <rFont val="Arial Narrow"/>
        <family val="2"/>
      </rPr>
      <t>NO. OF AVAILABLE ROOMS</t>
    </r>
    <r>
      <rPr>
        <sz val="10"/>
        <rFont val="Arial Narrow"/>
        <family val="2"/>
      </rPr>
      <t xml:space="preserve"> - </t>
    </r>
    <r>
      <rPr>
        <sz val="10"/>
        <color indexed="10"/>
        <rFont val="Arial Narrow"/>
        <family val="2"/>
      </rPr>
      <t>TOTAL REQUIRED ROOMS</t>
    </r>
  </si>
  <si>
    <r>
      <t>ADJUSTED BALANCE =</t>
    </r>
    <r>
      <rPr>
        <sz val="10"/>
        <rFont val="Arial Narrow"/>
        <family val="2"/>
      </rPr>
      <t xml:space="preserve"> </t>
    </r>
    <r>
      <rPr>
        <sz val="10"/>
        <color indexed="10"/>
        <rFont val="Arial Narrow"/>
        <family val="2"/>
      </rPr>
      <t>BALANCE</t>
    </r>
    <r>
      <rPr>
        <sz val="10"/>
        <rFont val="Arial Narrow"/>
        <family val="2"/>
      </rPr>
      <t xml:space="preserve"> + </t>
    </r>
    <r>
      <rPr>
        <sz val="10"/>
        <color indexed="10"/>
        <rFont val="Arial Narrow"/>
        <family val="2"/>
      </rPr>
      <t>PLANNED ADJUSTMENT</t>
    </r>
  </si>
  <si>
    <r>
      <t>TOTAL REQUIRED ROOM PERIODS =</t>
    </r>
    <r>
      <rPr>
        <sz val="10"/>
        <rFont val="Arial Narrow"/>
        <family val="2"/>
      </rPr>
      <t xml:space="preserve"> total number of room periods scheduled for a particular size range (1 credit = 1 room period)</t>
    </r>
  </si>
  <si>
    <r>
      <t>ROOM CAPACITY =</t>
    </r>
    <r>
      <rPr>
        <sz val="10"/>
        <rFont val="Arial Narrow"/>
        <family val="2"/>
      </rPr>
      <t xml:space="preserve"> fixed field, maximum room capacity…calculated based on </t>
    </r>
    <r>
      <rPr>
        <sz val="10"/>
        <color indexed="10"/>
        <rFont val="Arial Narrow"/>
        <family val="2"/>
      </rPr>
      <t>SECTION SIZE</t>
    </r>
    <r>
      <rPr>
        <sz val="10"/>
        <rFont val="Arial Narrow"/>
        <family val="2"/>
      </rPr>
      <t xml:space="preserve"> and planned occupancy %</t>
    </r>
  </si>
  <si>
    <t>:WEEKS/SEMESTER</t>
  </si>
  <si>
    <t>:MINUTES/PERIOD</t>
  </si>
  <si>
    <t>SCHEDULING STANDARDS</t>
  </si>
  <si>
    <t>:PERIODS/WEEK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</si>
</sst>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0" formatCode="#,##0.0_);[Red]\(#,##0.0\)"/>
    <numFmt numFmtId="186" formatCode="[$-409]mmmm\ d\,\ yyyy;@"/>
  </numFmts>
  <fonts count="12" x14ac:knownFonts="1">
    <font>
      <sz val="9"/>
      <name val="Arial Narrow"/>
    </font>
    <font>
      <sz val="10"/>
      <name val="Swis721 BT"/>
    </font>
    <font>
      <b/>
      <sz val="8"/>
      <color indexed="81"/>
      <name val="Swis721 Cn BT"/>
      <family val="2"/>
    </font>
    <font>
      <sz val="10"/>
      <name val="Arial Narrow"/>
      <family val="2"/>
    </font>
    <font>
      <b/>
      <u/>
      <sz val="12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indexed="12"/>
      <name val="Arial Narrow"/>
      <family val="2"/>
    </font>
    <font>
      <b/>
      <u/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b/>
      <sz val="12"/>
      <color rgb="FF0000FF"/>
      <name val="Arial Narrow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4" fillId="0" borderId="0" xfId="1" applyFont="1" applyFill="1" applyBorder="1" applyAlignment="1" applyProtection="1"/>
    <xf numFmtId="0" fontId="5" fillId="0" borderId="0" xfId="1" applyFont="1" applyAlignment="1" applyProtection="1"/>
    <xf numFmtId="49" fontId="6" fillId="2" borderId="1" xfId="1" applyNumberFormat="1" applyFont="1" applyFill="1" applyBorder="1" applyAlignment="1" applyProtection="1">
      <alignment horizontal="center"/>
    </xf>
    <xf numFmtId="49" fontId="6" fillId="2" borderId="2" xfId="1" applyNumberFormat="1" applyFont="1" applyFill="1" applyBorder="1" applyAlignment="1" applyProtection="1">
      <alignment horizontal="center"/>
    </xf>
    <xf numFmtId="49" fontId="6" fillId="2" borderId="3" xfId="1" applyNumberFormat="1" applyFont="1" applyFill="1" applyBorder="1" applyAlignment="1" applyProtection="1">
      <alignment horizontal="center"/>
    </xf>
    <xf numFmtId="49" fontId="6" fillId="2" borderId="4" xfId="1" applyNumberFormat="1" applyFont="1" applyFill="1" applyBorder="1" applyAlignment="1" applyProtection="1">
      <alignment horizontal="center"/>
    </xf>
    <xf numFmtId="49" fontId="6" fillId="2" borderId="5" xfId="1" applyNumberFormat="1" applyFont="1" applyFill="1" applyBorder="1" applyAlignment="1" applyProtection="1">
      <alignment horizontal="center"/>
    </xf>
    <xf numFmtId="49" fontId="6" fillId="2" borderId="6" xfId="1" applyNumberFormat="1" applyFont="1" applyFill="1" applyBorder="1" applyAlignment="1" applyProtection="1">
      <alignment horizontal="center"/>
    </xf>
    <xf numFmtId="0" fontId="6" fillId="0" borderId="0" xfId="1" applyFont="1" applyFill="1" applyAlignment="1" applyProtection="1">
      <alignment horizontal="right"/>
    </xf>
    <xf numFmtId="38" fontId="6" fillId="3" borderId="7" xfId="1" applyNumberFormat="1" applyFont="1" applyFill="1" applyBorder="1" applyProtection="1"/>
    <xf numFmtId="180" fontId="6" fillId="3" borderId="7" xfId="1" applyNumberFormat="1" applyFont="1" applyFill="1" applyBorder="1" applyProtection="1"/>
    <xf numFmtId="0" fontId="5" fillId="0" borderId="0" xfId="1" applyFont="1" applyProtection="1"/>
    <xf numFmtId="0" fontId="8" fillId="0" borderId="0" xfId="1" applyFont="1" applyProtection="1"/>
    <xf numFmtId="0" fontId="3" fillId="0" borderId="0" xfId="1" applyFont="1" applyProtection="1"/>
    <xf numFmtId="0" fontId="9" fillId="0" borderId="0" xfId="1" applyFont="1" applyProtection="1"/>
    <xf numFmtId="0" fontId="5" fillId="3" borderId="8" xfId="1" applyFont="1" applyFill="1" applyBorder="1" applyProtection="1"/>
    <xf numFmtId="38" fontId="5" fillId="3" borderId="9" xfId="1" applyNumberFormat="1" applyFont="1" applyFill="1" applyBorder="1" applyProtection="1"/>
    <xf numFmtId="3" fontId="5" fillId="3" borderId="10" xfId="1" applyNumberFormat="1" applyFont="1" applyFill="1" applyBorder="1" applyAlignment="1" applyProtection="1">
      <alignment horizontal="center"/>
    </xf>
    <xf numFmtId="38" fontId="7" fillId="3" borderId="11" xfId="1" applyNumberFormat="1" applyFont="1" applyFill="1" applyBorder="1" applyProtection="1">
      <protection locked="0"/>
    </xf>
    <xf numFmtId="38" fontId="5" fillId="3" borderId="11" xfId="1" applyNumberFormat="1" applyFont="1" applyFill="1" applyBorder="1" applyAlignment="1" applyProtection="1">
      <alignment horizontal="center"/>
    </xf>
    <xf numFmtId="38" fontId="5" fillId="3" borderId="11" xfId="1" applyNumberFormat="1" applyFont="1" applyFill="1" applyBorder="1" applyProtection="1"/>
    <xf numFmtId="0" fontId="5" fillId="3" borderId="12" xfId="1" applyFont="1" applyFill="1" applyBorder="1" applyProtection="1"/>
    <xf numFmtId="38" fontId="5" fillId="3" borderId="13" xfId="1" applyNumberFormat="1" applyFont="1" applyFill="1" applyBorder="1" applyProtection="1"/>
    <xf numFmtId="180" fontId="5" fillId="3" borderId="13" xfId="1" applyNumberFormat="1" applyFont="1" applyFill="1" applyBorder="1" applyProtection="1"/>
    <xf numFmtId="38" fontId="6" fillId="3" borderId="7" xfId="1" applyNumberFormat="1" applyFont="1" applyFill="1" applyBorder="1" applyAlignment="1" applyProtection="1">
      <alignment horizontal="right"/>
    </xf>
    <xf numFmtId="0" fontId="6" fillId="0" borderId="0" xfId="1" applyFont="1" applyFill="1" applyBorder="1" applyAlignment="1" applyProtection="1">
      <alignment horizontal="right" indent="1"/>
    </xf>
    <xf numFmtId="0" fontId="6" fillId="0" borderId="0" xfId="1" applyFont="1" applyFill="1" applyBorder="1" applyAlignment="1" applyProtection="1">
      <alignment horizontal="left"/>
    </xf>
    <xf numFmtId="0" fontId="6" fillId="0" borderId="0" xfId="1" applyFont="1" applyFill="1" applyBorder="1" applyAlignment="1" applyProtection="1">
      <alignment horizontal="left" indent="1"/>
    </xf>
    <xf numFmtId="0" fontId="6" fillId="0" borderId="0" xfId="1" applyFont="1" applyFill="1" applyBorder="1" applyAlignment="1" applyProtection="1">
      <alignment horizontal="center"/>
    </xf>
    <xf numFmtId="0" fontId="11" fillId="3" borderId="7" xfId="1" applyFont="1" applyFill="1" applyBorder="1" applyAlignment="1" applyProtection="1">
      <alignment horizontal="right"/>
      <protection locked="0"/>
    </xf>
    <xf numFmtId="0" fontId="11" fillId="3" borderId="0" xfId="1" applyFont="1" applyFill="1" applyBorder="1" applyAlignment="1" applyProtection="1">
      <alignment horizontal="left"/>
      <protection locked="0"/>
    </xf>
    <xf numFmtId="186" fontId="11" fillId="3" borderId="0" xfId="1" applyNumberFormat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_UWPKS_CDAR2001.R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25" name="AutoShape 1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26" name="AutoShape 2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smallest classroom size ranges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DEFICIT: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cannot be addressed within surplus classrooms due to size restrictions (ASF/user)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29" name="AutoShape 5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0" name="AutoShape 6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1" name="Text Box 7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addressed through space reallocations to alternate uses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2" name="Text Box 8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DEFICIT: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addressed through space reallocations to alternate uses, renovations, and new construction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3" name="AutoShape 9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4" name="Text Box 10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~1 classroom between two largest classroom size ranges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5" name="AutoShape 11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6" name="Text Box 12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~1 classroom between two largest classroom size ranges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7" name="AutoShape 13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8" name="AutoShape 14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9" name="Text Box 15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smallest classroom size ranges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0" name="Text Box 16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DEFICIT: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cannot be addressed within surplus classrooms due to size restrictions (ASF/user)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1" name="AutoShape 17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2" name="AutoShape 18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3" name="Text Box 19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addressed through space reallocations to alternate uses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4" name="Text Box 20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DEFICIT: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addressed through space reallocations to alternate uses, renovations, and new construction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5" name="AutoShape 21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6" name="Text Box 22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~1 classroom between two largest classroom size ranges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7" name="AutoShape 23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8" name="Text Box 24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~1 classroom between two largest classroom size ranges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49" name="AutoShape 25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0" name="AutoShape 26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1" name="Text Box 27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smallest classroom size ranges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2" name="Text Box 28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DEFICIT: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cannot be addressed within surplus classrooms due to size restrictions (ASF/user)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3" name="AutoShape 29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4" name="AutoShape 30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5" name="Text Box 31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addressed through space reallocations to alternate uses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6" name="Text Box 32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DEFICIT: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addressed through space reallocations to alternate uses, renovations, and new construction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7" name="AutoShape 33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8" name="Text Box 34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~1 classroom between two largest classroom size ranges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59" name="AutoShape 35"/>
        <xdr:cNvSpPr>
          <a:spLocks/>
        </xdr:cNvSpPr>
      </xdr:nvSpPr>
      <xdr:spPr bwMode="auto">
        <a:xfrm>
          <a:off x="845820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60" name="Text Box 36"/>
        <xdr:cNvSpPr txBox="1">
          <a:spLocks noChangeArrowheads="1"/>
        </xdr:cNvSpPr>
      </xdr:nvSpPr>
      <xdr:spPr bwMode="auto">
        <a:xfrm>
          <a:off x="84582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~1 classroom between two largest classroom size ranges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61" name="AutoShape 37"/>
        <xdr:cNvSpPr>
          <a:spLocks/>
        </xdr:cNvSpPr>
      </xdr:nvSpPr>
      <xdr:spPr bwMode="auto">
        <a:xfrm>
          <a:off x="0" y="0"/>
          <a:ext cx="0" cy="0"/>
        </a:xfrm>
        <a:prstGeom prst="lef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62" name="AutoShape 38"/>
        <xdr:cNvSpPr>
          <a:spLocks/>
        </xdr:cNvSpPr>
      </xdr:nvSpPr>
      <xdr:spPr bwMode="auto">
        <a:xfrm>
          <a:off x="0" y="0"/>
          <a:ext cx="0" cy="0"/>
        </a:xfrm>
        <a:prstGeom prst="lef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0</xdr:colOff>
      <xdr:row>10</xdr:row>
      <xdr:rowOff>139700</xdr:rowOff>
    </xdr:from>
    <xdr:to>
      <xdr:col>9</xdr:col>
      <xdr:colOff>0</xdr:colOff>
      <xdr:row>13</xdr:row>
      <xdr:rowOff>0</xdr:rowOff>
    </xdr:to>
    <xdr:sp macro="" textlink="">
      <xdr:nvSpPr>
        <xdr:cNvPr id="1067" name="Text Box 43"/>
        <xdr:cNvSpPr txBox="1">
          <a:spLocks noChangeArrowheads="1"/>
        </xdr:cNvSpPr>
      </xdr:nvSpPr>
      <xdr:spPr bwMode="auto">
        <a:xfrm>
          <a:off x="8458200" y="2044700"/>
          <a:ext cx="0" cy="431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addressed through space reallocations to alternate uses</a:t>
          </a:r>
        </a:p>
      </xdr:txBody>
    </xdr:sp>
    <xdr:clientData/>
  </xdr:twoCellAnchor>
  <xdr:twoCellAnchor>
    <xdr:from>
      <xdr:col>9</xdr:col>
      <xdr:colOff>0</xdr:colOff>
      <xdr:row>13</xdr:row>
      <xdr:rowOff>12700</xdr:rowOff>
    </xdr:from>
    <xdr:to>
      <xdr:col>9</xdr:col>
      <xdr:colOff>0</xdr:colOff>
      <xdr:row>17</xdr:row>
      <xdr:rowOff>139700</xdr:rowOff>
    </xdr:to>
    <xdr:sp macro="" textlink="">
      <xdr:nvSpPr>
        <xdr:cNvPr id="1068" name="Text Box 44"/>
        <xdr:cNvSpPr txBox="1">
          <a:spLocks noChangeArrowheads="1"/>
        </xdr:cNvSpPr>
      </xdr:nvSpPr>
      <xdr:spPr bwMode="auto">
        <a:xfrm>
          <a:off x="8458200" y="2489200"/>
          <a:ext cx="0" cy="889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DEFICIT: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addressed through space reallocations to alternate uses, renovations, and new construction</a:t>
          </a:r>
        </a:p>
      </xdr:txBody>
    </xdr:sp>
    <xdr:clientData/>
  </xdr:twoCellAnchor>
  <xdr:twoCellAnchor>
    <xdr:from>
      <xdr:col>9</xdr:col>
      <xdr:colOff>0</xdr:colOff>
      <xdr:row>18</xdr:row>
      <xdr:rowOff>12700</xdr:rowOff>
    </xdr:from>
    <xdr:to>
      <xdr:col>9</xdr:col>
      <xdr:colOff>0</xdr:colOff>
      <xdr:row>20</xdr:row>
      <xdr:rowOff>139700</xdr:rowOff>
    </xdr:to>
    <xdr:sp macro="" textlink="">
      <xdr:nvSpPr>
        <xdr:cNvPr id="1071" name="Text Box 47"/>
        <xdr:cNvSpPr txBox="1">
          <a:spLocks noChangeArrowheads="1"/>
        </xdr:cNvSpPr>
      </xdr:nvSpPr>
      <xdr:spPr bwMode="auto">
        <a:xfrm>
          <a:off x="8458200" y="3441700"/>
          <a:ext cx="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~1 classroom between two largest classroom size ranges</a:t>
          </a:r>
        </a:p>
      </xdr:txBody>
    </xdr:sp>
    <xdr:clientData/>
  </xdr:twoCellAnchor>
  <xdr:twoCellAnchor>
    <xdr:from>
      <xdr:col>9</xdr:col>
      <xdr:colOff>0</xdr:colOff>
      <xdr:row>22</xdr:row>
      <xdr:rowOff>0</xdr:rowOff>
    </xdr:from>
    <xdr:to>
      <xdr:col>9</xdr:col>
      <xdr:colOff>0</xdr:colOff>
      <xdr:row>22</xdr:row>
      <xdr:rowOff>0</xdr:rowOff>
    </xdr:to>
    <xdr:sp macro="" textlink="">
      <xdr:nvSpPr>
        <xdr:cNvPr id="1085" name="Text Box 61"/>
        <xdr:cNvSpPr txBox="1">
          <a:spLocks noChangeArrowheads="1"/>
        </xdr:cNvSpPr>
      </xdr:nvSpPr>
      <xdr:spPr bwMode="auto">
        <a:xfrm>
          <a:off x="8458200" y="41910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ABEA" mc:Ignorable="a14" a14:legacySpreadsheetColorIndex="1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smallest classroom size ranges</a:t>
          </a:r>
        </a:p>
      </xdr:txBody>
    </xdr:sp>
    <xdr:clientData/>
  </xdr:twoCellAnchor>
  <xdr:twoCellAnchor>
    <xdr:from>
      <xdr:col>9</xdr:col>
      <xdr:colOff>0</xdr:colOff>
      <xdr:row>22</xdr:row>
      <xdr:rowOff>0</xdr:rowOff>
    </xdr:from>
    <xdr:to>
      <xdr:col>9</xdr:col>
      <xdr:colOff>0</xdr:colOff>
      <xdr:row>22</xdr:row>
      <xdr:rowOff>0</xdr:rowOff>
    </xdr:to>
    <xdr:sp macro="" textlink="">
      <xdr:nvSpPr>
        <xdr:cNvPr id="1086" name="Text Box 62"/>
        <xdr:cNvSpPr txBox="1">
          <a:spLocks noChangeArrowheads="1"/>
        </xdr:cNvSpPr>
      </xdr:nvSpPr>
      <xdr:spPr bwMode="auto">
        <a:xfrm>
          <a:off x="8458200" y="41910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DEFICIT: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cannot be addressed within surplus classrooms due to size restrictions (ASF/user)</a:t>
          </a:r>
        </a:p>
      </xdr:txBody>
    </xdr:sp>
    <xdr:clientData/>
  </xdr:twoCellAnchor>
  <xdr:twoCellAnchor>
    <xdr:from>
      <xdr:col>9</xdr:col>
      <xdr:colOff>0</xdr:colOff>
      <xdr:row>22</xdr:row>
      <xdr:rowOff>0</xdr:rowOff>
    </xdr:from>
    <xdr:to>
      <xdr:col>9</xdr:col>
      <xdr:colOff>0</xdr:colOff>
      <xdr:row>22</xdr:row>
      <xdr:rowOff>0</xdr:rowOff>
    </xdr:to>
    <xdr:sp macro="" textlink="">
      <xdr:nvSpPr>
        <xdr:cNvPr id="1088" name="Text Box 64"/>
        <xdr:cNvSpPr txBox="1">
          <a:spLocks noChangeArrowheads="1"/>
        </xdr:cNvSpPr>
      </xdr:nvSpPr>
      <xdr:spPr bwMode="auto">
        <a:xfrm>
          <a:off x="8458200" y="41910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sng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SURPLUS:</a:t>
          </a:r>
          <a:r>
            <a:rPr lang="en-US" sz="800" b="0" i="0" u="none" strike="noStrike" baseline="0">
              <a:solidFill>
                <a:srgbClr val="000000"/>
              </a:solidFill>
              <a:latin typeface="Swis721 Cn BT"/>
              <a:ea typeface="Swis721 Cn BT"/>
              <a:cs typeface="Swis721 Cn BT"/>
            </a:rPr>
            <a:t> ~1 classroom between two largest classroom size ranges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P&amp;B/PKS/UWPKS_SpaceMgmtTab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PT Tab"/>
      <sheetName val="UWPKS Tabs"/>
      <sheetName val="UWPKS Acad Tabs"/>
      <sheetName val="UWPKS Admin Tabs"/>
      <sheetName val="ART Tab"/>
      <sheetName val="BIOSCI Tab"/>
      <sheetName val="BUS Tab"/>
      <sheetName val="CHEM Tab"/>
      <sheetName val="COMM Tab"/>
      <sheetName val="CSCI Tab"/>
      <sheetName val="DRAMA Tab"/>
      <sheetName val="ENGIN Tab"/>
      <sheetName val="GEOG Tab"/>
      <sheetName val="GEOL Tab"/>
      <sheetName val="MLANG Tab"/>
      <sheetName val="MUSIC Tab"/>
      <sheetName val="NURSE Tab"/>
      <sheetName val="PHYS Tab"/>
      <sheetName val="PRGCTR Tab"/>
      <sheetName val="PSYCH Tab"/>
      <sheetName val="SB&amp;TC Tab"/>
      <sheetName val="SOC-ANT Tab"/>
      <sheetName val="TEDU Tab"/>
      <sheetName val="ADMISS Tab"/>
      <sheetName val="ADVISE Tab"/>
      <sheetName val="ENRL MGMT CENT Tab"/>
      <sheetName val="INFOSERV Tab"/>
      <sheetName val="ISACAD Tab"/>
      <sheetName val="ISADMIN Tab"/>
      <sheetName val="LIBRARY Tab"/>
      <sheetName val="OMSA Tab"/>
      <sheetName val="SH&amp;C Tab"/>
      <sheetName val="UPPS Tab"/>
      <sheetName val="SA-SL-SU Tab"/>
      <sheetName val="PR Space Tab"/>
      <sheetName val="PR Space Tab 2005"/>
      <sheetName val="SASL T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3">
          <cell r="A3" t="str">
            <v>LIBRARY SERVICES</v>
          </cell>
        </row>
        <row r="5">
          <cell r="A5" t="str">
            <v>ID</v>
          </cell>
          <cell r="B5" t="str">
            <v>AREA DESCRIPTION</v>
          </cell>
        </row>
        <row r="8">
          <cell r="A8">
            <v>1</v>
          </cell>
          <cell r="B8" t="str">
            <v>OFFICE, ARCHIVES (RECEPTION/READING ROOM)</v>
          </cell>
        </row>
        <row r="9">
          <cell r="A9">
            <v>2</v>
          </cell>
          <cell r="B9" t="str">
            <v>OFFICE, ARCHIVES (RECORDS, KENOSHA)</v>
          </cell>
        </row>
        <row r="10">
          <cell r="A10">
            <v>3</v>
          </cell>
          <cell r="B10" t="str">
            <v>OFFICE, ARCHIVES (RECORDS, RACINE)</v>
          </cell>
        </row>
        <row r="11">
          <cell r="A11">
            <v>4</v>
          </cell>
          <cell r="B11" t="str">
            <v>OFFICE, ARCHIVES (RECORDS, UNIVERSITY)</v>
          </cell>
        </row>
        <row r="12">
          <cell r="A12">
            <v>5</v>
          </cell>
          <cell r="B12" t="str">
            <v>OFFICE, ARCHIVES (ARCHIVIST)</v>
          </cell>
        </row>
        <row r="13">
          <cell r="A13">
            <v>6</v>
          </cell>
          <cell r="B13" t="str">
            <v>WORK ROOM (BINDING/GIFTS/PREP)</v>
          </cell>
        </row>
        <row r="14">
          <cell r="A14">
            <v>7</v>
          </cell>
          <cell r="B14" t="str">
            <v>STORAGE ROOM, OFFICE SUPPLIES</v>
          </cell>
        </row>
        <row r="15">
          <cell r="A15">
            <v>8</v>
          </cell>
          <cell r="B15" t="str">
            <v>STORAGE ROOM, EQUIPMENT</v>
          </cell>
        </row>
        <row r="16">
          <cell r="A16">
            <v>9</v>
          </cell>
          <cell r="B16" t="str">
            <v>LOUNGE</v>
          </cell>
        </row>
        <row r="17">
          <cell r="A17">
            <v>10</v>
          </cell>
          <cell r="B17" t="str">
            <v>OFFICE, CIRCULATION SERVICES</v>
          </cell>
        </row>
        <row r="18">
          <cell r="A18">
            <v>11</v>
          </cell>
          <cell r="B18" t="str">
            <v>OFFICE, REFERENCE SERVICES</v>
          </cell>
        </row>
        <row r="19">
          <cell r="A19">
            <v>12</v>
          </cell>
          <cell r="B19" t="str">
            <v>OFFICE, CIRCULATION SERVICES (SUPERVISOR)</v>
          </cell>
        </row>
        <row r="20">
          <cell r="A20">
            <v>13</v>
          </cell>
          <cell r="B20" t="str">
            <v>OFFICE, LIBRARY ADMINISTRATION (ADMINISTRATOR)</v>
          </cell>
        </row>
        <row r="21">
          <cell r="A21">
            <v>14</v>
          </cell>
          <cell r="B21" t="str">
            <v>OFFICE, LIBRARY ADMINISTRATION</v>
          </cell>
        </row>
        <row r="22">
          <cell r="A22">
            <v>15</v>
          </cell>
          <cell r="B22" t="str">
            <v>OFFICE, LIBRARY ADMINISTRATION (CONFERENCE/MEETING ROOM)</v>
          </cell>
        </row>
        <row r="23">
          <cell r="A23">
            <v>16</v>
          </cell>
          <cell r="B23" t="str">
            <v>OFFICE, LIBRARY STAFF</v>
          </cell>
        </row>
        <row r="24">
          <cell r="A24">
            <v>17</v>
          </cell>
          <cell r="B24" t="str">
            <v>CLASSROOM</v>
          </cell>
        </row>
        <row r="25">
          <cell r="A25">
            <v>18</v>
          </cell>
          <cell r="B25" t="str">
            <v>LIBRARY, SEATING/STACKS</v>
          </cell>
        </row>
        <row r="26">
          <cell r="A26">
            <v>19</v>
          </cell>
          <cell r="B26" t="str">
            <v>READING ROOM</v>
          </cell>
        </row>
        <row r="27">
          <cell r="A27">
            <v>20</v>
          </cell>
          <cell r="B27" t="str">
            <v>STUDY ROOM</v>
          </cell>
        </row>
        <row r="28">
          <cell r="A28">
            <v>21</v>
          </cell>
          <cell r="B28" t="str">
            <v>AV VIEWING ROOM</v>
          </cell>
        </row>
        <row r="29">
          <cell r="A29">
            <v>22</v>
          </cell>
          <cell r="B29" t="str">
            <v>AV VIEWING ROOM</v>
          </cell>
        </row>
        <row r="30">
          <cell r="A30">
            <v>23</v>
          </cell>
        </row>
        <row r="31">
          <cell r="A31">
            <v>24</v>
          </cell>
          <cell r="B31" t="str">
            <v>OFFICE, LIBRARY STAFF (ASSOCIATE DIRECTOR)</v>
          </cell>
        </row>
        <row r="32">
          <cell r="A32">
            <v>25</v>
          </cell>
          <cell r="B32" t="str">
            <v>OFFICE, LIBRARY STAFF (FINANCIAL SPECIALIST)</v>
          </cell>
        </row>
        <row r="33">
          <cell r="A33">
            <v>26</v>
          </cell>
          <cell r="B33" t="str">
            <v>OFFICE, LIBRARY STAFF (SCIENCE LIBRARIAN)</v>
          </cell>
        </row>
        <row r="34">
          <cell r="A34">
            <v>27</v>
          </cell>
          <cell r="B34" t="str">
            <v>OFFICE, LIBRARY STAFF (REFERENCE COORDINATOR)</v>
          </cell>
        </row>
        <row r="35">
          <cell r="A35">
            <v>28</v>
          </cell>
          <cell r="B35" t="str">
            <v>OFFICE, LIBRARY STAFF</v>
          </cell>
        </row>
      </sheetData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showGridLines="0" tabSelected="1" workbookViewId="0">
      <selection activeCell="C2" sqref="C2:F2"/>
    </sheetView>
  </sheetViews>
  <sheetFormatPr baseColWidth="10" defaultColWidth="11.19921875" defaultRowHeight="13" x14ac:dyDescent="0"/>
  <cols>
    <col min="1" max="1" width="13.796875" style="1" customWidth="1"/>
    <col min="2" max="3" width="14.796875" style="1" customWidth="1"/>
    <col min="4" max="4" width="15.19921875" style="1" customWidth="1"/>
    <col min="5" max="5" width="14.796875" style="1" customWidth="1"/>
    <col min="6" max="6" width="16.19921875" style="1" customWidth="1"/>
    <col min="7" max="7" width="14" style="1" customWidth="1"/>
    <col min="8" max="8" width="14.19921875" style="1" customWidth="1"/>
    <col min="9" max="9" width="15.3984375" style="1" customWidth="1"/>
    <col min="10" max="16384" width="11.19921875" style="1"/>
  </cols>
  <sheetData>
    <row r="1" spans="1:9" ht="15">
      <c r="A1" s="28" t="s">
        <v>20</v>
      </c>
      <c r="B1" s="28"/>
      <c r="C1" s="28"/>
      <c r="D1" s="28"/>
      <c r="E1" s="28"/>
      <c r="F1" s="28"/>
      <c r="G1" s="30" t="s">
        <v>45</v>
      </c>
      <c r="H1" s="30"/>
      <c r="I1" s="30"/>
    </row>
    <row r="2" spans="1:9" ht="15">
      <c r="A2" s="27" t="s">
        <v>26</v>
      </c>
      <c r="B2" s="27"/>
      <c r="C2" s="32" t="s">
        <v>27</v>
      </c>
      <c r="D2" s="32"/>
      <c r="E2" s="32"/>
      <c r="F2" s="32"/>
      <c r="G2" s="31">
        <v>16</v>
      </c>
      <c r="H2" s="29" t="s">
        <v>43</v>
      </c>
      <c r="I2" s="29"/>
    </row>
    <row r="3" spans="1:9" ht="15">
      <c r="A3" s="27" t="s">
        <v>30</v>
      </c>
      <c r="B3" s="27"/>
      <c r="C3" s="32" t="s">
        <v>31</v>
      </c>
      <c r="D3" s="32"/>
      <c r="E3" s="32"/>
      <c r="F3" s="32"/>
      <c r="G3" s="31">
        <v>50</v>
      </c>
      <c r="H3" s="29" t="s">
        <v>44</v>
      </c>
      <c r="I3" s="29"/>
    </row>
    <row r="4" spans="1:9" ht="15">
      <c r="A4" s="27" t="s">
        <v>28</v>
      </c>
      <c r="B4" s="27"/>
      <c r="C4" s="33" t="s">
        <v>29</v>
      </c>
      <c r="D4" s="33"/>
      <c r="E4" s="33"/>
      <c r="F4" s="33"/>
      <c r="G4" s="31">
        <v>35</v>
      </c>
      <c r="H4" s="29" t="s">
        <v>46</v>
      </c>
      <c r="I4" s="29"/>
    </row>
    <row r="5" spans="1:9" ht="15">
      <c r="A5" s="2"/>
      <c r="B5" s="2"/>
      <c r="C5" s="2"/>
      <c r="D5" s="2"/>
      <c r="E5" s="2"/>
      <c r="F5" s="2"/>
      <c r="G5" s="2"/>
      <c r="H5" s="2"/>
      <c r="I5" s="2"/>
    </row>
    <row r="6" spans="1:9" ht="15">
      <c r="A6" s="3"/>
      <c r="B6" s="3"/>
      <c r="C6" s="3"/>
      <c r="D6" s="3"/>
      <c r="E6" s="3"/>
      <c r="F6" s="3"/>
      <c r="G6" s="3"/>
      <c r="H6" s="3"/>
      <c r="I6" s="3"/>
    </row>
    <row r="7" spans="1:9" ht="15">
      <c r="A7" s="4"/>
      <c r="B7" s="5"/>
      <c r="C7" s="5" t="s">
        <v>0</v>
      </c>
      <c r="D7" s="5"/>
      <c r="E7" s="5"/>
      <c r="F7" s="5"/>
      <c r="G7" s="5"/>
      <c r="H7" s="5"/>
      <c r="I7" s="5"/>
    </row>
    <row r="8" spans="1:9" ht="15">
      <c r="A8" s="6"/>
      <c r="B8" s="7"/>
      <c r="C8" s="7" t="s">
        <v>1</v>
      </c>
      <c r="D8" s="7" t="s">
        <v>2</v>
      </c>
      <c r="E8" s="7" t="s">
        <v>0</v>
      </c>
      <c r="F8" s="7" t="s">
        <v>3</v>
      </c>
      <c r="G8" s="7"/>
      <c r="H8" s="7"/>
      <c r="I8" s="7"/>
    </row>
    <row r="9" spans="1:9" ht="15">
      <c r="A9" s="6" t="s">
        <v>4</v>
      </c>
      <c r="B9" s="7" t="s">
        <v>0</v>
      </c>
      <c r="C9" s="7" t="s">
        <v>5</v>
      </c>
      <c r="D9" s="7" t="s">
        <v>5</v>
      </c>
      <c r="E9" s="7" t="s">
        <v>1</v>
      </c>
      <c r="F9" s="7" t="s">
        <v>6</v>
      </c>
      <c r="G9" s="7"/>
      <c r="H9" s="7" t="s">
        <v>7</v>
      </c>
      <c r="I9" s="7" t="s">
        <v>8</v>
      </c>
    </row>
    <row r="10" spans="1:9" ht="15">
      <c r="A10" s="8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13</v>
      </c>
      <c r="G10" s="9" t="s">
        <v>14</v>
      </c>
      <c r="H10" s="9" t="s">
        <v>15</v>
      </c>
      <c r="I10" s="9" t="s">
        <v>14</v>
      </c>
    </row>
    <row r="11" spans="1:9" ht="15">
      <c r="A11" s="17"/>
      <c r="B11" s="18"/>
      <c r="C11" s="18"/>
      <c r="D11" s="18"/>
      <c r="E11" s="18"/>
      <c r="F11" s="18"/>
      <c r="G11" s="18"/>
      <c r="H11" s="18"/>
      <c r="I11" s="18"/>
    </row>
    <row r="12" spans="1:9" ht="15">
      <c r="A12" s="19" t="s">
        <v>25</v>
      </c>
      <c r="B12" s="20"/>
      <c r="C12" s="20"/>
      <c r="D12" s="21">
        <v>20</v>
      </c>
      <c r="E12" s="22">
        <f>(ROUNDUP(($C12/$G$4),0))</f>
        <v>0</v>
      </c>
      <c r="F12" s="20"/>
      <c r="G12" s="22">
        <f t="shared" ref="G12:G20" si="0">(F12-E12)</f>
        <v>0</v>
      </c>
      <c r="H12" s="20"/>
      <c r="I12" s="22">
        <f>SUM(G12:H12)</f>
        <v>0</v>
      </c>
    </row>
    <row r="13" spans="1:9" ht="15">
      <c r="A13" s="19" t="s">
        <v>16</v>
      </c>
      <c r="B13" s="20"/>
      <c r="C13" s="20"/>
      <c r="D13" s="21">
        <v>40</v>
      </c>
      <c r="E13" s="22">
        <f t="shared" ref="E13:E20" si="1">(ROUNDUP(($C13/$G$4),0))</f>
        <v>0</v>
      </c>
      <c r="F13" s="20"/>
      <c r="G13" s="22">
        <f t="shared" si="0"/>
        <v>0</v>
      </c>
      <c r="H13" s="20"/>
      <c r="I13" s="22">
        <f t="shared" ref="I13:I20" si="2">SUM(G13:H13)</f>
        <v>0</v>
      </c>
    </row>
    <row r="14" spans="1:9" ht="15">
      <c r="A14" s="19" t="s">
        <v>17</v>
      </c>
      <c r="B14" s="20"/>
      <c r="C14" s="20"/>
      <c r="D14" s="21">
        <v>55</v>
      </c>
      <c r="E14" s="22">
        <f t="shared" si="1"/>
        <v>0</v>
      </c>
      <c r="F14" s="20"/>
      <c r="G14" s="22">
        <f t="shared" si="0"/>
        <v>0</v>
      </c>
      <c r="H14" s="20"/>
      <c r="I14" s="22">
        <f t="shared" si="2"/>
        <v>0</v>
      </c>
    </row>
    <row r="15" spans="1:9" ht="15">
      <c r="A15" s="19" t="s">
        <v>32</v>
      </c>
      <c r="B15" s="20"/>
      <c r="C15" s="20"/>
      <c r="D15" s="21">
        <v>70</v>
      </c>
      <c r="E15" s="22">
        <f t="shared" si="1"/>
        <v>0</v>
      </c>
      <c r="F15" s="20"/>
      <c r="G15" s="22">
        <f t="shared" si="0"/>
        <v>0</v>
      </c>
      <c r="H15" s="20"/>
      <c r="I15" s="22">
        <f t="shared" si="2"/>
        <v>0</v>
      </c>
    </row>
    <row r="16" spans="1:9" ht="15">
      <c r="A16" s="19" t="s">
        <v>33</v>
      </c>
      <c r="B16" s="20"/>
      <c r="C16" s="20"/>
      <c r="D16" s="21">
        <v>90</v>
      </c>
      <c r="E16" s="22">
        <f t="shared" si="1"/>
        <v>0</v>
      </c>
      <c r="F16" s="20"/>
      <c r="G16" s="22">
        <f t="shared" si="0"/>
        <v>0</v>
      </c>
      <c r="H16" s="20"/>
      <c r="I16" s="22">
        <f t="shared" si="2"/>
        <v>0</v>
      </c>
    </row>
    <row r="17" spans="1:9" ht="15">
      <c r="A17" s="19" t="s">
        <v>34</v>
      </c>
      <c r="B17" s="20"/>
      <c r="C17" s="20"/>
      <c r="D17" s="21">
        <v>110</v>
      </c>
      <c r="E17" s="22">
        <f t="shared" si="1"/>
        <v>0</v>
      </c>
      <c r="F17" s="20"/>
      <c r="G17" s="22">
        <f t="shared" si="0"/>
        <v>0</v>
      </c>
      <c r="H17" s="20"/>
      <c r="I17" s="22">
        <f t="shared" si="2"/>
        <v>0</v>
      </c>
    </row>
    <row r="18" spans="1:9" ht="15">
      <c r="A18" s="19" t="s">
        <v>35</v>
      </c>
      <c r="B18" s="20"/>
      <c r="C18" s="20"/>
      <c r="D18" s="21">
        <v>150</v>
      </c>
      <c r="E18" s="22">
        <f t="shared" si="1"/>
        <v>0</v>
      </c>
      <c r="F18" s="20"/>
      <c r="G18" s="22">
        <f t="shared" si="0"/>
        <v>0</v>
      </c>
      <c r="H18" s="20"/>
      <c r="I18" s="22">
        <f t="shared" si="2"/>
        <v>0</v>
      </c>
    </row>
    <row r="19" spans="1:9" ht="15">
      <c r="A19" s="19" t="s">
        <v>36</v>
      </c>
      <c r="B19" s="20"/>
      <c r="C19" s="20"/>
      <c r="D19" s="21">
        <v>200</v>
      </c>
      <c r="E19" s="22">
        <f t="shared" si="1"/>
        <v>0</v>
      </c>
      <c r="F19" s="20"/>
      <c r="G19" s="22">
        <f t="shared" si="0"/>
        <v>0</v>
      </c>
      <c r="H19" s="20"/>
      <c r="I19" s="22">
        <f t="shared" si="2"/>
        <v>0</v>
      </c>
    </row>
    <row r="20" spans="1:9" ht="15">
      <c r="A20" s="19" t="s">
        <v>37</v>
      </c>
      <c r="B20" s="20"/>
      <c r="C20" s="20"/>
      <c r="D20" s="21">
        <v>225</v>
      </c>
      <c r="E20" s="22">
        <f t="shared" si="1"/>
        <v>0</v>
      </c>
      <c r="F20" s="20"/>
      <c r="G20" s="22">
        <f t="shared" si="0"/>
        <v>0</v>
      </c>
      <c r="H20" s="20"/>
      <c r="I20" s="22">
        <f t="shared" si="2"/>
        <v>0</v>
      </c>
    </row>
    <row r="21" spans="1:9" ht="15">
      <c r="A21" s="23"/>
      <c r="B21" s="24"/>
      <c r="C21" s="24"/>
      <c r="D21" s="24"/>
      <c r="E21" s="25"/>
      <c r="F21" s="25"/>
      <c r="G21" s="25"/>
      <c r="H21" s="25"/>
      <c r="I21" s="25"/>
    </row>
    <row r="22" spans="1:9" ht="15">
      <c r="A22" s="10" t="s">
        <v>18</v>
      </c>
      <c r="B22" s="11">
        <f>SUM(B12:B20)</f>
        <v>0</v>
      </c>
      <c r="C22" s="11">
        <f>SUM(C12:C20)</f>
        <v>0</v>
      </c>
      <c r="D22" s="26"/>
      <c r="E22" s="12">
        <f>SUM(E12:E20)</f>
        <v>0</v>
      </c>
      <c r="F22" s="12">
        <f>SUM(F12:F20)</f>
        <v>0</v>
      </c>
      <c r="G22" s="12">
        <f>SUM(G12:G20)</f>
        <v>0</v>
      </c>
      <c r="H22" s="12">
        <f>SUM(H12:H20)</f>
        <v>0</v>
      </c>
      <c r="I22" s="12">
        <f>SUM(I12:I20)</f>
        <v>0</v>
      </c>
    </row>
    <row r="23" spans="1:9" ht="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5">
      <c r="A25" s="14" t="s">
        <v>19</v>
      </c>
      <c r="B25" s="13"/>
      <c r="C25" s="13"/>
      <c r="D25" s="13"/>
      <c r="E25" s="13"/>
      <c r="F25" s="13"/>
      <c r="G25" s="13"/>
      <c r="H25" s="13"/>
      <c r="I25" s="13"/>
    </row>
    <row r="26" spans="1:9" ht="15">
      <c r="A26" s="15"/>
      <c r="B26" s="13"/>
      <c r="C26" s="13"/>
      <c r="D26" s="13"/>
      <c r="E26" s="13"/>
      <c r="F26" s="13"/>
      <c r="G26" s="13"/>
      <c r="H26" s="13"/>
      <c r="I26" s="13"/>
    </row>
    <row r="27" spans="1:9" ht="15">
      <c r="A27" s="16" t="s">
        <v>21</v>
      </c>
      <c r="B27" s="13"/>
      <c r="C27" s="13"/>
      <c r="D27" s="13"/>
      <c r="E27" s="13"/>
      <c r="F27" s="13"/>
      <c r="G27" s="13"/>
      <c r="H27" s="13"/>
      <c r="I27" s="13"/>
    </row>
    <row r="28" spans="1:9" ht="15">
      <c r="A28" s="16" t="s">
        <v>22</v>
      </c>
      <c r="B28" s="13"/>
      <c r="C28" s="13"/>
      <c r="D28" s="13"/>
      <c r="E28" s="13"/>
      <c r="F28" s="13"/>
      <c r="G28" s="13"/>
      <c r="H28" s="13"/>
      <c r="I28" s="13"/>
    </row>
    <row r="29" spans="1:9" ht="15">
      <c r="A29" s="16" t="s">
        <v>41</v>
      </c>
      <c r="B29" s="13"/>
      <c r="C29" s="13"/>
      <c r="D29" s="13"/>
      <c r="E29" s="13"/>
      <c r="F29" s="13"/>
      <c r="G29" s="13"/>
      <c r="H29" s="13"/>
      <c r="I29" s="13"/>
    </row>
    <row r="30" spans="1:9" ht="15">
      <c r="A30" s="16" t="s">
        <v>42</v>
      </c>
      <c r="B30" s="13"/>
      <c r="C30" s="13"/>
      <c r="D30" s="13"/>
      <c r="E30" s="13"/>
      <c r="F30" s="13"/>
      <c r="G30" s="13"/>
      <c r="H30" s="13"/>
      <c r="I30" s="13"/>
    </row>
    <row r="31" spans="1:9" ht="15">
      <c r="A31" s="16" t="s">
        <v>38</v>
      </c>
      <c r="B31" s="13"/>
      <c r="C31" s="13"/>
      <c r="D31" s="13"/>
      <c r="E31" s="13"/>
      <c r="F31" s="13"/>
      <c r="G31" s="13"/>
      <c r="H31" s="13"/>
      <c r="I31" s="13"/>
    </row>
    <row r="32" spans="1:9" ht="15">
      <c r="A32" s="16" t="s">
        <v>23</v>
      </c>
      <c r="B32" s="13"/>
      <c r="C32" s="13"/>
      <c r="D32" s="13"/>
      <c r="E32" s="13"/>
      <c r="F32" s="13"/>
      <c r="G32" s="13"/>
      <c r="H32" s="13"/>
      <c r="I32" s="13"/>
    </row>
    <row r="33" spans="1:9" ht="15">
      <c r="A33" s="16" t="s">
        <v>39</v>
      </c>
      <c r="B33" s="13"/>
      <c r="C33" s="13"/>
      <c r="D33" s="13"/>
      <c r="E33" s="13"/>
      <c r="F33" s="13"/>
      <c r="G33" s="13"/>
      <c r="H33" s="13"/>
      <c r="I33" s="13"/>
    </row>
    <row r="34" spans="1:9" ht="15">
      <c r="A34" s="16" t="s">
        <v>24</v>
      </c>
      <c r="B34" s="13"/>
      <c r="C34" s="13"/>
      <c r="D34" s="13"/>
      <c r="E34" s="13"/>
      <c r="F34" s="13"/>
      <c r="G34" s="13"/>
      <c r="H34" s="13"/>
      <c r="I34" s="13"/>
    </row>
    <row r="35" spans="1:9" ht="15">
      <c r="A35" s="16" t="s">
        <v>40</v>
      </c>
      <c r="B35" s="13"/>
      <c r="C35" s="13"/>
      <c r="D35" s="13"/>
      <c r="E35" s="13"/>
      <c r="F35" s="13"/>
      <c r="G35" s="13"/>
      <c r="H35" s="13"/>
      <c r="I35" s="13"/>
    </row>
  </sheetData>
  <sheetProtection sheet="1" objects="1" scenarios="1"/>
  <mergeCells count="11">
    <mergeCell ref="A1:F1"/>
    <mergeCell ref="G1:I1"/>
    <mergeCell ref="A4:B4"/>
    <mergeCell ref="H4:I4"/>
    <mergeCell ref="C4:F4"/>
    <mergeCell ref="C3:F3"/>
    <mergeCell ref="C2:F2"/>
    <mergeCell ref="H2:I2"/>
    <mergeCell ref="H3:I3"/>
    <mergeCell ref="A2:B2"/>
    <mergeCell ref="A3:B3"/>
  </mergeCells>
  <phoneticPr fontId="1" type="noConversion"/>
  <printOptions horizontalCentered="1" gridLinesSet="0"/>
  <pageMargins left="0.25" right="0.25" top="0.5" bottom="0.5" header="0.25" footer="0.25"/>
  <pageSetup orientation="landscape" horizontalDpi="1200" verticalDpi="1200"/>
  <headerFooter>
    <oddFooter>&amp;L&amp;D&amp;C&amp;Z&amp;F&amp;R&amp;"Swis721 BT,Italic"&amp;8&amp;P of &amp;N</oddFooter>
  </headerFooter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CDAR</vt:lpstr>
    </vt:vector>
  </TitlesOfParts>
  <Manager>David L. Miller</Manager>
  <Company>UW System Administration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Campus Physical Development Plan</dc:title>
  <dc:subject>Classroom Demand Analysis Report</dc:subject>
  <dc:creator>Capital Planning &amp; Budget</dc:creator>
  <cp:keywords>Development Plan</cp:keywords>
  <dc:description>Biennial Capital Budget</dc:description>
  <cp:lastModifiedBy>Thomas J. Bittner</cp:lastModifiedBy>
  <cp:lastPrinted>2011-11-28T20:25:08Z</cp:lastPrinted>
  <dcterms:created xsi:type="dcterms:W3CDTF">2005-04-12T21:23:40Z</dcterms:created>
  <dcterms:modified xsi:type="dcterms:W3CDTF">2011-11-28T21:23:36Z</dcterms:modified>
  <cp:category>Biennial Capital Budget</cp:category>
</cp:coreProperties>
</file>