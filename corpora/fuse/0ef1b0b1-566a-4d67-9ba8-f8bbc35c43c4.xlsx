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18840" windowHeight="12075"/>
  </bookViews>
  <sheets>
    <sheet name="Blank Budget" sheetId="1" r:id="rId1"/>
    <sheet name="Sample Budget" sheetId="10" r:id="rId2"/>
  </sheets>
  <definedNames>
    <definedName name="_xlnm.Print_Titles" localSheetId="0">'Blank Budget'!$3:$3</definedName>
    <definedName name="_xlnm.Print_Titles" localSheetId="1">'Sample Budget'!$3:$3</definedName>
  </definedNames>
  <calcPr calcId="125725" fullCalcOnLoad="1"/>
</workbook>
</file>

<file path=xl/calcChain.xml><?xml version="1.0" encoding="utf-8"?>
<calcChain xmlns="http://schemas.openxmlformats.org/spreadsheetml/2006/main">
  <c r="N50" i="1"/>
  <c r="C50"/>
  <c r="D50"/>
  <c r="E50"/>
  <c r="F50"/>
  <c r="G50"/>
  <c r="H50"/>
  <c r="I50"/>
  <c r="J50"/>
  <c r="K50"/>
  <c r="L50"/>
  <c r="M50"/>
  <c r="C49"/>
  <c r="D49"/>
  <c r="E49"/>
  <c r="F49"/>
  <c r="G49"/>
  <c r="H49"/>
  <c r="I49"/>
  <c r="J49"/>
  <c r="K49"/>
  <c r="L49"/>
  <c r="M49"/>
  <c r="B49"/>
  <c r="N44"/>
  <c r="N45"/>
  <c r="N46"/>
  <c r="N47"/>
  <c r="C47"/>
  <c r="D47"/>
  <c r="E47"/>
  <c r="F47"/>
  <c r="G47"/>
  <c r="H47"/>
  <c r="I47"/>
  <c r="J47"/>
  <c r="K47"/>
  <c r="L47"/>
  <c r="M47"/>
  <c r="N40"/>
  <c r="C40"/>
  <c r="D40"/>
  <c r="E40"/>
  <c r="F40"/>
  <c r="G40"/>
  <c r="H40"/>
  <c r="I40"/>
  <c r="J40"/>
  <c r="K40"/>
  <c r="L40"/>
  <c r="M40"/>
  <c r="B40"/>
  <c r="N32"/>
  <c r="N33"/>
  <c r="N31"/>
  <c r="N28"/>
  <c r="N27"/>
  <c r="N21"/>
  <c r="N6"/>
  <c r="N7"/>
  <c r="N8"/>
  <c r="N9"/>
  <c r="N10"/>
  <c r="N11"/>
  <c r="N12"/>
  <c r="N5"/>
  <c r="B47"/>
  <c r="B50"/>
  <c r="N49"/>
  <c r="I12" i="10"/>
  <c r="G46"/>
  <c r="K20"/>
  <c r="N5"/>
  <c r="N6"/>
  <c r="N7"/>
  <c r="N8"/>
  <c r="N9"/>
  <c r="N10"/>
  <c r="N11"/>
  <c r="B12"/>
  <c r="C12"/>
  <c r="D12"/>
  <c r="E12"/>
  <c r="F12"/>
  <c r="G12"/>
  <c r="H12"/>
  <c r="J12"/>
  <c r="K12"/>
  <c r="L12"/>
  <c r="M12"/>
  <c r="N12"/>
  <c r="N16"/>
  <c r="N17"/>
  <c r="N18"/>
  <c r="N19"/>
  <c r="B20"/>
  <c r="C20"/>
  <c r="D20"/>
  <c r="E20"/>
  <c r="F20"/>
  <c r="G20"/>
  <c r="H20"/>
  <c r="I20"/>
  <c r="J20"/>
  <c r="L20"/>
  <c r="M20"/>
  <c r="N20"/>
  <c r="N23"/>
  <c r="N24"/>
  <c r="N25"/>
  <c r="N26"/>
  <c r="B27"/>
  <c r="C27"/>
  <c r="D27"/>
  <c r="E27"/>
  <c r="F27"/>
  <c r="G27"/>
  <c r="H27"/>
  <c r="I27"/>
  <c r="J27"/>
  <c r="K27"/>
  <c r="L27"/>
  <c r="M27"/>
  <c r="N27"/>
  <c r="N30"/>
  <c r="N31"/>
  <c r="N32"/>
  <c r="B33"/>
  <c r="C33"/>
  <c r="D33"/>
  <c r="E33"/>
  <c r="F33"/>
  <c r="G33"/>
  <c r="N33"/>
  <c r="H33"/>
  <c r="I33"/>
  <c r="J33"/>
  <c r="K33"/>
  <c r="L33"/>
  <c r="M33"/>
  <c r="N36"/>
  <c r="N37"/>
  <c r="N38"/>
  <c r="D39"/>
  <c r="M39"/>
  <c r="N39"/>
  <c r="N42"/>
  <c r="N43"/>
  <c r="N46"/>
  <c r="N44"/>
  <c r="N45"/>
  <c r="I46"/>
  <c r="L46"/>
  <c r="B48"/>
  <c r="C48"/>
  <c r="E48"/>
  <c r="E50"/>
  <c r="F48"/>
  <c r="G48"/>
  <c r="G50"/>
  <c r="H48"/>
  <c r="J48"/>
  <c r="K48"/>
  <c r="N48"/>
  <c r="N49"/>
  <c r="B50"/>
  <c r="C50"/>
  <c r="D50"/>
  <c r="F50"/>
  <c r="H50"/>
  <c r="I50"/>
  <c r="J50"/>
  <c r="K50"/>
  <c r="L50"/>
  <c r="M50"/>
  <c r="N50"/>
  <c r="B28" i="1"/>
  <c r="C28"/>
  <c r="D28"/>
  <c r="E28"/>
  <c r="F28"/>
  <c r="G28"/>
  <c r="H28"/>
  <c r="I28"/>
  <c r="J28"/>
  <c r="K28"/>
  <c r="L28"/>
  <c r="L21"/>
  <c r="M21"/>
  <c r="B21"/>
  <c r="C21"/>
  <c r="D21"/>
  <c r="E21"/>
  <c r="F21"/>
  <c r="G21"/>
  <c r="H21"/>
  <c r="I21"/>
  <c r="J21"/>
  <c r="M28"/>
  <c r="K21"/>
  <c r="N37"/>
  <c r="N38"/>
  <c r="N39"/>
  <c r="N24"/>
  <c r="N25"/>
  <c r="N26"/>
  <c r="N18"/>
  <c r="N17"/>
  <c r="N19"/>
  <c r="N20"/>
  <c r="B13"/>
  <c r="C13"/>
  <c r="D13"/>
  <c r="E13"/>
  <c r="F13"/>
  <c r="G13"/>
  <c r="H13"/>
  <c r="I13"/>
  <c r="J13"/>
  <c r="K13"/>
  <c r="L13"/>
  <c r="M13"/>
  <c r="C34"/>
  <c r="D34"/>
  <c r="E34"/>
  <c r="F34"/>
  <c r="G34"/>
  <c r="H34"/>
  <c r="N34"/>
  <c r="I34"/>
  <c r="J34"/>
  <c r="K34"/>
  <c r="L34"/>
  <c r="M34"/>
  <c r="B34"/>
  <c r="N43"/>
  <c r="B51"/>
  <c r="N13"/>
  <c r="E51"/>
  <c r="G51"/>
  <c r="I51"/>
  <c r="K51"/>
  <c r="M51"/>
  <c r="D51"/>
  <c r="F51"/>
  <c r="H51"/>
  <c r="J51"/>
  <c r="L51"/>
  <c r="C51"/>
  <c r="N51"/>
</calcChain>
</file>

<file path=xl/sharedStrings.xml><?xml version="1.0" encoding="utf-8"?>
<sst xmlns="http://schemas.openxmlformats.org/spreadsheetml/2006/main" count="73" uniqueCount="45">
  <si>
    <t>Misc. payments</t>
  </si>
  <si>
    <t>Cash short/extra</t>
  </si>
  <si>
    <t>Income totals</t>
  </si>
  <si>
    <t>Total expenses</t>
  </si>
  <si>
    <t>Congress</t>
  </si>
  <si>
    <t>Conferences</t>
  </si>
  <si>
    <t>Leadership</t>
  </si>
  <si>
    <t>Conferences totals</t>
  </si>
  <si>
    <t>Workshop - Conference</t>
  </si>
  <si>
    <t>Ways &amp; Means</t>
  </si>
  <si>
    <t>AZSCORN</t>
  </si>
  <si>
    <t>Dues/Donations</t>
  </si>
  <si>
    <t>AORN Foundation</t>
  </si>
  <si>
    <t>Christmas Dinner - Speaker</t>
  </si>
  <si>
    <t>Contact Hours</t>
  </si>
  <si>
    <t>Chapter Meetings</t>
  </si>
  <si>
    <t>Installation Dinner</t>
  </si>
  <si>
    <t>Newsletter</t>
  </si>
  <si>
    <t>Bulk Mail Fee</t>
  </si>
  <si>
    <t>Workshop</t>
  </si>
  <si>
    <t>INCOME</t>
  </si>
  <si>
    <t>EXPENSES</t>
  </si>
  <si>
    <t>Total Income</t>
  </si>
  <si>
    <t>Total Expenses</t>
  </si>
  <si>
    <t>AORN Dues</t>
  </si>
  <si>
    <t>Money Market</t>
  </si>
  <si>
    <t>Congress Totals</t>
  </si>
  <si>
    <t>Chapter Meetings Totals</t>
  </si>
  <si>
    <t>Dues/Donations Totals</t>
  </si>
  <si>
    <t>Misc. payments Totals</t>
  </si>
  <si>
    <t>Registration  (450 x 9)</t>
  </si>
  <si>
    <t>Stiepend  (300 x 9)</t>
  </si>
  <si>
    <t xml:space="preserve"> EXPENSES</t>
  </si>
  <si>
    <t xml:space="preserve"> INCOME</t>
  </si>
  <si>
    <t>OR Nurse Week</t>
  </si>
  <si>
    <t>Stiepend  (300 x 10)</t>
  </si>
  <si>
    <t>Misc.</t>
  </si>
  <si>
    <t>.</t>
  </si>
  <si>
    <t>Registration  (450 x 8)</t>
  </si>
  <si>
    <t>Misc</t>
  </si>
  <si>
    <t>Treasure Balance</t>
  </si>
  <si>
    <t>Year End</t>
  </si>
  <si>
    <t>AORN Chapter Budget           Chapter Name and #       1/2012 - 12/31/2012</t>
  </si>
  <si>
    <t>Supplies</t>
  </si>
  <si>
    <t>AORN Chapter - Sample Budget       Chapter Name and #      1/2012 -012/2012</t>
  </si>
</sst>
</file>

<file path=xl/styles.xml><?xml version="1.0" encoding="utf-8"?>
<styleSheet xmlns="http://schemas.openxmlformats.org/spreadsheetml/2006/main">
  <numFmts count="3">
    <numFmt numFmtId="164" formatCode="&quot;$&quot;#,##0.00;[Red]&quot;$&quot;#,##0.00"/>
    <numFmt numFmtId="166" formatCode="[$-409]mmm\-yy;@"/>
    <numFmt numFmtId="171" formatCode="[$-409]dd\-mmm\-yy;@"/>
  </numFmts>
  <fonts count="21">
    <font>
      <sz val="10"/>
      <name val="Arial"/>
    </font>
    <font>
      <sz val="10"/>
      <name val="Arial"/>
    </font>
    <font>
      <b/>
      <sz val="10"/>
      <name val="Tahoma"/>
      <family val="2"/>
    </font>
    <font>
      <sz val="10"/>
      <name val="Tahoma"/>
      <family val="2"/>
    </font>
    <font>
      <b/>
      <sz val="14"/>
      <name val="Tahoma"/>
      <family val="2"/>
    </font>
    <font>
      <b/>
      <sz val="9"/>
      <name val="Tahoma"/>
      <family val="2"/>
    </font>
    <font>
      <b/>
      <sz val="11"/>
      <name val="Tahoma"/>
      <family val="2"/>
    </font>
    <font>
      <sz val="11"/>
      <name val="Tahoma"/>
      <family val="2"/>
    </font>
    <font>
      <b/>
      <sz val="20"/>
      <name val="Tahoma"/>
      <family val="2"/>
    </font>
    <font>
      <sz val="10"/>
      <name val="Arial"/>
    </font>
    <font>
      <sz val="9"/>
      <name val="Bookman Old Style"/>
      <family val="1"/>
    </font>
    <font>
      <b/>
      <sz val="10"/>
      <name val="Bookman Old Style"/>
      <family val="1"/>
    </font>
    <font>
      <sz val="10"/>
      <name val="Arial"/>
    </font>
    <font>
      <sz val="14"/>
      <name val="Bookman Old Style"/>
      <family val="1"/>
    </font>
    <font>
      <sz val="10"/>
      <name val="Arial"/>
    </font>
    <font>
      <b/>
      <sz val="18"/>
      <name val="Tahoma"/>
      <family val="2"/>
    </font>
    <font>
      <sz val="18"/>
      <name val="Tahoma"/>
      <family val="2"/>
    </font>
    <font>
      <b/>
      <sz val="12"/>
      <name val="Tahoma"/>
      <family val="2"/>
    </font>
    <font>
      <sz val="12"/>
      <name val="Tahoma"/>
      <family val="2"/>
    </font>
    <font>
      <b/>
      <sz val="12"/>
      <name val="Arial"/>
    </font>
    <font>
      <b/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37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37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ck">
        <color indexed="37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indexed="37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7">
    <xf numFmtId="0" fontId="0" fillId="0" borderId="0" xfId="0"/>
    <xf numFmtId="40" fontId="3" fillId="0" borderId="1" xfId="0" applyNumberFormat="1" applyFont="1" applyFill="1" applyBorder="1" applyAlignment="1" applyProtection="1">
      <protection locked="0" hidden="1"/>
    </xf>
    <xf numFmtId="0" fontId="3" fillId="0" borderId="0" xfId="0" applyFont="1"/>
    <xf numFmtId="40" fontId="3" fillId="2" borderId="1" xfId="0" applyNumberFormat="1" applyFont="1" applyFill="1" applyBorder="1" applyAlignment="1" applyProtection="1">
      <protection locked="0" hidden="1"/>
    </xf>
    <xf numFmtId="40" fontId="3" fillId="0" borderId="1" xfId="0" applyNumberFormat="1" applyFont="1" applyFill="1" applyBorder="1" applyAlignment="1" applyProtection="1">
      <protection hidden="1"/>
    </xf>
    <xf numFmtId="40" fontId="3" fillId="2" borderId="1" xfId="0" applyNumberFormat="1" applyFont="1" applyFill="1" applyBorder="1" applyAlignment="1" applyProtection="1">
      <protection hidden="1"/>
    </xf>
    <xf numFmtId="0" fontId="7" fillId="0" borderId="2" xfId="0" applyFont="1" applyFill="1" applyBorder="1" applyAlignment="1"/>
    <xf numFmtId="40" fontId="2" fillId="3" borderId="1" xfId="0" applyNumberFormat="1" applyFont="1" applyFill="1" applyBorder="1" applyAlignment="1" applyProtection="1">
      <protection hidden="1"/>
    </xf>
    <xf numFmtId="0" fontId="9" fillId="0" borderId="0" xfId="0" applyFont="1"/>
    <xf numFmtId="0" fontId="11" fillId="0" borderId="2" xfId="0" applyFont="1" applyFill="1" applyBorder="1" applyAlignment="1"/>
    <xf numFmtId="0" fontId="12" fillId="0" borderId="0" xfId="0" applyFont="1"/>
    <xf numFmtId="0" fontId="14" fillId="0" borderId="0" xfId="0" applyFont="1"/>
    <xf numFmtId="40" fontId="2" fillId="3" borderId="3" xfId="0" applyNumberFormat="1" applyFont="1" applyFill="1" applyBorder="1" applyAlignment="1" applyProtection="1">
      <protection hidden="1"/>
    </xf>
    <xf numFmtId="40" fontId="17" fillId="3" borderId="1" xfId="0" applyNumberFormat="1" applyFont="1" applyFill="1" applyBorder="1" applyAlignment="1" applyProtection="1">
      <protection hidden="1"/>
    </xf>
    <xf numFmtId="0" fontId="18" fillId="0" borderId="0" xfId="0" applyFont="1"/>
    <xf numFmtId="0" fontId="17" fillId="0" borderId="4" xfId="0" applyFont="1" applyFill="1" applyBorder="1" applyAlignment="1" applyProtection="1">
      <protection locked="0" hidden="1"/>
    </xf>
    <xf numFmtId="0" fontId="19" fillId="0" borderId="0" xfId="0" applyFont="1"/>
    <xf numFmtId="0" fontId="1" fillId="0" borderId="0" xfId="0" applyFont="1"/>
    <xf numFmtId="40" fontId="2" fillId="2" borderId="1" xfId="0" applyNumberFormat="1" applyFont="1" applyFill="1" applyBorder="1" applyAlignment="1" applyProtection="1">
      <protection locked="0" hidden="1"/>
    </xf>
    <xf numFmtId="0" fontId="0" fillId="0" borderId="1" xfId="0" applyBorder="1"/>
    <xf numFmtId="40" fontId="11" fillId="3" borderId="1" xfId="0" applyNumberFormat="1" applyFont="1" applyFill="1" applyBorder="1" applyAlignment="1"/>
    <xf numFmtId="40" fontId="2" fillId="0" borderId="1" xfId="0" applyNumberFormat="1" applyFont="1" applyFill="1" applyBorder="1" applyAlignment="1" applyProtection="1">
      <protection locked="0" hidden="1"/>
    </xf>
    <xf numFmtId="164" fontId="20" fillId="0" borderId="1" xfId="0" applyNumberFormat="1" applyFont="1" applyBorder="1"/>
    <xf numFmtId="40" fontId="3" fillId="4" borderId="1" xfId="0" applyNumberFormat="1" applyFont="1" applyFill="1" applyBorder="1" applyAlignment="1" applyProtection="1">
      <protection locked="0" hidden="1"/>
    </xf>
    <xf numFmtId="0" fontId="6" fillId="0" borderId="5" xfId="0" applyFont="1" applyFill="1" applyBorder="1" applyAlignment="1">
      <alignment horizontal="center"/>
    </xf>
    <xf numFmtId="0" fontId="7" fillId="0" borderId="6" xfId="0" applyFont="1" applyFill="1" applyBorder="1" applyAlignment="1"/>
    <xf numFmtId="0" fontId="3" fillId="2" borderId="7" xfId="0" applyFont="1" applyFill="1" applyBorder="1" applyAlignment="1" applyProtection="1">
      <protection locked="0" hidden="1"/>
    </xf>
    <xf numFmtId="40" fontId="2" fillId="3" borderId="8" xfId="0" applyNumberFormat="1" applyFont="1" applyFill="1" applyBorder="1" applyAlignment="1" applyProtection="1">
      <protection hidden="1"/>
    </xf>
    <xf numFmtId="40" fontId="2" fillId="2" borderId="8" xfId="0" applyNumberFormat="1" applyFont="1" applyFill="1" applyBorder="1" applyAlignment="1" applyProtection="1">
      <protection locked="0" hidden="1"/>
    </xf>
    <xf numFmtId="0" fontId="3" fillId="0" borderId="7" xfId="0" applyFont="1" applyFill="1" applyBorder="1" applyAlignment="1" applyProtection="1">
      <protection locked="0" hidden="1"/>
    </xf>
    <xf numFmtId="0" fontId="3" fillId="0" borderId="7" xfId="0" applyFont="1" applyFill="1" applyBorder="1" applyAlignment="1" applyProtection="1">
      <alignment wrapText="1"/>
      <protection locked="0" hidden="1"/>
    </xf>
    <xf numFmtId="40" fontId="17" fillId="3" borderId="7" xfId="0" applyNumberFormat="1" applyFont="1" applyFill="1" applyBorder="1" applyAlignment="1" applyProtection="1">
      <protection hidden="1"/>
    </xf>
    <xf numFmtId="40" fontId="17" fillId="3" borderId="8" xfId="0" applyNumberFormat="1" applyFont="1" applyFill="1" applyBorder="1" applyAlignment="1" applyProtection="1">
      <protection hidden="1"/>
    </xf>
    <xf numFmtId="40" fontId="2" fillId="3" borderId="4" xfId="0" applyNumberFormat="1" applyFont="1" applyFill="1" applyBorder="1" applyAlignment="1" applyProtection="1">
      <protection hidden="1"/>
    </xf>
    <xf numFmtId="40" fontId="2" fillId="3" borderId="9" xfId="0" applyNumberFormat="1" applyFont="1" applyFill="1" applyBorder="1" applyAlignment="1" applyProtection="1">
      <protection hidden="1"/>
    </xf>
    <xf numFmtId="0" fontId="11" fillId="3" borderId="10" xfId="0" applyFont="1" applyFill="1" applyBorder="1" applyAlignment="1"/>
    <xf numFmtId="40" fontId="11" fillId="3" borderId="8" xfId="0" applyNumberFormat="1" applyFont="1" applyFill="1" applyBorder="1" applyAlignment="1"/>
    <xf numFmtId="0" fontId="11" fillId="0" borderId="7" xfId="0" applyFont="1" applyFill="1" applyBorder="1" applyAlignment="1"/>
    <xf numFmtId="0" fontId="11" fillId="0" borderId="6" xfId="0" applyFont="1" applyFill="1" applyBorder="1" applyAlignment="1"/>
    <xf numFmtId="40" fontId="20" fillId="0" borderId="8" xfId="0" applyNumberFormat="1" applyFont="1" applyBorder="1"/>
    <xf numFmtId="40" fontId="2" fillId="3" borderId="10" xfId="0" applyNumberFormat="1" applyFont="1" applyFill="1" applyBorder="1" applyAlignment="1" applyProtection="1">
      <protection hidden="1"/>
    </xf>
    <xf numFmtId="0" fontId="2" fillId="2" borderId="7" xfId="0" applyFont="1" applyFill="1" applyBorder="1" applyAlignment="1" applyProtection="1">
      <protection locked="0" hidden="1"/>
    </xf>
    <xf numFmtId="0" fontId="2" fillId="0" borderId="7" xfId="0" applyFont="1" applyFill="1" applyBorder="1" applyAlignment="1" applyProtection="1">
      <protection locked="0" hidden="1"/>
    </xf>
    <xf numFmtId="0" fontId="0" fillId="0" borderId="11" xfId="0" applyBorder="1"/>
    <xf numFmtId="0" fontId="0" fillId="0" borderId="8" xfId="0" applyBorder="1"/>
    <xf numFmtId="164" fontId="20" fillId="0" borderId="8" xfId="0" applyNumberFormat="1" applyFont="1" applyBorder="1"/>
    <xf numFmtId="40" fontId="3" fillId="5" borderId="1" xfId="0" applyNumberFormat="1" applyFont="1" applyFill="1" applyBorder="1" applyAlignment="1" applyProtection="1">
      <protection hidden="1"/>
    </xf>
    <xf numFmtId="0" fontId="17" fillId="0" borderId="12" xfId="0" applyFont="1" applyFill="1" applyBorder="1" applyAlignment="1" applyProtection="1">
      <protection locked="0" hidden="1"/>
    </xf>
    <xf numFmtId="164" fontId="20" fillId="0" borderId="13" xfId="0" applyNumberFormat="1" applyFont="1" applyBorder="1"/>
    <xf numFmtId="164" fontId="20" fillId="0" borderId="14" xfId="0" applyNumberFormat="1" applyFont="1" applyBorder="1"/>
    <xf numFmtId="40" fontId="3" fillId="5" borderId="1" xfId="0" applyNumberFormat="1" applyFont="1" applyFill="1" applyBorder="1" applyAlignment="1" applyProtection="1">
      <protection locked="0" hidden="1"/>
    </xf>
    <xf numFmtId="40" fontId="20" fillId="0" borderId="15" xfId="0" applyNumberFormat="1" applyFont="1" applyBorder="1"/>
    <xf numFmtId="164" fontId="20" fillId="0" borderId="16" xfId="0" applyNumberFormat="1" applyFont="1" applyBorder="1"/>
    <xf numFmtId="164" fontId="20" fillId="0" borderId="17" xfId="0" applyNumberFormat="1" applyFont="1" applyBorder="1"/>
    <xf numFmtId="164" fontId="20" fillId="0" borderId="18" xfId="0" applyNumberFormat="1" applyFont="1" applyBorder="1"/>
    <xf numFmtId="0" fontId="3" fillId="0" borderId="10" xfId="0" applyFont="1" applyFill="1" applyBorder="1" applyAlignment="1" applyProtection="1">
      <protection locked="0" hidden="1"/>
    </xf>
    <xf numFmtId="0" fontId="3" fillId="2" borderId="10" xfId="0" applyFont="1" applyFill="1" applyBorder="1" applyAlignment="1" applyProtection="1">
      <protection locked="0" hidden="1"/>
    </xf>
    <xf numFmtId="40" fontId="17" fillId="3" borderId="10" xfId="0" applyNumberFormat="1" applyFont="1" applyFill="1" applyBorder="1" applyAlignment="1" applyProtection="1">
      <protection hidden="1"/>
    </xf>
    <xf numFmtId="164" fontId="20" fillId="0" borderId="19" xfId="0" applyNumberFormat="1" applyFont="1" applyBorder="1"/>
    <xf numFmtId="0" fontId="9" fillId="0" borderId="12" xfId="0" applyFont="1" applyBorder="1"/>
    <xf numFmtId="0" fontId="9" fillId="0" borderId="20" xfId="0" applyFont="1" applyBorder="1"/>
    <xf numFmtId="0" fontId="9" fillId="0" borderId="21" xfId="0" applyFont="1" applyBorder="1"/>
    <xf numFmtId="0" fontId="17" fillId="0" borderId="22" xfId="0" applyFont="1" applyFill="1" applyBorder="1" applyAlignment="1" applyProtection="1">
      <protection locked="0" hidden="1"/>
    </xf>
    <xf numFmtId="0" fontId="17" fillId="0" borderId="13" xfId="0" applyFont="1" applyFill="1" applyBorder="1" applyAlignment="1" applyProtection="1">
      <protection locked="0" hidden="1"/>
    </xf>
    <xf numFmtId="40" fontId="3" fillId="0" borderId="23" xfId="0" applyNumberFormat="1" applyFont="1" applyFill="1" applyBorder="1" applyAlignment="1" applyProtection="1">
      <protection locked="0" hidden="1"/>
    </xf>
    <xf numFmtId="40" fontId="3" fillId="2" borderId="23" xfId="0" applyNumberFormat="1" applyFont="1" applyFill="1" applyBorder="1" applyAlignment="1" applyProtection="1">
      <protection locked="0" hidden="1"/>
    </xf>
    <xf numFmtId="40" fontId="17" fillId="3" borderId="23" xfId="0" applyNumberFormat="1" applyFont="1" applyFill="1" applyBorder="1" applyAlignment="1" applyProtection="1">
      <protection hidden="1"/>
    </xf>
    <xf numFmtId="40" fontId="3" fillId="2" borderId="24" xfId="0" applyNumberFormat="1" applyFont="1" applyFill="1" applyBorder="1" applyAlignment="1" applyProtection="1">
      <protection locked="0" hidden="1"/>
    </xf>
    <xf numFmtId="40" fontId="3" fillId="0" borderId="24" xfId="0" applyNumberFormat="1" applyFont="1" applyFill="1" applyBorder="1" applyAlignment="1" applyProtection="1">
      <protection locked="0" hidden="1"/>
    </xf>
    <xf numFmtId="40" fontId="17" fillId="3" borderId="24" xfId="0" applyNumberFormat="1" applyFont="1" applyFill="1" applyBorder="1" applyAlignment="1" applyProtection="1">
      <protection hidden="1"/>
    </xf>
    <xf numFmtId="40" fontId="3" fillId="0" borderId="23" xfId="0" applyNumberFormat="1" applyFont="1" applyFill="1" applyBorder="1" applyAlignment="1" applyProtection="1">
      <protection hidden="1"/>
    </xf>
    <xf numFmtId="40" fontId="3" fillId="2" borderId="23" xfId="0" applyNumberFormat="1" applyFont="1" applyFill="1" applyBorder="1" applyAlignment="1" applyProtection="1">
      <protection hidden="1"/>
    </xf>
    <xf numFmtId="40" fontId="11" fillId="3" borderId="23" xfId="0" applyNumberFormat="1" applyFont="1" applyFill="1" applyBorder="1" applyAlignment="1"/>
    <xf numFmtId="40" fontId="3" fillId="0" borderId="24" xfId="0" applyNumberFormat="1" applyFont="1" applyFill="1" applyBorder="1" applyAlignment="1" applyProtection="1">
      <protection hidden="1"/>
    </xf>
    <xf numFmtId="40" fontId="3" fillId="2" borderId="24" xfId="0" applyNumberFormat="1" applyFont="1" applyFill="1" applyBorder="1" applyAlignment="1" applyProtection="1">
      <protection hidden="1"/>
    </xf>
    <xf numFmtId="40" fontId="11" fillId="3" borderId="24" xfId="0" applyNumberFormat="1" applyFont="1" applyFill="1" applyBorder="1" applyAlignment="1"/>
    <xf numFmtId="40" fontId="2" fillId="3" borderId="23" xfId="0" applyNumberFormat="1" applyFont="1" applyFill="1" applyBorder="1" applyAlignment="1" applyProtection="1">
      <protection hidden="1"/>
    </xf>
    <xf numFmtId="40" fontId="2" fillId="3" borderId="24" xfId="0" applyNumberFormat="1" applyFont="1" applyFill="1" applyBorder="1" applyAlignment="1" applyProtection="1">
      <protection hidden="1"/>
    </xf>
    <xf numFmtId="40" fontId="2" fillId="2" borderId="23" xfId="0" applyNumberFormat="1" applyFont="1" applyFill="1" applyBorder="1" applyAlignment="1" applyProtection="1">
      <protection locked="0" hidden="1"/>
    </xf>
    <xf numFmtId="40" fontId="2" fillId="2" borderId="24" xfId="0" applyNumberFormat="1" applyFont="1" applyFill="1" applyBorder="1" applyAlignment="1" applyProtection="1">
      <protection locked="0" hidden="1"/>
    </xf>
    <xf numFmtId="40" fontId="2" fillId="0" borderId="23" xfId="0" applyNumberFormat="1" applyFont="1" applyFill="1" applyBorder="1" applyAlignment="1" applyProtection="1">
      <protection locked="0" hidden="1"/>
    </xf>
    <xf numFmtId="0" fontId="0" fillId="0" borderId="23" xfId="0" applyFill="1" applyBorder="1"/>
    <xf numFmtId="40" fontId="2" fillId="0" borderId="24" xfId="0" applyNumberFormat="1" applyFont="1" applyFill="1" applyBorder="1" applyAlignment="1" applyProtection="1">
      <protection locked="0" hidden="1"/>
    </xf>
    <xf numFmtId="0" fontId="0" fillId="0" borderId="24" xfId="0" applyBorder="1"/>
    <xf numFmtId="164" fontId="20" fillId="0" borderId="24" xfId="0" applyNumberFormat="1" applyFont="1" applyBorder="1"/>
    <xf numFmtId="164" fontId="20" fillId="0" borderId="25" xfId="0" applyNumberFormat="1" applyFont="1" applyBorder="1"/>
    <xf numFmtId="40" fontId="3" fillId="5" borderId="23" xfId="0" applyNumberFormat="1" applyFont="1" applyFill="1" applyBorder="1" applyAlignment="1" applyProtection="1">
      <protection locked="0" hidden="1"/>
    </xf>
    <xf numFmtId="40" fontId="3" fillId="5" borderId="24" xfId="0" applyNumberFormat="1" applyFont="1" applyFill="1" applyBorder="1" applyAlignment="1" applyProtection="1">
      <protection locked="0" hidden="1"/>
    </xf>
    <xf numFmtId="0" fontId="0" fillId="0" borderId="23" xfId="0" applyBorder="1"/>
    <xf numFmtId="164" fontId="20" fillId="0" borderId="23" xfId="0" applyNumberFormat="1" applyFont="1" applyBorder="1"/>
    <xf numFmtId="164" fontId="20" fillId="0" borderId="26" xfId="0" applyNumberFormat="1" applyFont="1" applyBorder="1"/>
    <xf numFmtId="164" fontId="20" fillId="0" borderId="27" xfId="0" applyNumberFormat="1" applyFont="1" applyBorder="1"/>
    <xf numFmtId="164" fontId="20" fillId="0" borderId="28" xfId="0" applyNumberFormat="1" applyFont="1" applyBorder="1"/>
    <xf numFmtId="40" fontId="2" fillId="0" borderId="8" xfId="0" applyNumberFormat="1" applyFont="1" applyFill="1" applyBorder="1" applyAlignment="1" applyProtection="1">
      <protection hidden="1"/>
    </xf>
    <xf numFmtId="0" fontId="10" fillId="0" borderId="32" xfId="0" applyFont="1" applyFill="1" applyBorder="1" applyAlignment="1"/>
    <xf numFmtId="166" fontId="5" fillId="8" borderId="33" xfId="0" applyNumberFormat="1" applyFont="1" applyFill="1" applyBorder="1" applyAlignment="1">
      <alignment horizontal="centerContinuous"/>
    </xf>
    <xf numFmtId="0" fontId="3" fillId="2" borderId="34" xfId="0" applyFont="1" applyFill="1" applyBorder="1" applyAlignment="1" applyProtection="1">
      <protection locked="0" hidden="1"/>
    </xf>
    <xf numFmtId="40" fontId="3" fillId="2" borderId="13" xfId="0" applyNumberFormat="1" applyFont="1" applyFill="1" applyBorder="1" applyAlignment="1" applyProtection="1">
      <protection locked="0" hidden="1"/>
    </xf>
    <xf numFmtId="40" fontId="3" fillId="4" borderId="35" xfId="0" applyNumberFormat="1" applyFont="1" applyFill="1" applyBorder="1" applyAlignment="1" applyProtection="1">
      <protection locked="0" hidden="1"/>
    </xf>
    <xf numFmtId="40" fontId="3" fillId="2" borderId="36" xfId="0" applyNumberFormat="1" applyFont="1" applyFill="1" applyBorder="1" applyAlignment="1" applyProtection="1">
      <protection locked="0" hidden="1"/>
    </xf>
    <xf numFmtId="40" fontId="2" fillId="3" borderId="19" xfId="0" applyNumberFormat="1" applyFont="1" applyFill="1" applyBorder="1" applyAlignment="1" applyProtection="1">
      <protection hidden="1"/>
    </xf>
    <xf numFmtId="171" fontId="5" fillId="8" borderId="33" xfId="0" applyNumberFormat="1" applyFont="1" applyFill="1" applyBorder="1" applyAlignment="1">
      <alignment horizontal="centerContinuous"/>
    </xf>
    <xf numFmtId="40" fontId="5" fillId="8" borderId="40" xfId="0" applyNumberFormat="1" applyFont="1" applyFill="1" applyBorder="1" applyAlignment="1">
      <alignment horizontal="centerContinuous"/>
    </xf>
    <xf numFmtId="40" fontId="3" fillId="0" borderId="13" xfId="0" applyNumberFormat="1" applyFont="1" applyFill="1" applyBorder="1" applyAlignment="1" applyProtection="1">
      <protection locked="0" hidden="1"/>
    </xf>
    <xf numFmtId="40" fontId="3" fillId="0" borderId="35" xfId="0" applyNumberFormat="1" applyFont="1" applyFill="1" applyBorder="1" applyAlignment="1" applyProtection="1">
      <protection locked="0" hidden="1"/>
    </xf>
    <xf numFmtId="40" fontId="3" fillId="0" borderId="36" xfId="0" applyNumberFormat="1" applyFont="1" applyFill="1" applyBorder="1" applyAlignment="1" applyProtection="1">
      <protection locked="0" hidden="1"/>
    </xf>
    <xf numFmtId="40" fontId="2" fillId="0" borderId="19" xfId="0" applyNumberFormat="1" applyFont="1" applyFill="1" applyBorder="1" applyAlignment="1" applyProtection="1">
      <protection hidden="1"/>
    </xf>
    <xf numFmtId="0" fontId="4" fillId="6" borderId="7" xfId="0" applyFont="1" applyFill="1" applyBorder="1" applyAlignment="1" applyProtection="1">
      <protection locked="0" hidden="1"/>
    </xf>
    <xf numFmtId="0" fontId="13" fillId="6" borderId="2" xfId="0" applyFont="1" applyFill="1" applyBorder="1" applyAlignment="1"/>
    <xf numFmtId="0" fontId="13" fillId="6" borderId="6" xfId="0" applyFont="1" applyFill="1" applyBorder="1" applyAlignment="1"/>
    <xf numFmtId="0" fontId="8" fillId="7" borderId="29" xfId="0" applyFont="1" applyFill="1" applyBorder="1" applyAlignment="1"/>
    <xf numFmtId="0" fontId="8" fillId="7" borderId="30" xfId="0" applyFont="1" applyFill="1" applyBorder="1" applyAlignment="1"/>
    <xf numFmtId="0" fontId="8" fillId="7" borderId="31" xfId="0" applyFont="1" applyFill="1" applyBorder="1" applyAlignment="1"/>
    <xf numFmtId="0" fontId="15" fillId="4" borderId="37" xfId="0" applyFont="1" applyFill="1" applyBorder="1" applyAlignment="1" applyProtection="1">
      <alignment vertical="center"/>
      <protection locked="0" hidden="1"/>
    </xf>
    <xf numFmtId="0" fontId="15" fillId="4" borderId="38" xfId="0" applyFont="1" applyFill="1" applyBorder="1" applyAlignment="1">
      <alignment vertical="center"/>
    </xf>
    <xf numFmtId="0" fontId="15" fillId="4" borderId="39" xfId="0" applyFont="1" applyFill="1" applyBorder="1" applyAlignment="1">
      <alignment vertical="center"/>
    </xf>
    <xf numFmtId="0" fontId="4" fillId="6" borderId="10" xfId="0" applyFont="1" applyFill="1" applyBorder="1" applyAlignment="1" applyProtection="1">
      <protection locked="0" hidden="1"/>
    </xf>
    <xf numFmtId="0" fontId="13" fillId="6" borderId="1" xfId="0" applyFont="1" applyFill="1" applyBorder="1" applyAlignment="1"/>
    <xf numFmtId="0" fontId="13" fillId="6" borderId="8" xfId="0" applyFont="1" applyFill="1" applyBorder="1" applyAlignment="1"/>
    <xf numFmtId="0" fontId="4" fillId="6" borderId="34" xfId="0" applyFont="1" applyFill="1" applyBorder="1" applyAlignment="1" applyProtection="1">
      <protection locked="0" hidden="1"/>
    </xf>
    <xf numFmtId="0" fontId="13" fillId="6" borderId="41" xfId="0" applyFont="1" applyFill="1" applyBorder="1" applyAlignment="1"/>
    <xf numFmtId="0" fontId="13" fillId="6" borderId="42" xfId="0" applyFont="1" applyFill="1" applyBorder="1" applyAlignment="1"/>
    <xf numFmtId="0" fontId="15" fillId="9" borderId="37" xfId="0" applyFont="1" applyFill="1" applyBorder="1" applyAlignment="1" applyProtection="1">
      <alignment vertical="center"/>
      <protection locked="0" hidden="1"/>
    </xf>
    <xf numFmtId="0" fontId="16" fillId="9" borderId="38" xfId="0" applyFont="1" applyFill="1" applyBorder="1" applyAlignment="1">
      <alignment vertical="center"/>
    </xf>
    <xf numFmtId="0" fontId="16" fillId="9" borderId="39" xfId="0" applyFont="1" applyFill="1" applyBorder="1" applyAlignment="1">
      <alignment vertical="center"/>
    </xf>
    <xf numFmtId="0" fontId="4" fillId="8" borderId="7" xfId="0" applyFont="1" applyFill="1" applyBorder="1" applyAlignment="1" applyProtection="1">
      <protection locked="0" hidden="1"/>
    </xf>
    <xf numFmtId="0" fontId="13" fillId="8" borderId="2" xfId="0" applyFont="1" applyFill="1" applyBorder="1" applyAlignment="1"/>
    <xf numFmtId="0" fontId="13" fillId="8" borderId="6" xfId="0" applyFont="1" applyFill="1" applyBorder="1" applyAlignment="1"/>
    <xf numFmtId="0" fontId="8" fillId="8" borderId="29" xfId="0" applyFont="1" applyFill="1" applyBorder="1" applyAlignment="1"/>
    <xf numFmtId="0" fontId="8" fillId="8" borderId="30" xfId="0" applyFont="1" applyFill="1" applyBorder="1" applyAlignment="1"/>
    <xf numFmtId="0" fontId="8" fillId="8" borderId="31" xfId="0" applyFont="1" applyFill="1" applyBorder="1" applyAlignment="1"/>
    <xf numFmtId="0" fontId="4" fillId="8" borderId="34" xfId="0" applyFont="1" applyFill="1" applyBorder="1" applyAlignment="1" applyProtection="1">
      <protection locked="0" hidden="1"/>
    </xf>
    <xf numFmtId="0" fontId="13" fillId="8" borderId="41" xfId="0" applyFont="1" applyFill="1" applyBorder="1" applyAlignment="1"/>
    <xf numFmtId="0" fontId="13" fillId="8" borderId="42" xfId="0" applyFont="1" applyFill="1" applyBorder="1" applyAlignment="1"/>
    <xf numFmtId="0" fontId="15" fillId="5" borderId="37" xfId="0" applyFont="1" applyFill="1" applyBorder="1" applyAlignment="1" applyProtection="1">
      <alignment vertical="center"/>
      <protection locked="0" hidden="1"/>
    </xf>
    <xf numFmtId="0" fontId="16" fillId="5" borderId="38" xfId="0" applyFont="1" applyFill="1" applyBorder="1" applyAlignment="1">
      <alignment vertical="center"/>
    </xf>
    <xf numFmtId="0" fontId="16" fillId="5" borderId="39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5FBFD"/>
      <rgbColor rgb="00CCFFCC"/>
      <rgbColor rgb="00FFFF99"/>
      <rgbColor rgb="00C5E0F3"/>
      <rgbColor rgb="00FF99CC"/>
      <rgbColor rgb="00EAEAEA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52"/>
  <sheetViews>
    <sheetView showGridLines="0" tabSelected="1" zoomScale="75" zoomScaleNormal="75" workbookViewId="0">
      <selection activeCell="P11" sqref="P11"/>
    </sheetView>
  </sheetViews>
  <sheetFormatPr defaultRowHeight="12.75"/>
  <cols>
    <col min="1" max="1" width="24.85546875" style="8" customWidth="1"/>
    <col min="2" max="2" width="14.7109375" style="8" customWidth="1"/>
    <col min="3" max="3" width="13.42578125" style="8" customWidth="1"/>
    <col min="4" max="6" width="13.5703125" style="8" customWidth="1"/>
    <col min="7" max="7" width="13.42578125" style="8" customWidth="1"/>
    <col min="8" max="13" width="13.5703125" style="8" customWidth="1"/>
    <col min="14" max="14" width="14.28515625" style="8" customWidth="1"/>
    <col min="15" max="16384" width="9.140625" style="8"/>
  </cols>
  <sheetData>
    <row r="1" spans="1:14" ht="31.5" customHeight="1">
      <c r="A1" s="110" t="s">
        <v>42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2"/>
    </row>
    <row r="2" spans="1:14" ht="14.25">
      <c r="A2" s="24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25"/>
    </row>
    <row r="3" spans="1:14" ht="14.25" thickBot="1">
      <c r="A3" s="94"/>
      <c r="B3" s="101">
        <v>40909</v>
      </c>
      <c r="C3" s="101">
        <v>40940</v>
      </c>
      <c r="D3" s="101">
        <v>40969</v>
      </c>
      <c r="E3" s="101">
        <v>41000</v>
      </c>
      <c r="F3" s="101">
        <v>41030</v>
      </c>
      <c r="G3" s="101">
        <v>41061</v>
      </c>
      <c r="H3" s="101">
        <v>41091</v>
      </c>
      <c r="I3" s="101">
        <v>41122</v>
      </c>
      <c r="J3" s="101">
        <v>41153</v>
      </c>
      <c r="K3" s="101">
        <v>41183</v>
      </c>
      <c r="L3" s="101">
        <v>41214</v>
      </c>
      <c r="M3" s="101">
        <v>41244</v>
      </c>
      <c r="N3" s="102" t="s">
        <v>41</v>
      </c>
    </row>
    <row r="4" spans="1:14" ht="23.25" thickBot="1">
      <c r="A4" s="113" t="s">
        <v>20</v>
      </c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5"/>
    </row>
    <row r="5" spans="1:14" s="2" customFormat="1">
      <c r="A5" s="96" t="s">
        <v>40</v>
      </c>
      <c r="B5" s="103">
        <v>0</v>
      </c>
      <c r="C5" s="103">
        <v>0</v>
      </c>
      <c r="D5" s="103">
        <v>0</v>
      </c>
      <c r="E5" s="103">
        <v>0</v>
      </c>
      <c r="F5" s="103">
        <v>0</v>
      </c>
      <c r="G5" s="104">
        <v>0</v>
      </c>
      <c r="H5" s="105">
        <v>0</v>
      </c>
      <c r="I5" s="103">
        <v>0</v>
      </c>
      <c r="J5" s="103">
        <v>0</v>
      </c>
      <c r="K5" s="103">
        <v>0</v>
      </c>
      <c r="L5" s="103">
        <v>0</v>
      </c>
      <c r="M5" s="103">
        <v>0</v>
      </c>
      <c r="N5" s="106">
        <f>SUM(B5:M5)</f>
        <v>0</v>
      </c>
    </row>
    <row r="6" spans="1:14" s="2" customFormat="1">
      <c r="A6" s="26" t="s">
        <v>24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64">
        <v>0</v>
      </c>
      <c r="H6" s="68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93">
        <f t="shared" ref="N6:N12" si="0">SUM(B6:M6)</f>
        <v>0</v>
      </c>
    </row>
    <row r="7" spans="1:14" s="2" customFormat="1">
      <c r="A7" s="26" t="s">
        <v>25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64">
        <v>0</v>
      </c>
      <c r="H7" s="68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93">
        <f t="shared" si="0"/>
        <v>0</v>
      </c>
    </row>
    <row r="8" spans="1:14" s="2" customFormat="1">
      <c r="A8" s="29" t="s">
        <v>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64">
        <v>0</v>
      </c>
      <c r="H8" s="68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93">
        <f t="shared" si="0"/>
        <v>0</v>
      </c>
    </row>
    <row r="9" spans="1:14" s="2" customFormat="1">
      <c r="A9" s="26" t="s">
        <v>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64">
        <v>0</v>
      </c>
      <c r="H9" s="68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93">
        <f t="shared" si="0"/>
        <v>0</v>
      </c>
    </row>
    <row r="10" spans="1:14" s="2" customFormat="1">
      <c r="A10" s="26"/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64">
        <v>0</v>
      </c>
      <c r="H10" s="68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93">
        <f t="shared" si="0"/>
        <v>0</v>
      </c>
    </row>
    <row r="11" spans="1:14" s="2" customFormat="1">
      <c r="A11" s="30"/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64">
        <v>0</v>
      </c>
      <c r="H11" s="68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93">
        <f t="shared" si="0"/>
        <v>0</v>
      </c>
    </row>
    <row r="12" spans="1:14" s="2" customFormat="1">
      <c r="A12" s="29"/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64">
        <v>0</v>
      </c>
      <c r="H12" s="68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93">
        <f t="shared" si="0"/>
        <v>0</v>
      </c>
    </row>
    <row r="13" spans="1:14" s="14" customFormat="1" ht="15">
      <c r="A13" s="31" t="s">
        <v>2</v>
      </c>
      <c r="B13" s="13">
        <f t="shared" ref="B13:M13" si="1">SUM(B5:B12)</f>
        <v>0</v>
      </c>
      <c r="C13" s="13">
        <f t="shared" si="1"/>
        <v>0</v>
      </c>
      <c r="D13" s="13">
        <f t="shared" si="1"/>
        <v>0</v>
      </c>
      <c r="E13" s="13">
        <f t="shared" si="1"/>
        <v>0</v>
      </c>
      <c r="F13" s="13">
        <f t="shared" si="1"/>
        <v>0</v>
      </c>
      <c r="G13" s="66">
        <f t="shared" si="1"/>
        <v>0</v>
      </c>
      <c r="H13" s="69">
        <f t="shared" si="1"/>
        <v>0</v>
      </c>
      <c r="I13" s="13">
        <f t="shared" si="1"/>
        <v>0</v>
      </c>
      <c r="J13" s="13">
        <f t="shared" si="1"/>
        <v>0</v>
      </c>
      <c r="K13" s="13">
        <f t="shared" si="1"/>
        <v>0</v>
      </c>
      <c r="L13" s="13">
        <f t="shared" si="1"/>
        <v>0</v>
      </c>
      <c r="M13" s="13">
        <f t="shared" si="1"/>
        <v>0</v>
      </c>
      <c r="N13" s="32">
        <f t="shared" ref="N13" si="2">SUM(B13:M13)</f>
        <v>0</v>
      </c>
    </row>
    <row r="14" spans="1:14" s="2" customFormat="1" ht="13.5" thickBot="1">
      <c r="A14" s="33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34"/>
    </row>
    <row r="15" spans="1:14" ht="23.25" thickBot="1">
      <c r="A15" s="122" t="s">
        <v>21</v>
      </c>
      <c r="B15" s="123"/>
      <c r="C15" s="123"/>
      <c r="D15" s="123"/>
      <c r="E15" s="123"/>
      <c r="F15" s="123"/>
      <c r="G15" s="123"/>
      <c r="H15" s="123"/>
      <c r="I15" s="123"/>
      <c r="J15" s="123"/>
      <c r="K15" s="123"/>
      <c r="L15" s="123"/>
      <c r="M15" s="123"/>
      <c r="N15" s="124"/>
    </row>
    <row r="16" spans="1:14" s="11" customFormat="1" ht="21.75" customHeight="1">
      <c r="A16" s="119" t="s">
        <v>4</v>
      </c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1"/>
    </row>
    <row r="17" spans="1:14" s="2" customFormat="1">
      <c r="A17" s="29" t="s">
        <v>30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70">
        <v>0</v>
      </c>
      <c r="H17" s="73">
        <v>0</v>
      </c>
      <c r="I17" s="4">
        <v>0</v>
      </c>
      <c r="J17" s="4">
        <v>0</v>
      </c>
      <c r="K17" s="4">
        <v>0</v>
      </c>
      <c r="L17" s="4">
        <v>0</v>
      </c>
      <c r="M17" s="1">
        <v>0</v>
      </c>
      <c r="N17" s="27">
        <f>SUM(B17:M17)</f>
        <v>0</v>
      </c>
    </row>
    <row r="18" spans="1:14" s="2" customFormat="1">
      <c r="A18" s="29" t="s">
        <v>35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70">
        <v>0</v>
      </c>
      <c r="H18" s="73">
        <v>0</v>
      </c>
      <c r="I18" s="4">
        <v>0</v>
      </c>
      <c r="J18" s="4">
        <v>0</v>
      </c>
      <c r="K18" s="4">
        <v>0</v>
      </c>
      <c r="L18" s="4">
        <v>0</v>
      </c>
      <c r="M18" s="1">
        <v>0</v>
      </c>
      <c r="N18" s="27">
        <f>SUM(B18:M18)</f>
        <v>0</v>
      </c>
    </row>
    <row r="19" spans="1:14" s="2" customFormat="1">
      <c r="A19" s="26"/>
      <c r="B19" s="5">
        <v>0</v>
      </c>
      <c r="C19" s="4">
        <v>0</v>
      </c>
      <c r="D19" s="5">
        <v>0</v>
      </c>
      <c r="E19" s="5">
        <v>0</v>
      </c>
      <c r="F19" s="5">
        <v>0</v>
      </c>
      <c r="G19" s="71">
        <v>0</v>
      </c>
      <c r="H19" s="74">
        <v>0</v>
      </c>
      <c r="I19" s="5">
        <v>0</v>
      </c>
      <c r="J19" s="5">
        <v>0</v>
      </c>
      <c r="K19" s="5">
        <v>0</v>
      </c>
      <c r="L19" s="5">
        <v>0</v>
      </c>
      <c r="M19" s="3">
        <v>0</v>
      </c>
      <c r="N19" s="27">
        <f>SUM(B19:M19)</f>
        <v>0</v>
      </c>
    </row>
    <row r="20" spans="1:14" s="2" customFormat="1">
      <c r="A20" s="26"/>
      <c r="B20" s="5">
        <v>0</v>
      </c>
      <c r="C20" s="4">
        <v>0</v>
      </c>
      <c r="D20" s="5">
        <v>0</v>
      </c>
      <c r="E20" s="5">
        <v>0</v>
      </c>
      <c r="F20" s="5">
        <v>0</v>
      </c>
      <c r="G20" s="71">
        <v>0</v>
      </c>
      <c r="H20" s="74">
        <v>0</v>
      </c>
      <c r="I20" s="5">
        <v>0</v>
      </c>
      <c r="J20" s="5">
        <v>0</v>
      </c>
      <c r="K20" s="5">
        <v>0</v>
      </c>
      <c r="L20" s="5">
        <v>0</v>
      </c>
      <c r="M20" s="3">
        <v>0</v>
      </c>
      <c r="N20" s="27">
        <f>SUM(B20:M20)</f>
        <v>0</v>
      </c>
    </row>
    <row r="21" spans="1:14" s="10" customFormat="1">
      <c r="A21" s="35" t="s">
        <v>26</v>
      </c>
      <c r="B21" s="20">
        <f t="shared" ref="B21:M21" si="3">SUM(B17:B20)</f>
        <v>0</v>
      </c>
      <c r="C21" s="20">
        <f t="shared" si="3"/>
        <v>0</v>
      </c>
      <c r="D21" s="20">
        <f t="shared" si="3"/>
        <v>0</v>
      </c>
      <c r="E21" s="20">
        <f t="shared" si="3"/>
        <v>0</v>
      </c>
      <c r="F21" s="20">
        <f t="shared" si="3"/>
        <v>0</v>
      </c>
      <c r="G21" s="72">
        <f t="shared" si="3"/>
        <v>0</v>
      </c>
      <c r="H21" s="75">
        <f t="shared" si="3"/>
        <v>0</v>
      </c>
      <c r="I21" s="20">
        <f t="shared" si="3"/>
        <v>0</v>
      </c>
      <c r="J21" s="20">
        <f t="shared" si="3"/>
        <v>0</v>
      </c>
      <c r="K21" s="20">
        <f t="shared" si="3"/>
        <v>0</v>
      </c>
      <c r="L21" s="20">
        <f t="shared" si="3"/>
        <v>0</v>
      </c>
      <c r="M21" s="20">
        <f t="shared" si="3"/>
        <v>0</v>
      </c>
      <c r="N21" s="36">
        <f>SUM(B21:M21)</f>
        <v>0</v>
      </c>
    </row>
    <row r="22" spans="1:14" s="10" customFormat="1">
      <c r="A22" s="37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38"/>
    </row>
    <row r="23" spans="1:14" s="11" customFormat="1" ht="21.75" customHeight="1">
      <c r="A23" s="107" t="s">
        <v>15</v>
      </c>
      <c r="B23" s="108"/>
      <c r="C23" s="108"/>
      <c r="D23" s="108"/>
      <c r="E23" s="108"/>
      <c r="F23" s="108"/>
      <c r="G23" s="108"/>
      <c r="H23" s="108"/>
      <c r="I23" s="108"/>
      <c r="J23" s="108"/>
      <c r="K23" s="108"/>
      <c r="L23" s="108"/>
      <c r="M23" s="108"/>
      <c r="N23" s="109"/>
    </row>
    <row r="24" spans="1:14" s="2" customFormat="1">
      <c r="A24" s="26" t="s">
        <v>16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64">
        <v>0</v>
      </c>
      <c r="H24" s="68">
        <v>0</v>
      </c>
      <c r="I24" s="1">
        <v>0</v>
      </c>
      <c r="J24" s="1">
        <v>0</v>
      </c>
      <c r="K24" s="1">
        <v>0</v>
      </c>
      <c r="L24" s="4">
        <v>0</v>
      </c>
      <c r="M24" s="1">
        <v>0</v>
      </c>
      <c r="N24" s="27">
        <f>SUM(B24:M24)</f>
        <v>0</v>
      </c>
    </row>
    <row r="25" spans="1:14" s="2" customFormat="1">
      <c r="A25" s="26" t="s">
        <v>43</v>
      </c>
      <c r="B25" s="1">
        <v>0</v>
      </c>
      <c r="C25" s="3">
        <v>0</v>
      </c>
      <c r="D25" s="3">
        <v>0</v>
      </c>
      <c r="E25" s="3">
        <v>0</v>
      </c>
      <c r="F25" s="3">
        <v>0</v>
      </c>
      <c r="G25" s="65">
        <v>0</v>
      </c>
      <c r="H25" s="67">
        <v>0</v>
      </c>
      <c r="I25" s="3">
        <v>0</v>
      </c>
      <c r="J25" s="3">
        <v>0</v>
      </c>
      <c r="K25" s="3">
        <v>0</v>
      </c>
      <c r="L25" s="5">
        <v>0</v>
      </c>
      <c r="M25" s="3">
        <v>0</v>
      </c>
      <c r="N25" s="27">
        <f>SUM(B25:M25)</f>
        <v>0</v>
      </c>
    </row>
    <row r="26" spans="1:14" s="2" customFormat="1">
      <c r="A26" s="26" t="s">
        <v>14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65">
        <v>0</v>
      </c>
      <c r="H26" s="67">
        <v>0</v>
      </c>
      <c r="I26" s="1">
        <v>0</v>
      </c>
      <c r="J26" s="3">
        <v>0</v>
      </c>
      <c r="K26" s="3">
        <v>0</v>
      </c>
      <c r="L26" s="3">
        <v>0</v>
      </c>
      <c r="M26" s="3">
        <v>0</v>
      </c>
      <c r="N26" s="39">
        <f>SUM(B26:M26)</f>
        <v>0</v>
      </c>
    </row>
    <row r="27" spans="1:14" s="2" customFormat="1">
      <c r="A27" s="29" t="s">
        <v>13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64">
        <v>0</v>
      </c>
      <c r="H27" s="68">
        <v>0</v>
      </c>
      <c r="I27" s="1">
        <v>0</v>
      </c>
      <c r="J27" s="1">
        <v>0</v>
      </c>
      <c r="K27" s="1">
        <v>0</v>
      </c>
      <c r="L27" s="4">
        <v>0</v>
      </c>
      <c r="M27" s="1">
        <v>0</v>
      </c>
      <c r="N27" s="39">
        <f>SUM(B27:M27)</f>
        <v>0</v>
      </c>
    </row>
    <row r="28" spans="1:14" s="10" customFormat="1">
      <c r="A28" s="35" t="s">
        <v>27</v>
      </c>
      <c r="B28" s="20">
        <f t="shared" ref="B28:M28" si="4">SUM(B24:B27)</f>
        <v>0</v>
      </c>
      <c r="C28" s="20">
        <f t="shared" si="4"/>
        <v>0</v>
      </c>
      <c r="D28" s="20">
        <f t="shared" si="4"/>
        <v>0</v>
      </c>
      <c r="E28" s="20">
        <f t="shared" si="4"/>
        <v>0</v>
      </c>
      <c r="F28" s="20">
        <f t="shared" si="4"/>
        <v>0</v>
      </c>
      <c r="G28" s="72">
        <f t="shared" si="4"/>
        <v>0</v>
      </c>
      <c r="H28" s="75">
        <f t="shared" si="4"/>
        <v>0</v>
      </c>
      <c r="I28" s="20">
        <f t="shared" si="4"/>
        <v>0</v>
      </c>
      <c r="J28" s="20">
        <f t="shared" si="4"/>
        <v>0</v>
      </c>
      <c r="K28" s="20">
        <f t="shared" si="4"/>
        <v>0</v>
      </c>
      <c r="L28" s="20">
        <f t="shared" si="4"/>
        <v>0</v>
      </c>
      <c r="M28" s="20">
        <f t="shared" si="4"/>
        <v>0</v>
      </c>
      <c r="N28" s="36">
        <f>SUM(B28:M28)</f>
        <v>0</v>
      </c>
    </row>
    <row r="29" spans="1:14" s="10" customFormat="1">
      <c r="A29" s="37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38"/>
    </row>
    <row r="30" spans="1:14" s="11" customFormat="1" ht="21.75" customHeight="1">
      <c r="A30" s="107" t="s">
        <v>5</v>
      </c>
      <c r="B30" s="108"/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9"/>
    </row>
    <row r="31" spans="1:14" s="2" customFormat="1">
      <c r="A31" s="29" t="s">
        <v>6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64">
        <v>0</v>
      </c>
      <c r="H31" s="68">
        <v>0</v>
      </c>
      <c r="I31" s="1">
        <v>0</v>
      </c>
      <c r="J31" s="1">
        <v>0</v>
      </c>
      <c r="K31" s="1">
        <v>0</v>
      </c>
      <c r="L31" s="4">
        <v>0</v>
      </c>
      <c r="M31" s="1">
        <v>0</v>
      </c>
      <c r="N31" s="27">
        <f>SUM(B31:M31)</f>
        <v>0</v>
      </c>
    </row>
    <row r="32" spans="1:14" s="2" customFormat="1">
      <c r="A32" s="29" t="s">
        <v>19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65">
        <v>0</v>
      </c>
      <c r="H32" s="67">
        <v>0</v>
      </c>
      <c r="I32" s="3">
        <v>0</v>
      </c>
      <c r="J32" s="3">
        <v>0</v>
      </c>
      <c r="K32" s="3">
        <v>0</v>
      </c>
      <c r="L32" s="5">
        <v>0</v>
      </c>
      <c r="M32" s="3">
        <v>0</v>
      </c>
      <c r="N32" s="27">
        <f>SUM(B32:M32)</f>
        <v>0</v>
      </c>
    </row>
    <row r="33" spans="1:14" s="2" customFormat="1">
      <c r="A33" s="26"/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65">
        <v>0</v>
      </c>
      <c r="H33" s="67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27">
        <f>SUM(B33:M33)</f>
        <v>0</v>
      </c>
    </row>
    <row r="34" spans="1:14" s="2" customFormat="1">
      <c r="A34" s="40" t="s">
        <v>7</v>
      </c>
      <c r="B34" s="7">
        <f t="shared" ref="B34:M34" si="5">SUM(B31:B33)</f>
        <v>0</v>
      </c>
      <c r="C34" s="7">
        <f t="shared" si="5"/>
        <v>0</v>
      </c>
      <c r="D34" s="7">
        <f t="shared" si="5"/>
        <v>0</v>
      </c>
      <c r="E34" s="7">
        <f t="shared" si="5"/>
        <v>0</v>
      </c>
      <c r="F34" s="7">
        <f t="shared" si="5"/>
        <v>0</v>
      </c>
      <c r="G34" s="76">
        <f t="shared" si="5"/>
        <v>0</v>
      </c>
      <c r="H34" s="77">
        <f t="shared" si="5"/>
        <v>0</v>
      </c>
      <c r="I34" s="7">
        <f t="shared" si="5"/>
        <v>0</v>
      </c>
      <c r="J34" s="7">
        <f t="shared" si="5"/>
        <v>0</v>
      </c>
      <c r="K34" s="7">
        <f t="shared" si="5"/>
        <v>0</v>
      </c>
      <c r="L34" s="7">
        <f t="shared" si="5"/>
        <v>0</v>
      </c>
      <c r="M34" s="7">
        <f t="shared" si="5"/>
        <v>0</v>
      </c>
      <c r="N34" s="27">
        <f>SUM(B34:M34)</f>
        <v>0</v>
      </c>
    </row>
    <row r="35" spans="1:14" s="10" customFormat="1">
      <c r="A35" s="37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38"/>
    </row>
    <row r="36" spans="1:14" s="11" customFormat="1" ht="22.5" customHeight="1">
      <c r="A36" s="116" t="s">
        <v>11</v>
      </c>
      <c r="B36" s="117"/>
      <c r="C36" s="117"/>
      <c r="D36" s="117"/>
      <c r="E36" s="117"/>
      <c r="F36" s="117"/>
      <c r="G36" s="117"/>
      <c r="H36" s="117"/>
      <c r="I36" s="117"/>
      <c r="J36" s="117"/>
      <c r="K36" s="117"/>
      <c r="L36" s="117"/>
      <c r="M36" s="117"/>
      <c r="N36" s="118"/>
    </row>
    <row r="37" spans="1:14" s="2" customFormat="1">
      <c r="A37" s="55" t="s">
        <v>10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64">
        <v>0</v>
      </c>
      <c r="H37" s="68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39">
        <f>SUM(B37:M37)</f>
        <v>0</v>
      </c>
    </row>
    <row r="38" spans="1:14" s="2" customFormat="1">
      <c r="A38" s="56" t="s">
        <v>12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65">
        <v>0</v>
      </c>
      <c r="H38" s="67">
        <v>0</v>
      </c>
      <c r="I38" s="3">
        <v>0</v>
      </c>
      <c r="J38" s="1">
        <v>0</v>
      </c>
      <c r="K38" s="3">
        <v>0</v>
      </c>
      <c r="L38" s="3">
        <v>0</v>
      </c>
      <c r="M38" s="1">
        <v>0</v>
      </c>
      <c r="N38" s="27">
        <f>SUM(B38:M38)</f>
        <v>0</v>
      </c>
    </row>
    <row r="39" spans="1:14" s="2" customFormat="1" ht="12" customHeight="1">
      <c r="A39" s="29"/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64">
        <v>0</v>
      </c>
      <c r="H39" s="68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27">
        <f>SUM(B39:M39)</f>
        <v>0</v>
      </c>
    </row>
    <row r="40" spans="1:14" s="2" customFormat="1">
      <c r="A40" s="41" t="s">
        <v>28</v>
      </c>
      <c r="B40" s="18">
        <f>SUM(B37:B39)</f>
        <v>0</v>
      </c>
      <c r="C40" s="18">
        <f t="shared" ref="C40:M40" si="6">SUM(C37:C39)</f>
        <v>0</v>
      </c>
      <c r="D40" s="18">
        <f t="shared" si="6"/>
        <v>0</v>
      </c>
      <c r="E40" s="18">
        <f t="shared" si="6"/>
        <v>0</v>
      </c>
      <c r="F40" s="18">
        <f t="shared" si="6"/>
        <v>0</v>
      </c>
      <c r="G40" s="18">
        <f t="shared" si="6"/>
        <v>0</v>
      </c>
      <c r="H40" s="18">
        <f t="shared" si="6"/>
        <v>0</v>
      </c>
      <c r="I40" s="18">
        <f t="shared" si="6"/>
        <v>0</v>
      </c>
      <c r="J40" s="18">
        <f t="shared" si="6"/>
        <v>0</v>
      </c>
      <c r="K40" s="18">
        <f t="shared" si="6"/>
        <v>0</v>
      </c>
      <c r="L40" s="18">
        <f t="shared" si="6"/>
        <v>0</v>
      </c>
      <c r="M40" s="18">
        <f t="shared" si="6"/>
        <v>0</v>
      </c>
      <c r="N40" s="27">
        <f>SUM(B40:M40)</f>
        <v>0</v>
      </c>
    </row>
    <row r="41" spans="1:14" s="10" customFormat="1">
      <c r="A41" s="37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38"/>
    </row>
    <row r="42" spans="1:14" s="11" customFormat="1" ht="21.75" customHeight="1">
      <c r="A42" s="107" t="s">
        <v>0</v>
      </c>
      <c r="B42" s="108"/>
      <c r="C42" s="108"/>
      <c r="D42" s="108"/>
      <c r="E42" s="108"/>
      <c r="F42" s="108"/>
      <c r="G42" s="108"/>
      <c r="H42" s="108"/>
      <c r="I42" s="108"/>
      <c r="J42" s="108"/>
      <c r="K42" s="108"/>
      <c r="L42" s="108"/>
      <c r="M42" s="108"/>
      <c r="N42" s="109"/>
    </row>
    <row r="43" spans="1:14" s="2" customFormat="1">
      <c r="A43" s="29" t="s">
        <v>34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64">
        <v>0</v>
      </c>
      <c r="H43" s="68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27">
        <f>SUM(B43:M43)</f>
        <v>0</v>
      </c>
    </row>
    <row r="44" spans="1:14" s="2" customFormat="1">
      <c r="A44" s="29" t="s">
        <v>17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64">
        <v>0</v>
      </c>
      <c r="H44" s="68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27">
        <f>SUM(B44:M44)</f>
        <v>0</v>
      </c>
    </row>
    <row r="45" spans="1:14" s="2" customFormat="1">
      <c r="A45" s="29" t="s">
        <v>18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64">
        <v>0</v>
      </c>
      <c r="H45" s="68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27">
        <f>SUM(B45:M45)</f>
        <v>0</v>
      </c>
    </row>
    <row r="46" spans="1:14" s="2" customFormat="1">
      <c r="A46" s="26" t="s">
        <v>39</v>
      </c>
      <c r="B46" s="1">
        <v>0</v>
      </c>
      <c r="C46" s="3">
        <v>0</v>
      </c>
      <c r="D46" s="3">
        <v>0</v>
      </c>
      <c r="E46" s="3">
        <v>0</v>
      </c>
      <c r="F46" s="3">
        <v>0</v>
      </c>
      <c r="G46" s="64">
        <v>0</v>
      </c>
      <c r="H46" s="67">
        <v>0</v>
      </c>
      <c r="I46" s="1">
        <v>0</v>
      </c>
      <c r="J46" s="3">
        <v>0</v>
      </c>
      <c r="K46" s="3">
        <v>0</v>
      </c>
      <c r="L46" s="3">
        <v>0</v>
      </c>
      <c r="M46" s="3">
        <v>0</v>
      </c>
      <c r="N46" s="27">
        <f>SUM(B46:M46)</f>
        <v>0</v>
      </c>
    </row>
    <row r="47" spans="1:14" s="2" customFormat="1">
      <c r="A47" s="42" t="s">
        <v>29</v>
      </c>
      <c r="B47" s="21">
        <f>SUM(B43:B46)</f>
        <v>0</v>
      </c>
      <c r="C47" s="21">
        <f t="shared" ref="C47:M47" si="7">SUM(C43:C46)</f>
        <v>0</v>
      </c>
      <c r="D47" s="21">
        <f t="shared" si="7"/>
        <v>0</v>
      </c>
      <c r="E47" s="21">
        <f t="shared" si="7"/>
        <v>0</v>
      </c>
      <c r="F47" s="21">
        <f t="shared" si="7"/>
        <v>0</v>
      </c>
      <c r="G47" s="21">
        <f t="shared" si="7"/>
        <v>0</v>
      </c>
      <c r="H47" s="21">
        <f t="shared" si="7"/>
        <v>0</v>
      </c>
      <c r="I47" s="21">
        <f t="shared" si="7"/>
        <v>0</v>
      </c>
      <c r="J47" s="21">
        <f t="shared" si="7"/>
        <v>0</v>
      </c>
      <c r="K47" s="21">
        <f t="shared" si="7"/>
        <v>0</v>
      </c>
      <c r="L47" s="21">
        <f t="shared" si="7"/>
        <v>0</v>
      </c>
      <c r="M47" s="21">
        <f t="shared" si="7"/>
        <v>0</v>
      </c>
      <c r="N47" s="27">
        <f>SUM(B47:M47)</f>
        <v>0</v>
      </c>
    </row>
    <row r="48" spans="1:14" s="14" customFormat="1" ht="15">
      <c r="A48" s="43"/>
      <c r="B48" s="19"/>
      <c r="C48" s="19"/>
      <c r="D48" s="19"/>
      <c r="E48" s="19"/>
      <c r="F48" s="19"/>
      <c r="G48" s="81"/>
      <c r="H48" s="83"/>
      <c r="I48" s="19"/>
      <c r="J48" s="19"/>
      <c r="K48" s="19"/>
      <c r="L48" s="19"/>
      <c r="M48" s="19"/>
      <c r="N48" s="44"/>
    </row>
    <row r="49" spans="1:14" s="14" customFormat="1" ht="15.75" customHeight="1">
      <c r="A49" s="57" t="s">
        <v>22</v>
      </c>
      <c r="B49" s="22">
        <f>SUM(B13)</f>
        <v>0</v>
      </c>
      <c r="C49" s="22">
        <f t="shared" ref="C49:M49" si="8">SUM(C13)</f>
        <v>0</v>
      </c>
      <c r="D49" s="22">
        <f t="shared" si="8"/>
        <v>0</v>
      </c>
      <c r="E49" s="22">
        <f t="shared" si="8"/>
        <v>0</v>
      </c>
      <c r="F49" s="22">
        <f t="shared" si="8"/>
        <v>0</v>
      </c>
      <c r="G49" s="22">
        <f t="shared" si="8"/>
        <v>0</v>
      </c>
      <c r="H49" s="22">
        <f t="shared" si="8"/>
        <v>0</v>
      </c>
      <c r="I49" s="22">
        <f t="shared" si="8"/>
        <v>0</v>
      </c>
      <c r="J49" s="22">
        <f t="shared" si="8"/>
        <v>0</v>
      </c>
      <c r="K49" s="22">
        <f t="shared" si="8"/>
        <v>0</v>
      </c>
      <c r="L49" s="22">
        <f t="shared" si="8"/>
        <v>0</v>
      </c>
      <c r="M49" s="22">
        <f t="shared" si="8"/>
        <v>0</v>
      </c>
      <c r="N49" s="45">
        <f>SUM(B49:M49)</f>
        <v>0</v>
      </c>
    </row>
    <row r="50" spans="1:14" s="16" customFormat="1" ht="15.75" customHeight="1" thickBot="1">
      <c r="A50" s="62" t="s">
        <v>23</v>
      </c>
      <c r="B50" s="49">
        <f>SUM(B21,B28,B34,B41,B47)</f>
        <v>0</v>
      </c>
      <c r="C50" s="49">
        <f t="shared" ref="C50:M50" si="9">SUM(C21,C28,C34,C41,C47)</f>
        <v>0</v>
      </c>
      <c r="D50" s="49">
        <f t="shared" si="9"/>
        <v>0</v>
      </c>
      <c r="E50" s="49">
        <f t="shared" si="9"/>
        <v>0</v>
      </c>
      <c r="F50" s="49">
        <f t="shared" si="9"/>
        <v>0</v>
      </c>
      <c r="G50" s="49">
        <f t="shared" si="9"/>
        <v>0</v>
      </c>
      <c r="H50" s="49">
        <f t="shared" si="9"/>
        <v>0</v>
      </c>
      <c r="I50" s="49">
        <f t="shared" si="9"/>
        <v>0</v>
      </c>
      <c r="J50" s="49">
        <f t="shared" si="9"/>
        <v>0</v>
      </c>
      <c r="K50" s="49">
        <f t="shared" si="9"/>
        <v>0</v>
      </c>
      <c r="L50" s="49">
        <f t="shared" si="9"/>
        <v>0</v>
      </c>
      <c r="M50" s="49">
        <f t="shared" si="9"/>
        <v>0</v>
      </c>
      <c r="N50" s="52">
        <f>SUM(B50:M50)</f>
        <v>0</v>
      </c>
    </row>
    <row r="51" spans="1:14" s="16" customFormat="1" ht="15.75" customHeight="1">
      <c r="A51" s="63" t="s">
        <v>1</v>
      </c>
      <c r="B51" s="48">
        <f t="shared" ref="B51:M51" si="10">(B49-B50)</f>
        <v>0</v>
      </c>
      <c r="C51" s="48">
        <f t="shared" si="10"/>
        <v>0</v>
      </c>
      <c r="D51" s="48">
        <f t="shared" si="10"/>
        <v>0</v>
      </c>
      <c r="E51" s="48">
        <f t="shared" si="10"/>
        <v>0</v>
      </c>
      <c r="F51" s="48">
        <f t="shared" si="10"/>
        <v>0</v>
      </c>
      <c r="G51" s="48">
        <f t="shared" si="10"/>
        <v>0</v>
      </c>
      <c r="H51" s="48">
        <f t="shared" si="10"/>
        <v>0</v>
      </c>
      <c r="I51" s="48">
        <f t="shared" si="10"/>
        <v>0</v>
      </c>
      <c r="J51" s="48">
        <f t="shared" si="10"/>
        <v>0</v>
      </c>
      <c r="K51" s="48">
        <f t="shared" si="10"/>
        <v>0</v>
      </c>
      <c r="L51" s="48">
        <f t="shared" si="10"/>
        <v>0</v>
      </c>
      <c r="M51" s="48">
        <f t="shared" si="10"/>
        <v>0</v>
      </c>
      <c r="N51" s="58">
        <f>(N49-N50)</f>
        <v>0</v>
      </c>
    </row>
    <row r="52" spans="1:14" ht="13.5" thickBot="1">
      <c r="A52" s="59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1"/>
    </row>
  </sheetData>
  <mergeCells count="8">
    <mergeCell ref="A23:N23"/>
    <mergeCell ref="A1:N1"/>
    <mergeCell ref="A4:N4"/>
    <mergeCell ref="A42:N42"/>
    <mergeCell ref="A30:N30"/>
    <mergeCell ref="A36:N36"/>
    <mergeCell ref="A16:N16"/>
    <mergeCell ref="A15:N15"/>
  </mergeCells>
  <phoneticPr fontId="0" type="noConversion"/>
  <printOptions horizontalCentered="1" verticalCentered="1"/>
  <pageMargins left="0.5" right="0.5" top="0.25" bottom="0.25" header="0" footer="0"/>
  <pageSetup scale="64" orientation="landscape" r:id="rId1"/>
  <headerFooter alignWithMargins="0">
    <oddHeader>&amp;C&amp;"Arial,Bold"&amp;14Blank Chapter # Name Budget</oddHeader>
    <oddFooter>&amp;C&amp;P&amp;R&amp;F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N50"/>
  <sheetViews>
    <sheetView showGridLines="0" zoomScale="75" zoomScaleNormal="75" workbookViewId="0">
      <selection activeCell="A14" sqref="A14:N14"/>
    </sheetView>
  </sheetViews>
  <sheetFormatPr defaultRowHeight="12.75"/>
  <cols>
    <col min="1" max="1" width="24.85546875" style="17" customWidth="1"/>
    <col min="2" max="2" width="14.7109375" style="17" customWidth="1"/>
    <col min="3" max="3" width="13.42578125" style="17" customWidth="1"/>
    <col min="4" max="6" width="13.5703125" style="17" customWidth="1"/>
    <col min="7" max="7" width="13.42578125" style="17" customWidth="1"/>
    <col min="8" max="13" width="13.5703125" style="17" customWidth="1"/>
    <col min="14" max="14" width="14.28515625" style="17" customWidth="1"/>
    <col min="15" max="16384" width="9.140625" style="17"/>
  </cols>
  <sheetData>
    <row r="1" spans="1:14" ht="31.5" customHeight="1">
      <c r="A1" s="128" t="s">
        <v>44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30"/>
    </row>
    <row r="2" spans="1:14" ht="14.25">
      <c r="A2" s="24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25"/>
    </row>
    <row r="3" spans="1:14" ht="14.25" thickBot="1">
      <c r="A3" s="94"/>
      <c r="B3" s="95">
        <v>40909</v>
      </c>
      <c r="C3" s="95">
        <v>40940</v>
      </c>
      <c r="D3" s="95">
        <v>40969</v>
      </c>
      <c r="E3" s="95">
        <v>41000</v>
      </c>
      <c r="F3" s="95">
        <v>41030</v>
      </c>
      <c r="G3" s="95">
        <v>41061</v>
      </c>
      <c r="H3" s="95">
        <v>41091</v>
      </c>
      <c r="I3" s="95">
        <v>41122</v>
      </c>
      <c r="J3" s="95">
        <v>41153</v>
      </c>
      <c r="K3" s="95">
        <v>41183</v>
      </c>
      <c r="L3" s="95">
        <v>41214</v>
      </c>
      <c r="M3" s="95">
        <v>41244</v>
      </c>
      <c r="N3" s="95" t="s">
        <v>41</v>
      </c>
    </row>
    <row r="4" spans="1:14" ht="23.25" thickBot="1">
      <c r="A4" s="113" t="s">
        <v>33</v>
      </c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5"/>
    </row>
    <row r="5" spans="1:14" s="2" customFormat="1">
      <c r="A5" s="96" t="s">
        <v>24</v>
      </c>
      <c r="B5" s="97">
        <v>0</v>
      </c>
      <c r="C5" s="97">
        <v>0</v>
      </c>
      <c r="D5" s="97">
        <v>0</v>
      </c>
      <c r="E5" s="97">
        <v>0</v>
      </c>
      <c r="F5" s="97">
        <v>0</v>
      </c>
      <c r="G5" s="98">
        <v>6073.34</v>
      </c>
      <c r="H5" s="99">
        <v>0</v>
      </c>
      <c r="I5" s="97">
        <v>0</v>
      </c>
      <c r="J5" s="97">
        <v>0</v>
      </c>
      <c r="K5" s="97">
        <v>0</v>
      </c>
      <c r="L5" s="97">
        <v>0</v>
      </c>
      <c r="M5" s="97">
        <v>0</v>
      </c>
      <c r="N5" s="100">
        <f>SUM(B5:M5)</f>
        <v>6073.34</v>
      </c>
    </row>
    <row r="6" spans="1:14" s="2" customFormat="1">
      <c r="A6" s="26" t="s">
        <v>25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65">
        <v>0</v>
      </c>
      <c r="H6" s="67">
        <v>0</v>
      </c>
      <c r="I6" s="23">
        <v>383.34</v>
      </c>
      <c r="J6" s="3">
        <v>0</v>
      </c>
      <c r="K6" s="3">
        <v>0</v>
      </c>
      <c r="L6" s="3">
        <v>0</v>
      </c>
      <c r="M6" s="3">
        <v>0</v>
      </c>
      <c r="N6" s="28">
        <f t="shared" ref="N6:N12" si="0">SUM(B6:M6)</f>
        <v>383.34</v>
      </c>
    </row>
    <row r="7" spans="1:14" s="2" customFormat="1">
      <c r="A7" s="29" t="s">
        <v>8</v>
      </c>
      <c r="B7" s="3">
        <v>0</v>
      </c>
      <c r="C7" s="23">
        <v>3444.73</v>
      </c>
      <c r="D7" s="3">
        <v>0</v>
      </c>
      <c r="E7" s="3">
        <v>0</v>
      </c>
      <c r="F7" s="3">
        <v>0</v>
      </c>
      <c r="G7" s="65">
        <v>0</v>
      </c>
      <c r="H7" s="67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28">
        <f t="shared" si="0"/>
        <v>3444.73</v>
      </c>
    </row>
    <row r="8" spans="1:14" s="2" customFormat="1">
      <c r="A8" s="26" t="s">
        <v>9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65">
        <v>0</v>
      </c>
      <c r="H8" s="67">
        <v>0</v>
      </c>
      <c r="I8" s="23">
        <v>85</v>
      </c>
      <c r="J8" s="3">
        <v>0</v>
      </c>
      <c r="K8" s="3">
        <v>0</v>
      </c>
      <c r="L8" s="3">
        <v>0</v>
      </c>
      <c r="M8" s="3">
        <v>0</v>
      </c>
      <c r="N8" s="28">
        <f t="shared" si="0"/>
        <v>85</v>
      </c>
    </row>
    <row r="9" spans="1:14" s="2" customFormat="1">
      <c r="A9" s="26"/>
      <c r="B9" s="3">
        <v>0</v>
      </c>
      <c r="C9" s="3">
        <v>0</v>
      </c>
      <c r="D9" s="3">
        <v>0</v>
      </c>
      <c r="E9" s="3">
        <v>0</v>
      </c>
      <c r="F9" s="3">
        <v>0</v>
      </c>
      <c r="G9" s="65">
        <v>0</v>
      </c>
      <c r="H9" s="67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28">
        <f t="shared" si="0"/>
        <v>0</v>
      </c>
    </row>
    <row r="10" spans="1:14" s="2" customFormat="1">
      <c r="A10" s="30"/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65">
        <v>0</v>
      </c>
      <c r="H10" s="67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28">
        <f t="shared" si="0"/>
        <v>0</v>
      </c>
    </row>
    <row r="11" spans="1:14" s="2" customFormat="1">
      <c r="A11" s="29"/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64">
        <v>0</v>
      </c>
      <c r="H11" s="68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27">
        <f t="shared" si="0"/>
        <v>0</v>
      </c>
    </row>
    <row r="12" spans="1:14" s="14" customFormat="1" ht="15">
      <c r="A12" s="31" t="s">
        <v>2</v>
      </c>
      <c r="B12" s="13">
        <f t="shared" ref="B12:M12" si="1">SUM(B5:B11)</f>
        <v>0</v>
      </c>
      <c r="C12" s="13">
        <f t="shared" si="1"/>
        <v>3444.73</v>
      </c>
      <c r="D12" s="13">
        <f t="shared" si="1"/>
        <v>0</v>
      </c>
      <c r="E12" s="13">
        <f t="shared" si="1"/>
        <v>0</v>
      </c>
      <c r="F12" s="13">
        <f t="shared" si="1"/>
        <v>0</v>
      </c>
      <c r="G12" s="66">
        <f>SUM(G5:G11)</f>
        <v>6073.34</v>
      </c>
      <c r="H12" s="69">
        <f t="shared" si="1"/>
        <v>0</v>
      </c>
      <c r="I12" s="13">
        <f>SUM(I5:I11)</f>
        <v>468.34</v>
      </c>
      <c r="J12" s="13">
        <f t="shared" si="1"/>
        <v>0</v>
      </c>
      <c r="K12" s="13">
        <f t="shared" si="1"/>
        <v>0</v>
      </c>
      <c r="L12" s="13">
        <f t="shared" si="1"/>
        <v>0</v>
      </c>
      <c r="M12" s="13">
        <f t="shared" si="1"/>
        <v>0</v>
      </c>
      <c r="N12" s="32">
        <f t="shared" si="0"/>
        <v>9986.41</v>
      </c>
    </row>
    <row r="13" spans="1:14" s="2" customFormat="1" ht="13.5" thickBot="1">
      <c r="A13" s="33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34"/>
    </row>
    <row r="14" spans="1:14" ht="23.25" thickBot="1">
      <c r="A14" s="134" t="s">
        <v>32</v>
      </c>
      <c r="B14" s="135"/>
      <c r="C14" s="135"/>
      <c r="D14" s="135"/>
      <c r="E14" s="135"/>
      <c r="F14" s="135"/>
      <c r="G14" s="135"/>
      <c r="H14" s="135"/>
      <c r="I14" s="135"/>
      <c r="J14" s="135"/>
      <c r="K14" s="135"/>
      <c r="L14" s="135"/>
      <c r="M14" s="135"/>
      <c r="N14" s="136"/>
    </row>
    <row r="15" spans="1:14" ht="21.75" customHeight="1">
      <c r="A15" s="131" t="s">
        <v>4</v>
      </c>
      <c r="B15" s="132"/>
      <c r="C15" s="132"/>
      <c r="D15" s="132"/>
      <c r="E15" s="132"/>
      <c r="F15" s="132"/>
      <c r="G15" s="132"/>
      <c r="H15" s="132"/>
      <c r="I15" s="132"/>
      <c r="J15" s="132"/>
      <c r="K15" s="132"/>
      <c r="L15" s="132"/>
      <c r="M15" s="132"/>
      <c r="N15" s="133"/>
    </row>
    <row r="16" spans="1:14" s="2" customFormat="1">
      <c r="A16" s="29" t="s">
        <v>38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70">
        <v>0</v>
      </c>
      <c r="H16" s="73">
        <v>0</v>
      </c>
      <c r="I16" s="4">
        <v>0</v>
      </c>
      <c r="J16" s="4">
        <v>0</v>
      </c>
      <c r="K16" s="46">
        <v>3600</v>
      </c>
      <c r="L16" s="4">
        <v>0</v>
      </c>
      <c r="M16" s="1">
        <v>0</v>
      </c>
      <c r="N16" s="27">
        <f>SUM(B16:M16)</f>
        <v>3600</v>
      </c>
    </row>
    <row r="17" spans="1:14" s="2" customFormat="1">
      <c r="A17" s="29" t="s">
        <v>31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70">
        <v>0</v>
      </c>
      <c r="H17" s="73">
        <v>0</v>
      </c>
      <c r="I17" s="4">
        <v>0</v>
      </c>
      <c r="J17" s="4">
        <v>0</v>
      </c>
      <c r="K17" s="46">
        <v>2700</v>
      </c>
      <c r="L17" s="4">
        <v>0</v>
      </c>
      <c r="M17" s="1">
        <v>0</v>
      </c>
      <c r="N17" s="27">
        <f>SUM(B17:M17)</f>
        <v>2700</v>
      </c>
    </row>
    <row r="18" spans="1:14" s="2" customFormat="1">
      <c r="A18" s="26"/>
      <c r="B18" s="5">
        <v>0</v>
      </c>
      <c r="C18" s="4">
        <v>0</v>
      </c>
      <c r="D18" s="5">
        <v>0</v>
      </c>
      <c r="E18" s="5">
        <v>0</v>
      </c>
      <c r="F18" s="5">
        <v>0</v>
      </c>
      <c r="G18" s="71">
        <v>0</v>
      </c>
      <c r="H18" s="74">
        <v>0</v>
      </c>
      <c r="I18" s="5">
        <v>0</v>
      </c>
      <c r="J18" s="5">
        <v>0</v>
      </c>
      <c r="K18" s="5">
        <v>0</v>
      </c>
      <c r="L18" s="5">
        <v>0</v>
      </c>
      <c r="M18" s="3">
        <v>0</v>
      </c>
      <c r="N18" s="27">
        <f>SUM(B18:M18)</f>
        <v>0</v>
      </c>
    </row>
    <row r="19" spans="1:14" s="2" customFormat="1">
      <c r="A19" s="26"/>
      <c r="B19" s="5">
        <v>0</v>
      </c>
      <c r="C19" s="4">
        <v>0</v>
      </c>
      <c r="D19" s="5">
        <v>0</v>
      </c>
      <c r="E19" s="5">
        <v>0</v>
      </c>
      <c r="F19" s="5">
        <v>0</v>
      </c>
      <c r="G19" s="71">
        <v>0</v>
      </c>
      <c r="H19" s="74">
        <v>0</v>
      </c>
      <c r="I19" s="5">
        <v>0</v>
      </c>
      <c r="J19" s="5">
        <v>0</v>
      </c>
      <c r="K19" s="5">
        <v>0</v>
      </c>
      <c r="L19" s="5">
        <v>0</v>
      </c>
      <c r="M19" s="3">
        <v>0</v>
      </c>
      <c r="N19" s="27">
        <f>SUM(B19:M19)</f>
        <v>0</v>
      </c>
    </row>
    <row r="20" spans="1:14">
      <c r="A20" s="35" t="s">
        <v>26</v>
      </c>
      <c r="B20" s="20">
        <f t="shared" ref="B20:N20" si="2">SUM(B16:B19)</f>
        <v>0</v>
      </c>
      <c r="C20" s="20">
        <f t="shared" si="2"/>
        <v>0</v>
      </c>
      <c r="D20" s="20">
        <f t="shared" si="2"/>
        <v>0</v>
      </c>
      <c r="E20" s="20">
        <f t="shared" si="2"/>
        <v>0</v>
      </c>
      <c r="F20" s="20">
        <f t="shared" si="2"/>
        <v>0</v>
      </c>
      <c r="G20" s="72">
        <f t="shared" si="2"/>
        <v>0</v>
      </c>
      <c r="H20" s="75">
        <f t="shared" si="2"/>
        <v>0</v>
      </c>
      <c r="I20" s="20">
        <f t="shared" si="2"/>
        <v>0</v>
      </c>
      <c r="J20" s="20">
        <f t="shared" si="2"/>
        <v>0</v>
      </c>
      <c r="K20" s="20">
        <f>SUM(K16:K19)</f>
        <v>6300</v>
      </c>
      <c r="L20" s="20">
        <f t="shared" si="2"/>
        <v>0</v>
      </c>
      <c r="M20" s="20">
        <f t="shared" si="2"/>
        <v>0</v>
      </c>
      <c r="N20" s="36">
        <f t="shared" si="2"/>
        <v>6300</v>
      </c>
    </row>
    <row r="21" spans="1:14">
      <c r="A21" s="37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38"/>
    </row>
    <row r="22" spans="1:14" ht="21.75" customHeight="1">
      <c r="A22" s="125" t="s">
        <v>15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7"/>
    </row>
    <row r="23" spans="1:14" s="2" customFormat="1">
      <c r="A23" s="26" t="s">
        <v>16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86">
        <v>213.58</v>
      </c>
      <c r="H23" s="68">
        <v>0</v>
      </c>
      <c r="I23" s="1">
        <v>0</v>
      </c>
      <c r="J23" s="1">
        <v>0</v>
      </c>
      <c r="K23" s="1">
        <v>0</v>
      </c>
      <c r="L23" s="4">
        <v>0</v>
      </c>
      <c r="M23" s="1">
        <v>0</v>
      </c>
      <c r="N23" s="27">
        <f>SUM(B23:M23)</f>
        <v>213.58</v>
      </c>
    </row>
    <row r="24" spans="1:14" s="2" customFormat="1">
      <c r="A24" s="26"/>
      <c r="B24" s="1">
        <v>0</v>
      </c>
      <c r="C24" s="3">
        <v>0</v>
      </c>
      <c r="D24" s="3">
        <v>0</v>
      </c>
      <c r="E24" s="3">
        <v>0</v>
      </c>
      <c r="F24" s="3">
        <v>0</v>
      </c>
      <c r="G24" s="65">
        <v>0</v>
      </c>
      <c r="H24" s="67">
        <v>0</v>
      </c>
      <c r="I24" s="3">
        <v>0</v>
      </c>
      <c r="J24" s="3">
        <v>0</v>
      </c>
      <c r="K24" s="3">
        <v>0</v>
      </c>
      <c r="L24" s="5">
        <v>0</v>
      </c>
      <c r="M24" s="3">
        <v>0</v>
      </c>
      <c r="N24" s="27">
        <f>SUM(B24:M24)</f>
        <v>0</v>
      </c>
    </row>
    <row r="25" spans="1:14" s="2" customFormat="1">
      <c r="A25" s="26" t="s">
        <v>14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65">
        <v>0</v>
      </c>
      <c r="H25" s="67">
        <v>0</v>
      </c>
      <c r="I25" s="50">
        <v>100</v>
      </c>
      <c r="J25" s="3">
        <v>0</v>
      </c>
      <c r="K25" s="3">
        <v>0</v>
      </c>
      <c r="L25" s="3">
        <v>0</v>
      </c>
      <c r="M25" s="3">
        <v>0</v>
      </c>
      <c r="N25" s="39">
        <f>SUM(B25:M25)</f>
        <v>100</v>
      </c>
    </row>
    <row r="26" spans="1:14" s="2" customFormat="1">
      <c r="A26" s="29" t="s">
        <v>13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64">
        <v>0</v>
      </c>
      <c r="H26" s="68">
        <v>0</v>
      </c>
      <c r="I26" s="1">
        <v>0</v>
      </c>
      <c r="J26" s="1">
        <v>0</v>
      </c>
      <c r="K26" s="1">
        <v>0</v>
      </c>
      <c r="L26" s="4">
        <v>0</v>
      </c>
      <c r="M26" s="50">
        <v>662.43</v>
      </c>
      <c r="N26" s="27">
        <f>SUM(B26:M26)</f>
        <v>662.43</v>
      </c>
    </row>
    <row r="27" spans="1:14">
      <c r="A27" s="35" t="s">
        <v>27</v>
      </c>
      <c r="B27" s="20">
        <f t="shared" ref="B27:N27" si="3">SUM(B23:B26)</f>
        <v>0</v>
      </c>
      <c r="C27" s="20">
        <f t="shared" si="3"/>
        <v>0</v>
      </c>
      <c r="D27" s="20">
        <f t="shared" si="3"/>
        <v>0</v>
      </c>
      <c r="E27" s="20">
        <f t="shared" si="3"/>
        <v>0</v>
      </c>
      <c r="F27" s="20">
        <f t="shared" si="3"/>
        <v>0</v>
      </c>
      <c r="G27" s="72">
        <f t="shared" si="3"/>
        <v>213.58</v>
      </c>
      <c r="H27" s="75">
        <f t="shared" si="3"/>
        <v>0</v>
      </c>
      <c r="I27" s="20">
        <f t="shared" si="3"/>
        <v>100</v>
      </c>
      <c r="J27" s="20">
        <f t="shared" si="3"/>
        <v>0</v>
      </c>
      <c r="K27" s="20">
        <f t="shared" si="3"/>
        <v>0</v>
      </c>
      <c r="L27" s="20">
        <f t="shared" si="3"/>
        <v>0</v>
      </c>
      <c r="M27" s="20">
        <f t="shared" si="3"/>
        <v>662.43</v>
      </c>
      <c r="N27" s="36">
        <f t="shared" si="3"/>
        <v>976.01</v>
      </c>
    </row>
    <row r="28" spans="1:14">
      <c r="A28" s="37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38"/>
    </row>
    <row r="29" spans="1:14" ht="21.75" customHeight="1">
      <c r="A29" s="125" t="s">
        <v>5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7"/>
    </row>
    <row r="30" spans="1:14" s="2" customFormat="1">
      <c r="A30" s="29" t="s">
        <v>6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64">
        <v>0</v>
      </c>
      <c r="H30" s="87">
        <v>300</v>
      </c>
      <c r="I30" s="1">
        <v>0</v>
      </c>
      <c r="J30" s="1">
        <v>0</v>
      </c>
      <c r="K30" s="1">
        <v>0</v>
      </c>
      <c r="L30" s="4">
        <v>0</v>
      </c>
      <c r="M30" s="1">
        <v>0</v>
      </c>
      <c r="N30" s="27">
        <f>SUM(B30:M30)</f>
        <v>300</v>
      </c>
    </row>
    <row r="31" spans="1:14" s="2" customFormat="1">
      <c r="A31" s="29" t="s">
        <v>19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65">
        <v>0</v>
      </c>
      <c r="H31" s="67">
        <v>0</v>
      </c>
      <c r="I31" s="3">
        <v>0</v>
      </c>
      <c r="J31" s="3">
        <v>0</v>
      </c>
      <c r="K31" s="3">
        <v>0</v>
      </c>
      <c r="L31" s="5">
        <v>0</v>
      </c>
      <c r="M31" s="3">
        <v>0</v>
      </c>
      <c r="N31" s="27">
        <f>SUM(B31:M31)</f>
        <v>0</v>
      </c>
    </row>
    <row r="32" spans="1:14" s="2" customFormat="1">
      <c r="A32" s="26"/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65">
        <v>0</v>
      </c>
      <c r="H32" s="67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27">
        <f>SUM(B32:M32)</f>
        <v>0</v>
      </c>
    </row>
    <row r="33" spans="1:14" s="2" customFormat="1">
      <c r="A33" s="40" t="s">
        <v>7</v>
      </c>
      <c r="B33" s="7">
        <f t="shared" ref="B33:M33" si="4">SUM(B30:B32)</f>
        <v>0</v>
      </c>
      <c r="C33" s="7">
        <f t="shared" si="4"/>
        <v>0</v>
      </c>
      <c r="D33" s="7">
        <f t="shared" si="4"/>
        <v>0</v>
      </c>
      <c r="E33" s="7">
        <f t="shared" si="4"/>
        <v>0</v>
      </c>
      <c r="F33" s="7">
        <f t="shared" si="4"/>
        <v>0</v>
      </c>
      <c r="G33" s="76">
        <f t="shared" si="4"/>
        <v>0</v>
      </c>
      <c r="H33" s="77">
        <f t="shared" si="4"/>
        <v>300</v>
      </c>
      <c r="I33" s="7">
        <f t="shared" si="4"/>
        <v>0</v>
      </c>
      <c r="J33" s="7">
        <f t="shared" si="4"/>
        <v>0</v>
      </c>
      <c r="K33" s="7">
        <f t="shared" si="4"/>
        <v>0</v>
      </c>
      <c r="L33" s="7">
        <f t="shared" si="4"/>
        <v>0</v>
      </c>
      <c r="M33" s="7">
        <f t="shared" si="4"/>
        <v>0</v>
      </c>
      <c r="N33" s="27">
        <f>SUM(B33:M33)</f>
        <v>300</v>
      </c>
    </row>
    <row r="34" spans="1:14">
      <c r="A34" s="37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38"/>
    </row>
    <row r="35" spans="1:14" ht="22.5" customHeight="1">
      <c r="A35" s="125" t="s">
        <v>11</v>
      </c>
      <c r="B35" s="126"/>
      <c r="C35" s="126"/>
      <c r="D35" s="126"/>
      <c r="E35" s="126"/>
      <c r="F35" s="126"/>
      <c r="G35" s="126"/>
      <c r="H35" s="126"/>
      <c r="I35" s="126"/>
      <c r="J35" s="126"/>
      <c r="K35" s="126"/>
      <c r="L35" s="126"/>
      <c r="M35" s="126"/>
      <c r="N35" s="127"/>
    </row>
    <row r="36" spans="1:14" s="2" customFormat="1">
      <c r="A36" s="29" t="s">
        <v>10</v>
      </c>
      <c r="B36" s="1">
        <v>0</v>
      </c>
      <c r="C36" s="1">
        <v>0</v>
      </c>
      <c r="D36" s="50">
        <v>250</v>
      </c>
      <c r="E36" s="1">
        <v>0</v>
      </c>
      <c r="F36" s="1">
        <v>0</v>
      </c>
      <c r="G36" s="64">
        <v>0</v>
      </c>
      <c r="H36" s="68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51">
        <f>SUM(B36:M36)</f>
        <v>250</v>
      </c>
    </row>
    <row r="37" spans="1:14" s="2" customFormat="1">
      <c r="A37" s="26" t="s">
        <v>12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65">
        <v>0</v>
      </c>
      <c r="H37" s="67">
        <v>0</v>
      </c>
      <c r="I37" s="3">
        <v>0</v>
      </c>
      <c r="J37" s="1">
        <v>0</v>
      </c>
      <c r="K37" s="3">
        <v>0</v>
      </c>
      <c r="L37" s="3">
        <v>0</v>
      </c>
      <c r="M37" s="50">
        <v>200</v>
      </c>
      <c r="N37" s="27">
        <f>SUM(B37:M37)</f>
        <v>200</v>
      </c>
    </row>
    <row r="38" spans="1:14" s="2" customFormat="1" ht="12" customHeight="1">
      <c r="A38" s="29"/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64">
        <v>0</v>
      </c>
      <c r="H38" s="68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27">
        <f>SUM(B38:M38)</f>
        <v>0</v>
      </c>
    </row>
    <row r="39" spans="1:14" s="2" customFormat="1">
      <c r="A39" s="41" t="s">
        <v>28</v>
      </c>
      <c r="B39" s="18">
        <v>0</v>
      </c>
      <c r="C39" s="18">
        <v>0</v>
      </c>
      <c r="D39" s="18">
        <f>SUM(D36:D38)</f>
        <v>250</v>
      </c>
      <c r="E39" s="18">
        <v>0</v>
      </c>
      <c r="F39" s="18">
        <v>0</v>
      </c>
      <c r="G39" s="78">
        <v>0</v>
      </c>
      <c r="H39" s="79">
        <v>0</v>
      </c>
      <c r="I39" s="18">
        <v>0</v>
      </c>
      <c r="J39" s="18">
        <v>0</v>
      </c>
      <c r="K39" s="18">
        <v>0</v>
      </c>
      <c r="L39" s="18">
        <v>0</v>
      </c>
      <c r="M39" s="18">
        <f>SUM(M36:M38)</f>
        <v>200</v>
      </c>
      <c r="N39" s="27">
        <f>SUM(N36:N38)</f>
        <v>450</v>
      </c>
    </row>
    <row r="40" spans="1:14">
      <c r="A40" s="37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38"/>
    </row>
    <row r="41" spans="1:14" ht="21.75" customHeight="1">
      <c r="A41" s="125" t="s">
        <v>0</v>
      </c>
      <c r="B41" s="126"/>
      <c r="C41" s="126"/>
      <c r="D41" s="126"/>
      <c r="E41" s="126"/>
      <c r="F41" s="126"/>
      <c r="G41" s="126"/>
      <c r="H41" s="126"/>
      <c r="I41" s="126"/>
      <c r="J41" s="126"/>
      <c r="K41" s="126"/>
      <c r="L41" s="126"/>
      <c r="M41" s="126"/>
      <c r="N41" s="127"/>
    </row>
    <row r="42" spans="1:14" s="2" customFormat="1">
      <c r="A42" s="29" t="s">
        <v>34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64">
        <v>0</v>
      </c>
      <c r="H42" s="68">
        <v>0</v>
      </c>
      <c r="I42" s="1">
        <v>0</v>
      </c>
      <c r="J42" s="1">
        <v>0</v>
      </c>
      <c r="K42" s="1">
        <v>0</v>
      </c>
      <c r="L42" s="50">
        <v>60.65</v>
      </c>
      <c r="M42" s="1">
        <v>0</v>
      </c>
      <c r="N42" s="27">
        <f>SUM(B42:M42)</f>
        <v>60.65</v>
      </c>
    </row>
    <row r="43" spans="1:14" s="2" customFormat="1">
      <c r="A43" s="29" t="s">
        <v>17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86">
        <v>1248.44</v>
      </c>
      <c r="H43" s="68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27">
        <f>SUM(B43:M43)</f>
        <v>1248.44</v>
      </c>
    </row>
    <row r="44" spans="1:14" s="2" customFormat="1">
      <c r="A44" s="29" t="s">
        <v>18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64">
        <v>0</v>
      </c>
      <c r="H44" s="68">
        <v>0</v>
      </c>
      <c r="I44" s="50">
        <v>175</v>
      </c>
      <c r="J44" s="1">
        <v>0</v>
      </c>
      <c r="K44" s="1">
        <v>0</v>
      </c>
      <c r="L44" s="1">
        <v>0</v>
      </c>
      <c r="M44" s="1">
        <v>0</v>
      </c>
      <c r="N44" s="27">
        <f>SUM(B44:M44)</f>
        <v>175</v>
      </c>
    </row>
    <row r="45" spans="1:14" s="2" customFormat="1">
      <c r="A45" s="26" t="s">
        <v>36</v>
      </c>
      <c r="B45" s="1">
        <v>0</v>
      </c>
      <c r="C45" s="3">
        <v>0</v>
      </c>
      <c r="D45" s="3">
        <v>0</v>
      </c>
      <c r="E45" s="3">
        <v>0</v>
      </c>
      <c r="F45" s="3">
        <v>0</v>
      </c>
      <c r="G45" s="86">
        <v>36.83</v>
      </c>
      <c r="H45" s="67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27">
        <f>SUM(B45:M45)</f>
        <v>36.83</v>
      </c>
    </row>
    <row r="46" spans="1:14" s="2" customFormat="1">
      <c r="A46" s="42" t="s">
        <v>29</v>
      </c>
      <c r="B46" s="21">
        <v>0</v>
      </c>
      <c r="C46" s="21">
        <v>0</v>
      </c>
      <c r="D46" s="21">
        <v>0</v>
      </c>
      <c r="E46" s="21">
        <v>0</v>
      </c>
      <c r="F46" s="21">
        <v>0</v>
      </c>
      <c r="G46" s="80">
        <f>SUM(G42:G45)</f>
        <v>1285.27</v>
      </c>
      <c r="H46" s="82">
        <v>0</v>
      </c>
      <c r="I46" s="21">
        <f>SUM(I42:I45)</f>
        <v>175</v>
      </c>
      <c r="J46" s="21">
        <v>0</v>
      </c>
      <c r="K46" s="21">
        <v>0</v>
      </c>
      <c r="L46" s="21">
        <f>SUM(L42:L45)</f>
        <v>60.65</v>
      </c>
      <c r="M46" s="21">
        <v>0</v>
      </c>
      <c r="N46" s="27">
        <f>SUM(N42:N45)</f>
        <v>1520.92</v>
      </c>
    </row>
    <row r="47" spans="1:14" s="14" customFormat="1" ht="15">
      <c r="A47" s="43" t="s">
        <v>37</v>
      </c>
      <c r="B47" s="19"/>
      <c r="C47" s="19"/>
      <c r="D47" s="19"/>
      <c r="E47" s="19"/>
      <c r="F47" s="19"/>
      <c r="G47" s="88"/>
      <c r="H47" s="83"/>
      <c r="I47" s="19"/>
      <c r="J47" s="19"/>
      <c r="K47" s="19"/>
      <c r="L47" s="19"/>
      <c r="M47" s="19"/>
      <c r="N47" s="44"/>
    </row>
    <row r="48" spans="1:14" s="14" customFormat="1" ht="15">
      <c r="A48" s="57" t="s">
        <v>2</v>
      </c>
      <c r="B48" s="22">
        <f>SUM(B42:B46)</f>
        <v>0</v>
      </c>
      <c r="C48" s="22">
        <f>SUM(C42:C46)</f>
        <v>0</v>
      </c>
      <c r="D48" s="22">
        <v>3500</v>
      </c>
      <c r="E48" s="22">
        <f>SUM(E42:E46)</f>
        <v>0</v>
      </c>
      <c r="F48" s="22">
        <f>SUM(F42:F46)</f>
        <v>0</v>
      </c>
      <c r="G48" s="89">
        <f>SUM(G42:G46)</f>
        <v>2570.54</v>
      </c>
      <c r="H48" s="84">
        <f>SUM(H42:H46)</f>
        <v>0</v>
      </c>
      <c r="I48" s="22">
        <v>200</v>
      </c>
      <c r="J48" s="22">
        <f>SUM(J42:J46)</f>
        <v>0</v>
      </c>
      <c r="K48" s="22">
        <f>SUM(K42:K46)</f>
        <v>0</v>
      </c>
      <c r="L48" s="22">
        <v>0</v>
      </c>
      <c r="M48" s="22">
        <v>5700</v>
      </c>
      <c r="N48" s="45">
        <f>SUM(B48:M48)</f>
        <v>11970.54</v>
      </c>
    </row>
    <row r="49" spans="1:14" s="16" customFormat="1" ht="16.5" customHeight="1" thickBot="1">
      <c r="A49" s="15" t="s">
        <v>3</v>
      </c>
      <c r="B49" s="49">
        <v>0</v>
      </c>
      <c r="C49" s="49">
        <v>0</v>
      </c>
      <c r="D49" s="49">
        <v>250</v>
      </c>
      <c r="E49" s="49">
        <v>0</v>
      </c>
      <c r="F49" s="49">
        <v>0</v>
      </c>
      <c r="G49" s="90">
        <v>1498.27</v>
      </c>
      <c r="H49" s="85">
        <v>300</v>
      </c>
      <c r="I49" s="49">
        <v>275</v>
      </c>
      <c r="J49" s="49">
        <v>0</v>
      </c>
      <c r="K49" s="49">
        <v>6300</v>
      </c>
      <c r="L49" s="49">
        <v>60.65</v>
      </c>
      <c r="M49" s="49">
        <v>862.43</v>
      </c>
      <c r="N49" s="52">
        <f>SUM(D49:M49)</f>
        <v>9546.35</v>
      </c>
    </row>
    <row r="50" spans="1:14" s="16" customFormat="1" ht="16.5" customHeight="1" thickBot="1">
      <c r="A50" s="47" t="s">
        <v>1</v>
      </c>
      <c r="B50" s="53">
        <f t="shared" ref="B50:N50" si="5">(B48-B49)</f>
        <v>0</v>
      </c>
      <c r="C50" s="53">
        <f t="shared" si="5"/>
        <v>0</v>
      </c>
      <c r="D50" s="53">
        <f t="shared" si="5"/>
        <v>3250</v>
      </c>
      <c r="E50" s="53">
        <f t="shared" si="5"/>
        <v>0</v>
      </c>
      <c r="F50" s="53">
        <f t="shared" si="5"/>
        <v>0</v>
      </c>
      <c r="G50" s="91">
        <f t="shared" si="5"/>
        <v>1072.27</v>
      </c>
      <c r="H50" s="92">
        <f t="shared" si="5"/>
        <v>-300</v>
      </c>
      <c r="I50" s="53">
        <f t="shared" si="5"/>
        <v>-75</v>
      </c>
      <c r="J50" s="53">
        <f t="shared" si="5"/>
        <v>0</v>
      </c>
      <c r="K50" s="53">
        <f t="shared" si="5"/>
        <v>-6300</v>
      </c>
      <c r="L50" s="53">
        <f t="shared" si="5"/>
        <v>-60.65</v>
      </c>
      <c r="M50" s="53">
        <f t="shared" si="5"/>
        <v>4837.57</v>
      </c>
      <c r="N50" s="54">
        <f t="shared" si="5"/>
        <v>2424.1900000000005</v>
      </c>
    </row>
  </sheetData>
  <mergeCells count="8">
    <mergeCell ref="A22:N22"/>
    <mergeCell ref="A1:N1"/>
    <mergeCell ref="A4:N4"/>
    <mergeCell ref="A41:N41"/>
    <mergeCell ref="A29:N29"/>
    <mergeCell ref="A35:N35"/>
    <mergeCell ref="A15:N15"/>
    <mergeCell ref="A14:N14"/>
  </mergeCells>
  <phoneticPr fontId="0" type="noConversion"/>
  <printOptions horizontalCentered="1" verticalCentered="1"/>
  <pageMargins left="0.5" right="0.5" top="0.25" bottom="0.25" header="0" footer="0"/>
  <pageSetup scale="64" orientation="landscape" r:id="rId1"/>
  <headerFooter alignWithMargins="0">
    <oddHeader>&amp;C&amp;"Arial,Bold"&amp;14Chapter Sample
Budget</oddHeader>
    <oddFooter>&amp;C&amp;P - &amp;D&amp;R&amp;F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Blank Budget</vt:lpstr>
      <vt:lpstr>Sample Budget</vt:lpstr>
      <vt:lpstr>'Blank Budget'!Print_Titles</vt:lpstr>
      <vt:lpstr>'Sample Budget'!Print_Titles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Warren</dc:creator>
  <cp:lastModifiedBy>ccdlw</cp:lastModifiedBy>
  <cp:lastPrinted>2012-10-15T15:27:18Z</cp:lastPrinted>
  <dcterms:created xsi:type="dcterms:W3CDTF">2001-05-18T00:29:33Z</dcterms:created>
  <dcterms:modified xsi:type="dcterms:W3CDTF">2013-05-30T15:15:40Z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TC062062791033</vt:lpwstr>
  </property>
</Properties>
</file>