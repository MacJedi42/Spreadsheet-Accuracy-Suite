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120" yWindow="120" windowWidth="15180" windowHeight="8835" tabRatio="729"/>
  </bookViews>
  <sheets>
    <sheet name="Instructions" sheetId="1" r:id="rId1"/>
    <sheet name="General Info" sheetId="2" r:id="rId2"/>
    <sheet name="Budget Info" sheetId="18" r:id="rId3"/>
    <sheet name="Salaries" sheetId="3" r:id="rId4"/>
    <sheet name="Operating Costs" sheetId="8" r:id="rId5"/>
    <sheet name="Capital Equip Depreciation" sheetId="14" r:id="rId6"/>
    <sheet name="Capital Equip Replacement" sheetId="20" r:id="rId7"/>
    <sheet name="Add'l Costs" sheetId="11" r:id="rId8"/>
    <sheet name="Notes" sheetId="15" r:id="rId9"/>
    <sheet name="Rate Summary" sheetId="4" r:id="rId10"/>
    <sheet name="Budget Summary" sheetId="16" r:id="rId11"/>
    <sheet name="SCC Notes" sheetId="17" r:id="rId12"/>
  </sheets>
  <definedNames>
    <definedName name="_xlnm.Print_Area" localSheetId="7">'Add''l Costs'!$A$1:$D$38</definedName>
    <definedName name="_xlnm.Print_Area" localSheetId="5">'Capital Equip Depreciation'!$A$3:$M$61</definedName>
    <definedName name="_xlnm.Print_Area" localSheetId="1">'General Info'!$A$1:$H$38</definedName>
    <definedName name="_xlnm.Print_Area" localSheetId="0">Instructions!$A$1:$D$28</definedName>
    <definedName name="_xlnm.Print_Area" localSheetId="8">Notes!$A$1:$D$34</definedName>
    <definedName name="_xlnm.Print_Area" localSheetId="4">'Operating Costs'!$A$3:$F$60</definedName>
    <definedName name="_xlnm.Print_Area" localSheetId="9">'Rate Summary'!$A$1:$F$34</definedName>
    <definedName name="_xlnm.Print_Area" localSheetId="3">Salaries!$A$1:$L$47</definedName>
    <definedName name="_xlnm.Print_Titles" localSheetId="4">'Operating Costs'!$1:$2</definedName>
  </definedNames>
  <calcPr calcId="152511"/>
</workbook>
</file>

<file path=xl/calcChain.xml><?xml version="1.0" encoding="utf-8"?>
<calcChain xmlns="http://schemas.openxmlformats.org/spreadsheetml/2006/main">
  <c r="M30" i="14" l="1"/>
  <c r="K30" i="14"/>
  <c r="G28" i="14"/>
  <c r="F19" i="8"/>
  <c r="D19" i="8"/>
  <c r="F35" i="8"/>
  <c r="D35" i="8"/>
  <c r="F53" i="8"/>
  <c r="H29" i="20" l="1"/>
  <c r="F29" i="20"/>
  <c r="D53" i="8"/>
  <c r="D7" i="18" l="1"/>
  <c r="H13" i="16"/>
  <c r="H8" i="16"/>
  <c r="H7" i="16"/>
  <c r="H10" i="16" s="1"/>
  <c r="H20" i="20"/>
  <c r="H21" i="20"/>
  <c r="H22" i="20"/>
  <c r="H23" i="20"/>
  <c r="F19" i="20"/>
  <c r="F20" i="20"/>
  <c r="F21" i="20"/>
  <c r="F22" i="20"/>
  <c r="F23" i="20"/>
  <c r="F24" i="20"/>
  <c r="B33" i="8"/>
  <c r="B37" i="8" s="1"/>
  <c r="B17" i="8"/>
  <c r="B21" i="8" s="1"/>
  <c r="B51" i="8"/>
  <c r="B55" i="8" s="1"/>
  <c r="D32" i="3"/>
  <c r="D27" i="20"/>
  <c r="D31" i="20" s="1"/>
  <c r="F30" i="3" l="1"/>
  <c r="G30" i="3" s="1"/>
  <c r="K30" i="3" l="1"/>
  <c r="I30" i="3"/>
  <c r="C43" i="4" l="1"/>
  <c r="D43" i="4" s="1"/>
  <c r="B43" i="4"/>
  <c r="C27" i="4"/>
  <c r="B27" i="4"/>
  <c r="G40" i="20"/>
  <c r="E40" i="20"/>
  <c r="G16" i="20"/>
  <c r="E16" i="20"/>
  <c r="I33" i="18"/>
  <c r="D42" i="20" s="1"/>
  <c r="I26" i="18"/>
  <c r="I27" i="18"/>
  <c r="I28" i="18"/>
  <c r="I29" i="18"/>
  <c r="I30" i="18"/>
  <c r="I25" i="18"/>
  <c r="F31" i="18"/>
  <c r="F34" i="18" s="1"/>
  <c r="G31" i="18"/>
  <c r="G34" i="18" s="1"/>
  <c r="H31" i="18"/>
  <c r="H34" i="18" s="1"/>
  <c r="E31" i="18"/>
  <c r="E34" i="18" s="1"/>
  <c r="B44" i="4" l="1"/>
  <c r="C44" i="4"/>
  <c r="I31" i="18"/>
  <c r="I34" i="18" s="1"/>
  <c r="M1" i="20"/>
  <c r="H1" i="20"/>
  <c r="H42" i="20"/>
  <c r="F42" i="20"/>
  <c r="H25" i="20"/>
  <c r="F25" i="20"/>
  <c r="H24" i="20"/>
  <c r="H19" i="20"/>
  <c r="H18" i="20"/>
  <c r="F18" i="20"/>
  <c r="D44" i="4" l="1"/>
  <c r="F27" i="20"/>
  <c r="F31" i="20" s="1"/>
  <c r="H27" i="20"/>
  <c r="H31" i="20" s="1"/>
  <c r="F28" i="3" l="1"/>
  <c r="G28" i="3" s="1"/>
  <c r="I28" i="3" l="1"/>
  <c r="K28" i="3"/>
  <c r="C8" i="17" l="1"/>
  <c r="B8" i="16"/>
  <c r="B7" i="16"/>
  <c r="C36" i="4"/>
  <c r="B36" i="4"/>
  <c r="C28" i="4"/>
  <c r="B28" i="4"/>
  <c r="C8" i="4"/>
  <c r="B8" i="4"/>
  <c r="B6" i="4"/>
  <c r="A2" i="4"/>
  <c r="G39" i="14"/>
  <c r="F39" i="14"/>
  <c r="L17" i="14"/>
  <c r="J17" i="14"/>
  <c r="D1" i="14"/>
  <c r="D1" i="3"/>
  <c r="B1" i="8"/>
  <c r="E41" i="8"/>
  <c r="E25" i="8"/>
  <c r="C41" i="8"/>
  <c r="C25" i="8"/>
  <c r="E10" i="8"/>
  <c r="C10" i="8"/>
  <c r="J17" i="3"/>
  <c r="H17" i="3"/>
  <c r="I1" i="18"/>
  <c r="D36" i="4" l="1"/>
  <c r="D17" i="17"/>
  <c r="E17" i="17"/>
  <c r="C17" i="17"/>
  <c r="A1" i="4" l="1"/>
  <c r="D43" i="8" l="1"/>
  <c r="D51" i="8" s="1"/>
  <c r="D55" i="8" s="1"/>
  <c r="D44" i="8"/>
  <c r="D45" i="8"/>
  <c r="D12" i="8"/>
  <c r="D27" i="8"/>
  <c r="D28" i="8"/>
  <c r="D29" i="8"/>
  <c r="F19" i="3"/>
  <c r="E1" i="15"/>
  <c r="M1" i="14"/>
  <c r="C1" i="11"/>
  <c r="I20" i="14"/>
  <c r="M20" i="14" s="1"/>
  <c r="I21" i="14"/>
  <c r="M21" i="14" s="1"/>
  <c r="I22" i="14"/>
  <c r="M22" i="14" s="1"/>
  <c r="I23" i="14"/>
  <c r="M23" i="14" s="1"/>
  <c r="I24" i="14"/>
  <c r="M24" i="14" s="1"/>
  <c r="I25" i="14"/>
  <c r="M25" i="14" s="1"/>
  <c r="I26" i="14"/>
  <c r="M26" i="14" s="1"/>
  <c r="I19" i="14"/>
  <c r="M19" i="14" s="1"/>
  <c r="F20" i="3"/>
  <c r="G20" i="3" s="1"/>
  <c r="F21" i="3"/>
  <c r="G21" i="3" s="1"/>
  <c r="F22" i="3"/>
  <c r="G22" i="3" s="1"/>
  <c r="I22" i="3" s="1"/>
  <c r="F23" i="3"/>
  <c r="G23" i="3" s="1"/>
  <c r="F24" i="3"/>
  <c r="G24" i="3" s="1"/>
  <c r="F25" i="3"/>
  <c r="G25" i="3" s="1"/>
  <c r="I25" i="3" s="1"/>
  <c r="F26" i="3"/>
  <c r="G26" i="3" s="1"/>
  <c r="I26" i="3" s="1"/>
  <c r="F27" i="3"/>
  <c r="G27" i="3" s="1"/>
  <c r="I27" i="3" s="1"/>
  <c r="F29" i="3"/>
  <c r="G29" i="3" s="1"/>
  <c r="F1" i="8"/>
  <c r="A3" i="4"/>
  <c r="C35" i="4"/>
  <c r="B35" i="4"/>
  <c r="K1" i="3"/>
  <c r="C33" i="11"/>
  <c r="I1" i="2"/>
  <c r="F12" i="8"/>
  <c r="D13" i="8"/>
  <c r="F13" i="8"/>
  <c r="D14" i="8"/>
  <c r="F14" i="8"/>
  <c r="D15" i="8"/>
  <c r="F15" i="8"/>
  <c r="F27" i="8"/>
  <c r="F28" i="8"/>
  <c r="F29" i="8"/>
  <c r="D30" i="8"/>
  <c r="F30" i="8"/>
  <c r="D31" i="8"/>
  <c r="F31" i="8"/>
  <c r="F43" i="8"/>
  <c r="F51" i="8" s="1"/>
  <c r="F55" i="8" s="1"/>
  <c r="F44" i="8"/>
  <c r="F45" i="8"/>
  <c r="D46" i="8"/>
  <c r="F46" i="8"/>
  <c r="D47" i="8"/>
  <c r="F47" i="8"/>
  <c r="D48" i="8"/>
  <c r="F48" i="8"/>
  <c r="D49" i="8"/>
  <c r="F49" i="8"/>
  <c r="F32" i="3" l="1"/>
  <c r="G19" i="3"/>
  <c r="K19" i="3" s="1"/>
  <c r="D17" i="8"/>
  <c r="D21" i="8" s="1"/>
  <c r="D33" i="8"/>
  <c r="D37" i="8" s="1"/>
  <c r="F33" i="8"/>
  <c r="F37" i="8" s="1"/>
  <c r="K26" i="14"/>
  <c r="I23" i="3"/>
  <c r="K23" i="3"/>
  <c r="I21" i="3"/>
  <c r="K21" i="3"/>
  <c r="K22" i="14"/>
  <c r="K24" i="14"/>
  <c r="K25" i="14"/>
  <c r="I28" i="14"/>
  <c r="I32" i="14" s="1"/>
  <c r="K20" i="14"/>
  <c r="H19" i="16"/>
  <c r="H21" i="16" s="1"/>
  <c r="K21" i="14"/>
  <c r="K23" i="14"/>
  <c r="K19" i="14"/>
  <c r="I20" i="3"/>
  <c r="K20" i="3"/>
  <c r="I29" i="3"/>
  <c r="K29" i="3"/>
  <c r="I24" i="3"/>
  <c r="K24" i="3"/>
  <c r="K25" i="3"/>
  <c r="F17" i="8"/>
  <c r="M28" i="14"/>
  <c r="M32" i="14" s="1"/>
  <c r="C16" i="4" s="1"/>
  <c r="K27" i="3"/>
  <c r="K22" i="3"/>
  <c r="K26" i="3"/>
  <c r="I19" i="3" l="1"/>
  <c r="I32" i="3" s="1"/>
  <c r="G32" i="3"/>
  <c r="G36" i="3" s="1"/>
  <c r="C41" i="4"/>
  <c r="F21" i="8"/>
  <c r="C13" i="4" s="1"/>
  <c r="C14" i="4"/>
  <c r="C42" i="4"/>
  <c r="B14" i="4"/>
  <c r="B42" i="4"/>
  <c r="C15" i="4"/>
  <c r="D15" i="4" s="1"/>
  <c r="B15" i="4"/>
  <c r="K28" i="14"/>
  <c r="K32" i="3"/>
  <c r="D42" i="4" l="1"/>
  <c r="C16" i="16"/>
  <c r="C15" i="16"/>
  <c r="D14" i="4"/>
  <c r="K32" i="14"/>
  <c r="B16" i="4" s="1"/>
  <c r="D16" i="4" s="1"/>
  <c r="B13" i="4"/>
  <c r="B41" i="4"/>
  <c r="D41" i="4" s="1"/>
  <c r="C40" i="4"/>
  <c r="C17" i="16" l="1"/>
  <c r="C14" i="16"/>
  <c r="D13" i="4"/>
  <c r="C45" i="4"/>
  <c r="C8" i="16"/>
  <c r="C7" i="16" l="1"/>
  <c r="C10" i="16" s="1"/>
  <c r="K34" i="3"/>
  <c r="K36" i="3" s="1"/>
  <c r="C12" i="4" s="1"/>
  <c r="I34" i="3"/>
  <c r="B40" i="4" s="1"/>
  <c r="B45" i="4" l="1"/>
  <c r="D45" i="4" s="1"/>
  <c r="D40" i="4"/>
  <c r="I36" i="3"/>
  <c r="C18" i="4"/>
  <c r="B12" i="4" l="1"/>
  <c r="D12" i="4" s="1"/>
  <c r="C47" i="4"/>
  <c r="C49" i="4" s="1"/>
  <c r="B18" i="4" l="1"/>
  <c r="C13" i="16"/>
  <c r="C19" i="16" s="1"/>
  <c r="C21" i="16" s="1"/>
  <c r="C20" i="4" l="1"/>
  <c r="C9" i="4" s="1"/>
  <c r="C22" i="4" s="1"/>
  <c r="D18" i="4"/>
  <c r="B47" i="4"/>
  <c r="B20" i="4"/>
  <c r="C25" i="4" l="1"/>
  <c r="C30" i="4" s="1"/>
  <c r="C23" i="4"/>
  <c r="B9" i="4"/>
  <c r="D20" i="4"/>
  <c r="B49" i="4"/>
  <c r="D47" i="4"/>
  <c r="B22" i="4" l="1"/>
  <c r="B23" i="4" s="1"/>
  <c r="D23" i="4" s="1"/>
  <c r="D9" i="4"/>
  <c r="D22" i="4" l="1"/>
  <c r="B25" i="4"/>
  <c r="B30" i="4" l="1"/>
  <c r="D30" i="4" s="1"/>
  <c r="D25" i="4"/>
</calcChain>
</file>

<file path=xl/comments1.xml><?xml version="1.0" encoding="utf-8"?>
<comments xmlns="http://schemas.openxmlformats.org/spreadsheetml/2006/main">
  <authors>
    <author>Ruchi Aggarwal</author>
  </authors>
  <commentList>
    <comment ref="E17" authorId="0">
      <text>
        <r>
          <rPr>
            <sz val="8"/>
            <color indexed="81"/>
            <rFont val="Tahoma"/>
            <family val="2"/>
          </rPr>
          <t>Use actual fringe benefit percentage for each object code.</t>
        </r>
      </text>
    </comment>
  </commentList>
</comments>
</file>

<file path=xl/sharedStrings.xml><?xml version="1.0" encoding="utf-8"?>
<sst xmlns="http://schemas.openxmlformats.org/spreadsheetml/2006/main" count="460" uniqueCount="243">
  <si>
    <t>Service Center Billing Rate Proposal Worksheet</t>
  </si>
  <si>
    <t>University of Idaho</t>
  </si>
  <si>
    <t>NAME</t>
  </si>
  <si>
    <t>FTE %</t>
  </si>
  <si>
    <t>Amount</t>
  </si>
  <si>
    <t>Name</t>
  </si>
  <si>
    <t>%</t>
  </si>
  <si>
    <t>Description</t>
  </si>
  <si>
    <t>Annual Amt</t>
  </si>
  <si>
    <t>Additional Cost Worksheet</t>
  </si>
  <si>
    <t>Description of Cost</t>
  </si>
  <si>
    <t>Budget Number</t>
  </si>
  <si>
    <t>Travel</t>
  </si>
  <si>
    <t># of Annual Units</t>
  </si>
  <si>
    <t>Unit Base</t>
  </si>
  <si>
    <t>Email</t>
  </si>
  <si>
    <t>Phone #</t>
  </si>
  <si>
    <t>Service Center Name</t>
  </si>
  <si>
    <t xml:space="preserve"> </t>
  </si>
  <si>
    <t>Variable</t>
  </si>
  <si>
    <t>1)</t>
  </si>
  <si>
    <t>2)</t>
  </si>
  <si>
    <t>Unit*</t>
  </si>
  <si>
    <t>*Unit is how the rate is charged such as per hour, each, etc.</t>
  </si>
  <si>
    <t>Service 1</t>
  </si>
  <si>
    <t>Service 2</t>
  </si>
  <si>
    <t>ANNUAL SALARY</t>
  </si>
  <si>
    <t>FTE</t>
  </si>
  <si>
    <t>FRINGES</t>
  </si>
  <si>
    <t>TOTAL COST</t>
  </si>
  <si>
    <t>SERVICE 1</t>
  </si>
  <si>
    <t>SERVICE 2</t>
  </si>
  <si>
    <t>TOTAL SALARIES</t>
  </si>
  <si>
    <t>PCN</t>
  </si>
  <si>
    <t>TYPE*</t>
  </si>
  <si>
    <t>TH</t>
  </si>
  <si>
    <t>Operating Expenses</t>
  </si>
  <si>
    <t>Equipment &lt; $5,000</t>
  </si>
  <si>
    <t>Equipment &lt; $5,000*</t>
  </si>
  <si>
    <t>Purpose: To detail non-salary and non-equipment costs associated with the service center services</t>
  </si>
  <si>
    <t>Department</t>
  </si>
  <si>
    <t>General Instructions</t>
  </si>
  <si>
    <t>1) Fill in only the yellow highlighted areas.  Do not enter data in non-highlighted areas</t>
  </si>
  <si>
    <t>Salaries and Fringe Benefits</t>
  </si>
  <si>
    <t>Operating Costs</t>
  </si>
  <si>
    <t>% of Total Costs</t>
  </si>
  <si>
    <t>Sheet Instructions</t>
  </si>
  <si>
    <t>1) Fill in only yellow highlighted areas</t>
  </si>
  <si>
    <t>2) Additional lines may be inserted as necessary</t>
  </si>
  <si>
    <t>1) Only fill in the areas shaded in yellow</t>
  </si>
  <si>
    <t>Service Center Calculations</t>
  </si>
  <si>
    <t>Purpose:  To list personnel paid on the service center and allocate personnel costs to each service.</t>
  </si>
  <si>
    <t>Fill in only the yellow highlighted areas</t>
  </si>
  <si>
    <t>Revenue</t>
  </si>
  <si>
    <t>Expenditures</t>
  </si>
  <si>
    <t>Transfers</t>
  </si>
  <si>
    <t>ANNUAL COSTS</t>
  </si>
  <si>
    <t>Estimated 2 months working capital</t>
  </si>
  <si>
    <t>Estmated # of annual units</t>
  </si>
  <si>
    <t>Brief description of the service</t>
  </si>
  <si>
    <t>Instructions</t>
  </si>
  <si>
    <t>Fill in the yellow highlighted areas</t>
  </si>
  <si>
    <t>Service Name (short)</t>
  </si>
  <si>
    <t>Service Name (short) - A short name of the service.  For example: copier chgs, field tests, etc.</t>
  </si>
  <si>
    <t>The following worksheets (see worksheet tabs below) are designed to assist in the calculation of the Service Center Billing Rates.  Detailed explanations are included as comments in the worksheets.  Please do them in order.</t>
  </si>
  <si>
    <t>*&lt;&lt;Type is EX for exempt, CL for classified, TH for temporary help, or GA for graduate assistant&gt;&gt;</t>
  </si>
  <si>
    <t>GA</t>
  </si>
  <si>
    <t>Most Recent Complete Fiscal Year Information (Statement of Changes - FWRDSTR)</t>
  </si>
  <si>
    <t>Salaries &amp; Benefits Expenditures</t>
  </si>
  <si>
    <t>2) Fill in the name of the person(s) that is providing the service (board apptd only)</t>
  </si>
  <si>
    <t>3) For TH employee costs you may put in a lump sum total for the estimated expenditures.</t>
  </si>
  <si>
    <t>4) Fill in that person's PCN</t>
  </si>
  <si>
    <t>5) Enter in the employee type</t>
  </si>
  <si>
    <t>6) Enter in the employee's annual salary</t>
  </si>
  <si>
    <t>7) Enter in the employee's annual FTE (0.5, 1, 0.75, etc.)</t>
  </si>
  <si>
    <t>8) Enter in the FTE % of this employee's time associated with the service and this budget</t>
  </si>
  <si>
    <t>Fixed (Health)</t>
  </si>
  <si>
    <t>Equipment &gt;$5,000 - See next worksheet</t>
  </si>
  <si>
    <t>Desc/Type of Equipment</t>
  </si>
  <si>
    <t>U of I Tag Number</t>
  </si>
  <si>
    <t>Acquisition Budget No.</t>
  </si>
  <si>
    <t>Acquistion Date</t>
  </si>
  <si>
    <t>Depr Start Date</t>
  </si>
  <si>
    <t>Depr End Date</t>
  </si>
  <si>
    <t>Acquisition Cost</t>
  </si>
  <si>
    <t>Useful Life (years)</t>
  </si>
  <si>
    <t>The purpose of this sheet is to track depreciation costs of capitalized equipment used to provide the service(s)</t>
  </si>
  <si>
    <t>Sheet instructions</t>
  </si>
  <si>
    <t>Annual depreciation</t>
  </si>
  <si>
    <t>UI Property Tag#</t>
  </si>
  <si>
    <t>Column J - Identify the % of use of the equipment for each service</t>
  </si>
  <si>
    <t>Other Equipment Used to Provide Service But Not Included in the Costs</t>
  </si>
  <si>
    <t>Percentage of Use</t>
  </si>
  <si>
    <t>Add additional lines as needed</t>
  </si>
  <si>
    <t>Capital equipment depreciation</t>
  </si>
  <si>
    <t>Fringe Benefits*</t>
  </si>
  <si>
    <t>Rate</t>
  </si>
  <si>
    <t>*The FB rates can be modified if needed in this rate box</t>
  </si>
  <si>
    <t>You may insert additional lines as necessary.</t>
  </si>
  <si>
    <t>Purpose:  Used to identify other costs that support the service but are paid by other budgets</t>
  </si>
  <si>
    <t>TOTAL REVISED COSTS</t>
  </si>
  <si>
    <t>SUBSIDY</t>
  </si>
  <si>
    <t>Most recent fiscal year used</t>
  </si>
  <si>
    <t xml:space="preserve">Proposed New Rate  </t>
  </si>
  <si>
    <t>Notes and Comments</t>
  </si>
  <si>
    <t>Equipment purchases &gt; $5,000</t>
  </si>
  <si>
    <t>Equipment reserves</t>
  </si>
  <si>
    <t>Total</t>
  </si>
  <si>
    <t>Revised Prior Year Balance (Add Deficit, Subtract Surplus)</t>
  </si>
  <si>
    <t>Amount of carryover kept on reserve for &gt;$5,000 equipment purchases</t>
  </si>
  <si>
    <t>Current year rates</t>
  </si>
  <si>
    <t>FY2013</t>
  </si>
  <si>
    <t>Operating Budget</t>
  </si>
  <si>
    <t>Capital Budget</t>
  </si>
  <si>
    <t>Fund</t>
  </si>
  <si>
    <t>Beginning Balance</t>
  </si>
  <si>
    <t>Revenues</t>
  </si>
  <si>
    <t>Transfers Out</t>
  </si>
  <si>
    <t>Encumbrances</t>
  </si>
  <si>
    <t>Fund Balance</t>
  </si>
  <si>
    <t>FY-1</t>
  </si>
  <si>
    <t>FY-2</t>
  </si>
  <si>
    <t>FYcurrent</t>
  </si>
  <si>
    <t>Ending Balance</t>
  </si>
  <si>
    <t>Service Center Committee Notes</t>
  </si>
  <si>
    <t>Capital Outlay &lt;$5,000</t>
  </si>
  <si>
    <t>Total Expenditures</t>
  </si>
  <si>
    <t>Net</t>
  </si>
  <si>
    <t>Transfer to capital budget</t>
  </si>
  <si>
    <t>Transfer from operating budget</t>
  </si>
  <si>
    <t>Capital Outlay &gt; $5,000</t>
  </si>
  <si>
    <t>Total Revenue</t>
  </si>
  <si>
    <t>Salaries, Fringes, TH</t>
  </si>
  <si>
    <t>Carryover</t>
  </si>
  <si>
    <t>FY2014</t>
  </si>
  <si>
    <t>Contact Information (Worksheet preparer)</t>
  </si>
  <si>
    <t>College Fiscal Contact</t>
  </si>
  <si>
    <t>College/Division</t>
  </si>
  <si>
    <t>Fund #*</t>
  </si>
  <si>
    <t>Budget</t>
  </si>
  <si>
    <t>Describe the service(s) for each rate offered</t>
  </si>
  <si>
    <t>The proposal contains the following worksheets with named tabs.  Please fill them out in order.</t>
  </si>
  <si>
    <t>Budget Name</t>
  </si>
  <si>
    <t>Previous FY Carryover</t>
  </si>
  <si>
    <t>2) Use this worksheet for one fund only (there may be multiple budgets associated with the fund or only one)</t>
  </si>
  <si>
    <t>List all budgets associated with the fund number above</t>
  </si>
  <si>
    <t>ANNUAL BUDGETED OPERATING COSTS</t>
  </si>
  <si>
    <t>SERVICE CENTER EQUIPMENT INFORMATION</t>
  </si>
  <si>
    <t>*Unallowable equipment replacements include equipment originally purchased on a grant or purchases of new equipment not previously in use by the service center.</t>
  </si>
  <si>
    <t>Date</t>
  </si>
  <si>
    <t>Reviewer</t>
  </si>
  <si>
    <t>Reviewer recommendation</t>
  </si>
  <si>
    <t>Recommend approval</t>
  </si>
  <si>
    <t>Deny</t>
  </si>
  <si>
    <t>Comments</t>
  </si>
  <si>
    <t>Fill in only yellow highlighted areas in both sections as applicable</t>
  </si>
  <si>
    <t>If you have any questions about the accounting for equipment &gt;$5,000 for this service center, please contact the Controller's Office</t>
  </si>
  <si>
    <t>Budget and Fund Information</t>
  </si>
  <si>
    <t>New Application</t>
  </si>
  <si>
    <t>Renewal</t>
  </si>
  <si>
    <t>Percent of use by customer category</t>
  </si>
  <si>
    <t>External to UI</t>
  </si>
  <si>
    <t>No</t>
  </si>
  <si>
    <t>Yes</t>
  </si>
  <si>
    <t>If Yes, what percent?</t>
  </si>
  <si>
    <t>Description of the product(s) or service(s) to be provided</t>
  </si>
  <si>
    <t>Do competitors exist outside of the UI?</t>
  </si>
  <si>
    <t>If yes, briefly describe how the service center rates compare to market rates</t>
  </si>
  <si>
    <t>(Indicate one of the above)</t>
  </si>
  <si>
    <t>Does the service center provide services to certain users at discounted rates or free of charge?</t>
  </si>
  <si>
    <t>Same fee charged to everyone</t>
  </si>
  <si>
    <t>Different fees to differnent users</t>
  </si>
  <si>
    <t>If different fees, please elaborate</t>
  </si>
  <si>
    <t>Identify the source of funds to be used to absorb the entire deficit if it exceeds 15% of the service center's total annual expense</t>
  </si>
  <si>
    <t>Financially Responsible Person for the Service Center</t>
  </si>
  <si>
    <t>Title</t>
  </si>
  <si>
    <t>General Information - Service Center Application</t>
  </si>
  <si>
    <t>1.  General Info - provides contact and service center application information</t>
  </si>
  <si>
    <t>2.  Budget Info - provides budget information about the service center</t>
  </si>
  <si>
    <t>3.  Salaries - provides a calculation of the salaries &amp; benefits included in the proposal.</t>
  </si>
  <si>
    <t>4.  Operating Costs - lists the non-salary and non-depreciation costs included in the proposal.</t>
  </si>
  <si>
    <t>Current Rate (if applicable)</t>
  </si>
  <si>
    <t>Prior Year Fund Balance (if applicable)</t>
  </si>
  <si>
    <t>Are grants and contracts (K accounts) ever charged for this service?</t>
  </si>
  <si>
    <t>UI Departments including your own</t>
  </si>
  <si>
    <t>Source of start-up (seed) money.  (Complete this field if reporting a new service center.  Include budget numbers and dollar amounts.</t>
  </si>
  <si>
    <t>TOTAL SALARY COSTS CHARGED TO CUSTOMERS</t>
  </si>
  <si>
    <t>SUBTOTAL TRAVEL</t>
  </si>
  <si>
    <t>TOTAL TRAVEL</t>
  </si>
  <si>
    <t>SUBTOTAL OPERATING EXPENSES</t>
  </si>
  <si>
    <t>SUBTOTAL EQUIPMENT &lt;$5,000</t>
  </si>
  <si>
    <t>SUBTOTAL EQUIPMENT &lt;$5,000&gt;</t>
  </si>
  <si>
    <t>General description of the new equipment to be purchased in the coming fiscal year</t>
  </si>
  <si>
    <t>Description of equipment being replaced</t>
  </si>
  <si>
    <t>Tag # of existing equipment being replaced</t>
  </si>
  <si>
    <t>Estimated cost of new equpment</t>
  </si>
  <si>
    <t>SUBTOTAL</t>
  </si>
  <si>
    <t>Depreciation Schedule - List existing allowable equipment only*</t>
  </si>
  <si>
    <t>(Can not exceed inventory total (see Capital Equip Depreciation sheet) or carryover total, whichever is less)</t>
  </si>
  <si>
    <t>DEPRECIATION OF EQUIPMENT &gt; $5,000</t>
  </si>
  <si>
    <t>PURCHASES FOR THE REPLACEMENT OF ALLOWABLE EQUIPMENT &gt;$5,000</t>
  </si>
  <si>
    <t>*See APM20.20 for a description of allowable equipment</t>
  </si>
  <si>
    <t>NEW EQUIPMENT PURCHASES FOR THIS NEXT FISCAL YEAR (PURCHASES OF EQUIPMENT TO REPLACE CURRENT ALLOWABLE EQUIPMENT)*</t>
  </si>
  <si>
    <t>**If a service center is building an equipment replacement reserve, that reserve ideally should be in a separate budget within the same fund -- contact the Controller's Office for further help or information</t>
  </si>
  <si>
    <t>1) are replacements for existing service center equipment</t>
  </si>
  <si>
    <t>2) and have allowable depreciation</t>
  </si>
  <si>
    <t>PURPOSE: This sheet is used to record the equipment that will be purchased in the upcoming fiscal year, that</t>
  </si>
  <si>
    <t>Insert additional lines as needed</t>
  </si>
  <si>
    <t>Purpose:  To include comments that will help clarify how this rate sheet was developed or provide additional notes about the service center</t>
  </si>
  <si>
    <t>Amount in equipment replacement reserve</t>
  </si>
  <si>
    <t>TOTAL OPERATING BUDGET</t>
  </si>
  <si>
    <t>FUND TOTAL</t>
  </si>
  <si>
    <t>Equipment replacement reserves*</t>
  </si>
  <si>
    <t>*Total amount in equipment reserves can not be greater than the carryover or the allowed equipment inventory total, whichever is less</t>
  </si>
  <si>
    <t>Operating budget</t>
  </si>
  <si>
    <t>Equipment replacement reserve budget (from Budget info)</t>
  </si>
  <si>
    <t>Service Center Rate Summary Sheet - Operating Budget</t>
  </si>
  <si>
    <t>TOTAL PURCHASES OF EQUIPMENT &gt;$5,000 EACH</t>
  </si>
  <si>
    <t>TOTAL ALLOWED DEPRECIATION</t>
  </si>
  <si>
    <t>TOTAL DEPRECIATION TO BE INCLUDED IN SERVICE CENTER COSTS</t>
  </si>
  <si>
    <t>TOTAL SUBSIDIES</t>
  </si>
  <si>
    <t>CALCULATED RATE PER SERVICE PER UNIT W/ SUBSIDIES</t>
  </si>
  <si>
    <t>SUBSIDIES</t>
  </si>
  <si>
    <t>Salaries</t>
  </si>
  <si>
    <t>TOTAL SERVICE COSTS</t>
  </si>
  <si>
    <t>Operating Expense</t>
  </si>
  <si>
    <t>Equipment &lt;$5,000</t>
  </si>
  <si>
    <t>Depreciation</t>
  </si>
  <si>
    <t>SUBSIDY - AMOUNT THAT WILL NOT BE INCLUDED IN RATE CALCULATIONS</t>
  </si>
  <si>
    <t>Equipment - non R&amp;R</t>
  </si>
  <si>
    <t>6.  Capital Equipment Replacement - lists the replacement equipment to be purchased in the new FY</t>
  </si>
  <si>
    <t>7.  Add'l Costs - lists the cost center costs paid for by non-cost center budgets and whether they are included in the proposal.</t>
  </si>
  <si>
    <t>8.  Notes - provide any clarifications or explanations as needed</t>
  </si>
  <si>
    <t>9.  Rate Summary - rate calculation page where all costs are summarized for each service and the rates are calculated.</t>
  </si>
  <si>
    <t>10.  Budget Summary - shows the fund by primary expense for budgeting purposes</t>
  </si>
  <si>
    <t xml:space="preserve">Budget Summary </t>
  </si>
  <si>
    <t>SUBSIDY - AMOUNT THAT WILL NOT BE CHARGED TO CUSTOMERS</t>
  </si>
  <si>
    <t>TOTAL ANNUAL SERVICE COSTS W/ SUBSIDIES</t>
  </si>
  <si>
    <t>UNIT RATE THAT WILL BE CHARGED TO UI DEPARTMENTS</t>
  </si>
  <si>
    <t>TOTAL</t>
  </si>
  <si>
    <t>FULLY COSTED RATES</t>
  </si>
  <si>
    <t>5.  Capital Equipment Depreciation - lists the equipment and associated depreciation used in the service center activity</t>
  </si>
  <si>
    <t>11.  SCC Notes - this is for the use of the Service Center Committee to track status of request</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</si>
</sst>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quot;$&quot;#,##0.00_);[Red]\(&quot;$&quot;#,##0.00\)"/>
    <numFmt numFmtId="44" formatCode="_(&quot;$&quot;* #,##0.00_);_(&quot;$&quot;* \(#,##0.00\);_(&quot;$&quot;* &quot;-&quot;??_);_(@_)"/>
    <numFmt numFmtId="43" formatCode="_(* #,##0.00_);_(* \(#,##0.00\);_(* &quot;-&quot;??_);_(@_)"/>
    <numFmt numFmtId="164" formatCode="mm/dd/yy;@"/>
    <numFmt numFmtId="165" formatCode="_(* #,##0_);_(* \(#,##0\);_(* &quot;-&quot;??_);_(@_)"/>
    <numFmt numFmtId="166" formatCode="0.0%"/>
    <numFmt numFmtId="167" formatCode="m/d/yy;@"/>
    <numFmt numFmtId="168" formatCode="&quot;$&quot;#,##0.00"/>
    <numFmt numFmtId="169" formatCode="&quot;$&quot;#,##0"/>
  </numFmts>
  <fonts count="26" x14ac:knownFonts="1">
    <font>
      <sz val="10"/>
      <name val="Arial"/>
    </font>
    <font>
      <sz val="10"/>
      <name val="Arial"/>
      <family val="2"/>
    </font>
    <font>
      <sz val="8"/>
      <color indexed="81"/>
      <name val="Tahoma"/>
      <family val="2"/>
    </font>
    <font>
      <sz val="10"/>
      <name val="Arial"/>
      <family val="2"/>
    </font>
    <font>
      <u/>
      <sz val="11"/>
      <color indexed="12"/>
      <name val="Times New Roman"/>
      <family val="1"/>
    </font>
    <font>
      <b/>
      <i/>
      <sz val="14"/>
      <name val="Franklin Gothic Book"/>
      <family val="2"/>
    </font>
    <font>
      <sz val="10"/>
      <name val="Franklin Gothic Book"/>
      <family val="2"/>
    </font>
    <font>
      <sz val="12"/>
      <name val="Franklin Gothic Book"/>
      <family val="2"/>
    </font>
    <font>
      <sz val="11"/>
      <name val="Franklin Gothic Book"/>
      <family val="2"/>
    </font>
    <font>
      <b/>
      <sz val="14"/>
      <name val="Franklin Gothic Book"/>
      <family val="2"/>
    </font>
    <font>
      <sz val="14"/>
      <name val="Franklin Gothic Book"/>
      <family val="2"/>
    </font>
    <font>
      <b/>
      <sz val="10"/>
      <name val="Franklin Gothic Book"/>
      <family val="2"/>
    </font>
    <font>
      <b/>
      <sz val="12"/>
      <name val="Franklin Gothic Book"/>
      <family val="2"/>
    </font>
    <font>
      <b/>
      <sz val="11"/>
      <name val="Franklin Gothic Book"/>
      <family val="2"/>
    </font>
    <font>
      <b/>
      <sz val="9"/>
      <name val="Franklin Gothic Book"/>
      <family val="2"/>
    </font>
    <font>
      <sz val="9"/>
      <name val="Franklin Gothic Book"/>
      <family val="2"/>
    </font>
    <font>
      <b/>
      <i/>
      <sz val="10"/>
      <name val="Franklin Gothic Book"/>
      <family val="2"/>
    </font>
    <font>
      <u/>
      <sz val="10"/>
      <color indexed="12"/>
      <name val="Franklin Gothic Book"/>
      <family val="2"/>
    </font>
    <font>
      <b/>
      <i/>
      <sz val="12"/>
      <name val="Franklin Gothic Book"/>
      <family val="2"/>
    </font>
    <font>
      <i/>
      <sz val="10"/>
      <name val="Franklin Gothic Book"/>
      <family val="2"/>
    </font>
    <font>
      <b/>
      <sz val="10"/>
      <color rgb="FFFF0000"/>
      <name val="Franklin Gothic Book"/>
      <family val="2"/>
    </font>
    <font>
      <sz val="10"/>
      <name val="Lucida Sans Unicode"/>
      <family val="2"/>
    </font>
    <font>
      <sz val="16"/>
      <name val="Lucida Sans Unicode"/>
      <family val="2"/>
    </font>
    <font>
      <sz val="14"/>
      <name val="Lucida Sans Unicode"/>
      <family val="2"/>
    </font>
    <font>
      <sz val="12"/>
      <name val="Lucida Sans Unicode"/>
      <family val="2"/>
    </font>
    <font>
      <sz val="16"/>
      <name val="Franklin Gothic Book"/>
      <family val="2"/>
    </font>
  </fonts>
  <fills count="9">
    <fill>
      <patternFill patternType="none"/>
    </fill>
    <fill>
      <patternFill patternType="gray125"/>
    </fill>
    <fill>
      <patternFill patternType="solid">
        <fgColor rgb="FFFFFF99"/>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tint="-0.14999847407452621"/>
        <bgColor indexed="64"/>
      </patternFill>
    </fill>
  </fills>
  <borders count="17">
    <border>
      <left/>
      <right/>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double">
        <color indexed="64"/>
      </bottom>
      <diagonal/>
    </border>
  </borders>
  <cellStyleXfs count="8">
    <xf numFmtId="0" fontId="0" fillId="0" borderId="0"/>
    <xf numFmtId="43" fontId="1" fillId="0" borderId="0" applyFont="0" applyFill="0" applyBorder="0" applyAlignment="0" applyProtection="0"/>
    <xf numFmtId="43" fontId="3"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alignment vertical="top"/>
      <protection locked="0"/>
    </xf>
    <xf numFmtId="0" fontId="3" fillId="0" borderId="0"/>
    <xf numFmtId="9" fontId="1" fillId="0" borderId="0" applyFont="0" applyFill="0" applyBorder="0" applyAlignment="0" applyProtection="0"/>
    <xf numFmtId="9" fontId="3" fillId="0" borderId="0" applyFont="0" applyFill="0" applyBorder="0" applyAlignment="0" applyProtection="0"/>
  </cellStyleXfs>
  <cellXfs count="358">
    <xf numFmtId="0" fontId="0" fillId="0" borderId="0" xfId="0"/>
    <xf numFmtId="0" fontId="5" fillId="0" borderId="0" xfId="0" applyFont="1" applyAlignment="1"/>
    <xf numFmtId="0" fontId="6" fillId="0" borderId="0" xfId="0" applyFont="1" applyAlignment="1"/>
    <xf numFmtId="0" fontId="8" fillId="0" borderId="0" xfId="0" applyFont="1" applyAlignment="1"/>
    <xf numFmtId="0" fontId="8" fillId="0" borderId="0" xfId="0" applyFont="1" applyAlignment="1">
      <alignment wrapText="1"/>
    </xf>
    <xf numFmtId="0" fontId="9" fillId="0" borderId="0" xfId="0" applyFont="1" applyFill="1"/>
    <xf numFmtId="0" fontId="10" fillId="0" borderId="0" xfId="0" applyFont="1" applyFill="1"/>
    <xf numFmtId="0" fontId="6" fillId="0" borderId="0" xfId="0" applyFont="1" applyFill="1"/>
    <xf numFmtId="0" fontId="6" fillId="0" borderId="2" xfId="0" applyFont="1" applyFill="1" applyBorder="1" applyAlignment="1">
      <alignment horizontal="left" vertical="top"/>
    </xf>
    <xf numFmtId="0" fontId="6" fillId="0" borderId="0" xfId="0" applyFont="1" applyFill="1" applyBorder="1"/>
    <xf numFmtId="0" fontId="6" fillId="0" borderId="3" xfId="0" applyFont="1" applyFill="1" applyBorder="1"/>
    <xf numFmtId="0" fontId="6" fillId="0" borderId="4" xfId="0" applyFont="1" applyFill="1" applyBorder="1"/>
    <xf numFmtId="0" fontId="6" fillId="0" borderId="0" xfId="0" applyFont="1" applyFill="1" applyAlignment="1">
      <alignment vertical="top" wrapText="1"/>
    </xf>
    <xf numFmtId="0" fontId="12" fillId="0" borderId="0" xfId="0" applyFont="1" applyFill="1"/>
    <xf numFmtId="0" fontId="7" fillId="0" borderId="0" xfId="0" applyFont="1" applyFill="1"/>
    <xf numFmtId="0" fontId="6" fillId="2" borderId="5" xfId="0" applyFont="1" applyFill="1" applyBorder="1"/>
    <xf numFmtId="0" fontId="6" fillId="2" borderId="1" xfId="0" applyFont="1" applyFill="1" applyBorder="1"/>
    <xf numFmtId="0" fontId="6" fillId="0" borderId="0" xfId="0" applyFont="1" applyFill="1" applyAlignment="1">
      <alignment horizontal="left" indent="1"/>
    </xf>
    <xf numFmtId="0" fontId="13" fillId="0" borderId="0" xfId="0" applyFont="1" applyFill="1"/>
    <xf numFmtId="0" fontId="6" fillId="0" borderId="0" xfId="0" applyFont="1" applyFill="1" applyAlignment="1">
      <alignment horizontal="left"/>
    </xf>
    <xf numFmtId="0" fontId="6" fillId="0" borderId="5" xfId="0" applyFont="1" applyFill="1" applyBorder="1" applyAlignment="1">
      <alignment horizontal="left"/>
    </xf>
    <xf numFmtId="0" fontId="6" fillId="0" borderId="5" xfId="0" applyFont="1" applyFill="1" applyBorder="1"/>
    <xf numFmtId="0" fontId="6" fillId="0" borderId="5" xfId="0" applyFont="1" applyFill="1" applyBorder="1" applyAlignment="1">
      <alignment horizontal="center"/>
    </xf>
    <xf numFmtId="164" fontId="6" fillId="2" borderId="1" xfId="0" applyNumberFormat="1" applyFont="1" applyFill="1" applyBorder="1" applyAlignment="1">
      <alignment horizontal="left"/>
    </xf>
    <xf numFmtId="0" fontId="6" fillId="2" borderId="1" xfId="0" applyFont="1" applyFill="1" applyBorder="1" applyAlignment="1">
      <alignment wrapText="1"/>
    </xf>
    <xf numFmtId="0" fontId="6" fillId="0" borderId="6" xfId="0" applyFont="1" applyFill="1" applyBorder="1"/>
    <xf numFmtId="0" fontId="7" fillId="3" borderId="0" xfId="0" applyFont="1" applyFill="1" applyAlignment="1"/>
    <xf numFmtId="0" fontId="6" fillId="0" borderId="5" xfId="0" applyFont="1" applyFill="1" applyBorder="1" applyAlignment="1">
      <alignment vertical="top"/>
    </xf>
    <xf numFmtId="0" fontId="0" fillId="0" borderId="5" xfId="0" applyBorder="1"/>
    <xf numFmtId="0" fontId="11" fillId="3" borderId="8" xfId="0" applyFont="1" applyFill="1" applyBorder="1"/>
    <xf numFmtId="0" fontId="6" fillId="3" borderId="1" xfId="0" applyFont="1" applyFill="1" applyBorder="1"/>
    <xf numFmtId="0" fontId="6" fillId="3" borderId="9" xfId="0" applyFont="1" applyFill="1" applyBorder="1"/>
    <xf numFmtId="0" fontId="12" fillId="0" borderId="0" xfId="0" applyFont="1" applyBorder="1"/>
    <xf numFmtId="0" fontId="7" fillId="0" borderId="0" xfId="0" applyFont="1"/>
    <xf numFmtId="0" fontId="8" fillId="0" borderId="0" xfId="0" applyFont="1" applyBorder="1"/>
    <xf numFmtId="0" fontId="6" fillId="0" borderId="0" xfId="0" applyFont="1"/>
    <xf numFmtId="0" fontId="6" fillId="0" borderId="2" xfId="0" applyFont="1" applyBorder="1"/>
    <xf numFmtId="0" fontId="6" fillId="0" borderId="0" xfId="0" applyFont="1" applyBorder="1"/>
    <xf numFmtId="0" fontId="6" fillId="0" borderId="3" xfId="0" applyFont="1" applyBorder="1"/>
    <xf numFmtId="0" fontId="6" fillId="0" borderId="2" xfId="0" applyFont="1" applyFill="1" applyBorder="1"/>
    <xf numFmtId="0" fontId="6" fillId="0" borderId="7" xfId="0" applyFont="1" applyFill="1" applyBorder="1"/>
    <xf numFmtId="0" fontId="6" fillId="4" borderId="6" xfId="0" applyFont="1" applyFill="1" applyBorder="1"/>
    <xf numFmtId="0" fontId="6" fillId="4" borderId="6" xfId="0" applyFont="1" applyFill="1" applyBorder="1" applyAlignment="1">
      <alignment horizontal="left" wrapText="1"/>
    </xf>
    <xf numFmtId="0" fontId="6" fillId="4" borderId="6" xfId="0" applyFont="1" applyFill="1" applyBorder="1" applyAlignment="1">
      <alignment horizontal="center" wrapText="1"/>
    </xf>
    <xf numFmtId="0" fontId="6" fillId="4" borderId="5" xfId="0" applyFont="1" applyFill="1" applyBorder="1" applyAlignment="1">
      <alignment horizontal="center"/>
    </xf>
    <xf numFmtId="0" fontId="6" fillId="4" borderId="5" xfId="0" applyFont="1" applyFill="1" applyBorder="1" applyAlignment="1">
      <alignment horizontal="center" wrapText="1"/>
    </xf>
    <xf numFmtId="9" fontId="6" fillId="4" borderId="10" xfId="6" applyFont="1" applyFill="1" applyBorder="1" applyAlignment="1">
      <alignment horizontal="right"/>
    </xf>
    <xf numFmtId="0" fontId="6" fillId="2" borderId="11" xfId="0" applyFont="1" applyFill="1" applyBorder="1"/>
    <xf numFmtId="49" fontId="6" fillId="2" borderId="11" xfId="0" applyNumberFormat="1" applyFont="1" applyFill="1" applyBorder="1"/>
    <xf numFmtId="169" fontId="6" fillId="2" borderId="11" xfId="1" applyNumberFormat="1" applyFont="1" applyFill="1" applyBorder="1"/>
    <xf numFmtId="43" fontId="6" fillId="2" borderId="11" xfId="1" applyFont="1" applyFill="1" applyBorder="1"/>
    <xf numFmtId="169" fontId="6" fillId="0" borderId="11" xfId="1" applyNumberFormat="1" applyFont="1" applyFill="1" applyBorder="1"/>
    <xf numFmtId="9" fontId="6" fillId="2" borderId="9" xfId="6" applyFont="1" applyFill="1" applyBorder="1"/>
    <xf numFmtId="169" fontId="6" fillId="0" borderId="10" xfId="1" applyNumberFormat="1" applyFont="1" applyFill="1" applyBorder="1"/>
    <xf numFmtId="9" fontId="6" fillId="2" borderId="10" xfId="6" applyFont="1" applyFill="1" applyBorder="1"/>
    <xf numFmtId="0" fontId="6" fillId="2" borderId="10" xfId="0" applyFont="1" applyFill="1" applyBorder="1"/>
    <xf numFmtId="49" fontId="6" fillId="2" borderId="10" xfId="0" applyNumberFormat="1" applyFont="1" applyFill="1" applyBorder="1"/>
    <xf numFmtId="43" fontId="6" fillId="2" borderId="10" xfId="1" applyFont="1" applyFill="1" applyBorder="1"/>
    <xf numFmtId="169" fontId="6" fillId="2" borderId="10" xfId="1" applyNumberFormat="1" applyFont="1" applyFill="1" applyBorder="1"/>
    <xf numFmtId="0" fontId="6" fillId="0" borderId="10" xfId="0" applyFont="1" applyBorder="1" applyAlignment="1">
      <alignment horizontal="left" indent="1"/>
    </xf>
    <xf numFmtId="0" fontId="6" fillId="0" borderId="10" xfId="0" applyFont="1" applyBorder="1"/>
    <xf numFmtId="43" fontId="6" fillId="0" borderId="10" xfId="1" applyFont="1" applyFill="1" applyBorder="1"/>
    <xf numFmtId="166" fontId="6" fillId="0" borderId="10" xfId="0" applyNumberFormat="1" applyFont="1" applyFill="1" applyBorder="1"/>
    <xf numFmtId="0" fontId="6" fillId="2" borderId="8" xfId="0" applyFont="1" applyFill="1" applyBorder="1"/>
    <xf numFmtId="0" fontId="6" fillId="2" borderId="9" xfId="0" applyFont="1" applyFill="1" applyBorder="1" applyAlignment="1">
      <alignment horizontal="center"/>
    </xf>
    <xf numFmtId="0" fontId="6" fillId="0" borderId="4" xfId="0" applyFont="1" applyBorder="1"/>
    <xf numFmtId="0" fontId="6" fillId="0" borderId="7" xfId="0" applyFont="1" applyBorder="1"/>
    <xf numFmtId="0" fontId="11" fillId="3" borderId="1" xfId="0" applyFont="1" applyFill="1" applyBorder="1"/>
    <xf numFmtId="0" fontId="8" fillId="0" borderId="0" xfId="0" applyFont="1" applyFill="1"/>
    <xf numFmtId="0" fontId="6" fillId="0" borderId="12" xfId="0" applyFont="1" applyFill="1" applyBorder="1"/>
    <xf numFmtId="0" fontId="6" fillId="0" borderId="13" xfId="0" applyFont="1" applyFill="1" applyBorder="1"/>
    <xf numFmtId="0" fontId="5" fillId="0" borderId="0" xfId="0" applyFont="1" applyFill="1"/>
    <xf numFmtId="43" fontId="6" fillId="0" borderId="0" xfId="1" applyFont="1" applyFill="1"/>
    <xf numFmtId="0" fontId="11" fillId="0" borderId="1" xfId="0" applyFont="1" applyFill="1" applyBorder="1"/>
    <xf numFmtId="0" fontId="11" fillId="0" borderId="9" xfId="0" applyFont="1" applyFill="1" applyBorder="1"/>
    <xf numFmtId="9" fontId="11" fillId="0" borderId="8" xfId="6" applyFont="1" applyFill="1" applyBorder="1" applyAlignment="1">
      <alignment horizontal="center"/>
    </xf>
    <xf numFmtId="9" fontId="11" fillId="0" borderId="9" xfId="6" applyFont="1" applyFill="1" applyBorder="1" applyAlignment="1">
      <alignment horizontal="center"/>
    </xf>
    <xf numFmtId="0" fontId="11" fillId="3" borderId="10" xfId="0" applyFont="1" applyFill="1" applyBorder="1"/>
    <xf numFmtId="0" fontId="9" fillId="0" borderId="0" xfId="0" applyFont="1"/>
    <xf numFmtId="0" fontId="6" fillId="0" borderId="5" xfId="0" applyFont="1" applyBorder="1"/>
    <xf numFmtId="0" fontId="6" fillId="0" borderId="0" xfId="5" applyFont="1"/>
    <xf numFmtId="0" fontId="6" fillId="0" borderId="10" xfId="5" applyFont="1" applyFill="1" applyBorder="1"/>
    <xf numFmtId="0" fontId="6" fillId="0" borderId="10" xfId="5" applyFont="1" applyFill="1" applyBorder="1" applyAlignment="1">
      <alignment horizontal="center" wrapText="1"/>
    </xf>
    <xf numFmtId="0" fontId="6" fillId="0" borderId="10" xfId="5" applyFont="1" applyFill="1" applyBorder="1" applyAlignment="1">
      <alignment horizontal="center" wrapText="1" shrinkToFit="1"/>
    </xf>
    <xf numFmtId="9" fontId="11" fillId="0" borderId="8" xfId="7" applyFont="1" applyFill="1" applyBorder="1" applyAlignment="1">
      <alignment horizontal="center"/>
    </xf>
    <xf numFmtId="9" fontId="11" fillId="0" borderId="9" xfId="7" applyFont="1" applyFill="1" applyBorder="1" applyAlignment="1"/>
    <xf numFmtId="0" fontId="6" fillId="2" borderId="10" xfId="5" applyFont="1" applyFill="1" applyBorder="1"/>
    <xf numFmtId="0" fontId="6" fillId="2" borderId="10" xfId="5" applyFont="1" applyFill="1" applyBorder="1" applyAlignment="1">
      <alignment horizontal="left"/>
    </xf>
    <xf numFmtId="14" fontId="6" fillId="2" borderId="10" xfId="5" applyNumberFormat="1" applyFont="1" applyFill="1" applyBorder="1" applyAlignment="1">
      <alignment horizontal="left"/>
    </xf>
    <xf numFmtId="43" fontId="6" fillId="2" borderId="10" xfId="2" applyFont="1" applyFill="1" applyBorder="1" applyAlignment="1">
      <alignment horizontal="left"/>
    </xf>
    <xf numFmtId="9" fontId="6" fillId="2" borderId="10" xfId="7" applyFont="1" applyFill="1" applyBorder="1"/>
    <xf numFmtId="0" fontId="6" fillId="0" borderId="0" xfId="5" applyFont="1" applyBorder="1"/>
    <xf numFmtId="0" fontId="6" fillId="0" borderId="0" xfId="5" applyFont="1" applyBorder="1" applyAlignment="1">
      <alignment horizontal="left"/>
    </xf>
    <xf numFmtId="14" fontId="6" fillId="0" borderId="0" xfId="5" applyNumberFormat="1" applyFont="1" applyBorder="1" applyAlignment="1">
      <alignment horizontal="left"/>
    </xf>
    <xf numFmtId="43" fontId="6" fillId="0" borderId="0" xfId="2" applyFont="1" applyBorder="1" applyAlignment="1">
      <alignment horizontal="left"/>
    </xf>
    <xf numFmtId="165" fontId="6" fillId="0" borderId="0" xfId="2" applyNumberFormat="1" applyFont="1" applyBorder="1" applyAlignment="1">
      <alignment horizontal="center"/>
    </xf>
    <xf numFmtId="0" fontId="6" fillId="0" borderId="0" xfId="5" applyFont="1" applyAlignment="1">
      <alignment horizontal="left"/>
    </xf>
    <xf numFmtId="43" fontId="6" fillId="0" borderId="10" xfId="2" applyFont="1" applyFill="1" applyBorder="1"/>
    <xf numFmtId="14" fontId="6" fillId="0" borderId="0" xfId="5" applyNumberFormat="1" applyFont="1" applyAlignment="1">
      <alignment horizontal="left"/>
    </xf>
    <xf numFmtId="43" fontId="6" fillId="0" borderId="0" xfId="2" applyFont="1" applyAlignment="1">
      <alignment horizontal="left"/>
    </xf>
    <xf numFmtId="14" fontId="11" fillId="0" borderId="8" xfId="5" applyNumberFormat="1" applyFont="1" applyBorder="1" applyAlignment="1">
      <alignment horizontal="centerContinuous"/>
    </xf>
    <xf numFmtId="0" fontId="14" fillId="0" borderId="10" xfId="5" applyFont="1" applyBorder="1" applyAlignment="1">
      <alignment horizontal="center"/>
    </xf>
    <xf numFmtId="43" fontId="15" fillId="0" borderId="13" xfId="2" applyFont="1" applyBorder="1" applyAlignment="1">
      <alignment horizontal="center" wrapText="1" shrinkToFit="1"/>
    </xf>
    <xf numFmtId="9" fontId="11" fillId="0" borderId="10" xfId="7" applyFont="1" applyFill="1" applyBorder="1" applyAlignment="1">
      <alignment horizontal="center"/>
    </xf>
    <xf numFmtId="0" fontId="17" fillId="0" borderId="0" xfId="4" applyFont="1" applyAlignment="1" applyProtection="1">
      <alignment horizontal="left"/>
    </xf>
    <xf numFmtId="0" fontId="6" fillId="0" borderId="0" xfId="0" applyFont="1" applyFill="1" applyAlignment="1">
      <alignment horizontal="center"/>
    </xf>
    <xf numFmtId="0" fontId="13" fillId="0" borderId="10" xfId="0" applyFont="1" applyFill="1" applyBorder="1" applyAlignment="1">
      <alignment horizontal="center"/>
    </xf>
    <xf numFmtId="0" fontId="13" fillId="0" borderId="9" xfId="0" applyFont="1" applyFill="1" applyBorder="1" applyAlignment="1">
      <alignment horizontal="center"/>
    </xf>
    <xf numFmtId="0" fontId="13" fillId="0" borderId="10" xfId="0" applyFont="1" applyFill="1" applyBorder="1" applyAlignment="1">
      <alignment horizontal="center" wrapText="1"/>
    </xf>
    <xf numFmtId="0" fontId="13" fillId="0" borderId="9" xfId="0" applyFont="1" applyFill="1" applyBorder="1" applyAlignment="1">
      <alignment horizontal="center" wrapText="1"/>
    </xf>
    <xf numFmtId="0" fontId="15" fillId="0" borderId="5" xfId="0" applyFont="1" applyFill="1" applyBorder="1" applyAlignment="1"/>
    <xf numFmtId="0" fontId="15" fillId="0" borderId="10" xfId="0" applyFont="1" applyFill="1" applyBorder="1" applyAlignment="1">
      <alignment horizontal="left" indent="1"/>
    </xf>
    <xf numFmtId="43" fontId="13" fillId="0" borderId="10" xfId="1" applyNumberFormat="1" applyFont="1" applyFill="1" applyBorder="1"/>
    <xf numFmtId="165" fontId="8" fillId="0" borderId="0" xfId="1" applyNumberFormat="1" applyFont="1" applyFill="1" applyBorder="1"/>
    <xf numFmtId="10" fontId="8" fillId="0" borderId="10" xfId="6" applyNumberFormat="1" applyFont="1" applyFill="1" applyBorder="1"/>
    <xf numFmtId="10" fontId="8" fillId="0" borderId="8" xfId="6" applyNumberFormat="1" applyFont="1" applyFill="1" applyBorder="1"/>
    <xf numFmtId="165" fontId="6" fillId="0" borderId="0" xfId="1" applyNumberFormat="1" applyFont="1" applyFill="1" applyBorder="1"/>
    <xf numFmtId="165" fontId="6" fillId="0" borderId="0" xfId="1" applyNumberFormat="1" applyFont="1" applyFill="1"/>
    <xf numFmtId="0" fontId="13" fillId="0" borderId="10" xfId="0" applyFont="1" applyFill="1" applyBorder="1" applyAlignment="1">
      <alignment horizontal="left"/>
    </xf>
    <xf numFmtId="0" fontId="13" fillId="0" borderId="8" xfId="0" applyFont="1" applyFill="1" applyBorder="1"/>
    <xf numFmtId="0" fontId="10" fillId="0" borderId="0" xfId="0" applyFont="1"/>
    <xf numFmtId="0" fontId="9" fillId="0" borderId="0" xfId="0" applyFont="1" applyAlignment="1">
      <alignment horizontal="right"/>
    </xf>
    <xf numFmtId="43" fontId="10" fillId="0" borderId="0" xfId="1" applyFont="1"/>
    <xf numFmtId="0" fontId="6" fillId="0" borderId="12" xfId="0" applyFont="1" applyBorder="1"/>
    <xf numFmtId="0" fontId="6" fillId="0" borderId="13" xfId="0" applyFont="1" applyBorder="1"/>
    <xf numFmtId="43" fontId="8" fillId="0" borderId="0" xfId="1" applyFont="1"/>
    <xf numFmtId="0" fontId="18" fillId="0" borderId="0" xfId="0" applyFont="1"/>
    <xf numFmtId="0" fontId="18" fillId="0" borderId="0" xfId="0" applyFont="1" applyAlignment="1">
      <alignment horizontal="center"/>
    </xf>
    <xf numFmtId="43" fontId="18" fillId="0" borderId="0" xfId="1" applyFont="1" applyAlignment="1">
      <alignment horizontal="right"/>
    </xf>
    <xf numFmtId="0" fontId="19" fillId="0" borderId="0" xfId="0" applyFont="1"/>
    <xf numFmtId="43" fontId="6" fillId="0" borderId="1" xfId="0" applyNumberFormat="1" applyFont="1" applyBorder="1"/>
    <xf numFmtId="0" fontId="9" fillId="0" borderId="0" xfId="0" applyFont="1" applyFill="1" applyAlignment="1">
      <alignment horizontal="right"/>
    </xf>
    <xf numFmtId="0" fontId="11" fillId="0" borderId="2" xfId="0" applyFont="1" applyBorder="1"/>
    <xf numFmtId="165" fontId="6" fillId="5" borderId="10" xfId="2" applyNumberFormat="1" applyFont="1" applyFill="1" applyBorder="1"/>
    <xf numFmtId="0" fontId="9" fillId="0" borderId="0" xfId="0" applyFont="1" applyFill="1" applyAlignment="1">
      <alignment horizontal="center"/>
    </xf>
    <xf numFmtId="0" fontId="20" fillId="0" borderId="10" xfId="0" applyFont="1" applyFill="1" applyBorder="1" applyAlignment="1">
      <alignment horizontal="center" wrapText="1"/>
    </xf>
    <xf numFmtId="0" fontId="9" fillId="0" borderId="8" xfId="0" applyFont="1" applyFill="1" applyBorder="1" applyAlignment="1">
      <alignment horizontal="centerContinuous"/>
    </xf>
    <xf numFmtId="0" fontId="11" fillId="0" borderId="10" xfId="0" applyFont="1" applyFill="1" applyBorder="1" applyAlignment="1">
      <alignment horizontal="center" wrapText="1"/>
    </xf>
    <xf numFmtId="0" fontId="12" fillId="0" borderId="9" xfId="0" applyFont="1" applyFill="1" applyBorder="1" applyAlignment="1">
      <alignment horizontal="centerContinuous"/>
    </xf>
    <xf numFmtId="168" fontId="12" fillId="0" borderId="10" xfId="0" applyNumberFormat="1" applyFont="1" applyFill="1" applyBorder="1" applyAlignment="1">
      <alignment horizontal="center"/>
    </xf>
    <xf numFmtId="0" fontId="10" fillId="0" borderId="0" xfId="0" applyFont="1" applyFill="1" applyBorder="1"/>
    <xf numFmtId="0" fontId="11" fillId="2" borderId="10" xfId="0" applyFont="1" applyFill="1" applyBorder="1" applyAlignment="1">
      <alignment horizontal="center"/>
    </xf>
    <xf numFmtId="0" fontId="13" fillId="0" borderId="0" xfId="0" applyFont="1" applyFill="1" applyBorder="1"/>
    <xf numFmtId="43" fontId="13" fillId="0" borderId="0" xfId="1" applyNumberFormat="1" applyFont="1" applyFill="1" applyBorder="1"/>
    <xf numFmtId="168" fontId="12" fillId="0" borderId="0" xfId="0" applyNumberFormat="1" applyFont="1" applyFill="1" applyBorder="1" applyAlignment="1">
      <alignment horizontal="center"/>
    </xf>
    <xf numFmtId="168" fontId="13" fillId="0" borderId="10" xfId="1" applyNumberFormat="1" applyFont="1" applyFill="1" applyBorder="1"/>
    <xf numFmtId="43" fontId="13" fillId="2" borderId="10" xfId="1" applyNumberFormat="1" applyFont="1" applyFill="1" applyBorder="1"/>
    <xf numFmtId="0" fontId="12" fillId="0" borderId="0" xfId="0" applyFont="1"/>
    <xf numFmtId="8" fontId="6" fillId="2" borderId="1" xfId="0" applyNumberFormat="1" applyFont="1" applyFill="1" applyBorder="1"/>
    <xf numFmtId="8" fontId="6" fillId="2" borderId="10" xfId="0" applyNumberFormat="1" applyFont="1" applyFill="1" applyBorder="1"/>
    <xf numFmtId="8" fontId="6" fillId="2" borderId="1" xfId="1" applyNumberFormat="1" applyFont="1" applyFill="1" applyBorder="1"/>
    <xf numFmtId="0" fontId="6" fillId="0" borderId="10" xfId="5" applyFont="1" applyFill="1" applyBorder="1" applyAlignment="1">
      <alignment wrapText="1"/>
    </xf>
    <xf numFmtId="0" fontId="11" fillId="0" borderId="10" xfId="5" applyFont="1" applyBorder="1"/>
    <xf numFmtId="0" fontId="11" fillId="0" borderId="10" xfId="0" applyFont="1" applyBorder="1" applyAlignment="1">
      <alignment horizontal="center"/>
    </xf>
    <xf numFmtId="169" fontId="6" fillId="0" borderId="10" xfId="0" applyNumberFormat="1" applyFont="1" applyBorder="1"/>
    <xf numFmtId="10" fontId="8" fillId="0" borderId="0" xfId="6" applyNumberFormat="1" applyFont="1" applyFill="1" applyBorder="1"/>
    <xf numFmtId="168" fontId="8" fillId="0" borderId="0" xfId="6" applyNumberFormat="1" applyFont="1" applyFill="1" applyBorder="1"/>
    <xf numFmtId="0" fontId="12" fillId="0" borderId="0" xfId="0" applyFont="1" applyFill="1" applyBorder="1"/>
    <xf numFmtId="0" fontId="12" fillId="0" borderId="10" xfId="0" applyFont="1" applyFill="1" applyBorder="1"/>
    <xf numFmtId="0" fontId="12" fillId="0" borderId="10" xfId="0" applyFont="1" applyFill="1" applyBorder="1" applyAlignment="1">
      <alignment wrapText="1"/>
    </xf>
    <xf numFmtId="0" fontId="9" fillId="0" borderId="10" xfId="0" applyFont="1" applyFill="1" applyBorder="1" applyAlignment="1">
      <alignment horizontal="center"/>
    </xf>
    <xf numFmtId="43" fontId="15" fillId="0" borderId="2" xfId="2" applyFont="1" applyBorder="1" applyAlignment="1">
      <alignment horizontal="center" wrapText="1" shrinkToFit="1"/>
    </xf>
    <xf numFmtId="0" fontId="14" fillId="0" borderId="8" xfId="5" applyFont="1" applyBorder="1" applyAlignment="1">
      <alignment horizontal="center"/>
    </xf>
    <xf numFmtId="0" fontId="21" fillId="0" borderId="0" xfId="0" applyFont="1"/>
    <xf numFmtId="0" fontId="24" fillId="0" borderId="0" xfId="0" applyFont="1"/>
    <xf numFmtId="0" fontId="24" fillId="0" borderId="0" xfId="0" applyFont="1" applyAlignment="1">
      <alignment horizontal="right"/>
    </xf>
    <xf numFmtId="0" fontId="24" fillId="0" borderId="5" xfId="0" applyFont="1" applyBorder="1"/>
    <xf numFmtId="0" fontId="24" fillId="0" borderId="5" xfId="0" applyFont="1" applyBorder="1" applyAlignment="1">
      <alignment horizontal="center"/>
    </xf>
    <xf numFmtId="0" fontId="24" fillId="0" borderId="10" xfId="0" applyFont="1" applyBorder="1"/>
    <xf numFmtId="8" fontId="24" fillId="0" borderId="0" xfId="0" applyNumberFormat="1" applyFont="1"/>
    <xf numFmtId="8" fontId="24" fillId="0" borderId="16" xfId="0" applyNumberFormat="1" applyFont="1" applyBorder="1"/>
    <xf numFmtId="0" fontId="22" fillId="0" borderId="14" xfId="0" applyFont="1" applyBorder="1"/>
    <xf numFmtId="0" fontId="21" fillId="0" borderId="6" xfId="0" applyFont="1" applyBorder="1"/>
    <xf numFmtId="0" fontId="24" fillId="0" borderId="6" xfId="0" applyFont="1" applyBorder="1"/>
    <xf numFmtId="0" fontId="21" fillId="0" borderId="15" xfId="0" applyFont="1" applyBorder="1"/>
    <xf numFmtId="0" fontId="22" fillId="0" borderId="2" xfId="0" applyFont="1" applyBorder="1"/>
    <xf numFmtId="0" fontId="21" fillId="0" borderId="0" xfId="0" applyFont="1" applyBorder="1"/>
    <xf numFmtId="0" fontId="24" fillId="0" borderId="0" xfId="0" applyFont="1" applyBorder="1"/>
    <xf numFmtId="0" fontId="21" fillId="0" borderId="3" xfId="0" applyFont="1" applyBorder="1"/>
    <xf numFmtId="0" fontId="24" fillId="0" borderId="2" xfId="0" applyFont="1" applyBorder="1"/>
    <xf numFmtId="8" fontId="24" fillId="0" borderId="0" xfId="0" applyNumberFormat="1" applyFont="1" applyBorder="1"/>
    <xf numFmtId="0" fontId="24" fillId="0" borderId="0" xfId="0" applyFont="1" applyBorder="1" applyAlignment="1">
      <alignment horizontal="right"/>
    </xf>
    <xf numFmtId="0" fontId="21" fillId="0" borderId="2" xfId="0" applyFont="1" applyBorder="1"/>
    <xf numFmtId="43" fontId="24" fillId="0" borderId="0" xfId="0" applyNumberFormat="1" applyFont="1" applyBorder="1"/>
    <xf numFmtId="0" fontId="21" fillId="0" borderId="4" xfId="0" applyFont="1" applyBorder="1"/>
    <xf numFmtId="0" fontId="21" fillId="0" borderId="7" xfId="0" applyFont="1" applyBorder="1"/>
    <xf numFmtId="0" fontId="23" fillId="0" borderId="14" xfId="0" applyFont="1" applyBorder="1"/>
    <xf numFmtId="0" fontId="23" fillId="0" borderId="2" xfId="0" applyFont="1" applyBorder="1"/>
    <xf numFmtId="0" fontId="21" fillId="0" borderId="5" xfId="0" applyFont="1" applyBorder="1"/>
    <xf numFmtId="43" fontId="15" fillId="0" borderId="2" xfId="1" applyFont="1" applyFill="1" applyBorder="1" applyAlignment="1">
      <alignment horizontal="center" wrapText="1" shrinkToFit="1"/>
    </xf>
    <xf numFmtId="43" fontId="15" fillId="0" borderId="3" xfId="1" applyFont="1" applyFill="1" applyBorder="1" applyAlignment="1">
      <alignment horizontal="center" wrapText="1" shrinkToFit="1"/>
    </xf>
    <xf numFmtId="0" fontId="11" fillId="0" borderId="5" xfId="0" applyFont="1" applyFill="1" applyBorder="1" applyAlignment="1">
      <alignment horizontal="left"/>
    </xf>
    <xf numFmtId="0" fontId="11" fillId="0" borderId="5" xfId="0" applyFont="1" applyFill="1" applyBorder="1"/>
    <xf numFmtId="0" fontId="6" fillId="2" borderId="9" xfId="0" applyFont="1" applyFill="1" applyBorder="1"/>
    <xf numFmtId="0" fontId="13" fillId="0" borderId="0" xfId="0" applyFont="1" applyFill="1" applyAlignment="1">
      <alignment horizontal="right"/>
    </xf>
    <xf numFmtId="168" fontId="11" fillId="2" borderId="13" xfId="3" applyNumberFormat="1" applyFont="1" applyFill="1" applyBorder="1" applyAlignment="1">
      <alignment horizontal="right"/>
    </xf>
    <xf numFmtId="169" fontId="6" fillId="2" borderId="13" xfId="3" applyNumberFormat="1" applyFont="1" applyFill="1" applyBorder="1"/>
    <xf numFmtId="169" fontId="6" fillId="2" borderId="10" xfId="3" applyNumberFormat="1" applyFont="1" applyFill="1" applyBorder="1"/>
    <xf numFmtId="0" fontId="12" fillId="0" borderId="0" xfId="0" applyFont="1" applyFill="1" applyAlignment="1">
      <alignment horizontal="left"/>
    </xf>
    <xf numFmtId="168" fontId="11" fillId="2" borderId="10" xfId="3" applyNumberFormat="1" applyFont="1" applyFill="1" applyBorder="1" applyAlignment="1">
      <alignment horizontal="right" wrapText="1"/>
    </xf>
    <xf numFmtId="49" fontId="11" fillId="2" borderId="10" xfId="3" applyNumberFormat="1" applyFont="1" applyFill="1" applyBorder="1" applyAlignment="1">
      <alignment horizontal="right"/>
    </xf>
    <xf numFmtId="0" fontId="13" fillId="0" borderId="8" xfId="0" applyFont="1" applyFill="1" applyBorder="1" applyAlignment="1">
      <alignment horizontal="centerContinuous" wrapText="1"/>
    </xf>
    <xf numFmtId="0" fontId="6" fillId="0" borderId="1" xfId="0" applyFont="1" applyFill="1" applyBorder="1" applyAlignment="1">
      <alignment horizontal="centerContinuous" wrapText="1"/>
    </xf>
    <xf numFmtId="0" fontId="6" fillId="0" borderId="1" xfId="0" applyFont="1" applyBorder="1" applyAlignment="1">
      <alignment horizontal="centerContinuous" wrapText="1"/>
    </xf>
    <xf numFmtId="0" fontId="6" fillId="0" borderId="9" xfId="0" applyFont="1" applyBorder="1" applyAlignment="1">
      <alignment horizontal="centerContinuous" wrapText="1"/>
    </xf>
    <xf numFmtId="0" fontId="13" fillId="0" borderId="14" xfId="0" applyFont="1" applyFill="1" applyBorder="1"/>
    <xf numFmtId="0" fontId="6" fillId="0" borderId="15" xfId="0" applyFont="1" applyFill="1" applyBorder="1"/>
    <xf numFmtId="0" fontId="6" fillId="0" borderId="0" xfId="0" applyFont="1" applyFill="1" applyBorder="1" applyAlignment="1">
      <alignment horizontal="left"/>
    </xf>
    <xf numFmtId="0" fontId="6" fillId="0" borderId="0" xfId="0" applyFont="1" applyFill="1" applyBorder="1" applyAlignment="1">
      <alignment horizontal="center" wrapText="1"/>
    </xf>
    <xf numFmtId="0" fontId="6" fillId="0" borderId="0" xfId="0" applyFont="1" applyFill="1" applyBorder="1" applyAlignment="1">
      <alignment horizontal="right" vertical="center"/>
    </xf>
    <xf numFmtId="0" fontId="6" fillId="0" borderId="5" xfId="0" applyFont="1" applyFill="1" applyBorder="1" applyAlignment="1">
      <alignment vertical="top" wrapText="1"/>
    </xf>
    <xf numFmtId="0" fontId="6" fillId="0" borderId="14" xfId="0" applyFont="1" applyFill="1" applyBorder="1"/>
    <xf numFmtId="0" fontId="6" fillId="0" borderId="6" xfId="0" applyFont="1" applyFill="1" applyBorder="1" applyAlignment="1">
      <alignment horizontal="left"/>
    </xf>
    <xf numFmtId="0" fontId="12" fillId="0" borderId="2" xfId="0" applyFont="1" applyFill="1" applyBorder="1" applyAlignment="1">
      <alignment horizontal="left"/>
    </xf>
    <xf numFmtId="0" fontId="11" fillId="0" borderId="0" xfId="0" applyFont="1" applyFill="1" applyBorder="1" applyAlignment="1">
      <alignment horizontal="right"/>
    </xf>
    <xf numFmtId="0" fontId="13" fillId="0" borderId="2" xfId="0" applyFont="1" applyFill="1" applyBorder="1"/>
    <xf numFmtId="0" fontId="6" fillId="0" borderId="2" xfId="0" applyFont="1" applyFill="1" applyBorder="1" applyAlignment="1">
      <alignment horizontal="left"/>
    </xf>
    <xf numFmtId="0" fontId="11" fillId="0" borderId="0" xfId="0" applyFont="1" applyFill="1" applyBorder="1" applyAlignment="1">
      <alignment horizontal="center"/>
    </xf>
    <xf numFmtId="0" fontId="13" fillId="0" borderId="2" xfId="0" applyFont="1" applyFill="1" applyBorder="1" applyAlignment="1">
      <alignment horizontal="right"/>
    </xf>
    <xf numFmtId="167" fontId="6" fillId="2" borderId="10" xfId="5" applyNumberFormat="1" applyFont="1" applyFill="1" applyBorder="1" applyAlignment="1">
      <alignment horizontal="left"/>
    </xf>
    <xf numFmtId="165" fontId="6" fillId="2" borderId="10" xfId="2" applyNumberFormat="1" applyFont="1" applyFill="1" applyBorder="1" applyAlignment="1">
      <alignment horizontal="center"/>
    </xf>
    <xf numFmtId="0" fontId="6" fillId="0" borderId="1" xfId="5" applyFont="1" applyFill="1" applyBorder="1" applyAlignment="1">
      <alignment horizontal="center" wrapText="1"/>
    </xf>
    <xf numFmtId="0" fontId="6" fillId="0" borderId="14" xfId="0" applyFont="1" applyBorder="1"/>
    <xf numFmtId="0" fontId="6" fillId="0" borderId="6" xfId="0" applyFont="1" applyBorder="1"/>
    <xf numFmtId="0" fontId="6" fillId="0" borderId="15" xfId="0" applyFont="1" applyBorder="1"/>
    <xf numFmtId="0" fontId="13" fillId="0" borderId="2" xfId="5" applyFont="1" applyBorder="1"/>
    <xf numFmtId="0" fontId="12" fillId="0" borderId="2" xfId="5" applyFont="1" applyBorder="1"/>
    <xf numFmtId="0" fontId="13" fillId="0" borderId="0" xfId="5" applyFont="1" applyBorder="1"/>
    <xf numFmtId="0" fontId="6" fillId="0" borderId="2" xfId="5" applyFont="1" applyBorder="1"/>
    <xf numFmtId="43" fontId="6" fillId="0" borderId="0" xfId="2" applyFont="1" applyBorder="1"/>
    <xf numFmtId="0" fontId="6" fillId="0" borderId="3" xfId="5" applyFont="1" applyBorder="1"/>
    <xf numFmtId="0" fontId="11" fillId="0" borderId="0" xfId="5" applyFont="1" applyBorder="1"/>
    <xf numFmtId="43" fontId="6" fillId="0" borderId="0" xfId="2" applyFont="1" applyFill="1" applyBorder="1"/>
    <xf numFmtId="0" fontId="12" fillId="6" borderId="8" xfId="0" applyFont="1" applyFill="1" applyBorder="1"/>
    <xf numFmtId="0" fontId="6" fillId="6" borderId="1" xfId="0" applyFont="1" applyFill="1" applyBorder="1"/>
    <xf numFmtId="0" fontId="6" fillId="6" borderId="9" xfId="0" applyFont="1" applyFill="1" applyBorder="1"/>
    <xf numFmtId="0" fontId="12" fillId="6" borderId="8" xfId="5" applyFont="1" applyFill="1" applyBorder="1"/>
    <xf numFmtId="0" fontId="6" fillId="6" borderId="1" xfId="5" applyFont="1" applyFill="1" applyBorder="1" applyAlignment="1">
      <alignment horizontal="left"/>
    </xf>
    <xf numFmtId="14" fontId="6" fillId="6" borderId="1" xfId="5" applyNumberFormat="1" applyFont="1" applyFill="1" applyBorder="1" applyAlignment="1">
      <alignment horizontal="left"/>
    </xf>
    <xf numFmtId="43" fontId="6" fillId="6" borderId="1" xfId="2" applyFont="1" applyFill="1" applyBorder="1" applyAlignment="1">
      <alignment horizontal="left"/>
    </xf>
    <xf numFmtId="0" fontId="6" fillId="6" borderId="1" xfId="5" applyFont="1" applyFill="1" applyBorder="1"/>
    <xf numFmtId="0" fontId="6" fillId="6" borderId="9" xfId="5" applyFont="1" applyFill="1" applyBorder="1"/>
    <xf numFmtId="0" fontId="14" fillId="0" borderId="8" xfId="5" applyFont="1" applyBorder="1" applyAlignment="1">
      <alignment horizontal="centerContinuous"/>
    </xf>
    <xf numFmtId="0" fontId="14" fillId="0" borderId="9" xfId="5" applyFont="1" applyBorder="1" applyAlignment="1">
      <alignment horizontal="centerContinuous"/>
    </xf>
    <xf numFmtId="0" fontId="6" fillId="0" borderId="14" xfId="5" applyFont="1" applyBorder="1"/>
    <xf numFmtId="0" fontId="6" fillId="0" borderId="6" xfId="5" applyFont="1" applyBorder="1" applyAlignment="1">
      <alignment horizontal="left"/>
    </xf>
    <xf numFmtId="14" fontId="6" fillId="0" borderId="6" xfId="5" applyNumberFormat="1" applyFont="1" applyBorder="1" applyAlignment="1">
      <alignment horizontal="left"/>
    </xf>
    <xf numFmtId="43" fontId="6" fillId="0" borderId="6" xfId="2" applyFont="1" applyBorder="1" applyAlignment="1">
      <alignment horizontal="left"/>
    </xf>
    <xf numFmtId="0" fontId="6" fillId="0" borderId="6" xfId="5" applyFont="1" applyBorder="1"/>
    <xf numFmtId="0" fontId="6" fillId="0" borderId="15" xfId="5" applyFont="1" applyBorder="1"/>
    <xf numFmtId="0" fontId="12" fillId="0" borderId="0" xfId="0" applyFont="1" applyBorder="1" applyAlignment="1">
      <alignment horizontal="centerContinuous" wrapText="1"/>
    </xf>
    <xf numFmtId="0" fontId="6" fillId="0" borderId="0" xfId="0" applyFont="1" applyBorder="1" applyAlignment="1">
      <alignment horizontal="centerContinuous" wrapText="1"/>
    </xf>
    <xf numFmtId="0" fontId="12" fillId="0" borderId="0" xfId="5" applyFont="1" applyBorder="1"/>
    <xf numFmtId="0" fontId="10" fillId="0" borderId="2" xfId="0" applyFont="1" applyFill="1" applyBorder="1" applyAlignment="1">
      <alignment horizontal="centerContinuous"/>
    </xf>
    <xf numFmtId="0" fontId="10" fillId="0" borderId="0" xfId="0" applyFont="1" applyFill="1" applyBorder="1" applyAlignment="1">
      <alignment horizontal="centerContinuous"/>
    </xf>
    <xf numFmtId="0" fontId="24" fillId="0" borderId="10" xfId="0" applyFont="1" applyBorder="1" applyAlignment="1">
      <alignment horizontal="center" wrapText="1"/>
    </xf>
    <xf numFmtId="0" fontId="24" fillId="0" borderId="8" xfId="0" applyFont="1" applyBorder="1"/>
    <xf numFmtId="0" fontId="24" fillId="0" borderId="1" xfId="0" applyFont="1" applyBorder="1"/>
    <xf numFmtId="0" fontId="24" fillId="0" borderId="9" xfId="0" applyFont="1" applyBorder="1"/>
    <xf numFmtId="0" fontId="11" fillId="0" borderId="0" xfId="0" applyFont="1" applyFill="1" applyAlignment="1">
      <alignment horizontal="left" vertical="top" wrapText="1"/>
    </xf>
    <xf numFmtId="9" fontId="6" fillId="2" borderId="10" xfId="6" applyFont="1" applyFill="1" applyBorder="1" applyAlignment="1">
      <alignment horizontal="left"/>
    </xf>
    <xf numFmtId="0" fontId="13" fillId="2" borderId="10" xfId="0" applyFont="1" applyFill="1" applyBorder="1"/>
    <xf numFmtId="0" fontId="6" fillId="2" borderId="8" xfId="0" applyFont="1" applyFill="1" applyBorder="1" applyAlignment="1">
      <alignment horizontal="centerContinuous" wrapText="1"/>
    </xf>
    <xf numFmtId="0" fontId="6" fillId="2" borderId="9" xfId="0" applyFont="1" applyFill="1" applyBorder="1" applyAlignment="1">
      <alignment horizontal="centerContinuous"/>
    </xf>
    <xf numFmtId="0" fontId="4" fillId="2" borderId="10" xfId="4" applyFill="1" applyBorder="1" applyAlignment="1" applyProtection="1"/>
    <xf numFmtId="0" fontId="11" fillId="2" borderId="10" xfId="0" applyFont="1" applyFill="1" applyBorder="1" applyAlignment="1">
      <alignment horizontal="left" vertical="top" wrapText="1"/>
    </xf>
    <xf numFmtId="0" fontId="13" fillId="0" borderId="0" xfId="0" applyFont="1" applyFill="1" applyAlignment="1">
      <alignment horizontal="right" wrapText="1"/>
    </xf>
    <xf numFmtId="0" fontId="13" fillId="0" borderId="0" xfId="0" quotePrefix="1" applyFont="1" applyFill="1" applyAlignment="1">
      <alignment horizontal="right" wrapText="1"/>
    </xf>
    <xf numFmtId="0" fontId="6" fillId="7" borderId="8" xfId="0" applyFont="1" applyFill="1" applyBorder="1" applyAlignment="1">
      <alignment horizontal="left" indent="1"/>
    </xf>
    <xf numFmtId="0" fontId="6" fillId="7" borderId="1" xfId="0" applyFont="1" applyFill="1" applyBorder="1"/>
    <xf numFmtId="0" fontId="6" fillId="7" borderId="9" xfId="0" applyFont="1" applyFill="1" applyBorder="1"/>
    <xf numFmtId="0" fontId="12" fillId="0" borderId="5" xfId="0" applyFont="1" applyFill="1" applyBorder="1"/>
    <xf numFmtId="169" fontId="6" fillId="0" borderId="10" xfId="3" applyNumberFormat="1" applyFont="1" applyFill="1" applyBorder="1"/>
    <xf numFmtId="0" fontId="6" fillId="0" borderId="1" xfId="0" applyFont="1" applyBorder="1"/>
    <xf numFmtId="43" fontId="6" fillId="0" borderId="0" xfId="1" applyFont="1" applyFill="1" applyBorder="1"/>
    <xf numFmtId="0" fontId="16" fillId="0" borderId="0" xfId="0" applyFont="1" applyFill="1" applyAlignment="1">
      <alignment horizontal="right"/>
    </xf>
    <xf numFmtId="0" fontId="12" fillId="6" borderId="1" xfId="5" applyFont="1" applyFill="1" applyBorder="1"/>
    <xf numFmtId="43" fontId="15" fillId="0" borderId="2" xfId="2" applyFont="1" applyBorder="1" applyAlignment="1">
      <alignment horizontal="centerContinuous" wrapText="1" shrinkToFit="1"/>
    </xf>
    <xf numFmtId="43" fontId="15" fillId="0" borderId="3" xfId="2" applyFont="1" applyBorder="1" applyAlignment="1">
      <alignment horizontal="centerContinuous" wrapText="1" shrinkToFit="1"/>
    </xf>
    <xf numFmtId="0" fontId="6" fillId="0" borderId="0" xfId="0" applyFont="1" applyBorder="1" applyAlignment="1">
      <alignment horizontal="centerContinuous"/>
    </xf>
    <xf numFmtId="0" fontId="6" fillId="0" borderId="0" xfId="0" applyFont="1" applyBorder="1" applyAlignment="1">
      <alignment horizontal="left"/>
    </xf>
    <xf numFmtId="43" fontId="11" fillId="0" borderId="1" xfId="2" applyFont="1" applyBorder="1" applyAlignment="1">
      <alignment horizontal="centerContinuous"/>
    </xf>
    <xf numFmtId="0" fontId="12" fillId="0" borderId="0" xfId="0" applyFont="1" applyFill="1" applyAlignment="1">
      <alignment horizontal="center"/>
    </xf>
    <xf numFmtId="0" fontId="11" fillId="0" borderId="0" xfId="0" applyFont="1"/>
    <xf numFmtId="0" fontId="6" fillId="2" borderId="1" xfId="0" applyFont="1" applyFill="1" applyBorder="1" applyAlignment="1"/>
    <xf numFmtId="43" fontId="6" fillId="2" borderId="1" xfId="1" applyFont="1" applyFill="1" applyBorder="1" applyAlignment="1"/>
    <xf numFmtId="0" fontId="11" fillId="0" borderId="0" xfId="0" applyFont="1" applyBorder="1" applyAlignment="1">
      <alignment horizontal="right"/>
    </xf>
    <xf numFmtId="0" fontId="6" fillId="8" borderId="9" xfId="0" applyFont="1" applyFill="1" applyBorder="1"/>
    <xf numFmtId="0" fontId="6" fillId="8" borderId="1" xfId="0" applyFont="1" applyFill="1" applyBorder="1"/>
    <xf numFmtId="0" fontId="13" fillId="0" borderId="2" xfId="0" applyFont="1" applyFill="1" applyBorder="1" applyAlignment="1">
      <alignment horizontal="left"/>
    </xf>
    <xf numFmtId="168" fontId="11" fillId="2" borderId="13" xfId="3" applyNumberFormat="1" applyFont="1" applyFill="1" applyBorder="1" applyAlignment="1">
      <alignment horizontal="right" wrapText="1"/>
    </xf>
    <xf numFmtId="49" fontId="11" fillId="2" borderId="13" xfId="3" applyNumberFormat="1" applyFont="1" applyFill="1" applyBorder="1" applyAlignment="1">
      <alignment horizontal="right"/>
    </xf>
    <xf numFmtId="0" fontId="12" fillId="0" borderId="0" xfId="0" applyFont="1" applyBorder="1" applyAlignment="1">
      <alignment horizontal="right"/>
    </xf>
    <xf numFmtId="49" fontId="11" fillId="2" borderId="10" xfId="5" applyNumberFormat="1" applyFont="1" applyFill="1" applyBorder="1" applyAlignment="1">
      <alignment horizontal="center"/>
    </xf>
    <xf numFmtId="9" fontId="11" fillId="0" borderId="9" xfId="7" applyFont="1" applyFill="1" applyBorder="1" applyAlignment="1">
      <alignment horizontal="right"/>
    </xf>
    <xf numFmtId="43" fontId="6" fillId="0" borderId="6" xfId="2" applyFont="1" applyFill="1" applyBorder="1"/>
    <xf numFmtId="43" fontId="6" fillId="0" borderId="1" xfId="2" applyFont="1" applyFill="1" applyBorder="1"/>
    <xf numFmtId="0" fontId="13" fillId="0" borderId="8" xfId="0" applyFont="1" applyFill="1" applyBorder="1" applyAlignment="1">
      <alignment wrapText="1"/>
    </xf>
    <xf numFmtId="0" fontId="8" fillId="0" borderId="8" xfId="0" applyFont="1" applyFill="1" applyBorder="1" applyAlignment="1">
      <alignment horizontal="left"/>
    </xf>
    <xf numFmtId="0" fontId="8" fillId="0" borderId="1" xfId="0" applyFont="1" applyFill="1" applyBorder="1" applyAlignment="1">
      <alignment horizontal="left"/>
    </xf>
    <xf numFmtId="165" fontId="6" fillId="2" borderId="9" xfId="1" applyNumberFormat="1" applyFont="1" applyFill="1" applyBorder="1"/>
    <xf numFmtId="165" fontId="16" fillId="0" borderId="10" xfId="0" applyNumberFormat="1" applyFont="1" applyFill="1" applyBorder="1"/>
    <xf numFmtId="165" fontId="16" fillId="0" borderId="0" xfId="0" applyNumberFormat="1" applyFont="1" applyFill="1"/>
    <xf numFmtId="165" fontId="6" fillId="0" borderId="0" xfId="0" applyNumberFormat="1" applyFont="1" applyFill="1"/>
    <xf numFmtId="165" fontId="11" fillId="0" borderId="9" xfId="0" applyNumberFormat="1" applyFont="1" applyFill="1" applyBorder="1"/>
    <xf numFmtId="165" fontId="6" fillId="0" borderId="10" xfId="0" applyNumberFormat="1" applyFont="1" applyFill="1" applyBorder="1"/>
    <xf numFmtId="165" fontId="6" fillId="0" borderId="10" xfId="1" applyNumberFormat="1" applyFont="1" applyFill="1" applyBorder="1"/>
    <xf numFmtId="165" fontId="6" fillId="5" borderId="10" xfId="2" applyNumberFormat="1" applyFont="1" applyFill="1" applyBorder="1" applyAlignment="1">
      <alignment horizontal="left"/>
    </xf>
    <xf numFmtId="165" fontId="6" fillId="0" borderId="0" xfId="2" applyNumberFormat="1" applyFont="1" applyBorder="1" applyAlignment="1">
      <alignment horizontal="left"/>
    </xf>
    <xf numFmtId="165" fontId="6" fillId="0" borderId="10" xfId="2" applyNumberFormat="1" applyFont="1" applyBorder="1" applyAlignment="1">
      <alignment horizontal="left"/>
    </xf>
    <xf numFmtId="165" fontId="6" fillId="2" borderId="10" xfId="2" applyNumberFormat="1" applyFont="1" applyFill="1" applyBorder="1" applyAlignment="1">
      <alignment horizontal="left"/>
    </xf>
    <xf numFmtId="0" fontId="6" fillId="2" borderId="10" xfId="5" applyFont="1" applyFill="1" applyBorder="1" applyAlignment="1">
      <alignment wrapText="1"/>
    </xf>
    <xf numFmtId="165" fontId="13" fillId="0" borderId="10" xfId="1" applyNumberFormat="1" applyFont="1" applyFill="1" applyBorder="1"/>
    <xf numFmtId="43" fontId="13" fillId="0" borderId="10" xfId="1" applyNumberFormat="1" applyFont="1" applyFill="1" applyBorder="1" applyAlignment="1">
      <alignment horizontal="center"/>
    </xf>
    <xf numFmtId="0" fontId="13" fillId="0" borderId="13" xfId="0" applyFont="1" applyFill="1" applyBorder="1" applyAlignment="1">
      <alignment horizontal="center"/>
    </xf>
    <xf numFmtId="0" fontId="13" fillId="0" borderId="7" xfId="0" applyFont="1" applyFill="1" applyBorder="1" applyAlignment="1">
      <alignment horizontal="center"/>
    </xf>
    <xf numFmtId="0" fontId="6" fillId="8" borderId="8" xfId="0" applyFont="1" applyFill="1" applyBorder="1"/>
    <xf numFmtId="0" fontId="25" fillId="0" borderId="0" xfId="0" applyFont="1"/>
    <xf numFmtId="43" fontId="6" fillId="0" borderId="9" xfId="0" applyNumberFormat="1" applyFont="1" applyBorder="1"/>
    <xf numFmtId="0" fontId="7" fillId="0" borderId="0" xfId="0" applyFont="1" applyFill="1" applyAlignment="1">
      <alignment horizontal="center"/>
    </xf>
    <xf numFmtId="165" fontId="16" fillId="2" borderId="10" xfId="0" applyNumberFormat="1" applyFont="1" applyFill="1" applyBorder="1"/>
    <xf numFmtId="0" fontId="11" fillId="0" borderId="8" xfId="0" applyFont="1" applyFill="1" applyBorder="1" applyAlignment="1">
      <alignment horizontal="left"/>
    </xf>
    <xf numFmtId="0" fontId="11" fillId="0" borderId="8" xfId="0" applyFont="1" applyBorder="1"/>
    <xf numFmtId="169" fontId="6" fillId="0" borderId="1" xfId="1" applyNumberFormat="1" applyFont="1" applyBorder="1"/>
    <xf numFmtId="43" fontId="6" fillId="8" borderId="10" xfId="1" applyFont="1" applyFill="1" applyBorder="1"/>
    <xf numFmtId="169" fontId="6" fillId="2" borderId="10" xfId="5" applyNumberFormat="1" applyFont="1" applyFill="1" applyBorder="1" applyAlignment="1">
      <alignment horizontal="right"/>
    </xf>
    <xf numFmtId="169" fontId="6" fillId="0" borderId="0" xfId="5" applyNumberFormat="1" applyFont="1" applyBorder="1"/>
    <xf numFmtId="169" fontId="6" fillId="0" borderId="10" xfId="1" applyNumberFormat="1" applyFont="1" applyBorder="1"/>
    <xf numFmtId="169" fontId="6" fillId="0" borderId="10" xfId="5" applyNumberFormat="1" applyFont="1" applyBorder="1"/>
    <xf numFmtId="169" fontId="6" fillId="2" borderId="10" xfId="1" applyNumberFormat="1" applyFont="1" applyFill="1" applyBorder="1" applyAlignment="1">
      <alignment horizontal="right"/>
    </xf>
    <xf numFmtId="43" fontId="6" fillId="8" borderId="10" xfId="2" applyFont="1" applyFill="1" applyBorder="1"/>
    <xf numFmtId="0" fontId="12" fillId="0" borderId="10" xfId="0" applyFont="1" applyFill="1" applyBorder="1" applyAlignment="1">
      <alignment horizontal="left" wrapText="1"/>
    </xf>
    <xf numFmtId="0" fontId="12" fillId="0" borderId="10" xfId="0" applyFont="1" applyFill="1" applyBorder="1" applyAlignment="1">
      <alignment horizontal="center"/>
    </xf>
    <xf numFmtId="9" fontId="6" fillId="0" borderId="10" xfId="6" applyFont="1" applyFill="1" applyBorder="1"/>
    <xf numFmtId="167" fontId="5" fillId="0" borderId="0" xfId="0" applyNumberFormat="1" applyFont="1" applyFill="1" applyBorder="1" applyAlignment="1">
      <alignment horizontal="centerContinuous"/>
    </xf>
    <xf numFmtId="0" fontId="9" fillId="0" borderId="14" xfId="0" applyFont="1" applyFill="1" applyBorder="1" applyAlignment="1">
      <alignment horizontal="centerContinuous"/>
    </xf>
    <xf numFmtId="0" fontId="9" fillId="0" borderId="6" xfId="0" applyFont="1" applyFill="1" applyBorder="1" applyAlignment="1">
      <alignment horizontal="centerContinuous"/>
    </xf>
    <xf numFmtId="0" fontId="0" fillId="0" borderId="15" xfId="0" applyBorder="1" applyAlignment="1">
      <alignment horizontal="centerContinuous"/>
    </xf>
    <xf numFmtId="0" fontId="0" fillId="0" borderId="3" xfId="0" applyBorder="1" applyAlignment="1">
      <alignment horizontal="centerContinuous"/>
    </xf>
    <xf numFmtId="167" fontId="5" fillId="0" borderId="2" xfId="0" applyNumberFormat="1" applyFont="1" applyFill="1" applyBorder="1" applyAlignment="1">
      <alignment horizontal="centerContinuous"/>
    </xf>
    <xf numFmtId="0" fontId="9" fillId="0" borderId="4" xfId="0" applyFont="1" applyFill="1" applyBorder="1" applyAlignment="1">
      <alignment horizontal="centerContinuous"/>
    </xf>
    <xf numFmtId="0" fontId="9" fillId="0" borderId="5" xfId="0" applyFont="1" applyFill="1" applyBorder="1" applyAlignment="1">
      <alignment horizontal="centerContinuous"/>
    </xf>
    <xf numFmtId="0" fontId="0" fillId="0" borderId="7" xfId="0" applyBorder="1" applyAlignment="1">
      <alignment horizontal="centerContinuous"/>
    </xf>
    <xf numFmtId="168" fontId="6" fillId="0" borderId="0" xfId="0" applyNumberFormat="1" applyFont="1" applyFill="1"/>
    <xf numFmtId="0" fontId="11" fillId="0" borderId="10" xfId="0" applyFont="1" applyBorder="1"/>
    <xf numFmtId="169" fontId="13" fillId="0" borderId="10" xfId="1" applyNumberFormat="1" applyFont="1" applyFill="1" applyBorder="1"/>
    <xf numFmtId="0" fontId="11" fillId="0" borderId="14" xfId="0" applyFont="1" applyBorder="1" applyAlignment="1">
      <alignment horizontal="center"/>
    </xf>
    <xf numFmtId="0" fontId="11" fillId="0" borderId="15" xfId="0" applyFont="1" applyBorder="1" applyAlignment="1">
      <alignment horizontal="center"/>
    </xf>
    <xf numFmtId="43" fontId="6" fillId="0" borderId="2" xfId="1" applyFont="1" applyBorder="1" applyAlignment="1">
      <alignment horizontal="center" wrapText="1" shrinkToFit="1"/>
    </xf>
    <xf numFmtId="43" fontId="6" fillId="0" borderId="3" xfId="1" applyFont="1" applyBorder="1" applyAlignment="1">
      <alignment horizontal="center" wrapText="1" shrinkToFit="1"/>
    </xf>
    <xf numFmtId="0" fontId="14" fillId="0" borderId="14" xfId="0" applyFont="1" applyFill="1" applyBorder="1" applyAlignment="1">
      <alignment horizontal="center"/>
    </xf>
    <xf numFmtId="0" fontId="14" fillId="0" borderId="15" xfId="0" applyFont="1" applyFill="1" applyBorder="1" applyAlignment="1">
      <alignment horizontal="center"/>
    </xf>
    <xf numFmtId="0" fontId="14" fillId="0" borderId="2" xfId="0" applyFont="1" applyFill="1" applyBorder="1" applyAlignment="1">
      <alignment horizontal="center"/>
    </xf>
    <xf numFmtId="0" fontId="14" fillId="0" borderId="3" xfId="0" applyFont="1" applyFill="1" applyBorder="1" applyAlignment="1">
      <alignment horizontal="center"/>
    </xf>
    <xf numFmtId="0" fontId="14" fillId="0" borderId="8" xfId="5" applyFont="1" applyBorder="1" applyAlignment="1">
      <alignment horizontal="center"/>
    </xf>
    <xf numFmtId="0" fontId="14" fillId="0" borderId="9" xfId="5" applyFont="1" applyBorder="1" applyAlignment="1">
      <alignment horizontal="center"/>
    </xf>
    <xf numFmtId="43" fontId="15" fillId="0" borderId="2" xfId="2" applyFont="1" applyBorder="1" applyAlignment="1">
      <alignment horizontal="center" wrapText="1" shrinkToFit="1"/>
    </xf>
    <xf numFmtId="43" fontId="15" fillId="0" borderId="3" xfId="2" applyFont="1" applyBorder="1" applyAlignment="1">
      <alignment horizontal="center" wrapText="1" shrinkToFit="1"/>
    </xf>
  </cellXfs>
  <cellStyles count="8">
    <cellStyle name="Comma" xfId="1" builtinId="3"/>
    <cellStyle name="Comma 2" xfId="2"/>
    <cellStyle name="Currency" xfId="3" builtinId="4"/>
    <cellStyle name="Hyperlink" xfId="4" builtinId="8"/>
    <cellStyle name="Normal" xfId="0" builtinId="0"/>
    <cellStyle name="Normal 2" xfId="5"/>
    <cellStyle name="Percent" xfId="6" builtinId="5"/>
    <cellStyle name="Percent 2" xfId="7"/>
  </cellStyles>
  <dxfs count="0"/>
  <tableStyles count="0" defaultTableStyle="TableStyleMedium9" defaultPivotStyle="PivotStyleLight16"/>
  <colors>
    <mruColors>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dewart@uidaho.edu" TargetMode="External"/><Relationship Id="rId2" Type="http://schemas.openxmlformats.org/officeDocument/2006/relationships/hyperlink" Target="mailto:tfischer@uidaho.edu" TargetMode="External"/><Relationship Id="rId1" Type="http://schemas.openxmlformats.org/officeDocument/2006/relationships/hyperlink" Target="mailto:maryg@uidaho.edu"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23"/>
  <sheetViews>
    <sheetView tabSelected="1" workbookViewId="0">
      <selection activeCell="A26" sqref="A26"/>
    </sheetView>
  </sheetViews>
  <sheetFormatPr defaultRowHeight="13.5" x14ac:dyDescent="0.25"/>
  <cols>
    <col min="1" max="1" width="104.7109375" style="2" customWidth="1"/>
    <col min="2" max="16384" width="9.140625" style="2"/>
  </cols>
  <sheetData>
    <row r="1" spans="1:1" ht="19.5" x14ac:dyDescent="0.35">
      <c r="A1" s="1" t="s">
        <v>0</v>
      </c>
    </row>
    <row r="2" spans="1:1" ht="19.5" x14ac:dyDescent="0.35">
      <c r="A2" s="1" t="s">
        <v>1</v>
      </c>
    </row>
    <row r="3" spans="1:1" ht="19.5" x14ac:dyDescent="0.35">
      <c r="A3" s="1" t="s">
        <v>134</v>
      </c>
    </row>
    <row r="4" spans="1:1" ht="19.5" x14ac:dyDescent="0.35">
      <c r="A4" s="1"/>
    </row>
    <row r="5" spans="1:1" ht="16.5" x14ac:dyDescent="0.3">
      <c r="A5" s="26" t="s">
        <v>41</v>
      </c>
    </row>
    <row r="6" spans="1:1" s="3" customFormat="1" ht="15.75" x14ac:dyDescent="0.3">
      <c r="A6" s="3" t="s">
        <v>42</v>
      </c>
    </row>
    <row r="7" spans="1:1" s="3" customFormat="1" ht="15.75" x14ac:dyDescent="0.3">
      <c r="A7" s="3" t="s">
        <v>144</v>
      </c>
    </row>
    <row r="8" spans="1:1" s="3" customFormat="1" ht="15.75" x14ac:dyDescent="0.3"/>
    <row r="9" spans="1:1" s="3" customFormat="1" ht="47.25" x14ac:dyDescent="0.3">
      <c r="A9" s="4" t="s">
        <v>64</v>
      </c>
    </row>
    <row r="10" spans="1:1" s="3" customFormat="1" ht="15.75" x14ac:dyDescent="0.3"/>
    <row r="11" spans="1:1" s="3" customFormat="1" ht="15.75" x14ac:dyDescent="0.3">
      <c r="A11" s="3" t="s">
        <v>141</v>
      </c>
    </row>
    <row r="12" spans="1:1" s="3" customFormat="1" ht="15.75" x14ac:dyDescent="0.3"/>
    <row r="13" spans="1:1" s="3" customFormat="1" ht="15.75" x14ac:dyDescent="0.3">
      <c r="A13" s="3" t="s">
        <v>177</v>
      </c>
    </row>
    <row r="14" spans="1:1" s="3" customFormat="1" ht="15.75" x14ac:dyDescent="0.3">
      <c r="A14" s="3" t="s">
        <v>178</v>
      </c>
    </row>
    <row r="15" spans="1:1" s="3" customFormat="1" ht="15.75" x14ac:dyDescent="0.3">
      <c r="A15" s="3" t="s">
        <v>179</v>
      </c>
    </row>
    <row r="16" spans="1:1" s="3" customFormat="1" ht="15.75" x14ac:dyDescent="0.3">
      <c r="A16" s="3" t="s">
        <v>180</v>
      </c>
    </row>
    <row r="17" spans="1:1" s="3" customFormat="1" ht="15.75" x14ac:dyDescent="0.3">
      <c r="A17" s="3" t="s">
        <v>241</v>
      </c>
    </row>
    <row r="18" spans="1:1" s="3" customFormat="1" ht="15.75" x14ac:dyDescent="0.3">
      <c r="A18" s="3" t="s">
        <v>230</v>
      </c>
    </row>
    <row r="19" spans="1:1" s="3" customFormat="1" ht="15.75" x14ac:dyDescent="0.3">
      <c r="A19" s="3" t="s">
        <v>231</v>
      </c>
    </row>
    <row r="20" spans="1:1" s="3" customFormat="1" ht="15.75" x14ac:dyDescent="0.3">
      <c r="A20" s="3" t="s">
        <v>232</v>
      </c>
    </row>
    <row r="21" spans="1:1" s="3" customFormat="1" ht="15.75" x14ac:dyDescent="0.3">
      <c r="A21" s="3" t="s">
        <v>233</v>
      </c>
    </row>
    <row r="22" spans="1:1" ht="15.75" x14ac:dyDescent="0.3">
      <c r="A22" s="3" t="s">
        <v>234</v>
      </c>
    </row>
    <row r="23" spans="1:1" ht="15.75" x14ac:dyDescent="0.3">
      <c r="A23" s="3" t="s">
        <v>242</v>
      </c>
    </row>
  </sheetData>
  <phoneticPr fontId="0" type="noConversion"/>
  <pageMargins left="0.3" right="0.25" top="0.25" bottom="0.25"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0"/>
  <sheetViews>
    <sheetView workbookViewId="0"/>
  </sheetViews>
  <sheetFormatPr defaultRowHeight="13.5" x14ac:dyDescent="0.25"/>
  <cols>
    <col min="1" max="1" width="25.42578125" style="7" customWidth="1"/>
    <col min="2" max="2" width="58.85546875" style="7" customWidth="1"/>
    <col min="3" max="3" width="38.7109375" style="7" customWidth="1"/>
    <col min="4" max="4" width="11.5703125" style="7" customWidth="1"/>
    <col min="5" max="5" width="16.5703125" style="7" customWidth="1"/>
    <col min="6" max="6" width="14.85546875" style="7" customWidth="1"/>
    <col min="7" max="7" width="15.42578125" style="7" customWidth="1"/>
    <col min="8" max="8" width="14.5703125" style="7" customWidth="1"/>
    <col min="9" max="9" width="15.42578125" style="7" customWidth="1"/>
    <col min="10" max="16384" width="9.140625" style="7"/>
  </cols>
  <sheetData>
    <row r="1" spans="1:9" s="6" customFormat="1" ht="19.5" x14ac:dyDescent="0.35">
      <c r="A1" s="5" t="s">
        <v>176</v>
      </c>
      <c r="I1" s="131" t="str">
        <f>Instructions!A3</f>
        <v>FY2014</v>
      </c>
    </row>
    <row r="2" spans="1:9" s="6" customFormat="1" ht="19.5" x14ac:dyDescent="0.35"/>
    <row r="3" spans="1:9" x14ac:dyDescent="0.25">
      <c r="A3" s="29" t="s">
        <v>60</v>
      </c>
      <c r="B3" s="30"/>
      <c r="C3" s="30"/>
      <c r="D3" s="30"/>
      <c r="E3" s="30"/>
      <c r="F3" s="30"/>
      <c r="G3" s="30"/>
      <c r="H3" s="30"/>
      <c r="I3" s="31"/>
    </row>
    <row r="4" spans="1:9" x14ac:dyDescent="0.25">
      <c r="A4" s="9" t="s">
        <v>61</v>
      </c>
      <c r="C4" s="9"/>
      <c r="D4" s="25"/>
      <c r="E4" s="25"/>
      <c r="F4" s="25"/>
      <c r="G4" s="25"/>
      <c r="H4" s="25"/>
      <c r="I4" s="206"/>
    </row>
    <row r="5" spans="1:9" ht="13.5" customHeight="1" x14ac:dyDescent="0.25">
      <c r="A5" s="11"/>
      <c r="B5" s="27" t="s">
        <v>18</v>
      </c>
      <c r="C5" s="28"/>
      <c r="D5" s="210"/>
      <c r="E5" s="210"/>
      <c r="F5" s="210"/>
      <c r="G5" s="21"/>
      <c r="H5" s="21"/>
      <c r="I5" s="40"/>
    </row>
    <row r="6" spans="1:9" x14ac:dyDescent="0.25">
      <c r="B6" s="12"/>
      <c r="C6" s="12"/>
      <c r="D6" s="12"/>
      <c r="E6" s="12"/>
      <c r="F6" s="12"/>
    </row>
    <row r="7" spans="1:9" ht="15.75" x14ac:dyDescent="0.3">
      <c r="A7" s="194" t="s">
        <v>158</v>
      </c>
      <c r="B7" s="265"/>
      <c r="C7" s="12"/>
      <c r="D7" s="12"/>
      <c r="E7" s="12"/>
      <c r="F7" s="12"/>
    </row>
    <row r="8" spans="1:9" ht="15.75" x14ac:dyDescent="0.3">
      <c r="A8" s="194" t="s">
        <v>159</v>
      </c>
      <c r="B8" s="265" t="s">
        <v>18</v>
      </c>
      <c r="C8" s="12"/>
      <c r="D8" s="12"/>
      <c r="E8" s="12"/>
      <c r="F8" s="12"/>
    </row>
    <row r="9" spans="1:9" ht="15.75" x14ac:dyDescent="0.3">
      <c r="A9" s="194"/>
      <c r="B9" s="259" t="s">
        <v>168</v>
      </c>
      <c r="C9" s="12"/>
      <c r="D9" s="12"/>
      <c r="E9" s="12"/>
      <c r="F9" s="12"/>
    </row>
    <row r="10" spans="1:9" x14ac:dyDescent="0.25">
      <c r="B10" s="12"/>
      <c r="C10" s="12"/>
      <c r="D10" s="12"/>
      <c r="E10" s="12"/>
      <c r="F10" s="12"/>
    </row>
    <row r="11" spans="1:9" ht="16.5" x14ac:dyDescent="0.3">
      <c r="A11" s="194" t="s">
        <v>137</v>
      </c>
      <c r="B11" s="55" t="s">
        <v>18</v>
      </c>
      <c r="F11" s="14"/>
    </row>
    <row r="12" spans="1:9" ht="15.75" x14ac:dyDescent="0.3">
      <c r="A12" s="194" t="s">
        <v>40</v>
      </c>
      <c r="B12" s="55" t="s">
        <v>18</v>
      </c>
    </row>
    <row r="13" spans="1:9" ht="15.75" x14ac:dyDescent="0.3">
      <c r="A13" s="194" t="s">
        <v>17</v>
      </c>
      <c r="B13" s="55" t="s">
        <v>18</v>
      </c>
    </row>
    <row r="14" spans="1:9" x14ac:dyDescent="0.25">
      <c r="C14" s="19"/>
    </row>
    <row r="15" spans="1:9" ht="16.5" x14ac:dyDescent="0.3">
      <c r="A15" s="198" t="s">
        <v>135</v>
      </c>
    </row>
    <row r="16" spans="1:9" ht="15.75" x14ac:dyDescent="0.3">
      <c r="A16" s="194" t="s">
        <v>5</v>
      </c>
      <c r="B16" s="55" t="s">
        <v>18</v>
      </c>
    </row>
    <row r="17" spans="1:9" ht="15.75" x14ac:dyDescent="0.3">
      <c r="A17" s="194" t="s">
        <v>15</v>
      </c>
      <c r="B17" s="264" t="s">
        <v>18</v>
      </c>
    </row>
    <row r="18" spans="1:9" ht="15.75" x14ac:dyDescent="0.3">
      <c r="A18" s="194" t="s">
        <v>16</v>
      </c>
      <c r="B18" s="55" t="s">
        <v>18</v>
      </c>
    </row>
    <row r="19" spans="1:9" x14ac:dyDescent="0.25">
      <c r="A19" s="19"/>
    </row>
    <row r="20" spans="1:9" ht="16.5" x14ac:dyDescent="0.3">
      <c r="A20" s="198" t="s">
        <v>136</v>
      </c>
    </row>
    <row r="21" spans="1:9" ht="15.75" x14ac:dyDescent="0.3">
      <c r="A21" s="194" t="s">
        <v>5</v>
      </c>
      <c r="B21" s="55" t="s">
        <v>18</v>
      </c>
    </row>
    <row r="22" spans="1:9" ht="15.75" x14ac:dyDescent="0.3">
      <c r="A22" s="194" t="s">
        <v>15</v>
      </c>
      <c r="B22" s="264" t="s">
        <v>18</v>
      </c>
    </row>
    <row r="23" spans="1:9" ht="15.75" x14ac:dyDescent="0.3">
      <c r="A23" s="194" t="s">
        <v>16</v>
      </c>
      <c r="B23" s="55" t="s">
        <v>18</v>
      </c>
    </row>
    <row r="24" spans="1:9" x14ac:dyDescent="0.25">
      <c r="A24" s="17"/>
      <c r="I24" s="35"/>
    </row>
    <row r="25" spans="1:9" ht="16.5" x14ac:dyDescent="0.3">
      <c r="A25" s="198" t="s">
        <v>174</v>
      </c>
      <c r="I25" s="35"/>
    </row>
    <row r="26" spans="1:9" ht="15.75" x14ac:dyDescent="0.3">
      <c r="A26" s="194" t="s">
        <v>5</v>
      </c>
      <c r="B26" s="55" t="s">
        <v>18</v>
      </c>
      <c r="I26" s="35"/>
    </row>
    <row r="27" spans="1:9" ht="15.75" x14ac:dyDescent="0.3">
      <c r="A27" s="194" t="s">
        <v>175</v>
      </c>
      <c r="B27" s="55" t="s">
        <v>18</v>
      </c>
      <c r="I27" s="35"/>
    </row>
    <row r="28" spans="1:9" ht="15.75" x14ac:dyDescent="0.3">
      <c r="A28" s="194" t="s">
        <v>15</v>
      </c>
      <c r="B28" s="264" t="s">
        <v>18</v>
      </c>
      <c r="I28" s="35"/>
    </row>
    <row r="29" spans="1:9" ht="15.75" x14ac:dyDescent="0.3">
      <c r="A29" s="194" t="s">
        <v>16</v>
      </c>
      <c r="B29" s="55" t="s">
        <v>18</v>
      </c>
      <c r="I29" s="35"/>
    </row>
    <row r="30" spans="1:9" x14ac:dyDescent="0.25">
      <c r="A30" s="17"/>
      <c r="I30" s="35"/>
    </row>
    <row r="31" spans="1:9" x14ac:dyDescent="0.25">
      <c r="A31" s="268"/>
      <c r="B31" s="269"/>
      <c r="C31" s="269"/>
      <c r="D31" s="269"/>
      <c r="E31" s="269"/>
      <c r="F31" s="270"/>
      <c r="I31" s="35"/>
    </row>
    <row r="32" spans="1:9" ht="16.5" x14ac:dyDescent="0.3">
      <c r="A32" s="198" t="s">
        <v>160</v>
      </c>
      <c r="I32" s="35"/>
    </row>
    <row r="33" spans="1:9" ht="31.5" x14ac:dyDescent="0.3">
      <c r="A33" s="266" t="s">
        <v>184</v>
      </c>
      <c r="B33" s="260" t="s">
        <v>18</v>
      </c>
      <c r="I33" s="35"/>
    </row>
    <row r="34" spans="1:9" ht="15.75" x14ac:dyDescent="0.3">
      <c r="A34" s="194" t="s">
        <v>161</v>
      </c>
      <c r="B34" s="260"/>
      <c r="I34" s="35"/>
    </row>
    <row r="35" spans="1:9" x14ac:dyDescent="0.25">
      <c r="I35" s="35"/>
    </row>
    <row r="36" spans="1:9" ht="16.5" x14ac:dyDescent="0.3">
      <c r="A36" s="198" t="s">
        <v>183</v>
      </c>
      <c r="I36" s="35"/>
    </row>
    <row r="37" spans="1:9" ht="15.75" x14ac:dyDescent="0.3">
      <c r="A37" s="194" t="s">
        <v>162</v>
      </c>
      <c r="B37" s="55" t="s">
        <v>18</v>
      </c>
      <c r="C37" s="35"/>
      <c r="D37" s="35"/>
      <c r="E37" s="35"/>
      <c r="I37" s="35"/>
    </row>
    <row r="38" spans="1:9" ht="15.75" x14ac:dyDescent="0.3">
      <c r="A38" s="194" t="s">
        <v>163</v>
      </c>
      <c r="B38" s="261" t="s">
        <v>18</v>
      </c>
      <c r="C38" s="194" t="s">
        <v>164</v>
      </c>
      <c r="D38" s="54"/>
      <c r="E38" s="35"/>
      <c r="I38" s="35"/>
    </row>
    <row r="39" spans="1:9" x14ac:dyDescent="0.25">
      <c r="C39" s="19"/>
      <c r="I39" s="35"/>
    </row>
    <row r="40" spans="1:9" ht="16.5" x14ac:dyDescent="0.3">
      <c r="A40" s="198" t="s">
        <v>165</v>
      </c>
    </row>
    <row r="41" spans="1:9" ht="132.75" customHeight="1" x14ac:dyDescent="0.25">
      <c r="B41" s="262" t="s">
        <v>18</v>
      </c>
      <c r="C41" s="263"/>
    </row>
    <row r="43" spans="1:9" ht="16.5" x14ac:dyDescent="0.3">
      <c r="A43" s="198" t="s">
        <v>166</v>
      </c>
    </row>
    <row r="44" spans="1:9" ht="15.75" x14ac:dyDescent="0.3">
      <c r="A44" s="194" t="s">
        <v>162</v>
      </c>
      <c r="B44" s="55" t="s">
        <v>18</v>
      </c>
    </row>
    <row r="45" spans="1:9" ht="15.75" x14ac:dyDescent="0.3">
      <c r="A45" s="194" t="s">
        <v>163</v>
      </c>
      <c r="B45" s="261"/>
    </row>
    <row r="46" spans="1:9" ht="16.5" x14ac:dyDescent="0.3">
      <c r="A46" s="198" t="s">
        <v>167</v>
      </c>
    </row>
    <row r="47" spans="1:9" ht="55.5" customHeight="1" x14ac:dyDescent="0.25">
      <c r="B47" s="262"/>
      <c r="C47" s="263"/>
    </row>
    <row r="49" spans="1:3" ht="16.5" x14ac:dyDescent="0.3">
      <c r="A49" s="198" t="s">
        <v>169</v>
      </c>
    </row>
    <row r="50" spans="1:3" ht="31.5" x14ac:dyDescent="0.3">
      <c r="A50" s="266" t="s">
        <v>170</v>
      </c>
      <c r="B50" s="55" t="s">
        <v>18</v>
      </c>
    </row>
    <row r="51" spans="1:3" ht="31.5" x14ac:dyDescent="0.3">
      <c r="A51" s="266" t="s">
        <v>171</v>
      </c>
      <c r="B51" s="261"/>
    </row>
    <row r="52" spans="1:3" ht="16.5" x14ac:dyDescent="0.3">
      <c r="A52" s="198" t="s">
        <v>172</v>
      </c>
    </row>
    <row r="53" spans="1:3" ht="43.5" customHeight="1" x14ac:dyDescent="0.25">
      <c r="B53" s="262"/>
      <c r="C53" s="263"/>
    </row>
    <row r="55" spans="1:3" ht="16.5" x14ac:dyDescent="0.3">
      <c r="A55" s="198" t="s">
        <v>185</v>
      </c>
    </row>
    <row r="56" spans="1:3" ht="15.75" x14ac:dyDescent="0.3">
      <c r="A56" s="267" t="s">
        <v>139</v>
      </c>
      <c r="B56" s="55"/>
    </row>
    <row r="57" spans="1:3" ht="15.75" x14ac:dyDescent="0.3">
      <c r="A57" s="267" t="s">
        <v>4</v>
      </c>
      <c r="B57" s="55"/>
    </row>
    <row r="59" spans="1:3" ht="16.5" x14ac:dyDescent="0.3">
      <c r="A59" s="198" t="s">
        <v>173</v>
      </c>
    </row>
    <row r="60" spans="1:3" ht="15.75" x14ac:dyDescent="0.3">
      <c r="A60" s="267" t="s">
        <v>139</v>
      </c>
      <c r="B60" s="55" t="s">
        <v>18</v>
      </c>
    </row>
  </sheetData>
  <phoneticPr fontId="0" type="noConversion"/>
  <hyperlinks>
    <hyperlink ref="B17" r:id="rId1" display="maryg@uidaho.edu"/>
    <hyperlink ref="B22" r:id="rId2" display="tfischer@uidaho.edu"/>
    <hyperlink ref="B28" r:id="rId3" display="dewart@uidaho.edu"/>
  </hyperlinks>
  <pageMargins left="0.3" right="0.25" top="0.25" bottom="0.25" header="0.5" footer="0.5"/>
  <pageSetup scale="98" orientation="landscape" r:id="rId4"/>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workbookViewId="0"/>
  </sheetViews>
  <sheetFormatPr defaultRowHeight="13.5" x14ac:dyDescent="0.25"/>
  <cols>
    <col min="1" max="1" width="11.85546875" style="7" customWidth="1"/>
    <col min="2" max="2" width="20.28515625" style="7" customWidth="1"/>
    <col min="3" max="3" width="38.7109375" style="7" customWidth="1"/>
    <col min="4" max="4" width="47" style="7" customWidth="1"/>
    <col min="5" max="5" width="16.5703125" style="7" customWidth="1"/>
    <col min="6" max="6" width="14.85546875" style="7" customWidth="1"/>
    <col min="7" max="7" width="15.42578125" style="7" customWidth="1"/>
    <col min="8" max="8" width="14.5703125" style="7" customWidth="1"/>
    <col min="9" max="9" width="15.42578125" style="7" customWidth="1"/>
    <col min="10" max="16384" width="9.140625" style="7"/>
  </cols>
  <sheetData>
    <row r="1" spans="1:9" s="6" customFormat="1" ht="19.5" x14ac:dyDescent="0.35">
      <c r="A1" s="5" t="s">
        <v>157</v>
      </c>
      <c r="I1" s="131" t="str">
        <f>Instructions!A3</f>
        <v>FY2014</v>
      </c>
    </row>
    <row r="2" spans="1:9" s="6" customFormat="1" ht="19.5" x14ac:dyDescent="0.35"/>
    <row r="3" spans="1:9" x14ac:dyDescent="0.25">
      <c r="A3" s="29" t="s">
        <v>60</v>
      </c>
      <c r="B3" s="30"/>
      <c r="C3" s="30"/>
      <c r="D3" s="30"/>
      <c r="E3" s="30"/>
      <c r="F3" s="30"/>
      <c r="G3" s="30"/>
      <c r="H3" s="30"/>
      <c r="I3" s="31"/>
    </row>
    <row r="4" spans="1:9" x14ac:dyDescent="0.25">
      <c r="A4" s="8" t="s">
        <v>18</v>
      </c>
      <c r="B4" s="9" t="s">
        <v>61</v>
      </c>
      <c r="C4" s="9"/>
      <c r="D4" s="25"/>
      <c r="E4" s="25"/>
      <c r="F4" s="25"/>
      <c r="G4" s="25"/>
      <c r="H4" s="25"/>
      <c r="I4" s="206"/>
    </row>
    <row r="5" spans="1:9" x14ac:dyDescent="0.25">
      <c r="A5" s="11"/>
      <c r="B5" s="27" t="s">
        <v>63</v>
      </c>
      <c r="C5" s="28"/>
      <c r="D5" s="210"/>
      <c r="E5" s="210"/>
      <c r="F5" s="210"/>
      <c r="G5" s="21"/>
      <c r="H5" s="21"/>
      <c r="I5" s="40"/>
    </row>
    <row r="6" spans="1:9" x14ac:dyDescent="0.25">
      <c r="B6" s="12"/>
      <c r="C6" s="12"/>
      <c r="D6" s="12"/>
      <c r="E6" s="12"/>
      <c r="F6" s="12"/>
    </row>
    <row r="7" spans="1:9" ht="15.75" x14ac:dyDescent="0.3">
      <c r="C7" s="194" t="s">
        <v>17</v>
      </c>
      <c r="D7" s="15" t="str">
        <f>'General Info'!B13</f>
        <v xml:space="preserve"> </v>
      </c>
    </row>
    <row r="8" spans="1:9" ht="15.75" x14ac:dyDescent="0.3">
      <c r="C8" s="194" t="s">
        <v>138</v>
      </c>
      <c r="D8" s="16" t="s">
        <v>18</v>
      </c>
    </row>
    <row r="9" spans="1:9" x14ac:dyDescent="0.25">
      <c r="C9" s="19"/>
    </row>
    <row r="10" spans="1:9" x14ac:dyDescent="0.25">
      <c r="B10" s="19"/>
    </row>
    <row r="11" spans="1:9" ht="15.75" x14ac:dyDescent="0.3">
      <c r="A11" s="205" t="s">
        <v>140</v>
      </c>
      <c r="B11" s="25"/>
      <c r="C11" s="25"/>
      <c r="D11" s="25"/>
      <c r="E11" s="25"/>
      <c r="F11" s="25"/>
      <c r="G11" s="25"/>
      <c r="H11" s="25"/>
      <c r="I11" s="206"/>
    </row>
    <row r="12" spans="1:9" ht="27" x14ac:dyDescent="0.25">
      <c r="A12" s="39"/>
      <c r="B12" s="9"/>
      <c r="C12" s="207"/>
      <c r="D12" s="9"/>
      <c r="E12" s="137" t="s">
        <v>181</v>
      </c>
      <c r="F12" s="9"/>
      <c r="G12" s="9"/>
      <c r="H12" s="135" t="s">
        <v>103</v>
      </c>
      <c r="I12" s="10"/>
    </row>
    <row r="13" spans="1:9" ht="27" x14ac:dyDescent="0.25">
      <c r="A13" s="39"/>
      <c r="B13" s="9"/>
      <c r="C13" s="191" t="s">
        <v>62</v>
      </c>
      <c r="D13" s="192" t="s">
        <v>59</v>
      </c>
      <c r="E13" s="141" t="s">
        <v>111</v>
      </c>
      <c r="F13" s="22" t="s">
        <v>22</v>
      </c>
      <c r="G13" s="208" t="s">
        <v>58</v>
      </c>
      <c r="H13" s="135" t="s">
        <v>134</v>
      </c>
      <c r="I13" s="10"/>
    </row>
    <row r="14" spans="1:9" x14ac:dyDescent="0.25">
      <c r="A14" s="39"/>
      <c r="B14" s="209" t="s">
        <v>20</v>
      </c>
      <c r="C14" s="23" t="s">
        <v>18</v>
      </c>
      <c r="D14" s="24" t="s">
        <v>18</v>
      </c>
      <c r="E14" s="148" t="s">
        <v>18</v>
      </c>
      <c r="F14" s="16" t="s">
        <v>18</v>
      </c>
      <c r="G14" s="16" t="s">
        <v>18</v>
      </c>
      <c r="H14" s="149" t="s">
        <v>18</v>
      </c>
      <c r="I14" s="10"/>
    </row>
    <row r="15" spans="1:9" x14ac:dyDescent="0.25">
      <c r="A15" s="39"/>
      <c r="B15" s="209" t="s">
        <v>21</v>
      </c>
      <c r="C15" s="23" t="s">
        <v>18</v>
      </c>
      <c r="D15" s="24" t="s">
        <v>18</v>
      </c>
      <c r="E15" s="148" t="s">
        <v>18</v>
      </c>
      <c r="F15" s="16" t="s">
        <v>18</v>
      </c>
      <c r="G15" s="16" t="s">
        <v>18</v>
      </c>
      <c r="H15" s="149" t="s">
        <v>18</v>
      </c>
      <c r="I15" s="10"/>
    </row>
    <row r="16" spans="1:9" x14ac:dyDescent="0.25">
      <c r="A16" s="39"/>
      <c r="B16" s="9"/>
      <c r="C16" s="207" t="s">
        <v>18</v>
      </c>
      <c r="D16" s="9"/>
      <c r="E16" s="9"/>
      <c r="F16" s="9" t="s">
        <v>23</v>
      </c>
      <c r="G16" s="25"/>
      <c r="H16" s="9"/>
      <c r="I16" s="10"/>
    </row>
    <row r="17" spans="1:11" x14ac:dyDescent="0.25">
      <c r="A17" s="39"/>
      <c r="C17" s="207"/>
      <c r="D17" s="9"/>
      <c r="E17" s="9"/>
      <c r="F17" s="9"/>
      <c r="G17" s="9"/>
      <c r="H17" s="9"/>
      <c r="I17" s="10"/>
    </row>
    <row r="18" spans="1:11" x14ac:dyDescent="0.25">
      <c r="A18" s="11"/>
      <c r="B18" s="20"/>
      <c r="C18" s="21"/>
      <c r="D18" s="21"/>
      <c r="E18" s="21"/>
      <c r="F18" s="21"/>
      <c r="G18" s="21"/>
      <c r="H18" s="21"/>
      <c r="I18" s="40"/>
    </row>
    <row r="19" spans="1:11" x14ac:dyDescent="0.25">
      <c r="B19" s="19"/>
    </row>
    <row r="20" spans="1:11" ht="31.5" x14ac:dyDescent="0.3">
      <c r="A20" s="211"/>
      <c r="B20" s="212"/>
      <c r="C20" s="25"/>
      <c r="D20" s="25"/>
      <c r="E20" s="201" t="s">
        <v>67</v>
      </c>
      <c r="F20" s="202"/>
      <c r="G20" s="203"/>
      <c r="H20" s="203"/>
      <c r="I20" s="204"/>
      <c r="J20" s="35"/>
      <c r="K20" s="35"/>
    </row>
    <row r="21" spans="1:11" ht="16.5" x14ac:dyDescent="0.3">
      <c r="A21" s="213" t="s">
        <v>145</v>
      </c>
      <c r="B21" s="207"/>
      <c r="C21" s="9"/>
      <c r="D21" s="9"/>
      <c r="E21" s="9"/>
      <c r="F21" s="37"/>
      <c r="G21" s="37"/>
      <c r="H21" s="214" t="s">
        <v>102</v>
      </c>
      <c r="I21" s="195" t="s">
        <v>111</v>
      </c>
    </row>
    <row r="22" spans="1:11" ht="15.75" x14ac:dyDescent="0.3">
      <c r="A22" s="215" t="s">
        <v>18</v>
      </c>
      <c r="B22" s="207"/>
      <c r="C22" s="9"/>
      <c r="D22" s="9"/>
      <c r="E22" s="9"/>
      <c r="F22" s="37"/>
      <c r="G22" s="37"/>
      <c r="H22" s="37"/>
      <c r="I22" s="38"/>
      <c r="J22" s="35"/>
    </row>
    <row r="23" spans="1:11" ht="27" x14ac:dyDescent="0.25">
      <c r="A23" s="216"/>
      <c r="B23" s="217" t="s">
        <v>11</v>
      </c>
      <c r="C23" s="217" t="s">
        <v>142</v>
      </c>
      <c r="D23" s="9"/>
      <c r="E23" s="199" t="s">
        <v>143</v>
      </c>
      <c r="F23" s="200" t="s">
        <v>53</v>
      </c>
      <c r="G23" s="200" t="s">
        <v>54</v>
      </c>
      <c r="H23" s="200" t="s">
        <v>55</v>
      </c>
      <c r="I23" s="200" t="s">
        <v>123</v>
      </c>
    </row>
    <row r="24" spans="1:11" ht="15.75" x14ac:dyDescent="0.3">
      <c r="A24" s="289" t="s">
        <v>214</v>
      </c>
      <c r="B24" s="217"/>
      <c r="C24" s="217"/>
      <c r="D24" s="9"/>
      <c r="E24" s="290"/>
      <c r="F24" s="291"/>
      <c r="G24" s="291"/>
      <c r="H24" s="291"/>
      <c r="I24" s="291"/>
    </row>
    <row r="25" spans="1:11" ht="15.75" x14ac:dyDescent="0.3">
      <c r="A25" s="218" t="s">
        <v>139</v>
      </c>
      <c r="B25" s="193" t="s">
        <v>18</v>
      </c>
      <c r="C25" s="16" t="s">
        <v>18</v>
      </c>
      <c r="D25" s="16"/>
      <c r="E25" s="196">
        <v>0</v>
      </c>
      <c r="F25" s="196">
        <v>0</v>
      </c>
      <c r="G25" s="196">
        <v>0</v>
      </c>
      <c r="H25" s="196">
        <v>0</v>
      </c>
      <c r="I25" s="196">
        <f>E25+F25-G25-H25</f>
        <v>0</v>
      </c>
    </row>
    <row r="26" spans="1:11" ht="15.75" x14ac:dyDescent="0.3">
      <c r="A26" s="218" t="s">
        <v>139</v>
      </c>
      <c r="B26" s="193" t="s">
        <v>18</v>
      </c>
      <c r="C26" s="16" t="s">
        <v>18</v>
      </c>
      <c r="D26" s="16"/>
      <c r="E26" s="197">
        <v>0</v>
      </c>
      <c r="F26" s="197">
        <v>0</v>
      </c>
      <c r="G26" s="197">
        <v>0</v>
      </c>
      <c r="H26" s="197">
        <v>0</v>
      </c>
      <c r="I26" s="196">
        <f t="shared" ref="I26:I30" si="0">E26+F26-G26-H26</f>
        <v>0</v>
      </c>
    </row>
    <row r="27" spans="1:11" ht="15.75" x14ac:dyDescent="0.3">
      <c r="A27" s="218" t="s">
        <v>139</v>
      </c>
      <c r="B27" s="193" t="s">
        <v>18</v>
      </c>
      <c r="C27" s="16" t="s">
        <v>18</v>
      </c>
      <c r="D27" s="16"/>
      <c r="E27" s="197">
        <v>0</v>
      </c>
      <c r="F27" s="197"/>
      <c r="G27" s="197"/>
      <c r="H27" s="197">
        <v>0</v>
      </c>
      <c r="I27" s="196">
        <f t="shared" si="0"/>
        <v>0</v>
      </c>
    </row>
    <row r="28" spans="1:11" ht="15.75" x14ac:dyDescent="0.3">
      <c r="A28" s="218" t="s">
        <v>139</v>
      </c>
      <c r="B28" s="193"/>
      <c r="C28" s="16"/>
      <c r="D28" s="16"/>
      <c r="E28" s="197">
        <v>0</v>
      </c>
      <c r="F28" s="197"/>
      <c r="G28" s="197"/>
      <c r="H28" s="197">
        <v>0</v>
      </c>
      <c r="I28" s="196">
        <f t="shared" si="0"/>
        <v>0</v>
      </c>
    </row>
    <row r="29" spans="1:11" ht="15.75" x14ac:dyDescent="0.3">
      <c r="A29" s="218" t="s">
        <v>139</v>
      </c>
      <c r="B29" s="193"/>
      <c r="C29" s="16"/>
      <c r="D29" s="16"/>
      <c r="E29" s="197">
        <v>0</v>
      </c>
      <c r="F29" s="197"/>
      <c r="G29" s="197"/>
      <c r="H29" s="197">
        <v>0</v>
      </c>
      <c r="I29" s="196">
        <f t="shared" si="0"/>
        <v>0</v>
      </c>
    </row>
    <row r="30" spans="1:11" ht="15.75" x14ac:dyDescent="0.3">
      <c r="A30" s="218" t="s">
        <v>139</v>
      </c>
      <c r="B30" s="193"/>
      <c r="C30" s="16"/>
      <c r="D30" s="16"/>
      <c r="E30" s="197"/>
      <c r="F30" s="197"/>
      <c r="G30" s="197"/>
      <c r="H30" s="197">
        <v>0</v>
      </c>
      <c r="I30" s="196">
        <f t="shared" si="0"/>
        <v>0</v>
      </c>
    </row>
    <row r="31" spans="1:11" ht="16.5" x14ac:dyDescent="0.3">
      <c r="A31" s="218"/>
      <c r="B31" s="271" t="s">
        <v>210</v>
      </c>
      <c r="C31" s="21"/>
      <c r="D31" s="21"/>
      <c r="E31" s="272">
        <f>SUM(E25:E30)</f>
        <v>0</v>
      </c>
      <c r="F31" s="272">
        <f t="shared" ref="F31:I31" si="1">SUM(F25:F30)</f>
        <v>0</v>
      </c>
      <c r="G31" s="272">
        <f t="shared" si="1"/>
        <v>0</v>
      </c>
      <c r="H31" s="272">
        <f t="shared" si="1"/>
        <v>0</v>
      </c>
      <c r="I31" s="272">
        <f t="shared" si="1"/>
        <v>0</v>
      </c>
    </row>
    <row r="32" spans="1:11" ht="15.75" x14ac:dyDescent="0.3">
      <c r="A32" s="289" t="s">
        <v>212</v>
      </c>
      <c r="B32"/>
      <c r="C32"/>
      <c r="D32"/>
      <c r="E32"/>
      <c r="F32"/>
      <c r="G32"/>
      <c r="H32"/>
      <c r="I32"/>
    </row>
    <row r="33" spans="1:9" ht="15.75" x14ac:dyDescent="0.3">
      <c r="A33" s="218" t="s">
        <v>139</v>
      </c>
      <c r="B33" s="23" t="s">
        <v>18</v>
      </c>
      <c r="C33" s="16" t="s">
        <v>18</v>
      </c>
      <c r="D33" s="16"/>
      <c r="E33" s="197">
        <v>0</v>
      </c>
      <c r="F33" s="197"/>
      <c r="G33" s="197"/>
      <c r="H33" s="197">
        <v>0</v>
      </c>
      <c r="I33" s="197">
        <f t="shared" ref="I33" si="2">E33+F33-G33-H33</f>
        <v>0</v>
      </c>
    </row>
    <row r="34" spans="1:9" ht="16.5" x14ac:dyDescent="0.3">
      <c r="A34" s="218"/>
      <c r="B34" s="271" t="s">
        <v>211</v>
      </c>
      <c r="C34" s="21"/>
      <c r="D34" s="21"/>
      <c r="E34" s="272">
        <f>E33+E31</f>
        <v>0</v>
      </c>
      <c r="F34" s="272">
        <f>F33+F31</f>
        <v>0</v>
      </c>
      <c r="G34" s="272">
        <f>G33+G31</f>
        <v>0</v>
      </c>
      <c r="H34" s="272">
        <f>H33+H31</f>
        <v>0</v>
      </c>
      <c r="I34" s="272">
        <f>I33+I31</f>
        <v>0</v>
      </c>
    </row>
    <row r="35" spans="1:9" x14ac:dyDescent="0.25">
      <c r="A35" s="11"/>
      <c r="B35" s="21"/>
      <c r="C35" s="21"/>
      <c r="D35" s="21"/>
      <c r="E35" s="21"/>
      <c r="F35" s="21"/>
      <c r="G35" s="21"/>
      <c r="H35" s="21"/>
      <c r="I35" s="40"/>
    </row>
    <row r="37" spans="1:9" x14ac:dyDescent="0.25">
      <c r="A37" s="35" t="s">
        <v>213</v>
      </c>
    </row>
    <row r="46" spans="1:9" x14ac:dyDescent="0.25">
      <c r="A46" s="17"/>
      <c r="H46" s="35"/>
      <c r="I46" s="35"/>
    </row>
    <row r="47" spans="1:9" x14ac:dyDescent="0.25">
      <c r="A47" s="17"/>
      <c r="H47" s="35"/>
      <c r="I47" s="35"/>
    </row>
    <row r="48" spans="1:9" x14ac:dyDescent="0.25">
      <c r="A48" s="17"/>
      <c r="H48" s="35"/>
      <c r="I48" s="35"/>
    </row>
    <row r="49" spans="1:9" x14ac:dyDescent="0.25">
      <c r="A49" s="17"/>
      <c r="I49" s="35"/>
    </row>
    <row r="50" spans="1:9" x14ac:dyDescent="0.25">
      <c r="A50" s="17"/>
      <c r="I50" s="35"/>
    </row>
    <row r="51" spans="1:9" x14ac:dyDescent="0.25">
      <c r="A51" s="17"/>
      <c r="I51" s="35"/>
    </row>
    <row r="52" spans="1:9" x14ac:dyDescent="0.25">
      <c r="I52" s="35"/>
    </row>
    <row r="53" spans="1:9" x14ac:dyDescent="0.25">
      <c r="I53" s="35"/>
    </row>
    <row r="54" spans="1:9" x14ac:dyDescent="0.25">
      <c r="I54" s="35"/>
    </row>
    <row r="55" spans="1:9" x14ac:dyDescent="0.25">
      <c r="I55" s="35"/>
    </row>
    <row r="56" spans="1:9" x14ac:dyDescent="0.25">
      <c r="I56" s="35"/>
    </row>
    <row r="57" spans="1:9" x14ac:dyDescent="0.25">
      <c r="B57" s="35"/>
      <c r="C57" s="35"/>
      <c r="D57" s="35"/>
      <c r="E57" s="35"/>
      <c r="I57" s="35"/>
    </row>
    <row r="58" spans="1:9" ht="15.75" x14ac:dyDescent="0.3">
      <c r="B58" s="18"/>
      <c r="C58" s="35"/>
      <c r="D58" s="35"/>
      <c r="E58" s="35"/>
      <c r="I58" s="35"/>
    </row>
    <row r="59" spans="1:9" x14ac:dyDescent="0.25">
      <c r="C59" s="19"/>
      <c r="I59" s="35"/>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47"/>
  <sheetViews>
    <sheetView workbookViewId="0">
      <selection activeCell="I32" sqref="I32"/>
    </sheetView>
  </sheetViews>
  <sheetFormatPr defaultRowHeight="13.5" x14ac:dyDescent="0.25"/>
  <cols>
    <col min="1" max="1" width="24" style="7" customWidth="1"/>
    <col min="2" max="3" width="9.42578125" style="7" customWidth="1"/>
    <col min="4" max="4" width="15.140625" style="7" customWidth="1"/>
    <col min="5" max="5" width="10.140625" style="7" customWidth="1"/>
    <col min="6" max="6" width="14.85546875" style="7" customWidth="1"/>
    <col min="7" max="7" width="13.140625" style="7" customWidth="1"/>
    <col min="8" max="8" width="9.140625" style="7"/>
    <col min="9" max="9" width="12.7109375" style="7" customWidth="1"/>
    <col min="10" max="10" width="9.140625" style="7"/>
    <col min="11" max="11" width="11.7109375" style="7" customWidth="1"/>
    <col min="12" max="16384" width="9.140625" style="7"/>
  </cols>
  <sheetData>
    <row r="1" spans="1:11" s="5" customFormat="1" ht="19.5" x14ac:dyDescent="0.35">
      <c r="A1" s="5" t="s">
        <v>50</v>
      </c>
      <c r="D1" s="13" t="str">
        <f>'Budget Info'!D8</f>
        <v xml:space="preserve"> </v>
      </c>
      <c r="K1" s="5" t="str">
        <f>Instructions!A3</f>
        <v>FY2014</v>
      </c>
    </row>
    <row r="3" spans="1:11" s="14" customFormat="1" ht="16.5" x14ac:dyDescent="0.3">
      <c r="A3" s="32" t="s">
        <v>68</v>
      </c>
      <c r="B3" s="33"/>
      <c r="C3" s="33"/>
      <c r="D3" s="33"/>
      <c r="E3" s="33"/>
      <c r="F3" s="33"/>
      <c r="G3" s="33"/>
      <c r="H3" s="33"/>
      <c r="I3" s="33"/>
      <c r="J3" s="33"/>
      <c r="K3" s="33"/>
    </row>
    <row r="4" spans="1:11" ht="15.75" x14ac:dyDescent="0.3">
      <c r="A4" s="34" t="s">
        <v>51</v>
      </c>
      <c r="B4" s="35"/>
      <c r="C4" s="35"/>
      <c r="D4" s="35"/>
      <c r="E4" s="35"/>
      <c r="F4" s="35"/>
      <c r="G4" s="35"/>
      <c r="H4" s="35"/>
      <c r="I4" s="35"/>
      <c r="J4" s="35"/>
      <c r="K4" s="35"/>
    </row>
    <row r="5" spans="1:11" ht="15.75" x14ac:dyDescent="0.3">
      <c r="A5" s="34"/>
      <c r="B5" s="35"/>
      <c r="C5" s="35"/>
      <c r="D5" s="35"/>
      <c r="E5" s="35"/>
      <c r="F5" s="35"/>
      <c r="G5" s="35"/>
      <c r="H5" s="35"/>
      <c r="I5" s="35"/>
      <c r="J5" s="35"/>
      <c r="K5" s="35"/>
    </row>
    <row r="6" spans="1:11" x14ac:dyDescent="0.25">
      <c r="A6" s="29" t="s">
        <v>46</v>
      </c>
      <c r="B6" s="67"/>
      <c r="C6" s="30"/>
      <c r="D6" s="30"/>
      <c r="E6" s="30"/>
      <c r="F6" s="30"/>
      <c r="G6" s="30"/>
      <c r="H6" s="30"/>
      <c r="I6" s="31"/>
      <c r="J6" s="37"/>
      <c r="K6" s="37"/>
    </row>
    <row r="7" spans="1:11" x14ac:dyDescent="0.25">
      <c r="A7" s="36" t="s">
        <v>49</v>
      </c>
      <c r="B7" s="37"/>
      <c r="C7" s="37"/>
      <c r="D7" s="37"/>
      <c r="E7" s="37"/>
      <c r="F7" s="37"/>
      <c r="G7" s="37"/>
      <c r="H7" s="37"/>
      <c r="I7" s="38"/>
      <c r="J7" s="37"/>
      <c r="K7" s="37"/>
    </row>
    <row r="8" spans="1:11" x14ac:dyDescent="0.25">
      <c r="A8" s="36" t="s">
        <v>69</v>
      </c>
      <c r="B8" s="37"/>
      <c r="C8" s="37"/>
      <c r="D8" s="37"/>
      <c r="E8" s="37"/>
      <c r="F8" s="37"/>
      <c r="G8" s="37"/>
      <c r="H8" s="37"/>
      <c r="I8" s="38"/>
      <c r="J8" s="37"/>
      <c r="K8" s="37"/>
    </row>
    <row r="9" spans="1:11" x14ac:dyDescent="0.25">
      <c r="A9" s="36" t="s">
        <v>70</v>
      </c>
      <c r="B9" s="37"/>
      <c r="C9" s="37"/>
      <c r="D9" s="37"/>
      <c r="E9" s="37"/>
      <c r="F9" s="37"/>
      <c r="G9" s="37"/>
      <c r="H9" s="37"/>
      <c r="I9" s="38"/>
      <c r="J9" s="37"/>
      <c r="K9" s="37"/>
    </row>
    <row r="10" spans="1:11" x14ac:dyDescent="0.25">
      <c r="A10" s="36" t="s">
        <v>71</v>
      </c>
      <c r="B10" s="37"/>
      <c r="C10" s="37"/>
      <c r="D10" s="37"/>
      <c r="E10" s="37"/>
      <c r="F10" s="37"/>
      <c r="G10" s="37"/>
      <c r="H10" s="37"/>
      <c r="I10" s="38"/>
      <c r="J10" s="37"/>
      <c r="K10" s="37"/>
    </row>
    <row r="11" spans="1:11" x14ac:dyDescent="0.25">
      <c r="A11" s="36" t="s">
        <v>72</v>
      </c>
      <c r="B11" s="37"/>
      <c r="C11" s="9" t="s">
        <v>65</v>
      </c>
      <c r="D11" s="37"/>
      <c r="E11" s="37"/>
      <c r="F11" s="37"/>
      <c r="G11" s="37"/>
      <c r="H11" s="37"/>
      <c r="I11" s="38"/>
      <c r="J11" s="37"/>
      <c r="K11" s="37"/>
    </row>
    <row r="12" spans="1:11" x14ac:dyDescent="0.25">
      <c r="A12" s="39" t="s">
        <v>73</v>
      </c>
      <c r="B12" s="37"/>
      <c r="C12" s="37"/>
      <c r="D12" s="37"/>
      <c r="E12" s="37"/>
      <c r="F12" s="37"/>
      <c r="G12" s="37"/>
      <c r="H12" s="37"/>
      <c r="I12" s="38"/>
      <c r="J12" s="37"/>
      <c r="K12" s="37"/>
    </row>
    <row r="13" spans="1:11" x14ac:dyDescent="0.25">
      <c r="A13" s="39" t="s">
        <v>74</v>
      </c>
      <c r="B13" s="9"/>
      <c r="C13" s="9"/>
      <c r="D13" s="9"/>
      <c r="E13" s="9"/>
      <c r="F13" s="9"/>
      <c r="G13" s="9"/>
      <c r="H13" s="9"/>
      <c r="I13" s="10"/>
      <c r="J13" s="9"/>
      <c r="K13" s="9"/>
    </row>
    <row r="14" spans="1:11" x14ac:dyDescent="0.25">
      <c r="A14" s="11" t="s">
        <v>75</v>
      </c>
      <c r="B14" s="21"/>
      <c r="C14" s="21"/>
      <c r="D14" s="21"/>
      <c r="E14" s="21"/>
      <c r="F14" s="21"/>
      <c r="G14" s="21"/>
      <c r="H14" s="21"/>
      <c r="I14" s="40"/>
      <c r="J14" s="9"/>
      <c r="K14" s="9"/>
    </row>
    <row r="16" spans="1:11" x14ac:dyDescent="0.25">
      <c r="H16" s="346" t="s">
        <v>30</v>
      </c>
      <c r="I16" s="347"/>
      <c r="J16" s="346" t="s">
        <v>31</v>
      </c>
      <c r="K16" s="347"/>
    </row>
    <row r="17" spans="1:11" x14ac:dyDescent="0.25">
      <c r="A17" s="41" t="s">
        <v>18</v>
      </c>
      <c r="B17" s="42" t="s">
        <v>18</v>
      </c>
      <c r="C17" s="42"/>
      <c r="D17" s="43" t="s">
        <v>18</v>
      </c>
      <c r="E17" s="43" t="s">
        <v>18</v>
      </c>
      <c r="F17" s="43" t="s">
        <v>18</v>
      </c>
      <c r="G17" s="43" t="s">
        <v>18</v>
      </c>
      <c r="H17" s="348" t="str">
        <f>'Budget Info'!C14</f>
        <v xml:space="preserve"> </v>
      </c>
      <c r="I17" s="349"/>
      <c r="J17" s="348" t="str">
        <f>'Budget Info'!C15</f>
        <v xml:space="preserve"> </v>
      </c>
      <c r="K17" s="349"/>
    </row>
    <row r="18" spans="1:11" x14ac:dyDescent="0.25">
      <c r="A18" s="44" t="s">
        <v>2</v>
      </c>
      <c r="B18" s="45" t="s">
        <v>33</v>
      </c>
      <c r="C18" s="45" t="s">
        <v>34</v>
      </c>
      <c r="D18" s="45" t="s">
        <v>26</v>
      </c>
      <c r="E18" s="45" t="s">
        <v>27</v>
      </c>
      <c r="F18" s="45" t="s">
        <v>28</v>
      </c>
      <c r="G18" s="45" t="s">
        <v>29</v>
      </c>
      <c r="H18" s="46" t="s">
        <v>3</v>
      </c>
      <c r="I18" s="46" t="s">
        <v>4</v>
      </c>
      <c r="J18" s="46" t="s">
        <v>3</v>
      </c>
      <c r="K18" s="46" t="s">
        <v>4</v>
      </c>
    </row>
    <row r="19" spans="1:11" x14ac:dyDescent="0.25">
      <c r="A19" s="47" t="s">
        <v>18</v>
      </c>
      <c r="B19" s="48" t="s">
        <v>18</v>
      </c>
      <c r="C19" s="48" t="s">
        <v>18</v>
      </c>
      <c r="D19" s="49">
        <v>0</v>
      </c>
      <c r="E19" s="50">
        <v>0</v>
      </c>
      <c r="F19" s="51">
        <f>IF(D19=0,0,IF(C19="ex",E19*Salaries!$B$40+Salaries!$B$39*Salaries!D19,IF(C19="cl",E19*Salaries!$B$40+Salaries!$B$39*D19,IF(C19="GA",Salaries!$B$42*D19,IF(C19="TH",Salaries!$B$41*D19,"Need TYPE")))))</f>
        <v>0</v>
      </c>
      <c r="G19" s="51">
        <f>F19+D19</f>
        <v>0</v>
      </c>
      <c r="H19" s="52">
        <v>0</v>
      </c>
      <c r="I19" s="53">
        <f>H19*G19</f>
        <v>0</v>
      </c>
      <c r="J19" s="54">
        <v>0</v>
      </c>
      <c r="K19" s="53">
        <f>J19*G19</f>
        <v>0</v>
      </c>
    </row>
    <row r="20" spans="1:11" x14ac:dyDescent="0.25">
      <c r="A20" s="47" t="s">
        <v>18</v>
      </c>
      <c r="B20" s="48" t="s">
        <v>18</v>
      </c>
      <c r="C20" s="48" t="s">
        <v>18</v>
      </c>
      <c r="D20" s="49">
        <v>0</v>
      </c>
      <c r="E20" s="50">
        <v>0</v>
      </c>
      <c r="F20" s="51">
        <f>IF(D20=0,0,IF(C20="ex",E20*Salaries!$B$40+Salaries!$B$39*Salaries!D20,IF(C20="cl",E20*Salaries!$B$40+Salaries!$B$39*D20,IF(C20="GA",Salaries!$B$42*D20,IF(C20="TH",Salaries!$B$41*D20,"Need TYPE")))))</f>
        <v>0</v>
      </c>
      <c r="G20" s="51">
        <f t="shared" ref="G20:G29" si="0">F20+D20</f>
        <v>0</v>
      </c>
      <c r="H20" s="52">
        <v>0</v>
      </c>
      <c r="I20" s="53">
        <f t="shared" ref="I20:I29" si="1">H20*G20</f>
        <v>0</v>
      </c>
      <c r="J20" s="54">
        <v>0</v>
      </c>
      <c r="K20" s="53">
        <f t="shared" ref="K20:K29" si="2">J20*G20</f>
        <v>0</v>
      </c>
    </row>
    <row r="21" spans="1:11" x14ac:dyDescent="0.25">
      <c r="A21" s="55" t="s">
        <v>18</v>
      </c>
      <c r="B21" s="56" t="s">
        <v>18</v>
      </c>
      <c r="C21" s="48" t="s">
        <v>18</v>
      </c>
      <c r="D21" s="49">
        <v>0</v>
      </c>
      <c r="E21" s="57">
        <v>0</v>
      </c>
      <c r="F21" s="51">
        <f>IF(D21=0,0,IF(C21="ex",E21*Salaries!$B$40+Salaries!$B$39*Salaries!D21,IF(C21="cl",E21*Salaries!$B$40+Salaries!$B$39*D21,IF(C21="GA",Salaries!$B$42*D21,IF(C21="TH",Salaries!$B$41*D21,"Need TYPE")))))</f>
        <v>0</v>
      </c>
      <c r="G21" s="51">
        <f t="shared" si="0"/>
        <v>0</v>
      </c>
      <c r="H21" s="52">
        <v>0</v>
      </c>
      <c r="I21" s="53">
        <f t="shared" si="1"/>
        <v>0</v>
      </c>
      <c r="J21" s="54">
        <v>0</v>
      </c>
      <c r="K21" s="53">
        <f t="shared" si="2"/>
        <v>0</v>
      </c>
    </row>
    <row r="22" spans="1:11" x14ac:dyDescent="0.25">
      <c r="A22" s="55" t="s">
        <v>18</v>
      </c>
      <c r="B22" s="56" t="s">
        <v>18</v>
      </c>
      <c r="C22" s="48" t="s">
        <v>18</v>
      </c>
      <c r="D22" s="49">
        <v>0</v>
      </c>
      <c r="E22" s="57">
        <v>0</v>
      </c>
      <c r="F22" s="51">
        <f>IF(D22=0,0,IF(C22="ex",E22*Salaries!$B$40+Salaries!$B$39*Salaries!D22,IF(C22="cl",E22*Salaries!$B$40+Salaries!$B$39*D22,IF(C22="GA",Salaries!$B$42*D22,IF(C22="TH",Salaries!$B$41*D22,"Need TYPE")))))</f>
        <v>0</v>
      </c>
      <c r="G22" s="51">
        <f t="shared" si="0"/>
        <v>0</v>
      </c>
      <c r="H22" s="52">
        <v>0</v>
      </c>
      <c r="I22" s="53">
        <f t="shared" si="1"/>
        <v>0</v>
      </c>
      <c r="J22" s="54">
        <v>0</v>
      </c>
      <c r="K22" s="53">
        <f t="shared" si="2"/>
        <v>0</v>
      </c>
    </row>
    <row r="23" spans="1:11" x14ac:dyDescent="0.25">
      <c r="A23" s="55" t="s">
        <v>18</v>
      </c>
      <c r="B23" s="56" t="s">
        <v>18</v>
      </c>
      <c r="C23" s="48" t="s">
        <v>18</v>
      </c>
      <c r="D23" s="49">
        <v>0</v>
      </c>
      <c r="E23" s="57">
        <v>0</v>
      </c>
      <c r="F23" s="51">
        <f>IF(D23=0,0,IF(C23="ex",E23*Salaries!$B$40+Salaries!$B$39*Salaries!D23,IF(C23="cl",E23*Salaries!$B$40+Salaries!$B$39*D23,IF(C23="GA",Salaries!$B$42*D23,IF(C23="TH",Salaries!$B$41*D23,"Need TYPE")))))</f>
        <v>0</v>
      </c>
      <c r="G23" s="51">
        <f t="shared" si="0"/>
        <v>0</v>
      </c>
      <c r="H23" s="52">
        <v>0</v>
      </c>
      <c r="I23" s="53">
        <f t="shared" si="1"/>
        <v>0</v>
      </c>
      <c r="J23" s="54">
        <v>0</v>
      </c>
      <c r="K23" s="53">
        <f t="shared" si="2"/>
        <v>0</v>
      </c>
    </row>
    <row r="24" spans="1:11" x14ac:dyDescent="0.25">
      <c r="A24" s="55" t="s">
        <v>18</v>
      </c>
      <c r="B24" s="56" t="s">
        <v>18</v>
      </c>
      <c r="C24" s="48" t="s">
        <v>18</v>
      </c>
      <c r="D24" s="49">
        <v>0</v>
      </c>
      <c r="E24" s="57">
        <v>0</v>
      </c>
      <c r="F24" s="51">
        <f>IF(D24=0,0,IF(C24="ex",E24*Salaries!$B$40+Salaries!$B$39*Salaries!D24,IF(C24="cl",E24*Salaries!$B$40+Salaries!$B$39*D24,IF(C24="GA",Salaries!$B$42*D24,IF(C24="TH",Salaries!$B$41*D24,"Need TYPE")))))</f>
        <v>0</v>
      </c>
      <c r="G24" s="51">
        <f t="shared" si="0"/>
        <v>0</v>
      </c>
      <c r="H24" s="52">
        <v>0</v>
      </c>
      <c r="I24" s="53">
        <f t="shared" si="1"/>
        <v>0</v>
      </c>
      <c r="J24" s="54">
        <v>0</v>
      </c>
      <c r="K24" s="53">
        <f t="shared" si="2"/>
        <v>0</v>
      </c>
    </row>
    <row r="25" spans="1:11" x14ac:dyDescent="0.25">
      <c r="A25" s="55" t="s">
        <v>18</v>
      </c>
      <c r="B25" s="56" t="s">
        <v>18</v>
      </c>
      <c r="C25" s="48" t="s">
        <v>18</v>
      </c>
      <c r="D25" s="49">
        <v>0</v>
      </c>
      <c r="E25" s="57">
        <v>0</v>
      </c>
      <c r="F25" s="51">
        <f>IF(D25=0,0,IF(C25="ex",E25*Salaries!$B$40+Salaries!$B$39*Salaries!D25,IF(C25="cl",E25*Salaries!$B$40+Salaries!$B$39*D25,IF(C25="GA",Salaries!$B$42*D25,IF(C25="TH",Salaries!$B$41*D25,"Need TYPE")))))</f>
        <v>0</v>
      </c>
      <c r="G25" s="51">
        <f t="shared" si="0"/>
        <v>0</v>
      </c>
      <c r="H25" s="52">
        <v>0</v>
      </c>
      <c r="I25" s="53">
        <f t="shared" si="1"/>
        <v>0</v>
      </c>
      <c r="J25" s="54">
        <v>0</v>
      </c>
      <c r="K25" s="53">
        <f t="shared" si="2"/>
        <v>0</v>
      </c>
    </row>
    <row r="26" spans="1:11" x14ac:dyDescent="0.25">
      <c r="A26" s="55" t="s">
        <v>18</v>
      </c>
      <c r="B26" s="56" t="s">
        <v>18</v>
      </c>
      <c r="C26" s="48" t="s">
        <v>18</v>
      </c>
      <c r="D26" s="49">
        <v>0</v>
      </c>
      <c r="E26" s="57">
        <v>0</v>
      </c>
      <c r="F26" s="51">
        <f>IF(D26=0,0,IF(C26="ex",E26*Salaries!$B$40+Salaries!$B$39*Salaries!D26,IF(C26="cl",E26*Salaries!$B$40+Salaries!$B$39*D26,IF(C26="GA",Salaries!$B$42*D26,IF(C26="TH",Salaries!$B$41*D26,"Need TYPE")))))</f>
        <v>0</v>
      </c>
      <c r="G26" s="51">
        <f t="shared" si="0"/>
        <v>0</v>
      </c>
      <c r="H26" s="52">
        <v>0</v>
      </c>
      <c r="I26" s="53">
        <f t="shared" si="1"/>
        <v>0</v>
      </c>
      <c r="J26" s="54">
        <v>0</v>
      </c>
      <c r="K26" s="53">
        <f t="shared" si="2"/>
        <v>0</v>
      </c>
    </row>
    <row r="27" spans="1:11" x14ac:dyDescent="0.25">
      <c r="A27" s="55" t="s">
        <v>18</v>
      </c>
      <c r="B27" s="56" t="s">
        <v>18</v>
      </c>
      <c r="C27" s="48" t="s">
        <v>18</v>
      </c>
      <c r="D27" s="49">
        <v>0</v>
      </c>
      <c r="E27" s="57">
        <v>0</v>
      </c>
      <c r="F27" s="51">
        <f>IF(D27=0,0,IF(C27="ex",E27*Salaries!$B$40+Salaries!$B$39*Salaries!D27,IF(C27="cl",E27*Salaries!$B$40+Salaries!$B$39*D27,IF(C27="GA",Salaries!$B$42*D27,IF(C27="TH",Salaries!$B$41*D27,"Need TYPE")))))</f>
        <v>0</v>
      </c>
      <c r="G27" s="51">
        <f t="shared" si="0"/>
        <v>0</v>
      </c>
      <c r="H27" s="52">
        <v>0</v>
      </c>
      <c r="I27" s="53">
        <f t="shared" si="1"/>
        <v>0</v>
      </c>
      <c r="J27" s="54">
        <v>0</v>
      </c>
      <c r="K27" s="53">
        <f t="shared" si="2"/>
        <v>0</v>
      </c>
    </row>
    <row r="28" spans="1:11" x14ac:dyDescent="0.25">
      <c r="A28" s="55" t="s">
        <v>18</v>
      </c>
      <c r="B28" s="56" t="s">
        <v>18</v>
      </c>
      <c r="C28" s="48" t="s">
        <v>18</v>
      </c>
      <c r="D28" s="49">
        <v>0</v>
      </c>
      <c r="E28" s="57">
        <v>0</v>
      </c>
      <c r="F28" s="51">
        <f>IF(D28=0,0,IF(C28="ex",E28*Salaries!$B$40+Salaries!$B$39*Salaries!D28,IF(C28="cl",E28*Salaries!$B$40+Salaries!$B$39*D28,IF(C28="GA",Salaries!$B$42*D28,IF(C28="TH",Salaries!$B$41*D28,"Need TYPE")))))</f>
        <v>0</v>
      </c>
      <c r="G28" s="51">
        <f t="shared" ref="G28" si="3">F28+D28</f>
        <v>0</v>
      </c>
      <c r="H28" s="52">
        <v>0</v>
      </c>
      <c r="I28" s="53">
        <f t="shared" ref="I28" si="4">H28*G28</f>
        <v>0</v>
      </c>
      <c r="J28" s="54">
        <v>0</v>
      </c>
      <c r="K28" s="53">
        <f t="shared" ref="K28" si="5">J28*G28</f>
        <v>0</v>
      </c>
    </row>
    <row r="29" spans="1:11" x14ac:dyDescent="0.25">
      <c r="A29" s="55" t="s">
        <v>18</v>
      </c>
      <c r="B29" s="56" t="s">
        <v>18</v>
      </c>
      <c r="C29" s="56" t="s">
        <v>18</v>
      </c>
      <c r="D29" s="58">
        <v>0</v>
      </c>
      <c r="E29" s="57">
        <v>0</v>
      </c>
      <c r="F29" s="53">
        <f>IF(D29=0,0,IF(C29="ex",E29*Salaries!$B$40+Salaries!$B$39*Salaries!D29,IF(C29="cl",E29*Salaries!$B$40+Salaries!$B$39*D29,IF(C29="GA",Salaries!$B$42*D29,IF(C29="TH",Salaries!$B$41*D29,"Need TYPE")))))</f>
        <v>0</v>
      </c>
      <c r="G29" s="53">
        <f t="shared" si="0"/>
        <v>0</v>
      </c>
      <c r="H29" s="52">
        <v>0</v>
      </c>
      <c r="I29" s="53">
        <f t="shared" si="1"/>
        <v>0</v>
      </c>
      <c r="J29" s="54">
        <v>0</v>
      </c>
      <c r="K29" s="53">
        <f t="shared" si="2"/>
        <v>0</v>
      </c>
    </row>
    <row r="30" spans="1:11" x14ac:dyDescent="0.25">
      <c r="A30" s="55" t="s">
        <v>18</v>
      </c>
      <c r="B30" s="56" t="s">
        <v>18</v>
      </c>
      <c r="C30" s="56" t="s">
        <v>18</v>
      </c>
      <c r="D30" s="58">
        <v>0</v>
      </c>
      <c r="E30" s="57">
        <v>0</v>
      </c>
      <c r="F30" s="53">
        <f>IF(D30=0,0,IF(C30="ex",E30*Salaries!$B$40+Salaries!$B$39*Salaries!D30,IF(C30="cl",E30*Salaries!$B$40+Salaries!$B$39*D30,IF(C30="GA",Salaries!$B$42*D30,IF(C30="TH",Salaries!$B$41*D30,"Need TYPE")))))</f>
        <v>0</v>
      </c>
      <c r="G30" s="53">
        <f t="shared" ref="G30" si="6">F30+D30</f>
        <v>0</v>
      </c>
      <c r="H30" s="52">
        <v>0</v>
      </c>
      <c r="I30" s="53">
        <f t="shared" ref="I30" si="7">H30*G30</f>
        <v>0</v>
      </c>
      <c r="J30" s="54">
        <v>0</v>
      </c>
      <c r="K30" s="53">
        <f t="shared" ref="K30" si="8">J30*G30</f>
        <v>0</v>
      </c>
    </row>
    <row r="31" spans="1:11" x14ac:dyDescent="0.25">
      <c r="A31" s="35"/>
      <c r="B31" s="35"/>
      <c r="C31" s="35"/>
      <c r="D31" s="35"/>
      <c r="E31" s="35"/>
      <c r="F31" s="35"/>
      <c r="G31" s="35"/>
      <c r="H31" s="35"/>
      <c r="I31" s="35"/>
      <c r="J31" s="35"/>
      <c r="K31" s="35"/>
    </row>
    <row r="32" spans="1:11" x14ac:dyDescent="0.25">
      <c r="A32" s="59" t="s">
        <v>32</v>
      </c>
      <c r="B32" s="60"/>
      <c r="C32" s="60"/>
      <c r="D32" s="53">
        <f>SUM(D19:D31)</f>
        <v>0</v>
      </c>
      <c r="E32" s="62"/>
      <c r="F32" s="53">
        <f>SUM(F19:F31)</f>
        <v>0</v>
      </c>
      <c r="G32" s="53">
        <f>SUM(G19:G31)</f>
        <v>0</v>
      </c>
      <c r="H32" s="324"/>
      <c r="I32" s="53">
        <f>SUM(I19:I31)</f>
        <v>0</v>
      </c>
      <c r="J32" s="324"/>
      <c r="K32" s="61">
        <f>SUM(K19:K29)</f>
        <v>0</v>
      </c>
    </row>
    <row r="33" spans="1:11" x14ac:dyDescent="0.25">
      <c r="A33" s="35"/>
      <c r="B33" s="35"/>
      <c r="C33" s="35"/>
      <c r="D33" s="35"/>
      <c r="E33" s="35"/>
      <c r="F33" s="35"/>
      <c r="G33" s="35"/>
      <c r="H33" s="35"/>
      <c r="I33" s="35"/>
      <c r="J33" s="35"/>
      <c r="K33" s="35"/>
    </row>
    <row r="34" spans="1:11" x14ac:dyDescent="0.25">
      <c r="A34" s="321" t="s">
        <v>236</v>
      </c>
      <c r="B34" s="273"/>
      <c r="C34" s="273"/>
      <c r="D34" s="273"/>
      <c r="E34" s="273"/>
      <c r="F34" s="273"/>
      <c r="G34" s="53">
        <v>0</v>
      </c>
      <c r="H34" s="52">
        <v>0</v>
      </c>
      <c r="I34" s="53">
        <f t="shared" ref="I34" si="9">H34*G34</f>
        <v>0</v>
      </c>
      <c r="J34" s="54">
        <v>0</v>
      </c>
      <c r="K34" s="53">
        <f t="shared" ref="K34" si="10">J34*G34</f>
        <v>0</v>
      </c>
    </row>
    <row r="35" spans="1:11" x14ac:dyDescent="0.25">
      <c r="A35" s="35"/>
      <c r="B35" s="35"/>
      <c r="C35" s="35"/>
      <c r="D35" s="35"/>
      <c r="E35" s="35"/>
      <c r="F35" s="35"/>
      <c r="G35" s="35"/>
      <c r="H35" s="35"/>
      <c r="I35" s="35"/>
      <c r="J35" s="35"/>
      <c r="K35" s="35"/>
    </row>
    <row r="36" spans="1:11" x14ac:dyDescent="0.25">
      <c r="A36" s="322" t="s">
        <v>186</v>
      </c>
      <c r="B36" s="273"/>
      <c r="C36" s="273"/>
      <c r="D36" s="273"/>
      <c r="E36" s="273"/>
      <c r="F36" s="273"/>
      <c r="G36" s="323">
        <f>G32-G34</f>
        <v>0</v>
      </c>
      <c r="H36" s="273"/>
      <c r="I36" s="130">
        <f>I32-I34</f>
        <v>0</v>
      </c>
      <c r="J36" s="273"/>
      <c r="K36" s="318">
        <f>K32-K34</f>
        <v>0</v>
      </c>
    </row>
    <row r="37" spans="1:11" x14ac:dyDescent="0.25">
      <c r="A37" s="35"/>
      <c r="B37" s="35"/>
      <c r="C37" s="35"/>
      <c r="D37" s="35"/>
      <c r="E37" s="35"/>
      <c r="F37" s="35"/>
      <c r="G37" s="35"/>
      <c r="H37" s="35"/>
      <c r="I37" s="35"/>
      <c r="J37" s="35"/>
      <c r="K37" s="35"/>
    </row>
    <row r="38" spans="1:11" x14ac:dyDescent="0.25">
      <c r="A38" s="63" t="s">
        <v>95</v>
      </c>
      <c r="B38" s="64" t="s">
        <v>96</v>
      </c>
    </row>
    <row r="39" spans="1:11" x14ac:dyDescent="0.25">
      <c r="A39" s="36" t="s">
        <v>19</v>
      </c>
      <c r="B39" s="38">
        <v>0.245</v>
      </c>
    </row>
    <row r="40" spans="1:11" x14ac:dyDescent="0.25">
      <c r="A40" s="36" t="s">
        <v>76</v>
      </c>
      <c r="B40" s="38">
        <v>9100</v>
      </c>
    </row>
    <row r="41" spans="1:11" x14ac:dyDescent="0.25">
      <c r="A41" s="36" t="s">
        <v>35</v>
      </c>
      <c r="B41" s="38">
        <v>8.2100000000000006E-2</v>
      </c>
    </row>
    <row r="42" spans="1:11" x14ac:dyDescent="0.25">
      <c r="A42" s="65" t="s">
        <v>66</v>
      </c>
      <c r="B42" s="66">
        <v>3.8E-3</v>
      </c>
    </row>
    <row r="44" spans="1:11" x14ac:dyDescent="0.25">
      <c r="A44" s="7" t="s">
        <v>97</v>
      </c>
    </row>
    <row r="47" spans="1:11" x14ac:dyDescent="0.25">
      <c r="A47" s="7" t="s">
        <v>18</v>
      </c>
    </row>
  </sheetData>
  <mergeCells count="4">
    <mergeCell ref="H16:I16"/>
    <mergeCell ref="J16:K16"/>
    <mergeCell ref="H17:I17"/>
    <mergeCell ref="J17:K17"/>
  </mergeCells>
  <phoneticPr fontId="0" type="noConversion"/>
  <pageMargins left="0.3" right="0.25" top="0.25" bottom="0.25" header="0.5" footer="0.5"/>
  <pageSetup scale="91"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0"/>
  <sheetViews>
    <sheetView workbookViewId="0">
      <selection activeCell="F19" sqref="F19"/>
    </sheetView>
  </sheetViews>
  <sheetFormatPr defaultRowHeight="13.5" x14ac:dyDescent="0.25"/>
  <cols>
    <col min="1" max="1" width="67.140625" style="7" customWidth="1"/>
    <col min="2" max="2" width="21.42578125" style="7" customWidth="1"/>
    <col min="3" max="3" width="17.5703125" style="7" customWidth="1"/>
    <col min="4" max="4" width="17.85546875" style="7" customWidth="1"/>
    <col min="5" max="5" width="17.5703125" style="7" customWidth="1"/>
    <col min="6" max="6" width="15.85546875" style="7" customWidth="1"/>
    <col min="7" max="16384" width="9.140625" style="7"/>
  </cols>
  <sheetData>
    <row r="1" spans="1:6" s="6" customFormat="1" ht="19.5" x14ac:dyDescent="0.35">
      <c r="A1" s="5" t="s">
        <v>50</v>
      </c>
      <c r="B1" s="319" t="str">
        <f>'Budget Info'!D8</f>
        <v xml:space="preserve"> </v>
      </c>
      <c r="F1" s="131" t="str">
        <f>Instructions!A3</f>
        <v>FY2014</v>
      </c>
    </row>
    <row r="2" spans="1:6" s="6" customFormat="1" ht="19.5" x14ac:dyDescent="0.35">
      <c r="B2" s="14"/>
      <c r="F2" s="131"/>
    </row>
    <row r="3" spans="1:6" s="6" customFormat="1" ht="19.5" x14ac:dyDescent="0.35">
      <c r="A3" s="13" t="s">
        <v>146</v>
      </c>
    </row>
    <row r="4" spans="1:6" ht="15.75" x14ac:dyDescent="0.3">
      <c r="A4" s="68" t="s">
        <v>39</v>
      </c>
    </row>
    <row r="5" spans="1:6" ht="15.75" x14ac:dyDescent="0.3">
      <c r="A5" s="68"/>
    </row>
    <row r="6" spans="1:6" x14ac:dyDescent="0.25">
      <c r="A6" s="77" t="s">
        <v>46</v>
      </c>
    </row>
    <row r="7" spans="1:6" x14ac:dyDescent="0.25">
      <c r="A7" s="69" t="s">
        <v>52</v>
      </c>
    </row>
    <row r="8" spans="1:6" x14ac:dyDescent="0.25">
      <c r="A8" s="70" t="s">
        <v>98</v>
      </c>
      <c r="C8" s="21"/>
      <c r="D8" s="21"/>
      <c r="E8" s="21"/>
      <c r="F8" s="21"/>
    </row>
    <row r="9" spans="1:6" x14ac:dyDescent="0.25">
      <c r="C9" s="352" t="s">
        <v>30</v>
      </c>
      <c r="D9" s="353"/>
      <c r="E9" s="352" t="s">
        <v>31</v>
      </c>
      <c r="F9" s="353"/>
    </row>
    <row r="10" spans="1:6" ht="19.5" x14ac:dyDescent="0.35">
      <c r="A10" s="71" t="s">
        <v>12</v>
      </c>
      <c r="B10" s="72"/>
      <c r="C10" s="189" t="str">
        <f>'Budget Info'!$C$14</f>
        <v xml:space="preserve"> </v>
      </c>
      <c r="D10" s="190"/>
      <c r="E10" s="189" t="str">
        <f>'Budget Info'!$C$15</f>
        <v xml:space="preserve"> </v>
      </c>
      <c r="F10" s="190"/>
    </row>
    <row r="11" spans="1:6" x14ac:dyDescent="0.25">
      <c r="A11" s="73" t="s">
        <v>7</v>
      </c>
      <c r="B11" s="74" t="s">
        <v>8</v>
      </c>
      <c r="C11" s="75" t="s">
        <v>6</v>
      </c>
      <c r="D11" s="76" t="s">
        <v>4</v>
      </c>
      <c r="E11" s="75" t="s">
        <v>6</v>
      </c>
      <c r="F11" s="76" t="s">
        <v>4</v>
      </c>
    </row>
    <row r="12" spans="1:6" x14ac:dyDescent="0.25">
      <c r="A12" s="16" t="s">
        <v>18</v>
      </c>
      <c r="B12" s="300">
        <v>0</v>
      </c>
      <c r="C12" s="54">
        <v>0</v>
      </c>
      <c r="D12" s="306">
        <f t="shared" ref="D12:F15" si="0">$B12*C12</f>
        <v>0</v>
      </c>
      <c r="E12" s="54">
        <v>0</v>
      </c>
      <c r="F12" s="306">
        <f>$B12*E12</f>
        <v>0</v>
      </c>
    </row>
    <row r="13" spans="1:6" x14ac:dyDescent="0.25">
      <c r="A13" s="16"/>
      <c r="B13" s="300">
        <v>0</v>
      </c>
      <c r="C13" s="54">
        <v>0</v>
      </c>
      <c r="D13" s="306">
        <f t="shared" si="0"/>
        <v>0</v>
      </c>
      <c r="E13" s="54">
        <v>0</v>
      </c>
      <c r="F13" s="306">
        <f t="shared" si="0"/>
        <v>0</v>
      </c>
    </row>
    <row r="14" spans="1:6" x14ac:dyDescent="0.25">
      <c r="A14" s="16"/>
      <c r="B14" s="300">
        <v>0</v>
      </c>
      <c r="C14" s="54">
        <v>0</v>
      </c>
      <c r="D14" s="306">
        <f t="shared" si="0"/>
        <v>0</v>
      </c>
      <c r="E14" s="54">
        <v>0</v>
      </c>
      <c r="F14" s="306">
        <f t="shared" si="0"/>
        <v>0</v>
      </c>
    </row>
    <row r="15" spans="1:6" x14ac:dyDescent="0.25">
      <c r="A15" s="16"/>
      <c r="B15" s="300">
        <v>0</v>
      </c>
      <c r="C15" s="54">
        <v>0</v>
      </c>
      <c r="D15" s="306">
        <f t="shared" si="0"/>
        <v>0</v>
      </c>
      <c r="E15" s="54">
        <v>0</v>
      </c>
      <c r="F15" s="306">
        <f t="shared" si="0"/>
        <v>0</v>
      </c>
    </row>
    <row r="16" spans="1:6" ht="6.75" customHeight="1" x14ac:dyDescent="0.25">
      <c r="B16" s="117"/>
      <c r="D16" s="303"/>
      <c r="F16" s="303"/>
    </row>
    <row r="17" spans="1:6" x14ac:dyDescent="0.25">
      <c r="A17" s="275" t="s">
        <v>187</v>
      </c>
      <c r="B17" s="305">
        <f>SUM(B12:B16)</f>
        <v>0</v>
      </c>
      <c r="C17" s="61"/>
      <c r="D17" s="306">
        <f>SUM(D12:D15)</f>
        <v>0</v>
      </c>
      <c r="E17" s="61"/>
      <c r="F17" s="306">
        <f>SUM(F12:F15)</f>
        <v>0</v>
      </c>
    </row>
    <row r="18" spans="1:6" x14ac:dyDescent="0.25">
      <c r="B18" s="302"/>
      <c r="C18" s="274"/>
      <c r="D18" s="116"/>
      <c r="E18" s="274"/>
      <c r="F18" s="116"/>
    </row>
    <row r="19" spans="1:6" x14ac:dyDescent="0.25">
      <c r="A19" s="275" t="s">
        <v>236</v>
      </c>
      <c r="B19" s="320">
        <v>0</v>
      </c>
      <c r="C19" s="54">
        <v>0</v>
      </c>
      <c r="D19" s="306">
        <f>C19*B19</f>
        <v>0</v>
      </c>
      <c r="E19" s="54">
        <v>0</v>
      </c>
      <c r="F19" s="306">
        <f>E19*B19</f>
        <v>0</v>
      </c>
    </row>
    <row r="20" spans="1:6" x14ac:dyDescent="0.25">
      <c r="A20" s="275"/>
      <c r="B20" s="303"/>
      <c r="C20" s="274"/>
      <c r="D20" s="116"/>
      <c r="E20" s="274"/>
      <c r="F20" s="116"/>
    </row>
    <row r="21" spans="1:6" x14ac:dyDescent="0.25">
      <c r="A21" s="275" t="s">
        <v>188</v>
      </c>
      <c r="B21" s="301">
        <f>B17-B19</f>
        <v>0</v>
      </c>
      <c r="C21" s="61"/>
      <c r="D21" s="306">
        <f>D17-D19</f>
        <v>0</v>
      </c>
      <c r="E21" s="61"/>
      <c r="F21" s="306">
        <f>F17-F19</f>
        <v>0</v>
      </c>
    </row>
    <row r="22" spans="1:6" x14ac:dyDescent="0.25">
      <c r="B22" s="302"/>
      <c r="C22" s="274"/>
      <c r="D22" s="274"/>
      <c r="E22" s="274"/>
      <c r="F22" s="274"/>
    </row>
    <row r="23" spans="1:6" x14ac:dyDescent="0.25">
      <c r="B23" s="117"/>
    </row>
    <row r="24" spans="1:6" x14ac:dyDescent="0.25">
      <c r="B24" s="303"/>
      <c r="C24" s="350" t="s">
        <v>30</v>
      </c>
      <c r="D24" s="351"/>
      <c r="E24" s="350" t="s">
        <v>31</v>
      </c>
      <c r="F24" s="351"/>
    </row>
    <row r="25" spans="1:6" ht="19.5" x14ac:dyDescent="0.35">
      <c r="A25" s="71" t="s">
        <v>36</v>
      </c>
      <c r="B25" s="117"/>
      <c r="C25" s="189" t="str">
        <f>'Budget Info'!$C$14</f>
        <v xml:space="preserve"> </v>
      </c>
      <c r="D25" s="190"/>
      <c r="E25" s="189" t="str">
        <f>'Budget Info'!$C$15</f>
        <v xml:space="preserve"> </v>
      </c>
      <c r="F25" s="190"/>
    </row>
    <row r="26" spans="1:6" x14ac:dyDescent="0.25">
      <c r="A26" s="73" t="s">
        <v>7</v>
      </c>
      <c r="B26" s="304" t="s">
        <v>8</v>
      </c>
      <c r="C26" s="75" t="s">
        <v>6</v>
      </c>
      <c r="D26" s="76" t="s">
        <v>4</v>
      </c>
      <c r="E26" s="75" t="s">
        <v>6</v>
      </c>
      <c r="F26" s="76" t="s">
        <v>4</v>
      </c>
    </row>
    <row r="27" spans="1:6" x14ac:dyDescent="0.25">
      <c r="A27" s="16">
        <v>0</v>
      </c>
      <c r="B27" s="300">
        <v>0</v>
      </c>
      <c r="C27" s="54">
        <v>0</v>
      </c>
      <c r="D27" s="306">
        <f t="shared" ref="D27:D29" si="1">$B27*C27</f>
        <v>0</v>
      </c>
      <c r="E27" s="54">
        <v>0</v>
      </c>
      <c r="F27" s="306">
        <f>$B27*E27</f>
        <v>0</v>
      </c>
    </row>
    <row r="28" spans="1:6" x14ac:dyDescent="0.25">
      <c r="A28" s="16">
        <v>0</v>
      </c>
      <c r="B28" s="300">
        <v>0</v>
      </c>
      <c r="C28" s="54">
        <v>0</v>
      </c>
      <c r="D28" s="306">
        <f t="shared" si="1"/>
        <v>0</v>
      </c>
      <c r="E28" s="54">
        <v>0</v>
      </c>
      <c r="F28" s="306">
        <f>$B28*E28</f>
        <v>0</v>
      </c>
    </row>
    <row r="29" spans="1:6" x14ac:dyDescent="0.25">
      <c r="A29" s="16">
        <v>0</v>
      </c>
      <c r="B29" s="300">
        <v>0</v>
      </c>
      <c r="C29" s="54">
        <v>0</v>
      </c>
      <c r="D29" s="306">
        <f t="shared" si="1"/>
        <v>0</v>
      </c>
      <c r="E29" s="54">
        <v>0</v>
      </c>
      <c r="F29" s="306">
        <f>$B29*E29</f>
        <v>0</v>
      </c>
    </row>
    <row r="30" spans="1:6" x14ac:dyDescent="0.25">
      <c r="A30" s="16"/>
      <c r="B30" s="300"/>
      <c r="C30" s="54">
        <v>0</v>
      </c>
      <c r="D30" s="306">
        <f>$B30*C30</f>
        <v>0</v>
      </c>
      <c r="E30" s="54">
        <v>0</v>
      </c>
      <c r="F30" s="306">
        <f>$B30*E30</f>
        <v>0</v>
      </c>
    </row>
    <row r="31" spans="1:6" x14ac:dyDescent="0.25">
      <c r="A31" s="16"/>
      <c r="B31" s="300"/>
      <c r="C31" s="54">
        <v>0</v>
      </c>
      <c r="D31" s="306">
        <f>$B31*C31</f>
        <v>0</v>
      </c>
      <c r="E31" s="54">
        <v>0</v>
      </c>
      <c r="F31" s="306">
        <f>$B31*E31</f>
        <v>0</v>
      </c>
    </row>
    <row r="32" spans="1:6" ht="5.25" customHeight="1" x14ac:dyDescent="0.25">
      <c r="B32" s="117"/>
      <c r="D32" s="303"/>
      <c r="F32" s="303"/>
    </row>
    <row r="33" spans="1:6" x14ac:dyDescent="0.25">
      <c r="A33" s="275" t="s">
        <v>189</v>
      </c>
      <c r="B33" s="305">
        <f>SUM(B27:B32)</f>
        <v>0</v>
      </c>
      <c r="C33" s="61"/>
      <c r="D33" s="306">
        <f>SUM(D28:D31)</f>
        <v>0</v>
      </c>
      <c r="E33" s="61"/>
      <c r="F33" s="306">
        <f>SUM(F28:F31)</f>
        <v>0</v>
      </c>
    </row>
    <row r="34" spans="1:6" x14ac:dyDescent="0.25">
      <c r="B34" s="302"/>
      <c r="C34" s="274"/>
      <c r="D34" s="116"/>
      <c r="E34" s="274"/>
      <c r="F34" s="116"/>
    </row>
    <row r="35" spans="1:6" x14ac:dyDescent="0.25">
      <c r="A35" s="275" t="s">
        <v>236</v>
      </c>
      <c r="B35" s="320">
        <v>0</v>
      </c>
      <c r="C35" s="54">
        <v>0</v>
      </c>
      <c r="D35" s="306">
        <f>C35*B35</f>
        <v>0</v>
      </c>
      <c r="E35" s="54">
        <v>0</v>
      </c>
      <c r="F35" s="306">
        <f>E35*B35</f>
        <v>0</v>
      </c>
    </row>
    <row r="36" spans="1:6" x14ac:dyDescent="0.25">
      <c r="A36" s="275"/>
      <c r="B36" s="303"/>
      <c r="C36" s="274"/>
      <c r="D36" s="116"/>
      <c r="E36" s="274"/>
      <c r="F36" s="116"/>
    </row>
    <row r="37" spans="1:6" x14ac:dyDescent="0.25">
      <c r="A37" s="275" t="s">
        <v>189</v>
      </c>
      <c r="B37" s="301">
        <f>B33-B35</f>
        <v>0</v>
      </c>
      <c r="C37" s="61"/>
      <c r="D37" s="306">
        <f>D33-D35</f>
        <v>0</v>
      </c>
      <c r="E37" s="61"/>
      <c r="F37" s="306">
        <f>F33-F35</f>
        <v>0</v>
      </c>
    </row>
    <row r="38" spans="1:6" x14ac:dyDescent="0.25">
      <c r="B38" s="303"/>
    </row>
    <row r="39" spans="1:6" x14ac:dyDescent="0.25">
      <c r="B39" s="303"/>
    </row>
    <row r="40" spans="1:6" x14ac:dyDescent="0.25">
      <c r="B40" s="303"/>
      <c r="C40" s="350" t="s">
        <v>30</v>
      </c>
      <c r="D40" s="351"/>
      <c r="E40" s="350" t="s">
        <v>31</v>
      </c>
      <c r="F40" s="351"/>
    </row>
    <row r="41" spans="1:6" ht="19.5" x14ac:dyDescent="0.35">
      <c r="A41" s="71" t="s">
        <v>38</v>
      </c>
      <c r="B41" s="117"/>
      <c r="C41" s="189" t="str">
        <f>'Budget Info'!$C$14</f>
        <v xml:space="preserve"> </v>
      </c>
      <c r="D41" s="190"/>
      <c r="E41" s="189" t="str">
        <f>'Budget Info'!$C$15</f>
        <v xml:space="preserve"> </v>
      </c>
      <c r="F41" s="190"/>
    </row>
    <row r="42" spans="1:6" x14ac:dyDescent="0.25">
      <c r="A42" s="73" t="s">
        <v>7</v>
      </c>
      <c r="B42" s="304" t="s">
        <v>8</v>
      </c>
      <c r="C42" s="75" t="s">
        <v>6</v>
      </c>
      <c r="D42" s="76" t="s">
        <v>4</v>
      </c>
      <c r="E42" s="75" t="s">
        <v>6</v>
      </c>
      <c r="F42" s="76" t="s">
        <v>4</v>
      </c>
    </row>
    <row r="43" spans="1:6" x14ac:dyDescent="0.25">
      <c r="A43" s="16" t="s">
        <v>229</v>
      </c>
      <c r="B43" s="300">
        <v>0</v>
      </c>
      <c r="C43" s="54">
        <v>0</v>
      </c>
      <c r="D43" s="306">
        <f t="shared" ref="D43:D45" si="2">$B43*C43</f>
        <v>0</v>
      </c>
      <c r="E43" s="54">
        <v>0</v>
      </c>
      <c r="F43" s="306">
        <f t="shared" ref="F43:F49" si="3">$B43*E43</f>
        <v>0</v>
      </c>
    </row>
    <row r="44" spans="1:6" x14ac:dyDescent="0.25">
      <c r="A44" s="16" t="s">
        <v>18</v>
      </c>
      <c r="B44" s="300">
        <v>0</v>
      </c>
      <c r="C44" s="54">
        <v>0</v>
      </c>
      <c r="D44" s="306">
        <f t="shared" si="2"/>
        <v>0</v>
      </c>
      <c r="E44" s="54">
        <v>0</v>
      </c>
      <c r="F44" s="306">
        <f t="shared" si="3"/>
        <v>0</v>
      </c>
    </row>
    <row r="45" spans="1:6" x14ac:dyDescent="0.25">
      <c r="A45" s="16" t="s">
        <v>18</v>
      </c>
      <c r="B45" s="300">
        <v>0</v>
      </c>
      <c r="C45" s="54">
        <v>0</v>
      </c>
      <c r="D45" s="306">
        <f t="shared" si="2"/>
        <v>0</v>
      </c>
      <c r="E45" s="54">
        <v>0</v>
      </c>
      <c r="F45" s="306">
        <f t="shared" si="3"/>
        <v>0</v>
      </c>
    </row>
    <row r="46" spans="1:6" x14ac:dyDescent="0.25">
      <c r="A46" s="16"/>
      <c r="B46" s="300">
        <v>0</v>
      </c>
      <c r="C46" s="54">
        <v>0</v>
      </c>
      <c r="D46" s="306">
        <f t="shared" ref="D46:D49" si="4">$B46*C46</f>
        <v>0</v>
      </c>
      <c r="E46" s="54">
        <v>0</v>
      </c>
      <c r="F46" s="306">
        <f t="shared" si="3"/>
        <v>0</v>
      </c>
    </row>
    <row r="47" spans="1:6" x14ac:dyDescent="0.25">
      <c r="A47" s="16"/>
      <c r="B47" s="300">
        <v>0</v>
      </c>
      <c r="C47" s="54">
        <v>0</v>
      </c>
      <c r="D47" s="306">
        <f t="shared" si="4"/>
        <v>0</v>
      </c>
      <c r="E47" s="54">
        <v>0</v>
      </c>
      <c r="F47" s="306">
        <f t="shared" si="3"/>
        <v>0</v>
      </c>
    </row>
    <row r="48" spans="1:6" x14ac:dyDescent="0.25">
      <c r="A48" s="16"/>
      <c r="B48" s="300">
        <v>0</v>
      </c>
      <c r="C48" s="54">
        <v>0</v>
      </c>
      <c r="D48" s="306">
        <f t="shared" si="4"/>
        <v>0</v>
      </c>
      <c r="E48" s="54">
        <v>0</v>
      </c>
      <c r="F48" s="306">
        <f t="shared" si="3"/>
        <v>0</v>
      </c>
    </row>
    <row r="49" spans="1:6" x14ac:dyDescent="0.25">
      <c r="A49" s="16"/>
      <c r="B49" s="300">
        <v>0</v>
      </c>
      <c r="C49" s="54">
        <v>0</v>
      </c>
      <c r="D49" s="306">
        <f t="shared" si="4"/>
        <v>0</v>
      </c>
      <c r="E49" s="54">
        <v>0</v>
      </c>
      <c r="F49" s="306">
        <f t="shared" si="3"/>
        <v>0</v>
      </c>
    </row>
    <row r="50" spans="1:6" ht="6.75" customHeight="1" x14ac:dyDescent="0.25">
      <c r="B50" s="117"/>
      <c r="D50" s="303"/>
      <c r="F50" s="303"/>
    </row>
    <row r="51" spans="1:6" x14ac:dyDescent="0.25">
      <c r="A51" s="275" t="s">
        <v>190</v>
      </c>
      <c r="B51" s="305">
        <f>SUM(B43:B50)</f>
        <v>0</v>
      </c>
      <c r="C51" s="61"/>
      <c r="D51" s="306">
        <f>SUM(D43:D50)</f>
        <v>0</v>
      </c>
      <c r="E51" s="61"/>
      <c r="F51" s="306">
        <f>SUM(F43:F50)</f>
        <v>0</v>
      </c>
    </row>
    <row r="52" spans="1:6" x14ac:dyDescent="0.25">
      <c r="B52" s="302"/>
      <c r="C52" s="274"/>
      <c r="D52" s="116"/>
      <c r="E52" s="274"/>
      <c r="F52" s="116"/>
    </row>
    <row r="53" spans="1:6" x14ac:dyDescent="0.25">
      <c r="A53" s="275" t="s">
        <v>236</v>
      </c>
      <c r="B53" s="320">
        <v>0</v>
      </c>
      <c r="C53" s="54">
        <v>0</v>
      </c>
      <c r="D53" s="306">
        <f t="shared" ref="D53" si="5">$B53*C53</f>
        <v>0</v>
      </c>
      <c r="E53" s="54">
        <v>0</v>
      </c>
      <c r="F53" s="306">
        <f>E53*B53</f>
        <v>0</v>
      </c>
    </row>
    <row r="54" spans="1:6" x14ac:dyDescent="0.25">
      <c r="A54" s="275"/>
      <c r="B54" s="303"/>
      <c r="C54" s="274"/>
      <c r="D54" s="116"/>
      <c r="E54" s="274"/>
      <c r="F54" s="116"/>
    </row>
    <row r="55" spans="1:6" x14ac:dyDescent="0.25">
      <c r="A55" s="275" t="s">
        <v>191</v>
      </c>
      <c r="B55" s="301">
        <f>B51-B53</f>
        <v>0</v>
      </c>
      <c r="C55" s="61"/>
      <c r="D55" s="306">
        <f>D51-D53</f>
        <v>0</v>
      </c>
      <c r="E55" s="61"/>
      <c r="F55" s="306">
        <f>F51-F53</f>
        <v>0</v>
      </c>
    </row>
    <row r="59" spans="1:6" ht="19.5" x14ac:dyDescent="0.35">
      <c r="A59" s="5" t="s">
        <v>77</v>
      </c>
    </row>
    <row r="60" spans="1:6" x14ac:dyDescent="0.25">
      <c r="A60" s="7" t="s">
        <v>18</v>
      </c>
    </row>
  </sheetData>
  <mergeCells count="6">
    <mergeCell ref="C40:D40"/>
    <mergeCell ref="E40:F40"/>
    <mergeCell ref="C9:D9"/>
    <mergeCell ref="E9:F9"/>
    <mergeCell ref="C24:D24"/>
    <mergeCell ref="E24:F24"/>
  </mergeCells>
  <phoneticPr fontId="0" type="noConversion"/>
  <pageMargins left="0.3" right="0.25" top="0.25" bottom="0.25" header="0.5" footer="0.5"/>
  <pageSetup fitToHeight="3"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61"/>
  <sheetViews>
    <sheetView workbookViewId="0">
      <selection activeCell="L20" sqref="L19:L20"/>
    </sheetView>
  </sheetViews>
  <sheetFormatPr defaultRowHeight="13.5" x14ac:dyDescent="0.25"/>
  <cols>
    <col min="1" max="1" width="33.28515625" style="35" customWidth="1"/>
    <col min="2" max="2" width="12.28515625" style="35" customWidth="1"/>
    <col min="3" max="3" width="13" style="35" customWidth="1"/>
    <col min="4" max="4" width="15" style="35" customWidth="1"/>
    <col min="5" max="5" width="14.140625" style="35" customWidth="1"/>
    <col min="6" max="6" width="13.42578125" style="35" customWidth="1"/>
    <col min="7" max="7" width="16.7109375" style="35" customWidth="1"/>
    <col min="8" max="8" width="12.7109375" style="35" customWidth="1"/>
    <col min="9" max="9" width="17.85546875" style="35" customWidth="1"/>
    <col min="10" max="10" width="9.140625" style="35"/>
    <col min="11" max="11" width="12.140625" style="35" bestFit="1" customWidth="1"/>
    <col min="12" max="12" width="9.140625" style="35"/>
    <col min="13" max="13" width="13.140625" style="35" customWidth="1"/>
    <col min="14" max="16384" width="9.140625" style="35"/>
  </cols>
  <sheetData>
    <row r="1" spans="1:13" ht="19.5" x14ac:dyDescent="0.35">
      <c r="A1" s="5" t="s">
        <v>50</v>
      </c>
      <c r="D1" s="14" t="str">
        <f>'Budget Info'!D8</f>
        <v xml:space="preserve"> </v>
      </c>
      <c r="M1" s="121" t="str">
        <f>Instructions!A3</f>
        <v>FY2014</v>
      </c>
    </row>
    <row r="3" spans="1:13" ht="16.5" x14ac:dyDescent="0.3">
      <c r="A3" s="147" t="s">
        <v>199</v>
      </c>
    </row>
    <row r="4" spans="1:13" x14ac:dyDescent="0.25">
      <c r="A4" s="35" t="s">
        <v>86</v>
      </c>
    </row>
    <row r="5" spans="1:13" x14ac:dyDescent="0.25">
      <c r="A5" s="35" t="s">
        <v>156</v>
      </c>
    </row>
    <row r="8" spans="1:13" x14ac:dyDescent="0.25">
      <c r="A8" s="29" t="s">
        <v>87</v>
      </c>
      <c r="B8" s="30"/>
      <c r="C8" s="30"/>
      <c r="D8" s="30"/>
      <c r="E8" s="30"/>
      <c r="F8" s="30"/>
      <c r="G8" s="30"/>
      <c r="H8" s="30"/>
      <c r="I8" s="30"/>
      <c r="J8" s="30"/>
      <c r="K8" s="30"/>
      <c r="L8" s="30"/>
      <c r="M8" s="31"/>
    </row>
    <row r="9" spans="1:13" x14ac:dyDescent="0.25">
      <c r="A9" s="132" t="s">
        <v>155</v>
      </c>
      <c r="B9" s="37"/>
      <c r="C9" s="37"/>
      <c r="D9" s="37"/>
      <c r="E9" s="37"/>
      <c r="M9" s="38"/>
    </row>
    <row r="10" spans="1:13" x14ac:dyDescent="0.25">
      <c r="A10" s="36" t="s">
        <v>90</v>
      </c>
      <c r="B10" s="37"/>
      <c r="C10" s="37"/>
      <c r="D10" s="37"/>
      <c r="E10" s="37"/>
      <c r="M10" s="38"/>
    </row>
    <row r="11" spans="1:13" x14ac:dyDescent="0.25">
      <c r="A11" s="65" t="s">
        <v>93</v>
      </c>
      <c r="B11" s="79"/>
      <c r="C11" s="79"/>
      <c r="D11" s="79"/>
      <c r="E11" s="79"/>
      <c r="F11" s="79"/>
      <c r="G11" s="79"/>
      <c r="H11" s="79"/>
      <c r="I11" s="79"/>
      <c r="J11" s="79"/>
      <c r="K11" s="79"/>
      <c r="L11" s="79"/>
      <c r="M11" s="66"/>
    </row>
    <row r="14" spans="1:13" ht="16.5" x14ac:dyDescent="0.3">
      <c r="A14" s="233" t="s">
        <v>147</v>
      </c>
      <c r="B14" s="234"/>
      <c r="C14" s="234"/>
      <c r="D14" s="234"/>
      <c r="E14" s="234"/>
      <c r="F14" s="234"/>
      <c r="G14" s="234"/>
      <c r="H14" s="234"/>
      <c r="I14" s="234"/>
      <c r="J14" s="234"/>
      <c r="K14" s="234"/>
      <c r="L14" s="234"/>
      <c r="M14" s="235"/>
    </row>
    <row r="15" spans="1:13" x14ac:dyDescent="0.25">
      <c r="A15" s="222"/>
      <c r="B15" s="223"/>
      <c r="C15" s="223"/>
      <c r="D15" s="223"/>
      <c r="E15" s="223"/>
      <c r="F15" s="223"/>
      <c r="G15" s="223"/>
      <c r="H15" s="223"/>
      <c r="I15" s="223"/>
      <c r="J15" s="223"/>
      <c r="K15" s="223"/>
      <c r="L15" s="223"/>
      <c r="M15" s="224"/>
    </row>
    <row r="16" spans="1:13" ht="15.75" x14ac:dyDescent="0.3">
      <c r="A16" s="225"/>
      <c r="B16" s="91"/>
      <c r="C16" s="91"/>
      <c r="D16" s="91"/>
      <c r="E16" s="91"/>
      <c r="F16" s="91"/>
      <c r="G16" s="91"/>
      <c r="H16" s="91"/>
      <c r="I16" s="91"/>
      <c r="J16" s="354" t="s">
        <v>30</v>
      </c>
      <c r="K16" s="355"/>
      <c r="L16" s="354" t="s">
        <v>31</v>
      </c>
      <c r="M16" s="355"/>
    </row>
    <row r="17" spans="1:13" ht="16.5" x14ac:dyDescent="0.3">
      <c r="A17" s="226" t="s">
        <v>197</v>
      </c>
      <c r="B17" s="91"/>
      <c r="C17" s="227"/>
      <c r="D17" s="91"/>
      <c r="E17" s="91"/>
      <c r="F17" s="91"/>
      <c r="G17" s="91"/>
      <c r="H17" s="91"/>
      <c r="I17" s="91"/>
      <c r="J17" s="356" t="str">
        <f>'Budget Info'!C14</f>
        <v xml:space="preserve"> </v>
      </c>
      <c r="K17" s="357"/>
      <c r="L17" s="356" t="str">
        <f>'Budget Info'!C15</f>
        <v xml:space="preserve"> </v>
      </c>
      <c r="M17" s="357"/>
    </row>
    <row r="18" spans="1:13" ht="27" x14ac:dyDescent="0.25">
      <c r="A18" s="81" t="s">
        <v>78</v>
      </c>
      <c r="B18" s="82" t="s">
        <v>89</v>
      </c>
      <c r="C18" s="82" t="s">
        <v>80</v>
      </c>
      <c r="D18" s="82" t="s">
        <v>81</v>
      </c>
      <c r="E18" s="82" t="s">
        <v>82</v>
      </c>
      <c r="F18" s="82" t="s">
        <v>83</v>
      </c>
      <c r="G18" s="82" t="s">
        <v>84</v>
      </c>
      <c r="H18" s="83" t="s">
        <v>85</v>
      </c>
      <c r="I18" s="221" t="s">
        <v>88</v>
      </c>
      <c r="J18" s="84" t="s">
        <v>6</v>
      </c>
      <c r="K18" s="85" t="s">
        <v>4</v>
      </c>
      <c r="L18" s="84" t="s">
        <v>6</v>
      </c>
      <c r="M18" s="85" t="s">
        <v>4</v>
      </c>
    </row>
    <row r="19" spans="1:13" x14ac:dyDescent="0.25">
      <c r="A19" s="86" t="s">
        <v>18</v>
      </c>
      <c r="B19" s="87"/>
      <c r="C19" s="87"/>
      <c r="D19" s="88"/>
      <c r="E19" s="219"/>
      <c r="F19" s="219"/>
      <c r="G19" s="310">
        <v>0</v>
      </c>
      <c r="H19" s="220">
        <v>0</v>
      </c>
      <c r="I19" s="307">
        <f>IF(G19=0,0,G19/H19)</f>
        <v>0</v>
      </c>
      <c r="J19" s="90">
        <v>0</v>
      </c>
      <c r="K19" s="133">
        <f>I19*J19</f>
        <v>0</v>
      </c>
      <c r="L19" s="90">
        <v>0</v>
      </c>
      <c r="M19" s="133">
        <f>L19*I19</f>
        <v>0</v>
      </c>
    </row>
    <row r="20" spans="1:13" x14ac:dyDescent="0.25">
      <c r="A20" s="86"/>
      <c r="B20" s="87"/>
      <c r="C20" s="87"/>
      <c r="D20" s="88"/>
      <c r="E20" s="219"/>
      <c r="F20" s="219"/>
      <c r="G20" s="310">
        <v>0</v>
      </c>
      <c r="H20" s="220">
        <v>0</v>
      </c>
      <c r="I20" s="307">
        <f t="shared" ref="I20:I26" si="0">IF(G20=0,0,G20/H20)</f>
        <v>0</v>
      </c>
      <c r="J20" s="90">
        <v>0</v>
      </c>
      <c r="K20" s="133">
        <f t="shared" ref="K20:K26" si="1">I20*J20</f>
        <v>0</v>
      </c>
      <c r="L20" s="90">
        <v>0</v>
      </c>
      <c r="M20" s="133">
        <f t="shared" ref="M20:M26" si="2">L20*I20</f>
        <v>0</v>
      </c>
    </row>
    <row r="21" spans="1:13" x14ac:dyDescent="0.25">
      <c r="A21" s="86"/>
      <c r="B21" s="87"/>
      <c r="C21" s="87"/>
      <c r="D21" s="88"/>
      <c r="E21" s="219"/>
      <c r="F21" s="219"/>
      <c r="G21" s="310">
        <v>0</v>
      </c>
      <c r="H21" s="220">
        <v>0</v>
      </c>
      <c r="I21" s="307">
        <f t="shared" si="0"/>
        <v>0</v>
      </c>
      <c r="J21" s="90">
        <v>0</v>
      </c>
      <c r="K21" s="133">
        <f t="shared" si="1"/>
        <v>0</v>
      </c>
      <c r="L21" s="90">
        <v>0</v>
      </c>
      <c r="M21" s="133">
        <f t="shared" si="2"/>
        <v>0</v>
      </c>
    </row>
    <row r="22" spans="1:13" x14ac:dyDescent="0.25">
      <c r="A22" s="86"/>
      <c r="B22" s="87"/>
      <c r="C22" s="87"/>
      <c r="D22" s="88"/>
      <c r="E22" s="219"/>
      <c r="F22" s="219"/>
      <c r="G22" s="310">
        <v>0</v>
      </c>
      <c r="H22" s="220">
        <v>0</v>
      </c>
      <c r="I22" s="307">
        <f t="shared" si="0"/>
        <v>0</v>
      </c>
      <c r="J22" s="90">
        <v>0</v>
      </c>
      <c r="K22" s="133">
        <f t="shared" si="1"/>
        <v>0</v>
      </c>
      <c r="L22" s="90">
        <v>0</v>
      </c>
      <c r="M22" s="133">
        <f t="shared" si="2"/>
        <v>0</v>
      </c>
    </row>
    <row r="23" spans="1:13" x14ac:dyDescent="0.25">
      <c r="A23" s="86"/>
      <c r="B23" s="87"/>
      <c r="C23" s="87"/>
      <c r="D23" s="88"/>
      <c r="E23" s="219"/>
      <c r="F23" s="219"/>
      <c r="G23" s="310">
        <v>0</v>
      </c>
      <c r="H23" s="220">
        <v>0</v>
      </c>
      <c r="I23" s="307">
        <f t="shared" si="0"/>
        <v>0</v>
      </c>
      <c r="J23" s="90">
        <v>0</v>
      </c>
      <c r="K23" s="133">
        <f t="shared" si="1"/>
        <v>0</v>
      </c>
      <c r="L23" s="90">
        <v>0</v>
      </c>
      <c r="M23" s="133">
        <f t="shared" si="2"/>
        <v>0</v>
      </c>
    </row>
    <row r="24" spans="1:13" x14ac:dyDescent="0.25">
      <c r="A24" s="86"/>
      <c r="B24" s="87"/>
      <c r="C24" s="87"/>
      <c r="D24" s="88"/>
      <c r="E24" s="219"/>
      <c r="F24" s="219"/>
      <c r="G24" s="310">
        <v>0</v>
      </c>
      <c r="H24" s="220">
        <v>0</v>
      </c>
      <c r="I24" s="307">
        <f t="shared" si="0"/>
        <v>0</v>
      </c>
      <c r="J24" s="90">
        <v>0</v>
      </c>
      <c r="K24" s="133">
        <f t="shared" si="1"/>
        <v>0</v>
      </c>
      <c r="L24" s="90">
        <v>0</v>
      </c>
      <c r="M24" s="133">
        <f t="shared" si="2"/>
        <v>0</v>
      </c>
    </row>
    <row r="25" spans="1:13" x14ac:dyDescent="0.25">
      <c r="A25" s="86"/>
      <c r="B25" s="87"/>
      <c r="C25" s="87"/>
      <c r="D25" s="88"/>
      <c r="E25" s="219"/>
      <c r="F25" s="219"/>
      <c r="G25" s="310">
        <v>0</v>
      </c>
      <c r="H25" s="220">
        <v>0</v>
      </c>
      <c r="I25" s="307">
        <f t="shared" si="0"/>
        <v>0</v>
      </c>
      <c r="J25" s="90">
        <v>0</v>
      </c>
      <c r="K25" s="133">
        <f t="shared" si="1"/>
        <v>0</v>
      </c>
      <c r="L25" s="90">
        <v>0</v>
      </c>
      <c r="M25" s="133">
        <f t="shared" si="2"/>
        <v>0</v>
      </c>
    </row>
    <row r="26" spans="1:13" x14ac:dyDescent="0.25">
      <c r="A26" s="86"/>
      <c r="B26" s="87"/>
      <c r="C26" s="87"/>
      <c r="D26" s="88"/>
      <c r="E26" s="219"/>
      <c r="F26" s="219"/>
      <c r="G26" s="310"/>
      <c r="H26" s="220"/>
      <c r="I26" s="307">
        <f t="shared" si="0"/>
        <v>0</v>
      </c>
      <c r="J26" s="90">
        <v>0</v>
      </c>
      <c r="K26" s="133">
        <f t="shared" si="1"/>
        <v>0</v>
      </c>
      <c r="L26" s="90">
        <v>0</v>
      </c>
      <c r="M26" s="133">
        <f t="shared" si="2"/>
        <v>0</v>
      </c>
    </row>
    <row r="27" spans="1:13" ht="5.25" customHeight="1" x14ac:dyDescent="0.25">
      <c r="A27" s="228"/>
      <c r="B27" s="92"/>
      <c r="C27" s="92"/>
      <c r="D27" s="93"/>
      <c r="E27" s="93"/>
      <c r="F27" s="93"/>
      <c r="G27" s="308"/>
      <c r="H27" s="95"/>
      <c r="I27" s="308"/>
      <c r="J27" s="91"/>
      <c r="K27" s="229"/>
      <c r="L27" s="91"/>
      <c r="M27" s="230"/>
    </row>
    <row r="28" spans="1:13" x14ac:dyDescent="0.25">
      <c r="A28" s="152" t="s">
        <v>218</v>
      </c>
      <c r="B28" s="92"/>
      <c r="C28" s="92"/>
      <c r="D28" s="92"/>
      <c r="E28" s="92"/>
      <c r="F28" s="92"/>
      <c r="G28" s="309">
        <f>SUM(G19:G27)</f>
        <v>0</v>
      </c>
      <c r="H28" s="92"/>
      <c r="I28" s="309">
        <f>SUM(I19:I27)</f>
        <v>0</v>
      </c>
      <c r="J28" s="97"/>
      <c r="K28" s="97">
        <f>SUM(K19:K27)</f>
        <v>0</v>
      </c>
      <c r="L28" s="97"/>
      <c r="M28" s="97">
        <f>SUM(M19:M27)</f>
        <v>0</v>
      </c>
    </row>
    <row r="29" spans="1:13" x14ac:dyDescent="0.25">
      <c r="A29" s="231"/>
      <c r="B29" s="92"/>
      <c r="C29" s="92"/>
      <c r="D29" s="92"/>
      <c r="E29" s="92"/>
      <c r="F29" s="92"/>
      <c r="G29" s="94"/>
      <c r="H29" s="92"/>
      <c r="I29" s="308"/>
      <c r="J29" s="232"/>
      <c r="K29" s="232"/>
      <c r="L29" s="232"/>
      <c r="M29" s="296"/>
    </row>
    <row r="30" spans="1:13" x14ac:dyDescent="0.25">
      <c r="A30" s="231" t="s">
        <v>228</v>
      </c>
      <c r="B30" s="92"/>
      <c r="C30" s="92"/>
      <c r="D30" s="92"/>
      <c r="E30" s="92"/>
      <c r="F30" s="92"/>
      <c r="G30" s="94"/>
      <c r="H30" s="92"/>
      <c r="I30" s="310">
        <v>0</v>
      </c>
      <c r="J30" s="90">
        <v>0</v>
      </c>
      <c r="K30" s="133">
        <f>J30*I30</f>
        <v>0</v>
      </c>
      <c r="L30" s="90">
        <v>0</v>
      </c>
      <c r="M30" s="133">
        <f>L30*I30</f>
        <v>0</v>
      </c>
    </row>
    <row r="31" spans="1:13" x14ac:dyDescent="0.25">
      <c r="A31" s="231"/>
      <c r="B31" s="92"/>
      <c r="C31" s="92"/>
      <c r="D31" s="92"/>
      <c r="E31" s="92"/>
      <c r="F31" s="92"/>
      <c r="G31" s="94"/>
      <c r="H31" s="92"/>
      <c r="I31" s="308"/>
      <c r="J31" s="232"/>
      <c r="K31" s="232"/>
      <c r="L31" s="232"/>
      <c r="M31" s="296"/>
    </row>
    <row r="32" spans="1:13" x14ac:dyDescent="0.25">
      <c r="A32" s="231" t="s">
        <v>219</v>
      </c>
      <c r="B32" s="92"/>
      <c r="C32" s="92"/>
      <c r="D32" s="92"/>
      <c r="E32" s="92"/>
      <c r="F32" s="92"/>
      <c r="G32" s="94"/>
      <c r="H32" s="92"/>
      <c r="I32" s="309">
        <f>I28-I30</f>
        <v>0</v>
      </c>
      <c r="J32" s="97"/>
      <c r="K32" s="97">
        <f>K28-K30</f>
        <v>0</v>
      </c>
      <c r="L32" s="97"/>
      <c r="M32" s="97">
        <f>M28-M30</f>
        <v>0</v>
      </c>
    </row>
    <row r="33" spans="1:13" x14ac:dyDescent="0.25">
      <c r="A33" s="231"/>
      <c r="B33" s="92"/>
      <c r="C33" s="92"/>
      <c r="D33" s="92"/>
      <c r="E33" s="92"/>
      <c r="F33" s="92"/>
      <c r="G33" s="94"/>
      <c r="H33" s="92"/>
      <c r="I33" s="94"/>
      <c r="J33" s="232"/>
      <c r="K33" s="232"/>
      <c r="L33" s="232"/>
      <c r="M33" s="295"/>
    </row>
    <row r="34" spans="1:13" x14ac:dyDescent="0.25">
      <c r="A34" s="35" t="s">
        <v>148</v>
      </c>
      <c r="B34" s="92"/>
      <c r="C34" s="92"/>
      <c r="D34" s="93"/>
      <c r="E34" s="93"/>
      <c r="F34" s="93"/>
      <c r="G34" s="94"/>
      <c r="H34" s="94"/>
      <c r="I34" s="92"/>
      <c r="J34" s="94"/>
      <c r="K34" s="91"/>
      <c r="L34" s="91"/>
      <c r="M34" s="91"/>
    </row>
    <row r="35" spans="1:13" x14ac:dyDescent="0.25">
      <c r="A35" s="228"/>
      <c r="B35" s="92"/>
      <c r="C35" s="92"/>
      <c r="D35" s="93"/>
      <c r="E35" s="93"/>
      <c r="F35" s="93"/>
      <c r="G35" s="94"/>
      <c r="H35" s="94"/>
      <c r="I35" s="92"/>
      <c r="J35" s="94"/>
      <c r="K35" s="91"/>
      <c r="L35" s="91"/>
      <c r="M35" s="91"/>
    </row>
    <row r="36" spans="1:13" x14ac:dyDescent="0.25">
      <c r="A36" s="228"/>
      <c r="B36" s="92"/>
      <c r="C36" s="92"/>
      <c r="D36" s="93"/>
      <c r="E36" s="93"/>
      <c r="F36" s="93"/>
      <c r="G36" s="94"/>
      <c r="H36" s="94"/>
      <c r="I36" s="92"/>
      <c r="J36" s="94"/>
      <c r="K36" s="91"/>
      <c r="L36" s="91"/>
      <c r="M36" s="91"/>
    </row>
    <row r="37" spans="1:13" x14ac:dyDescent="0.25">
      <c r="A37" s="228"/>
      <c r="B37" s="92"/>
      <c r="C37" s="92"/>
      <c r="D37" s="93"/>
      <c r="E37" s="93"/>
      <c r="F37" s="100" t="s">
        <v>92</v>
      </c>
      <c r="G37" s="281"/>
      <c r="H37" s="94"/>
      <c r="I37" s="92"/>
      <c r="J37" s="94"/>
      <c r="K37" s="91"/>
      <c r="L37" s="91"/>
      <c r="M37" s="91"/>
    </row>
    <row r="38" spans="1:13" x14ac:dyDescent="0.25">
      <c r="A38" s="228"/>
      <c r="B38" s="92"/>
      <c r="C38" s="92"/>
      <c r="D38" s="93"/>
      <c r="E38" s="93"/>
      <c r="F38" s="162" t="s">
        <v>30</v>
      </c>
      <c r="G38" s="101" t="s">
        <v>31</v>
      </c>
      <c r="H38" s="99"/>
      <c r="I38" s="96"/>
      <c r="J38" s="99"/>
      <c r="K38" s="80"/>
      <c r="L38" s="80"/>
      <c r="M38" s="80"/>
    </row>
    <row r="39" spans="1:13" ht="16.5" x14ac:dyDescent="0.3">
      <c r="A39" s="226" t="s">
        <v>91</v>
      </c>
      <c r="B39" s="91"/>
      <c r="C39" s="91"/>
      <c r="D39" s="91"/>
      <c r="E39" s="91"/>
      <c r="F39" s="161" t="str">
        <f>'Budget Info'!C14</f>
        <v xml:space="preserve"> </v>
      </c>
      <c r="G39" s="102" t="str">
        <f>'Budget Info'!C15</f>
        <v xml:space="preserve"> </v>
      </c>
      <c r="H39" s="99"/>
      <c r="I39" s="96"/>
      <c r="J39" s="99"/>
      <c r="K39" s="80"/>
      <c r="L39" s="80"/>
      <c r="M39" s="80"/>
    </row>
    <row r="40" spans="1:13" ht="27" x14ac:dyDescent="0.25">
      <c r="A40" s="81" t="s">
        <v>78</v>
      </c>
      <c r="B40" s="82" t="s">
        <v>79</v>
      </c>
      <c r="C40" s="82" t="s">
        <v>80</v>
      </c>
      <c r="D40" s="82" t="s">
        <v>81</v>
      </c>
      <c r="E40" s="82" t="s">
        <v>84</v>
      </c>
      <c r="F40" s="103" t="s">
        <v>6</v>
      </c>
      <c r="G40" s="103" t="s">
        <v>6</v>
      </c>
      <c r="H40" s="99"/>
      <c r="I40" s="96"/>
      <c r="J40" s="99"/>
      <c r="K40" s="80"/>
      <c r="L40" s="80"/>
      <c r="M40" s="80"/>
    </row>
    <row r="41" spans="1:13" x14ac:dyDescent="0.25">
      <c r="A41" s="86"/>
      <c r="B41" s="87"/>
      <c r="C41" s="87"/>
      <c r="D41" s="88"/>
      <c r="E41" s="89">
        <v>0</v>
      </c>
      <c r="F41" s="90">
        <v>0</v>
      </c>
      <c r="G41" s="90">
        <v>0</v>
      </c>
      <c r="H41" s="99"/>
      <c r="I41" s="96"/>
      <c r="J41" s="99"/>
      <c r="K41" s="80"/>
      <c r="L41" s="80"/>
      <c r="M41" s="80"/>
    </row>
    <row r="42" spans="1:13" x14ac:dyDescent="0.25">
      <c r="A42" s="86"/>
      <c r="B42" s="87"/>
      <c r="C42" s="87"/>
      <c r="D42" s="88"/>
      <c r="E42" s="89">
        <v>0</v>
      </c>
      <c r="F42" s="90">
        <v>0</v>
      </c>
      <c r="G42" s="90">
        <v>0</v>
      </c>
      <c r="H42" s="99"/>
      <c r="I42" s="96"/>
      <c r="J42" s="99"/>
      <c r="K42" s="80"/>
      <c r="L42" s="80"/>
      <c r="M42" s="80"/>
    </row>
    <row r="43" spans="1:13" x14ac:dyDescent="0.25">
      <c r="A43" s="86"/>
      <c r="B43" s="87"/>
      <c r="C43" s="87"/>
      <c r="D43" s="88"/>
      <c r="E43" s="89">
        <v>0</v>
      </c>
      <c r="F43" s="90">
        <v>0</v>
      </c>
      <c r="G43" s="90">
        <v>0</v>
      </c>
      <c r="H43" s="99"/>
      <c r="I43" s="96"/>
      <c r="J43" s="99"/>
      <c r="K43" s="80"/>
      <c r="L43" s="80"/>
      <c r="M43" s="80"/>
    </row>
    <row r="44" spans="1:13" x14ac:dyDescent="0.25">
      <c r="A44" s="86"/>
      <c r="B44" s="87"/>
      <c r="C44" s="87"/>
      <c r="D44" s="88"/>
      <c r="E44" s="89">
        <v>0</v>
      </c>
      <c r="F44" s="90">
        <v>0</v>
      </c>
      <c r="G44" s="90">
        <v>0</v>
      </c>
      <c r="H44" s="99"/>
      <c r="I44" s="96"/>
      <c r="J44" s="99"/>
      <c r="K44" s="80"/>
      <c r="L44" s="80"/>
      <c r="M44" s="80"/>
    </row>
    <row r="45" spans="1:13" x14ac:dyDescent="0.25">
      <c r="A45" s="86"/>
      <c r="B45" s="87"/>
      <c r="C45" s="87"/>
      <c r="D45" s="88"/>
      <c r="E45" s="89">
        <v>0</v>
      </c>
      <c r="F45" s="90">
        <v>0</v>
      </c>
      <c r="G45" s="90">
        <v>0</v>
      </c>
      <c r="H45" s="99"/>
      <c r="I45" s="96"/>
      <c r="J45" s="99"/>
      <c r="K45" s="80"/>
      <c r="L45" s="80"/>
      <c r="M45" s="80"/>
    </row>
    <row r="46" spans="1:13" x14ac:dyDescent="0.25">
      <c r="A46" s="86"/>
      <c r="B46" s="87"/>
      <c r="C46" s="87"/>
      <c r="D46" s="88"/>
      <c r="E46" s="89">
        <v>0</v>
      </c>
      <c r="F46" s="90">
        <v>0</v>
      </c>
      <c r="G46" s="90">
        <v>0</v>
      </c>
      <c r="H46" s="99"/>
      <c r="I46" s="96"/>
      <c r="J46" s="99"/>
      <c r="K46" s="80"/>
      <c r="L46" s="80"/>
      <c r="M46" s="80"/>
    </row>
    <row r="47" spans="1:13" x14ac:dyDescent="0.25">
      <c r="A47" s="86"/>
      <c r="B47" s="87"/>
      <c r="C47" s="87"/>
      <c r="D47" s="88"/>
      <c r="E47" s="89">
        <v>0</v>
      </c>
      <c r="F47" s="90">
        <v>0</v>
      </c>
      <c r="G47" s="90">
        <v>0</v>
      </c>
      <c r="H47" s="99"/>
      <c r="I47" s="96"/>
      <c r="J47" s="99"/>
      <c r="K47" s="80"/>
      <c r="L47" s="80"/>
      <c r="M47" s="80"/>
    </row>
    <row r="48" spans="1:13" x14ac:dyDescent="0.25">
      <c r="A48" s="86"/>
      <c r="B48" s="87"/>
      <c r="C48" s="87"/>
      <c r="D48" s="88"/>
      <c r="E48" s="89">
        <v>0</v>
      </c>
      <c r="F48" s="90">
        <v>0</v>
      </c>
      <c r="G48" s="90">
        <v>0</v>
      </c>
      <c r="H48" s="99"/>
      <c r="I48" s="96"/>
      <c r="J48" s="99"/>
      <c r="K48" s="80"/>
      <c r="L48" s="80"/>
      <c r="M48" s="80"/>
    </row>
    <row r="49" spans="1:13" x14ac:dyDescent="0.25">
      <c r="A49" s="80"/>
      <c r="B49" s="96"/>
      <c r="C49" s="96"/>
      <c r="D49" s="98"/>
      <c r="E49" s="98"/>
      <c r="F49" s="98"/>
      <c r="G49" s="99"/>
      <c r="H49" s="99"/>
      <c r="I49" s="96"/>
      <c r="J49" s="99"/>
      <c r="K49" s="80"/>
      <c r="L49" s="80"/>
      <c r="M49" s="80"/>
    </row>
    <row r="50" spans="1:13" x14ac:dyDescent="0.25">
      <c r="A50" s="80"/>
      <c r="B50" s="96"/>
      <c r="C50" s="96"/>
      <c r="D50" s="98"/>
      <c r="E50" s="98"/>
      <c r="F50" s="98"/>
      <c r="G50" s="99"/>
      <c r="H50" s="99"/>
      <c r="I50" s="96"/>
      <c r="J50" s="99"/>
      <c r="K50" s="80"/>
      <c r="L50" s="80"/>
      <c r="M50" s="80"/>
    </row>
    <row r="51" spans="1:13" x14ac:dyDescent="0.25">
      <c r="A51" s="80"/>
      <c r="B51" s="96"/>
      <c r="C51" s="96"/>
      <c r="D51" s="98"/>
      <c r="E51" s="98"/>
      <c r="F51" s="98"/>
      <c r="G51" s="99"/>
      <c r="H51" s="99"/>
      <c r="I51" s="96"/>
      <c r="J51" s="99"/>
      <c r="K51" s="80"/>
      <c r="L51" s="80"/>
      <c r="M51" s="80"/>
    </row>
    <row r="55" spans="1:13" x14ac:dyDescent="0.25">
      <c r="H55" s="80"/>
      <c r="I55" s="80"/>
    </row>
    <row r="56" spans="1:13" x14ac:dyDescent="0.25">
      <c r="H56" s="80"/>
      <c r="I56" s="80"/>
    </row>
    <row r="57" spans="1:13" x14ac:dyDescent="0.25">
      <c r="I57" s="96"/>
    </row>
    <row r="58" spans="1:13" x14ac:dyDescent="0.25">
      <c r="A58" s="91"/>
      <c r="B58" s="92"/>
      <c r="C58" s="92"/>
      <c r="D58" s="93"/>
      <c r="E58" s="94"/>
      <c r="F58" s="80"/>
      <c r="G58" s="80"/>
      <c r="I58" s="96"/>
    </row>
    <row r="59" spans="1:13" x14ac:dyDescent="0.25">
      <c r="A59" s="80"/>
      <c r="B59" s="96"/>
      <c r="C59" s="80"/>
      <c r="D59" s="98"/>
      <c r="E59" s="99"/>
      <c r="F59" s="98"/>
      <c r="G59" s="96"/>
      <c r="H59" s="80"/>
      <c r="I59" s="96"/>
      <c r="J59" s="80"/>
      <c r="K59" s="80"/>
      <c r="L59" s="80"/>
      <c r="M59" s="80"/>
    </row>
    <row r="60" spans="1:13" x14ac:dyDescent="0.25">
      <c r="A60" s="80"/>
      <c r="B60" s="96"/>
      <c r="C60" s="104"/>
      <c r="D60" s="98"/>
      <c r="E60" s="98"/>
      <c r="F60" s="98"/>
      <c r="G60" s="99"/>
      <c r="H60" s="99"/>
      <c r="I60" s="96"/>
      <c r="J60" s="96"/>
      <c r="K60" s="80"/>
      <c r="L60" s="80"/>
      <c r="M60" s="80"/>
    </row>
    <row r="61" spans="1:13" x14ac:dyDescent="0.25">
      <c r="F61" s="98"/>
    </row>
  </sheetData>
  <mergeCells count="4">
    <mergeCell ref="J16:K16"/>
    <mergeCell ref="L16:M16"/>
    <mergeCell ref="J17:K17"/>
    <mergeCell ref="L17:M17"/>
  </mergeCells>
  <pageMargins left="0.3" right="0.25" top="0.25" bottom="0.25" header="0.5" footer="0.5"/>
  <pageSetup scale="74" fitToHeight="7"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7"/>
  <sheetViews>
    <sheetView workbookViewId="0">
      <selection activeCell="F31" sqref="F31"/>
    </sheetView>
  </sheetViews>
  <sheetFormatPr defaultRowHeight="12.75" x14ac:dyDescent="0.2"/>
  <cols>
    <col min="1" max="1" width="16.85546875" customWidth="1"/>
    <col min="2" max="3" width="40.85546875" customWidth="1"/>
    <col min="4" max="4" width="21.5703125" customWidth="1"/>
    <col min="5" max="5" width="9.7109375" customWidth="1"/>
    <col min="6" max="6" width="15" customWidth="1"/>
    <col min="7" max="7" width="8.140625" customWidth="1"/>
    <col min="8" max="8" width="16.85546875" customWidth="1"/>
    <col min="12" max="12" width="26.5703125" customWidth="1"/>
  </cols>
  <sheetData>
    <row r="1" spans="1:16" s="35" customFormat="1" ht="19.5" x14ac:dyDescent="0.35">
      <c r="A1" s="5" t="s">
        <v>50</v>
      </c>
      <c r="G1" s="283" t="s">
        <v>18</v>
      </c>
      <c r="H1" s="282" t="str">
        <f>'Budget Info'!D8</f>
        <v xml:space="preserve"> </v>
      </c>
      <c r="M1" s="121" t="str">
        <f>Instructions!A3</f>
        <v>FY2014</v>
      </c>
    </row>
    <row r="2" spans="1:16" s="35" customFormat="1" ht="13.5" x14ac:dyDescent="0.25"/>
    <row r="3" spans="1:16" s="35" customFormat="1" ht="16.5" x14ac:dyDescent="0.3">
      <c r="A3" s="147" t="s">
        <v>200</v>
      </c>
    </row>
    <row r="4" spans="1:16" s="35" customFormat="1" ht="13.5" x14ac:dyDescent="0.25">
      <c r="A4" s="35" t="s">
        <v>206</v>
      </c>
    </row>
    <row r="5" spans="1:16" s="35" customFormat="1" ht="13.5" x14ac:dyDescent="0.25">
      <c r="B5" s="35" t="s">
        <v>204</v>
      </c>
    </row>
    <row r="6" spans="1:16" s="35" customFormat="1" ht="13.5" x14ac:dyDescent="0.25">
      <c r="B6" s="35" t="s">
        <v>205</v>
      </c>
    </row>
    <row r="7" spans="1:16" s="35" customFormat="1" ht="13.5" x14ac:dyDescent="0.25"/>
    <row r="8" spans="1:16" s="35" customFormat="1" ht="13.5" x14ac:dyDescent="0.25">
      <c r="A8" s="29" t="s">
        <v>87</v>
      </c>
      <c r="B8" s="30"/>
      <c r="C8" s="30"/>
      <c r="D8" s="30"/>
      <c r="E8" s="30"/>
      <c r="F8" s="30"/>
      <c r="G8" s="30"/>
      <c r="H8" s="30"/>
      <c r="I8" s="30"/>
      <c r="J8" s="30"/>
      <c r="K8" s="30"/>
      <c r="L8" s="30"/>
      <c r="M8" s="31"/>
    </row>
    <row r="9" spans="1:16" s="35" customFormat="1" ht="13.5" x14ac:dyDescent="0.25">
      <c r="A9" s="132" t="s">
        <v>155</v>
      </c>
      <c r="B9" s="37"/>
      <c r="C9" s="37"/>
      <c r="D9" s="37"/>
      <c r="E9" s="37"/>
      <c r="M9" s="38"/>
    </row>
    <row r="10" spans="1:16" s="35" customFormat="1" ht="13.5" x14ac:dyDescent="0.25">
      <c r="A10" s="65" t="s">
        <v>207</v>
      </c>
      <c r="B10" s="79"/>
      <c r="C10" s="79"/>
      <c r="D10" s="79"/>
      <c r="E10" s="79"/>
      <c r="F10" s="79"/>
      <c r="G10" s="79"/>
      <c r="H10" s="79"/>
      <c r="I10" s="79"/>
      <c r="J10" s="79"/>
      <c r="K10" s="79"/>
      <c r="L10" s="79"/>
      <c r="M10" s="66"/>
    </row>
    <row r="11" spans="1:16" s="35" customFormat="1" ht="13.5" x14ac:dyDescent="0.25">
      <c r="A11" s="65"/>
      <c r="B11" s="79"/>
      <c r="C11" s="79"/>
      <c r="D11" s="79"/>
      <c r="E11" s="79"/>
      <c r="F11" s="79"/>
      <c r="G11" s="79"/>
      <c r="H11" s="79"/>
      <c r="I11" s="79"/>
      <c r="J11" s="79"/>
      <c r="K11" s="79"/>
      <c r="L11" s="79"/>
      <c r="M11" s="79"/>
    </row>
    <row r="12" spans="1:16" ht="16.5" x14ac:dyDescent="0.3">
      <c r="A12" s="236" t="s">
        <v>202</v>
      </c>
      <c r="B12" s="276"/>
      <c r="C12" s="276"/>
      <c r="D12" s="276"/>
      <c r="E12" s="237"/>
      <c r="F12" s="237"/>
      <c r="G12" s="238"/>
      <c r="H12" s="238"/>
      <c r="I12" s="238"/>
      <c r="J12" s="239"/>
      <c r="K12" s="239"/>
      <c r="L12" s="237"/>
      <c r="M12" s="239"/>
      <c r="N12" s="240"/>
      <c r="O12" s="240"/>
      <c r="P12" s="241"/>
    </row>
    <row r="13" spans="1:16" ht="13.5" x14ac:dyDescent="0.25">
      <c r="A13" s="244"/>
      <c r="B13" s="248"/>
      <c r="C13" s="248"/>
      <c r="D13" s="248"/>
      <c r="E13" s="245"/>
      <c r="F13" s="245"/>
      <c r="G13" s="246"/>
      <c r="H13" s="246"/>
      <c r="I13" s="246"/>
      <c r="J13" s="247"/>
      <c r="K13" s="247"/>
      <c r="L13" s="245"/>
      <c r="M13" s="247"/>
      <c r="N13" s="248"/>
      <c r="O13" s="248"/>
      <c r="P13" s="249"/>
    </row>
    <row r="14" spans="1:16" ht="13.5" x14ac:dyDescent="0.25">
      <c r="A14" s="228"/>
      <c r="B14" s="91"/>
      <c r="C14" s="91"/>
      <c r="D14" s="91"/>
      <c r="E14" s="92"/>
      <c r="F14" s="92"/>
      <c r="G14" s="93"/>
      <c r="H14" s="93"/>
      <c r="I14" s="93"/>
      <c r="J14" s="94"/>
      <c r="K14" s="37"/>
      <c r="L14" s="37"/>
      <c r="M14" s="37"/>
      <c r="N14" s="37"/>
      <c r="O14" s="37"/>
      <c r="P14" s="38"/>
    </row>
    <row r="15" spans="1:16" ht="15.75" x14ac:dyDescent="0.3">
      <c r="A15" s="225"/>
      <c r="B15" s="227"/>
      <c r="C15" s="227"/>
      <c r="D15" s="227"/>
      <c r="E15" s="242" t="s">
        <v>30</v>
      </c>
      <c r="F15" s="243"/>
      <c r="G15" s="242" t="s">
        <v>31</v>
      </c>
      <c r="H15" s="243"/>
      <c r="J15" s="91"/>
    </row>
    <row r="16" spans="1:16" ht="16.5" x14ac:dyDescent="0.3">
      <c r="A16" s="226" t="s">
        <v>105</v>
      </c>
      <c r="B16" s="252"/>
      <c r="C16" s="252"/>
      <c r="D16" s="252"/>
      <c r="E16" s="277" t="str">
        <f>'Budget Info'!C14</f>
        <v xml:space="preserve"> </v>
      </c>
      <c r="F16" s="278"/>
      <c r="G16" s="277" t="str">
        <f>'Budget Info'!C15</f>
        <v xml:space="preserve"> </v>
      </c>
      <c r="H16" s="278"/>
      <c r="J16" s="91"/>
    </row>
    <row r="17" spans="1:10" ht="40.5" x14ac:dyDescent="0.25">
      <c r="A17" s="151" t="s">
        <v>194</v>
      </c>
      <c r="B17" s="151" t="s">
        <v>193</v>
      </c>
      <c r="C17" s="151" t="s">
        <v>192</v>
      </c>
      <c r="D17" s="82" t="s">
        <v>195</v>
      </c>
      <c r="E17" s="84" t="s">
        <v>6</v>
      </c>
      <c r="F17" s="294" t="s">
        <v>4</v>
      </c>
      <c r="G17" s="84" t="s">
        <v>6</v>
      </c>
      <c r="H17" s="294" t="s">
        <v>4</v>
      </c>
      <c r="J17" s="91"/>
    </row>
    <row r="18" spans="1:10" ht="13.5" x14ac:dyDescent="0.25">
      <c r="A18" s="86"/>
      <c r="B18" s="86"/>
      <c r="C18" s="311" t="s">
        <v>18</v>
      </c>
      <c r="D18" s="329">
        <v>0</v>
      </c>
      <c r="E18" s="90">
        <v>0</v>
      </c>
      <c r="F18" s="133">
        <f>D18*E18</f>
        <v>0</v>
      </c>
      <c r="G18" s="90">
        <v>0</v>
      </c>
      <c r="H18" s="133">
        <f>D18*G18</f>
        <v>0</v>
      </c>
      <c r="J18" s="91"/>
    </row>
    <row r="19" spans="1:10" ht="13.5" x14ac:dyDescent="0.25">
      <c r="A19" s="86"/>
      <c r="B19" s="86"/>
      <c r="C19" s="86"/>
      <c r="D19" s="325">
        <v>0</v>
      </c>
      <c r="E19" s="90">
        <v>0</v>
      </c>
      <c r="F19" s="133">
        <f t="shared" ref="F19:F24" si="0">D19*E19</f>
        <v>0</v>
      </c>
      <c r="G19" s="90">
        <v>0</v>
      </c>
      <c r="H19" s="133">
        <f>D19*G19</f>
        <v>0</v>
      </c>
      <c r="J19" s="91"/>
    </row>
    <row r="20" spans="1:10" ht="13.5" x14ac:dyDescent="0.25">
      <c r="A20" s="86"/>
      <c r="B20" s="86"/>
      <c r="C20" s="86"/>
      <c r="D20" s="325">
        <v>0</v>
      </c>
      <c r="E20" s="90">
        <v>0</v>
      </c>
      <c r="F20" s="133">
        <f t="shared" si="0"/>
        <v>0</v>
      </c>
      <c r="G20" s="90">
        <v>0</v>
      </c>
      <c r="H20" s="133">
        <f t="shared" ref="H20:H23" si="1">D20*G20</f>
        <v>0</v>
      </c>
      <c r="J20" s="91"/>
    </row>
    <row r="21" spans="1:10" ht="13.5" x14ac:dyDescent="0.25">
      <c r="A21" s="86"/>
      <c r="B21" s="86"/>
      <c r="C21" s="86" t="s">
        <v>18</v>
      </c>
      <c r="D21" s="325">
        <v>0</v>
      </c>
      <c r="E21" s="90">
        <v>0</v>
      </c>
      <c r="F21" s="133">
        <f t="shared" si="0"/>
        <v>0</v>
      </c>
      <c r="G21" s="90">
        <v>0</v>
      </c>
      <c r="H21" s="133">
        <f t="shared" si="1"/>
        <v>0</v>
      </c>
      <c r="J21" s="91"/>
    </row>
    <row r="22" spans="1:10" ht="13.5" x14ac:dyDescent="0.25">
      <c r="A22" s="86"/>
      <c r="B22" s="86"/>
      <c r="C22" s="86"/>
      <c r="D22" s="325"/>
      <c r="E22" s="90">
        <v>0</v>
      </c>
      <c r="F22" s="133">
        <f t="shared" si="0"/>
        <v>0</v>
      </c>
      <c r="G22" s="90">
        <v>0</v>
      </c>
      <c r="H22" s="133">
        <f t="shared" si="1"/>
        <v>0</v>
      </c>
      <c r="J22" s="91"/>
    </row>
    <row r="23" spans="1:10" ht="13.5" x14ac:dyDescent="0.25">
      <c r="A23" s="86"/>
      <c r="B23" s="86"/>
      <c r="C23" s="86"/>
      <c r="D23" s="325"/>
      <c r="E23" s="90">
        <v>0</v>
      </c>
      <c r="F23" s="133">
        <f t="shared" si="0"/>
        <v>0</v>
      </c>
      <c r="G23" s="90">
        <v>0</v>
      </c>
      <c r="H23" s="133">
        <f t="shared" si="1"/>
        <v>0</v>
      </c>
      <c r="J23" s="91"/>
    </row>
    <row r="24" spans="1:10" ht="13.5" x14ac:dyDescent="0.25">
      <c r="A24" s="86"/>
      <c r="B24" s="86"/>
      <c r="C24" s="86"/>
      <c r="D24" s="325"/>
      <c r="E24" s="90">
        <v>0</v>
      </c>
      <c r="F24" s="133">
        <f t="shared" si="0"/>
        <v>0</v>
      </c>
      <c r="G24" s="90">
        <v>0</v>
      </c>
      <c r="H24" s="133">
        <f>D24*G24</f>
        <v>0</v>
      </c>
      <c r="J24" s="91"/>
    </row>
    <row r="25" spans="1:10" ht="13.5" x14ac:dyDescent="0.25">
      <c r="A25" s="86"/>
      <c r="B25" s="86"/>
      <c r="C25" s="86"/>
      <c r="D25" s="325"/>
      <c r="E25" s="90">
        <v>0</v>
      </c>
      <c r="F25" s="133">
        <f>D25*E25</f>
        <v>0</v>
      </c>
      <c r="G25" s="90">
        <v>0</v>
      </c>
      <c r="H25" s="133">
        <f>D25*G25</f>
        <v>0</v>
      </c>
      <c r="J25" s="91"/>
    </row>
    <row r="26" spans="1:10" ht="13.5" x14ac:dyDescent="0.25">
      <c r="A26" s="228"/>
      <c r="B26" s="91"/>
      <c r="C26" s="91"/>
      <c r="D26" s="326"/>
      <c r="E26" s="91"/>
      <c r="F26" s="91"/>
      <c r="G26" s="91"/>
      <c r="H26" s="91"/>
      <c r="J26" s="91"/>
    </row>
    <row r="27" spans="1:10" ht="13.5" x14ac:dyDescent="0.25">
      <c r="A27" s="152" t="s">
        <v>196</v>
      </c>
      <c r="B27" s="152"/>
      <c r="C27" s="152"/>
      <c r="D27" s="327">
        <f>SUM(D18:D26)</f>
        <v>0</v>
      </c>
      <c r="E27" s="330"/>
      <c r="F27" s="97">
        <f>SUM(F18:F25)</f>
        <v>0</v>
      </c>
      <c r="G27" s="330"/>
      <c r="H27" s="97">
        <f>SUM(H18:H25)</f>
        <v>0</v>
      </c>
      <c r="J27" s="91"/>
    </row>
    <row r="28" spans="1:10" ht="13.5" x14ac:dyDescent="0.25">
      <c r="A28" s="228"/>
      <c r="B28" s="91"/>
      <c r="C28" s="91"/>
      <c r="D28" s="326"/>
      <c r="E28" s="92"/>
      <c r="F28" s="92"/>
      <c r="G28" s="93"/>
      <c r="H28" s="93"/>
      <c r="I28" s="93"/>
      <c r="J28" s="91"/>
    </row>
    <row r="29" spans="1:10" ht="13.5" x14ac:dyDescent="0.25">
      <c r="A29" s="152" t="s">
        <v>101</v>
      </c>
      <c r="B29" s="152"/>
      <c r="C29" s="152"/>
      <c r="D29" s="327">
        <v>0</v>
      </c>
      <c r="E29" s="90">
        <v>0</v>
      </c>
      <c r="F29" s="133">
        <f>D29*E29</f>
        <v>0</v>
      </c>
      <c r="G29" s="90">
        <v>0</v>
      </c>
      <c r="H29" s="133">
        <f>D29*G29</f>
        <v>0</v>
      </c>
      <c r="I29" s="93"/>
      <c r="J29" s="91"/>
    </row>
    <row r="30" spans="1:10" ht="13.5" x14ac:dyDescent="0.25">
      <c r="A30" s="228"/>
      <c r="B30" s="91"/>
      <c r="C30" s="91"/>
      <c r="D30" s="326"/>
      <c r="E30" s="92"/>
      <c r="F30" s="92"/>
      <c r="G30" s="93"/>
      <c r="H30" s="93"/>
      <c r="I30" s="93"/>
      <c r="J30" s="91"/>
    </row>
    <row r="31" spans="1:10" ht="13.5" x14ac:dyDescent="0.25">
      <c r="A31" s="152" t="s">
        <v>217</v>
      </c>
      <c r="B31" s="152"/>
      <c r="C31" s="152"/>
      <c r="D31" s="328">
        <f>D27-D29</f>
        <v>0</v>
      </c>
      <c r="E31" s="330"/>
      <c r="F31" s="97">
        <f>F27-F29</f>
        <v>0</v>
      </c>
      <c r="G31" s="330"/>
      <c r="H31" s="97">
        <f>H27-H29</f>
        <v>0</v>
      </c>
      <c r="I31" s="93"/>
      <c r="J31" s="91"/>
    </row>
    <row r="32" spans="1:10" ht="13.5" x14ac:dyDescent="0.25">
      <c r="A32" s="228"/>
      <c r="B32" s="91"/>
      <c r="C32" s="91"/>
      <c r="D32" s="91"/>
      <c r="E32" s="92"/>
      <c r="F32" s="92"/>
      <c r="G32" s="93"/>
      <c r="H32" s="93"/>
      <c r="I32" s="93"/>
      <c r="J32" s="91"/>
    </row>
    <row r="33" spans="1:16" ht="13.5" x14ac:dyDescent="0.25">
      <c r="A33" s="36" t="s">
        <v>201</v>
      </c>
      <c r="B33" s="37"/>
      <c r="C33" s="37"/>
      <c r="D33" s="37"/>
      <c r="E33" s="92"/>
      <c r="F33" s="92"/>
      <c r="G33" s="93"/>
      <c r="H33" s="93"/>
      <c r="I33" s="93"/>
      <c r="J33" s="94"/>
      <c r="K33" s="94"/>
      <c r="L33" s="92"/>
      <c r="M33" s="94"/>
      <c r="N33" s="91"/>
      <c r="O33" s="91"/>
      <c r="P33" s="230"/>
    </row>
    <row r="34" spans="1:16" ht="13.5" x14ac:dyDescent="0.25">
      <c r="E34" s="37"/>
      <c r="F34" s="37"/>
      <c r="G34" s="37"/>
      <c r="H34" s="37"/>
      <c r="I34" s="37"/>
      <c r="J34" s="37"/>
      <c r="K34" s="94"/>
      <c r="L34" s="92"/>
      <c r="M34" s="91"/>
      <c r="N34" s="91"/>
      <c r="O34" s="91"/>
      <c r="P34" s="230"/>
    </row>
    <row r="35" spans="1:16" ht="13.5" x14ac:dyDescent="0.25">
      <c r="A35" s="36"/>
      <c r="B35" s="37"/>
      <c r="C35" s="37"/>
      <c r="D35" s="37"/>
      <c r="E35" s="37"/>
      <c r="F35" s="37"/>
      <c r="G35" s="37"/>
      <c r="H35" s="37"/>
      <c r="I35" s="37"/>
      <c r="J35" s="37"/>
      <c r="K35" s="37"/>
      <c r="L35" s="92"/>
      <c r="M35" s="37"/>
      <c r="N35" s="37"/>
      <c r="O35" s="37"/>
      <c r="P35" s="38"/>
    </row>
    <row r="36" spans="1:16" ht="16.5" x14ac:dyDescent="0.3">
      <c r="A36" s="236" t="s">
        <v>109</v>
      </c>
      <c r="B36" s="276"/>
      <c r="C36" s="276"/>
      <c r="D36" s="276"/>
      <c r="E36" s="237"/>
      <c r="F36" s="237"/>
      <c r="G36" s="238"/>
      <c r="H36" s="238"/>
      <c r="I36" s="238"/>
      <c r="J36" s="239"/>
      <c r="K36" s="37"/>
      <c r="L36" s="92"/>
      <c r="M36" s="37"/>
      <c r="N36" s="37"/>
      <c r="O36" s="37"/>
      <c r="P36" s="38"/>
    </row>
    <row r="37" spans="1:16" ht="16.5" x14ac:dyDescent="0.3">
      <c r="B37" s="250"/>
      <c r="C37" s="292" t="s">
        <v>215</v>
      </c>
      <c r="D37" s="293"/>
      <c r="E37" s="251"/>
      <c r="F37" s="251"/>
      <c r="G37" s="251"/>
      <c r="H37" s="251"/>
      <c r="I37" s="279"/>
      <c r="J37" s="37"/>
      <c r="K37" s="37"/>
      <c r="L37" s="92"/>
      <c r="M37" s="37"/>
      <c r="N37" s="37"/>
      <c r="O37" s="37"/>
      <c r="P37" s="38"/>
    </row>
    <row r="38" spans="1:16" ht="13.5" x14ac:dyDescent="0.25">
      <c r="A38" s="37"/>
      <c r="B38" s="37"/>
      <c r="C38" s="37"/>
      <c r="D38" s="37"/>
      <c r="F38" s="37"/>
      <c r="G38" s="37"/>
      <c r="H38" s="37"/>
      <c r="I38" s="37"/>
      <c r="J38" s="37"/>
      <c r="K38" s="37"/>
      <c r="L38" s="92"/>
      <c r="M38" s="37"/>
      <c r="N38" s="37"/>
      <c r="O38" s="37"/>
      <c r="P38" s="38"/>
    </row>
    <row r="39" spans="1:16" ht="16.5" x14ac:dyDescent="0.3">
      <c r="B39" s="252"/>
      <c r="C39" s="252" t="s">
        <v>106</v>
      </c>
      <c r="D39" s="91"/>
      <c r="E39" s="242" t="s">
        <v>30</v>
      </c>
      <c r="F39" s="243"/>
      <c r="G39" s="242" t="s">
        <v>31</v>
      </c>
      <c r="H39" s="243"/>
      <c r="J39" s="37"/>
      <c r="K39" s="37"/>
      <c r="L39" s="92"/>
      <c r="M39" s="37"/>
      <c r="N39" s="37"/>
      <c r="O39" s="37"/>
      <c r="P39" s="38"/>
    </row>
    <row r="40" spans="1:16" ht="13.5" x14ac:dyDescent="0.25">
      <c r="B40" s="251"/>
      <c r="C40" s="251"/>
      <c r="D40" s="251"/>
      <c r="E40" s="277" t="str">
        <f>'Budget Info'!C14</f>
        <v xml:space="preserve"> </v>
      </c>
      <c r="F40" s="278"/>
      <c r="G40" s="277" t="str">
        <f>'Budget Info'!C15</f>
        <v xml:space="preserve"> </v>
      </c>
      <c r="H40" s="278"/>
      <c r="J40" s="37"/>
      <c r="K40" s="37"/>
      <c r="L40" s="92"/>
      <c r="M40" s="37"/>
      <c r="N40" s="37"/>
      <c r="O40" s="37"/>
      <c r="P40" s="38"/>
    </row>
    <row r="41" spans="1:16" ht="13.5" x14ac:dyDescent="0.25">
      <c r="A41" s="37"/>
      <c r="B41" s="37"/>
      <c r="C41" s="37"/>
      <c r="D41" s="153" t="s">
        <v>107</v>
      </c>
      <c r="E41" s="103" t="s">
        <v>6</v>
      </c>
      <c r="F41" s="103" t="s">
        <v>4</v>
      </c>
      <c r="G41" s="103" t="s">
        <v>6</v>
      </c>
      <c r="H41" s="103" t="s">
        <v>4</v>
      </c>
      <c r="J41" s="37"/>
      <c r="K41" s="37"/>
      <c r="L41" s="92"/>
      <c r="M41" s="37"/>
      <c r="N41" s="37"/>
      <c r="O41" s="37"/>
      <c r="P41" s="38"/>
    </row>
    <row r="42" spans="1:16" ht="13.5" x14ac:dyDescent="0.25">
      <c r="A42" s="37"/>
      <c r="B42" s="37"/>
      <c r="C42" s="286" t="s">
        <v>209</v>
      </c>
      <c r="D42" s="306">
        <f>'Budget Info'!I33</f>
        <v>0</v>
      </c>
      <c r="E42" s="90"/>
      <c r="F42" s="154">
        <f>D42*E42</f>
        <v>0</v>
      </c>
      <c r="G42" s="90"/>
      <c r="H42" s="154">
        <f>D42*G42</f>
        <v>0</v>
      </c>
      <c r="J42" s="37"/>
      <c r="K42" s="37"/>
      <c r="L42" s="92"/>
      <c r="M42" s="37"/>
      <c r="N42" s="37"/>
      <c r="O42" s="37"/>
      <c r="P42" s="38"/>
    </row>
    <row r="43" spans="1:16" ht="13.5" x14ac:dyDescent="0.25">
      <c r="A43" s="37"/>
      <c r="B43" s="37"/>
      <c r="C43" s="280" t="s">
        <v>198</v>
      </c>
      <c r="J43" s="37"/>
      <c r="K43" s="37"/>
      <c r="L43" s="92"/>
      <c r="M43" s="37"/>
      <c r="N43" s="37"/>
      <c r="O43" s="37"/>
      <c r="P43" s="38"/>
    </row>
    <row r="44" spans="1:16" ht="13.5" x14ac:dyDescent="0.25">
      <c r="J44" s="37"/>
      <c r="K44" s="37"/>
      <c r="L44" s="92"/>
      <c r="M44" s="37"/>
      <c r="N44" s="37"/>
      <c r="O44" s="37"/>
      <c r="P44" s="38"/>
    </row>
    <row r="45" spans="1:16" ht="13.5" x14ac:dyDescent="0.25">
      <c r="A45" s="36" t="s">
        <v>203</v>
      </c>
      <c r="B45" s="37"/>
      <c r="C45" s="37"/>
      <c r="D45" s="37"/>
      <c r="E45" s="37"/>
      <c r="F45" s="37"/>
      <c r="G45" s="37"/>
      <c r="H45" s="37"/>
      <c r="I45" s="37"/>
      <c r="J45" s="37"/>
      <c r="K45" s="37"/>
      <c r="L45" s="92"/>
      <c r="M45" s="37"/>
      <c r="N45" s="37"/>
      <c r="O45" s="37"/>
      <c r="P45" s="38"/>
    </row>
    <row r="46" spans="1:16" ht="13.5" x14ac:dyDescent="0.25">
      <c r="A46" s="35"/>
      <c r="B46" s="35"/>
      <c r="C46" s="35"/>
      <c r="D46" s="35"/>
      <c r="E46" s="35"/>
      <c r="F46" s="35"/>
      <c r="G46" s="35"/>
      <c r="H46" s="35"/>
      <c r="I46" s="35"/>
      <c r="J46" s="35"/>
      <c r="K46" s="35"/>
      <c r="L46" s="35"/>
      <c r="M46" s="35"/>
      <c r="N46" s="35"/>
      <c r="O46" s="35"/>
      <c r="P46" s="35"/>
    </row>
    <row r="47" spans="1:16" ht="13.5" x14ac:dyDescent="0.25">
      <c r="A47" s="35"/>
      <c r="B47" s="35"/>
      <c r="C47" s="35"/>
      <c r="D47" s="35"/>
      <c r="E47" s="35"/>
      <c r="F47" s="35"/>
      <c r="G47" s="35"/>
      <c r="H47" s="35"/>
      <c r="I47" s="35"/>
      <c r="J47" s="35"/>
      <c r="K47" s="35"/>
      <c r="L47" s="35"/>
      <c r="M47" s="35"/>
      <c r="N47" s="35"/>
      <c r="O47" s="35"/>
      <c r="P47" s="35"/>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3"/>
  <sheetViews>
    <sheetView workbookViewId="0">
      <selection activeCell="A10" sqref="A10"/>
    </sheetView>
  </sheetViews>
  <sheetFormatPr defaultColWidth="28.42578125" defaultRowHeight="13.5" x14ac:dyDescent="0.25"/>
  <cols>
    <col min="1" max="1" width="58.7109375" style="35" customWidth="1"/>
    <col min="2" max="2" width="19.140625" style="35" customWidth="1"/>
    <col min="3" max="3" width="16.5703125" style="35" customWidth="1"/>
    <col min="4" max="4" width="10.5703125" style="35" bestFit="1" customWidth="1"/>
    <col min="5" max="16384" width="28.42578125" style="35"/>
  </cols>
  <sheetData>
    <row r="1" spans="1:4" s="120" customFormat="1" ht="19.5" x14ac:dyDescent="0.35">
      <c r="A1" s="78" t="s">
        <v>9</v>
      </c>
      <c r="C1" s="121" t="str">
        <f>Instructions!A3</f>
        <v>FY2014</v>
      </c>
    </row>
    <row r="2" spans="1:4" s="120" customFormat="1" ht="19.5" x14ac:dyDescent="0.35">
      <c r="A2" s="33" t="s">
        <v>99</v>
      </c>
      <c r="C2" s="122"/>
    </row>
    <row r="3" spans="1:4" s="120" customFormat="1" ht="19.5" x14ac:dyDescent="0.35">
      <c r="C3" s="122"/>
    </row>
    <row r="4" spans="1:4" s="120" customFormat="1" ht="19.5" x14ac:dyDescent="0.35">
      <c r="A4" s="77" t="s">
        <v>46</v>
      </c>
      <c r="C4" s="122"/>
    </row>
    <row r="5" spans="1:4" s="120" customFormat="1" ht="19.5" x14ac:dyDescent="0.35">
      <c r="A5" s="123" t="s">
        <v>47</v>
      </c>
      <c r="C5" s="122"/>
    </row>
    <row r="6" spans="1:4" s="120" customFormat="1" ht="19.5" x14ac:dyDescent="0.35">
      <c r="A6" s="124" t="s">
        <v>48</v>
      </c>
      <c r="C6" s="122"/>
    </row>
    <row r="7" spans="1:4" ht="15.75" x14ac:dyDescent="0.3">
      <c r="C7" s="125"/>
    </row>
    <row r="8" spans="1:4" ht="16.5" x14ac:dyDescent="0.3">
      <c r="A8" s="126" t="s">
        <v>10</v>
      </c>
      <c r="B8" s="127" t="s">
        <v>11</v>
      </c>
      <c r="C8" s="128" t="s">
        <v>4</v>
      </c>
      <c r="D8" s="129"/>
    </row>
    <row r="9" spans="1:4" x14ac:dyDescent="0.25">
      <c r="A9" s="24" t="s">
        <v>18</v>
      </c>
      <c r="B9" s="16" t="s">
        <v>18</v>
      </c>
      <c r="C9" s="150">
        <v>0</v>
      </c>
    </row>
    <row r="10" spans="1:4" x14ac:dyDescent="0.25">
      <c r="A10" s="24" t="s">
        <v>18</v>
      </c>
      <c r="B10" s="16" t="s">
        <v>18</v>
      </c>
      <c r="C10" s="150" t="s">
        <v>18</v>
      </c>
    </row>
    <row r="11" spans="1:4" x14ac:dyDescent="0.25">
      <c r="A11" s="24" t="s">
        <v>18</v>
      </c>
      <c r="B11" s="16" t="s">
        <v>18</v>
      </c>
      <c r="C11" s="150" t="s">
        <v>18</v>
      </c>
    </row>
    <row r="12" spans="1:4" x14ac:dyDescent="0.25">
      <c r="A12" s="24"/>
      <c r="B12" s="16"/>
      <c r="C12" s="16"/>
    </row>
    <row r="13" spans="1:4" x14ac:dyDescent="0.25">
      <c r="A13" s="24"/>
      <c r="B13" s="16"/>
      <c r="C13" s="16"/>
    </row>
    <row r="14" spans="1:4" x14ac:dyDescent="0.25">
      <c r="A14" s="24"/>
      <c r="B14" s="16"/>
      <c r="C14" s="16"/>
    </row>
    <row r="15" spans="1:4" x14ac:dyDescent="0.25">
      <c r="A15" s="24"/>
      <c r="B15" s="16"/>
      <c r="C15" s="16"/>
    </row>
    <row r="16" spans="1:4" x14ac:dyDescent="0.25">
      <c r="A16" s="24"/>
      <c r="B16" s="16"/>
      <c r="C16" s="16"/>
    </row>
    <row r="17" spans="1:3" x14ac:dyDescent="0.25">
      <c r="A17" s="24"/>
      <c r="B17" s="16"/>
      <c r="C17" s="16"/>
    </row>
    <row r="18" spans="1:3" x14ac:dyDescent="0.25">
      <c r="A18" s="24"/>
      <c r="B18" s="16"/>
      <c r="C18" s="16"/>
    </row>
    <row r="19" spans="1:3" x14ac:dyDescent="0.25">
      <c r="A19" s="24"/>
      <c r="B19" s="16"/>
      <c r="C19" s="16"/>
    </row>
    <row r="20" spans="1:3" x14ac:dyDescent="0.25">
      <c r="A20" s="24"/>
      <c r="B20" s="16"/>
      <c r="C20" s="16"/>
    </row>
    <row r="21" spans="1:3" x14ac:dyDescent="0.25">
      <c r="A21" s="24"/>
      <c r="B21" s="16"/>
      <c r="C21" s="16"/>
    </row>
    <row r="22" spans="1:3" x14ac:dyDescent="0.25">
      <c r="A22" s="24"/>
      <c r="B22" s="16"/>
      <c r="C22" s="16"/>
    </row>
    <row r="23" spans="1:3" x14ac:dyDescent="0.25">
      <c r="A23" s="24"/>
      <c r="B23" s="16"/>
      <c r="C23" s="16"/>
    </row>
    <row r="24" spans="1:3" x14ac:dyDescent="0.25">
      <c r="A24" s="24"/>
      <c r="B24" s="16"/>
      <c r="C24" s="16"/>
    </row>
    <row r="25" spans="1:3" x14ac:dyDescent="0.25">
      <c r="A25" s="24"/>
      <c r="B25" s="16"/>
      <c r="C25" s="16"/>
    </row>
    <row r="26" spans="1:3" x14ac:dyDescent="0.25">
      <c r="A26" s="24"/>
      <c r="B26" s="16"/>
      <c r="C26" s="16"/>
    </row>
    <row r="27" spans="1:3" x14ac:dyDescent="0.25">
      <c r="A27" s="24"/>
      <c r="B27" s="16"/>
      <c r="C27" s="16"/>
    </row>
    <row r="28" spans="1:3" x14ac:dyDescent="0.25">
      <c r="A28" s="24"/>
      <c r="B28" s="16"/>
      <c r="C28" s="16"/>
    </row>
    <row r="29" spans="1:3" x14ac:dyDescent="0.25">
      <c r="A29" s="24"/>
      <c r="B29" s="16"/>
      <c r="C29" s="16"/>
    </row>
    <row r="30" spans="1:3" x14ac:dyDescent="0.25">
      <c r="A30" s="24"/>
      <c r="B30" s="16"/>
      <c r="C30" s="16"/>
    </row>
    <row r="31" spans="1:3" x14ac:dyDescent="0.25">
      <c r="A31" s="24"/>
      <c r="B31" s="16"/>
      <c r="C31" s="16"/>
    </row>
    <row r="32" spans="1:3" x14ac:dyDescent="0.25">
      <c r="A32" s="16"/>
      <c r="B32" s="16"/>
      <c r="C32" s="16"/>
    </row>
    <row r="33" spans="3:3" x14ac:dyDescent="0.25">
      <c r="C33" s="130">
        <f>SUM(C9:C32)</f>
        <v>0</v>
      </c>
    </row>
  </sheetData>
  <phoneticPr fontId="0" type="noConversion"/>
  <pageMargins left="0.3" right="0.25" top="0.25" bottom="0.25" header="0.5" footer="0.5"/>
  <pageSetup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4"/>
  <sheetViews>
    <sheetView workbookViewId="0"/>
  </sheetViews>
  <sheetFormatPr defaultColWidth="28.42578125" defaultRowHeight="13.5" x14ac:dyDescent="0.25"/>
  <cols>
    <col min="1" max="1" width="58.7109375" style="35" customWidth="1"/>
    <col min="2" max="2" width="35" style="35" customWidth="1"/>
    <col min="3" max="3" width="16.5703125" style="35" customWidth="1"/>
    <col min="4" max="4" width="10.5703125" style="35" bestFit="1" customWidth="1"/>
    <col min="5" max="16384" width="28.42578125" style="35"/>
  </cols>
  <sheetData>
    <row r="1" spans="1:5" s="120" customFormat="1" ht="19.5" x14ac:dyDescent="0.35">
      <c r="A1" s="78" t="s">
        <v>104</v>
      </c>
      <c r="E1" s="121" t="str">
        <f>Instructions!A3</f>
        <v>FY2014</v>
      </c>
    </row>
    <row r="2" spans="1:5" s="120" customFormat="1" ht="19.5" x14ac:dyDescent="0.35">
      <c r="A2" s="33" t="s">
        <v>208</v>
      </c>
      <c r="C2" s="122"/>
    </row>
    <row r="3" spans="1:5" s="120" customFormat="1" ht="19.5" x14ac:dyDescent="0.35">
      <c r="C3" s="122"/>
    </row>
    <row r="4" spans="1:5" s="120" customFormat="1" ht="19.5" x14ac:dyDescent="0.35">
      <c r="A4" s="77" t="s">
        <v>46</v>
      </c>
      <c r="C4" s="122"/>
    </row>
    <row r="5" spans="1:5" s="120" customFormat="1" ht="19.5" x14ac:dyDescent="0.35">
      <c r="A5" s="123" t="s">
        <v>47</v>
      </c>
      <c r="C5" s="122"/>
    </row>
    <row r="6" spans="1:5" s="120" customFormat="1" ht="19.5" x14ac:dyDescent="0.35">
      <c r="A6" s="124" t="s">
        <v>48</v>
      </c>
      <c r="C6" s="122"/>
    </row>
    <row r="7" spans="1:5" ht="15.75" x14ac:dyDescent="0.3">
      <c r="C7" s="125"/>
    </row>
    <row r="8" spans="1:5" ht="16.5" x14ac:dyDescent="0.3">
      <c r="A8" s="126" t="s">
        <v>18</v>
      </c>
      <c r="B8" s="127" t="s">
        <v>18</v>
      </c>
      <c r="C8" s="128" t="s">
        <v>18</v>
      </c>
      <c r="D8" s="129"/>
    </row>
    <row r="9" spans="1:5" x14ac:dyDescent="0.25">
      <c r="A9" s="284" t="s">
        <v>18</v>
      </c>
      <c r="B9" s="284"/>
      <c r="C9" s="284"/>
      <c r="D9" s="284"/>
      <c r="E9" s="285"/>
    </row>
    <row r="10" spans="1:5" x14ac:dyDescent="0.25">
      <c r="A10" s="284" t="s">
        <v>18</v>
      </c>
      <c r="B10" s="284"/>
      <c r="C10" s="284"/>
      <c r="D10" s="284"/>
      <c r="E10" s="285"/>
    </row>
    <row r="11" spans="1:5" x14ac:dyDescent="0.25">
      <c r="A11" s="284" t="s">
        <v>18</v>
      </c>
      <c r="B11" s="284"/>
      <c r="C11" s="284"/>
      <c r="D11" s="284"/>
      <c r="E11" s="285"/>
    </row>
    <row r="12" spans="1:5" x14ac:dyDescent="0.25">
      <c r="A12" s="284"/>
      <c r="B12" s="284"/>
      <c r="C12" s="284"/>
      <c r="D12" s="284"/>
      <c r="E12" s="285"/>
    </row>
    <row r="13" spans="1:5" x14ac:dyDescent="0.25">
      <c r="A13" s="284" t="s">
        <v>18</v>
      </c>
      <c r="B13" s="284"/>
      <c r="C13" s="284"/>
      <c r="D13" s="284"/>
      <c r="E13" s="285"/>
    </row>
    <row r="14" spans="1:5" x14ac:dyDescent="0.25">
      <c r="A14" s="284" t="s">
        <v>18</v>
      </c>
      <c r="B14" s="284"/>
      <c r="C14" s="284"/>
      <c r="D14" s="284"/>
      <c r="E14" s="284"/>
    </row>
    <row r="15" spans="1:5" x14ac:dyDescent="0.25">
      <c r="A15" s="284" t="s">
        <v>18</v>
      </c>
      <c r="B15" s="284"/>
      <c r="C15" s="284"/>
      <c r="D15" s="284"/>
      <c r="E15" s="284"/>
    </row>
    <row r="16" spans="1:5" x14ac:dyDescent="0.25">
      <c r="A16" s="284" t="s">
        <v>18</v>
      </c>
      <c r="B16" s="284"/>
      <c r="C16" s="284"/>
      <c r="D16" s="284"/>
      <c r="E16" s="284"/>
    </row>
    <row r="17" spans="1:5" x14ac:dyDescent="0.25">
      <c r="A17" s="284" t="s">
        <v>18</v>
      </c>
      <c r="B17" s="284"/>
      <c r="C17" s="284"/>
      <c r="D17" s="284"/>
      <c r="E17" s="284"/>
    </row>
    <row r="18" spans="1:5" x14ac:dyDescent="0.25">
      <c r="A18" s="284"/>
      <c r="B18" s="284"/>
      <c r="C18" s="284"/>
      <c r="D18" s="284"/>
      <c r="E18" s="284"/>
    </row>
    <row r="19" spans="1:5" x14ac:dyDescent="0.25">
      <c r="A19" s="284"/>
      <c r="B19" s="284"/>
      <c r="C19" s="284"/>
      <c r="D19" s="284"/>
      <c r="E19" s="284"/>
    </row>
    <row r="20" spans="1:5" x14ac:dyDescent="0.25">
      <c r="A20" s="284"/>
      <c r="B20" s="284"/>
      <c r="C20" s="284"/>
      <c r="D20" s="284"/>
      <c r="E20" s="284"/>
    </row>
    <row r="21" spans="1:5" x14ac:dyDescent="0.25">
      <c r="A21" s="284"/>
      <c r="B21" s="284"/>
      <c r="C21" s="284"/>
      <c r="D21" s="284"/>
      <c r="E21" s="284"/>
    </row>
    <row r="22" spans="1:5" x14ac:dyDescent="0.25">
      <c r="A22" s="284"/>
      <c r="B22" s="284"/>
      <c r="C22" s="284"/>
      <c r="D22" s="284"/>
      <c r="E22" s="284"/>
    </row>
    <row r="23" spans="1:5" x14ac:dyDescent="0.25">
      <c r="A23" s="284"/>
      <c r="B23" s="284"/>
      <c r="C23" s="284"/>
      <c r="D23" s="284"/>
      <c r="E23" s="284"/>
    </row>
    <row r="24" spans="1:5" x14ac:dyDescent="0.25">
      <c r="A24" s="284"/>
      <c r="B24" s="284"/>
      <c r="C24" s="284"/>
      <c r="D24" s="284"/>
      <c r="E24" s="284"/>
    </row>
    <row r="25" spans="1:5" x14ac:dyDescent="0.25">
      <c r="A25" s="284"/>
      <c r="B25" s="284"/>
      <c r="C25" s="284"/>
      <c r="D25" s="284"/>
      <c r="E25" s="284"/>
    </row>
    <row r="26" spans="1:5" x14ac:dyDescent="0.25">
      <c r="A26" s="284"/>
      <c r="B26" s="284"/>
      <c r="C26" s="284"/>
      <c r="D26" s="284"/>
      <c r="E26" s="284"/>
    </row>
    <row r="27" spans="1:5" x14ac:dyDescent="0.25">
      <c r="A27" s="284"/>
      <c r="B27" s="284"/>
      <c r="C27" s="284"/>
      <c r="D27" s="284"/>
      <c r="E27" s="284"/>
    </row>
    <row r="28" spans="1:5" x14ac:dyDescent="0.25">
      <c r="A28" s="284"/>
      <c r="B28" s="284"/>
      <c r="C28" s="284"/>
      <c r="D28" s="284"/>
      <c r="E28" s="284"/>
    </row>
    <row r="29" spans="1:5" x14ac:dyDescent="0.25">
      <c r="A29" s="284"/>
      <c r="B29" s="284"/>
      <c r="C29" s="284"/>
      <c r="D29" s="284"/>
      <c r="E29" s="284"/>
    </row>
    <row r="30" spans="1:5" x14ac:dyDescent="0.25">
      <c r="A30" s="284"/>
      <c r="B30" s="284"/>
      <c r="C30" s="284"/>
      <c r="D30" s="284"/>
      <c r="E30" s="284"/>
    </row>
    <row r="31" spans="1:5" x14ac:dyDescent="0.25">
      <c r="A31" s="284"/>
      <c r="B31" s="284"/>
      <c r="C31" s="284"/>
      <c r="D31" s="284"/>
      <c r="E31" s="284"/>
    </row>
    <row r="32" spans="1:5" x14ac:dyDescent="0.25">
      <c r="A32" s="284"/>
      <c r="B32" s="284"/>
      <c r="C32" s="284"/>
      <c r="D32" s="284"/>
      <c r="E32" s="284"/>
    </row>
    <row r="33" spans="1:5" x14ac:dyDescent="0.25">
      <c r="A33" s="284"/>
      <c r="B33" s="284"/>
      <c r="C33" s="284"/>
      <c r="D33" s="284"/>
      <c r="E33" s="284"/>
    </row>
    <row r="34" spans="1:5" x14ac:dyDescent="0.25">
      <c r="A34" s="284"/>
      <c r="B34" s="284"/>
      <c r="C34" s="284"/>
      <c r="D34" s="284"/>
      <c r="E34" s="284"/>
    </row>
  </sheetData>
  <pageMargins left="0.45" right="0.2" top="0.5" bottom="0.25" header="0.3" footer="0.3"/>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9"/>
  <sheetViews>
    <sheetView workbookViewId="0">
      <selection activeCell="B25" sqref="B25"/>
    </sheetView>
  </sheetViews>
  <sheetFormatPr defaultRowHeight="13.5" x14ac:dyDescent="0.25"/>
  <cols>
    <col min="1" max="1" width="57.85546875" style="7" customWidth="1"/>
    <col min="2" max="2" width="29.42578125" style="7" customWidth="1"/>
    <col min="3" max="3" width="29.5703125" style="7" customWidth="1"/>
    <col min="4" max="4" width="29.42578125" style="7" customWidth="1"/>
    <col min="5" max="5" width="17.140625" style="7" customWidth="1"/>
    <col min="6" max="6" width="14.85546875" style="7" customWidth="1"/>
    <col min="7" max="16384" width="9.140625" style="7"/>
  </cols>
  <sheetData>
    <row r="1" spans="1:4" ht="19.5" x14ac:dyDescent="0.35">
      <c r="A1" s="335" t="str">
        <f>'General Info'!B13</f>
        <v xml:space="preserve"> </v>
      </c>
      <c r="B1" s="336"/>
      <c r="C1" s="336"/>
      <c r="D1" s="337"/>
    </row>
    <row r="2" spans="1:4" s="6" customFormat="1" ht="19.5" x14ac:dyDescent="0.35">
      <c r="A2" s="253" t="str">
        <f>'Budget Info'!D8</f>
        <v xml:space="preserve"> </v>
      </c>
      <c r="B2" s="254"/>
      <c r="C2" s="254"/>
      <c r="D2" s="338"/>
    </row>
    <row r="3" spans="1:4" s="6" customFormat="1" ht="19.5" x14ac:dyDescent="0.35">
      <c r="A3" s="339" t="str">
        <f>Instructions!A3</f>
        <v>FY2014</v>
      </c>
      <c r="B3" s="334"/>
      <c r="C3" s="334"/>
      <c r="D3" s="338"/>
    </row>
    <row r="4" spans="1:4" s="6" customFormat="1" ht="19.5" x14ac:dyDescent="0.35">
      <c r="A4" s="340" t="s">
        <v>216</v>
      </c>
      <c r="B4" s="341"/>
      <c r="C4" s="341"/>
      <c r="D4" s="342"/>
    </row>
    <row r="5" spans="1:4" s="6" customFormat="1" ht="19.5" x14ac:dyDescent="0.35">
      <c r="A5" s="134"/>
      <c r="B5" s="140"/>
      <c r="C5" s="140"/>
    </row>
    <row r="6" spans="1:4" ht="19.5" x14ac:dyDescent="0.35">
      <c r="A6" s="105"/>
      <c r="B6" s="136" t="str">
        <f>'Budget Info'!D8</f>
        <v xml:space="preserve"> </v>
      </c>
      <c r="C6" s="138"/>
      <c r="D6" s="332" t="s">
        <v>239</v>
      </c>
    </row>
    <row r="7" spans="1:4" ht="15.75" x14ac:dyDescent="0.3">
      <c r="B7" s="106" t="s">
        <v>24</v>
      </c>
      <c r="C7" s="107" t="s">
        <v>25</v>
      </c>
    </row>
    <row r="8" spans="1:4" ht="15.75" x14ac:dyDescent="0.3">
      <c r="B8" s="108" t="str">
        <f>'Budget Info'!C14</f>
        <v xml:space="preserve"> </v>
      </c>
      <c r="C8" s="109" t="str">
        <f>'Budget Info'!C15</f>
        <v xml:space="preserve"> </v>
      </c>
    </row>
    <row r="9" spans="1:4" ht="16.5" x14ac:dyDescent="0.3">
      <c r="A9" s="158" t="s">
        <v>182</v>
      </c>
      <c r="B9" s="345">
        <f>'Budget Info'!I31*B20</f>
        <v>0</v>
      </c>
      <c r="C9" s="345">
        <f>'Budget Info'!J31*C20</f>
        <v>0</v>
      </c>
      <c r="D9" s="345">
        <f>SUM(B9:C9)</f>
        <v>0</v>
      </c>
    </row>
    <row r="10" spans="1:4" ht="16.5" x14ac:dyDescent="0.3">
      <c r="A10" s="157"/>
      <c r="B10" s="156"/>
      <c r="C10" s="156"/>
    </row>
    <row r="11" spans="1:4" ht="15.75" x14ac:dyDescent="0.3">
      <c r="A11" s="18" t="s">
        <v>56</v>
      </c>
      <c r="B11" s="110"/>
      <c r="C11" s="110"/>
    </row>
    <row r="12" spans="1:4" ht="15.75" x14ac:dyDescent="0.3">
      <c r="A12" s="111" t="s">
        <v>43</v>
      </c>
      <c r="B12" s="312">
        <f>Salaries!I36</f>
        <v>0</v>
      </c>
      <c r="C12" s="312">
        <f>Salaries!K36</f>
        <v>0</v>
      </c>
      <c r="D12" s="312">
        <f t="shared" ref="D12:D16" si="0">SUM(B12:C12)</f>
        <v>0</v>
      </c>
    </row>
    <row r="13" spans="1:4" ht="15.75" x14ac:dyDescent="0.3">
      <c r="A13" s="111" t="s">
        <v>12</v>
      </c>
      <c r="B13" s="312">
        <f>'Operating Costs'!D21</f>
        <v>0</v>
      </c>
      <c r="C13" s="312">
        <f>'Operating Costs'!F21</f>
        <v>0</v>
      </c>
      <c r="D13" s="312">
        <f t="shared" si="0"/>
        <v>0</v>
      </c>
    </row>
    <row r="14" spans="1:4" ht="15.75" x14ac:dyDescent="0.3">
      <c r="A14" s="111" t="s">
        <v>44</v>
      </c>
      <c r="B14" s="312">
        <f>'Operating Costs'!D37</f>
        <v>0</v>
      </c>
      <c r="C14" s="312">
        <f>'Operating Costs'!F37</f>
        <v>0</v>
      </c>
      <c r="D14" s="312">
        <f t="shared" si="0"/>
        <v>0</v>
      </c>
    </row>
    <row r="15" spans="1:4" ht="15.75" x14ac:dyDescent="0.3">
      <c r="A15" s="111" t="s">
        <v>37</v>
      </c>
      <c r="B15" s="312">
        <f>'Operating Costs'!D55</f>
        <v>0</v>
      </c>
      <c r="C15" s="312">
        <f>'Operating Costs'!F55</f>
        <v>0</v>
      </c>
      <c r="D15" s="312">
        <f t="shared" si="0"/>
        <v>0</v>
      </c>
    </row>
    <row r="16" spans="1:4" ht="15.75" x14ac:dyDescent="0.3">
      <c r="A16" s="111" t="s">
        <v>94</v>
      </c>
      <c r="B16" s="312">
        <f>'Capital Equip Depreciation'!K32</f>
        <v>0</v>
      </c>
      <c r="C16" s="312">
        <f>'Capital Equip Depreciation'!M32</f>
        <v>0</v>
      </c>
      <c r="D16" s="312">
        <f t="shared" si="0"/>
        <v>0</v>
      </c>
    </row>
    <row r="17" spans="1:4" ht="8.25" customHeight="1" x14ac:dyDescent="0.3">
      <c r="B17" s="113"/>
      <c r="C17" s="113"/>
      <c r="D17" s="113"/>
    </row>
    <row r="18" spans="1:4" ht="15.75" x14ac:dyDescent="0.3">
      <c r="A18" s="119" t="s">
        <v>237</v>
      </c>
      <c r="B18" s="312">
        <f>SUM(B12:B17)</f>
        <v>0</v>
      </c>
      <c r="C18" s="312">
        <f>SUM(C12:C17)</f>
        <v>0</v>
      </c>
      <c r="D18" s="312">
        <f>SUM(B18:C18)</f>
        <v>0</v>
      </c>
    </row>
    <row r="19" spans="1:4" x14ac:dyDescent="0.25">
      <c r="A19" s="9"/>
      <c r="B19" s="9"/>
      <c r="C19" s="9"/>
    </row>
    <row r="20" spans="1:4" ht="15.75" x14ac:dyDescent="0.3">
      <c r="A20" s="119" t="s">
        <v>45</v>
      </c>
      <c r="B20" s="114">
        <f>IF(B18=0,0,B18/SUM(B18:C18))</f>
        <v>0</v>
      </c>
      <c r="C20" s="115">
        <f>IF(C18=0,0,C18/SUM(B18:C18))</f>
        <v>0</v>
      </c>
      <c r="D20" s="333">
        <f>SUM(B20:C20)</f>
        <v>0</v>
      </c>
    </row>
    <row r="21" spans="1:4" ht="15.75" x14ac:dyDescent="0.3">
      <c r="A21" s="9"/>
      <c r="B21" s="155"/>
      <c r="C21" s="155"/>
    </row>
    <row r="22" spans="1:4" ht="33" x14ac:dyDescent="0.3">
      <c r="A22" s="159" t="s">
        <v>108</v>
      </c>
      <c r="B22" s="312">
        <f>-1*B9</f>
        <v>0</v>
      </c>
      <c r="C22" s="112">
        <f>-1*C9</f>
        <v>0</v>
      </c>
      <c r="D22" s="312">
        <f t="shared" ref="D22:D23" si="1">SUM(B22:C22)</f>
        <v>0</v>
      </c>
    </row>
    <row r="23" spans="1:4" ht="16.5" x14ac:dyDescent="0.3">
      <c r="A23" s="159" t="s">
        <v>57</v>
      </c>
      <c r="B23" s="312">
        <f>B22*0.16</f>
        <v>0</v>
      </c>
      <c r="C23" s="312">
        <f>C22*0.16</f>
        <v>0</v>
      </c>
      <c r="D23" s="112">
        <f t="shared" si="1"/>
        <v>0</v>
      </c>
    </row>
    <row r="24" spans="1:4" x14ac:dyDescent="0.25">
      <c r="A24" s="9"/>
      <c r="B24" s="116"/>
      <c r="C24" s="116"/>
    </row>
    <row r="25" spans="1:4" ht="15.75" x14ac:dyDescent="0.3">
      <c r="A25" s="119" t="s">
        <v>100</v>
      </c>
      <c r="B25" s="312">
        <f>B18+SUM(B22:B23)</f>
        <v>0</v>
      </c>
      <c r="C25" s="312">
        <f>C18+SUM(C22:C23)</f>
        <v>0</v>
      </c>
      <c r="D25" s="312">
        <f>SUM(B25:C25)</f>
        <v>0</v>
      </c>
    </row>
    <row r="26" spans="1:4" ht="15.75" x14ac:dyDescent="0.3">
      <c r="A26" s="142"/>
      <c r="B26" s="143"/>
      <c r="C26" s="143"/>
    </row>
    <row r="27" spans="1:4" ht="15.75" x14ac:dyDescent="0.3">
      <c r="A27" s="119" t="s">
        <v>13</v>
      </c>
      <c r="B27" s="112" t="str">
        <f>'Budget Info'!G14</f>
        <v xml:space="preserve"> </v>
      </c>
      <c r="C27" s="112" t="str">
        <f>'Budget Info'!G15</f>
        <v xml:space="preserve"> </v>
      </c>
    </row>
    <row r="28" spans="1:4" ht="15.75" x14ac:dyDescent="0.3">
      <c r="A28" s="119" t="s">
        <v>14</v>
      </c>
      <c r="B28" s="313" t="str">
        <f>'Budget Info'!F14</f>
        <v xml:space="preserve"> </v>
      </c>
      <c r="C28" s="313" t="str">
        <f>'Budget Info'!F15</f>
        <v xml:space="preserve"> </v>
      </c>
    </row>
    <row r="29" spans="1:4" x14ac:dyDescent="0.25">
      <c r="B29" s="117"/>
      <c r="C29" s="117"/>
    </row>
    <row r="30" spans="1:4" ht="31.5" x14ac:dyDescent="0.3">
      <c r="A30" s="297" t="s">
        <v>221</v>
      </c>
      <c r="B30" s="145" t="e">
        <f>IF(B27&lt;&gt;0,B25/B27,0)</f>
        <v>#VALUE!</v>
      </c>
      <c r="C30" s="145" t="e">
        <f>IF(C27&lt;&gt;0,C25/C27,0)</f>
        <v>#VALUE!</v>
      </c>
      <c r="D30" s="145" t="e">
        <f>SUM(B30:C30)</f>
        <v>#VALUE!</v>
      </c>
    </row>
    <row r="32" spans="1:4" ht="33" x14ac:dyDescent="0.3">
      <c r="A32" s="331" t="s">
        <v>238</v>
      </c>
      <c r="B32" s="146">
        <v>0</v>
      </c>
      <c r="C32" s="146">
        <v>0</v>
      </c>
    </row>
    <row r="34" spans="1:6" x14ac:dyDescent="0.25">
      <c r="A34" s="316"/>
      <c r="B34" s="288"/>
      <c r="C34" s="287"/>
    </row>
    <row r="35" spans="1:6" ht="19.5" x14ac:dyDescent="0.35">
      <c r="A35" s="160" t="s">
        <v>110</v>
      </c>
      <c r="B35" s="314" t="str">
        <f>B8</f>
        <v xml:space="preserve"> </v>
      </c>
      <c r="C35" s="315" t="str">
        <f>C8</f>
        <v xml:space="preserve"> </v>
      </c>
    </row>
    <row r="36" spans="1:6" ht="16.5" x14ac:dyDescent="0.3">
      <c r="B36" s="139" t="str">
        <f>'Budget Info'!E14</f>
        <v xml:space="preserve"> </v>
      </c>
      <c r="C36" s="139" t="str">
        <f>'Budget Info'!E15</f>
        <v xml:space="preserve"> </v>
      </c>
      <c r="D36" s="343">
        <f>SUM(B36:C36)</f>
        <v>0</v>
      </c>
    </row>
    <row r="37" spans="1:6" x14ac:dyDescent="0.25">
      <c r="A37" s="316"/>
      <c r="B37" s="288"/>
      <c r="C37" s="287"/>
    </row>
    <row r="39" spans="1:6" ht="19.5" x14ac:dyDescent="0.35">
      <c r="A39" s="5" t="s">
        <v>222</v>
      </c>
      <c r="D39" s="332" t="s">
        <v>239</v>
      </c>
    </row>
    <row r="40" spans="1:6" ht="15.75" x14ac:dyDescent="0.3">
      <c r="A40" s="298" t="s">
        <v>223</v>
      </c>
      <c r="B40" s="146">
        <f>Salaries!I34</f>
        <v>0</v>
      </c>
      <c r="C40" s="146">
        <f>Salaries!K32</f>
        <v>0</v>
      </c>
      <c r="D40" s="146">
        <f t="shared" ref="D40:D45" si="2">SUM(B40:C40)</f>
        <v>0</v>
      </c>
    </row>
    <row r="41" spans="1:6" ht="15.75" x14ac:dyDescent="0.3">
      <c r="A41" s="299" t="s">
        <v>12</v>
      </c>
      <c r="B41" s="146">
        <f>'Operating Costs'!D19</f>
        <v>0</v>
      </c>
      <c r="C41" s="146">
        <f>'Operating Costs'!F19</f>
        <v>0</v>
      </c>
      <c r="D41" s="146">
        <f t="shared" si="2"/>
        <v>0</v>
      </c>
    </row>
    <row r="42" spans="1:6" ht="15.75" x14ac:dyDescent="0.3">
      <c r="A42" s="299" t="s">
        <v>225</v>
      </c>
      <c r="B42" s="146">
        <f>'Operating Costs'!D35</f>
        <v>0</v>
      </c>
      <c r="C42" s="146">
        <f>'Operating Costs'!F35</f>
        <v>0</v>
      </c>
      <c r="D42" s="146">
        <f t="shared" si="2"/>
        <v>0</v>
      </c>
    </row>
    <row r="43" spans="1:6" ht="15.75" x14ac:dyDescent="0.3">
      <c r="A43" s="299" t="s">
        <v>226</v>
      </c>
      <c r="B43" s="146">
        <f>'Operating Costs'!D53</f>
        <v>0</v>
      </c>
      <c r="C43" s="146">
        <f>'Operating Costs'!F53</f>
        <v>0</v>
      </c>
      <c r="D43" s="146">
        <f t="shared" si="2"/>
        <v>0</v>
      </c>
    </row>
    <row r="44" spans="1:6" ht="16.5" x14ac:dyDescent="0.3">
      <c r="A44" s="299" t="s">
        <v>227</v>
      </c>
      <c r="B44" s="146">
        <f>'Capital Equip Depreciation'!K30</f>
        <v>0</v>
      </c>
      <c r="C44" s="146">
        <f>'Capital Equip Depreciation'!M30</f>
        <v>0</v>
      </c>
      <c r="D44" s="146">
        <f t="shared" si="2"/>
        <v>0</v>
      </c>
      <c r="E44" s="144"/>
      <c r="F44" s="144"/>
    </row>
    <row r="45" spans="1:6" ht="16.5" x14ac:dyDescent="0.3">
      <c r="A45" s="344" t="s">
        <v>220</v>
      </c>
      <c r="B45" s="112">
        <f>SUM(B40:B44)</f>
        <v>0</v>
      </c>
      <c r="C45" s="112">
        <f>SUM(C40:C44)</f>
        <v>0</v>
      </c>
      <c r="D45" s="112">
        <f t="shared" si="2"/>
        <v>0</v>
      </c>
      <c r="E45" s="144"/>
      <c r="F45" s="144"/>
    </row>
    <row r="46" spans="1:6" ht="16.5" x14ac:dyDescent="0.3">
      <c r="A46" s="283"/>
      <c r="B46"/>
      <c r="C46"/>
      <c r="D46"/>
      <c r="E46" s="144"/>
      <c r="F46" s="144"/>
    </row>
    <row r="47" spans="1:6" ht="16.5" x14ac:dyDescent="0.3">
      <c r="A47" s="344" t="s">
        <v>224</v>
      </c>
      <c r="B47" s="112">
        <f>B45+B18</f>
        <v>0</v>
      </c>
      <c r="C47" s="112">
        <f>C45+C18</f>
        <v>0</v>
      </c>
      <c r="D47" s="112">
        <f>SUM(B47:C47)</f>
        <v>0</v>
      </c>
      <c r="E47" s="144"/>
      <c r="F47" s="144"/>
    </row>
    <row r="48" spans="1:6" ht="16.5" x14ac:dyDescent="0.3">
      <c r="A48"/>
      <c r="B48"/>
      <c r="C48"/>
      <c r="D48"/>
      <c r="E48" s="144"/>
      <c r="F48" s="144"/>
    </row>
    <row r="49" spans="1:6" ht="16.5" x14ac:dyDescent="0.3">
      <c r="A49" s="118" t="s">
        <v>240</v>
      </c>
      <c r="B49" s="145" t="e">
        <f>B47/B27</f>
        <v>#VALUE!</v>
      </c>
      <c r="C49" s="145" t="e">
        <f>C47/C27</f>
        <v>#VALUE!</v>
      </c>
      <c r="E49" s="144"/>
      <c r="F49" s="144"/>
    </row>
  </sheetData>
  <phoneticPr fontId="0" type="noConversion"/>
  <pageMargins left="0.3" right="0.25" top="0.25" bottom="0.25" header="0.5" footer="0.5"/>
  <pageSetup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election activeCell="C23" sqref="C23"/>
    </sheetView>
  </sheetViews>
  <sheetFormatPr defaultRowHeight="16.5" x14ac:dyDescent="0.25"/>
  <cols>
    <col min="1" max="1" width="4.7109375" style="163" customWidth="1"/>
    <col min="2" max="2" width="32.5703125" style="163" customWidth="1"/>
    <col min="3" max="3" width="21.42578125" style="164" customWidth="1"/>
    <col min="4" max="5" width="9.140625" style="163"/>
    <col min="6" max="6" width="5.5703125" style="163" customWidth="1"/>
    <col min="7" max="7" width="40" style="163" customWidth="1"/>
    <col min="8" max="8" width="17.140625" style="164" customWidth="1"/>
    <col min="9" max="9" width="9.140625" style="163"/>
    <col min="10" max="10" width="29.42578125" style="163" customWidth="1"/>
    <col min="11" max="16384" width="9.140625" style="163"/>
  </cols>
  <sheetData>
    <row r="1" spans="1:9" ht="21" x14ac:dyDescent="0.35">
      <c r="A1" s="317" t="s">
        <v>235</v>
      </c>
    </row>
    <row r="4" spans="1:9" ht="19.5" x14ac:dyDescent="0.25">
      <c r="A4" s="171" t="s">
        <v>112</v>
      </c>
      <c r="B4" s="172"/>
      <c r="C4" s="173"/>
      <c r="D4" s="174"/>
      <c r="F4" s="186" t="s">
        <v>113</v>
      </c>
      <c r="G4" s="172"/>
      <c r="H4" s="173"/>
      <c r="I4" s="174"/>
    </row>
    <row r="5" spans="1:9" ht="19.5" x14ac:dyDescent="0.25">
      <c r="A5" s="175"/>
      <c r="B5" s="176"/>
      <c r="C5" s="177"/>
      <c r="D5" s="178"/>
      <c r="F5" s="187"/>
      <c r="G5" s="176"/>
      <c r="H5" s="177"/>
      <c r="I5" s="178"/>
    </row>
    <row r="6" spans="1:9" x14ac:dyDescent="0.25">
      <c r="A6" s="179" t="s">
        <v>53</v>
      </c>
      <c r="B6" s="176"/>
      <c r="C6" s="177"/>
      <c r="D6" s="178"/>
      <c r="F6" s="179" t="s">
        <v>53</v>
      </c>
      <c r="G6" s="176"/>
      <c r="H6" s="177"/>
      <c r="I6" s="178"/>
    </row>
    <row r="7" spans="1:9" ht="19.5" x14ac:dyDescent="0.25">
      <c r="A7" s="175"/>
      <c r="B7" s="177" t="str">
        <f>'Budget Info'!C14</f>
        <v xml:space="preserve"> </v>
      </c>
      <c r="C7" s="180" t="e">
        <f>'Rate Summary'!B32*'Rate Summary'!B27</f>
        <v>#VALUE!</v>
      </c>
      <c r="D7" s="178"/>
      <c r="F7" s="187"/>
      <c r="G7" s="177" t="s">
        <v>129</v>
      </c>
      <c r="H7" s="180">
        <f>'Budget Info'!H33*-1</f>
        <v>0</v>
      </c>
      <c r="I7" s="178"/>
    </row>
    <row r="8" spans="1:9" ht="19.5" x14ac:dyDescent="0.25">
      <c r="A8" s="175"/>
      <c r="B8" s="177" t="str">
        <f>'Budget Info'!C15</f>
        <v xml:space="preserve"> </v>
      </c>
      <c r="C8" s="180" t="e">
        <f>'Rate Summary'!C32*'Rate Summary'!C27</f>
        <v>#VALUE!</v>
      </c>
      <c r="D8" s="178"/>
      <c r="F8" s="187"/>
      <c r="G8" s="177" t="s">
        <v>133</v>
      </c>
      <c r="H8" s="180">
        <f>'Budget Info'!E33</f>
        <v>0</v>
      </c>
      <c r="I8" s="178"/>
    </row>
    <row r="9" spans="1:9" ht="6.75" customHeight="1" x14ac:dyDescent="0.25">
      <c r="A9" s="175"/>
      <c r="B9" s="177"/>
      <c r="C9" s="177"/>
      <c r="D9" s="178"/>
      <c r="F9" s="187"/>
      <c r="G9" s="177"/>
      <c r="H9" s="180"/>
      <c r="I9" s="178"/>
    </row>
    <row r="10" spans="1:9" ht="20.25" thickBot="1" x14ac:dyDescent="0.3">
      <c r="A10" s="175"/>
      <c r="B10" s="181" t="s">
        <v>131</v>
      </c>
      <c r="C10" s="170" t="e">
        <f>SUM(C7:C9)</f>
        <v>#VALUE!</v>
      </c>
      <c r="D10" s="178"/>
      <c r="F10" s="187"/>
      <c r="G10" s="177"/>
      <c r="H10" s="170">
        <f>SUM(H7:H9)</f>
        <v>0</v>
      </c>
      <c r="I10" s="178"/>
    </row>
    <row r="11" spans="1:9" ht="20.25" thickTop="1" x14ac:dyDescent="0.25">
      <c r="A11" s="175"/>
      <c r="B11" s="176"/>
      <c r="C11" s="177"/>
      <c r="D11" s="178"/>
      <c r="F11" s="187"/>
      <c r="G11" s="177"/>
      <c r="H11" s="180"/>
      <c r="I11" s="178"/>
    </row>
    <row r="12" spans="1:9" x14ac:dyDescent="0.25">
      <c r="A12" s="179" t="s">
        <v>54</v>
      </c>
      <c r="B12" s="176"/>
      <c r="C12" s="180"/>
      <c r="D12" s="178"/>
      <c r="F12" s="179" t="s">
        <v>54</v>
      </c>
      <c r="G12" s="177"/>
      <c r="H12" s="180"/>
      <c r="I12" s="178"/>
    </row>
    <row r="13" spans="1:9" x14ac:dyDescent="0.25">
      <c r="A13" s="182"/>
      <c r="B13" s="177" t="s">
        <v>132</v>
      </c>
      <c r="C13" s="183">
        <f>SUM('Rate Summary'!B12:C12)</f>
        <v>0</v>
      </c>
      <c r="D13" s="178"/>
      <c r="F13" s="182"/>
      <c r="G13" s="177" t="s">
        <v>130</v>
      </c>
      <c r="H13" s="180">
        <f>'Capital Equip Replacement'!D31</f>
        <v>0</v>
      </c>
      <c r="I13" s="178"/>
    </row>
    <row r="14" spans="1:9" x14ac:dyDescent="0.25">
      <c r="A14" s="182"/>
      <c r="B14" s="177" t="s">
        <v>12</v>
      </c>
      <c r="C14" s="183">
        <f>SUM('Rate Summary'!B13:C13)</f>
        <v>0</v>
      </c>
      <c r="D14" s="178"/>
      <c r="F14" s="182"/>
      <c r="G14" s="177"/>
      <c r="H14" s="180"/>
      <c r="I14" s="178"/>
    </row>
    <row r="15" spans="1:9" x14ac:dyDescent="0.25">
      <c r="A15" s="182"/>
      <c r="B15" s="177" t="s">
        <v>36</v>
      </c>
      <c r="C15" s="183">
        <f>SUM('Rate Summary'!B14:C14)</f>
        <v>0</v>
      </c>
      <c r="D15" s="178"/>
      <c r="F15" s="182"/>
      <c r="G15" s="177"/>
      <c r="H15" s="180"/>
      <c r="I15" s="178"/>
    </row>
    <row r="16" spans="1:9" x14ac:dyDescent="0.25">
      <c r="A16" s="182"/>
      <c r="B16" s="177" t="s">
        <v>125</v>
      </c>
      <c r="C16" s="183">
        <f>SUM('Rate Summary'!B15:C15)</f>
        <v>0</v>
      </c>
      <c r="D16" s="178"/>
      <c r="F16" s="182"/>
      <c r="G16" s="177"/>
      <c r="H16" s="180"/>
      <c r="I16" s="178"/>
    </row>
    <row r="17" spans="1:9" x14ac:dyDescent="0.25">
      <c r="A17" s="182"/>
      <c r="B17" s="177" t="s">
        <v>128</v>
      </c>
      <c r="C17" s="183">
        <f>SUM('Rate Summary'!B16:C16)</f>
        <v>0</v>
      </c>
      <c r="D17" s="178"/>
      <c r="F17" s="182"/>
      <c r="G17" s="177"/>
      <c r="H17" s="180"/>
      <c r="I17" s="178"/>
    </row>
    <row r="18" spans="1:9" ht="6.75" customHeight="1" x14ac:dyDescent="0.25">
      <c r="A18" s="182"/>
      <c r="B18" s="177"/>
      <c r="C18" s="180"/>
      <c r="D18" s="178"/>
      <c r="F18" s="182"/>
      <c r="G18" s="177"/>
      <c r="H18" s="180"/>
      <c r="I18" s="178"/>
    </row>
    <row r="19" spans="1:9" ht="17.25" thickBot="1" x14ac:dyDescent="0.3">
      <c r="A19" s="182"/>
      <c r="B19" s="181" t="s">
        <v>126</v>
      </c>
      <c r="C19" s="170">
        <f>SUM(C13:C18)</f>
        <v>0</v>
      </c>
      <c r="D19" s="178"/>
      <c r="F19" s="179" t="s">
        <v>126</v>
      </c>
      <c r="G19" s="177"/>
      <c r="H19" s="170">
        <f>SUM(H13:H18)</f>
        <v>0</v>
      </c>
      <c r="I19" s="178"/>
    </row>
    <row r="20" spans="1:9" ht="17.25" thickTop="1" x14ac:dyDescent="0.25">
      <c r="A20" s="182"/>
      <c r="B20" s="177"/>
      <c r="C20" s="177"/>
      <c r="D20" s="178"/>
      <c r="F20" s="182"/>
      <c r="G20" s="177"/>
      <c r="H20" s="180"/>
      <c r="I20" s="178"/>
    </row>
    <row r="21" spans="1:9" x14ac:dyDescent="0.25">
      <c r="A21" s="179" t="s">
        <v>127</v>
      </c>
      <c r="B21" s="177"/>
      <c r="C21" s="180" t="e">
        <f>C10-C19</f>
        <v>#VALUE!</v>
      </c>
      <c r="D21" s="178"/>
      <c r="F21" s="179" t="s">
        <v>127</v>
      </c>
      <c r="G21" s="177"/>
      <c r="H21" s="180">
        <f>H10-H19</f>
        <v>0</v>
      </c>
      <c r="I21" s="178"/>
    </row>
    <row r="22" spans="1:9" x14ac:dyDescent="0.25">
      <c r="A22" s="182"/>
      <c r="B22" s="177"/>
      <c r="C22" s="177"/>
      <c r="D22" s="178"/>
      <c r="F22" s="182"/>
      <c r="G22" s="176"/>
      <c r="H22" s="177"/>
      <c r="I22" s="178"/>
    </row>
    <row r="23" spans="1:9" x14ac:dyDescent="0.25">
      <c r="A23" s="182"/>
      <c r="B23" s="177"/>
      <c r="C23" s="177"/>
      <c r="D23" s="178"/>
      <c r="F23" s="182"/>
      <c r="G23" s="176"/>
      <c r="H23" s="177"/>
      <c r="I23" s="178"/>
    </row>
    <row r="24" spans="1:9" x14ac:dyDescent="0.25">
      <c r="A24" s="182"/>
      <c r="B24" s="177"/>
      <c r="C24" s="177"/>
      <c r="D24" s="178"/>
      <c r="F24" s="182"/>
      <c r="G24" s="176"/>
      <c r="H24" s="177"/>
      <c r="I24" s="178"/>
    </row>
    <row r="25" spans="1:9" x14ac:dyDescent="0.25">
      <c r="A25" s="182"/>
      <c r="B25" s="177"/>
      <c r="C25" s="177"/>
      <c r="D25" s="178"/>
      <c r="F25" s="182"/>
      <c r="G25" s="176"/>
      <c r="H25" s="177"/>
      <c r="I25" s="178"/>
    </row>
    <row r="26" spans="1:9" x14ac:dyDescent="0.25">
      <c r="A26" s="182"/>
      <c r="B26" s="177"/>
      <c r="C26" s="177"/>
      <c r="D26" s="178"/>
      <c r="F26" s="182"/>
      <c r="G26" s="176"/>
      <c r="H26" s="177"/>
      <c r="I26" s="178"/>
    </row>
    <row r="27" spans="1:9" x14ac:dyDescent="0.25">
      <c r="A27" s="182"/>
      <c r="B27" s="177"/>
      <c r="C27" s="177"/>
      <c r="D27" s="178"/>
      <c r="F27" s="182"/>
      <c r="G27" s="176"/>
      <c r="H27" s="177"/>
      <c r="I27" s="178"/>
    </row>
    <row r="28" spans="1:9" x14ac:dyDescent="0.25">
      <c r="A28" s="184"/>
      <c r="B28" s="166"/>
      <c r="C28" s="166"/>
      <c r="D28" s="185"/>
      <c r="F28" s="184"/>
      <c r="G28" s="188"/>
      <c r="H28" s="166"/>
      <c r="I28" s="185"/>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workbookViewId="0">
      <selection activeCell="G20" sqref="G20"/>
    </sheetView>
  </sheetViews>
  <sheetFormatPr defaultRowHeight="16.5" x14ac:dyDescent="0.25"/>
  <cols>
    <col min="1" max="1" width="15.42578125" style="164" customWidth="1"/>
    <col min="2" max="2" width="35.85546875" style="164" customWidth="1"/>
    <col min="3" max="3" width="17" style="164" customWidth="1"/>
    <col min="4" max="4" width="17.28515625" style="164" customWidth="1"/>
    <col min="5" max="5" width="19.140625" style="164" customWidth="1"/>
    <col min="6" max="6" width="16" style="164" customWidth="1"/>
    <col min="7" max="7" width="13.140625" style="164" customWidth="1"/>
    <col min="8" max="8" width="12.140625" style="164" customWidth="1"/>
    <col min="9" max="9" width="12.85546875" style="164" customWidth="1"/>
    <col min="10" max="10" width="14.5703125" style="164" customWidth="1"/>
    <col min="11" max="16384" width="9.140625" style="164"/>
  </cols>
  <sheetData>
    <row r="1" spans="1:5" x14ac:dyDescent="0.25">
      <c r="A1" s="164" t="s">
        <v>124</v>
      </c>
    </row>
    <row r="3" spans="1:5" x14ac:dyDescent="0.25">
      <c r="A3" s="164" t="s">
        <v>149</v>
      </c>
      <c r="B3" s="168"/>
    </row>
    <row r="4" spans="1:5" x14ac:dyDescent="0.25">
      <c r="A4" s="164" t="s">
        <v>150</v>
      </c>
      <c r="B4" s="168"/>
    </row>
    <row r="8" spans="1:5" x14ac:dyDescent="0.25">
      <c r="B8" s="165" t="s">
        <v>114</v>
      </c>
      <c r="C8" s="166" t="str">
        <f>'Budget Info'!D8</f>
        <v xml:space="preserve"> </v>
      </c>
    </row>
    <row r="10" spans="1:5" x14ac:dyDescent="0.25">
      <c r="B10" s="166" t="s">
        <v>119</v>
      </c>
      <c r="C10" s="167" t="s">
        <v>122</v>
      </c>
      <c r="D10" s="167" t="s">
        <v>120</v>
      </c>
      <c r="E10" s="167" t="s">
        <v>121</v>
      </c>
    </row>
    <row r="11" spans="1:5" x14ac:dyDescent="0.25">
      <c r="B11" s="165" t="s">
        <v>115</v>
      </c>
      <c r="C11" s="169"/>
      <c r="D11" s="169"/>
      <c r="E11" s="169"/>
    </row>
    <row r="12" spans="1:5" x14ac:dyDescent="0.25">
      <c r="B12" s="165" t="s">
        <v>116</v>
      </c>
      <c r="C12" s="169"/>
      <c r="D12" s="169"/>
      <c r="E12" s="169"/>
    </row>
    <row r="13" spans="1:5" x14ac:dyDescent="0.25">
      <c r="B13" s="165" t="s">
        <v>54</v>
      </c>
      <c r="C13" s="169"/>
      <c r="D13" s="169"/>
      <c r="E13" s="169"/>
    </row>
    <row r="14" spans="1:5" x14ac:dyDescent="0.25">
      <c r="B14" s="165" t="s">
        <v>118</v>
      </c>
      <c r="C14" s="169"/>
      <c r="D14" s="169"/>
      <c r="E14" s="169"/>
    </row>
    <row r="15" spans="1:5" x14ac:dyDescent="0.25">
      <c r="B15" s="165" t="s">
        <v>117</v>
      </c>
      <c r="C15" s="169"/>
      <c r="D15" s="169"/>
      <c r="E15" s="169"/>
    </row>
    <row r="16" spans="1:5" ht="6.75" customHeight="1" x14ac:dyDescent="0.25">
      <c r="C16" s="169"/>
      <c r="D16" s="169"/>
      <c r="E16" s="169"/>
    </row>
    <row r="17" spans="1:6" ht="17.25" thickBot="1" x14ac:dyDescent="0.3">
      <c r="B17" s="164" t="s">
        <v>123</v>
      </c>
      <c r="C17" s="170">
        <f>C11+C12-C13-C14-C15</f>
        <v>0</v>
      </c>
      <c r="D17" s="170">
        <f t="shared" ref="D17:E17" si="0">D11+D12-D13-D14-D15</f>
        <v>0</v>
      </c>
      <c r="E17" s="170">
        <f t="shared" si="0"/>
        <v>0</v>
      </c>
    </row>
    <row r="18" spans="1:6" ht="17.25" thickTop="1" x14ac:dyDescent="0.25"/>
    <row r="20" spans="1:6" ht="33" x14ac:dyDescent="0.25">
      <c r="C20" s="255" t="s">
        <v>152</v>
      </c>
      <c r="D20" s="255" t="s">
        <v>153</v>
      </c>
    </row>
    <row r="21" spans="1:6" x14ac:dyDescent="0.25">
      <c r="A21" s="164" t="s">
        <v>151</v>
      </c>
      <c r="C21" s="168"/>
      <c r="D21" s="168"/>
    </row>
    <row r="23" spans="1:6" x14ac:dyDescent="0.25">
      <c r="A23" s="164" t="s">
        <v>18</v>
      </c>
    </row>
    <row r="24" spans="1:6" x14ac:dyDescent="0.25">
      <c r="A24" s="256" t="s">
        <v>149</v>
      </c>
      <c r="B24" s="257" t="s">
        <v>154</v>
      </c>
      <c r="C24" s="257"/>
      <c r="D24" s="257"/>
      <c r="E24" s="257"/>
      <c r="F24" s="258"/>
    </row>
    <row r="25" spans="1:6" x14ac:dyDescent="0.25">
      <c r="A25" s="168"/>
      <c r="B25" s="256"/>
      <c r="C25" s="257"/>
      <c r="D25" s="257"/>
      <c r="E25" s="257"/>
      <c r="F25" s="258"/>
    </row>
    <row r="26" spans="1:6" x14ac:dyDescent="0.25">
      <c r="A26" s="168"/>
      <c r="B26" s="256"/>
      <c r="C26" s="257"/>
      <c r="D26" s="257"/>
      <c r="E26" s="257"/>
      <c r="F26" s="258"/>
    </row>
    <row r="27" spans="1:6" x14ac:dyDescent="0.25">
      <c r="A27" s="168"/>
      <c r="B27" s="256"/>
      <c r="C27" s="257"/>
      <c r="D27" s="257"/>
      <c r="E27" s="257"/>
      <c r="F27" s="258"/>
    </row>
    <row r="28" spans="1:6" x14ac:dyDescent="0.25">
      <c r="A28" s="168"/>
      <c r="B28" s="256"/>
      <c r="C28" s="257"/>
      <c r="D28" s="257"/>
      <c r="E28" s="257"/>
      <c r="F28" s="258"/>
    </row>
    <row r="29" spans="1:6" x14ac:dyDescent="0.25">
      <c r="A29" s="168"/>
      <c r="B29" s="256"/>
      <c r="C29" s="257"/>
      <c r="D29" s="257"/>
      <c r="E29" s="257"/>
      <c r="F29" s="258"/>
    </row>
    <row r="30" spans="1:6" x14ac:dyDescent="0.25">
      <c r="A30" s="168"/>
      <c r="B30" s="256"/>
      <c r="C30" s="257"/>
      <c r="D30" s="257"/>
      <c r="E30" s="257"/>
      <c r="F30" s="258"/>
    </row>
    <row r="31" spans="1:6" x14ac:dyDescent="0.25">
      <c r="A31" s="168"/>
      <c r="B31" s="256"/>
      <c r="C31" s="257"/>
      <c r="D31" s="257"/>
      <c r="E31" s="257"/>
      <c r="F31" s="258"/>
    </row>
    <row r="32" spans="1:6" x14ac:dyDescent="0.25">
      <c r="A32" s="168"/>
      <c r="B32" s="256"/>
      <c r="C32" s="257"/>
      <c r="D32" s="257"/>
      <c r="E32" s="257"/>
      <c r="F32" s="25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9</vt:i4>
      </vt:variant>
    </vt:vector>
  </HeadingPairs>
  <TitlesOfParts>
    <vt:vector size="21" baseType="lpstr">
      <vt:lpstr>Instructions</vt:lpstr>
      <vt:lpstr>General Info</vt:lpstr>
      <vt:lpstr>Budget Info</vt:lpstr>
      <vt:lpstr>Salaries</vt:lpstr>
      <vt:lpstr>Operating Costs</vt:lpstr>
      <vt:lpstr>Capital Equip Depreciation</vt:lpstr>
      <vt:lpstr>Capital Equip Replacement</vt:lpstr>
      <vt:lpstr>Add'l Costs</vt:lpstr>
      <vt:lpstr>Notes</vt:lpstr>
      <vt:lpstr>Rate Summary</vt:lpstr>
      <vt:lpstr>Budget Summary</vt:lpstr>
      <vt:lpstr>SCC Notes</vt:lpstr>
      <vt:lpstr>'Add''l Costs'!Print_Area</vt:lpstr>
      <vt:lpstr>'Capital Equip Depreciation'!Print_Area</vt:lpstr>
      <vt:lpstr>'General Info'!Print_Area</vt:lpstr>
      <vt:lpstr>Instructions!Print_Area</vt:lpstr>
      <vt:lpstr>Notes!Print_Area</vt:lpstr>
      <vt:lpstr>'Operating Costs'!Print_Area</vt:lpstr>
      <vt:lpstr>'Rate Summary'!Print_Area</vt:lpstr>
      <vt:lpstr>Salaries!Print_Area</vt:lpstr>
      <vt:lpstr>'Operating Costs'!Print_Titles</vt:lpstr>
    </vt:vector>
  </TitlesOfParts>
  <Company>University of Idaho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Cofield</dc:creator>
  <cp:lastModifiedBy>Schwartz, Lana</cp:lastModifiedBy>
  <cp:lastPrinted>2011-06-01T18:35:05Z</cp:lastPrinted>
  <dcterms:created xsi:type="dcterms:W3CDTF">2005-06-22T15:39:48Z</dcterms:created>
  <dcterms:modified xsi:type="dcterms:W3CDTF">2013-10-25T18:25:22Z</dcterms:modified>
</cp:coreProperties>
</file>