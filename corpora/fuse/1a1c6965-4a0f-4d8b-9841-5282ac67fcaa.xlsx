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15195" windowHeight="11700" activeTab="1"/>
  </bookViews>
  <sheets>
    <sheet name="Instructions" sheetId="2" r:id="rId1"/>
    <sheet name="Unit Sales" sheetId="1" r:id="rId2"/>
  </sheets>
  <definedNames>
    <definedName name="_xlnm._FilterDatabase" localSheetId="1" hidden="1">'Unit Sales'!$M$2:$M$31</definedName>
  </definedNames>
  <calcPr calcId="145621"/>
</workbook>
</file>

<file path=xl/calcChain.xml><?xml version="1.0" encoding="utf-8"?>
<calcChain xmlns="http://schemas.openxmlformats.org/spreadsheetml/2006/main">
  <c r="M32" i="1" l="1"/>
  <c r="O7" i="1" l="1"/>
  <c r="O8" i="1"/>
  <c r="O9" i="1"/>
  <c r="O10" i="1"/>
  <c r="O11" i="1"/>
  <c r="O12" i="1"/>
  <c r="O13" i="1"/>
  <c r="O14" i="1"/>
  <c r="O15" i="1"/>
  <c r="O16" i="1"/>
  <c r="O17" i="1"/>
  <c r="O18" i="1"/>
  <c r="O19" i="1"/>
  <c r="O20" i="1"/>
  <c r="O21" i="1"/>
  <c r="O22" i="1"/>
  <c r="O23" i="1"/>
  <c r="O24" i="1"/>
  <c r="O25" i="1"/>
  <c r="O26" i="1"/>
  <c r="O27" i="1"/>
  <c r="O28" i="1"/>
  <c r="O29" i="1"/>
  <c r="O30" i="1"/>
  <c r="O31" i="1"/>
  <c r="O6" i="1"/>
  <c r="P6" i="1" l="1"/>
  <c r="P7" i="1"/>
  <c r="P8" i="1"/>
  <c r="P9" i="1"/>
  <c r="P10" i="1"/>
  <c r="P11" i="1"/>
  <c r="P12" i="1"/>
  <c r="P13" i="1"/>
  <c r="P14" i="1"/>
  <c r="P15" i="1"/>
  <c r="P16" i="1"/>
  <c r="P17" i="1"/>
  <c r="P18" i="1"/>
  <c r="P19" i="1"/>
  <c r="P20" i="1"/>
  <c r="P21" i="1"/>
  <c r="P22" i="1"/>
  <c r="P23" i="1"/>
  <c r="P24" i="1"/>
  <c r="P25" i="1"/>
  <c r="P26" i="1"/>
  <c r="P27" i="1"/>
  <c r="P28" i="1"/>
  <c r="P29" i="1"/>
  <c r="P30" i="1"/>
  <c r="P31" i="1"/>
  <c r="P5" i="1"/>
  <c r="P3" i="1"/>
  <c r="P4" i="1"/>
  <c r="P2" i="1"/>
  <c r="P32" i="1" l="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 r="L32" i="1" l="1"/>
  <c r="J32" i="1"/>
  <c r="K10" i="1"/>
  <c r="N10" i="1"/>
  <c r="Q10" i="1"/>
  <c r="K11" i="1"/>
  <c r="N11" i="1"/>
  <c r="Q11" i="1"/>
  <c r="K12" i="1"/>
  <c r="N12" i="1"/>
  <c r="Q12" i="1"/>
  <c r="K13" i="1"/>
  <c r="N13" i="1"/>
  <c r="Q13" i="1"/>
  <c r="K14" i="1"/>
  <c r="N14" i="1"/>
  <c r="Q14" i="1"/>
  <c r="K15" i="1"/>
  <c r="N15" i="1"/>
  <c r="Q15" i="1"/>
  <c r="K16" i="1"/>
  <c r="N16" i="1"/>
  <c r="Q16" i="1"/>
  <c r="Q31" i="1"/>
  <c r="N31" i="1"/>
  <c r="K31" i="1"/>
  <c r="Q30" i="1"/>
  <c r="N30" i="1"/>
  <c r="K30" i="1"/>
  <c r="Q29" i="1"/>
  <c r="N29" i="1"/>
  <c r="K29" i="1"/>
  <c r="Q28" i="1"/>
  <c r="N28" i="1"/>
  <c r="K28" i="1"/>
  <c r="Q27" i="1"/>
  <c r="N27" i="1"/>
  <c r="K27" i="1"/>
  <c r="Q26" i="1"/>
  <c r="N26" i="1"/>
  <c r="K26" i="1"/>
  <c r="Q25" i="1"/>
  <c r="N25" i="1"/>
  <c r="K25" i="1"/>
  <c r="Q24" i="1"/>
  <c r="N24" i="1"/>
  <c r="K24" i="1"/>
  <c r="Q23" i="1"/>
  <c r="N23" i="1"/>
  <c r="K23" i="1"/>
  <c r="Q22" i="1"/>
  <c r="N22" i="1"/>
  <c r="K22" i="1"/>
  <c r="Q21" i="1"/>
  <c r="N21" i="1"/>
  <c r="K21" i="1"/>
  <c r="Q20" i="1"/>
  <c r="N20" i="1"/>
  <c r="K20" i="1"/>
  <c r="Q19" i="1"/>
  <c r="N19" i="1"/>
  <c r="K19" i="1"/>
  <c r="Q18" i="1"/>
  <c r="N18" i="1"/>
  <c r="K18" i="1"/>
  <c r="Q17" i="1"/>
  <c r="N17" i="1"/>
  <c r="K17" i="1"/>
  <c r="Q9" i="1"/>
  <c r="N9" i="1"/>
  <c r="K9" i="1"/>
  <c r="Q8" i="1"/>
  <c r="N8" i="1"/>
  <c r="K8" i="1"/>
  <c r="Q7" i="1"/>
  <c r="N7" i="1"/>
  <c r="K7" i="1"/>
  <c r="Q6" i="1"/>
  <c r="N6" i="1"/>
  <c r="K6" i="1"/>
  <c r="Q5" i="1"/>
  <c r="O5" i="1"/>
  <c r="N5" i="1"/>
  <c r="K5" i="1"/>
  <c r="Q4" i="1"/>
  <c r="O4" i="1"/>
  <c r="N4" i="1"/>
  <c r="K4" i="1"/>
  <c r="Q3" i="1"/>
  <c r="O3" i="1"/>
  <c r="N3" i="1"/>
  <c r="K3" i="1"/>
  <c r="Q2" i="1"/>
  <c r="O2" i="1"/>
  <c r="N2" i="1"/>
  <c r="K2" i="1"/>
  <c r="Q32" i="1" l="1"/>
  <c r="K32" i="1"/>
  <c r="O32" i="1"/>
  <c r="N32" i="1"/>
  <c r="I32" i="1"/>
  <c r="H34" i="1" s="1"/>
  <c r="H35" i="1" l="1"/>
  <c r="O34" i="1" l="1"/>
  <c r="O35" i="1" s="1"/>
  <c r="O36" i="1"/>
</calcChain>
</file>

<file path=xl/sharedStrings.xml><?xml version="1.0" encoding="utf-8"?>
<sst xmlns="http://schemas.openxmlformats.org/spreadsheetml/2006/main" count="49" uniqueCount="49">
  <si>
    <t>Scout's Name</t>
  </si>
  <si>
    <t>Phone</t>
  </si>
  <si>
    <t>Email</t>
  </si>
  <si>
    <t>District</t>
  </si>
  <si>
    <t>District Validation</t>
  </si>
  <si>
    <t>Heart of Milwaukee</t>
  </si>
  <si>
    <t>Lighthouse</t>
  </si>
  <si>
    <t>Root River</t>
  </si>
  <si>
    <t>Southshore</t>
  </si>
  <si>
    <t>Exploring</t>
  </si>
  <si>
    <t>Fox River</t>
  </si>
  <si>
    <t>Polaris</t>
  </si>
  <si>
    <t>Iron Horse</t>
  </si>
  <si>
    <t>Gateway</t>
  </si>
  <si>
    <t>Other</t>
  </si>
  <si>
    <t>Zip</t>
  </si>
  <si>
    <t>Scout's Address</t>
  </si>
  <si>
    <t>Scout's City</t>
  </si>
  <si>
    <t>This file is password protected.  It is strongly recommended that changes to the original file are not made, as each unit's file will be combined into a single document to determine overall prize counts and awards.  However, if you truly wish to alter the structure please copy your final file into this original document and provide this to the council office.  The password is "THC_Popcorn".</t>
  </si>
  <si>
    <t>The "District"column has a drop-down box when you are in one of the cells, permitting you to select the district your unit is in.  For the unit column please enter your unit number with either a "P", "T", or "C" as a prefix to indicate Pack, Troop, or Crew.  For example, Pack 166 would be entered as "P166", Troop 22 as "T222", and so forth.  The Scout's correct mailing address is important.  A parent's email address should be recorded, not the individual Scout's, if applicable.</t>
  </si>
  <si>
    <t>Remember, all Online Sales during the sales period count towards all prize levels, so please insure you check for any online sales from your unit before finalizing this form.  Those sales should be simply added to all Show &amp; Deliver and Take Order sales figures to arrive at a total sales for a Scout.  If there are any questions about Online Sales please contact Gina via email or phone at 414-443-2854.</t>
  </si>
  <si>
    <r>
      <t xml:space="preserve">This form </t>
    </r>
    <r>
      <rPr>
        <b/>
        <u/>
        <sz val="10"/>
        <rFont val="Arial"/>
        <family val="2"/>
      </rPr>
      <t xml:space="preserve">is not used </t>
    </r>
    <r>
      <rPr>
        <sz val="10"/>
        <rFont val="Arial"/>
        <family val="2"/>
      </rPr>
      <t>to order the prize incentives from Pecatonica River, which includes patches, prizes, gift cards, or the "Winner's Circle."  If your unit has opted not to participate in the Pecatonica River incentive program you may still order the Pecatonica River bonus prizes such as patches and $2500 "Winner's Circle."  All Pecatonica River incentives are ordered via the boyscouts-gcc.com website, which is different than the popcorn ordering system at prpopcorn.com.</t>
    </r>
  </si>
  <si>
    <t>Total Amount Sold</t>
  </si>
  <si>
    <t>$1,000 Waterpark Passes</t>
  </si>
  <si>
    <t>$10,000 Disney World</t>
  </si>
  <si>
    <t>INSTRUCTIONS</t>
  </si>
  <si>
    <t>UNIT GRAND TOTAL</t>
  </si>
  <si>
    <t>Sales Change ($)</t>
  </si>
  <si>
    <t>Sales Change (%)</t>
  </si>
  <si>
    <t>Pack (Pxxx), Troop (Txxx), Crew (Cxxx)</t>
  </si>
  <si>
    <t>Free 2013 Camp
(Yes or No)</t>
  </si>
  <si>
    <t>Unit Bonus Commission Amount</t>
  </si>
  <si>
    <t>Unit Bonus Commission Percentage</t>
  </si>
  <si>
    <t>Leader Laptop Contest (Yes or No)</t>
  </si>
  <si>
    <t>Yes</t>
  </si>
  <si>
    <t>No</t>
  </si>
  <si>
    <t>If there are any questions regarding the popcorn sales, prize incentives, types of sales, and so on, please feel free to contact any of the following individuals:
  - Gina Grzegorzewski, Council Popcorn Specialist, Gina.Grzegorzewski@Scouting.org, 414-443-2854
  - Josh Sova, Council Pocorn Staff Advisor for Milwaukee County, Josh.Sova@Scouting.org, 414-443-2865
  - Wally Smith, Council Popcorn Advisor, Wally.Smith@scouting.org, 414-443-2844</t>
  </si>
  <si>
    <t xml:space="preserve">All Council incentives will be available for pickup at one of the Service Centers. </t>
  </si>
  <si>
    <t>Cubscouts who sell Fifteen &amp; Boyscouts who sell Twenty Southwestern earns a free 2013 summer camp scholarship.  Simply enter Yes in the applicable column to indicate this award has been earned, and provide copies of all supporting sales forms to Gina.  Campership cannot be awarded without the supporting sales forms showing the sale of Southwestern tins.</t>
  </si>
  <si>
    <t>At the bottom of the form you can enter your unit's sales from 2013, and either accept the automatic entry from cell I32 or overwrite it to reflect unit sales that span multiple prize sheets.  Your unit's sales change, both in terms of dollars and percentage, will then be calculated and unit incentives calculated accordingly.  Bonus commissions, if any, will be issued by the Council after the conclusion of the product sales period.</t>
  </si>
  <si>
    <t>Again, please provide this completed form to Gina by April 16, via email if possible, as doing so will expedite the calculation of Council incentives.  All unit forms will be combined into a single file as they are received, providing immediate calculations of Council incentives as well as determination of the top sellers in each district.</t>
  </si>
  <si>
    <t>This document is required in order for your Scouts to receive Council prize incentives.  It must be submitted no later than April 16, 2013, preferably via email, to Gina.Grzegorzewski@scouting.org.   Parts of the file are protected as they automatically calculate prize incentives earned by the Scout.  Please do not alter those calculations.  There is space on this form for 30 Scout records; if you require additional space please complete additional forms and save them independently.  All Scouts that participate in this sale should be listed on a form, even if they sell only one or two items.</t>
  </si>
  <si>
    <t>$600 Brewers Voucher</t>
  </si>
  <si>
    <t>$3,500 Brewers Premier</t>
  </si>
  <si>
    <t>$6,500 GreatWolf Trip</t>
  </si>
  <si>
    <t>Total Unit Sales in Spring 2013</t>
  </si>
  <si>
    <t>Total Unit Sales in Spring 2012</t>
  </si>
  <si>
    <t>$100 Batteries &amp; 
$1000 Popcorn
Entry $100 Gift Card</t>
  </si>
  <si>
    <t xml:space="preserve">$5,000 iPad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</si>
</sst>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4" formatCode="_(&quot;$&quot;* #,##0.00_);_(&quot;$&quot;* \(#,##0.00\);_(&quot;$&quot;* &quot;-&quot;??_);_(@_)"/>
    <numFmt numFmtId="164" formatCode="&quot;$&quot;#,##0"/>
    <numFmt numFmtId="165" formatCode="[&lt;=9999999]###\-####;\(###\)\ ###\-####"/>
    <numFmt numFmtId="166" formatCode="_(&quot;$&quot;* #,##0_);_(&quot;$&quot;* \(#,##0\);_(&quot;$&quot;* &quot;-&quot;??_);_(@_)"/>
    <numFmt numFmtId="167" formatCode="0.000%"/>
  </numFmts>
  <fonts count="9" x14ac:knownFonts="1">
    <font>
      <sz val="10"/>
      <name val="Arial"/>
    </font>
    <font>
      <sz val="11"/>
      <color indexed="10"/>
      <name val="Arial"/>
      <family val="2"/>
    </font>
    <font>
      <b/>
      <sz val="12"/>
      <name val="Arial"/>
      <family val="2"/>
    </font>
    <font>
      <u/>
      <sz val="10"/>
      <color theme="10"/>
      <name val="Arial"/>
      <family val="2"/>
    </font>
    <font>
      <b/>
      <sz val="10"/>
      <name val="Arial"/>
      <family val="2"/>
    </font>
    <font>
      <sz val="10"/>
      <name val="Arial"/>
      <family val="2"/>
    </font>
    <font>
      <b/>
      <u/>
      <sz val="10"/>
      <name val="Arial"/>
      <family val="2"/>
    </font>
    <font>
      <sz val="10"/>
      <name val="Arial"/>
    </font>
    <font>
      <b/>
      <sz val="24"/>
      <name val="Arial"/>
      <family val="2"/>
    </font>
  </fonts>
  <fills count="5">
    <fill>
      <patternFill patternType="none"/>
    </fill>
    <fill>
      <patternFill patternType="gray125"/>
    </fill>
    <fill>
      <patternFill patternType="solid">
        <fgColor indexed="47"/>
        <bgColor indexed="64"/>
      </patternFill>
    </fill>
    <fill>
      <patternFill patternType="solid">
        <fgColor theme="4" tint="0.79998168889431442"/>
        <bgColor indexed="64"/>
      </patternFill>
    </fill>
    <fill>
      <patternFill patternType="solid">
        <fgColor theme="3"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
    <xf numFmtId="0" fontId="0" fillId="0" borderId="0"/>
    <xf numFmtId="0" fontId="3" fillId="0" borderId="0" applyNumberFormat="0" applyFill="0" applyBorder="0" applyAlignment="0" applyProtection="0">
      <alignment vertical="top"/>
      <protection locked="0"/>
    </xf>
    <xf numFmtId="44" fontId="7" fillId="0" borderId="0" applyFont="0" applyFill="0" applyBorder="0" applyAlignment="0" applyProtection="0"/>
    <xf numFmtId="9" fontId="7" fillId="0" borderId="0" applyFont="0" applyFill="0" applyBorder="0" applyAlignment="0" applyProtection="0"/>
  </cellStyleXfs>
  <cellXfs count="30">
    <xf numFmtId="0" fontId="0" fillId="0" borderId="0" xfId="0"/>
    <xf numFmtId="0" fontId="0" fillId="0" borderId="0" xfId="0" applyAlignment="1">
      <alignment wrapText="1"/>
    </xf>
    <xf numFmtId="0" fontId="4" fillId="0" borderId="0" xfId="0" applyFont="1"/>
    <xf numFmtId="0" fontId="0" fillId="0" borderId="1" xfId="0" applyBorder="1" applyAlignment="1" applyProtection="1">
      <alignment horizontal="left"/>
      <protection locked="0"/>
    </xf>
    <xf numFmtId="0" fontId="3" fillId="0" borderId="1" xfId="1" applyBorder="1" applyAlignment="1" applyProtection="1">
      <alignment horizontal="left"/>
      <protection locked="0"/>
    </xf>
    <xf numFmtId="164" fontId="0" fillId="0" borderId="1" xfId="0" applyNumberFormat="1" applyBorder="1" applyAlignment="1" applyProtection="1">
      <alignment horizontal="center"/>
      <protection locked="0"/>
    </xf>
    <xf numFmtId="164" fontId="4" fillId="0" borderId="0" xfId="0" applyNumberFormat="1" applyFont="1"/>
    <xf numFmtId="0" fontId="2" fillId="0" borderId="1" xfId="0" applyFont="1" applyBorder="1" applyAlignment="1">
      <alignment horizontal="center" wrapText="1"/>
    </xf>
    <xf numFmtId="0" fontId="2" fillId="2" borderId="2" xfId="0" applyFont="1" applyFill="1" applyBorder="1" applyAlignment="1">
      <alignment horizontal="center" wrapText="1"/>
    </xf>
    <xf numFmtId="0" fontId="2" fillId="2" borderId="1" xfId="0" applyFont="1" applyFill="1" applyBorder="1" applyAlignment="1">
      <alignment horizontal="center" wrapText="1"/>
    </xf>
    <xf numFmtId="0" fontId="0" fillId="0" borderId="0" xfId="0" applyAlignment="1">
      <alignment horizontal="center" wrapText="1"/>
    </xf>
    <xf numFmtId="0" fontId="0" fillId="0" borderId="1" xfId="0" applyBorder="1" applyAlignment="1" applyProtection="1">
      <alignment horizontal="center"/>
      <protection locked="0"/>
    </xf>
    <xf numFmtId="0" fontId="0" fillId="0" borderId="0" xfId="0" applyAlignment="1">
      <alignment horizontal="center"/>
    </xf>
    <xf numFmtId="165" fontId="0" fillId="0" borderId="1" xfId="0" applyNumberFormat="1" applyBorder="1" applyAlignment="1" applyProtection="1">
      <alignment horizontal="center"/>
      <protection locked="0"/>
    </xf>
    <xf numFmtId="0" fontId="5" fillId="0" borderId="0" xfId="0" applyFont="1" applyAlignment="1">
      <alignment wrapText="1"/>
    </xf>
    <xf numFmtId="0" fontId="1" fillId="2" borderId="1" xfId="0" applyFont="1" applyFill="1" applyBorder="1" applyAlignment="1">
      <alignment horizontal="center" wrapText="1"/>
    </xf>
    <xf numFmtId="0" fontId="8" fillId="3" borderId="0" xfId="0" applyFont="1" applyFill="1" applyAlignment="1">
      <alignment horizontal="center" wrapText="1"/>
    </xf>
    <xf numFmtId="0" fontId="2" fillId="4" borderId="1" xfId="0" applyFont="1" applyFill="1" applyBorder="1" applyAlignment="1">
      <alignment horizontal="center" wrapText="1"/>
    </xf>
    <xf numFmtId="164" fontId="0" fillId="4" borderId="1" xfId="0" applyNumberFormat="1" applyFill="1" applyBorder="1" applyAlignment="1" applyProtection="1">
      <alignment horizontal="center"/>
      <protection locked="0"/>
    </xf>
    <xf numFmtId="0" fontId="0" fillId="0" borderId="0" xfId="0" applyAlignment="1">
      <alignment horizontal="center" vertical="center"/>
    </xf>
    <xf numFmtId="0" fontId="4" fillId="4" borderId="0" xfId="0" applyFont="1" applyFill="1" applyAlignment="1">
      <alignment horizontal="left"/>
    </xf>
    <xf numFmtId="166" fontId="4" fillId="4" borderId="0" xfId="2" applyNumberFormat="1" applyFont="1" applyFill="1" applyProtection="1">
      <protection locked="0"/>
    </xf>
    <xf numFmtId="166" fontId="4" fillId="4" borderId="0" xfId="2" applyNumberFormat="1" applyFont="1" applyFill="1" applyProtection="1"/>
    <xf numFmtId="167" fontId="4" fillId="4" borderId="0" xfId="3" applyNumberFormat="1" applyFont="1" applyFill="1" applyAlignment="1" applyProtection="1">
      <alignment horizontal="center"/>
    </xf>
    <xf numFmtId="0" fontId="4" fillId="4" borderId="0" xfId="0" applyFont="1" applyFill="1"/>
    <xf numFmtId="0" fontId="0" fillId="4" borderId="0" xfId="0" applyFill="1"/>
    <xf numFmtId="0" fontId="4" fillId="4" borderId="0" xfId="0" applyFont="1" applyFill="1" applyAlignment="1">
      <alignment horizontal="center"/>
    </xf>
    <xf numFmtId="167" fontId="0" fillId="0" borderId="0" xfId="0" applyNumberFormat="1"/>
    <xf numFmtId="10" fontId="0" fillId="4" borderId="0" xfId="3" applyNumberFormat="1" applyFont="1" applyFill="1" applyAlignment="1">
      <alignment horizontal="center"/>
    </xf>
    <xf numFmtId="44" fontId="0" fillId="4" borderId="0" xfId="0" applyNumberFormat="1" applyFill="1"/>
  </cellXfs>
  <cellStyles count="4">
    <cellStyle name="Currency" xfId="2" builtinId="4"/>
    <cellStyle name="Hyperlink" xfId="1" builtinId="8"/>
    <cellStyle name="Normal" xfId="0" builtinId="0"/>
    <cellStyle name="Percent"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0"/>
  <sheetViews>
    <sheetView topLeftCell="A9" zoomScaleNormal="100" workbookViewId="0">
      <selection activeCell="A2" sqref="A2"/>
    </sheetView>
  </sheetViews>
  <sheetFormatPr defaultRowHeight="12.75" x14ac:dyDescent="0.2"/>
  <cols>
    <col min="1" max="1" width="117.85546875" style="1" customWidth="1"/>
    <col min="3" max="3" width="16.85546875" bestFit="1" customWidth="1"/>
  </cols>
  <sheetData>
    <row r="1" spans="1:1" ht="30" x14ac:dyDescent="0.4">
      <c r="A1" s="16" t="s">
        <v>25</v>
      </c>
    </row>
    <row r="2" spans="1:1" ht="63.75" x14ac:dyDescent="0.2">
      <c r="A2" s="1" t="s">
        <v>41</v>
      </c>
    </row>
    <row r="4" spans="1:1" ht="51" x14ac:dyDescent="0.2">
      <c r="A4" s="1" t="s">
        <v>19</v>
      </c>
    </row>
    <row r="6" spans="1:1" ht="38.25" x14ac:dyDescent="0.2">
      <c r="A6" s="1" t="s">
        <v>20</v>
      </c>
    </row>
    <row r="8" spans="1:1" ht="38.25" x14ac:dyDescent="0.2">
      <c r="A8" s="1" t="s">
        <v>38</v>
      </c>
    </row>
    <row r="10" spans="1:1" x14ac:dyDescent="0.2">
      <c r="A10" s="1" t="s">
        <v>37</v>
      </c>
    </row>
    <row r="12" spans="1:1" ht="51" x14ac:dyDescent="0.2">
      <c r="A12" s="14" t="s">
        <v>39</v>
      </c>
    </row>
    <row r="13" spans="1:1" x14ac:dyDescent="0.2">
      <c r="A13" s="14"/>
    </row>
    <row r="14" spans="1:1" ht="51" x14ac:dyDescent="0.2">
      <c r="A14" s="14" t="s">
        <v>21</v>
      </c>
    </row>
    <row r="16" spans="1:1" ht="38.25" x14ac:dyDescent="0.2">
      <c r="A16" s="1" t="s">
        <v>40</v>
      </c>
    </row>
    <row r="18" spans="1:1" ht="63.75" x14ac:dyDescent="0.2">
      <c r="A18" s="1" t="s">
        <v>36</v>
      </c>
    </row>
    <row r="20" spans="1:1" ht="38.25" x14ac:dyDescent="0.2">
      <c r="A20" s="1" t="s">
        <v>18</v>
      </c>
    </row>
  </sheetData>
  <sortState ref="C2:C11">
    <sortCondition ref="C2:C11"/>
  </sortState>
  <phoneticPr fontId="0"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6"/>
  <sheetViews>
    <sheetView tabSelected="1" zoomScale="80" zoomScaleNormal="80" workbookViewId="0">
      <pane ySplit="1" topLeftCell="A2" activePane="bottomLeft" state="frozen"/>
      <selection pane="bottomLeft" activeCell="A2" sqref="A2"/>
    </sheetView>
  </sheetViews>
  <sheetFormatPr defaultRowHeight="12.75" x14ac:dyDescent="0.2"/>
  <cols>
    <col min="1" max="1" width="16.85546875" bestFit="1" customWidth="1"/>
    <col min="2" max="2" width="16.140625" style="12" customWidth="1"/>
    <col min="3" max="3" width="20.7109375" customWidth="1"/>
    <col min="4" max="4" width="34.140625" customWidth="1"/>
    <col min="5" max="5" width="20.7109375" customWidth="1"/>
    <col min="6" max="6" width="10.7109375" style="12" customWidth="1"/>
    <col min="7" max="7" width="20.5703125" style="12" customWidth="1"/>
    <col min="8" max="8" width="25.85546875" customWidth="1"/>
    <col min="9" max="9" width="10.85546875" customWidth="1"/>
    <col min="10" max="10" width="13.42578125" bestFit="1" customWidth="1"/>
    <col min="11" max="11" width="10.5703125" bestFit="1" customWidth="1"/>
    <col min="12" max="12" width="13.85546875" customWidth="1"/>
    <col min="13" max="13" width="23.28515625" customWidth="1"/>
    <col min="14" max="14" width="10.5703125" bestFit="1" customWidth="1"/>
    <col min="15" max="15" width="12.7109375" bestFit="1" customWidth="1"/>
    <col min="16" max="16" width="13.85546875" customWidth="1"/>
    <col min="17" max="17" width="10.5703125" bestFit="1" customWidth="1"/>
    <col min="19" max="19" width="17.28515625" bestFit="1" customWidth="1"/>
  </cols>
  <sheetData>
    <row r="1" spans="1:20" s="10" customFormat="1" ht="51" customHeight="1" x14ac:dyDescent="0.25">
      <c r="A1" s="7" t="s">
        <v>3</v>
      </c>
      <c r="B1" s="7" t="s">
        <v>29</v>
      </c>
      <c r="C1" s="7" t="s">
        <v>0</v>
      </c>
      <c r="D1" s="7" t="s">
        <v>16</v>
      </c>
      <c r="E1" s="7" t="s">
        <v>17</v>
      </c>
      <c r="F1" s="7" t="s">
        <v>15</v>
      </c>
      <c r="G1" s="7" t="s">
        <v>1</v>
      </c>
      <c r="H1" s="7" t="s">
        <v>2</v>
      </c>
      <c r="I1" s="7" t="s">
        <v>22</v>
      </c>
      <c r="J1" s="17" t="s">
        <v>30</v>
      </c>
      <c r="K1" s="8" t="s">
        <v>42</v>
      </c>
      <c r="L1" s="9" t="s">
        <v>23</v>
      </c>
      <c r="M1" s="17" t="s">
        <v>47</v>
      </c>
      <c r="N1" s="8" t="s">
        <v>43</v>
      </c>
      <c r="O1" s="8" t="s">
        <v>48</v>
      </c>
      <c r="P1" s="8" t="s">
        <v>44</v>
      </c>
      <c r="Q1" s="8" t="s">
        <v>24</v>
      </c>
      <c r="S1" s="2" t="s">
        <v>4</v>
      </c>
    </row>
    <row r="2" spans="1:20" ht="14.25" x14ac:dyDescent="0.2">
      <c r="A2" s="3"/>
      <c r="B2" s="11"/>
      <c r="C2" s="3"/>
      <c r="D2" s="3"/>
      <c r="E2" s="3"/>
      <c r="F2" s="11"/>
      <c r="G2" s="13"/>
      <c r="H2" s="4"/>
      <c r="I2" s="5"/>
      <c r="J2" s="18"/>
      <c r="K2" s="15" t="str">
        <f>IF($I2&gt;=600,"Voucher","No")</f>
        <v>No</v>
      </c>
      <c r="L2" s="15" t="str">
        <f>IF($I2&gt;=1000,"Waterpark","No")</f>
        <v>No</v>
      </c>
      <c r="M2" s="18"/>
      <c r="N2" s="15" t="str">
        <f>IF($I2&gt;=3500,"Premier","No")</f>
        <v>No</v>
      </c>
      <c r="O2" s="15" t="str">
        <f>IF($I2&gt;=5000,"Dells","No")</f>
        <v>No</v>
      </c>
      <c r="P2" s="15" t="str">
        <f>IF($I2&gt;=6500,"Admirals","No")</f>
        <v>No</v>
      </c>
      <c r="Q2" s="15" t="str">
        <f>IF($I2&gt;=10000,"Disney","No")</f>
        <v>No</v>
      </c>
      <c r="S2" t="s">
        <v>9</v>
      </c>
      <c r="T2" s="12" t="s">
        <v>34</v>
      </c>
    </row>
    <row r="3" spans="1:20" ht="14.25" x14ac:dyDescent="0.2">
      <c r="A3" s="3"/>
      <c r="B3" s="11"/>
      <c r="C3" s="3"/>
      <c r="D3" s="3"/>
      <c r="E3" s="3"/>
      <c r="F3" s="11"/>
      <c r="G3" s="13"/>
      <c r="H3" s="4"/>
      <c r="I3" s="5"/>
      <c r="J3" s="18"/>
      <c r="K3" s="15" t="str">
        <f t="shared" ref="K3:K31" si="0">IF($I3&gt;=600,"Voucher","No")</f>
        <v>No</v>
      </c>
      <c r="L3" s="15" t="str">
        <f t="shared" ref="L3:M31" si="1">IF($I3&gt;=1000,"Waterpark","No")</f>
        <v>No</v>
      </c>
      <c r="M3" s="18"/>
      <c r="N3" s="15" t="str">
        <f t="shared" ref="N3:N31" si="2">IF($I3&gt;=3500,"Premier","No")</f>
        <v>No</v>
      </c>
      <c r="O3" s="15" t="str">
        <f t="shared" ref="O3:O5" si="3">IF($I3&gt;=5000,"Dells","No")</f>
        <v>No</v>
      </c>
      <c r="P3" s="15" t="str">
        <f t="shared" ref="P3:P4" si="4">IF($I3&gt;=6500,"Admirals","No")</f>
        <v>No</v>
      </c>
      <c r="Q3" s="15" t="str">
        <f t="shared" ref="Q3:Q31" si="5">IF($I3&gt;=10000,"Disney","No")</f>
        <v>No</v>
      </c>
      <c r="S3" t="s">
        <v>10</v>
      </c>
      <c r="T3" s="12" t="s">
        <v>35</v>
      </c>
    </row>
    <row r="4" spans="1:20" ht="14.25" x14ac:dyDescent="0.2">
      <c r="A4" s="3"/>
      <c r="B4" s="11"/>
      <c r="C4" s="3"/>
      <c r="D4" s="3"/>
      <c r="E4" s="3"/>
      <c r="F4" s="11"/>
      <c r="G4" s="13"/>
      <c r="H4" s="4"/>
      <c r="I4" s="5"/>
      <c r="J4" s="18"/>
      <c r="K4" s="15" t="str">
        <f t="shared" si="0"/>
        <v>No</v>
      </c>
      <c r="L4" s="15" t="str">
        <f t="shared" si="1"/>
        <v>No</v>
      </c>
      <c r="M4" s="18"/>
      <c r="N4" s="15" t="str">
        <f t="shared" si="2"/>
        <v>No</v>
      </c>
      <c r="O4" s="15" t="str">
        <f t="shared" si="3"/>
        <v>No</v>
      </c>
      <c r="P4" s="15" t="str">
        <f t="shared" si="4"/>
        <v>No</v>
      </c>
      <c r="Q4" s="15" t="str">
        <f t="shared" si="5"/>
        <v>No</v>
      </c>
      <c r="S4" t="s">
        <v>13</v>
      </c>
    </row>
    <row r="5" spans="1:20" ht="14.25" x14ac:dyDescent="0.2">
      <c r="A5" s="3"/>
      <c r="B5" s="11"/>
      <c r="C5" s="3"/>
      <c r="D5" s="3"/>
      <c r="E5" s="3"/>
      <c r="F5" s="11"/>
      <c r="G5" s="13"/>
      <c r="H5" s="4"/>
      <c r="I5" s="5"/>
      <c r="J5" s="18"/>
      <c r="K5" s="15" t="str">
        <f t="shared" si="0"/>
        <v>No</v>
      </c>
      <c r="L5" s="15" t="str">
        <f t="shared" si="1"/>
        <v>No</v>
      </c>
      <c r="M5" s="18"/>
      <c r="N5" s="15" t="str">
        <f t="shared" si="2"/>
        <v>No</v>
      </c>
      <c r="O5" s="15" t="str">
        <f t="shared" si="3"/>
        <v>No</v>
      </c>
      <c r="P5" s="15" t="str">
        <f>IF($I5&gt;=6500,"GreatWolf","No")</f>
        <v>No</v>
      </c>
      <c r="Q5" s="15" t="str">
        <f t="shared" si="5"/>
        <v>No</v>
      </c>
      <c r="S5" t="s">
        <v>5</v>
      </c>
    </row>
    <row r="6" spans="1:20" ht="14.25" x14ac:dyDescent="0.2">
      <c r="A6" s="3"/>
      <c r="B6" s="11"/>
      <c r="C6" s="3"/>
      <c r="D6" s="3"/>
      <c r="E6" s="3"/>
      <c r="F6" s="11"/>
      <c r="G6" s="13"/>
      <c r="H6" s="4"/>
      <c r="I6" s="5"/>
      <c r="J6" s="18"/>
      <c r="K6" s="15" t="str">
        <f t="shared" si="0"/>
        <v>No</v>
      </c>
      <c r="L6" s="15" t="str">
        <f t="shared" si="1"/>
        <v>No</v>
      </c>
      <c r="M6" s="18"/>
      <c r="N6" s="15" t="str">
        <f t="shared" si="2"/>
        <v>No</v>
      </c>
      <c r="O6" s="15" t="str">
        <f>IF($I6&gt;=5000,"iPad","No")</f>
        <v>No</v>
      </c>
      <c r="P6" s="15" t="str">
        <f t="shared" ref="P6:P31" si="6">IF($I6&gt;=6500,"GreatWolf","No")</f>
        <v>No</v>
      </c>
      <c r="Q6" s="15" t="str">
        <f t="shared" si="5"/>
        <v>No</v>
      </c>
      <c r="S6" t="s">
        <v>12</v>
      </c>
    </row>
    <row r="7" spans="1:20" ht="14.25" x14ac:dyDescent="0.2">
      <c r="A7" s="3"/>
      <c r="B7" s="11"/>
      <c r="C7" s="3"/>
      <c r="D7" s="3"/>
      <c r="E7" s="3"/>
      <c r="F7" s="11"/>
      <c r="G7" s="13"/>
      <c r="H7" s="4"/>
      <c r="I7" s="5"/>
      <c r="J7" s="18"/>
      <c r="K7" s="15" t="str">
        <f t="shared" si="0"/>
        <v>No</v>
      </c>
      <c r="L7" s="15" t="str">
        <f t="shared" si="1"/>
        <v>No</v>
      </c>
      <c r="M7" s="18"/>
      <c r="N7" s="15" t="str">
        <f t="shared" si="2"/>
        <v>No</v>
      </c>
      <c r="O7" s="15" t="str">
        <f t="shared" ref="O7:O31" si="7">IF($I7&gt;=5000,"iPad","No")</f>
        <v>No</v>
      </c>
      <c r="P7" s="15" t="str">
        <f t="shared" si="6"/>
        <v>No</v>
      </c>
      <c r="Q7" s="15" t="str">
        <f t="shared" si="5"/>
        <v>No</v>
      </c>
      <c r="S7" t="s">
        <v>6</v>
      </c>
    </row>
    <row r="8" spans="1:20" ht="14.25" x14ac:dyDescent="0.2">
      <c r="A8" s="3"/>
      <c r="B8" s="11"/>
      <c r="C8" s="3"/>
      <c r="D8" s="3"/>
      <c r="E8" s="3"/>
      <c r="F8" s="11"/>
      <c r="G8" s="13"/>
      <c r="H8" s="4"/>
      <c r="I8" s="5"/>
      <c r="J8" s="18"/>
      <c r="K8" s="15" t="str">
        <f t="shared" si="0"/>
        <v>No</v>
      </c>
      <c r="L8" s="15" t="str">
        <f t="shared" si="1"/>
        <v>No</v>
      </c>
      <c r="M8" s="18"/>
      <c r="N8" s="15" t="str">
        <f t="shared" si="2"/>
        <v>No</v>
      </c>
      <c r="O8" s="15" t="str">
        <f t="shared" si="7"/>
        <v>No</v>
      </c>
      <c r="P8" s="15" t="str">
        <f t="shared" si="6"/>
        <v>No</v>
      </c>
      <c r="Q8" s="15" t="str">
        <f t="shared" si="5"/>
        <v>No</v>
      </c>
      <c r="S8" t="s">
        <v>14</v>
      </c>
    </row>
    <row r="9" spans="1:20" ht="14.25" x14ac:dyDescent="0.2">
      <c r="A9" s="3"/>
      <c r="B9" s="11"/>
      <c r="C9" s="3"/>
      <c r="D9" s="3"/>
      <c r="E9" s="3"/>
      <c r="F9" s="11"/>
      <c r="G9" s="13"/>
      <c r="H9" s="4"/>
      <c r="I9" s="5"/>
      <c r="J9" s="18"/>
      <c r="K9" s="15" t="str">
        <f t="shared" si="0"/>
        <v>No</v>
      </c>
      <c r="L9" s="15" t="str">
        <f t="shared" si="1"/>
        <v>No</v>
      </c>
      <c r="M9" s="18"/>
      <c r="N9" s="15" t="str">
        <f t="shared" si="2"/>
        <v>No</v>
      </c>
      <c r="O9" s="15" t="str">
        <f t="shared" si="7"/>
        <v>No</v>
      </c>
      <c r="P9" s="15" t="str">
        <f t="shared" si="6"/>
        <v>No</v>
      </c>
      <c r="Q9" s="15" t="str">
        <f t="shared" si="5"/>
        <v>No</v>
      </c>
      <c r="S9" t="s">
        <v>11</v>
      </c>
    </row>
    <row r="10" spans="1:20" ht="14.25" x14ac:dyDescent="0.2">
      <c r="A10" s="3"/>
      <c r="B10" s="11"/>
      <c r="C10" s="3"/>
      <c r="D10" s="3"/>
      <c r="E10" s="3"/>
      <c r="F10" s="11"/>
      <c r="G10" s="13"/>
      <c r="H10" s="4"/>
      <c r="I10" s="5"/>
      <c r="J10" s="18"/>
      <c r="K10" s="15" t="str">
        <f t="shared" si="0"/>
        <v>No</v>
      </c>
      <c r="L10" s="15" t="str">
        <f t="shared" si="1"/>
        <v>No</v>
      </c>
      <c r="M10" s="18"/>
      <c r="N10" s="15" t="str">
        <f t="shared" si="2"/>
        <v>No</v>
      </c>
      <c r="O10" s="15" t="str">
        <f t="shared" si="7"/>
        <v>No</v>
      </c>
      <c r="P10" s="15" t="str">
        <f t="shared" si="6"/>
        <v>No</v>
      </c>
      <c r="Q10" s="15" t="str">
        <f t="shared" si="5"/>
        <v>No</v>
      </c>
      <c r="S10" t="s">
        <v>7</v>
      </c>
    </row>
    <row r="11" spans="1:20" ht="14.25" x14ac:dyDescent="0.2">
      <c r="A11" s="3"/>
      <c r="B11" s="11"/>
      <c r="C11" s="3"/>
      <c r="D11" s="3"/>
      <c r="E11" s="3"/>
      <c r="F11" s="11"/>
      <c r="G11" s="13"/>
      <c r="H11" s="4"/>
      <c r="I11" s="5"/>
      <c r="J11" s="18"/>
      <c r="K11" s="15" t="str">
        <f t="shared" si="0"/>
        <v>No</v>
      </c>
      <c r="L11" s="15" t="str">
        <f t="shared" si="1"/>
        <v>No</v>
      </c>
      <c r="M11" s="18"/>
      <c r="N11" s="15" t="str">
        <f t="shared" si="2"/>
        <v>No</v>
      </c>
      <c r="O11" s="15" t="str">
        <f t="shared" si="7"/>
        <v>No</v>
      </c>
      <c r="P11" s="15" t="str">
        <f t="shared" si="6"/>
        <v>No</v>
      </c>
      <c r="Q11" s="15" t="str">
        <f t="shared" si="5"/>
        <v>No</v>
      </c>
      <c r="S11" t="s">
        <v>8</v>
      </c>
    </row>
    <row r="12" spans="1:20" ht="14.25" x14ac:dyDescent="0.2">
      <c r="A12" s="3"/>
      <c r="B12" s="11"/>
      <c r="C12" s="3"/>
      <c r="D12" s="3"/>
      <c r="E12" s="3"/>
      <c r="F12" s="11"/>
      <c r="G12" s="13"/>
      <c r="H12" s="4"/>
      <c r="I12" s="5"/>
      <c r="J12" s="18"/>
      <c r="K12" s="15" t="str">
        <f t="shared" si="0"/>
        <v>No</v>
      </c>
      <c r="L12" s="15" t="str">
        <f t="shared" si="1"/>
        <v>No</v>
      </c>
      <c r="M12" s="18"/>
      <c r="N12" s="15" t="str">
        <f t="shared" si="2"/>
        <v>No</v>
      </c>
      <c r="O12" s="15" t="str">
        <f t="shared" si="7"/>
        <v>No</v>
      </c>
      <c r="P12" s="15" t="str">
        <f t="shared" si="6"/>
        <v>No</v>
      </c>
      <c r="Q12" s="15" t="str">
        <f t="shared" si="5"/>
        <v>No</v>
      </c>
    </row>
    <row r="13" spans="1:20" ht="14.25" x14ac:dyDescent="0.2">
      <c r="A13" s="3"/>
      <c r="B13" s="11"/>
      <c r="C13" s="3"/>
      <c r="D13" s="3"/>
      <c r="E13" s="3"/>
      <c r="F13" s="11"/>
      <c r="G13" s="13"/>
      <c r="H13" s="4"/>
      <c r="I13" s="5"/>
      <c r="J13" s="18"/>
      <c r="K13" s="15" t="str">
        <f t="shared" si="0"/>
        <v>No</v>
      </c>
      <c r="L13" s="15" t="str">
        <f t="shared" si="1"/>
        <v>No</v>
      </c>
      <c r="M13" s="18"/>
      <c r="N13" s="15" t="str">
        <f t="shared" si="2"/>
        <v>No</v>
      </c>
      <c r="O13" s="15" t="str">
        <f t="shared" si="7"/>
        <v>No</v>
      </c>
      <c r="P13" s="15" t="str">
        <f t="shared" si="6"/>
        <v>No</v>
      </c>
      <c r="Q13" s="15" t="str">
        <f t="shared" si="5"/>
        <v>No</v>
      </c>
    </row>
    <row r="14" spans="1:20" ht="14.25" x14ac:dyDescent="0.2">
      <c r="A14" s="3"/>
      <c r="B14" s="11"/>
      <c r="C14" s="3"/>
      <c r="D14" s="3"/>
      <c r="E14" s="3"/>
      <c r="F14" s="11"/>
      <c r="G14" s="13"/>
      <c r="H14" s="4"/>
      <c r="I14" s="5"/>
      <c r="J14" s="18"/>
      <c r="K14" s="15" t="str">
        <f t="shared" si="0"/>
        <v>No</v>
      </c>
      <c r="L14" s="15" t="str">
        <f t="shared" si="1"/>
        <v>No</v>
      </c>
      <c r="M14" s="18"/>
      <c r="N14" s="15" t="str">
        <f t="shared" si="2"/>
        <v>No</v>
      </c>
      <c r="O14" s="15" t="str">
        <f t="shared" si="7"/>
        <v>No</v>
      </c>
      <c r="P14" s="15" t="str">
        <f t="shared" si="6"/>
        <v>No</v>
      </c>
      <c r="Q14" s="15" t="str">
        <f t="shared" si="5"/>
        <v>No</v>
      </c>
    </row>
    <row r="15" spans="1:20" ht="14.25" x14ac:dyDescent="0.2">
      <c r="A15" s="3"/>
      <c r="B15" s="11"/>
      <c r="C15" s="3"/>
      <c r="D15" s="3"/>
      <c r="E15" s="3"/>
      <c r="F15" s="11"/>
      <c r="G15" s="13"/>
      <c r="H15" s="4"/>
      <c r="I15" s="5"/>
      <c r="J15" s="18"/>
      <c r="K15" s="15" t="str">
        <f t="shared" si="0"/>
        <v>No</v>
      </c>
      <c r="L15" s="15" t="str">
        <f t="shared" si="1"/>
        <v>No</v>
      </c>
      <c r="M15" s="18"/>
      <c r="N15" s="15" t="str">
        <f t="shared" si="2"/>
        <v>No</v>
      </c>
      <c r="O15" s="15" t="str">
        <f t="shared" si="7"/>
        <v>No</v>
      </c>
      <c r="P15" s="15" t="str">
        <f t="shared" si="6"/>
        <v>No</v>
      </c>
      <c r="Q15" s="15" t="str">
        <f t="shared" si="5"/>
        <v>No</v>
      </c>
    </row>
    <row r="16" spans="1:20" ht="14.25" x14ac:dyDescent="0.2">
      <c r="A16" s="3"/>
      <c r="B16" s="11"/>
      <c r="C16" s="3"/>
      <c r="D16" s="3"/>
      <c r="E16" s="3"/>
      <c r="F16" s="11"/>
      <c r="G16" s="13"/>
      <c r="H16" s="4"/>
      <c r="I16" s="5"/>
      <c r="J16" s="18"/>
      <c r="K16" s="15" t="str">
        <f t="shared" si="0"/>
        <v>No</v>
      </c>
      <c r="L16" s="15" t="str">
        <f t="shared" si="1"/>
        <v>No</v>
      </c>
      <c r="M16" s="18"/>
      <c r="N16" s="15" t="str">
        <f t="shared" si="2"/>
        <v>No</v>
      </c>
      <c r="O16" s="15" t="str">
        <f t="shared" si="7"/>
        <v>No</v>
      </c>
      <c r="P16" s="15" t="str">
        <f t="shared" si="6"/>
        <v>No</v>
      </c>
      <c r="Q16" s="15" t="str">
        <f t="shared" si="5"/>
        <v>No</v>
      </c>
    </row>
    <row r="17" spans="1:17" ht="14.25" x14ac:dyDescent="0.2">
      <c r="A17" s="3"/>
      <c r="B17" s="11"/>
      <c r="C17" s="3"/>
      <c r="D17" s="3"/>
      <c r="E17" s="3"/>
      <c r="F17" s="11"/>
      <c r="G17" s="13"/>
      <c r="H17" s="4"/>
      <c r="I17" s="5"/>
      <c r="J17" s="18"/>
      <c r="K17" s="15" t="str">
        <f t="shared" si="0"/>
        <v>No</v>
      </c>
      <c r="L17" s="15" t="str">
        <f t="shared" si="1"/>
        <v>No</v>
      </c>
      <c r="M17" s="18"/>
      <c r="N17" s="15" t="str">
        <f t="shared" si="2"/>
        <v>No</v>
      </c>
      <c r="O17" s="15" t="str">
        <f t="shared" si="7"/>
        <v>No</v>
      </c>
      <c r="P17" s="15" t="str">
        <f t="shared" si="6"/>
        <v>No</v>
      </c>
      <c r="Q17" s="15" t="str">
        <f t="shared" si="5"/>
        <v>No</v>
      </c>
    </row>
    <row r="18" spans="1:17" ht="14.25" x14ac:dyDescent="0.2">
      <c r="A18" s="3"/>
      <c r="B18" s="11"/>
      <c r="C18" s="3"/>
      <c r="D18" s="3"/>
      <c r="E18" s="3"/>
      <c r="F18" s="11"/>
      <c r="G18" s="13"/>
      <c r="H18" s="4"/>
      <c r="I18" s="5"/>
      <c r="J18" s="18"/>
      <c r="K18" s="15" t="str">
        <f t="shared" si="0"/>
        <v>No</v>
      </c>
      <c r="L18" s="15" t="str">
        <f t="shared" si="1"/>
        <v>No</v>
      </c>
      <c r="M18" s="18"/>
      <c r="N18" s="15" t="str">
        <f t="shared" si="2"/>
        <v>No</v>
      </c>
      <c r="O18" s="15" t="str">
        <f t="shared" si="7"/>
        <v>No</v>
      </c>
      <c r="P18" s="15" t="str">
        <f t="shared" si="6"/>
        <v>No</v>
      </c>
      <c r="Q18" s="15" t="str">
        <f t="shared" si="5"/>
        <v>No</v>
      </c>
    </row>
    <row r="19" spans="1:17" ht="14.25" x14ac:dyDescent="0.2">
      <c r="A19" s="3"/>
      <c r="B19" s="11"/>
      <c r="C19" s="3"/>
      <c r="D19" s="3"/>
      <c r="E19" s="3"/>
      <c r="F19" s="11"/>
      <c r="G19" s="13"/>
      <c r="H19" s="4"/>
      <c r="I19" s="5"/>
      <c r="J19" s="18"/>
      <c r="K19" s="15" t="str">
        <f t="shared" si="0"/>
        <v>No</v>
      </c>
      <c r="L19" s="15" t="str">
        <f t="shared" si="1"/>
        <v>No</v>
      </c>
      <c r="M19" s="18"/>
      <c r="N19" s="15" t="str">
        <f t="shared" si="2"/>
        <v>No</v>
      </c>
      <c r="O19" s="15" t="str">
        <f t="shared" si="7"/>
        <v>No</v>
      </c>
      <c r="P19" s="15" t="str">
        <f t="shared" si="6"/>
        <v>No</v>
      </c>
      <c r="Q19" s="15" t="str">
        <f t="shared" si="5"/>
        <v>No</v>
      </c>
    </row>
    <row r="20" spans="1:17" ht="14.25" x14ac:dyDescent="0.2">
      <c r="A20" s="3"/>
      <c r="B20" s="11"/>
      <c r="C20" s="3"/>
      <c r="D20" s="3"/>
      <c r="E20" s="3"/>
      <c r="F20" s="11"/>
      <c r="G20" s="13"/>
      <c r="H20" s="4"/>
      <c r="I20" s="5"/>
      <c r="J20" s="18"/>
      <c r="K20" s="15" t="str">
        <f t="shared" si="0"/>
        <v>No</v>
      </c>
      <c r="L20" s="15" t="str">
        <f t="shared" si="1"/>
        <v>No</v>
      </c>
      <c r="M20" s="18"/>
      <c r="N20" s="15" t="str">
        <f t="shared" si="2"/>
        <v>No</v>
      </c>
      <c r="O20" s="15" t="str">
        <f t="shared" si="7"/>
        <v>No</v>
      </c>
      <c r="P20" s="15" t="str">
        <f t="shared" si="6"/>
        <v>No</v>
      </c>
      <c r="Q20" s="15" t="str">
        <f t="shared" si="5"/>
        <v>No</v>
      </c>
    </row>
    <row r="21" spans="1:17" ht="14.25" x14ac:dyDescent="0.2">
      <c r="A21" s="3"/>
      <c r="B21" s="11"/>
      <c r="C21" s="3"/>
      <c r="D21" s="3"/>
      <c r="E21" s="3"/>
      <c r="F21" s="11"/>
      <c r="G21" s="13"/>
      <c r="H21" s="4"/>
      <c r="I21" s="5"/>
      <c r="J21" s="18"/>
      <c r="K21" s="15" t="str">
        <f t="shared" si="0"/>
        <v>No</v>
      </c>
      <c r="L21" s="15" t="str">
        <f t="shared" si="1"/>
        <v>No</v>
      </c>
      <c r="M21" s="18"/>
      <c r="N21" s="15" t="str">
        <f t="shared" si="2"/>
        <v>No</v>
      </c>
      <c r="O21" s="15" t="str">
        <f t="shared" si="7"/>
        <v>No</v>
      </c>
      <c r="P21" s="15" t="str">
        <f t="shared" si="6"/>
        <v>No</v>
      </c>
      <c r="Q21" s="15" t="str">
        <f t="shared" si="5"/>
        <v>No</v>
      </c>
    </row>
    <row r="22" spans="1:17" ht="14.25" x14ac:dyDescent="0.2">
      <c r="A22" s="3"/>
      <c r="B22" s="11"/>
      <c r="C22" s="3"/>
      <c r="D22" s="3"/>
      <c r="E22" s="3"/>
      <c r="F22" s="11"/>
      <c r="G22" s="13"/>
      <c r="H22" s="4"/>
      <c r="I22" s="5"/>
      <c r="J22" s="18"/>
      <c r="K22" s="15" t="str">
        <f t="shared" si="0"/>
        <v>No</v>
      </c>
      <c r="L22" s="15" t="str">
        <f t="shared" si="1"/>
        <v>No</v>
      </c>
      <c r="M22" s="18"/>
      <c r="N22" s="15" t="str">
        <f t="shared" si="2"/>
        <v>No</v>
      </c>
      <c r="O22" s="15" t="str">
        <f t="shared" si="7"/>
        <v>No</v>
      </c>
      <c r="P22" s="15" t="str">
        <f t="shared" si="6"/>
        <v>No</v>
      </c>
      <c r="Q22" s="15" t="str">
        <f t="shared" si="5"/>
        <v>No</v>
      </c>
    </row>
    <row r="23" spans="1:17" ht="14.25" x14ac:dyDescent="0.2">
      <c r="A23" s="3"/>
      <c r="B23" s="11"/>
      <c r="C23" s="3"/>
      <c r="D23" s="3"/>
      <c r="E23" s="3"/>
      <c r="F23" s="11"/>
      <c r="G23" s="13"/>
      <c r="H23" s="4"/>
      <c r="I23" s="5"/>
      <c r="J23" s="18"/>
      <c r="K23" s="15" t="str">
        <f t="shared" si="0"/>
        <v>No</v>
      </c>
      <c r="L23" s="15" t="str">
        <f t="shared" si="1"/>
        <v>No</v>
      </c>
      <c r="M23" s="18"/>
      <c r="N23" s="15" t="str">
        <f t="shared" si="2"/>
        <v>No</v>
      </c>
      <c r="O23" s="15" t="str">
        <f t="shared" si="7"/>
        <v>No</v>
      </c>
      <c r="P23" s="15" t="str">
        <f t="shared" si="6"/>
        <v>No</v>
      </c>
      <c r="Q23" s="15" t="str">
        <f t="shared" si="5"/>
        <v>No</v>
      </c>
    </row>
    <row r="24" spans="1:17" ht="14.25" x14ac:dyDescent="0.2">
      <c r="A24" s="3"/>
      <c r="B24" s="11"/>
      <c r="C24" s="3"/>
      <c r="D24" s="3"/>
      <c r="E24" s="3"/>
      <c r="F24" s="11"/>
      <c r="G24" s="13"/>
      <c r="H24" s="4"/>
      <c r="I24" s="5"/>
      <c r="J24" s="18"/>
      <c r="K24" s="15" t="str">
        <f t="shared" si="0"/>
        <v>No</v>
      </c>
      <c r="L24" s="15" t="str">
        <f t="shared" si="1"/>
        <v>No</v>
      </c>
      <c r="M24" s="18"/>
      <c r="N24" s="15" t="str">
        <f t="shared" si="2"/>
        <v>No</v>
      </c>
      <c r="O24" s="15" t="str">
        <f t="shared" si="7"/>
        <v>No</v>
      </c>
      <c r="P24" s="15" t="str">
        <f t="shared" si="6"/>
        <v>No</v>
      </c>
      <c r="Q24" s="15" t="str">
        <f t="shared" si="5"/>
        <v>No</v>
      </c>
    </row>
    <row r="25" spans="1:17" ht="14.25" x14ac:dyDescent="0.2">
      <c r="A25" s="3"/>
      <c r="B25" s="11"/>
      <c r="C25" s="3"/>
      <c r="D25" s="3"/>
      <c r="E25" s="3"/>
      <c r="F25" s="11"/>
      <c r="G25" s="13"/>
      <c r="H25" s="4"/>
      <c r="I25" s="5"/>
      <c r="J25" s="18"/>
      <c r="K25" s="15" t="str">
        <f t="shared" si="0"/>
        <v>No</v>
      </c>
      <c r="L25" s="15" t="str">
        <f t="shared" si="1"/>
        <v>No</v>
      </c>
      <c r="M25" s="18"/>
      <c r="N25" s="15" t="str">
        <f t="shared" si="2"/>
        <v>No</v>
      </c>
      <c r="O25" s="15" t="str">
        <f t="shared" si="7"/>
        <v>No</v>
      </c>
      <c r="P25" s="15" t="str">
        <f t="shared" si="6"/>
        <v>No</v>
      </c>
      <c r="Q25" s="15" t="str">
        <f t="shared" si="5"/>
        <v>No</v>
      </c>
    </row>
    <row r="26" spans="1:17" ht="14.25" x14ac:dyDescent="0.2">
      <c r="A26" s="3"/>
      <c r="B26" s="11"/>
      <c r="C26" s="3"/>
      <c r="D26" s="3"/>
      <c r="E26" s="3"/>
      <c r="F26" s="11"/>
      <c r="G26" s="13"/>
      <c r="H26" s="4"/>
      <c r="I26" s="5"/>
      <c r="J26" s="18"/>
      <c r="K26" s="15" t="str">
        <f t="shared" si="0"/>
        <v>No</v>
      </c>
      <c r="L26" s="15" t="str">
        <f t="shared" si="1"/>
        <v>No</v>
      </c>
      <c r="M26" s="18"/>
      <c r="N26" s="15" t="str">
        <f t="shared" si="2"/>
        <v>No</v>
      </c>
      <c r="O26" s="15" t="str">
        <f t="shared" si="7"/>
        <v>No</v>
      </c>
      <c r="P26" s="15" t="str">
        <f t="shared" si="6"/>
        <v>No</v>
      </c>
      <c r="Q26" s="15" t="str">
        <f t="shared" si="5"/>
        <v>No</v>
      </c>
    </row>
    <row r="27" spans="1:17" ht="14.25" x14ac:dyDescent="0.2">
      <c r="A27" s="3"/>
      <c r="B27" s="11"/>
      <c r="C27" s="3"/>
      <c r="D27" s="3"/>
      <c r="E27" s="3"/>
      <c r="F27" s="11"/>
      <c r="G27" s="13"/>
      <c r="H27" s="4"/>
      <c r="I27" s="5"/>
      <c r="J27" s="18"/>
      <c r="K27" s="15" t="str">
        <f t="shared" si="0"/>
        <v>No</v>
      </c>
      <c r="L27" s="15" t="str">
        <f t="shared" si="1"/>
        <v>No</v>
      </c>
      <c r="M27" s="18"/>
      <c r="N27" s="15" t="str">
        <f t="shared" si="2"/>
        <v>No</v>
      </c>
      <c r="O27" s="15" t="str">
        <f t="shared" si="7"/>
        <v>No</v>
      </c>
      <c r="P27" s="15" t="str">
        <f t="shared" si="6"/>
        <v>No</v>
      </c>
      <c r="Q27" s="15" t="str">
        <f t="shared" si="5"/>
        <v>No</v>
      </c>
    </row>
    <row r="28" spans="1:17" ht="14.25" x14ac:dyDescent="0.2">
      <c r="A28" s="3"/>
      <c r="B28" s="11"/>
      <c r="C28" s="3"/>
      <c r="D28" s="3"/>
      <c r="E28" s="3"/>
      <c r="F28" s="11"/>
      <c r="G28" s="13"/>
      <c r="H28" s="4"/>
      <c r="I28" s="5"/>
      <c r="J28" s="18"/>
      <c r="K28" s="15" t="str">
        <f t="shared" si="0"/>
        <v>No</v>
      </c>
      <c r="L28" s="15" t="str">
        <f t="shared" si="1"/>
        <v>No</v>
      </c>
      <c r="M28" s="18"/>
      <c r="N28" s="15" t="str">
        <f t="shared" si="2"/>
        <v>No</v>
      </c>
      <c r="O28" s="15" t="str">
        <f t="shared" si="7"/>
        <v>No</v>
      </c>
      <c r="P28" s="15" t="str">
        <f t="shared" si="6"/>
        <v>No</v>
      </c>
      <c r="Q28" s="15" t="str">
        <f t="shared" si="5"/>
        <v>No</v>
      </c>
    </row>
    <row r="29" spans="1:17" ht="14.25" x14ac:dyDescent="0.2">
      <c r="A29" s="3"/>
      <c r="B29" s="11"/>
      <c r="C29" s="3"/>
      <c r="D29" s="3"/>
      <c r="E29" s="3"/>
      <c r="F29" s="11"/>
      <c r="G29" s="13"/>
      <c r="H29" s="4"/>
      <c r="I29" s="5"/>
      <c r="J29" s="18"/>
      <c r="K29" s="15" t="str">
        <f t="shared" si="0"/>
        <v>No</v>
      </c>
      <c r="L29" s="15" t="str">
        <f t="shared" si="1"/>
        <v>No</v>
      </c>
      <c r="M29" s="18"/>
      <c r="N29" s="15" t="str">
        <f t="shared" si="2"/>
        <v>No</v>
      </c>
      <c r="O29" s="15" t="str">
        <f t="shared" si="7"/>
        <v>No</v>
      </c>
      <c r="P29" s="15" t="str">
        <f t="shared" si="6"/>
        <v>No</v>
      </c>
      <c r="Q29" s="15" t="str">
        <f t="shared" si="5"/>
        <v>No</v>
      </c>
    </row>
    <row r="30" spans="1:17" ht="14.25" x14ac:dyDescent="0.2">
      <c r="A30" s="3"/>
      <c r="B30" s="11"/>
      <c r="C30" s="3"/>
      <c r="D30" s="3"/>
      <c r="E30" s="3"/>
      <c r="F30" s="11"/>
      <c r="G30" s="13"/>
      <c r="H30" s="3"/>
      <c r="I30" s="5"/>
      <c r="J30" s="18"/>
      <c r="K30" s="15" t="str">
        <f t="shared" si="0"/>
        <v>No</v>
      </c>
      <c r="L30" s="15" t="str">
        <f t="shared" si="1"/>
        <v>No</v>
      </c>
      <c r="M30" s="18"/>
      <c r="N30" s="15" t="str">
        <f t="shared" si="2"/>
        <v>No</v>
      </c>
      <c r="O30" s="15" t="str">
        <f t="shared" si="7"/>
        <v>No</v>
      </c>
      <c r="P30" s="15" t="str">
        <f t="shared" si="6"/>
        <v>No</v>
      </c>
      <c r="Q30" s="15" t="str">
        <f t="shared" si="5"/>
        <v>No</v>
      </c>
    </row>
    <row r="31" spans="1:17" ht="14.25" x14ac:dyDescent="0.2">
      <c r="A31" s="3"/>
      <c r="B31" s="11"/>
      <c r="C31" s="3"/>
      <c r="D31" s="3"/>
      <c r="E31" s="3"/>
      <c r="F31" s="11"/>
      <c r="G31" s="13"/>
      <c r="H31" s="3"/>
      <c r="I31" s="5"/>
      <c r="J31" s="18"/>
      <c r="K31" s="15" t="str">
        <f t="shared" si="0"/>
        <v>No</v>
      </c>
      <c r="L31" s="15" t="str">
        <f t="shared" si="1"/>
        <v>No</v>
      </c>
      <c r="M31" s="18"/>
      <c r="N31" s="15" t="str">
        <f t="shared" si="2"/>
        <v>No</v>
      </c>
      <c r="O31" s="15" t="str">
        <f t="shared" si="7"/>
        <v>No</v>
      </c>
      <c r="P31" s="15" t="str">
        <f t="shared" si="6"/>
        <v>No</v>
      </c>
      <c r="Q31" s="15" t="str">
        <f t="shared" si="5"/>
        <v>No</v>
      </c>
    </row>
    <row r="32" spans="1:17" x14ac:dyDescent="0.2">
      <c r="H32" s="2" t="s">
        <v>26</v>
      </c>
      <c r="I32" s="6">
        <f>SUM(I2:I31)</f>
        <v>0</v>
      </c>
      <c r="J32" s="19">
        <f>COUNTIF(J2:J31,"Yes")</f>
        <v>0</v>
      </c>
      <c r="K32" s="19">
        <f>COUNTIF(K2:K31,"Voucher")</f>
        <v>0</v>
      </c>
      <c r="L32" s="19">
        <f>COUNTIF(L2:L31,"Waterpark")</f>
        <v>0</v>
      </c>
      <c r="M32" s="19">
        <f>COUNTIF(M2:M31,"Yes")</f>
        <v>0</v>
      </c>
      <c r="N32" s="19">
        <f>COUNTIF(N2:N31,"Premier")</f>
        <v>0</v>
      </c>
      <c r="O32" s="19">
        <f>COUNTIF(O2:O31,"Dells")</f>
        <v>0</v>
      </c>
      <c r="P32" s="19">
        <f>COUNTIF(P2:P31,"Admirals")</f>
        <v>0</v>
      </c>
      <c r="Q32" s="19">
        <f>COUNTIF(Q2:Q31,"Disney")</f>
        <v>0</v>
      </c>
    </row>
    <row r="34" spans="4:15" x14ac:dyDescent="0.2">
      <c r="D34" s="20" t="s">
        <v>46</v>
      </c>
      <c r="E34" s="21"/>
      <c r="G34" s="20" t="s">
        <v>27</v>
      </c>
      <c r="H34" s="22">
        <f>E35-E34</f>
        <v>0</v>
      </c>
      <c r="J34" s="24" t="s">
        <v>32</v>
      </c>
      <c r="K34" s="25"/>
      <c r="L34" s="25"/>
      <c r="M34" s="25"/>
      <c r="N34" s="25"/>
      <c r="O34" s="28" t="b">
        <f>IF(H35&gt;=0.1,0.01)</f>
        <v>0</v>
      </c>
    </row>
    <row r="35" spans="4:15" x14ac:dyDescent="0.2">
      <c r="D35" s="20" t="s">
        <v>45</v>
      </c>
      <c r="E35" s="21"/>
      <c r="G35" s="20" t="s">
        <v>28</v>
      </c>
      <c r="H35" s="23">
        <f>IF(ISERROR(H34/E34),0,H34/E34)</f>
        <v>0</v>
      </c>
      <c r="J35" s="24" t="s">
        <v>31</v>
      </c>
      <c r="K35" s="25"/>
      <c r="L35" s="25"/>
      <c r="M35" s="25"/>
      <c r="N35" s="25"/>
      <c r="O35" s="29">
        <f>O34*E35</f>
        <v>0</v>
      </c>
    </row>
    <row r="36" spans="4:15" x14ac:dyDescent="0.2">
      <c r="H36" s="27"/>
      <c r="J36" s="24" t="s">
        <v>33</v>
      </c>
      <c r="K36" s="24"/>
      <c r="L36" s="24"/>
      <c r="M36" s="24"/>
      <c r="N36" s="24"/>
      <c r="O36" s="26" t="str">
        <f>IF(OR(H34&gt;=2500,H35&gt;=0.1),"Yes","No")</f>
        <v>No</v>
      </c>
    </row>
  </sheetData>
  <sheetProtection sort="0"/>
  <sortState ref="A2:I10">
    <sortCondition ref="B2:B10"/>
  </sortState>
  <phoneticPr fontId="0" type="noConversion"/>
  <dataValidations count="2">
    <dataValidation type="list" allowBlank="1" showInputMessage="1" showErrorMessage="1" sqref="A2:A31">
      <formula1>$S$2:$S$11</formula1>
    </dataValidation>
    <dataValidation type="list" allowBlank="1" showInputMessage="1" showErrorMessage="1" sqref="J2:J31 M2:M31">
      <formula1>$T$2:$T$3</formula1>
    </dataValidation>
  </dataValidation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Unit Sales</vt:lpstr>
    </vt:vector>
  </TitlesOfParts>
  <Company>MCC, BSA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Jsova</dc:creator>
  <cp:lastModifiedBy>Joshua Sova</cp:lastModifiedBy>
  <dcterms:created xsi:type="dcterms:W3CDTF">2011-10-31T15:27:22Z</dcterms:created>
  <dcterms:modified xsi:type="dcterms:W3CDTF">2013-02-26T19:52:49Z</dcterms:modified>
</cp:coreProperties>
</file>