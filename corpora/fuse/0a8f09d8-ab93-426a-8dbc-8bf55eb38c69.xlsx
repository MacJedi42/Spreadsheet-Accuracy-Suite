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85" yWindow="255" windowWidth="14160" windowHeight="8400"/>
  </bookViews>
  <sheets>
    <sheet name="Base SOW - Cost Table" sheetId="1" r:id="rId1"/>
  </sheets>
  <definedNames>
    <definedName name="_xlnm.Print_Area" localSheetId="0">'Base SOW - Cost Table'!$A$1:$W$54</definedName>
  </definedNames>
  <calcPr calcId="125725"/>
</workbook>
</file>

<file path=xl/calcChain.xml><?xml version="1.0" encoding="utf-8"?>
<calcChain xmlns="http://schemas.openxmlformats.org/spreadsheetml/2006/main">
  <c r="K29" i="1"/>
  <c r="K30" s="1"/>
  <c r="J29"/>
  <c r="J30" s="1"/>
  <c r="I29"/>
  <c r="I30" s="1"/>
  <c r="H29"/>
  <c r="H30" s="1"/>
  <c r="G29"/>
  <c r="G30" s="1"/>
  <c r="F29"/>
  <c r="F30" s="1"/>
  <c r="E29"/>
  <c r="E30" s="1"/>
  <c r="W28"/>
  <c r="W27"/>
  <c r="W26"/>
  <c r="W25"/>
  <c r="W24"/>
  <c r="W23"/>
  <c r="W22"/>
  <c r="W21"/>
  <c r="W20"/>
  <c r="W19"/>
  <c r="W18"/>
  <c r="W17"/>
  <c r="W16"/>
  <c r="W15"/>
  <c r="W14"/>
  <c r="W13"/>
  <c r="W11"/>
  <c r="W10"/>
  <c r="W9"/>
  <c r="W8"/>
  <c r="W6"/>
  <c r="U29"/>
  <c r="U30"/>
  <c r="R29"/>
  <c r="R30"/>
  <c r="Q29"/>
  <c r="Q30"/>
  <c r="P29"/>
  <c r="P30"/>
  <c r="S29"/>
  <c r="S30"/>
  <c r="V29"/>
  <c r="V30"/>
  <c r="T29"/>
  <c r="T30"/>
  <c r="M29"/>
  <c r="M30"/>
  <c r="C29"/>
  <c r="C30"/>
  <c r="O29"/>
  <c r="O30"/>
  <c r="N29"/>
  <c r="N30"/>
  <c r="L29"/>
  <c r="L30"/>
  <c r="D29"/>
  <c r="D30"/>
  <c r="W30" l="1"/>
</calcChain>
</file>

<file path=xl/sharedStrings.xml><?xml version="1.0" encoding="utf-8"?>
<sst xmlns="http://schemas.openxmlformats.org/spreadsheetml/2006/main" count="91" uniqueCount="81">
  <si>
    <t>COST COMPONENT</t>
  </si>
  <si>
    <t>Base SOW Subtotal</t>
  </si>
  <si>
    <t>Anticipated # of Milestone Payments</t>
  </si>
  <si>
    <t>Labor</t>
  </si>
  <si>
    <t>Bidders shall enter costs for each labor/ODC/Sub category based on the proposed payment for achieving each milestone.  The total cost for completion of each Task will be the "Subtotal" multiplied by the "Anticipated # of Milestone Payments"</t>
  </si>
  <si>
    <r>
      <t>Other Direct Costs</t>
    </r>
    <r>
      <rPr>
        <b/>
        <vertAlign val="superscript"/>
        <sz val="12"/>
        <rFont val="Arial"/>
        <family val="2"/>
      </rPr>
      <t>1</t>
    </r>
  </si>
  <si>
    <r>
      <t xml:space="preserve">ODC </t>
    </r>
    <r>
      <rPr>
        <sz val="12"/>
        <rFont val="Arial"/>
      </rPr>
      <t>≥</t>
    </r>
    <r>
      <rPr>
        <sz val="12"/>
        <rFont val="Arial"/>
        <family val="2"/>
      </rPr>
      <t xml:space="preserve">$5,000 (Specify) </t>
    </r>
  </si>
  <si>
    <t>Other ODCs</t>
  </si>
  <si>
    <r>
      <t>Subcontracted Costs</t>
    </r>
    <r>
      <rPr>
        <b/>
        <vertAlign val="superscript"/>
        <sz val="12"/>
        <rFont val="Arial"/>
        <family val="2"/>
      </rPr>
      <t>2</t>
    </r>
  </si>
  <si>
    <t>Analytical Laboratory - Soil</t>
  </si>
  <si>
    <t>Analytical Laboratory - Vapor</t>
  </si>
  <si>
    <t>Other Analytical</t>
  </si>
  <si>
    <t>Other (specify)</t>
  </si>
  <si>
    <t>Per Milestone Subtotal</t>
  </si>
  <si>
    <t>Total</t>
  </si>
  <si>
    <t>Schedule of Unit Labor Rates</t>
  </si>
  <si>
    <t>HOURLY RATE</t>
  </si>
  <si>
    <t>Sr. Project Engineer, P.E.</t>
  </si>
  <si>
    <t>Sr. Hydrogeologist, P.G.</t>
  </si>
  <si>
    <t>Project Manager</t>
  </si>
  <si>
    <t>Project Geologist/ Engineer</t>
  </si>
  <si>
    <t>Associate Project Geologist/ Engineer</t>
  </si>
  <si>
    <t>Staff Geologist/ Engineer</t>
  </si>
  <si>
    <t>Sr. Field Technician</t>
  </si>
  <si>
    <t>Field Technician</t>
  </si>
  <si>
    <t>Word Processor</t>
  </si>
  <si>
    <t>Draftsman</t>
  </si>
  <si>
    <t>Project Coordinator</t>
  </si>
  <si>
    <t>Junior Professional</t>
  </si>
  <si>
    <t>Subcontractor / Vendor Mark-up (%)</t>
  </si>
  <si>
    <t xml:space="preserve">1 - Individual other direct cost line items totaling $5,000 or more must be specified (use separate sheet, if necessary).    </t>
  </si>
  <si>
    <t>2 - Details related to subcontracted costs are requested by the Solicitor to assist in the evaluation of the costs associated with the performance of this work.</t>
  </si>
  <si>
    <t>A</t>
  </si>
  <si>
    <t>D</t>
  </si>
  <si>
    <t>E</t>
  </si>
  <si>
    <t>Equipment Rental</t>
  </si>
  <si>
    <t>Schedule of Unit Rates</t>
  </si>
  <si>
    <t>Additional Cost per Unit</t>
  </si>
  <si>
    <t>C</t>
  </si>
  <si>
    <t>%</t>
  </si>
  <si>
    <t>G</t>
  </si>
  <si>
    <t>Professional Surveyor</t>
  </si>
  <si>
    <t>Analytical Laboratory - Water</t>
  </si>
  <si>
    <t>Unit Description</t>
  </si>
  <si>
    <t>Geophysical Subcontractor</t>
  </si>
  <si>
    <t>Drilling Subcontractor</t>
  </si>
  <si>
    <t>Waste T &amp; D</t>
  </si>
  <si>
    <t xml:space="preserve">Table 1 - Competitive Bid Solicitation, United Kwik Fill M-389, 8795 Wattsburg Road, Erie, PA </t>
  </si>
  <si>
    <t xml:space="preserve">Milestone C.
Soil Attainment Demonstration                       </t>
  </si>
  <si>
    <t xml:space="preserve">Milestone E.
Site Restoration and Closure                          </t>
  </si>
  <si>
    <t xml:space="preserve">Optional Milestone G.
Fate &amp; Transport Modeling            </t>
  </si>
  <si>
    <t>Associated Milestones</t>
  </si>
  <si>
    <t>Compresensive unit cost for collection and analysis of one soil sample (if warranted, see Milestone A).  Analysis shall be the "old " PADEP shortlist for unleaded gasoline (no analysis of 1,2,4-TMB or 1,3,5-TMB).</t>
  </si>
  <si>
    <t>Unit cost per lineal foot for excess hollow-stem auger drilling, split-spoon sampling, and well installation beyond the 45-ft total well installation footage assumed under Milestone A.</t>
  </si>
  <si>
    <t xml:space="preserve"> (A mark-up percentage no greater than 10% is acceptable to the Solicitor &amp; PAUSTIF)</t>
  </si>
  <si>
    <r>
      <rPr>
        <b/>
        <sz val="9"/>
        <rFont val="Arial"/>
        <family val="2"/>
      </rPr>
      <t>Milestone A1</t>
    </r>
    <r>
      <rPr>
        <sz val="9"/>
        <rFont val="Arial"/>
        <family val="2"/>
      </rPr>
      <t>.  Collection and analysis of one soil sample from the Milestone A well borings ($ / sample).</t>
    </r>
  </si>
  <si>
    <r>
      <t xml:space="preserve">Milestone A2. </t>
    </r>
    <r>
      <rPr>
        <sz val="9"/>
        <rFont val="Arial"/>
        <family val="2"/>
      </rPr>
      <t xml:space="preserve"> Excess well drilling / well installation unit footage ($/foot).</t>
    </r>
  </si>
  <si>
    <r>
      <t xml:space="preserve">Milestone B9. </t>
    </r>
    <r>
      <rPr>
        <sz val="9"/>
        <rFont val="Arial"/>
        <family val="2"/>
      </rPr>
      <t xml:space="preserve"> Deletion of one groundwater sample ($ / well not sampled)</t>
    </r>
  </si>
  <si>
    <t>In the event one or more wells cannot be sampled due to access issues or lack of adequate water in a well, provide a cost per monitoring well (not sampled) to be deducted from the fixed-price costs quoted under Milestones D1 and D2.  This unit cost shall be inclusive of all labor, equipment, laboratory analysis, waste handling/disposal, etc.  ($ / well not sampled)</t>
  </si>
  <si>
    <t>Unit cost per lineal foot for borehole advancement beyond the 120-ft cumulative total footage assumed under Milestone C. ($ / foot)</t>
  </si>
  <si>
    <r>
      <t xml:space="preserve">Milestone C1. </t>
    </r>
    <r>
      <rPr>
        <sz val="9"/>
        <rFont val="Arial"/>
        <family val="2"/>
      </rPr>
      <t xml:space="preserve"> Excess drilling footage ($ / foot) associated with Milestone C.  </t>
    </r>
  </si>
  <si>
    <t>H3</t>
  </si>
  <si>
    <t>F2</t>
  </si>
  <si>
    <t>F3</t>
  </si>
  <si>
    <t>F4</t>
  </si>
  <si>
    <t>F1</t>
  </si>
  <si>
    <t>H1</t>
  </si>
  <si>
    <t>H2</t>
  </si>
  <si>
    <t>B2</t>
  </si>
  <si>
    <t>B3</t>
  </si>
  <si>
    <t>B4</t>
  </si>
  <si>
    <t>B5</t>
  </si>
  <si>
    <t>B6</t>
  </si>
  <si>
    <t>B7</t>
  </si>
  <si>
    <t>B8</t>
  </si>
  <si>
    <t>B1</t>
  </si>
  <si>
    <t xml:space="preserve">Optional Milestone H Series.
Sampling of GAC Treatment System (H1, H2), GAC Change Out (H3)     </t>
  </si>
  <si>
    <t xml:space="preserve">Optional Milestone F Series.
Additional GW Monitoring             </t>
  </si>
  <si>
    <t xml:space="preserve">Milestone B Series.
Attainment Sampling - Groundwater                </t>
  </si>
  <si>
    <t>Milestone A.
Installation of Three Downgradient Monitoring Wells</t>
  </si>
  <si>
    <t xml:space="preserve">Milestone D.
Remedial Action Completion Report                      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</si>
</sst>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12">
    <font>
      <sz val="10"/>
      <name val="Arial"/>
    </font>
    <font>
      <b/>
      <sz val="14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vertAlign val="superscript"/>
      <sz val="12"/>
      <name val="Arial"/>
      <family val="2"/>
    </font>
    <font>
      <sz val="12"/>
      <name val="Arial"/>
    </font>
    <font>
      <b/>
      <sz val="14"/>
      <color indexed="12"/>
      <name val="Arial"/>
      <family val="2"/>
    </font>
    <font>
      <sz val="8"/>
      <name val="Arial"/>
    </font>
    <font>
      <b/>
      <sz val="9"/>
      <name val="Arial"/>
      <family val="2"/>
    </font>
    <font>
      <b/>
      <sz val="1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164" fontId="3" fillId="2" borderId="1" xfId="0" applyNumberFormat="1" applyFont="1" applyFill="1" applyBorder="1" applyAlignment="1" applyProtection="1">
      <alignment horizontal="center"/>
    </xf>
    <xf numFmtId="164" fontId="2" fillId="3" borderId="1" xfId="0" applyNumberFormat="1" applyFont="1" applyFill="1" applyBorder="1" applyAlignment="1" applyProtection="1">
      <alignment horizontal="center"/>
      <protection locked="0"/>
    </xf>
    <xf numFmtId="0" fontId="4" fillId="0" borderId="0" xfId="0" applyFont="1"/>
    <xf numFmtId="164" fontId="2" fillId="2" borderId="1" xfId="0" applyNumberFormat="1" applyFont="1" applyFill="1" applyBorder="1" applyAlignment="1" applyProtection="1">
      <alignment horizontal="center"/>
    </xf>
    <xf numFmtId="0" fontId="4" fillId="0" borderId="2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64" fontId="3" fillId="2" borderId="4" xfId="0" applyNumberFormat="1" applyFont="1" applyFill="1" applyBorder="1" applyAlignment="1" applyProtection="1">
      <alignment horizontal="center"/>
    </xf>
    <xf numFmtId="0" fontId="3" fillId="0" borderId="0" xfId="0" applyFont="1"/>
    <xf numFmtId="164" fontId="4" fillId="0" borderId="0" xfId="0" applyNumberFormat="1" applyFont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0" fontId="2" fillId="0" borderId="0" xfId="0" applyFont="1" applyProtection="1">
      <protection locked="0"/>
    </xf>
    <xf numFmtId="0" fontId="2" fillId="0" borderId="0" xfId="0" applyFont="1" applyBorder="1"/>
    <xf numFmtId="0" fontId="2" fillId="0" borderId="0" xfId="0" applyFont="1" applyAlignment="1" applyProtection="1">
      <alignment vertical="top"/>
      <protection locked="0"/>
    </xf>
    <xf numFmtId="0" fontId="0" fillId="0" borderId="0" xfId="0" applyAlignment="1" applyProtection="1">
      <alignment vertical="top"/>
      <protection locked="0"/>
    </xf>
    <xf numFmtId="0" fontId="2" fillId="0" borderId="0" xfId="0" applyFont="1" applyBorder="1" applyAlignment="1" applyProtection="1">
      <alignment vertical="top"/>
      <protection locked="0"/>
    </xf>
    <xf numFmtId="0" fontId="2" fillId="0" borderId="5" xfId="0" applyFont="1" applyBorder="1" applyAlignment="1" applyProtection="1">
      <alignment vertical="top"/>
      <protection locked="0"/>
    </xf>
    <xf numFmtId="0" fontId="2" fillId="0" borderId="6" xfId="0" applyFont="1" applyBorder="1" applyAlignment="1" applyProtection="1">
      <alignment vertical="top"/>
      <protection locked="0"/>
    </xf>
    <xf numFmtId="164" fontId="2" fillId="3" borderId="7" xfId="0" applyNumberFormat="1" applyFont="1" applyFill="1" applyBorder="1" applyAlignment="1" applyProtection="1">
      <alignment horizontal="center"/>
      <protection locked="0"/>
    </xf>
    <xf numFmtId="0" fontId="3" fillId="0" borderId="8" xfId="0" applyFont="1" applyBorder="1" applyProtection="1"/>
    <xf numFmtId="0" fontId="3" fillId="0" borderId="2" xfId="0" applyFont="1" applyBorder="1" applyProtection="1"/>
    <xf numFmtId="0" fontId="4" fillId="0" borderId="2" xfId="0" applyFont="1" applyBorder="1" applyAlignment="1" applyProtection="1">
      <alignment horizontal="left"/>
    </xf>
    <xf numFmtId="0" fontId="4" fillId="0" borderId="2" xfId="0" applyFont="1" applyBorder="1" applyProtection="1"/>
    <xf numFmtId="0" fontId="3" fillId="4" borderId="9" xfId="0" applyFont="1" applyFill="1" applyBorder="1" applyAlignment="1" applyProtection="1">
      <alignment horizontal="center" vertical="center" wrapText="1"/>
    </xf>
    <xf numFmtId="0" fontId="3" fillId="4" borderId="10" xfId="0" applyFont="1" applyFill="1" applyBorder="1" applyAlignment="1" applyProtection="1">
      <alignment horizontal="center" vertical="center" wrapText="1"/>
    </xf>
    <xf numFmtId="0" fontId="2" fillId="0" borderId="5" xfId="0" applyFont="1" applyBorder="1" applyAlignment="1" applyProtection="1">
      <alignment vertical="top"/>
    </xf>
    <xf numFmtId="0" fontId="2" fillId="0" borderId="0" xfId="0" applyFont="1" applyAlignment="1" applyProtection="1">
      <alignment vertical="top"/>
    </xf>
    <xf numFmtId="0" fontId="2" fillId="0" borderId="0" xfId="0" applyFont="1" applyAlignment="1" applyProtection="1">
      <alignment horizontal="left" vertical="top"/>
    </xf>
    <xf numFmtId="164" fontId="2" fillId="3" borderId="11" xfId="0" applyNumberFormat="1" applyFont="1" applyFill="1" applyBorder="1" applyAlignment="1" applyProtection="1">
      <alignment horizontal="center"/>
      <protection locked="0"/>
    </xf>
    <xf numFmtId="164" fontId="2" fillId="0" borderId="0" xfId="0" applyNumberFormat="1" applyFont="1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vertical="top"/>
      <protection locked="0"/>
    </xf>
    <xf numFmtId="0" fontId="2" fillId="0" borderId="12" xfId="0" applyFont="1" applyBorder="1" applyAlignment="1" applyProtection="1">
      <alignment vertical="top"/>
      <protection locked="0"/>
    </xf>
    <xf numFmtId="164" fontId="2" fillId="0" borderId="12" xfId="0" applyNumberFormat="1" applyFont="1" applyFill="1" applyBorder="1" applyAlignment="1" applyProtection="1">
      <alignment horizontal="center"/>
      <protection locked="0"/>
    </xf>
    <xf numFmtId="0" fontId="5" fillId="0" borderId="0" xfId="0" applyFont="1"/>
    <xf numFmtId="0" fontId="3" fillId="4" borderId="13" xfId="0" applyFont="1" applyFill="1" applyBorder="1" applyAlignment="1" applyProtection="1">
      <alignment horizontal="center" vertical="center" wrapText="1"/>
    </xf>
    <xf numFmtId="0" fontId="5" fillId="0" borderId="0" xfId="0" applyFont="1" applyAlignment="1" applyProtection="1">
      <alignment vertical="top"/>
      <protection locked="0"/>
    </xf>
    <xf numFmtId="0" fontId="3" fillId="0" borderId="1" xfId="0" applyFont="1" applyFill="1" applyBorder="1" applyAlignment="1" applyProtection="1">
      <alignment horizontal="center" vertical="center" wrapText="1"/>
    </xf>
    <xf numFmtId="0" fontId="3" fillId="5" borderId="1" xfId="0" applyFont="1" applyFill="1" applyBorder="1" applyAlignment="1" applyProtection="1">
      <alignment horizontal="center" vertical="center" wrapText="1"/>
    </xf>
    <xf numFmtId="0" fontId="3" fillId="5" borderId="14" xfId="0" applyFont="1" applyFill="1" applyBorder="1" applyAlignment="1" applyProtection="1">
      <alignment horizontal="center" vertical="center" wrapText="1"/>
    </xf>
    <xf numFmtId="164" fontId="3" fillId="0" borderId="1" xfId="0" applyNumberFormat="1" applyFont="1" applyBorder="1" applyAlignment="1" applyProtection="1">
      <alignment horizontal="center"/>
    </xf>
    <xf numFmtId="164" fontId="8" fillId="0" borderId="15" xfId="0" applyNumberFormat="1" applyFont="1" applyBorder="1" applyAlignment="1" applyProtection="1">
      <alignment horizontal="center"/>
    </xf>
    <xf numFmtId="164" fontId="3" fillId="0" borderId="3" xfId="0" applyNumberFormat="1" applyFont="1" applyBorder="1" applyAlignment="1" applyProtection="1">
      <alignment horizontal="center"/>
    </xf>
    <xf numFmtId="0" fontId="2" fillId="0" borderId="0" xfId="0" applyFont="1" applyBorder="1" applyAlignment="1" applyProtection="1">
      <alignment vertical="top"/>
    </xf>
    <xf numFmtId="164" fontId="2" fillId="3" borderId="16" xfId="0" applyNumberFormat="1" applyFont="1" applyFill="1" applyBorder="1" applyAlignment="1" applyProtection="1">
      <alignment horizontal="center"/>
      <protection locked="0"/>
    </xf>
    <xf numFmtId="0" fontId="5" fillId="0" borderId="29" xfId="0" applyFont="1" applyBorder="1" applyAlignment="1" applyProtection="1">
      <alignment horizontal="left" vertical="center" wrapText="1"/>
    </xf>
    <xf numFmtId="0" fontId="0" fillId="0" borderId="29" xfId="0" applyBorder="1" applyAlignment="1" applyProtection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0" fillId="0" borderId="30" xfId="0" applyBorder="1" applyAlignment="1" applyProtection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164" fontId="2" fillId="0" borderId="0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Border="1" applyAlignment="1" applyProtection="1">
      <alignment horizontal="center"/>
      <protection locked="0"/>
    </xf>
    <xf numFmtId="0" fontId="5" fillId="0" borderId="0" xfId="0" applyFont="1" applyBorder="1" applyAlignment="1" applyProtection="1">
      <alignment horizontal="left" vertical="top" wrapText="1"/>
    </xf>
    <xf numFmtId="0" fontId="10" fillId="0" borderId="0" xfId="0" applyFont="1" applyBorder="1" applyAlignment="1" applyProtection="1">
      <alignment vertical="top" wrapText="1"/>
    </xf>
    <xf numFmtId="0" fontId="0" fillId="0" borderId="0" xfId="0" applyBorder="1" applyAlignment="1" applyProtection="1">
      <alignment vertical="top" wrapText="1"/>
    </xf>
    <xf numFmtId="0" fontId="0" fillId="0" borderId="0" xfId="0" applyBorder="1" applyAlignment="1" applyProtection="1">
      <alignment horizontal="left" vertical="top" wrapText="1"/>
    </xf>
    <xf numFmtId="0" fontId="5" fillId="0" borderId="0" xfId="0" applyFont="1" applyBorder="1" applyAlignment="1" applyProtection="1">
      <alignment horizontal="left" vertical="center" wrapText="1"/>
    </xf>
    <xf numFmtId="0" fontId="3" fillId="4" borderId="14" xfId="0" applyFont="1" applyFill="1" applyBorder="1" applyAlignment="1" applyProtection="1">
      <alignment horizontal="center" vertical="center" wrapText="1"/>
    </xf>
    <xf numFmtId="0" fontId="3" fillId="4" borderId="4" xfId="0" applyFont="1" applyFill="1" applyBorder="1" applyAlignment="1" applyProtection="1">
      <alignment horizontal="center" vertical="center" wrapText="1"/>
    </xf>
    <xf numFmtId="0" fontId="5" fillId="4" borderId="8" xfId="0" applyFont="1" applyFill="1" applyBorder="1" applyAlignment="1" applyProtection="1">
      <alignment horizontal="center" textRotation="90" wrapText="1"/>
    </xf>
    <xf numFmtId="0" fontId="5" fillId="4" borderId="2" xfId="0" applyFont="1" applyFill="1" applyBorder="1" applyAlignment="1" applyProtection="1">
      <alignment horizontal="center" textRotation="90" wrapText="1"/>
    </xf>
    <xf numFmtId="0" fontId="5" fillId="4" borderId="3" xfId="0" applyFont="1" applyFill="1" applyBorder="1" applyAlignment="1" applyProtection="1">
      <alignment horizontal="center" textRotation="90" wrapText="1"/>
    </xf>
    <xf numFmtId="0" fontId="2" fillId="0" borderId="21" xfId="0" applyFont="1" applyBorder="1" applyAlignment="1" applyProtection="1">
      <alignment horizontal="right" vertical="top" wrapText="1"/>
    </xf>
    <xf numFmtId="0" fontId="2" fillId="0" borderId="12" xfId="0" applyFont="1" applyBorder="1" applyAlignment="1" applyProtection="1">
      <alignment horizontal="right" vertical="top" wrapText="1"/>
    </xf>
    <xf numFmtId="0" fontId="0" fillId="0" borderId="34" xfId="0" applyBorder="1" applyAlignment="1" applyProtection="1">
      <alignment horizontal="right" vertical="top"/>
    </xf>
    <xf numFmtId="0" fontId="0" fillId="0" borderId="31" xfId="0" applyBorder="1" applyAlignment="1" applyProtection="1">
      <alignment horizontal="right" vertical="top"/>
    </xf>
    <xf numFmtId="0" fontId="0" fillId="0" borderId="17" xfId="0" applyBorder="1" applyAlignment="1" applyProtection="1">
      <alignment horizontal="right" vertical="top"/>
    </xf>
    <xf numFmtId="0" fontId="0" fillId="0" borderId="35" xfId="0" applyBorder="1" applyAlignment="1" applyProtection="1">
      <alignment horizontal="right" vertical="top"/>
    </xf>
    <xf numFmtId="164" fontId="2" fillId="3" borderId="36" xfId="0" applyNumberFormat="1" applyFont="1" applyFill="1" applyBorder="1" applyAlignment="1" applyProtection="1">
      <alignment horizontal="center"/>
      <protection locked="0"/>
    </xf>
    <xf numFmtId="0" fontId="0" fillId="0" borderId="36" xfId="0" applyBorder="1" applyAlignment="1" applyProtection="1">
      <protection locked="0"/>
    </xf>
    <xf numFmtId="164" fontId="2" fillId="3" borderId="37" xfId="0" applyNumberFormat="1" applyFont="1" applyFill="1" applyBorder="1" applyAlignment="1" applyProtection="1">
      <alignment horizontal="center"/>
      <protection locked="0"/>
    </xf>
    <xf numFmtId="0" fontId="10" fillId="0" borderId="18" xfId="0" applyFont="1" applyBorder="1" applyAlignment="1" applyProtection="1">
      <alignment horizontal="right" vertical="top" wrapText="1"/>
    </xf>
    <xf numFmtId="0" fontId="10" fillId="0" borderId="19" xfId="0" applyFont="1" applyBorder="1" applyAlignment="1" applyProtection="1">
      <alignment horizontal="right" vertical="top" wrapText="1"/>
    </xf>
    <xf numFmtId="0" fontId="0" fillId="0" borderId="20" xfId="0" applyBorder="1" applyAlignment="1" applyProtection="1">
      <alignment horizontal="right" vertical="top"/>
    </xf>
    <xf numFmtId="0" fontId="3" fillId="4" borderId="38" xfId="0" applyFont="1" applyFill="1" applyBorder="1" applyAlignment="1" applyProtection="1">
      <alignment horizontal="center" vertical="center" wrapText="1"/>
    </xf>
    <xf numFmtId="0" fontId="0" fillId="0" borderId="39" xfId="0" applyBorder="1" applyAlignment="1" applyProtection="1">
      <alignment horizontal="center" vertical="center" wrapText="1"/>
    </xf>
    <xf numFmtId="0" fontId="1" fillId="0" borderId="14" xfId="0" applyFont="1" applyBorder="1" applyAlignment="1" applyProtection="1">
      <alignment horizontal="center"/>
    </xf>
    <xf numFmtId="0" fontId="1" fillId="0" borderId="4" xfId="0" applyFont="1" applyBorder="1" applyAlignment="1" applyProtection="1">
      <alignment horizontal="center"/>
    </xf>
    <xf numFmtId="0" fontId="1" fillId="0" borderId="23" xfId="0" applyFont="1" applyBorder="1" applyAlignment="1" applyProtection="1">
      <alignment horizontal="center"/>
    </xf>
    <xf numFmtId="0" fontId="1" fillId="0" borderId="15" xfId="0" applyFont="1" applyBorder="1" applyAlignment="1" applyProtection="1">
      <alignment horizontal="center"/>
    </xf>
    <xf numFmtId="0" fontId="3" fillId="4" borderId="8" xfId="0" applyFont="1" applyFill="1" applyBorder="1" applyAlignment="1" applyProtection="1">
      <alignment horizontal="center" vertical="center" wrapText="1"/>
    </xf>
    <xf numFmtId="0" fontId="3" fillId="4" borderId="3" xfId="0" applyFont="1" applyFill="1" applyBorder="1" applyAlignment="1" applyProtection="1">
      <alignment horizontal="center" vertical="center" wrapText="1"/>
    </xf>
    <xf numFmtId="0" fontId="0" fillId="0" borderId="3" xfId="0" applyBorder="1" applyAlignment="1" applyProtection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3" fillId="4" borderId="21" xfId="0" applyFont="1" applyFill="1" applyBorder="1" applyAlignment="1" applyProtection="1">
      <alignment horizontal="center" vertical="center" wrapText="1"/>
    </xf>
    <xf numFmtId="0" fontId="3" fillId="4" borderId="22" xfId="0" applyFont="1" applyFill="1" applyBorder="1" applyAlignment="1" applyProtection="1">
      <alignment horizontal="center" vertical="center" wrapText="1"/>
    </xf>
    <xf numFmtId="0" fontId="0" fillId="0" borderId="23" xfId="0" applyBorder="1" applyAlignment="1" applyProtection="1">
      <alignment horizontal="center" vertical="center" wrapText="1"/>
    </xf>
    <xf numFmtId="0" fontId="0" fillId="0" borderId="15" xfId="0" applyBorder="1" applyAlignment="1" applyProtection="1">
      <alignment horizontal="center" vertical="center" wrapText="1"/>
    </xf>
    <xf numFmtId="0" fontId="4" fillId="0" borderId="23" xfId="0" applyFont="1" applyBorder="1" applyAlignment="1" applyProtection="1">
      <alignment horizontal="center" vertical="center" wrapText="1"/>
    </xf>
    <xf numFmtId="0" fontId="3" fillId="4" borderId="12" xfId="0" applyFont="1" applyFill="1" applyBorder="1" applyAlignment="1" applyProtection="1">
      <alignment horizontal="center" vertical="center" wrapText="1"/>
    </xf>
    <xf numFmtId="0" fontId="0" fillId="0" borderId="22" xfId="0" applyBorder="1" applyAlignment="1" applyProtection="1">
      <alignment horizontal="center" vertical="center" wrapText="1"/>
    </xf>
    <xf numFmtId="0" fontId="0" fillId="0" borderId="24" xfId="0" applyBorder="1" applyAlignment="1" applyProtection="1">
      <alignment horizontal="center" vertical="center" wrapText="1"/>
    </xf>
    <xf numFmtId="0" fontId="2" fillId="0" borderId="25" xfId="0" applyFont="1" applyBorder="1" applyAlignment="1" applyProtection="1">
      <alignment vertical="top"/>
    </xf>
    <xf numFmtId="0" fontId="0" fillId="0" borderId="26" xfId="0" applyBorder="1" applyAlignment="1">
      <alignment vertical="top"/>
    </xf>
    <xf numFmtId="164" fontId="2" fillId="3" borderId="27" xfId="0" applyNumberFormat="1" applyFont="1" applyFill="1" applyBorder="1" applyAlignment="1" applyProtection="1">
      <alignment horizontal="center"/>
      <protection locked="0"/>
    </xf>
    <xf numFmtId="0" fontId="0" fillId="0" borderId="28" xfId="0" applyBorder="1" applyAlignment="1">
      <alignment horizontal="center"/>
    </xf>
    <xf numFmtId="0" fontId="2" fillId="0" borderId="0" xfId="0" applyFont="1" applyBorder="1" applyAlignment="1" applyProtection="1">
      <alignment vertical="top" wrapText="1"/>
    </xf>
    <xf numFmtId="0" fontId="0" fillId="0" borderId="0" xfId="0" applyBorder="1" applyAlignment="1">
      <alignment vertical="top"/>
    </xf>
    <xf numFmtId="164" fontId="2" fillId="6" borderId="29" xfId="0" applyNumberFormat="1" applyFont="1" applyFill="1" applyBorder="1" applyAlignment="1" applyProtection="1">
      <alignment horizontal="center"/>
      <protection locked="0"/>
    </xf>
    <xf numFmtId="164" fontId="2" fillId="6" borderId="30" xfId="0" applyNumberFormat="1" applyFont="1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vertical="top"/>
    </xf>
    <xf numFmtId="0" fontId="10" fillId="0" borderId="40" xfId="0" applyFont="1" applyBorder="1" applyAlignment="1" applyProtection="1">
      <alignment horizontal="right" vertical="top" wrapText="1"/>
    </xf>
    <xf numFmtId="0" fontId="10" fillId="0" borderId="20" xfId="0" applyFont="1" applyBorder="1" applyAlignment="1" applyProtection="1">
      <alignment horizontal="right" vertical="top" wrapText="1"/>
    </xf>
    <xf numFmtId="0" fontId="10" fillId="0" borderId="29" xfId="0" applyFont="1" applyBorder="1" applyAlignment="1" applyProtection="1">
      <alignment horizontal="right" vertical="top" wrapText="1"/>
    </xf>
    <xf numFmtId="0" fontId="10" fillId="0" borderId="26" xfId="0" applyFont="1" applyBorder="1" applyAlignment="1" applyProtection="1">
      <alignment horizontal="right" vertical="top" wrapText="1"/>
    </xf>
    <xf numFmtId="0" fontId="10" fillId="0" borderId="41" xfId="0" applyFont="1" applyBorder="1" applyAlignment="1" applyProtection="1">
      <alignment horizontal="right" vertical="top" wrapText="1"/>
    </xf>
    <xf numFmtId="0" fontId="10" fillId="0" borderId="30" xfId="0" applyFont="1" applyBorder="1" applyAlignment="1" applyProtection="1">
      <alignment horizontal="right" vertical="top" wrapText="1"/>
    </xf>
    <xf numFmtId="0" fontId="0" fillId="0" borderId="20" xfId="0" applyBorder="1" applyAlignment="1" applyProtection="1">
      <alignment horizontal="right" vertical="top" wrapText="1"/>
    </xf>
    <xf numFmtId="0" fontId="0" fillId="0" borderId="12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5" fillId="0" borderId="21" xfId="0" applyFont="1" applyBorder="1" applyAlignment="1" applyProtection="1">
      <alignment horizontal="left" vertical="top" wrapText="1"/>
    </xf>
    <xf numFmtId="0" fontId="0" fillId="0" borderId="12" xfId="0" applyBorder="1" applyAlignment="1" applyProtection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31" xfId="0" applyBorder="1" applyAlignment="1" applyProtection="1">
      <alignment horizontal="left" vertical="top" wrapText="1"/>
    </xf>
    <xf numFmtId="0" fontId="0" fillId="0" borderId="17" xfId="0" applyBorder="1" applyAlignment="1" applyProtection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5" fillId="0" borderId="18" xfId="0" applyFont="1" applyBorder="1" applyAlignment="1" applyProtection="1">
      <alignment horizontal="left" vertical="center" wrapText="1"/>
    </xf>
    <xf numFmtId="0" fontId="0" fillId="0" borderId="19" xfId="0" applyBorder="1" applyAlignment="1" applyProtection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31" xfId="0" applyBorder="1" applyAlignment="1" applyProtection="1">
      <alignment horizontal="left" vertical="center" wrapText="1"/>
    </xf>
    <xf numFmtId="0" fontId="0" fillId="0" borderId="17" xfId="0" applyBorder="1" applyAlignment="1" applyProtection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3" fillId="4" borderId="13" xfId="0" applyFont="1" applyFill="1" applyBorder="1" applyAlignment="1" applyProtection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18" xfId="0" applyFont="1" applyBorder="1" applyAlignment="1" applyProtection="1">
      <alignment horizontal="left" vertical="top" wrapText="1"/>
    </xf>
    <xf numFmtId="0" fontId="5" fillId="0" borderId="19" xfId="0" applyFont="1" applyBorder="1" applyAlignment="1" applyProtection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69"/>
  <sheetViews>
    <sheetView tabSelected="1" zoomScale="75" zoomScaleNormal="75" workbookViewId="0">
      <selection activeCell="A2" sqref="A2:B3"/>
    </sheetView>
  </sheetViews>
  <sheetFormatPr defaultColWidth="8.7109375" defaultRowHeight="12"/>
  <cols>
    <col min="1" max="1" width="31.28515625" style="1" customWidth="1"/>
    <col min="2" max="2" width="16.140625" style="1" customWidth="1"/>
    <col min="3" max="3" width="19.42578125" style="1" customWidth="1"/>
    <col min="4" max="11" width="16.7109375" style="1" customWidth="1"/>
    <col min="12" max="12" width="22.5703125" style="1" customWidth="1"/>
    <col min="13" max="13" width="15.7109375" style="1" customWidth="1"/>
    <col min="14" max="14" width="16.7109375" style="1" customWidth="1"/>
    <col min="15" max="18" width="18.28515625" style="1" customWidth="1"/>
    <col min="19" max="19" width="17.42578125" style="1" customWidth="1"/>
    <col min="20" max="22" width="15.7109375" style="1" customWidth="1"/>
    <col min="23" max="23" width="16.7109375" style="1" customWidth="1"/>
    <col min="24" max="16384" width="8.7109375" style="1"/>
  </cols>
  <sheetData>
    <row r="1" spans="1:23" ht="25.5" customHeight="1" thickBot="1">
      <c r="A1" s="86" t="s">
        <v>47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</row>
    <row r="2" spans="1:23" s="2" customFormat="1" ht="44.1" customHeight="1">
      <c r="A2" s="87" t="s">
        <v>0</v>
      </c>
      <c r="B2" s="88"/>
      <c r="C2" s="83" t="s">
        <v>79</v>
      </c>
      <c r="D2" s="87" t="s">
        <v>78</v>
      </c>
      <c r="E2" s="111"/>
      <c r="F2" s="111"/>
      <c r="G2" s="111"/>
      <c r="H2" s="111"/>
      <c r="I2" s="111"/>
      <c r="J2" s="111"/>
      <c r="K2" s="112"/>
      <c r="L2" s="83" t="s">
        <v>48</v>
      </c>
      <c r="M2" s="87" t="s">
        <v>80</v>
      </c>
      <c r="N2" s="83" t="s">
        <v>49</v>
      </c>
      <c r="O2" s="87" t="s">
        <v>77</v>
      </c>
      <c r="P2" s="111"/>
      <c r="Q2" s="111"/>
      <c r="R2" s="112"/>
      <c r="S2" s="87" t="s">
        <v>50</v>
      </c>
      <c r="T2" s="87" t="s">
        <v>76</v>
      </c>
      <c r="U2" s="92"/>
      <c r="V2" s="93"/>
      <c r="W2" s="83" t="s">
        <v>1</v>
      </c>
    </row>
    <row r="3" spans="1:23" s="2" customFormat="1" ht="44.1" customHeight="1" thickBot="1">
      <c r="A3" s="89"/>
      <c r="B3" s="90"/>
      <c r="C3" s="84"/>
      <c r="D3" s="89"/>
      <c r="E3" s="114"/>
      <c r="F3" s="114"/>
      <c r="G3" s="114"/>
      <c r="H3" s="114"/>
      <c r="I3" s="114"/>
      <c r="J3" s="114"/>
      <c r="K3" s="115"/>
      <c r="L3" s="84"/>
      <c r="M3" s="91"/>
      <c r="N3" s="85"/>
      <c r="O3" s="113"/>
      <c r="P3" s="114"/>
      <c r="Q3" s="114"/>
      <c r="R3" s="115"/>
      <c r="S3" s="113"/>
      <c r="T3" s="89"/>
      <c r="U3" s="94"/>
      <c r="V3" s="90"/>
      <c r="W3" s="84"/>
    </row>
    <row r="4" spans="1:23" s="2" customFormat="1" ht="16.5" thickBot="1">
      <c r="A4" s="60" t="s">
        <v>51</v>
      </c>
      <c r="B4" s="61"/>
      <c r="C4" s="38" t="s">
        <v>32</v>
      </c>
      <c r="D4" s="39" t="s">
        <v>75</v>
      </c>
      <c r="E4" s="39" t="s">
        <v>68</v>
      </c>
      <c r="F4" s="39" t="s">
        <v>69</v>
      </c>
      <c r="G4" s="39" t="s">
        <v>70</v>
      </c>
      <c r="H4" s="39" t="s">
        <v>71</v>
      </c>
      <c r="I4" s="39" t="s">
        <v>72</v>
      </c>
      <c r="J4" s="39" t="s">
        <v>73</v>
      </c>
      <c r="K4" s="39" t="s">
        <v>74</v>
      </c>
      <c r="L4" s="39" t="s">
        <v>38</v>
      </c>
      <c r="M4" s="40" t="s">
        <v>33</v>
      </c>
      <c r="N4" s="39" t="s">
        <v>34</v>
      </c>
      <c r="O4" s="39" t="s">
        <v>65</v>
      </c>
      <c r="P4" s="39" t="s">
        <v>62</v>
      </c>
      <c r="Q4" s="39" t="s">
        <v>63</v>
      </c>
      <c r="R4" s="39" t="s">
        <v>64</v>
      </c>
      <c r="S4" s="39" t="s">
        <v>40</v>
      </c>
      <c r="T4" s="39" t="s">
        <v>66</v>
      </c>
      <c r="U4" s="39" t="s">
        <v>67</v>
      </c>
      <c r="V4" s="39" t="s">
        <v>61</v>
      </c>
      <c r="W4" s="3">
        <v>0</v>
      </c>
    </row>
    <row r="5" spans="1:23" s="2" customFormat="1" ht="16.5" thickBot="1">
      <c r="A5" s="60" t="s">
        <v>2</v>
      </c>
      <c r="B5" s="61"/>
      <c r="C5" s="38">
        <v>1</v>
      </c>
      <c r="D5" s="39">
        <v>1</v>
      </c>
      <c r="E5" s="39">
        <v>1</v>
      </c>
      <c r="F5" s="39">
        <v>1</v>
      </c>
      <c r="G5" s="39">
        <v>1</v>
      </c>
      <c r="H5" s="39">
        <v>1</v>
      </c>
      <c r="I5" s="39">
        <v>1</v>
      </c>
      <c r="J5" s="39">
        <v>1</v>
      </c>
      <c r="K5" s="39">
        <v>1</v>
      </c>
      <c r="L5" s="39">
        <v>1</v>
      </c>
      <c r="M5" s="39">
        <v>1</v>
      </c>
      <c r="N5" s="39">
        <v>1</v>
      </c>
      <c r="O5" s="39">
        <v>1</v>
      </c>
      <c r="P5" s="39">
        <v>1</v>
      </c>
      <c r="Q5" s="39">
        <v>1</v>
      </c>
      <c r="R5" s="39">
        <v>1</v>
      </c>
      <c r="S5" s="39">
        <v>1</v>
      </c>
      <c r="T5" s="39">
        <v>1</v>
      </c>
      <c r="U5" s="39">
        <v>1</v>
      </c>
      <c r="V5" s="39">
        <v>1</v>
      </c>
      <c r="W5" s="3">
        <v>0</v>
      </c>
    </row>
    <row r="6" spans="1:23" s="5" customFormat="1" ht="16.5" thickBot="1">
      <c r="A6" s="21" t="s">
        <v>3</v>
      </c>
      <c r="B6" s="62" t="s">
        <v>4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1">
        <f>SUM(C6:V6)</f>
        <v>0</v>
      </c>
    </row>
    <row r="7" spans="1:23" s="5" customFormat="1" ht="19.5" thickBot="1">
      <c r="A7" s="22" t="s">
        <v>5</v>
      </c>
      <c r="B7" s="63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3">
        <v>0</v>
      </c>
    </row>
    <row r="8" spans="1:23" s="5" customFormat="1" ht="16.5" thickBot="1">
      <c r="A8" s="7" t="s">
        <v>6</v>
      </c>
      <c r="B8" s="63"/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1">
        <f>SUM(C8:V8)</f>
        <v>0</v>
      </c>
    </row>
    <row r="9" spans="1:23" s="5" customFormat="1" ht="16.5" thickBot="1">
      <c r="A9" s="7" t="s">
        <v>6</v>
      </c>
      <c r="B9" s="63"/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1">
        <f>SUM(C9:V9)</f>
        <v>0</v>
      </c>
    </row>
    <row r="10" spans="1:23" s="5" customFormat="1" ht="16.5" thickBot="1">
      <c r="A10" s="7" t="s">
        <v>6</v>
      </c>
      <c r="B10" s="63"/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1">
        <f>SUM(C10:V10)</f>
        <v>0</v>
      </c>
    </row>
    <row r="11" spans="1:23" s="5" customFormat="1" ht="16.5" thickBot="1">
      <c r="A11" s="24" t="s">
        <v>7</v>
      </c>
      <c r="B11" s="63"/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1">
        <f>SUM(C11:V11)</f>
        <v>0</v>
      </c>
    </row>
    <row r="12" spans="1:23" s="5" customFormat="1" ht="19.5" thickBot="1">
      <c r="A12" s="22" t="s">
        <v>8</v>
      </c>
      <c r="B12" s="63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3">
        <v>0</v>
      </c>
    </row>
    <row r="13" spans="1:23" s="5" customFormat="1" ht="16.5" thickBot="1">
      <c r="A13" s="23" t="s">
        <v>42</v>
      </c>
      <c r="B13" s="63"/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1">
        <f t="shared" ref="W13:W28" si="0">SUM(C13:V13)</f>
        <v>0</v>
      </c>
    </row>
    <row r="14" spans="1:23" s="5" customFormat="1" ht="16.5" customHeight="1" thickBot="1">
      <c r="A14" s="24" t="s">
        <v>9</v>
      </c>
      <c r="B14" s="63"/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1">
        <f t="shared" si="0"/>
        <v>0</v>
      </c>
    </row>
    <row r="15" spans="1:23" s="5" customFormat="1" ht="16.5" customHeight="1" thickBot="1">
      <c r="A15" s="24" t="s">
        <v>10</v>
      </c>
      <c r="B15" s="63"/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1">
        <f t="shared" si="0"/>
        <v>0</v>
      </c>
    </row>
    <row r="16" spans="1:23" s="5" customFormat="1" ht="16.5" customHeight="1" thickBot="1">
      <c r="A16" s="24" t="s">
        <v>11</v>
      </c>
      <c r="B16" s="63"/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1">
        <f t="shared" si="0"/>
        <v>0</v>
      </c>
    </row>
    <row r="17" spans="1:23" s="5" customFormat="1" ht="16.5" customHeight="1" thickBot="1">
      <c r="A17" s="24" t="s">
        <v>44</v>
      </c>
      <c r="B17" s="63"/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1">
        <f t="shared" si="0"/>
        <v>0</v>
      </c>
    </row>
    <row r="18" spans="1:23" s="5" customFormat="1" ht="16.5" customHeight="1" thickBot="1">
      <c r="A18" s="24" t="s">
        <v>35</v>
      </c>
      <c r="B18" s="63"/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1">
        <f t="shared" si="0"/>
        <v>0</v>
      </c>
    </row>
    <row r="19" spans="1:23" s="5" customFormat="1" ht="16.5" customHeight="1" thickBot="1">
      <c r="A19" s="23" t="s">
        <v>45</v>
      </c>
      <c r="B19" s="63"/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1">
        <f t="shared" si="0"/>
        <v>0</v>
      </c>
    </row>
    <row r="20" spans="1:23" s="5" customFormat="1" ht="16.5" customHeight="1" thickBot="1">
      <c r="A20" s="23" t="s">
        <v>46</v>
      </c>
      <c r="B20" s="63"/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1">
        <f t="shared" si="0"/>
        <v>0</v>
      </c>
    </row>
    <row r="21" spans="1:23" s="5" customFormat="1" ht="16.5" customHeight="1" thickBot="1">
      <c r="A21" s="23" t="s">
        <v>41</v>
      </c>
      <c r="B21" s="63"/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1">
        <f t="shared" si="0"/>
        <v>0</v>
      </c>
    </row>
    <row r="22" spans="1:23" s="5" customFormat="1" ht="16.5" customHeight="1" thickBot="1">
      <c r="A22" s="7" t="s">
        <v>12</v>
      </c>
      <c r="B22" s="63"/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1">
        <f t="shared" si="0"/>
        <v>0</v>
      </c>
    </row>
    <row r="23" spans="1:23" s="5" customFormat="1" ht="16.5" customHeight="1" thickBot="1">
      <c r="A23" s="7" t="s">
        <v>12</v>
      </c>
      <c r="B23" s="63"/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1">
        <f t="shared" si="0"/>
        <v>0</v>
      </c>
    </row>
    <row r="24" spans="1:23" s="5" customFormat="1" ht="16.5" customHeight="1" thickBot="1">
      <c r="A24" s="7" t="s">
        <v>12</v>
      </c>
      <c r="B24" s="63"/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1">
        <f t="shared" si="0"/>
        <v>0</v>
      </c>
    </row>
    <row r="25" spans="1:23" s="5" customFormat="1" ht="16.5" customHeight="1" thickBot="1">
      <c r="A25" s="7" t="s">
        <v>12</v>
      </c>
      <c r="B25" s="63"/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1">
        <f t="shared" si="0"/>
        <v>0</v>
      </c>
    </row>
    <row r="26" spans="1:23" s="5" customFormat="1" ht="16.5" customHeight="1" thickBot="1">
      <c r="A26" s="7" t="s">
        <v>12</v>
      </c>
      <c r="B26" s="63"/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1">
        <f t="shared" si="0"/>
        <v>0</v>
      </c>
    </row>
    <row r="27" spans="1:23" s="5" customFormat="1" ht="16.5" customHeight="1" thickBot="1">
      <c r="A27" s="7" t="s">
        <v>12</v>
      </c>
      <c r="B27" s="63"/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1">
        <f t="shared" si="0"/>
        <v>0</v>
      </c>
    </row>
    <row r="28" spans="1:23" s="5" customFormat="1" ht="16.5" customHeight="1" thickBot="1">
      <c r="A28" s="8" t="s">
        <v>12</v>
      </c>
      <c r="B28" s="64"/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1">
        <f t="shared" si="0"/>
        <v>0</v>
      </c>
    </row>
    <row r="29" spans="1:23" s="5" customFormat="1" ht="18.75" thickBot="1">
      <c r="A29" s="79" t="s">
        <v>13</v>
      </c>
      <c r="B29" s="80"/>
      <c r="C29" s="41">
        <f t="shared" ref="C29:U29" si="1">SUM(C6:C28)</f>
        <v>0</v>
      </c>
      <c r="D29" s="41">
        <f t="shared" si="1"/>
        <v>0</v>
      </c>
      <c r="E29" s="41">
        <f t="shared" si="1"/>
        <v>0</v>
      </c>
      <c r="F29" s="41">
        <f t="shared" si="1"/>
        <v>0</v>
      </c>
      <c r="G29" s="41">
        <f t="shared" si="1"/>
        <v>0</v>
      </c>
      <c r="H29" s="41">
        <f t="shared" si="1"/>
        <v>0</v>
      </c>
      <c r="I29" s="41">
        <f t="shared" si="1"/>
        <v>0</v>
      </c>
      <c r="J29" s="41">
        <f t="shared" si="1"/>
        <v>0</v>
      </c>
      <c r="K29" s="41">
        <f t="shared" si="1"/>
        <v>0</v>
      </c>
      <c r="L29" s="41">
        <f t="shared" si="1"/>
        <v>0</v>
      </c>
      <c r="M29" s="41">
        <f t="shared" si="1"/>
        <v>0</v>
      </c>
      <c r="N29" s="41">
        <f t="shared" si="1"/>
        <v>0</v>
      </c>
      <c r="O29" s="41">
        <f t="shared" si="1"/>
        <v>0</v>
      </c>
      <c r="P29" s="41">
        <f t="shared" si="1"/>
        <v>0</v>
      </c>
      <c r="Q29" s="41">
        <f t="shared" si="1"/>
        <v>0</v>
      </c>
      <c r="R29" s="41">
        <f t="shared" si="1"/>
        <v>0</v>
      </c>
      <c r="S29" s="41">
        <f>SUM(S6:S28)</f>
        <v>0</v>
      </c>
      <c r="T29" s="41">
        <f t="shared" si="1"/>
        <v>0</v>
      </c>
      <c r="U29" s="41">
        <f t="shared" si="1"/>
        <v>0</v>
      </c>
      <c r="V29" s="41">
        <f>SUM(V6:V28)</f>
        <v>0</v>
      </c>
      <c r="W29" s="9">
        <v>0</v>
      </c>
    </row>
    <row r="30" spans="1:23" s="5" customFormat="1" ht="18.75" thickBot="1">
      <c r="A30" s="81" t="s">
        <v>14</v>
      </c>
      <c r="B30" s="82"/>
      <c r="C30" s="43">
        <f t="shared" ref="C30:V30" si="2">C29*C5</f>
        <v>0</v>
      </c>
      <c r="D30" s="43">
        <f t="shared" si="2"/>
        <v>0</v>
      </c>
      <c r="E30" s="43">
        <f t="shared" si="2"/>
        <v>0</v>
      </c>
      <c r="F30" s="43">
        <f t="shared" si="2"/>
        <v>0</v>
      </c>
      <c r="G30" s="43">
        <f t="shared" si="2"/>
        <v>0</v>
      </c>
      <c r="H30" s="43">
        <f t="shared" si="2"/>
        <v>0</v>
      </c>
      <c r="I30" s="43">
        <f t="shared" si="2"/>
        <v>0</v>
      </c>
      <c r="J30" s="43">
        <f t="shared" si="2"/>
        <v>0</v>
      </c>
      <c r="K30" s="43">
        <f t="shared" si="2"/>
        <v>0</v>
      </c>
      <c r="L30" s="43">
        <f t="shared" si="2"/>
        <v>0</v>
      </c>
      <c r="M30" s="43">
        <f t="shared" si="2"/>
        <v>0</v>
      </c>
      <c r="N30" s="43">
        <f t="shared" si="2"/>
        <v>0</v>
      </c>
      <c r="O30" s="43">
        <f t="shared" si="2"/>
        <v>0</v>
      </c>
      <c r="P30" s="43">
        <f t="shared" si="2"/>
        <v>0</v>
      </c>
      <c r="Q30" s="43">
        <f t="shared" si="2"/>
        <v>0</v>
      </c>
      <c r="R30" s="43">
        <f t="shared" si="2"/>
        <v>0</v>
      </c>
      <c r="S30" s="43">
        <f t="shared" si="2"/>
        <v>0</v>
      </c>
      <c r="T30" s="43">
        <f t="shared" si="2"/>
        <v>0</v>
      </c>
      <c r="U30" s="43">
        <f t="shared" si="2"/>
        <v>0</v>
      </c>
      <c r="V30" s="43">
        <f t="shared" si="2"/>
        <v>0</v>
      </c>
      <c r="W30" s="42">
        <f>SUM(C30:V30)</f>
        <v>0</v>
      </c>
    </row>
    <row r="31" spans="1:23" s="5" customFormat="1" ht="18.75" thickBot="1">
      <c r="A31" s="10"/>
      <c r="B31" s="10"/>
      <c r="C31" s="10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2"/>
    </row>
    <row r="32" spans="1:23" s="13" customFormat="1" ht="50.1" customHeight="1" thickBot="1">
      <c r="A32" s="25" t="s">
        <v>15</v>
      </c>
      <c r="B32" s="26" t="s">
        <v>16</v>
      </c>
      <c r="D32" s="60" t="s">
        <v>36</v>
      </c>
      <c r="E32" s="77"/>
      <c r="F32" s="77"/>
      <c r="G32" s="77"/>
      <c r="H32" s="77"/>
      <c r="I32" s="77"/>
      <c r="J32" s="77"/>
      <c r="K32" s="77"/>
      <c r="L32" s="78"/>
      <c r="M32" s="36" t="s">
        <v>37</v>
      </c>
      <c r="N32" s="132" t="s">
        <v>43</v>
      </c>
      <c r="O32" s="77"/>
      <c r="P32" s="77"/>
      <c r="Q32" s="77"/>
      <c r="R32" s="77"/>
      <c r="S32" s="77"/>
      <c r="T32" s="133"/>
      <c r="U32" s="133"/>
      <c r="V32" s="133"/>
      <c r="W32" s="134"/>
    </row>
    <row r="33" spans="1:23" s="15" customFormat="1" ht="18" customHeight="1">
      <c r="A33" s="27" t="s">
        <v>17</v>
      </c>
      <c r="B33" s="20">
        <v>0</v>
      </c>
      <c r="D33" s="65" t="s">
        <v>55</v>
      </c>
      <c r="E33" s="66"/>
      <c r="F33" s="66"/>
      <c r="G33" s="66"/>
      <c r="H33" s="66"/>
      <c r="I33" s="66"/>
      <c r="J33" s="66"/>
      <c r="K33" s="66"/>
      <c r="L33" s="67"/>
      <c r="M33" s="73">
        <v>0</v>
      </c>
      <c r="N33" s="116" t="s">
        <v>52</v>
      </c>
      <c r="O33" s="117"/>
      <c r="P33" s="117"/>
      <c r="Q33" s="117"/>
      <c r="R33" s="117"/>
      <c r="S33" s="117"/>
      <c r="T33" s="118"/>
      <c r="U33" s="118"/>
      <c r="V33" s="118"/>
      <c r="W33" s="119"/>
    </row>
    <row r="34" spans="1:23" s="15" customFormat="1" ht="36.75" customHeight="1">
      <c r="A34" s="27" t="s">
        <v>18</v>
      </c>
      <c r="B34" s="20">
        <v>0</v>
      </c>
      <c r="D34" s="68"/>
      <c r="E34" s="69"/>
      <c r="F34" s="69"/>
      <c r="G34" s="69"/>
      <c r="H34" s="69"/>
      <c r="I34" s="69"/>
      <c r="J34" s="69"/>
      <c r="K34" s="69"/>
      <c r="L34" s="70"/>
      <c r="M34" s="72"/>
      <c r="N34" s="120"/>
      <c r="O34" s="121"/>
      <c r="P34" s="121"/>
      <c r="Q34" s="121"/>
      <c r="R34" s="121"/>
      <c r="S34" s="121"/>
      <c r="T34" s="122"/>
      <c r="U34" s="122"/>
      <c r="V34" s="122"/>
      <c r="W34" s="123"/>
    </row>
    <row r="35" spans="1:23" s="15" customFormat="1" ht="12" customHeight="1">
      <c r="A35" s="27" t="s">
        <v>19</v>
      </c>
      <c r="B35" s="20">
        <v>0</v>
      </c>
      <c r="D35" s="74" t="s">
        <v>56</v>
      </c>
      <c r="E35" s="75"/>
      <c r="F35" s="75"/>
      <c r="G35" s="75"/>
      <c r="H35" s="75"/>
      <c r="I35" s="75"/>
      <c r="J35" s="75"/>
      <c r="K35" s="75"/>
      <c r="L35" s="76"/>
      <c r="M35" s="71">
        <v>0</v>
      </c>
      <c r="N35" s="124" t="s">
        <v>53</v>
      </c>
      <c r="O35" s="125"/>
      <c r="P35" s="125"/>
      <c r="Q35" s="125"/>
      <c r="R35" s="125"/>
      <c r="S35" s="125"/>
      <c r="T35" s="126"/>
      <c r="U35" s="126"/>
      <c r="V35" s="126"/>
      <c r="W35" s="127"/>
    </row>
    <row r="36" spans="1:23" s="15" customFormat="1" ht="42" customHeight="1">
      <c r="A36" s="27" t="s">
        <v>20</v>
      </c>
      <c r="B36" s="20">
        <v>0</v>
      </c>
      <c r="D36" s="68"/>
      <c r="E36" s="69"/>
      <c r="F36" s="69"/>
      <c r="G36" s="69"/>
      <c r="H36" s="69"/>
      <c r="I36" s="69"/>
      <c r="J36" s="69"/>
      <c r="K36" s="69"/>
      <c r="L36" s="70"/>
      <c r="M36" s="72"/>
      <c r="N36" s="128"/>
      <c r="O36" s="129"/>
      <c r="P36" s="129"/>
      <c r="Q36" s="129"/>
      <c r="R36" s="129"/>
      <c r="S36" s="129"/>
      <c r="T36" s="130"/>
      <c r="U36" s="130"/>
      <c r="V36" s="130"/>
      <c r="W36" s="131"/>
    </row>
    <row r="37" spans="1:23" s="15" customFormat="1" ht="52.5" customHeight="1">
      <c r="A37" s="27" t="s">
        <v>21</v>
      </c>
      <c r="B37" s="20">
        <v>0</v>
      </c>
      <c r="D37" s="74" t="s">
        <v>57</v>
      </c>
      <c r="E37" s="75"/>
      <c r="F37" s="75"/>
      <c r="G37" s="75"/>
      <c r="H37" s="75"/>
      <c r="I37" s="75"/>
      <c r="J37" s="75"/>
      <c r="K37" s="75"/>
      <c r="L37" s="110"/>
      <c r="M37" s="45">
        <v>0</v>
      </c>
      <c r="N37" s="135" t="s">
        <v>58</v>
      </c>
      <c r="O37" s="136"/>
      <c r="P37" s="136"/>
      <c r="Q37" s="136"/>
      <c r="R37" s="136"/>
      <c r="S37" s="136"/>
      <c r="T37" s="137"/>
      <c r="U37" s="137"/>
      <c r="V37" s="137"/>
      <c r="W37" s="138"/>
    </row>
    <row r="38" spans="1:23" s="15" customFormat="1" ht="14.1" customHeight="1">
      <c r="A38" s="27" t="s">
        <v>22</v>
      </c>
      <c r="B38" s="20">
        <v>0</v>
      </c>
      <c r="D38" s="104" t="s">
        <v>60</v>
      </c>
      <c r="E38" s="105"/>
      <c r="F38" s="105"/>
      <c r="G38" s="105"/>
      <c r="H38" s="105"/>
      <c r="I38" s="105"/>
      <c r="J38" s="105"/>
      <c r="K38" s="105"/>
      <c r="L38" s="106"/>
      <c r="M38" s="101">
        <v>0</v>
      </c>
      <c r="N38" s="46" t="s">
        <v>59</v>
      </c>
      <c r="O38" s="47"/>
      <c r="P38" s="47"/>
      <c r="Q38" s="47"/>
      <c r="R38" s="47"/>
      <c r="S38" s="47"/>
      <c r="T38" s="48"/>
      <c r="U38" s="48"/>
      <c r="V38" s="48"/>
      <c r="W38" s="49"/>
    </row>
    <row r="39" spans="1:23" s="15" customFormat="1" ht="29.25" customHeight="1" thickBot="1">
      <c r="A39" s="27" t="s">
        <v>23</v>
      </c>
      <c r="B39" s="20">
        <v>0</v>
      </c>
      <c r="D39" s="107"/>
      <c r="E39" s="108"/>
      <c r="F39" s="108"/>
      <c r="G39" s="108"/>
      <c r="H39" s="108"/>
      <c r="I39" s="108"/>
      <c r="J39" s="108"/>
      <c r="K39" s="108"/>
      <c r="L39" s="109"/>
      <c r="M39" s="102"/>
      <c r="N39" s="50"/>
      <c r="O39" s="50"/>
      <c r="P39" s="50"/>
      <c r="Q39" s="50"/>
      <c r="R39" s="50"/>
      <c r="S39" s="50"/>
      <c r="T39" s="51"/>
      <c r="U39" s="51"/>
      <c r="V39" s="51"/>
      <c r="W39" s="52"/>
    </row>
    <row r="40" spans="1:23" s="15" customFormat="1" ht="14.1" customHeight="1">
      <c r="A40" s="27" t="s">
        <v>24</v>
      </c>
      <c r="B40" s="20">
        <v>0</v>
      </c>
      <c r="D40" s="56"/>
      <c r="E40" s="56"/>
      <c r="F40" s="56"/>
      <c r="G40" s="56"/>
      <c r="H40" s="56"/>
      <c r="I40" s="56"/>
      <c r="J40" s="56"/>
      <c r="K40" s="56"/>
      <c r="L40" s="57"/>
      <c r="M40" s="53"/>
      <c r="N40" s="55"/>
      <c r="O40" s="55"/>
      <c r="P40" s="55"/>
      <c r="Q40" s="55"/>
      <c r="R40" s="55"/>
      <c r="S40" s="55"/>
      <c r="T40" s="16"/>
      <c r="U40" s="16"/>
      <c r="V40" s="16"/>
    </row>
    <row r="41" spans="1:23" s="15" customFormat="1" ht="27.95" customHeight="1">
      <c r="A41" s="27" t="s">
        <v>25</v>
      </c>
      <c r="B41" s="20">
        <v>0</v>
      </c>
      <c r="D41" s="57"/>
      <c r="E41" s="57"/>
      <c r="F41" s="57"/>
      <c r="G41" s="57"/>
      <c r="H41" s="57"/>
      <c r="I41" s="57"/>
      <c r="J41" s="57"/>
      <c r="K41" s="57"/>
      <c r="L41" s="57"/>
      <c r="M41" s="54"/>
      <c r="N41" s="55"/>
      <c r="O41" s="55"/>
      <c r="P41" s="55"/>
      <c r="Q41" s="55"/>
      <c r="R41" s="55"/>
      <c r="S41" s="55"/>
      <c r="T41" s="16"/>
      <c r="U41" s="16"/>
      <c r="V41" s="37"/>
    </row>
    <row r="42" spans="1:23" s="15" customFormat="1" ht="14.1" customHeight="1">
      <c r="A42" s="27" t="s">
        <v>26</v>
      </c>
      <c r="B42" s="20">
        <v>0</v>
      </c>
      <c r="D42" s="56"/>
      <c r="E42" s="56"/>
      <c r="F42" s="56"/>
      <c r="G42" s="56"/>
      <c r="H42" s="56"/>
      <c r="I42" s="56"/>
      <c r="J42" s="56"/>
      <c r="K42" s="56"/>
      <c r="L42" s="57"/>
      <c r="M42" s="53"/>
      <c r="N42" s="55"/>
      <c r="O42" s="58"/>
      <c r="P42" s="58"/>
      <c r="Q42" s="58"/>
      <c r="R42" s="58"/>
      <c r="S42" s="58"/>
      <c r="T42" s="16"/>
      <c r="U42" s="16"/>
      <c r="V42" s="16"/>
    </row>
    <row r="43" spans="1:23" s="15" customFormat="1" ht="24.75" customHeight="1">
      <c r="A43" s="27" t="s">
        <v>27</v>
      </c>
      <c r="B43" s="20">
        <v>0</v>
      </c>
      <c r="D43" s="57"/>
      <c r="E43" s="57"/>
      <c r="F43" s="57"/>
      <c r="G43" s="57"/>
      <c r="H43" s="57"/>
      <c r="I43" s="57"/>
      <c r="J43" s="57"/>
      <c r="K43" s="57"/>
      <c r="L43" s="57"/>
      <c r="M43" s="54"/>
      <c r="N43" s="58"/>
      <c r="O43" s="58"/>
      <c r="P43" s="58"/>
      <c r="Q43" s="58"/>
      <c r="R43" s="58"/>
      <c r="S43" s="58"/>
      <c r="T43" s="16"/>
      <c r="U43" s="16"/>
      <c r="V43" s="16"/>
    </row>
    <row r="44" spans="1:23" s="15" customFormat="1" ht="27.95" customHeight="1">
      <c r="A44" s="27" t="s">
        <v>28</v>
      </c>
      <c r="B44" s="20">
        <v>0</v>
      </c>
      <c r="D44" s="56"/>
      <c r="E44" s="56"/>
      <c r="F44" s="56"/>
      <c r="G44" s="56"/>
      <c r="H44" s="56"/>
      <c r="I44" s="56"/>
      <c r="J44" s="56"/>
      <c r="K44" s="56"/>
      <c r="L44" s="103"/>
      <c r="M44" s="53"/>
      <c r="N44" s="55"/>
      <c r="O44" s="55"/>
      <c r="P44" s="55"/>
      <c r="Q44" s="55"/>
      <c r="R44" s="55"/>
      <c r="S44" s="55"/>
      <c r="T44" s="16"/>
      <c r="U44" s="16"/>
      <c r="V44" s="16"/>
    </row>
    <row r="45" spans="1:23" s="15" customFormat="1" ht="27.95" customHeight="1">
      <c r="A45" s="18" t="s">
        <v>12</v>
      </c>
      <c r="B45" s="20">
        <v>0</v>
      </c>
      <c r="D45" s="103"/>
      <c r="E45" s="103"/>
      <c r="F45" s="103"/>
      <c r="G45" s="103"/>
      <c r="H45" s="103"/>
      <c r="I45" s="103"/>
      <c r="J45" s="103"/>
      <c r="K45" s="103"/>
      <c r="L45" s="103"/>
      <c r="M45" s="54"/>
      <c r="N45" s="55"/>
      <c r="O45" s="55"/>
      <c r="P45" s="55"/>
      <c r="Q45" s="55"/>
      <c r="R45" s="55"/>
      <c r="S45" s="55"/>
      <c r="T45" s="16"/>
      <c r="U45" s="16"/>
      <c r="V45" s="16"/>
    </row>
    <row r="46" spans="1:23" s="15" customFormat="1" ht="14.1" customHeight="1" thickBot="1">
      <c r="A46" s="19" t="s">
        <v>12</v>
      </c>
      <c r="B46" s="30">
        <v>0</v>
      </c>
      <c r="D46" s="56"/>
      <c r="E46" s="56"/>
      <c r="F46" s="56"/>
      <c r="G46" s="56"/>
      <c r="H46" s="56"/>
      <c r="I46" s="56"/>
      <c r="J46" s="56"/>
      <c r="K46" s="56"/>
      <c r="L46" s="57"/>
      <c r="M46" s="53"/>
      <c r="N46" s="55"/>
      <c r="O46" s="55"/>
      <c r="P46" s="55"/>
      <c r="Q46" s="55"/>
      <c r="R46" s="55"/>
      <c r="S46" s="55"/>
      <c r="T46" s="16"/>
      <c r="U46" s="16"/>
      <c r="V46" s="16"/>
    </row>
    <row r="47" spans="1:23" s="15" customFormat="1" ht="14.1" customHeight="1">
      <c r="A47" s="33"/>
      <c r="B47" s="34"/>
      <c r="D47" s="57"/>
      <c r="E47" s="57"/>
      <c r="F47" s="57"/>
      <c r="G47" s="57"/>
      <c r="H47" s="57"/>
      <c r="I47" s="57"/>
      <c r="J47" s="57"/>
      <c r="K47" s="57"/>
      <c r="L47" s="57"/>
      <c r="M47" s="54"/>
      <c r="N47" s="55"/>
      <c r="O47" s="55"/>
      <c r="P47" s="55"/>
      <c r="Q47" s="55"/>
      <c r="R47" s="55"/>
      <c r="S47" s="55"/>
      <c r="T47" s="16"/>
      <c r="U47" s="16"/>
      <c r="V47" s="16"/>
    </row>
    <row r="48" spans="1:23" s="15" customFormat="1" ht="14.1" customHeight="1" thickBot="1">
      <c r="A48" s="17"/>
      <c r="B48" s="31"/>
      <c r="D48" s="56"/>
      <c r="E48" s="56"/>
      <c r="F48" s="56"/>
      <c r="G48" s="56"/>
      <c r="H48" s="56"/>
      <c r="I48" s="56"/>
      <c r="J48" s="56"/>
      <c r="K48" s="56"/>
      <c r="L48" s="57"/>
      <c r="M48" s="31"/>
      <c r="N48" s="59"/>
      <c r="O48" s="59"/>
      <c r="P48" s="59"/>
      <c r="Q48" s="59"/>
      <c r="R48" s="59"/>
      <c r="S48" s="59"/>
      <c r="T48" s="16"/>
      <c r="U48" s="16"/>
      <c r="V48" s="16"/>
    </row>
    <row r="49" spans="1:22" s="15" customFormat="1" ht="14.1" customHeight="1">
      <c r="A49" s="95" t="s">
        <v>29</v>
      </c>
      <c r="B49" s="97" t="s">
        <v>39</v>
      </c>
      <c r="C49" s="99" t="s">
        <v>54</v>
      </c>
      <c r="D49" s="56"/>
      <c r="E49" s="56"/>
      <c r="F49" s="56"/>
      <c r="G49" s="56"/>
      <c r="H49" s="56"/>
      <c r="I49" s="56"/>
      <c r="J49" s="56"/>
      <c r="K49" s="56"/>
      <c r="L49" s="103"/>
      <c r="M49" s="53"/>
      <c r="N49" s="55"/>
      <c r="O49" s="55"/>
      <c r="P49" s="55"/>
      <c r="Q49" s="55"/>
      <c r="R49" s="55"/>
      <c r="S49" s="55"/>
      <c r="T49" s="16"/>
      <c r="U49" s="16"/>
      <c r="V49" s="16"/>
    </row>
    <row r="50" spans="1:22" s="15" customFormat="1" ht="38.25" customHeight="1" thickBot="1">
      <c r="A50" s="96"/>
      <c r="B50" s="98"/>
      <c r="C50" s="100"/>
      <c r="D50" s="103"/>
      <c r="E50" s="103"/>
      <c r="F50" s="103"/>
      <c r="G50" s="103"/>
      <c r="H50" s="103"/>
      <c r="I50" s="103"/>
      <c r="J50" s="103"/>
      <c r="K50" s="103"/>
      <c r="L50" s="103"/>
      <c r="M50" s="53"/>
      <c r="N50" s="55"/>
      <c r="O50" s="55"/>
      <c r="P50" s="55"/>
      <c r="Q50" s="55"/>
      <c r="R50" s="55"/>
      <c r="S50" s="55"/>
      <c r="T50" s="16"/>
      <c r="U50" s="16"/>
      <c r="V50" s="16"/>
    </row>
    <row r="51" spans="1:22" s="15" customFormat="1" ht="14.1" customHeight="1">
      <c r="L51" s="17"/>
      <c r="M51" s="17"/>
      <c r="N51" s="32"/>
      <c r="O51" s="16"/>
      <c r="P51" s="16"/>
      <c r="Q51" s="16"/>
      <c r="R51" s="16"/>
      <c r="S51" s="16"/>
    </row>
    <row r="52" spans="1:22" s="15" customFormat="1">
      <c r="A52" s="29" t="s">
        <v>30</v>
      </c>
      <c r="B52" s="29"/>
      <c r="C52" s="29"/>
      <c r="D52" s="28"/>
      <c r="E52" s="28"/>
      <c r="F52" s="28"/>
      <c r="G52" s="28"/>
      <c r="H52" s="28"/>
      <c r="I52" s="28"/>
      <c r="J52" s="28"/>
      <c r="K52" s="28"/>
      <c r="L52" s="44"/>
      <c r="M52" s="44"/>
      <c r="N52" s="17"/>
      <c r="O52" s="17"/>
      <c r="P52" s="17"/>
      <c r="Q52" s="17"/>
      <c r="R52" s="17"/>
      <c r="S52" s="17"/>
    </row>
    <row r="53" spans="1:22" s="15" customFormat="1">
      <c r="A53" s="28" t="s">
        <v>31</v>
      </c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</row>
    <row r="54" spans="1:22" s="15" customForma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</row>
    <row r="55" spans="1:22" s="13" customFormat="1" ht="12" customHeight="1"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</row>
    <row r="56" spans="1:22"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</row>
    <row r="57" spans="1:22"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61" spans="1:22" ht="12.75">
      <c r="L61" s="35"/>
    </row>
    <row r="66" spans="1:3">
      <c r="A66" s="14"/>
      <c r="B66" s="14"/>
      <c r="C66" s="14"/>
    </row>
    <row r="67" spans="1:3">
      <c r="A67" s="14"/>
      <c r="B67" s="14"/>
      <c r="C67" s="14"/>
    </row>
    <row r="69" spans="1:3" ht="12" customHeight="1"/>
  </sheetData>
  <sheetProtection selectLockedCells="1"/>
  <mergeCells count="49">
    <mergeCell ref="D37:L37"/>
    <mergeCell ref="D48:L48"/>
    <mergeCell ref="O2:R3"/>
    <mergeCell ref="D2:K3"/>
    <mergeCell ref="N33:W34"/>
    <mergeCell ref="N35:W36"/>
    <mergeCell ref="S2:S3"/>
    <mergeCell ref="N32:W32"/>
    <mergeCell ref="M46:M47"/>
    <mergeCell ref="N37:W37"/>
    <mergeCell ref="A49:A50"/>
    <mergeCell ref="B49:B50"/>
    <mergeCell ref="C49:C50"/>
    <mergeCell ref="M38:M39"/>
    <mergeCell ref="M49:M50"/>
    <mergeCell ref="D49:L50"/>
    <mergeCell ref="D38:L39"/>
    <mergeCell ref="D40:L41"/>
    <mergeCell ref="D44:L45"/>
    <mergeCell ref="D46:L47"/>
    <mergeCell ref="A4:B4"/>
    <mergeCell ref="C2:C3"/>
    <mergeCell ref="N2:N3"/>
    <mergeCell ref="A1:W1"/>
    <mergeCell ref="A2:B3"/>
    <mergeCell ref="W2:W3"/>
    <mergeCell ref="M2:M3"/>
    <mergeCell ref="T2:V3"/>
    <mergeCell ref="L2:L3"/>
    <mergeCell ref="N48:S48"/>
    <mergeCell ref="A5:B5"/>
    <mergeCell ref="B6:B28"/>
    <mergeCell ref="D33:L34"/>
    <mergeCell ref="M35:M36"/>
    <mergeCell ref="M33:M34"/>
    <mergeCell ref="D35:L36"/>
    <mergeCell ref="D32:L32"/>
    <mergeCell ref="A29:B29"/>
    <mergeCell ref="A30:B30"/>
    <mergeCell ref="N38:W39"/>
    <mergeCell ref="M40:M41"/>
    <mergeCell ref="M44:M45"/>
    <mergeCell ref="N40:S41"/>
    <mergeCell ref="N49:S50"/>
    <mergeCell ref="D42:L43"/>
    <mergeCell ref="M42:M43"/>
    <mergeCell ref="N42:S43"/>
    <mergeCell ref="N44:S45"/>
    <mergeCell ref="N46:S47"/>
  </mergeCells>
  <phoneticPr fontId="9" type="noConversion"/>
  <printOptions horizontalCentered="1"/>
  <pageMargins left="0.4" right="0.33" top="0.57999999999999996" bottom="0.64" header="0.43" footer="0.38"/>
  <pageSetup scale="32" orientation="landscape" r:id="rId1"/>
  <headerFooter alignWithMargins="0">
    <oddFooter>&amp;R&amp;"Arial,Bold"RFB Bid Quotation Form, United Kwik Fill M-389, PADEP ID #25-10433, PAUSTIF Claim #2005-0370(M)</oddFooter>
  </headerFooter>
  <ignoredErrors>
    <ignoredError sqref="C29:D29 L29:V29 E29:K2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Base SOW - Cost Table</vt:lpstr>
      <vt:lpstr>'Base SOW - Cost Table'!Print_Area</vt:lpstr>
    </vt:vector>
  </TitlesOfParts>
  <Company>Excalibur Group,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Roberts</dc:creator>
  <cp:lastModifiedBy>Amy Steiner</cp:lastModifiedBy>
  <cp:lastPrinted>2013-06-25T18:30:23Z</cp:lastPrinted>
  <dcterms:created xsi:type="dcterms:W3CDTF">2009-03-12T14:50:14Z</dcterms:created>
  <dcterms:modified xsi:type="dcterms:W3CDTF">2013-11-15T20:09:01Z</dcterms:modified>
</cp:coreProperties>
</file>